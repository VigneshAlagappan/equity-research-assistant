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W63" i="18" l="1"/>
  <c r="W18" i="18" l="1"/>
  <c r="W16" i="18"/>
  <c r="W15" i="18"/>
  <c r="W14" i="18"/>
  <c r="W13" i="18"/>
  <c r="W12" i="18"/>
  <c r="W10" i="18"/>
  <c r="W9" i="18"/>
  <c r="W7" i="18"/>
  <c r="W6" i="18"/>
  <c r="W29" i="18"/>
  <c r="W61" i="18"/>
  <c r="W59" i="18"/>
  <c r="W57" i="18"/>
  <c r="W55" i="18"/>
  <c r="W53" i="18"/>
  <c r="W34" i="18"/>
  <c r="W33" i="18"/>
  <c r="W27" i="18"/>
  <c r="W25" i="18"/>
  <c r="G18" i="18" l="1"/>
  <c r="G16" i="18"/>
  <c r="G15" i="18"/>
  <c r="G14" i="18"/>
  <c r="G13" i="18"/>
  <c r="G12" i="18"/>
  <c r="G10" i="18"/>
  <c r="G9" i="18"/>
  <c r="G7" i="18"/>
  <c r="G6" i="18"/>
  <c r="G63" i="18"/>
  <c r="G61" i="18"/>
  <c r="G59" i="18"/>
  <c r="G57" i="18"/>
  <c r="G55" i="18"/>
  <c r="G53" i="18"/>
  <c r="G34" i="18"/>
  <c r="G33" i="18"/>
  <c r="G29" i="18"/>
  <c r="G27" i="18"/>
  <c r="G25" i="18"/>
  <c r="R215" i="18" l="1"/>
  <c r="S215" i="18"/>
  <c r="T215" i="18"/>
  <c r="U215" i="18"/>
  <c r="V215" i="18"/>
  <c r="W215" i="18"/>
  <c r="R216" i="18"/>
  <c r="R238" i="18" s="1"/>
  <c r="S216" i="18"/>
  <c r="T216" i="18"/>
  <c r="U216" i="18"/>
  <c r="V216" i="18"/>
  <c r="W216" i="18"/>
  <c r="R70" i="18"/>
  <c r="R206" i="18" s="1"/>
  <c r="S70" i="18"/>
  <c r="S206" i="18" s="1"/>
  <c r="T70" i="18"/>
  <c r="T206" i="18" s="1"/>
  <c r="U70" i="18"/>
  <c r="U206" i="18" s="1"/>
  <c r="V70" i="18"/>
  <c r="V206" i="18" s="1"/>
  <c r="W70" i="18"/>
  <c r="W206" i="18" s="1"/>
  <c r="R71" i="18"/>
  <c r="S71" i="18"/>
  <c r="T71" i="18"/>
  <c r="U71" i="18"/>
  <c r="V71" i="18"/>
  <c r="W71" i="18"/>
  <c r="R72" i="18"/>
  <c r="S72" i="18"/>
  <c r="T72" i="18"/>
  <c r="T114" i="18" s="1"/>
  <c r="U72" i="18"/>
  <c r="U114" i="18" s="1"/>
  <c r="V72" i="18"/>
  <c r="W72" i="18"/>
  <c r="R74" i="18"/>
  <c r="R208" i="18" s="1"/>
  <c r="S74" i="18"/>
  <c r="S208" i="18" s="1"/>
  <c r="T74" i="18"/>
  <c r="T208" i="18" s="1"/>
  <c r="U74" i="18"/>
  <c r="U208" i="18" s="1"/>
  <c r="V74" i="18"/>
  <c r="V208" i="18" s="1"/>
  <c r="W74" i="18"/>
  <c r="W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W75" i="18"/>
  <c r="W209" i="18" s="1"/>
  <c r="R76" i="18"/>
  <c r="R207" i="18" s="1"/>
  <c r="S76" i="18"/>
  <c r="S207" i="18" s="1"/>
  <c r="T76" i="18"/>
  <c r="T207" i="18" s="1"/>
  <c r="U76" i="18"/>
  <c r="U207" i="18" s="1"/>
  <c r="V76" i="18"/>
  <c r="V207" i="18" s="1"/>
  <c r="W76" i="18"/>
  <c r="W207" i="18" s="1"/>
  <c r="R77" i="18"/>
  <c r="S77" i="18"/>
  <c r="T77" i="18"/>
  <c r="U77" i="18"/>
  <c r="V77" i="18"/>
  <c r="W77" i="18"/>
  <c r="R78" i="18"/>
  <c r="S78" i="18"/>
  <c r="T78" i="18"/>
  <c r="U78" i="18"/>
  <c r="V78" i="18"/>
  <c r="W78" i="18"/>
  <c r="R79" i="18"/>
  <c r="R210" i="18" s="1"/>
  <c r="S79" i="18"/>
  <c r="S210" i="18" s="1"/>
  <c r="T79" i="18"/>
  <c r="T210" i="18" s="1"/>
  <c r="U79" i="18"/>
  <c r="U210" i="18" s="1"/>
  <c r="V79" i="18"/>
  <c r="V210" i="18" s="1"/>
  <c r="W79" i="18"/>
  <c r="W210" i="18" s="1"/>
  <c r="R80" i="18"/>
  <c r="S80" i="18"/>
  <c r="T80" i="18"/>
  <c r="U80" i="18"/>
  <c r="V80" i="18"/>
  <c r="W80" i="18"/>
  <c r="R82" i="18"/>
  <c r="S82" i="18"/>
  <c r="T82" i="18"/>
  <c r="U82" i="18"/>
  <c r="V82" i="18"/>
  <c r="W82" i="18"/>
  <c r="R83" i="18"/>
  <c r="S83" i="18"/>
  <c r="T83" i="18"/>
  <c r="U83" i="18"/>
  <c r="V83" i="18"/>
  <c r="W83" i="18"/>
  <c r="R84" i="18"/>
  <c r="R213" i="18" s="1"/>
  <c r="S84" i="18"/>
  <c r="S213" i="18" s="1"/>
  <c r="T84" i="18"/>
  <c r="T213" i="18" s="1"/>
  <c r="U84" i="18"/>
  <c r="U213" i="18" s="1"/>
  <c r="V84" i="18"/>
  <c r="V213" i="18" s="1"/>
  <c r="W84" i="18"/>
  <c r="W213" i="18" s="1"/>
  <c r="R86" i="18"/>
  <c r="S86" i="18"/>
  <c r="T86" i="18"/>
  <c r="U86" i="18"/>
  <c r="V86" i="18"/>
  <c r="W86" i="18"/>
  <c r="R87" i="18"/>
  <c r="S87" i="18"/>
  <c r="T87" i="18"/>
  <c r="U87" i="18"/>
  <c r="U88" i="18" s="1"/>
  <c r="U211" i="18" s="1"/>
  <c r="V87" i="18"/>
  <c r="W87" i="18"/>
  <c r="R89" i="18"/>
  <c r="S89" i="18"/>
  <c r="T89" i="18"/>
  <c r="U89" i="18"/>
  <c r="V89" i="18"/>
  <c r="W89" i="18"/>
  <c r="R90" i="18"/>
  <c r="R212" i="18" s="1"/>
  <c r="S90" i="18"/>
  <c r="S212" i="18" s="1"/>
  <c r="T90" i="18"/>
  <c r="T212" i="18" s="1"/>
  <c r="U90" i="18"/>
  <c r="U212" i="18" s="1"/>
  <c r="V90" i="18"/>
  <c r="V212" i="18" s="1"/>
  <c r="W90" i="18"/>
  <c r="W212" i="18" s="1"/>
  <c r="R92" i="18"/>
  <c r="R143" i="18" s="1"/>
  <c r="R144" i="18" s="1"/>
  <c r="R145" i="18" s="1"/>
  <c r="R146" i="18" s="1"/>
  <c r="S92" i="18"/>
  <c r="S143" i="18" s="1"/>
  <c r="S144" i="18" s="1"/>
  <c r="S145" i="18" s="1"/>
  <c r="S146" i="18" s="1"/>
  <c r="T92" i="18"/>
  <c r="U92" i="18"/>
  <c r="U143" i="18" s="1"/>
  <c r="U144" i="18" s="1"/>
  <c r="V92" i="18"/>
  <c r="V143" i="18" s="1"/>
  <c r="V144" i="18" s="1"/>
  <c r="W92" i="18"/>
  <c r="W143" i="18" s="1"/>
  <c r="W144" i="18" s="1"/>
  <c r="W145" i="18" s="1"/>
  <c r="W146" i="18" s="1"/>
  <c r="R94" i="18"/>
  <c r="S94" i="18"/>
  <c r="S96" i="18" s="1"/>
  <c r="T94" i="18"/>
  <c r="U94" i="18"/>
  <c r="V94" i="18"/>
  <c r="W94" i="18"/>
  <c r="W96" i="18" s="1"/>
  <c r="R96" i="18"/>
  <c r="T96" i="18"/>
  <c r="U96" i="18"/>
  <c r="V96" i="18"/>
  <c r="R97" i="18"/>
  <c r="S97" i="18"/>
  <c r="T97" i="18"/>
  <c r="U97" i="18"/>
  <c r="V97" i="18"/>
  <c r="W97" i="18"/>
  <c r="R98" i="18"/>
  <c r="S98" i="18"/>
  <c r="T98" i="18"/>
  <c r="U98" i="18"/>
  <c r="V98" i="18"/>
  <c r="W98" i="18"/>
  <c r="R99" i="18"/>
  <c r="S99" i="18"/>
  <c r="T99" i="18"/>
  <c r="U99" i="18"/>
  <c r="V99" i="18"/>
  <c r="W99" i="18"/>
  <c r="R100" i="18"/>
  <c r="S100" i="18"/>
  <c r="T100" i="18"/>
  <c r="U100" i="18"/>
  <c r="V100" i="18"/>
  <c r="W100" i="18"/>
  <c r="R102" i="18"/>
  <c r="S102" i="18"/>
  <c r="S168" i="18" s="1"/>
  <c r="T102" i="18"/>
  <c r="T168" i="18" s="1"/>
  <c r="U102" i="18"/>
  <c r="U168" i="18" s="1"/>
  <c r="V102" i="18"/>
  <c r="V168" i="18" s="1"/>
  <c r="W102" i="18"/>
  <c r="W168" i="18" s="1"/>
  <c r="R103" i="18"/>
  <c r="S103" i="18"/>
  <c r="T103" i="18"/>
  <c r="U103" i="18"/>
  <c r="V103" i="18"/>
  <c r="W103" i="18"/>
  <c r="R104" i="18"/>
  <c r="S104" i="18"/>
  <c r="T104" i="18"/>
  <c r="U104" i="18"/>
  <c r="V104" i="18"/>
  <c r="W104" i="18"/>
  <c r="R106" i="18"/>
  <c r="S106" i="18"/>
  <c r="T106" i="18"/>
  <c r="U106" i="18"/>
  <c r="V106" i="18"/>
  <c r="W106" i="18"/>
  <c r="R109" i="18"/>
  <c r="S109" i="18"/>
  <c r="T109" i="18"/>
  <c r="U109" i="18"/>
  <c r="V109" i="18"/>
  <c r="W109" i="18"/>
  <c r="R110" i="18"/>
  <c r="S110" i="18"/>
  <c r="T110" i="18"/>
  <c r="U110" i="18"/>
  <c r="V110" i="18"/>
  <c r="W110" i="18"/>
  <c r="R111" i="18"/>
  <c r="S111" i="18"/>
  <c r="T111" i="18"/>
  <c r="U111" i="18"/>
  <c r="V111" i="18"/>
  <c r="W111" i="18"/>
  <c r="R112" i="18"/>
  <c r="S112" i="18"/>
  <c r="T112" i="18"/>
  <c r="U112" i="18"/>
  <c r="V112" i="18"/>
  <c r="W112" i="18"/>
  <c r="R113" i="18"/>
  <c r="S113" i="18"/>
  <c r="T113" i="18"/>
  <c r="U113" i="18"/>
  <c r="V113" i="18"/>
  <c r="W113" i="18"/>
  <c r="R114" i="18"/>
  <c r="S114" i="18"/>
  <c r="V114" i="18"/>
  <c r="W114" i="18"/>
  <c r="R116" i="18"/>
  <c r="R122" i="18" s="1"/>
  <c r="S116" i="18"/>
  <c r="S122" i="18" s="1"/>
  <c r="T116" i="18"/>
  <c r="U116" i="18"/>
  <c r="V116" i="18"/>
  <c r="W116" i="18"/>
  <c r="W122" i="18" s="1"/>
  <c r="R117" i="18"/>
  <c r="R123" i="18" s="1"/>
  <c r="S117" i="18"/>
  <c r="S123" i="18" s="1"/>
  <c r="T117" i="18"/>
  <c r="U117" i="18"/>
  <c r="U123" i="18" s="1"/>
  <c r="V117" i="18"/>
  <c r="V123" i="18" s="1"/>
  <c r="W117" i="18"/>
  <c r="R118" i="18"/>
  <c r="R124" i="18" s="1"/>
  <c r="S118" i="18"/>
  <c r="S124" i="18" s="1"/>
  <c r="T118" i="18"/>
  <c r="T124" i="18" s="1"/>
  <c r="U118" i="18"/>
  <c r="U124" i="18" s="1"/>
  <c r="V118" i="18"/>
  <c r="V124" i="18" s="1"/>
  <c r="W118" i="18"/>
  <c r="W124" i="18" s="1"/>
  <c r="R119" i="18"/>
  <c r="R125" i="18" s="1"/>
  <c r="S119" i="18"/>
  <c r="S125" i="18" s="1"/>
  <c r="T119" i="18"/>
  <c r="T125" i="18" s="1"/>
  <c r="U119" i="18"/>
  <c r="U125" i="18" s="1"/>
  <c r="V119" i="18"/>
  <c r="V125" i="18" s="1"/>
  <c r="W119" i="18"/>
  <c r="W125" i="18" s="1"/>
  <c r="R120" i="18"/>
  <c r="R126" i="18" s="1"/>
  <c r="S120" i="18"/>
  <c r="S126" i="18" s="1"/>
  <c r="T120" i="18"/>
  <c r="T126" i="18" s="1"/>
  <c r="U120" i="18"/>
  <c r="V120" i="18"/>
  <c r="W120" i="18"/>
  <c r="W126" i="18" s="1"/>
  <c r="T122" i="18"/>
  <c r="U122" i="18"/>
  <c r="V122" i="18"/>
  <c r="T123" i="18"/>
  <c r="W123" i="18"/>
  <c r="U126" i="18"/>
  <c r="V126" i="18"/>
  <c r="R128" i="18"/>
  <c r="S128" i="18"/>
  <c r="T128" i="18"/>
  <c r="U128" i="18"/>
  <c r="V128" i="18"/>
  <c r="W128" i="18"/>
  <c r="R129" i="18"/>
  <c r="S129" i="18"/>
  <c r="T129" i="18"/>
  <c r="U129" i="18"/>
  <c r="V129" i="18"/>
  <c r="W129" i="18"/>
  <c r="R130" i="18"/>
  <c r="S130" i="18"/>
  <c r="T130" i="18"/>
  <c r="U130" i="18"/>
  <c r="V130" i="18"/>
  <c r="W130" i="18"/>
  <c r="R131" i="18"/>
  <c r="S131" i="18"/>
  <c r="T131" i="18"/>
  <c r="U131" i="18"/>
  <c r="V131" i="18"/>
  <c r="W131" i="18"/>
  <c r="R132" i="18"/>
  <c r="S132" i="18"/>
  <c r="T132" i="18"/>
  <c r="U132" i="18"/>
  <c r="V132" i="18"/>
  <c r="W132" i="18"/>
  <c r="R133" i="18"/>
  <c r="S133" i="18"/>
  <c r="T133" i="18"/>
  <c r="U133" i="18"/>
  <c r="V133" i="18"/>
  <c r="W133" i="18"/>
  <c r="R134" i="18"/>
  <c r="S134" i="18"/>
  <c r="T134" i="18"/>
  <c r="U134" i="18"/>
  <c r="V134" i="18"/>
  <c r="W134" i="18"/>
  <c r="R135" i="18"/>
  <c r="S135" i="18"/>
  <c r="T135" i="18"/>
  <c r="U135" i="18"/>
  <c r="V135" i="18"/>
  <c r="W135" i="18"/>
  <c r="R136" i="18"/>
  <c r="S136" i="18"/>
  <c r="T136" i="18"/>
  <c r="U136" i="18"/>
  <c r="V136" i="18"/>
  <c r="W136" i="18"/>
  <c r="R138" i="18"/>
  <c r="S138" i="18"/>
  <c r="T138" i="18"/>
  <c r="U138" i="18"/>
  <c r="V138" i="18"/>
  <c r="W138" i="18"/>
  <c r="R139" i="18"/>
  <c r="S139" i="18"/>
  <c r="T139" i="18"/>
  <c r="U139" i="18"/>
  <c r="V139" i="18"/>
  <c r="W139" i="18"/>
  <c r="R140" i="18"/>
  <c r="S140" i="18"/>
  <c r="T140" i="18"/>
  <c r="U140" i="18"/>
  <c r="V140" i="18"/>
  <c r="W140" i="18"/>
  <c r="R141" i="18"/>
  <c r="S141" i="18"/>
  <c r="T141" i="18"/>
  <c r="U141" i="18"/>
  <c r="V141" i="18"/>
  <c r="W141" i="18"/>
  <c r="T143" i="18"/>
  <c r="T144" i="18" s="1"/>
  <c r="R149" i="18"/>
  <c r="S149" i="18"/>
  <c r="T149" i="18"/>
  <c r="U149" i="18"/>
  <c r="V149" i="18"/>
  <c r="W149" i="18"/>
  <c r="R150" i="18"/>
  <c r="S150" i="18"/>
  <c r="T150" i="18"/>
  <c r="U150" i="18"/>
  <c r="V150" i="18"/>
  <c r="W150" i="18"/>
  <c r="R151" i="18"/>
  <c r="S151" i="18"/>
  <c r="T151" i="18"/>
  <c r="U151" i="18"/>
  <c r="V151" i="18"/>
  <c r="W151" i="18"/>
  <c r="R153" i="18"/>
  <c r="S153" i="18"/>
  <c r="T153" i="18"/>
  <c r="U153" i="18"/>
  <c r="V153" i="18"/>
  <c r="W153" i="18"/>
  <c r="R154" i="18"/>
  <c r="S154" i="18"/>
  <c r="T154" i="18"/>
  <c r="U154" i="18"/>
  <c r="V154" i="18"/>
  <c r="W154" i="18"/>
  <c r="R155" i="18"/>
  <c r="S155" i="18"/>
  <c r="T155" i="18"/>
  <c r="U155" i="18"/>
  <c r="V155" i="18"/>
  <c r="W155" i="18"/>
  <c r="R158" i="18"/>
  <c r="S158" i="18"/>
  <c r="T158" i="18"/>
  <c r="U158" i="18"/>
  <c r="V158" i="18"/>
  <c r="W158" i="18"/>
  <c r="R159" i="18"/>
  <c r="S159" i="18"/>
  <c r="T159" i="18"/>
  <c r="U159" i="18"/>
  <c r="V159" i="18"/>
  <c r="W159" i="18"/>
  <c r="R160" i="18"/>
  <c r="S160" i="18"/>
  <c r="T160" i="18"/>
  <c r="U160" i="18"/>
  <c r="V160" i="18"/>
  <c r="W160" i="18"/>
  <c r="R161" i="18"/>
  <c r="S161" i="18"/>
  <c r="T161" i="18"/>
  <c r="U161" i="18"/>
  <c r="V161" i="18"/>
  <c r="W161" i="18"/>
  <c r="R163" i="18"/>
  <c r="S163" i="18"/>
  <c r="T163" i="18"/>
  <c r="U163" i="18"/>
  <c r="V163" i="18"/>
  <c r="W163" i="18"/>
  <c r="R164" i="18"/>
  <c r="S164" i="18"/>
  <c r="T164" i="18"/>
  <c r="U164" i="18"/>
  <c r="V164" i="18"/>
  <c r="W164" i="18"/>
  <c r="R166" i="18"/>
  <c r="R167" i="18" s="1"/>
  <c r="S166" i="18"/>
  <c r="S167" i="18" s="1"/>
  <c r="T166" i="18"/>
  <c r="T167" i="18" s="1"/>
  <c r="U166" i="18"/>
  <c r="U167" i="18" s="1"/>
  <c r="V166" i="18"/>
  <c r="V167" i="18" s="1"/>
  <c r="W166" i="18"/>
  <c r="W167" i="18" s="1"/>
  <c r="R168" i="18"/>
  <c r="R170" i="18"/>
  <c r="S170" i="18"/>
  <c r="T170" i="18"/>
  <c r="U170" i="18"/>
  <c r="V170" i="18"/>
  <c r="W170" i="18"/>
  <c r="R171" i="18"/>
  <c r="S171" i="18"/>
  <c r="T171" i="18"/>
  <c r="U171" i="18"/>
  <c r="V171" i="18"/>
  <c r="W171" i="18"/>
  <c r="R8" i="18"/>
  <c r="S8" i="18"/>
  <c r="T8" i="18"/>
  <c r="U8" i="18"/>
  <c r="V8" i="18"/>
  <c r="W8" i="18"/>
  <c r="R11" i="18"/>
  <c r="S11" i="18"/>
  <c r="T11" i="18"/>
  <c r="U11" i="18"/>
  <c r="V11" i="18"/>
  <c r="W11" i="18"/>
  <c r="R26" i="18"/>
  <c r="S26" i="18"/>
  <c r="T26" i="18"/>
  <c r="U26" i="18"/>
  <c r="V26" i="18"/>
  <c r="W26" i="18"/>
  <c r="R28" i="18"/>
  <c r="S28" i="18"/>
  <c r="T28" i="18"/>
  <c r="U28" i="18"/>
  <c r="V28" i="18"/>
  <c r="W28" i="18"/>
  <c r="R30" i="18"/>
  <c r="S30" i="18"/>
  <c r="T30" i="18"/>
  <c r="U30" i="18"/>
  <c r="V30" i="18"/>
  <c r="W30" i="18"/>
  <c r="R37" i="18"/>
  <c r="S37" i="18"/>
  <c r="T37" i="18"/>
  <c r="U37" i="18"/>
  <c r="V37" i="18"/>
  <c r="W37" i="18"/>
  <c r="R39" i="18"/>
  <c r="S39" i="18"/>
  <c r="T39" i="18"/>
  <c r="U39" i="18"/>
  <c r="V39" i="18"/>
  <c r="W39" i="18"/>
  <c r="R44" i="18"/>
  <c r="S44" i="18"/>
  <c r="T44" i="18"/>
  <c r="U44" i="18"/>
  <c r="V44" i="18"/>
  <c r="W44" i="18"/>
  <c r="R46" i="18"/>
  <c r="S46" i="18"/>
  <c r="T46" i="18"/>
  <c r="U46" i="18"/>
  <c r="V46" i="18"/>
  <c r="W46" i="18"/>
  <c r="R48" i="18"/>
  <c r="S48" i="18"/>
  <c r="T48" i="18"/>
  <c r="U48" i="18"/>
  <c r="V48" i="18"/>
  <c r="W48" i="18"/>
  <c r="R50" i="18"/>
  <c r="S50" i="18"/>
  <c r="T50" i="18"/>
  <c r="U50" i="18"/>
  <c r="V50" i="18"/>
  <c r="W50" i="18"/>
  <c r="R54" i="18"/>
  <c r="S54" i="18"/>
  <c r="T54" i="18"/>
  <c r="U54" i="18"/>
  <c r="V54" i="18"/>
  <c r="W54" i="18"/>
  <c r="R56" i="18"/>
  <c r="S56" i="18"/>
  <c r="T56" i="18"/>
  <c r="U56" i="18"/>
  <c r="V56" i="18"/>
  <c r="W56" i="18"/>
  <c r="R58" i="18"/>
  <c r="S58" i="18"/>
  <c r="T58" i="18"/>
  <c r="U58" i="18"/>
  <c r="V58" i="18"/>
  <c r="W58" i="18"/>
  <c r="R60" i="18"/>
  <c r="S60" i="18"/>
  <c r="T60" i="18"/>
  <c r="U60" i="18"/>
  <c r="V60" i="18"/>
  <c r="W60" i="18"/>
  <c r="R62" i="18"/>
  <c r="S62" i="18"/>
  <c r="T62" i="18"/>
  <c r="U62" i="18"/>
  <c r="V62" i="18"/>
  <c r="W62" i="18"/>
  <c r="R64" i="18"/>
  <c r="S64" i="18"/>
  <c r="T64" i="18"/>
  <c r="U64" i="18"/>
  <c r="V64" i="18"/>
  <c r="W64" i="18"/>
  <c r="T218" i="18" l="1"/>
  <c r="R88" i="18"/>
  <c r="R211" i="18" s="1"/>
  <c r="T88" i="18"/>
  <c r="T211" i="18" s="1"/>
  <c r="S88" i="18"/>
  <c r="S211" i="18" s="1"/>
  <c r="V88" i="18"/>
  <c r="V211" i="18" s="1"/>
  <c r="W88" i="18"/>
  <c r="W211" i="18" s="1"/>
  <c r="W218" i="18"/>
  <c r="V145" i="18"/>
  <c r="V146" i="18" s="1"/>
  <c r="V147" i="18"/>
  <c r="V218" i="18"/>
  <c r="T145" i="18"/>
  <c r="T146" i="18" s="1"/>
  <c r="T147" i="18"/>
  <c r="R147" i="18"/>
  <c r="W220" i="18"/>
  <c r="W221" i="18" s="1"/>
  <c r="W219" i="18"/>
  <c r="V219" i="18"/>
  <c r="V220" i="18"/>
  <c r="V221" i="18" s="1"/>
  <c r="U220" i="18"/>
  <c r="U221" i="18" s="1"/>
  <c r="U219" i="18"/>
  <c r="U218" i="18"/>
  <c r="T220" i="18"/>
  <c r="T221" i="18" s="1"/>
  <c r="T219" i="18"/>
  <c r="S220" i="18"/>
  <c r="S221" i="18" s="1"/>
  <c r="S219" i="18"/>
  <c r="S218" i="18"/>
  <c r="R220" i="18"/>
  <c r="R221" i="18" s="1"/>
  <c r="R219" i="18"/>
  <c r="R218" i="18"/>
  <c r="U145" i="18"/>
  <c r="U146" i="18" s="1"/>
  <c r="U147" i="18"/>
  <c r="W147" i="18"/>
  <c r="S147" i="18"/>
  <c r="Z52" i="18"/>
  <c r="Z61" i="18"/>
  <c r="Z63" i="18"/>
  <c r="W255" i="18" l="1"/>
  <c r="W254" i="18"/>
  <c r="W253" i="18"/>
  <c r="G106" i="18"/>
  <c r="X106" i="18" s="1"/>
  <c r="H106" i="18"/>
  <c r="I106" i="18"/>
  <c r="J106" i="18"/>
  <c r="K106" i="18"/>
  <c r="L106" i="18"/>
  <c r="M106" i="18"/>
  <c r="N106" i="18"/>
  <c r="O106" i="18"/>
  <c r="P106" i="18"/>
  <c r="Q106" i="18"/>
  <c r="U174" i="18"/>
  <c r="AK110" i="18"/>
  <c r="AK111" i="18"/>
  <c r="AK112" i="18"/>
  <c r="AK113" i="18"/>
  <c r="AK114" i="18"/>
  <c r="AK116" i="18"/>
  <c r="AK117" i="18"/>
  <c r="AK118" i="18"/>
  <c r="AK119" i="18"/>
  <c r="AK120" i="18"/>
  <c r="AK122" i="18"/>
  <c r="AK123" i="18"/>
  <c r="AK124" i="18"/>
  <c r="AK125" i="18"/>
  <c r="AK126" i="18"/>
  <c r="AK128" i="18"/>
  <c r="AK129" i="18"/>
  <c r="AK130" i="18"/>
  <c r="AK131" i="18"/>
  <c r="AK132" i="18"/>
  <c r="AK133" i="18"/>
  <c r="AK134" i="18"/>
  <c r="AK135" i="18"/>
  <c r="AK136" i="18"/>
  <c r="AK138" i="18"/>
  <c r="AK139" i="18"/>
  <c r="AK140" i="18"/>
  <c r="AK141" i="18"/>
  <c r="AK143" i="18"/>
  <c r="AK144" i="18"/>
  <c r="AK145" i="18"/>
  <c r="AK146" i="18"/>
  <c r="AK147" i="18"/>
  <c r="AK149" i="18"/>
  <c r="AK150" i="18"/>
  <c r="AK151" i="18"/>
  <c r="AK153" i="18"/>
  <c r="AK154" i="18"/>
  <c r="AK155" i="18"/>
  <c r="AK158" i="18"/>
  <c r="AK159" i="18"/>
  <c r="AK160" i="18"/>
  <c r="AK161" i="18"/>
  <c r="AK163" i="18"/>
  <c r="AK164" i="18"/>
  <c r="AK166" i="18"/>
  <c r="AK167" i="18"/>
  <c r="AK168" i="18"/>
  <c r="AK170" i="18"/>
  <c r="AK171" i="18"/>
  <c r="AK109" i="18"/>
  <c r="AK106" i="18"/>
  <c r="AK90" i="18"/>
  <c r="X73" i="18"/>
  <c r="X81" i="18"/>
  <c r="X85" i="18"/>
  <c r="X91" i="18"/>
  <c r="X93" i="18"/>
  <c r="X95" i="18"/>
  <c r="X101" i="18"/>
  <c r="X105" i="18"/>
  <c r="X107" i="18"/>
  <c r="X108" i="18"/>
  <c r="X115" i="18"/>
  <c r="X121" i="18"/>
  <c r="X127" i="18"/>
  <c r="X137" i="18"/>
  <c r="X142" i="18"/>
  <c r="X148" i="18"/>
  <c r="X152" i="18"/>
  <c r="X156" i="18"/>
  <c r="X157" i="18"/>
  <c r="X162" i="18"/>
  <c r="X165" i="18"/>
  <c r="X169" i="18"/>
  <c r="X13" i="18"/>
  <c r="X14" i="18"/>
  <c r="X15" i="18"/>
  <c r="X16" i="18"/>
  <c r="X18" i="18"/>
  <c r="X20" i="18"/>
  <c r="X21" i="18"/>
  <c r="X22" i="18"/>
  <c r="X23" i="18"/>
  <c r="X25" i="18"/>
  <c r="X27" i="18"/>
  <c r="X29" i="18"/>
  <c r="X31" i="18"/>
  <c r="X32" i="18"/>
  <c r="X33" i="18"/>
  <c r="X34" i="18"/>
  <c r="X47" i="18"/>
  <c r="X52" i="18"/>
  <c r="X53" i="18"/>
  <c r="X55" i="18"/>
  <c r="X57" i="18"/>
  <c r="X59" i="18"/>
  <c r="X61" i="18"/>
  <c r="X63" i="18"/>
  <c r="X65" i="18"/>
  <c r="X66" i="18"/>
  <c r="X67" i="18"/>
  <c r="X12" i="18"/>
  <c r="X10" i="18"/>
  <c r="X9" i="18"/>
  <c r="X7" i="18"/>
  <c r="X6" i="18"/>
  <c r="C1" i="18"/>
  <c r="T174" i="18" l="1"/>
  <c r="V224" i="18" s="1"/>
  <c r="U229" i="18"/>
  <c r="W229" i="18"/>
  <c r="R229" i="18"/>
  <c r="V229" i="18"/>
  <c r="S229" i="18"/>
  <c r="T229" i="18"/>
  <c r="AK47" i="18"/>
  <c r="Y47" i="18"/>
  <c r="Q48" i="18"/>
  <c r="P48" i="18"/>
  <c r="O48" i="18"/>
  <c r="N48" i="18"/>
  <c r="M48" i="18"/>
  <c r="L48" i="18"/>
  <c r="K48" i="18"/>
  <c r="J48" i="18"/>
  <c r="I48" i="18"/>
  <c r="H48" i="18"/>
  <c r="G48" i="18"/>
  <c r="AK57" i="18"/>
  <c r="Y57" i="18"/>
  <c r="Q58" i="18"/>
  <c r="P58" i="18"/>
  <c r="O58" i="18"/>
  <c r="N58" i="18"/>
  <c r="M58" i="18"/>
  <c r="L58" i="18"/>
  <c r="K58" i="18"/>
  <c r="J58" i="18"/>
  <c r="I58" i="18"/>
  <c r="H58" i="18"/>
  <c r="G58" i="18"/>
  <c r="V255" i="18"/>
  <c r="X255" i="18" s="1"/>
  <c r="V254" i="18"/>
  <c r="X254" i="18" s="1"/>
  <c r="V253" i="18"/>
  <c r="X253" i="18" s="1"/>
  <c r="X205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Z57" i="18" l="1"/>
  <c r="AA57" i="18" s="1"/>
  <c r="AB57" i="18" s="1"/>
  <c r="AC57" i="18" s="1"/>
  <c r="AD57" i="18" s="1"/>
  <c r="AE57" i="18" s="1"/>
  <c r="AF57" i="18" s="1"/>
  <c r="AG57" i="18" s="1"/>
  <c r="AH57" i="18" s="1"/>
  <c r="AI57" i="18" s="1"/>
  <c r="Z47" i="18"/>
  <c r="AA47" i="18" s="1"/>
  <c r="AB47" i="18" s="1"/>
  <c r="AC47" i="18" s="1"/>
  <c r="AD47" i="18" s="1"/>
  <c r="AE47" i="18" s="1"/>
  <c r="AF47" i="18" s="1"/>
  <c r="AG47" i="18" s="1"/>
  <c r="AH47" i="18" s="1"/>
  <c r="AI47" i="18" s="1"/>
  <c r="W224" i="18"/>
  <c r="W223" i="18" s="1"/>
  <c r="R224" i="18"/>
  <c r="U224" i="18"/>
  <c r="U223" i="18" s="1"/>
  <c r="T249" i="18"/>
  <c r="S224" i="18"/>
  <c r="S225" i="18" s="1"/>
  <c r="S226" i="18" s="1"/>
  <c r="T224" i="18"/>
  <c r="T223" i="18" s="1"/>
  <c r="T228" i="18"/>
  <c r="T230" i="18"/>
  <c r="T231" i="18" s="1"/>
  <c r="W228" i="18"/>
  <c r="W230" i="18"/>
  <c r="W231" i="18" s="1"/>
  <c r="V228" i="18"/>
  <c r="V230" i="18"/>
  <c r="V231" i="18" s="1"/>
  <c r="R228" i="18"/>
  <c r="R230" i="18"/>
  <c r="R231" i="18" s="1"/>
  <c r="S228" i="18"/>
  <c r="S230" i="18"/>
  <c r="S231" i="18" s="1"/>
  <c r="U228" i="18"/>
  <c r="U230" i="18"/>
  <c r="U231" i="18" s="1"/>
  <c r="V223" i="18"/>
  <c r="V225" i="18"/>
  <c r="V226" i="18" s="1"/>
  <c r="R223" i="18"/>
  <c r="R225" i="18"/>
  <c r="R226" i="18" s="1"/>
  <c r="S223" i="18"/>
  <c r="T250" i="18"/>
  <c r="G215" i="18"/>
  <c r="X215" i="18" s="1"/>
  <c r="G216" i="18"/>
  <c r="G62" i="18"/>
  <c r="G64" i="18"/>
  <c r="G70" i="18"/>
  <c r="G71" i="18"/>
  <c r="X71" i="18" s="1"/>
  <c r="G72" i="18"/>
  <c r="G74" i="18"/>
  <c r="G75" i="18"/>
  <c r="G76" i="18"/>
  <c r="X76" i="18" s="1"/>
  <c r="G77" i="18"/>
  <c r="X77" i="18" s="1"/>
  <c r="G78" i="18"/>
  <c r="X78" i="18" s="1"/>
  <c r="G79" i="18"/>
  <c r="G80" i="18"/>
  <c r="X80" i="18" s="1"/>
  <c r="G82" i="18"/>
  <c r="X82" i="18" s="1"/>
  <c r="G83" i="18"/>
  <c r="X83" i="18" s="1"/>
  <c r="G84" i="18"/>
  <c r="G86" i="18"/>
  <c r="X86" i="18" s="1"/>
  <c r="G87" i="18"/>
  <c r="X87" i="18" s="1"/>
  <c r="G89" i="18"/>
  <c r="X89" i="18" s="1"/>
  <c r="G90" i="18"/>
  <c r="G92" i="18"/>
  <c r="G94" i="18"/>
  <c r="G97" i="18"/>
  <c r="X97" i="18" s="1"/>
  <c r="G98" i="18"/>
  <c r="X98" i="18" s="1"/>
  <c r="G99" i="18"/>
  <c r="X99" i="18" s="1"/>
  <c r="G100" i="18"/>
  <c r="X100" i="18" s="1"/>
  <c r="G102" i="18"/>
  <c r="G103" i="18"/>
  <c r="X103" i="18" s="1"/>
  <c r="G104" i="18"/>
  <c r="X104" i="18" s="1"/>
  <c r="G109" i="18"/>
  <c r="X109" i="18" s="1"/>
  <c r="G110" i="18"/>
  <c r="X110" i="18" s="1"/>
  <c r="G111" i="18"/>
  <c r="X111" i="18" s="1"/>
  <c r="G112" i="18"/>
  <c r="X112" i="18" s="1"/>
  <c r="G113" i="18"/>
  <c r="X113" i="18" s="1"/>
  <c r="G116" i="18"/>
  <c r="G117" i="18"/>
  <c r="G118" i="18"/>
  <c r="G119" i="18"/>
  <c r="G120" i="18"/>
  <c r="G138" i="18"/>
  <c r="X138" i="18" s="1"/>
  <c r="G139" i="18"/>
  <c r="X139" i="18" s="1"/>
  <c r="G140" i="18"/>
  <c r="X140" i="18" s="1"/>
  <c r="G141" i="18"/>
  <c r="X141" i="18" s="1"/>
  <c r="G149" i="18"/>
  <c r="X149" i="18" s="1"/>
  <c r="G150" i="18"/>
  <c r="X150" i="18" s="1"/>
  <c r="G151" i="18"/>
  <c r="X151" i="18" s="1"/>
  <c r="G153" i="18"/>
  <c r="X153" i="18" s="1"/>
  <c r="G154" i="18"/>
  <c r="X154" i="18" s="1"/>
  <c r="G155" i="18"/>
  <c r="X155" i="18" s="1"/>
  <c r="G158" i="18"/>
  <c r="X158" i="18" s="1"/>
  <c r="G159" i="18"/>
  <c r="X159" i="18" s="1"/>
  <c r="G160" i="18"/>
  <c r="X160" i="18" s="1"/>
  <c r="G161" i="18"/>
  <c r="X161" i="18" s="1"/>
  <c r="G163" i="18"/>
  <c r="X163" i="18" s="1"/>
  <c r="G164" i="18"/>
  <c r="X164" i="18" s="1"/>
  <c r="G166" i="18"/>
  <c r="G170" i="18"/>
  <c r="X170" i="18" s="1"/>
  <c r="G171" i="18"/>
  <c r="X171" i="18" s="1"/>
  <c r="AK236" i="18"/>
  <c r="AK235" i="18"/>
  <c r="AK234" i="18"/>
  <c r="AK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W225" i="18" l="1"/>
  <c r="W226" i="18" s="1"/>
  <c r="AJ47" i="18"/>
  <c r="AL47" i="18"/>
  <c r="AJ57" i="18"/>
  <c r="AL57" i="18"/>
  <c r="U225" i="18"/>
  <c r="U226" i="18" s="1"/>
  <c r="T225" i="18"/>
  <c r="T226" i="18" s="1"/>
  <c r="X216" i="18"/>
  <c r="G238" i="18"/>
  <c r="G126" i="18"/>
  <c r="X126" i="18" s="1"/>
  <c r="X120" i="18"/>
  <c r="G124" i="18"/>
  <c r="X124" i="18" s="1"/>
  <c r="X118" i="18"/>
  <c r="G122" i="18"/>
  <c r="X122" i="18" s="1"/>
  <c r="X116" i="18"/>
  <c r="G168" i="18"/>
  <c r="X168" i="18" s="1"/>
  <c r="X102" i="18"/>
  <c r="G143" i="18"/>
  <c r="X92" i="18"/>
  <c r="G208" i="18"/>
  <c r="X208" i="18" s="1"/>
  <c r="X74" i="18"/>
  <c r="G167" i="18"/>
  <c r="X167" i="18" s="1"/>
  <c r="X166" i="18"/>
  <c r="G125" i="18"/>
  <c r="X125" i="18" s="1"/>
  <c r="X119" i="18"/>
  <c r="G123" i="18"/>
  <c r="X123" i="18" s="1"/>
  <c r="X117" i="18"/>
  <c r="G96" i="18"/>
  <c r="X96" i="18" s="1"/>
  <c r="X94" i="18"/>
  <c r="G212" i="18"/>
  <c r="X212" i="18" s="1"/>
  <c r="X90" i="18"/>
  <c r="G213" i="18"/>
  <c r="X213" i="18" s="1"/>
  <c r="X84" i="18"/>
  <c r="G210" i="18"/>
  <c r="X210" i="18" s="1"/>
  <c r="X79" i="18"/>
  <c r="G209" i="18"/>
  <c r="X209" i="18" s="1"/>
  <c r="X75" i="18"/>
  <c r="G114" i="18"/>
  <c r="X114" i="18" s="1"/>
  <c r="X72" i="18"/>
  <c r="G206" i="18"/>
  <c r="X206" i="18" s="1"/>
  <c r="X70" i="18"/>
  <c r="G207" i="18"/>
  <c r="G219" i="18" s="1"/>
  <c r="X219" i="18" s="1"/>
  <c r="G88" i="18"/>
  <c r="X88" i="18" s="1"/>
  <c r="G218" i="18"/>
  <c r="X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L41" i="20" l="1"/>
  <c r="M28" i="20" s="1"/>
  <c r="Q21" i="20"/>
  <c r="R21" i="20" s="1"/>
  <c r="R22" i="20" s="1"/>
  <c r="G144" i="18"/>
  <c r="X143" i="18"/>
  <c r="G211" i="18"/>
  <c r="X211" i="18" s="1"/>
  <c r="G220" i="18"/>
  <c r="X207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X144" i="18"/>
  <c r="G147" i="18"/>
  <c r="X147" i="18" s="1"/>
  <c r="G221" i="18"/>
  <c r="X221" i="18" s="1"/>
  <c r="X220" i="18"/>
  <c r="B95" i="20"/>
  <c r="F94" i="20"/>
  <c r="I95" i="20"/>
  <c r="M94" i="20"/>
  <c r="M50" i="20"/>
  <c r="N50" i="20" s="1"/>
  <c r="H70" i="20"/>
  <c r="G51" i="20"/>
  <c r="C52" i="20" s="1"/>
  <c r="F51" i="20"/>
  <c r="G93" i="20"/>
  <c r="C94" i="20" s="1"/>
  <c r="N93" i="20"/>
  <c r="J94" i="20" s="1"/>
  <c r="N94" i="20" l="1"/>
  <c r="J95" i="20" s="1"/>
  <c r="G146" i="18"/>
  <c r="X146" i="18" s="1"/>
  <c r="X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I88" i="18" s="1"/>
  <c r="I211" i="18" s="1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I94" i="18"/>
  <c r="I96" i="18" s="1"/>
  <c r="H96" i="18"/>
  <c r="H97" i="18"/>
  <c r="I97" i="18"/>
  <c r="H98" i="18"/>
  <c r="I98" i="18"/>
  <c r="H99" i="18"/>
  <c r="I99" i="18"/>
  <c r="H100" i="18"/>
  <c r="I100" i="18"/>
  <c r="H102" i="18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H118" i="18"/>
  <c r="I118" i="18"/>
  <c r="I124" i="18" s="1"/>
  <c r="H119" i="18"/>
  <c r="H125" i="18" s="1"/>
  <c r="I119" i="18"/>
  <c r="H120" i="18"/>
  <c r="H126" i="18" s="1"/>
  <c r="I120" i="18"/>
  <c r="I126" i="18" s="1"/>
  <c r="I123" i="18"/>
  <c r="H124" i="18"/>
  <c r="I125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68" i="18"/>
  <c r="H170" i="18"/>
  <c r="I170" i="18"/>
  <c r="H171" i="18"/>
  <c r="I171" i="18"/>
  <c r="J49" i="18"/>
  <c r="I49" i="18" s="1"/>
  <c r="J45" i="18"/>
  <c r="I45" i="18" s="1"/>
  <c r="H45" i="18" s="1"/>
  <c r="G45" i="18" s="1"/>
  <c r="X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X38" i="18" s="1"/>
  <c r="J36" i="18"/>
  <c r="I36" i="18" s="1"/>
  <c r="H88" i="18" l="1"/>
  <c r="H211" i="18" s="1"/>
  <c r="G46" i="18"/>
  <c r="G39" i="18"/>
  <c r="I147" i="18"/>
  <c r="H145" i="18"/>
  <c r="H146" i="18" s="1"/>
  <c r="H147" i="18"/>
  <c r="G40" i="18"/>
  <c r="X40" i="18" s="1"/>
  <c r="G42" i="18"/>
  <c r="X42" i="18" s="1"/>
  <c r="G41" i="18"/>
  <c r="X41" i="18" s="1"/>
  <c r="H43" i="18"/>
  <c r="G43" i="18" s="1"/>
  <c r="X43" i="18" s="1"/>
  <c r="I129" i="18"/>
  <c r="I130" i="18"/>
  <c r="I131" i="18"/>
  <c r="I132" i="18"/>
  <c r="I135" i="18"/>
  <c r="H49" i="18"/>
  <c r="G49" i="18" s="1"/>
  <c r="X49" i="18" s="1"/>
  <c r="I133" i="18"/>
  <c r="I39" i="18"/>
  <c r="H39" i="18"/>
  <c r="H36" i="18"/>
  <c r="G36" i="18" s="1"/>
  <c r="X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K49" i="18"/>
  <c r="Y49" i="18"/>
  <c r="Z49" i="18" s="1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AA49" i="18" l="1"/>
  <c r="AB49" i="18" s="1"/>
  <c r="AC49" i="18" s="1"/>
  <c r="AD49" i="18" s="1"/>
  <c r="AE49" i="18" s="1"/>
  <c r="AF49" i="18" s="1"/>
  <c r="AG49" i="18" s="1"/>
  <c r="AH49" i="18" s="1"/>
  <c r="AI49" i="18" s="1"/>
  <c r="G133" i="18"/>
  <c r="X133" i="18" s="1"/>
  <c r="G50" i="18"/>
  <c r="G129" i="18"/>
  <c r="X129" i="18" s="1"/>
  <c r="G131" i="18"/>
  <c r="X131" i="18" s="1"/>
  <c r="G135" i="18"/>
  <c r="X135" i="18" s="1"/>
  <c r="G44" i="18"/>
  <c r="G130" i="18"/>
  <c r="X130" i="18" s="1"/>
  <c r="G132" i="18"/>
  <c r="X132" i="18" s="1"/>
  <c r="G37" i="18"/>
  <c r="G128" i="18"/>
  <c r="X128" i="18" s="1"/>
  <c r="G136" i="18"/>
  <c r="X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Y51" i="18"/>
  <c r="Z51" i="18" s="1"/>
  <c r="J51" i="18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L49" i="18" l="1"/>
  <c r="AJ49" i="18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K51" i="18"/>
  <c r="AK45" i="18"/>
  <c r="AK43" i="18"/>
  <c r="AK42" i="18"/>
  <c r="AK41" i="18"/>
  <c r="AK40" i="18"/>
  <c r="AK38" i="18"/>
  <c r="AK36" i="18"/>
  <c r="Y40" i="18"/>
  <c r="Z40" i="18" s="1"/>
  <c r="AA51" i="18"/>
  <c r="AB51" i="18" s="1"/>
  <c r="AC51" i="18" s="1"/>
  <c r="AD51" i="18" s="1"/>
  <c r="AE51" i="18" s="1"/>
  <c r="AF51" i="18" s="1"/>
  <c r="AG51" i="18" s="1"/>
  <c r="AH51" i="18" s="1"/>
  <c r="AI51" i="18" s="1"/>
  <c r="Y45" i="18"/>
  <c r="Z45" i="18" s="1"/>
  <c r="AL51" i="18" l="1"/>
  <c r="AA45" i="18"/>
  <c r="AB45" i="18" s="1"/>
  <c r="AC45" i="18" s="1"/>
  <c r="AD45" i="18" s="1"/>
  <c r="AE45" i="18" s="1"/>
  <c r="AF45" i="18" s="1"/>
  <c r="AG45" i="18" s="1"/>
  <c r="AH45" i="18" s="1"/>
  <c r="AI45" i="18" s="1"/>
  <c r="AA40" i="18"/>
  <c r="AB40" i="18" s="1"/>
  <c r="AC40" i="18" s="1"/>
  <c r="AD40" i="18" s="1"/>
  <c r="AE40" i="18" s="1"/>
  <c r="AF40" i="18" s="1"/>
  <c r="AG40" i="18" s="1"/>
  <c r="AH40" i="18" s="1"/>
  <c r="AI40" i="18" s="1"/>
  <c r="H51" i="18"/>
  <c r="G51" i="18" s="1"/>
  <c r="X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Y43" i="18"/>
  <c r="Z43" i="18" s="1"/>
  <c r="Y42" i="18"/>
  <c r="Z42" i="18" s="1"/>
  <c r="Y41" i="18"/>
  <c r="Z41" i="18" s="1"/>
  <c r="Y38" i="18"/>
  <c r="Z38" i="18" s="1"/>
  <c r="Y36" i="18"/>
  <c r="Z36" i="18" s="1"/>
  <c r="AJ51" i="18" l="1"/>
  <c r="AL40" i="18"/>
  <c r="AJ40" i="18"/>
  <c r="AL45" i="18"/>
  <c r="AJ45" i="18"/>
  <c r="AA42" i="18"/>
  <c r="AB42" i="18" s="1"/>
  <c r="AC42" i="18" s="1"/>
  <c r="AD42" i="18" s="1"/>
  <c r="AE42" i="18" s="1"/>
  <c r="AF42" i="18" s="1"/>
  <c r="AG42" i="18" s="1"/>
  <c r="AH42" i="18" s="1"/>
  <c r="AI42" i="18" s="1"/>
  <c r="G134" i="18"/>
  <c r="X134" i="18" s="1"/>
  <c r="AA41" i="18"/>
  <c r="AB41" i="18" s="1"/>
  <c r="AC41" i="18" s="1"/>
  <c r="AD41" i="18" s="1"/>
  <c r="AE41" i="18" s="1"/>
  <c r="AF41" i="18" s="1"/>
  <c r="AG41" i="18" s="1"/>
  <c r="AH41" i="18" s="1"/>
  <c r="AI41" i="18" s="1"/>
  <c r="Z130" i="18"/>
  <c r="H134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AA38" i="18"/>
  <c r="Z131" i="18"/>
  <c r="AA36" i="18"/>
  <c r="B219" i="18"/>
  <c r="AK231" i="18"/>
  <c r="AK228" i="18"/>
  <c r="AK230" i="18"/>
  <c r="AK229" i="18"/>
  <c r="AK226" i="18"/>
  <c r="AK225" i="18"/>
  <c r="AK224" i="18"/>
  <c r="AK223" i="18"/>
  <c r="AK218" i="18"/>
  <c r="AK221" i="18"/>
  <c r="AK220" i="18"/>
  <c r="AK219" i="18"/>
  <c r="AK216" i="18"/>
  <c r="AK215" i="18"/>
  <c r="AK212" i="18"/>
  <c r="AK211" i="18"/>
  <c r="AK213" i="18"/>
  <c r="AK210" i="18"/>
  <c r="AK209" i="18"/>
  <c r="AK208" i="18"/>
  <c r="AK207" i="18"/>
  <c r="AK206" i="18"/>
  <c r="AK205" i="18"/>
  <c r="AL228" i="18"/>
  <c r="Z132" i="18" l="1"/>
  <c r="AA43" i="18"/>
  <c r="AB43" i="18" s="1"/>
  <c r="AC43" i="18" s="1"/>
  <c r="AD43" i="18" s="1"/>
  <c r="AE43" i="18" s="1"/>
  <c r="AF43" i="18" s="1"/>
  <c r="AG43" i="18" s="1"/>
  <c r="AH43" i="18" s="1"/>
  <c r="AI43" i="18" s="1"/>
  <c r="AL43" i="18" s="1"/>
  <c r="AL42" i="18"/>
  <c r="AJ42" i="18"/>
  <c r="AL41" i="18"/>
  <c r="AJ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B38" i="18"/>
  <c r="AB36" i="18"/>
  <c r="AL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A130" i="18" l="1"/>
  <c r="AA131" i="18"/>
  <c r="AJ43" i="18"/>
  <c r="AA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C38" i="18"/>
  <c r="AB131" i="18"/>
  <c r="AC36" i="18"/>
  <c r="AB132" i="18"/>
  <c r="AB130" i="18"/>
  <c r="Q64" i="18"/>
  <c r="P64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D38" i="18"/>
  <c r="AC131" i="18"/>
  <c r="AD36" i="18"/>
  <c r="AC132" i="18"/>
  <c r="AC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E38" i="18"/>
  <c r="AD131" i="18"/>
  <c r="AE36" i="18"/>
  <c r="AD130" i="18"/>
  <c r="AD132" i="18"/>
  <c r="G224" i="18"/>
  <c r="X224" i="18" s="1"/>
  <c r="G229" i="18" l="1"/>
  <c r="X229" i="18" s="1"/>
  <c r="G223" i="18"/>
  <c r="X223" i="18" s="1"/>
  <c r="G225" i="18"/>
  <c r="Z229" i="18"/>
  <c r="Z230" i="18" s="1"/>
  <c r="Z231" i="18" s="1"/>
  <c r="H229" i="18"/>
  <c r="I229" i="18"/>
  <c r="Z224" i="18"/>
  <c r="Z225" i="18" s="1"/>
  <c r="Z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F38" i="18"/>
  <c r="AE131" i="18"/>
  <c r="AF36" i="18"/>
  <c r="AE130" i="18"/>
  <c r="AE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K75" i="18"/>
  <c r="AK74" i="18"/>
  <c r="AK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X226" i="18" s="1"/>
  <c r="X225" i="18"/>
  <c r="Z228" i="18"/>
  <c r="G228" i="18"/>
  <c r="X228" i="18" s="1"/>
  <c r="G230" i="18"/>
  <c r="Z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G38" i="18"/>
  <c r="AF131" i="18"/>
  <c r="AG36" i="18"/>
  <c r="AF132" i="18"/>
  <c r="AF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X231" i="18" s="1"/>
  <c r="X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H38" i="18"/>
  <c r="AG131" i="18"/>
  <c r="AH36" i="18"/>
  <c r="AG132" i="18"/>
  <c r="AG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I38" i="18"/>
  <c r="AH131" i="18"/>
  <c r="AI36" i="18"/>
  <c r="AH130" i="18"/>
  <c r="AH132" i="18"/>
  <c r="I266" i="18"/>
  <c r="I263" i="18"/>
  <c r="I264" i="18"/>
  <c r="I265" i="18"/>
  <c r="AL36" i="18" l="1"/>
  <c r="AJ36" i="18"/>
  <c r="AL38" i="18"/>
  <c r="AJ38" i="18"/>
  <c r="B113" i="20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I131" i="18"/>
  <c r="AI130" i="18"/>
  <c r="AI132" i="18"/>
  <c r="U255" i="18"/>
  <c r="U254" i="18"/>
  <c r="U253" i="18"/>
  <c r="AJ132" i="18" l="1"/>
  <c r="AL132" i="18"/>
  <c r="AJ131" i="18"/>
  <c r="AL131" i="18"/>
  <c r="AJ130" i="18"/>
  <c r="AL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K55" i="18"/>
  <c r="Y55" i="18"/>
  <c r="Z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A55" i="18"/>
  <c r="W250" i="18"/>
  <c r="W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B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K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C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K14" i="18"/>
  <c r="Y14" i="18"/>
  <c r="Z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D55" i="18"/>
  <c r="AA14" i="18"/>
  <c r="AB14" i="18" s="1"/>
  <c r="AC14" i="18" s="1"/>
  <c r="AD14" i="18" s="1"/>
  <c r="AE14" i="18" s="1"/>
  <c r="AF14" i="18" s="1"/>
  <c r="AG14" i="18" s="1"/>
  <c r="AH14" i="18" s="1"/>
  <c r="AI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K32" i="18"/>
  <c r="Y32" i="18"/>
  <c r="Z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L14" i="18" l="1"/>
  <c r="AJ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E55" i="18"/>
  <c r="AA32" i="18"/>
  <c r="AB32" i="18" s="1"/>
  <c r="AC32" i="18" s="1"/>
  <c r="AD32" i="18" s="1"/>
  <c r="AE32" i="18" s="1"/>
  <c r="AF32" i="18" s="1"/>
  <c r="AG32" i="18" s="1"/>
  <c r="AH32" i="18" s="1"/>
  <c r="AI32" i="18" s="1"/>
  <c r="O267" i="18"/>
  <c r="Y9" i="18"/>
  <c r="Z9" i="18" s="1"/>
  <c r="Y10" i="18"/>
  <c r="Z10" i="18" s="1"/>
  <c r="Y12" i="18"/>
  <c r="Z12" i="18" s="1"/>
  <c r="Y13" i="18"/>
  <c r="Z13" i="18" s="1"/>
  <c r="Y15" i="18"/>
  <c r="Z15" i="18" s="1"/>
  <c r="Y16" i="18"/>
  <c r="Z16" i="18" s="1"/>
  <c r="Y18" i="18"/>
  <c r="Z18" i="18" s="1"/>
  <c r="Y20" i="18"/>
  <c r="Z20" i="18" s="1"/>
  <c r="Y21" i="18"/>
  <c r="Z21" i="18" s="1"/>
  <c r="Y22" i="18"/>
  <c r="Z22" i="18" s="1"/>
  <c r="Y23" i="18"/>
  <c r="Z23" i="18" s="1"/>
  <c r="Y25" i="18"/>
  <c r="Z25" i="18" s="1"/>
  <c r="Y27" i="18"/>
  <c r="Z27" i="18" s="1"/>
  <c r="Y29" i="18"/>
  <c r="Z29" i="18" s="1"/>
  <c r="Y31" i="18"/>
  <c r="Z31" i="18" s="1"/>
  <c r="Y33" i="18"/>
  <c r="Z33" i="18" s="1"/>
  <c r="Y34" i="18"/>
  <c r="Z34" i="18" s="1"/>
  <c r="Y53" i="18"/>
  <c r="Z53" i="18" s="1"/>
  <c r="Y59" i="18"/>
  <c r="Z59" i="18" s="1"/>
  <c r="Y7" i="18"/>
  <c r="Z7" i="18" s="1"/>
  <c r="Y6" i="18"/>
  <c r="Z6" i="18" s="1"/>
  <c r="AK9" i="18"/>
  <c r="AK10" i="18"/>
  <c r="AK12" i="18"/>
  <c r="AK13" i="18"/>
  <c r="AK15" i="18"/>
  <c r="AK16" i="18"/>
  <c r="AK18" i="18"/>
  <c r="AK20" i="18"/>
  <c r="AK21" i="18"/>
  <c r="AK22" i="18"/>
  <c r="AK23" i="18"/>
  <c r="AK25" i="18"/>
  <c r="AK27" i="18"/>
  <c r="AK29" i="18"/>
  <c r="AK31" i="18"/>
  <c r="AK33" i="18"/>
  <c r="AK34" i="18"/>
  <c r="AK53" i="18"/>
  <c r="AK59" i="18"/>
  <c r="AK61" i="18"/>
  <c r="AK63" i="18"/>
  <c r="AK70" i="18"/>
  <c r="AK71" i="18"/>
  <c r="AK76" i="18"/>
  <c r="AK78" i="18"/>
  <c r="AK79" i="18"/>
  <c r="AK80" i="18"/>
  <c r="AK82" i="18"/>
  <c r="AK83" i="18"/>
  <c r="AK84" i="18"/>
  <c r="AK86" i="18"/>
  <c r="AK87" i="18"/>
  <c r="AK88" i="18"/>
  <c r="AK89" i="18"/>
  <c r="AK92" i="18"/>
  <c r="AK94" i="18"/>
  <c r="AK96" i="18"/>
  <c r="AK97" i="18"/>
  <c r="AK98" i="18"/>
  <c r="AK99" i="18"/>
  <c r="AK100" i="18"/>
  <c r="AK102" i="18"/>
  <c r="AK103" i="18"/>
  <c r="AK104" i="18"/>
  <c r="AK7" i="18"/>
  <c r="AK6" i="18"/>
  <c r="S238" i="18" l="1"/>
  <c r="AL32" i="18"/>
  <c r="AJ32" i="18"/>
  <c r="Z133" i="18"/>
  <c r="J65" i="20"/>
  <c r="P64" i="20"/>
  <c r="F78" i="20"/>
  <c r="G78" i="20" s="1"/>
  <c r="Z128" i="18"/>
  <c r="AF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Z134" i="18" l="1"/>
  <c r="Z72" i="18"/>
  <c r="Z114" i="18" s="1"/>
  <c r="Z129" i="18"/>
  <c r="Z135" i="18"/>
  <c r="Z136" i="18"/>
  <c r="G81" i="20"/>
  <c r="G82" i="20" s="1"/>
  <c r="C79" i="20"/>
  <c r="M65" i="20"/>
  <c r="N65" i="20"/>
  <c r="J66" i="20" s="1"/>
  <c r="AG55" i="18"/>
  <c r="AA31" i="18"/>
  <c r="Z151" i="18"/>
  <c r="AA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H55" i="18"/>
  <c r="AB31" i="18"/>
  <c r="AB29" i="18"/>
  <c r="M67" i="20" l="1"/>
  <c r="N67" i="20"/>
  <c r="J68" i="20" s="1"/>
  <c r="AI55" i="18"/>
  <c r="AC31" i="18"/>
  <c r="AC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L55" i="18" l="1"/>
  <c r="AJ55" i="18"/>
  <c r="M68" i="20"/>
  <c r="N68" i="20" s="1"/>
  <c r="J69" i="20" s="1"/>
  <c r="AD31" i="18"/>
  <c r="Z92" i="18"/>
  <c r="AD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A63" i="18"/>
  <c r="M69" i="20" l="1"/>
  <c r="N69" i="20"/>
  <c r="J70" i="20" s="1"/>
  <c r="AE31" i="18"/>
  <c r="AB63" i="18"/>
  <c r="AE29" i="18"/>
  <c r="AA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F31" i="18"/>
  <c r="AC63" i="18"/>
  <c r="AB92" i="18"/>
  <c r="AF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Z117" i="18"/>
  <c r="Z123" i="18" s="1"/>
  <c r="J218" i="18" l="1"/>
  <c r="M71" i="20"/>
  <c r="N71" i="20" s="1"/>
  <c r="J72" i="20" s="1"/>
  <c r="AG31" i="18"/>
  <c r="AD63" i="18"/>
  <c r="AC92" i="18"/>
  <c r="AG29" i="18"/>
  <c r="AA53" i="18"/>
  <c r="M72" i="20" l="1"/>
  <c r="N72" i="20" s="1"/>
  <c r="J73" i="20" s="1"/>
  <c r="AA117" i="18"/>
  <c r="AA123" i="18" s="1"/>
  <c r="AH31" i="18"/>
  <c r="AE63" i="18"/>
  <c r="AD92" i="18"/>
  <c r="AH29" i="18"/>
  <c r="AB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A22" i="18"/>
  <c r="AB22" i="18" s="1"/>
  <c r="AC22" i="18" s="1"/>
  <c r="AD22" i="18" s="1"/>
  <c r="AE22" i="18" s="1"/>
  <c r="AF22" i="18" s="1"/>
  <c r="AG22" i="18" s="1"/>
  <c r="AH22" i="18" s="1"/>
  <c r="AI22" i="18" s="1"/>
  <c r="J94" i="18"/>
  <c r="J96" i="18" s="1"/>
  <c r="K94" i="18"/>
  <c r="K96" i="18" s="1"/>
  <c r="K98" i="18"/>
  <c r="K97" i="18"/>
  <c r="AL22" i="18" l="1"/>
  <c r="AJ22" i="18"/>
  <c r="M73" i="20"/>
  <c r="N73" i="20" s="1"/>
  <c r="J74" i="20" s="1"/>
  <c r="AB117" i="18"/>
  <c r="AB123" i="18" s="1"/>
  <c r="AI31" i="18"/>
  <c r="AF63" i="18"/>
  <c r="AE92" i="18"/>
  <c r="AA23" i="18"/>
  <c r="Z120" i="18"/>
  <c r="Z126" i="18" s="1"/>
  <c r="AI29" i="18"/>
  <c r="AC53" i="18"/>
  <c r="AA21" i="18"/>
  <c r="AL31" i="18" l="1"/>
  <c r="AJ31" i="18"/>
  <c r="AL29" i="18"/>
  <c r="AJ29" i="18"/>
  <c r="M74" i="20"/>
  <c r="N74" i="20" s="1"/>
  <c r="J75" i="20" s="1"/>
  <c r="AC117" i="18"/>
  <c r="AC123" i="18" s="1"/>
  <c r="AF92" i="18"/>
  <c r="AG63" i="18"/>
  <c r="AB23" i="18"/>
  <c r="AA120" i="18"/>
  <c r="AA126" i="18" s="1"/>
  <c r="AA20" i="18"/>
  <c r="Z94" i="18"/>
  <c r="AB21" i="18"/>
  <c r="AA9" i="18"/>
  <c r="AB9" i="18" s="1"/>
  <c r="AC9" i="18" s="1"/>
  <c r="AD9" i="18" s="1"/>
  <c r="AE9" i="18" s="1"/>
  <c r="AF9" i="18" s="1"/>
  <c r="AG9" i="18" s="1"/>
  <c r="AH9" i="18" s="1"/>
  <c r="AI9" i="18" s="1"/>
  <c r="Z113" i="18"/>
  <c r="AA33" i="18"/>
  <c r="AB33" i="18" s="1"/>
  <c r="AC33" i="18" s="1"/>
  <c r="AD33" i="18" s="1"/>
  <c r="AE33" i="18" s="1"/>
  <c r="AF33" i="18" s="1"/>
  <c r="AG33" i="18" s="1"/>
  <c r="AH33" i="18" s="1"/>
  <c r="AI33" i="18" s="1"/>
  <c r="AA34" i="18"/>
  <c r="AB34" i="18" s="1"/>
  <c r="AC34" i="18" s="1"/>
  <c r="AD34" i="18" s="1"/>
  <c r="AE34" i="18" s="1"/>
  <c r="AF34" i="18" s="1"/>
  <c r="AG34" i="18" s="1"/>
  <c r="AH34" i="18" s="1"/>
  <c r="AI34" i="18" s="1"/>
  <c r="AD53" i="18"/>
  <c r="AL9" i="18" l="1"/>
  <c r="AJ9" i="18"/>
  <c r="V174" i="18"/>
  <c r="AL34" i="18"/>
  <c r="AJ34" i="18"/>
  <c r="AL33" i="18"/>
  <c r="AJ33" i="18"/>
  <c r="M75" i="20"/>
  <c r="N75" i="20" s="1"/>
  <c r="J76" i="20" s="1"/>
  <c r="AD117" i="18"/>
  <c r="AD123" i="18" s="1"/>
  <c r="AG92" i="18"/>
  <c r="AH63" i="18"/>
  <c r="AA94" i="18"/>
  <c r="Z160" i="18"/>
  <c r="Z170" i="18"/>
  <c r="Z161" i="18"/>
  <c r="Z171" i="18"/>
  <c r="AC23" i="18"/>
  <c r="AB120" i="18"/>
  <c r="AB126" i="18" s="1"/>
  <c r="Z154" i="18"/>
  <c r="Z155" i="18"/>
  <c r="Z153" i="18"/>
  <c r="Z141" i="18"/>
  <c r="Z116" i="18"/>
  <c r="Z122" i="18" s="1"/>
  <c r="Z150" i="18"/>
  <c r="Z149" i="18"/>
  <c r="AA18" i="18"/>
  <c r="AB20" i="18"/>
  <c r="AA27" i="18"/>
  <c r="AE53" i="18"/>
  <c r="AA25" i="18"/>
  <c r="AA133" i="18" s="1"/>
  <c r="Z109" i="18"/>
  <c r="AC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A128" i="18"/>
  <c r="AA129" i="18"/>
  <c r="AE117" i="18"/>
  <c r="AE123" i="18" s="1"/>
  <c r="AA113" i="18"/>
  <c r="AA151" i="18"/>
  <c r="AI63" i="18"/>
  <c r="AH92" i="18"/>
  <c r="AA161" i="18"/>
  <c r="AA171" i="18"/>
  <c r="AA160" i="18"/>
  <c r="AA170" i="18"/>
  <c r="AD23" i="18"/>
  <c r="AC120" i="18"/>
  <c r="AC126" i="18" s="1"/>
  <c r="AA153" i="18"/>
  <c r="AA155" i="18"/>
  <c r="AA154" i="18"/>
  <c r="AA141" i="18"/>
  <c r="AA116" i="18"/>
  <c r="AA122" i="18" s="1"/>
  <c r="AA150" i="18"/>
  <c r="AA149" i="18"/>
  <c r="AB18" i="18"/>
  <c r="AC20" i="18"/>
  <c r="AB94" i="18"/>
  <c r="AB27" i="18"/>
  <c r="AB25" i="18"/>
  <c r="AA109" i="18"/>
  <c r="AF53" i="18"/>
  <c r="AD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L63" i="18" l="1"/>
  <c r="AJ63" i="18"/>
  <c r="M77" i="20"/>
  <c r="N77" i="20" s="1"/>
  <c r="J78" i="20" s="1"/>
  <c r="AB129" i="18"/>
  <c r="AB133" i="18"/>
  <c r="AB151" i="18"/>
  <c r="AB128" i="18"/>
  <c r="AF117" i="18"/>
  <c r="AF123" i="18" s="1"/>
  <c r="AI92" i="18"/>
  <c r="AL92" i="18" s="1"/>
  <c r="AB160" i="18"/>
  <c r="AB170" i="18"/>
  <c r="AB161" i="18"/>
  <c r="AB171" i="18"/>
  <c r="AB113" i="18"/>
  <c r="AE23" i="18"/>
  <c r="AD120" i="18"/>
  <c r="AD126" i="18" s="1"/>
  <c r="AB155" i="18"/>
  <c r="AB154" i="18"/>
  <c r="AB153" i="18"/>
  <c r="AB141" i="18"/>
  <c r="AB116" i="18"/>
  <c r="AB122" i="18" s="1"/>
  <c r="AB150" i="18"/>
  <c r="AB149" i="18"/>
  <c r="AC18" i="18"/>
  <c r="AD20" i="18"/>
  <c r="AC94" i="18"/>
  <c r="AC27" i="18"/>
  <c r="AC25" i="18"/>
  <c r="AC133" i="18" s="1"/>
  <c r="AB109" i="18"/>
  <c r="AG53" i="18"/>
  <c r="AE21" i="18"/>
  <c r="M78" i="20" l="1"/>
  <c r="N78" i="20" s="1"/>
  <c r="AC128" i="18"/>
  <c r="AC129" i="18"/>
  <c r="AG117" i="18"/>
  <c r="AG123" i="18" s="1"/>
  <c r="AC113" i="18"/>
  <c r="AC151" i="18"/>
  <c r="Z192" i="18"/>
  <c r="U242" i="18" s="1"/>
  <c r="AA192" i="18"/>
  <c r="T242" i="18" s="1"/>
  <c r="AJ92" i="18"/>
  <c r="AC161" i="18"/>
  <c r="AC171" i="18"/>
  <c r="AC160" i="18"/>
  <c r="AC170" i="18"/>
  <c r="AF23" i="18"/>
  <c r="AE120" i="18"/>
  <c r="AE126" i="18" s="1"/>
  <c r="AC141" i="18"/>
  <c r="AC155" i="18"/>
  <c r="AC154" i="18"/>
  <c r="AC153" i="18"/>
  <c r="AC116" i="18"/>
  <c r="AC122" i="18" s="1"/>
  <c r="AC150" i="18"/>
  <c r="AC149" i="18"/>
  <c r="AD18" i="18"/>
  <c r="AE20" i="18"/>
  <c r="AD94" i="18"/>
  <c r="AD27" i="18"/>
  <c r="AD25" i="18"/>
  <c r="AC109" i="18"/>
  <c r="AH53" i="18"/>
  <c r="AF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Z158" i="18"/>
  <c r="Z166" i="18"/>
  <c r="Z167" i="18" s="1"/>
  <c r="Z118" i="18"/>
  <c r="Z124" i="18" s="1"/>
  <c r="M218" i="18" l="1"/>
  <c r="X174" i="18"/>
  <c r="W249" i="18" s="1"/>
  <c r="W248" i="18" s="1"/>
  <c r="Q218" i="18"/>
  <c r="L218" i="18"/>
  <c r="K218" i="18"/>
  <c r="N81" i="20"/>
  <c r="N82" i="20" s="1"/>
  <c r="J79" i="20"/>
  <c r="AD129" i="18"/>
  <c r="AD133" i="18"/>
  <c r="AD151" i="18"/>
  <c r="AD128" i="18"/>
  <c r="Z215" i="18"/>
  <c r="AH117" i="18"/>
  <c r="AH123" i="18" s="1"/>
  <c r="Z138" i="18"/>
  <c r="Y192" i="18"/>
  <c r="AD160" i="18"/>
  <c r="AD170" i="18"/>
  <c r="AD113" i="18"/>
  <c r="AD161" i="18"/>
  <c r="AD171" i="18"/>
  <c r="AG23" i="18"/>
  <c r="AF120" i="18"/>
  <c r="AF126" i="18" s="1"/>
  <c r="Z111" i="18"/>
  <c r="Z112" i="18"/>
  <c r="Z164" i="18"/>
  <c r="Z163" i="18"/>
  <c r="Z119" i="18"/>
  <c r="Z125" i="18" s="1"/>
  <c r="Z159" i="18"/>
  <c r="K207" i="18"/>
  <c r="AD141" i="18"/>
  <c r="AD154" i="18"/>
  <c r="AD153" i="18"/>
  <c r="AD155" i="18"/>
  <c r="Z140" i="18"/>
  <c r="AD116" i="18"/>
  <c r="AD122" i="18" s="1"/>
  <c r="AD150" i="18"/>
  <c r="AD149" i="18"/>
  <c r="Z139" i="18"/>
  <c r="AE18" i="18"/>
  <c r="N207" i="18"/>
  <c r="M207" i="18"/>
  <c r="P207" i="18"/>
  <c r="L207" i="18"/>
  <c r="AF20" i="18"/>
  <c r="AE94" i="18"/>
  <c r="K88" i="18"/>
  <c r="K211" i="18" s="1"/>
  <c r="AE27" i="18"/>
  <c r="AA12" i="18"/>
  <c r="AA15" i="18"/>
  <c r="AA158" i="18" s="1"/>
  <c r="AA13" i="18"/>
  <c r="AA10" i="18"/>
  <c r="AA16" i="18"/>
  <c r="AA166" i="18" s="1"/>
  <c r="AA167" i="18" s="1"/>
  <c r="AA6" i="18"/>
  <c r="AA7" i="18"/>
  <c r="AE25" i="18"/>
  <c r="AE133" i="18" s="1"/>
  <c r="AD109" i="18"/>
  <c r="AA59" i="18"/>
  <c r="Z110" i="18"/>
  <c r="AI53" i="18"/>
  <c r="O88" i="18"/>
  <c r="O211" i="18" s="1"/>
  <c r="N88" i="18"/>
  <c r="N211" i="18" s="1"/>
  <c r="M88" i="18"/>
  <c r="M211" i="18" s="1"/>
  <c r="AG21" i="18"/>
  <c r="AA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T238" i="18" l="1"/>
  <c r="AA134" i="18"/>
  <c r="AL53" i="18"/>
  <c r="AJ53" i="18"/>
  <c r="M79" i="20"/>
  <c r="N79" i="20" s="1"/>
  <c r="J80" i="20" s="1"/>
  <c r="AA136" i="18"/>
  <c r="AA135" i="18"/>
  <c r="AE128" i="18"/>
  <c r="AE129" i="18"/>
  <c r="AA215" i="18"/>
  <c r="AA224" i="18"/>
  <c r="AA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E113" i="18"/>
  <c r="AE151" i="18"/>
  <c r="AA118" i="18"/>
  <c r="AA124" i="18" s="1"/>
  <c r="AA72" i="18"/>
  <c r="AA114" i="18" s="1"/>
  <c r="X250" i="18"/>
  <c r="Y250" i="18" s="1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A138" i="18"/>
  <c r="AE160" i="18"/>
  <c r="AE170" i="18"/>
  <c r="AE161" i="18"/>
  <c r="AE171" i="18"/>
  <c r="AI117" i="18"/>
  <c r="AL117" i="18" s="1"/>
  <c r="AH23" i="18"/>
  <c r="AG120" i="18"/>
  <c r="AG126" i="18" s="1"/>
  <c r="AA164" i="18"/>
  <c r="AA163" i="18"/>
  <c r="AA119" i="18"/>
  <c r="AA125" i="18" s="1"/>
  <c r="AA159" i="18"/>
  <c r="AA112" i="18"/>
  <c r="AE153" i="18"/>
  <c r="AE154" i="18"/>
  <c r="AE155" i="18"/>
  <c r="AE141" i="18"/>
  <c r="AE116" i="18"/>
  <c r="AE122" i="18" s="1"/>
  <c r="AE150" i="18"/>
  <c r="AE149" i="18"/>
  <c r="AA139" i="18"/>
  <c r="AA140" i="18"/>
  <c r="AF18" i="18"/>
  <c r="AG20" i="18"/>
  <c r="AF94" i="18"/>
  <c r="AF27" i="18"/>
  <c r="AB15" i="18"/>
  <c r="AB158" i="18" s="1"/>
  <c r="AB13" i="18"/>
  <c r="AB12" i="18"/>
  <c r="AB16" i="18"/>
  <c r="AB166" i="18" s="1"/>
  <c r="AB167" i="18" s="1"/>
  <c r="AB10" i="18"/>
  <c r="AB7" i="18"/>
  <c r="AB6" i="18"/>
  <c r="AF25" i="18"/>
  <c r="AF133" i="18" s="1"/>
  <c r="AE109" i="18"/>
  <c r="AB59" i="18"/>
  <c r="AA111" i="18"/>
  <c r="AA110" i="18"/>
  <c r="AH21" i="18"/>
  <c r="AB205" i="18"/>
  <c r="J211" i="18"/>
  <c r="Q211" i="18"/>
  <c r="U238" i="18" l="1"/>
  <c r="AB134" i="18"/>
  <c r="M80" i="20"/>
  <c r="N80" i="20" s="1"/>
  <c r="AB135" i="18"/>
  <c r="AB136" i="18"/>
  <c r="AF128" i="18"/>
  <c r="AF129" i="18"/>
  <c r="AA230" i="18"/>
  <c r="AA231" i="18" s="1"/>
  <c r="AA228" i="18"/>
  <c r="AA225" i="18"/>
  <c r="AA226" i="18" s="1"/>
  <c r="AA223" i="18"/>
  <c r="AB215" i="18"/>
  <c r="AB229" i="18"/>
  <c r="AB224" i="18"/>
  <c r="AF113" i="18"/>
  <c r="AF151" i="18"/>
  <c r="AB118" i="18"/>
  <c r="AB124" i="18" s="1"/>
  <c r="AB72" i="18"/>
  <c r="AB114" i="18" s="1"/>
  <c r="X251" i="18"/>
  <c r="Y251" i="18" s="1"/>
  <c r="Z251" i="18" s="1"/>
  <c r="AA251" i="18" s="1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J117" i="18"/>
  <c r="AI123" i="18"/>
  <c r="X249" i="18"/>
  <c r="Y249" i="18" s="1"/>
  <c r="Z249" i="18" s="1"/>
  <c r="AA249" i="18" s="1"/>
  <c r="AB249" i="18" s="1"/>
  <c r="AC249" i="18" s="1"/>
  <c r="AD249" i="18" s="1"/>
  <c r="AE249" i="18" s="1"/>
  <c r="AF249" i="18" s="1"/>
  <c r="AG249" i="18" s="1"/>
  <c r="AB138" i="18"/>
  <c r="AF160" i="18"/>
  <c r="AF170" i="18"/>
  <c r="AF161" i="18"/>
  <c r="AF171" i="18"/>
  <c r="AI23" i="18"/>
  <c r="AH120" i="18"/>
  <c r="AH126" i="18" s="1"/>
  <c r="AB119" i="18"/>
  <c r="AB125" i="18" s="1"/>
  <c r="AB159" i="18"/>
  <c r="AB164" i="18"/>
  <c r="AB163" i="18"/>
  <c r="AB112" i="18"/>
  <c r="AF155" i="18"/>
  <c r="AF154" i="18"/>
  <c r="AF153" i="18"/>
  <c r="AF141" i="18"/>
  <c r="AF116" i="18"/>
  <c r="AF122" i="18" s="1"/>
  <c r="AF150" i="18"/>
  <c r="AF149" i="18"/>
  <c r="AB139" i="18"/>
  <c r="AB140" i="18"/>
  <c r="AG18" i="18"/>
  <c r="AH20" i="18"/>
  <c r="AG94" i="18"/>
  <c r="AG27" i="18"/>
  <c r="AC13" i="18"/>
  <c r="AC12" i="18"/>
  <c r="AC15" i="18"/>
  <c r="AC158" i="18" s="1"/>
  <c r="AC10" i="18"/>
  <c r="AC16" i="18"/>
  <c r="AC166" i="18" s="1"/>
  <c r="AC167" i="18" s="1"/>
  <c r="AC6" i="18"/>
  <c r="AC7" i="18"/>
  <c r="AC59" i="18"/>
  <c r="AB111" i="18"/>
  <c r="AB110" i="18"/>
  <c r="AG25" i="18"/>
  <c r="AG133" i="18" s="1"/>
  <c r="AF109" i="18"/>
  <c r="AI21" i="18"/>
  <c r="AC205" i="18"/>
  <c r="V238" i="18" l="1"/>
  <c r="AC134" i="18"/>
  <c r="AL23" i="18"/>
  <c r="AJ23" i="18"/>
  <c r="AJ123" i="18"/>
  <c r="AL123" i="18"/>
  <c r="AL21" i="18"/>
  <c r="AJ21" i="18"/>
  <c r="AC136" i="18"/>
  <c r="AC135" i="18"/>
  <c r="AG128" i="18"/>
  <c r="AG129" i="18"/>
  <c r="AB225" i="18"/>
  <c r="AB226" i="18" s="1"/>
  <c r="AB223" i="18"/>
  <c r="AB230" i="18"/>
  <c r="AB231" i="18" s="1"/>
  <c r="AB228" i="18"/>
  <c r="AC215" i="18"/>
  <c r="AC224" i="18"/>
  <c r="AC229" i="18"/>
  <c r="AG113" i="18"/>
  <c r="AG151" i="18"/>
  <c r="AC118" i="18"/>
  <c r="AC124" i="18" s="1"/>
  <c r="AC72" i="18"/>
  <c r="AC114" i="18" s="1"/>
  <c r="X248" i="18"/>
  <c r="Y248" i="18" s="1"/>
  <c r="Z248" i="18" s="1"/>
  <c r="AA248" i="18" s="1"/>
  <c r="AB248" i="18" s="1"/>
  <c r="AC248" i="18" s="1"/>
  <c r="AD248" i="18" s="1"/>
  <c r="AE248" i="18" s="1"/>
  <c r="AF248" i="18" s="1"/>
  <c r="AG248" i="18" s="1"/>
  <c r="AH249" i="18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C138" i="18"/>
  <c r="AG160" i="18"/>
  <c r="AG170" i="18"/>
  <c r="AG161" i="18"/>
  <c r="AG171" i="18"/>
  <c r="AI120" i="18"/>
  <c r="AL120" i="18" s="1"/>
  <c r="AC112" i="18"/>
  <c r="AC163" i="18"/>
  <c r="AC164" i="18"/>
  <c r="AC119" i="18"/>
  <c r="AC125" i="18" s="1"/>
  <c r="AC159" i="18"/>
  <c r="AG155" i="18"/>
  <c r="AG154" i="18"/>
  <c r="AG153" i="18"/>
  <c r="AG141" i="18"/>
  <c r="AG116" i="18"/>
  <c r="AG122" i="18" s="1"/>
  <c r="AG150" i="18"/>
  <c r="AG149" i="18"/>
  <c r="AC140" i="18"/>
  <c r="AC139" i="18"/>
  <c r="AH18" i="18"/>
  <c r="AI20" i="18"/>
  <c r="AH94" i="18"/>
  <c r="AH27" i="18"/>
  <c r="AD12" i="18"/>
  <c r="AD15" i="18"/>
  <c r="AD158" i="18" s="1"/>
  <c r="AD13" i="18"/>
  <c r="AD16" i="18"/>
  <c r="AD166" i="18" s="1"/>
  <c r="AD167" i="18" s="1"/>
  <c r="AD10" i="18"/>
  <c r="AD7" i="18"/>
  <c r="AD6" i="18"/>
  <c r="AH25" i="18"/>
  <c r="AG109" i="18"/>
  <c r="AD59" i="18"/>
  <c r="AC110" i="18"/>
  <c r="AC111" i="18"/>
  <c r="AD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238" i="18" l="1"/>
  <c r="AD134" i="18"/>
  <c r="AL20" i="18"/>
  <c r="AJ20" i="18"/>
  <c r="AH129" i="18"/>
  <c r="AH133" i="18"/>
  <c r="AD136" i="18"/>
  <c r="AD135" i="18"/>
  <c r="AH151" i="18"/>
  <c r="AH128" i="18"/>
  <c r="AC230" i="18"/>
  <c r="AC231" i="18" s="1"/>
  <c r="AC228" i="18"/>
  <c r="AC225" i="18"/>
  <c r="AC226" i="18" s="1"/>
  <c r="AC223" i="18"/>
  <c r="AD215" i="18"/>
  <c r="AD229" i="18"/>
  <c r="AD224" i="18"/>
  <c r="AD118" i="18"/>
  <c r="AD124" i="18" s="1"/>
  <c r="AD72" i="18"/>
  <c r="AD114" i="18" s="1"/>
  <c r="AH248" i="18"/>
  <c r="AI248" i="18" s="1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J120" i="18"/>
  <c r="AI126" i="18"/>
  <c r="AD138" i="18"/>
  <c r="AH160" i="18"/>
  <c r="AH170" i="18"/>
  <c r="AH161" i="18"/>
  <c r="AH171" i="18"/>
  <c r="AH113" i="18"/>
  <c r="AD164" i="18"/>
  <c r="AD163" i="18"/>
  <c r="AD119" i="18"/>
  <c r="AD125" i="18" s="1"/>
  <c r="AD159" i="18"/>
  <c r="AD112" i="18"/>
  <c r="AH154" i="18"/>
  <c r="AH153" i="18"/>
  <c r="AH155" i="18"/>
  <c r="AH141" i="18"/>
  <c r="AH116" i="18"/>
  <c r="AH122" i="18" s="1"/>
  <c r="AH150" i="18"/>
  <c r="AH149" i="18"/>
  <c r="AD140" i="18"/>
  <c r="AD139" i="18"/>
  <c r="AI18" i="18"/>
  <c r="AI94" i="18"/>
  <c r="AL94" i="18" s="1"/>
  <c r="AI27" i="18"/>
  <c r="AE15" i="18"/>
  <c r="AE158" i="18" s="1"/>
  <c r="AE13" i="18"/>
  <c r="AE12" i="18"/>
  <c r="AE10" i="18"/>
  <c r="AE16" i="18"/>
  <c r="AE166" i="18" s="1"/>
  <c r="AE167" i="18" s="1"/>
  <c r="AE6" i="18"/>
  <c r="AE7" i="18"/>
  <c r="AE59" i="18"/>
  <c r="AD111" i="18"/>
  <c r="AD110" i="18"/>
  <c r="AI25" i="18"/>
  <c r="AH109" i="18"/>
  <c r="AE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E134" i="18" l="1"/>
  <c r="Z238" i="18"/>
  <c r="AI133" i="18"/>
  <c r="AL25" i="18"/>
  <c r="AJ25" i="18"/>
  <c r="AJ126" i="18"/>
  <c r="AL126" i="18"/>
  <c r="AI171" i="18"/>
  <c r="AL27" i="18"/>
  <c r="AJ27" i="18"/>
  <c r="AL18" i="18"/>
  <c r="AJ18" i="18"/>
  <c r="AE136" i="18"/>
  <c r="AE135" i="18"/>
  <c r="AI128" i="18"/>
  <c r="AI129" i="18"/>
  <c r="AD225" i="18"/>
  <c r="AD226" i="18" s="1"/>
  <c r="AD223" i="18"/>
  <c r="AD230" i="18"/>
  <c r="AD231" i="18" s="1"/>
  <c r="AD228" i="18"/>
  <c r="AE215" i="18"/>
  <c r="AE229" i="18"/>
  <c r="AE224" i="18"/>
  <c r="AI113" i="18"/>
  <c r="AI151" i="18"/>
  <c r="AE118" i="18"/>
  <c r="AE124" i="18" s="1"/>
  <c r="AE72" i="18"/>
  <c r="AE114" i="18" s="1"/>
  <c r="AE138" i="18"/>
  <c r="AI160" i="18"/>
  <c r="AI170" i="18"/>
  <c r="AE119" i="18"/>
  <c r="AE125" i="18" s="1"/>
  <c r="AE159" i="18"/>
  <c r="AE164" i="18"/>
  <c r="AE163" i="18"/>
  <c r="AI161" i="18"/>
  <c r="AE112" i="18"/>
  <c r="AI153" i="18"/>
  <c r="AI155" i="18"/>
  <c r="AI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I141" i="18"/>
  <c r="AI116" i="18"/>
  <c r="AL116" i="18" s="1"/>
  <c r="AI150" i="18"/>
  <c r="AI149" i="18"/>
  <c r="AE140" i="18"/>
  <c r="AE139" i="18"/>
  <c r="Z194" i="18"/>
  <c r="AJ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F12" i="18"/>
  <c r="AF15" i="18"/>
  <c r="AF158" i="18" s="1"/>
  <c r="AF13" i="18"/>
  <c r="AF10" i="18"/>
  <c r="AF16" i="18"/>
  <c r="AF166" i="18" s="1"/>
  <c r="AF167" i="18" s="1"/>
  <c r="AF7" i="18"/>
  <c r="AF6" i="18"/>
  <c r="AI109" i="18"/>
  <c r="AF59" i="18"/>
  <c r="AF134" i="18" s="1"/>
  <c r="AE111" i="18"/>
  <c r="AE110" i="18"/>
  <c r="O31" i="9"/>
  <c r="O32" i="9" s="1"/>
  <c r="AF205" i="18"/>
  <c r="P31" i="11"/>
  <c r="N32" i="11"/>
  <c r="T19" i="9"/>
  <c r="D22" i="9"/>
  <c r="AA238" i="18" l="1"/>
  <c r="AJ150" i="18"/>
  <c r="AL150" i="18"/>
  <c r="AJ109" i="18"/>
  <c r="AL109" i="18"/>
  <c r="AJ149" i="18"/>
  <c r="AL149" i="18"/>
  <c r="AJ154" i="18"/>
  <c r="AL154" i="18"/>
  <c r="AJ153" i="18"/>
  <c r="AL153" i="18"/>
  <c r="AJ161" i="18"/>
  <c r="AL161" i="18"/>
  <c r="AJ160" i="18"/>
  <c r="AL160" i="18"/>
  <c r="AJ151" i="18"/>
  <c r="AL151" i="18"/>
  <c r="AJ128" i="18"/>
  <c r="AL128" i="18"/>
  <c r="AJ133" i="18"/>
  <c r="AL133" i="18"/>
  <c r="AJ141" i="18"/>
  <c r="AL141" i="18"/>
  <c r="AJ155" i="18"/>
  <c r="AL155" i="18"/>
  <c r="AJ170" i="18"/>
  <c r="AL170" i="18"/>
  <c r="AJ113" i="18"/>
  <c r="AL113" i="18"/>
  <c r="AJ129" i="18"/>
  <c r="AL129" i="18"/>
  <c r="AJ171" i="18"/>
  <c r="AL171" i="18"/>
  <c r="AF135" i="18"/>
  <c r="AF136" i="18"/>
  <c r="AE225" i="18"/>
  <c r="AE226" i="18" s="1"/>
  <c r="AE223" i="18"/>
  <c r="AE230" i="18"/>
  <c r="AE231" i="18" s="1"/>
  <c r="AE228" i="18"/>
  <c r="AF215" i="18"/>
  <c r="AF224" i="18"/>
  <c r="AF229" i="18"/>
  <c r="AF118" i="18"/>
  <c r="AF124" i="18" s="1"/>
  <c r="AF72" i="18"/>
  <c r="AF114" i="18" s="1"/>
  <c r="AJ116" i="18"/>
  <c r="AI122" i="18"/>
  <c r="AF138" i="18"/>
  <c r="AF164" i="18"/>
  <c r="AF163" i="18"/>
  <c r="AF119" i="18"/>
  <c r="AF125" i="18" s="1"/>
  <c r="AF159" i="18"/>
  <c r="AF112" i="18"/>
  <c r="AF139" i="18"/>
  <c r="AF140" i="18"/>
  <c r="AA194" i="18"/>
  <c r="Y194" i="18" s="1"/>
  <c r="AG13" i="18"/>
  <c r="AG12" i="18"/>
  <c r="AG15" i="18"/>
  <c r="AG158" i="18" s="1"/>
  <c r="AG10" i="18"/>
  <c r="AG16" i="18"/>
  <c r="AG166" i="18" s="1"/>
  <c r="AG167" i="18" s="1"/>
  <c r="AG6" i="18"/>
  <c r="AG7" i="18"/>
  <c r="AG59" i="18"/>
  <c r="AG134" i="18" s="1"/>
  <c r="AF111" i="18"/>
  <c r="AF110" i="18"/>
  <c r="AG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B238" i="18" l="1"/>
  <c r="AJ122" i="18"/>
  <c r="AL122" i="18"/>
  <c r="AG136" i="18"/>
  <c r="AG135" i="18"/>
  <c r="AF230" i="18"/>
  <c r="AF231" i="18" s="1"/>
  <c r="AF228" i="18"/>
  <c r="AF225" i="18"/>
  <c r="AF226" i="18" s="1"/>
  <c r="AF223" i="18"/>
  <c r="AG215" i="18"/>
  <c r="AG229" i="18"/>
  <c r="AG224" i="18"/>
  <c r="AG118" i="18"/>
  <c r="AG124" i="18" s="1"/>
  <c r="AG72" i="18"/>
  <c r="AG114" i="18" s="1"/>
  <c r="AG138" i="18"/>
  <c r="AG119" i="18"/>
  <c r="AG125" i="18" s="1"/>
  <c r="AG159" i="18"/>
  <c r="AG163" i="18"/>
  <c r="AG164" i="18"/>
  <c r="AG112" i="18"/>
  <c r="AG139" i="18"/>
  <c r="AG140" i="18"/>
  <c r="AH12" i="18"/>
  <c r="AH15" i="18"/>
  <c r="AH158" i="18" s="1"/>
  <c r="AH13" i="18"/>
  <c r="AH10" i="18"/>
  <c r="AH16" i="18"/>
  <c r="AH166" i="18" s="1"/>
  <c r="AH167" i="18" s="1"/>
  <c r="AH7" i="18"/>
  <c r="AH6" i="18"/>
  <c r="AH59" i="18"/>
  <c r="AG110" i="18"/>
  <c r="AG111" i="18"/>
  <c r="AH205" i="18"/>
  <c r="N34" i="11"/>
  <c r="O33" i="11"/>
  <c r="AH134" i="18" l="1"/>
  <c r="AC238" i="18"/>
  <c r="AH136" i="18"/>
  <c r="AH135" i="18"/>
  <c r="AG225" i="18"/>
  <c r="AG226" i="18" s="1"/>
  <c r="AG223" i="18"/>
  <c r="AG230" i="18"/>
  <c r="AG231" i="18" s="1"/>
  <c r="AG228" i="18"/>
  <c r="AH215" i="18"/>
  <c r="AH229" i="18"/>
  <c r="AH224" i="18"/>
  <c r="AH118" i="18"/>
  <c r="AH124" i="18" s="1"/>
  <c r="AH72" i="18"/>
  <c r="AH114" i="18" s="1"/>
  <c r="AH138" i="18"/>
  <c r="AH112" i="18"/>
  <c r="AH163" i="18"/>
  <c r="AH164" i="18"/>
  <c r="AH119" i="18"/>
  <c r="AH125" i="18" s="1"/>
  <c r="AH159" i="18"/>
  <c r="AH139" i="18"/>
  <c r="AH140" i="18"/>
  <c r="AI15" i="18"/>
  <c r="AI13" i="18"/>
  <c r="AI12" i="18"/>
  <c r="AI10" i="18"/>
  <c r="AI16" i="18"/>
  <c r="AI6" i="18"/>
  <c r="AL6" i="18" s="1"/>
  <c r="AI7" i="18"/>
  <c r="AI59" i="18"/>
  <c r="AD238" i="18" s="1"/>
  <c r="AH111" i="18"/>
  <c r="AH110" i="18"/>
  <c r="AI205" i="18"/>
  <c r="N35" i="11"/>
  <c r="O34" i="11"/>
  <c r="AL7" i="18" l="1"/>
  <c r="AJ7" i="18"/>
  <c r="AL16" i="18"/>
  <c r="AJ16" i="18"/>
  <c r="AI159" i="18"/>
  <c r="AL12" i="18"/>
  <c r="AJ12" i="18"/>
  <c r="AL15" i="18"/>
  <c r="AJ15" i="18"/>
  <c r="AI134" i="18"/>
  <c r="AL59" i="18"/>
  <c r="AJ59" i="18"/>
  <c r="AJ6" i="18"/>
  <c r="AL10" i="18"/>
  <c r="AJ10" i="18"/>
  <c r="AL13" i="18"/>
  <c r="AJ13" i="18"/>
  <c r="AI136" i="18"/>
  <c r="AI135" i="18"/>
  <c r="AH225" i="18"/>
  <c r="AH226" i="18" s="1"/>
  <c r="AH223" i="18"/>
  <c r="AH230" i="18"/>
  <c r="AH231" i="18" s="1"/>
  <c r="AH228" i="18"/>
  <c r="AI215" i="18"/>
  <c r="AJ215" i="18" s="1"/>
  <c r="AL215" i="18" s="1"/>
  <c r="AL230" i="18" s="1"/>
  <c r="AI229" i="18"/>
  <c r="AI228" i="18" s="1"/>
  <c r="AJ228" i="18" s="1"/>
  <c r="AI224" i="18"/>
  <c r="AI223" i="18" s="1"/>
  <c r="AJ223" i="18" s="1"/>
  <c r="AI118" i="18"/>
  <c r="AI72" i="18"/>
  <c r="AL72" i="18" s="1"/>
  <c r="AI138" i="18"/>
  <c r="AI166" i="18"/>
  <c r="AL166" i="18" s="1"/>
  <c r="AI164" i="18"/>
  <c r="AI163" i="18"/>
  <c r="AI158" i="18"/>
  <c r="AI112" i="18"/>
  <c r="AI119" i="18"/>
  <c r="AL119" i="18" s="1"/>
  <c r="AI139" i="18"/>
  <c r="AI140" i="18"/>
  <c r="Z188" i="18"/>
  <c r="AI111" i="18"/>
  <c r="AI110" i="18"/>
  <c r="AJ205" i="18"/>
  <c r="AL205" i="18" s="1"/>
  <c r="N36" i="11"/>
  <c r="O35" i="11"/>
  <c r="AJ164" i="18" l="1"/>
  <c r="AL164" i="18"/>
  <c r="AJ134" i="18"/>
  <c r="AL134" i="18"/>
  <c r="AJ110" i="18"/>
  <c r="AL110" i="18"/>
  <c r="AJ139" i="18"/>
  <c r="AL139" i="18"/>
  <c r="AJ112" i="18"/>
  <c r="AL112" i="18"/>
  <c r="AJ163" i="18"/>
  <c r="AL163" i="18"/>
  <c r="AJ136" i="18"/>
  <c r="AL136" i="18"/>
  <c r="AJ159" i="18"/>
  <c r="AL159" i="18"/>
  <c r="AJ111" i="18"/>
  <c r="AL111" i="18"/>
  <c r="AJ140" i="18"/>
  <c r="AL140" i="18"/>
  <c r="AJ158" i="18"/>
  <c r="AL158" i="18"/>
  <c r="AJ138" i="18"/>
  <c r="AL138" i="18"/>
  <c r="AI124" i="18"/>
  <c r="AL118" i="18"/>
  <c r="AJ135" i="18"/>
  <c r="AL135" i="18"/>
  <c r="AI225" i="18"/>
  <c r="AJ224" i="18"/>
  <c r="AJ229" i="18"/>
  <c r="AI230" i="18"/>
  <c r="AJ72" i="18"/>
  <c r="AJ118" i="18"/>
  <c r="AI114" i="18"/>
  <c r="AJ119" i="18"/>
  <c r="AI125" i="18"/>
  <c r="AJ166" i="18"/>
  <c r="AI167" i="18"/>
  <c r="AA188" i="18"/>
  <c r="AA189" i="18" s="1"/>
  <c r="T245" i="18" s="1"/>
  <c r="Z189" i="18"/>
  <c r="U245" i="18" s="1"/>
  <c r="N37" i="11"/>
  <c r="O36" i="11"/>
  <c r="AJ167" i="18" l="1"/>
  <c r="AL167" i="18"/>
  <c r="AJ125" i="18"/>
  <c r="AL125" i="18"/>
  <c r="AJ114" i="18"/>
  <c r="AL114" i="18"/>
  <c r="AJ124" i="18"/>
  <c r="AL124" i="18"/>
  <c r="AJ225" i="18"/>
  <c r="AI226" i="18"/>
  <c r="AJ226" i="18" s="1"/>
  <c r="AI231" i="18"/>
  <c r="AJ231" i="18" s="1"/>
  <c r="AJ230" i="18"/>
  <c r="Y188" i="18"/>
  <c r="Y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Z216" i="18"/>
  <c r="Z97" i="18"/>
  <c r="Z78" i="18"/>
  <c r="Z83" i="18"/>
  <c r="Z104" i="18"/>
  <c r="Z106" i="18"/>
  <c r="Z99" i="18"/>
  <c r="Z96" i="18"/>
  <c r="Z82" i="18"/>
  <c r="Z77" i="18"/>
  <c r="Z71" i="18"/>
  <c r="Z89" i="18"/>
  <c r="Z103" i="18"/>
  <c r="Z87" i="18"/>
  <c r="Z80" i="18"/>
  <c r="Z98" i="18"/>
  <c r="Z100" i="18"/>
  <c r="Z84" i="18"/>
  <c r="Z213" i="18" s="1"/>
  <c r="Z70" i="18"/>
  <c r="Z206" i="18" s="1"/>
  <c r="Z75" i="18"/>
  <c r="Z209" i="18" s="1"/>
  <c r="Z90" i="18"/>
  <c r="Z212" i="18" s="1"/>
  <c r="Z102" i="18"/>
  <c r="Z168" i="18" s="1"/>
  <c r="Z74" i="18"/>
  <c r="Z208" i="18" s="1"/>
  <c r="Z86" i="18"/>
  <c r="Z143" i="18"/>
  <c r="Z144" i="18" s="1"/>
  <c r="Z76" i="18"/>
  <c r="Z218" i="18" s="1"/>
  <c r="Z79" i="18"/>
  <c r="AA61" i="18"/>
  <c r="Z210" i="18" l="1"/>
  <c r="Z234" i="18" s="1"/>
  <c r="Z88" i="18"/>
  <c r="Z211" i="18" s="1"/>
  <c r="AA80" i="18"/>
  <c r="AA103" i="18"/>
  <c r="AA87" i="18"/>
  <c r="AA99" i="18"/>
  <c r="AA83" i="18"/>
  <c r="AA82" i="18"/>
  <c r="AA216" i="18"/>
  <c r="AA98" i="18"/>
  <c r="AA78" i="18"/>
  <c r="AA102" i="18"/>
  <c r="AA168" i="18" s="1"/>
  <c r="AA90" i="18"/>
  <c r="AA212" i="18" s="1"/>
  <c r="AA74" i="18"/>
  <c r="AA208" i="18" s="1"/>
  <c r="AA143" i="18"/>
  <c r="AA144" i="18" s="1"/>
  <c r="AA96" i="18"/>
  <c r="AA77" i="18"/>
  <c r="AA106" i="18"/>
  <c r="AA89" i="18"/>
  <c r="AA104" i="18"/>
  <c r="AA97" i="18"/>
  <c r="AA100" i="18"/>
  <c r="AA71" i="18"/>
  <c r="AA79" i="18"/>
  <c r="AA210" i="18" s="1"/>
  <c r="AA234" i="18" s="1"/>
  <c r="AA70" i="18"/>
  <c r="AA206" i="18" s="1"/>
  <c r="AA84" i="18"/>
  <c r="AA213" i="18" s="1"/>
  <c r="AA75" i="18"/>
  <c r="AA209" i="18" s="1"/>
  <c r="AA76" i="18"/>
  <c r="AA218" i="18" s="1"/>
  <c r="AB61" i="18"/>
  <c r="AA86" i="18"/>
  <c r="Z145" i="18"/>
  <c r="Z146" i="18" s="1"/>
  <c r="Z147" i="18"/>
  <c r="Z207" i="18"/>
  <c r="Z233" i="18" l="1"/>
  <c r="Z235" i="18"/>
  <c r="Z236" i="18" s="1"/>
  <c r="AA235" i="18"/>
  <c r="AA236" i="18" s="1"/>
  <c r="AA233" i="18"/>
  <c r="AA88" i="18"/>
  <c r="AA211" i="18" s="1"/>
  <c r="Z220" i="18"/>
  <c r="Z221" i="18" s="1"/>
  <c r="Z219" i="18"/>
  <c r="AB97" i="18"/>
  <c r="AB74" i="18"/>
  <c r="AB208" i="18" s="1"/>
  <c r="AB98" i="18"/>
  <c r="AB99" i="18"/>
  <c r="AB103" i="18"/>
  <c r="AB83" i="18"/>
  <c r="AB80" i="18"/>
  <c r="AB106" i="18"/>
  <c r="AB89" i="18"/>
  <c r="AB87" i="18"/>
  <c r="AB70" i="18"/>
  <c r="AB206" i="18" s="1"/>
  <c r="AB79" i="18"/>
  <c r="AB210" i="18" s="1"/>
  <c r="AB234" i="18" s="1"/>
  <c r="AB75" i="18"/>
  <c r="AB209" i="18" s="1"/>
  <c r="AB78" i="18"/>
  <c r="AB77" i="18"/>
  <c r="AB96" i="18"/>
  <c r="AB100" i="18"/>
  <c r="AB71" i="18"/>
  <c r="AB84" i="18"/>
  <c r="AB213" i="18" s="1"/>
  <c r="AB104" i="18"/>
  <c r="AB82" i="18"/>
  <c r="AB216" i="18"/>
  <c r="AB102" i="18"/>
  <c r="AB168" i="18" s="1"/>
  <c r="AB90" i="18"/>
  <c r="AB212" i="18" s="1"/>
  <c r="AB86" i="18"/>
  <c r="AB143" i="18"/>
  <c r="AB144" i="18" s="1"/>
  <c r="AB76" i="18"/>
  <c r="AB218" i="18" s="1"/>
  <c r="AC61" i="18"/>
  <c r="AA207" i="18"/>
  <c r="AA147" i="18"/>
  <c r="AA145" i="18"/>
  <c r="AA146" i="18" s="1"/>
  <c r="AB235" i="18" l="1"/>
  <c r="AB236" i="18" s="1"/>
  <c r="AB233" i="18"/>
  <c r="AA220" i="18"/>
  <c r="AA221" i="18" s="1"/>
  <c r="AA219" i="18"/>
  <c r="AC97" i="18"/>
  <c r="AC216" i="18"/>
  <c r="AC71" i="18"/>
  <c r="AC98" i="18"/>
  <c r="AC83" i="18"/>
  <c r="AC78" i="18"/>
  <c r="AC82" i="18"/>
  <c r="AC96" i="18"/>
  <c r="AC102" i="18"/>
  <c r="AC168" i="18" s="1"/>
  <c r="AC74" i="18"/>
  <c r="AC208" i="18" s="1"/>
  <c r="AC75" i="18"/>
  <c r="AC209" i="18" s="1"/>
  <c r="AC90" i="18"/>
  <c r="AC212" i="18" s="1"/>
  <c r="AC106" i="18"/>
  <c r="AC77" i="18"/>
  <c r="AC100" i="18"/>
  <c r="AC104" i="18"/>
  <c r="AC103" i="18"/>
  <c r="AC80" i="18"/>
  <c r="AC99" i="18"/>
  <c r="AC89" i="18"/>
  <c r="AC87" i="18"/>
  <c r="AC84" i="18"/>
  <c r="AC213" i="18" s="1"/>
  <c r="AC70" i="18"/>
  <c r="AC206" i="18" s="1"/>
  <c r="AC143" i="18"/>
  <c r="AC144" i="18" s="1"/>
  <c r="AC76" i="18"/>
  <c r="AC218" i="18" s="1"/>
  <c r="AC79" i="18"/>
  <c r="AC210" i="18" s="1"/>
  <c r="AC234" i="18" s="1"/>
  <c r="AD61" i="18"/>
  <c r="AC86" i="18"/>
  <c r="AB207" i="18"/>
  <c r="AB145" i="18"/>
  <c r="AB146" i="18" s="1"/>
  <c r="AB147" i="18"/>
  <c r="AB88" i="18"/>
  <c r="AB211" i="18" s="1"/>
  <c r="AC235" i="18" l="1"/>
  <c r="AC236" i="18" s="1"/>
  <c r="AC233" i="18"/>
  <c r="AB220" i="18"/>
  <c r="AB221" i="18" s="1"/>
  <c r="AB219" i="18"/>
  <c r="AC207" i="18"/>
  <c r="AC88" i="18"/>
  <c r="AC211" i="18" s="1"/>
  <c r="AC147" i="18"/>
  <c r="AC145" i="18"/>
  <c r="AC146" i="18" s="1"/>
  <c r="AD77" i="18"/>
  <c r="AD98" i="18"/>
  <c r="AD87" i="18"/>
  <c r="AD97" i="18"/>
  <c r="AD96" i="18"/>
  <c r="AD82" i="18"/>
  <c r="AD71" i="18"/>
  <c r="AD80" i="18"/>
  <c r="AD79" i="18"/>
  <c r="AD210" i="18" s="1"/>
  <c r="AD234" i="18" s="1"/>
  <c r="AD70" i="18"/>
  <c r="AD206" i="18" s="1"/>
  <c r="AD102" i="18"/>
  <c r="AD168" i="18" s="1"/>
  <c r="AD216" i="18"/>
  <c r="AD100" i="18"/>
  <c r="AD78" i="18"/>
  <c r="AD106" i="18"/>
  <c r="AD99" i="18"/>
  <c r="AD83" i="18"/>
  <c r="AD89" i="18"/>
  <c r="AD103" i="18"/>
  <c r="AD104" i="18"/>
  <c r="AD74" i="18"/>
  <c r="AD208" i="18" s="1"/>
  <c r="AD75" i="18"/>
  <c r="AD209" i="18" s="1"/>
  <c r="AD90" i="18"/>
  <c r="AD212" i="18" s="1"/>
  <c r="AD84" i="18"/>
  <c r="AD213" i="18" s="1"/>
  <c r="AD86" i="18"/>
  <c r="AD76" i="18"/>
  <c r="AD218" i="18" s="1"/>
  <c r="AD143" i="18"/>
  <c r="AD144" i="18" s="1"/>
  <c r="AE61" i="18"/>
  <c r="AD235" i="18" l="1"/>
  <c r="AD236" i="18" s="1"/>
  <c r="AD233" i="18"/>
  <c r="AD88" i="18"/>
  <c r="AD211" i="18" s="1"/>
  <c r="AC220" i="18"/>
  <c r="AC221" i="18" s="1"/>
  <c r="AC219" i="18"/>
  <c r="AE77" i="18"/>
  <c r="AE80" i="18"/>
  <c r="AE82" i="18"/>
  <c r="AE71" i="18"/>
  <c r="AE84" i="18"/>
  <c r="AE213" i="18" s="1"/>
  <c r="AE96" i="18"/>
  <c r="AE89" i="18"/>
  <c r="AE97" i="18"/>
  <c r="AE87" i="18"/>
  <c r="AE75" i="18"/>
  <c r="AE209" i="18" s="1"/>
  <c r="AE70" i="18"/>
  <c r="AE206" i="18" s="1"/>
  <c r="AE79" i="18"/>
  <c r="AE210" i="18" s="1"/>
  <c r="AE234" i="18" s="1"/>
  <c r="AE99" i="18"/>
  <c r="AE98" i="18"/>
  <c r="AE78" i="18"/>
  <c r="AE104" i="18"/>
  <c r="AE90" i="18"/>
  <c r="AE212" i="18" s="1"/>
  <c r="AE106" i="18"/>
  <c r="AE216" i="18"/>
  <c r="AE103" i="18"/>
  <c r="AE100" i="18"/>
  <c r="AE83" i="18"/>
  <c r="AE102" i="18"/>
  <c r="AE168" i="18" s="1"/>
  <c r="AE74" i="18"/>
  <c r="AE208" i="18" s="1"/>
  <c r="AF61" i="18"/>
  <c r="AE143" i="18"/>
  <c r="AE144" i="18" s="1"/>
  <c r="AE86" i="18"/>
  <c r="AE76" i="18"/>
  <c r="AE218" i="18" s="1"/>
  <c r="AD145" i="18"/>
  <c r="AD146" i="18" s="1"/>
  <c r="AD147" i="18"/>
  <c r="AD207" i="18"/>
  <c r="AE235" i="18" l="1"/>
  <c r="AE236" i="18" s="1"/>
  <c r="AE233" i="18"/>
  <c r="AD220" i="18"/>
  <c r="AD221" i="18" s="1"/>
  <c r="AD219" i="18"/>
  <c r="AE88" i="18"/>
  <c r="AE211" i="18" s="1"/>
  <c r="AF96" i="18"/>
  <c r="AF83" i="18"/>
  <c r="AF216" i="18"/>
  <c r="AF82" i="18"/>
  <c r="AF84" i="18"/>
  <c r="AF213" i="18" s="1"/>
  <c r="AF99" i="18"/>
  <c r="AF71" i="18"/>
  <c r="AF87" i="18"/>
  <c r="AF104" i="18"/>
  <c r="AF102" i="18"/>
  <c r="AF168" i="18" s="1"/>
  <c r="AF70" i="18"/>
  <c r="AF206" i="18" s="1"/>
  <c r="AF103" i="18"/>
  <c r="AF78" i="18"/>
  <c r="AF80" i="18"/>
  <c r="AF100" i="18"/>
  <c r="AF90" i="18"/>
  <c r="AF212" i="18" s="1"/>
  <c r="AF77" i="18"/>
  <c r="AF106" i="18"/>
  <c r="AF98" i="18"/>
  <c r="AF97" i="18"/>
  <c r="AF89" i="18"/>
  <c r="AF74" i="18"/>
  <c r="AF208" i="18" s="1"/>
  <c r="AF75" i="18"/>
  <c r="AF209" i="18" s="1"/>
  <c r="AF79" i="18"/>
  <c r="AF210" i="18" s="1"/>
  <c r="AF234" i="18" s="1"/>
  <c r="AF143" i="18"/>
  <c r="AF144" i="18" s="1"/>
  <c r="AF76" i="18"/>
  <c r="AF218" i="18" s="1"/>
  <c r="AF86" i="18"/>
  <c r="AG61" i="18"/>
  <c r="AE207" i="18"/>
  <c r="AE145" i="18"/>
  <c r="AE146" i="18" s="1"/>
  <c r="AE147" i="18"/>
  <c r="AF235" i="18" l="1"/>
  <c r="AF236" i="18" s="1"/>
  <c r="AF233" i="18"/>
  <c r="AE220" i="18"/>
  <c r="AE221" i="18" s="1"/>
  <c r="AE219" i="18"/>
  <c r="AF88" i="18"/>
  <c r="AF211" i="18" s="1"/>
  <c r="AF147" i="18"/>
  <c r="AF145" i="18"/>
  <c r="AF146" i="18" s="1"/>
  <c r="AG96" i="18"/>
  <c r="AG98" i="18"/>
  <c r="AG80" i="18"/>
  <c r="AG100" i="18"/>
  <c r="AG70" i="18"/>
  <c r="AG206" i="18" s="1"/>
  <c r="AG78" i="18"/>
  <c r="AG87" i="18"/>
  <c r="AG104" i="18"/>
  <c r="AG99" i="18"/>
  <c r="AG74" i="18"/>
  <c r="AG208" i="18" s="1"/>
  <c r="AG84" i="18"/>
  <c r="AG213" i="18" s="1"/>
  <c r="AG89" i="18"/>
  <c r="AG83" i="18"/>
  <c r="AG216" i="18"/>
  <c r="AG103" i="18"/>
  <c r="AG106" i="18"/>
  <c r="AG97" i="18"/>
  <c r="AG71" i="18"/>
  <c r="AG77" i="18"/>
  <c r="AG82" i="18"/>
  <c r="AG75" i="18"/>
  <c r="AG209" i="18" s="1"/>
  <c r="AG90" i="18"/>
  <c r="AG212" i="18" s="1"/>
  <c r="AG102" i="18"/>
  <c r="AG168" i="18" s="1"/>
  <c r="AG79" i="18"/>
  <c r="AG210" i="18" s="1"/>
  <c r="AG234" i="18" s="1"/>
  <c r="AG143" i="18"/>
  <c r="AG144" i="18" s="1"/>
  <c r="AG86" i="18"/>
  <c r="AG76" i="18"/>
  <c r="AG218" i="18" s="1"/>
  <c r="AH61" i="18"/>
  <c r="AF207" i="18"/>
  <c r="AG235" i="18" l="1"/>
  <c r="AG236" i="18" s="1"/>
  <c r="AG233" i="18"/>
  <c r="AF220" i="18"/>
  <c r="AF221" i="18" s="1"/>
  <c r="AF219" i="18"/>
  <c r="AG207" i="18"/>
  <c r="AG88" i="18"/>
  <c r="AG211" i="18" s="1"/>
  <c r="AG145" i="18"/>
  <c r="AG146" i="18" s="1"/>
  <c r="AG147" i="18"/>
  <c r="AH83" i="18"/>
  <c r="AH96" i="18"/>
  <c r="AH87" i="18"/>
  <c r="AH77" i="18"/>
  <c r="AH102" i="18"/>
  <c r="AH168" i="18" s="1"/>
  <c r="AH104" i="18"/>
  <c r="AH97" i="18"/>
  <c r="AH103" i="18"/>
  <c r="AH80" i="18"/>
  <c r="AH70" i="18"/>
  <c r="AH206" i="18" s="1"/>
  <c r="AH90" i="18"/>
  <c r="AH212" i="18" s="1"/>
  <c r="AH100" i="18"/>
  <c r="AH75" i="18"/>
  <c r="AH209" i="18" s="1"/>
  <c r="AH106" i="18"/>
  <c r="AH98" i="18"/>
  <c r="AH99" i="18"/>
  <c r="AH89" i="18"/>
  <c r="AH82" i="18"/>
  <c r="AH71" i="18"/>
  <c r="AH216" i="18"/>
  <c r="AH78" i="18"/>
  <c r="AH74" i="18"/>
  <c r="AH208" i="18" s="1"/>
  <c r="AH84" i="18"/>
  <c r="AH213" i="18" s="1"/>
  <c r="AH79" i="18"/>
  <c r="AH210" i="18" s="1"/>
  <c r="AH234" i="18" s="1"/>
  <c r="AH143" i="18"/>
  <c r="AH144" i="18" s="1"/>
  <c r="AH76" i="18"/>
  <c r="AH218" i="18" s="1"/>
  <c r="AI61" i="18"/>
  <c r="AH86" i="18"/>
  <c r="AL61" i="18" l="1"/>
  <c r="AJ61" i="18"/>
  <c r="AH235" i="18"/>
  <c r="AH236" i="18" s="1"/>
  <c r="AH233" i="18"/>
  <c r="AG220" i="18"/>
  <c r="AG221" i="18" s="1"/>
  <c r="AG219" i="18"/>
  <c r="AH88" i="18"/>
  <c r="AH211" i="18" s="1"/>
  <c r="AH207" i="18"/>
  <c r="AI216" i="18"/>
  <c r="AI103" i="18"/>
  <c r="AL103" i="18" s="1"/>
  <c r="AI104" i="18"/>
  <c r="AL104" i="18" s="1"/>
  <c r="AI71" i="18"/>
  <c r="AL71" i="18" s="1"/>
  <c r="AI77" i="18"/>
  <c r="AL77" i="18" s="1"/>
  <c r="AI106" i="18"/>
  <c r="AI102" i="18"/>
  <c r="AL102" i="18" s="1"/>
  <c r="AI74" i="18"/>
  <c r="AL74" i="18" s="1"/>
  <c r="AI70" i="18"/>
  <c r="AL70" i="18" s="1"/>
  <c r="AI75" i="18"/>
  <c r="AL75" i="18" s="1"/>
  <c r="AI79" i="18"/>
  <c r="AL79" i="18" s="1"/>
  <c r="AI89" i="18"/>
  <c r="AL89" i="18" s="1"/>
  <c r="AI76" i="18"/>
  <c r="AI90" i="18"/>
  <c r="AL90" i="18" s="1"/>
  <c r="AI97" i="18"/>
  <c r="AL97" i="18" s="1"/>
  <c r="AI99" i="18"/>
  <c r="AL99" i="18" s="1"/>
  <c r="AI84" i="18"/>
  <c r="AL84" i="18" s="1"/>
  <c r="AI86" i="18"/>
  <c r="AL86" i="18" s="1"/>
  <c r="AI82" i="18"/>
  <c r="AL82" i="18" s="1"/>
  <c r="AI87" i="18"/>
  <c r="AL87" i="18" s="1"/>
  <c r="AI98" i="18"/>
  <c r="AL98" i="18" s="1"/>
  <c r="AI96" i="18"/>
  <c r="AL96" i="18" s="1"/>
  <c r="AI80" i="18"/>
  <c r="AL80" i="18" s="1"/>
  <c r="AI100" i="18"/>
  <c r="AL100" i="18" s="1"/>
  <c r="AI143" i="18"/>
  <c r="AL143" i="18" s="1"/>
  <c r="AI78" i="18"/>
  <c r="AL78" i="18" s="1"/>
  <c r="AI83" i="18"/>
  <c r="AL83" i="18" s="1"/>
  <c r="AH147" i="18"/>
  <c r="AH145" i="18"/>
  <c r="AH146" i="18" s="1"/>
  <c r="AL106" i="18" l="1"/>
  <c r="AJ106" i="18"/>
  <c r="AI218" i="18"/>
  <c r="AL76" i="18"/>
  <c r="AA175" i="18" s="1"/>
  <c r="T247" i="18" s="1"/>
  <c r="AH220" i="18"/>
  <c r="AH221" i="18" s="1"/>
  <c r="AH219" i="18"/>
  <c r="AI144" i="18"/>
  <c r="AL144" i="18" s="1"/>
  <c r="AJ143" i="18"/>
  <c r="AJ98" i="18"/>
  <c r="Z198" i="18"/>
  <c r="AA198" i="18"/>
  <c r="AA183" i="18"/>
  <c r="T243" i="18" s="1"/>
  <c r="AI213" i="18"/>
  <c r="AJ84" i="18"/>
  <c r="Z183" i="18"/>
  <c r="U243" i="18" s="1"/>
  <c r="AJ76" i="18"/>
  <c r="Z175" i="18"/>
  <c r="AI207" i="18"/>
  <c r="AI219" i="18" s="1"/>
  <c r="AJ219" i="18" s="1"/>
  <c r="AJ70" i="18"/>
  <c r="AI206" i="18"/>
  <c r="AJ104" i="18"/>
  <c r="Z202" i="18"/>
  <c r="U246" i="18" s="1"/>
  <c r="AA202" i="18"/>
  <c r="T246" i="18" s="1"/>
  <c r="AJ100" i="18"/>
  <c r="AJ87" i="18"/>
  <c r="AA199" i="18"/>
  <c r="AJ99" i="18"/>
  <c r="Z199" i="18"/>
  <c r="AJ89" i="18"/>
  <c r="Z185" i="18"/>
  <c r="AA185" i="18"/>
  <c r="AJ74" i="18"/>
  <c r="AI208" i="18"/>
  <c r="AJ77" i="18"/>
  <c r="AJ103" i="18"/>
  <c r="AJ83" i="18"/>
  <c r="AA182" i="18"/>
  <c r="Z182" i="18"/>
  <c r="AJ80" i="18"/>
  <c r="Z178" i="18"/>
  <c r="AA178" i="18"/>
  <c r="Z181" i="18"/>
  <c r="AJ82" i="18"/>
  <c r="AA181" i="18"/>
  <c r="AJ97" i="18"/>
  <c r="Z197" i="18"/>
  <c r="AA197" i="18"/>
  <c r="AJ79" i="18"/>
  <c r="AA177" i="18"/>
  <c r="AI210" i="18"/>
  <c r="AI234" i="18" s="1"/>
  <c r="Z177" i="18"/>
  <c r="AJ102" i="18"/>
  <c r="AI168" i="18"/>
  <c r="AJ216" i="18"/>
  <c r="AL216" i="18" s="1"/>
  <c r="AL231" i="18" s="1"/>
  <c r="Z176" i="18"/>
  <c r="U244" i="18" s="1"/>
  <c r="AA176" i="18"/>
  <c r="T244" i="18" s="1"/>
  <c r="AJ78" i="18"/>
  <c r="AJ96" i="18"/>
  <c r="Z196" i="18"/>
  <c r="AA196" i="18"/>
  <c r="AJ86" i="18"/>
  <c r="AA179" i="18"/>
  <c r="Z179" i="18"/>
  <c r="AI88" i="18"/>
  <c r="AL88" i="18" s="1"/>
  <c r="AJ90" i="18"/>
  <c r="AI212" i="18"/>
  <c r="Z186" i="18"/>
  <c r="AA186" i="18"/>
  <c r="AJ75" i="18"/>
  <c r="AI209" i="18"/>
  <c r="AJ71" i="18"/>
  <c r="T234" i="18" l="1"/>
  <c r="W234" i="18"/>
  <c r="U234" i="18"/>
  <c r="R234" i="18"/>
  <c r="V234" i="18"/>
  <c r="S234" i="18"/>
  <c r="AJ168" i="18"/>
  <c r="AL168" i="18"/>
  <c r="U247" i="18"/>
  <c r="U248" i="18" s="1"/>
  <c r="G234" i="18"/>
  <c r="G235" i="18" s="1"/>
  <c r="G236" i="18" s="1"/>
  <c r="AI235" i="18"/>
  <c r="AI236" i="18" s="1"/>
  <c r="AI233" i="18"/>
  <c r="I234" i="18"/>
  <c r="K234" i="18"/>
  <c r="M234" i="18"/>
  <c r="O234" i="18"/>
  <c r="Q234" i="18"/>
  <c r="H234" i="18"/>
  <c r="J234" i="18"/>
  <c r="L234" i="18"/>
  <c r="N234" i="18"/>
  <c r="P234" i="18"/>
  <c r="Y179" i="18"/>
  <c r="AA200" i="18"/>
  <c r="AJ218" i="18"/>
  <c r="AL218" i="18" s="1"/>
  <c r="AL233" i="18" s="1"/>
  <c r="Y196" i="18"/>
  <c r="Y181" i="18"/>
  <c r="Y177" i="18"/>
  <c r="Y185" i="18"/>
  <c r="AI211" i="18"/>
  <c r="AJ88" i="18"/>
  <c r="AJ210" i="18"/>
  <c r="AL210" i="18" s="1"/>
  <c r="Z200" i="18"/>
  <c r="Y197" i="18"/>
  <c r="Y182" i="18"/>
  <c r="Y202" i="18"/>
  <c r="Y198" i="18"/>
  <c r="AJ209" i="18"/>
  <c r="AL209" i="18" s="1"/>
  <c r="Y186" i="18"/>
  <c r="Y176" i="18"/>
  <c r="Y199" i="18"/>
  <c r="AJ213" i="18"/>
  <c r="AL213" i="18" s="1"/>
  <c r="AJ212" i="18"/>
  <c r="AL212" i="18" s="1"/>
  <c r="AL226" i="18" s="1"/>
  <c r="Y178" i="18"/>
  <c r="AI220" i="18"/>
  <c r="AJ207" i="18"/>
  <c r="AL207" i="18" s="1"/>
  <c r="AL220" i="18" s="1"/>
  <c r="AL235" i="18" s="1"/>
  <c r="AJ208" i="18"/>
  <c r="AL208" i="18" s="1"/>
  <c r="AL221" i="18" s="1"/>
  <c r="AL236" i="18" s="1"/>
  <c r="AJ206" i="18"/>
  <c r="AL206" i="18" s="1"/>
  <c r="AL219" i="18" s="1"/>
  <c r="AL234" i="18" s="1"/>
  <c r="Y175" i="18"/>
  <c r="T248" i="18" s="1"/>
  <c r="Y183" i="18"/>
  <c r="AI147" i="18"/>
  <c r="AJ144" i="18"/>
  <c r="AI145" i="18"/>
  <c r="AL145" i="18" s="1"/>
  <c r="R233" i="18" l="1"/>
  <c r="R235" i="18"/>
  <c r="R236" i="18" s="1"/>
  <c r="U233" i="18"/>
  <c r="U235" i="18"/>
  <c r="U236" i="18" s="1"/>
  <c r="S233" i="18"/>
  <c r="S235" i="18"/>
  <c r="S236" i="18" s="1"/>
  <c r="W233" i="18"/>
  <c r="W235" i="18"/>
  <c r="W236" i="18" s="1"/>
  <c r="V233" i="18"/>
  <c r="V235" i="18"/>
  <c r="V236" i="18" s="1"/>
  <c r="T233" i="18"/>
  <c r="T235" i="18"/>
  <c r="T236" i="18" s="1"/>
  <c r="G233" i="18"/>
  <c r="AJ147" i="18"/>
  <c r="AL147" i="18"/>
  <c r="X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J233" i="18" s="1"/>
  <c r="J235" i="18"/>
  <c r="AJ234" i="18"/>
  <c r="O235" i="18"/>
  <c r="O236" i="18" s="1"/>
  <c r="O233" i="18"/>
  <c r="K235" i="18"/>
  <c r="K236" i="18" s="1"/>
  <c r="K233" i="18"/>
  <c r="AL224" i="18"/>
  <c r="AL223" i="18"/>
  <c r="AJ220" i="18"/>
  <c r="AI221" i="18"/>
  <c r="AJ221" i="18" s="1"/>
  <c r="Y200" i="18"/>
  <c r="AJ145" i="18"/>
  <c r="AI146" i="18"/>
  <c r="P243" i="18"/>
  <c r="P244" i="18"/>
  <c r="P246" i="18"/>
  <c r="AJ211" i="18"/>
  <c r="AL211" i="18" s="1"/>
  <c r="AL225" i="18" s="1"/>
  <c r="X233" i="18" l="1"/>
  <c r="AJ146" i="18"/>
  <c r="AL146" i="18"/>
  <c r="X236" i="18"/>
  <c r="X235" i="18"/>
  <c r="J236" i="18"/>
  <c r="AJ236" i="18" s="1"/>
  <c r="AJ235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U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<sst xmlns="http://schemas.openxmlformats.org/spreadsheetml/2006/main" count="767" uniqueCount="513">
  <si>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</si>
  <si>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</si>
  <si>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</si>
  <si>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</si>
  <si>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</si>
  <si>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</si>
  <si>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</si>
  <si>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</si>
  <si>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</si>
  <si>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</si>
  <si>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</si>
  <si>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</si>
  <si>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</si>
  <si>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</si>
  <si>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</si>
  <si>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</si>
  <si>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</si>
  <si>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</si>
  <si>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</si>
  <si>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</si>
  <si>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</si>
  <si>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</si>
  <si>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</si>
  <si>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</si>
  <si>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</si>
  <si>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</si>
  <si>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</si>
  <si>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</si>
  <si>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</si>
  <si>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</si>
  <si>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</si>
  <si>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</si>
  <si>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</si>
  <si>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</si>
  <si>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</si>
  <si>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</si>
  <si>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</si>
  <si>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</si>
  <si>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</si>
  <si>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</si>
  <si>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</si>
  <si>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</si>
  <si>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</si>
  <si>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</si>
  <si>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</si>
  <si>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</si>
  <si>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</si>
  <si>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</si>
  <si>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</si>
  <si>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</si>
  <si>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</si>
  <si>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</si>
  <si>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</si>
  <si>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</si>
  <si>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</si>
  <si>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</si>
  <si>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</si>
  <si>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</si>
  <si>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</si>
  <si>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</si>
  <si>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</si>
  <si>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</si>
  <si>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</si>
  <si>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</si>
  <si>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</si>
  <si>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</si>
  <si>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</si>
  <si>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</si>
  <si>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</si>
  <si>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</si>
  <si>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</si>
  <si>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</si>
  <si>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</si>
  <si>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</si>
  <si>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</si>
  <si>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</si>
  <si>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</si>
  <si>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</si>
  <si>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</si>
  <si>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</si>
  <si>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</si>
  <si>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</si>
  <si>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</si>
  <si>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</si>
  <si>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</si>
  <si>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</si>
  <si>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</si>
  <si>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</si>
  <si>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</si>
  <si>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</si>
  <si>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</si>
  <si>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</si>
  <si>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</si>
  <si>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</si>
  <si>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</si>
  <si>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</si>
  <si>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</si>
  <si>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</si>
  <si>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</si>
  <si>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</si>
  <si>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</si>
  <si>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</si>
  <si>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</si>
  <si>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</si>
  <si>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</si>
  <si>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</si>
  <si>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</si>
  <si>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</si>
  <si>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</si>
  <si>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</si>
  <si>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</si>
  <si>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</si>
  <si>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</si>
  <si>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</si>
  <si>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</si>
  <si>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</si>
  <si>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</si>
  <si>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</si>
  <si>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</si>
  <si>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</si>
  <si>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</si>
  <si>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</si>
  <si>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</si>
  <si>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</si>
  <si>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</si>
  <si>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</si>
  <si>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</si>
  <si>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</si>
  <si>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</si>
  <si>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</si>
  <si>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</si>
  <si>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</si>
  <si>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</si>
  <si>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</si>
  <si>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</si>
  <si>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</si>
  <si>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</si>
  <si>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</si>
  <si>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</si>
  <si>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</si>
  <si>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</si>
  <si>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</si>
  <si>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</si>
  <si>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</si>
  <si>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</si>
  <si>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</si>
  <si>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</si>
  <si>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</si>
  <si>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</si>
  <si>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</si>
  <si>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</si>
  <si>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</si>
  <si>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</si>
  <si>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</si>
  <si>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</si>
  <si>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</si>
  <si>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</si>
  <si>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</si>
  <si>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</si>
  <si>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</si>
  <si>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</si>
  <si>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</si>
  <si>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</si>
  <si>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</si>
  <si>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</si>
  <si>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</si>
  <si>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</si>
  <si>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</si>
  <si>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</si>
  <si>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</si>
  <si>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</si>
  <si>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</si>
  <si>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</si>
  <si>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</si>
  <si>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</si>
  <si>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</si>
  <si>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</si>
  <si>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</si>
  <si>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</si>
  <si>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</si>
  <si>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</si>
  <si>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</si>
  <si>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</si>
  <si>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</si>
  <si>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</si>
  <si>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</si>
  <si>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</si>
  <si>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</si>
  <si>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</si>
  <si>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</si>
  <si>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</si>
  <si>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</si>
  <si>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</si>
  <si>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</si>
  <si>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</si>
  <si>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</si>
  <si>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</si>
  <si>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</si>
  <si>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</si>
  <si>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</si>
  <si>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</si>
  <si>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</si>
  <si>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</si>
  <si>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</si>
  <si>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</si>
  <si>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</si>
  <si>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</si>
  <si>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</si>
  <si>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</si>
  <si>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</si>
  <si>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</si>
  <si>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</si>
  <si>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</si>
  <si>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</si>
  <si>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</si>
  <si>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</si>
  <si>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</si>
  <si>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</si>
  <si>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</si>
  <si>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</si>
  <si>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</si>
  <si>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</si>
  <si>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</si>
  <si>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</si>
  <si>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</si>
  <si>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</si>
  <si>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</si>
  <si>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</si>
  <si>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</si>
  <si>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</si>
  <si>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</si>
  <si>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</si>
  <si>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</si>
  <si>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</si>
  <si>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</si>
  <si>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</si>
  <si>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</si>
  <si>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</si>
  <si>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</si>
  <si>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</si>
  <si>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</si>
  <si>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</si>
  <si>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</si>
  <si>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</si>
  <si>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</si>
  <si>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</si>
  <si>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</si>
  <si>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</si>
  <si>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</si>
  <si>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</si>
  <si>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</si>
  <si>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</si>
  <si>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</si>
  <si>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</si>
  <si>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</si>
  <si>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</si>
  <si>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</si>
  <si>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</si>
  <si>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</si>
  <si>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</si>
  <si>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</si>
  <si>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</si>
  <si>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</si>
  <si>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</si>
  <si>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</si>
  <si>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</si>
  <si>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</si>
  <si>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</si>
  <si>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</si>
  <si>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</si>
  <si>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</si>
  <si>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</si>
  <si>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</si>
  <si>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</si>
  <si>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</si>
  <si>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</si>
  <si>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</si>
  <si>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</si>
  <si>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</si>
  <si>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</si>
  <si>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</si>
  <si>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</si>
  <si>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</si>
  <si>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</si>
  <si>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</si>
  <si>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</si>
  <si>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</si>
  <si>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</si>
  <si>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</si>
  <si>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</si>
  <si>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</si>
  <si>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</si>
  <si>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</si>
  <si>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</si>
  <si>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</si>
  <si>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</si>
  <si>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</si>
  <si>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</si>
  <si>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</si>
  <si>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</si>
  <si>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</si>
  <si>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</si>
  <si>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</si>
  <si>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</si>
  <si>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</si>
  <si>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</si>
  <si>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</si>
  <si>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</si>
  <si>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</si>
  <si>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</si>
  <si>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</si>
  <si>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</si>
  <si>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</si>
  <si>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</si>
  <si>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</si>
  <si>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</si>
  <si>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</si>
  <si>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</si>
  <si>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</si>
  <si>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</si>
  <si>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</si>
  <si>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</si>
  <si>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</si>
  <si>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</si>
  <si>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</si>
  <si>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</si>
  <si>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</si>
  <si>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</si>
  <si>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</si>
  <si>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</si>
  <si>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</si>
  <si>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</si>
  <si>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</si>
  <si>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</si>
  <si>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</si>
  <si>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</si>
  <si>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</si>
  <si>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</si>
  <si>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</si>
  <si>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</si>
  <si>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</si>
  <si>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</si>
  <si>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</si>
  <si>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</si>
  <si>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</si>
  <si>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</si>
  <si>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</si>
  <si>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</si>
  <si>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</si>
  <si>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</si>
  <si>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</si>
  <si>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</si>
  <si>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</si>
  <si>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</si>
  <si>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</si>
  <si>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</si>
  <si>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</si>
  <si>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</si>
  <si>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</si>
  <si>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</si>
  <si>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</si>
  <si>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</si>
  <si>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</si>
  <si>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</si>
  <si>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</si>
  <si>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</si>
  <si>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</si>
  <si>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</si>
  <si>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</si>
  <si>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</si>
  <si>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</si>
  <si>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</si>
  <si>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</si>
  <si>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</si>
  <si>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</si>
  <si>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</si>
  <si>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</si>
  <si>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</si>
  <si>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</si>
  <si>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</si>
  <si>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</si>
  <si>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</si>
  <si>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</si>
  <si>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</si>
  <si>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</si>
  <si>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</si>
  <si>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</si>
  <si>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</si>
  <si>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</si>
  <si>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</si>
  <si>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</si>
  <si>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</si>
  <si>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</si>
  <si>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</si>
  <si>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</si>
  <si>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</si>
  <si>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</si>
  <si>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</si>
  <si>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</si>
  <si>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</si>
  <si>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</si>
  <si>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</si>
  <si>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</si>
  <si>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</si>
  <si>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</si>
  <si>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</si>
  <si>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</si>
  <si>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</si>
  <si>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</si>
  <si>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</si>
  <si>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</si>
  <si>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</si>
  <si>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</si>
  <si>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</si>
  <si>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</si>
  <si>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</si>
  <si>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</si>
  <si>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</si>
  <si>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</si>
  <si>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</si>
  <si>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</si>
  <si>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</si>
  <si>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</si>
  <si>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</si>
  <si>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</si>
  <si>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</si>
  <si>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</si>
  <si>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</si>
  <si>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</si>
  <si>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</si>
  <si>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</si>
  <si>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</si>
  <si>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</si>
  <si>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</si>
  <si>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</si>
  <si>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</si>
  <si>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</si>
  <si>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</si>
  <si>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</si>
  <si>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</si>
  <si>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</si>
  <si>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</si>
  <si>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</si>
  <si>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</si>
  <si>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</si>
  <si>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</si>
  <si>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</si>
  <si>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</si>
  <si>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</si>
  <si>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</si>
  <si>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</si>
  <si>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</si>
  <si>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</si>
  <si>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</si>
  <si>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</si>
  <si>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</si>
  <si>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</si>
  <si>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</si>
  <si>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</si>
  <si>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</si>
  <si>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</si>
  <si>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</si>
  <si>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</si>
  <si>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</si>
  <si>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</si>
  <si>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</si>
  <si>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</si>
  <si>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</si>
  <si>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</si>
  <si>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</si>
  <si>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</si>
  <si>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</si>
  <si>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</si>
  <si>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</si>
  <si>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</si>
  <si>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</si>
  <si>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</si>
  <si>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</si>
  <si>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</si>
  <si>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</si>
  <si>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</si>
  <si>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</si>
  <si>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</si>
  <si>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</si>
  <si>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</si>
  <si>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</si>
  <si>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</si>
  <si>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</si>
  <si>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</si>
  <si>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</si>
  <si>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</si>
  <si>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</si>
  <si>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</si>
  <si>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</si>
  <si>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</si>
  <si>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</si>
  <si>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</si>
  <si>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</si>
  <si>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</si>
  <si>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</si>
  <si>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</si>
  <si>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</si>
  <si>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</si>
  <si>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</si>
  <si>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</si>
  <si>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</si>
  <si>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</si>
  <si>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</si>
  <si>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</si>
  <si>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</si>
  <si>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</si>
  <si>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DUMMY</t>
  </si>
  <si>
    <t>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</si>
</sst>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174" fontId="4" fillId="16" borderId="1" xfId="2" applyNumberFormat="1" applyFont="1" applyFill="1" applyBorder="1"/>
    <xf numFmtId="0" fontId="4" fillId="16" borderId="1" xfId="0" applyFont="1" applyFill="1" applyBorder="1" applyAlignment="1">
      <alignment horizontal="center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40960"/>
        <c:axId val="68046848"/>
      </c:lineChart>
      <c:catAx>
        <c:axId val="6804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68046848"/>
        <c:crosses val="autoZero"/>
        <c:auto val="1"/>
        <c:lblAlgn val="ctr"/>
        <c:lblOffset val="100"/>
        <c:noMultiLvlLbl val="0"/>
      </c:catAx>
      <c:valAx>
        <c:axId val="6804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0409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29" sqref="L29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90" t="s">
        <v>434</v>
      </c>
      <c r="C3" s="290"/>
      <c r="D3" s="290"/>
      <c r="G3" s="290" t="s">
        <v>435</v>
      </c>
      <c r="H3" s="290"/>
      <c r="I3" s="290"/>
      <c r="P3" s="299" t="s">
        <v>436</v>
      </c>
      <c r="Q3" s="300"/>
      <c r="R3" s="300"/>
      <c r="S3" s="301"/>
      <c r="T3" s="299" t="s">
        <v>437</v>
      </c>
      <c r="U3" s="300"/>
      <c r="V3" s="300"/>
      <c r="W3" s="301"/>
    </row>
    <row r="4" spans="2:23" x14ac:dyDescent="0.25">
      <c r="B4" s="181" t="s">
        <v>438</v>
      </c>
      <c r="C4" s="302">
        <v>9500000</v>
      </c>
      <c r="D4" s="302"/>
      <c r="G4" s="181" t="s">
        <v>439</v>
      </c>
      <c r="H4" s="292">
        <v>200000</v>
      </c>
      <c r="I4" s="292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 x14ac:dyDescent="0.25">
      <c r="B5" s="181" t="s">
        <v>445</v>
      </c>
      <c r="C5" s="293">
        <v>0.08</v>
      </c>
      <c r="D5" s="294"/>
      <c r="G5" s="181" t="s">
        <v>445</v>
      </c>
      <c r="H5" s="298">
        <v>0.12</v>
      </c>
      <c r="I5" s="298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 x14ac:dyDescent="0.25">
      <c r="B6" s="181" t="s">
        <v>447</v>
      </c>
      <c r="C6" s="292">
        <v>30</v>
      </c>
      <c r="D6" s="292"/>
      <c r="G6" s="181" t="s">
        <v>447</v>
      </c>
      <c r="H6" s="292">
        <v>10</v>
      </c>
      <c r="I6" s="292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 x14ac:dyDescent="0.25">
      <c r="B7" s="181"/>
      <c r="C7" s="291"/>
      <c r="D7" s="291"/>
      <c r="G7" s="181"/>
      <c r="H7" s="291"/>
      <c r="I7" s="291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 x14ac:dyDescent="0.25">
      <c r="B8" s="181"/>
      <c r="C8" s="291"/>
      <c r="D8" s="291"/>
      <c r="G8" s="181"/>
      <c r="H8" s="291"/>
      <c r="I8" s="291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 x14ac:dyDescent="0.25">
      <c r="B9" s="199" t="s">
        <v>439</v>
      </c>
      <c r="C9" s="289">
        <f>C4*(1/(1+C5)^C6)</f>
        <v>944084.6592231117</v>
      </c>
      <c r="D9" s="289"/>
      <c r="G9" s="199" t="s">
        <v>452</v>
      </c>
      <c r="H9" s="289">
        <f>H4*((1+H5)^H6)</f>
        <v>621169.64166884217</v>
      </c>
      <c r="I9" s="289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 x14ac:dyDescent="0.25">
      <c r="B10" s="199" t="s">
        <v>454</v>
      </c>
      <c r="C10" s="289">
        <f>C4-C9</f>
        <v>8555915.3407768887</v>
      </c>
      <c r="D10" s="289"/>
      <c r="G10" s="199" t="s">
        <v>454</v>
      </c>
      <c r="H10" s="297">
        <f>H9-H4</f>
        <v>421169.64166884217</v>
      </c>
      <c r="I10" s="297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 x14ac:dyDescent="0.25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 x14ac:dyDescent="0.3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 x14ac:dyDescent="0.25">
      <c r="K13" s="205" t="s">
        <v>319</v>
      </c>
    </row>
    <row r="14" spans="2:23" x14ac:dyDescent="0.25">
      <c r="B14" s="290" t="s">
        <v>458</v>
      </c>
      <c r="C14" s="290"/>
      <c r="D14" s="290"/>
      <c r="G14" s="290" t="s">
        <v>459</v>
      </c>
      <c r="H14" s="290"/>
      <c r="I14" s="290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 x14ac:dyDescent="0.25">
      <c r="B15" s="181" t="s">
        <v>460</v>
      </c>
      <c r="C15" s="292">
        <v>24000</v>
      </c>
      <c r="D15" s="292"/>
      <c r="G15" s="181" t="s">
        <v>460</v>
      </c>
      <c r="H15" s="292">
        <v>200000</v>
      </c>
      <c r="I15" s="292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 x14ac:dyDescent="0.25">
      <c r="B16" s="181" t="s">
        <v>445</v>
      </c>
      <c r="C16" s="293">
        <v>0.1</v>
      </c>
      <c r="D16" s="294"/>
      <c r="G16" s="181" t="s">
        <v>445</v>
      </c>
      <c r="H16" s="293">
        <v>0.12</v>
      </c>
      <c r="I16" s="294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 x14ac:dyDescent="0.25">
      <c r="B17" s="181" t="s">
        <v>447</v>
      </c>
      <c r="C17" s="292">
        <v>20</v>
      </c>
      <c r="D17" s="292"/>
      <c r="G17" s="181" t="s">
        <v>447</v>
      </c>
      <c r="H17" s="292">
        <v>10</v>
      </c>
      <c r="I17" s="292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 x14ac:dyDescent="0.25">
      <c r="B18" s="181"/>
      <c r="C18" s="291"/>
      <c r="D18" s="291"/>
      <c r="G18" s="181"/>
      <c r="H18" s="291"/>
      <c r="I18" s="291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 x14ac:dyDescent="0.25">
      <c r="B19" s="199" t="s">
        <v>461</v>
      </c>
      <c r="C19" s="285">
        <f>( ( 1-  (1/ ( (1+C16)^C17) ) ) / C16)</f>
        <v>8.5135637197585652</v>
      </c>
      <c r="D19" s="286"/>
      <c r="G19" s="199" t="s">
        <v>462</v>
      </c>
      <c r="H19" s="285">
        <f>( ((1+H16)^H17) -1 ) / H16</f>
        <v>17.548735069535095</v>
      </c>
      <c r="I19" s="286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 x14ac:dyDescent="0.25">
      <c r="B20" s="199" t="s">
        <v>463</v>
      </c>
      <c r="C20" s="295">
        <f>C19 * C15</f>
        <v>204325.52927420556</v>
      </c>
      <c r="D20" s="296"/>
      <c r="G20" s="199" t="s">
        <v>464</v>
      </c>
      <c r="H20" s="285">
        <f>H19 * H15</f>
        <v>3509747.013907019</v>
      </c>
      <c r="I20" s="286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 x14ac:dyDescent="0.25">
      <c r="B21" s="199"/>
      <c r="C21" s="287"/>
      <c r="D21" s="288"/>
      <c r="G21" s="199"/>
      <c r="H21" s="287"/>
      <c r="I21" s="288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 x14ac:dyDescent="0.25">
      <c r="B22" s="199"/>
      <c r="C22" s="289"/>
      <c r="D22" s="289"/>
      <c r="G22" s="199"/>
      <c r="H22" s="289"/>
      <c r="I22" s="289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 x14ac:dyDescent="0.25">
      <c r="B26" s="290" t="s">
        <v>465</v>
      </c>
      <c r="C26" s="290"/>
      <c r="D26" s="290"/>
      <c r="G26" s="290" t="s">
        <v>466</v>
      </c>
      <c r="H26" s="290"/>
      <c r="I26" s="290"/>
      <c r="K26" s="290" t="s">
        <v>15</v>
      </c>
      <c r="L26" s="290"/>
    </row>
    <row r="27" spans="2:18" x14ac:dyDescent="0.25">
      <c r="B27" s="181" t="s">
        <v>460</v>
      </c>
      <c r="C27" s="292">
        <v>100</v>
      </c>
      <c r="D27" s="292"/>
      <c r="G27" s="181" t="s">
        <v>460</v>
      </c>
      <c r="H27" s="292">
        <v>200000</v>
      </c>
      <c r="I27" s="292"/>
      <c r="K27" s="10" t="s">
        <v>16</v>
      </c>
      <c r="L27" s="11">
        <v>100</v>
      </c>
      <c r="M27" s="270">
        <v>2000000</v>
      </c>
    </row>
    <row r="28" spans="2:18" x14ac:dyDescent="0.25">
      <c r="B28" s="181" t="s">
        <v>445</v>
      </c>
      <c r="C28" s="293">
        <v>0.05</v>
      </c>
      <c r="D28" s="294"/>
      <c r="G28" s="181" t="s">
        <v>445</v>
      </c>
      <c r="H28" s="293">
        <v>0.12</v>
      </c>
      <c r="I28" s="294"/>
      <c r="K28" s="10" t="s">
        <v>17</v>
      </c>
      <c r="L28" s="11">
        <v>880</v>
      </c>
      <c r="M28" s="210">
        <f>L41*M27</f>
        <v>17600000</v>
      </c>
      <c r="R28">
        <v>416</v>
      </c>
    </row>
    <row r="29" spans="2:18" x14ac:dyDescent="0.25">
      <c r="B29" s="181" t="s">
        <v>447</v>
      </c>
      <c r="C29" s="292">
        <v>3</v>
      </c>
      <c r="D29" s="292"/>
      <c r="G29" s="181" t="s">
        <v>447</v>
      </c>
      <c r="H29" s="292">
        <v>11</v>
      </c>
      <c r="I29" s="292"/>
      <c r="K29" s="10" t="s">
        <v>18</v>
      </c>
      <c r="L29" s="12">
        <v>10</v>
      </c>
      <c r="M29" s="269"/>
    </row>
    <row r="30" spans="2:18" ht="15.75" thickBot="1" x14ac:dyDescent="0.3">
      <c r="B30" s="181"/>
      <c r="C30" s="291"/>
      <c r="D30" s="291"/>
      <c r="G30" s="181"/>
      <c r="H30" s="291"/>
      <c r="I30" s="291"/>
      <c r="K30" s="13" t="s">
        <v>19</v>
      </c>
      <c r="L30" s="3">
        <f>((L28/L27)^(1/L29))-1</f>
        <v>0.24293456972961591</v>
      </c>
      <c r="M30" s="3"/>
    </row>
    <row r="31" spans="2:18" x14ac:dyDescent="0.25">
      <c r="B31" s="199" t="s">
        <v>461</v>
      </c>
      <c r="C31" s="285">
        <f>( ( ( 1-  (1/ ( (1+C28)^C29) ) ) / C28) ) * (1+C28)</f>
        <v>2.859410430839004</v>
      </c>
      <c r="D31" s="286"/>
      <c r="G31" s="199" t="s">
        <v>462</v>
      </c>
      <c r="H31" s="285">
        <f>(( ((1+H28)^H29) -1 ) / H28 ) * ( 1+H28)</f>
        <v>23.133133271224832</v>
      </c>
      <c r="I31" s="286"/>
      <c r="K31" s="13" t="s">
        <v>20</v>
      </c>
      <c r="L31" s="14">
        <f>L29*12</f>
        <v>120</v>
      </c>
      <c r="M31" s="271"/>
      <c r="P31" s="213" t="s">
        <v>467</v>
      </c>
      <c r="Q31" s="214" t="s">
        <v>468</v>
      </c>
    </row>
    <row r="32" spans="2:18" x14ac:dyDescent="0.25">
      <c r="B32" s="199" t="s">
        <v>469</v>
      </c>
      <c r="C32" s="285">
        <f>C31 * C27</f>
        <v>285.94104308390041</v>
      </c>
      <c r="D32" s="286"/>
      <c r="G32" s="199" t="s">
        <v>470</v>
      </c>
      <c r="H32" s="285">
        <f>H31 * H27</f>
        <v>4626626.6542449668</v>
      </c>
      <c r="I32" s="286"/>
      <c r="K32" s="10" t="s">
        <v>18</v>
      </c>
      <c r="L32" s="15">
        <f>L31/12</f>
        <v>10</v>
      </c>
      <c r="M32" s="272"/>
      <c r="P32" s="215">
        <v>0.05</v>
      </c>
      <c r="Q32" s="216">
        <v>14</v>
      </c>
    </row>
    <row r="33" spans="2:17" x14ac:dyDescent="0.25">
      <c r="B33" s="199"/>
      <c r="C33" s="287"/>
      <c r="D33" s="288"/>
      <c r="G33" s="199"/>
      <c r="H33" s="287"/>
      <c r="I33" s="288"/>
      <c r="K33" s="13" t="s">
        <v>21</v>
      </c>
      <c r="L33" s="3">
        <f>((L28/L27)^(1/L32))-1</f>
        <v>0.24293456972961591</v>
      </c>
      <c r="M33" s="273"/>
      <c r="P33" s="215">
        <v>0.08</v>
      </c>
      <c r="Q33" s="216">
        <v>9</v>
      </c>
    </row>
    <row r="34" spans="2:17" x14ac:dyDescent="0.25">
      <c r="B34" s="199"/>
      <c r="C34" s="289"/>
      <c r="D34" s="289"/>
      <c r="G34" s="199"/>
      <c r="H34" s="289"/>
      <c r="I34" s="289"/>
      <c r="P34" s="215">
        <v>0.1</v>
      </c>
      <c r="Q34" s="216">
        <v>10</v>
      </c>
    </row>
    <row r="35" spans="2:17" x14ac:dyDescent="0.25">
      <c r="P35" s="215">
        <v>0.15</v>
      </c>
      <c r="Q35" s="216">
        <v>5</v>
      </c>
    </row>
    <row r="36" spans="2:17" x14ac:dyDescent="0.25">
      <c r="B36" s="290" t="s">
        <v>24</v>
      </c>
      <c r="C36" s="290"/>
      <c r="D36" s="290"/>
      <c r="E36" s="217"/>
      <c r="G36" s="290" t="s">
        <v>53</v>
      </c>
      <c r="H36" s="290"/>
      <c r="K36" s="290" t="s">
        <v>334</v>
      </c>
      <c r="L36" s="290"/>
      <c r="P36" s="215">
        <v>0.2</v>
      </c>
      <c r="Q36" s="216">
        <v>4</v>
      </c>
    </row>
    <row r="37" spans="2:17" x14ac:dyDescent="0.25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100</v>
      </c>
      <c r="M37" s="212"/>
      <c r="P37" s="215">
        <v>0.25</v>
      </c>
      <c r="Q37" s="216">
        <v>3</v>
      </c>
    </row>
    <row r="38" spans="2:17" x14ac:dyDescent="0.25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880</v>
      </c>
      <c r="M38" s="212"/>
      <c r="P38" s="215">
        <v>0.3</v>
      </c>
      <c r="Q38" s="216">
        <v>2.5</v>
      </c>
    </row>
    <row r="39" spans="2:17" x14ac:dyDescent="0.25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 x14ac:dyDescent="0.25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7.8</v>
      </c>
      <c r="P40" s="220">
        <v>0.5</v>
      </c>
      <c r="Q40" s="221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8.8000000000000007</v>
      </c>
      <c r="P41" s="220">
        <v>0.75</v>
      </c>
      <c r="Q41" s="221">
        <v>1.3</v>
      </c>
    </row>
    <row r="42" spans="2:17" ht="15.75" thickBot="1" x14ac:dyDescent="0.3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 x14ac:dyDescent="0.3">
      <c r="C43" s="284" t="s">
        <v>452</v>
      </c>
      <c r="D43" s="284"/>
      <c r="E43" s="284"/>
      <c r="F43" s="284"/>
      <c r="J43" s="284" t="s">
        <v>452</v>
      </c>
      <c r="K43" s="284"/>
      <c r="L43" s="284"/>
      <c r="M43" s="284"/>
    </row>
    <row r="44" spans="2:17" ht="15.75" thickBot="1" x14ac:dyDescent="0.3">
      <c r="B44" s="227"/>
      <c r="C44" s="277" t="s">
        <v>473</v>
      </c>
      <c r="D44" s="278"/>
      <c r="E44" s="228" t="s">
        <v>474</v>
      </c>
      <c r="F44" s="228"/>
      <c r="G44" s="229"/>
      <c r="I44" s="227"/>
      <c r="J44" s="277" t="s">
        <v>475</v>
      </c>
      <c r="K44" s="278"/>
      <c r="L44" s="228" t="s">
        <v>476</v>
      </c>
      <c r="M44" s="228"/>
      <c r="N44" s="229"/>
    </row>
    <row r="45" spans="2:17" ht="15.75" thickBot="1" x14ac:dyDescent="0.3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 x14ac:dyDescent="0.3">
      <c r="B46" s="279" t="s">
        <v>477</v>
      </c>
      <c r="C46" s="280"/>
      <c r="D46" s="280"/>
      <c r="E46" s="280"/>
      <c r="F46" s="280"/>
      <c r="G46" s="281"/>
      <c r="I46" s="279" t="s">
        <v>477</v>
      </c>
      <c r="J46" s="280"/>
      <c r="K46" s="280"/>
      <c r="L46" s="280"/>
      <c r="M46" s="280"/>
      <c r="N46" s="281"/>
    </row>
    <row r="47" spans="2:17" x14ac:dyDescent="0.25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 x14ac:dyDescent="0.25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 x14ac:dyDescent="0.25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 x14ac:dyDescent="0.25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 x14ac:dyDescent="0.25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 x14ac:dyDescent="0.25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 x14ac:dyDescent="0.25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 x14ac:dyDescent="0.25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 x14ac:dyDescent="0.25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 x14ac:dyDescent="0.25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 x14ac:dyDescent="0.25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 x14ac:dyDescent="0.25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 x14ac:dyDescent="0.25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 x14ac:dyDescent="0.25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 x14ac:dyDescent="0.25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 x14ac:dyDescent="0.25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 x14ac:dyDescent="0.25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 x14ac:dyDescent="0.25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2332630920.4101563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 x14ac:dyDescent="0.25">
      <c r="A65">
        <f t="shared" si="8"/>
        <v>2029</v>
      </c>
      <c r="B65" s="236">
        <f t="shared" si="8"/>
        <v>16</v>
      </c>
      <c r="C65" s="237">
        <f t="shared" si="2"/>
        <v>2332630920.4101563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 x14ac:dyDescent="0.25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 x14ac:dyDescent="0.25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 x14ac:dyDescent="0.25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 x14ac:dyDescent="0.25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 x14ac:dyDescent="0.25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 x14ac:dyDescent="0.25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 x14ac:dyDescent="0.25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 x14ac:dyDescent="0.25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 x14ac:dyDescent="0.25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 x14ac:dyDescent="0.25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 x14ac:dyDescent="0.25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 x14ac:dyDescent="0.25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 x14ac:dyDescent="0.25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 x14ac:dyDescent="0.25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 x14ac:dyDescent="0.3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 x14ac:dyDescent="0.3">
      <c r="B81" s="282" t="s">
        <v>485</v>
      </c>
      <c r="C81" s="283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282" t="s">
        <v>485</v>
      </c>
      <c r="J81" s="283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 x14ac:dyDescent="0.3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 x14ac:dyDescent="0.25">
      <c r="G83" s="259"/>
      <c r="H83" s="248">
        <f t="shared" si="14"/>
        <v>0</v>
      </c>
    </row>
    <row r="84" spans="2:14" ht="15.75" thickBot="1" x14ac:dyDescent="0.3">
      <c r="C84" s="284" t="s">
        <v>487</v>
      </c>
      <c r="D84" s="284"/>
      <c r="E84" s="284"/>
      <c r="F84" s="284"/>
      <c r="H84" s="248">
        <f t="shared" si="14"/>
        <v>0</v>
      </c>
      <c r="J84" s="284" t="s">
        <v>487</v>
      </c>
      <c r="K84" s="284"/>
      <c r="L84" s="284"/>
      <c r="M84" s="284"/>
    </row>
    <row r="85" spans="2:14" ht="15.75" thickBot="1" x14ac:dyDescent="0.3">
      <c r="H85" s="248">
        <f t="shared" si="14"/>
        <v>1.4999999999999999E-7</v>
      </c>
    </row>
    <row r="86" spans="2:14" ht="15.75" thickBot="1" x14ac:dyDescent="0.3">
      <c r="B86" s="227"/>
      <c r="C86" s="277" t="s">
        <v>473</v>
      </c>
      <c r="D86" s="278"/>
      <c r="E86" s="228" t="s">
        <v>474</v>
      </c>
      <c r="F86" s="228"/>
      <c r="G86" s="229"/>
      <c r="H86" s="248">
        <f t="shared" si="14"/>
        <v>0</v>
      </c>
      <c r="I86" s="227"/>
      <c r="J86" s="277" t="s">
        <v>488</v>
      </c>
      <c r="K86" s="278"/>
      <c r="L86" s="228" t="s">
        <v>489</v>
      </c>
      <c r="M86" s="228"/>
      <c r="N86" s="229"/>
    </row>
    <row r="87" spans="2:14" ht="15.75" thickBot="1" x14ac:dyDescent="0.3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 x14ac:dyDescent="0.3">
      <c r="B88" s="279" t="s">
        <v>490</v>
      </c>
      <c r="C88" s="280"/>
      <c r="D88" s="280"/>
      <c r="E88" s="280"/>
      <c r="F88" s="280"/>
      <c r="G88" s="281"/>
      <c r="H88" s="248">
        <f t="shared" si="14"/>
        <v>0</v>
      </c>
      <c r="I88" s="279" t="s">
        <v>490</v>
      </c>
      <c r="J88" s="280"/>
      <c r="K88" s="280"/>
      <c r="L88" s="280"/>
      <c r="M88" s="280"/>
      <c r="N88" s="281"/>
    </row>
    <row r="89" spans="2:14" x14ac:dyDescent="0.25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 x14ac:dyDescent="0.25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 x14ac:dyDescent="0.25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 x14ac:dyDescent="0.25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 x14ac:dyDescent="0.25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 x14ac:dyDescent="0.25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 x14ac:dyDescent="0.25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 x14ac:dyDescent="0.25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 x14ac:dyDescent="0.25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 x14ac:dyDescent="0.25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 x14ac:dyDescent="0.25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 x14ac:dyDescent="0.25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 x14ac:dyDescent="0.25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 x14ac:dyDescent="0.25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 x14ac:dyDescent="0.25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 x14ac:dyDescent="0.25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 x14ac:dyDescent="0.25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 x14ac:dyDescent="0.25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 x14ac:dyDescent="0.25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 x14ac:dyDescent="0.25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 x14ac:dyDescent="0.25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 x14ac:dyDescent="0.25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 x14ac:dyDescent="0.25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 x14ac:dyDescent="0.25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 x14ac:dyDescent="0.25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 x14ac:dyDescent="0.25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 x14ac:dyDescent="0.25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 x14ac:dyDescent="0.25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 x14ac:dyDescent="0.25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 x14ac:dyDescent="0.25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 x14ac:dyDescent="0.25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 x14ac:dyDescent="0.25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 x14ac:dyDescent="0.25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 x14ac:dyDescent="0.25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 x14ac:dyDescent="0.3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 x14ac:dyDescent="0.3">
      <c r="B124" s="282" t="s">
        <v>496</v>
      </c>
      <c r="C124" s="283"/>
      <c r="D124" s="253">
        <f>SUM(D91:D123)</f>
        <v>1900</v>
      </c>
      <c r="E124" s="251"/>
      <c r="F124" s="251"/>
      <c r="G124" s="265">
        <f>G121</f>
        <v>1413.1902480939689</v>
      </c>
      <c r="I124" s="282" t="s">
        <v>496</v>
      </c>
      <c r="J124" s="283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 x14ac:dyDescent="0.3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84"/>
  <sheetViews>
    <sheetView tabSelected="1" zoomScale="90" zoomScaleNormal="9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M25" sqref="M25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7" width="12.28515625" style="89" bestFit="1" customWidth="1"/>
    <col min="18" max="18" width="12.28515625" style="89" customWidth="1"/>
    <col min="19" max="20" width="12.28515625" style="89" bestFit="1" customWidth="1"/>
    <col min="21" max="23" width="10.7109375" style="89" customWidth="1"/>
    <col min="24" max="24" width="9.85546875" style="89" customWidth="1"/>
    <col min="25" max="25" width="10.85546875" style="89" bestFit="1" customWidth="1"/>
    <col min="26" max="27" width="9.7109375" style="89" bestFit="1" customWidth="1"/>
    <col min="28" max="34" width="8" style="89" bestFit="1" customWidth="1"/>
    <col min="35" max="35" width="11.28515625" style="89" bestFit="1" customWidth="1"/>
    <col min="36" max="36" width="9.28515625" style="89" bestFit="1" customWidth="1"/>
    <col min="37" max="37" width="9" style="89" customWidth="1"/>
    <col min="38" max="38" width="10.7109375" style="89" customWidth="1"/>
    <col min="39" max="16384" width="9.140625" style="89"/>
  </cols>
  <sheetData>
    <row r="1" spans="2:38" x14ac:dyDescent="0.2">
      <c r="B1" s="106" t="s">
        <v>506</v>
      </c>
      <c r="C1" s="274">
        <f>T2</f>
        <v>0.22</v>
      </c>
      <c r="I1" s="89" t="s">
        <v>209</v>
      </c>
      <c r="K1" s="107">
        <v>2007</v>
      </c>
      <c r="M1" s="89" t="s">
        <v>271</v>
      </c>
      <c r="O1" s="137">
        <v>0.01</v>
      </c>
      <c r="Q1" s="89" t="s">
        <v>340</v>
      </c>
      <c r="T1" s="137">
        <v>0.01</v>
      </c>
    </row>
    <row r="2" spans="2:38" x14ac:dyDescent="0.2">
      <c r="B2" s="129" t="s">
        <v>261</v>
      </c>
      <c r="C2" s="103"/>
      <c r="I2" s="89" t="s">
        <v>210</v>
      </c>
      <c r="K2" s="107">
        <v>2020</v>
      </c>
      <c r="M2" s="89" t="s">
        <v>272</v>
      </c>
      <c r="O2" s="137">
        <v>0.2</v>
      </c>
      <c r="Q2" s="89" t="s">
        <v>405</v>
      </c>
      <c r="T2" s="137">
        <v>0.22</v>
      </c>
      <c r="Z2" s="98" t="s">
        <v>5</v>
      </c>
      <c r="AA2" s="98" t="s">
        <v>6</v>
      </c>
      <c r="AB2" s="98" t="s">
        <v>7</v>
      </c>
      <c r="AC2" s="98" t="s">
        <v>8</v>
      </c>
      <c r="AD2" s="98" t="s">
        <v>9</v>
      </c>
      <c r="AE2" s="98" t="s">
        <v>192</v>
      </c>
      <c r="AF2" s="98" t="s">
        <v>193</v>
      </c>
      <c r="AG2" s="98" t="s">
        <v>194</v>
      </c>
      <c r="AH2" s="98" t="s">
        <v>195</v>
      </c>
      <c r="AI2" s="98" t="s">
        <v>196</v>
      </c>
      <c r="AK2" s="307" t="s">
        <v>240</v>
      </c>
      <c r="AL2" s="308"/>
    </row>
    <row r="3" spans="2:38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9" t="s">
        <v>1</v>
      </c>
      <c r="Y3" s="99" t="s">
        <v>211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113" t="s">
        <v>1</v>
      </c>
      <c r="AK3" s="309" t="s">
        <v>241</v>
      </c>
      <c r="AL3" s="310"/>
    </row>
    <row r="4" spans="2:38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14"/>
      <c r="AK4" s="10"/>
      <c r="AL4" s="10"/>
    </row>
    <row r="5" spans="2:38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275" t="s">
        <v>511</v>
      </c>
      <c r="X5" s="10"/>
      <c r="Y5" s="1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14"/>
      <c r="AK5" s="10"/>
      <c r="AL5" s="130"/>
    </row>
    <row r="6" spans="2:38" x14ac:dyDescent="0.2">
      <c r="B6" s="10" t="s">
        <v>10</v>
      </c>
      <c r="C6" s="118"/>
      <c r="D6" s="118"/>
      <c r="E6" s="124"/>
      <c r="F6" s="124"/>
      <c r="G6" s="124">
        <f>L6</f>
        <v>581</v>
      </c>
      <c r="H6" s="124"/>
      <c r="I6" s="124"/>
      <c r="J6" s="124">
        <v>124</v>
      </c>
      <c r="K6" s="124">
        <v>538</v>
      </c>
      <c r="L6" s="124">
        <v>581</v>
      </c>
      <c r="M6" s="124">
        <v>599</v>
      </c>
      <c r="N6" s="124">
        <v>623</v>
      </c>
      <c r="O6" s="124">
        <v>632</v>
      </c>
      <c r="P6" s="124">
        <v>641</v>
      </c>
      <c r="Q6" s="124">
        <v>729</v>
      </c>
      <c r="R6" s="124">
        <v>765</v>
      </c>
      <c r="S6" s="124">
        <v>706</v>
      </c>
      <c r="T6" s="124">
        <v>800</v>
      </c>
      <c r="U6" s="124">
        <v>907</v>
      </c>
      <c r="V6" s="124">
        <v>764</v>
      </c>
      <c r="W6" s="124">
        <f>V6</f>
        <v>764</v>
      </c>
      <c r="X6" s="101">
        <f>((W6/G6)^(1/($K$2-$K$1) ))-1</f>
        <v>2.128623607111968E-2</v>
      </c>
      <c r="Y6" s="21">
        <f>$O$2</f>
        <v>0.2</v>
      </c>
      <c r="Z6" s="130">
        <f>W6*(1+$Y6)</f>
        <v>916.8</v>
      </c>
      <c r="AA6" s="130">
        <f>Z6*(1+$Y6)</f>
        <v>1100.1599999999999</v>
      </c>
      <c r="AB6" s="130">
        <f t="shared" ref="AB6:AI6" si="0">AA6*(1+$Y6)</f>
        <v>1320.1919999999998</v>
      </c>
      <c r="AC6" s="130">
        <f t="shared" si="0"/>
        <v>1584.2303999999997</v>
      </c>
      <c r="AD6" s="130">
        <f t="shared" si="0"/>
        <v>1901.0764799999995</v>
      </c>
      <c r="AE6" s="130">
        <f t="shared" si="0"/>
        <v>2281.2917759999991</v>
      </c>
      <c r="AF6" s="130">
        <f t="shared" si="0"/>
        <v>2737.5501311999988</v>
      </c>
      <c r="AG6" s="130">
        <f t="shared" si="0"/>
        <v>3285.0601574399984</v>
      </c>
      <c r="AH6" s="130">
        <f t="shared" si="0"/>
        <v>3942.072188927998</v>
      </c>
      <c r="AI6" s="130">
        <f t="shared" si="0"/>
        <v>4730.4866267135976</v>
      </c>
      <c r="AJ6" s="115">
        <f>((AI6/G6)^(1/($AI$3-$K$1) ))-1</f>
        <v>9.5461056097151831E-2</v>
      </c>
      <c r="AK6" s="21">
        <f>$O$1</f>
        <v>0.01</v>
      </c>
      <c r="AL6" s="123" t="e">
        <f>(AI6*(1+AK6))/($O$1-AK6)</f>
        <v>#DIV/0!</v>
      </c>
    </row>
    <row r="7" spans="2:38" x14ac:dyDescent="0.2">
      <c r="B7" s="10" t="s">
        <v>198</v>
      </c>
      <c r="C7" s="118"/>
      <c r="D7" s="118"/>
      <c r="E7" s="124"/>
      <c r="F7" s="124"/>
      <c r="G7" s="124">
        <f>L7</f>
        <v>657</v>
      </c>
      <c r="H7" s="124"/>
      <c r="I7" s="124"/>
      <c r="J7" s="124">
        <v>180</v>
      </c>
      <c r="K7" s="124">
        <v>613</v>
      </c>
      <c r="L7" s="124">
        <v>657</v>
      </c>
      <c r="M7" s="124">
        <v>674</v>
      </c>
      <c r="N7" s="124">
        <v>699</v>
      </c>
      <c r="O7" s="124">
        <v>721</v>
      </c>
      <c r="P7" s="124">
        <v>717</v>
      </c>
      <c r="Q7" s="124">
        <v>805</v>
      </c>
      <c r="R7" s="124">
        <v>841</v>
      </c>
      <c r="S7" s="124">
        <v>782</v>
      </c>
      <c r="T7" s="124">
        <v>876</v>
      </c>
      <c r="U7" s="124">
        <v>983</v>
      </c>
      <c r="V7" s="124">
        <v>840</v>
      </c>
      <c r="W7" s="124">
        <f>V7</f>
        <v>840</v>
      </c>
      <c r="X7" s="101">
        <f>((W7/G7)^(1/($K$2-$K$1) ))-1</f>
        <v>1.9081136654754971E-2</v>
      </c>
      <c r="Y7" s="21">
        <f>$O$2</f>
        <v>0.2</v>
      </c>
      <c r="Z7" s="130">
        <f t="shared" ref="Z7:Z63" si="1">W7*(1+$Y7)</f>
        <v>1008</v>
      </c>
      <c r="AA7" s="130">
        <f t="shared" ref="AA7:AI7" si="2">Z7*(1+$Y7)</f>
        <v>1209.5999999999999</v>
      </c>
      <c r="AB7" s="130">
        <f t="shared" si="2"/>
        <v>1451.5199999999998</v>
      </c>
      <c r="AC7" s="130">
        <f t="shared" si="2"/>
        <v>1741.8239999999996</v>
      </c>
      <c r="AD7" s="130">
        <f t="shared" si="2"/>
        <v>2090.1887999999994</v>
      </c>
      <c r="AE7" s="130">
        <f t="shared" si="2"/>
        <v>2508.2265599999992</v>
      </c>
      <c r="AF7" s="130">
        <f t="shared" si="2"/>
        <v>3009.8718719999988</v>
      </c>
      <c r="AG7" s="130">
        <f t="shared" si="2"/>
        <v>3611.8462463999986</v>
      </c>
      <c r="AH7" s="130">
        <f t="shared" si="2"/>
        <v>4334.2154956799977</v>
      </c>
      <c r="AI7" s="130">
        <f t="shared" si="2"/>
        <v>5201.0585948159969</v>
      </c>
      <c r="AJ7" s="115">
        <f t="shared" ref="AJ7:AJ63" si="3">((AI7/G7)^(1/($AI$3-$K$1) ))-1</f>
        <v>9.4123545702936573E-2</v>
      </c>
      <c r="AK7" s="21">
        <f>$O$1</f>
        <v>0.01</v>
      </c>
      <c r="AL7" s="123" t="e">
        <f>(AI7*(1+AK7))/($O$1-AK7)</f>
        <v>#DIV/0!</v>
      </c>
    </row>
    <row r="8" spans="2:38" x14ac:dyDescent="0.2">
      <c r="B8" s="10"/>
      <c r="C8" s="118"/>
      <c r="D8" s="118"/>
      <c r="E8" s="124"/>
      <c r="F8" s="266"/>
      <c r="G8" s="266">
        <f>(G7-F7)/G7</f>
        <v>1</v>
      </c>
      <c r="H8" s="127" t="e">
        <f>(H7-G7)/H7</f>
        <v>#DIV/0!</v>
      </c>
      <c r="I8" s="127" t="e">
        <f t="shared" ref="I8:P8" si="4">(I7-H7)/I7</f>
        <v>#DIV/0!</v>
      </c>
      <c r="J8" s="127">
        <f t="shared" si="4"/>
        <v>1</v>
      </c>
      <c r="K8" s="127">
        <f t="shared" si="4"/>
        <v>0.70636215334420882</v>
      </c>
      <c r="L8" s="127">
        <f t="shared" si="4"/>
        <v>6.6971080669710803E-2</v>
      </c>
      <c r="M8" s="127">
        <f t="shared" si="4"/>
        <v>2.5222551928783383E-2</v>
      </c>
      <c r="N8" s="127">
        <f t="shared" si="4"/>
        <v>3.5765379113018601E-2</v>
      </c>
      <c r="O8" s="127">
        <f t="shared" si="4"/>
        <v>3.0513176144244106E-2</v>
      </c>
      <c r="P8" s="127">
        <f t="shared" si="4"/>
        <v>-5.5788005578800556E-3</v>
      </c>
      <c r="Q8" s="127">
        <f t="shared" ref="Q8" si="5">(Q7-P7)/Q7</f>
        <v>0.1093167701863354</v>
      </c>
      <c r="R8" s="127">
        <f t="shared" ref="R8" si="6">(R7-Q7)/R7</f>
        <v>4.2806183115338882E-2</v>
      </c>
      <c r="S8" s="127">
        <f t="shared" ref="S8" si="7">(S7-R7)/S7</f>
        <v>-7.5447570332480812E-2</v>
      </c>
      <c r="T8" s="127">
        <f t="shared" ref="T8" si="8">(T7-S7)/T7</f>
        <v>0.10730593607305935</v>
      </c>
      <c r="U8" s="127">
        <f t="shared" ref="U8" si="9">(U7-T7)/U7</f>
        <v>0.10885045778229908</v>
      </c>
      <c r="V8" s="127">
        <f t="shared" ref="V8" si="10">(V7-U7)/V7</f>
        <v>-0.17023809523809524</v>
      </c>
      <c r="W8" s="127">
        <f t="shared" ref="W8" si="11">(W7-V7)/W7</f>
        <v>0</v>
      </c>
      <c r="X8" s="10"/>
      <c r="Y8" s="1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14"/>
      <c r="AK8" s="114"/>
      <c r="AL8" s="123"/>
    </row>
    <row r="9" spans="2:38" x14ac:dyDescent="0.2">
      <c r="B9" s="10" t="s">
        <v>220</v>
      </c>
      <c r="C9" s="118"/>
      <c r="D9" s="118"/>
      <c r="E9" s="124"/>
      <c r="F9" s="124"/>
      <c r="G9" s="124">
        <f>L9</f>
        <v>105</v>
      </c>
      <c r="H9" s="124"/>
      <c r="I9" s="124"/>
      <c r="J9" s="124">
        <v>225</v>
      </c>
      <c r="K9" s="124">
        <v>217</v>
      </c>
      <c r="L9" s="124">
        <v>105</v>
      </c>
      <c r="M9" s="124">
        <v>92</v>
      </c>
      <c r="N9" s="124">
        <v>150</v>
      </c>
      <c r="O9" s="124">
        <v>265</v>
      </c>
      <c r="P9" s="124">
        <v>359</v>
      </c>
      <c r="Q9" s="124">
        <v>555</v>
      </c>
      <c r="R9" s="124">
        <v>686</v>
      </c>
      <c r="S9" s="124">
        <v>959</v>
      </c>
      <c r="T9" s="124">
        <v>1398</v>
      </c>
      <c r="U9" s="124">
        <v>950</v>
      </c>
      <c r="V9" s="124">
        <v>2164</v>
      </c>
      <c r="W9" s="124">
        <f>V9</f>
        <v>2164</v>
      </c>
      <c r="X9" s="101">
        <f>((W9/G9)^(1/($K$2-$K$1) ))-1</f>
        <v>0.26206624278480728</v>
      </c>
      <c r="Y9" s="21">
        <f t="shared" ref="Y9:Y59" si="12">$O$2</f>
        <v>0.2</v>
      </c>
      <c r="Z9" s="130">
        <f t="shared" si="1"/>
        <v>2596.7999999999997</v>
      </c>
      <c r="AA9" s="130">
        <f t="shared" ref="AA9" si="13">Z9*(1+$Y9)</f>
        <v>3116.1599999999994</v>
      </c>
      <c r="AB9" s="130">
        <f t="shared" ref="AB9" si="14">AA9*(1+$Y9)</f>
        <v>3739.3919999999989</v>
      </c>
      <c r="AC9" s="130">
        <f t="shared" ref="AC9" si="15">AB9*(1+$Y9)</f>
        <v>4487.2703999999985</v>
      </c>
      <c r="AD9" s="130">
        <f t="shared" ref="AD9" si="16">AC9*(1+$Y9)</f>
        <v>5384.724479999998</v>
      </c>
      <c r="AE9" s="130">
        <f t="shared" ref="AE9" si="17">AD9*(1+$Y9)</f>
        <v>6461.6693759999971</v>
      </c>
      <c r="AF9" s="130">
        <f t="shared" ref="AF9" si="18">AE9*(1+$Y9)</f>
        <v>7754.0032511999962</v>
      </c>
      <c r="AG9" s="130">
        <f t="shared" ref="AG9" si="19">AF9*(1+$Y9)</f>
        <v>9304.8039014399947</v>
      </c>
      <c r="AH9" s="130">
        <f t="shared" ref="AH9" si="20">AG9*(1+$Y9)</f>
        <v>11165.764681727993</v>
      </c>
      <c r="AI9" s="130">
        <f t="shared" ref="AI9" si="21">AH9*(1+$Y9)</f>
        <v>13398.91761807359</v>
      </c>
      <c r="AJ9" s="115">
        <f t="shared" si="3"/>
        <v>0.23469593457670324</v>
      </c>
      <c r="AK9" s="21">
        <f t="shared" ref="AK9:AK103" si="22">$O$1</f>
        <v>0.01</v>
      </c>
      <c r="AL9" s="123" t="e">
        <f>(AI9*(1+AK9))/($O$1-AK9)</f>
        <v>#DIV/0!</v>
      </c>
    </row>
    <row r="10" spans="2:38" x14ac:dyDescent="0.2">
      <c r="B10" s="10" t="s">
        <v>3</v>
      </c>
      <c r="C10" s="118"/>
      <c r="D10" s="118"/>
      <c r="E10" s="124"/>
      <c r="F10" s="124"/>
      <c r="G10" s="124">
        <f>L10</f>
        <v>159</v>
      </c>
      <c r="H10" s="124"/>
      <c r="I10" s="124"/>
      <c r="J10" s="124">
        <v>150</v>
      </c>
      <c r="K10" s="124">
        <v>157</v>
      </c>
      <c r="L10" s="124">
        <v>159</v>
      </c>
      <c r="M10" s="124">
        <v>150</v>
      </c>
      <c r="N10" s="124">
        <v>159</v>
      </c>
      <c r="O10" s="124">
        <v>189</v>
      </c>
      <c r="P10" s="124">
        <v>154</v>
      </c>
      <c r="Q10" s="124">
        <v>277</v>
      </c>
      <c r="R10" s="124">
        <v>289</v>
      </c>
      <c r="S10" s="124">
        <v>723</v>
      </c>
      <c r="T10" s="124">
        <v>320</v>
      </c>
      <c r="U10" s="124">
        <v>471</v>
      </c>
      <c r="V10" s="124">
        <v>560</v>
      </c>
      <c r="W10" s="124">
        <f>V10</f>
        <v>560</v>
      </c>
      <c r="X10" s="101">
        <f>((W10/G10)^(1/($K$2-$K$1) ))-1</f>
        <v>0.10169363081770078</v>
      </c>
      <c r="Y10" s="21">
        <f t="shared" si="12"/>
        <v>0.2</v>
      </c>
      <c r="Z10" s="130">
        <f t="shared" si="1"/>
        <v>672</v>
      </c>
      <c r="AA10" s="130">
        <f t="shared" ref="AA10:AI10" si="23">Z10*(1+$Y10)</f>
        <v>806.4</v>
      </c>
      <c r="AB10" s="130">
        <f t="shared" si="23"/>
        <v>967.68</v>
      </c>
      <c r="AC10" s="130">
        <f t="shared" si="23"/>
        <v>1161.2159999999999</v>
      </c>
      <c r="AD10" s="130">
        <f t="shared" si="23"/>
        <v>1393.4591999999998</v>
      </c>
      <c r="AE10" s="130">
        <f t="shared" si="23"/>
        <v>1672.1510399999997</v>
      </c>
      <c r="AF10" s="130">
        <f t="shared" si="23"/>
        <v>2006.5812479999995</v>
      </c>
      <c r="AG10" s="130">
        <f t="shared" si="23"/>
        <v>2407.8974975999995</v>
      </c>
      <c r="AH10" s="130">
        <f t="shared" si="23"/>
        <v>2889.4769971199994</v>
      </c>
      <c r="AI10" s="130">
        <f t="shared" si="23"/>
        <v>3467.372396543999</v>
      </c>
      <c r="AJ10" s="115">
        <f t="shared" si="3"/>
        <v>0.14340515589804848</v>
      </c>
      <c r="AK10" s="21">
        <f t="shared" si="22"/>
        <v>0.01</v>
      </c>
      <c r="AL10" s="123" t="e">
        <f>(AI10*(1+AK10))/($O$1-AK10)</f>
        <v>#DIV/0!</v>
      </c>
    </row>
    <row r="11" spans="2:38" x14ac:dyDescent="0.2">
      <c r="B11" s="10"/>
      <c r="C11" s="118"/>
      <c r="D11" s="118"/>
      <c r="E11" s="124"/>
      <c r="F11" s="266"/>
      <c r="G11" s="266">
        <f>(G10-F10)/G10</f>
        <v>1</v>
      </c>
      <c r="H11" s="266" t="e">
        <f t="shared" ref="H11:P11" si="24">(H10-G10)/H10</f>
        <v>#DIV/0!</v>
      </c>
      <c r="I11" s="266" t="e">
        <f t="shared" si="24"/>
        <v>#DIV/0!</v>
      </c>
      <c r="J11" s="266">
        <f t="shared" si="24"/>
        <v>1</v>
      </c>
      <c r="K11" s="266">
        <f t="shared" si="24"/>
        <v>4.4585987261146494E-2</v>
      </c>
      <c r="L11" s="266">
        <f t="shared" si="24"/>
        <v>1.2578616352201259E-2</v>
      </c>
      <c r="M11" s="266">
        <f t="shared" si="24"/>
        <v>-0.06</v>
      </c>
      <c r="N11" s="266">
        <f t="shared" si="24"/>
        <v>5.6603773584905662E-2</v>
      </c>
      <c r="O11" s="266">
        <f t="shared" si="24"/>
        <v>0.15873015873015872</v>
      </c>
      <c r="P11" s="266">
        <f t="shared" si="24"/>
        <v>-0.22727272727272727</v>
      </c>
      <c r="Q11" s="266">
        <f t="shared" ref="Q11" si="25">(Q10-P10)/Q10</f>
        <v>0.44404332129963897</v>
      </c>
      <c r="R11" s="266">
        <f t="shared" ref="R11" si="26">(R10-Q10)/R10</f>
        <v>4.1522491349480967E-2</v>
      </c>
      <c r="S11" s="266">
        <f t="shared" ref="S11" si="27">(S10-R10)/S10</f>
        <v>0.60027662517289071</v>
      </c>
      <c r="T11" s="266">
        <f t="shared" ref="T11" si="28">(T10-S10)/T10</f>
        <v>-1.2593749999999999</v>
      </c>
      <c r="U11" s="266">
        <f t="shared" ref="U11" si="29">(U10-T10)/U10</f>
        <v>0.3205944798301486</v>
      </c>
      <c r="V11" s="266">
        <f t="shared" ref="V11" si="30">(V10-U10)/V10</f>
        <v>0.15892857142857142</v>
      </c>
      <c r="W11" s="266">
        <f t="shared" ref="W11" si="31">(W10-V10)/W10</f>
        <v>0</v>
      </c>
      <c r="X11" s="10"/>
      <c r="Y11" s="1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14"/>
      <c r="AK11" s="114"/>
      <c r="AL11" s="114"/>
    </row>
    <row r="12" spans="2:38" x14ac:dyDescent="0.2">
      <c r="B12" s="10" t="s">
        <v>2</v>
      </c>
      <c r="C12" s="118"/>
      <c r="D12" s="118"/>
      <c r="E12" s="124"/>
      <c r="F12" s="124"/>
      <c r="G12" s="124">
        <f>L12</f>
        <v>12</v>
      </c>
      <c r="H12" s="124"/>
      <c r="I12" s="124"/>
      <c r="J12" s="124">
        <v>3</v>
      </c>
      <c r="K12" s="124">
        <v>12</v>
      </c>
      <c r="L12" s="124">
        <v>12</v>
      </c>
      <c r="M12" s="124">
        <v>12</v>
      </c>
      <c r="N12" s="124">
        <v>42</v>
      </c>
      <c r="O12" s="124">
        <v>46</v>
      </c>
      <c r="P12" s="124">
        <v>112</v>
      </c>
      <c r="Q12" s="124">
        <v>70</v>
      </c>
      <c r="R12" s="124">
        <v>40</v>
      </c>
      <c r="S12" s="124">
        <v>85</v>
      </c>
      <c r="T12" s="124">
        <v>80</v>
      </c>
      <c r="U12" s="124">
        <v>118</v>
      </c>
      <c r="V12" s="124">
        <v>64</v>
      </c>
      <c r="W12" s="124">
        <f>V12</f>
        <v>64</v>
      </c>
      <c r="X12" s="101">
        <f>((W12/G12)^(1/($K$2-$K$1) ))-1</f>
        <v>0.13742554865273582</v>
      </c>
      <c r="Y12" s="21">
        <f t="shared" si="12"/>
        <v>0.2</v>
      </c>
      <c r="Z12" s="130">
        <f t="shared" si="1"/>
        <v>76.8</v>
      </c>
      <c r="AA12" s="130">
        <f t="shared" ref="AA12:AI12" si="32">Z12*(1+$Y12)</f>
        <v>92.16</v>
      </c>
      <c r="AB12" s="130">
        <f t="shared" si="32"/>
        <v>110.592</v>
      </c>
      <c r="AC12" s="130">
        <f t="shared" si="32"/>
        <v>132.71039999999999</v>
      </c>
      <c r="AD12" s="130">
        <f t="shared" si="32"/>
        <v>159.25247999999999</v>
      </c>
      <c r="AE12" s="130">
        <f t="shared" si="32"/>
        <v>191.10297599999998</v>
      </c>
      <c r="AF12" s="130">
        <f t="shared" si="32"/>
        <v>229.32357119999998</v>
      </c>
      <c r="AG12" s="130">
        <f t="shared" si="32"/>
        <v>275.18828543999996</v>
      </c>
      <c r="AH12" s="130">
        <f t="shared" si="32"/>
        <v>330.22594252799996</v>
      </c>
      <c r="AI12" s="130">
        <f t="shared" si="32"/>
        <v>396.27113103359994</v>
      </c>
      <c r="AJ12" s="115">
        <f t="shared" si="3"/>
        <v>0.16422057194171336</v>
      </c>
      <c r="AK12" s="21">
        <f t="shared" si="22"/>
        <v>0.01</v>
      </c>
      <c r="AL12" s="123" t="e">
        <f t="shared" ref="AL12:AL74" si="33">(AI12*(1+AK12))/($O$1-AK12)</f>
        <v>#DIV/0!</v>
      </c>
    </row>
    <row r="13" spans="2:38" x14ac:dyDescent="0.2">
      <c r="B13" s="10" t="s">
        <v>191</v>
      </c>
      <c r="C13" s="118"/>
      <c r="D13" s="118"/>
      <c r="E13" s="124"/>
      <c r="F13" s="124"/>
      <c r="G13" s="124">
        <f>L13</f>
        <v>328</v>
      </c>
      <c r="H13" s="124"/>
      <c r="I13" s="124"/>
      <c r="J13" s="124">
        <v>140</v>
      </c>
      <c r="K13" s="124">
        <v>390</v>
      </c>
      <c r="L13" s="124">
        <v>328</v>
      </c>
      <c r="M13" s="124">
        <v>298</v>
      </c>
      <c r="N13" s="124">
        <v>78</v>
      </c>
      <c r="O13" s="124">
        <v>72</v>
      </c>
      <c r="P13" s="124">
        <v>39</v>
      </c>
      <c r="Q13" s="124">
        <v>15</v>
      </c>
      <c r="R13" s="124">
        <v>6</v>
      </c>
      <c r="S13" s="124">
        <v>3</v>
      </c>
      <c r="T13" s="124">
        <v>5</v>
      </c>
      <c r="U13" s="124">
        <v>0.21</v>
      </c>
      <c r="V13" s="124">
        <v>3</v>
      </c>
      <c r="W13" s="124">
        <f>V13</f>
        <v>3</v>
      </c>
      <c r="X13" s="101">
        <f t="shared" ref="X13:X67" si="34">((W13/G13)^(1/($K$2-$K$1) ))-1</f>
        <v>-0.30309612751570481</v>
      </c>
      <c r="Y13" s="21">
        <f t="shared" si="12"/>
        <v>0.2</v>
      </c>
      <c r="Z13" s="130">
        <f t="shared" si="1"/>
        <v>3.5999999999999996</v>
      </c>
      <c r="AA13" s="130">
        <f t="shared" ref="AA13:AI13" si="35">Z13*(1+$Y13)</f>
        <v>4.3199999999999994</v>
      </c>
      <c r="AB13" s="130">
        <f t="shared" si="35"/>
        <v>5.1839999999999993</v>
      </c>
      <c r="AC13" s="130">
        <f t="shared" si="35"/>
        <v>6.2207999999999988</v>
      </c>
      <c r="AD13" s="130">
        <f t="shared" si="35"/>
        <v>7.4649599999999978</v>
      </c>
      <c r="AE13" s="130">
        <f t="shared" si="35"/>
        <v>8.957951999999997</v>
      </c>
      <c r="AF13" s="130">
        <f t="shared" si="35"/>
        <v>10.749542399999996</v>
      </c>
      <c r="AG13" s="130">
        <f t="shared" si="35"/>
        <v>12.899450879999995</v>
      </c>
      <c r="AH13" s="130">
        <f t="shared" si="35"/>
        <v>15.479341055999992</v>
      </c>
      <c r="AI13" s="130">
        <f t="shared" si="35"/>
        <v>18.575209267199991</v>
      </c>
      <c r="AJ13" s="115">
        <f t="shared" si="3"/>
        <v>-0.11735673474727437</v>
      </c>
      <c r="AK13" s="21">
        <f t="shared" si="22"/>
        <v>0.01</v>
      </c>
      <c r="AL13" s="123" t="e">
        <f t="shared" si="33"/>
        <v>#DIV/0!</v>
      </c>
    </row>
    <row r="14" spans="2:38" x14ac:dyDescent="0.2">
      <c r="B14" s="10" t="s">
        <v>315</v>
      </c>
      <c r="C14" s="118"/>
      <c r="D14" s="118"/>
      <c r="E14" s="124"/>
      <c r="F14" s="124"/>
      <c r="G14" s="124">
        <f>L14</f>
        <v>331</v>
      </c>
      <c r="H14" s="124"/>
      <c r="I14" s="124"/>
      <c r="J14" s="124">
        <v>335</v>
      </c>
      <c r="K14" s="124">
        <v>441</v>
      </c>
      <c r="L14" s="124">
        <v>331</v>
      </c>
      <c r="M14" s="124">
        <v>560</v>
      </c>
      <c r="N14" s="124">
        <v>873</v>
      </c>
      <c r="O14" s="124">
        <v>989</v>
      </c>
      <c r="P14" s="124">
        <v>982</v>
      </c>
      <c r="Q14" s="124">
        <v>1269</v>
      </c>
      <c r="R14" s="124">
        <v>1467</v>
      </c>
      <c r="S14" s="124">
        <v>2038</v>
      </c>
      <c r="T14" s="124">
        <v>2060</v>
      </c>
      <c r="U14" s="124">
        <v>1836</v>
      </c>
      <c r="V14" s="124">
        <v>2826</v>
      </c>
      <c r="W14" s="124">
        <f>V14</f>
        <v>2826</v>
      </c>
      <c r="X14" s="101">
        <f t="shared" si="34"/>
        <v>0.1793476846340134</v>
      </c>
      <c r="Y14" s="21">
        <f t="shared" si="12"/>
        <v>0.2</v>
      </c>
      <c r="Z14" s="130">
        <f t="shared" si="1"/>
        <v>3391.2</v>
      </c>
      <c r="AA14" s="130">
        <f t="shared" ref="AA14" si="36">Z14*(1+$Y14)</f>
        <v>4069.4399999999996</v>
      </c>
      <c r="AB14" s="130">
        <f t="shared" ref="AB14" si="37">AA14*(1+$Y14)</f>
        <v>4883.3279999999995</v>
      </c>
      <c r="AC14" s="130">
        <f t="shared" ref="AC14" si="38">AB14*(1+$Y14)</f>
        <v>5859.9935999999989</v>
      </c>
      <c r="AD14" s="130">
        <f t="shared" ref="AD14" si="39">AC14*(1+$Y14)</f>
        <v>7031.9923199999985</v>
      </c>
      <c r="AE14" s="130">
        <f t="shared" ref="AE14" si="40">AD14*(1+$Y14)</f>
        <v>8438.3907839999974</v>
      </c>
      <c r="AF14" s="130">
        <f t="shared" ref="AF14" si="41">AE14*(1+$Y14)</f>
        <v>10126.068940799996</v>
      </c>
      <c r="AG14" s="130">
        <f t="shared" ref="AG14" si="42">AF14*(1+$Y14)</f>
        <v>12151.282728959995</v>
      </c>
      <c r="AH14" s="130">
        <f t="shared" ref="AH14" si="43">AG14*(1+$Y14)</f>
        <v>14581.539274751995</v>
      </c>
      <c r="AI14" s="130">
        <f t="shared" ref="AI14" si="44">AH14*(1+$Y14)</f>
        <v>17497.847129702393</v>
      </c>
      <c r="AJ14" s="115">
        <f t="shared" si="3"/>
        <v>0.18828291580912304</v>
      </c>
      <c r="AK14" s="21">
        <f t="shared" si="22"/>
        <v>0.01</v>
      </c>
      <c r="AL14" s="123" t="e">
        <f t="shared" si="33"/>
        <v>#DIV/0!</v>
      </c>
    </row>
    <row r="15" spans="2:38" x14ac:dyDescent="0.2">
      <c r="B15" s="10" t="s">
        <v>11</v>
      </c>
      <c r="C15" s="118"/>
      <c r="D15" s="118"/>
      <c r="E15" s="124"/>
      <c r="F15" s="124"/>
      <c r="G15" s="124">
        <f>L15</f>
        <v>394</v>
      </c>
      <c r="H15" s="124"/>
      <c r="I15" s="124"/>
      <c r="J15" s="124">
        <v>339</v>
      </c>
      <c r="K15" s="124">
        <v>482</v>
      </c>
      <c r="L15" s="124">
        <v>394</v>
      </c>
      <c r="M15" s="124">
        <v>621</v>
      </c>
      <c r="N15" s="124">
        <v>952</v>
      </c>
      <c r="O15" s="124">
        <v>1079</v>
      </c>
      <c r="P15" s="124">
        <v>1170</v>
      </c>
      <c r="Q15" s="124">
        <v>1423</v>
      </c>
      <c r="R15" s="124">
        <v>1608</v>
      </c>
      <c r="S15" s="124">
        <v>2270</v>
      </c>
      <c r="T15" s="124">
        <v>2316</v>
      </c>
      <c r="U15" s="124">
        <v>2137</v>
      </c>
      <c r="V15" s="124">
        <v>2998</v>
      </c>
      <c r="W15" s="124">
        <f>V15</f>
        <v>2998</v>
      </c>
      <c r="X15" s="101">
        <f t="shared" si="34"/>
        <v>0.16894756675960343</v>
      </c>
      <c r="Y15" s="21">
        <f t="shared" si="12"/>
        <v>0.2</v>
      </c>
      <c r="Z15" s="130">
        <f t="shared" si="1"/>
        <v>3597.6</v>
      </c>
      <c r="AA15" s="130">
        <f t="shared" ref="AA15:AI15" si="45">Z15*(1+$Y15)</f>
        <v>4317.12</v>
      </c>
      <c r="AB15" s="130">
        <f t="shared" si="45"/>
        <v>5180.5439999999999</v>
      </c>
      <c r="AC15" s="130">
        <f t="shared" si="45"/>
        <v>6216.6527999999998</v>
      </c>
      <c r="AD15" s="130">
        <f t="shared" si="45"/>
        <v>7459.9833599999993</v>
      </c>
      <c r="AE15" s="130">
        <f t="shared" si="45"/>
        <v>8951.9800319999995</v>
      </c>
      <c r="AF15" s="130">
        <f t="shared" si="45"/>
        <v>10742.3760384</v>
      </c>
      <c r="AG15" s="130">
        <f t="shared" si="45"/>
        <v>12890.851246079999</v>
      </c>
      <c r="AH15" s="130">
        <f t="shared" si="45"/>
        <v>15469.021495295998</v>
      </c>
      <c r="AI15" s="130">
        <f t="shared" si="45"/>
        <v>18562.825794355198</v>
      </c>
      <c r="AJ15" s="115">
        <f t="shared" si="3"/>
        <v>0.18234864893985958</v>
      </c>
      <c r="AK15" s="21">
        <f t="shared" si="22"/>
        <v>0.01</v>
      </c>
      <c r="AL15" s="123" t="e">
        <f t="shared" si="33"/>
        <v>#DIV/0!</v>
      </c>
    </row>
    <row r="16" spans="2:38" x14ac:dyDescent="0.2">
      <c r="B16" s="10" t="s">
        <v>12</v>
      </c>
      <c r="C16" s="118"/>
      <c r="D16" s="118"/>
      <c r="E16" s="124"/>
      <c r="F16" s="124"/>
      <c r="G16" s="124">
        <f>L16</f>
        <v>427</v>
      </c>
      <c r="H16" s="124"/>
      <c r="I16" s="124"/>
      <c r="J16" s="124">
        <v>182</v>
      </c>
      <c r="K16" s="124">
        <v>329</v>
      </c>
      <c r="L16" s="124">
        <v>427</v>
      </c>
      <c r="M16" s="124">
        <v>587</v>
      </c>
      <c r="N16" s="124">
        <v>852</v>
      </c>
      <c r="O16" s="124">
        <v>929</v>
      </c>
      <c r="P16" s="124">
        <v>895</v>
      </c>
      <c r="Q16" s="124">
        <v>1114</v>
      </c>
      <c r="R16" s="124">
        <v>1187</v>
      </c>
      <c r="S16" s="124">
        <v>1671</v>
      </c>
      <c r="T16" s="124">
        <v>1316</v>
      </c>
      <c r="U16" s="124">
        <v>1544</v>
      </c>
      <c r="V16" s="124">
        <v>1298</v>
      </c>
      <c r="W16" s="124">
        <f>V16</f>
        <v>1298</v>
      </c>
      <c r="X16" s="101">
        <f t="shared" si="34"/>
        <v>8.9286353557464393E-2</v>
      </c>
      <c r="Y16" s="21">
        <f t="shared" si="12"/>
        <v>0.2</v>
      </c>
      <c r="Z16" s="130">
        <f t="shared" si="1"/>
        <v>1557.6</v>
      </c>
      <c r="AA16" s="130">
        <f t="shared" ref="AA16:AI16" si="46">Z16*(1+$Y16)</f>
        <v>1869.12</v>
      </c>
      <c r="AB16" s="130">
        <f t="shared" si="46"/>
        <v>2242.944</v>
      </c>
      <c r="AC16" s="130">
        <f t="shared" si="46"/>
        <v>2691.5328</v>
      </c>
      <c r="AD16" s="130">
        <f t="shared" si="46"/>
        <v>3229.8393599999999</v>
      </c>
      <c r="AE16" s="130">
        <f t="shared" si="46"/>
        <v>3875.8072319999997</v>
      </c>
      <c r="AF16" s="130">
        <f t="shared" si="46"/>
        <v>4650.9686783999996</v>
      </c>
      <c r="AG16" s="130">
        <f t="shared" si="46"/>
        <v>5581.1624140799995</v>
      </c>
      <c r="AH16" s="130">
        <f t="shared" si="46"/>
        <v>6697.3948968959994</v>
      </c>
      <c r="AI16" s="130">
        <f t="shared" si="46"/>
        <v>8036.8738762751991</v>
      </c>
      <c r="AJ16" s="115">
        <f t="shared" si="3"/>
        <v>0.13610891725027474</v>
      </c>
      <c r="AK16" s="21">
        <f t="shared" si="22"/>
        <v>0.01</v>
      </c>
      <c r="AL16" s="123" t="e">
        <f t="shared" si="33"/>
        <v>#DIV/0!</v>
      </c>
    </row>
    <row r="17" spans="2:38" x14ac:dyDescent="0.2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0"/>
      <c r="Y17" s="1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14"/>
      <c r="AK17" s="114"/>
      <c r="AL17" s="114"/>
    </row>
    <row r="18" spans="2:38" x14ac:dyDescent="0.2">
      <c r="B18" s="10" t="s">
        <v>228</v>
      </c>
      <c r="C18" s="118"/>
      <c r="D18" s="118"/>
      <c r="E18" s="124"/>
      <c r="F18" s="124"/>
      <c r="G18" s="124">
        <f>L18</f>
        <v>11</v>
      </c>
      <c r="H18" s="124"/>
      <c r="I18" s="124"/>
      <c r="J18" s="124">
        <v>8</v>
      </c>
      <c r="K18" s="124">
        <v>57</v>
      </c>
      <c r="L18" s="124">
        <v>11</v>
      </c>
      <c r="M18" s="124">
        <v>57</v>
      </c>
      <c r="N18" s="124">
        <v>59</v>
      </c>
      <c r="O18" s="124">
        <v>55</v>
      </c>
      <c r="P18" s="124">
        <v>79</v>
      </c>
      <c r="Q18" s="124">
        <v>112</v>
      </c>
      <c r="R18" s="124">
        <v>118</v>
      </c>
      <c r="S18" s="124">
        <v>134</v>
      </c>
      <c r="T18" s="124">
        <v>127</v>
      </c>
      <c r="U18" s="124">
        <v>117</v>
      </c>
      <c r="V18" s="124">
        <v>105</v>
      </c>
      <c r="W18" s="124">
        <f>V18</f>
        <v>105</v>
      </c>
      <c r="X18" s="101">
        <f t="shared" si="34"/>
        <v>0.18951239076283688</v>
      </c>
      <c r="Y18" s="21">
        <f t="shared" si="12"/>
        <v>0.2</v>
      </c>
      <c r="Z18" s="130">
        <f t="shared" si="1"/>
        <v>126</v>
      </c>
      <c r="AA18" s="130">
        <f t="shared" ref="AA18:AA34" si="47">Z18*(1+$Y18)</f>
        <v>151.19999999999999</v>
      </c>
      <c r="AB18" s="130">
        <f t="shared" ref="AB18:AB34" si="48">AA18*(1+$Y18)</f>
        <v>181.43999999999997</v>
      </c>
      <c r="AC18" s="130">
        <f t="shared" ref="AC18:AC34" si="49">AB18*(1+$Y18)</f>
        <v>217.72799999999995</v>
      </c>
      <c r="AD18" s="130">
        <f t="shared" ref="AD18:AD53" si="50">AC18*(1+$Y18)</f>
        <v>261.27359999999993</v>
      </c>
      <c r="AE18" s="130">
        <f t="shared" ref="AE18:AE53" si="51">AD18*(1+$Y18)</f>
        <v>313.52831999999989</v>
      </c>
      <c r="AF18" s="130">
        <f t="shared" ref="AF18:AF53" si="52">AE18*(1+$Y18)</f>
        <v>376.23398399999985</v>
      </c>
      <c r="AG18" s="130">
        <f t="shared" ref="AG18:AG53" si="53">AF18*(1+$Y18)</f>
        <v>451.48078079999982</v>
      </c>
      <c r="AH18" s="130">
        <f t="shared" ref="AH18:AH53" si="54">AG18*(1+$Y18)</f>
        <v>541.77693695999972</v>
      </c>
      <c r="AI18" s="130">
        <f t="shared" ref="AI18:AI53" si="55">AH18*(1+$Y18)</f>
        <v>650.13232435199961</v>
      </c>
      <c r="AJ18" s="115">
        <f t="shared" si="3"/>
        <v>0.19406091117836977</v>
      </c>
      <c r="AK18" s="21">
        <f t="shared" si="22"/>
        <v>0.01</v>
      </c>
      <c r="AL18" s="123" t="e">
        <f t="shared" si="33"/>
        <v>#DIV/0!</v>
      </c>
    </row>
    <row r="19" spans="2:38" x14ac:dyDescent="0.2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0"/>
      <c r="Y19" s="1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14"/>
      <c r="AK19" s="114"/>
      <c r="AL19" s="114"/>
    </row>
    <row r="20" spans="2:38" x14ac:dyDescent="0.2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01" t="e">
        <f t="shared" si="34"/>
        <v>#DIV/0!</v>
      </c>
      <c r="Y20" s="21">
        <f t="shared" si="12"/>
        <v>0.2</v>
      </c>
      <c r="Z20" s="130">
        <f t="shared" si="1"/>
        <v>0</v>
      </c>
      <c r="AA20" s="130">
        <f t="shared" ref="AA20:AA22" si="56">Z20*(1+$Y20)</f>
        <v>0</v>
      </c>
      <c r="AB20" s="130">
        <f t="shared" ref="AB20:AB22" si="57">AA20*(1+$Y20)</f>
        <v>0</v>
      </c>
      <c r="AC20" s="130">
        <f t="shared" ref="AC20:AC22" si="58">AB20*(1+$Y20)</f>
        <v>0</v>
      </c>
      <c r="AD20" s="130">
        <f t="shared" ref="AD20:AD22" si="59">AC20*(1+$Y20)</f>
        <v>0</v>
      </c>
      <c r="AE20" s="130">
        <f t="shared" ref="AE20:AE22" si="60">AD20*(1+$Y20)</f>
        <v>0</v>
      </c>
      <c r="AF20" s="130">
        <f t="shared" ref="AF20:AF22" si="61">AE20*(1+$Y20)</f>
        <v>0</v>
      </c>
      <c r="AG20" s="130">
        <f t="shared" ref="AG20:AG22" si="62">AF20*(1+$Y20)</f>
        <v>0</v>
      </c>
      <c r="AH20" s="130">
        <f t="shared" ref="AH20:AH22" si="63">AG20*(1+$Y20)</f>
        <v>0</v>
      </c>
      <c r="AI20" s="130">
        <f t="shared" ref="AI20:AI22" si="64">AH20*(1+$Y20)</f>
        <v>0</v>
      </c>
      <c r="AJ20" s="115" t="e">
        <f t="shared" si="3"/>
        <v>#DIV/0!</v>
      </c>
      <c r="AK20" s="21">
        <f t="shared" si="22"/>
        <v>0.01</v>
      </c>
      <c r="AL20" s="123" t="e">
        <f t="shared" si="33"/>
        <v>#DIV/0!</v>
      </c>
    </row>
    <row r="21" spans="2:38" x14ac:dyDescent="0.2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01" t="e">
        <f t="shared" si="34"/>
        <v>#DIV/0!</v>
      </c>
      <c r="Y21" s="21">
        <f t="shared" si="12"/>
        <v>0.2</v>
      </c>
      <c r="Z21" s="130">
        <f t="shared" si="1"/>
        <v>0</v>
      </c>
      <c r="AA21" s="130">
        <f t="shared" si="56"/>
        <v>0</v>
      </c>
      <c r="AB21" s="130">
        <f t="shared" si="57"/>
        <v>0</v>
      </c>
      <c r="AC21" s="130">
        <f t="shared" si="58"/>
        <v>0</v>
      </c>
      <c r="AD21" s="130">
        <f t="shared" si="59"/>
        <v>0</v>
      </c>
      <c r="AE21" s="130">
        <f t="shared" si="60"/>
        <v>0</v>
      </c>
      <c r="AF21" s="130">
        <f t="shared" si="61"/>
        <v>0</v>
      </c>
      <c r="AG21" s="130">
        <f t="shared" si="62"/>
        <v>0</v>
      </c>
      <c r="AH21" s="130">
        <f t="shared" si="63"/>
        <v>0</v>
      </c>
      <c r="AI21" s="130">
        <f t="shared" si="64"/>
        <v>0</v>
      </c>
      <c r="AJ21" s="115" t="e">
        <f t="shared" si="3"/>
        <v>#DIV/0!</v>
      </c>
      <c r="AK21" s="21">
        <f t="shared" si="22"/>
        <v>0.01</v>
      </c>
      <c r="AL21" s="123" t="e">
        <f t="shared" si="33"/>
        <v>#DIV/0!</v>
      </c>
    </row>
    <row r="22" spans="2:38" x14ac:dyDescent="0.2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01" t="e">
        <f t="shared" si="34"/>
        <v>#DIV/0!</v>
      </c>
      <c r="Y22" s="21">
        <f t="shared" si="12"/>
        <v>0.2</v>
      </c>
      <c r="Z22" s="130">
        <f t="shared" si="1"/>
        <v>0</v>
      </c>
      <c r="AA22" s="130">
        <f t="shared" si="56"/>
        <v>0</v>
      </c>
      <c r="AB22" s="130">
        <f t="shared" si="57"/>
        <v>0</v>
      </c>
      <c r="AC22" s="130">
        <f t="shared" si="58"/>
        <v>0</v>
      </c>
      <c r="AD22" s="130">
        <f t="shared" si="59"/>
        <v>0</v>
      </c>
      <c r="AE22" s="130">
        <f t="shared" si="60"/>
        <v>0</v>
      </c>
      <c r="AF22" s="130">
        <f t="shared" si="61"/>
        <v>0</v>
      </c>
      <c r="AG22" s="130">
        <f t="shared" si="62"/>
        <v>0</v>
      </c>
      <c r="AH22" s="130">
        <f t="shared" si="63"/>
        <v>0</v>
      </c>
      <c r="AI22" s="130">
        <f t="shared" si="64"/>
        <v>0</v>
      </c>
      <c r="AJ22" s="115" t="e">
        <f t="shared" si="3"/>
        <v>#DIV/0!</v>
      </c>
      <c r="AK22" s="21">
        <f t="shared" si="22"/>
        <v>0.01</v>
      </c>
      <c r="AL22" s="123" t="e">
        <f t="shared" si="33"/>
        <v>#DIV/0!</v>
      </c>
    </row>
    <row r="23" spans="2:38" x14ac:dyDescent="0.2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01" t="e">
        <f t="shared" si="34"/>
        <v>#DIV/0!</v>
      </c>
      <c r="Y23" s="21">
        <f t="shared" si="12"/>
        <v>0.2</v>
      </c>
      <c r="Z23" s="130">
        <f t="shared" si="1"/>
        <v>0</v>
      </c>
      <c r="AA23" s="130">
        <f t="shared" ref="AA23" si="65">Z23*(1+$Y23)</f>
        <v>0</v>
      </c>
      <c r="AB23" s="130">
        <f t="shared" ref="AB23" si="66">AA23*(1+$Y23)</f>
        <v>0</v>
      </c>
      <c r="AC23" s="130">
        <f t="shared" ref="AC23" si="67">AB23*(1+$Y23)</f>
        <v>0</v>
      </c>
      <c r="AD23" s="130">
        <f t="shared" ref="AD23" si="68">AC23*(1+$Y23)</f>
        <v>0</v>
      </c>
      <c r="AE23" s="130">
        <f t="shared" ref="AE23" si="69">AD23*(1+$Y23)</f>
        <v>0</v>
      </c>
      <c r="AF23" s="130">
        <f t="shared" ref="AF23" si="70">AE23*(1+$Y23)</f>
        <v>0</v>
      </c>
      <c r="AG23" s="130">
        <f t="shared" ref="AG23" si="71">AF23*(1+$Y23)</f>
        <v>0</v>
      </c>
      <c r="AH23" s="130">
        <f t="shared" ref="AH23" si="72">AG23*(1+$Y23)</f>
        <v>0</v>
      </c>
      <c r="AI23" s="130">
        <f t="shared" ref="AI23" si="73">AH23*(1+$Y23)</f>
        <v>0</v>
      </c>
      <c r="AJ23" s="115" t="e">
        <f t="shared" si="3"/>
        <v>#DIV/0!</v>
      </c>
      <c r="AK23" s="21">
        <f t="shared" si="22"/>
        <v>0.01</v>
      </c>
      <c r="AL23" s="123" t="e">
        <f t="shared" si="33"/>
        <v>#DIV/0!</v>
      </c>
    </row>
    <row r="24" spans="2:38" x14ac:dyDescent="0.2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0"/>
      <c r="Y24" s="1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14"/>
      <c r="AK24" s="114"/>
      <c r="AL24" s="114"/>
    </row>
    <row r="25" spans="2:38" x14ac:dyDescent="0.2">
      <c r="B25" s="10" t="s">
        <v>68</v>
      </c>
      <c r="C25" s="118"/>
      <c r="D25" s="118"/>
      <c r="E25" s="124"/>
      <c r="F25" s="124"/>
      <c r="G25" s="124">
        <f>L25</f>
        <v>235</v>
      </c>
      <c r="H25" s="124"/>
      <c r="I25" s="124"/>
      <c r="J25" s="124">
        <v>252</v>
      </c>
      <c r="K25" s="124">
        <v>441</v>
      </c>
      <c r="L25" s="124">
        <v>235</v>
      </c>
      <c r="M25" s="124">
        <v>108</v>
      </c>
      <c r="N25" s="124">
        <v>209</v>
      </c>
      <c r="O25" s="124">
        <v>259</v>
      </c>
      <c r="P25" s="124">
        <v>764</v>
      </c>
      <c r="Q25" s="124">
        <v>779</v>
      </c>
      <c r="R25" s="124">
        <v>708</v>
      </c>
      <c r="S25" s="124">
        <v>770</v>
      </c>
      <c r="T25" s="124">
        <v>974</v>
      </c>
      <c r="U25" s="124">
        <v>1417</v>
      </c>
      <c r="V25" s="124">
        <v>880</v>
      </c>
      <c r="W25" s="124">
        <f>V25</f>
        <v>880</v>
      </c>
      <c r="X25" s="101">
        <f t="shared" si="34"/>
        <v>0.10690113184885797</v>
      </c>
      <c r="Y25" s="21">
        <f t="shared" si="12"/>
        <v>0.2</v>
      </c>
      <c r="Z25" s="130">
        <f t="shared" si="1"/>
        <v>1056</v>
      </c>
      <c r="AA25" s="130">
        <f t="shared" si="47"/>
        <v>1267.2</v>
      </c>
      <c r="AB25" s="130">
        <f t="shared" si="48"/>
        <v>1520.64</v>
      </c>
      <c r="AC25" s="130">
        <f t="shared" si="49"/>
        <v>1824.768</v>
      </c>
      <c r="AD25" s="130">
        <f t="shared" si="50"/>
        <v>2189.7215999999999</v>
      </c>
      <c r="AE25" s="130">
        <f t="shared" si="51"/>
        <v>2627.6659199999999</v>
      </c>
      <c r="AF25" s="130">
        <f t="shared" si="52"/>
        <v>3153.1991039999998</v>
      </c>
      <c r="AG25" s="130">
        <f t="shared" si="53"/>
        <v>3783.8389247999994</v>
      </c>
      <c r="AH25" s="130">
        <f t="shared" si="54"/>
        <v>4540.6067097599989</v>
      </c>
      <c r="AI25" s="130">
        <f t="shared" si="55"/>
        <v>5448.7280517119989</v>
      </c>
      <c r="AJ25" s="115">
        <f t="shared" si="3"/>
        <v>0.14645683384162189</v>
      </c>
      <c r="AK25" s="21">
        <f t="shared" si="22"/>
        <v>0.01</v>
      </c>
      <c r="AL25" s="123" t="e">
        <f t="shared" si="33"/>
        <v>#DIV/0!</v>
      </c>
    </row>
    <row r="26" spans="2:38" s="106" customFormat="1" x14ac:dyDescent="0.2">
      <c r="B26" s="13"/>
      <c r="C26" s="125"/>
      <c r="D26" s="125"/>
      <c r="E26" s="126"/>
      <c r="F26" s="266"/>
      <c r="G26" s="266">
        <f>(G25-F25)/G25</f>
        <v>1</v>
      </c>
      <c r="H26" s="266" t="e">
        <f>(H25-G25)/H25</f>
        <v>#DIV/0!</v>
      </c>
      <c r="I26" s="266" t="e">
        <f t="shared" ref="I26:P26" si="74">(I25-H25)/I25</f>
        <v>#DIV/0!</v>
      </c>
      <c r="J26" s="266">
        <f t="shared" si="74"/>
        <v>1</v>
      </c>
      <c r="K26" s="266">
        <f t="shared" si="74"/>
        <v>0.42857142857142855</v>
      </c>
      <c r="L26" s="266">
        <f t="shared" si="74"/>
        <v>-0.87659574468085111</v>
      </c>
      <c r="M26" s="266">
        <f t="shared" si="74"/>
        <v>-1.1759259259259258</v>
      </c>
      <c r="N26" s="266">
        <f t="shared" si="74"/>
        <v>0.48325358851674644</v>
      </c>
      <c r="O26" s="266">
        <f t="shared" si="74"/>
        <v>0.19305019305019305</v>
      </c>
      <c r="P26" s="266">
        <f t="shared" si="74"/>
        <v>0.66099476439790572</v>
      </c>
      <c r="Q26" s="266">
        <f t="shared" ref="Q26" si="75">(Q25-P25)/Q25</f>
        <v>1.9255455712451863E-2</v>
      </c>
      <c r="R26" s="266">
        <f t="shared" ref="R26" si="76">(R25-Q25)/R25</f>
        <v>-0.10028248587570622</v>
      </c>
      <c r="S26" s="266">
        <f t="shared" ref="S26" si="77">(S25-R25)/S25</f>
        <v>8.0519480519480519E-2</v>
      </c>
      <c r="T26" s="266">
        <f t="shared" ref="T26" si="78">(T25-S25)/T25</f>
        <v>0.20944558521560575</v>
      </c>
      <c r="U26" s="266">
        <f t="shared" ref="U26" si="79">(U25-T25)/U25</f>
        <v>0.31263232180663375</v>
      </c>
      <c r="V26" s="266">
        <f t="shared" ref="V26" si="80">(V25-U25)/V25</f>
        <v>-0.61022727272727273</v>
      </c>
      <c r="W26" s="266">
        <f t="shared" ref="W26" si="81">(W25-V25)/W25</f>
        <v>0</v>
      </c>
      <c r="X26" s="10"/>
      <c r="Y26" s="10"/>
      <c r="Z26" s="130"/>
      <c r="AA26" s="131"/>
      <c r="AB26" s="131"/>
      <c r="AC26" s="131"/>
      <c r="AD26" s="131"/>
      <c r="AE26" s="131"/>
      <c r="AF26" s="131"/>
      <c r="AG26" s="131"/>
      <c r="AH26" s="131"/>
      <c r="AI26" s="131"/>
      <c r="AJ26" s="114"/>
      <c r="AK26" s="114"/>
      <c r="AL26" s="114"/>
    </row>
    <row r="27" spans="2:38" x14ac:dyDescent="0.2">
      <c r="B27" s="10" t="s">
        <v>218</v>
      </c>
      <c r="C27" s="118"/>
      <c r="D27" s="118"/>
      <c r="E27" s="124"/>
      <c r="F27" s="124"/>
      <c r="G27" s="124">
        <f>L27</f>
        <v>115</v>
      </c>
      <c r="H27" s="124"/>
      <c r="I27" s="124"/>
      <c r="J27" s="124">
        <v>138</v>
      </c>
      <c r="K27" s="124">
        <v>253</v>
      </c>
      <c r="L27" s="124">
        <v>115</v>
      </c>
      <c r="M27" s="124">
        <v>57</v>
      </c>
      <c r="N27" s="124">
        <v>113</v>
      </c>
      <c r="O27" s="124">
        <v>177</v>
      </c>
      <c r="P27" s="124">
        <v>535</v>
      </c>
      <c r="Q27" s="124">
        <v>543</v>
      </c>
      <c r="R27" s="124">
        <v>492</v>
      </c>
      <c r="S27" s="124">
        <v>555</v>
      </c>
      <c r="T27" s="124">
        <v>725</v>
      </c>
      <c r="U27" s="124">
        <v>1100</v>
      </c>
      <c r="V27" s="124">
        <v>622</v>
      </c>
      <c r="W27" s="124">
        <f>V27</f>
        <v>622</v>
      </c>
      <c r="X27" s="101">
        <f t="shared" si="34"/>
        <v>0.13865389002412876</v>
      </c>
      <c r="Y27" s="21">
        <f t="shared" si="12"/>
        <v>0.2</v>
      </c>
      <c r="Z27" s="130">
        <f t="shared" si="1"/>
        <v>746.4</v>
      </c>
      <c r="AA27" s="130">
        <f t="shared" si="47"/>
        <v>895.68</v>
      </c>
      <c r="AB27" s="130">
        <f t="shared" si="48"/>
        <v>1074.8159999999998</v>
      </c>
      <c r="AC27" s="130">
        <f t="shared" si="49"/>
        <v>1289.7791999999997</v>
      </c>
      <c r="AD27" s="130">
        <f t="shared" si="50"/>
        <v>1547.7350399999996</v>
      </c>
      <c r="AE27" s="130">
        <f t="shared" si="51"/>
        <v>1857.2820479999993</v>
      </c>
      <c r="AF27" s="130">
        <f t="shared" si="52"/>
        <v>2228.738457599999</v>
      </c>
      <c r="AG27" s="130">
        <f t="shared" si="53"/>
        <v>2674.4861491199986</v>
      </c>
      <c r="AH27" s="130">
        <f t="shared" si="54"/>
        <v>3209.3833789439982</v>
      </c>
      <c r="AI27" s="130">
        <f t="shared" si="55"/>
        <v>3851.2600547327975</v>
      </c>
      <c r="AJ27" s="115">
        <f t="shared" si="3"/>
        <v>0.16493104067185582</v>
      </c>
      <c r="AK27" s="21">
        <f t="shared" si="22"/>
        <v>0.01</v>
      </c>
      <c r="AL27" s="123" t="e">
        <f t="shared" si="33"/>
        <v>#DIV/0!</v>
      </c>
    </row>
    <row r="28" spans="2:38" s="106" customFormat="1" x14ac:dyDescent="0.2">
      <c r="B28" s="13"/>
      <c r="C28" s="125"/>
      <c r="D28" s="125"/>
      <c r="E28" s="126"/>
      <c r="F28" s="266"/>
      <c r="G28" s="266">
        <f t="shared" ref="G28:P28" si="82">(G27-F27)/G27</f>
        <v>1</v>
      </c>
      <c r="H28" s="266" t="e">
        <f t="shared" si="82"/>
        <v>#DIV/0!</v>
      </c>
      <c r="I28" s="266" t="e">
        <f t="shared" si="82"/>
        <v>#DIV/0!</v>
      </c>
      <c r="J28" s="266">
        <f t="shared" si="82"/>
        <v>1</v>
      </c>
      <c r="K28" s="266">
        <f t="shared" si="82"/>
        <v>0.45454545454545453</v>
      </c>
      <c r="L28" s="266">
        <f t="shared" si="82"/>
        <v>-1.2</v>
      </c>
      <c r="M28" s="266">
        <f t="shared" si="82"/>
        <v>-1.0175438596491229</v>
      </c>
      <c r="N28" s="266">
        <f t="shared" si="82"/>
        <v>0.49557522123893805</v>
      </c>
      <c r="O28" s="266">
        <f t="shared" si="82"/>
        <v>0.3615819209039548</v>
      </c>
      <c r="P28" s="266">
        <f t="shared" si="82"/>
        <v>0.66915887850467293</v>
      </c>
      <c r="Q28" s="266">
        <f t="shared" ref="Q28" si="83">(Q27-P27)/Q27</f>
        <v>1.4732965009208104E-2</v>
      </c>
      <c r="R28" s="266">
        <f t="shared" ref="R28" si="84">(R27-Q27)/R27</f>
        <v>-0.10365853658536585</v>
      </c>
      <c r="S28" s="266">
        <f t="shared" ref="S28" si="85">(S27-R27)/S27</f>
        <v>0.11351351351351352</v>
      </c>
      <c r="T28" s="266">
        <f t="shared" ref="T28" si="86">(T27-S27)/T27</f>
        <v>0.23448275862068965</v>
      </c>
      <c r="U28" s="266">
        <f t="shared" ref="U28" si="87">(U27-T27)/U27</f>
        <v>0.34090909090909088</v>
      </c>
      <c r="V28" s="266">
        <f t="shared" ref="V28" si="88">(V27-U27)/V27</f>
        <v>-0.76848874598070738</v>
      </c>
      <c r="W28" s="266">
        <f t="shared" ref="W28" si="89">(W27-V27)/W27</f>
        <v>0</v>
      </c>
      <c r="X28" s="10"/>
      <c r="Y28" s="10"/>
      <c r="Z28" s="130"/>
      <c r="AA28" s="131"/>
      <c r="AB28" s="131"/>
      <c r="AC28" s="131"/>
      <c r="AD28" s="131"/>
      <c r="AE28" s="131"/>
      <c r="AF28" s="131"/>
      <c r="AG28" s="131"/>
      <c r="AH28" s="131"/>
      <c r="AI28" s="131"/>
      <c r="AJ28" s="114"/>
      <c r="AK28" s="114"/>
      <c r="AL28" s="114"/>
    </row>
    <row r="29" spans="2:38" s="106" customFormat="1" x14ac:dyDescent="0.2">
      <c r="B29" s="10" t="s">
        <v>268</v>
      </c>
      <c r="C29" s="125"/>
      <c r="D29" s="125"/>
      <c r="E29" s="126"/>
      <c r="F29" s="124"/>
      <c r="G29" s="124">
        <f>L29</f>
        <v>8</v>
      </c>
      <c r="H29" s="124"/>
      <c r="I29" s="124"/>
      <c r="J29" s="124">
        <v>0</v>
      </c>
      <c r="K29" s="124">
        <v>0</v>
      </c>
      <c r="L29" s="124">
        <v>8</v>
      </c>
      <c r="M29" s="124">
        <v>8</v>
      </c>
      <c r="N29" s="124">
        <v>7</v>
      </c>
      <c r="O29" s="124">
        <v>26</v>
      </c>
      <c r="P29" s="124">
        <v>36</v>
      </c>
      <c r="Q29" s="124">
        <v>45</v>
      </c>
      <c r="R29" s="124">
        <v>44</v>
      </c>
      <c r="S29" s="124">
        <v>84</v>
      </c>
      <c r="T29" s="124">
        <v>86</v>
      </c>
      <c r="U29" s="124">
        <v>98</v>
      </c>
      <c r="V29" s="124">
        <v>92</v>
      </c>
      <c r="W29" s="124">
        <f>V29</f>
        <v>92</v>
      </c>
      <c r="X29" s="101">
        <f t="shared" si="34"/>
        <v>0.2066800748651747</v>
      </c>
      <c r="Y29" s="21">
        <f t="shared" si="12"/>
        <v>0.2</v>
      </c>
      <c r="Z29" s="130">
        <f t="shared" si="1"/>
        <v>110.39999999999999</v>
      </c>
      <c r="AA29" s="130">
        <f t="shared" ref="AA29" si="90">Z29*(1+$Y29)</f>
        <v>132.47999999999999</v>
      </c>
      <c r="AB29" s="130">
        <f t="shared" ref="AB29" si="91">AA29*(1+$Y29)</f>
        <v>158.97599999999997</v>
      </c>
      <c r="AC29" s="130">
        <f t="shared" ref="AC29" si="92">AB29*(1+$Y29)</f>
        <v>190.77119999999996</v>
      </c>
      <c r="AD29" s="130">
        <f t="shared" ref="AD29" si="93">AC29*(1+$Y29)</f>
        <v>228.92543999999995</v>
      </c>
      <c r="AE29" s="130">
        <f t="shared" ref="AE29" si="94">AD29*(1+$Y29)</f>
        <v>274.71052799999995</v>
      </c>
      <c r="AF29" s="130">
        <f t="shared" ref="AF29" si="95">AE29*(1+$Y29)</f>
        <v>329.65263359999994</v>
      </c>
      <c r="AG29" s="130">
        <f t="shared" ref="AG29" si="96">AF29*(1+$Y29)</f>
        <v>395.58316031999993</v>
      </c>
      <c r="AH29" s="130">
        <f t="shared" ref="AH29" si="97">AG29*(1+$Y29)</f>
        <v>474.69979238399992</v>
      </c>
      <c r="AI29" s="130">
        <f t="shared" ref="AI29" si="98">AH29*(1+$Y29)</f>
        <v>569.63975086079984</v>
      </c>
      <c r="AJ29" s="115">
        <f t="shared" si="3"/>
        <v>0.20377113742398101</v>
      </c>
      <c r="AK29" s="21">
        <f t="shared" si="22"/>
        <v>0.01</v>
      </c>
      <c r="AL29" s="123" t="e">
        <f t="shared" si="33"/>
        <v>#DIV/0!</v>
      </c>
    </row>
    <row r="30" spans="2:38" s="106" customFormat="1" x14ac:dyDescent="0.2">
      <c r="B30" s="13"/>
      <c r="C30" s="125"/>
      <c r="D30" s="125"/>
      <c r="E30" s="126"/>
      <c r="F30" s="266"/>
      <c r="G30" s="266">
        <f t="shared" ref="G30:P30" si="99">(G29-F29)/G29</f>
        <v>1</v>
      </c>
      <c r="H30" s="266" t="e">
        <f t="shared" si="99"/>
        <v>#DIV/0!</v>
      </c>
      <c r="I30" s="266" t="e">
        <f t="shared" si="99"/>
        <v>#DIV/0!</v>
      </c>
      <c r="J30" s="266" t="e">
        <f t="shared" si="99"/>
        <v>#DIV/0!</v>
      </c>
      <c r="K30" s="266" t="e">
        <f t="shared" si="99"/>
        <v>#DIV/0!</v>
      </c>
      <c r="L30" s="266">
        <f t="shared" si="99"/>
        <v>1</v>
      </c>
      <c r="M30" s="266">
        <f t="shared" si="99"/>
        <v>0</v>
      </c>
      <c r="N30" s="266">
        <f t="shared" si="99"/>
        <v>-0.14285714285714285</v>
      </c>
      <c r="O30" s="266">
        <f t="shared" si="99"/>
        <v>0.73076923076923073</v>
      </c>
      <c r="P30" s="266">
        <f t="shared" si="99"/>
        <v>0.27777777777777779</v>
      </c>
      <c r="Q30" s="266">
        <f t="shared" ref="Q30" si="100">(Q29-P29)/Q29</f>
        <v>0.2</v>
      </c>
      <c r="R30" s="266">
        <f t="shared" ref="R30" si="101">(R29-Q29)/R29</f>
        <v>-2.2727272727272728E-2</v>
      </c>
      <c r="S30" s="266">
        <f t="shared" ref="S30" si="102">(S29-R29)/S29</f>
        <v>0.47619047619047616</v>
      </c>
      <c r="T30" s="266">
        <f t="shared" ref="T30" si="103">(T29-S29)/T29</f>
        <v>2.3255813953488372E-2</v>
      </c>
      <c r="U30" s="266">
        <f t="shared" ref="U30" si="104">(U29-T29)/U29</f>
        <v>0.12244897959183673</v>
      </c>
      <c r="V30" s="266">
        <f t="shared" ref="V30" si="105">(V29-U29)/V29</f>
        <v>-6.5217391304347824E-2</v>
      </c>
      <c r="W30" s="266">
        <f t="shared" ref="W30" si="106">(W29-V29)/W29</f>
        <v>0</v>
      </c>
      <c r="X30" s="10"/>
      <c r="Y30" s="10"/>
      <c r="Z30" s="130"/>
      <c r="AA30" s="131"/>
      <c r="AB30" s="131"/>
      <c r="AC30" s="131"/>
      <c r="AD30" s="131"/>
      <c r="AE30" s="131"/>
      <c r="AF30" s="131"/>
      <c r="AG30" s="131"/>
      <c r="AH30" s="131"/>
      <c r="AI30" s="131"/>
      <c r="AJ30" s="114"/>
      <c r="AK30" s="114"/>
      <c r="AL30" s="114"/>
    </row>
    <row r="31" spans="2:38" x14ac:dyDescent="0.2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01" t="e">
        <f t="shared" si="34"/>
        <v>#DIV/0!</v>
      </c>
      <c r="Y31" s="21">
        <f t="shared" si="12"/>
        <v>0.2</v>
      </c>
      <c r="Z31" s="130">
        <f t="shared" si="1"/>
        <v>0</v>
      </c>
      <c r="AA31" s="130">
        <f>Z31*(1+$Y31)</f>
        <v>0</v>
      </c>
      <c r="AB31" s="130">
        <f t="shared" ref="AB31:AI32" si="107">AA31*(1+$Y31)</f>
        <v>0</v>
      </c>
      <c r="AC31" s="130">
        <f t="shared" si="107"/>
        <v>0</v>
      </c>
      <c r="AD31" s="130">
        <f t="shared" si="107"/>
        <v>0</v>
      </c>
      <c r="AE31" s="130">
        <f t="shared" si="107"/>
        <v>0</v>
      </c>
      <c r="AF31" s="130">
        <f t="shared" si="107"/>
        <v>0</v>
      </c>
      <c r="AG31" s="130">
        <f t="shared" si="107"/>
        <v>0</v>
      </c>
      <c r="AH31" s="130">
        <f t="shared" si="107"/>
        <v>0</v>
      </c>
      <c r="AI31" s="130">
        <f t="shared" si="107"/>
        <v>0</v>
      </c>
      <c r="AJ31" s="115" t="e">
        <f t="shared" si="3"/>
        <v>#DIV/0!</v>
      </c>
      <c r="AK31" s="21">
        <f t="shared" si="22"/>
        <v>0.01</v>
      </c>
      <c r="AL31" s="123" t="e">
        <f t="shared" si="33"/>
        <v>#DIV/0!</v>
      </c>
    </row>
    <row r="32" spans="2:38" x14ac:dyDescent="0.2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01" t="e">
        <f t="shared" si="34"/>
        <v>#DIV/0!</v>
      </c>
      <c r="Y32" s="21">
        <f t="shared" si="12"/>
        <v>0.2</v>
      </c>
      <c r="Z32" s="130">
        <f t="shared" si="1"/>
        <v>0</v>
      </c>
      <c r="AA32" s="130">
        <f>Z32*(1+$Y32)</f>
        <v>0</v>
      </c>
      <c r="AB32" s="130">
        <f t="shared" si="107"/>
        <v>0</v>
      </c>
      <c r="AC32" s="130">
        <f t="shared" si="107"/>
        <v>0</v>
      </c>
      <c r="AD32" s="130">
        <f t="shared" si="107"/>
        <v>0</v>
      </c>
      <c r="AE32" s="130">
        <f t="shared" si="107"/>
        <v>0</v>
      </c>
      <c r="AF32" s="130">
        <f t="shared" si="107"/>
        <v>0</v>
      </c>
      <c r="AG32" s="130">
        <f t="shared" si="107"/>
        <v>0</v>
      </c>
      <c r="AH32" s="130">
        <f t="shared" si="107"/>
        <v>0</v>
      </c>
      <c r="AI32" s="130">
        <f t="shared" si="107"/>
        <v>0</v>
      </c>
      <c r="AJ32" s="115" t="e">
        <f t="shared" si="3"/>
        <v>#DIV/0!</v>
      </c>
      <c r="AK32" s="21">
        <f t="shared" si="22"/>
        <v>0.01</v>
      </c>
      <c r="AL32" s="123" t="e">
        <f t="shared" si="33"/>
        <v>#DIV/0!</v>
      </c>
    </row>
    <row r="33" spans="1:38" x14ac:dyDescent="0.2">
      <c r="B33" s="10" t="s">
        <v>497</v>
      </c>
      <c r="C33" s="118"/>
      <c r="D33" s="118"/>
      <c r="E33" s="124"/>
      <c r="F33" s="124"/>
      <c r="G33" s="124">
        <f>L33</f>
        <v>83</v>
      </c>
      <c r="H33" s="124"/>
      <c r="I33" s="124"/>
      <c r="J33" s="124">
        <v>117</v>
      </c>
      <c r="K33" s="124">
        <v>223</v>
      </c>
      <c r="L33" s="124">
        <v>83</v>
      </c>
      <c r="M33" s="124">
        <v>37</v>
      </c>
      <c r="N33" s="124">
        <v>79</v>
      </c>
      <c r="O33" s="124">
        <v>129</v>
      </c>
      <c r="P33" s="124">
        <v>460</v>
      </c>
      <c r="Q33" s="124">
        <v>461</v>
      </c>
      <c r="R33" s="124">
        <v>380</v>
      </c>
      <c r="S33" s="124">
        <v>425</v>
      </c>
      <c r="T33" s="124">
        <v>610</v>
      </c>
      <c r="U33" s="124">
        <v>966</v>
      </c>
      <c r="V33" s="124">
        <v>454</v>
      </c>
      <c r="W33" s="124">
        <f>V33</f>
        <v>454</v>
      </c>
      <c r="X33" s="101">
        <f t="shared" si="34"/>
        <v>0.13963956960673629</v>
      </c>
      <c r="Y33" s="21">
        <f t="shared" si="12"/>
        <v>0.2</v>
      </c>
      <c r="Z33" s="130">
        <f t="shared" si="1"/>
        <v>544.79999999999995</v>
      </c>
      <c r="AA33" s="130">
        <f t="shared" si="47"/>
        <v>653.75999999999988</v>
      </c>
      <c r="AB33" s="130">
        <f t="shared" si="48"/>
        <v>784.51199999999983</v>
      </c>
      <c r="AC33" s="130">
        <f t="shared" si="49"/>
        <v>941.41439999999977</v>
      </c>
      <c r="AD33" s="130">
        <f t="shared" si="50"/>
        <v>1129.6972799999996</v>
      </c>
      <c r="AE33" s="130">
        <f t="shared" si="51"/>
        <v>1355.6367359999995</v>
      </c>
      <c r="AF33" s="130">
        <f t="shared" si="52"/>
        <v>1626.7640831999993</v>
      </c>
      <c r="AG33" s="130">
        <f t="shared" si="53"/>
        <v>1952.116899839999</v>
      </c>
      <c r="AH33" s="130">
        <f t="shared" si="54"/>
        <v>2342.5402798079986</v>
      </c>
      <c r="AI33" s="130">
        <f t="shared" si="55"/>
        <v>2811.048335769598</v>
      </c>
      <c r="AJ33" s="115">
        <f t="shared" si="3"/>
        <v>0.1655009136423844</v>
      </c>
      <c r="AK33" s="21">
        <f t="shared" si="22"/>
        <v>0.01</v>
      </c>
      <c r="AL33" s="123" t="e">
        <f t="shared" si="33"/>
        <v>#DIV/0!</v>
      </c>
    </row>
    <row r="34" spans="1:38" x14ac:dyDescent="0.2">
      <c r="B34" s="10" t="s">
        <v>498</v>
      </c>
      <c r="C34" s="118"/>
      <c r="D34" s="118"/>
      <c r="E34" s="124"/>
      <c r="F34" s="124"/>
      <c r="G34" s="124">
        <f>L34</f>
        <v>14</v>
      </c>
      <c r="H34" s="124"/>
      <c r="I34" s="124"/>
      <c r="J34" s="124">
        <v>6</v>
      </c>
      <c r="K34" s="124">
        <v>12</v>
      </c>
      <c r="L34" s="124">
        <v>14</v>
      </c>
      <c r="M34" s="124">
        <v>3</v>
      </c>
      <c r="N34" s="124">
        <v>17</v>
      </c>
      <c r="O34" s="124">
        <v>28</v>
      </c>
      <c r="P34" s="124">
        <v>47</v>
      </c>
      <c r="Q34" s="124">
        <v>52</v>
      </c>
      <c r="R34" s="124">
        <v>43</v>
      </c>
      <c r="S34" s="124">
        <v>48</v>
      </c>
      <c r="T34" s="124">
        <v>38</v>
      </c>
      <c r="U34" s="124">
        <v>38</v>
      </c>
      <c r="V34" s="124">
        <v>54</v>
      </c>
      <c r="W34" s="124">
        <f>V34</f>
        <v>54</v>
      </c>
      <c r="X34" s="101">
        <f t="shared" si="34"/>
        <v>0.10942350627101693</v>
      </c>
      <c r="Y34" s="21">
        <f t="shared" si="12"/>
        <v>0.2</v>
      </c>
      <c r="Z34" s="130">
        <f t="shared" si="1"/>
        <v>64.8</v>
      </c>
      <c r="AA34" s="130">
        <f t="shared" si="47"/>
        <v>77.759999999999991</v>
      </c>
      <c r="AB34" s="130">
        <f t="shared" si="48"/>
        <v>93.311999999999983</v>
      </c>
      <c r="AC34" s="130">
        <f t="shared" si="49"/>
        <v>111.97439999999997</v>
      </c>
      <c r="AD34" s="130">
        <f t="shared" si="50"/>
        <v>134.36927999999997</v>
      </c>
      <c r="AE34" s="130">
        <f t="shared" si="51"/>
        <v>161.24313599999996</v>
      </c>
      <c r="AF34" s="130">
        <f t="shared" si="52"/>
        <v>193.49176319999995</v>
      </c>
      <c r="AG34" s="130">
        <f t="shared" si="53"/>
        <v>232.19011583999992</v>
      </c>
      <c r="AH34" s="130">
        <f t="shared" si="54"/>
        <v>278.62813900799989</v>
      </c>
      <c r="AI34" s="130">
        <f t="shared" si="55"/>
        <v>334.35376680959985</v>
      </c>
      <c r="AJ34" s="115">
        <f t="shared" si="3"/>
        <v>0.14793274081253704</v>
      </c>
      <c r="AK34" s="21">
        <f t="shared" si="22"/>
        <v>0.01</v>
      </c>
      <c r="AL34" s="123" t="e">
        <f t="shared" si="33"/>
        <v>#DIV/0!</v>
      </c>
    </row>
    <row r="35" spans="1:38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0"/>
      <c r="Y35" s="124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14"/>
      <c r="AK35" s="114"/>
      <c r="AL35" s="114"/>
    </row>
    <row r="36" spans="1:38" x14ac:dyDescent="0.2">
      <c r="A36" s="303" t="s">
        <v>417</v>
      </c>
      <c r="B36" s="175" t="s">
        <v>411</v>
      </c>
      <c r="C36" s="118"/>
      <c r="D36" s="118"/>
      <c r="E36" s="124"/>
      <c r="F36" s="178"/>
      <c r="G36" s="178">
        <f t="shared" ref="G36" si="108">H36</f>
        <v>0</v>
      </c>
      <c r="H36" s="178">
        <f t="shared" ref="H36:I36" si="109">I36</f>
        <v>0</v>
      </c>
      <c r="I36" s="178">
        <f t="shared" si="109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>
        <v>0</v>
      </c>
      <c r="S36" s="178">
        <v>0</v>
      </c>
      <c r="T36" s="178">
        <v>0</v>
      </c>
      <c r="U36" s="178">
        <v>0</v>
      </c>
      <c r="V36" s="178">
        <v>0</v>
      </c>
      <c r="W36" s="178">
        <v>0</v>
      </c>
      <c r="X36" s="101" t="e">
        <f t="shared" si="34"/>
        <v>#DIV/0!</v>
      </c>
      <c r="Y36" s="21">
        <f t="shared" si="12"/>
        <v>0.2</v>
      </c>
      <c r="Z36" s="130">
        <f t="shared" si="1"/>
        <v>0</v>
      </c>
      <c r="AA36" s="130">
        <f t="shared" ref="AA36:AA51" si="110">Z36*(1+$Y36)</f>
        <v>0</v>
      </c>
      <c r="AB36" s="130">
        <f t="shared" ref="AB36:AB51" si="111">AA36*(1+$Y36)</f>
        <v>0</v>
      </c>
      <c r="AC36" s="130">
        <f t="shared" ref="AC36:AC51" si="112">AB36*(1+$Y36)</f>
        <v>0</v>
      </c>
      <c r="AD36" s="130">
        <f t="shared" ref="AD36:AD51" si="113">AC36*(1+$Y36)</f>
        <v>0</v>
      </c>
      <c r="AE36" s="130">
        <f t="shared" ref="AE36:AE51" si="114">AD36*(1+$Y36)</f>
        <v>0</v>
      </c>
      <c r="AF36" s="130">
        <f t="shared" ref="AF36:AF51" si="115">AE36*(1+$Y36)</f>
        <v>0</v>
      </c>
      <c r="AG36" s="130">
        <f t="shared" ref="AG36:AG51" si="116">AF36*(1+$Y36)</f>
        <v>0</v>
      </c>
      <c r="AH36" s="130">
        <f t="shared" ref="AH36:AH51" si="117">AG36*(1+$Y36)</f>
        <v>0</v>
      </c>
      <c r="AI36" s="130">
        <f t="shared" ref="AI36:AI51" si="118">AH36*(1+$Y36)</f>
        <v>0</v>
      </c>
      <c r="AJ36" s="115" t="e">
        <f t="shared" si="3"/>
        <v>#DIV/0!</v>
      </c>
      <c r="AK36" s="21">
        <f t="shared" si="22"/>
        <v>0.01</v>
      </c>
      <c r="AL36" s="123" t="e">
        <f t="shared" si="33"/>
        <v>#DIV/0!</v>
      </c>
    </row>
    <row r="37" spans="1:38" x14ac:dyDescent="0.2">
      <c r="A37" s="303"/>
      <c r="B37" s="175"/>
      <c r="C37" s="118"/>
      <c r="D37" s="118"/>
      <c r="E37" s="124"/>
      <c r="F37" s="127"/>
      <c r="G37" s="127" t="e">
        <f t="shared" ref="G37" si="119">(G36-E36)/E36</f>
        <v>#DIV/0!</v>
      </c>
      <c r="H37" s="127" t="e">
        <f t="shared" ref="H37" si="120">(H36-F36)/F36</f>
        <v>#DIV/0!</v>
      </c>
      <c r="I37" s="127" t="e">
        <f t="shared" ref="I37" si="121">(I36-H36)/H36</f>
        <v>#DIV/0!</v>
      </c>
      <c r="J37" s="127" t="e">
        <f t="shared" ref="J37" si="122">(J36-I36)/I36</f>
        <v>#DIV/0!</v>
      </c>
      <c r="K37" s="127" t="e">
        <f t="shared" ref="K37" si="123">(K36-J36)/J36</f>
        <v>#DIV/0!</v>
      </c>
      <c r="L37" s="127" t="e">
        <f t="shared" ref="L37" si="124">(L36-K36)/K36</f>
        <v>#DIV/0!</v>
      </c>
      <c r="M37" s="127" t="e">
        <f t="shared" ref="M37" si="125">(M36-L36)/L36</f>
        <v>#DIV/0!</v>
      </c>
      <c r="N37" s="127" t="e">
        <f t="shared" ref="N37" si="126">(N36-M36)/M36</f>
        <v>#DIV/0!</v>
      </c>
      <c r="O37" s="127" t="e">
        <f t="shared" ref="O37" si="127">(O36-N36)/N36</f>
        <v>#DIV/0!</v>
      </c>
      <c r="P37" s="127" t="e">
        <f t="shared" ref="P37" si="128">(P36-O36)/O36</f>
        <v>#DIV/0!</v>
      </c>
      <c r="Q37" s="127" t="e">
        <f t="shared" ref="Q37" si="129">(Q36-P36)/P36</f>
        <v>#DIV/0!</v>
      </c>
      <c r="R37" s="127" t="e">
        <f t="shared" ref="R37" si="130">(R36-Q36)/Q36</f>
        <v>#DIV/0!</v>
      </c>
      <c r="S37" s="127" t="e">
        <f t="shared" ref="S37" si="131">(S36-R36)/R36</f>
        <v>#DIV/0!</v>
      </c>
      <c r="T37" s="127" t="e">
        <f t="shared" ref="T37" si="132">(T36-S36)/S36</f>
        <v>#DIV/0!</v>
      </c>
      <c r="U37" s="127" t="e">
        <f t="shared" ref="U37" si="133">(U36-T36)/T36</f>
        <v>#DIV/0!</v>
      </c>
      <c r="V37" s="127" t="e">
        <f t="shared" ref="V37" si="134">(V36-U36)/U36</f>
        <v>#DIV/0!</v>
      </c>
      <c r="W37" s="127" t="e">
        <f t="shared" ref="W37" si="135">(W36-V36)/V36</f>
        <v>#DIV/0!</v>
      </c>
      <c r="X37" s="10"/>
      <c r="Y37" s="1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14"/>
      <c r="AK37" s="130"/>
      <c r="AL37" s="114"/>
    </row>
    <row r="38" spans="1:38" x14ac:dyDescent="0.2">
      <c r="A38" s="303"/>
      <c r="B38" s="175" t="s">
        <v>412</v>
      </c>
      <c r="C38" s="118"/>
      <c r="D38" s="118"/>
      <c r="E38" s="124"/>
      <c r="F38" s="178"/>
      <c r="G38" s="178">
        <f t="shared" ref="G38" si="136">H38</f>
        <v>0</v>
      </c>
      <c r="H38" s="178">
        <f t="shared" ref="H38:I38" si="137">I38</f>
        <v>0</v>
      </c>
      <c r="I38" s="178">
        <f t="shared" si="137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>
        <v>1</v>
      </c>
      <c r="S38" s="178">
        <v>2</v>
      </c>
      <c r="T38" s="178">
        <v>3</v>
      </c>
      <c r="U38" s="178">
        <v>4</v>
      </c>
      <c r="V38" s="178">
        <v>5</v>
      </c>
      <c r="W38" s="178">
        <v>6</v>
      </c>
      <c r="X38" s="101" t="e">
        <f t="shared" si="34"/>
        <v>#DIV/0!</v>
      </c>
      <c r="Y38" s="21">
        <f t="shared" si="12"/>
        <v>0.2</v>
      </c>
      <c r="Z38" s="130">
        <f t="shared" si="1"/>
        <v>7.1999999999999993</v>
      </c>
      <c r="AA38" s="130">
        <f t="shared" si="110"/>
        <v>8.6399999999999988</v>
      </c>
      <c r="AB38" s="130">
        <f t="shared" si="111"/>
        <v>10.367999999999999</v>
      </c>
      <c r="AC38" s="130">
        <f t="shared" si="112"/>
        <v>12.441599999999998</v>
      </c>
      <c r="AD38" s="130">
        <f t="shared" si="113"/>
        <v>14.929919999999996</v>
      </c>
      <c r="AE38" s="130">
        <f t="shared" si="114"/>
        <v>17.915903999999994</v>
      </c>
      <c r="AF38" s="130">
        <f t="shared" si="115"/>
        <v>21.499084799999991</v>
      </c>
      <c r="AG38" s="130">
        <f t="shared" si="116"/>
        <v>25.798901759999989</v>
      </c>
      <c r="AH38" s="130">
        <f t="shared" si="117"/>
        <v>30.958682111999984</v>
      </c>
      <c r="AI38" s="130">
        <f t="shared" si="118"/>
        <v>37.150418534399982</v>
      </c>
      <c r="AJ38" s="115" t="e">
        <f t="shared" si="3"/>
        <v>#DIV/0!</v>
      </c>
      <c r="AK38" s="21">
        <f t="shared" si="22"/>
        <v>0.01</v>
      </c>
      <c r="AL38" s="123" t="e">
        <f t="shared" si="33"/>
        <v>#DIV/0!</v>
      </c>
    </row>
    <row r="39" spans="1:38" x14ac:dyDescent="0.2">
      <c r="A39" s="303"/>
      <c r="B39" s="175"/>
      <c r="C39" s="118"/>
      <c r="D39" s="118"/>
      <c r="E39" s="124"/>
      <c r="F39" s="127"/>
      <c r="G39" s="127" t="e">
        <f t="shared" ref="G39" si="138">(G38-E38)/E38</f>
        <v>#DIV/0!</v>
      </c>
      <c r="H39" s="127" t="e">
        <f t="shared" ref="H39" si="139">(H38-F38)/F38</f>
        <v>#DIV/0!</v>
      </c>
      <c r="I39" s="127" t="e">
        <f t="shared" ref="I39" si="140">(I38-H38)/H38</f>
        <v>#DIV/0!</v>
      </c>
      <c r="J39" s="127" t="e">
        <f t="shared" ref="J39" si="141">(J38-I38)/I38</f>
        <v>#DIV/0!</v>
      </c>
      <c r="K39" s="127" t="e">
        <f t="shared" ref="K39" si="142">(K38-J38)/J38</f>
        <v>#DIV/0!</v>
      </c>
      <c r="L39" s="127" t="e">
        <f t="shared" ref="L39" si="143">(L38-K38)/K38</f>
        <v>#DIV/0!</v>
      </c>
      <c r="M39" s="127" t="e">
        <f t="shared" ref="M39" si="144">(M38-L38)/L38</f>
        <v>#DIV/0!</v>
      </c>
      <c r="N39" s="127" t="e">
        <f t="shared" ref="N39" si="145">(N38-M38)/M38</f>
        <v>#DIV/0!</v>
      </c>
      <c r="O39" s="127" t="e">
        <f t="shared" ref="O39" si="146">(O38-N38)/N38</f>
        <v>#DIV/0!</v>
      </c>
      <c r="P39" s="127" t="e">
        <f t="shared" ref="P39" si="147">(P38-O38)/O38</f>
        <v>#DIV/0!</v>
      </c>
      <c r="Q39" s="127" t="e">
        <f t="shared" ref="Q39" si="148">(Q38-P38)/P38</f>
        <v>#DIV/0!</v>
      </c>
      <c r="R39" s="127" t="e">
        <f t="shared" ref="R39" si="149">(R38-Q38)/Q38</f>
        <v>#DIV/0!</v>
      </c>
      <c r="S39" s="127">
        <f t="shared" ref="S39" si="150">(S38-R38)/R38</f>
        <v>1</v>
      </c>
      <c r="T39" s="127">
        <f t="shared" ref="T39" si="151">(T38-S38)/S38</f>
        <v>0.5</v>
      </c>
      <c r="U39" s="127">
        <f t="shared" ref="U39" si="152">(U38-T38)/T38</f>
        <v>0.33333333333333331</v>
      </c>
      <c r="V39" s="127">
        <f t="shared" ref="V39" si="153">(V38-U38)/U38</f>
        <v>0.25</v>
      </c>
      <c r="W39" s="127">
        <f t="shared" ref="W39" si="154">(W38-V38)/V38</f>
        <v>0.2</v>
      </c>
      <c r="X39" s="10"/>
      <c r="Y39" s="1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14"/>
      <c r="AK39" s="130"/>
      <c r="AL39" s="114"/>
    </row>
    <row r="40" spans="1:38" x14ac:dyDescent="0.2">
      <c r="A40" s="303"/>
      <c r="B40" s="175" t="s">
        <v>416</v>
      </c>
      <c r="C40" s="118"/>
      <c r="D40" s="118"/>
      <c r="E40" s="124"/>
      <c r="F40" s="178"/>
      <c r="G40" s="178">
        <f t="shared" ref="G40:G43" si="155">H40</f>
        <v>0</v>
      </c>
      <c r="H40" s="178">
        <f t="shared" ref="H40:I40" si="156">I40</f>
        <v>0</v>
      </c>
      <c r="I40" s="178">
        <f t="shared" si="156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0</v>
      </c>
      <c r="T40" s="178">
        <v>0</v>
      </c>
      <c r="U40" s="178">
        <v>0</v>
      </c>
      <c r="V40" s="178">
        <v>0</v>
      </c>
      <c r="W40" s="178">
        <v>0</v>
      </c>
      <c r="X40" s="101" t="e">
        <f t="shared" si="34"/>
        <v>#DIV/0!</v>
      </c>
      <c r="Y40" s="21">
        <f t="shared" si="12"/>
        <v>0.2</v>
      </c>
      <c r="Z40" s="130">
        <f t="shared" si="1"/>
        <v>0</v>
      </c>
      <c r="AA40" s="130">
        <f t="shared" si="110"/>
        <v>0</v>
      </c>
      <c r="AB40" s="130">
        <f t="shared" si="111"/>
        <v>0</v>
      </c>
      <c r="AC40" s="130">
        <f t="shared" si="112"/>
        <v>0</v>
      </c>
      <c r="AD40" s="130">
        <f t="shared" si="113"/>
        <v>0</v>
      </c>
      <c r="AE40" s="130">
        <f t="shared" si="114"/>
        <v>0</v>
      </c>
      <c r="AF40" s="130">
        <f t="shared" si="115"/>
        <v>0</v>
      </c>
      <c r="AG40" s="130">
        <f t="shared" si="116"/>
        <v>0</v>
      </c>
      <c r="AH40" s="130">
        <f t="shared" si="117"/>
        <v>0</v>
      </c>
      <c r="AI40" s="130">
        <f t="shared" si="118"/>
        <v>0</v>
      </c>
      <c r="AJ40" s="115" t="e">
        <f t="shared" si="3"/>
        <v>#DIV/0!</v>
      </c>
      <c r="AK40" s="21">
        <f t="shared" si="22"/>
        <v>0.01</v>
      </c>
      <c r="AL40" s="123" t="e">
        <f t="shared" si="33"/>
        <v>#DIV/0!</v>
      </c>
    </row>
    <row r="41" spans="1:38" x14ac:dyDescent="0.2">
      <c r="A41" s="303"/>
      <c r="B41" s="175" t="s">
        <v>413</v>
      </c>
      <c r="C41" s="118"/>
      <c r="D41" s="118"/>
      <c r="E41" s="124"/>
      <c r="F41" s="178"/>
      <c r="G41" s="178">
        <f t="shared" si="155"/>
        <v>0</v>
      </c>
      <c r="H41" s="178">
        <f t="shared" ref="H41:I41" si="157">I41</f>
        <v>0</v>
      </c>
      <c r="I41" s="178">
        <f t="shared" si="157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0</v>
      </c>
      <c r="T41" s="178">
        <v>0</v>
      </c>
      <c r="U41" s="178">
        <v>0</v>
      </c>
      <c r="V41" s="178">
        <v>0</v>
      </c>
      <c r="W41" s="178">
        <v>0</v>
      </c>
      <c r="X41" s="101" t="e">
        <f t="shared" si="34"/>
        <v>#DIV/0!</v>
      </c>
      <c r="Y41" s="21">
        <f t="shared" si="12"/>
        <v>0.2</v>
      </c>
      <c r="Z41" s="130">
        <f t="shared" si="1"/>
        <v>0</v>
      </c>
      <c r="AA41" s="130">
        <f t="shared" si="110"/>
        <v>0</v>
      </c>
      <c r="AB41" s="130">
        <f t="shared" si="111"/>
        <v>0</v>
      </c>
      <c r="AC41" s="130">
        <f t="shared" si="112"/>
        <v>0</v>
      </c>
      <c r="AD41" s="130">
        <f t="shared" si="113"/>
        <v>0</v>
      </c>
      <c r="AE41" s="130">
        <f t="shared" si="114"/>
        <v>0</v>
      </c>
      <c r="AF41" s="130">
        <f t="shared" si="115"/>
        <v>0</v>
      </c>
      <c r="AG41" s="130">
        <f t="shared" si="116"/>
        <v>0</v>
      </c>
      <c r="AH41" s="130">
        <f t="shared" si="117"/>
        <v>0</v>
      </c>
      <c r="AI41" s="130">
        <f t="shared" si="118"/>
        <v>0</v>
      </c>
      <c r="AJ41" s="115" t="e">
        <f t="shared" si="3"/>
        <v>#DIV/0!</v>
      </c>
      <c r="AK41" s="21">
        <f t="shared" si="22"/>
        <v>0.01</v>
      </c>
      <c r="AL41" s="123" t="e">
        <f t="shared" si="33"/>
        <v>#DIV/0!</v>
      </c>
    </row>
    <row r="42" spans="1:38" x14ac:dyDescent="0.2">
      <c r="A42" s="303"/>
      <c r="B42" s="175" t="s">
        <v>415</v>
      </c>
      <c r="C42" s="118"/>
      <c r="D42" s="118"/>
      <c r="E42" s="124"/>
      <c r="F42" s="178"/>
      <c r="G42" s="178">
        <f t="shared" si="155"/>
        <v>0</v>
      </c>
      <c r="H42" s="178">
        <f t="shared" ref="H42:I42" si="158">I42</f>
        <v>0</v>
      </c>
      <c r="I42" s="178">
        <f t="shared" si="158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0</v>
      </c>
      <c r="T42" s="178">
        <v>0</v>
      </c>
      <c r="U42" s="178">
        <v>0</v>
      </c>
      <c r="V42" s="178">
        <v>0</v>
      </c>
      <c r="W42" s="178">
        <v>0</v>
      </c>
      <c r="X42" s="101" t="e">
        <f t="shared" si="34"/>
        <v>#DIV/0!</v>
      </c>
      <c r="Y42" s="21">
        <f t="shared" si="12"/>
        <v>0.2</v>
      </c>
      <c r="Z42" s="130">
        <f t="shared" si="1"/>
        <v>0</v>
      </c>
      <c r="AA42" s="130">
        <f t="shared" si="110"/>
        <v>0</v>
      </c>
      <c r="AB42" s="130">
        <f t="shared" si="111"/>
        <v>0</v>
      </c>
      <c r="AC42" s="130">
        <f t="shared" si="112"/>
        <v>0</v>
      </c>
      <c r="AD42" s="130">
        <f t="shared" si="113"/>
        <v>0</v>
      </c>
      <c r="AE42" s="130">
        <f t="shared" si="114"/>
        <v>0</v>
      </c>
      <c r="AF42" s="130">
        <f t="shared" si="115"/>
        <v>0</v>
      </c>
      <c r="AG42" s="130">
        <f t="shared" si="116"/>
        <v>0</v>
      </c>
      <c r="AH42" s="130">
        <f t="shared" si="117"/>
        <v>0</v>
      </c>
      <c r="AI42" s="130">
        <f t="shared" si="118"/>
        <v>0</v>
      </c>
      <c r="AJ42" s="115" t="e">
        <f t="shared" si="3"/>
        <v>#DIV/0!</v>
      </c>
      <c r="AK42" s="21">
        <f t="shared" si="22"/>
        <v>0.01</v>
      </c>
      <c r="AL42" s="123" t="e">
        <f t="shared" si="33"/>
        <v>#DIV/0!</v>
      </c>
    </row>
    <row r="43" spans="1:38" x14ac:dyDescent="0.2">
      <c r="A43" s="303"/>
      <c r="B43" s="175" t="s">
        <v>414</v>
      </c>
      <c r="C43" s="118"/>
      <c r="D43" s="118"/>
      <c r="E43" s="124"/>
      <c r="F43" s="178"/>
      <c r="G43" s="178">
        <f t="shared" si="155"/>
        <v>0</v>
      </c>
      <c r="H43" s="178">
        <f t="shared" ref="H43:I43" si="159">I43</f>
        <v>0</v>
      </c>
      <c r="I43" s="178">
        <f t="shared" si="159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0</v>
      </c>
      <c r="T43" s="178">
        <v>0</v>
      </c>
      <c r="U43" s="178">
        <v>0</v>
      </c>
      <c r="V43" s="178">
        <v>0</v>
      </c>
      <c r="W43" s="178">
        <v>0</v>
      </c>
      <c r="X43" s="101" t="e">
        <f t="shared" si="34"/>
        <v>#DIV/0!</v>
      </c>
      <c r="Y43" s="21">
        <f t="shared" si="12"/>
        <v>0.2</v>
      </c>
      <c r="Z43" s="130">
        <f t="shared" si="1"/>
        <v>0</v>
      </c>
      <c r="AA43" s="130">
        <f t="shared" si="110"/>
        <v>0</v>
      </c>
      <c r="AB43" s="130">
        <f t="shared" si="111"/>
        <v>0</v>
      </c>
      <c r="AC43" s="130">
        <f t="shared" si="112"/>
        <v>0</v>
      </c>
      <c r="AD43" s="130">
        <f t="shared" si="113"/>
        <v>0</v>
      </c>
      <c r="AE43" s="130">
        <f t="shared" si="114"/>
        <v>0</v>
      </c>
      <c r="AF43" s="130">
        <f t="shared" si="115"/>
        <v>0</v>
      </c>
      <c r="AG43" s="130">
        <f t="shared" si="116"/>
        <v>0</v>
      </c>
      <c r="AH43" s="130">
        <f t="shared" si="117"/>
        <v>0</v>
      </c>
      <c r="AI43" s="130">
        <f t="shared" si="118"/>
        <v>0</v>
      </c>
      <c r="AJ43" s="115" t="e">
        <f t="shared" si="3"/>
        <v>#DIV/0!</v>
      </c>
      <c r="AK43" s="21">
        <f t="shared" si="22"/>
        <v>0.01</v>
      </c>
      <c r="AL43" s="123" t="e">
        <f t="shared" si="33"/>
        <v>#DIV/0!</v>
      </c>
    </row>
    <row r="44" spans="1:38" x14ac:dyDescent="0.2">
      <c r="A44" s="303"/>
      <c r="B44" s="175"/>
      <c r="C44" s="118"/>
      <c r="D44" s="118"/>
      <c r="E44" s="124"/>
      <c r="F44" s="127"/>
      <c r="G44" s="127" t="e">
        <f t="shared" ref="G44" si="160">(G43-E43)/E43</f>
        <v>#DIV/0!</v>
      </c>
      <c r="H44" s="127" t="e">
        <f t="shared" ref="H44" si="161">(H43-F43)/F43</f>
        <v>#DIV/0!</v>
      </c>
      <c r="I44" s="127" t="e">
        <f t="shared" ref="I44" si="162">(I43-H43)/H43</f>
        <v>#DIV/0!</v>
      </c>
      <c r="J44" s="127" t="e">
        <f t="shared" ref="J44" si="163">(J43-I43)/I43</f>
        <v>#DIV/0!</v>
      </c>
      <c r="K44" s="127" t="e">
        <f t="shared" ref="K44" si="164">(K43-J43)/J43</f>
        <v>#DIV/0!</v>
      </c>
      <c r="L44" s="127" t="e">
        <f t="shared" ref="L44" si="165">(L43-K43)/K43</f>
        <v>#DIV/0!</v>
      </c>
      <c r="M44" s="127" t="e">
        <f t="shared" ref="M44" si="166">(M43-L43)/L43</f>
        <v>#DIV/0!</v>
      </c>
      <c r="N44" s="127" t="e">
        <f t="shared" ref="N44" si="167">(N43-M43)/M43</f>
        <v>#DIV/0!</v>
      </c>
      <c r="O44" s="127" t="e">
        <f t="shared" ref="O44" si="168">(O43-N43)/N43</f>
        <v>#DIV/0!</v>
      </c>
      <c r="P44" s="127" t="e">
        <f t="shared" ref="P44" si="169">(P43-O43)/O43</f>
        <v>#DIV/0!</v>
      </c>
      <c r="Q44" s="127" t="e">
        <f t="shared" ref="Q44" si="170">(Q43-P43)/P43</f>
        <v>#DIV/0!</v>
      </c>
      <c r="R44" s="127" t="e">
        <f t="shared" ref="R44" si="171">(R43-Q43)/Q43</f>
        <v>#DIV/0!</v>
      </c>
      <c r="S44" s="127" t="e">
        <f t="shared" ref="S44" si="172">(S43-R43)/R43</f>
        <v>#DIV/0!</v>
      </c>
      <c r="T44" s="127" t="e">
        <f t="shared" ref="T44" si="173">(T43-S43)/S43</f>
        <v>#DIV/0!</v>
      </c>
      <c r="U44" s="127" t="e">
        <f t="shared" ref="U44" si="174">(U43-T43)/T43</f>
        <v>#DIV/0!</v>
      </c>
      <c r="V44" s="127" t="e">
        <f t="shared" ref="V44" si="175">(V43-U43)/U43</f>
        <v>#DIV/0!</v>
      </c>
      <c r="W44" s="127" t="e">
        <f t="shared" ref="W44" si="176">(W43-V43)/V43</f>
        <v>#DIV/0!</v>
      </c>
      <c r="X44" s="10"/>
      <c r="Y44" s="1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14"/>
      <c r="AK44" s="130"/>
      <c r="AL44" s="114"/>
    </row>
    <row r="45" spans="1:38" x14ac:dyDescent="0.2">
      <c r="A45" s="303"/>
      <c r="B45" s="175" t="s">
        <v>191</v>
      </c>
      <c r="C45" s="118"/>
      <c r="D45" s="118"/>
      <c r="E45" s="124"/>
      <c r="F45" s="178"/>
      <c r="G45" s="178">
        <f t="shared" ref="G45" si="177">H45</f>
        <v>0</v>
      </c>
      <c r="H45" s="178">
        <f t="shared" ref="H45:I45" si="178">I45</f>
        <v>0</v>
      </c>
      <c r="I45" s="178">
        <f t="shared" si="178"/>
        <v>0</v>
      </c>
      <c r="J45" s="178">
        <f>K45</f>
        <v>0</v>
      </c>
      <c r="K45" s="178">
        <v>0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78">
        <v>0</v>
      </c>
      <c r="R45" s="178">
        <v>1</v>
      </c>
      <c r="S45" s="178">
        <v>2</v>
      </c>
      <c r="T45" s="178">
        <v>3</v>
      </c>
      <c r="U45" s="178">
        <v>4</v>
      </c>
      <c r="V45" s="178">
        <v>5</v>
      </c>
      <c r="W45" s="178">
        <v>6</v>
      </c>
      <c r="X45" s="101" t="e">
        <f t="shared" si="34"/>
        <v>#DIV/0!</v>
      </c>
      <c r="Y45" s="21">
        <f t="shared" si="12"/>
        <v>0.2</v>
      </c>
      <c r="Z45" s="130">
        <f t="shared" si="1"/>
        <v>7.1999999999999993</v>
      </c>
      <c r="AA45" s="130">
        <f t="shared" si="110"/>
        <v>8.6399999999999988</v>
      </c>
      <c r="AB45" s="130">
        <f t="shared" si="111"/>
        <v>10.367999999999999</v>
      </c>
      <c r="AC45" s="130">
        <f t="shared" si="112"/>
        <v>12.441599999999998</v>
      </c>
      <c r="AD45" s="130">
        <f t="shared" si="113"/>
        <v>14.929919999999996</v>
      </c>
      <c r="AE45" s="130">
        <f t="shared" si="114"/>
        <v>17.915903999999994</v>
      </c>
      <c r="AF45" s="130">
        <f t="shared" si="115"/>
        <v>21.499084799999991</v>
      </c>
      <c r="AG45" s="130">
        <f t="shared" si="116"/>
        <v>25.798901759999989</v>
      </c>
      <c r="AH45" s="130">
        <f t="shared" si="117"/>
        <v>30.958682111999984</v>
      </c>
      <c r="AI45" s="130">
        <f t="shared" si="118"/>
        <v>37.150418534399982</v>
      </c>
      <c r="AJ45" s="115" t="e">
        <f t="shared" si="3"/>
        <v>#DIV/0!</v>
      </c>
      <c r="AK45" s="21">
        <f t="shared" si="22"/>
        <v>0.01</v>
      </c>
      <c r="AL45" s="123" t="e">
        <f t="shared" si="33"/>
        <v>#DIV/0!</v>
      </c>
    </row>
    <row r="46" spans="1:38" x14ac:dyDescent="0.2">
      <c r="A46" s="176"/>
      <c r="B46" s="175"/>
      <c r="C46" s="118"/>
      <c r="D46" s="118"/>
      <c r="E46" s="124"/>
      <c r="F46" s="127"/>
      <c r="G46" s="127" t="e">
        <f t="shared" ref="G46" si="179">(G45-E45)/E45</f>
        <v>#DIV/0!</v>
      </c>
      <c r="H46" s="127" t="e">
        <f t="shared" ref="H46" si="180">(H45-F45)/F45</f>
        <v>#DIV/0!</v>
      </c>
      <c r="I46" s="127" t="e">
        <f t="shared" ref="I46" si="181">(I45-H45)/H45</f>
        <v>#DIV/0!</v>
      </c>
      <c r="J46" s="127" t="e">
        <f t="shared" ref="J46" si="182">(J45-I45)/I45</f>
        <v>#DIV/0!</v>
      </c>
      <c r="K46" s="127" t="e">
        <f t="shared" ref="K46" si="183">(K45-J45)/J45</f>
        <v>#DIV/0!</v>
      </c>
      <c r="L46" s="127" t="e">
        <f t="shared" ref="L46" si="184">(L45-K45)/K45</f>
        <v>#DIV/0!</v>
      </c>
      <c r="M46" s="127" t="e">
        <f t="shared" ref="M46" si="185">(M45-L45)/L45</f>
        <v>#DIV/0!</v>
      </c>
      <c r="N46" s="127" t="e">
        <f t="shared" ref="N46" si="186">(N45-M45)/M45</f>
        <v>#DIV/0!</v>
      </c>
      <c r="O46" s="127" t="e">
        <f t="shared" ref="O46" si="187">(O45-N45)/N45</f>
        <v>#DIV/0!</v>
      </c>
      <c r="P46" s="127" t="e">
        <f t="shared" ref="P46" si="188">(P45-O45)/O45</f>
        <v>#DIV/0!</v>
      </c>
      <c r="Q46" s="127" t="e">
        <f t="shared" ref="Q46" si="189">(Q45-P45)/P45</f>
        <v>#DIV/0!</v>
      </c>
      <c r="R46" s="127" t="e">
        <f t="shared" ref="R46" si="190">(R45-Q45)/Q45</f>
        <v>#DIV/0!</v>
      </c>
      <c r="S46" s="127">
        <f t="shared" ref="S46" si="191">(S45-R45)/R45</f>
        <v>1</v>
      </c>
      <c r="T46" s="127">
        <f t="shared" ref="T46" si="192">(T45-S45)/S45</f>
        <v>0.5</v>
      </c>
      <c r="U46" s="127">
        <f t="shared" ref="U46" si="193">(U45-T45)/T45</f>
        <v>0.33333333333333331</v>
      </c>
      <c r="V46" s="127">
        <f t="shared" ref="V46" si="194">(V45-U45)/U45</f>
        <v>0.25</v>
      </c>
      <c r="W46" s="127">
        <f t="shared" ref="W46" si="195">(W45-V45)/V45</f>
        <v>0.2</v>
      </c>
      <c r="X46" s="10"/>
      <c r="Y46" s="1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14"/>
      <c r="AK46" s="130"/>
      <c r="AL46" s="114"/>
    </row>
    <row r="47" spans="1:38" x14ac:dyDescent="0.2">
      <c r="A47" s="176"/>
      <c r="B47" s="175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01" t="e">
        <f t="shared" si="34"/>
        <v>#DIV/0!</v>
      </c>
      <c r="Y47" s="21">
        <f t="shared" si="12"/>
        <v>0.2</v>
      </c>
      <c r="Z47" s="130">
        <f t="shared" si="1"/>
        <v>0</v>
      </c>
      <c r="AA47" s="130">
        <f t="shared" ref="AA47" si="196">Z47*(1+$Y47)</f>
        <v>0</v>
      </c>
      <c r="AB47" s="130">
        <f t="shared" ref="AB47" si="197">AA47*(1+$Y47)</f>
        <v>0</v>
      </c>
      <c r="AC47" s="130">
        <f t="shared" ref="AC47" si="198">AB47*(1+$Y47)</f>
        <v>0</v>
      </c>
      <c r="AD47" s="130">
        <f t="shared" ref="AD47" si="199">AC47*(1+$Y47)</f>
        <v>0</v>
      </c>
      <c r="AE47" s="130">
        <f t="shared" ref="AE47" si="200">AD47*(1+$Y47)</f>
        <v>0</v>
      </c>
      <c r="AF47" s="130">
        <f t="shared" ref="AF47" si="201">AE47*(1+$Y47)</f>
        <v>0</v>
      </c>
      <c r="AG47" s="130">
        <f t="shared" ref="AG47" si="202">AF47*(1+$Y47)</f>
        <v>0</v>
      </c>
      <c r="AH47" s="130">
        <f t="shared" ref="AH47" si="203">AG47*(1+$Y47)</f>
        <v>0</v>
      </c>
      <c r="AI47" s="130">
        <f t="shared" ref="AI47" si="204">AH47*(1+$Y47)</f>
        <v>0</v>
      </c>
      <c r="AJ47" s="115" t="e">
        <f t="shared" si="3"/>
        <v>#DIV/0!</v>
      </c>
      <c r="AK47" s="21">
        <f t="shared" si="22"/>
        <v>0.01</v>
      </c>
      <c r="AL47" s="123" t="e">
        <f t="shared" si="33"/>
        <v>#DIV/0!</v>
      </c>
    </row>
    <row r="48" spans="1:38" x14ac:dyDescent="0.2">
      <c r="A48" s="176"/>
      <c r="B48" s="175"/>
      <c r="C48" s="118"/>
      <c r="D48" s="118"/>
      <c r="E48" s="124"/>
      <c r="F48" s="127"/>
      <c r="G48" s="127" t="e">
        <f t="shared" ref="G48" si="205">(G47-E47)/E47</f>
        <v>#DIV/0!</v>
      </c>
      <c r="H48" s="127" t="e">
        <f t="shared" ref="H48" si="206">(H47-F47)/F47</f>
        <v>#DIV/0!</v>
      </c>
      <c r="I48" s="127" t="e">
        <f t="shared" ref="I48" si="207">(I47-H47)/H47</f>
        <v>#DIV/0!</v>
      </c>
      <c r="J48" s="127" t="e">
        <f t="shared" ref="J48" si="208">(J47-I47)/I47</f>
        <v>#DIV/0!</v>
      </c>
      <c r="K48" s="127" t="e">
        <f t="shared" ref="K48" si="209">(K47-J47)/J47</f>
        <v>#DIV/0!</v>
      </c>
      <c r="L48" s="127" t="e">
        <f t="shared" ref="L48" si="210">(L47-K47)/K47</f>
        <v>#DIV/0!</v>
      </c>
      <c r="M48" s="127" t="e">
        <f t="shared" ref="M48" si="211">(M47-L47)/L47</f>
        <v>#DIV/0!</v>
      </c>
      <c r="N48" s="127" t="e">
        <f t="shared" ref="N48" si="212">(N47-M47)/M47</f>
        <v>#DIV/0!</v>
      </c>
      <c r="O48" s="127" t="e">
        <f t="shared" ref="O48" si="213">(O47-N47)/N47</f>
        <v>#DIV/0!</v>
      </c>
      <c r="P48" s="127" t="e">
        <f t="shared" ref="P48" si="214">(P47-O47)/O47</f>
        <v>#DIV/0!</v>
      </c>
      <c r="Q48" s="127" t="e">
        <f t="shared" ref="Q48" si="215">(Q47-P47)/P47</f>
        <v>#DIV/0!</v>
      </c>
      <c r="R48" s="127" t="e">
        <f t="shared" ref="R48" si="216">(R47-Q47)/Q47</f>
        <v>#DIV/0!</v>
      </c>
      <c r="S48" s="127" t="e">
        <f t="shared" ref="S48" si="217">(S47-R47)/R47</f>
        <v>#DIV/0!</v>
      </c>
      <c r="T48" s="127" t="e">
        <f t="shared" ref="T48" si="218">(T47-S47)/S47</f>
        <v>#DIV/0!</v>
      </c>
      <c r="U48" s="127" t="e">
        <f t="shared" ref="U48" si="219">(U47-T47)/T47</f>
        <v>#DIV/0!</v>
      </c>
      <c r="V48" s="127" t="e">
        <f t="shared" ref="V48" si="220">(V47-U47)/U47</f>
        <v>#DIV/0!</v>
      </c>
      <c r="W48" s="127" t="e">
        <f t="shared" ref="W48" si="221">(W47-V47)/V47</f>
        <v>#DIV/0!</v>
      </c>
      <c r="X48" s="10"/>
      <c r="Y48" s="1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14"/>
      <c r="AK48" s="130"/>
      <c r="AL48" s="114"/>
    </row>
    <row r="49" spans="1:38" x14ac:dyDescent="0.2">
      <c r="A49" s="176"/>
      <c r="B49" s="175" t="s">
        <v>427</v>
      </c>
      <c r="C49" s="118"/>
      <c r="D49" s="118"/>
      <c r="E49" s="124"/>
      <c r="F49" s="178"/>
      <c r="G49" s="178">
        <f t="shared" ref="G49" si="222">H49</f>
        <v>0</v>
      </c>
      <c r="H49" s="178">
        <f t="shared" ref="H49:I49" si="223">I49</f>
        <v>0</v>
      </c>
      <c r="I49" s="178">
        <f t="shared" si="223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1</v>
      </c>
      <c r="S49" s="178">
        <v>2</v>
      </c>
      <c r="T49" s="178">
        <v>3</v>
      </c>
      <c r="U49" s="178">
        <v>4</v>
      </c>
      <c r="V49" s="178">
        <v>5</v>
      </c>
      <c r="W49" s="178">
        <v>6</v>
      </c>
      <c r="X49" s="101" t="e">
        <f t="shared" si="34"/>
        <v>#DIV/0!</v>
      </c>
      <c r="Y49" s="21">
        <f t="shared" si="12"/>
        <v>0.2</v>
      </c>
      <c r="Z49" s="130">
        <f t="shared" si="1"/>
        <v>7.1999999999999993</v>
      </c>
      <c r="AA49" s="130">
        <f t="shared" ref="AA49" si="224">Z49*(1+$Y49)</f>
        <v>8.6399999999999988</v>
      </c>
      <c r="AB49" s="130">
        <f t="shared" ref="AB49" si="225">AA49*(1+$Y49)</f>
        <v>10.367999999999999</v>
      </c>
      <c r="AC49" s="130">
        <f t="shared" ref="AC49" si="226">AB49*(1+$Y49)</f>
        <v>12.441599999999998</v>
      </c>
      <c r="AD49" s="130">
        <f t="shared" ref="AD49" si="227">AC49*(1+$Y49)</f>
        <v>14.929919999999996</v>
      </c>
      <c r="AE49" s="130">
        <f t="shared" ref="AE49" si="228">AD49*(1+$Y49)</f>
        <v>17.915903999999994</v>
      </c>
      <c r="AF49" s="130">
        <f t="shared" ref="AF49" si="229">AE49*(1+$Y49)</f>
        <v>21.499084799999991</v>
      </c>
      <c r="AG49" s="130">
        <f t="shared" ref="AG49" si="230">AF49*(1+$Y49)</f>
        <v>25.798901759999989</v>
      </c>
      <c r="AH49" s="130">
        <f t="shared" ref="AH49" si="231">AG49*(1+$Y49)</f>
        <v>30.958682111999984</v>
      </c>
      <c r="AI49" s="130">
        <f t="shared" ref="AI49" si="232">AH49*(1+$Y49)</f>
        <v>37.150418534399982</v>
      </c>
      <c r="AJ49" s="115" t="e">
        <f t="shared" si="3"/>
        <v>#DIV/0!</v>
      </c>
      <c r="AK49" s="21">
        <f t="shared" si="22"/>
        <v>0.01</v>
      </c>
      <c r="AL49" s="123" t="e">
        <f t="shared" si="33"/>
        <v>#DIV/0!</v>
      </c>
    </row>
    <row r="50" spans="1:38" x14ac:dyDescent="0.2">
      <c r="A50" s="176"/>
      <c r="B50" s="175"/>
      <c r="C50" s="118"/>
      <c r="D50" s="118"/>
      <c r="E50" s="124"/>
      <c r="F50" s="127"/>
      <c r="G50" s="127" t="e">
        <f t="shared" ref="G50" si="233">(G49-E49)/E49</f>
        <v>#DIV/0!</v>
      </c>
      <c r="H50" s="127" t="e">
        <f t="shared" ref="H50" si="234">(H49-F49)/F49</f>
        <v>#DIV/0!</v>
      </c>
      <c r="I50" s="127" t="e">
        <f t="shared" ref="I50" si="235">(I49-H49)/H49</f>
        <v>#DIV/0!</v>
      </c>
      <c r="J50" s="127" t="e">
        <f t="shared" ref="J50" si="236">(J49-I49)/I49</f>
        <v>#DIV/0!</v>
      </c>
      <c r="K50" s="127" t="e">
        <f t="shared" ref="K50" si="237">(K49-J49)/J49</f>
        <v>#DIV/0!</v>
      </c>
      <c r="L50" s="127" t="e">
        <f t="shared" ref="L50" si="238">(L49-K49)/K49</f>
        <v>#DIV/0!</v>
      </c>
      <c r="M50" s="127" t="e">
        <f t="shared" ref="M50" si="239">(M49-L49)/L49</f>
        <v>#DIV/0!</v>
      </c>
      <c r="N50" s="127" t="e">
        <f t="shared" ref="N50" si="240">(N49-M49)/M49</f>
        <v>#DIV/0!</v>
      </c>
      <c r="O50" s="127" t="e">
        <f t="shared" ref="O50" si="241">(O49-N49)/N49</f>
        <v>#DIV/0!</v>
      </c>
      <c r="P50" s="127" t="e">
        <f t="shared" ref="P50" si="242">(P49-O49)/O49</f>
        <v>#DIV/0!</v>
      </c>
      <c r="Q50" s="127" t="e">
        <f t="shared" ref="Q50" si="243">(Q49-P49)/P49</f>
        <v>#DIV/0!</v>
      </c>
      <c r="R50" s="127" t="e">
        <f t="shared" ref="R50" si="244">(R49-Q49)/Q49</f>
        <v>#DIV/0!</v>
      </c>
      <c r="S50" s="127">
        <f t="shared" ref="S50" si="245">(S49-R49)/R49</f>
        <v>1</v>
      </c>
      <c r="T50" s="127">
        <f t="shared" ref="T50" si="246">(T49-S49)/S49</f>
        <v>0.5</v>
      </c>
      <c r="U50" s="127">
        <f t="shared" ref="U50" si="247">(U49-T49)/T49</f>
        <v>0.33333333333333331</v>
      </c>
      <c r="V50" s="127">
        <f t="shared" ref="V50" si="248">(V49-U49)/U49</f>
        <v>0.25</v>
      </c>
      <c r="W50" s="127">
        <f t="shared" ref="W50" si="249">(W49-V49)/V49</f>
        <v>0.2</v>
      </c>
      <c r="X50" s="10"/>
      <c r="Y50" s="1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14"/>
      <c r="AK50" s="130"/>
      <c r="AL50" s="114"/>
    </row>
    <row r="51" spans="1:38" x14ac:dyDescent="0.2">
      <c r="A51" s="176"/>
      <c r="B51" s="175" t="s">
        <v>418</v>
      </c>
      <c r="C51" s="118"/>
      <c r="D51" s="118"/>
      <c r="E51" s="124"/>
      <c r="F51" s="178"/>
      <c r="G51" s="178">
        <f t="shared" ref="G51" si="250">H51</f>
        <v>0</v>
      </c>
      <c r="H51" s="178">
        <f t="shared" ref="H51:I51" si="251">I51</f>
        <v>0</v>
      </c>
      <c r="I51" s="178">
        <f t="shared" si="251"/>
        <v>0</v>
      </c>
      <c r="J51" s="178">
        <f>K51</f>
        <v>0</v>
      </c>
      <c r="K51" s="178">
        <v>0</v>
      </c>
      <c r="L51" s="178">
        <v>0</v>
      </c>
      <c r="M51" s="178">
        <v>0</v>
      </c>
      <c r="N51" s="178">
        <v>0</v>
      </c>
      <c r="O51" s="178">
        <v>0</v>
      </c>
      <c r="P51" s="178">
        <v>0</v>
      </c>
      <c r="Q51" s="178">
        <v>0</v>
      </c>
      <c r="R51" s="178">
        <v>1</v>
      </c>
      <c r="S51" s="178">
        <v>2</v>
      </c>
      <c r="T51" s="178">
        <v>3</v>
      </c>
      <c r="U51" s="178">
        <v>4</v>
      </c>
      <c r="V51" s="178">
        <v>5</v>
      </c>
      <c r="W51" s="178">
        <v>6</v>
      </c>
      <c r="X51" s="101" t="e">
        <f t="shared" si="34"/>
        <v>#DIV/0!</v>
      </c>
      <c r="Y51" s="21">
        <f t="shared" si="12"/>
        <v>0.2</v>
      </c>
      <c r="Z51" s="130">
        <f t="shared" si="1"/>
        <v>7.1999999999999993</v>
      </c>
      <c r="AA51" s="130">
        <f t="shared" si="110"/>
        <v>8.6399999999999988</v>
      </c>
      <c r="AB51" s="130">
        <f t="shared" si="111"/>
        <v>10.367999999999999</v>
      </c>
      <c r="AC51" s="130">
        <f t="shared" si="112"/>
        <v>12.441599999999998</v>
      </c>
      <c r="AD51" s="130">
        <f t="shared" si="113"/>
        <v>14.929919999999996</v>
      </c>
      <c r="AE51" s="130">
        <f t="shared" si="114"/>
        <v>17.915903999999994</v>
      </c>
      <c r="AF51" s="130">
        <f t="shared" si="115"/>
        <v>21.499084799999991</v>
      </c>
      <c r="AG51" s="130">
        <f t="shared" si="116"/>
        <v>25.798901759999989</v>
      </c>
      <c r="AH51" s="130">
        <f t="shared" si="117"/>
        <v>30.958682111999984</v>
      </c>
      <c r="AI51" s="130">
        <f t="shared" si="118"/>
        <v>37.150418534399982</v>
      </c>
      <c r="AJ51" s="115" t="e">
        <f t="shared" si="3"/>
        <v>#DIV/0!</v>
      </c>
      <c r="AK51" s="21">
        <f t="shared" si="22"/>
        <v>0.01</v>
      </c>
      <c r="AL51" s="123" t="e">
        <f t="shared" si="33"/>
        <v>#DIV/0!</v>
      </c>
    </row>
    <row r="52" spans="1:38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01" t="e">
        <f t="shared" si="34"/>
        <v>#DIV/0!</v>
      </c>
      <c r="Y52" s="10"/>
      <c r="Z52" s="130">
        <f t="shared" si="1"/>
        <v>0</v>
      </c>
      <c r="AA52" s="130"/>
      <c r="AB52" s="130"/>
      <c r="AC52" s="130"/>
      <c r="AD52" s="130"/>
      <c r="AE52" s="130"/>
      <c r="AF52" s="130"/>
      <c r="AG52" s="130"/>
      <c r="AH52" s="130"/>
      <c r="AI52" s="130"/>
      <c r="AJ52" s="114"/>
      <c r="AK52" s="114"/>
      <c r="AL52" s="114"/>
    </row>
    <row r="53" spans="1:38" x14ac:dyDescent="0.2">
      <c r="B53" s="10" t="s">
        <v>229</v>
      </c>
      <c r="C53" s="118"/>
      <c r="D53" s="118"/>
      <c r="E53" s="124"/>
      <c r="F53" s="124"/>
      <c r="G53" s="124">
        <f>L53</f>
        <v>67</v>
      </c>
      <c r="H53" s="124"/>
      <c r="I53" s="124"/>
      <c r="J53" s="124">
        <v>92</v>
      </c>
      <c r="K53" s="124">
        <v>175</v>
      </c>
      <c r="L53" s="124">
        <v>67</v>
      </c>
      <c r="M53" s="124">
        <v>26</v>
      </c>
      <c r="N53" s="124">
        <v>89</v>
      </c>
      <c r="O53" s="124">
        <v>72</v>
      </c>
      <c r="P53" s="124">
        <v>192</v>
      </c>
      <c r="Q53" s="124">
        <v>220</v>
      </c>
      <c r="R53" s="124">
        <v>204</v>
      </c>
      <c r="S53" s="124">
        <v>198</v>
      </c>
      <c r="T53" s="124">
        <v>238</v>
      </c>
      <c r="U53" s="124">
        <v>302</v>
      </c>
      <c r="V53" s="124">
        <v>247</v>
      </c>
      <c r="W53" s="124">
        <f>V53</f>
        <v>247</v>
      </c>
      <c r="X53" s="101">
        <f t="shared" si="34"/>
        <v>0.10557018788353045</v>
      </c>
      <c r="Y53" s="21">
        <f t="shared" si="12"/>
        <v>0.2</v>
      </c>
      <c r="Z53" s="130">
        <f t="shared" si="1"/>
        <v>296.39999999999998</v>
      </c>
      <c r="AA53" s="130">
        <f t="shared" ref="AA53" si="252">Z53*(1+$Y53)</f>
        <v>355.67999999999995</v>
      </c>
      <c r="AB53" s="130">
        <f t="shared" ref="AB53" si="253">AA53*(1+$Y53)</f>
        <v>426.81599999999992</v>
      </c>
      <c r="AC53" s="130">
        <f t="shared" ref="AC53" si="254">AB53*(1+$Y53)</f>
        <v>512.17919999999992</v>
      </c>
      <c r="AD53" s="130">
        <f t="shared" si="50"/>
        <v>614.61503999999991</v>
      </c>
      <c r="AE53" s="130">
        <f t="shared" si="51"/>
        <v>737.53804799999989</v>
      </c>
      <c r="AF53" s="130">
        <f t="shared" si="52"/>
        <v>885.0456575999998</v>
      </c>
      <c r="AG53" s="130">
        <f t="shared" si="53"/>
        <v>1062.0547891199997</v>
      </c>
      <c r="AH53" s="130">
        <f t="shared" si="54"/>
        <v>1274.4657469439996</v>
      </c>
      <c r="AI53" s="130">
        <f t="shared" si="55"/>
        <v>1529.3588963327995</v>
      </c>
      <c r="AJ53" s="115">
        <f t="shared" si="3"/>
        <v>0.14567747451786639</v>
      </c>
      <c r="AK53" s="21">
        <f t="shared" si="22"/>
        <v>0.01</v>
      </c>
      <c r="AL53" s="123" t="e">
        <f t="shared" si="33"/>
        <v>#DIV/0!</v>
      </c>
    </row>
    <row r="54" spans="1:38" s="106" customFormat="1" x14ac:dyDescent="0.2">
      <c r="B54" s="13"/>
      <c r="C54" s="125"/>
      <c r="D54" s="125"/>
      <c r="E54" s="126"/>
      <c r="F54" s="266"/>
      <c r="G54" s="266">
        <f t="shared" ref="G54:P54" si="255">(G53-F53)/G53</f>
        <v>1</v>
      </c>
      <c r="H54" s="266" t="e">
        <f t="shared" si="255"/>
        <v>#DIV/0!</v>
      </c>
      <c r="I54" s="266" t="e">
        <f t="shared" si="255"/>
        <v>#DIV/0!</v>
      </c>
      <c r="J54" s="266">
        <f t="shared" si="255"/>
        <v>1</v>
      </c>
      <c r="K54" s="266">
        <f t="shared" si="255"/>
        <v>0.47428571428571431</v>
      </c>
      <c r="L54" s="266">
        <f t="shared" si="255"/>
        <v>-1.6119402985074627</v>
      </c>
      <c r="M54" s="266">
        <f t="shared" si="255"/>
        <v>-1.5769230769230769</v>
      </c>
      <c r="N54" s="266">
        <f t="shared" si="255"/>
        <v>0.7078651685393258</v>
      </c>
      <c r="O54" s="266">
        <f t="shared" si="255"/>
        <v>-0.2361111111111111</v>
      </c>
      <c r="P54" s="266">
        <f t="shared" si="255"/>
        <v>0.625</v>
      </c>
      <c r="Q54" s="266">
        <f t="shared" ref="Q54" si="256">(Q53-P53)/Q53</f>
        <v>0.12727272727272726</v>
      </c>
      <c r="R54" s="266">
        <f t="shared" ref="R54" si="257">(R53-Q53)/R53</f>
        <v>-7.8431372549019607E-2</v>
      </c>
      <c r="S54" s="266">
        <f t="shared" ref="S54" si="258">(S53-R53)/S53</f>
        <v>-3.0303030303030304E-2</v>
      </c>
      <c r="T54" s="266">
        <f t="shared" ref="T54" si="259">(T53-S53)/T53</f>
        <v>0.16806722689075632</v>
      </c>
      <c r="U54" s="266">
        <f t="shared" ref="U54" si="260">(U53-T53)/U53</f>
        <v>0.2119205298013245</v>
      </c>
      <c r="V54" s="266">
        <f t="shared" ref="V54" si="261">(V53-U53)/V53</f>
        <v>-0.22267206477732793</v>
      </c>
      <c r="W54" s="266">
        <f t="shared" ref="W54" si="262">(W53-V53)/W53</f>
        <v>0</v>
      </c>
      <c r="X54" s="10"/>
      <c r="Y54" s="10"/>
      <c r="Z54" s="130"/>
      <c r="AA54" s="131"/>
      <c r="AB54" s="131"/>
      <c r="AC54" s="131"/>
      <c r="AD54" s="131"/>
      <c r="AE54" s="131"/>
      <c r="AF54" s="131"/>
      <c r="AG54" s="131"/>
      <c r="AH54" s="131"/>
      <c r="AI54" s="131"/>
      <c r="AJ54" s="114"/>
      <c r="AK54" s="114"/>
      <c r="AL54" s="114"/>
    </row>
    <row r="55" spans="1:38" s="106" customFormat="1" x14ac:dyDescent="0.2">
      <c r="B55" s="10" t="s">
        <v>342</v>
      </c>
      <c r="C55" s="125"/>
      <c r="D55" s="125"/>
      <c r="E55" s="126"/>
      <c r="F55" s="124"/>
      <c r="G55" s="124">
        <f>L55</f>
        <v>110</v>
      </c>
      <c r="H55" s="124"/>
      <c r="I55" s="124"/>
      <c r="J55" s="124">
        <v>108</v>
      </c>
      <c r="K55" s="124">
        <v>179</v>
      </c>
      <c r="L55" s="124">
        <v>110</v>
      </c>
      <c r="M55" s="124">
        <v>37</v>
      </c>
      <c r="N55" s="124">
        <v>82</v>
      </c>
      <c r="O55" s="124">
        <v>49</v>
      </c>
      <c r="P55" s="124">
        <v>186</v>
      </c>
      <c r="Q55" s="124">
        <v>183</v>
      </c>
      <c r="R55" s="124">
        <v>162</v>
      </c>
      <c r="S55" s="124">
        <v>116</v>
      </c>
      <c r="T55" s="124">
        <v>147</v>
      </c>
      <c r="U55" s="124">
        <v>203</v>
      </c>
      <c r="V55" s="124">
        <v>151</v>
      </c>
      <c r="W55" s="124">
        <f>V55</f>
        <v>151</v>
      </c>
      <c r="X55" s="101">
        <f t="shared" si="34"/>
        <v>2.4668545528298225E-2</v>
      </c>
      <c r="Y55" s="21">
        <f t="shared" si="12"/>
        <v>0.2</v>
      </c>
      <c r="Z55" s="130">
        <f t="shared" si="1"/>
        <v>181.2</v>
      </c>
      <c r="AA55" s="130">
        <f t="shared" ref="AA55" si="263">Z55*(1+$Y55)</f>
        <v>217.43999999999997</v>
      </c>
      <c r="AB55" s="130">
        <f t="shared" ref="AB55" si="264">AA55*(1+$Y55)</f>
        <v>260.92799999999994</v>
      </c>
      <c r="AC55" s="130">
        <f t="shared" ref="AC55" si="265">AB55*(1+$Y55)</f>
        <v>313.11359999999991</v>
      </c>
      <c r="AD55" s="130">
        <f t="shared" ref="AD55" si="266">AC55*(1+$Y55)</f>
        <v>375.73631999999986</v>
      </c>
      <c r="AE55" s="130">
        <f t="shared" ref="AE55" si="267">AD55*(1+$Y55)</f>
        <v>450.88358399999981</v>
      </c>
      <c r="AF55" s="130">
        <f t="shared" ref="AF55" si="268">AE55*(1+$Y55)</f>
        <v>541.06030079999971</v>
      </c>
      <c r="AG55" s="130">
        <f t="shared" ref="AG55" si="269">AF55*(1+$Y55)</f>
        <v>649.27236095999967</v>
      </c>
      <c r="AH55" s="130">
        <f t="shared" ref="AH55" si="270">AG55*(1+$Y55)</f>
        <v>779.12683315199956</v>
      </c>
      <c r="AI55" s="130">
        <f t="shared" ref="AI55" si="271">AH55*(1+$Y55)</f>
        <v>934.95219978239948</v>
      </c>
      <c r="AJ55" s="115">
        <f t="shared" si="3"/>
        <v>9.7510169659468016E-2</v>
      </c>
      <c r="AK55" s="21">
        <f t="shared" si="22"/>
        <v>0.01</v>
      </c>
      <c r="AL55" s="123" t="e">
        <f t="shared" si="33"/>
        <v>#DIV/0!</v>
      </c>
    </row>
    <row r="56" spans="1:38" s="106" customFormat="1" x14ac:dyDescent="0.2">
      <c r="B56" s="13"/>
      <c r="C56" s="125"/>
      <c r="D56" s="125"/>
      <c r="E56" s="126"/>
      <c r="F56" s="266"/>
      <c r="G56" s="266">
        <f t="shared" ref="G56:P56" si="272">(G55-F55)/G55</f>
        <v>1</v>
      </c>
      <c r="H56" s="266" t="e">
        <f t="shared" si="272"/>
        <v>#DIV/0!</v>
      </c>
      <c r="I56" s="266" t="e">
        <f t="shared" si="272"/>
        <v>#DIV/0!</v>
      </c>
      <c r="J56" s="266">
        <f t="shared" si="272"/>
        <v>1</v>
      </c>
      <c r="K56" s="266">
        <f t="shared" si="272"/>
        <v>0.39664804469273746</v>
      </c>
      <c r="L56" s="266">
        <f t="shared" si="272"/>
        <v>-0.62727272727272732</v>
      </c>
      <c r="M56" s="266">
        <f t="shared" si="272"/>
        <v>-1.972972972972973</v>
      </c>
      <c r="N56" s="266">
        <f t="shared" si="272"/>
        <v>0.54878048780487809</v>
      </c>
      <c r="O56" s="266">
        <f t="shared" si="272"/>
        <v>-0.67346938775510201</v>
      </c>
      <c r="P56" s="266">
        <f t="shared" si="272"/>
        <v>0.73655913978494625</v>
      </c>
      <c r="Q56" s="266">
        <f t="shared" ref="Q56" si="273">(Q55-P55)/Q55</f>
        <v>-1.6393442622950821E-2</v>
      </c>
      <c r="R56" s="266">
        <f t="shared" ref="R56" si="274">(R55-Q55)/R55</f>
        <v>-0.12962962962962962</v>
      </c>
      <c r="S56" s="266">
        <f t="shared" ref="S56" si="275">(S55-R55)/S55</f>
        <v>-0.39655172413793105</v>
      </c>
      <c r="T56" s="266">
        <f t="shared" ref="T56" si="276">(T55-S55)/T55</f>
        <v>0.21088435374149661</v>
      </c>
      <c r="U56" s="266">
        <f t="shared" ref="U56" si="277">(U55-T55)/U55</f>
        <v>0.27586206896551724</v>
      </c>
      <c r="V56" s="266">
        <f t="shared" ref="V56" si="278">(V55-U55)/V55</f>
        <v>-0.3443708609271523</v>
      </c>
      <c r="W56" s="266">
        <f t="shared" ref="W56" si="279">(W55-V55)/W55</f>
        <v>0</v>
      </c>
      <c r="X56" s="10"/>
      <c r="Y56" s="10"/>
      <c r="Z56" s="130"/>
      <c r="AA56" s="131"/>
      <c r="AB56" s="131"/>
      <c r="AC56" s="131"/>
      <c r="AD56" s="131"/>
      <c r="AE56" s="131"/>
      <c r="AF56" s="131"/>
      <c r="AG56" s="131"/>
      <c r="AH56" s="131"/>
      <c r="AI56" s="131"/>
      <c r="AJ56" s="114"/>
      <c r="AK56" s="114"/>
      <c r="AL56" s="114"/>
    </row>
    <row r="57" spans="1:38" s="106" customFormat="1" x14ac:dyDescent="0.2">
      <c r="B57" s="10" t="s">
        <v>504</v>
      </c>
      <c r="C57" s="125"/>
      <c r="D57" s="125"/>
      <c r="E57" s="126"/>
      <c r="F57" s="266"/>
      <c r="G57" s="124">
        <f>L57</f>
        <v>0.61</v>
      </c>
      <c r="H57" s="124"/>
      <c r="I57" s="124"/>
      <c r="J57" s="124">
        <v>0.61</v>
      </c>
      <c r="K57" s="124">
        <v>0.61</v>
      </c>
      <c r="L57" s="124">
        <v>0.61</v>
      </c>
      <c r="M57" s="124">
        <v>1</v>
      </c>
      <c r="N57" s="124">
        <v>1</v>
      </c>
      <c r="O57" s="124">
        <v>2</v>
      </c>
      <c r="P57" s="124">
        <v>6</v>
      </c>
      <c r="Q57" s="124">
        <v>7</v>
      </c>
      <c r="R57" s="124">
        <v>10</v>
      </c>
      <c r="S57" s="124">
        <v>15</v>
      </c>
      <c r="T57" s="124">
        <v>15</v>
      </c>
      <c r="U57" s="124">
        <v>15</v>
      </c>
      <c r="V57" s="124">
        <v>15</v>
      </c>
      <c r="W57" s="124">
        <f>V57</f>
        <v>15</v>
      </c>
      <c r="X57" s="101">
        <f t="shared" si="34"/>
        <v>0.27932724244092832</v>
      </c>
      <c r="Y57" s="21">
        <f t="shared" si="12"/>
        <v>0.2</v>
      </c>
      <c r="Z57" s="130">
        <f t="shared" si="1"/>
        <v>18</v>
      </c>
      <c r="AA57" s="130">
        <f t="shared" ref="AA57" si="280">Z57*(1+$Y57)</f>
        <v>21.599999999999998</v>
      </c>
      <c r="AB57" s="130">
        <f t="shared" ref="AB57" si="281">AA57*(1+$Y57)</f>
        <v>25.919999999999998</v>
      </c>
      <c r="AC57" s="130">
        <f t="shared" ref="AC57" si="282">AB57*(1+$Y57)</f>
        <v>31.103999999999996</v>
      </c>
      <c r="AD57" s="130">
        <f t="shared" ref="AD57" si="283">AC57*(1+$Y57)</f>
        <v>37.324799999999996</v>
      </c>
      <c r="AE57" s="130">
        <f t="shared" ref="AE57" si="284">AD57*(1+$Y57)</f>
        <v>44.789759999999994</v>
      </c>
      <c r="AF57" s="130">
        <f t="shared" ref="AF57" si="285">AE57*(1+$Y57)</f>
        <v>53.747711999999993</v>
      </c>
      <c r="AG57" s="130">
        <f t="shared" ref="AG57" si="286">AF57*(1+$Y57)</f>
        <v>64.497254399999989</v>
      </c>
      <c r="AH57" s="130">
        <f t="shared" ref="AH57" si="287">AG57*(1+$Y57)</f>
        <v>77.396705279999978</v>
      </c>
      <c r="AI57" s="130">
        <f t="shared" ref="AI57" si="288">AH57*(1+$Y57)</f>
        <v>92.876046335999973</v>
      </c>
      <c r="AJ57" s="115">
        <f t="shared" si="3"/>
        <v>0.24421237550141983</v>
      </c>
      <c r="AK57" s="21">
        <f t="shared" si="22"/>
        <v>0.01</v>
      </c>
      <c r="AL57" s="123" t="e">
        <f t="shared" si="33"/>
        <v>#DIV/0!</v>
      </c>
    </row>
    <row r="58" spans="1:38" s="106" customFormat="1" x14ac:dyDescent="0.2">
      <c r="B58" s="13"/>
      <c r="C58" s="125"/>
      <c r="D58" s="125"/>
      <c r="E58" s="126"/>
      <c r="F58" s="266"/>
      <c r="G58" s="266">
        <f t="shared" ref="G58" si="289">(G57-F57)/G57</f>
        <v>1</v>
      </c>
      <c r="H58" s="266" t="e">
        <f t="shared" ref="H58" si="290">(H57-G57)/H57</f>
        <v>#DIV/0!</v>
      </c>
      <c r="I58" s="266" t="e">
        <f t="shared" ref="I58" si="291">(I57-H57)/I57</f>
        <v>#DIV/0!</v>
      </c>
      <c r="J58" s="266">
        <f t="shared" ref="J58" si="292">(J57-I57)/J57</f>
        <v>1</v>
      </c>
      <c r="K58" s="266">
        <f t="shared" ref="K58" si="293">(K57-J57)/K57</f>
        <v>0</v>
      </c>
      <c r="L58" s="266">
        <f t="shared" ref="L58" si="294">(L57-K57)/L57</f>
        <v>0</v>
      </c>
      <c r="M58" s="266">
        <f t="shared" ref="M58" si="295">(M57-L57)/M57</f>
        <v>0.39</v>
      </c>
      <c r="N58" s="266">
        <f t="shared" ref="N58" si="296">(N57-M57)/N57</f>
        <v>0</v>
      </c>
      <c r="O58" s="266">
        <f t="shared" ref="O58" si="297">(O57-N57)/O57</f>
        <v>0.5</v>
      </c>
      <c r="P58" s="266">
        <f t="shared" ref="P58" si="298">(P57-O57)/P57</f>
        <v>0.66666666666666663</v>
      </c>
      <c r="Q58" s="266">
        <f t="shared" ref="Q58" si="299">(Q57-P57)/Q57</f>
        <v>0.14285714285714285</v>
      </c>
      <c r="R58" s="266">
        <f t="shared" ref="R58" si="300">(R57-Q57)/R57</f>
        <v>0.3</v>
      </c>
      <c r="S58" s="266">
        <f t="shared" ref="S58" si="301">(S57-R57)/S57</f>
        <v>0.33333333333333331</v>
      </c>
      <c r="T58" s="266">
        <f t="shared" ref="T58" si="302">(T57-S57)/T57</f>
        <v>0</v>
      </c>
      <c r="U58" s="266">
        <f t="shared" ref="U58" si="303">(U57-T57)/U57</f>
        <v>0</v>
      </c>
      <c r="V58" s="266">
        <f t="shared" ref="V58" si="304">(V57-U57)/V57</f>
        <v>0</v>
      </c>
      <c r="W58" s="266">
        <f t="shared" ref="W58" si="305">(W57-V57)/W57</f>
        <v>0</v>
      </c>
      <c r="X58" s="10"/>
      <c r="Y58" s="10"/>
      <c r="Z58" s="130"/>
      <c r="AA58" s="131"/>
      <c r="AB58" s="131"/>
      <c r="AC58" s="131"/>
      <c r="AD58" s="131"/>
      <c r="AE58" s="131"/>
      <c r="AF58" s="131"/>
      <c r="AG58" s="131"/>
      <c r="AH58" s="131"/>
      <c r="AI58" s="131"/>
      <c r="AJ58" s="114"/>
      <c r="AK58" s="114"/>
      <c r="AL58" s="114"/>
    </row>
    <row r="59" spans="1:38" x14ac:dyDescent="0.2">
      <c r="B59" s="10" t="s">
        <v>343</v>
      </c>
      <c r="C59" s="118"/>
      <c r="D59" s="118"/>
      <c r="E59" s="124"/>
      <c r="F59" s="124"/>
      <c r="G59" s="124">
        <f>L59</f>
        <v>70</v>
      </c>
      <c r="H59" s="124"/>
      <c r="I59" s="124"/>
      <c r="J59" s="124">
        <v>83</v>
      </c>
      <c r="K59" s="124">
        <v>137</v>
      </c>
      <c r="L59" s="124">
        <v>70</v>
      </c>
      <c r="M59" s="124">
        <v>30</v>
      </c>
      <c r="N59" s="124">
        <v>52</v>
      </c>
      <c r="O59" s="124">
        <v>35</v>
      </c>
      <c r="P59" s="124">
        <v>123</v>
      </c>
      <c r="Q59" s="124">
        <v>117</v>
      </c>
      <c r="R59" s="124">
        <v>102</v>
      </c>
      <c r="S59" s="124">
        <v>62</v>
      </c>
      <c r="T59" s="124">
        <v>87</v>
      </c>
      <c r="U59" s="124">
        <v>121</v>
      </c>
      <c r="V59" s="124">
        <v>75</v>
      </c>
      <c r="W59" s="124">
        <f>V59</f>
        <v>75</v>
      </c>
      <c r="X59" s="101">
        <f t="shared" si="34"/>
        <v>5.3212517954388527E-3</v>
      </c>
      <c r="Y59" s="21">
        <f t="shared" si="12"/>
        <v>0.2</v>
      </c>
      <c r="Z59" s="130">
        <f t="shared" si="1"/>
        <v>90</v>
      </c>
      <c r="AA59" s="130">
        <f t="shared" ref="AA59:AI59" si="306">Z59*(1+$Y59)</f>
        <v>108</v>
      </c>
      <c r="AB59" s="130">
        <f t="shared" si="306"/>
        <v>129.6</v>
      </c>
      <c r="AC59" s="130">
        <f t="shared" si="306"/>
        <v>155.51999999999998</v>
      </c>
      <c r="AD59" s="130">
        <f t="shared" si="306"/>
        <v>186.62399999999997</v>
      </c>
      <c r="AE59" s="130">
        <f t="shared" si="306"/>
        <v>223.94879999999995</v>
      </c>
      <c r="AF59" s="130">
        <f t="shared" si="306"/>
        <v>268.73855999999995</v>
      </c>
      <c r="AG59" s="130">
        <f t="shared" si="306"/>
        <v>322.48627199999993</v>
      </c>
      <c r="AH59" s="130">
        <f t="shared" si="306"/>
        <v>386.9835263999999</v>
      </c>
      <c r="AI59" s="130">
        <f t="shared" si="306"/>
        <v>464.38023167999984</v>
      </c>
      <c r="AJ59" s="115">
        <f t="shared" si="3"/>
        <v>8.5748848797456922E-2</v>
      </c>
      <c r="AK59" s="21">
        <f t="shared" si="22"/>
        <v>0.01</v>
      </c>
      <c r="AL59" s="123" t="e">
        <f t="shared" si="33"/>
        <v>#DIV/0!</v>
      </c>
    </row>
    <row r="60" spans="1:38" s="106" customFormat="1" x14ac:dyDescent="0.2">
      <c r="B60" s="13"/>
      <c r="C60" s="125"/>
      <c r="D60" s="125"/>
      <c r="E60" s="126"/>
      <c r="F60" s="266"/>
      <c r="G60" s="266">
        <f>(G59-F59)/G59</f>
        <v>1</v>
      </c>
      <c r="H60" s="266" t="e">
        <f t="shared" ref="H60:P60" si="307">(H59-G59)/H59</f>
        <v>#DIV/0!</v>
      </c>
      <c r="I60" s="266" t="e">
        <f t="shared" si="307"/>
        <v>#DIV/0!</v>
      </c>
      <c r="J60" s="266">
        <f t="shared" si="307"/>
        <v>1</v>
      </c>
      <c r="K60" s="266">
        <f t="shared" si="307"/>
        <v>0.39416058394160586</v>
      </c>
      <c r="L60" s="266">
        <f t="shared" si="307"/>
        <v>-0.95714285714285718</v>
      </c>
      <c r="M60" s="266">
        <f t="shared" si="307"/>
        <v>-1.3333333333333333</v>
      </c>
      <c r="N60" s="266">
        <f t="shared" si="307"/>
        <v>0.42307692307692307</v>
      </c>
      <c r="O60" s="266">
        <f t="shared" si="307"/>
        <v>-0.48571428571428571</v>
      </c>
      <c r="P60" s="266">
        <f t="shared" si="307"/>
        <v>0.71544715447154472</v>
      </c>
      <c r="Q60" s="266">
        <f t="shared" ref="Q60" si="308">(Q59-P59)/Q59</f>
        <v>-5.128205128205128E-2</v>
      </c>
      <c r="R60" s="266">
        <f t="shared" ref="R60" si="309">(R59-Q59)/R59</f>
        <v>-0.14705882352941177</v>
      </c>
      <c r="S60" s="266">
        <f t="shared" ref="S60" si="310">(S59-R59)/S59</f>
        <v>-0.64516129032258063</v>
      </c>
      <c r="T60" s="266">
        <f t="shared" ref="T60" si="311">(T59-S59)/T59</f>
        <v>0.28735632183908044</v>
      </c>
      <c r="U60" s="266">
        <f t="shared" ref="U60" si="312">(U59-T59)/U59</f>
        <v>0.28099173553719009</v>
      </c>
      <c r="V60" s="266">
        <f t="shared" ref="V60" si="313">(V59-U59)/V59</f>
        <v>-0.61333333333333329</v>
      </c>
      <c r="W60" s="266">
        <f t="shared" ref="W60" si="314">(W59-V59)/W59</f>
        <v>0</v>
      </c>
      <c r="X60" s="10"/>
      <c r="Y60" s="10"/>
      <c r="Z60" s="130"/>
      <c r="AA60" s="131"/>
      <c r="AB60" s="131"/>
      <c r="AC60" s="131"/>
      <c r="AD60" s="131"/>
      <c r="AE60" s="131"/>
      <c r="AF60" s="131"/>
      <c r="AG60" s="131"/>
      <c r="AH60" s="131"/>
      <c r="AI60" s="131"/>
      <c r="AJ60" s="114"/>
      <c r="AK60" s="114"/>
      <c r="AL60" s="114"/>
    </row>
    <row r="61" spans="1:38" x14ac:dyDescent="0.2">
      <c r="B61" s="10" t="s">
        <v>197</v>
      </c>
      <c r="C61" s="119"/>
      <c r="D61" s="119"/>
      <c r="E61" s="122"/>
      <c r="F61" s="268"/>
      <c r="G61" s="268">
        <f>L61</f>
        <v>7.53</v>
      </c>
      <c r="H61" s="268"/>
      <c r="I61" s="268"/>
      <c r="J61" s="268">
        <v>5.62</v>
      </c>
      <c r="K61" s="268">
        <v>7.53</v>
      </c>
      <c r="L61" s="268">
        <v>7.53</v>
      </c>
      <c r="M61" s="268">
        <v>7.54</v>
      </c>
      <c r="N61" s="268">
        <v>7.54</v>
      </c>
      <c r="O61" s="268">
        <v>7.54</v>
      </c>
      <c r="P61" s="268">
        <v>7.54</v>
      </c>
      <c r="Q61" s="268">
        <v>7.54</v>
      </c>
      <c r="R61" s="268">
        <v>7.57</v>
      </c>
      <c r="S61" s="268">
        <v>7.57</v>
      </c>
      <c r="T61" s="268">
        <v>7.57</v>
      </c>
      <c r="U61" s="268">
        <v>7.57</v>
      </c>
      <c r="V61" s="268">
        <v>7.58</v>
      </c>
      <c r="W61" s="268">
        <f>V61</f>
        <v>7.58</v>
      </c>
      <c r="X61" s="101">
        <f t="shared" si="34"/>
        <v>5.0921867263697962E-4</v>
      </c>
      <c r="Y61" s="21">
        <v>0.02</v>
      </c>
      <c r="Z61" s="130">
        <f t="shared" si="1"/>
        <v>7.7316000000000003</v>
      </c>
      <c r="AA61" s="130">
        <f>Z61*(1+$Y61)</f>
        <v>7.8862320000000006</v>
      </c>
      <c r="AB61" s="130">
        <f t="shared" ref="AB61:AI61" si="315">AA61*(1+$Y61)</f>
        <v>8.0439566400000011</v>
      </c>
      <c r="AC61" s="130">
        <f t="shared" si="315"/>
        <v>8.204835772800001</v>
      </c>
      <c r="AD61" s="130">
        <f t="shared" si="315"/>
        <v>8.3689324882560019</v>
      </c>
      <c r="AE61" s="130">
        <f t="shared" si="315"/>
        <v>8.536311138021123</v>
      </c>
      <c r="AF61" s="130">
        <f t="shared" si="315"/>
        <v>8.7070373607815448</v>
      </c>
      <c r="AG61" s="130">
        <f t="shared" si="315"/>
        <v>8.8811781079971759</v>
      </c>
      <c r="AH61" s="130">
        <f t="shared" si="315"/>
        <v>9.0588016701571199</v>
      </c>
      <c r="AI61" s="130">
        <f t="shared" si="315"/>
        <v>9.2399777035602622</v>
      </c>
      <c r="AJ61" s="115">
        <f t="shared" si="3"/>
        <v>8.9372851088471705E-3</v>
      </c>
      <c r="AK61" s="21">
        <f t="shared" si="22"/>
        <v>0.01</v>
      </c>
      <c r="AL61" s="123" t="e">
        <f t="shared" si="33"/>
        <v>#DIV/0!</v>
      </c>
    </row>
    <row r="62" spans="1:38" x14ac:dyDescent="0.2">
      <c r="B62" s="10"/>
      <c r="C62" s="119"/>
      <c r="D62" s="119"/>
      <c r="E62" s="120"/>
      <c r="F62" s="266"/>
      <c r="G62" s="266">
        <f t="shared" ref="G62" si="316">(G61-E61)/G61</f>
        <v>1</v>
      </c>
      <c r="H62" s="266" t="e">
        <f>(H61-F61)/H61</f>
        <v>#DIV/0!</v>
      </c>
      <c r="I62" s="266" t="e">
        <f t="shared" ref="I62:Q62" si="317">(I61-H61)/I61</f>
        <v>#DIV/0!</v>
      </c>
      <c r="J62" s="266">
        <f t="shared" si="317"/>
        <v>1</v>
      </c>
      <c r="K62" s="266">
        <f t="shared" si="317"/>
        <v>0.25365205843293492</v>
      </c>
      <c r="L62" s="266">
        <f t="shared" si="317"/>
        <v>0</v>
      </c>
      <c r="M62" s="266">
        <f t="shared" si="317"/>
        <v>1.3262599469495739E-3</v>
      </c>
      <c r="N62" s="266">
        <f t="shared" si="317"/>
        <v>0</v>
      </c>
      <c r="O62" s="266">
        <f t="shared" si="317"/>
        <v>0</v>
      </c>
      <c r="P62" s="266">
        <f t="shared" si="317"/>
        <v>0</v>
      </c>
      <c r="Q62" s="266">
        <f t="shared" si="317"/>
        <v>0</v>
      </c>
      <c r="R62" s="266">
        <f t="shared" ref="R62" si="318">(R61-Q61)/R61</f>
        <v>3.9630118890356999E-3</v>
      </c>
      <c r="S62" s="266">
        <f t="shared" ref="S62" si="319">(S61-R61)/S61</f>
        <v>0</v>
      </c>
      <c r="T62" s="266">
        <f t="shared" ref="T62" si="320">(T61-S61)/T61</f>
        <v>0</v>
      </c>
      <c r="U62" s="266">
        <f t="shared" ref="U62" si="321">(U61-T61)/U61</f>
        <v>0</v>
      </c>
      <c r="V62" s="266">
        <f t="shared" ref="V62" si="322">(V61-U61)/V61</f>
        <v>1.3192612137202884E-3</v>
      </c>
      <c r="W62" s="266">
        <f t="shared" ref="W62" si="323">(W61-V61)/W61</f>
        <v>0</v>
      </c>
      <c r="X62" s="10"/>
      <c r="Y62" s="1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14"/>
      <c r="AK62" s="114"/>
      <c r="AL62" s="114"/>
    </row>
    <row r="63" spans="1:38" x14ac:dyDescent="0.2">
      <c r="B63" s="10" t="s">
        <v>232</v>
      </c>
      <c r="C63" s="122"/>
      <c r="D63" s="122"/>
      <c r="E63" s="122"/>
      <c r="F63" s="124"/>
      <c r="G63" s="124">
        <f>L63</f>
        <v>1</v>
      </c>
      <c r="H63" s="268"/>
      <c r="I63" s="268"/>
      <c r="J63" s="268">
        <v>0</v>
      </c>
      <c r="K63" s="268">
        <v>1.75</v>
      </c>
      <c r="L63" s="268">
        <v>1</v>
      </c>
      <c r="M63" s="268">
        <v>1</v>
      </c>
      <c r="N63" s="268">
        <v>1.6</v>
      </c>
      <c r="O63" s="268">
        <v>1.6</v>
      </c>
      <c r="P63" s="268">
        <v>3.5</v>
      </c>
      <c r="Q63" s="268">
        <v>2.1</v>
      </c>
      <c r="R63" s="268">
        <v>2</v>
      </c>
      <c r="S63" s="268">
        <v>1.5</v>
      </c>
      <c r="T63" s="268">
        <v>1.6</v>
      </c>
      <c r="U63" s="268">
        <v>2</v>
      </c>
      <c r="V63" s="268">
        <v>2.4</v>
      </c>
      <c r="W63" s="268">
        <f>V63</f>
        <v>2.4</v>
      </c>
      <c r="X63" s="101">
        <f t="shared" si="34"/>
        <v>6.9663110638067627E-2</v>
      </c>
      <c r="Y63" s="21">
        <v>0.02</v>
      </c>
      <c r="Z63" s="130">
        <f t="shared" si="1"/>
        <v>2.448</v>
      </c>
      <c r="AA63" s="130">
        <f t="shared" ref="AA63" si="324">Z63*(1+$Y63)</f>
        <v>2.4969600000000001</v>
      </c>
      <c r="AB63" s="130">
        <f t="shared" ref="AB63" si="325">AA63*(1+$Y63)</f>
        <v>2.5468991999999999</v>
      </c>
      <c r="AC63" s="130">
        <f t="shared" ref="AC63" si="326">AB63*(1+$Y63)</f>
        <v>2.5978371839999999</v>
      </c>
      <c r="AD63" s="130">
        <f t="shared" ref="AD63" si="327">AC63*(1+$Y63)</f>
        <v>2.6497939276799998</v>
      </c>
      <c r="AE63" s="130">
        <f t="shared" ref="AE63" si="328">AD63*(1+$Y63)</f>
        <v>2.7027898062336</v>
      </c>
      <c r="AF63" s="130">
        <f t="shared" ref="AF63" si="329">AE63*(1+$Y63)</f>
        <v>2.7568456023582719</v>
      </c>
      <c r="AG63" s="130">
        <f t="shared" ref="AG63" si="330">AF63*(1+$Y63)</f>
        <v>2.8119825144054373</v>
      </c>
      <c r="AH63" s="130">
        <f t="shared" ref="AH63" si="331">AG63*(1+$Y63)</f>
        <v>2.8682221646935462</v>
      </c>
      <c r="AI63" s="130">
        <f t="shared" ref="AI63" si="332">AH63*(1+$Y63)</f>
        <v>2.9255866079874173</v>
      </c>
      <c r="AJ63" s="115">
        <f t="shared" si="3"/>
        <v>4.7780058574058204E-2</v>
      </c>
      <c r="AK63" s="21">
        <f t="shared" si="22"/>
        <v>0.01</v>
      </c>
      <c r="AL63" s="123" t="e">
        <f t="shared" si="33"/>
        <v>#DIV/0!</v>
      </c>
    </row>
    <row r="64" spans="1:38" x14ac:dyDescent="0.2">
      <c r="B64" s="10"/>
      <c r="C64" s="122"/>
      <c r="D64" s="122"/>
      <c r="E64" s="122"/>
      <c r="F64" s="127"/>
      <c r="G64" s="127" t="e">
        <f t="shared" ref="G64" si="333">(G63-E63)/E63</f>
        <v>#DIV/0!</v>
      </c>
      <c r="H64" s="127" t="e">
        <f t="shared" ref="H64" si="334">(H63-F63)/F63</f>
        <v>#DIV/0!</v>
      </c>
      <c r="I64" s="127" t="e">
        <f t="shared" ref="I64" si="335">(I63-H63)/H63</f>
        <v>#DIV/0!</v>
      </c>
      <c r="J64" s="127" t="e">
        <f t="shared" ref="J64:Q64" si="336">(J63-I63)/I63</f>
        <v>#DIV/0!</v>
      </c>
      <c r="K64" s="127" t="e">
        <f t="shared" si="336"/>
        <v>#DIV/0!</v>
      </c>
      <c r="L64" s="127">
        <f t="shared" si="336"/>
        <v>-0.42857142857142855</v>
      </c>
      <c r="M64" s="127">
        <f t="shared" si="336"/>
        <v>0</v>
      </c>
      <c r="N64" s="127">
        <f t="shared" si="336"/>
        <v>0.60000000000000009</v>
      </c>
      <c r="O64" s="127">
        <f t="shared" si="336"/>
        <v>0</v>
      </c>
      <c r="P64" s="127">
        <f t="shared" si="336"/>
        <v>1.1874999999999998</v>
      </c>
      <c r="Q64" s="127">
        <f t="shared" si="336"/>
        <v>-0.39999999999999997</v>
      </c>
      <c r="R64" s="127">
        <f t="shared" ref="R64" si="337">(R63-Q63)/Q63</f>
        <v>-4.7619047619047658E-2</v>
      </c>
      <c r="S64" s="127">
        <f t="shared" ref="S64" si="338">(S63-R63)/R63</f>
        <v>-0.25</v>
      </c>
      <c r="T64" s="127">
        <f t="shared" ref="T64" si="339">(T63-S63)/S63</f>
        <v>6.6666666666666721E-2</v>
      </c>
      <c r="U64" s="127">
        <f t="shared" ref="U64" si="340">(U63-T63)/T63</f>
        <v>0.24999999999999994</v>
      </c>
      <c r="V64" s="127">
        <f t="shared" ref="V64" si="341">(V63-U63)/U63</f>
        <v>0.19999999999999996</v>
      </c>
      <c r="W64" s="127">
        <f t="shared" ref="W64" si="342">(W63-V63)/V63</f>
        <v>0</v>
      </c>
      <c r="X64" s="10"/>
      <c r="Y64" s="1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16"/>
      <c r="AK64" s="114"/>
      <c r="AL64" s="123"/>
    </row>
    <row r="65" spans="2:38" x14ac:dyDescent="0.2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01" t="e">
        <f t="shared" si="34"/>
        <v>#DIV/0!</v>
      </c>
      <c r="Y65" s="109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16"/>
      <c r="AK65" s="114"/>
      <c r="AL65" s="123"/>
    </row>
    <row r="66" spans="2:38" x14ac:dyDescent="0.2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/>
      <c r="S66" s="124">
        <v>0</v>
      </c>
      <c r="T66" s="124">
        <v>0</v>
      </c>
      <c r="U66" s="124">
        <v>0</v>
      </c>
      <c r="V66" s="124">
        <v>0</v>
      </c>
      <c r="W66" s="124"/>
      <c r="X66" s="101" t="e">
        <f t="shared" si="34"/>
        <v>#DIV/0!</v>
      </c>
      <c r="Y66" s="109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16"/>
      <c r="AK66" s="114"/>
      <c r="AL66" s="123"/>
    </row>
    <row r="67" spans="2:38" x14ac:dyDescent="0.2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/>
      <c r="S67" s="124">
        <v>0</v>
      </c>
      <c r="T67" s="124">
        <v>0</v>
      </c>
      <c r="U67" s="124">
        <v>0</v>
      </c>
      <c r="V67" s="124">
        <v>0</v>
      </c>
      <c r="W67" s="124"/>
      <c r="X67" s="101" t="e">
        <f t="shared" si="34"/>
        <v>#DIV/0!</v>
      </c>
      <c r="Y67" s="109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16"/>
      <c r="AK67" s="114"/>
      <c r="AL67" s="123"/>
    </row>
    <row r="68" spans="2:38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16"/>
      <c r="AK68" s="114"/>
      <c r="AL68" s="123"/>
    </row>
    <row r="69" spans="2:38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16"/>
      <c r="AK69" s="114"/>
      <c r="AL69" s="123"/>
    </row>
    <row r="70" spans="2:38" x14ac:dyDescent="0.2">
      <c r="B70" s="10" t="s">
        <v>252</v>
      </c>
      <c r="C70" s="111"/>
      <c r="D70" s="111"/>
      <c r="E70" s="111"/>
      <c r="F70" s="111"/>
      <c r="G70" s="111">
        <f t="shared" ref="G70" si="343">G25/G61</f>
        <v>31.208499335989377</v>
      </c>
      <c r="H70" s="111" t="e">
        <f t="shared" ref="H70:I70" si="344">H25/H61</f>
        <v>#DIV/0!</v>
      </c>
      <c r="I70" s="111" t="e">
        <f t="shared" si="344"/>
        <v>#DIV/0!</v>
      </c>
      <c r="J70" s="111">
        <f t="shared" ref="J70:Q70" si="345">J25/J61</f>
        <v>44.839857651245552</v>
      </c>
      <c r="K70" s="111">
        <f t="shared" si="345"/>
        <v>58.56573705179283</v>
      </c>
      <c r="L70" s="111">
        <f t="shared" si="345"/>
        <v>31.208499335989377</v>
      </c>
      <c r="M70" s="111">
        <f t="shared" si="345"/>
        <v>14.323607427055704</v>
      </c>
      <c r="N70" s="111">
        <f t="shared" si="345"/>
        <v>27.718832891246684</v>
      </c>
      <c r="O70" s="111">
        <f t="shared" si="345"/>
        <v>34.350132625994696</v>
      </c>
      <c r="P70" s="111">
        <f t="shared" si="345"/>
        <v>101.32625994694961</v>
      </c>
      <c r="Q70" s="111">
        <f t="shared" si="345"/>
        <v>103.31564986737401</v>
      </c>
      <c r="R70" s="111">
        <f t="shared" ref="R70:W70" si="346">R25/R61</f>
        <v>93.527080581241734</v>
      </c>
      <c r="S70" s="111">
        <f t="shared" si="346"/>
        <v>101.71730515191545</v>
      </c>
      <c r="T70" s="111">
        <f t="shared" si="346"/>
        <v>128.665785997358</v>
      </c>
      <c r="U70" s="111">
        <f t="shared" si="346"/>
        <v>187.18626155878468</v>
      </c>
      <c r="V70" s="111">
        <f t="shared" si="346"/>
        <v>116.09498680738785</v>
      </c>
      <c r="W70" s="111">
        <f t="shared" si="346"/>
        <v>116.09498680738785</v>
      </c>
      <c r="X70" s="101">
        <f t="shared" ref="X70:X133" si="347">((W70/G70)^(1/($K$2-$K$1) ))-1</f>
        <v>0.10633776400118511</v>
      </c>
      <c r="Y70" s="109"/>
      <c r="Z70" s="133">
        <f t="shared" ref="Z70:AI70" si="348">Z25/Z61</f>
        <v>136.5823374204563</v>
      </c>
      <c r="AA70" s="133">
        <f t="shared" si="348"/>
        <v>160.68510284759566</v>
      </c>
      <c r="AB70" s="133">
        <f t="shared" si="348"/>
        <v>189.04129746775959</v>
      </c>
      <c r="AC70" s="133">
        <f t="shared" si="348"/>
        <v>222.40152643265833</v>
      </c>
      <c r="AD70" s="133">
        <f t="shared" si="348"/>
        <v>261.64885462665683</v>
      </c>
      <c r="AE70" s="133">
        <f t="shared" si="348"/>
        <v>307.82218191371385</v>
      </c>
      <c r="AF70" s="133">
        <f t="shared" si="348"/>
        <v>362.1437434278987</v>
      </c>
      <c r="AG70" s="133">
        <f t="shared" si="348"/>
        <v>426.05146285635135</v>
      </c>
      <c r="AH70" s="133">
        <f t="shared" si="348"/>
        <v>501.23701512511917</v>
      </c>
      <c r="AI70" s="133">
        <f t="shared" si="348"/>
        <v>589.69060602955199</v>
      </c>
      <c r="AJ70" s="115">
        <f t="shared" ref="AJ70" si="349">((AI70/J70)^(1/($AI$3-$K$1) ))-1</f>
        <v>0.11853720457350958</v>
      </c>
      <c r="AK70" s="21">
        <f t="shared" si="22"/>
        <v>0.01</v>
      </c>
      <c r="AL70" s="123" t="e">
        <f t="shared" si="33"/>
        <v>#DIV/0!</v>
      </c>
    </row>
    <row r="71" spans="2:38" x14ac:dyDescent="0.2">
      <c r="B71" s="10" t="s">
        <v>253</v>
      </c>
      <c r="C71" s="111"/>
      <c r="D71" s="111"/>
      <c r="E71" s="111"/>
      <c r="F71" s="111"/>
      <c r="G71" s="111">
        <f t="shared" ref="G71" si="350">G27/G61</f>
        <v>15.272244355909693</v>
      </c>
      <c r="H71" s="111" t="e">
        <f t="shared" ref="H71:I71" si="351">H27/H61</f>
        <v>#DIV/0!</v>
      </c>
      <c r="I71" s="111" t="e">
        <f t="shared" si="351"/>
        <v>#DIV/0!</v>
      </c>
      <c r="J71" s="111">
        <f t="shared" ref="J71:Q71" si="352">J27/J61</f>
        <v>24.555160142348754</v>
      </c>
      <c r="K71" s="111">
        <f t="shared" si="352"/>
        <v>33.59893758300133</v>
      </c>
      <c r="L71" s="111">
        <f t="shared" si="352"/>
        <v>15.272244355909693</v>
      </c>
      <c r="M71" s="111">
        <f t="shared" si="352"/>
        <v>7.5596816976127323</v>
      </c>
      <c r="N71" s="111">
        <f t="shared" si="352"/>
        <v>14.986737400530505</v>
      </c>
      <c r="O71" s="111">
        <f t="shared" si="352"/>
        <v>23.474801061007959</v>
      </c>
      <c r="P71" s="111">
        <f t="shared" si="352"/>
        <v>70.954907161803717</v>
      </c>
      <c r="Q71" s="111">
        <f t="shared" si="352"/>
        <v>72.015915119363399</v>
      </c>
      <c r="R71" s="111">
        <f t="shared" ref="R71:W71" si="353">R27/R61</f>
        <v>64.993394980184945</v>
      </c>
      <c r="S71" s="111">
        <f t="shared" si="353"/>
        <v>73.315719947159835</v>
      </c>
      <c r="T71" s="111">
        <f t="shared" si="353"/>
        <v>95.772787318361949</v>
      </c>
      <c r="U71" s="111">
        <f t="shared" si="353"/>
        <v>145.31043593130778</v>
      </c>
      <c r="V71" s="111">
        <f t="shared" si="353"/>
        <v>82.058047493403691</v>
      </c>
      <c r="W71" s="111">
        <f t="shared" si="353"/>
        <v>82.058047493403691</v>
      </c>
      <c r="X71" s="101">
        <f t="shared" si="347"/>
        <v>0.13807436130850093</v>
      </c>
      <c r="Y71" s="109"/>
      <c r="Z71" s="133">
        <f t="shared" ref="Z71:AI71" si="354">Z27/Z61</f>
        <v>96.538879404004334</v>
      </c>
      <c r="AA71" s="133">
        <f t="shared" si="354"/>
        <v>113.5751522400051</v>
      </c>
      <c r="AB71" s="133">
        <f t="shared" si="354"/>
        <v>133.61782616471186</v>
      </c>
      <c r="AC71" s="133">
        <f t="shared" si="354"/>
        <v>157.19744254671983</v>
      </c>
      <c r="AD71" s="133">
        <f t="shared" si="354"/>
        <v>184.93816770202329</v>
      </c>
      <c r="AE71" s="133">
        <f t="shared" si="354"/>
        <v>217.57431494355677</v>
      </c>
      <c r="AF71" s="133">
        <f t="shared" si="354"/>
        <v>255.96978228653737</v>
      </c>
      <c r="AG71" s="133">
        <f t="shared" si="354"/>
        <v>301.14092033710278</v>
      </c>
      <c r="AH71" s="133">
        <f t="shared" si="354"/>
        <v>354.2834356907091</v>
      </c>
      <c r="AI71" s="133">
        <f t="shared" si="354"/>
        <v>416.8040419890695</v>
      </c>
      <c r="AJ71" s="115">
        <f t="shared" ref="AJ71" si="355">((AI71/J71)^(1/($AI$3-$K$1) ))-1</f>
        <v>0.13101689789218729</v>
      </c>
      <c r="AK71" s="21">
        <f t="shared" si="22"/>
        <v>0.01</v>
      </c>
      <c r="AL71" s="123" t="e">
        <f t="shared" si="33"/>
        <v>#DIV/0!</v>
      </c>
    </row>
    <row r="72" spans="2:38" x14ac:dyDescent="0.2">
      <c r="B72" s="10" t="s">
        <v>369</v>
      </c>
      <c r="C72" s="111"/>
      <c r="D72" s="111"/>
      <c r="E72" s="111"/>
      <c r="F72" s="111"/>
      <c r="G72" s="111">
        <f t="shared" ref="G72" si="356">G55-G59</f>
        <v>40</v>
      </c>
      <c r="H72" s="111">
        <f t="shared" ref="H72:I72" si="357">H55-H59</f>
        <v>0</v>
      </c>
      <c r="I72" s="111">
        <f t="shared" si="357"/>
        <v>0</v>
      </c>
      <c r="J72" s="111">
        <f>J55-J59</f>
        <v>25</v>
      </c>
      <c r="K72" s="111">
        <f t="shared" ref="K72:Q72" si="358">K55-K59</f>
        <v>42</v>
      </c>
      <c r="L72" s="111">
        <f t="shared" si="358"/>
        <v>40</v>
      </c>
      <c r="M72" s="111">
        <f t="shared" si="358"/>
        <v>7</v>
      </c>
      <c r="N72" s="111">
        <f t="shared" si="358"/>
        <v>30</v>
      </c>
      <c r="O72" s="111">
        <f t="shared" si="358"/>
        <v>14</v>
      </c>
      <c r="P72" s="111">
        <f t="shared" si="358"/>
        <v>63</v>
      </c>
      <c r="Q72" s="111">
        <f t="shared" si="358"/>
        <v>66</v>
      </c>
      <c r="R72" s="111">
        <f t="shared" ref="R72:W72" si="359">R55-R59</f>
        <v>60</v>
      </c>
      <c r="S72" s="111">
        <f t="shared" si="359"/>
        <v>54</v>
      </c>
      <c r="T72" s="111">
        <f t="shared" si="359"/>
        <v>60</v>
      </c>
      <c r="U72" s="111">
        <f t="shared" si="359"/>
        <v>82</v>
      </c>
      <c r="V72" s="111">
        <f t="shared" si="359"/>
        <v>76</v>
      </c>
      <c r="W72" s="111">
        <f t="shared" si="359"/>
        <v>76</v>
      </c>
      <c r="X72" s="101">
        <f t="shared" si="347"/>
        <v>5.0612550880536622E-2</v>
      </c>
      <c r="Y72" s="109"/>
      <c r="Z72" s="111">
        <f t="shared" ref="Z72:AI72" si="360">Z55-Z59</f>
        <v>91.199999999999989</v>
      </c>
      <c r="AA72" s="111">
        <f t="shared" si="360"/>
        <v>109.43999999999997</v>
      </c>
      <c r="AB72" s="111">
        <f t="shared" si="360"/>
        <v>131.32799999999995</v>
      </c>
      <c r="AC72" s="111">
        <f t="shared" si="360"/>
        <v>157.59359999999992</v>
      </c>
      <c r="AD72" s="111">
        <f t="shared" si="360"/>
        <v>189.1123199999999</v>
      </c>
      <c r="AE72" s="111">
        <f t="shared" si="360"/>
        <v>226.93478399999987</v>
      </c>
      <c r="AF72" s="111">
        <f t="shared" si="360"/>
        <v>272.32174079999976</v>
      </c>
      <c r="AG72" s="111">
        <f t="shared" si="360"/>
        <v>326.78608895999974</v>
      </c>
      <c r="AH72" s="111">
        <f t="shared" si="360"/>
        <v>392.14330675199966</v>
      </c>
      <c r="AI72" s="111">
        <f t="shared" si="360"/>
        <v>470.57196810239964</v>
      </c>
      <c r="AJ72" s="115">
        <f t="shared" ref="AJ72" si="361">((AI72/J72)^(1/($AI$3-$K$1) ))-1</f>
        <v>0.13611196160059214</v>
      </c>
      <c r="AK72" s="21">
        <f t="shared" si="22"/>
        <v>0.01</v>
      </c>
      <c r="AL72" s="123" t="e">
        <f t="shared" si="33"/>
        <v>#DIV/0!</v>
      </c>
    </row>
    <row r="73" spans="2:38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01" t="e">
        <f t="shared" si="347"/>
        <v>#DIV/0!</v>
      </c>
      <c r="Y73" s="10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02"/>
      <c r="AK73" s="114"/>
      <c r="AL73" s="123"/>
    </row>
    <row r="74" spans="2:38" x14ac:dyDescent="0.2">
      <c r="B74" s="10" t="s">
        <v>401</v>
      </c>
      <c r="C74" s="111"/>
      <c r="D74" s="111"/>
      <c r="E74" s="111"/>
      <c r="F74" s="15"/>
      <c r="G74" s="15">
        <f t="shared" ref="G74" si="362">G53/G61</f>
        <v>8.8977423638778212</v>
      </c>
      <c r="H74" s="15" t="e">
        <f t="shared" ref="H74:I74" si="363">H53/H61</f>
        <v>#DIV/0!</v>
      </c>
      <c r="I74" s="15" t="e">
        <f t="shared" si="363"/>
        <v>#DIV/0!</v>
      </c>
      <c r="J74" s="15">
        <f t="shared" ref="J74:Q74" si="364">J53/J61</f>
        <v>16.370106761565836</v>
      </c>
      <c r="K74" s="15">
        <f t="shared" si="364"/>
        <v>23.240371845949536</v>
      </c>
      <c r="L74" s="15">
        <f t="shared" si="364"/>
        <v>8.8977423638778212</v>
      </c>
      <c r="M74" s="15">
        <f t="shared" si="364"/>
        <v>3.4482758620689653</v>
      </c>
      <c r="N74" s="15">
        <f t="shared" si="364"/>
        <v>11.803713527851459</v>
      </c>
      <c r="O74" s="15">
        <f t="shared" si="364"/>
        <v>9.5490716180371358</v>
      </c>
      <c r="P74" s="15">
        <f t="shared" si="364"/>
        <v>25.46419098143236</v>
      </c>
      <c r="Q74" s="15">
        <f t="shared" si="364"/>
        <v>29.177718832891248</v>
      </c>
      <c r="R74" s="15">
        <f t="shared" ref="R74:W74" si="365">R53/R61</f>
        <v>26.948480845442536</v>
      </c>
      <c r="S74" s="15">
        <f t="shared" si="365"/>
        <v>26.155878467635404</v>
      </c>
      <c r="T74" s="15">
        <f t="shared" si="365"/>
        <v>31.439894319682956</v>
      </c>
      <c r="U74" s="15">
        <f t="shared" si="365"/>
        <v>39.894319682959051</v>
      </c>
      <c r="V74" s="15">
        <f t="shared" si="365"/>
        <v>32.585751978891821</v>
      </c>
      <c r="W74" s="15">
        <f t="shared" si="365"/>
        <v>32.585751978891821</v>
      </c>
      <c r="X74" s="101">
        <f t="shared" si="347"/>
        <v>0.10500749743243398</v>
      </c>
      <c r="Y74" s="109"/>
      <c r="Z74" s="96">
        <f>Z53/Z61</f>
        <v>38.336178798696253</v>
      </c>
      <c r="AA74" s="96">
        <f t="shared" ref="AA74:AI74" si="366">AA53/AA61</f>
        <v>45.10138682199559</v>
      </c>
      <c r="AB74" s="96">
        <f t="shared" si="366"/>
        <v>53.060455084700685</v>
      </c>
      <c r="AC74" s="96">
        <f t="shared" si="366"/>
        <v>62.424064805530222</v>
      </c>
      <c r="AD74" s="96">
        <f t="shared" si="366"/>
        <v>73.440076241800256</v>
      </c>
      <c r="AE74" s="96">
        <f t="shared" si="366"/>
        <v>86.400089696235582</v>
      </c>
      <c r="AF74" s="96">
        <f t="shared" si="366"/>
        <v>101.64716434851245</v>
      </c>
      <c r="AG74" s="96">
        <f t="shared" si="366"/>
        <v>119.58489923354405</v>
      </c>
      <c r="AH74" s="96">
        <f t="shared" si="366"/>
        <v>140.68811674534595</v>
      </c>
      <c r="AI74" s="96">
        <f t="shared" si="366"/>
        <v>165.51543146511287</v>
      </c>
      <c r="AJ74" s="115">
        <f t="shared" ref="AJ74:AJ75" si="367">((AI74/J74)^(1/($AI$3-$K$1) ))-1</f>
        <v>0.10582496518843798</v>
      </c>
      <c r="AK74" s="21">
        <f t="shared" si="22"/>
        <v>0.01</v>
      </c>
      <c r="AL74" s="123" t="e">
        <f t="shared" si="33"/>
        <v>#DIV/0!</v>
      </c>
    </row>
    <row r="75" spans="2:38" x14ac:dyDescent="0.2">
      <c r="B75" s="10" t="s">
        <v>402</v>
      </c>
      <c r="C75" s="111"/>
      <c r="D75" s="111"/>
      <c r="E75" s="111"/>
      <c r="F75" s="15"/>
      <c r="G75" s="15">
        <f t="shared" ref="G75" si="368">G55/G61</f>
        <v>14.608233731739707</v>
      </c>
      <c r="H75" s="15" t="e">
        <f t="shared" ref="H75:I75" si="369">H55/H61</f>
        <v>#DIV/0!</v>
      </c>
      <c r="I75" s="15" t="e">
        <f t="shared" si="369"/>
        <v>#DIV/0!</v>
      </c>
      <c r="J75" s="15">
        <f t="shared" ref="J75:Q75" si="370">J55/J61</f>
        <v>19.217081850533809</v>
      </c>
      <c r="K75" s="15">
        <f t="shared" si="370"/>
        <v>23.771580345285525</v>
      </c>
      <c r="L75" s="15">
        <f t="shared" si="370"/>
        <v>14.608233731739707</v>
      </c>
      <c r="M75" s="15">
        <f t="shared" si="370"/>
        <v>4.9071618037135281</v>
      </c>
      <c r="N75" s="15">
        <f t="shared" si="370"/>
        <v>10.875331564986737</v>
      </c>
      <c r="O75" s="15">
        <f t="shared" si="370"/>
        <v>6.4986737400530501</v>
      </c>
      <c r="P75" s="15">
        <f t="shared" si="370"/>
        <v>24.668435013262599</v>
      </c>
      <c r="Q75" s="15">
        <f t="shared" si="370"/>
        <v>24.27055702917772</v>
      </c>
      <c r="R75" s="15">
        <f t="shared" ref="R75:W75" si="371">R55/R61</f>
        <v>21.400264200792602</v>
      </c>
      <c r="S75" s="15">
        <f t="shared" si="371"/>
        <v>15.323645970937912</v>
      </c>
      <c r="T75" s="15">
        <f t="shared" si="371"/>
        <v>19.418758256274767</v>
      </c>
      <c r="U75" s="15">
        <f t="shared" si="371"/>
        <v>26.816380449141345</v>
      </c>
      <c r="V75" s="15">
        <f t="shared" si="371"/>
        <v>19.920844327176781</v>
      </c>
      <c r="W75" s="15">
        <f t="shared" si="371"/>
        <v>19.920844327176781</v>
      </c>
      <c r="X75" s="101">
        <f t="shared" si="347"/>
        <v>2.4147030736721309E-2</v>
      </c>
      <c r="Y75" s="109"/>
      <c r="Z75" s="96">
        <f>Z55/Z61</f>
        <v>23.436287443737388</v>
      </c>
      <c r="AA75" s="96">
        <f t="shared" ref="AA75:AI75" si="372">AA55/AA61</f>
        <v>27.572102874985159</v>
      </c>
      <c r="AB75" s="96">
        <f t="shared" si="372"/>
        <v>32.43776808821783</v>
      </c>
      <c r="AC75" s="96">
        <f t="shared" si="372"/>
        <v>38.162080103785676</v>
      </c>
      <c r="AD75" s="96">
        <f t="shared" si="372"/>
        <v>44.896564827983141</v>
      </c>
      <c r="AE75" s="96">
        <f t="shared" si="372"/>
        <v>52.819488032921335</v>
      </c>
      <c r="AF75" s="96">
        <f t="shared" si="372"/>
        <v>62.140574156378037</v>
      </c>
      <c r="AG75" s="96">
        <f t="shared" si="372"/>
        <v>73.106557831032987</v>
      </c>
      <c r="AH75" s="96">
        <f t="shared" si="372"/>
        <v>86.007715095332912</v>
      </c>
      <c r="AI75" s="96">
        <f t="shared" si="372"/>
        <v>101.1855471709799</v>
      </c>
      <c r="AJ75" s="115">
        <f t="shared" si="367"/>
        <v>7.4896298003643613E-2</v>
      </c>
      <c r="AK75" s="21">
        <f t="shared" si="22"/>
        <v>0.01</v>
      </c>
      <c r="AL75" s="123" t="e">
        <f t="shared" ref="AL75:AL138" si="373">(AI75*(1+AK75))/($O$1-AK75)</f>
        <v>#DIV/0!</v>
      </c>
    </row>
    <row r="76" spans="2:38" x14ac:dyDescent="0.2">
      <c r="B76" s="10" t="s">
        <v>214</v>
      </c>
      <c r="C76" s="15"/>
      <c r="D76" s="15"/>
      <c r="E76" s="15"/>
      <c r="F76" s="111"/>
      <c r="G76" s="111">
        <f t="shared" ref="G76" si="374">G59/G61</f>
        <v>9.2961487383798129</v>
      </c>
      <c r="H76" s="111" t="e">
        <f t="shared" ref="H76:I76" si="375">H59/H61</f>
        <v>#DIV/0!</v>
      </c>
      <c r="I76" s="111" t="e">
        <f t="shared" si="375"/>
        <v>#DIV/0!</v>
      </c>
      <c r="J76" s="111">
        <f t="shared" ref="J76:Q76" si="376">J59/J61</f>
        <v>14.768683274021353</v>
      </c>
      <c r="K76" s="111">
        <f t="shared" si="376"/>
        <v>18.193891102257634</v>
      </c>
      <c r="L76" s="111">
        <f t="shared" si="376"/>
        <v>9.2961487383798129</v>
      </c>
      <c r="M76" s="111">
        <f t="shared" si="376"/>
        <v>3.9787798408488064</v>
      </c>
      <c r="N76" s="111">
        <f t="shared" si="376"/>
        <v>6.8965517241379306</v>
      </c>
      <c r="O76" s="111">
        <f t="shared" si="376"/>
        <v>4.6419098143236077</v>
      </c>
      <c r="P76" s="111">
        <f t="shared" si="376"/>
        <v>16.312997347480106</v>
      </c>
      <c r="Q76" s="111">
        <f t="shared" si="376"/>
        <v>15.517241379310345</v>
      </c>
      <c r="R76" s="111">
        <f t="shared" ref="R76:W76" si="377">R59/R61</f>
        <v>13.474240422721268</v>
      </c>
      <c r="S76" s="111">
        <f t="shared" si="377"/>
        <v>8.1902245706737116</v>
      </c>
      <c r="T76" s="111">
        <f t="shared" si="377"/>
        <v>11.492734478203435</v>
      </c>
      <c r="U76" s="111">
        <f t="shared" si="377"/>
        <v>15.984147952443857</v>
      </c>
      <c r="V76" s="111">
        <f t="shared" si="377"/>
        <v>9.8944591029023741</v>
      </c>
      <c r="W76" s="111">
        <f t="shared" si="377"/>
        <v>9.8944591029023741</v>
      </c>
      <c r="X76" s="101">
        <f t="shared" si="347"/>
        <v>4.8095839928252726E-3</v>
      </c>
      <c r="Y76" s="109"/>
      <c r="Z76" s="133">
        <f t="shared" ref="Z76:AI76" si="378">Z59/Z61</f>
        <v>11.640540121061617</v>
      </c>
      <c r="AA76" s="133">
        <f t="shared" si="378"/>
        <v>13.694753083601901</v>
      </c>
      <c r="AB76" s="133">
        <f t="shared" si="378"/>
        <v>16.111474216002236</v>
      </c>
      <c r="AC76" s="133">
        <f t="shared" si="378"/>
        <v>18.954675548237923</v>
      </c>
      <c r="AD76" s="133">
        <f t="shared" si="378"/>
        <v>22.299618292044613</v>
      </c>
      <c r="AE76" s="133">
        <f t="shared" si="378"/>
        <v>26.234845049464244</v>
      </c>
      <c r="AF76" s="133">
        <f t="shared" si="378"/>
        <v>30.864523587604996</v>
      </c>
      <c r="AG76" s="133">
        <f t="shared" si="378"/>
        <v>36.311204220711758</v>
      </c>
      <c r="AH76" s="133">
        <f t="shared" si="378"/>
        <v>42.719063789072656</v>
      </c>
      <c r="AI76" s="133">
        <f t="shared" si="378"/>
        <v>50.257722104791355</v>
      </c>
      <c r="AJ76" s="115">
        <f t="shared" ref="AJ76:AJ90" si="379">((AI76/J76)^(1/($AI$3-$K$1) ))-1</f>
        <v>5.4688941301892724E-2</v>
      </c>
      <c r="AK76" s="21">
        <f t="shared" si="22"/>
        <v>0.01</v>
      </c>
      <c r="AL76" s="123" t="e">
        <f t="shared" si="373"/>
        <v>#DIV/0!</v>
      </c>
    </row>
    <row r="77" spans="2:38" x14ac:dyDescent="0.2">
      <c r="B77" s="10" t="s">
        <v>330</v>
      </c>
      <c r="C77" s="111"/>
      <c r="D77" s="111"/>
      <c r="E77" s="111"/>
      <c r="F77" s="111"/>
      <c r="G77" s="111">
        <f t="shared" ref="G77" si="380">G20/G61</f>
        <v>0</v>
      </c>
      <c r="H77" s="111" t="e">
        <f t="shared" ref="H77:I77" si="381">H20/H61</f>
        <v>#DIV/0!</v>
      </c>
      <c r="I77" s="111" t="e">
        <f t="shared" si="381"/>
        <v>#DIV/0!</v>
      </c>
      <c r="J77" s="111">
        <f>J20/J61</f>
        <v>0</v>
      </c>
      <c r="K77" s="111">
        <f t="shared" ref="K77:Q77" si="382">K20/K61</f>
        <v>0</v>
      </c>
      <c r="L77" s="111">
        <f t="shared" si="382"/>
        <v>0</v>
      </c>
      <c r="M77" s="111">
        <f t="shared" si="382"/>
        <v>0</v>
      </c>
      <c r="N77" s="111">
        <f t="shared" si="382"/>
        <v>0</v>
      </c>
      <c r="O77" s="111">
        <f t="shared" si="382"/>
        <v>0</v>
      </c>
      <c r="P77" s="111">
        <f t="shared" si="382"/>
        <v>0</v>
      </c>
      <c r="Q77" s="111">
        <f t="shared" si="382"/>
        <v>0</v>
      </c>
      <c r="R77" s="111">
        <f t="shared" ref="R77:W77" si="383">R20/R61</f>
        <v>0</v>
      </c>
      <c r="S77" s="111">
        <f t="shared" si="383"/>
        <v>0</v>
      </c>
      <c r="T77" s="111">
        <f t="shared" si="383"/>
        <v>0</v>
      </c>
      <c r="U77" s="111">
        <f t="shared" si="383"/>
        <v>0</v>
      </c>
      <c r="V77" s="111">
        <f t="shared" si="383"/>
        <v>0</v>
      </c>
      <c r="W77" s="111">
        <f t="shared" si="383"/>
        <v>0</v>
      </c>
      <c r="X77" s="101" t="e">
        <f t="shared" si="347"/>
        <v>#DIV/0!</v>
      </c>
      <c r="Y77" s="109"/>
      <c r="Z77" s="111">
        <f t="shared" ref="Z77:AI77" si="384">Z20/Z61</f>
        <v>0</v>
      </c>
      <c r="AA77" s="111">
        <f t="shared" si="384"/>
        <v>0</v>
      </c>
      <c r="AB77" s="111">
        <f t="shared" si="384"/>
        <v>0</v>
      </c>
      <c r="AC77" s="111">
        <f t="shared" si="384"/>
        <v>0</v>
      </c>
      <c r="AD77" s="111">
        <f t="shared" si="384"/>
        <v>0</v>
      </c>
      <c r="AE77" s="111">
        <f t="shared" si="384"/>
        <v>0</v>
      </c>
      <c r="AF77" s="111">
        <f t="shared" si="384"/>
        <v>0</v>
      </c>
      <c r="AG77" s="111">
        <f t="shared" si="384"/>
        <v>0</v>
      </c>
      <c r="AH77" s="111">
        <f t="shared" si="384"/>
        <v>0</v>
      </c>
      <c r="AI77" s="111">
        <f t="shared" si="384"/>
        <v>0</v>
      </c>
      <c r="AJ77" s="115" t="e">
        <f t="shared" ref="AJ77" si="385">((AI77/J77)^(1/($AI$3-$K$1) ))-1</f>
        <v>#DIV/0!</v>
      </c>
      <c r="AK77" s="21">
        <f t="shared" si="22"/>
        <v>0.01</v>
      </c>
      <c r="AL77" s="123" t="e">
        <f t="shared" si="373"/>
        <v>#DIV/0!</v>
      </c>
    </row>
    <row r="78" spans="2:38" x14ac:dyDescent="0.2">
      <c r="B78" s="10" t="s">
        <v>202</v>
      </c>
      <c r="C78" s="15"/>
      <c r="D78" s="15"/>
      <c r="E78" s="15"/>
      <c r="F78" s="111"/>
      <c r="G78" s="111">
        <f t="shared" ref="G78" si="386">G7/G61</f>
        <v>87.250996015936252</v>
      </c>
      <c r="H78" s="111" t="e">
        <f t="shared" ref="H78:I78" si="387">H7/H61</f>
        <v>#DIV/0!</v>
      </c>
      <c r="I78" s="111" t="e">
        <f t="shared" si="387"/>
        <v>#DIV/0!</v>
      </c>
      <c r="J78" s="111">
        <f t="shared" ref="J78:Q78" si="388">J7/J61</f>
        <v>32.028469750889677</v>
      </c>
      <c r="K78" s="111">
        <f t="shared" si="388"/>
        <v>81.407702523240374</v>
      </c>
      <c r="L78" s="111">
        <f t="shared" si="388"/>
        <v>87.250996015936252</v>
      </c>
      <c r="M78" s="111">
        <f t="shared" si="388"/>
        <v>89.389920424403186</v>
      </c>
      <c r="N78" s="111">
        <f t="shared" si="388"/>
        <v>92.705570291777192</v>
      </c>
      <c r="O78" s="111">
        <f t="shared" si="388"/>
        <v>95.623342175066313</v>
      </c>
      <c r="P78" s="111">
        <f t="shared" si="388"/>
        <v>95.092838196286465</v>
      </c>
      <c r="Q78" s="111">
        <f t="shared" si="388"/>
        <v>106.76392572944297</v>
      </c>
      <c r="R78" s="111">
        <f t="shared" ref="R78:W78" si="389">R7/R61</f>
        <v>111.09643328929987</v>
      </c>
      <c r="S78" s="111">
        <f t="shared" si="389"/>
        <v>103.30250990752972</v>
      </c>
      <c r="T78" s="111">
        <f t="shared" si="389"/>
        <v>115.71994715984148</v>
      </c>
      <c r="U78" s="111">
        <f t="shared" si="389"/>
        <v>129.85468956406868</v>
      </c>
      <c r="V78" s="111">
        <f t="shared" si="389"/>
        <v>110.8179419525066</v>
      </c>
      <c r="W78" s="111">
        <f t="shared" si="389"/>
        <v>110.8179419525066</v>
      </c>
      <c r="X78" s="101">
        <f t="shared" si="347"/>
        <v>1.8562465628009894E-2</v>
      </c>
      <c r="Y78" s="109"/>
      <c r="Z78" s="133">
        <f t="shared" ref="Z78:AI78" si="390">Z7/Z61</f>
        <v>130.37404935589012</v>
      </c>
      <c r="AA78" s="133">
        <f t="shared" si="390"/>
        <v>153.38123453634128</v>
      </c>
      <c r="AB78" s="133">
        <f t="shared" si="390"/>
        <v>180.44851121922503</v>
      </c>
      <c r="AC78" s="133">
        <f t="shared" si="390"/>
        <v>212.2923661402647</v>
      </c>
      <c r="AD78" s="133">
        <f t="shared" si="390"/>
        <v>249.75572487089963</v>
      </c>
      <c r="AE78" s="133">
        <f t="shared" si="390"/>
        <v>293.83026455399948</v>
      </c>
      <c r="AF78" s="133">
        <f t="shared" si="390"/>
        <v>345.68266418117588</v>
      </c>
      <c r="AG78" s="133">
        <f t="shared" si="390"/>
        <v>406.68548727197162</v>
      </c>
      <c r="AH78" s="133">
        <f t="shared" si="390"/>
        <v>478.45351443761359</v>
      </c>
      <c r="AI78" s="133">
        <f t="shared" si="390"/>
        <v>562.88648757366298</v>
      </c>
      <c r="AJ78" s="115">
        <f t="shared" si="379"/>
        <v>0.13272743363733341</v>
      </c>
      <c r="AK78" s="21">
        <f t="shared" si="22"/>
        <v>0.01</v>
      </c>
      <c r="AL78" s="123" t="e">
        <f t="shared" si="373"/>
        <v>#DIV/0!</v>
      </c>
    </row>
    <row r="79" spans="2:38" x14ac:dyDescent="0.2">
      <c r="B79" s="10" t="s">
        <v>203</v>
      </c>
      <c r="C79" s="108"/>
      <c r="D79" s="108"/>
      <c r="E79" s="108"/>
      <c r="F79" s="121"/>
      <c r="G79" s="121">
        <f t="shared" ref="G79" si="391">G6/G61</f>
        <v>77.158034528552449</v>
      </c>
      <c r="H79" s="121" t="e">
        <f t="shared" ref="H79:I79" si="392">H6/H61</f>
        <v>#DIV/0!</v>
      </c>
      <c r="I79" s="121" t="e">
        <f t="shared" si="392"/>
        <v>#DIV/0!</v>
      </c>
      <c r="J79" s="121">
        <f t="shared" ref="J79:Q79" si="393">J6/J61</f>
        <v>22.064056939501778</v>
      </c>
      <c r="K79" s="121">
        <f t="shared" si="393"/>
        <v>71.447543160690572</v>
      </c>
      <c r="L79" s="121">
        <f t="shared" si="393"/>
        <v>77.158034528552449</v>
      </c>
      <c r="M79" s="121">
        <f t="shared" si="393"/>
        <v>79.442970822281168</v>
      </c>
      <c r="N79" s="121">
        <f t="shared" si="393"/>
        <v>82.625994694960212</v>
      </c>
      <c r="O79" s="121">
        <f t="shared" si="393"/>
        <v>83.819628647214856</v>
      </c>
      <c r="P79" s="121">
        <f t="shared" si="393"/>
        <v>85.013262599469499</v>
      </c>
      <c r="Q79" s="121">
        <f t="shared" si="393"/>
        <v>96.684350132625994</v>
      </c>
      <c r="R79" s="121">
        <f t="shared" ref="R79:W79" si="394">R6/R61</f>
        <v>101.05680317040951</v>
      </c>
      <c r="S79" s="121">
        <f t="shared" si="394"/>
        <v>93.262879788639367</v>
      </c>
      <c r="T79" s="121">
        <f t="shared" si="394"/>
        <v>105.68031704095112</v>
      </c>
      <c r="U79" s="121">
        <f t="shared" si="394"/>
        <v>119.81505944517833</v>
      </c>
      <c r="V79" s="121">
        <f t="shared" si="394"/>
        <v>100.79155672823219</v>
      </c>
      <c r="W79" s="121">
        <f t="shared" si="394"/>
        <v>100.79155672823219</v>
      </c>
      <c r="X79" s="101">
        <f t="shared" si="347"/>
        <v>2.0766442738076263E-2</v>
      </c>
      <c r="Y79" s="109"/>
      <c r="Z79" s="132">
        <f t="shared" ref="Z79:AI79" si="395">Z6/Z61</f>
        <v>118.57830203321433</v>
      </c>
      <c r="AA79" s="132">
        <f t="shared" si="395"/>
        <v>139.50388474495801</v>
      </c>
      <c r="AB79" s="132">
        <f t="shared" si="395"/>
        <v>164.12221734700941</v>
      </c>
      <c r="AC79" s="132">
        <f t="shared" si="395"/>
        <v>193.08496158471695</v>
      </c>
      <c r="AD79" s="132">
        <f t="shared" si="395"/>
        <v>227.15877833496108</v>
      </c>
      <c r="AE79" s="132">
        <f t="shared" si="395"/>
        <v>267.24562157054237</v>
      </c>
      <c r="AF79" s="132">
        <f t="shared" si="395"/>
        <v>314.40661361240279</v>
      </c>
      <c r="AG79" s="132">
        <f t="shared" si="395"/>
        <v>369.89013366165034</v>
      </c>
      <c r="AH79" s="132">
        <f t="shared" si="395"/>
        <v>435.16486313135334</v>
      </c>
      <c r="AI79" s="132">
        <f t="shared" si="395"/>
        <v>511.95866250747451</v>
      </c>
      <c r="AJ79" s="115">
        <f t="shared" si="379"/>
        <v>0.14649382120546695</v>
      </c>
      <c r="AK79" s="21">
        <f t="shared" si="22"/>
        <v>0.01</v>
      </c>
      <c r="AL79" s="123" t="e">
        <f t="shared" si="373"/>
        <v>#DIV/0!</v>
      </c>
    </row>
    <row r="80" spans="2:38" x14ac:dyDescent="0.2">
      <c r="B80" s="10" t="s">
        <v>204</v>
      </c>
      <c r="C80" s="108"/>
      <c r="D80" s="108"/>
      <c r="E80" s="108"/>
      <c r="F80" s="121"/>
      <c r="G80" s="121">
        <f t="shared" ref="G80" si="396">G10/G61</f>
        <v>21.115537848605577</v>
      </c>
      <c r="H80" s="121" t="e">
        <f t="shared" ref="H80:I80" si="397">H10/H61</f>
        <v>#DIV/0!</v>
      </c>
      <c r="I80" s="121" t="e">
        <f t="shared" si="397"/>
        <v>#DIV/0!</v>
      </c>
      <c r="J80" s="121">
        <f t="shared" ref="J80:Q80" si="398">J10/J61</f>
        <v>26.690391459074732</v>
      </c>
      <c r="K80" s="121">
        <f t="shared" si="398"/>
        <v>20.849933598937582</v>
      </c>
      <c r="L80" s="121">
        <f t="shared" si="398"/>
        <v>21.115537848605577</v>
      </c>
      <c r="M80" s="121">
        <f t="shared" si="398"/>
        <v>19.893899204244033</v>
      </c>
      <c r="N80" s="121">
        <f t="shared" si="398"/>
        <v>21.087533156498672</v>
      </c>
      <c r="O80" s="121">
        <f t="shared" si="398"/>
        <v>25.066312997347481</v>
      </c>
      <c r="P80" s="121">
        <f t="shared" si="398"/>
        <v>20.424403183023873</v>
      </c>
      <c r="Q80" s="121">
        <f t="shared" si="398"/>
        <v>36.737400530503976</v>
      </c>
      <c r="R80" s="121">
        <f t="shared" ref="R80:W80" si="399">R10/R61</f>
        <v>38.177014531043589</v>
      </c>
      <c r="S80" s="121">
        <f t="shared" si="399"/>
        <v>95.508586525759569</v>
      </c>
      <c r="T80" s="121">
        <f t="shared" si="399"/>
        <v>42.27212681638045</v>
      </c>
      <c r="U80" s="121">
        <f t="shared" si="399"/>
        <v>62.219286657859968</v>
      </c>
      <c r="V80" s="121">
        <f t="shared" si="399"/>
        <v>73.878627968337724</v>
      </c>
      <c r="W80" s="121">
        <f t="shared" si="399"/>
        <v>73.878627968337724</v>
      </c>
      <c r="X80" s="101">
        <f t="shared" si="347"/>
        <v>0.10113291337715391</v>
      </c>
      <c r="Y80" s="109"/>
      <c r="Z80" s="132">
        <f t="shared" ref="Z80:AI80" si="400">Z10/Z61</f>
        <v>86.916032903926734</v>
      </c>
      <c r="AA80" s="132">
        <f t="shared" si="400"/>
        <v>102.25415635756086</v>
      </c>
      <c r="AB80" s="132">
        <f t="shared" si="400"/>
        <v>120.29900747948336</v>
      </c>
      <c r="AC80" s="132">
        <f t="shared" si="400"/>
        <v>141.52824409350984</v>
      </c>
      <c r="AD80" s="132">
        <f t="shared" si="400"/>
        <v>166.50381658059976</v>
      </c>
      <c r="AE80" s="132">
        <f t="shared" si="400"/>
        <v>195.8868430359997</v>
      </c>
      <c r="AF80" s="132">
        <f t="shared" si="400"/>
        <v>230.45510945411729</v>
      </c>
      <c r="AG80" s="132">
        <f t="shared" si="400"/>
        <v>271.12365818131445</v>
      </c>
      <c r="AH80" s="132">
        <f t="shared" si="400"/>
        <v>318.96900962507584</v>
      </c>
      <c r="AI80" s="132">
        <f t="shared" si="400"/>
        <v>375.25765838244212</v>
      </c>
      <c r="AJ80" s="115">
        <f t="shared" si="379"/>
        <v>0.12179097065563882</v>
      </c>
      <c r="AK80" s="21">
        <f t="shared" si="22"/>
        <v>0.01</v>
      </c>
      <c r="AL80" s="123" t="e">
        <f t="shared" si="373"/>
        <v>#DIV/0!</v>
      </c>
    </row>
    <row r="81" spans="2:38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01" t="e">
        <f t="shared" si="347"/>
        <v>#DIV/0!</v>
      </c>
      <c r="Y81" s="10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16"/>
      <c r="AK81" s="114"/>
      <c r="AL81" s="123"/>
    </row>
    <row r="82" spans="2:38" x14ac:dyDescent="0.2">
      <c r="B82" s="10" t="s">
        <v>221</v>
      </c>
      <c r="C82" s="108"/>
      <c r="D82" s="108"/>
      <c r="E82" s="108"/>
      <c r="F82" s="121"/>
      <c r="G82" s="121">
        <f t="shared" ref="G82" si="401">(G7-G10)/G61</f>
        <v>66.135458167330668</v>
      </c>
      <c r="H82" s="121" t="e">
        <f t="shared" ref="H82:I82" si="402">(H7-H10)/H61</f>
        <v>#DIV/0!</v>
      </c>
      <c r="I82" s="121" t="e">
        <f t="shared" si="402"/>
        <v>#DIV/0!</v>
      </c>
      <c r="J82" s="121">
        <f t="shared" ref="J82:Q82" si="403">(J7-J10)/J61</f>
        <v>5.3380782918149468</v>
      </c>
      <c r="K82" s="121">
        <f t="shared" si="403"/>
        <v>60.557768924302785</v>
      </c>
      <c r="L82" s="121">
        <f t="shared" si="403"/>
        <v>66.135458167330668</v>
      </c>
      <c r="M82" s="121">
        <f t="shared" si="403"/>
        <v>69.49602122015915</v>
      </c>
      <c r="N82" s="121">
        <f t="shared" si="403"/>
        <v>71.618037135278513</v>
      </c>
      <c r="O82" s="121">
        <f t="shared" si="403"/>
        <v>70.557029177718832</v>
      </c>
      <c r="P82" s="121">
        <f t="shared" si="403"/>
        <v>74.668435013262595</v>
      </c>
      <c r="Q82" s="121">
        <f t="shared" si="403"/>
        <v>70.026525198938998</v>
      </c>
      <c r="R82" s="121">
        <f t="shared" ref="R82:W82" si="404">(R7-R10)/R61</f>
        <v>72.919418758256271</v>
      </c>
      <c r="S82" s="121">
        <f t="shared" si="404"/>
        <v>7.7939233817701448</v>
      </c>
      <c r="T82" s="121">
        <f t="shared" si="404"/>
        <v>73.447820343461032</v>
      </c>
      <c r="U82" s="121">
        <f t="shared" si="404"/>
        <v>67.635402906208711</v>
      </c>
      <c r="V82" s="121">
        <f t="shared" si="404"/>
        <v>36.939313984168862</v>
      </c>
      <c r="W82" s="121">
        <f t="shared" si="404"/>
        <v>36.939313984168862</v>
      </c>
      <c r="X82" s="101">
        <f t="shared" si="347"/>
        <v>-4.3813405493604574E-2</v>
      </c>
      <c r="Y82" s="109"/>
      <c r="Z82" s="132">
        <f t="shared" ref="Z82:AI82" si="405">(Z7-Z10)/Z61</f>
        <v>43.458016451963367</v>
      </c>
      <c r="AA82" s="132">
        <f t="shared" si="405"/>
        <v>51.127078178780422</v>
      </c>
      <c r="AB82" s="132">
        <f t="shared" si="405"/>
        <v>60.149503739741661</v>
      </c>
      <c r="AC82" s="132">
        <f t="shared" si="405"/>
        <v>70.764122046754892</v>
      </c>
      <c r="AD82" s="132">
        <f t="shared" si="405"/>
        <v>83.251908290299852</v>
      </c>
      <c r="AE82" s="132">
        <f t="shared" si="405"/>
        <v>97.943421517999795</v>
      </c>
      <c r="AF82" s="132">
        <f t="shared" si="405"/>
        <v>115.2275547270586</v>
      </c>
      <c r="AG82" s="132">
        <f t="shared" si="405"/>
        <v>135.56182909065717</v>
      </c>
      <c r="AH82" s="132">
        <f t="shared" si="405"/>
        <v>159.48450481253778</v>
      </c>
      <c r="AI82" s="132">
        <f t="shared" si="405"/>
        <v>187.62882919122089</v>
      </c>
      <c r="AJ82" s="115">
        <f t="shared" si="379"/>
        <v>0.16738384652501304</v>
      </c>
      <c r="AK82" s="21">
        <f t="shared" si="22"/>
        <v>0.01</v>
      </c>
      <c r="AL82" s="123" t="e">
        <f t="shared" si="373"/>
        <v>#DIV/0!</v>
      </c>
    </row>
    <row r="83" spans="2:38" x14ac:dyDescent="0.2">
      <c r="B83" s="10" t="s">
        <v>222</v>
      </c>
      <c r="C83" s="108"/>
      <c r="D83" s="108"/>
      <c r="E83" s="108"/>
      <c r="F83" s="121"/>
      <c r="G83" s="121">
        <f t="shared" ref="G83" si="406">(G7-G10-G9)/G61</f>
        <v>52.191235059760956</v>
      </c>
      <c r="H83" s="121" t="e">
        <f t="shared" ref="H83:I83" si="407">(H7-H10-H9)/H61</f>
        <v>#DIV/0!</v>
      </c>
      <c r="I83" s="121" t="e">
        <f t="shared" si="407"/>
        <v>#DIV/0!</v>
      </c>
      <c r="J83" s="121">
        <f t="shared" ref="J83:Q83" si="408">(J7-J10-J9)/J61</f>
        <v>-34.697508896797153</v>
      </c>
      <c r="K83" s="121">
        <f t="shared" si="408"/>
        <v>31.739707835325365</v>
      </c>
      <c r="L83" s="121">
        <f t="shared" si="408"/>
        <v>52.191235059760956</v>
      </c>
      <c r="M83" s="121">
        <f t="shared" si="408"/>
        <v>57.294429708222815</v>
      </c>
      <c r="N83" s="121">
        <f t="shared" si="408"/>
        <v>51.724137931034484</v>
      </c>
      <c r="O83" s="121">
        <f t="shared" si="408"/>
        <v>35.411140583554378</v>
      </c>
      <c r="P83" s="121">
        <f t="shared" si="408"/>
        <v>27.055702917771882</v>
      </c>
      <c r="Q83" s="121">
        <f t="shared" si="408"/>
        <v>-3.5809018567639259</v>
      </c>
      <c r="R83" s="121">
        <f t="shared" ref="R83:W83" si="409">(R7-R10-R9)/R61</f>
        <v>-17.701453104359313</v>
      </c>
      <c r="S83" s="121">
        <f t="shared" si="409"/>
        <v>-118.89035667107001</v>
      </c>
      <c r="T83" s="121">
        <f t="shared" si="409"/>
        <v>-111.22853368560105</v>
      </c>
      <c r="U83" s="121">
        <f t="shared" si="409"/>
        <v>-57.859973579920741</v>
      </c>
      <c r="V83" s="121">
        <f t="shared" si="409"/>
        <v>-248.54881266490764</v>
      </c>
      <c r="W83" s="121">
        <f t="shared" si="409"/>
        <v>-248.54881266490764</v>
      </c>
      <c r="X83" s="101">
        <f t="shared" si="347"/>
        <v>-2.1275597056800759</v>
      </c>
      <c r="Y83" s="109"/>
      <c r="Z83" s="132">
        <f t="shared" ref="Z83:AI83" si="410">(Z7-Z10-Z9)/Z61</f>
        <v>-292.4103678410678</v>
      </c>
      <c r="AA83" s="132">
        <f t="shared" si="410"/>
        <v>-344.01219746007973</v>
      </c>
      <c r="AB83" s="132">
        <f t="shared" si="410"/>
        <v>-404.72023230597608</v>
      </c>
      <c r="AC83" s="132">
        <f t="shared" si="410"/>
        <v>-476.14144977173652</v>
      </c>
      <c r="AD83" s="132">
        <f t="shared" si="410"/>
        <v>-560.16641149616055</v>
      </c>
      <c r="AE83" s="132">
        <f t="shared" si="410"/>
        <v>-659.01930764254166</v>
      </c>
      <c r="AF83" s="132">
        <f t="shared" si="410"/>
        <v>-775.31683252063726</v>
      </c>
      <c r="AG83" s="132">
        <f t="shared" si="410"/>
        <v>-912.13745002427902</v>
      </c>
      <c r="AH83" s="132">
        <f t="shared" si="410"/>
        <v>-1073.1028823815047</v>
      </c>
      <c r="AI83" s="132">
        <f t="shared" si="410"/>
        <v>-1262.4739792723583</v>
      </c>
      <c r="AJ83" s="115">
        <f t="shared" si="379"/>
        <v>0.16913932049814706</v>
      </c>
      <c r="AK83" s="21">
        <f t="shared" si="22"/>
        <v>0.01</v>
      </c>
      <c r="AL83" s="123" t="e">
        <f t="shared" si="373"/>
        <v>#DIV/0!</v>
      </c>
    </row>
    <row r="84" spans="2:38" x14ac:dyDescent="0.2">
      <c r="B84" s="10" t="s">
        <v>227</v>
      </c>
      <c r="C84" s="108"/>
      <c r="D84" s="108"/>
      <c r="E84" s="108"/>
      <c r="F84" s="121"/>
      <c r="G84" s="121">
        <f t="shared" ref="G84" si="411">(G7+G15-G10-G9)/G61</f>
        <v>104.51527224435591</v>
      </c>
      <c r="H84" s="121" t="e">
        <f t="shared" ref="H84:I84" si="412">(H7+H15-H10-H9)/H61</f>
        <v>#DIV/0!</v>
      </c>
      <c r="I84" s="121" t="e">
        <f t="shared" si="412"/>
        <v>#DIV/0!</v>
      </c>
      <c r="J84" s="121">
        <f t="shared" ref="J84:Q84" si="413">(J7+J15-J10-J9)/J61</f>
        <v>25.622775800711743</v>
      </c>
      <c r="K84" s="121">
        <f t="shared" si="413"/>
        <v>95.750332005312089</v>
      </c>
      <c r="L84" s="121">
        <f t="shared" si="413"/>
        <v>104.51527224435591</v>
      </c>
      <c r="M84" s="121">
        <f t="shared" si="413"/>
        <v>139.65517241379311</v>
      </c>
      <c r="N84" s="121">
        <f t="shared" si="413"/>
        <v>177.9840848806366</v>
      </c>
      <c r="O84" s="121">
        <f t="shared" si="413"/>
        <v>178.51458885941645</v>
      </c>
      <c r="P84" s="121">
        <f t="shared" si="413"/>
        <v>182.22811671087533</v>
      </c>
      <c r="Q84" s="121">
        <f t="shared" si="413"/>
        <v>185.14588859416446</v>
      </c>
      <c r="R84" s="121">
        <f t="shared" ref="R84:W84" si="414">(R7+R15-R10-R9)/R61</f>
        <v>194.71598414795244</v>
      </c>
      <c r="S84" s="121">
        <f t="shared" si="414"/>
        <v>180.97754293262878</v>
      </c>
      <c r="T84" s="121">
        <f t="shared" si="414"/>
        <v>194.71598414795244</v>
      </c>
      <c r="U84" s="121">
        <f t="shared" si="414"/>
        <v>224.43857331571994</v>
      </c>
      <c r="V84" s="121">
        <f t="shared" si="414"/>
        <v>146.96569920844328</v>
      </c>
      <c r="W84" s="121">
        <f t="shared" si="414"/>
        <v>146.96569920844328</v>
      </c>
      <c r="X84" s="101">
        <f t="shared" si="347"/>
        <v>2.656724324502191E-2</v>
      </c>
      <c r="Y84" s="109"/>
      <c r="Z84" s="132">
        <f t="shared" ref="Z84:AI84" si="415">(Z7+Z15-Z10-Z9)/Z61</f>
        <v>172.90082259816865</v>
      </c>
      <c r="AA84" s="132">
        <f t="shared" si="415"/>
        <v>203.41273246843363</v>
      </c>
      <c r="AB84" s="132">
        <f t="shared" si="415"/>
        <v>239.30909702168657</v>
      </c>
      <c r="AC84" s="132">
        <f t="shared" si="415"/>
        <v>281.54011414316085</v>
      </c>
      <c r="AD84" s="132">
        <f t="shared" si="415"/>
        <v>331.22366369783612</v>
      </c>
      <c r="AE84" s="132">
        <f t="shared" si="415"/>
        <v>389.67489846804244</v>
      </c>
      <c r="AF84" s="132">
        <f t="shared" si="415"/>
        <v>458.44105702122664</v>
      </c>
      <c r="AG84" s="132">
        <f t="shared" si="415"/>
        <v>539.34242002497263</v>
      </c>
      <c r="AH84" s="132">
        <f t="shared" si="415"/>
        <v>634.52049414702617</v>
      </c>
      <c r="AI84" s="132">
        <f t="shared" si="415"/>
        <v>746.4946989965016</v>
      </c>
      <c r="AJ84" s="115">
        <f t="shared" si="379"/>
        <v>0.15789609478797617</v>
      </c>
      <c r="AK84" s="21">
        <f t="shared" si="22"/>
        <v>0.01</v>
      </c>
      <c r="AL84" s="123" t="e">
        <f t="shared" si="373"/>
        <v>#DIV/0!</v>
      </c>
    </row>
    <row r="85" spans="2:38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01" t="e">
        <f t="shared" si="347"/>
        <v>#DIV/0!</v>
      </c>
      <c r="Y85" s="1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16"/>
      <c r="AK85" s="114"/>
      <c r="AL85" s="123"/>
    </row>
    <row r="86" spans="2:38" x14ac:dyDescent="0.2">
      <c r="B86" s="10" t="s">
        <v>205</v>
      </c>
      <c r="C86" s="108"/>
      <c r="D86" s="108"/>
      <c r="E86" s="108"/>
      <c r="F86" s="121"/>
      <c r="G86" s="121">
        <f t="shared" ref="G86" si="416">G12/G61</f>
        <v>1.593625498007968</v>
      </c>
      <c r="H86" s="121" t="e">
        <f t="shared" ref="H86:I86" si="417">H12/H61</f>
        <v>#DIV/0!</v>
      </c>
      <c r="I86" s="121" t="e">
        <f t="shared" si="417"/>
        <v>#DIV/0!</v>
      </c>
      <c r="J86" s="121">
        <f t="shared" ref="J86:Q86" si="418">J12/J61</f>
        <v>0.53380782918149461</v>
      </c>
      <c r="K86" s="121">
        <f t="shared" si="418"/>
        <v>1.593625498007968</v>
      </c>
      <c r="L86" s="121">
        <f t="shared" si="418"/>
        <v>1.593625498007968</v>
      </c>
      <c r="M86" s="121">
        <f t="shared" si="418"/>
        <v>1.5915119363395225</v>
      </c>
      <c r="N86" s="121">
        <f t="shared" si="418"/>
        <v>5.5702917771883289</v>
      </c>
      <c r="O86" s="121">
        <f t="shared" si="418"/>
        <v>6.1007957559681696</v>
      </c>
      <c r="P86" s="121">
        <f t="shared" si="418"/>
        <v>14.854111405835544</v>
      </c>
      <c r="Q86" s="121">
        <f t="shared" si="418"/>
        <v>9.2838196286472154</v>
      </c>
      <c r="R86" s="121">
        <f t="shared" ref="R86:W86" si="419">R12/R61</f>
        <v>5.2840158520475562</v>
      </c>
      <c r="S86" s="121">
        <f t="shared" si="419"/>
        <v>11.228533685601056</v>
      </c>
      <c r="T86" s="121">
        <f t="shared" si="419"/>
        <v>10.568031704095112</v>
      </c>
      <c r="U86" s="121">
        <f t="shared" si="419"/>
        <v>15.58784676354029</v>
      </c>
      <c r="V86" s="121">
        <f t="shared" si="419"/>
        <v>8.4432717678100264</v>
      </c>
      <c r="W86" s="121">
        <f t="shared" si="419"/>
        <v>8.4432717678100264</v>
      </c>
      <c r="X86" s="101">
        <f t="shared" si="347"/>
        <v>0.13684664511311961</v>
      </c>
      <c r="Y86" s="109"/>
      <c r="Z86" s="132">
        <f t="shared" ref="Z86:AI86" si="420">Z12/Z61</f>
        <v>9.9332609033059125</v>
      </c>
      <c r="AA86" s="132">
        <f t="shared" si="420"/>
        <v>11.686189298006955</v>
      </c>
      <c r="AB86" s="132">
        <f t="shared" si="420"/>
        <v>13.748457997655242</v>
      </c>
      <c r="AC86" s="132">
        <f t="shared" si="420"/>
        <v>16.174656467829696</v>
      </c>
      <c r="AD86" s="132">
        <f t="shared" si="420"/>
        <v>19.029007609211405</v>
      </c>
      <c r="AE86" s="132">
        <f t="shared" si="420"/>
        <v>22.387067775542825</v>
      </c>
      <c r="AF86" s="132">
        <f t="shared" si="420"/>
        <v>26.337726794756268</v>
      </c>
      <c r="AG86" s="132">
        <f t="shared" si="420"/>
        <v>30.985560935007371</v>
      </c>
      <c r="AH86" s="132">
        <f t="shared" si="420"/>
        <v>36.453601100008669</v>
      </c>
      <c r="AI86" s="132">
        <f t="shared" si="420"/>
        <v>42.886589529421961</v>
      </c>
      <c r="AJ86" s="115">
        <f t="shared" si="379"/>
        <v>0.21010576298436745</v>
      </c>
      <c r="AK86" s="21">
        <f t="shared" si="22"/>
        <v>0.01</v>
      </c>
      <c r="AL86" s="123" t="e">
        <f t="shared" si="373"/>
        <v>#DIV/0!</v>
      </c>
    </row>
    <row r="87" spans="2:38" x14ac:dyDescent="0.2">
      <c r="B87" s="10" t="s">
        <v>212</v>
      </c>
      <c r="C87" s="108"/>
      <c r="D87" s="108"/>
      <c r="E87" s="108"/>
      <c r="F87" s="121"/>
      <c r="G87" s="121">
        <f t="shared" ref="G87" si="421">G13/G61</f>
        <v>43.559096945551126</v>
      </c>
      <c r="H87" s="121" t="e">
        <f t="shared" ref="H87:I87" si="422">H13/H61</f>
        <v>#DIV/0!</v>
      </c>
      <c r="I87" s="121" t="e">
        <f t="shared" si="422"/>
        <v>#DIV/0!</v>
      </c>
      <c r="J87" s="121">
        <f t="shared" ref="J87:Q87" si="423">J13/J61</f>
        <v>24.911032028469752</v>
      </c>
      <c r="K87" s="121">
        <f t="shared" si="423"/>
        <v>51.792828685258961</v>
      </c>
      <c r="L87" s="121">
        <f t="shared" si="423"/>
        <v>43.559096945551126</v>
      </c>
      <c r="M87" s="121">
        <f t="shared" si="423"/>
        <v>39.522546419098141</v>
      </c>
      <c r="N87" s="121">
        <f t="shared" si="423"/>
        <v>10.344827586206897</v>
      </c>
      <c r="O87" s="121">
        <f t="shared" si="423"/>
        <v>9.5490716180371358</v>
      </c>
      <c r="P87" s="121">
        <f t="shared" si="423"/>
        <v>5.1724137931034484</v>
      </c>
      <c r="Q87" s="121">
        <f t="shared" si="423"/>
        <v>1.9893899204244032</v>
      </c>
      <c r="R87" s="121">
        <f t="shared" ref="R87:W87" si="424">R13/R61</f>
        <v>0.79260237780713338</v>
      </c>
      <c r="S87" s="121">
        <f t="shared" si="424"/>
        <v>0.39630118890356669</v>
      </c>
      <c r="T87" s="121">
        <f t="shared" si="424"/>
        <v>0.66050198150594452</v>
      </c>
      <c r="U87" s="121">
        <f t="shared" si="424"/>
        <v>2.7741083223249668E-2</v>
      </c>
      <c r="V87" s="121">
        <f t="shared" si="424"/>
        <v>0.39577836411609496</v>
      </c>
      <c r="W87" s="121">
        <f t="shared" si="424"/>
        <v>0.39577836411609496</v>
      </c>
      <c r="X87" s="101">
        <f t="shared" si="347"/>
        <v>-0.30345082336285834</v>
      </c>
      <c r="Y87" s="109"/>
      <c r="Z87" s="132">
        <f t="shared" ref="Z87:AI87" si="425">Z13/Z61</f>
        <v>0.46562160484246462</v>
      </c>
      <c r="AA87" s="132">
        <f t="shared" si="425"/>
        <v>0.54779012334407595</v>
      </c>
      <c r="AB87" s="132">
        <f t="shared" si="425"/>
        <v>0.64445896864008934</v>
      </c>
      <c r="AC87" s="132">
        <f t="shared" si="425"/>
        <v>0.75818702192951681</v>
      </c>
      <c r="AD87" s="132">
        <f t="shared" si="425"/>
        <v>0.89198473168178438</v>
      </c>
      <c r="AE87" s="132">
        <f t="shared" si="425"/>
        <v>1.0493938019785696</v>
      </c>
      <c r="AF87" s="132">
        <f t="shared" si="425"/>
        <v>1.2345809435041997</v>
      </c>
      <c r="AG87" s="132">
        <f t="shared" si="425"/>
        <v>1.4524481688284701</v>
      </c>
      <c r="AH87" s="132">
        <f t="shared" si="425"/>
        <v>1.7087625515629057</v>
      </c>
      <c r="AI87" s="132">
        <f t="shared" si="425"/>
        <v>2.0103088841916539</v>
      </c>
      <c r="AJ87" s="115">
        <f t="shared" si="379"/>
        <v>-0.10366025251902966</v>
      </c>
      <c r="AK87" s="21">
        <f t="shared" si="22"/>
        <v>0.01</v>
      </c>
      <c r="AL87" s="123" t="e">
        <f t="shared" si="373"/>
        <v>#DIV/0!</v>
      </c>
    </row>
    <row r="88" spans="2:38" x14ac:dyDescent="0.2">
      <c r="B88" s="10" t="s">
        <v>213</v>
      </c>
      <c r="C88" s="108"/>
      <c r="D88" s="108"/>
      <c r="E88" s="108"/>
      <c r="F88" s="121"/>
      <c r="G88" s="121">
        <f t="shared" ref="G88" si="426">(G86+G87)</f>
        <v>45.152722443559092</v>
      </c>
      <c r="H88" s="121" t="e">
        <f t="shared" ref="H88:I88" si="427">(H86+H87)</f>
        <v>#DIV/0!</v>
      </c>
      <c r="I88" s="121" t="e">
        <f t="shared" si="427"/>
        <v>#DIV/0!</v>
      </c>
      <c r="J88" s="121">
        <f t="shared" ref="J88:Q88" si="428">(J86+J87)</f>
        <v>25.444839857651246</v>
      </c>
      <c r="K88" s="121">
        <f t="shared" si="428"/>
        <v>53.386454183266927</v>
      </c>
      <c r="L88" s="121">
        <f t="shared" si="428"/>
        <v>45.152722443559092</v>
      </c>
      <c r="M88" s="121">
        <f t="shared" si="428"/>
        <v>41.114058355437663</v>
      </c>
      <c r="N88" s="121">
        <f t="shared" si="428"/>
        <v>15.915119363395226</v>
      </c>
      <c r="O88" s="121">
        <f t="shared" si="428"/>
        <v>15.649867374005305</v>
      </c>
      <c r="P88" s="121">
        <f t="shared" si="428"/>
        <v>20.026525198938991</v>
      </c>
      <c r="Q88" s="121">
        <f t="shared" si="428"/>
        <v>11.273209549071618</v>
      </c>
      <c r="R88" s="121">
        <f t="shared" ref="R88:W88" si="429">(R86+R87)</f>
        <v>6.0766182298546898</v>
      </c>
      <c r="S88" s="121">
        <f t="shared" si="429"/>
        <v>11.624834874504621</v>
      </c>
      <c r="T88" s="121">
        <f t="shared" si="429"/>
        <v>11.228533685601057</v>
      </c>
      <c r="U88" s="121">
        <f t="shared" si="429"/>
        <v>15.615587846763539</v>
      </c>
      <c r="V88" s="121">
        <f t="shared" si="429"/>
        <v>8.8390501319261219</v>
      </c>
      <c r="W88" s="121">
        <f t="shared" si="429"/>
        <v>8.8390501319261219</v>
      </c>
      <c r="X88" s="101">
        <f t="shared" si="347"/>
        <v>-0.11790156720093237</v>
      </c>
      <c r="Y88" s="109"/>
      <c r="Z88" s="132">
        <f t="shared" ref="Z88:AI88" si="430">(Z86+Z87)</f>
        <v>10.398882508148377</v>
      </c>
      <c r="AA88" s="132">
        <f t="shared" si="430"/>
        <v>12.23397942135103</v>
      </c>
      <c r="AB88" s="132">
        <f t="shared" si="430"/>
        <v>14.392916966295331</v>
      </c>
      <c r="AC88" s="132">
        <f t="shared" si="430"/>
        <v>16.932843489759211</v>
      </c>
      <c r="AD88" s="132">
        <f t="shared" si="430"/>
        <v>19.920992340893189</v>
      </c>
      <c r="AE88" s="132">
        <f t="shared" si="430"/>
        <v>23.436461577521396</v>
      </c>
      <c r="AF88" s="132">
        <f t="shared" si="430"/>
        <v>27.572307738260466</v>
      </c>
      <c r="AG88" s="132">
        <f t="shared" si="430"/>
        <v>32.438009103835839</v>
      </c>
      <c r="AH88" s="132">
        <f t="shared" si="430"/>
        <v>38.162363651571575</v>
      </c>
      <c r="AI88" s="132">
        <f t="shared" si="430"/>
        <v>44.896898413613613</v>
      </c>
      <c r="AJ88" s="115">
        <f t="shared" si="379"/>
        <v>2.4996686972794224E-2</v>
      </c>
      <c r="AK88" s="21">
        <f t="shared" si="22"/>
        <v>0.01</v>
      </c>
      <c r="AL88" s="123" t="e">
        <f t="shared" si="373"/>
        <v>#DIV/0!</v>
      </c>
    </row>
    <row r="89" spans="2:38" x14ac:dyDescent="0.2">
      <c r="B89" s="10" t="s">
        <v>206</v>
      </c>
      <c r="C89" s="108"/>
      <c r="D89" s="108"/>
      <c r="E89" s="108"/>
      <c r="F89" s="121"/>
      <c r="G89" s="121">
        <f t="shared" ref="G89" si="431">G15/G61</f>
        <v>52.32403718459495</v>
      </c>
      <c r="H89" s="121" t="e">
        <f t="shared" ref="H89:I89" si="432">H15/H61</f>
        <v>#DIV/0!</v>
      </c>
      <c r="I89" s="121" t="e">
        <f t="shared" si="432"/>
        <v>#DIV/0!</v>
      </c>
      <c r="J89" s="121">
        <f t="shared" ref="J89:Q89" si="433">J15/J61</f>
        <v>60.320284697508896</v>
      </c>
      <c r="K89" s="121">
        <f t="shared" si="433"/>
        <v>64.010624169986713</v>
      </c>
      <c r="L89" s="121">
        <f t="shared" si="433"/>
        <v>52.32403718459495</v>
      </c>
      <c r="M89" s="121">
        <f t="shared" si="433"/>
        <v>82.360742705570289</v>
      </c>
      <c r="N89" s="121">
        <f t="shared" si="433"/>
        <v>126.25994694960212</v>
      </c>
      <c r="O89" s="121">
        <f t="shared" si="433"/>
        <v>143.10344827586206</v>
      </c>
      <c r="P89" s="121">
        <f t="shared" si="433"/>
        <v>155.17241379310346</v>
      </c>
      <c r="Q89" s="121">
        <f t="shared" si="433"/>
        <v>188.72679045092838</v>
      </c>
      <c r="R89" s="121">
        <f t="shared" ref="R89:W89" si="434">R15/R61</f>
        <v>212.41743725231174</v>
      </c>
      <c r="S89" s="121">
        <f t="shared" si="434"/>
        <v>299.86789960369879</v>
      </c>
      <c r="T89" s="121">
        <f t="shared" si="434"/>
        <v>305.9445178335535</v>
      </c>
      <c r="U89" s="121">
        <f t="shared" si="434"/>
        <v>282.2985468956407</v>
      </c>
      <c r="V89" s="121">
        <f t="shared" si="434"/>
        <v>395.5145118733509</v>
      </c>
      <c r="W89" s="121">
        <f t="shared" si="434"/>
        <v>395.5145118733509</v>
      </c>
      <c r="X89" s="101">
        <f t="shared" si="347"/>
        <v>0.16835261978938232</v>
      </c>
      <c r="Y89" s="109"/>
      <c r="Z89" s="132">
        <f t="shared" ref="Z89:AI89" si="435">Z15/Z61</f>
        <v>465.31119043923633</v>
      </c>
      <c r="AA89" s="132">
        <f t="shared" si="435"/>
        <v>547.42492992851328</v>
      </c>
      <c r="AB89" s="132">
        <f t="shared" si="435"/>
        <v>644.02932932766271</v>
      </c>
      <c r="AC89" s="132">
        <f t="shared" si="435"/>
        <v>757.68156391489731</v>
      </c>
      <c r="AD89" s="132">
        <f t="shared" si="435"/>
        <v>891.39007519399672</v>
      </c>
      <c r="AE89" s="132">
        <f t="shared" si="435"/>
        <v>1048.6942061105842</v>
      </c>
      <c r="AF89" s="132">
        <f t="shared" si="435"/>
        <v>1233.757889541864</v>
      </c>
      <c r="AG89" s="132">
        <f t="shared" si="435"/>
        <v>1451.4798700492515</v>
      </c>
      <c r="AH89" s="132">
        <f t="shared" si="435"/>
        <v>1707.623376528531</v>
      </c>
      <c r="AI89" s="132">
        <f t="shared" si="435"/>
        <v>2008.9686782688602</v>
      </c>
      <c r="AJ89" s="115">
        <f t="shared" si="379"/>
        <v>0.16465173373578734</v>
      </c>
      <c r="AK89" s="21">
        <f t="shared" si="22"/>
        <v>0.01</v>
      </c>
      <c r="AL89" s="123" t="e">
        <f t="shared" si="373"/>
        <v>#DIV/0!</v>
      </c>
    </row>
    <row r="90" spans="2:38" x14ac:dyDescent="0.2">
      <c r="B90" s="10" t="s">
        <v>207</v>
      </c>
      <c r="C90" s="108"/>
      <c r="D90" s="108"/>
      <c r="E90" s="108"/>
      <c r="F90" s="121"/>
      <c r="G90" s="121">
        <f t="shared" ref="G90" si="436">G16/G61</f>
        <v>56.706507304116862</v>
      </c>
      <c r="H90" s="121" t="e">
        <f t="shared" ref="H90:I90" si="437">H16/H61</f>
        <v>#DIV/0!</v>
      </c>
      <c r="I90" s="121" t="e">
        <f t="shared" si="437"/>
        <v>#DIV/0!</v>
      </c>
      <c r="J90" s="121">
        <f t="shared" ref="J90:Q90" si="438">J16/J61</f>
        <v>32.384341637010678</v>
      </c>
      <c r="K90" s="121">
        <f t="shared" si="438"/>
        <v>43.691899070385126</v>
      </c>
      <c r="L90" s="121">
        <f t="shared" si="438"/>
        <v>56.706507304116862</v>
      </c>
      <c r="M90" s="121">
        <f t="shared" si="438"/>
        <v>77.851458885941639</v>
      </c>
      <c r="N90" s="121">
        <f t="shared" si="438"/>
        <v>112.9973474801061</v>
      </c>
      <c r="O90" s="121">
        <f t="shared" si="438"/>
        <v>123.20954907161804</v>
      </c>
      <c r="P90" s="121">
        <f t="shared" si="438"/>
        <v>118.70026525198939</v>
      </c>
      <c r="Q90" s="121">
        <f t="shared" si="438"/>
        <v>147.74535809018568</v>
      </c>
      <c r="R90" s="121">
        <f t="shared" ref="R90:W90" si="439">R16/R61</f>
        <v>156.80317040951121</v>
      </c>
      <c r="S90" s="121">
        <f t="shared" si="439"/>
        <v>220.73976221928666</v>
      </c>
      <c r="T90" s="121">
        <f t="shared" si="439"/>
        <v>173.8441215323646</v>
      </c>
      <c r="U90" s="121">
        <f t="shared" si="439"/>
        <v>203.96301188903567</v>
      </c>
      <c r="V90" s="121">
        <f t="shared" si="439"/>
        <v>171.2401055408971</v>
      </c>
      <c r="W90" s="121">
        <f t="shared" si="439"/>
        <v>171.2401055408971</v>
      </c>
      <c r="X90" s="101">
        <f t="shared" si="347"/>
        <v>8.8731950918560232E-2</v>
      </c>
      <c r="Y90" s="109"/>
      <c r="Z90" s="132">
        <f t="shared" ref="Z90:AI90" si="440">Z16/Z61</f>
        <v>201.45894769517304</v>
      </c>
      <c r="AA90" s="132">
        <f t="shared" si="440"/>
        <v>237.01052670020357</v>
      </c>
      <c r="AB90" s="132">
        <f t="shared" si="440"/>
        <v>278.83591376494536</v>
      </c>
      <c r="AC90" s="132">
        <f t="shared" si="440"/>
        <v>328.04225148817102</v>
      </c>
      <c r="AD90" s="132">
        <f t="shared" si="440"/>
        <v>385.93206057431883</v>
      </c>
      <c r="AE90" s="132">
        <f t="shared" si="440"/>
        <v>454.03771832272793</v>
      </c>
      <c r="AF90" s="132">
        <f t="shared" si="440"/>
        <v>534.16202155615053</v>
      </c>
      <c r="AG90" s="132">
        <f t="shared" si="440"/>
        <v>628.42590771311825</v>
      </c>
      <c r="AH90" s="132">
        <f t="shared" si="440"/>
        <v>739.32459730955088</v>
      </c>
      <c r="AI90" s="132">
        <f t="shared" si="440"/>
        <v>869.79364389358921</v>
      </c>
      <c r="AJ90" s="115">
        <f t="shared" si="379"/>
        <v>0.15380910924087221</v>
      </c>
      <c r="AK90" s="21">
        <f t="shared" si="22"/>
        <v>0.01</v>
      </c>
      <c r="AL90" s="123" t="e">
        <f t="shared" si="373"/>
        <v>#DIV/0!</v>
      </c>
    </row>
    <row r="91" spans="2:38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01" t="e">
        <f t="shared" si="347"/>
        <v>#DIV/0!</v>
      </c>
      <c r="Y91" s="1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16"/>
      <c r="AK91" s="116"/>
      <c r="AL91" s="116"/>
    </row>
    <row r="92" spans="2:38" x14ac:dyDescent="0.2">
      <c r="B92" s="10" t="s">
        <v>232</v>
      </c>
      <c r="C92" s="134"/>
      <c r="D92" s="134"/>
      <c r="E92" s="134"/>
      <c r="F92" s="134"/>
      <c r="G92" s="134">
        <f t="shared" ref="G92" si="441">G63</f>
        <v>1</v>
      </c>
      <c r="H92" s="134">
        <f t="shared" ref="H92:I92" si="442">H63</f>
        <v>0</v>
      </c>
      <c r="I92" s="134">
        <f t="shared" si="442"/>
        <v>0</v>
      </c>
      <c r="J92" s="134">
        <f t="shared" ref="J92:Q92" si="443">J63</f>
        <v>0</v>
      </c>
      <c r="K92" s="134">
        <f t="shared" si="443"/>
        <v>1.75</v>
      </c>
      <c r="L92" s="134">
        <f t="shared" si="443"/>
        <v>1</v>
      </c>
      <c r="M92" s="134">
        <f t="shared" si="443"/>
        <v>1</v>
      </c>
      <c r="N92" s="134">
        <f t="shared" si="443"/>
        <v>1.6</v>
      </c>
      <c r="O92" s="134">
        <f t="shared" si="443"/>
        <v>1.6</v>
      </c>
      <c r="P92" s="134">
        <f t="shared" si="443"/>
        <v>3.5</v>
      </c>
      <c r="Q92" s="134">
        <f t="shared" si="443"/>
        <v>2.1</v>
      </c>
      <c r="R92" s="134">
        <f t="shared" ref="R92:W92" si="444">R63</f>
        <v>2</v>
      </c>
      <c r="S92" s="134">
        <f t="shared" si="444"/>
        <v>1.5</v>
      </c>
      <c r="T92" s="134">
        <f t="shared" si="444"/>
        <v>1.6</v>
      </c>
      <c r="U92" s="134">
        <f t="shared" si="444"/>
        <v>2</v>
      </c>
      <c r="V92" s="134">
        <f t="shared" si="444"/>
        <v>2.4</v>
      </c>
      <c r="W92" s="134">
        <f t="shared" si="444"/>
        <v>2.4</v>
      </c>
      <c r="X92" s="101">
        <f t="shared" si="347"/>
        <v>6.9663110638067627E-2</v>
      </c>
      <c r="Y92" s="109"/>
      <c r="Z92" s="134">
        <f t="shared" ref="Z92:AI92" si="445">Z63</f>
        <v>2.448</v>
      </c>
      <c r="AA92" s="134">
        <f t="shared" si="445"/>
        <v>2.4969600000000001</v>
      </c>
      <c r="AB92" s="134">
        <f t="shared" si="445"/>
        <v>2.5468991999999999</v>
      </c>
      <c r="AC92" s="134">
        <f t="shared" si="445"/>
        <v>2.5978371839999999</v>
      </c>
      <c r="AD92" s="134">
        <f t="shared" si="445"/>
        <v>2.6497939276799998</v>
      </c>
      <c r="AE92" s="134">
        <f t="shared" si="445"/>
        <v>2.7027898062336</v>
      </c>
      <c r="AF92" s="134">
        <f t="shared" si="445"/>
        <v>2.7568456023582719</v>
      </c>
      <c r="AG92" s="134">
        <f t="shared" si="445"/>
        <v>2.8119825144054373</v>
      </c>
      <c r="AH92" s="134">
        <f t="shared" si="445"/>
        <v>2.8682221646935462</v>
      </c>
      <c r="AI92" s="134">
        <f t="shared" si="445"/>
        <v>2.9255866079874173</v>
      </c>
      <c r="AJ92" s="115" t="e">
        <f t="shared" ref="AJ92" si="446">((AI92/J92)^(1/($AI$3-$K$1) ))-1</f>
        <v>#DIV/0!</v>
      </c>
      <c r="AK92" s="21">
        <f t="shared" si="22"/>
        <v>0.01</v>
      </c>
      <c r="AL92" s="123" t="e">
        <f t="shared" si="373"/>
        <v>#DIV/0!</v>
      </c>
    </row>
    <row r="93" spans="2:38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01" t="e">
        <f t="shared" si="347"/>
        <v>#DIV/0!</v>
      </c>
      <c r="Y93" s="1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16"/>
      <c r="AK93" s="114"/>
      <c r="AL93" s="116"/>
    </row>
    <row r="94" spans="2:38" x14ac:dyDescent="0.2">
      <c r="B94" s="10" t="s">
        <v>262</v>
      </c>
      <c r="C94" s="108"/>
      <c r="D94" s="108"/>
      <c r="E94" s="108"/>
      <c r="F94" s="121"/>
      <c r="G94" s="121">
        <f t="shared" ref="G94" si="447">G20+G21</f>
        <v>0</v>
      </c>
      <c r="H94" s="121">
        <f t="shared" ref="H94:I94" si="448">H20+H21</f>
        <v>0</v>
      </c>
      <c r="I94" s="121">
        <f t="shared" si="448"/>
        <v>0</v>
      </c>
      <c r="J94" s="121">
        <f t="shared" ref="J94:Q94" si="449">J20+J21</f>
        <v>0</v>
      </c>
      <c r="K94" s="121">
        <f t="shared" si="449"/>
        <v>0</v>
      </c>
      <c r="L94" s="121">
        <f t="shared" si="449"/>
        <v>0</v>
      </c>
      <c r="M94" s="121">
        <f t="shared" si="449"/>
        <v>0</v>
      </c>
      <c r="N94" s="121">
        <f t="shared" si="449"/>
        <v>0</v>
      </c>
      <c r="O94" s="121">
        <f t="shared" si="449"/>
        <v>0</v>
      </c>
      <c r="P94" s="121">
        <f t="shared" si="449"/>
        <v>0</v>
      </c>
      <c r="Q94" s="121">
        <f t="shared" si="449"/>
        <v>0</v>
      </c>
      <c r="R94" s="121">
        <f t="shared" ref="R94:W94" si="450">R20+R21</f>
        <v>0</v>
      </c>
      <c r="S94" s="121">
        <f t="shared" si="450"/>
        <v>0</v>
      </c>
      <c r="T94" s="121">
        <f t="shared" si="450"/>
        <v>0</v>
      </c>
      <c r="U94" s="121">
        <f t="shared" si="450"/>
        <v>0</v>
      </c>
      <c r="V94" s="121">
        <f t="shared" si="450"/>
        <v>0</v>
      </c>
      <c r="W94" s="121">
        <f t="shared" si="450"/>
        <v>0</v>
      </c>
      <c r="X94" s="101" t="e">
        <f t="shared" si="347"/>
        <v>#DIV/0!</v>
      </c>
      <c r="Y94" s="109"/>
      <c r="Z94" s="121">
        <f t="shared" ref="Z94:AI94" si="451">Z20+Z21</f>
        <v>0</v>
      </c>
      <c r="AA94" s="121">
        <f t="shared" si="451"/>
        <v>0</v>
      </c>
      <c r="AB94" s="121">
        <f t="shared" si="451"/>
        <v>0</v>
      </c>
      <c r="AC94" s="121">
        <f t="shared" si="451"/>
        <v>0</v>
      </c>
      <c r="AD94" s="121">
        <f t="shared" si="451"/>
        <v>0</v>
      </c>
      <c r="AE94" s="121">
        <f t="shared" si="451"/>
        <v>0</v>
      </c>
      <c r="AF94" s="121">
        <f t="shared" si="451"/>
        <v>0</v>
      </c>
      <c r="AG94" s="121">
        <f t="shared" si="451"/>
        <v>0</v>
      </c>
      <c r="AH94" s="121">
        <f t="shared" si="451"/>
        <v>0</v>
      </c>
      <c r="AI94" s="121">
        <f t="shared" si="451"/>
        <v>0</v>
      </c>
      <c r="AJ94" s="115" t="e">
        <f t="shared" ref="AJ94:AJ99" si="452">((AI94/J94)^(1/($AI$3-$K$1) ))-1</f>
        <v>#DIV/0!</v>
      </c>
      <c r="AK94" s="21">
        <f t="shared" si="22"/>
        <v>0.01</v>
      </c>
      <c r="AL94" s="123" t="e">
        <f t="shared" si="373"/>
        <v>#DIV/0!</v>
      </c>
    </row>
    <row r="95" spans="2:38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01" t="e">
        <f t="shared" si="347"/>
        <v>#DIV/0!</v>
      </c>
      <c r="Y95" s="10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16"/>
      <c r="AK95" s="114"/>
      <c r="AL95" s="116"/>
    </row>
    <row r="96" spans="2:38" x14ac:dyDescent="0.2">
      <c r="B96" s="10" t="s">
        <v>263</v>
      </c>
      <c r="C96" s="108"/>
      <c r="D96" s="108"/>
      <c r="E96" s="108"/>
      <c r="F96" s="121"/>
      <c r="G96" s="121">
        <f t="shared" ref="G96" si="453">G94/G61</f>
        <v>0</v>
      </c>
      <c r="H96" s="121" t="e">
        <f t="shared" ref="H96:I96" si="454">H94/H61</f>
        <v>#DIV/0!</v>
      </c>
      <c r="I96" s="121" t="e">
        <f t="shared" si="454"/>
        <v>#DIV/0!</v>
      </c>
      <c r="J96" s="121">
        <f t="shared" ref="J96:Q96" si="455">J94/J61</f>
        <v>0</v>
      </c>
      <c r="K96" s="121">
        <f t="shared" si="455"/>
        <v>0</v>
      </c>
      <c r="L96" s="121">
        <f t="shared" si="455"/>
        <v>0</v>
      </c>
      <c r="M96" s="121">
        <f t="shared" si="455"/>
        <v>0</v>
      </c>
      <c r="N96" s="121">
        <f t="shared" si="455"/>
        <v>0</v>
      </c>
      <c r="O96" s="121">
        <f t="shared" si="455"/>
        <v>0</v>
      </c>
      <c r="P96" s="121">
        <f t="shared" si="455"/>
        <v>0</v>
      </c>
      <c r="Q96" s="121">
        <f t="shared" si="455"/>
        <v>0</v>
      </c>
      <c r="R96" s="121">
        <f t="shared" ref="R96:W96" si="456">R94/R61</f>
        <v>0</v>
      </c>
      <c r="S96" s="121">
        <f t="shared" si="456"/>
        <v>0</v>
      </c>
      <c r="T96" s="121">
        <f t="shared" si="456"/>
        <v>0</v>
      </c>
      <c r="U96" s="121">
        <f t="shared" si="456"/>
        <v>0</v>
      </c>
      <c r="V96" s="121">
        <f t="shared" si="456"/>
        <v>0</v>
      </c>
      <c r="W96" s="121">
        <f t="shared" si="456"/>
        <v>0</v>
      </c>
      <c r="X96" s="101" t="e">
        <f t="shared" si="347"/>
        <v>#DIV/0!</v>
      </c>
      <c r="Y96" s="109"/>
      <c r="Z96" s="123">
        <f t="shared" ref="Z96:AI96" si="457">Z94/Z61</f>
        <v>0</v>
      </c>
      <c r="AA96" s="123">
        <f t="shared" si="457"/>
        <v>0</v>
      </c>
      <c r="AB96" s="123">
        <f t="shared" si="457"/>
        <v>0</v>
      </c>
      <c r="AC96" s="123">
        <f t="shared" si="457"/>
        <v>0</v>
      </c>
      <c r="AD96" s="123">
        <f t="shared" si="457"/>
        <v>0</v>
      </c>
      <c r="AE96" s="123">
        <f t="shared" si="457"/>
        <v>0</v>
      </c>
      <c r="AF96" s="123">
        <f t="shared" si="457"/>
        <v>0</v>
      </c>
      <c r="AG96" s="123">
        <f t="shared" si="457"/>
        <v>0</v>
      </c>
      <c r="AH96" s="123">
        <f t="shared" si="457"/>
        <v>0</v>
      </c>
      <c r="AI96" s="123">
        <f t="shared" si="457"/>
        <v>0</v>
      </c>
      <c r="AJ96" s="115" t="e">
        <f t="shared" si="452"/>
        <v>#DIV/0!</v>
      </c>
      <c r="AK96" s="21">
        <f t="shared" si="22"/>
        <v>0.01</v>
      </c>
      <c r="AL96" s="123" t="e">
        <f t="shared" si="373"/>
        <v>#DIV/0!</v>
      </c>
    </row>
    <row r="97" spans="2:38" x14ac:dyDescent="0.2">
      <c r="B97" s="10" t="s">
        <v>236</v>
      </c>
      <c r="C97" s="108"/>
      <c r="D97" s="108"/>
      <c r="E97" s="108"/>
      <c r="F97" s="121"/>
      <c r="G97" s="121">
        <f t="shared" ref="G97" si="458">G20/G61</f>
        <v>0</v>
      </c>
      <c r="H97" s="121" t="e">
        <f t="shared" ref="H97:I97" si="459">H20/H61</f>
        <v>#DIV/0!</v>
      </c>
      <c r="I97" s="121" t="e">
        <f t="shared" si="459"/>
        <v>#DIV/0!</v>
      </c>
      <c r="J97" s="121">
        <f t="shared" ref="J97:Q97" si="460">J20/J61</f>
        <v>0</v>
      </c>
      <c r="K97" s="121">
        <f t="shared" si="460"/>
        <v>0</v>
      </c>
      <c r="L97" s="121">
        <f t="shared" si="460"/>
        <v>0</v>
      </c>
      <c r="M97" s="121">
        <f t="shared" si="460"/>
        <v>0</v>
      </c>
      <c r="N97" s="121">
        <f t="shared" si="460"/>
        <v>0</v>
      </c>
      <c r="O97" s="121">
        <f t="shared" si="460"/>
        <v>0</v>
      </c>
      <c r="P97" s="121">
        <f t="shared" si="460"/>
        <v>0</v>
      </c>
      <c r="Q97" s="121">
        <f t="shared" si="460"/>
        <v>0</v>
      </c>
      <c r="R97" s="121">
        <f t="shared" ref="R97:W97" si="461">R20/R61</f>
        <v>0</v>
      </c>
      <c r="S97" s="121">
        <f t="shared" si="461"/>
        <v>0</v>
      </c>
      <c r="T97" s="121">
        <f t="shared" si="461"/>
        <v>0</v>
      </c>
      <c r="U97" s="121">
        <f t="shared" si="461"/>
        <v>0</v>
      </c>
      <c r="V97" s="121">
        <f t="shared" si="461"/>
        <v>0</v>
      </c>
      <c r="W97" s="121">
        <f t="shared" si="461"/>
        <v>0</v>
      </c>
      <c r="X97" s="101" t="e">
        <f t="shared" si="347"/>
        <v>#DIV/0!</v>
      </c>
      <c r="Y97" s="109"/>
      <c r="Z97" s="123">
        <f t="shared" ref="Z97:AI97" si="462">Z20/Z61</f>
        <v>0</v>
      </c>
      <c r="AA97" s="123">
        <f t="shared" si="462"/>
        <v>0</v>
      </c>
      <c r="AB97" s="123">
        <f t="shared" si="462"/>
        <v>0</v>
      </c>
      <c r="AC97" s="123">
        <f t="shared" si="462"/>
        <v>0</v>
      </c>
      <c r="AD97" s="123">
        <f t="shared" si="462"/>
        <v>0</v>
      </c>
      <c r="AE97" s="123">
        <f t="shared" si="462"/>
        <v>0</v>
      </c>
      <c r="AF97" s="123">
        <f t="shared" si="462"/>
        <v>0</v>
      </c>
      <c r="AG97" s="123">
        <f t="shared" si="462"/>
        <v>0</v>
      </c>
      <c r="AH97" s="123">
        <f t="shared" si="462"/>
        <v>0</v>
      </c>
      <c r="AI97" s="123">
        <f t="shared" si="462"/>
        <v>0</v>
      </c>
      <c r="AJ97" s="115" t="e">
        <f t="shared" si="452"/>
        <v>#DIV/0!</v>
      </c>
      <c r="AK97" s="21">
        <f t="shared" si="22"/>
        <v>0.01</v>
      </c>
      <c r="AL97" s="123" t="e">
        <f t="shared" si="373"/>
        <v>#DIV/0!</v>
      </c>
    </row>
    <row r="98" spans="2:38" x14ac:dyDescent="0.2">
      <c r="B98" s="10" t="s">
        <v>237</v>
      </c>
      <c r="C98" s="108"/>
      <c r="D98" s="108"/>
      <c r="E98" s="108"/>
      <c r="F98" s="121"/>
      <c r="G98" s="121">
        <f t="shared" ref="G98" si="463">G21/G61</f>
        <v>0</v>
      </c>
      <c r="H98" s="121" t="e">
        <f t="shared" ref="H98:I98" si="464">H21/H61</f>
        <v>#DIV/0!</v>
      </c>
      <c r="I98" s="121" t="e">
        <f t="shared" si="464"/>
        <v>#DIV/0!</v>
      </c>
      <c r="J98" s="121">
        <f t="shared" ref="J98:Q98" si="465">J21/J61</f>
        <v>0</v>
      </c>
      <c r="K98" s="121">
        <f t="shared" si="465"/>
        <v>0</v>
      </c>
      <c r="L98" s="121">
        <f t="shared" si="465"/>
        <v>0</v>
      </c>
      <c r="M98" s="121">
        <f t="shared" si="465"/>
        <v>0</v>
      </c>
      <c r="N98" s="121">
        <f t="shared" si="465"/>
        <v>0</v>
      </c>
      <c r="O98" s="121">
        <f t="shared" si="465"/>
        <v>0</v>
      </c>
      <c r="P98" s="121">
        <f t="shared" si="465"/>
        <v>0</v>
      </c>
      <c r="Q98" s="121">
        <f t="shared" si="465"/>
        <v>0</v>
      </c>
      <c r="R98" s="121">
        <f t="shared" ref="R98:W98" si="466">R21/R61</f>
        <v>0</v>
      </c>
      <c r="S98" s="121">
        <f t="shared" si="466"/>
        <v>0</v>
      </c>
      <c r="T98" s="121">
        <f t="shared" si="466"/>
        <v>0</v>
      </c>
      <c r="U98" s="121">
        <f t="shared" si="466"/>
        <v>0</v>
      </c>
      <c r="V98" s="121">
        <f t="shared" si="466"/>
        <v>0</v>
      </c>
      <c r="W98" s="121">
        <f t="shared" si="466"/>
        <v>0</v>
      </c>
      <c r="X98" s="101" t="e">
        <f t="shared" si="347"/>
        <v>#DIV/0!</v>
      </c>
      <c r="Y98" s="109"/>
      <c r="Z98" s="123">
        <f t="shared" ref="Z98:AI98" si="467">Z21/Z61</f>
        <v>0</v>
      </c>
      <c r="AA98" s="123">
        <f t="shared" si="467"/>
        <v>0</v>
      </c>
      <c r="AB98" s="123">
        <f t="shared" si="467"/>
        <v>0</v>
      </c>
      <c r="AC98" s="123">
        <f t="shared" si="467"/>
        <v>0</v>
      </c>
      <c r="AD98" s="123">
        <f t="shared" si="467"/>
        <v>0</v>
      </c>
      <c r="AE98" s="123">
        <f t="shared" si="467"/>
        <v>0</v>
      </c>
      <c r="AF98" s="123">
        <f t="shared" si="467"/>
        <v>0</v>
      </c>
      <c r="AG98" s="123">
        <f t="shared" si="467"/>
        <v>0</v>
      </c>
      <c r="AH98" s="123">
        <f t="shared" si="467"/>
        <v>0</v>
      </c>
      <c r="AI98" s="123">
        <f t="shared" si="467"/>
        <v>0</v>
      </c>
      <c r="AJ98" s="115" t="e">
        <f t="shared" si="452"/>
        <v>#DIV/0!</v>
      </c>
      <c r="AK98" s="21">
        <f t="shared" si="22"/>
        <v>0.01</v>
      </c>
      <c r="AL98" s="123" t="e">
        <f t="shared" si="373"/>
        <v>#DIV/0!</v>
      </c>
    </row>
    <row r="99" spans="2:38" x14ac:dyDescent="0.2">
      <c r="B99" s="10" t="s">
        <v>238</v>
      </c>
      <c r="C99" s="108"/>
      <c r="D99" s="108"/>
      <c r="E99" s="108"/>
      <c r="F99" s="121"/>
      <c r="G99" s="121">
        <f t="shared" ref="G99" si="468">G22/G61</f>
        <v>0</v>
      </c>
      <c r="H99" s="121" t="e">
        <f t="shared" ref="H99:I99" si="469">H22/H61</f>
        <v>#DIV/0!</v>
      </c>
      <c r="I99" s="121" t="e">
        <f t="shared" si="469"/>
        <v>#DIV/0!</v>
      </c>
      <c r="J99" s="121">
        <f t="shared" ref="J99:Q99" si="470">J22/J61</f>
        <v>0</v>
      </c>
      <c r="K99" s="121">
        <f t="shared" si="470"/>
        <v>0</v>
      </c>
      <c r="L99" s="121">
        <f t="shared" si="470"/>
        <v>0</v>
      </c>
      <c r="M99" s="121">
        <f t="shared" si="470"/>
        <v>0</v>
      </c>
      <c r="N99" s="121">
        <f t="shared" si="470"/>
        <v>0</v>
      </c>
      <c r="O99" s="121">
        <f t="shared" si="470"/>
        <v>0</v>
      </c>
      <c r="P99" s="121">
        <f t="shared" si="470"/>
        <v>0</v>
      </c>
      <c r="Q99" s="121">
        <f t="shared" si="470"/>
        <v>0</v>
      </c>
      <c r="R99" s="121">
        <f t="shared" ref="R99:W99" si="471">R22/R61</f>
        <v>0</v>
      </c>
      <c r="S99" s="121">
        <f t="shared" si="471"/>
        <v>0</v>
      </c>
      <c r="T99" s="121">
        <f t="shared" si="471"/>
        <v>0</v>
      </c>
      <c r="U99" s="121">
        <f t="shared" si="471"/>
        <v>0</v>
      </c>
      <c r="V99" s="121">
        <f t="shared" si="471"/>
        <v>0</v>
      </c>
      <c r="W99" s="121">
        <f t="shared" si="471"/>
        <v>0</v>
      </c>
      <c r="X99" s="101" t="e">
        <f t="shared" si="347"/>
        <v>#DIV/0!</v>
      </c>
      <c r="Y99" s="109"/>
      <c r="Z99" s="123">
        <f t="shared" ref="Z99:AI99" si="472">Z22/Z61</f>
        <v>0</v>
      </c>
      <c r="AA99" s="123">
        <f t="shared" si="472"/>
        <v>0</v>
      </c>
      <c r="AB99" s="123">
        <f t="shared" si="472"/>
        <v>0</v>
      </c>
      <c r="AC99" s="123">
        <f t="shared" si="472"/>
        <v>0</v>
      </c>
      <c r="AD99" s="123">
        <f t="shared" si="472"/>
        <v>0</v>
      </c>
      <c r="AE99" s="123">
        <f t="shared" si="472"/>
        <v>0</v>
      </c>
      <c r="AF99" s="123">
        <f t="shared" si="472"/>
        <v>0</v>
      </c>
      <c r="AG99" s="123">
        <f t="shared" si="472"/>
        <v>0</v>
      </c>
      <c r="AH99" s="123">
        <f t="shared" si="472"/>
        <v>0</v>
      </c>
      <c r="AI99" s="123">
        <f t="shared" si="472"/>
        <v>0</v>
      </c>
      <c r="AJ99" s="115" t="e">
        <f t="shared" si="452"/>
        <v>#DIV/0!</v>
      </c>
      <c r="AK99" s="21">
        <f t="shared" si="22"/>
        <v>0.01</v>
      </c>
      <c r="AL99" s="123" t="e">
        <f t="shared" si="373"/>
        <v>#DIV/0!</v>
      </c>
    </row>
    <row r="100" spans="2:38" x14ac:dyDescent="0.2">
      <c r="B100" s="10" t="s">
        <v>245</v>
      </c>
      <c r="C100" s="108"/>
      <c r="D100" s="108"/>
      <c r="E100" s="108"/>
      <c r="F100" s="121"/>
      <c r="G100" s="121">
        <f t="shared" ref="G100" si="473">G23/G61</f>
        <v>0</v>
      </c>
      <c r="H100" s="121" t="e">
        <f t="shared" ref="H100:I100" si="474">H23/H61</f>
        <v>#DIV/0!</v>
      </c>
      <c r="I100" s="121" t="e">
        <f t="shared" si="474"/>
        <v>#DIV/0!</v>
      </c>
      <c r="J100" s="121">
        <f t="shared" ref="J100:Q100" si="475">J23/J61</f>
        <v>0</v>
      </c>
      <c r="K100" s="121">
        <f t="shared" si="475"/>
        <v>0</v>
      </c>
      <c r="L100" s="121">
        <f t="shared" si="475"/>
        <v>0</v>
      </c>
      <c r="M100" s="121">
        <f t="shared" si="475"/>
        <v>0</v>
      </c>
      <c r="N100" s="121">
        <f t="shared" si="475"/>
        <v>0</v>
      </c>
      <c r="O100" s="121">
        <f t="shared" si="475"/>
        <v>0</v>
      </c>
      <c r="P100" s="121">
        <f t="shared" si="475"/>
        <v>0</v>
      </c>
      <c r="Q100" s="121">
        <f t="shared" si="475"/>
        <v>0</v>
      </c>
      <c r="R100" s="121">
        <f t="shared" ref="R100:W100" si="476">R23/R61</f>
        <v>0</v>
      </c>
      <c r="S100" s="121">
        <f t="shared" si="476"/>
        <v>0</v>
      </c>
      <c r="T100" s="121">
        <f t="shared" si="476"/>
        <v>0</v>
      </c>
      <c r="U100" s="121">
        <f t="shared" si="476"/>
        <v>0</v>
      </c>
      <c r="V100" s="121">
        <f t="shared" si="476"/>
        <v>0</v>
      </c>
      <c r="W100" s="121">
        <f t="shared" si="476"/>
        <v>0</v>
      </c>
      <c r="X100" s="101" t="e">
        <f t="shared" si="347"/>
        <v>#DIV/0!</v>
      </c>
      <c r="Y100" s="109"/>
      <c r="Z100" s="123">
        <f t="shared" ref="Z100:AI100" si="477">Z23/Z61</f>
        <v>0</v>
      </c>
      <c r="AA100" s="123">
        <f t="shared" si="477"/>
        <v>0</v>
      </c>
      <c r="AB100" s="123">
        <f t="shared" si="477"/>
        <v>0</v>
      </c>
      <c r="AC100" s="123">
        <f t="shared" si="477"/>
        <v>0</v>
      </c>
      <c r="AD100" s="123">
        <f t="shared" si="477"/>
        <v>0</v>
      </c>
      <c r="AE100" s="123">
        <f t="shared" si="477"/>
        <v>0</v>
      </c>
      <c r="AF100" s="123">
        <f t="shared" si="477"/>
        <v>0</v>
      </c>
      <c r="AG100" s="123">
        <f t="shared" si="477"/>
        <v>0</v>
      </c>
      <c r="AH100" s="123">
        <f t="shared" si="477"/>
        <v>0</v>
      </c>
      <c r="AI100" s="123">
        <f t="shared" si="477"/>
        <v>0</v>
      </c>
      <c r="AJ100" s="115" t="e">
        <f t="shared" ref="AJ100" si="478">((AI100/J100)^(1/($AI$3-$K$1) ))-1</f>
        <v>#DIV/0!</v>
      </c>
      <c r="AK100" s="21">
        <f t="shared" si="22"/>
        <v>0.01</v>
      </c>
      <c r="AL100" s="123" t="e">
        <f t="shared" si="373"/>
        <v>#DIV/0!</v>
      </c>
    </row>
    <row r="101" spans="2:38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01" t="e">
        <f t="shared" si="347"/>
        <v>#DIV/0!</v>
      </c>
      <c r="Y101" s="10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16"/>
      <c r="AK101" s="114"/>
      <c r="AL101" s="116"/>
    </row>
    <row r="102" spans="2:38" x14ac:dyDescent="0.2">
      <c r="B102" s="10" t="s">
        <v>429</v>
      </c>
      <c r="C102" s="121"/>
      <c r="D102" s="121"/>
      <c r="E102" s="121"/>
      <c r="F102" s="121"/>
      <c r="G102" s="121">
        <f t="shared" ref="G102" si="479">G53/G61</f>
        <v>8.8977423638778212</v>
      </c>
      <c r="H102" s="121" t="e">
        <f t="shared" ref="H102:I102" si="480">H53/H61</f>
        <v>#DIV/0!</v>
      </c>
      <c r="I102" s="121" t="e">
        <f t="shared" si="480"/>
        <v>#DIV/0!</v>
      </c>
      <c r="J102" s="121">
        <f t="shared" ref="J102:Q102" si="481">J53/J61</f>
        <v>16.370106761565836</v>
      </c>
      <c r="K102" s="121">
        <f t="shared" si="481"/>
        <v>23.240371845949536</v>
      </c>
      <c r="L102" s="121">
        <f t="shared" si="481"/>
        <v>8.8977423638778212</v>
      </c>
      <c r="M102" s="121">
        <f t="shared" si="481"/>
        <v>3.4482758620689653</v>
      </c>
      <c r="N102" s="121">
        <f t="shared" si="481"/>
        <v>11.803713527851459</v>
      </c>
      <c r="O102" s="121">
        <f t="shared" si="481"/>
        <v>9.5490716180371358</v>
      </c>
      <c r="P102" s="121">
        <f t="shared" si="481"/>
        <v>25.46419098143236</v>
      </c>
      <c r="Q102" s="121">
        <f t="shared" si="481"/>
        <v>29.177718832891248</v>
      </c>
      <c r="R102" s="121">
        <f t="shared" ref="R102:W102" si="482">R53/R61</f>
        <v>26.948480845442536</v>
      </c>
      <c r="S102" s="121">
        <f t="shared" si="482"/>
        <v>26.155878467635404</v>
      </c>
      <c r="T102" s="121">
        <f t="shared" si="482"/>
        <v>31.439894319682956</v>
      </c>
      <c r="U102" s="121">
        <f t="shared" si="482"/>
        <v>39.894319682959051</v>
      </c>
      <c r="V102" s="121">
        <f t="shared" si="482"/>
        <v>32.585751978891821</v>
      </c>
      <c r="W102" s="121">
        <f t="shared" si="482"/>
        <v>32.585751978891821</v>
      </c>
      <c r="X102" s="101">
        <f t="shared" si="347"/>
        <v>0.10500749743243398</v>
      </c>
      <c r="Y102" s="109"/>
      <c r="Z102" s="121">
        <f t="shared" ref="Z102:AI102" si="483">Z53/Z61</f>
        <v>38.336178798696253</v>
      </c>
      <c r="AA102" s="121">
        <f t="shared" si="483"/>
        <v>45.10138682199559</v>
      </c>
      <c r="AB102" s="121">
        <f t="shared" si="483"/>
        <v>53.060455084700685</v>
      </c>
      <c r="AC102" s="121">
        <f t="shared" si="483"/>
        <v>62.424064805530222</v>
      </c>
      <c r="AD102" s="121">
        <f t="shared" si="483"/>
        <v>73.440076241800256</v>
      </c>
      <c r="AE102" s="121">
        <f t="shared" si="483"/>
        <v>86.400089696235582</v>
      </c>
      <c r="AF102" s="121">
        <f t="shared" si="483"/>
        <v>101.64716434851245</v>
      </c>
      <c r="AG102" s="121">
        <f t="shared" si="483"/>
        <v>119.58489923354405</v>
      </c>
      <c r="AH102" s="121">
        <f t="shared" si="483"/>
        <v>140.68811674534595</v>
      </c>
      <c r="AI102" s="121">
        <f t="shared" si="483"/>
        <v>165.51543146511287</v>
      </c>
      <c r="AJ102" s="115">
        <f t="shared" ref="AJ102:AJ104" si="484">((AI102/J102)^(1/($AI$3-$K$1) ))-1</f>
        <v>0.10582496518843798</v>
      </c>
      <c r="AK102" s="21">
        <f t="shared" si="22"/>
        <v>0.01</v>
      </c>
      <c r="AL102" s="123" t="e">
        <f t="shared" si="373"/>
        <v>#DIV/0!</v>
      </c>
    </row>
    <row r="103" spans="2:38" x14ac:dyDescent="0.2">
      <c r="B103" s="10" t="s">
        <v>430</v>
      </c>
      <c r="C103" s="121"/>
      <c r="D103" s="121"/>
      <c r="E103" s="121"/>
      <c r="F103" s="121"/>
      <c r="G103" s="121">
        <f t="shared" ref="G103" si="485">G59/G61</f>
        <v>9.2961487383798129</v>
      </c>
      <c r="H103" s="121" t="e">
        <f t="shared" ref="H103:I103" si="486">H59/H61</f>
        <v>#DIV/0!</v>
      </c>
      <c r="I103" s="121" t="e">
        <f t="shared" si="486"/>
        <v>#DIV/0!</v>
      </c>
      <c r="J103" s="121">
        <f t="shared" ref="J103:Q103" si="487">J59/J61</f>
        <v>14.768683274021353</v>
      </c>
      <c r="K103" s="121">
        <f t="shared" si="487"/>
        <v>18.193891102257634</v>
      </c>
      <c r="L103" s="121">
        <f t="shared" si="487"/>
        <v>9.2961487383798129</v>
      </c>
      <c r="M103" s="121">
        <f t="shared" si="487"/>
        <v>3.9787798408488064</v>
      </c>
      <c r="N103" s="121">
        <f t="shared" si="487"/>
        <v>6.8965517241379306</v>
      </c>
      <c r="O103" s="121">
        <f t="shared" si="487"/>
        <v>4.6419098143236077</v>
      </c>
      <c r="P103" s="121">
        <f t="shared" si="487"/>
        <v>16.312997347480106</v>
      </c>
      <c r="Q103" s="121">
        <f t="shared" si="487"/>
        <v>15.517241379310345</v>
      </c>
      <c r="R103" s="121">
        <f t="shared" ref="R103:W103" si="488">R59/R61</f>
        <v>13.474240422721268</v>
      </c>
      <c r="S103" s="121">
        <f t="shared" si="488"/>
        <v>8.1902245706737116</v>
      </c>
      <c r="T103" s="121">
        <f t="shared" si="488"/>
        <v>11.492734478203435</v>
      </c>
      <c r="U103" s="121">
        <f t="shared" si="488"/>
        <v>15.984147952443857</v>
      </c>
      <c r="V103" s="121">
        <f t="shared" si="488"/>
        <v>9.8944591029023741</v>
      </c>
      <c r="W103" s="121">
        <f t="shared" si="488"/>
        <v>9.8944591029023741</v>
      </c>
      <c r="X103" s="101">
        <f t="shared" si="347"/>
        <v>4.8095839928252726E-3</v>
      </c>
      <c r="Y103" s="109"/>
      <c r="Z103" s="121">
        <f t="shared" ref="Z103:AI103" si="489">Z59/Z61</f>
        <v>11.640540121061617</v>
      </c>
      <c r="AA103" s="121">
        <f t="shared" si="489"/>
        <v>13.694753083601901</v>
      </c>
      <c r="AB103" s="121">
        <f t="shared" si="489"/>
        <v>16.111474216002236</v>
      </c>
      <c r="AC103" s="121">
        <f t="shared" si="489"/>
        <v>18.954675548237923</v>
      </c>
      <c r="AD103" s="121">
        <f t="shared" si="489"/>
        <v>22.299618292044613</v>
      </c>
      <c r="AE103" s="121">
        <f t="shared" si="489"/>
        <v>26.234845049464244</v>
      </c>
      <c r="AF103" s="121">
        <f t="shared" si="489"/>
        <v>30.864523587604996</v>
      </c>
      <c r="AG103" s="121">
        <f t="shared" si="489"/>
        <v>36.311204220711758</v>
      </c>
      <c r="AH103" s="121">
        <f t="shared" si="489"/>
        <v>42.719063789072656</v>
      </c>
      <c r="AI103" s="121">
        <f t="shared" si="489"/>
        <v>50.257722104791355</v>
      </c>
      <c r="AJ103" s="115">
        <f t="shared" si="484"/>
        <v>5.4688941301892724E-2</v>
      </c>
      <c r="AK103" s="21">
        <f t="shared" si="22"/>
        <v>0.01</v>
      </c>
      <c r="AL103" s="123" t="e">
        <f t="shared" si="373"/>
        <v>#DIV/0!</v>
      </c>
    </row>
    <row r="104" spans="2:38" x14ac:dyDescent="0.2">
      <c r="B104" s="10" t="s">
        <v>259</v>
      </c>
      <c r="C104" s="121"/>
      <c r="D104" s="121"/>
      <c r="E104" s="121"/>
      <c r="F104" s="121"/>
      <c r="G104" s="121">
        <f t="shared" ref="G104" si="490">G6/G61</f>
        <v>77.158034528552449</v>
      </c>
      <c r="H104" s="121" t="e">
        <f t="shared" ref="H104:I104" si="491">H6/H61</f>
        <v>#DIV/0!</v>
      </c>
      <c r="I104" s="121" t="e">
        <f t="shared" si="491"/>
        <v>#DIV/0!</v>
      </c>
      <c r="J104" s="121">
        <f t="shared" ref="J104:Q104" si="492">J6/J61</f>
        <v>22.064056939501778</v>
      </c>
      <c r="K104" s="121">
        <f t="shared" si="492"/>
        <v>71.447543160690572</v>
      </c>
      <c r="L104" s="121">
        <f t="shared" si="492"/>
        <v>77.158034528552449</v>
      </c>
      <c r="M104" s="121">
        <f t="shared" si="492"/>
        <v>79.442970822281168</v>
      </c>
      <c r="N104" s="121">
        <f t="shared" si="492"/>
        <v>82.625994694960212</v>
      </c>
      <c r="O104" s="121">
        <f t="shared" si="492"/>
        <v>83.819628647214856</v>
      </c>
      <c r="P104" s="121">
        <f t="shared" si="492"/>
        <v>85.013262599469499</v>
      </c>
      <c r="Q104" s="121">
        <f t="shared" si="492"/>
        <v>96.684350132625994</v>
      </c>
      <c r="R104" s="121">
        <f t="shared" ref="R104:W104" si="493">R6/R61</f>
        <v>101.05680317040951</v>
      </c>
      <c r="S104" s="121">
        <f t="shared" si="493"/>
        <v>93.262879788639367</v>
      </c>
      <c r="T104" s="121">
        <f t="shared" si="493"/>
        <v>105.68031704095112</v>
      </c>
      <c r="U104" s="121">
        <f t="shared" si="493"/>
        <v>119.81505944517833</v>
      </c>
      <c r="V104" s="121">
        <f t="shared" si="493"/>
        <v>100.79155672823219</v>
      </c>
      <c r="W104" s="121">
        <f t="shared" si="493"/>
        <v>100.79155672823219</v>
      </c>
      <c r="X104" s="101">
        <f t="shared" si="347"/>
        <v>2.0766442738076263E-2</v>
      </c>
      <c r="Y104" s="109"/>
      <c r="Z104" s="121">
        <f t="shared" ref="Z104:AI104" si="494">Z6/Z61</f>
        <v>118.57830203321433</v>
      </c>
      <c r="AA104" s="121">
        <f t="shared" si="494"/>
        <v>139.50388474495801</v>
      </c>
      <c r="AB104" s="121">
        <f t="shared" si="494"/>
        <v>164.12221734700941</v>
      </c>
      <c r="AC104" s="121">
        <f t="shared" si="494"/>
        <v>193.08496158471695</v>
      </c>
      <c r="AD104" s="121">
        <f t="shared" si="494"/>
        <v>227.15877833496108</v>
      </c>
      <c r="AE104" s="121">
        <f t="shared" si="494"/>
        <v>267.24562157054237</v>
      </c>
      <c r="AF104" s="121">
        <f t="shared" si="494"/>
        <v>314.40661361240279</v>
      </c>
      <c r="AG104" s="121">
        <f t="shared" si="494"/>
        <v>369.89013366165034</v>
      </c>
      <c r="AH104" s="121">
        <f t="shared" si="494"/>
        <v>435.16486313135334</v>
      </c>
      <c r="AI104" s="121">
        <f t="shared" si="494"/>
        <v>511.95866250747451</v>
      </c>
      <c r="AJ104" s="115">
        <f t="shared" si="484"/>
        <v>0.14649382120546695</v>
      </c>
      <c r="AK104" s="21">
        <f t="shared" ref="AK104:AK106" si="495">$O$1</f>
        <v>0.01</v>
      </c>
      <c r="AL104" s="123" t="e">
        <f t="shared" si="373"/>
        <v>#DIV/0!</v>
      </c>
    </row>
    <row r="105" spans="2:38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01" t="e">
        <f t="shared" si="347"/>
        <v>#DIV/0!</v>
      </c>
      <c r="Y105" s="10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16"/>
      <c r="AK105" s="10"/>
      <c r="AL105" s="116"/>
    </row>
    <row r="106" spans="2:38" x14ac:dyDescent="0.2">
      <c r="B106" s="10" t="s">
        <v>406</v>
      </c>
      <c r="C106" s="108"/>
      <c r="D106" s="108"/>
      <c r="E106" s="108"/>
      <c r="F106" s="121"/>
      <c r="G106" s="121">
        <f t="shared" ref="G106:Q106" si="496">G59/$W$61</f>
        <v>9.2348284960422156</v>
      </c>
      <c r="H106" s="121">
        <f t="shared" si="496"/>
        <v>0</v>
      </c>
      <c r="I106" s="121">
        <f t="shared" si="496"/>
        <v>0</v>
      </c>
      <c r="J106" s="121">
        <f t="shared" si="496"/>
        <v>10.949868073878628</v>
      </c>
      <c r="K106" s="121">
        <f t="shared" si="496"/>
        <v>18.073878627968337</v>
      </c>
      <c r="L106" s="121">
        <f t="shared" si="496"/>
        <v>9.2348284960422156</v>
      </c>
      <c r="M106" s="121">
        <f t="shared" si="496"/>
        <v>3.9577836411609497</v>
      </c>
      <c r="N106" s="121">
        <f t="shared" si="496"/>
        <v>6.8601583113456464</v>
      </c>
      <c r="O106" s="121">
        <f t="shared" si="496"/>
        <v>4.6174142480211078</v>
      </c>
      <c r="P106" s="121">
        <f t="shared" si="496"/>
        <v>16.226912928759894</v>
      </c>
      <c r="Q106" s="121">
        <f t="shared" si="496"/>
        <v>15.435356200527705</v>
      </c>
      <c r="R106" s="121">
        <f t="shared" ref="R106:W106" si="497">R59/$W$61</f>
        <v>13.45646437994723</v>
      </c>
      <c r="S106" s="121">
        <f t="shared" si="497"/>
        <v>8.1794195250659634</v>
      </c>
      <c r="T106" s="121">
        <f t="shared" si="497"/>
        <v>11.477572559366754</v>
      </c>
      <c r="U106" s="121">
        <f t="shared" si="497"/>
        <v>15.963060686015831</v>
      </c>
      <c r="V106" s="121">
        <f t="shared" si="497"/>
        <v>9.8944591029023741</v>
      </c>
      <c r="W106" s="121">
        <f t="shared" si="497"/>
        <v>9.8944591029023741</v>
      </c>
      <c r="X106" s="101">
        <f t="shared" si="347"/>
        <v>5.3212517954388527E-3</v>
      </c>
      <c r="Y106" s="109"/>
      <c r="Z106" s="121">
        <f t="shared" ref="Z106:AI106" si="498">Z59/Z61</f>
        <v>11.640540121061617</v>
      </c>
      <c r="AA106" s="121">
        <f t="shared" si="498"/>
        <v>13.694753083601901</v>
      </c>
      <c r="AB106" s="121">
        <f t="shared" si="498"/>
        <v>16.111474216002236</v>
      </c>
      <c r="AC106" s="121">
        <f t="shared" si="498"/>
        <v>18.954675548237923</v>
      </c>
      <c r="AD106" s="121">
        <f t="shared" si="498"/>
        <v>22.299618292044613</v>
      </c>
      <c r="AE106" s="121">
        <f t="shared" si="498"/>
        <v>26.234845049464244</v>
      </c>
      <c r="AF106" s="121">
        <f t="shared" si="498"/>
        <v>30.864523587604996</v>
      </c>
      <c r="AG106" s="121">
        <f t="shared" si="498"/>
        <v>36.311204220711758</v>
      </c>
      <c r="AH106" s="121">
        <f t="shared" si="498"/>
        <v>42.719063789072656</v>
      </c>
      <c r="AI106" s="121">
        <f t="shared" si="498"/>
        <v>50.257722104791355</v>
      </c>
      <c r="AJ106" s="115">
        <f t="shared" ref="AJ106" si="499">((AI106/J106)^(1/($AI$3-$K$1) ))-1</f>
        <v>6.8497839673807404E-2</v>
      </c>
      <c r="AK106" s="21">
        <f t="shared" si="495"/>
        <v>0.01</v>
      </c>
      <c r="AL106" s="123" t="e">
        <f t="shared" si="373"/>
        <v>#DIV/0!</v>
      </c>
    </row>
    <row r="107" spans="2:38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01" t="e">
        <f t="shared" si="347"/>
        <v>#DIV/0!</v>
      </c>
      <c r="Y107" s="10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16"/>
      <c r="AK107" s="10"/>
      <c r="AL107" s="116"/>
    </row>
    <row r="108" spans="2:38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1" t="e">
        <f t="shared" si="347"/>
        <v>#DIV/0!</v>
      </c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16"/>
    </row>
    <row r="109" spans="2:38" x14ac:dyDescent="0.2">
      <c r="B109" s="10" t="s">
        <v>257</v>
      </c>
      <c r="C109" s="128"/>
      <c r="D109" s="128"/>
      <c r="E109" s="128"/>
      <c r="F109" s="128"/>
      <c r="G109" s="128">
        <f t="shared" ref="G109" si="500">G53/G25</f>
        <v>0.28510638297872343</v>
      </c>
      <c r="H109" s="128" t="e">
        <f t="shared" ref="H109:I109" si="501">H53/H25</f>
        <v>#DIV/0!</v>
      </c>
      <c r="I109" s="128" t="e">
        <f t="shared" si="501"/>
        <v>#DIV/0!</v>
      </c>
      <c r="J109" s="128">
        <f t="shared" ref="J109:Q109" si="502">J53/J25</f>
        <v>0.36507936507936506</v>
      </c>
      <c r="K109" s="128">
        <f t="shared" si="502"/>
        <v>0.3968253968253968</v>
      </c>
      <c r="L109" s="128">
        <f t="shared" si="502"/>
        <v>0.28510638297872343</v>
      </c>
      <c r="M109" s="128">
        <f t="shared" si="502"/>
        <v>0.24074074074074073</v>
      </c>
      <c r="N109" s="128">
        <f t="shared" si="502"/>
        <v>0.42583732057416268</v>
      </c>
      <c r="O109" s="128">
        <f t="shared" si="502"/>
        <v>0.27799227799227799</v>
      </c>
      <c r="P109" s="128">
        <f t="shared" si="502"/>
        <v>0.2513089005235602</v>
      </c>
      <c r="Q109" s="128">
        <f t="shared" si="502"/>
        <v>0.28241335044929394</v>
      </c>
      <c r="R109" s="128">
        <f t="shared" ref="R109:W109" si="503">R53/R25</f>
        <v>0.28813559322033899</v>
      </c>
      <c r="S109" s="128">
        <f t="shared" si="503"/>
        <v>0.25714285714285712</v>
      </c>
      <c r="T109" s="128">
        <f t="shared" si="503"/>
        <v>0.24435318275154005</v>
      </c>
      <c r="U109" s="128">
        <f t="shared" si="503"/>
        <v>0.21312632321806635</v>
      </c>
      <c r="V109" s="128">
        <f t="shared" si="503"/>
        <v>0.2806818181818182</v>
      </c>
      <c r="W109" s="128">
        <f t="shared" si="503"/>
        <v>0.2806818181818182</v>
      </c>
      <c r="X109" s="101">
        <f t="shared" si="347"/>
        <v>-1.2024054606434298E-3</v>
      </c>
      <c r="Y109" s="128"/>
      <c r="Z109" s="128">
        <f t="shared" ref="Z109:AI109" si="504">Z53/Z25</f>
        <v>0.28068181818181814</v>
      </c>
      <c r="AA109" s="128">
        <f t="shared" si="504"/>
        <v>0.28068181818181814</v>
      </c>
      <c r="AB109" s="128">
        <f t="shared" si="504"/>
        <v>0.28068181818181809</v>
      </c>
      <c r="AC109" s="128">
        <f t="shared" si="504"/>
        <v>0.28068181818181814</v>
      </c>
      <c r="AD109" s="128">
        <f t="shared" si="504"/>
        <v>0.28068181818181814</v>
      </c>
      <c r="AE109" s="128">
        <f t="shared" si="504"/>
        <v>0.28068181818181814</v>
      </c>
      <c r="AF109" s="128">
        <f t="shared" si="504"/>
        <v>0.28068181818181814</v>
      </c>
      <c r="AG109" s="128">
        <f t="shared" si="504"/>
        <v>0.28068181818181814</v>
      </c>
      <c r="AH109" s="128">
        <f t="shared" si="504"/>
        <v>0.28068181818181814</v>
      </c>
      <c r="AI109" s="128">
        <f t="shared" si="504"/>
        <v>0.28068181818181814</v>
      </c>
      <c r="AJ109" s="115">
        <f t="shared" ref="AJ109:AJ158" si="505">((AI109/J109)^(1/($AI$3-$K$1) ))-1</f>
        <v>-1.1365057266842338E-2</v>
      </c>
      <c r="AK109" s="21">
        <f t="shared" ref="AK109:AK171" si="506">$O$1</f>
        <v>0.01</v>
      </c>
      <c r="AL109" s="123" t="e">
        <f t="shared" si="373"/>
        <v>#DIV/0!</v>
      </c>
    </row>
    <row r="110" spans="2:38" x14ac:dyDescent="0.2">
      <c r="B110" s="10" t="s">
        <v>219</v>
      </c>
      <c r="C110" s="128"/>
      <c r="D110" s="128"/>
      <c r="E110" s="128"/>
      <c r="F110" s="128"/>
      <c r="G110" s="128">
        <f t="shared" ref="G110" si="507">G59/G25</f>
        <v>0.2978723404255319</v>
      </c>
      <c r="H110" s="128" t="e">
        <f t="shared" ref="H110:I110" si="508">H59/H25</f>
        <v>#DIV/0!</v>
      </c>
      <c r="I110" s="128" t="e">
        <f t="shared" si="508"/>
        <v>#DIV/0!</v>
      </c>
      <c r="J110" s="128">
        <f t="shared" ref="J110:Q110" si="509">J59/J25</f>
        <v>0.32936507936507936</v>
      </c>
      <c r="K110" s="128">
        <f t="shared" si="509"/>
        <v>0.31065759637188206</v>
      </c>
      <c r="L110" s="128">
        <f t="shared" si="509"/>
        <v>0.2978723404255319</v>
      </c>
      <c r="M110" s="128">
        <f t="shared" si="509"/>
        <v>0.27777777777777779</v>
      </c>
      <c r="N110" s="128">
        <f t="shared" si="509"/>
        <v>0.24880382775119617</v>
      </c>
      <c r="O110" s="128">
        <f t="shared" si="509"/>
        <v>0.13513513513513514</v>
      </c>
      <c r="P110" s="128">
        <f t="shared" si="509"/>
        <v>0.16099476439790575</v>
      </c>
      <c r="Q110" s="128">
        <f t="shared" si="509"/>
        <v>0.15019255455712452</v>
      </c>
      <c r="R110" s="128">
        <f t="shared" ref="R110:W110" si="510">R59/R25</f>
        <v>0.1440677966101695</v>
      </c>
      <c r="S110" s="128">
        <f t="shared" si="510"/>
        <v>8.0519480519480519E-2</v>
      </c>
      <c r="T110" s="128">
        <f t="shared" si="510"/>
        <v>8.932238193018481E-2</v>
      </c>
      <c r="U110" s="128">
        <f t="shared" si="510"/>
        <v>8.5391672547635855E-2</v>
      </c>
      <c r="V110" s="128">
        <f t="shared" si="510"/>
        <v>8.5227272727272721E-2</v>
      </c>
      <c r="W110" s="128">
        <f t="shared" si="510"/>
        <v>8.5227272727272721E-2</v>
      </c>
      <c r="X110" s="101">
        <f t="shared" si="347"/>
        <v>-9.1769605370038754E-2</v>
      </c>
      <c r="Y110" s="128"/>
      <c r="Z110" s="128">
        <f t="shared" ref="Z110:AI110" si="511">Z59/Z25</f>
        <v>8.5227272727272721E-2</v>
      </c>
      <c r="AA110" s="128">
        <f t="shared" si="511"/>
        <v>8.5227272727272721E-2</v>
      </c>
      <c r="AB110" s="128">
        <f t="shared" si="511"/>
        <v>8.5227272727272721E-2</v>
      </c>
      <c r="AC110" s="128">
        <f t="shared" si="511"/>
        <v>8.5227272727272721E-2</v>
      </c>
      <c r="AD110" s="128">
        <f t="shared" si="511"/>
        <v>8.5227272727272721E-2</v>
      </c>
      <c r="AE110" s="128">
        <f t="shared" si="511"/>
        <v>8.5227272727272707E-2</v>
      </c>
      <c r="AF110" s="128">
        <f t="shared" si="511"/>
        <v>8.5227272727272721E-2</v>
      </c>
      <c r="AG110" s="128">
        <f t="shared" si="511"/>
        <v>8.5227272727272721E-2</v>
      </c>
      <c r="AH110" s="128">
        <f t="shared" si="511"/>
        <v>8.5227272727272721E-2</v>
      </c>
      <c r="AI110" s="128">
        <f t="shared" si="511"/>
        <v>8.5227272727272721E-2</v>
      </c>
      <c r="AJ110" s="115">
        <f t="shared" si="505"/>
        <v>-5.7081930766855082E-2</v>
      </c>
      <c r="AK110" s="21">
        <f t="shared" si="506"/>
        <v>0.01</v>
      </c>
      <c r="AL110" s="123" t="e">
        <f t="shared" si="373"/>
        <v>#DIV/0!</v>
      </c>
    </row>
    <row r="111" spans="2:38" x14ac:dyDescent="0.2">
      <c r="B111" s="10" t="s">
        <v>301</v>
      </c>
      <c r="C111" s="128"/>
      <c r="D111" s="128"/>
      <c r="E111" s="128"/>
      <c r="F111" s="128"/>
      <c r="G111" s="128">
        <f t="shared" ref="G111" si="512">G59/G7</f>
        <v>0.106544901065449</v>
      </c>
      <c r="H111" s="128" t="e">
        <f t="shared" ref="H111:I111" si="513">H59/H7</f>
        <v>#DIV/0!</v>
      </c>
      <c r="I111" s="128" t="e">
        <f t="shared" si="513"/>
        <v>#DIV/0!</v>
      </c>
      <c r="J111" s="128">
        <f>J59/J7</f>
        <v>0.46111111111111114</v>
      </c>
      <c r="K111" s="128">
        <f t="shared" ref="K111:Q111" si="514">K59/K7</f>
        <v>0.22349102773246329</v>
      </c>
      <c r="L111" s="128">
        <f t="shared" si="514"/>
        <v>0.106544901065449</v>
      </c>
      <c r="M111" s="128">
        <f t="shared" si="514"/>
        <v>4.4510385756676561E-2</v>
      </c>
      <c r="N111" s="128">
        <f t="shared" si="514"/>
        <v>7.4391988555078684E-2</v>
      </c>
      <c r="O111" s="128">
        <f t="shared" si="514"/>
        <v>4.8543689320388349E-2</v>
      </c>
      <c r="P111" s="128">
        <f t="shared" si="514"/>
        <v>0.17154811715481172</v>
      </c>
      <c r="Q111" s="128">
        <f t="shared" si="514"/>
        <v>0.14534161490683231</v>
      </c>
      <c r="R111" s="128">
        <f t="shared" ref="R111:W111" si="515">R59/R7</f>
        <v>0.12128418549346016</v>
      </c>
      <c r="S111" s="128">
        <f t="shared" si="515"/>
        <v>7.9283887468030695E-2</v>
      </c>
      <c r="T111" s="128">
        <f t="shared" si="515"/>
        <v>9.9315068493150679E-2</v>
      </c>
      <c r="U111" s="128">
        <f t="shared" si="515"/>
        <v>0.12309257375381485</v>
      </c>
      <c r="V111" s="128">
        <f t="shared" si="515"/>
        <v>8.9285714285714288E-2</v>
      </c>
      <c r="W111" s="128">
        <f t="shared" si="515"/>
        <v>8.9285714285714288E-2</v>
      </c>
      <c r="X111" s="101">
        <f t="shared" si="347"/>
        <v>-1.3502246645919036E-2</v>
      </c>
      <c r="Y111" s="10"/>
      <c r="Z111" s="128">
        <f t="shared" ref="Z111" si="516">Z59/Z7</f>
        <v>8.9285714285714288E-2</v>
      </c>
      <c r="AA111" s="128">
        <f t="shared" ref="AA111:AI111" si="517">AA59/AA7</f>
        <v>8.9285714285714288E-2</v>
      </c>
      <c r="AB111" s="128">
        <f t="shared" si="517"/>
        <v>8.9285714285714302E-2</v>
      </c>
      <c r="AC111" s="128">
        <f t="shared" si="517"/>
        <v>8.9285714285714302E-2</v>
      </c>
      <c r="AD111" s="128">
        <f t="shared" si="517"/>
        <v>8.9285714285714288E-2</v>
      </c>
      <c r="AE111" s="128">
        <f t="shared" si="517"/>
        <v>8.9285714285714302E-2</v>
      </c>
      <c r="AF111" s="128">
        <f t="shared" si="517"/>
        <v>8.9285714285714302E-2</v>
      </c>
      <c r="AG111" s="128">
        <f t="shared" si="517"/>
        <v>8.9285714285714302E-2</v>
      </c>
      <c r="AH111" s="128">
        <f t="shared" si="517"/>
        <v>8.9285714285714315E-2</v>
      </c>
      <c r="AI111" s="128">
        <f t="shared" si="517"/>
        <v>8.9285714285714302E-2</v>
      </c>
      <c r="AJ111" s="115">
        <f t="shared" si="505"/>
        <v>-6.8894325340782991E-2</v>
      </c>
      <c r="AK111" s="21">
        <f t="shared" si="506"/>
        <v>0.01</v>
      </c>
      <c r="AL111" s="123" t="e">
        <f t="shared" si="373"/>
        <v>#DIV/0!</v>
      </c>
    </row>
    <row r="112" spans="2:38" x14ac:dyDescent="0.2">
      <c r="B112" s="10" t="s">
        <v>302</v>
      </c>
      <c r="C112" s="128"/>
      <c r="D112" s="128"/>
      <c r="E112" s="128"/>
      <c r="F112" s="128"/>
      <c r="G112" s="128">
        <f t="shared" ref="G112" si="518">(G59)/(G7+G10)</f>
        <v>8.5784313725490197E-2</v>
      </c>
      <c r="H112" s="128" t="e">
        <f t="shared" ref="H112:I112" si="519">(H59)/(H7+H10)</f>
        <v>#DIV/0!</v>
      </c>
      <c r="I112" s="128" t="e">
        <f t="shared" si="519"/>
        <v>#DIV/0!</v>
      </c>
      <c r="J112" s="128">
        <f>(J59)/(J7+J10)</f>
        <v>0.25151515151515152</v>
      </c>
      <c r="K112" s="128">
        <f t="shared" ref="K112:Q112" si="520">(K59)/(K7+K10)</f>
        <v>0.17792207792207793</v>
      </c>
      <c r="L112" s="128">
        <f t="shared" si="520"/>
        <v>8.5784313725490197E-2</v>
      </c>
      <c r="M112" s="128">
        <f t="shared" si="520"/>
        <v>3.640776699029126E-2</v>
      </c>
      <c r="N112" s="128">
        <f t="shared" si="520"/>
        <v>6.0606060606060608E-2</v>
      </c>
      <c r="O112" s="128">
        <f t="shared" si="520"/>
        <v>3.8461538461538464E-2</v>
      </c>
      <c r="P112" s="128">
        <f t="shared" si="520"/>
        <v>0.14121699196326062</v>
      </c>
      <c r="Q112" s="128">
        <f t="shared" si="520"/>
        <v>0.10813308687615526</v>
      </c>
      <c r="R112" s="128">
        <f t="shared" ref="R112:W112" si="521">(R59)/(R7+R10)</f>
        <v>9.0265486725663716E-2</v>
      </c>
      <c r="S112" s="128">
        <f t="shared" si="521"/>
        <v>4.1196013289036548E-2</v>
      </c>
      <c r="T112" s="128">
        <f t="shared" si="521"/>
        <v>7.2742474916387953E-2</v>
      </c>
      <c r="U112" s="128">
        <f t="shared" si="521"/>
        <v>8.3218707015130677E-2</v>
      </c>
      <c r="V112" s="128">
        <f t="shared" si="521"/>
        <v>5.3571428571428568E-2</v>
      </c>
      <c r="W112" s="128">
        <f t="shared" si="521"/>
        <v>5.3571428571428568E-2</v>
      </c>
      <c r="X112" s="101">
        <f t="shared" si="347"/>
        <v>-3.5568958014572383E-2</v>
      </c>
      <c r="Y112" s="10"/>
      <c r="Z112" s="128">
        <f t="shared" ref="Z112:AI112" si="522">(Z59)/(Z7+Z10)</f>
        <v>5.3571428571428568E-2</v>
      </c>
      <c r="AA112" s="128">
        <f t="shared" si="522"/>
        <v>5.3571428571428568E-2</v>
      </c>
      <c r="AB112" s="128">
        <f t="shared" si="522"/>
        <v>5.3571428571428575E-2</v>
      </c>
      <c r="AC112" s="128">
        <f t="shared" si="522"/>
        <v>5.3571428571428575E-2</v>
      </c>
      <c r="AD112" s="128">
        <f t="shared" si="522"/>
        <v>5.3571428571428575E-2</v>
      </c>
      <c r="AE112" s="128">
        <f t="shared" si="522"/>
        <v>5.3571428571428575E-2</v>
      </c>
      <c r="AF112" s="128">
        <f t="shared" si="522"/>
        <v>5.3571428571428582E-2</v>
      </c>
      <c r="AG112" s="128">
        <f t="shared" si="522"/>
        <v>5.3571428571428582E-2</v>
      </c>
      <c r="AH112" s="128">
        <f t="shared" si="522"/>
        <v>5.3571428571428582E-2</v>
      </c>
      <c r="AI112" s="128">
        <f t="shared" si="522"/>
        <v>5.3571428571428582E-2</v>
      </c>
      <c r="AJ112" s="115">
        <f t="shared" si="505"/>
        <v>-6.5027891546776018E-2</v>
      </c>
      <c r="AK112" s="21">
        <f t="shared" si="506"/>
        <v>0.01</v>
      </c>
      <c r="AL112" s="123" t="e">
        <f t="shared" si="373"/>
        <v>#DIV/0!</v>
      </c>
    </row>
    <row r="113" spans="1:38" x14ac:dyDescent="0.2">
      <c r="B113" s="10" t="s">
        <v>318</v>
      </c>
      <c r="C113" s="128"/>
      <c r="D113" s="128"/>
      <c r="E113" s="128"/>
      <c r="F113" s="128"/>
      <c r="G113" s="128">
        <f t="shared" ref="G113" si="523">G20/G25</f>
        <v>0</v>
      </c>
      <c r="H113" s="128" t="e">
        <f t="shared" ref="H113:I113" si="524">H20/H25</f>
        <v>#DIV/0!</v>
      </c>
      <c r="I113" s="128" t="e">
        <f t="shared" si="524"/>
        <v>#DIV/0!</v>
      </c>
      <c r="J113" s="128">
        <f>J20/J25</f>
        <v>0</v>
      </c>
      <c r="K113" s="128">
        <f t="shared" ref="K113:Q113" si="525">K20/K25</f>
        <v>0</v>
      </c>
      <c r="L113" s="128">
        <f t="shared" si="525"/>
        <v>0</v>
      </c>
      <c r="M113" s="128">
        <f t="shared" si="525"/>
        <v>0</v>
      </c>
      <c r="N113" s="128">
        <f t="shared" si="525"/>
        <v>0</v>
      </c>
      <c r="O113" s="128">
        <f t="shared" si="525"/>
        <v>0</v>
      </c>
      <c r="P113" s="128">
        <f t="shared" si="525"/>
        <v>0</v>
      </c>
      <c r="Q113" s="128">
        <f t="shared" si="525"/>
        <v>0</v>
      </c>
      <c r="R113" s="128">
        <f t="shared" ref="R113:W113" si="526">R20/R25</f>
        <v>0</v>
      </c>
      <c r="S113" s="128">
        <f t="shared" si="526"/>
        <v>0</v>
      </c>
      <c r="T113" s="128">
        <f t="shared" si="526"/>
        <v>0</v>
      </c>
      <c r="U113" s="128">
        <f t="shared" si="526"/>
        <v>0</v>
      </c>
      <c r="V113" s="128">
        <f t="shared" si="526"/>
        <v>0</v>
      </c>
      <c r="W113" s="128">
        <f t="shared" si="526"/>
        <v>0</v>
      </c>
      <c r="X113" s="101" t="e">
        <f t="shared" si="347"/>
        <v>#DIV/0!</v>
      </c>
      <c r="Y113" s="10"/>
      <c r="Z113" s="128">
        <f t="shared" ref="Z113:AI113" si="527">Z20/Z25</f>
        <v>0</v>
      </c>
      <c r="AA113" s="128">
        <f t="shared" si="527"/>
        <v>0</v>
      </c>
      <c r="AB113" s="128">
        <f t="shared" si="527"/>
        <v>0</v>
      </c>
      <c r="AC113" s="128">
        <f t="shared" si="527"/>
        <v>0</v>
      </c>
      <c r="AD113" s="128">
        <f t="shared" si="527"/>
        <v>0</v>
      </c>
      <c r="AE113" s="128">
        <f t="shared" si="527"/>
        <v>0</v>
      </c>
      <c r="AF113" s="128">
        <f t="shared" si="527"/>
        <v>0</v>
      </c>
      <c r="AG113" s="128">
        <f t="shared" si="527"/>
        <v>0</v>
      </c>
      <c r="AH113" s="128">
        <f t="shared" si="527"/>
        <v>0</v>
      </c>
      <c r="AI113" s="128">
        <f t="shared" si="527"/>
        <v>0</v>
      </c>
      <c r="AJ113" s="115" t="e">
        <f t="shared" si="505"/>
        <v>#DIV/0!</v>
      </c>
      <c r="AK113" s="21">
        <f t="shared" si="506"/>
        <v>0.01</v>
      </c>
      <c r="AL113" s="123" t="e">
        <f t="shared" si="373"/>
        <v>#DIV/0!</v>
      </c>
    </row>
    <row r="114" spans="1:38" x14ac:dyDescent="0.2">
      <c r="B114" s="10" t="s">
        <v>370</v>
      </c>
      <c r="C114" s="128"/>
      <c r="D114" s="128"/>
      <c r="E114" s="128"/>
      <c r="F114" s="128"/>
      <c r="G114" s="128">
        <f t="shared" ref="G114" si="528">G72/G25</f>
        <v>0.1702127659574468</v>
      </c>
      <c r="H114" s="128" t="e">
        <f t="shared" ref="H114:I114" si="529">H72/H25</f>
        <v>#DIV/0!</v>
      </c>
      <c r="I114" s="128" t="e">
        <f t="shared" si="529"/>
        <v>#DIV/0!</v>
      </c>
      <c r="J114" s="128">
        <f>J72/J25</f>
        <v>9.9206349206349201E-2</v>
      </c>
      <c r="K114" s="128">
        <f t="shared" ref="K114:Q114" si="530">K72/K25</f>
        <v>9.5238095238095233E-2</v>
      </c>
      <c r="L114" s="128">
        <f t="shared" si="530"/>
        <v>0.1702127659574468</v>
      </c>
      <c r="M114" s="128">
        <f t="shared" si="530"/>
        <v>6.4814814814814811E-2</v>
      </c>
      <c r="N114" s="128">
        <f t="shared" si="530"/>
        <v>0.14354066985645933</v>
      </c>
      <c r="O114" s="128">
        <f t="shared" si="530"/>
        <v>5.4054054054054057E-2</v>
      </c>
      <c r="P114" s="128">
        <f t="shared" si="530"/>
        <v>8.2460732984293197E-2</v>
      </c>
      <c r="Q114" s="128">
        <f t="shared" si="530"/>
        <v>8.4724005134788186E-2</v>
      </c>
      <c r="R114" s="128">
        <f t="shared" ref="R114:W114" si="531">R72/R25</f>
        <v>8.4745762711864403E-2</v>
      </c>
      <c r="S114" s="128">
        <f t="shared" si="531"/>
        <v>7.0129870129870125E-2</v>
      </c>
      <c r="T114" s="128">
        <f t="shared" si="531"/>
        <v>6.1601642710472276E-2</v>
      </c>
      <c r="U114" s="128">
        <f t="shared" si="531"/>
        <v>5.786873676781934E-2</v>
      </c>
      <c r="V114" s="128">
        <f t="shared" si="531"/>
        <v>8.6363636363636365E-2</v>
      </c>
      <c r="W114" s="128">
        <f t="shared" si="531"/>
        <v>8.6363636363636365E-2</v>
      </c>
      <c r="X114" s="101">
        <f t="shared" si="347"/>
        <v>-5.0852401672317638E-2</v>
      </c>
      <c r="Y114" s="10"/>
      <c r="Z114" s="128">
        <f t="shared" ref="Z114:AI114" si="532">Z72/Z25</f>
        <v>8.6363636363636351E-2</v>
      </c>
      <c r="AA114" s="128">
        <f t="shared" si="532"/>
        <v>8.6363636363636337E-2</v>
      </c>
      <c r="AB114" s="128">
        <f t="shared" si="532"/>
        <v>8.6363636363636323E-2</v>
      </c>
      <c r="AC114" s="128">
        <f t="shared" si="532"/>
        <v>8.6363636363636323E-2</v>
      </c>
      <c r="AD114" s="128">
        <f t="shared" si="532"/>
        <v>8.6363636363636323E-2</v>
      </c>
      <c r="AE114" s="128">
        <f t="shared" si="532"/>
        <v>8.6363636363636309E-2</v>
      </c>
      <c r="AF114" s="128">
        <f t="shared" si="532"/>
        <v>8.6363636363636295E-2</v>
      </c>
      <c r="AG114" s="128">
        <f t="shared" si="532"/>
        <v>8.6363636363636309E-2</v>
      </c>
      <c r="AH114" s="128">
        <f t="shared" si="532"/>
        <v>8.6363636363636309E-2</v>
      </c>
      <c r="AI114" s="128">
        <f t="shared" si="532"/>
        <v>8.6363636363636309E-2</v>
      </c>
      <c r="AJ114" s="115">
        <f t="shared" si="505"/>
        <v>-6.009492268085781E-3</v>
      </c>
      <c r="AK114" s="21">
        <f t="shared" si="506"/>
        <v>0.01</v>
      </c>
      <c r="AL114" s="123" t="e">
        <f t="shared" si="373"/>
        <v>#DIV/0!</v>
      </c>
    </row>
    <row r="115" spans="1:38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01" t="e">
        <f t="shared" si="347"/>
        <v>#DIV/0!</v>
      </c>
      <c r="Y115" s="10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3"/>
      <c r="AK115" s="123"/>
      <c r="AL115" s="123"/>
    </row>
    <row r="116" spans="1:38" x14ac:dyDescent="0.2">
      <c r="B116" s="10" t="s">
        <v>267</v>
      </c>
      <c r="C116" s="128"/>
      <c r="D116" s="128"/>
      <c r="E116" s="128"/>
      <c r="F116" s="128"/>
      <c r="G116" s="128">
        <f t="shared" ref="G116" si="533">G29/G25</f>
        <v>3.4042553191489362E-2</v>
      </c>
      <c r="H116" s="128" t="e">
        <f t="shared" ref="H116:I116" si="534">H29/H25</f>
        <v>#DIV/0!</v>
      </c>
      <c r="I116" s="128" t="e">
        <f t="shared" si="534"/>
        <v>#DIV/0!</v>
      </c>
      <c r="J116" s="128">
        <f>J29/J25</f>
        <v>0</v>
      </c>
      <c r="K116" s="128">
        <f t="shared" ref="K116:Q116" si="535">K29/K25</f>
        <v>0</v>
      </c>
      <c r="L116" s="128">
        <f t="shared" si="535"/>
        <v>3.4042553191489362E-2</v>
      </c>
      <c r="M116" s="128">
        <f t="shared" si="535"/>
        <v>7.407407407407407E-2</v>
      </c>
      <c r="N116" s="128">
        <f t="shared" si="535"/>
        <v>3.3492822966507178E-2</v>
      </c>
      <c r="O116" s="128">
        <f t="shared" si="535"/>
        <v>0.10038610038610038</v>
      </c>
      <c r="P116" s="128">
        <f t="shared" si="535"/>
        <v>4.712041884816754E-2</v>
      </c>
      <c r="Q116" s="128">
        <f t="shared" si="535"/>
        <v>5.7766367137355584E-2</v>
      </c>
      <c r="R116" s="128">
        <f t="shared" ref="R116:W116" si="536">R29/R25</f>
        <v>6.2146892655367235E-2</v>
      </c>
      <c r="S116" s="128">
        <f t="shared" si="536"/>
        <v>0.10909090909090909</v>
      </c>
      <c r="T116" s="128">
        <f t="shared" si="536"/>
        <v>8.8295687885010271E-2</v>
      </c>
      <c r="U116" s="128">
        <f t="shared" si="536"/>
        <v>6.9160197600564577E-2</v>
      </c>
      <c r="V116" s="128">
        <f t="shared" si="536"/>
        <v>0.10454545454545454</v>
      </c>
      <c r="W116" s="128">
        <f t="shared" si="536"/>
        <v>0.10454545454545454</v>
      </c>
      <c r="X116" s="101">
        <f t="shared" si="347"/>
        <v>9.0142597333563224E-2</v>
      </c>
      <c r="Y116" s="10"/>
      <c r="Z116" s="128">
        <f t="shared" ref="Z116:AI116" si="537">Z29/Z25</f>
        <v>0.10454545454545454</v>
      </c>
      <c r="AA116" s="128">
        <f t="shared" si="537"/>
        <v>0.10454545454545454</v>
      </c>
      <c r="AB116" s="128">
        <f t="shared" si="537"/>
        <v>0.10454545454545452</v>
      </c>
      <c r="AC116" s="128">
        <f t="shared" si="537"/>
        <v>0.10454545454545452</v>
      </c>
      <c r="AD116" s="128">
        <f t="shared" si="537"/>
        <v>0.10454545454545452</v>
      </c>
      <c r="AE116" s="128">
        <f t="shared" si="537"/>
        <v>0.10454545454545452</v>
      </c>
      <c r="AF116" s="128">
        <f t="shared" si="537"/>
        <v>0.10454545454545454</v>
      </c>
      <c r="AG116" s="128">
        <f t="shared" si="537"/>
        <v>0.10454545454545454</v>
      </c>
      <c r="AH116" s="128">
        <f t="shared" si="537"/>
        <v>0.10454545454545455</v>
      </c>
      <c r="AI116" s="128">
        <f t="shared" si="537"/>
        <v>0.10454545454545454</v>
      </c>
      <c r="AJ116" s="115" t="e">
        <f t="shared" si="505"/>
        <v>#DIV/0!</v>
      </c>
      <c r="AK116" s="21">
        <f t="shared" si="506"/>
        <v>0.01</v>
      </c>
      <c r="AL116" s="123" t="e">
        <f t="shared" si="373"/>
        <v>#DIV/0!</v>
      </c>
    </row>
    <row r="117" spans="1:38" x14ac:dyDescent="0.2">
      <c r="B117" s="10" t="s">
        <v>311</v>
      </c>
      <c r="C117" s="128"/>
      <c r="D117" s="128"/>
      <c r="E117" s="128"/>
      <c r="F117" s="128"/>
      <c r="G117" s="128">
        <f t="shared" ref="G117" si="538">G29/G53</f>
        <v>0.11940298507462686</v>
      </c>
      <c r="H117" s="128" t="e">
        <f t="shared" ref="H117:I117" si="539">H29/H53</f>
        <v>#DIV/0!</v>
      </c>
      <c r="I117" s="128" t="e">
        <f t="shared" si="539"/>
        <v>#DIV/0!</v>
      </c>
      <c r="J117" s="128">
        <f>J29/J53</f>
        <v>0</v>
      </c>
      <c r="K117" s="128">
        <f t="shared" ref="K117:Q117" si="540">K29/K53</f>
        <v>0</v>
      </c>
      <c r="L117" s="128">
        <f t="shared" si="540"/>
        <v>0.11940298507462686</v>
      </c>
      <c r="M117" s="128">
        <f t="shared" si="540"/>
        <v>0.30769230769230771</v>
      </c>
      <c r="N117" s="128">
        <f t="shared" si="540"/>
        <v>7.8651685393258425E-2</v>
      </c>
      <c r="O117" s="128">
        <f t="shared" si="540"/>
        <v>0.3611111111111111</v>
      </c>
      <c r="P117" s="128">
        <f t="shared" si="540"/>
        <v>0.1875</v>
      </c>
      <c r="Q117" s="128">
        <f t="shared" si="540"/>
        <v>0.20454545454545456</v>
      </c>
      <c r="R117" s="128">
        <f t="shared" ref="R117:W117" si="541">R29/R53</f>
        <v>0.21568627450980393</v>
      </c>
      <c r="S117" s="128">
        <f t="shared" si="541"/>
        <v>0.42424242424242425</v>
      </c>
      <c r="T117" s="128">
        <f t="shared" si="541"/>
        <v>0.36134453781512604</v>
      </c>
      <c r="U117" s="128">
        <f t="shared" si="541"/>
        <v>0.32450331125827814</v>
      </c>
      <c r="V117" s="128">
        <f t="shared" si="541"/>
        <v>0.37246963562753038</v>
      </c>
      <c r="W117" s="128">
        <f t="shared" si="541"/>
        <v>0.37246963562753038</v>
      </c>
      <c r="X117" s="101">
        <f t="shared" si="347"/>
        <v>9.1454968748032162E-2</v>
      </c>
      <c r="Y117" s="10"/>
      <c r="Z117" s="128">
        <f t="shared" ref="Z117:AI117" si="542">Z29/Z53</f>
        <v>0.37246963562753038</v>
      </c>
      <c r="AA117" s="128">
        <f t="shared" si="542"/>
        <v>0.37246963562753038</v>
      </c>
      <c r="AB117" s="128">
        <f t="shared" si="542"/>
        <v>0.37246963562753038</v>
      </c>
      <c r="AC117" s="128">
        <f t="shared" si="542"/>
        <v>0.37246963562753033</v>
      </c>
      <c r="AD117" s="128">
        <f t="shared" si="542"/>
        <v>0.37246963562753033</v>
      </c>
      <c r="AE117" s="128">
        <f t="shared" si="542"/>
        <v>0.37246963562753038</v>
      </c>
      <c r="AF117" s="128">
        <f t="shared" si="542"/>
        <v>0.37246963562753038</v>
      </c>
      <c r="AG117" s="128">
        <f t="shared" si="542"/>
        <v>0.37246963562753044</v>
      </c>
      <c r="AH117" s="128">
        <f t="shared" si="542"/>
        <v>0.37246963562753038</v>
      </c>
      <c r="AI117" s="128">
        <f t="shared" si="542"/>
        <v>0.37246963562753038</v>
      </c>
      <c r="AJ117" s="115" t="e">
        <f t="shared" ref="AJ117" si="543">((AI117/J117)^(1/($AI$3-$K$1) ))-1</f>
        <v>#DIV/0!</v>
      </c>
      <c r="AK117" s="21">
        <f t="shared" si="506"/>
        <v>0.01</v>
      </c>
      <c r="AL117" s="123" t="e">
        <f t="shared" si="373"/>
        <v>#DIV/0!</v>
      </c>
    </row>
    <row r="118" spans="1:38" ht="12" customHeight="1" x14ac:dyDescent="0.2">
      <c r="B118" s="10" t="s">
        <v>310</v>
      </c>
      <c r="C118" s="128"/>
      <c r="D118" s="128"/>
      <c r="E118" s="128"/>
      <c r="F118" s="144"/>
      <c r="G118" s="144">
        <f t="shared" ref="G118" si="544">G29/G59</f>
        <v>0.11428571428571428</v>
      </c>
      <c r="H118" s="144" t="e">
        <f t="shared" ref="H118:I118" si="545">H29/H59</f>
        <v>#DIV/0!</v>
      </c>
      <c r="I118" s="144" t="e">
        <f t="shared" si="545"/>
        <v>#DIV/0!</v>
      </c>
      <c r="J118" s="144">
        <f t="shared" ref="J118:Q118" si="546">J29/J59</f>
        <v>0</v>
      </c>
      <c r="K118" s="144">
        <f t="shared" si="546"/>
        <v>0</v>
      </c>
      <c r="L118" s="144">
        <f t="shared" si="546"/>
        <v>0.11428571428571428</v>
      </c>
      <c r="M118" s="144">
        <f t="shared" si="546"/>
        <v>0.26666666666666666</v>
      </c>
      <c r="N118" s="144">
        <f t="shared" si="546"/>
        <v>0.13461538461538461</v>
      </c>
      <c r="O118" s="144">
        <f t="shared" si="546"/>
        <v>0.74285714285714288</v>
      </c>
      <c r="P118" s="144">
        <f t="shared" si="546"/>
        <v>0.29268292682926828</v>
      </c>
      <c r="Q118" s="144">
        <f t="shared" si="546"/>
        <v>0.38461538461538464</v>
      </c>
      <c r="R118" s="144">
        <f t="shared" ref="R118:W118" si="547">R29/R59</f>
        <v>0.43137254901960786</v>
      </c>
      <c r="S118" s="144">
        <f t="shared" si="547"/>
        <v>1.3548387096774193</v>
      </c>
      <c r="T118" s="144">
        <f t="shared" si="547"/>
        <v>0.9885057471264368</v>
      </c>
      <c r="U118" s="144">
        <f t="shared" si="547"/>
        <v>0.80991735537190079</v>
      </c>
      <c r="V118" s="144">
        <f t="shared" si="547"/>
        <v>1.2266666666666666</v>
      </c>
      <c r="W118" s="144">
        <f t="shared" si="547"/>
        <v>1.2266666666666666</v>
      </c>
      <c r="X118" s="101">
        <f t="shared" si="347"/>
        <v>0.20029301351197137</v>
      </c>
      <c r="Y118" s="10"/>
      <c r="Z118" s="144">
        <f t="shared" ref="Z118:AI118" si="548">Z29/Z59</f>
        <v>1.2266666666666666</v>
      </c>
      <c r="AA118" s="144">
        <f t="shared" si="548"/>
        <v>1.2266666666666666</v>
      </c>
      <c r="AB118" s="144">
        <f t="shared" si="548"/>
        <v>1.2266666666666666</v>
      </c>
      <c r="AC118" s="144">
        <f t="shared" si="548"/>
        <v>1.2266666666666666</v>
      </c>
      <c r="AD118" s="144">
        <f t="shared" si="548"/>
        <v>1.2266666666666666</v>
      </c>
      <c r="AE118" s="144">
        <f t="shared" si="548"/>
        <v>1.2266666666666668</v>
      </c>
      <c r="AF118" s="144">
        <f t="shared" si="548"/>
        <v>1.2266666666666668</v>
      </c>
      <c r="AG118" s="144">
        <f t="shared" si="548"/>
        <v>1.2266666666666668</v>
      </c>
      <c r="AH118" s="144">
        <f t="shared" si="548"/>
        <v>1.2266666666666668</v>
      </c>
      <c r="AI118" s="144">
        <f t="shared" si="548"/>
        <v>1.2266666666666668</v>
      </c>
      <c r="AJ118" s="115" t="e">
        <f t="shared" ref="AJ118" si="549">((AI118/J118)^(1/($AI$3-$K$1) ))-1</f>
        <v>#DIV/0!</v>
      </c>
      <c r="AK118" s="21">
        <f t="shared" si="506"/>
        <v>0.01</v>
      </c>
      <c r="AL118" s="123" t="e">
        <f t="shared" si="373"/>
        <v>#DIV/0!</v>
      </c>
    </row>
    <row r="119" spans="1:38" ht="12" customHeight="1" x14ac:dyDescent="0.2">
      <c r="B119" s="10" t="s">
        <v>269</v>
      </c>
      <c r="C119" s="128"/>
      <c r="D119" s="128"/>
      <c r="E119" s="128"/>
      <c r="F119" s="144"/>
      <c r="G119" s="144">
        <f t="shared" ref="G119" si="550">G29/G12</f>
        <v>0.66666666666666663</v>
      </c>
      <c r="H119" s="144" t="e">
        <f t="shared" ref="H119:I119" si="551">H29/H12</f>
        <v>#DIV/0!</v>
      </c>
      <c r="I119" s="144" t="e">
        <f t="shared" si="551"/>
        <v>#DIV/0!</v>
      </c>
      <c r="J119" s="144">
        <f t="shared" ref="J119:Q119" si="552">J29/J12</f>
        <v>0</v>
      </c>
      <c r="K119" s="144">
        <f t="shared" si="552"/>
        <v>0</v>
      </c>
      <c r="L119" s="144">
        <f t="shared" si="552"/>
        <v>0.66666666666666663</v>
      </c>
      <c r="M119" s="144">
        <f t="shared" si="552"/>
        <v>0.66666666666666663</v>
      </c>
      <c r="N119" s="144">
        <f t="shared" si="552"/>
        <v>0.16666666666666666</v>
      </c>
      <c r="O119" s="144">
        <f t="shared" si="552"/>
        <v>0.56521739130434778</v>
      </c>
      <c r="P119" s="144">
        <f t="shared" si="552"/>
        <v>0.32142857142857145</v>
      </c>
      <c r="Q119" s="144">
        <f t="shared" si="552"/>
        <v>0.6428571428571429</v>
      </c>
      <c r="R119" s="144">
        <f t="shared" ref="R119:W119" si="553">R29/R12</f>
        <v>1.1000000000000001</v>
      </c>
      <c r="S119" s="144">
        <f t="shared" si="553"/>
        <v>0.9882352941176471</v>
      </c>
      <c r="T119" s="144">
        <f t="shared" si="553"/>
        <v>1.075</v>
      </c>
      <c r="U119" s="144">
        <f t="shared" si="553"/>
        <v>0.83050847457627119</v>
      </c>
      <c r="V119" s="144">
        <f t="shared" si="553"/>
        <v>1.4375</v>
      </c>
      <c r="W119" s="144">
        <f t="shared" si="553"/>
        <v>1.4375</v>
      </c>
      <c r="X119" s="101">
        <f t="shared" si="347"/>
        <v>6.0887085132270702E-2</v>
      </c>
      <c r="Y119" s="10"/>
      <c r="Z119" s="128">
        <f t="shared" ref="Z119:AI119" si="554">Z29/Z12</f>
        <v>1.4375</v>
      </c>
      <c r="AA119" s="128">
        <f t="shared" si="554"/>
        <v>1.4375</v>
      </c>
      <c r="AB119" s="128">
        <f t="shared" si="554"/>
        <v>1.4374999999999998</v>
      </c>
      <c r="AC119" s="128">
        <f t="shared" si="554"/>
        <v>1.4374999999999998</v>
      </c>
      <c r="AD119" s="128">
        <f t="shared" si="554"/>
        <v>1.4374999999999998</v>
      </c>
      <c r="AE119" s="128">
        <f t="shared" si="554"/>
        <v>1.4374999999999998</v>
      </c>
      <c r="AF119" s="128">
        <f t="shared" si="554"/>
        <v>1.4375</v>
      </c>
      <c r="AG119" s="128">
        <f t="shared" si="554"/>
        <v>1.4375</v>
      </c>
      <c r="AH119" s="128">
        <f t="shared" si="554"/>
        <v>1.4375</v>
      </c>
      <c r="AI119" s="128">
        <f t="shared" si="554"/>
        <v>1.4374999999999998</v>
      </c>
      <c r="AJ119" s="115" t="e">
        <f t="shared" si="505"/>
        <v>#DIV/0!</v>
      </c>
      <c r="AK119" s="21">
        <f t="shared" si="506"/>
        <v>0.01</v>
      </c>
      <c r="AL119" s="123" t="e">
        <f t="shared" si="373"/>
        <v>#DIV/0!</v>
      </c>
    </row>
    <row r="120" spans="1:38" ht="12" customHeight="1" x14ac:dyDescent="0.2">
      <c r="B120" s="10" t="s">
        <v>312</v>
      </c>
      <c r="C120" s="128"/>
      <c r="D120" s="128"/>
      <c r="E120" s="128"/>
      <c r="F120" s="144"/>
      <c r="G120" s="144" t="e">
        <f t="shared" ref="G120" si="555">G29/G23</f>
        <v>#DIV/0!</v>
      </c>
      <c r="H120" s="144" t="e">
        <f t="shared" ref="H120:I120" si="556">H29/H23</f>
        <v>#DIV/0!</v>
      </c>
      <c r="I120" s="144" t="e">
        <f t="shared" si="556"/>
        <v>#DIV/0!</v>
      </c>
      <c r="J120" s="144" t="e">
        <f>J29/J23</f>
        <v>#DIV/0!</v>
      </c>
      <c r="K120" s="144" t="e">
        <f t="shared" ref="K120:Q120" si="557">K29/K23</f>
        <v>#DIV/0!</v>
      </c>
      <c r="L120" s="144" t="e">
        <f t="shared" si="557"/>
        <v>#DIV/0!</v>
      </c>
      <c r="M120" s="144" t="e">
        <f t="shared" si="557"/>
        <v>#DIV/0!</v>
      </c>
      <c r="N120" s="144" t="e">
        <f t="shared" si="557"/>
        <v>#DIV/0!</v>
      </c>
      <c r="O120" s="144" t="e">
        <f t="shared" si="557"/>
        <v>#DIV/0!</v>
      </c>
      <c r="P120" s="144" t="e">
        <f t="shared" si="557"/>
        <v>#DIV/0!</v>
      </c>
      <c r="Q120" s="144" t="e">
        <f t="shared" si="557"/>
        <v>#DIV/0!</v>
      </c>
      <c r="R120" s="144" t="e">
        <f t="shared" ref="R120:W120" si="558">R29/R23</f>
        <v>#DIV/0!</v>
      </c>
      <c r="S120" s="144" t="e">
        <f t="shared" si="558"/>
        <v>#DIV/0!</v>
      </c>
      <c r="T120" s="144" t="e">
        <f t="shared" si="558"/>
        <v>#DIV/0!</v>
      </c>
      <c r="U120" s="144" t="e">
        <f t="shared" si="558"/>
        <v>#DIV/0!</v>
      </c>
      <c r="V120" s="144" t="e">
        <f t="shared" si="558"/>
        <v>#DIV/0!</v>
      </c>
      <c r="W120" s="144" t="e">
        <f t="shared" si="558"/>
        <v>#DIV/0!</v>
      </c>
      <c r="X120" s="101" t="e">
        <f t="shared" si="347"/>
        <v>#DIV/0!</v>
      </c>
      <c r="Y120" s="10"/>
      <c r="Z120" s="144" t="e">
        <f t="shared" ref="Z120:AI120" si="559">Z29/Z23</f>
        <v>#DIV/0!</v>
      </c>
      <c r="AA120" s="144" t="e">
        <f t="shared" si="559"/>
        <v>#DIV/0!</v>
      </c>
      <c r="AB120" s="144" t="e">
        <f t="shared" si="559"/>
        <v>#DIV/0!</v>
      </c>
      <c r="AC120" s="144" t="e">
        <f t="shared" si="559"/>
        <v>#DIV/0!</v>
      </c>
      <c r="AD120" s="144" t="e">
        <f t="shared" si="559"/>
        <v>#DIV/0!</v>
      </c>
      <c r="AE120" s="144" t="e">
        <f t="shared" si="559"/>
        <v>#DIV/0!</v>
      </c>
      <c r="AF120" s="144" t="e">
        <f t="shared" si="559"/>
        <v>#DIV/0!</v>
      </c>
      <c r="AG120" s="144" t="e">
        <f t="shared" si="559"/>
        <v>#DIV/0!</v>
      </c>
      <c r="AH120" s="144" t="e">
        <f t="shared" si="559"/>
        <v>#DIV/0!</v>
      </c>
      <c r="AI120" s="144" t="e">
        <f t="shared" si="559"/>
        <v>#DIV/0!</v>
      </c>
      <c r="AJ120" s="115" t="e">
        <f t="shared" ref="AJ120" si="560">((AI120/J120)^(1/($AI$3-$K$1) ))-1</f>
        <v>#DIV/0!</v>
      </c>
      <c r="AK120" s="21">
        <f t="shared" si="506"/>
        <v>0.01</v>
      </c>
      <c r="AL120" s="123" t="e">
        <f t="shared" si="373"/>
        <v>#DIV/0!</v>
      </c>
    </row>
    <row r="121" spans="1:38" ht="12" customHeight="1" x14ac:dyDescent="0.2">
      <c r="B121" s="10"/>
      <c r="C121" s="128"/>
      <c r="D121" s="128"/>
      <c r="E121" s="128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01" t="e">
        <f t="shared" si="347"/>
        <v>#DIV/0!</v>
      </c>
      <c r="Y121" s="10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3"/>
      <c r="AL121" s="123"/>
    </row>
    <row r="122" spans="1:38" ht="12" customHeight="1" x14ac:dyDescent="0.2">
      <c r="B122" s="10" t="s">
        <v>344</v>
      </c>
      <c r="C122" s="128"/>
      <c r="D122" s="128"/>
      <c r="E122" s="128"/>
      <c r="F122" s="108"/>
      <c r="G122" s="108">
        <f t="shared" ref="G122" si="561">1/G116</f>
        <v>29.375</v>
      </c>
      <c r="H122" s="108" t="e">
        <f t="shared" ref="H122:I122" si="562">1/H116</f>
        <v>#DIV/0!</v>
      </c>
      <c r="I122" s="108" t="e">
        <f t="shared" si="562"/>
        <v>#DIV/0!</v>
      </c>
      <c r="J122" s="108" t="e">
        <f>1/J116</f>
        <v>#DIV/0!</v>
      </c>
      <c r="K122" s="108" t="e">
        <f t="shared" ref="K122:Q122" si="563">1/K116</f>
        <v>#DIV/0!</v>
      </c>
      <c r="L122" s="108">
        <f t="shared" si="563"/>
        <v>29.375</v>
      </c>
      <c r="M122" s="108">
        <f t="shared" si="563"/>
        <v>13.5</v>
      </c>
      <c r="N122" s="108">
        <f t="shared" si="563"/>
        <v>29.857142857142858</v>
      </c>
      <c r="O122" s="108">
        <f t="shared" si="563"/>
        <v>9.9615384615384617</v>
      </c>
      <c r="P122" s="108">
        <f t="shared" si="563"/>
        <v>21.222222222222221</v>
      </c>
      <c r="Q122" s="108">
        <f t="shared" si="563"/>
        <v>17.31111111111111</v>
      </c>
      <c r="R122" s="108">
        <f t="shared" ref="R122:W122" si="564">1/R116</f>
        <v>16.09090909090909</v>
      </c>
      <c r="S122" s="108">
        <f t="shared" si="564"/>
        <v>9.1666666666666679</v>
      </c>
      <c r="T122" s="108">
        <f t="shared" si="564"/>
        <v>11.325581395348836</v>
      </c>
      <c r="U122" s="108">
        <f t="shared" si="564"/>
        <v>14.459183673469386</v>
      </c>
      <c r="V122" s="108">
        <f t="shared" si="564"/>
        <v>9.5652173913043477</v>
      </c>
      <c r="W122" s="108">
        <f t="shared" si="564"/>
        <v>9.5652173913043477</v>
      </c>
      <c r="X122" s="101">
        <f t="shared" si="347"/>
        <v>-8.268881296267816E-2</v>
      </c>
      <c r="Y122" s="10"/>
      <c r="Z122" s="108">
        <f t="shared" ref="Z122:AI122" si="565">1/Z116</f>
        <v>9.5652173913043477</v>
      </c>
      <c r="AA122" s="108">
        <f t="shared" si="565"/>
        <v>9.5652173913043477</v>
      </c>
      <c r="AB122" s="108">
        <f t="shared" si="565"/>
        <v>9.5652173913043494</v>
      </c>
      <c r="AC122" s="108">
        <f t="shared" si="565"/>
        <v>9.5652173913043494</v>
      </c>
      <c r="AD122" s="108">
        <f t="shared" si="565"/>
        <v>9.5652173913043494</v>
      </c>
      <c r="AE122" s="108">
        <f t="shared" si="565"/>
        <v>9.5652173913043494</v>
      </c>
      <c r="AF122" s="108">
        <f t="shared" si="565"/>
        <v>9.5652173913043477</v>
      </c>
      <c r="AG122" s="108">
        <f t="shared" si="565"/>
        <v>9.5652173913043477</v>
      </c>
      <c r="AH122" s="108">
        <f t="shared" si="565"/>
        <v>9.5652173913043477</v>
      </c>
      <c r="AI122" s="108">
        <f t="shared" si="565"/>
        <v>9.5652173913043477</v>
      </c>
      <c r="AJ122" s="115" t="e">
        <f t="shared" si="505"/>
        <v>#DIV/0!</v>
      </c>
      <c r="AK122" s="21">
        <f t="shared" si="506"/>
        <v>0.01</v>
      </c>
      <c r="AL122" s="123" t="e">
        <f t="shared" si="373"/>
        <v>#DIV/0!</v>
      </c>
    </row>
    <row r="123" spans="1:38" ht="12" customHeight="1" x14ac:dyDescent="0.2">
      <c r="B123" s="10" t="s">
        <v>345</v>
      </c>
      <c r="C123" s="128"/>
      <c r="D123" s="128"/>
      <c r="E123" s="128"/>
      <c r="F123" s="108"/>
      <c r="G123" s="108">
        <f t="shared" ref="G123" si="566">1/G117</f>
        <v>8.375</v>
      </c>
      <c r="H123" s="108" t="e">
        <f t="shared" ref="H123:I123" si="567">1/H117</f>
        <v>#DIV/0!</v>
      </c>
      <c r="I123" s="108" t="e">
        <f t="shared" si="567"/>
        <v>#DIV/0!</v>
      </c>
      <c r="J123" s="108" t="e">
        <f t="shared" ref="J123:Q126" si="568">1/J117</f>
        <v>#DIV/0!</v>
      </c>
      <c r="K123" s="108" t="e">
        <f t="shared" si="568"/>
        <v>#DIV/0!</v>
      </c>
      <c r="L123" s="108">
        <f t="shared" si="568"/>
        <v>8.375</v>
      </c>
      <c r="M123" s="108">
        <f t="shared" si="568"/>
        <v>3.25</v>
      </c>
      <c r="N123" s="108">
        <f t="shared" si="568"/>
        <v>12.714285714285715</v>
      </c>
      <c r="O123" s="108">
        <f t="shared" si="568"/>
        <v>2.7692307692307692</v>
      </c>
      <c r="P123" s="108">
        <f t="shared" si="568"/>
        <v>5.333333333333333</v>
      </c>
      <c r="Q123" s="108">
        <f t="shared" si="568"/>
        <v>4.8888888888888884</v>
      </c>
      <c r="R123" s="108">
        <f t="shared" ref="R123:W123" si="569">1/R117</f>
        <v>4.6363636363636358</v>
      </c>
      <c r="S123" s="108">
        <f t="shared" si="569"/>
        <v>2.3571428571428572</v>
      </c>
      <c r="T123" s="108">
        <f t="shared" si="569"/>
        <v>2.7674418604651163</v>
      </c>
      <c r="U123" s="108">
        <f t="shared" si="569"/>
        <v>3.0816326530612246</v>
      </c>
      <c r="V123" s="108">
        <f t="shared" si="569"/>
        <v>2.6847826086956519</v>
      </c>
      <c r="W123" s="108">
        <f t="shared" si="569"/>
        <v>2.6847826086956519</v>
      </c>
      <c r="X123" s="101">
        <f t="shared" si="347"/>
        <v>-8.3791792943081145E-2</v>
      </c>
      <c r="Y123" s="10"/>
      <c r="Z123" s="108">
        <f t="shared" ref="Z123:AI123" si="570">1/Z117</f>
        <v>2.6847826086956519</v>
      </c>
      <c r="AA123" s="108">
        <f t="shared" si="570"/>
        <v>2.6847826086956519</v>
      </c>
      <c r="AB123" s="108">
        <f t="shared" si="570"/>
        <v>2.6847826086956519</v>
      </c>
      <c r="AC123" s="108">
        <f t="shared" si="570"/>
        <v>2.6847826086956523</v>
      </c>
      <c r="AD123" s="108">
        <f t="shared" si="570"/>
        <v>2.6847826086956523</v>
      </c>
      <c r="AE123" s="108">
        <f t="shared" si="570"/>
        <v>2.6847826086956519</v>
      </c>
      <c r="AF123" s="108">
        <f t="shared" si="570"/>
        <v>2.6847826086956519</v>
      </c>
      <c r="AG123" s="108">
        <f t="shared" si="570"/>
        <v>2.6847826086956514</v>
      </c>
      <c r="AH123" s="108">
        <f t="shared" si="570"/>
        <v>2.6847826086956519</v>
      </c>
      <c r="AI123" s="108">
        <f t="shared" si="570"/>
        <v>2.6847826086956519</v>
      </c>
      <c r="AJ123" s="115" t="e">
        <f t="shared" si="505"/>
        <v>#DIV/0!</v>
      </c>
      <c r="AK123" s="21">
        <f t="shared" si="506"/>
        <v>0.01</v>
      </c>
      <c r="AL123" s="123" t="e">
        <f t="shared" si="373"/>
        <v>#DIV/0!</v>
      </c>
    </row>
    <row r="124" spans="1:38" ht="12" customHeight="1" x14ac:dyDescent="0.2">
      <c r="B124" s="10" t="s">
        <v>346</v>
      </c>
      <c r="C124" s="128"/>
      <c r="D124" s="128"/>
      <c r="E124" s="128"/>
      <c r="F124" s="108"/>
      <c r="G124" s="108">
        <f t="shared" ref="G124" si="571">1/G118</f>
        <v>8.75</v>
      </c>
      <c r="H124" s="108" t="e">
        <f t="shared" ref="H124:I124" si="572">1/H118</f>
        <v>#DIV/0!</v>
      </c>
      <c r="I124" s="108" t="e">
        <f t="shared" si="572"/>
        <v>#DIV/0!</v>
      </c>
      <c r="J124" s="108" t="e">
        <f t="shared" si="568"/>
        <v>#DIV/0!</v>
      </c>
      <c r="K124" s="108" t="e">
        <f t="shared" si="568"/>
        <v>#DIV/0!</v>
      </c>
      <c r="L124" s="108">
        <f t="shared" si="568"/>
        <v>8.75</v>
      </c>
      <c r="M124" s="108">
        <f t="shared" si="568"/>
        <v>3.75</v>
      </c>
      <c r="N124" s="108">
        <f t="shared" si="568"/>
        <v>7.4285714285714288</v>
      </c>
      <c r="O124" s="108">
        <f t="shared" si="568"/>
        <v>1.346153846153846</v>
      </c>
      <c r="P124" s="108">
        <f t="shared" si="568"/>
        <v>3.416666666666667</v>
      </c>
      <c r="Q124" s="108">
        <f t="shared" si="568"/>
        <v>2.5999999999999996</v>
      </c>
      <c r="R124" s="108">
        <f t="shared" ref="R124:W124" si="573">1/R118</f>
        <v>2.3181818181818179</v>
      </c>
      <c r="S124" s="108">
        <f t="shared" si="573"/>
        <v>0.73809523809523814</v>
      </c>
      <c r="T124" s="108">
        <f t="shared" si="573"/>
        <v>1.0116279069767442</v>
      </c>
      <c r="U124" s="108">
        <f t="shared" si="573"/>
        <v>1.2346938775510206</v>
      </c>
      <c r="V124" s="108">
        <f t="shared" si="573"/>
        <v>0.81521739130434789</v>
      </c>
      <c r="W124" s="108">
        <f t="shared" si="573"/>
        <v>0.81521739130434789</v>
      </c>
      <c r="X124" s="101">
        <f t="shared" si="347"/>
        <v>-0.1668700985986149</v>
      </c>
      <c r="Y124" s="10"/>
      <c r="Z124" s="108">
        <f t="shared" ref="Z124:AI124" si="574">1/Z118</f>
        <v>0.81521739130434789</v>
      </c>
      <c r="AA124" s="108">
        <f t="shared" si="574"/>
        <v>0.81521739130434789</v>
      </c>
      <c r="AB124" s="108">
        <f t="shared" si="574"/>
        <v>0.81521739130434789</v>
      </c>
      <c r="AC124" s="108">
        <f t="shared" si="574"/>
        <v>0.81521739130434789</v>
      </c>
      <c r="AD124" s="108">
        <f t="shared" si="574"/>
        <v>0.81521739130434789</v>
      </c>
      <c r="AE124" s="108">
        <f t="shared" si="574"/>
        <v>0.81521739130434778</v>
      </c>
      <c r="AF124" s="108">
        <f t="shared" si="574"/>
        <v>0.81521739130434778</v>
      </c>
      <c r="AG124" s="108">
        <f t="shared" si="574"/>
        <v>0.81521739130434778</v>
      </c>
      <c r="AH124" s="108">
        <f t="shared" si="574"/>
        <v>0.81521739130434778</v>
      </c>
      <c r="AI124" s="108">
        <f t="shared" si="574"/>
        <v>0.81521739130434778</v>
      </c>
      <c r="AJ124" s="115" t="e">
        <f t="shared" si="505"/>
        <v>#DIV/0!</v>
      </c>
      <c r="AK124" s="21">
        <f t="shared" si="506"/>
        <v>0.01</v>
      </c>
      <c r="AL124" s="123" t="e">
        <f t="shared" si="373"/>
        <v>#DIV/0!</v>
      </c>
    </row>
    <row r="125" spans="1:38" ht="12" customHeight="1" x14ac:dyDescent="0.2">
      <c r="B125" s="10" t="s">
        <v>347</v>
      </c>
      <c r="C125" s="128"/>
      <c r="D125" s="128"/>
      <c r="E125" s="128"/>
      <c r="F125" s="108"/>
      <c r="G125" s="108">
        <f t="shared" ref="G125" si="575">1/G119</f>
        <v>1.5</v>
      </c>
      <c r="H125" s="108" t="e">
        <f t="shared" ref="H125:I125" si="576">1/H119</f>
        <v>#DIV/0!</v>
      </c>
      <c r="I125" s="108" t="e">
        <f t="shared" si="576"/>
        <v>#DIV/0!</v>
      </c>
      <c r="J125" s="108" t="e">
        <f t="shared" si="568"/>
        <v>#DIV/0!</v>
      </c>
      <c r="K125" s="108" t="e">
        <f t="shared" si="568"/>
        <v>#DIV/0!</v>
      </c>
      <c r="L125" s="108">
        <f t="shared" si="568"/>
        <v>1.5</v>
      </c>
      <c r="M125" s="108">
        <f t="shared" si="568"/>
        <v>1.5</v>
      </c>
      <c r="N125" s="108">
        <f t="shared" si="568"/>
        <v>6</v>
      </c>
      <c r="O125" s="108">
        <f t="shared" si="568"/>
        <v>1.7692307692307694</v>
      </c>
      <c r="P125" s="108">
        <f t="shared" si="568"/>
        <v>3.1111111111111107</v>
      </c>
      <c r="Q125" s="108">
        <f t="shared" si="568"/>
        <v>1.5555555555555554</v>
      </c>
      <c r="R125" s="108">
        <f t="shared" ref="R125:W125" si="577">1/R119</f>
        <v>0.90909090909090906</v>
      </c>
      <c r="S125" s="108">
        <f t="shared" si="577"/>
        <v>1.0119047619047619</v>
      </c>
      <c r="T125" s="108">
        <f t="shared" si="577"/>
        <v>0.93023255813953487</v>
      </c>
      <c r="U125" s="108">
        <f t="shared" si="577"/>
        <v>1.2040816326530612</v>
      </c>
      <c r="V125" s="108">
        <f t="shared" si="577"/>
        <v>0.69565217391304346</v>
      </c>
      <c r="W125" s="108">
        <f t="shared" si="577"/>
        <v>0.69565217391304346</v>
      </c>
      <c r="X125" s="101">
        <f t="shared" si="347"/>
        <v>-5.7392616033853705E-2</v>
      </c>
      <c r="Y125" s="10"/>
      <c r="Z125" s="108">
        <f t="shared" ref="Z125:AI125" si="578">1/Z119</f>
        <v>0.69565217391304346</v>
      </c>
      <c r="AA125" s="108">
        <f t="shared" si="578"/>
        <v>0.69565217391304346</v>
      </c>
      <c r="AB125" s="108">
        <f t="shared" si="578"/>
        <v>0.69565217391304357</v>
      </c>
      <c r="AC125" s="108">
        <f t="shared" si="578"/>
        <v>0.69565217391304357</v>
      </c>
      <c r="AD125" s="108">
        <f t="shared" si="578"/>
        <v>0.69565217391304357</v>
      </c>
      <c r="AE125" s="108">
        <f t="shared" si="578"/>
        <v>0.69565217391304357</v>
      </c>
      <c r="AF125" s="108">
        <f t="shared" si="578"/>
        <v>0.69565217391304346</v>
      </c>
      <c r="AG125" s="108">
        <f t="shared" si="578"/>
        <v>0.69565217391304346</v>
      </c>
      <c r="AH125" s="108">
        <f t="shared" si="578"/>
        <v>0.69565217391304346</v>
      </c>
      <c r="AI125" s="108">
        <f t="shared" si="578"/>
        <v>0.69565217391304357</v>
      </c>
      <c r="AJ125" s="115" t="e">
        <f t="shared" si="505"/>
        <v>#DIV/0!</v>
      </c>
      <c r="AK125" s="21">
        <f t="shared" si="506"/>
        <v>0.01</v>
      </c>
      <c r="AL125" s="123" t="e">
        <f t="shared" si="373"/>
        <v>#DIV/0!</v>
      </c>
    </row>
    <row r="126" spans="1:38" ht="12" customHeight="1" x14ac:dyDescent="0.2">
      <c r="B126" s="10" t="s">
        <v>348</v>
      </c>
      <c r="C126" s="128"/>
      <c r="D126" s="128"/>
      <c r="E126" s="128"/>
      <c r="F126" s="108"/>
      <c r="G126" s="108" t="e">
        <f t="shared" ref="G126" si="579">1/G120</f>
        <v>#DIV/0!</v>
      </c>
      <c r="H126" s="108" t="e">
        <f t="shared" ref="H126:I126" si="580">1/H120</f>
        <v>#DIV/0!</v>
      </c>
      <c r="I126" s="108" t="e">
        <f t="shared" si="580"/>
        <v>#DIV/0!</v>
      </c>
      <c r="J126" s="108" t="e">
        <f t="shared" si="568"/>
        <v>#DIV/0!</v>
      </c>
      <c r="K126" s="108" t="e">
        <f t="shared" si="568"/>
        <v>#DIV/0!</v>
      </c>
      <c r="L126" s="108" t="e">
        <f t="shared" si="568"/>
        <v>#DIV/0!</v>
      </c>
      <c r="M126" s="108" t="e">
        <f t="shared" si="568"/>
        <v>#DIV/0!</v>
      </c>
      <c r="N126" s="108" t="e">
        <f t="shared" si="568"/>
        <v>#DIV/0!</v>
      </c>
      <c r="O126" s="108" t="e">
        <f t="shared" si="568"/>
        <v>#DIV/0!</v>
      </c>
      <c r="P126" s="108" t="e">
        <f t="shared" si="568"/>
        <v>#DIV/0!</v>
      </c>
      <c r="Q126" s="108" t="e">
        <f t="shared" si="568"/>
        <v>#DIV/0!</v>
      </c>
      <c r="R126" s="108" t="e">
        <f t="shared" ref="R126:W126" si="581">1/R120</f>
        <v>#DIV/0!</v>
      </c>
      <c r="S126" s="108" t="e">
        <f t="shared" si="581"/>
        <v>#DIV/0!</v>
      </c>
      <c r="T126" s="108" t="e">
        <f t="shared" si="581"/>
        <v>#DIV/0!</v>
      </c>
      <c r="U126" s="108" t="e">
        <f t="shared" si="581"/>
        <v>#DIV/0!</v>
      </c>
      <c r="V126" s="108" t="e">
        <f t="shared" si="581"/>
        <v>#DIV/0!</v>
      </c>
      <c r="W126" s="108" t="e">
        <f t="shared" si="581"/>
        <v>#DIV/0!</v>
      </c>
      <c r="X126" s="101" t="e">
        <f t="shared" si="347"/>
        <v>#DIV/0!</v>
      </c>
      <c r="Y126" s="10"/>
      <c r="Z126" s="108" t="e">
        <f t="shared" ref="Z126:AI126" si="582">1/Z120</f>
        <v>#DIV/0!</v>
      </c>
      <c r="AA126" s="108" t="e">
        <f t="shared" si="582"/>
        <v>#DIV/0!</v>
      </c>
      <c r="AB126" s="108" t="e">
        <f t="shared" si="582"/>
        <v>#DIV/0!</v>
      </c>
      <c r="AC126" s="108" t="e">
        <f t="shared" si="582"/>
        <v>#DIV/0!</v>
      </c>
      <c r="AD126" s="108" t="e">
        <f t="shared" si="582"/>
        <v>#DIV/0!</v>
      </c>
      <c r="AE126" s="108" t="e">
        <f t="shared" si="582"/>
        <v>#DIV/0!</v>
      </c>
      <c r="AF126" s="108" t="e">
        <f t="shared" si="582"/>
        <v>#DIV/0!</v>
      </c>
      <c r="AG126" s="108" t="e">
        <f t="shared" si="582"/>
        <v>#DIV/0!</v>
      </c>
      <c r="AH126" s="108" t="e">
        <f t="shared" si="582"/>
        <v>#DIV/0!</v>
      </c>
      <c r="AI126" s="108" t="e">
        <f t="shared" si="582"/>
        <v>#DIV/0!</v>
      </c>
      <c r="AJ126" s="115" t="e">
        <f t="shared" si="505"/>
        <v>#DIV/0!</v>
      </c>
      <c r="AK126" s="21">
        <f t="shared" si="506"/>
        <v>0.01</v>
      </c>
      <c r="AL126" s="123" t="e">
        <f t="shared" si="373"/>
        <v>#DIV/0!</v>
      </c>
    </row>
    <row r="127" spans="1:38" ht="12" customHeight="1" x14ac:dyDescent="0.2">
      <c r="B127" s="10"/>
      <c r="C127" s="128"/>
      <c r="D127" s="128"/>
      <c r="E127" s="128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01" t="e">
        <f t="shared" si="347"/>
        <v>#DIV/0!</v>
      </c>
      <c r="Y127" s="10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3"/>
      <c r="AL127" s="123"/>
    </row>
    <row r="128" spans="1:38" ht="12" customHeight="1" x14ac:dyDescent="0.2">
      <c r="A128" s="303" t="s">
        <v>417</v>
      </c>
      <c r="B128" s="175" t="s">
        <v>424</v>
      </c>
      <c r="C128" s="128"/>
      <c r="D128" s="128"/>
      <c r="E128" s="128"/>
      <c r="F128" s="144"/>
      <c r="G128" s="144" t="e">
        <f t="shared" ref="G128" si="583">G25/(G36+G38)</f>
        <v>#DIV/0!</v>
      </c>
      <c r="H128" s="144" t="e">
        <f t="shared" ref="H128:I128" si="584">H25/(H36+H38)</f>
        <v>#DIV/0!</v>
      </c>
      <c r="I128" s="144" t="e">
        <f t="shared" si="584"/>
        <v>#DIV/0!</v>
      </c>
      <c r="J128" s="144" t="e">
        <f t="shared" ref="J128:Q128" si="585">J25/(J36+J38)</f>
        <v>#DIV/0!</v>
      </c>
      <c r="K128" s="144" t="e">
        <f t="shared" si="585"/>
        <v>#DIV/0!</v>
      </c>
      <c r="L128" s="144" t="e">
        <f t="shared" si="585"/>
        <v>#DIV/0!</v>
      </c>
      <c r="M128" s="144" t="e">
        <f t="shared" si="585"/>
        <v>#DIV/0!</v>
      </c>
      <c r="N128" s="144" t="e">
        <f t="shared" si="585"/>
        <v>#DIV/0!</v>
      </c>
      <c r="O128" s="144" t="e">
        <f t="shared" si="585"/>
        <v>#DIV/0!</v>
      </c>
      <c r="P128" s="144" t="e">
        <f t="shared" si="585"/>
        <v>#DIV/0!</v>
      </c>
      <c r="Q128" s="144" t="e">
        <f t="shared" si="585"/>
        <v>#DIV/0!</v>
      </c>
      <c r="R128" s="144">
        <f t="shared" ref="R128:W128" si="586">R25/(R36+R38)</f>
        <v>708</v>
      </c>
      <c r="S128" s="144">
        <f t="shared" si="586"/>
        <v>385</v>
      </c>
      <c r="T128" s="144">
        <f t="shared" si="586"/>
        <v>324.66666666666669</v>
      </c>
      <c r="U128" s="144">
        <f t="shared" si="586"/>
        <v>354.25</v>
      </c>
      <c r="V128" s="144">
        <f t="shared" si="586"/>
        <v>176</v>
      </c>
      <c r="W128" s="144">
        <f t="shared" si="586"/>
        <v>146.66666666666666</v>
      </c>
      <c r="X128" s="101" t="e">
        <f t="shared" si="347"/>
        <v>#DIV/0!</v>
      </c>
      <c r="Y128" s="10"/>
      <c r="Z128" s="144">
        <f t="shared" ref="Z128:AI128" si="587">Z25/(Z36+Z38)</f>
        <v>146.66666666666669</v>
      </c>
      <c r="AA128" s="144">
        <f t="shared" si="587"/>
        <v>146.66666666666669</v>
      </c>
      <c r="AB128" s="144">
        <f t="shared" si="587"/>
        <v>146.66666666666669</v>
      </c>
      <c r="AC128" s="144">
        <f t="shared" si="587"/>
        <v>146.66666666666669</v>
      </c>
      <c r="AD128" s="144">
        <f t="shared" si="587"/>
        <v>146.66666666666669</v>
      </c>
      <c r="AE128" s="144">
        <f t="shared" si="587"/>
        <v>146.66666666666671</v>
      </c>
      <c r="AF128" s="144">
        <f t="shared" si="587"/>
        <v>146.66666666666671</v>
      </c>
      <c r="AG128" s="144">
        <f t="shared" si="587"/>
        <v>146.66666666666671</v>
      </c>
      <c r="AH128" s="144">
        <f t="shared" si="587"/>
        <v>146.66666666666671</v>
      </c>
      <c r="AI128" s="144">
        <f t="shared" si="587"/>
        <v>146.66666666666671</v>
      </c>
      <c r="AJ128" s="115" t="e">
        <f t="shared" ref="AJ128:AJ136" si="588">((AI128/J128)^(1/($AI$3-$K$1) ))-1</f>
        <v>#DIV/0!</v>
      </c>
      <c r="AK128" s="21">
        <f t="shared" si="506"/>
        <v>0.01</v>
      </c>
      <c r="AL128" s="123" t="e">
        <f t="shared" si="373"/>
        <v>#DIV/0!</v>
      </c>
    </row>
    <row r="129" spans="1:38" ht="12" customHeight="1" x14ac:dyDescent="0.2">
      <c r="A129" s="303"/>
      <c r="B129" s="175" t="s">
        <v>419</v>
      </c>
      <c r="C129" s="128"/>
      <c r="D129" s="128"/>
      <c r="E129" s="128"/>
      <c r="F129" s="144"/>
      <c r="G129" s="144" t="e">
        <f t="shared" ref="G129" si="589">G25/G43</f>
        <v>#DIV/0!</v>
      </c>
      <c r="H129" s="144" t="e">
        <f t="shared" ref="H129:I129" si="590">H25/H43</f>
        <v>#DIV/0!</v>
      </c>
      <c r="I129" s="144" t="e">
        <f t="shared" si="590"/>
        <v>#DIV/0!</v>
      </c>
      <c r="J129" s="144" t="e">
        <f t="shared" ref="J129:Q129" si="591">J25/J43</f>
        <v>#DIV/0!</v>
      </c>
      <c r="K129" s="144" t="e">
        <f t="shared" si="591"/>
        <v>#DIV/0!</v>
      </c>
      <c r="L129" s="144" t="e">
        <f t="shared" si="591"/>
        <v>#DIV/0!</v>
      </c>
      <c r="M129" s="144" t="e">
        <f t="shared" si="591"/>
        <v>#DIV/0!</v>
      </c>
      <c r="N129" s="144" t="e">
        <f t="shared" si="591"/>
        <v>#DIV/0!</v>
      </c>
      <c r="O129" s="144" t="e">
        <f t="shared" si="591"/>
        <v>#DIV/0!</v>
      </c>
      <c r="P129" s="144" t="e">
        <f t="shared" si="591"/>
        <v>#DIV/0!</v>
      </c>
      <c r="Q129" s="144" t="e">
        <f t="shared" si="591"/>
        <v>#DIV/0!</v>
      </c>
      <c r="R129" s="144" t="e">
        <f t="shared" ref="R129:W129" si="592">R25/R43</f>
        <v>#DIV/0!</v>
      </c>
      <c r="S129" s="144" t="e">
        <f t="shared" si="592"/>
        <v>#DIV/0!</v>
      </c>
      <c r="T129" s="144" t="e">
        <f t="shared" si="592"/>
        <v>#DIV/0!</v>
      </c>
      <c r="U129" s="144" t="e">
        <f t="shared" si="592"/>
        <v>#DIV/0!</v>
      </c>
      <c r="V129" s="144" t="e">
        <f t="shared" si="592"/>
        <v>#DIV/0!</v>
      </c>
      <c r="W129" s="144" t="e">
        <f t="shared" si="592"/>
        <v>#DIV/0!</v>
      </c>
      <c r="X129" s="101" t="e">
        <f t="shared" si="347"/>
        <v>#DIV/0!</v>
      </c>
      <c r="Y129" s="10"/>
      <c r="Z129" s="144" t="e">
        <f t="shared" ref="Z129:AI129" si="593">Z25/Z43</f>
        <v>#DIV/0!</v>
      </c>
      <c r="AA129" s="144" t="e">
        <f t="shared" si="593"/>
        <v>#DIV/0!</v>
      </c>
      <c r="AB129" s="144" t="e">
        <f t="shared" si="593"/>
        <v>#DIV/0!</v>
      </c>
      <c r="AC129" s="144" t="e">
        <f t="shared" si="593"/>
        <v>#DIV/0!</v>
      </c>
      <c r="AD129" s="144" t="e">
        <f t="shared" si="593"/>
        <v>#DIV/0!</v>
      </c>
      <c r="AE129" s="144" t="e">
        <f t="shared" si="593"/>
        <v>#DIV/0!</v>
      </c>
      <c r="AF129" s="144" t="e">
        <f t="shared" si="593"/>
        <v>#DIV/0!</v>
      </c>
      <c r="AG129" s="144" t="e">
        <f t="shared" si="593"/>
        <v>#DIV/0!</v>
      </c>
      <c r="AH129" s="144" t="e">
        <f t="shared" si="593"/>
        <v>#DIV/0!</v>
      </c>
      <c r="AI129" s="144" t="e">
        <f t="shared" si="593"/>
        <v>#DIV/0!</v>
      </c>
      <c r="AJ129" s="115" t="e">
        <f t="shared" si="588"/>
        <v>#DIV/0!</v>
      </c>
      <c r="AK129" s="21">
        <f t="shared" si="506"/>
        <v>0.01</v>
      </c>
      <c r="AL129" s="123" t="e">
        <f t="shared" si="373"/>
        <v>#DIV/0!</v>
      </c>
    </row>
    <row r="130" spans="1:38" ht="12" customHeight="1" x14ac:dyDescent="0.2">
      <c r="A130" s="303"/>
      <c r="B130" s="175" t="s">
        <v>425</v>
      </c>
      <c r="C130" s="128"/>
      <c r="D130" s="128"/>
      <c r="E130" s="128"/>
      <c r="F130" s="144"/>
      <c r="G130" s="144" t="e">
        <f t="shared" ref="G130" si="594">G43/(G36)</f>
        <v>#DIV/0!</v>
      </c>
      <c r="H130" s="144" t="e">
        <f t="shared" ref="H130:I130" si="595">H43/(H36)</f>
        <v>#DIV/0!</v>
      </c>
      <c r="I130" s="144" t="e">
        <f t="shared" si="595"/>
        <v>#DIV/0!</v>
      </c>
      <c r="J130" s="144" t="e">
        <f t="shared" ref="J130:Q130" si="596">J43/(J36)</f>
        <v>#DIV/0!</v>
      </c>
      <c r="K130" s="144" t="e">
        <f t="shared" si="596"/>
        <v>#DIV/0!</v>
      </c>
      <c r="L130" s="144" t="e">
        <f t="shared" si="596"/>
        <v>#DIV/0!</v>
      </c>
      <c r="M130" s="144" t="e">
        <f t="shared" si="596"/>
        <v>#DIV/0!</v>
      </c>
      <c r="N130" s="144" t="e">
        <f t="shared" si="596"/>
        <v>#DIV/0!</v>
      </c>
      <c r="O130" s="144" t="e">
        <f t="shared" si="596"/>
        <v>#DIV/0!</v>
      </c>
      <c r="P130" s="144" t="e">
        <f t="shared" si="596"/>
        <v>#DIV/0!</v>
      </c>
      <c r="Q130" s="144" t="e">
        <f t="shared" si="596"/>
        <v>#DIV/0!</v>
      </c>
      <c r="R130" s="144" t="e">
        <f t="shared" ref="R130:W130" si="597">R43/(R36)</f>
        <v>#DIV/0!</v>
      </c>
      <c r="S130" s="144" t="e">
        <f t="shared" si="597"/>
        <v>#DIV/0!</v>
      </c>
      <c r="T130" s="144" t="e">
        <f t="shared" si="597"/>
        <v>#DIV/0!</v>
      </c>
      <c r="U130" s="144" t="e">
        <f t="shared" si="597"/>
        <v>#DIV/0!</v>
      </c>
      <c r="V130" s="144" t="e">
        <f t="shared" si="597"/>
        <v>#DIV/0!</v>
      </c>
      <c r="W130" s="144" t="e">
        <f t="shared" si="597"/>
        <v>#DIV/0!</v>
      </c>
      <c r="X130" s="101" t="e">
        <f t="shared" si="347"/>
        <v>#DIV/0!</v>
      </c>
      <c r="Y130" s="10"/>
      <c r="Z130" s="144">
        <f t="shared" ref="Z130:AI130" si="598">Z43/(Z36+Z38)</f>
        <v>0</v>
      </c>
      <c r="AA130" s="144">
        <f t="shared" si="598"/>
        <v>0</v>
      </c>
      <c r="AB130" s="144">
        <f t="shared" si="598"/>
        <v>0</v>
      </c>
      <c r="AC130" s="144">
        <f t="shared" si="598"/>
        <v>0</v>
      </c>
      <c r="AD130" s="144">
        <f t="shared" si="598"/>
        <v>0</v>
      </c>
      <c r="AE130" s="144">
        <f t="shared" si="598"/>
        <v>0</v>
      </c>
      <c r="AF130" s="144">
        <f t="shared" si="598"/>
        <v>0</v>
      </c>
      <c r="AG130" s="144">
        <f t="shared" si="598"/>
        <v>0</v>
      </c>
      <c r="AH130" s="144">
        <f t="shared" si="598"/>
        <v>0</v>
      </c>
      <c r="AI130" s="144">
        <f t="shared" si="598"/>
        <v>0</v>
      </c>
      <c r="AJ130" s="115" t="e">
        <f t="shared" si="588"/>
        <v>#DIV/0!</v>
      </c>
      <c r="AK130" s="21">
        <f t="shared" si="506"/>
        <v>0.01</v>
      </c>
      <c r="AL130" s="123" t="e">
        <f t="shared" si="373"/>
        <v>#DIV/0!</v>
      </c>
    </row>
    <row r="131" spans="1:38" ht="12" customHeight="1" x14ac:dyDescent="0.2">
      <c r="A131" s="303"/>
      <c r="B131" s="175" t="s">
        <v>423</v>
      </c>
      <c r="C131" s="128"/>
      <c r="D131" s="128"/>
      <c r="E131" s="128"/>
      <c r="F131" s="144"/>
      <c r="G131" s="144" t="e">
        <f t="shared" ref="G131" si="599">G43/G38</f>
        <v>#DIV/0!</v>
      </c>
      <c r="H131" s="144" t="e">
        <f t="shared" ref="H131:I131" si="600">H43/H38</f>
        <v>#DIV/0!</v>
      </c>
      <c r="I131" s="144" t="e">
        <f t="shared" si="600"/>
        <v>#DIV/0!</v>
      </c>
      <c r="J131" s="144" t="e">
        <f t="shared" ref="J131:Q131" si="601">J43/J38</f>
        <v>#DIV/0!</v>
      </c>
      <c r="K131" s="144" t="e">
        <f t="shared" si="601"/>
        <v>#DIV/0!</v>
      </c>
      <c r="L131" s="144" t="e">
        <f t="shared" si="601"/>
        <v>#DIV/0!</v>
      </c>
      <c r="M131" s="144" t="e">
        <f t="shared" si="601"/>
        <v>#DIV/0!</v>
      </c>
      <c r="N131" s="144" t="e">
        <f t="shared" si="601"/>
        <v>#DIV/0!</v>
      </c>
      <c r="O131" s="144" t="e">
        <f t="shared" si="601"/>
        <v>#DIV/0!</v>
      </c>
      <c r="P131" s="144" t="e">
        <f t="shared" si="601"/>
        <v>#DIV/0!</v>
      </c>
      <c r="Q131" s="144" t="e">
        <f t="shared" si="601"/>
        <v>#DIV/0!</v>
      </c>
      <c r="R131" s="144">
        <f t="shared" ref="R131:W131" si="602">R43/R38</f>
        <v>0</v>
      </c>
      <c r="S131" s="144">
        <f t="shared" si="602"/>
        <v>0</v>
      </c>
      <c r="T131" s="144">
        <f t="shared" si="602"/>
        <v>0</v>
      </c>
      <c r="U131" s="144">
        <f t="shared" si="602"/>
        <v>0</v>
      </c>
      <c r="V131" s="144">
        <f t="shared" si="602"/>
        <v>0</v>
      </c>
      <c r="W131" s="144">
        <f t="shared" si="602"/>
        <v>0</v>
      </c>
      <c r="X131" s="101" t="e">
        <f t="shared" si="347"/>
        <v>#DIV/0!</v>
      </c>
      <c r="Y131" s="10"/>
      <c r="Z131" s="144">
        <f t="shared" ref="Z131:AI131" si="603">Z43/Z38</f>
        <v>0</v>
      </c>
      <c r="AA131" s="144">
        <f t="shared" si="603"/>
        <v>0</v>
      </c>
      <c r="AB131" s="144">
        <f t="shared" si="603"/>
        <v>0</v>
      </c>
      <c r="AC131" s="144">
        <f t="shared" si="603"/>
        <v>0</v>
      </c>
      <c r="AD131" s="144">
        <f t="shared" si="603"/>
        <v>0</v>
      </c>
      <c r="AE131" s="144">
        <f t="shared" si="603"/>
        <v>0</v>
      </c>
      <c r="AF131" s="144">
        <f t="shared" si="603"/>
        <v>0</v>
      </c>
      <c r="AG131" s="144">
        <f t="shared" si="603"/>
        <v>0</v>
      </c>
      <c r="AH131" s="144">
        <f t="shared" si="603"/>
        <v>0</v>
      </c>
      <c r="AI131" s="144">
        <f t="shared" si="603"/>
        <v>0</v>
      </c>
      <c r="AJ131" s="115" t="e">
        <f t="shared" si="588"/>
        <v>#DIV/0!</v>
      </c>
      <c r="AK131" s="21">
        <f t="shared" si="506"/>
        <v>0.01</v>
      </c>
      <c r="AL131" s="123" t="e">
        <f t="shared" si="373"/>
        <v>#DIV/0!</v>
      </c>
    </row>
    <row r="132" spans="1:38" ht="12" customHeight="1" x14ac:dyDescent="0.2">
      <c r="A132" s="303"/>
      <c r="B132" s="175" t="s">
        <v>422</v>
      </c>
      <c r="C132" s="128"/>
      <c r="D132" s="128"/>
      <c r="E132" s="128"/>
      <c r="F132" s="144"/>
      <c r="G132" s="144" t="e">
        <f t="shared" ref="G132" si="604">G43/(G36+G38)</f>
        <v>#DIV/0!</v>
      </c>
      <c r="H132" s="144" t="e">
        <f t="shared" ref="H132:I132" si="605">H43/(H36+H38)</f>
        <v>#DIV/0!</v>
      </c>
      <c r="I132" s="144" t="e">
        <f t="shared" si="605"/>
        <v>#DIV/0!</v>
      </c>
      <c r="J132" s="144" t="e">
        <f t="shared" ref="J132:Q132" si="606">J43/(J36+J38)</f>
        <v>#DIV/0!</v>
      </c>
      <c r="K132" s="144" t="e">
        <f t="shared" si="606"/>
        <v>#DIV/0!</v>
      </c>
      <c r="L132" s="144" t="e">
        <f t="shared" si="606"/>
        <v>#DIV/0!</v>
      </c>
      <c r="M132" s="144" t="e">
        <f t="shared" si="606"/>
        <v>#DIV/0!</v>
      </c>
      <c r="N132" s="144" t="e">
        <f t="shared" si="606"/>
        <v>#DIV/0!</v>
      </c>
      <c r="O132" s="144" t="e">
        <f t="shared" si="606"/>
        <v>#DIV/0!</v>
      </c>
      <c r="P132" s="144" t="e">
        <f t="shared" si="606"/>
        <v>#DIV/0!</v>
      </c>
      <c r="Q132" s="144" t="e">
        <f t="shared" si="606"/>
        <v>#DIV/0!</v>
      </c>
      <c r="R132" s="144">
        <f t="shared" ref="R132:W132" si="607">R43/(R36+R38)</f>
        <v>0</v>
      </c>
      <c r="S132" s="144">
        <f t="shared" si="607"/>
        <v>0</v>
      </c>
      <c r="T132" s="144">
        <f t="shared" si="607"/>
        <v>0</v>
      </c>
      <c r="U132" s="144">
        <f t="shared" si="607"/>
        <v>0</v>
      </c>
      <c r="V132" s="144">
        <f t="shared" si="607"/>
        <v>0</v>
      </c>
      <c r="W132" s="144">
        <f t="shared" si="607"/>
        <v>0</v>
      </c>
      <c r="X132" s="101" t="e">
        <f t="shared" si="347"/>
        <v>#DIV/0!</v>
      </c>
      <c r="Y132" s="10"/>
      <c r="Z132" s="144">
        <f t="shared" ref="Z132:AI132" si="608">Z43/(Z36+Z38)</f>
        <v>0</v>
      </c>
      <c r="AA132" s="144">
        <f t="shared" si="608"/>
        <v>0</v>
      </c>
      <c r="AB132" s="144">
        <f t="shared" si="608"/>
        <v>0</v>
      </c>
      <c r="AC132" s="144">
        <f t="shared" si="608"/>
        <v>0</v>
      </c>
      <c r="AD132" s="144">
        <f t="shared" si="608"/>
        <v>0</v>
      </c>
      <c r="AE132" s="144">
        <f t="shared" si="608"/>
        <v>0</v>
      </c>
      <c r="AF132" s="144">
        <f t="shared" si="608"/>
        <v>0</v>
      </c>
      <c r="AG132" s="144">
        <f t="shared" si="608"/>
        <v>0</v>
      </c>
      <c r="AH132" s="144">
        <f t="shared" si="608"/>
        <v>0</v>
      </c>
      <c r="AI132" s="144">
        <f t="shared" si="608"/>
        <v>0</v>
      </c>
      <c r="AJ132" s="115" t="e">
        <f>((AI132/J132)^(1/($AI$3-$K$1) ))-1</f>
        <v>#DIV/0!</v>
      </c>
      <c r="AK132" s="21">
        <f t="shared" si="506"/>
        <v>0.01</v>
      </c>
      <c r="AL132" s="123" t="e">
        <f t="shared" si="373"/>
        <v>#DIV/0!</v>
      </c>
    </row>
    <row r="133" spans="1:38" ht="12" customHeight="1" x14ac:dyDescent="0.2">
      <c r="A133" s="303"/>
      <c r="B133" s="175" t="s">
        <v>428</v>
      </c>
      <c r="C133" s="128"/>
      <c r="D133" s="128"/>
      <c r="E133" s="128"/>
      <c r="F133" s="144"/>
      <c r="G133" s="144">
        <f t="shared" ref="G133" si="609">G49/G25</f>
        <v>0</v>
      </c>
      <c r="H133" s="144" t="e">
        <f t="shared" ref="H133:I133" si="610">H49/H25</f>
        <v>#DIV/0!</v>
      </c>
      <c r="I133" s="144" t="e">
        <f t="shared" si="610"/>
        <v>#DIV/0!</v>
      </c>
      <c r="J133" s="144">
        <f t="shared" ref="J133:Q133" si="611">J49/J25</f>
        <v>0</v>
      </c>
      <c r="K133" s="144">
        <f t="shared" si="611"/>
        <v>0</v>
      </c>
      <c r="L133" s="144">
        <f t="shared" si="611"/>
        <v>0</v>
      </c>
      <c r="M133" s="144">
        <f t="shared" si="611"/>
        <v>0</v>
      </c>
      <c r="N133" s="144">
        <f t="shared" si="611"/>
        <v>0</v>
      </c>
      <c r="O133" s="144">
        <f t="shared" si="611"/>
        <v>0</v>
      </c>
      <c r="P133" s="144">
        <f t="shared" si="611"/>
        <v>0</v>
      </c>
      <c r="Q133" s="144">
        <f t="shared" si="611"/>
        <v>0</v>
      </c>
      <c r="R133" s="144">
        <f t="shared" ref="R133:W133" si="612">R49/R25</f>
        <v>1.4124293785310734E-3</v>
      </c>
      <c r="S133" s="144">
        <f t="shared" si="612"/>
        <v>2.5974025974025974E-3</v>
      </c>
      <c r="T133" s="144">
        <f t="shared" si="612"/>
        <v>3.0800821355236141E-3</v>
      </c>
      <c r="U133" s="144">
        <f t="shared" si="612"/>
        <v>2.8228652081863093E-3</v>
      </c>
      <c r="V133" s="144">
        <f t="shared" si="612"/>
        <v>5.681818181818182E-3</v>
      </c>
      <c r="W133" s="144">
        <f t="shared" si="612"/>
        <v>6.8181818181818179E-3</v>
      </c>
      <c r="X133" s="101" t="e">
        <f t="shared" si="347"/>
        <v>#DIV/0!</v>
      </c>
      <c r="Y133" s="10"/>
      <c r="Z133" s="144">
        <f t="shared" ref="Z133:AI133" si="613">Z49/Z25</f>
        <v>6.8181818181818179E-3</v>
      </c>
      <c r="AA133" s="144">
        <f t="shared" si="613"/>
        <v>6.818181818181817E-3</v>
      </c>
      <c r="AB133" s="144">
        <f t="shared" si="613"/>
        <v>6.818181818181817E-3</v>
      </c>
      <c r="AC133" s="144">
        <f t="shared" si="613"/>
        <v>6.818181818181817E-3</v>
      </c>
      <c r="AD133" s="144">
        <f t="shared" si="613"/>
        <v>6.818181818181817E-3</v>
      </c>
      <c r="AE133" s="144">
        <f t="shared" si="613"/>
        <v>6.8181818181818161E-3</v>
      </c>
      <c r="AF133" s="144">
        <f t="shared" si="613"/>
        <v>6.8181818181818161E-3</v>
      </c>
      <c r="AG133" s="144">
        <f t="shared" si="613"/>
        <v>6.8181818181818161E-3</v>
      </c>
      <c r="AH133" s="144">
        <f t="shared" si="613"/>
        <v>6.8181818181818161E-3</v>
      </c>
      <c r="AI133" s="144">
        <f t="shared" si="613"/>
        <v>6.8181818181818161E-3</v>
      </c>
      <c r="AJ133" s="115" t="e">
        <f>((AI133/J133)^(1/($AI$3-$K$1) ))-1</f>
        <v>#DIV/0!</v>
      </c>
      <c r="AK133" s="21">
        <f t="shared" si="506"/>
        <v>0.01</v>
      </c>
      <c r="AL133" s="123" t="e">
        <f t="shared" si="373"/>
        <v>#DIV/0!</v>
      </c>
    </row>
    <row r="134" spans="1:38" ht="12" customHeight="1" x14ac:dyDescent="0.2">
      <c r="A134" s="303"/>
      <c r="B134" s="175" t="s">
        <v>426</v>
      </c>
      <c r="C134" s="128"/>
      <c r="D134" s="128"/>
      <c r="E134" s="128"/>
      <c r="F134" s="179"/>
      <c r="G134" s="179" t="e">
        <f t="shared" ref="G134" si="614">G59/G51</f>
        <v>#DIV/0!</v>
      </c>
      <c r="H134" s="179" t="e">
        <f t="shared" ref="H134:I134" si="615">H59/H51</f>
        <v>#DIV/0!</v>
      </c>
      <c r="I134" s="179" t="e">
        <f t="shared" si="615"/>
        <v>#DIV/0!</v>
      </c>
      <c r="J134" s="179" t="e">
        <f t="shared" ref="J134:Q134" si="616">J59/J51</f>
        <v>#DIV/0!</v>
      </c>
      <c r="K134" s="179" t="e">
        <f t="shared" si="616"/>
        <v>#DIV/0!</v>
      </c>
      <c r="L134" s="179" t="e">
        <f t="shared" si="616"/>
        <v>#DIV/0!</v>
      </c>
      <c r="M134" s="179" t="e">
        <f t="shared" si="616"/>
        <v>#DIV/0!</v>
      </c>
      <c r="N134" s="179" t="e">
        <f t="shared" si="616"/>
        <v>#DIV/0!</v>
      </c>
      <c r="O134" s="179" t="e">
        <f t="shared" si="616"/>
        <v>#DIV/0!</v>
      </c>
      <c r="P134" s="179" t="e">
        <f t="shared" si="616"/>
        <v>#DIV/0!</v>
      </c>
      <c r="Q134" s="179" t="e">
        <f t="shared" si="616"/>
        <v>#DIV/0!</v>
      </c>
      <c r="R134" s="179">
        <f t="shared" ref="R134:W134" si="617">R59/R51</f>
        <v>102</v>
      </c>
      <c r="S134" s="179">
        <f t="shared" si="617"/>
        <v>31</v>
      </c>
      <c r="T134" s="179">
        <f t="shared" si="617"/>
        <v>29</v>
      </c>
      <c r="U134" s="179">
        <f t="shared" si="617"/>
        <v>30.25</v>
      </c>
      <c r="V134" s="179">
        <f t="shared" si="617"/>
        <v>15</v>
      </c>
      <c r="W134" s="179">
        <f t="shared" si="617"/>
        <v>12.5</v>
      </c>
      <c r="X134" s="101" t="e">
        <f t="shared" ref="X134:X171" si="618">((W134/G134)^(1/($K$2-$K$1) ))-1</f>
        <v>#DIV/0!</v>
      </c>
      <c r="Y134" s="10"/>
      <c r="Z134" s="179">
        <f t="shared" ref="Z134:AI134" si="619">Z59/Z51</f>
        <v>12.500000000000002</v>
      </c>
      <c r="AA134" s="179">
        <f t="shared" si="619"/>
        <v>12.500000000000002</v>
      </c>
      <c r="AB134" s="179">
        <f t="shared" si="619"/>
        <v>12.500000000000002</v>
      </c>
      <c r="AC134" s="179">
        <f t="shared" si="619"/>
        <v>12.500000000000002</v>
      </c>
      <c r="AD134" s="179">
        <f t="shared" si="619"/>
        <v>12.500000000000002</v>
      </c>
      <c r="AE134" s="179">
        <f t="shared" si="619"/>
        <v>12.500000000000002</v>
      </c>
      <c r="AF134" s="179">
        <f t="shared" si="619"/>
        <v>12.500000000000002</v>
      </c>
      <c r="AG134" s="179">
        <f t="shared" si="619"/>
        <v>12.500000000000002</v>
      </c>
      <c r="AH134" s="179">
        <f t="shared" si="619"/>
        <v>12.500000000000004</v>
      </c>
      <c r="AI134" s="179">
        <f t="shared" si="619"/>
        <v>12.500000000000002</v>
      </c>
      <c r="AJ134" s="115" t="e">
        <f>((AI134/J134)^(1/($AI$3-$K$1) ))-1</f>
        <v>#DIV/0!</v>
      </c>
      <c r="AK134" s="21">
        <f t="shared" si="506"/>
        <v>0.01</v>
      </c>
      <c r="AL134" s="123" t="e">
        <f t="shared" si="373"/>
        <v>#DIV/0!</v>
      </c>
    </row>
    <row r="135" spans="1:38" ht="12" customHeight="1" x14ac:dyDescent="0.2">
      <c r="A135" s="303"/>
      <c r="B135" s="175" t="s">
        <v>420</v>
      </c>
      <c r="C135" s="128"/>
      <c r="D135" s="128"/>
      <c r="E135" s="128"/>
      <c r="F135" s="144"/>
      <c r="G135" s="144" t="e">
        <f t="shared" ref="G135" si="620">G59/G43</f>
        <v>#DIV/0!</v>
      </c>
      <c r="H135" s="144" t="e">
        <f t="shared" ref="H135:I135" si="621">H59/H43</f>
        <v>#DIV/0!</v>
      </c>
      <c r="I135" s="144" t="e">
        <f t="shared" si="621"/>
        <v>#DIV/0!</v>
      </c>
      <c r="J135" s="144" t="e">
        <f t="shared" ref="J135:Q135" si="622">J59/J43</f>
        <v>#DIV/0!</v>
      </c>
      <c r="K135" s="144" t="e">
        <f t="shared" si="622"/>
        <v>#DIV/0!</v>
      </c>
      <c r="L135" s="144" t="e">
        <f t="shared" si="622"/>
        <v>#DIV/0!</v>
      </c>
      <c r="M135" s="144" t="e">
        <f t="shared" si="622"/>
        <v>#DIV/0!</v>
      </c>
      <c r="N135" s="144" t="e">
        <f t="shared" si="622"/>
        <v>#DIV/0!</v>
      </c>
      <c r="O135" s="144" t="e">
        <f t="shared" si="622"/>
        <v>#DIV/0!</v>
      </c>
      <c r="P135" s="144" t="e">
        <f t="shared" si="622"/>
        <v>#DIV/0!</v>
      </c>
      <c r="Q135" s="144" t="e">
        <f t="shared" si="622"/>
        <v>#DIV/0!</v>
      </c>
      <c r="R135" s="144" t="e">
        <f t="shared" ref="R135:W135" si="623">R59/R43</f>
        <v>#DIV/0!</v>
      </c>
      <c r="S135" s="144" t="e">
        <f t="shared" si="623"/>
        <v>#DIV/0!</v>
      </c>
      <c r="T135" s="144" t="e">
        <f t="shared" si="623"/>
        <v>#DIV/0!</v>
      </c>
      <c r="U135" s="144" t="e">
        <f t="shared" si="623"/>
        <v>#DIV/0!</v>
      </c>
      <c r="V135" s="144" t="e">
        <f t="shared" si="623"/>
        <v>#DIV/0!</v>
      </c>
      <c r="W135" s="144" t="e">
        <f t="shared" si="623"/>
        <v>#DIV/0!</v>
      </c>
      <c r="X135" s="101" t="e">
        <f t="shared" si="618"/>
        <v>#DIV/0!</v>
      </c>
      <c r="Y135" s="10"/>
      <c r="Z135" s="144" t="e">
        <f t="shared" ref="Z135:AI135" si="624">Z59/Z43</f>
        <v>#DIV/0!</v>
      </c>
      <c r="AA135" s="144" t="e">
        <f t="shared" si="624"/>
        <v>#DIV/0!</v>
      </c>
      <c r="AB135" s="144" t="e">
        <f t="shared" si="624"/>
        <v>#DIV/0!</v>
      </c>
      <c r="AC135" s="144" t="e">
        <f t="shared" si="624"/>
        <v>#DIV/0!</v>
      </c>
      <c r="AD135" s="144" t="e">
        <f t="shared" si="624"/>
        <v>#DIV/0!</v>
      </c>
      <c r="AE135" s="144" t="e">
        <f t="shared" si="624"/>
        <v>#DIV/0!</v>
      </c>
      <c r="AF135" s="144" t="e">
        <f t="shared" si="624"/>
        <v>#DIV/0!</v>
      </c>
      <c r="AG135" s="144" t="e">
        <f t="shared" si="624"/>
        <v>#DIV/0!</v>
      </c>
      <c r="AH135" s="144" t="e">
        <f t="shared" si="624"/>
        <v>#DIV/0!</v>
      </c>
      <c r="AI135" s="144" t="e">
        <f t="shared" si="624"/>
        <v>#DIV/0!</v>
      </c>
      <c r="AJ135" s="115" t="e">
        <f t="shared" si="588"/>
        <v>#DIV/0!</v>
      </c>
      <c r="AK135" s="21">
        <f t="shared" si="506"/>
        <v>0.01</v>
      </c>
      <c r="AL135" s="123" t="e">
        <f t="shared" si="373"/>
        <v>#DIV/0!</v>
      </c>
    </row>
    <row r="136" spans="1:38" ht="12" customHeight="1" x14ac:dyDescent="0.2">
      <c r="A136" s="303"/>
      <c r="B136" s="175" t="s">
        <v>421</v>
      </c>
      <c r="C136" s="128"/>
      <c r="D136" s="128"/>
      <c r="E136" s="128"/>
      <c r="F136" s="144"/>
      <c r="G136" s="144" t="e">
        <f t="shared" ref="G136" si="625">G59/(G36+G38)</f>
        <v>#DIV/0!</v>
      </c>
      <c r="H136" s="144" t="e">
        <f t="shared" ref="H136:I136" si="626">H59/(H36+H38)</f>
        <v>#DIV/0!</v>
      </c>
      <c r="I136" s="144" t="e">
        <f t="shared" si="626"/>
        <v>#DIV/0!</v>
      </c>
      <c r="J136" s="144" t="e">
        <f t="shared" ref="J136:Q136" si="627">J59/(J36+J38)</f>
        <v>#DIV/0!</v>
      </c>
      <c r="K136" s="144" t="e">
        <f t="shared" si="627"/>
        <v>#DIV/0!</v>
      </c>
      <c r="L136" s="144" t="e">
        <f t="shared" si="627"/>
        <v>#DIV/0!</v>
      </c>
      <c r="M136" s="144" t="e">
        <f t="shared" si="627"/>
        <v>#DIV/0!</v>
      </c>
      <c r="N136" s="144" t="e">
        <f t="shared" si="627"/>
        <v>#DIV/0!</v>
      </c>
      <c r="O136" s="144" t="e">
        <f t="shared" si="627"/>
        <v>#DIV/0!</v>
      </c>
      <c r="P136" s="144" t="e">
        <f t="shared" si="627"/>
        <v>#DIV/0!</v>
      </c>
      <c r="Q136" s="144" t="e">
        <f t="shared" si="627"/>
        <v>#DIV/0!</v>
      </c>
      <c r="R136" s="144">
        <f t="shared" ref="R136:W136" si="628">R59/(R36+R38)</f>
        <v>102</v>
      </c>
      <c r="S136" s="144">
        <f t="shared" si="628"/>
        <v>31</v>
      </c>
      <c r="T136" s="144">
        <f t="shared" si="628"/>
        <v>29</v>
      </c>
      <c r="U136" s="144">
        <f t="shared" si="628"/>
        <v>30.25</v>
      </c>
      <c r="V136" s="144">
        <f t="shared" si="628"/>
        <v>15</v>
      </c>
      <c r="W136" s="144">
        <f t="shared" si="628"/>
        <v>12.5</v>
      </c>
      <c r="X136" s="101" t="e">
        <f t="shared" si="618"/>
        <v>#DIV/0!</v>
      </c>
      <c r="Y136" s="10"/>
      <c r="Z136" s="144">
        <f t="shared" ref="Z136:AI136" si="629">Z59/(Z36+Z38)</f>
        <v>12.500000000000002</v>
      </c>
      <c r="AA136" s="144">
        <f t="shared" si="629"/>
        <v>12.500000000000002</v>
      </c>
      <c r="AB136" s="144">
        <f t="shared" si="629"/>
        <v>12.500000000000002</v>
      </c>
      <c r="AC136" s="144">
        <f t="shared" si="629"/>
        <v>12.500000000000002</v>
      </c>
      <c r="AD136" s="144">
        <f t="shared" si="629"/>
        <v>12.500000000000002</v>
      </c>
      <c r="AE136" s="144">
        <f t="shared" si="629"/>
        <v>12.500000000000002</v>
      </c>
      <c r="AF136" s="144">
        <f t="shared" si="629"/>
        <v>12.500000000000002</v>
      </c>
      <c r="AG136" s="144">
        <f t="shared" si="629"/>
        <v>12.500000000000002</v>
      </c>
      <c r="AH136" s="144">
        <f t="shared" si="629"/>
        <v>12.500000000000004</v>
      </c>
      <c r="AI136" s="144">
        <f t="shared" si="629"/>
        <v>12.500000000000002</v>
      </c>
      <c r="AJ136" s="115" t="e">
        <f t="shared" si="588"/>
        <v>#DIV/0!</v>
      </c>
      <c r="AK136" s="21">
        <f t="shared" si="506"/>
        <v>0.01</v>
      </c>
      <c r="AL136" s="123" t="e">
        <f t="shared" si="373"/>
        <v>#DIV/0!</v>
      </c>
    </row>
    <row r="137" spans="1:38" ht="12" customHeight="1" x14ac:dyDescent="0.2">
      <c r="B137" s="10"/>
      <c r="C137" s="128"/>
      <c r="D137" s="128"/>
      <c r="E137" s="128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01" t="e">
        <f t="shared" si="618"/>
        <v>#DIV/0!</v>
      </c>
      <c r="Y137" s="10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77"/>
      <c r="AK137" s="123"/>
      <c r="AL137" s="123"/>
    </row>
    <row r="138" spans="1:38" x14ac:dyDescent="0.2">
      <c r="B138" s="10" t="s">
        <v>270</v>
      </c>
      <c r="C138" s="128"/>
      <c r="D138" s="128"/>
      <c r="E138" s="128"/>
      <c r="F138" s="136"/>
      <c r="G138" s="136">
        <f t="shared" ref="G138" si="630">G10-(G12+G13)</f>
        <v>-181</v>
      </c>
      <c r="H138" s="136">
        <f t="shared" ref="H138:I138" si="631">H10-(H12+H13)</f>
        <v>0</v>
      </c>
      <c r="I138" s="136">
        <f t="shared" si="631"/>
        <v>0</v>
      </c>
      <c r="J138" s="136">
        <f t="shared" ref="J138:Q138" si="632">J10-(J12+J13)</f>
        <v>7</v>
      </c>
      <c r="K138" s="136">
        <f t="shared" si="632"/>
        <v>-245</v>
      </c>
      <c r="L138" s="136">
        <f t="shared" si="632"/>
        <v>-181</v>
      </c>
      <c r="M138" s="136">
        <f t="shared" si="632"/>
        <v>-160</v>
      </c>
      <c r="N138" s="136">
        <f t="shared" si="632"/>
        <v>39</v>
      </c>
      <c r="O138" s="136">
        <f t="shared" si="632"/>
        <v>71</v>
      </c>
      <c r="P138" s="136">
        <f t="shared" si="632"/>
        <v>3</v>
      </c>
      <c r="Q138" s="136">
        <f t="shared" si="632"/>
        <v>192</v>
      </c>
      <c r="R138" s="136">
        <f t="shared" ref="R138:W138" si="633">R10-(R12+R13)</f>
        <v>243</v>
      </c>
      <c r="S138" s="136">
        <f t="shared" si="633"/>
        <v>635</v>
      </c>
      <c r="T138" s="136">
        <f t="shared" si="633"/>
        <v>235</v>
      </c>
      <c r="U138" s="136">
        <f t="shared" si="633"/>
        <v>352.79</v>
      </c>
      <c r="V138" s="136">
        <f t="shared" si="633"/>
        <v>493</v>
      </c>
      <c r="W138" s="136">
        <f t="shared" si="633"/>
        <v>493</v>
      </c>
      <c r="X138" s="101">
        <f t="shared" si="618"/>
        <v>-2.0801261686497128</v>
      </c>
      <c r="Y138" s="10"/>
      <c r="Z138" s="136">
        <f t="shared" ref="Z138:AI138" si="634">Z10-(Z12+Z13)</f>
        <v>591.6</v>
      </c>
      <c r="AA138" s="136">
        <f t="shared" si="634"/>
        <v>709.92</v>
      </c>
      <c r="AB138" s="136">
        <f t="shared" si="634"/>
        <v>851.904</v>
      </c>
      <c r="AC138" s="136">
        <f t="shared" si="634"/>
        <v>1022.2847999999999</v>
      </c>
      <c r="AD138" s="136">
        <f t="shared" si="634"/>
        <v>1226.7417599999999</v>
      </c>
      <c r="AE138" s="136">
        <f t="shared" si="634"/>
        <v>1472.0901119999999</v>
      </c>
      <c r="AF138" s="136">
        <f t="shared" si="634"/>
        <v>1766.5081343999996</v>
      </c>
      <c r="AG138" s="136">
        <f t="shared" si="634"/>
        <v>2119.8097612799993</v>
      </c>
      <c r="AH138" s="136">
        <f t="shared" si="634"/>
        <v>2543.7717135359994</v>
      </c>
      <c r="AI138" s="136">
        <f t="shared" si="634"/>
        <v>3052.526056243199</v>
      </c>
      <c r="AJ138" s="115">
        <f t="shared" si="505"/>
        <v>0.30245742684570409</v>
      </c>
      <c r="AK138" s="21">
        <f t="shared" si="506"/>
        <v>0.01</v>
      </c>
      <c r="AL138" s="123" t="e">
        <f t="shared" si="373"/>
        <v>#DIV/0!</v>
      </c>
    </row>
    <row r="139" spans="1:38" ht="12" customHeight="1" x14ac:dyDescent="0.2">
      <c r="B139" s="10" t="s">
        <v>265</v>
      </c>
      <c r="C139" s="10"/>
      <c r="D139" s="10"/>
      <c r="E139" s="10"/>
      <c r="F139" s="128"/>
      <c r="G139" s="128">
        <f t="shared" ref="G139" si="635">G59/G18</f>
        <v>6.3636363636363633</v>
      </c>
      <c r="H139" s="128" t="e">
        <f t="shared" ref="H139:I139" si="636">H59/H18</f>
        <v>#DIV/0!</v>
      </c>
      <c r="I139" s="128" t="e">
        <f t="shared" si="636"/>
        <v>#DIV/0!</v>
      </c>
      <c r="J139" s="128">
        <f t="shared" ref="J139:Q139" si="637">J59/J18</f>
        <v>10.375</v>
      </c>
      <c r="K139" s="128">
        <f t="shared" si="637"/>
        <v>2.4035087719298245</v>
      </c>
      <c r="L139" s="128">
        <f t="shared" si="637"/>
        <v>6.3636363636363633</v>
      </c>
      <c r="M139" s="128">
        <f t="shared" si="637"/>
        <v>0.52631578947368418</v>
      </c>
      <c r="N139" s="128">
        <f t="shared" si="637"/>
        <v>0.88135593220338981</v>
      </c>
      <c r="O139" s="128">
        <f t="shared" si="637"/>
        <v>0.63636363636363635</v>
      </c>
      <c r="P139" s="128">
        <f t="shared" si="637"/>
        <v>1.5569620253164558</v>
      </c>
      <c r="Q139" s="128">
        <f t="shared" si="637"/>
        <v>1.0446428571428572</v>
      </c>
      <c r="R139" s="128">
        <f t="shared" ref="R139:W139" si="638">R59/R18</f>
        <v>0.86440677966101698</v>
      </c>
      <c r="S139" s="128">
        <f t="shared" si="638"/>
        <v>0.46268656716417911</v>
      </c>
      <c r="T139" s="128">
        <f t="shared" si="638"/>
        <v>0.68503937007874016</v>
      </c>
      <c r="U139" s="128">
        <f t="shared" si="638"/>
        <v>1.0341880341880343</v>
      </c>
      <c r="V139" s="128">
        <f t="shared" si="638"/>
        <v>0.7142857142857143</v>
      </c>
      <c r="W139" s="128">
        <f t="shared" si="638"/>
        <v>0.7142857142857143</v>
      </c>
      <c r="X139" s="101">
        <f t="shared" si="618"/>
        <v>-0.15484591871235209</v>
      </c>
      <c r="Y139" s="10"/>
      <c r="Z139" s="128">
        <f t="shared" ref="Z139:AI139" si="639">Z59/Z18</f>
        <v>0.7142857142857143</v>
      </c>
      <c r="AA139" s="128">
        <f t="shared" si="639"/>
        <v>0.7142857142857143</v>
      </c>
      <c r="AB139" s="128">
        <f t="shared" si="639"/>
        <v>0.71428571428571441</v>
      </c>
      <c r="AC139" s="128">
        <f t="shared" si="639"/>
        <v>0.71428571428571441</v>
      </c>
      <c r="AD139" s="128">
        <f t="shared" si="639"/>
        <v>0.7142857142857143</v>
      </c>
      <c r="AE139" s="128">
        <f t="shared" si="639"/>
        <v>0.71428571428571441</v>
      </c>
      <c r="AF139" s="128">
        <f t="shared" si="639"/>
        <v>0.71428571428571441</v>
      </c>
      <c r="AG139" s="128">
        <f t="shared" si="639"/>
        <v>0.71428571428571441</v>
      </c>
      <c r="AH139" s="128">
        <f t="shared" si="639"/>
        <v>0.71428571428571452</v>
      </c>
      <c r="AI139" s="128">
        <f t="shared" si="639"/>
        <v>0.71428571428571441</v>
      </c>
      <c r="AJ139" s="115">
        <f t="shared" si="505"/>
        <v>-0.10982947239030305</v>
      </c>
      <c r="AK139" s="21">
        <f t="shared" si="506"/>
        <v>0.01</v>
      </c>
      <c r="AL139" s="123" t="e">
        <f t="shared" ref="AL139:AL171" si="640">(AI139*(1+AK139))/($O$1-AK139)</f>
        <v>#DIV/0!</v>
      </c>
    </row>
    <row r="140" spans="1:38" x14ac:dyDescent="0.2">
      <c r="B140" s="10" t="s">
        <v>266</v>
      </c>
      <c r="C140" s="10"/>
      <c r="D140" s="10"/>
      <c r="E140" s="10"/>
      <c r="F140" s="128"/>
      <c r="G140" s="128">
        <f t="shared" ref="G140" si="641">G59/G25</f>
        <v>0.2978723404255319</v>
      </c>
      <c r="H140" s="128" t="e">
        <f t="shared" ref="H140:I140" si="642">H59/H25</f>
        <v>#DIV/0!</v>
      </c>
      <c r="I140" s="128" t="e">
        <f t="shared" si="642"/>
        <v>#DIV/0!</v>
      </c>
      <c r="J140" s="128">
        <f t="shared" ref="J140:Q140" si="643">J59/J25</f>
        <v>0.32936507936507936</v>
      </c>
      <c r="K140" s="128">
        <f t="shared" si="643"/>
        <v>0.31065759637188206</v>
      </c>
      <c r="L140" s="128">
        <f t="shared" si="643"/>
        <v>0.2978723404255319</v>
      </c>
      <c r="M140" s="128">
        <f t="shared" si="643"/>
        <v>0.27777777777777779</v>
      </c>
      <c r="N140" s="128">
        <f t="shared" si="643"/>
        <v>0.24880382775119617</v>
      </c>
      <c r="O140" s="128">
        <f t="shared" si="643"/>
        <v>0.13513513513513514</v>
      </c>
      <c r="P140" s="128">
        <f t="shared" si="643"/>
        <v>0.16099476439790575</v>
      </c>
      <c r="Q140" s="128">
        <f t="shared" si="643"/>
        <v>0.15019255455712452</v>
      </c>
      <c r="R140" s="128">
        <f t="shared" ref="R140:W140" si="644">R59/R25</f>
        <v>0.1440677966101695</v>
      </c>
      <c r="S140" s="128">
        <f t="shared" si="644"/>
        <v>8.0519480519480519E-2</v>
      </c>
      <c r="T140" s="128">
        <f t="shared" si="644"/>
        <v>8.932238193018481E-2</v>
      </c>
      <c r="U140" s="128">
        <f t="shared" si="644"/>
        <v>8.5391672547635855E-2</v>
      </c>
      <c r="V140" s="128">
        <f t="shared" si="644"/>
        <v>8.5227272727272721E-2</v>
      </c>
      <c r="W140" s="128">
        <f t="shared" si="644"/>
        <v>8.5227272727272721E-2</v>
      </c>
      <c r="X140" s="101">
        <f t="shared" si="618"/>
        <v>-9.1769605370038754E-2</v>
      </c>
      <c r="Y140" s="10"/>
      <c r="Z140" s="128">
        <f t="shared" ref="Z140:AI140" si="645">Z59/Z25</f>
        <v>8.5227272727272721E-2</v>
      </c>
      <c r="AA140" s="128">
        <f t="shared" si="645"/>
        <v>8.5227272727272721E-2</v>
      </c>
      <c r="AB140" s="128">
        <f t="shared" si="645"/>
        <v>8.5227272727272721E-2</v>
      </c>
      <c r="AC140" s="128">
        <f t="shared" si="645"/>
        <v>8.5227272727272721E-2</v>
      </c>
      <c r="AD140" s="128">
        <f t="shared" si="645"/>
        <v>8.5227272727272721E-2</v>
      </c>
      <c r="AE140" s="128">
        <f t="shared" si="645"/>
        <v>8.5227272727272707E-2</v>
      </c>
      <c r="AF140" s="128">
        <f t="shared" si="645"/>
        <v>8.5227272727272721E-2</v>
      </c>
      <c r="AG140" s="128">
        <f t="shared" si="645"/>
        <v>8.5227272727272721E-2</v>
      </c>
      <c r="AH140" s="128">
        <f t="shared" si="645"/>
        <v>8.5227272727272721E-2</v>
      </c>
      <c r="AI140" s="128">
        <f t="shared" si="645"/>
        <v>8.5227272727272721E-2</v>
      </c>
      <c r="AJ140" s="115">
        <f t="shared" si="505"/>
        <v>-5.7081930766855082E-2</v>
      </c>
      <c r="AK140" s="21">
        <f t="shared" si="506"/>
        <v>0.01</v>
      </c>
      <c r="AL140" s="123" t="e">
        <f t="shared" si="640"/>
        <v>#DIV/0!</v>
      </c>
    </row>
    <row r="141" spans="1:38" x14ac:dyDescent="0.2">
      <c r="B141" s="10" t="s">
        <v>290</v>
      </c>
      <c r="C141" s="10"/>
      <c r="D141" s="10"/>
      <c r="E141" s="128"/>
      <c r="F141" s="128"/>
      <c r="G141" s="128">
        <f t="shared" ref="G141" si="646">G25/G18</f>
        <v>21.363636363636363</v>
      </c>
      <c r="H141" s="128" t="e">
        <f t="shared" ref="H141:I141" si="647">H25/H18</f>
        <v>#DIV/0!</v>
      </c>
      <c r="I141" s="128" t="e">
        <f t="shared" si="647"/>
        <v>#DIV/0!</v>
      </c>
      <c r="J141" s="128">
        <f t="shared" ref="J141:Q141" si="648">J25/J18</f>
        <v>31.5</v>
      </c>
      <c r="K141" s="128">
        <f t="shared" si="648"/>
        <v>7.7368421052631575</v>
      </c>
      <c r="L141" s="128">
        <f t="shared" si="648"/>
        <v>21.363636363636363</v>
      </c>
      <c r="M141" s="128">
        <f t="shared" si="648"/>
        <v>1.8947368421052631</v>
      </c>
      <c r="N141" s="128">
        <f t="shared" si="648"/>
        <v>3.5423728813559321</v>
      </c>
      <c r="O141" s="128">
        <f t="shared" si="648"/>
        <v>4.709090909090909</v>
      </c>
      <c r="P141" s="128">
        <f t="shared" si="648"/>
        <v>9.6708860759493671</v>
      </c>
      <c r="Q141" s="128">
        <f t="shared" si="648"/>
        <v>6.9553571428571432</v>
      </c>
      <c r="R141" s="128">
        <f t="shared" ref="R141:W141" si="649">R25/R18</f>
        <v>6</v>
      </c>
      <c r="S141" s="128">
        <f t="shared" si="649"/>
        <v>5.7462686567164178</v>
      </c>
      <c r="T141" s="128">
        <f t="shared" si="649"/>
        <v>7.6692913385826769</v>
      </c>
      <c r="U141" s="128">
        <f t="shared" si="649"/>
        <v>12.111111111111111</v>
      </c>
      <c r="V141" s="128">
        <f t="shared" si="649"/>
        <v>8.3809523809523814</v>
      </c>
      <c r="W141" s="128">
        <f t="shared" si="649"/>
        <v>8.3809523809523814</v>
      </c>
      <c r="X141" s="101">
        <f t="shared" si="618"/>
        <v>-6.9449683379086191E-2</v>
      </c>
      <c r="Y141" s="10"/>
      <c r="Z141" s="128">
        <f t="shared" ref="Z141:AI141" si="650">Z25/Z18</f>
        <v>8.3809523809523814</v>
      </c>
      <c r="AA141" s="128">
        <f t="shared" si="650"/>
        <v>8.3809523809523814</v>
      </c>
      <c r="AB141" s="128">
        <f t="shared" si="650"/>
        <v>8.3809523809523832</v>
      </c>
      <c r="AC141" s="128">
        <f t="shared" si="650"/>
        <v>8.3809523809523832</v>
      </c>
      <c r="AD141" s="128">
        <f t="shared" si="650"/>
        <v>8.3809523809523832</v>
      </c>
      <c r="AE141" s="128">
        <f t="shared" si="650"/>
        <v>8.3809523809523832</v>
      </c>
      <c r="AF141" s="128">
        <f t="shared" si="650"/>
        <v>8.3809523809523832</v>
      </c>
      <c r="AG141" s="128">
        <f t="shared" si="650"/>
        <v>8.3809523809523832</v>
      </c>
      <c r="AH141" s="128">
        <f t="shared" si="650"/>
        <v>8.3809523809523832</v>
      </c>
      <c r="AI141" s="128">
        <f t="shared" si="650"/>
        <v>8.3809523809523849</v>
      </c>
      <c r="AJ141" s="115">
        <f t="shared" si="505"/>
        <v>-5.5940747499246046E-2</v>
      </c>
      <c r="AK141" s="21">
        <f t="shared" si="506"/>
        <v>0.01</v>
      </c>
      <c r="AL141" s="123" t="e">
        <f t="shared" si="640"/>
        <v>#DIV/0!</v>
      </c>
    </row>
    <row r="142" spans="1:38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01" t="e">
        <f t="shared" si="618"/>
        <v>#DIV/0!</v>
      </c>
      <c r="Y142" s="10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09"/>
      <c r="AK142" s="123"/>
      <c r="AL142" s="123"/>
    </row>
    <row r="143" spans="1:38" x14ac:dyDescent="0.2">
      <c r="B143" s="10" t="s">
        <v>278</v>
      </c>
      <c r="C143" s="10"/>
      <c r="D143" s="10"/>
      <c r="E143" s="138"/>
      <c r="F143" s="138"/>
      <c r="G143" s="138">
        <f t="shared" ref="G143" si="651">G92*G61</f>
        <v>7.53</v>
      </c>
      <c r="H143" s="138">
        <f t="shared" ref="H143:I143" si="652">H92*H61</f>
        <v>0</v>
      </c>
      <c r="I143" s="138">
        <f t="shared" si="652"/>
        <v>0</v>
      </c>
      <c r="J143" s="138">
        <f t="shared" ref="J143:Q143" si="653">J92*J61</f>
        <v>0</v>
      </c>
      <c r="K143" s="138">
        <f t="shared" si="653"/>
        <v>13.1775</v>
      </c>
      <c r="L143" s="138">
        <f t="shared" si="653"/>
        <v>7.53</v>
      </c>
      <c r="M143" s="138">
        <f t="shared" si="653"/>
        <v>7.54</v>
      </c>
      <c r="N143" s="138">
        <f t="shared" si="653"/>
        <v>12.064</v>
      </c>
      <c r="O143" s="138">
        <f t="shared" si="653"/>
        <v>12.064</v>
      </c>
      <c r="P143" s="138">
        <f t="shared" si="653"/>
        <v>26.39</v>
      </c>
      <c r="Q143" s="138">
        <f t="shared" si="653"/>
        <v>15.834000000000001</v>
      </c>
      <c r="R143" s="138">
        <f t="shared" ref="R143:W143" si="654">R92*R61</f>
        <v>15.14</v>
      </c>
      <c r="S143" s="138">
        <f t="shared" si="654"/>
        <v>11.355</v>
      </c>
      <c r="T143" s="138">
        <f t="shared" si="654"/>
        <v>12.112000000000002</v>
      </c>
      <c r="U143" s="138">
        <f t="shared" si="654"/>
        <v>15.14</v>
      </c>
      <c r="V143" s="138">
        <f t="shared" si="654"/>
        <v>18.192</v>
      </c>
      <c r="W143" s="138">
        <f t="shared" si="654"/>
        <v>18.192</v>
      </c>
      <c r="X143" s="101">
        <f t="shared" si="618"/>
        <v>7.0207803067435348E-2</v>
      </c>
      <c r="Y143" s="10"/>
      <c r="Z143" s="138">
        <f t="shared" ref="Z143:AI143" si="655">Z92*Z61</f>
        <v>18.926956799999999</v>
      </c>
      <c r="AA143" s="138">
        <f t="shared" si="655"/>
        <v>19.691605854720002</v>
      </c>
      <c r="AB143" s="138">
        <f t="shared" si="655"/>
        <v>20.487146731250689</v>
      </c>
      <c r="AC143" s="138">
        <f t="shared" si="655"/>
        <v>21.314827459193218</v>
      </c>
      <c r="AD143" s="138">
        <f t="shared" si="655"/>
        <v>22.175946488544625</v>
      </c>
      <c r="AE143" s="138">
        <f t="shared" si="655"/>
        <v>23.071854726681831</v>
      </c>
      <c r="AF143" s="138">
        <f t="shared" si="655"/>
        <v>24.003957657639777</v>
      </c>
      <c r="AG143" s="138">
        <f t="shared" si="655"/>
        <v>24.973717547008423</v>
      </c>
      <c r="AH143" s="138">
        <f t="shared" si="655"/>
        <v>25.982655735907567</v>
      </c>
      <c r="AI143" s="138">
        <f t="shared" si="655"/>
        <v>27.032355027638232</v>
      </c>
      <c r="AJ143" s="115" t="e">
        <f t="shared" si="505"/>
        <v>#DIV/0!</v>
      </c>
      <c r="AK143" s="21">
        <f t="shared" si="506"/>
        <v>0.01</v>
      </c>
      <c r="AL143" s="123" t="e">
        <f t="shared" si="640"/>
        <v>#DIV/0!</v>
      </c>
    </row>
    <row r="144" spans="1:38" x14ac:dyDescent="0.2">
      <c r="B144" s="10" t="s">
        <v>279</v>
      </c>
      <c r="C144" s="10"/>
      <c r="D144" s="10"/>
      <c r="E144" s="138"/>
      <c r="F144" s="138"/>
      <c r="G144" s="138">
        <f t="shared" ref="G144" si="656">(G143*0.17)+G143</f>
        <v>8.8101000000000003</v>
      </c>
      <c r="H144" s="138">
        <f t="shared" ref="H144:I144" si="657">(H143*0.17)+H143</f>
        <v>0</v>
      </c>
      <c r="I144" s="138">
        <f t="shared" si="657"/>
        <v>0</v>
      </c>
      <c r="J144" s="138">
        <f t="shared" ref="J144:Q144" si="658">(J143*0.17)+J143</f>
        <v>0</v>
      </c>
      <c r="K144" s="138">
        <f t="shared" si="658"/>
        <v>15.417675000000001</v>
      </c>
      <c r="L144" s="138">
        <f t="shared" si="658"/>
        <v>8.8101000000000003</v>
      </c>
      <c r="M144" s="138">
        <f t="shared" si="658"/>
        <v>8.8217999999999996</v>
      </c>
      <c r="N144" s="138">
        <f t="shared" si="658"/>
        <v>14.114879999999999</v>
      </c>
      <c r="O144" s="138">
        <f t="shared" si="658"/>
        <v>14.114879999999999</v>
      </c>
      <c r="P144" s="138">
        <f t="shared" si="658"/>
        <v>30.876300000000001</v>
      </c>
      <c r="Q144" s="138">
        <f t="shared" si="658"/>
        <v>18.525780000000001</v>
      </c>
      <c r="R144" s="138">
        <f t="shared" ref="R144:W144" si="659">(R143*0.17)+R143</f>
        <v>17.713799999999999</v>
      </c>
      <c r="S144" s="138">
        <f t="shared" si="659"/>
        <v>13.285350000000001</v>
      </c>
      <c r="T144" s="138">
        <f t="shared" si="659"/>
        <v>14.171040000000001</v>
      </c>
      <c r="U144" s="138">
        <f t="shared" si="659"/>
        <v>17.713799999999999</v>
      </c>
      <c r="V144" s="138">
        <f t="shared" si="659"/>
        <v>21.28464</v>
      </c>
      <c r="W144" s="138">
        <f t="shared" si="659"/>
        <v>21.28464</v>
      </c>
      <c r="X144" s="101">
        <f t="shared" si="618"/>
        <v>7.0207803067435348E-2</v>
      </c>
      <c r="Y144" s="10"/>
      <c r="Z144" s="138">
        <f t="shared" ref="Z144:AI144" si="660">(Z143*0.17)+Z143</f>
        <v>22.144539456</v>
      </c>
      <c r="AA144" s="138">
        <f t="shared" si="660"/>
        <v>23.039178850022402</v>
      </c>
      <c r="AB144" s="138">
        <f t="shared" si="660"/>
        <v>23.969961675563308</v>
      </c>
      <c r="AC144" s="138">
        <f t="shared" si="660"/>
        <v>24.938348127256067</v>
      </c>
      <c r="AD144" s="138">
        <f t="shared" si="660"/>
        <v>25.945857391597212</v>
      </c>
      <c r="AE144" s="138">
        <f t="shared" si="660"/>
        <v>26.994070030217742</v>
      </c>
      <c r="AF144" s="138">
        <f t="shared" si="660"/>
        <v>28.084630459438539</v>
      </c>
      <c r="AG144" s="138">
        <f t="shared" si="660"/>
        <v>29.219249529999857</v>
      </c>
      <c r="AH144" s="138">
        <f t="shared" si="660"/>
        <v>30.399707211011854</v>
      </c>
      <c r="AI144" s="138">
        <f t="shared" si="660"/>
        <v>31.627855382336733</v>
      </c>
      <c r="AJ144" s="115" t="e">
        <f t="shared" si="505"/>
        <v>#DIV/0!</v>
      </c>
      <c r="AK144" s="21">
        <f t="shared" si="506"/>
        <v>0.01</v>
      </c>
      <c r="AL144" s="123" t="e">
        <f t="shared" si="640"/>
        <v>#DIV/0!</v>
      </c>
    </row>
    <row r="145" spans="2:38" x14ac:dyDescent="0.2">
      <c r="B145" s="10" t="s">
        <v>280</v>
      </c>
      <c r="C145" s="10"/>
      <c r="D145" s="10"/>
      <c r="E145" s="10"/>
      <c r="F145" s="128"/>
      <c r="G145" s="128">
        <f t="shared" ref="G145" si="661">G144/G59</f>
        <v>0.12585857142857143</v>
      </c>
      <c r="H145" s="128" t="e">
        <f t="shared" ref="H145:I145" si="662">H144/H59</f>
        <v>#DIV/0!</v>
      </c>
      <c r="I145" s="128" t="e">
        <f t="shared" si="662"/>
        <v>#DIV/0!</v>
      </c>
      <c r="J145" s="128">
        <f t="shared" ref="J145:Q145" si="663">J144/J59</f>
        <v>0</v>
      </c>
      <c r="K145" s="128">
        <f t="shared" si="663"/>
        <v>0.11253777372262774</v>
      </c>
      <c r="L145" s="128">
        <f t="shared" si="663"/>
        <v>0.12585857142857143</v>
      </c>
      <c r="M145" s="128">
        <f t="shared" si="663"/>
        <v>0.29405999999999999</v>
      </c>
      <c r="N145" s="128">
        <f t="shared" si="663"/>
        <v>0.27144000000000001</v>
      </c>
      <c r="O145" s="128">
        <f t="shared" si="663"/>
        <v>0.4032822857142857</v>
      </c>
      <c r="P145" s="128">
        <f t="shared" si="663"/>
        <v>0.25102682926829267</v>
      </c>
      <c r="Q145" s="128">
        <f t="shared" si="663"/>
        <v>0.15834000000000001</v>
      </c>
      <c r="R145" s="128">
        <f t="shared" ref="R145:W145" si="664">R144/R59</f>
        <v>0.17366470588235294</v>
      </c>
      <c r="S145" s="128">
        <f t="shared" si="664"/>
        <v>0.21427983870967743</v>
      </c>
      <c r="T145" s="128">
        <f t="shared" si="664"/>
        <v>0.16288551724137931</v>
      </c>
      <c r="U145" s="128">
        <f t="shared" si="664"/>
        <v>0.14639504132231404</v>
      </c>
      <c r="V145" s="128">
        <f t="shared" si="664"/>
        <v>0.28379519999999997</v>
      </c>
      <c r="W145" s="128">
        <f t="shared" si="664"/>
        <v>0.28379519999999997</v>
      </c>
      <c r="X145" s="101">
        <f t="shared" si="618"/>
        <v>6.4543101178964779E-2</v>
      </c>
      <c r="Y145" s="10"/>
      <c r="Z145" s="128">
        <f t="shared" ref="Z145:AI145" si="665">Z144/Z59</f>
        <v>0.24605043840000002</v>
      </c>
      <c r="AA145" s="128">
        <f t="shared" si="665"/>
        <v>0.21332573009280001</v>
      </c>
      <c r="AB145" s="128">
        <f t="shared" si="665"/>
        <v>0.18495340799045762</v>
      </c>
      <c r="AC145" s="128">
        <f t="shared" si="665"/>
        <v>0.16035460472772678</v>
      </c>
      <c r="AD145" s="128">
        <f t="shared" si="665"/>
        <v>0.13902744229893912</v>
      </c>
      <c r="AE145" s="128">
        <f t="shared" si="665"/>
        <v>0.12053679247318025</v>
      </c>
      <c r="AF145" s="128">
        <f t="shared" si="665"/>
        <v>0.10450539907424727</v>
      </c>
      <c r="AG145" s="128">
        <f t="shared" si="665"/>
        <v>9.0606180997372388E-2</v>
      </c>
      <c r="AH145" s="128">
        <f t="shared" si="665"/>
        <v>7.8555558924721866E-2</v>
      </c>
      <c r="AI145" s="128">
        <f t="shared" si="665"/>
        <v>6.8107669587733871E-2</v>
      </c>
      <c r="AJ145" s="115" t="e">
        <f t="shared" si="505"/>
        <v>#DIV/0!</v>
      </c>
      <c r="AK145" s="21">
        <f t="shared" si="506"/>
        <v>0.01</v>
      </c>
      <c r="AL145" s="123" t="e">
        <f t="shared" si="640"/>
        <v>#DIV/0!</v>
      </c>
    </row>
    <row r="146" spans="2:38" x14ac:dyDescent="0.2">
      <c r="B146" s="10" t="s">
        <v>273</v>
      </c>
      <c r="C146" s="10"/>
      <c r="D146" s="10"/>
      <c r="E146" s="10"/>
      <c r="F146" s="128"/>
      <c r="G146" s="128">
        <f t="shared" ref="G146" si="666">1-G145</f>
        <v>0.87414142857142862</v>
      </c>
      <c r="H146" s="128" t="e">
        <f t="shared" ref="H146:I146" si="667">1-H145</f>
        <v>#DIV/0!</v>
      </c>
      <c r="I146" s="128" t="e">
        <f t="shared" si="667"/>
        <v>#DIV/0!</v>
      </c>
      <c r="J146" s="128">
        <f>1-J145</f>
        <v>1</v>
      </c>
      <c r="K146" s="128">
        <f t="shared" ref="K146:Q146" si="668">1-K145</f>
        <v>0.88746222627737226</v>
      </c>
      <c r="L146" s="128">
        <f t="shared" si="668"/>
        <v>0.87414142857142862</v>
      </c>
      <c r="M146" s="128">
        <f t="shared" si="668"/>
        <v>0.70594000000000001</v>
      </c>
      <c r="N146" s="128">
        <f t="shared" si="668"/>
        <v>0.72855999999999999</v>
      </c>
      <c r="O146" s="128">
        <f t="shared" si="668"/>
        <v>0.5967177142857143</v>
      </c>
      <c r="P146" s="128">
        <f t="shared" si="668"/>
        <v>0.74897317073170733</v>
      </c>
      <c r="Q146" s="128">
        <f t="shared" si="668"/>
        <v>0.84165999999999996</v>
      </c>
      <c r="R146" s="128">
        <f t="shared" ref="R146:W146" si="669">1-R145</f>
        <v>0.82633529411764706</v>
      </c>
      <c r="S146" s="128">
        <f t="shared" si="669"/>
        <v>0.78572016129032263</v>
      </c>
      <c r="T146" s="128">
        <f t="shared" si="669"/>
        <v>0.83711448275862066</v>
      </c>
      <c r="U146" s="128">
        <f t="shared" si="669"/>
        <v>0.85360495867768593</v>
      </c>
      <c r="V146" s="128">
        <f t="shared" si="669"/>
        <v>0.71620480000000009</v>
      </c>
      <c r="W146" s="128">
        <f t="shared" si="669"/>
        <v>0.71620480000000009</v>
      </c>
      <c r="X146" s="101">
        <f t="shared" si="618"/>
        <v>-1.5212034721597378E-2</v>
      </c>
      <c r="Y146" s="10"/>
      <c r="Z146" s="128">
        <f t="shared" ref="Z146:AI146" si="670">1-Z145</f>
        <v>0.75394956160000004</v>
      </c>
      <c r="AA146" s="128">
        <f t="shared" si="670"/>
        <v>0.78667426990720002</v>
      </c>
      <c r="AB146" s="128">
        <f t="shared" si="670"/>
        <v>0.81504659200954244</v>
      </c>
      <c r="AC146" s="128">
        <f t="shared" si="670"/>
        <v>0.83964539527227322</v>
      </c>
      <c r="AD146" s="128">
        <f t="shared" si="670"/>
        <v>0.86097255770106085</v>
      </c>
      <c r="AE146" s="128">
        <f t="shared" si="670"/>
        <v>0.87946320752681972</v>
      </c>
      <c r="AF146" s="128">
        <f t="shared" si="670"/>
        <v>0.89549460092575273</v>
      </c>
      <c r="AG146" s="128">
        <f t="shared" si="670"/>
        <v>0.90939381900262761</v>
      </c>
      <c r="AH146" s="128">
        <f t="shared" si="670"/>
        <v>0.92144444107527812</v>
      </c>
      <c r="AI146" s="128">
        <f t="shared" si="670"/>
        <v>0.93189233041226616</v>
      </c>
      <c r="AJ146" s="115">
        <f t="shared" si="505"/>
        <v>-3.0621713634443326E-3</v>
      </c>
      <c r="AK146" s="21">
        <f t="shared" si="506"/>
        <v>0.01</v>
      </c>
      <c r="AL146" s="123" t="e">
        <f t="shared" si="640"/>
        <v>#DIV/0!</v>
      </c>
    </row>
    <row r="147" spans="2:38" x14ac:dyDescent="0.2">
      <c r="B147" s="10" t="s">
        <v>392</v>
      </c>
      <c r="C147" s="10"/>
      <c r="D147" s="10"/>
      <c r="E147" s="10"/>
      <c r="F147" s="128"/>
      <c r="G147" s="128" t="e">
        <f t="shared" ref="G147" si="671">G144/G20</f>
        <v>#DIV/0!</v>
      </c>
      <c r="H147" s="128" t="e">
        <f t="shared" ref="H147:I147" si="672">H144/H20</f>
        <v>#DIV/0!</v>
      </c>
      <c r="I147" s="128" t="e">
        <f t="shared" si="672"/>
        <v>#DIV/0!</v>
      </c>
      <c r="J147" s="128" t="e">
        <f t="shared" ref="J147:Q147" si="673">J144/J20</f>
        <v>#DIV/0!</v>
      </c>
      <c r="K147" s="128" t="e">
        <f t="shared" si="673"/>
        <v>#DIV/0!</v>
      </c>
      <c r="L147" s="128" t="e">
        <f t="shared" si="673"/>
        <v>#DIV/0!</v>
      </c>
      <c r="M147" s="128" t="e">
        <f t="shared" si="673"/>
        <v>#DIV/0!</v>
      </c>
      <c r="N147" s="128" t="e">
        <f t="shared" si="673"/>
        <v>#DIV/0!</v>
      </c>
      <c r="O147" s="128" t="e">
        <f t="shared" si="673"/>
        <v>#DIV/0!</v>
      </c>
      <c r="P147" s="128" t="e">
        <f t="shared" si="673"/>
        <v>#DIV/0!</v>
      </c>
      <c r="Q147" s="128" t="e">
        <f t="shared" si="673"/>
        <v>#DIV/0!</v>
      </c>
      <c r="R147" s="128" t="e">
        <f t="shared" ref="R147:W147" si="674">R144/R20</f>
        <v>#DIV/0!</v>
      </c>
      <c r="S147" s="128" t="e">
        <f t="shared" si="674"/>
        <v>#DIV/0!</v>
      </c>
      <c r="T147" s="128" t="e">
        <f t="shared" si="674"/>
        <v>#DIV/0!</v>
      </c>
      <c r="U147" s="128" t="e">
        <f t="shared" si="674"/>
        <v>#DIV/0!</v>
      </c>
      <c r="V147" s="128" t="e">
        <f t="shared" si="674"/>
        <v>#DIV/0!</v>
      </c>
      <c r="W147" s="128" t="e">
        <f t="shared" si="674"/>
        <v>#DIV/0!</v>
      </c>
      <c r="X147" s="101" t="e">
        <f t="shared" si="618"/>
        <v>#DIV/0!</v>
      </c>
      <c r="Y147" s="10"/>
      <c r="Z147" s="128" t="e">
        <f t="shared" ref="Z147:AI147" si="675">Z144/Z20</f>
        <v>#DIV/0!</v>
      </c>
      <c r="AA147" s="128" t="e">
        <f t="shared" si="675"/>
        <v>#DIV/0!</v>
      </c>
      <c r="AB147" s="128" t="e">
        <f t="shared" si="675"/>
        <v>#DIV/0!</v>
      </c>
      <c r="AC147" s="128" t="e">
        <f t="shared" si="675"/>
        <v>#DIV/0!</v>
      </c>
      <c r="AD147" s="128" t="e">
        <f t="shared" si="675"/>
        <v>#DIV/0!</v>
      </c>
      <c r="AE147" s="128" t="e">
        <f t="shared" si="675"/>
        <v>#DIV/0!</v>
      </c>
      <c r="AF147" s="128" t="e">
        <f t="shared" si="675"/>
        <v>#DIV/0!</v>
      </c>
      <c r="AG147" s="128" t="e">
        <f t="shared" si="675"/>
        <v>#DIV/0!</v>
      </c>
      <c r="AH147" s="128" t="e">
        <f t="shared" si="675"/>
        <v>#DIV/0!</v>
      </c>
      <c r="AI147" s="128" t="e">
        <f t="shared" si="675"/>
        <v>#DIV/0!</v>
      </c>
      <c r="AJ147" s="115" t="e">
        <f t="shared" si="505"/>
        <v>#DIV/0!</v>
      </c>
      <c r="AK147" s="21">
        <f t="shared" si="506"/>
        <v>0.01</v>
      </c>
      <c r="AL147" s="123" t="e">
        <f t="shared" si="640"/>
        <v>#DIV/0!</v>
      </c>
    </row>
    <row r="148" spans="2:38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01" t="e">
        <f t="shared" si="618"/>
        <v>#DIV/0!</v>
      </c>
      <c r="Y148" s="10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09"/>
      <c r="AK148" s="123"/>
      <c r="AL148" s="123"/>
    </row>
    <row r="149" spans="2:38" x14ac:dyDescent="0.2">
      <c r="B149" s="10" t="s">
        <v>277</v>
      </c>
      <c r="C149" s="128"/>
      <c r="D149" s="128"/>
      <c r="E149" s="128"/>
      <c r="F149" s="128"/>
      <c r="G149" s="128">
        <f t="shared" ref="G149" si="676">G31/G25</f>
        <v>0</v>
      </c>
      <c r="H149" s="128" t="e">
        <f t="shared" ref="H149:I149" si="677">H31/H25</f>
        <v>#DIV/0!</v>
      </c>
      <c r="I149" s="128" t="e">
        <f t="shared" si="677"/>
        <v>#DIV/0!</v>
      </c>
      <c r="J149" s="128">
        <f t="shared" ref="J149:Q149" si="678">J31/J25</f>
        <v>0</v>
      </c>
      <c r="K149" s="128">
        <f t="shared" si="678"/>
        <v>0</v>
      </c>
      <c r="L149" s="128">
        <f t="shared" si="678"/>
        <v>0</v>
      </c>
      <c r="M149" s="128">
        <f t="shared" si="678"/>
        <v>0</v>
      </c>
      <c r="N149" s="128">
        <f t="shared" si="678"/>
        <v>0</v>
      </c>
      <c r="O149" s="128">
        <f t="shared" si="678"/>
        <v>0</v>
      </c>
      <c r="P149" s="128">
        <f t="shared" si="678"/>
        <v>0</v>
      </c>
      <c r="Q149" s="128">
        <f t="shared" si="678"/>
        <v>0</v>
      </c>
      <c r="R149" s="128">
        <f t="shared" ref="R149:W149" si="679">R31/R25</f>
        <v>0</v>
      </c>
      <c r="S149" s="128">
        <f t="shared" si="679"/>
        <v>0</v>
      </c>
      <c r="T149" s="128">
        <f t="shared" si="679"/>
        <v>0</v>
      </c>
      <c r="U149" s="128">
        <f t="shared" si="679"/>
        <v>0</v>
      </c>
      <c r="V149" s="128">
        <f t="shared" si="679"/>
        <v>0</v>
      </c>
      <c r="W149" s="128">
        <f t="shared" si="679"/>
        <v>0</v>
      </c>
      <c r="X149" s="101" t="e">
        <f t="shared" si="618"/>
        <v>#DIV/0!</v>
      </c>
      <c r="Y149" s="10"/>
      <c r="Z149" s="128">
        <f t="shared" ref="Z149:AI149" si="680">Z31/Z25</f>
        <v>0</v>
      </c>
      <c r="AA149" s="128">
        <f t="shared" si="680"/>
        <v>0</v>
      </c>
      <c r="AB149" s="128">
        <f t="shared" si="680"/>
        <v>0</v>
      </c>
      <c r="AC149" s="128">
        <f t="shared" si="680"/>
        <v>0</v>
      </c>
      <c r="AD149" s="128">
        <f t="shared" si="680"/>
        <v>0</v>
      </c>
      <c r="AE149" s="128">
        <f t="shared" si="680"/>
        <v>0</v>
      </c>
      <c r="AF149" s="128">
        <f t="shared" si="680"/>
        <v>0</v>
      </c>
      <c r="AG149" s="128">
        <f t="shared" si="680"/>
        <v>0</v>
      </c>
      <c r="AH149" s="128">
        <f t="shared" si="680"/>
        <v>0</v>
      </c>
      <c r="AI149" s="128">
        <f t="shared" si="680"/>
        <v>0</v>
      </c>
      <c r="AJ149" s="115" t="e">
        <f t="shared" si="505"/>
        <v>#DIV/0!</v>
      </c>
      <c r="AK149" s="21">
        <f t="shared" si="506"/>
        <v>0.01</v>
      </c>
      <c r="AL149" s="123" t="e">
        <f t="shared" si="640"/>
        <v>#DIV/0!</v>
      </c>
    </row>
    <row r="150" spans="2:38" x14ac:dyDescent="0.2">
      <c r="B150" s="10" t="s">
        <v>274</v>
      </c>
      <c r="C150" s="128"/>
      <c r="D150" s="128"/>
      <c r="E150" s="128"/>
      <c r="F150" s="128"/>
      <c r="G150" s="128">
        <f t="shared" ref="G150" si="681">G32/G25</f>
        <v>0</v>
      </c>
      <c r="H150" s="128" t="e">
        <f t="shared" ref="H150:I150" si="682">H32/H25</f>
        <v>#DIV/0!</v>
      </c>
      <c r="I150" s="128" t="e">
        <f t="shared" si="682"/>
        <v>#DIV/0!</v>
      </c>
      <c r="J150" s="128">
        <f t="shared" ref="J150:Q150" si="683">J32/J25</f>
        <v>0</v>
      </c>
      <c r="K150" s="128">
        <f t="shared" si="683"/>
        <v>0</v>
      </c>
      <c r="L150" s="128">
        <f t="shared" si="683"/>
        <v>0</v>
      </c>
      <c r="M150" s="128">
        <f t="shared" si="683"/>
        <v>0</v>
      </c>
      <c r="N150" s="128">
        <f t="shared" si="683"/>
        <v>0</v>
      </c>
      <c r="O150" s="128">
        <f t="shared" si="683"/>
        <v>0</v>
      </c>
      <c r="P150" s="128">
        <f t="shared" si="683"/>
        <v>0</v>
      </c>
      <c r="Q150" s="128">
        <f t="shared" si="683"/>
        <v>0</v>
      </c>
      <c r="R150" s="128">
        <f t="shared" ref="R150:W150" si="684">R32/R25</f>
        <v>0</v>
      </c>
      <c r="S150" s="128">
        <f t="shared" si="684"/>
        <v>0</v>
      </c>
      <c r="T150" s="128">
        <f t="shared" si="684"/>
        <v>0</v>
      </c>
      <c r="U150" s="128">
        <f t="shared" si="684"/>
        <v>0</v>
      </c>
      <c r="V150" s="128">
        <f t="shared" si="684"/>
        <v>0</v>
      </c>
      <c r="W150" s="128">
        <f t="shared" si="684"/>
        <v>0</v>
      </c>
      <c r="X150" s="101" t="e">
        <f t="shared" si="618"/>
        <v>#DIV/0!</v>
      </c>
      <c r="Y150" s="10"/>
      <c r="Z150" s="128">
        <f t="shared" ref="Z150:AI150" si="685">Z32/Z25</f>
        <v>0</v>
      </c>
      <c r="AA150" s="128">
        <f t="shared" si="685"/>
        <v>0</v>
      </c>
      <c r="AB150" s="128">
        <f t="shared" si="685"/>
        <v>0</v>
      </c>
      <c r="AC150" s="128">
        <f t="shared" si="685"/>
        <v>0</v>
      </c>
      <c r="AD150" s="128">
        <f t="shared" si="685"/>
        <v>0</v>
      </c>
      <c r="AE150" s="128">
        <f t="shared" si="685"/>
        <v>0</v>
      </c>
      <c r="AF150" s="128">
        <f t="shared" si="685"/>
        <v>0</v>
      </c>
      <c r="AG150" s="128">
        <f t="shared" si="685"/>
        <v>0</v>
      </c>
      <c r="AH150" s="128">
        <f t="shared" si="685"/>
        <v>0</v>
      </c>
      <c r="AI150" s="128">
        <f t="shared" si="685"/>
        <v>0</v>
      </c>
      <c r="AJ150" s="115" t="e">
        <f t="shared" si="505"/>
        <v>#DIV/0!</v>
      </c>
      <c r="AK150" s="21">
        <f t="shared" si="506"/>
        <v>0.01</v>
      </c>
      <c r="AL150" s="123" t="e">
        <f t="shared" si="640"/>
        <v>#DIV/0!</v>
      </c>
    </row>
    <row r="151" spans="2:38" x14ac:dyDescent="0.2">
      <c r="B151" s="10" t="s">
        <v>399</v>
      </c>
      <c r="C151" s="128"/>
      <c r="D151" s="128"/>
      <c r="E151" s="128"/>
      <c r="F151" s="128"/>
      <c r="G151" s="128">
        <f t="shared" ref="G151" si="686">(G31+G32)/G25</f>
        <v>0</v>
      </c>
      <c r="H151" s="128" t="e">
        <f t="shared" ref="H151:I151" si="687">(H31+H32)/H25</f>
        <v>#DIV/0!</v>
      </c>
      <c r="I151" s="128" t="e">
        <f t="shared" si="687"/>
        <v>#DIV/0!</v>
      </c>
      <c r="J151" s="128">
        <f t="shared" ref="J151:Q151" si="688">(J31+J32)/J25</f>
        <v>0</v>
      </c>
      <c r="K151" s="128">
        <f t="shared" si="688"/>
        <v>0</v>
      </c>
      <c r="L151" s="128">
        <f t="shared" si="688"/>
        <v>0</v>
      </c>
      <c r="M151" s="128">
        <f t="shared" si="688"/>
        <v>0</v>
      </c>
      <c r="N151" s="128">
        <f t="shared" si="688"/>
        <v>0</v>
      </c>
      <c r="O151" s="128">
        <f t="shared" si="688"/>
        <v>0</v>
      </c>
      <c r="P151" s="128">
        <f t="shared" si="688"/>
        <v>0</v>
      </c>
      <c r="Q151" s="128">
        <f t="shared" si="688"/>
        <v>0</v>
      </c>
      <c r="R151" s="128">
        <f t="shared" ref="R151:W151" si="689">(R31+R32)/R25</f>
        <v>0</v>
      </c>
      <c r="S151" s="128">
        <f t="shared" si="689"/>
        <v>0</v>
      </c>
      <c r="T151" s="128">
        <f t="shared" si="689"/>
        <v>0</v>
      </c>
      <c r="U151" s="128">
        <f t="shared" si="689"/>
        <v>0</v>
      </c>
      <c r="V151" s="128">
        <f t="shared" si="689"/>
        <v>0</v>
      </c>
      <c r="W151" s="128">
        <f t="shared" si="689"/>
        <v>0</v>
      </c>
      <c r="X151" s="101" t="e">
        <f t="shared" si="618"/>
        <v>#DIV/0!</v>
      </c>
      <c r="Y151" s="10"/>
      <c r="Z151" s="128">
        <f t="shared" ref="Z151:AI151" si="690">(Z31+Z32)/Z25</f>
        <v>0</v>
      </c>
      <c r="AA151" s="128">
        <f t="shared" si="690"/>
        <v>0</v>
      </c>
      <c r="AB151" s="128">
        <f t="shared" si="690"/>
        <v>0</v>
      </c>
      <c r="AC151" s="128">
        <f t="shared" si="690"/>
        <v>0</v>
      </c>
      <c r="AD151" s="128">
        <f t="shared" si="690"/>
        <v>0</v>
      </c>
      <c r="AE151" s="128">
        <f t="shared" si="690"/>
        <v>0</v>
      </c>
      <c r="AF151" s="128">
        <f t="shared" si="690"/>
        <v>0</v>
      </c>
      <c r="AG151" s="128">
        <f t="shared" si="690"/>
        <v>0</v>
      </c>
      <c r="AH151" s="128">
        <f t="shared" si="690"/>
        <v>0</v>
      </c>
      <c r="AI151" s="128">
        <f t="shared" si="690"/>
        <v>0</v>
      </c>
      <c r="AJ151" s="115" t="e">
        <f t="shared" si="505"/>
        <v>#DIV/0!</v>
      </c>
      <c r="AK151" s="21">
        <f t="shared" si="506"/>
        <v>0.01</v>
      </c>
      <c r="AL151" s="123" t="e">
        <f t="shared" si="640"/>
        <v>#DIV/0!</v>
      </c>
    </row>
    <row r="152" spans="2:38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01" t="e">
        <f t="shared" si="618"/>
        <v>#DIV/0!</v>
      </c>
      <c r="Y152" s="10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09"/>
      <c r="AK152" s="123"/>
      <c r="AL152" s="123"/>
    </row>
    <row r="153" spans="2:38" x14ac:dyDescent="0.2">
      <c r="B153" s="10" t="s">
        <v>296</v>
      </c>
      <c r="C153" s="10"/>
      <c r="D153" s="10"/>
      <c r="E153" s="10"/>
      <c r="F153" s="128"/>
      <c r="G153" s="128">
        <f t="shared" ref="G153" si="691">G27/G25</f>
        <v>0.48936170212765956</v>
      </c>
      <c r="H153" s="128" t="e">
        <f t="shared" ref="H153:I153" si="692">H27/H25</f>
        <v>#DIV/0!</v>
      </c>
      <c r="I153" s="128" t="e">
        <f t="shared" si="692"/>
        <v>#DIV/0!</v>
      </c>
      <c r="J153" s="128">
        <f t="shared" ref="J153:Q153" si="693">J27/J25</f>
        <v>0.54761904761904767</v>
      </c>
      <c r="K153" s="128">
        <f t="shared" si="693"/>
        <v>0.57369614512471656</v>
      </c>
      <c r="L153" s="128">
        <f t="shared" si="693"/>
        <v>0.48936170212765956</v>
      </c>
      <c r="M153" s="128">
        <f t="shared" si="693"/>
        <v>0.52777777777777779</v>
      </c>
      <c r="N153" s="128">
        <f t="shared" si="693"/>
        <v>0.54066985645933019</v>
      </c>
      <c r="O153" s="128">
        <f t="shared" si="693"/>
        <v>0.68339768339768336</v>
      </c>
      <c r="P153" s="128">
        <f t="shared" si="693"/>
        <v>0.70026178010471207</v>
      </c>
      <c r="Q153" s="128">
        <f t="shared" si="693"/>
        <v>0.69704749679075739</v>
      </c>
      <c r="R153" s="128">
        <f t="shared" ref="R153:W153" si="694">R27/R25</f>
        <v>0.69491525423728817</v>
      </c>
      <c r="S153" s="128">
        <f t="shared" si="694"/>
        <v>0.72077922077922074</v>
      </c>
      <c r="T153" s="128">
        <f t="shared" si="694"/>
        <v>0.74435318275154005</v>
      </c>
      <c r="U153" s="128">
        <f t="shared" si="694"/>
        <v>0.77628793225123505</v>
      </c>
      <c r="V153" s="128">
        <f t="shared" si="694"/>
        <v>0.70681818181818179</v>
      </c>
      <c r="W153" s="128">
        <f t="shared" si="694"/>
        <v>0.70681818181818179</v>
      </c>
      <c r="X153" s="101">
        <f t="shared" si="618"/>
        <v>2.868617373462623E-2</v>
      </c>
      <c r="Y153" s="10"/>
      <c r="Z153" s="128">
        <f t="shared" ref="Z153:AI153" si="695">Z27/Z25</f>
        <v>0.70681818181818179</v>
      </c>
      <c r="AA153" s="128">
        <f t="shared" si="695"/>
        <v>0.70681818181818179</v>
      </c>
      <c r="AB153" s="128">
        <f t="shared" si="695"/>
        <v>0.70681818181818168</v>
      </c>
      <c r="AC153" s="128">
        <f t="shared" si="695"/>
        <v>0.70681818181818168</v>
      </c>
      <c r="AD153" s="128">
        <f t="shared" si="695"/>
        <v>0.70681818181818168</v>
      </c>
      <c r="AE153" s="128">
        <f t="shared" si="695"/>
        <v>0.70681818181818157</v>
      </c>
      <c r="AF153" s="128">
        <f t="shared" si="695"/>
        <v>0.70681818181818157</v>
      </c>
      <c r="AG153" s="128">
        <f t="shared" si="695"/>
        <v>0.70681818181818157</v>
      </c>
      <c r="AH153" s="128">
        <f t="shared" si="695"/>
        <v>0.70681818181818157</v>
      </c>
      <c r="AI153" s="128">
        <f t="shared" si="695"/>
        <v>0.70681818181818146</v>
      </c>
      <c r="AJ153" s="115">
        <f t="shared" si="505"/>
        <v>1.1157155316470657E-2</v>
      </c>
      <c r="AK153" s="21">
        <f t="shared" si="506"/>
        <v>0.01</v>
      </c>
      <c r="AL153" s="123" t="e">
        <f t="shared" si="640"/>
        <v>#DIV/0!</v>
      </c>
    </row>
    <row r="154" spans="2:38" x14ac:dyDescent="0.2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96">G33/G25</f>
        <v>0.35319148936170214</v>
      </c>
      <c r="H154" s="128" t="e">
        <f t="shared" ref="H154:I154" si="697">H33/H25</f>
        <v>#DIV/0!</v>
      </c>
      <c r="I154" s="128" t="e">
        <f t="shared" si="697"/>
        <v>#DIV/0!</v>
      </c>
      <c r="J154" s="128">
        <f t="shared" ref="J154:Q154" si="698">J33/J25</f>
        <v>0.4642857142857143</v>
      </c>
      <c r="K154" s="128">
        <f t="shared" si="698"/>
        <v>0.50566893424036286</v>
      </c>
      <c r="L154" s="128">
        <f t="shared" si="698"/>
        <v>0.35319148936170214</v>
      </c>
      <c r="M154" s="128">
        <f t="shared" si="698"/>
        <v>0.34259259259259262</v>
      </c>
      <c r="N154" s="128">
        <f t="shared" si="698"/>
        <v>0.37799043062200954</v>
      </c>
      <c r="O154" s="128">
        <f t="shared" si="698"/>
        <v>0.49806949806949807</v>
      </c>
      <c r="P154" s="128">
        <f t="shared" si="698"/>
        <v>0.60209424083769636</v>
      </c>
      <c r="Q154" s="128">
        <f t="shared" si="698"/>
        <v>0.59178433889602056</v>
      </c>
      <c r="R154" s="128">
        <f t="shared" ref="R154:W154" si="699">R33/R25</f>
        <v>0.53672316384180796</v>
      </c>
      <c r="S154" s="128">
        <f t="shared" si="699"/>
        <v>0.55194805194805197</v>
      </c>
      <c r="T154" s="128">
        <f t="shared" si="699"/>
        <v>0.62628336755646818</v>
      </c>
      <c r="U154" s="128">
        <f t="shared" si="699"/>
        <v>0.68172194777699369</v>
      </c>
      <c r="V154" s="128">
        <f t="shared" si="699"/>
        <v>0.51590909090909087</v>
      </c>
      <c r="W154" s="128">
        <f t="shared" si="699"/>
        <v>0.51590909090909087</v>
      </c>
      <c r="X154" s="101">
        <f t="shared" si="618"/>
        <v>2.9576659392510862E-2</v>
      </c>
      <c r="Y154" s="10"/>
      <c r="Z154" s="128">
        <f t="shared" ref="Z154:AI154" si="700">Z33/Z25</f>
        <v>0.51590909090909087</v>
      </c>
      <c r="AA154" s="128">
        <f t="shared" si="700"/>
        <v>0.51590909090909076</v>
      </c>
      <c r="AB154" s="128">
        <f t="shared" si="700"/>
        <v>0.51590909090909076</v>
      </c>
      <c r="AC154" s="128">
        <f t="shared" si="700"/>
        <v>0.51590909090909076</v>
      </c>
      <c r="AD154" s="128">
        <f t="shared" si="700"/>
        <v>0.51590909090909076</v>
      </c>
      <c r="AE154" s="128">
        <f t="shared" si="700"/>
        <v>0.51590909090909076</v>
      </c>
      <c r="AF154" s="128">
        <f t="shared" si="700"/>
        <v>0.51590909090909076</v>
      </c>
      <c r="AG154" s="128">
        <f t="shared" si="700"/>
        <v>0.51590909090909076</v>
      </c>
      <c r="AH154" s="128">
        <f t="shared" si="700"/>
        <v>0.51590909090909076</v>
      </c>
      <c r="AI154" s="128">
        <f t="shared" si="700"/>
        <v>0.51590909090909065</v>
      </c>
      <c r="AJ154" s="115">
        <f t="shared" si="505"/>
        <v>4.5944546060610048E-3</v>
      </c>
      <c r="AK154" s="21">
        <f t="shared" si="506"/>
        <v>0.01</v>
      </c>
      <c r="AL154" s="123" t="e">
        <f t="shared" si="640"/>
        <v>#DIV/0!</v>
      </c>
    </row>
    <row r="155" spans="2:38" x14ac:dyDescent="0.2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701">G34/G25</f>
        <v>5.9574468085106386E-2</v>
      </c>
      <c r="H155" s="128" t="e">
        <f t="shared" ref="H155:I155" si="702">H34/H25</f>
        <v>#DIV/0!</v>
      </c>
      <c r="I155" s="128" t="e">
        <f t="shared" si="702"/>
        <v>#DIV/0!</v>
      </c>
      <c r="J155" s="128">
        <f t="shared" ref="J155:Q155" si="703">J34/J25</f>
        <v>2.3809523809523808E-2</v>
      </c>
      <c r="K155" s="128">
        <f t="shared" si="703"/>
        <v>2.7210884353741496E-2</v>
      </c>
      <c r="L155" s="128">
        <f t="shared" si="703"/>
        <v>5.9574468085106386E-2</v>
      </c>
      <c r="M155" s="128">
        <f t="shared" si="703"/>
        <v>2.7777777777777776E-2</v>
      </c>
      <c r="N155" s="128">
        <f t="shared" si="703"/>
        <v>8.1339712918660281E-2</v>
      </c>
      <c r="O155" s="128">
        <f t="shared" si="703"/>
        <v>0.10810810810810811</v>
      </c>
      <c r="P155" s="128">
        <f t="shared" si="703"/>
        <v>6.1518324607329845E-2</v>
      </c>
      <c r="Q155" s="128">
        <f t="shared" si="703"/>
        <v>6.6752246469833118E-2</v>
      </c>
      <c r="R155" s="128">
        <f t="shared" ref="R155:W155" si="704">R34/R25</f>
        <v>6.0734463276836161E-2</v>
      </c>
      <c r="S155" s="128">
        <f t="shared" si="704"/>
        <v>6.2337662337662338E-2</v>
      </c>
      <c r="T155" s="128">
        <f t="shared" si="704"/>
        <v>3.9014373716632446E-2</v>
      </c>
      <c r="U155" s="128">
        <f t="shared" si="704"/>
        <v>2.6817219477769938E-2</v>
      </c>
      <c r="V155" s="128">
        <f t="shared" si="704"/>
        <v>6.1363636363636363E-2</v>
      </c>
      <c r="W155" s="128">
        <f t="shared" si="704"/>
        <v>6.1363636363636363E-2</v>
      </c>
      <c r="X155" s="101">
        <f t="shared" si="618"/>
        <v>2.2787712014946671E-3</v>
      </c>
      <c r="Y155" s="10"/>
      <c r="Z155" s="128">
        <f t="shared" ref="Z155:AI155" si="705">Z34/Z25</f>
        <v>6.1363636363636363E-2</v>
      </c>
      <c r="AA155" s="128">
        <f t="shared" si="705"/>
        <v>6.1363636363636356E-2</v>
      </c>
      <c r="AB155" s="128">
        <f t="shared" si="705"/>
        <v>6.1363636363636349E-2</v>
      </c>
      <c r="AC155" s="128">
        <f t="shared" si="705"/>
        <v>6.1363636363636349E-2</v>
      </c>
      <c r="AD155" s="128">
        <f t="shared" si="705"/>
        <v>6.1363636363636356E-2</v>
      </c>
      <c r="AE155" s="128">
        <f t="shared" si="705"/>
        <v>6.1363636363636349E-2</v>
      </c>
      <c r="AF155" s="128">
        <f t="shared" si="705"/>
        <v>6.1363636363636349E-2</v>
      </c>
      <c r="AG155" s="128">
        <f t="shared" si="705"/>
        <v>6.1363636363636349E-2</v>
      </c>
      <c r="AH155" s="128">
        <f t="shared" si="705"/>
        <v>6.1363636363636356E-2</v>
      </c>
      <c r="AI155" s="128">
        <f t="shared" si="705"/>
        <v>6.1363636363636349E-2</v>
      </c>
      <c r="AJ155" s="115">
        <f t="shared" si="505"/>
        <v>4.2021160097901022E-2</v>
      </c>
      <c r="AK155" s="21">
        <f t="shared" si="506"/>
        <v>0.01</v>
      </c>
      <c r="AL155" s="123" t="e">
        <f t="shared" si="640"/>
        <v>#DIV/0!</v>
      </c>
    </row>
    <row r="156" spans="2:38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1" t="e">
        <f t="shared" si="618"/>
        <v>#DIV/0!</v>
      </c>
      <c r="Y156" s="10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16"/>
      <c r="AK156" s="123"/>
      <c r="AL156" s="123"/>
    </row>
    <row r="157" spans="2:38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01" t="e">
        <f t="shared" si="618"/>
        <v>#DIV/0!</v>
      </c>
      <c r="Y157" s="10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0"/>
      <c r="AK157" s="123"/>
      <c r="AL157" s="123"/>
    </row>
    <row r="158" spans="2:38" x14ac:dyDescent="0.2">
      <c r="B158" s="10" t="s">
        <v>307</v>
      </c>
      <c r="C158" s="10"/>
      <c r="D158" s="10"/>
      <c r="E158" s="10"/>
      <c r="F158" s="15"/>
      <c r="G158" s="15">
        <f t="shared" ref="G158" si="706">G15/G9</f>
        <v>3.7523809523809524</v>
      </c>
      <c r="H158" s="15" t="e">
        <f t="shared" ref="H158:I158" si="707">H15/H9</f>
        <v>#DIV/0!</v>
      </c>
      <c r="I158" s="15" t="e">
        <f t="shared" si="707"/>
        <v>#DIV/0!</v>
      </c>
      <c r="J158" s="15">
        <f t="shared" ref="J158:Q158" si="708">J15/J9</f>
        <v>1.5066666666666666</v>
      </c>
      <c r="K158" s="15">
        <f t="shared" si="708"/>
        <v>2.2211981566820276</v>
      </c>
      <c r="L158" s="15">
        <f t="shared" si="708"/>
        <v>3.7523809523809524</v>
      </c>
      <c r="M158" s="15">
        <f t="shared" si="708"/>
        <v>6.75</v>
      </c>
      <c r="N158" s="15">
        <f t="shared" si="708"/>
        <v>6.3466666666666667</v>
      </c>
      <c r="O158" s="15">
        <f t="shared" si="708"/>
        <v>4.0716981132075469</v>
      </c>
      <c r="P158" s="15">
        <f t="shared" si="708"/>
        <v>3.2590529247910864</v>
      </c>
      <c r="Q158" s="15">
        <f t="shared" si="708"/>
        <v>2.563963963963964</v>
      </c>
      <c r="R158" s="15">
        <f t="shared" ref="R158:W158" si="709">R15/R9</f>
        <v>2.3440233236151604</v>
      </c>
      <c r="S158" s="15">
        <f t="shared" si="709"/>
        <v>2.3670490093847758</v>
      </c>
      <c r="T158" s="15">
        <f t="shared" si="709"/>
        <v>1.6566523605150214</v>
      </c>
      <c r="U158" s="15">
        <f t="shared" si="709"/>
        <v>2.2494736842105265</v>
      </c>
      <c r="V158" s="15">
        <f t="shared" si="709"/>
        <v>1.3853974121996304</v>
      </c>
      <c r="W158" s="15">
        <f t="shared" si="709"/>
        <v>1.3853974121996304</v>
      </c>
      <c r="X158" s="101">
        <f t="shared" si="618"/>
        <v>-7.3782716681917604E-2</v>
      </c>
      <c r="Y158" s="10"/>
      <c r="Z158" s="10">
        <f t="shared" ref="Z158:AI158" si="710">Z15/Z9</f>
        <v>1.3853974121996304</v>
      </c>
      <c r="AA158" s="10">
        <f t="shared" si="710"/>
        <v>1.3853974121996306</v>
      </c>
      <c r="AB158" s="10">
        <f t="shared" si="710"/>
        <v>1.3853974121996306</v>
      </c>
      <c r="AC158" s="10">
        <f t="shared" si="710"/>
        <v>1.3853974121996306</v>
      </c>
      <c r="AD158" s="10">
        <f t="shared" si="710"/>
        <v>1.3853974121996306</v>
      </c>
      <c r="AE158" s="10">
        <f t="shared" si="710"/>
        <v>1.3853974121996309</v>
      </c>
      <c r="AF158" s="10">
        <f t="shared" si="710"/>
        <v>1.3853974121996309</v>
      </c>
      <c r="AG158" s="10">
        <f t="shared" si="710"/>
        <v>1.3853974121996311</v>
      </c>
      <c r="AH158" s="10">
        <f t="shared" si="710"/>
        <v>1.3853974121996311</v>
      </c>
      <c r="AI158" s="10">
        <f t="shared" si="710"/>
        <v>1.3853974121996311</v>
      </c>
      <c r="AJ158" s="115">
        <f t="shared" si="505"/>
        <v>-3.6417295631583357E-3</v>
      </c>
      <c r="AK158" s="21">
        <f t="shared" si="506"/>
        <v>0.01</v>
      </c>
      <c r="AL158" s="123" t="e">
        <f t="shared" si="640"/>
        <v>#DIV/0!</v>
      </c>
    </row>
    <row r="159" spans="2:38" x14ac:dyDescent="0.2">
      <c r="B159" s="10" t="s">
        <v>297</v>
      </c>
      <c r="C159" s="10"/>
      <c r="D159" s="10"/>
      <c r="E159" s="10"/>
      <c r="F159" s="15"/>
      <c r="G159" s="15">
        <f t="shared" ref="G159" si="711">G12/G9</f>
        <v>0.11428571428571428</v>
      </c>
      <c r="H159" s="15" t="e">
        <f t="shared" ref="H159:I159" si="712">H12/H9</f>
        <v>#DIV/0!</v>
      </c>
      <c r="I159" s="15" t="e">
        <f t="shared" si="712"/>
        <v>#DIV/0!</v>
      </c>
      <c r="J159" s="15">
        <f t="shared" ref="J159:Q159" si="713">J12/J9</f>
        <v>1.3333333333333334E-2</v>
      </c>
      <c r="K159" s="15">
        <f t="shared" si="713"/>
        <v>5.5299539170506916E-2</v>
      </c>
      <c r="L159" s="15">
        <f t="shared" si="713"/>
        <v>0.11428571428571428</v>
      </c>
      <c r="M159" s="15">
        <f t="shared" si="713"/>
        <v>0.13043478260869565</v>
      </c>
      <c r="N159" s="15">
        <f t="shared" si="713"/>
        <v>0.28000000000000003</v>
      </c>
      <c r="O159" s="15">
        <f t="shared" si="713"/>
        <v>0.17358490566037735</v>
      </c>
      <c r="P159" s="15">
        <f t="shared" si="713"/>
        <v>0.31197771587743733</v>
      </c>
      <c r="Q159" s="15">
        <f t="shared" si="713"/>
        <v>0.12612612612612611</v>
      </c>
      <c r="R159" s="15">
        <f t="shared" ref="R159:W159" si="714">R12/R9</f>
        <v>5.8309037900874633E-2</v>
      </c>
      <c r="S159" s="15">
        <f t="shared" si="714"/>
        <v>8.8633993743482797E-2</v>
      </c>
      <c r="T159" s="15">
        <f t="shared" si="714"/>
        <v>5.7224606580829757E-2</v>
      </c>
      <c r="U159" s="15">
        <f t="shared" si="714"/>
        <v>0.12421052631578948</v>
      </c>
      <c r="V159" s="15">
        <f t="shared" si="714"/>
        <v>2.9574861367837338E-2</v>
      </c>
      <c r="W159" s="15">
        <f t="shared" si="714"/>
        <v>2.9574861367837338E-2</v>
      </c>
      <c r="X159" s="101">
        <f t="shared" si="618"/>
        <v>-9.8759232999565794E-2</v>
      </c>
      <c r="Y159" s="109"/>
      <c r="Z159" s="10">
        <f t="shared" ref="Z159:AI159" si="715">Z12/Z9</f>
        <v>2.9574861367837341E-2</v>
      </c>
      <c r="AA159" s="10">
        <f t="shared" si="715"/>
        <v>2.9574861367837341E-2</v>
      </c>
      <c r="AB159" s="10">
        <f t="shared" si="715"/>
        <v>2.9574861367837345E-2</v>
      </c>
      <c r="AC159" s="10">
        <f t="shared" si="715"/>
        <v>2.9574861367837345E-2</v>
      </c>
      <c r="AD159" s="10">
        <f t="shared" si="715"/>
        <v>2.9574861367837348E-2</v>
      </c>
      <c r="AE159" s="10">
        <f t="shared" si="715"/>
        <v>2.9574861367837348E-2</v>
      </c>
      <c r="AF159" s="10">
        <f t="shared" si="715"/>
        <v>2.9574861367837348E-2</v>
      </c>
      <c r="AG159" s="10">
        <f t="shared" si="715"/>
        <v>2.9574861367837352E-2</v>
      </c>
      <c r="AH159" s="10">
        <f t="shared" si="715"/>
        <v>2.9574861367837355E-2</v>
      </c>
      <c r="AI159" s="10">
        <f t="shared" si="715"/>
        <v>2.9574861367837355E-2</v>
      </c>
      <c r="AJ159" s="101">
        <f t="shared" ref="AJ159" si="716">((AI159/Z159)^(1/($K$2-$K$1) ))-1</f>
        <v>0</v>
      </c>
      <c r="AK159" s="21">
        <f t="shared" si="506"/>
        <v>0.01</v>
      </c>
      <c r="AL159" s="123" t="e">
        <f t="shared" si="640"/>
        <v>#DIV/0!</v>
      </c>
    </row>
    <row r="160" spans="2:38" x14ac:dyDescent="0.2">
      <c r="B160" s="10" t="s">
        <v>299</v>
      </c>
      <c r="C160" s="10"/>
      <c r="D160" s="10"/>
      <c r="E160" s="10"/>
      <c r="F160" s="15"/>
      <c r="G160" s="15">
        <f t="shared" ref="G160" si="717">G25/360</f>
        <v>0.65277777777777779</v>
      </c>
      <c r="H160" s="15">
        <f t="shared" ref="H160:I160" si="718">H25/360</f>
        <v>0</v>
      </c>
      <c r="I160" s="15">
        <f t="shared" si="718"/>
        <v>0</v>
      </c>
      <c r="J160" s="15">
        <f t="shared" ref="J160:Q160" si="719">J25/360</f>
        <v>0.7</v>
      </c>
      <c r="K160" s="15">
        <f t="shared" si="719"/>
        <v>1.2250000000000001</v>
      </c>
      <c r="L160" s="15">
        <f t="shared" si="719"/>
        <v>0.65277777777777779</v>
      </c>
      <c r="M160" s="15">
        <f t="shared" si="719"/>
        <v>0.3</v>
      </c>
      <c r="N160" s="15">
        <f t="shared" si="719"/>
        <v>0.5805555555555556</v>
      </c>
      <c r="O160" s="15">
        <f t="shared" si="719"/>
        <v>0.71944444444444444</v>
      </c>
      <c r="P160" s="15">
        <f t="shared" si="719"/>
        <v>2.1222222222222222</v>
      </c>
      <c r="Q160" s="15">
        <f t="shared" si="719"/>
        <v>2.1638888888888888</v>
      </c>
      <c r="R160" s="15">
        <f t="shared" ref="R160:W160" si="720">R25/360</f>
        <v>1.9666666666666666</v>
      </c>
      <c r="S160" s="15">
        <f t="shared" si="720"/>
        <v>2.1388888888888888</v>
      </c>
      <c r="T160" s="15">
        <f t="shared" si="720"/>
        <v>2.7055555555555557</v>
      </c>
      <c r="U160" s="15">
        <f t="shared" si="720"/>
        <v>3.9361111111111109</v>
      </c>
      <c r="V160" s="15">
        <f t="shared" si="720"/>
        <v>2.4444444444444446</v>
      </c>
      <c r="W160" s="15">
        <f t="shared" si="720"/>
        <v>2.4444444444444446</v>
      </c>
      <c r="X160" s="101">
        <f t="shared" si="618"/>
        <v>0.10690113184885797</v>
      </c>
      <c r="Y160" s="109"/>
      <c r="Z160" s="15">
        <f t="shared" ref="Z160:AI160" si="721">Z25/360</f>
        <v>2.9333333333333331</v>
      </c>
      <c r="AA160" s="15">
        <f t="shared" si="721"/>
        <v>3.52</v>
      </c>
      <c r="AB160" s="15">
        <f t="shared" si="721"/>
        <v>4.2240000000000002</v>
      </c>
      <c r="AC160" s="15">
        <f t="shared" si="721"/>
        <v>5.0688000000000004</v>
      </c>
      <c r="AD160" s="15">
        <f t="shared" si="721"/>
        <v>6.08256</v>
      </c>
      <c r="AE160" s="15">
        <f t="shared" si="721"/>
        <v>7.2990719999999998</v>
      </c>
      <c r="AF160" s="15">
        <f t="shared" si="721"/>
        <v>8.7588863999999997</v>
      </c>
      <c r="AG160" s="15">
        <f t="shared" si="721"/>
        <v>10.510663679999999</v>
      </c>
      <c r="AH160" s="15">
        <f t="shared" si="721"/>
        <v>12.612796415999997</v>
      </c>
      <c r="AI160" s="15">
        <f t="shared" si="721"/>
        <v>15.135355699199996</v>
      </c>
      <c r="AJ160" s="101">
        <f t="shared" ref="AJ160:AJ171" si="722">((AI160/Z160)^(1/($K$2-$K$1) ))-1</f>
        <v>0.13453470602511874</v>
      </c>
      <c r="AK160" s="21">
        <f t="shared" si="506"/>
        <v>0.01</v>
      </c>
      <c r="AL160" s="123" t="e">
        <f t="shared" si="640"/>
        <v>#DIV/0!</v>
      </c>
    </row>
    <row r="161" spans="2:38" x14ac:dyDescent="0.2">
      <c r="B161" s="10" t="s">
        <v>298</v>
      </c>
      <c r="C161" s="10"/>
      <c r="D161" s="10"/>
      <c r="E161" s="10"/>
      <c r="F161" s="15"/>
      <c r="G161" s="15">
        <f t="shared" ref="G161" si="723">G27/360</f>
        <v>0.31944444444444442</v>
      </c>
      <c r="H161" s="15">
        <f t="shared" ref="H161:I161" si="724">H27/360</f>
        <v>0</v>
      </c>
      <c r="I161" s="15">
        <f t="shared" si="724"/>
        <v>0</v>
      </c>
      <c r="J161" s="15">
        <f t="shared" ref="J161:Q161" si="725">J27/360</f>
        <v>0.38333333333333336</v>
      </c>
      <c r="K161" s="15">
        <f t="shared" si="725"/>
        <v>0.70277777777777772</v>
      </c>
      <c r="L161" s="15">
        <f t="shared" si="725"/>
        <v>0.31944444444444442</v>
      </c>
      <c r="M161" s="15">
        <f t="shared" si="725"/>
        <v>0.15833333333333333</v>
      </c>
      <c r="N161" s="15">
        <f t="shared" si="725"/>
        <v>0.31388888888888888</v>
      </c>
      <c r="O161" s="15">
        <f t="shared" si="725"/>
        <v>0.49166666666666664</v>
      </c>
      <c r="P161" s="15">
        <f t="shared" si="725"/>
        <v>1.4861111111111112</v>
      </c>
      <c r="Q161" s="15">
        <f t="shared" si="725"/>
        <v>1.5083333333333333</v>
      </c>
      <c r="R161" s="15">
        <f t="shared" ref="R161:W161" si="726">R27/360</f>
        <v>1.3666666666666667</v>
      </c>
      <c r="S161" s="15">
        <f t="shared" si="726"/>
        <v>1.5416666666666667</v>
      </c>
      <c r="T161" s="15">
        <f t="shared" si="726"/>
        <v>2.0138888888888888</v>
      </c>
      <c r="U161" s="15">
        <f t="shared" si="726"/>
        <v>3.0555555555555554</v>
      </c>
      <c r="V161" s="15">
        <f t="shared" si="726"/>
        <v>1.7277777777777779</v>
      </c>
      <c r="W161" s="15">
        <f t="shared" si="726"/>
        <v>1.7277777777777779</v>
      </c>
      <c r="X161" s="101">
        <f t="shared" si="618"/>
        <v>0.13865389002412876</v>
      </c>
      <c r="Y161" s="109"/>
      <c r="Z161" s="15">
        <f t="shared" ref="Z161:AI161" si="727">Z27/360</f>
        <v>2.0733333333333333</v>
      </c>
      <c r="AA161" s="15">
        <f t="shared" si="727"/>
        <v>2.488</v>
      </c>
      <c r="AB161" s="15">
        <f t="shared" si="727"/>
        <v>2.9855999999999994</v>
      </c>
      <c r="AC161" s="15">
        <f t="shared" si="727"/>
        <v>3.5827199999999992</v>
      </c>
      <c r="AD161" s="15">
        <f t="shared" si="727"/>
        <v>4.2992639999999991</v>
      </c>
      <c r="AE161" s="15">
        <f t="shared" si="727"/>
        <v>5.1591167999999978</v>
      </c>
      <c r="AF161" s="15">
        <f t="shared" si="727"/>
        <v>6.1909401599999976</v>
      </c>
      <c r="AG161" s="15">
        <f t="shared" si="727"/>
        <v>7.4291281919999959</v>
      </c>
      <c r="AH161" s="15">
        <f t="shared" si="727"/>
        <v>8.9149538303999947</v>
      </c>
      <c r="AI161" s="15">
        <f t="shared" si="727"/>
        <v>10.697944596479992</v>
      </c>
      <c r="AJ161" s="101">
        <f t="shared" si="722"/>
        <v>0.13453470602511874</v>
      </c>
      <c r="AK161" s="21">
        <f t="shared" si="506"/>
        <v>0.01</v>
      </c>
      <c r="AL161" s="123" t="e">
        <f t="shared" si="640"/>
        <v>#DIV/0!</v>
      </c>
    </row>
    <row r="162" spans="2:38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01" t="e">
        <f t="shared" si="618"/>
        <v>#DIV/0!</v>
      </c>
      <c r="Y162" s="10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09"/>
      <c r="AK162" s="123"/>
      <c r="AL162" s="123"/>
    </row>
    <row r="163" spans="2:38" x14ac:dyDescent="0.2">
      <c r="B163" s="10" t="s">
        <v>308</v>
      </c>
      <c r="C163" s="10"/>
      <c r="D163" s="10"/>
      <c r="E163" s="10"/>
      <c r="F163" s="15"/>
      <c r="G163" s="15">
        <f t="shared" ref="G163" si="728">G10/G7</f>
        <v>0.24200913242009131</v>
      </c>
      <c r="H163" s="15" t="e">
        <f t="shared" ref="H163:I163" si="729">H10/H7</f>
        <v>#DIV/0!</v>
      </c>
      <c r="I163" s="15" t="e">
        <f t="shared" si="729"/>
        <v>#DIV/0!</v>
      </c>
      <c r="J163" s="15">
        <f t="shared" ref="J163:Q163" si="730">J10/J7</f>
        <v>0.83333333333333337</v>
      </c>
      <c r="K163" s="15">
        <f t="shared" si="730"/>
        <v>0.2561174551386623</v>
      </c>
      <c r="L163" s="15">
        <f t="shared" si="730"/>
        <v>0.24200913242009131</v>
      </c>
      <c r="M163" s="15">
        <f t="shared" si="730"/>
        <v>0.22255192878338279</v>
      </c>
      <c r="N163" s="15">
        <f t="shared" si="730"/>
        <v>0.22746781115879827</v>
      </c>
      <c r="O163" s="15">
        <f t="shared" si="730"/>
        <v>0.26213592233009708</v>
      </c>
      <c r="P163" s="15">
        <f t="shared" si="730"/>
        <v>0.21478382147838215</v>
      </c>
      <c r="Q163" s="15">
        <f t="shared" si="730"/>
        <v>0.34409937888198761</v>
      </c>
      <c r="R163" s="15">
        <f t="shared" ref="R163:W163" si="731">R10/R7</f>
        <v>0.34363852556480379</v>
      </c>
      <c r="S163" s="15">
        <f t="shared" si="731"/>
        <v>0.92455242966751916</v>
      </c>
      <c r="T163" s="15">
        <f t="shared" si="731"/>
        <v>0.36529680365296802</v>
      </c>
      <c r="U163" s="15">
        <f t="shared" si="731"/>
        <v>0.47914547304170907</v>
      </c>
      <c r="V163" s="15">
        <f t="shared" si="731"/>
        <v>0.66666666666666663</v>
      </c>
      <c r="W163" s="15">
        <f t="shared" si="731"/>
        <v>0.66666666666666663</v>
      </c>
      <c r="X163" s="101">
        <f t="shared" si="618"/>
        <v>8.1065669053722589E-2</v>
      </c>
      <c r="Y163" s="109"/>
      <c r="Z163" s="15">
        <f t="shared" ref="Z163:AI163" si="732">Z10/Z7</f>
        <v>0.66666666666666663</v>
      </c>
      <c r="AA163" s="15">
        <f t="shared" si="732"/>
        <v>0.66666666666666674</v>
      </c>
      <c r="AB163" s="15">
        <f t="shared" si="732"/>
        <v>0.66666666666666674</v>
      </c>
      <c r="AC163" s="15">
        <f t="shared" si="732"/>
        <v>0.66666666666666674</v>
      </c>
      <c r="AD163" s="15">
        <f t="shared" si="732"/>
        <v>0.66666666666666674</v>
      </c>
      <c r="AE163" s="15">
        <f t="shared" si="732"/>
        <v>0.66666666666666674</v>
      </c>
      <c r="AF163" s="15">
        <f t="shared" si="732"/>
        <v>0.66666666666666674</v>
      </c>
      <c r="AG163" s="15">
        <f t="shared" si="732"/>
        <v>0.66666666666666674</v>
      </c>
      <c r="AH163" s="15">
        <f t="shared" si="732"/>
        <v>0.66666666666666685</v>
      </c>
      <c r="AI163" s="15">
        <f t="shared" si="732"/>
        <v>0.66666666666666685</v>
      </c>
      <c r="AJ163" s="101">
        <f t="shared" si="722"/>
        <v>0</v>
      </c>
      <c r="AK163" s="21">
        <f t="shared" si="506"/>
        <v>0.01</v>
      </c>
      <c r="AL163" s="123" t="e">
        <f t="shared" si="640"/>
        <v>#DIV/0!</v>
      </c>
    </row>
    <row r="164" spans="2:38" x14ac:dyDescent="0.2">
      <c r="B164" s="10" t="s">
        <v>300</v>
      </c>
      <c r="C164" s="10"/>
      <c r="D164" s="10"/>
      <c r="E164" s="10"/>
      <c r="F164" s="15"/>
      <c r="G164" s="15">
        <f t="shared" ref="G164" si="733">G10/(G10+G7)</f>
        <v>0.19485294117647059</v>
      </c>
      <c r="H164" s="15" t="e">
        <f t="shared" ref="H164:I164" si="734">H10/(H10+H7)</f>
        <v>#DIV/0!</v>
      </c>
      <c r="I164" s="15" t="e">
        <f t="shared" si="734"/>
        <v>#DIV/0!</v>
      </c>
      <c r="J164" s="15">
        <f t="shared" ref="J164:Q164" si="735">J10/(J10+J7)</f>
        <v>0.45454545454545453</v>
      </c>
      <c r="K164" s="15">
        <f t="shared" si="735"/>
        <v>0.20389610389610391</v>
      </c>
      <c r="L164" s="15">
        <f t="shared" si="735"/>
        <v>0.19485294117647059</v>
      </c>
      <c r="M164" s="15">
        <f t="shared" si="735"/>
        <v>0.18203883495145631</v>
      </c>
      <c r="N164" s="15">
        <f t="shared" si="735"/>
        <v>0.18531468531468531</v>
      </c>
      <c r="O164" s="15">
        <f t="shared" si="735"/>
        <v>0.2076923076923077</v>
      </c>
      <c r="P164" s="15">
        <f t="shared" si="735"/>
        <v>0.17680826636050517</v>
      </c>
      <c r="Q164" s="15">
        <f t="shared" si="735"/>
        <v>0.25600739371534198</v>
      </c>
      <c r="R164" s="15">
        <f t="shared" ref="R164:W164" si="736">R10/(R10+R7)</f>
        <v>0.25575221238938051</v>
      </c>
      <c r="S164" s="15">
        <f t="shared" si="736"/>
        <v>0.48039867109634554</v>
      </c>
      <c r="T164" s="15">
        <f t="shared" si="736"/>
        <v>0.26755852842809363</v>
      </c>
      <c r="U164" s="15">
        <f t="shared" si="736"/>
        <v>0.32393397524071527</v>
      </c>
      <c r="V164" s="15">
        <f t="shared" si="736"/>
        <v>0.4</v>
      </c>
      <c r="W164" s="15">
        <f t="shared" si="736"/>
        <v>0.4</v>
      </c>
      <c r="X164" s="101">
        <f t="shared" si="618"/>
        <v>5.6883592603512723E-2</v>
      </c>
      <c r="Y164" s="109"/>
      <c r="Z164" s="15">
        <f t="shared" ref="Z164:AI164" si="737">Z10/(Z10+Z7)</f>
        <v>0.4</v>
      </c>
      <c r="AA164" s="15">
        <f t="shared" si="737"/>
        <v>0.39999999999999997</v>
      </c>
      <c r="AB164" s="15">
        <f t="shared" si="737"/>
        <v>0.4</v>
      </c>
      <c r="AC164" s="15">
        <f t="shared" si="737"/>
        <v>0.4</v>
      </c>
      <c r="AD164" s="15">
        <f t="shared" si="737"/>
        <v>0.4</v>
      </c>
      <c r="AE164" s="15">
        <f t="shared" si="737"/>
        <v>0.4</v>
      </c>
      <c r="AF164" s="15">
        <f t="shared" si="737"/>
        <v>0.4</v>
      </c>
      <c r="AG164" s="15">
        <f t="shared" si="737"/>
        <v>0.40000000000000008</v>
      </c>
      <c r="AH164" s="15">
        <f t="shared" si="737"/>
        <v>0.40000000000000008</v>
      </c>
      <c r="AI164" s="15">
        <f t="shared" si="737"/>
        <v>0.40000000000000008</v>
      </c>
      <c r="AJ164" s="101">
        <f t="shared" si="722"/>
        <v>0</v>
      </c>
      <c r="AK164" s="21">
        <f t="shared" si="506"/>
        <v>0.01</v>
      </c>
      <c r="AL164" s="123" t="e">
        <f t="shared" si="640"/>
        <v>#DIV/0!</v>
      </c>
    </row>
    <row r="165" spans="2:38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01" t="e">
        <f t="shared" si="618"/>
        <v>#DIV/0!</v>
      </c>
      <c r="Y165" s="10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14"/>
      <c r="AK165" s="123"/>
      <c r="AL165" s="123"/>
    </row>
    <row r="166" spans="2:38" x14ac:dyDescent="0.2">
      <c r="B166" s="10" t="s">
        <v>305</v>
      </c>
      <c r="C166" s="10"/>
      <c r="D166" s="10"/>
      <c r="E166" s="10"/>
      <c r="F166" s="15"/>
      <c r="G166" s="15">
        <f t="shared" ref="G166" si="738">G16</f>
        <v>427</v>
      </c>
      <c r="H166" s="15">
        <f t="shared" ref="H166:I166" si="739">H16</f>
        <v>0</v>
      </c>
      <c r="I166" s="15">
        <f t="shared" si="739"/>
        <v>0</v>
      </c>
      <c r="J166" s="15">
        <f t="shared" ref="J166:Q166" si="740">J16</f>
        <v>182</v>
      </c>
      <c r="K166" s="15">
        <f t="shared" si="740"/>
        <v>329</v>
      </c>
      <c r="L166" s="15">
        <f t="shared" si="740"/>
        <v>427</v>
      </c>
      <c r="M166" s="15">
        <f t="shared" si="740"/>
        <v>587</v>
      </c>
      <c r="N166" s="15">
        <f t="shared" si="740"/>
        <v>852</v>
      </c>
      <c r="O166" s="15">
        <f t="shared" si="740"/>
        <v>929</v>
      </c>
      <c r="P166" s="15">
        <f t="shared" si="740"/>
        <v>895</v>
      </c>
      <c r="Q166" s="15">
        <f t="shared" si="740"/>
        <v>1114</v>
      </c>
      <c r="R166" s="15">
        <f t="shared" ref="R166:W166" si="741">R16</f>
        <v>1187</v>
      </c>
      <c r="S166" s="15">
        <f t="shared" si="741"/>
        <v>1671</v>
      </c>
      <c r="T166" s="15">
        <f t="shared" si="741"/>
        <v>1316</v>
      </c>
      <c r="U166" s="15">
        <f t="shared" si="741"/>
        <v>1544</v>
      </c>
      <c r="V166" s="15">
        <f t="shared" si="741"/>
        <v>1298</v>
      </c>
      <c r="W166" s="15">
        <f t="shared" si="741"/>
        <v>1298</v>
      </c>
      <c r="X166" s="101">
        <f t="shared" si="618"/>
        <v>8.9286353557464393E-2</v>
      </c>
      <c r="Y166" s="109"/>
      <c r="Z166" s="15">
        <f t="shared" ref="Z166:AI166" si="742">Z16</f>
        <v>1557.6</v>
      </c>
      <c r="AA166" s="15">
        <f t="shared" si="742"/>
        <v>1869.12</v>
      </c>
      <c r="AB166" s="15">
        <f t="shared" si="742"/>
        <v>2242.944</v>
      </c>
      <c r="AC166" s="15">
        <f t="shared" si="742"/>
        <v>2691.5328</v>
      </c>
      <c r="AD166" s="15">
        <f t="shared" si="742"/>
        <v>3229.8393599999999</v>
      </c>
      <c r="AE166" s="15">
        <f t="shared" si="742"/>
        <v>3875.8072319999997</v>
      </c>
      <c r="AF166" s="15">
        <f t="shared" si="742"/>
        <v>4650.9686783999996</v>
      </c>
      <c r="AG166" s="15">
        <f t="shared" si="742"/>
        <v>5581.1624140799995</v>
      </c>
      <c r="AH166" s="15">
        <f t="shared" si="742"/>
        <v>6697.3948968959994</v>
      </c>
      <c r="AI166" s="15">
        <f t="shared" si="742"/>
        <v>8036.8738762751991</v>
      </c>
      <c r="AJ166" s="101">
        <f t="shared" si="722"/>
        <v>0.13453470602511874</v>
      </c>
      <c r="AK166" s="21">
        <f t="shared" si="506"/>
        <v>0.01</v>
      </c>
      <c r="AL166" s="123" t="e">
        <f t="shared" si="640"/>
        <v>#DIV/0!</v>
      </c>
    </row>
    <row r="167" spans="2:38" x14ac:dyDescent="0.2">
      <c r="B167" s="10" t="s">
        <v>306</v>
      </c>
      <c r="C167" s="10"/>
      <c r="D167" s="10"/>
      <c r="E167" s="10"/>
      <c r="F167" s="102"/>
      <c r="G167" s="102">
        <f t="shared" ref="G167" si="743">G166*365/G25</f>
        <v>663.21276595744678</v>
      </c>
      <c r="H167" s="102" t="e">
        <f t="shared" ref="H167:I167" si="744">H166*365/H25</f>
        <v>#DIV/0!</v>
      </c>
      <c r="I167" s="102" t="e">
        <f t="shared" si="744"/>
        <v>#DIV/0!</v>
      </c>
      <c r="J167" s="102">
        <f t="shared" ref="J167:Q167" si="745">J166*365/J25</f>
        <v>263.61111111111109</v>
      </c>
      <c r="K167" s="102">
        <f t="shared" si="745"/>
        <v>272.30158730158729</v>
      </c>
      <c r="L167" s="102">
        <f t="shared" si="745"/>
        <v>663.21276595744678</v>
      </c>
      <c r="M167" s="102">
        <f t="shared" si="745"/>
        <v>1983.8425925925926</v>
      </c>
      <c r="N167" s="102">
        <f t="shared" si="745"/>
        <v>1487.9425837320575</v>
      </c>
      <c r="O167" s="102">
        <f t="shared" si="745"/>
        <v>1309.2084942084941</v>
      </c>
      <c r="P167" s="102">
        <f t="shared" si="745"/>
        <v>427.58507853403142</v>
      </c>
      <c r="Q167" s="102">
        <f t="shared" si="745"/>
        <v>521.96405648267012</v>
      </c>
      <c r="R167" s="102">
        <f t="shared" ref="R167:W167" si="746">R166*365/R25</f>
        <v>611.94209039548025</v>
      </c>
      <c r="S167" s="102">
        <f t="shared" si="746"/>
        <v>792.09740259740261</v>
      </c>
      <c r="T167" s="102">
        <f t="shared" si="746"/>
        <v>493.16221765913758</v>
      </c>
      <c r="U167" s="102">
        <f t="shared" si="746"/>
        <v>397.71347918136911</v>
      </c>
      <c r="V167" s="102">
        <f t="shared" si="746"/>
        <v>538.375</v>
      </c>
      <c r="W167" s="102">
        <f t="shared" si="746"/>
        <v>538.375</v>
      </c>
      <c r="X167" s="101">
        <f t="shared" si="618"/>
        <v>-1.5913596783455608E-2</v>
      </c>
      <c r="Y167" s="109"/>
      <c r="Z167" s="102">
        <f t="shared" ref="Z167:AI167" si="747">Z166*365/Z25</f>
        <v>538.375</v>
      </c>
      <c r="AA167" s="102">
        <f t="shared" si="747"/>
        <v>538.37499999999989</v>
      </c>
      <c r="AB167" s="102">
        <f t="shared" si="747"/>
        <v>538.37499999999989</v>
      </c>
      <c r="AC167" s="102">
        <f t="shared" si="747"/>
        <v>538.375</v>
      </c>
      <c r="AD167" s="102">
        <f t="shared" si="747"/>
        <v>538.375</v>
      </c>
      <c r="AE167" s="102">
        <f t="shared" si="747"/>
        <v>538.37499999999989</v>
      </c>
      <c r="AF167" s="102">
        <f t="shared" si="747"/>
        <v>538.375</v>
      </c>
      <c r="AG167" s="102">
        <f t="shared" si="747"/>
        <v>538.375</v>
      </c>
      <c r="AH167" s="102">
        <f t="shared" si="747"/>
        <v>538.37500000000011</v>
      </c>
      <c r="AI167" s="102">
        <f t="shared" si="747"/>
        <v>538.375</v>
      </c>
      <c r="AJ167" s="101">
        <f t="shared" si="722"/>
        <v>0</v>
      </c>
      <c r="AK167" s="21">
        <f t="shared" si="506"/>
        <v>0.01</v>
      </c>
      <c r="AL167" s="123" t="e">
        <f t="shared" si="640"/>
        <v>#DIV/0!</v>
      </c>
    </row>
    <row r="168" spans="2:38" x14ac:dyDescent="0.2">
      <c r="B168" s="10" t="s">
        <v>309</v>
      </c>
      <c r="C168" s="10"/>
      <c r="D168" s="10"/>
      <c r="E168" s="10"/>
      <c r="F168" s="111"/>
      <c r="G168" s="111">
        <f t="shared" ref="G168" si="748">G102/G29</f>
        <v>1.1122177954847277</v>
      </c>
      <c r="H168" s="111" t="e">
        <f t="shared" ref="H168:I168" si="749">H102/H29</f>
        <v>#DIV/0!</v>
      </c>
      <c r="I168" s="111" t="e">
        <f t="shared" si="749"/>
        <v>#DIV/0!</v>
      </c>
      <c r="J168" s="111" t="e">
        <f t="shared" ref="J168:Q168" si="750">J102/J29</f>
        <v>#DIV/0!</v>
      </c>
      <c r="K168" s="111" t="e">
        <f t="shared" si="750"/>
        <v>#DIV/0!</v>
      </c>
      <c r="L168" s="111">
        <f t="shared" si="750"/>
        <v>1.1122177954847277</v>
      </c>
      <c r="M168" s="111">
        <f t="shared" si="750"/>
        <v>0.43103448275862066</v>
      </c>
      <c r="N168" s="111">
        <f t="shared" si="750"/>
        <v>1.6862447896930655</v>
      </c>
      <c r="O168" s="111">
        <f t="shared" si="750"/>
        <v>0.36727198530912059</v>
      </c>
      <c r="P168" s="111">
        <f t="shared" si="750"/>
        <v>0.70733863837312105</v>
      </c>
      <c r="Q168" s="111">
        <f t="shared" si="750"/>
        <v>0.64839375184202774</v>
      </c>
      <c r="R168" s="111">
        <f t="shared" ref="R168:W168" si="751">R102/R29</f>
        <v>0.61246547376005767</v>
      </c>
      <c r="S168" s="111">
        <f t="shared" si="751"/>
        <v>0.31137950556708816</v>
      </c>
      <c r="T168" s="111">
        <f t="shared" si="751"/>
        <v>0.36558016650794134</v>
      </c>
      <c r="U168" s="111">
        <f t="shared" si="751"/>
        <v>0.40708489472407194</v>
      </c>
      <c r="V168" s="111">
        <f t="shared" si="751"/>
        <v>0.35419295629230241</v>
      </c>
      <c r="W168" s="111">
        <f t="shared" si="751"/>
        <v>0.35419295629230241</v>
      </c>
      <c r="X168" s="101">
        <f t="shared" si="618"/>
        <v>-8.4258105814916107E-2</v>
      </c>
      <c r="Y168" s="109"/>
      <c r="Z168" s="111">
        <f t="shared" ref="Z168:AI168" si="752">Z102/Z29</f>
        <v>0.34724799636500231</v>
      </c>
      <c r="AA168" s="111">
        <f t="shared" si="752"/>
        <v>0.34043921212255129</v>
      </c>
      <c r="AB168" s="111">
        <f t="shared" si="752"/>
        <v>0.3337639334534816</v>
      </c>
      <c r="AC168" s="111">
        <f t="shared" si="752"/>
        <v>0.32721954260145258</v>
      </c>
      <c r="AD168" s="111">
        <f t="shared" si="752"/>
        <v>0.32080347313867902</v>
      </c>
      <c r="AE168" s="111">
        <f t="shared" si="752"/>
        <v>0.31451320895948914</v>
      </c>
      <c r="AF168" s="111">
        <f t="shared" si="752"/>
        <v>0.3083462832936168</v>
      </c>
      <c r="AG168" s="111">
        <f t="shared" si="752"/>
        <v>0.30230027773884</v>
      </c>
      <c r="AH168" s="111">
        <f t="shared" si="752"/>
        <v>0.29637282131258824</v>
      </c>
      <c r="AI168" s="111">
        <f t="shared" si="752"/>
        <v>0.29056158952214534</v>
      </c>
      <c r="AJ168" s="101">
        <f t="shared" si="722"/>
        <v>-1.3615963840471257E-2</v>
      </c>
      <c r="AK168" s="21">
        <f t="shared" si="506"/>
        <v>0.01</v>
      </c>
      <c r="AL168" s="123" t="e">
        <f t="shared" si="640"/>
        <v>#DIV/0!</v>
      </c>
    </row>
    <row r="169" spans="2:38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1" t="e">
        <f t="shared" si="618"/>
        <v>#DIV/0!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14"/>
      <c r="AK169" s="123"/>
      <c r="AL169" s="123"/>
    </row>
    <row r="170" spans="2:38" x14ac:dyDescent="0.2">
      <c r="B170" s="10" t="s">
        <v>316</v>
      </c>
      <c r="C170" s="10"/>
      <c r="D170" s="10"/>
      <c r="E170" s="10"/>
      <c r="F170" s="153"/>
      <c r="G170" s="153">
        <f t="shared" ref="G170" si="753">G25/G14</f>
        <v>0.70996978851963743</v>
      </c>
      <c r="H170" s="153" t="e">
        <f t="shared" ref="H170:I170" si="754">H25/H14</f>
        <v>#DIV/0!</v>
      </c>
      <c r="I170" s="153" t="e">
        <f t="shared" si="754"/>
        <v>#DIV/0!</v>
      </c>
      <c r="J170" s="153">
        <f t="shared" ref="J170:Q170" si="755">J25/J14</f>
        <v>0.75223880597014925</v>
      </c>
      <c r="K170" s="153">
        <f t="shared" si="755"/>
        <v>1</v>
      </c>
      <c r="L170" s="153">
        <f t="shared" si="755"/>
        <v>0.70996978851963743</v>
      </c>
      <c r="M170" s="153">
        <f t="shared" si="755"/>
        <v>0.19285714285714287</v>
      </c>
      <c r="N170" s="153">
        <f t="shared" si="755"/>
        <v>0.23940435280641467</v>
      </c>
      <c r="O170" s="153">
        <f t="shared" si="755"/>
        <v>0.26188068756319516</v>
      </c>
      <c r="P170" s="153">
        <f t="shared" si="755"/>
        <v>0.77800407331975563</v>
      </c>
      <c r="Q170" s="153">
        <f t="shared" si="755"/>
        <v>0.61386918833727344</v>
      </c>
      <c r="R170" s="153">
        <f t="shared" ref="R170:W170" si="756">R25/R14</f>
        <v>0.48261758691206547</v>
      </c>
      <c r="S170" s="153">
        <f t="shared" si="756"/>
        <v>0.37782139352306182</v>
      </c>
      <c r="T170" s="153">
        <f t="shared" si="756"/>
        <v>0.47281553398058251</v>
      </c>
      <c r="U170" s="153">
        <f t="shared" si="756"/>
        <v>0.77178649237472763</v>
      </c>
      <c r="V170" s="153">
        <f t="shared" si="756"/>
        <v>0.31139419674451524</v>
      </c>
      <c r="W170" s="153">
        <f t="shared" si="756"/>
        <v>0.31139419674451524</v>
      </c>
      <c r="X170" s="101">
        <f t="shared" si="618"/>
        <v>-6.1429342448438229E-2</v>
      </c>
      <c r="Y170" s="109"/>
      <c r="Z170" s="10">
        <f t="shared" ref="Z170:AI170" si="757">Z25/Z14</f>
        <v>0.31139419674451524</v>
      </c>
      <c r="AA170" s="10">
        <f t="shared" si="757"/>
        <v>0.31139419674451524</v>
      </c>
      <c r="AB170" s="10">
        <f t="shared" si="757"/>
        <v>0.31139419674451524</v>
      </c>
      <c r="AC170" s="10">
        <f t="shared" si="757"/>
        <v>0.31139419674451529</v>
      </c>
      <c r="AD170" s="10">
        <f t="shared" si="757"/>
        <v>0.31139419674451524</v>
      </c>
      <c r="AE170" s="10">
        <f t="shared" si="757"/>
        <v>0.31139419674451529</v>
      </c>
      <c r="AF170" s="10">
        <f t="shared" si="757"/>
        <v>0.31139419674451529</v>
      </c>
      <c r="AG170" s="10">
        <f t="shared" si="757"/>
        <v>0.31139419674451529</v>
      </c>
      <c r="AH170" s="10">
        <f t="shared" si="757"/>
        <v>0.31139419674451524</v>
      </c>
      <c r="AI170" s="10">
        <f t="shared" si="757"/>
        <v>0.31139419674451529</v>
      </c>
      <c r="AJ170" s="101">
        <f t="shared" si="722"/>
        <v>0</v>
      </c>
      <c r="AK170" s="21">
        <f t="shared" si="506"/>
        <v>0.01</v>
      </c>
      <c r="AL170" s="123" t="e">
        <f t="shared" si="640"/>
        <v>#DIV/0!</v>
      </c>
    </row>
    <row r="171" spans="2:38" x14ac:dyDescent="0.2">
      <c r="B171" s="10" t="s">
        <v>317</v>
      </c>
      <c r="C171" s="10"/>
      <c r="D171" s="10"/>
      <c r="E171" s="10"/>
      <c r="F171" s="153"/>
      <c r="G171" s="153">
        <f t="shared" ref="G171" si="758">G27/G14</f>
        <v>0.34743202416918428</v>
      </c>
      <c r="H171" s="153" t="e">
        <f t="shared" ref="H171:I171" si="759">H27/H14</f>
        <v>#DIV/0!</v>
      </c>
      <c r="I171" s="153" t="e">
        <f t="shared" si="759"/>
        <v>#DIV/0!</v>
      </c>
      <c r="J171" s="153">
        <f t="shared" ref="J171:Q171" si="760">J27/J14</f>
        <v>0.41194029850746267</v>
      </c>
      <c r="K171" s="153">
        <f t="shared" si="760"/>
        <v>0.57369614512471656</v>
      </c>
      <c r="L171" s="153">
        <f t="shared" si="760"/>
        <v>0.34743202416918428</v>
      </c>
      <c r="M171" s="153">
        <f t="shared" si="760"/>
        <v>0.10178571428571428</v>
      </c>
      <c r="N171" s="153">
        <f t="shared" si="760"/>
        <v>0.12943871706758306</v>
      </c>
      <c r="O171" s="153">
        <f t="shared" si="760"/>
        <v>0.17896865520728009</v>
      </c>
      <c r="P171" s="153">
        <f t="shared" si="760"/>
        <v>0.54480651731160901</v>
      </c>
      <c r="Q171" s="153">
        <f t="shared" si="760"/>
        <v>0.42789598108747046</v>
      </c>
      <c r="R171" s="153">
        <f t="shared" ref="R171:W171" si="761">R27/R14</f>
        <v>0.33537832310838445</v>
      </c>
      <c r="S171" s="153">
        <f t="shared" si="761"/>
        <v>0.27232580961727182</v>
      </c>
      <c r="T171" s="153">
        <f t="shared" si="761"/>
        <v>0.35194174757281554</v>
      </c>
      <c r="U171" s="153">
        <f t="shared" si="761"/>
        <v>0.59912854030501095</v>
      </c>
      <c r="V171" s="153">
        <f t="shared" si="761"/>
        <v>0.22009907997169142</v>
      </c>
      <c r="W171" s="153">
        <f t="shared" si="761"/>
        <v>0.22009907997169142</v>
      </c>
      <c r="X171" s="101">
        <f t="shared" si="618"/>
        <v>-3.4505341503691778E-2</v>
      </c>
      <c r="Y171" s="109"/>
      <c r="Z171" s="10">
        <f t="shared" ref="Z171:AI171" si="762">Z27/Z14</f>
        <v>0.22009907997169145</v>
      </c>
      <c r="AA171" s="10">
        <f t="shared" si="762"/>
        <v>0.22009907997169145</v>
      </c>
      <c r="AB171" s="10">
        <f t="shared" si="762"/>
        <v>0.22009907997169142</v>
      </c>
      <c r="AC171" s="10">
        <f t="shared" si="762"/>
        <v>0.22009907997169142</v>
      </c>
      <c r="AD171" s="10">
        <f t="shared" si="762"/>
        <v>0.22009907997169142</v>
      </c>
      <c r="AE171" s="10">
        <f t="shared" si="762"/>
        <v>0.22009907997169142</v>
      </c>
      <c r="AF171" s="10">
        <f t="shared" si="762"/>
        <v>0.22009907997169142</v>
      </c>
      <c r="AG171" s="10">
        <f t="shared" si="762"/>
        <v>0.2200990799716914</v>
      </c>
      <c r="AH171" s="10">
        <f t="shared" si="762"/>
        <v>0.2200990799716914</v>
      </c>
      <c r="AI171" s="10">
        <f t="shared" si="762"/>
        <v>0.22009907997169137</v>
      </c>
      <c r="AJ171" s="101">
        <f t="shared" si="722"/>
        <v>0</v>
      </c>
      <c r="AK171" s="21">
        <f t="shared" si="506"/>
        <v>0.01</v>
      </c>
      <c r="AL171" s="123" t="e">
        <f t="shared" si="640"/>
        <v>#DIV/0!</v>
      </c>
    </row>
    <row r="172" spans="2:38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9" t="s">
        <v>508</v>
      </c>
      <c r="U172" s="169"/>
      <c r="V172" s="10"/>
      <c r="W172" s="10"/>
      <c r="X172" s="109"/>
      <c r="Y172" s="109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14"/>
      <c r="AK172" s="10"/>
      <c r="AL172" s="10"/>
    </row>
    <row r="173" spans="2:38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507</v>
      </c>
      <c r="U173" s="13" t="s">
        <v>409</v>
      </c>
      <c r="V173" s="13" t="s">
        <v>409</v>
      </c>
      <c r="W173" s="13"/>
      <c r="X173" s="13" t="s">
        <v>501</v>
      </c>
      <c r="Y173" s="10"/>
      <c r="Z173" s="105" t="s">
        <v>54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14"/>
      <c r="AK173" s="10"/>
      <c r="AL173" s="10"/>
    </row>
    <row r="174" spans="2:38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1">
        <f>AVERAGE(G106:W106)</f>
        <v>9.6150861399968957</v>
      </c>
      <c r="U174" s="111">
        <f>AVERAGE(S106:W106)</f>
        <v>11.081794195250659</v>
      </c>
      <c r="V174" s="111">
        <f>AVERAGE(S76:W76)</f>
        <v>11.09120504142515</v>
      </c>
      <c r="W174" s="111"/>
      <c r="X174" s="111">
        <f>AVERAGE(M76:W76)</f>
        <v>10.570704157813438</v>
      </c>
      <c r="Y174" s="10"/>
      <c r="Z174" s="167" t="s">
        <v>371</v>
      </c>
      <c r="AA174" s="168" t="s">
        <v>372</v>
      </c>
      <c r="AB174" s="10"/>
      <c r="AC174" s="10"/>
      <c r="AD174" s="10"/>
      <c r="AE174" s="10"/>
      <c r="AF174" s="10"/>
      <c r="AG174" s="10"/>
      <c r="AH174" s="10"/>
      <c r="AI174" s="10"/>
      <c r="AJ174" s="114"/>
      <c r="AK174" s="10"/>
      <c r="AL174" s="10"/>
    </row>
    <row r="175" spans="2:38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17" t="e">
        <f>Z175+AA175</f>
        <v>#DIV/0!</v>
      </c>
      <c r="Z175" s="111">
        <f>PV($C$1, ($AI$3-$Z$3), 0, -AI76)</f>
        <v>8.393910312619596</v>
      </c>
      <c r="AA175" s="111" t="e">
        <f>PV($C$1, ($AI$3-$Z$3), 0, -AL76)</f>
        <v>#DIV/0!</v>
      </c>
      <c r="AB175" s="10"/>
      <c r="AC175" s="10"/>
      <c r="AD175" s="10"/>
      <c r="AE175" s="10"/>
      <c r="AF175" s="10"/>
      <c r="AG175" s="10"/>
      <c r="AH175" s="10"/>
      <c r="AI175" s="10"/>
      <c r="AJ175" s="114"/>
      <c r="AK175" s="10"/>
      <c r="AL175" s="10"/>
    </row>
    <row r="176" spans="2:38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17" t="e">
        <f t="shared" ref="Y176:Y194" si="763">Z176+AA176</f>
        <v>#DIV/0!</v>
      </c>
      <c r="Z176" s="111">
        <f>PV($C$1, ($AI$3-$Z$3), 0, -AI78)</f>
        <v>94.011795501339435</v>
      </c>
      <c r="AA176" s="111" t="e">
        <f>PV($C$1, ($AI$3-$Z$3), 0, -AL78)</f>
        <v>#DIV/0!</v>
      </c>
      <c r="AB176" s="10"/>
      <c r="AC176" s="10"/>
      <c r="AD176" s="10"/>
      <c r="AE176" s="10"/>
      <c r="AF176" s="10"/>
      <c r="AG176" s="10"/>
      <c r="AH176" s="10"/>
      <c r="AI176" s="10"/>
      <c r="AJ176" s="114"/>
      <c r="AK176" s="10"/>
      <c r="AL176" s="10"/>
    </row>
    <row r="177" spans="2:38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17" t="e">
        <f t="shared" si="763"/>
        <v>#DIV/0!</v>
      </c>
      <c r="Z177" s="111">
        <f>PV($C$1, ($AI$3-$Z$3), 0, -AI79)</f>
        <v>85.505966384551598</v>
      </c>
      <c r="AA177" s="111" t="e">
        <f>PV($C$1, ($AI$3-$Z$3), 0, -AL79)</f>
        <v>#DIV/0!</v>
      </c>
      <c r="AB177" s="10"/>
      <c r="AC177" s="10"/>
      <c r="AD177" s="10"/>
      <c r="AE177" s="10"/>
      <c r="AF177" s="10"/>
      <c r="AG177" s="10"/>
      <c r="AH177" s="10"/>
      <c r="AI177" s="10"/>
      <c r="AJ177" s="114"/>
      <c r="AK177" s="10"/>
      <c r="AL177" s="10"/>
    </row>
    <row r="178" spans="2:38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17" t="e">
        <f t="shared" si="763"/>
        <v>#DIV/0!</v>
      </c>
      <c r="Z178" s="111">
        <f>PV($C$1, ($AI$3-$Z$3), 0, -AI80)</f>
        <v>62.674530334226318</v>
      </c>
      <c r="AA178" s="111" t="e">
        <f>PV($C$1, ($AI$3-$Z$3), 0, -AL80)</f>
        <v>#DIV/0!</v>
      </c>
      <c r="AB178" s="10"/>
      <c r="AC178" s="10"/>
      <c r="AD178" s="10"/>
      <c r="AE178" s="10"/>
      <c r="AF178" s="10"/>
      <c r="AG178" s="10"/>
      <c r="AH178" s="10"/>
      <c r="AI178" s="10"/>
      <c r="AJ178" s="114"/>
      <c r="AK178" s="10"/>
      <c r="AL178" s="10"/>
    </row>
    <row r="179" spans="2:38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17" t="e">
        <f t="shared" si="763"/>
        <v>#DIV/0!</v>
      </c>
      <c r="Z179" s="111">
        <f>PV($C$1, ($AI$3-$Z$3), 0, -AI86)</f>
        <v>7.1628034667687226</v>
      </c>
      <c r="AA179" s="111" t="e">
        <f>PV($C$1, ($AI$3-$Z$3), 0, -AL86)</f>
        <v>#DIV/0!</v>
      </c>
      <c r="AB179" s="10"/>
      <c r="AC179" s="10"/>
      <c r="AD179" s="10"/>
      <c r="AE179" s="10"/>
      <c r="AF179" s="10"/>
      <c r="AG179" s="10"/>
      <c r="AH179" s="10"/>
      <c r="AI179" s="10"/>
      <c r="AJ179" s="114"/>
      <c r="AK179" s="10"/>
      <c r="AL179" s="10"/>
    </row>
    <row r="180" spans="2:38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17"/>
      <c r="Z180" s="111"/>
      <c r="AA180" s="10"/>
      <c r="AB180" s="10"/>
      <c r="AC180" s="10"/>
      <c r="AD180" s="10"/>
      <c r="AE180" s="10"/>
      <c r="AF180" s="10"/>
      <c r="AG180" s="10"/>
      <c r="AH180" s="10"/>
      <c r="AI180" s="10"/>
      <c r="AJ180" s="114"/>
      <c r="AK180" s="10"/>
      <c r="AL180" s="10"/>
    </row>
    <row r="181" spans="2:38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17" t="e">
        <f t="shared" si="763"/>
        <v>#DIV/0!</v>
      </c>
      <c r="Z181" s="111">
        <f>PV($C$1, ($AI$3-$Z$3), 0, -AI82)</f>
        <v>31.337265167113131</v>
      </c>
      <c r="AA181" s="111" t="e">
        <f>PV($C$1, ($AI$3-$Z$3), 0, -$AL$82)</f>
        <v>#DIV/0!</v>
      </c>
      <c r="AB181" s="10"/>
      <c r="AC181" s="10"/>
      <c r="AD181" s="10"/>
      <c r="AE181" s="10"/>
      <c r="AF181" s="10"/>
      <c r="AG181" s="10"/>
      <c r="AH181" s="10"/>
      <c r="AI181" s="10"/>
      <c r="AJ181" s="114"/>
      <c r="AK181" s="10"/>
      <c r="AL181" s="10"/>
    </row>
    <row r="182" spans="2:38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17" t="e">
        <f t="shared" si="763"/>
        <v>#DIV/0!</v>
      </c>
      <c r="Z182" s="111">
        <f>PV($C$1, ($AI$3-$Z$3), 0, -AI83)</f>
        <v>-210.85502705300416</v>
      </c>
      <c r="AA182" s="111" t="e">
        <f>PV($C$1, ($AI$3-$Z$3), 0, -$AL$83)</f>
        <v>#DIV/0!</v>
      </c>
      <c r="AB182" s="10"/>
      <c r="AC182" s="10"/>
      <c r="AD182" s="10"/>
      <c r="AE182" s="10"/>
      <c r="AF182" s="10"/>
      <c r="AG182" s="10"/>
      <c r="AH182" s="10"/>
      <c r="AI182" s="10"/>
      <c r="AJ182" s="114"/>
      <c r="AK182" s="10"/>
      <c r="AL182" s="10"/>
    </row>
    <row r="183" spans="2:38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17" t="e">
        <f t="shared" si="763"/>
        <v>#DIV/0!</v>
      </c>
      <c r="Z183" s="111">
        <f>PV($C$1, ($AI$3-$Z$3), 0, -AI84)</f>
        <v>124.67754784344318</v>
      </c>
      <c r="AA183" s="111" t="e">
        <f>PV($C$1, ($AI$3-$Z$3), 0, -$AL$84)</f>
        <v>#DIV/0!</v>
      </c>
      <c r="AB183" s="10"/>
      <c r="AC183" s="10"/>
      <c r="AD183" s="10"/>
      <c r="AE183" s="10"/>
      <c r="AF183" s="10"/>
      <c r="AG183" s="10"/>
      <c r="AH183" s="10"/>
      <c r="AI183" s="10"/>
      <c r="AJ183" s="114"/>
      <c r="AK183" s="10"/>
      <c r="AL183" s="10"/>
    </row>
    <row r="184" spans="2:38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17"/>
      <c r="Z184" s="111"/>
      <c r="AA184" s="10"/>
      <c r="AB184" s="10"/>
      <c r="AC184" s="10"/>
      <c r="AD184" s="10"/>
      <c r="AE184" s="10"/>
      <c r="AF184" s="10"/>
      <c r="AG184" s="10"/>
      <c r="AH184" s="10"/>
      <c r="AI184" s="10"/>
      <c r="AJ184" s="114"/>
      <c r="AK184" s="10"/>
      <c r="AL184" s="10"/>
    </row>
    <row r="185" spans="2:38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17" t="e">
        <f t="shared" si="763"/>
        <v>#DIV/0!</v>
      </c>
      <c r="Z185" s="111">
        <f>PV($C$1, ($AI$3-$Z$3), 0, -AI89)</f>
        <v>335.53257489644739</v>
      </c>
      <c r="AA185" s="111" t="e">
        <f>PV($C$1, ($AI$3-$Z$3), 0, -AL89)</f>
        <v>#DIV/0!</v>
      </c>
      <c r="AB185" s="10"/>
      <c r="AC185" s="10"/>
      <c r="AD185" s="10"/>
      <c r="AE185" s="10"/>
      <c r="AF185" s="10"/>
      <c r="AG185" s="10"/>
      <c r="AH185" s="10"/>
      <c r="AI185" s="10"/>
      <c r="AJ185" s="114"/>
      <c r="AK185" s="10"/>
      <c r="AL185" s="10"/>
    </row>
    <row r="186" spans="2:38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17" t="e">
        <f t="shared" si="763"/>
        <v>#DIV/0!</v>
      </c>
      <c r="Z186" s="111">
        <f>PV($C$1, ($AI$3-$Z$3), 0, -AI90)</f>
        <v>145.27060781040316</v>
      </c>
      <c r="AA186" s="111" t="e">
        <f>PV($C$1, ($AI$3-$Z$3), 0, -AL90)</f>
        <v>#DIV/0!</v>
      </c>
      <c r="AB186" s="10"/>
      <c r="AC186" s="10"/>
      <c r="AD186" s="10"/>
      <c r="AE186" s="10"/>
      <c r="AF186" s="10"/>
      <c r="AG186" s="10"/>
      <c r="AH186" s="10"/>
      <c r="AI186" s="10"/>
      <c r="AJ186" s="114"/>
      <c r="AK186" s="10"/>
      <c r="AL186" s="10"/>
    </row>
    <row r="187" spans="2:38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17"/>
      <c r="Z187" s="111"/>
      <c r="AA187" s="111"/>
      <c r="AB187" s="10"/>
      <c r="AC187" s="10"/>
      <c r="AD187" s="10"/>
      <c r="AE187" s="10"/>
      <c r="AF187" s="10"/>
      <c r="AG187" s="10"/>
      <c r="AH187" s="10"/>
      <c r="AI187" s="10"/>
      <c r="AJ187" s="114"/>
      <c r="AK187" s="10"/>
      <c r="AL187" s="10"/>
    </row>
    <row r="188" spans="2:38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17" t="e">
        <f t="shared" ref="Y188" si="764">Z188+AA188</f>
        <v>#DIV/0!</v>
      </c>
      <c r="Z188" s="111">
        <f>PV($C$1, ($AI$3-$Z$3), 0, -AI12)</f>
        <v>66.184144327927143</v>
      </c>
      <c r="AA188" s="111" t="e">
        <f>PV($C$1, ($AI$3-$Z$3), 0, -AL12)</f>
        <v>#DIV/0!</v>
      </c>
      <c r="AB188" s="10"/>
      <c r="AC188" s="10"/>
      <c r="AD188" s="10"/>
      <c r="AE188" s="10"/>
      <c r="AF188" s="10"/>
      <c r="AG188" s="10"/>
      <c r="AH188" s="10"/>
      <c r="AI188" s="10"/>
      <c r="AJ188" s="114"/>
      <c r="AK188" s="10"/>
      <c r="AL188" s="10"/>
    </row>
    <row r="189" spans="2:38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17" t="e">
        <f>Z189+AA189</f>
        <v>#DIV/0!</v>
      </c>
      <c r="Z189" s="117">
        <f>Z188/T61</f>
        <v>8.7429516945742591</v>
      </c>
      <c r="AA189" s="117" t="e">
        <f>AA188/T61</f>
        <v>#DIV/0!</v>
      </c>
      <c r="AB189" s="10"/>
      <c r="AC189" s="10"/>
      <c r="AD189" s="10"/>
      <c r="AE189" s="10"/>
      <c r="AF189" s="10"/>
      <c r="AG189" s="10"/>
      <c r="AH189" s="10"/>
      <c r="AI189" s="10"/>
      <c r="AJ189" s="114"/>
      <c r="AK189" s="10"/>
      <c r="AL189" s="10"/>
    </row>
    <row r="190" spans="2:38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17"/>
      <c r="Z190" s="117"/>
      <c r="AA190" s="117"/>
      <c r="AB190" s="10"/>
      <c r="AC190" s="10"/>
      <c r="AD190" s="10"/>
      <c r="AE190" s="10"/>
      <c r="AF190" s="10"/>
      <c r="AG190" s="10"/>
      <c r="AH190" s="10"/>
      <c r="AI190" s="10"/>
      <c r="AJ190" s="114"/>
      <c r="AK190" s="10"/>
      <c r="AL190" s="10"/>
    </row>
    <row r="191" spans="2:38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17"/>
      <c r="Z191" s="111"/>
      <c r="AA191" s="111"/>
      <c r="AB191" s="10"/>
      <c r="AC191" s="10"/>
      <c r="AD191" s="10"/>
      <c r="AE191" s="10"/>
      <c r="AF191" s="10"/>
      <c r="AG191" s="10"/>
      <c r="AH191" s="10"/>
      <c r="AI191" s="10"/>
      <c r="AJ191" s="114"/>
      <c r="AK191" s="10"/>
      <c r="AL191" s="10"/>
    </row>
    <row r="192" spans="2:38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17" t="e">
        <f t="shared" ref="Y192" si="765">Z192+AA192</f>
        <v>#DIV/0!</v>
      </c>
      <c r="Z192" s="111">
        <f>PV($C$1, ($AI$3-$Z$3), 0, -AI92)+PV($C$1, ($AH$3-$Z$3), 0, -AI92)+PV($C$1, ($AG$3-$Z$3), 0, -AI92)+PV($C$1, ($AF$3-$Z$3), 0, -AI92)+PV($C$1, ($AE$3-$Z$3), 0, -AI92)+PV($C$1, ($AD$3-$Z$3), 0, -AI92)+PV($C$1, ($AC$3-$Z$3), 0, -AI92)+PV($C$1, ($AB$3-$Z$3), 0, -AI92)+PV($C$1, ($AA$3-$Z$3), 0, -AI92)+PV($C$1, ($Z$3-$Z$3), 0, -AI92)</f>
        <v>14.002690963948224</v>
      </c>
      <c r="AA192" s="111" t="e">
        <f>PV($C$1, ($AI$3-$Z$3), 0, -AL92)</f>
        <v>#DIV/0!</v>
      </c>
      <c r="AB192" s="10"/>
      <c r="AC192" s="10"/>
      <c r="AD192" s="10"/>
      <c r="AE192" s="10"/>
      <c r="AF192" s="10"/>
      <c r="AG192" s="10"/>
      <c r="AH192" s="10"/>
      <c r="AI192" s="10"/>
      <c r="AJ192" s="114"/>
      <c r="AK192" s="10"/>
      <c r="AL192" s="10"/>
    </row>
    <row r="193" spans="2:38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17"/>
      <c r="Z193" s="111"/>
      <c r="AA193" s="111"/>
      <c r="AB193" s="10"/>
      <c r="AC193" s="10"/>
      <c r="AD193" s="10"/>
      <c r="AE193" s="10"/>
      <c r="AF193" s="10"/>
      <c r="AG193" s="10"/>
      <c r="AH193" s="10"/>
      <c r="AI193" s="10"/>
      <c r="AJ193" s="114"/>
      <c r="AK193" s="10"/>
      <c r="AL193" s="10"/>
    </row>
    <row r="194" spans="2:38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17" t="e">
        <f t="shared" si="763"/>
        <v>#DIV/0!</v>
      </c>
      <c r="Z194" s="111">
        <f>PV($C$1, ($AI$3-$Z$3), 0, -AI94)+PV($C$1, ($AH$3-$Z$3), 0, -AI94)+PV($C$1, ($AG$3-$Z$3), 0, -AI94)+PV($C$1, ($AF$3-$Z$3), 0, -AI94)+PV($C$1, ($AE$3-$Z$3), 0, -AI94)+PV($C$1, ($AD$3-$Z$3), 0, -AI94)+PV($C$1, ($AC$3-$Z$3), 0, -AI94)+PV($C$1, ($AB$3-$Z$3), 0, -AI94)+PV($C$1, ($AA$3-$Z$3), 0, -AI94)+PV($C$1, ($Z$3-$Z$3), 0, -AI94)</f>
        <v>0</v>
      </c>
      <c r="AA194" s="111" t="e">
        <f>PV($C$1, ($AI$3-$Z$3), 0, -AL94)</f>
        <v>#DIV/0!</v>
      </c>
      <c r="AB194" s="10"/>
      <c r="AC194" s="10"/>
      <c r="AD194" s="10"/>
      <c r="AE194" s="10"/>
      <c r="AF194" s="10"/>
      <c r="AG194" s="10"/>
      <c r="AH194" s="10"/>
      <c r="AI194" s="10"/>
      <c r="AJ194" s="114"/>
      <c r="AK194" s="10"/>
      <c r="AL194" s="10"/>
    </row>
    <row r="195" spans="2:38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17"/>
      <c r="Z195" s="111"/>
      <c r="AA195" s="111"/>
      <c r="AB195" s="10"/>
      <c r="AC195" s="10"/>
      <c r="AD195" s="10"/>
      <c r="AE195" s="10"/>
      <c r="AF195" s="10"/>
      <c r="AG195" s="10"/>
      <c r="AH195" s="10"/>
      <c r="AI195" s="10"/>
      <c r="AJ195" s="114"/>
      <c r="AK195" s="10"/>
      <c r="AL195" s="10"/>
    </row>
    <row r="196" spans="2:38" x14ac:dyDescent="0.2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17" t="e">
        <f t="shared" ref="Y196:Y199" si="766">Z196+AA196</f>
        <v>#DIV/0!</v>
      </c>
      <c r="Z196" s="111">
        <f>PV($C$1, ($AI$3-$Z$3), 0, -AI96)+PV($C$1, ($AH$3-$Z$3), 0, -AI96)+PV($C$1, ($AG$3-$Z$3), 0, -AI96)+PV($C$1, ($AF$3-$Z$3), 0, -AI96)+PV($C$1, ($AE$3-$Z$3), 0, -AI96)+PV($C$1, ($AD$3-$Z$3), 0, -AI96)+PV($C$1, ($AC$3-$Z$3), 0, -AI96)+PV($C$1, ($AB$3-$Z$3), 0, -AI96)+PV($C$1, ($AA$3-$Z$3), 0, -AI96)+PV($C$1, ($Z$3-$Z$3), 0, -AI96)</f>
        <v>0</v>
      </c>
      <c r="AA196" s="111" t="e">
        <f>PV($C$1, ($AI$3-$Z$3), 0, -AL96)</f>
        <v>#DIV/0!</v>
      </c>
      <c r="AB196" s="10"/>
      <c r="AC196" s="10"/>
      <c r="AD196" s="10"/>
      <c r="AE196" s="10"/>
      <c r="AF196" s="10"/>
      <c r="AG196" s="10"/>
      <c r="AH196" s="10"/>
      <c r="AI196" s="10"/>
      <c r="AJ196" s="114"/>
      <c r="AK196" s="10"/>
      <c r="AL196" s="10"/>
    </row>
    <row r="197" spans="2:38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17" t="e">
        <f t="shared" si="766"/>
        <v>#DIV/0!</v>
      </c>
      <c r="Z197" s="111">
        <f>PV($C$1, ($AI$3-$Z$3), 0, -AI97)+PV($C$1, ($AH$3-$Z$3), 0, -AI97)+PV($C$1, ($AG$3-$Z$3), 0, -AI97)+PV($C$1, ($AF$3-$Z$3), 0, -AI97)+PV($C$1, ($AE$3-$Z$3), 0, -AI97)+PV($C$1, ($AD$3-$Z$3), 0, -AI97)+PV($C$1, ($AC$3-$Z$3), 0, -AI97)+PV($C$1, ($AB$3-$Z$3), 0, -AI97)+PV($C$1, ($AA$3-$Z$3), 0, -AI97)+PV($C$1, ($Z$3-$Z$3), 0, -AI97)</f>
        <v>0</v>
      </c>
      <c r="AA197" s="111" t="e">
        <f>PV($C$1, ($AI$3-$Z$3), 0, -AL97)</f>
        <v>#DIV/0!</v>
      </c>
      <c r="AB197" s="10"/>
      <c r="AC197" s="10"/>
      <c r="AD197" s="10"/>
      <c r="AE197" s="10"/>
      <c r="AF197" s="10"/>
      <c r="AG197" s="10"/>
      <c r="AH197" s="10"/>
      <c r="AI197" s="10"/>
      <c r="AJ197" s="114"/>
      <c r="AK197" s="10"/>
      <c r="AL197" s="10"/>
    </row>
    <row r="198" spans="2:38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17" t="e">
        <f t="shared" si="766"/>
        <v>#DIV/0!</v>
      </c>
      <c r="Z198" s="111">
        <f>PV($C$1, ($AI$3-$Z$3), 0, -AI98)+PV($C$1, ($AH$3-$Z$3), 0, -AI98)+PV($C$1, ($AG$3-$Z$3), 0, -AI98)+PV($C$1, ($AF$3-$Z$3), 0, -AI98)+PV($C$1, ($AE$3-$Z$3), 0, -AI98)+PV($C$1, ($AD$3-$Z$3), 0, -AI98)+PV($C$1, ($AC$3-$Z$3), 0, -AI98)+PV($C$1, ($AB$3-$Z$3), 0, -AI98)+PV($C$1, ($AA$3-$Z$3), 0, -AI98)+PV($C$1, ($Z$3-$Z$3), 0, -AI98)</f>
        <v>0</v>
      </c>
      <c r="AA198" s="111" t="e">
        <f>PV($C$1, ($AI$3-$Z$3), 0, -AL98)</f>
        <v>#DIV/0!</v>
      </c>
      <c r="AB198" s="10"/>
      <c r="AC198" s="10"/>
      <c r="AD198" s="10"/>
      <c r="AE198" s="10"/>
      <c r="AF198" s="10"/>
      <c r="AG198" s="10"/>
      <c r="AH198" s="10"/>
      <c r="AI198" s="10"/>
      <c r="AJ198" s="114"/>
      <c r="AK198" s="10"/>
      <c r="AL198" s="10"/>
    </row>
    <row r="199" spans="2:38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17" t="e">
        <f t="shared" si="766"/>
        <v>#DIV/0!</v>
      </c>
      <c r="Z199" s="111">
        <f>PV($C$1, ($AI$3-$Z$3), 0, -AI99)+PV($C$1, ($AH$3-$Z$3), 0, -AI99)+PV($C$1, ($AG$3-$Z$3), 0, -AI99)+PV($C$1, ($AF$3-$Z$3), 0, -AI99)+PV($C$1, ($AE$3-$Z$3), 0, -AI99)+PV($C$1, ($AD$3-$Z$3), 0, -AI99)+PV($C$1, ($AC$3-$Z$3), 0, -AI99)+PV($C$1, ($AB$3-$Z$3), 0, -AI99)+PV($C$1, ($AA$3-$Z$3), 0, -AI99)+PV($C$1, ($Z$3-$Z$3), 0, -AI99)</f>
        <v>0</v>
      </c>
      <c r="AA199" s="111" t="e">
        <f>PV($C$1, ($AI$3-$Z$3), 0, -AL99)</f>
        <v>#DIV/0!</v>
      </c>
      <c r="AB199" s="10"/>
      <c r="AC199" s="10"/>
      <c r="AD199" s="10"/>
      <c r="AE199" s="10"/>
      <c r="AF199" s="10"/>
      <c r="AG199" s="10"/>
      <c r="AH199" s="10"/>
      <c r="AI199" s="10"/>
      <c r="AJ199" s="114"/>
      <c r="AK199" s="10"/>
      <c r="AL199" s="10"/>
    </row>
    <row r="200" spans="2:38" x14ac:dyDescent="0.2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95" t="e">
        <f>Y197+Y198+Y199</f>
        <v>#DIV/0!</v>
      </c>
      <c r="Z200" s="95">
        <f t="shared" ref="Z200:AA200" si="767">Z197+Z198+Z199</f>
        <v>0</v>
      </c>
      <c r="AA200" s="95" t="e">
        <f t="shared" si="767"/>
        <v>#DIV/0!</v>
      </c>
      <c r="AB200" s="10"/>
      <c r="AC200" s="10"/>
      <c r="AD200" s="10"/>
      <c r="AE200" s="10"/>
      <c r="AF200" s="10"/>
      <c r="AG200" s="10"/>
      <c r="AH200" s="10"/>
      <c r="AI200" s="10"/>
      <c r="AJ200" s="114"/>
      <c r="AK200" s="10"/>
      <c r="AL200" s="10"/>
    </row>
    <row r="201" spans="2:38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17"/>
      <c r="Z201" s="111"/>
      <c r="AA201" s="111"/>
      <c r="AB201" s="10"/>
      <c r="AC201" s="10"/>
      <c r="AD201" s="10"/>
      <c r="AE201" s="10"/>
      <c r="AF201" s="10"/>
      <c r="AG201" s="10"/>
      <c r="AH201" s="10"/>
      <c r="AI201" s="10"/>
      <c r="AJ201" s="114"/>
      <c r="AK201" s="10"/>
      <c r="AL201" s="10"/>
    </row>
    <row r="202" spans="2:38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17" t="e">
        <f>Z202+AA202</f>
        <v>#DIV/0!</v>
      </c>
      <c r="Z202" s="111">
        <f>PV($C$1, ($AI$3-$Z$3), 0, -AI100)+PV($C$1, ($AH$3-$Z$3), 0, -AI100)+PV($C$1, ($AG$3-$Z$3), 0, -AI100)+PV($C$1, ($AF$3-$Z$3), 0, -AI100)+PV($C$1, ($AE$3-$Z$3), 0, -AI100)+PV($C$1, ($AD$3-$Z$3), 0, -AI100)+PV($C$1, ($AC$3-$Z$3), 0, -AI100)+PV($C$1, ($AB$3-$Z$3), 0, -AI100)+PV($C$1, ($AA$3-$Z$3), 0, -AI100)+PV($C$1, ($Z$3-$Z$3), 0, -AI100)</f>
        <v>0</v>
      </c>
      <c r="AA202" s="111" t="e">
        <f>PV($C$1, ($AI$3-$Z$3), 0, -AL100)</f>
        <v>#DIV/0!</v>
      </c>
      <c r="AB202" s="10"/>
      <c r="AC202" s="10"/>
      <c r="AD202" s="10"/>
      <c r="AE202" s="10"/>
      <c r="AF202" s="10"/>
      <c r="AG202" s="10"/>
      <c r="AH202" s="10"/>
      <c r="AI202" s="10"/>
      <c r="AJ202" s="114"/>
      <c r="AK202" s="10"/>
      <c r="AL202" s="10"/>
    </row>
    <row r="203" spans="2:38" x14ac:dyDescent="0.2">
      <c r="B203" s="10"/>
      <c r="C203" s="10"/>
      <c r="D203" s="10"/>
      <c r="E203" s="10"/>
      <c r="F203" s="10"/>
      <c r="G203" s="10"/>
      <c r="H203" s="10"/>
      <c r="I203" s="10"/>
      <c r="J203" s="276" t="s">
        <v>512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6">
        <v>41729</v>
      </c>
      <c r="V203" s="10">
        <v>120</v>
      </c>
      <c r="W203" s="10"/>
      <c r="X203" s="10"/>
      <c r="Y203" s="10"/>
      <c r="Z203" s="104"/>
      <c r="AA203" s="10"/>
      <c r="AB203" s="10"/>
      <c r="AC203" s="10"/>
      <c r="AD203" s="10"/>
      <c r="AE203" s="10"/>
      <c r="AF203" s="10"/>
      <c r="AG203" s="10"/>
      <c r="AH203" s="10"/>
      <c r="AI203" s="10"/>
      <c r="AJ203" s="114"/>
      <c r="AK203" s="10"/>
      <c r="AL203" s="10"/>
    </row>
    <row r="204" spans="2:38" x14ac:dyDescent="0.2">
      <c r="B204" s="93" t="s">
        <v>208</v>
      </c>
      <c r="C204" s="10"/>
      <c r="D204" s="10"/>
      <c r="E204" s="10"/>
      <c r="F204" s="174"/>
      <c r="G204" s="174"/>
      <c r="H204" s="169">
        <v>0</v>
      </c>
      <c r="I204" s="169">
        <v>0</v>
      </c>
      <c r="J204" s="169">
        <v>0</v>
      </c>
      <c r="K204" s="169">
        <v>0</v>
      </c>
      <c r="L204" s="169">
        <v>0</v>
      </c>
      <c r="M204" s="169">
        <v>0</v>
      </c>
      <c r="N204" s="169">
        <v>0</v>
      </c>
      <c r="O204" s="169">
        <v>0</v>
      </c>
      <c r="P204" s="169">
        <v>0</v>
      </c>
      <c r="Q204" s="169">
        <v>0</v>
      </c>
      <c r="R204" s="169"/>
      <c r="S204" s="169">
        <v>0</v>
      </c>
      <c r="T204" s="169">
        <v>0</v>
      </c>
      <c r="U204" s="13" t="s">
        <v>332</v>
      </c>
      <c r="V204" s="10">
        <v>165</v>
      </c>
      <c r="W204" s="10" t="s">
        <v>500</v>
      </c>
      <c r="X204" s="13" t="s">
        <v>333</v>
      </c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14"/>
      <c r="AK204" s="10"/>
      <c r="AL204" s="10"/>
    </row>
    <row r="205" spans="2:38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96</v>
      </c>
      <c r="L205" s="12">
        <v>19</v>
      </c>
      <c r="M205" s="12">
        <v>56</v>
      </c>
      <c r="N205" s="12">
        <v>44</v>
      </c>
      <c r="O205" s="12">
        <v>39</v>
      </c>
      <c r="P205" s="12">
        <v>89</v>
      </c>
      <c r="Q205" s="12">
        <v>103</v>
      </c>
      <c r="R205" s="12">
        <v>222</v>
      </c>
      <c r="S205" s="12">
        <v>103</v>
      </c>
      <c r="T205" s="12">
        <v>182</v>
      </c>
      <c r="U205" s="12">
        <v>297</v>
      </c>
      <c r="V205" s="12">
        <v>251</v>
      </c>
      <c r="W205" s="12">
        <v>170</v>
      </c>
      <c r="X205" s="101" t="e">
        <f t="shared" ref="X205:X236" si="768">((V205/G205)^(1/($K$2-$K$1) ))-1</f>
        <v>#DIV/0!</v>
      </c>
      <c r="Y205" s="21">
        <v>0.02</v>
      </c>
      <c r="Z205" s="170">
        <v>200</v>
      </c>
      <c r="AA205" s="102">
        <f t="shared" ref="AA205:AI205" si="769">Z205*(1+$Y205)</f>
        <v>204</v>
      </c>
      <c r="AB205" s="102">
        <f t="shared" si="769"/>
        <v>208.08</v>
      </c>
      <c r="AC205" s="102">
        <f t="shared" si="769"/>
        <v>212.24160000000001</v>
      </c>
      <c r="AD205" s="102">
        <f t="shared" si="769"/>
        <v>216.48643200000001</v>
      </c>
      <c r="AE205" s="102">
        <f t="shared" si="769"/>
        <v>220.81616064000002</v>
      </c>
      <c r="AF205" s="102">
        <f t="shared" si="769"/>
        <v>225.23248385280002</v>
      </c>
      <c r="AG205" s="102">
        <f t="shared" si="769"/>
        <v>229.73713352985601</v>
      </c>
      <c r="AH205" s="102">
        <f t="shared" si="769"/>
        <v>234.33187620045314</v>
      </c>
      <c r="AI205" s="102">
        <f t="shared" si="769"/>
        <v>239.0185137244622</v>
      </c>
      <c r="AJ205" s="115" t="e">
        <f t="shared" ref="AJ205:AJ212" si="770">((AI205/J205)^(1/($AI$3-$K$1) ))-1</f>
        <v>#DIV/0!</v>
      </c>
      <c r="AK205" s="21">
        <f t="shared" ref="AK205:AK212" si="771">$O$1</f>
        <v>0.01</v>
      </c>
      <c r="AL205" s="108" t="e">
        <f t="shared" ref="AL205:AL216" si="772">(AI205*(1+AJ205))/($C$1-AK205)</f>
        <v>#DIV/0!</v>
      </c>
    </row>
    <row r="206" spans="2:38" x14ac:dyDescent="0.2">
      <c r="B206" s="10" t="s">
        <v>303</v>
      </c>
      <c r="C206" s="15"/>
      <c r="D206" s="15"/>
      <c r="E206" s="15"/>
      <c r="F206" s="15"/>
      <c r="G206" s="15">
        <f t="shared" ref="G206" si="773">G205/G70</f>
        <v>0</v>
      </c>
      <c r="H206" s="15" t="e">
        <f t="shared" ref="H206:I206" si="774">H205/H70</f>
        <v>#DIV/0!</v>
      </c>
      <c r="I206" s="15" t="e">
        <f t="shared" si="774"/>
        <v>#DIV/0!</v>
      </c>
      <c r="J206" s="15">
        <f t="shared" ref="J206:Q206" si="775">J205/J70</f>
        <v>0</v>
      </c>
      <c r="K206" s="15">
        <f t="shared" si="775"/>
        <v>1.6391836734693876</v>
      </c>
      <c r="L206" s="15">
        <f t="shared" si="775"/>
        <v>0.60880851063829788</v>
      </c>
      <c r="M206" s="15">
        <f t="shared" si="775"/>
        <v>3.9096296296296296</v>
      </c>
      <c r="N206" s="15">
        <f t="shared" si="775"/>
        <v>1.5873684210526315</v>
      </c>
      <c r="O206" s="15">
        <f t="shared" si="775"/>
        <v>1.1353667953667954</v>
      </c>
      <c r="P206" s="15">
        <f t="shared" si="775"/>
        <v>0.87835078534031408</v>
      </c>
      <c r="Q206" s="15">
        <f t="shared" si="775"/>
        <v>0.99694480102695759</v>
      </c>
      <c r="R206" s="15">
        <f t="shared" ref="R206:W206" si="776">R205/R70</f>
        <v>2.3736440677966106</v>
      </c>
      <c r="S206" s="15">
        <f t="shared" si="776"/>
        <v>1.0126103896103895</v>
      </c>
      <c r="T206" s="15">
        <f t="shared" si="776"/>
        <v>1.4145174537987679</v>
      </c>
      <c r="U206" s="15">
        <f t="shared" si="776"/>
        <v>1.5866549047282992</v>
      </c>
      <c r="V206" s="15">
        <f t="shared" si="776"/>
        <v>2.1620227272727273</v>
      </c>
      <c r="W206" s="15">
        <f t="shared" si="776"/>
        <v>1.4643181818181819</v>
      </c>
      <c r="X206" s="101" t="e">
        <f t="shared" si="768"/>
        <v>#DIV/0!</v>
      </c>
      <c r="Y206" s="109"/>
      <c r="Z206" s="15">
        <f t="shared" ref="Z206:AI206" si="777">Z205/Z70</f>
        <v>1.4643181818181819</v>
      </c>
      <c r="AA206" s="15">
        <f t="shared" si="777"/>
        <v>1.2695638636363635</v>
      </c>
      <c r="AB206" s="15">
        <f t="shared" si="777"/>
        <v>1.1007118697727274</v>
      </c>
      <c r="AC206" s="15">
        <f t="shared" si="777"/>
        <v>0.95431719109295465</v>
      </c>
      <c r="AD206" s="15">
        <f t="shared" si="777"/>
        <v>0.8273930046775918</v>
      </c>
      <c r="AE206" s="15">
        <f t="shared" si="777"/>
        <v>0.71734973505547228</v>
      </c>
      <c r="AF206" s="15">
        <f t="shared" si="777"/>
        <v>0.62194222029309432</v>
      </c>
      <c r="AG206" s="15">
        <f t="shared" si="777"/>
        <v>0.53922390499411288</v>
      </c>
      <c r="AH206" s="15">
        <f t="shared" si="777"/>
        <v>0.46750712562989594</v>
      </c>
      <c r="AI206" s="15">
        <f t="shared" si="777"/>
        <v>0.40532867792111976</v>
      </c>
      <c r="AJ206" s="115" t="e">
        <f t="shared" ref="AJ206" si="778">((AI206/J206)^(1/($AI$3-$K$1) ))-1</f>
        <v>#DIV/0!</v>
      </c>
      <c r="AK206" s="21">
        <f t="shared" si="771"/>
        <v>0.01</v>
      </c>
      <c r="AL206" s="108" t="e">
        <f t="shared" ref="AL206" si="779">(AI206*(1+AJ206))/($C$1-AK206)</f>
        <v>#DIV/0!</v>
      </c>
    </row>
    <row r="207" spans="2:38" x14ac:dyDescent="0.2">
      <c r="B207" s="10" t="s">
        <v>331</v>
      </c>
      <c r="C207" s="15"/>
      <c r="D207" s="15"/>
      <c r="E207" s="15"/>
      <c r="F207" s="15"/>
      <c r="G207" s="15">
        <f t="shared" ref="G207" si="780">G205/G76</f>
        <v>0</v>
      </c>
      <c r="H207" s="15" t="e">
        <f t="shared" ref="H207:I207" si="781">H205/H76</f>
        <v>#DIV/0!</v>
      </c>
      <c r="I207" s="15" t="e">
        <f t="shared" si="781"/>
        <v>#DIV/0!</v>
      </c>
      <c r="J207" s="15">
        <f t="shared" ref="J207:Q207" si="782">J205/J76</f>
        <v>0</v>
      </c>
      <c r="K207" s="15">
        <f t="shared" si="782"/>
        <v>5.2764963503649644</v>
      </c>
      <c r="L207" s="15">
        <f t="shared" si="782"/>
        <v>2.043857142857143</v>
      </c>
      <c r="M207" s="15">
        <f t="shared" si="782"/>
        <v>14.074666666666667</v>
      </c>
      <c r="N207" s="15">
        <f t="shared" si="782"/>
        <v>6.3800000000000008</v>
      </c>
      <c r="O207" s="15">
        <f t="shared" si="782"/>
        <v>8.4017142857142844</v>
      </c>
      <c r="P207" s="15">
        <f t="shared" si="782"/>
        <v>5.4557723577235775</v>
      </c>
      <c r="Q207" s="15">
        <f t="shared" si="782"/>
        <v>6.637777777777778</v>
      </c>
      <c r="R207" s="15">
        <f t="shared" ref="R207:W207" si="783">R205/R76</f>
        <v>16.475882352941177</v>
      </c>
      <c r="S207" s="15">
        <f t="shared" si="783"/>
        <v>12.575967741935484</v>
      </c>
      <c r="T207" s="15">
        <f t="shared" si="783"/>
        <v>15.836091954022988</v>
      </c>
      <c r="U207" s="15">
        <f t="shared" si="783"/>
        <v>18.580909090909092</v>
      </c>
      <c r="V207" s="15">
        <f t="shared" si="783"/>
        <v>25.367733333333334</v>
      </c>
      <c r="W207" s="15">
        <f t="shared" si="783"/>
        <v>17.181333333333335</v>
      </c>
      <c r="X207" s="101" t="e">
        <f t="shared" si="768"/>
        <v>#DIV/0!</v>
      </c>
      <c r="Y207" s="109"/>
      <c r="Z207" s="102">
        <f t="shared" ref="Z207:AI207" si="784">Z205/Z76</f>
        <v>17.181333333333335</v>
      </c>
      <c r="AA207" s="102">
        <f t="shared" si="784"/>
        <v>14.896216000000003</v>
      </c>
      <c r="AB207" s="102">
        <f t="shared" si="784"/>
        <v>12.915019272000002</v>
      </c>
      <c r="AC207" s="102">
        <f t="shared" si="784"/>
        <v>11.197321708824003</v>
      </c>
      <c r="AD207" s="102">
        <f t="shared" si="784"/>
        <v>9.7080779215504123</v>
      </c>
      <c r="AE207" s="102">
        <f t="shared" si="784"/>
        <v>8.4169035579842095</v>
      </c>
      <c r="AF207" s="102">
        <f t="shared" si="784"/>
        <v>7.2974553847723085</v>
      </c>
      <c r="AG207" s="102">
        <f t="shared" si="784"/>
        <v>6.3268938185975916</v>
      </c>
      <c r="AH207" s="102">
        <f t="shared" si="784"/>
        <v>5.4854169407241127</v>
      </c>
      <c r="AI207" s="102">
        <f t="shared" si="784"/>
        <v>4.7558564876078062</v>
      </c>
      <c r="AJ207" s="115" t="e">
        <f t="shared" si="770"/>
        <v>#DIV/0!</v>
      </c>
      <c r="AK207" s="21">
        <f t="shared" si="771"/>
        <v>0.01</v>
      </c>
      <c r="AL207" s="108" t="e">
        <f t="shared" si="772"/>
        <v>#DIV/0!</v>
      </c>
    </row>
    <row r="208" spans="2:38" x14ac:dyDescent="0.2">
      <c r="B208" s="10" t="s">
        <v>403</v>
      </c>
      <c r="C208" s="15"/>
      <c r="D208" s="15"/>
      <c r="E208" s="15"/>
      <c r="F208" s="15"/>
      <c r="G208" s="15">
        <f t="shared" ref="G208" si="785">G205/G74</f>
        <v>0</v>
      </c>
      <c r="H208" s="15" t="e">
        <f t="shared" ref="H208:I208" si="786">H205/H74</f>
        <v>#DIV/0!</v>
      </c>
      <c r="I208" s="15" t="e">
        <f t="shared" si="786"/>
        <v>#DIV/0!</v>
      </c>
      <c r="J208" s="15">
        <f t="shared" ref="J208:Q208" si="787">J205/J74</f>
        <v>0</v>
      </c>
      <c r="K208" s="15">
        <f t="shared" si="787"/>
        <v>4.1307428571428568</v>
      </c>
      <c r="L208" s="15">
        <f t="shared" si="787"/>
        <v>2.1353731343283582</v>
      </c>
      <c r="M208" s="15">
        <f t="shared" si="787"/>
        <v>16.240000000000002</v>
      </c>
      <c r="N208" s="15">
        <f t="shared" si="787"/>
        <v>3.7276404494382023</v>
      </c>
      <c r="O208" s="15">
        <f t="shared" si="787"/>
        <v>4.0841666666666665</v>
      </c>
      <c r="P208" s="15">
        <f t="shared" si="787"/>
        <v>3.4951041666666667</v>
      </c>
      <c r="Q208" s="15">
        <f t="shared" si="787"/>
        <v>3.5300909090909087</v>
      </c>
      <c r="R208" s="15">
        <f t="shared" ref="R208:W208" si="788">R205/R74</f>
        <v>8.2379411764705885</v>
      </c>
      <c r="S208" s="15">
        <f t="shared" si="788"/>
        <v>3.9379292929292928</v>
      </c>
      <c r="T208" s="15">
        <f t="shared" si="788"/>
        <v>5.7888235294117649</v>
      </c>
      <c r="U208" s="15">
        <f t="shared" si="788"/>
        <v>7.4446688741721854</v>
      </c>
      <c r="V208" s="15">
        <f t="shared" si="788"/>
        <v>7.7027530364372465</v>
      </c>
      <c r="W208" s="15">
        <f t="shared" si="788"/>
        <v>5.2170040485829956</v>
      </c>
      <c r="X208" s="101" t="e">
        <f t="shared" si="768"/>
        <v>#DIV/0!</v>
      </c>
      <c r="Y208" s="109"/>
      <c r="Z208" s="15">
        <f t="shared" ref="Z208:AI208" si="789">Z205/Z74</f>
        <v>5.2170040485829965</v>
      </c>
      <c r="AA208" s="15">
        <f t="shared" si="789"/>
        <v>4.5231425101214588</v>
      </c>
      <c r="AB208" s="15">
        <f t="shared" si="789"/>
        <v>3.9215645562753054</v>
      </c>
      <c r="AC208" s="15">
        <f t="shared" si="789"/>
        <v>3.3999964702906893</v>
      </c>
      <c r="AD208" s="15">
        <f t="shared" si="789"/>
        <v>2.9477969397420281</v>
      </c>
      <c r="AE208" s="15">
        <f t="shared" si="789"/>
        <v>2.5557399467563386</v>
      </c>
      <c r="AF208" s="15">
        <f t="shared" si="789"/>
        <v>2.2158265338377459</v>
      </c>
      <c r="AG208" s="15">
        <f t="shared" si="789"/>
        <v>1.9211216048373256</v>
      </c>
      <c r="AH208" s="15">
        <f t="shared" si="789"/>
        <v>1.6656124313939613</v>
      </c>
      <c r="AI208" s="15">
        <f t="shared" si="789"/>
        <v>1.4440859780185644</v>
      </c>
      <c r="AJ208" s="115" t="e">
        <f t="shared" ref="AJ208:AJ209" si="790">((AI208/J208)^(1/($AI$3-$K$1) ))-1</f>
        <v>#DIV/0!</v>
      </c>
      <c r="AK208" s="21">
        <f t="shared" si="771"/>
        <v>0.01</v>
      </c>
      <c r="AL208" s="108" t="e">
        <f t="shared" ref="AL208:AL209" si="791">(AI208*(1+AJ208))/($C$1-AK208)</f>
        <v>#DIV/0!</v>
      </c>
    </row>
    <row r="209" spans="2:38" x14ac:dyDescent="0.2">
      <c r="B209" s="10" t="s">
        <v>404</v>
      </c>
      <c r="C209" s="15"/>
      <c r="D209" s="15"/>
      <c r="E209" s="15"/>
      <c r="F209" s="15"/>
      <c r="G209" s="15">
        <f t="shared" ref="G209" si="792">G205/G75</f>
        <v>0</v>
      </c>
      <c r="H209" s="15" t="e">
        <f t="shared" ref="H209:I209" si="793">H205/H75</f>
        <v>#DIV/0!</v>
      </c>
      <c r="I209" s="15" t="e">
        <f t="shared" si="793"/>
        <v>#DIV/0!</v>
      </c>
      <c r="J209" s="15">
        <f t="shared" ref="J209:Q209" si="794">J205/J75</f>
        <v>0</v>
      </c>
      <c r="K209" s="15">
        <f t="shared" si="794"/>
        <v>4.038435754189944</v>
      </c>
      <c r="L209" s="15">
        <f t="shared" si="794"/>
        <v>1.3006363636363636</v>
      </c>
      <c r="M209" s="15">
        <f t="shared" si="794"/>
        <v>11.411891891891891</v>
      </c>
      <c r="N209" s="15">
        <f t="shared" si="794"/>
        <v>4.0458536585365854</v>
      </c>
      <c r="O209" s="15">
        <f t="shared" si="794"/>
        <v>6.001224489795919</v>
      </c>
      <c r="P209" s="15">
        <f t="shared" si="794"/>
        <v>3.6078494623655915</v>
      </c>
      <c r="Q209" s="15">
        <f t="shared" si="794"/>
        <v>4.2438251366120214</v>
      </c>
      <c r="R209" s="15">
        <f t="shared" ref="R209:W209" si="795">R205/R75</f>
        <v>10.373703703703704</v>
      </c>
      <c r="S209" s="15">
        <f t="shared" si="795"/>
        <v>6.7216379310344827</v>
      </c>
      <c r="T209" s="15">
        <f t="shared" si="795"/>
        <v>9.3723809523809525</v>
      </c>
      <c r="U209" s="15">
        <f t="shared" si="795"/>
        <v>11.075320197044336</v>
      </c>
      <c r="V209" s="15">
        <f t="shared" si="795"/>
        <v>12.599867549668874</v>
      </c>
      <c r="W209" s="15">
        <f t="shared" si="795"/>
        <v>8.5337748344370858</v>
      </c>
      <c r="X209" s="101" t="e">
        <f t="shared" si="768"/>
        <v>#DIV/0!</v>
      </c>
      <c r="Y209" s="109"/>
      <c r="Z209" s="15">
        <f t="shared" ref="Z209:AI210" si="796">Z205/Z75</f>
        <v>8.5337748344370858</v>
      </c>
      <c r="AA209" s="15">
        <f t="shared" si="796"/>
        <v>7.3987827814569549</v>
      </c>
      <c r="AB209" s="15">
        <f t="shared" si="796"/>
        <v>6.4147446715231808</v>
      </c>
      <c r="AC209" s="15">
        <f t="shared" si="796"/>
        <v>5.561583630210599</v>
      </c>
      <c r="AD209" s="15">
        <f t="shared" si="796"/>
        <v>4.8218930073925899</v>
      </c>
      <c r="AE209" s="15">
        <f t="shared" si="796"/>
        <v>4.1805812374093767</v>
      </c>
      <c r="AF209" s="15">
        <f t="shared" si="796"/>
        <v>3.6245639328339294</v>
      </c>
      <c r="AG209" s="15">
        <f t="shared" si="796"/>
        <v>3.1424969297670167</v>
      </c>
      <c r="AH209" s="15">
        <f t="shared" si="796"/>
        <v>2.7245448381080037</v>
      </c>
      <c r="AI209" s="15">
        <f t="shared" si="796"/>
        <v>2.3621803746396393</v>
      </c>
      <c r="AJ209" s="115" t="e">
        <f t="shared" si="790"/>
        <v>#DIV/0!</v>
      </c>
      <c r="AK209" s="21">
        <f t="shared" si="771"/>
        <v>0.01</v>
      </c>
      <c r="AL209" s="108" t="e">
        <f t="shared" si="791"/>
        <v>#DIV/0!</v>
      </c>
    </row>
    <row r="210" spans="2:38" x14ac:dyDescent="0.2">
      <c r="B210" s="10" t="s">
        <v>215</v>
      </c>
      <c r="C210" s="15"/>
      <c r="D210" s="15"/>
      <c r="E210" s="15"/>
      <c r="F210" s="15"/>
      <c r="G210" s="15">
        <f t="shared" ref="G210" si="797">G205/G79</f>
        <v>0</v>
      </c>
      <c r="H210" s="15" t="e">
        <f t="shared" ref="H210:I210" si="798">H205/H79</f>
        <v>#DIV/0!</v>
      </c>
      <c r="I210" s="15" t="e">
        <f t="shared" si="798"/>
        <v>#DIV/0!</v>
      </c>
      <c r="J210" s="15">
        <f t="shared" ref="J210:Q210" si="799">J205/J79</f>
        <v>0</v>
      </c>
      <c r="K210" s="15">
        <f t="shared" si="799"/>
        <v>1.3436431226765799</v>
      </c>
      <c r="L210" s="15">
        <f t="shared" si="799"/>
        <v>0.24624784853700518</v>
      </c>
      <c r="M210" s="15">
        <f t="shared" si="799"/>
        <v>0.70490818030050084</v>
      </c>
      <c r="N210" s="15">
        <f t="shared" si="799"/>
        <v>0.5325200642054575</v>
      </c>
      <c r="O210" s="15">
        <f t="shared" si="799"/>
        <v>0.46528481012658229</v>
      </c>
      <c r="P210" s="15">
        <f t="shared" si="799"/>
        <v>1.0468954758190328</v>
      </c>
      <c r="Q210" s="15">
        <f t="shared" si="799"/>
        <v>1.0653223593964334</v>
      </c>
      <c r="R210" s="15">
        <f t="shared" ref="R210:W210" si="800">R205/R79</f>
        <v>2.1967843137254901</v>
      </c>
      <c r="S210" s="15">
        <f t="shared" si="800"/>
        <v>1.1044050991501417</v>
      </c>
      <c r="T210" s="15">
        <f t="shared" si="800"/>
        <v>1.722175</v>
      </c>
      <c r="U210" s="15">
        <f t="shared" si="800"/>
        <v>2.4788202866593165</v>
      </c>
      <c r="V210" s="15">
        <f t="shared" si="800"/>
        <v>2.4902879581151831</v>
      </c>
      <c r="W210" s="15">
        <f t="shared" si="800"/>
        <v>1.6866492146596859</v>
      </c>
      <c r="X210" s="101" t="e">
        <f t="shared" si="768"/>
        <v>#DIV/0!</v>
      </c>
      <c r="Y210" s="109"/>
      <c r="Z210" s="15">
        <f t="shared" si="796"/>
        <v>0.12579469393939394</v>
      </c>
      <c r="AA210" s="102">
        <f t="shared" ref="AA210:AI210" si="801">AA205/AA79</f>
        <v>1.462324869109948</v>
      </c>
      <c r="AB210" s="102">
        <f t="shared" si="801"/>
        <v>1.2678356615183251</v>
      </c>
      <c r="AC210" s="102">
        <f t="shared" si="801"/>
        <v>1.0992135185363878</v>
      </c>
      <c r="AD210" s="102">
        <f t="shared" si="801"/>
        <v>0.9530181205710484</v>
      </c>
      <c r="AE210" s="102">
        <f t="shared" si="801"/>
        <v>0.82626671053509926</v>
      </c>
      <c r="AF210" s="102">
        <f t="shared" si="801"/>
        <v>0.71637323803393105</v>
      </c>
      <c r="AG210" s="102">
        <f t="shared" si="801"/>
        <v>0.6210955973754182</v>
      </c>
      <c r="AH210" s="102">
        <f t="shared" si="801"/>
        <v>0.53848988292448763</v>
      </c>
      <c r="AI210" s="102">
        <f t="shared" si="801"/>
        <v>0.46687072849553074</v>
      </c>
      <c r="AJ210" s="115" t="e">
        <f t="shared" si="770"/>
        <v>#DIV/0!</v>
      </c>
      <c r="AK210" s="21">
        <f t="shared" si="771"/>
        <v>0.01</v>
      </c>
      <c r="AL210" s="108" t="e">
        <f t="shared" si="772"/>
        <v>#DIV/0!</v>
      </c>
    </row>
    <row r="211" spans="2:38" x14ac:dyDescent="0.2">
      <c r="B211" s="10" t="s">
        <v>216</v>
      </c>
      <c r="C211" s="15"/>
      <c r="D211" s="15"/>
      <c r="E211" s="15"/>
      <c r="F211" s="15"/>
      <c r="G211" s="15">
        <f t="shared" ref="G211" si="802">G205/G88</f>
        <v>0</v>
      </c>
      <c r="H211" s="15" t="e">
        <f t="shared" ref="H211:I211" si="803">H205/H88</f>
        <v>#DIV/0!</v>
      </c>
      <c r="I211" s="15" t="e">
        <f t="shared" si="803"/>
        <v>#DIV/0!</v>
      </c>
      <c r="J211" s="15">
        <f t="shared" ref="J211:Q211" si="804">J205/J88</f>
        <v>0</v>
      </c>
      <c r="K211" s="15">
        <f t="shared" si="804"/>
        <v>1.7982089552238807</v>
      </c>
      <c r="L211" s="15">
        <f t="shared" si="804"/>
        <v>0.42079411764705887</v>
      </c>
      <c r="M211" s="15">
        <f t="shared" si="804"/>
        <v>1.3620645161290323</v>
      </c>
      <c r="N211" s="15">
        <f t="shared" si="804"/>
        <v>2.7646666666666668</v>
      </c>
      <c r="O211" s="15">
        <f t="shared" si="804"/>
        <v>2.4920338983050847</v>
      </c>
      <c r="P211" s="15">
        <f t="shared" si="804"/>
        <v>4.4441059602649009</v>
      </c>
      <c r="Q211" s="15">
        <f t="shared" si="804"/>
        <v>9.1367058823529419</v>
      </c>
      <c r="R211" s="15">
        <f t="shared" ref="R211:W211" si="805">R205/R88</f>
        <v>36.533478260869565</v>
      </c>
      <c r="S211" s="15">
        <f t="shared" si="805"/>
        <v>8.86034090909091</v>
      </c>
      <c r="T211" s="15">
        <f t="shared" si="805"/>
        <v>16.208705882352941</v>
      </c>
      <c r="U211" s="15">
        <f t="shared" si="805"/>
        <v>19.019456898739534</v>
      </c>
      <c r="V211" s="15">
        <f t="shared" si="805"/>
        <v>28.396716417910447</v>
      </c>
      <c r="W211" s="15">
        <f t="shared" si="805"/>
        <v>19.23283582089552</v>
      </c>
      <c r="X211" s="101" t="e">
        <f t="shared" si="768"/>
        <v>#DIV/0!</v>
      </c>
      <c r="Y211" s="109"/>
      <c r="Z211" s="102">
        <f t="shared" ref="Z211:AI211" si="806">Z205/Z88</f>
        <v>19.232835820895524</v>
      </c>
      <c r="AA211" s="102">
        <f t="shared" si="806"/>
        <v>16.674868656716423</v>
      </c>
      <c r="AB211" s="102">
        <f t="shared" si="806"/>
        <v>14.457111125373137</v>
      </c>
      <c r="AC211" s="102">
        <f t="shared" si="806"/>
        <v>12.534315345698511</v>
      </c>
      <c r="AD211" s="102">
        <f t="shared" si="806"/>
        <v>10.867251404720609</v>
      </c>
      <c r="AE211" s="102">
        <f t="shared" si="806"/>
        <v>9.4219069678927703</v>
      </c>
      <c r="AF211" s="102">
        <f t="shared" si="806"/>
        <v>8.1687933411630311</v>
      </c>
      <c r="AG211" s="102">
        <f t="shared" si="806"/>
        <v>7.0823438267883487</v>
      </c>
      <c r="AH211" s="102">
        <f t="shared" si="806"/>
        <v>6.1403920978254991</v>
      </c>
      <c r="AI211" s="102">
        <f t="shared" si="806"/>
        <v>5.3237199488147073</v>
      </c>
      <c r="AJ211" s="115" t="e">
        <f t="shared" si="770"/>
        <v>#DIV/0!</v>
      </c>
      <c r="AK211" s="21">
        <f t="shared" si="771"/>
        <v>0.01</v>
      </c>
      <c r="AL211" s="108" t="e">
        <f t="shared" si="772"/>
        <v>#DIV/0!</v>
      </c>
    </row>
    <row r="212" spans="2:38" x14ac:dyDescent="0.2">
      <c r="B212" s="10" t="s">
        <v>217</v>
      </c>
      <c r="C212" s="15"/>
      <c r="D212" s="15"/>
      <c r="E212" s="15"/>
      <c r="F212" s="15"/>
      <c r="G212" s="15">
        <f t="shared" ref="G212" si="807">G205/G90</f>
        <v>0</v>
      </c>
      <c r="H212" s="15" t="e">
        <f t="shared" ref="H212:I212" si="808">H205/H90</f>
        <v>#DIV/0!</v>
      </c>
      <c r="I212" s="15" t="e">
        <f t="shared" si="808"/>
        <v>#DIV/0!</v>
      </c>
      <c r="J212" s="15">
        <f t="shared" ref="J212:Q212" si="809">J205/J90</f>
        <v>0</v>
      </c>
      <c r="K212" s="15">
        <f t="shared" si="809"/>
        <v>2.1972036474164134</v>
      </c>
      <c r="L212" s="15">
        <f t="shared" si="809"/>
        <v>0.33505854800936768</v>
      </c>
      <c r="M212" s="15">
        <f t="shared" si="809"/>
        <v>0.71931856899488933</v>
      </c>
      <c r="N212" s="15">
        <f t="shared" si="809"/>
        <v>0.38938967136150238</v>
      </c>
      <c r="O212" s="15">
        <f t="shared" si="809"/>
        <v>0.31653390742734122</v>
      </c>
      <c r="P212" s="15">
        <f t="shared" si="809"/>
        <v>0.74978770949720663</v>
      </c>
      <c r="Q212" s="15">
        <f t="shared" si="809"/>
        <v>0.69714542190305206</v>
      </c>
      <c r="R212" s="15">
        <f t="shared" ref="R212:W212" si="810">R205/R90</f>
        <v>1.4157877000842463</v>
      </c>
      <c r="S212" s="15">
        <f t="shared" si="810"/>
        <v>0.46661280670257332</v>
      </c>
      <c r="T212" s="15">
        <f t="shared" si="810"/>
        <v>1.0469148936170214</v>
      </c>
      <c r="U212" s="15">
        <f t="shared" si="810"/>
        <v>1.4561463730569948</v>
      </c>
      <c r="V212" s="15">
        <f t="shared" si="810"/>
        <v>1.4657781201848998</v>
      </c>
      <c r="W212" s="15">
        <f t="shared" si="810"/>
        <v>0.99275808936825882</v>
      </c>
      <c r="X212" s="101" t="e">
        <f t="shared" si="768"/>
        <v>#DIV/0!</v>
      </c>
      <c r="Y212" s="109"/>
      <c r="Z212" s="102">
        <f t="shared" ref="Z212:AI212" si="811">Z205/Z90</f>
        <v>0.99275808936825893</v>
      </c>
      <c r="AA212" s="102">
        <f t="shared" si="811"/>
        <v>0.86072126348228051</v>
      </c>
      <c r="AB212" s="102">
        <f t="shared" si="811"/>
        <v>0.74624533543913729</v>
      </c>
      <c r="AC212" s="102">
        <f t="shared" si="811"/>
        <v>0.64699470582573204</v>
      </c>
      <c r="AD212" s="102">
        <f t="shared" si="811"/>
        <v>0.56094440995090966</v>
      </c>
      <c r="AE212" s="102">
        <f t="shared" si="811"/>
        <v>0.48633880342743885</v>
      </c>
      <c r="AF212" s="102">
        <f t="shared" si="811"/>
        <v>0.42165574257158944</v>
      </c>
      <c r="AG212" s="102">
        <f t="shared" si="811"/>
        <v>0.36557552880956806</v>
      </c>
      <c r="AH212" s="102">
        <f t="shared" si="811"/>
        <v>0.3169539834778955</v>
      </c>
      <c r="AI212" s="102">
        <f t="shared" si="811"/>
        <v>0.27479910367533544</v>
      </c>
      <c r="AJ212" s="115" t="e">
        <f t="shared" si="770"/>
        <v>#DIV/0!</v>
      </c>
      <c r="AK212" s="21">
        <f t="shared" si="771"/>
        <v>0.01</v>
      </c>
      <c r="AL212" s="108" t="e">
        <f t="shared" si="772"/>
        <v>#DIV/0!</v>
      </c>
    </row>
    <row r="213" spans="2:38" x14ac:dyDescent="0.2">
      <c r="B213" s="10" t="s">
        <v>231</v>
      </c>
      <c r="C213" s="15"/>
      <c r="D213" s="15"/>
      <c r="E213" s="15"/>
      <c r="F213" s="15"/>
      <c r="G213" s="155">
        <f t="shared" ref="G213" si="812">G205/G84</f>
        <v>0</v>
      </c>
      <c r="H213" s="155" t="e">
        <f t="shared" ref="H213:I213" si="813">H205/H84</f>
        <v>#DIV/0!</v>
      </c>
      <c r="I213" s="155" t="e">
        <f t="shared" si="813"/>
        <v>#DIV/0!</v>
      </c>
      <c r="J213" s="155">
        <f t="shared" ref="J213:Q213" si="814">J205/J84</f>
        <v>0</v>
      </c>
      <c r="K213" s="155">
        <f t="shared" si="814"/>
        <v>1.0026074895977808</v>
      </c>
      <c r="L213" s="155">
        <f t="shared" si="814"/>
        <v>0.18179161372299874</v>
      </c>
      <c r="M213" s="155">
        <f t="shared" si="814"/>
        <v>0.40098765432098765</v>
      </c>
      <c r="N213" s="155">
        <f t="shared" si="814"/>
        <v>0.24721311475409838</v>
      </c>
      <c r="O213" s="155">
        <f t="shared" si="814"/>
        <v>0.21846953937592867</v>
      </c>
      <c r="P213" s="155">
        <f t="shared" si="814"/>
        <v>0.48839883551673946</v>
      </c>
      <c r="Q213" s="155">
        <f t="shared" si="814"/>
        <v>0.55631805157593117</v>
      </c>
      <c r="R213" s="155">
        <f t="shared" ref="R213:W213" si="815">R205/R84</f>
        <v>1.140122116689281</v>
      </c>
      <c r="S213" s="155">
        <f t="shared" si="815"/>
        <v>0.56913138686131393</v>
      </c>
      <c r="T213" s="155">
        <f t="shared" si="815"/>
        <v>0.93469470827679779</v>
      </c>
      <c r="U213" s="155">
        <f t="shared" si="815"/>
        <v>1.3233019423190113</v>
      </c>
      <c r="V213" s="155">
        <f t="shared" si="815"/>
        <v>1.7078815080789944</v>
      </c>
      <c r="W213" s="155">
        <f t="shared" si="815"/>
        <v>1.1567324955116696</v>
      </c>
      <c r="X213" s="101" t="e">
        <f t="shared" si="768"/>
        <v>#DIV/0!</v>
      </c>
      <c r="Y213" s="109"/>
      <c r="Z213" s="112">
        <f t="shared" ref="Z213:AI213" si="816">Z205/Z84</f>
        <v>1.1567324955116691</v>
      </c>
      <c r="AA213" s="112">
        <f t="shared" si="816"/>
        <v>1.0028870736086175</v>
      </c>
      <c r="AB213" s="112">
        <f t="shared" si="816"/>
        <v>0.86950309281867155</v>
      </c>
      <c r="AC213" s="112">
        <f t="shared" si="816"/>
        <v>0.75385918147378772</v>
      </c>
      <c r="AD213" s="112">
        <f t="shared" si="816"/>
        <v>0.65359591033777431</v>
      </c>
      <c r="AE213" s="112">
        <f t="shared" si="816"/>
        <v>0.56666765426285048</v>
      </c>
      <c r="AF213" s="112">
        <f t="shared" si="816"/>
        <v>0.49130085624589104</v>
      </c>
      <c r="AG213" s="112">
        <f t="shared" si="816"/>
        <v>0.42595784236518747</v>
      </c>
      <c r="AH213" s="112">
        <f t="shared" si="816"/>
        <v>0.36930544933061782</v>
      </c>
      <c r="AI213" s="112">
        <f t="shared" si="816"/>
        <v>0.32018782456964551</v>
      </c>
      <c r="AJ213" s="115" t="e">
        <f t="shared" ref="AJ213" si="817">((AI213/J213)^(1/($AI$3-$K$1) ))-1</f>
        <v>#DIV/0!</v>
      </c>
      <c r="AK213" s="21">
        <f t="shared" ref="AK213:AK216" si="818">$O$1</f>
        <v>0.01</v>
      </c>
      <c r="AL213" s="108" t="e">
        <f t="shared" si="772"/>
        <v>#DIV/0!</v>
      </c>
    </row>
    <row r="214" spans="2:38" x14ac:dyDescent="0.2">
      <c r="B214" s="10"/>
      <c r="C214" s="15"/>
      <c r="D214" s="15"/>
      <c r="E214" s="15"/>
      <c r="F214" s="1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09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08"/>
    </row>
    <row r="215" spans="2:38" x14ac:dyDescent="0.2">
      <c r="B215" s="10" t="s">
        <v>264</v>
      </c>
      <c r="C215" s="128"/>
      <c r="D215" s="128"/>
      <c r="E215" s="128"/>
      <c r="F215" s="128"/>
      <c r="G215" s="128" t="e">
        <f t="shared" ref="G215" si="819">G63/G205</f>
        <v>#DIV/0!</v>
      </c>
      <c r="H215" s="128" t="e">
        <f t="shared" ref="H215:I215" si="820">H63/H205</f>
        <v>#DIV/0!</v>
      </c>
      <c r="I215" s="128" t="e">
        <f t="shared" si="820"/>
        <v>#DIV/0!</v>
      </c>
      <c r="J215" s="128" t="e">
        <f t="shared" ref="J215:Q215" si="821">J63/J205</f>
        <v>#DIV/0!</v>
      </c>
      <c r="K215" s="128">
        <f t="shared" si="821"/>
        <v>1.8229166666666668E-2</v>
      </c>
      <c r="L215" s="128">
        <f t="shared" si="821"/>
        <v>5.2631578947368418E-2</v>
      </c>
      <c r="M215" s="128">
        <f t="shared" si="821"/>
        <v>1.7857142857142856E-2</v>
      </c>
      <c r="N215" s="128">
        <f t="shared" si="821"/>
        <v>3.6363636363636369E-2</v>
      </c>
      <c r="O215" s="128">
        <f t="shared" si="821"/>
        <v>4.1025641025641026E-2</v>
      </c>
      <c r="P215" s="128">
        <f t="shared" si="821"/>
        <v>3.9325842696629212E-2</v>
      </c>
      <c r="Q215" s="128">
        <f t="shared" si="821"/>
        <v>2.0388349514563107E-2</v>
      </c>
      <c r="R215" s="128">
        <f t="shared" ref="R215:W215" si="822">R63/R205</f>
        <v>9.0090090090090089E-3</v>
      </c>
      <c r="S215" s="128">
        <f t="shared" si="822"/>
        <v>1.4563106796116505E-2</v>
      </c>
      <c r="T215" s="128">
        <f t="shared" si="822"/>
        <v>8.7912087912087912E-3</v>
      </c>
      <c r="U215" s="128">
        <f t="shared" si="822"/>
        <v>6.7340067340067337E-3</v>
      </c>
      <c r="V215" s="128">
        <f t="shared" si="822"/>
        <v>9.5617529880478083E-3</v>
      </c>
      <c r="W215" s="128">
        <f t="shared" si="822"/>
        <v>1.4117647058823528E-2</v>
      </c>
      <c r="X215" s="101" t="e">
        <f t="shared" si="768"/>
        <v>#DIV/0!</v>
      </c>
      <c r="Y215" s="109"/>
      <c r="Z215" s="128">
        <f t="shared" ref="Z215:AI215" si="823">Z63/Z205</f>
        <v>1.2239999999999999E-2</v>
      </c>
      <c r="AA215" s="128">
        <f t="shared" si="823"/>
        <v>1.2240000000000001E-2</v>
      </c>
      <c r="AB215" s="128">
        <f t="shared" si="823"/>
        <v>1.2239999999999999E-2</v>
      </c>
      <c r="AC215" s="128">
        <f t="shared" si="823"/>
        <v>1.2239999999999999E-2</v>
      </c>
      <c r="AD215" s="128">
        <f t="shared" si="823"/>
        <v>1.2239999999999999E-2</v>
      </c>
      <c r="AE215" s="128">
        <f t="shared" si="823"/>
        <v>1.2239999999999999E-2</v>
      </c>
      <c r="AF215" s="128">
        <f t="shared" si="823"/>
        <v>1.2239999999999999E-2</v>
      </c>
      <c r="AG215" s="128">
        <f t="shared" si="823"/>
        <v>1.2239999999999999E-2</v>
      </c>
      <c r="AH215" s="128">
        <f t="shared" si="823"/>
        <v>1.2239999999999999E-2</v>
      </c>
      <c r="AI215" s="128">
        <f t="shared" si="823"/>
        <v>1.2240000000000001E-2</v>
      </c>
      <c r="AJ215" s="115" t="e">
        <f t="shared" ref="AJ215:AJ220" si="824">((AI215/J215)^(1/($AI$3-$K$1) ))-1</f>
        <v>#DIV/0!</v>
      </c>
      <c r="AK215" s="21">
        <f t="shared" si="818"/>
        <v>0.01</v>
      </c>
      <c r="AL215" s="108" t="e">
        <f t="shared" si="772"/>
        <v>#DIV/0!</v>
      </c>
    </row>
    <row r="216" spans="2:38" x14ac:dyDescent="0.2">
      <c r="B216" s="10" t="s">
        <v>132</v>
      </c>
      <c r="C216" s="128"/>
      <c r="D216" s="128"/>
      <c r="E216" s="128"/>
      <c r="F216" s="128"/>
      <c r="G216" s="138">
        <f t="shared" ref="G216" si="825">G205*G61</f>
        <v>0</v>
      </c>
      <c r="H216" s="138">
        <f t="shared" ref="H216:I216" si="826">H205*H61</f>
        <v>0</v>
      </c>
      <c r="I216" s="138">
        <f t="shared" si="826"/>
        <v>0</v>
      </c>
      <c r="J216" s="138">
        <f t="shared" ref="J216:Q216" si="827">J205*J61</f>
        <v>0</v>
      </c>
      <c r="K216" s="138">
        <f t="shared" si="827"/>
        <v>722.88</v>
      </c>
      <c r="L216" s="138">
        <f t="shared" si="827"/>
        <v>143.07</v>
      </c>
      <c r="M216" s="138">
        <f t="shared" si="827"/>
        <v>422.24</v>
      </c>
      <c r="N216" s="138">
        <f t="shared" si="827"/>
        <v>331.76</v>
      </c>
      <c r="O216" s="138">
        <f t="shared" si="827"/>
        <v>294.06</v>
      </c>
      <c r="P216" s="138">
        <f t="shared" si="827"/>
        <v>671.06000000000006</v>
      </c>
      <c r="Q216" s="138">
        <f t="shared" si="827"/>
        <v>776.62</v>
      </c>
      <c r="R216" s="138">
        <f t="shared" ref="R216:W216" si="828">R205*R61</f>
        <v>1680.54</v>
      </c>
      <c r="S216" s="138">
        <f t="shared" si="828"/>
        <v>779.71</v>
      </c>
      <c r="T216" s="138">
        <f t="shared" si="828"/>
        <v>1377.74</v>
      </c>
      <c r="U216" s="138">
        <f t="shared" si="828"/>
        <v>2248.29</v>
      </c>
      <c r="V216" s="138">
        <f t="shared" si="828"/>
        <v>1902.58</v>
      </c>
      <c r="W216" s="138">
        <f t="shared" si="828"/>
        <v>1288.5999999999999</v>
      </c>
      <c r="X216" s="101" t="e">
        <f t="shared" si="768"/>
        <v>#DIV/0!</v>
      </c>
      <c r="Y216" s="109"/>
      <c r="Z216" s="138">
        <f t="shared" ref="Z216:AI216" si="829">Z205*Z61</f>
        <v>1546.3200000000002</v>
      </c>
      <c r="AA216" s="138">
        <f t="shared" si="829"/>
        <v>1608.791328</v>
      </c>
      <c r="AB216" s="138">
        <f t="shared" si="829"/>
        <v>1673.7864976512003</v>
      </c>
      <c r="AC216" s="138">
        <f t="shared" si="829"/>
        <v>1741.4074721563088</v>
      </c>
      <c r="AD216" s="138">
        <f t="shared" si="829"/>
        <v>1811.7603340314238</v>
      </c>
      <c r="AE216" s="138">
        <f t="shared" si="829"/>
        <v>1884.9554515262937</v>
      </c>
      <c r="AF216" s="138">
        <f t="shared" si="829"/>
        <v>1961.1076517679558</v>
      </c>
      <c r="AG216" s="138">
        <f t="shared" si="829"/>
        <v>2040.3364008993813</v>
      </c>
      <c r="AH216" s="138">
        <f t="shared" si="829"/>
        <v>2122.7659914957162</v>
      </c>
      <c r="AI216" s="138">
        <f t="shared" si="829"/>
        <v>2208.5257375521433</v>
      </c>
      <c r="AJ216" s="115" t="e">
        <f t="shared" si="824"/>
        <v>#DIV/0!</v>
      </c>
      <c r="AK216" s="21">
        <f t="shared" si="818"/>
        <v>0.01</v>
      </c>
      <c r="AL216" s="108" t="e">
        <f t="shared" si="772"/>
        <v>#DIV/0!</v>
      </c>
    </row>
    <row r="217" spans="2:38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55"/>
      <c r="Y217" s="109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12"/>
      <c r="AJ217" s="112"/>
      <c r="AK217" s="112"/>
      <c r="AL217" s="108"/>
    </row>
    <row r="218" spans="2:38" x14ac:dyDescent="0.2">
      <c r="B218" s="10" t="s">
        <v>313</v>
      </c>
      <c r="C218" s="135"/>
      <c r="D218" s="135"/>
      <c r="E218" s="135"/>
      <c r="F218" s="135"/>
      <c r="G218" s="135" t="e">
        <f t="shared" ref="G218" si="830">G76/G205</f>
        <v>#DIV/0!</v>
      </c>
      <c r="H218" s="135" t="e">
        <f t="shared" ref="H218:I218" si="831">H76/H205</f>
        <v>#DIV/0!</v>
      </c>
      <c r="I218" s="135" t="e">
        <f t="shared" si="831"/>
        <v>#DIV/0!</v>
      </c>
      <c r="J218" s="135" t="e">
        <f t="shared" ref="J218:Q218" si="832">J76/J205</f>
        <v>#DIV/0!</v>
      </c>
      <c r="K218" s="135">
        <f t="shared" si="832"/>
        <v>0.18951969898185037</v>
      </c>
      <c r="L218" s="135">
        <f t="shared" si="832"/>
        <v>0.48927098623051646</v>
      </c>
      <c r="M218" s="135">
        <f t="shared" si="832"/>
        <v>7.1049640015157262E-2</v>
      </c>
      <c r="N218" s="135">
        <f t="shared" si="832"/>
        <v>0.15673981191222569</v>
      </c>
      <c r="O218" s="135">
        <f t="shared" si="832"/>
        <v>0.11902332857240019</v>
      </c>
      <c r="P218" s="135">
        <f t="shared" si="832"/>
        <v>0.18329210502786636</v>
      </c>
      <c r="Q218" s="135">
        <f t="shared" si="832"/>
        <v>0.15065282892534315</v>
      </c>
      <c r="R218" s="135">
        <f t="shared" ref="R218:W218" si="833">R76/R205</f>
        <v>6.0694776678924631E-2</v>
      </c>
      <c r="S218" s="135">
        <f t="shared" si="833"/>
        <v>7.9516743404599147E-2</v>
      </c>
      <c r="T218" s="135">
        <f t="shared" si="833"/>
        <v>6.3146892737381513E-2</v>
      </c>
      <c r="U218" s="135">
        <f t="shared" si="833"/>
        <v>5.3818679974558442E-2</v>
      </c>
      <c r="V218" s="135">
        <f t="shared" si="833"/>
        <v>3.9420155788455674E-2</v>
      </c>
      <c r="W218" s="135">
        <f t="shared" si="833"/>
        <v>5.8202700605308084E-2</v>
      </c>
      <c r="X218" s="101" t="e">
        <f t="shared" si="768"/>
        <v>#DIV/0!</v>
      </c>
      <c r="Y218" s="109"/>
      <c r="Z218" s="135">
        <f t="shared" ref="Z218:AI218" si="834">Z76/Z205</f>
        <v>5.8202700605308084E-2</v>
      </c>
      <c r="AA218" s="135">
        <f t="shared" si="834"/>
        <v>6.7131142566675989E-2</v>
      </c>
      <c r="AB218" s="135">
        <f t="shared" si="834"/>
        <v>7.7429230180710476E-2</v>
      </c>
      <c r="AC218" s="135">
        <f t="shared" si="834"/>
        <v>8.930707056598669E-2</v>
      </c>
      <c r="AD218" s="135">
        <f t="shared" si="834"/>
        <v>0.10300700180621303</v>
      </c>
      <c r="AE218" s="135">
        <f t="shared" si="834"/>
        <v>0.11880853726206804</v>
      </c>
      <c r="AF218" s="135">
        <f t="shared" si="834"/>
        <v>0.13703406835301968</v>
      </c>
      <c r="AG218" s="135">
        <f t="shared" si="834"/>
        <v>0.15805544216034564</v>
      </c>
      <c r="AH218" s="135">
        <f t="shared" si="834"/>
        <v>0.18230154805114837</v>
      </c>
      <c r="AI218" s="135">
        <f t="shared" si="834"/>
        <v>0.21026706810974435</v>
      </c>
      <c r="AJ218" s="115" t="e">
        <f t="shared" ref="AJ218" si="835">((AI218/J218)^(1/($AI$3-$K$1) ))-1</f>
        <v>#DIV/0!</v>
      </c>
      <c r="AK218" s="21">
        <f t="shared" ref="AK218" si="836">$O$1</f>
        <v>0.01</v>
      </c>
      <c r="AL218" s="108" t="e">
        <f t="shared" ref="AL218" si="837">(AI218*(1+AJ218))/($C$1-AK218)</f>
        <v>#DIV/0!</v>
      </c>
    </row>
    <row r="219" spans="2:38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4">
        <f t="shared" ref="G219" si="838">G207</f>
        <v>0</v>
      </c>
      <c r="H219" s="154" t="e">
        <f t="shared" ref="H219:I219" si="839">H207</f>
        <v>#DIV/0!</v>
      </c>
      <c r="I219" s="154" t="e">
        <f t="shared" si="839"/>
        <v>#DIV/0!</v>
      </c>
      <c r="J219" s="154">
        <f t="shared" ref="J219:Q219" si="840">J207</f>
        <v>0</v>
      </c>
      <c r="K219" s="154">
        <f t="shared" si="840"/>
        <v>5.2764963503649644</v>
      </c>
      <c r="L219" s="154">
        <f t="shared" si="840"/>
        <v>2.043857142857143</v>
      </c>
      <c r="M219" s="154">
        <f t="shared" si="840"/>
        <v>14.074666666666667</v>
      </c>
      <c r="N219" s="154">
        <f t="shared" si="840"/>
        <v>6.3800000000000008</v>
      </c>
      <c r="O219" s="154">
        <f t="shared" si="840"/>
        <v>8.4017142857142844</v>
      </c>
      <c r="P219" s="154">
        <f t="shared" si="840"/>
        <v>5.4557723577235775</v>
      </c>
      <c r="Q219" s="154">
        <f t="shared" si="840"/>
        <v>6.637777777777778</v>
      </c>
      <c r="R219" s="154">
        <f t="shared" ref="R219:W219" si="841">R207</f>
        <v>16.475882352941177</v>
      </c>
      <c r="S219" s="154">
        <f t="shared" si="841"/>
        <v>12.575967741935484</v>
      </c>
      <c r="T219" s="154">
        <f t="shared" si="841"/>
        <v>15.836091954022988</v>
      </c>
      <c r="U219" s="154">
        <f t="shared" si="841"/>
        <v>18.580909090909092</v>
      </c>
      <c r="V219" s="154">
        <f t="shared" si="841"/>
        <v>25.367733333333334</v>
      </c>
      <c r="W219" s="154">
        <f t="shared" si="841"/>
        <v>17.181333333333335</v>
      </c>
      <c r="X219" s="101" t="e">
        <f t="shared" si="768"/>
        <v>#DIV/0!</v>
      </c>
      <c r="Y219" s="109"/>
      <c r="Z219" s="128">
        <f t="shared" ref="Z219:AI219" si="842">Z207</f>
        <v>17.181333333333335</v>
      </c>
      <c r="AA219" s="128">
        <f t="shared" si="842"/>
        <v>14.896216000000003</v>
      </c>
      <c r="AB219" s="128">
        <f t="shared" si="842"/>
        <v>12.915019272000002</v>
      </c>
      <c r="AC219" s="128">
        <f t="shared" si="842"/>
        <v>11.197321708824003</v>
      </c>
      <c r="AD219" s="128">
        <f t="shared" si="842"/>
        <v>9.7080779215504123</v>
      </c>
      <c r="AE219" s="128">
        <f t="shared" si="842"/>
        <v>8.4169035579842095</v>
      </c>
      <c r="AF219" s="128">
        <f t="shared" si="842"/>
        <v>7.2974553847723085</v>
      </c>
      <c r="AG219" s="128">
        <f t="shared" si="842"/>
        <v>6.3268938185975916</v>
      </c>
      <c r="AH219" s="128">
        <f t="shared" si="842"/>
        <v>5.4854169407241127</v>
      </c>
      <c r="AI219" s="128">
        <f t="shared" si="842"/>
        <v>4.7558564876078062</v>
      </c>
      <c r="AJ219" s="115" t="e">
        <f t="shared" ref="AJ219" si="843">((AI219/J219)^(1/($AI$3-$K$1) ))-1</f>
        <v>#DIV/0!</v>
      </c>
      <c r="AK219" s="21">
        <f t="shared" ref="AK219:AK221" si="844">$O$1</f>
        <v>0.01</v>
      </c>
      <c r="AL219" s="154" t="e">
        <f>(AL206)/($O$2*100)</f>
        <v>#DIV/0!</v>
      </c>
    </row>
    <row r="220" spans="2:38" x14ac:dyDescent="0.2">
      <c r="B220" s="10" t="s">
        <v>431</v>
      </c>
      <c r="C220" s="154"/>
      <c r="D220" s="154"/>
      <c r="E220" s="154"/>
      <c r="F220" s="154"/>
      <c r="G220" s="154">
        <f t="shared" ref="G220" si="845">(G207)/($O$2*100)</f>
        <v>0</v>
      </c>
      <c r="H220" s="154" t="e">
        <f t="shared" ref="H220:I220" si="846">(H207)/($O$2*100)</f>
        <v>#DIV/0!</v>
      </c>
      <c r="I220" s="154" t="e">
        <f t="shared" si="846"/>
        <v>#DIV/0!</v>
      </c>
      <c r="J220" s="154">
        <f t="shared" ref="J220:Q220" si="847">(J207)/($O$2*100)</f>
        <v>0</v>
      </c>
      <c r="K220" s="154">
        <f t="shared" si="847"/>
        <v>0.26382481751824821</v>
      </c>
      <c r="L220" s="154">
        <f t="shared" si="847"/>
        <v>0.10219285714285715</v>
      </c>
      <c r="M220" s="154">
        <f t="shared" si="847"/>
        <v>0.70373333333333332</v>
      </c>
      <c r="N220" s="154">
        <f t="shared" si="847"/>
        <v>0.31900000000000006</v>
      </c>
      <c r="O220" s="154">
        <f t="shared" si="847"/>
        <v>0.42008571428571423</v>
      </c>
      <c r="P220" s="154">
        <f t="shared" si="847"/>
        <v>0.27278861788617886</v>
      </c>
      <c r="Q220" s="154">
        <f t="shared" si="847"/>
        <v>0.3318888888888889</v>
      </c>
      <c r="R220" s="154">
        <f t="shared" ref="R220:W220" si="848">(R207)/($O$2*100)</f>
        <v>0.8237941176470589</v>
      </c>
      <c r="S220" s="154">
        <f t="shared" si="848"/>
        <v>0.62879838709677416</v>
      </c>
      <c r="T220" s="154">
        <f t="shared" si="848"/>
        <v>0.79180459770114942</v>
      </c>
      <c r="U220" s="154">
        <f t="shared" si="848"/>
        <v>0.92904545454545462</v>
      </c>
      <c r="V220" s="154">
        <f t="shared" si="848"/>
        <v>1.2683866666666668</v>
      </c>
      <c r="W220" s="154">
        <f t="shared" si="848"/>
        <v>0.85906666666666676</v>
      </c>
      <c r="X220" s="101" t="e">
        <f t="shared" si="768"/>
        <v>#DIV/0!</v>
      </c>
      <c r="Y220" s="109"/>
      <c r="Z220" s="154">
        <f t="shared" ref="Z220:AI220" si="849">(Z207)/($O$2*100)</f>
        <v>0.85906666666666676</v>
      </c>
      <c r="AA220" s="154">
        <f t="shared" si="849"/>
        <v>0.74481080000000011</v>
      </c>
      <c r="AB220" s="154">
        <f t="shared" si="849"/>
        <v>0.64575096360000006</v>
      </c>
      <c r="AC220" s="154">
        <f t="shared" si="849"/>
        <v>0.55986608544120009</v>
      </c>
      <c r="AD220" s="154">
        <f t="shared" si="849"/>
        <v>0.4854038960775206</v>
      </c>
      <c r="AE220" s="154">
        <f t="shared" si="849"/>
        <v>0.4208451778992105</v>
      </c>
      <c r="AF220" s="154">
        <f t="shared" si="849"/>
        <v>0.36487276923861545</v>
      </c>
      <c r="AG220" s="154">
        <f t="shared" si="849"/>
        <v>0.3163446909298796</v>
      </c>
      <c r="AH220" s="154">
        <f t="shared" si="849"/>
        <v>0.27427084703620563</v>
      </c>
      <c r="AI220" s="154">
        <f t="shared" si="849"/>
        <v>0.23779282438039032</v>
      </c>
      <c r="AJ220" s="115" t="e">
        <f t="shared" si="824"/>
        <v>#DIV/0!</v>
      </c>
      <c r="AK220" s="21">
        <f t="shared" si="844"/>
        <v>0.01</v>
      </c>
      <c r="AL220" s="154" t="e">
        <f>(AL207)/($O$2*100)</f>
        <v>#DIV/0!</v>
      </c>
    </row>
    <row r="221" spans="2:38" x14ac:dyDescent="0.2">
      <c r="B221" s="10" t="s">
        <v>432</v>
      </c>
      <c r="C221" s="128"/>
      <c r="D221" s="128"/>
      <c r="E221" s="128"/>
      <c r="F221" s="128"/>
      <c r="G221" s="128">
        <f t="shared" ref="G221" si="850">G220-1</f>
        <v>-1</v>
      </c>
      <c r="H221" s="128" t="e">
        <f t="shared" ref="H221:I221" si="851">H220-1</f>
        <v>#DIV/0!</v>
      </c>
      <c r="I221" s="128" t="e">
        <f t="shared" si="851"/>
        <v>#DIV/0!</v>
      </c>
      <c r="J221" s="128">
        <f t="shared" ref="J221:Q221" si="852">J220-1</f>
        <v>-1</v>
      </c>
      <c r="K221" s="128">
        <f t="shared" si="852"/>
        <v>-0.73617518248175173</v>
      </c>
      <c r="L221" s="128">
        <f t="shared" si="852"/>
        <v>-0.8978071428571428</v>
      </c>
      <c r="M221" s="128">
        <f t="shared" si="852"/>
        <v>-0.29626666666666668</v>
      </c>
      <c r="N221" s="128">
        <f t="shared" si="852"/>
        <v>-0.68099999999999994</v>
      </c>
      <c r="O221" s="128">
        <f t="shared" si="852"/>
        <v>-0.57991428571428583</v>
      </c>
      <c r="P221" s="128">
        <f t="shared" si="852"/>
        <v>-0.72721138211382108</v>
      </c>
      <c r="Q221" s="128">
        <f t="shared" si="852"/>
        <v>-0.6681111111111111</v>
      </c>
      <c r="R221" s="128">
        <f t="shared" ref="R221:W221" si="853">R220-1</f>
        <v>-0.1762058823529411</v>
      </c>
      <c r="S221" s="128">
        <f t="shared" si="853"/>
        <v>-0.37120161290322584</v>
      </c>
      <c r="T221" s="128">
        <f t="shared" si="853"/>
        <v>-0.20819540229885058</v>
      </c>
      <c r="U221" s="128">
        <f t="shared" si="853"/>
        <v>-7.0954545454545381E-2</v>
      </c>
      <c r="V221" s="128">
        <f t="shared" si="853"/>
        <v>0.26838666666666677</v>
      </c>
      <c r="W221" s="128">
        <f t="shared" si="853"/>
        <v>-0.14093333333333324</v>
      </c>
      <c r="X221" s="101">
        <f t="shared" si="768"/>
        <v>-1.9037712744838058</v>
      </c>
      <c r="Y221" s="109"/>
      <c r="Z221" s="128">
        <f t="shared" ref="Z221:AI221" si="854">Z220-1</f>
        <v>-0.14093333333333324</v>
      </c>
      <c r="AA221" s="128">
        <f t="shared" si="854"/>
        <v>-0.25518919999999989</v>
      </c>
      <c r="AB221" s="128">
        <f t="shared" si="854"/>
        <v>-0.35424903639999994</v>
      </c>
      <c r="AC221" s="128">
        <f t="shared" si="854"/>
        <v>-0.44013391455879991</v>
      </c>
      <c r="AD221" s="128">
        <f t="shared" si="854"/>
        <v>-0.51459610392247934</v>
      </c>
      <c r="AE221" s="128">
        <f t="shared" si="854"/>
        <v>-0.5791548221007895</v>
      </c>
      <c r="AF221" s="128">
        <f t="shared" si="854"/>
        <v>-0.63512723076138455</v>
      </c>
      <c r="AG221" s="128">
        <f t="shared" si="854"/>
        <v>-0.6836553090701204</v>
      </c>
      <c r="AH221" s="128">
        <f t="shared" si="854"/>
        <v>-0.72572915296379437</v>
      </c>
      <c r="AI221" s="128">
        <f t="shared" si="854"/>
        <v>-0.76220717561960971</v>
      </c>
      <c r="AJ221" s="115">
        <f t="shared" ref="AJ221" si="855">((AI221/J221)^(1/($AI$3-$K$1) ))-1</f>
        <v>-1.1736534345088812E-2</v>
      </c>
      <c r="AK221" s="21">
        <f t="shared" si="844"/>
        <v>0.01</v>
      </c>
      <c r="AL221" s="154" t="e">
        <f>(AL208)/($O$2*100)</f>
        <v>#DIV/0!</v>
      </c>
    </row>
    <row r="222" spans="2:38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55"/>
      <c r="Y222" s="109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12"/>
      <c r="AJ222" s="114"/>
      <c r="AK222" s="10"/>
      <c r="AL222" s="108"/>
    </row>
    <row r="223" spans="2:38" x14ac:dyDescent="0.2">
      <c r="B223" s="10" t="s">
        <v>502</v>
      </c>
      <c r="C223" s="128"/>
      <c r="D223" s="128"/>
      <c r="E223" s="128"/>
      <c r="F223" s="128"/>
      <c r="G223" s="128" t="e">
        <f t="shared" ref="G223:W223" si="856">1/G224</f>
        <v>#DIV/0!</v>
      </c>
      <c r="H223" s="128" t="e">
        <f t="shared" si="856"/>
        <v>#DIV/0!</v>
      </c>
      <c r="I223" s="128" t="e">
        <f t="shared" si="856"/>
        <v>#DIV/0!</v>
      </c>
      <c r="J223" s="128" t="e">
        <f t="shared" si="856"/>
        <v>#DIV/0!</v>
      </c>
      <c r="K223" s="128">
        <f t="shared" si="856"/>
        <v>0.10015714729163433</v>
      </c>
      <c r="L223" s="128">
        <f t="shared" si="856"/>
        <v>0.50605716526299449</v>
      </c>
      <c r="M223" s="128">
        <f t="shared" si="856"/>
        <v>0.17169796678565885</v>
      </c>
      <c r="N223" s="128">
        <f t="shared" si="856"/>
        <v>0.21852468499992947</v>
      </c>
      <c r="O223" s="128">
        <f t="shared" si="856"/>
        <v>0.24654067025633067</v>
      </c>
      <c r="P223" s="128">
        <f t="shared" si="856"/>
        <v>0.1080346757303022</v>
      </c>
      <c r="Q223" s="128">
        <f t="shared" si="856"/>
        <v>9.3350350873756274E-2</v>
      </c>
      <c r="R223" s="128">
        <f t="shared" si="856"/>
        <v>4.3311198828814845E-2</v>
      </c>
      <c r="S223" s="128">
        <f t="shared" si="856"/>
        <v>9.3350350873756274E-2</v>
      </c>
      <c r="T223" s="128">
        <f t="shared" si="856"/>
        <v>5.2830143626356567E-2</v>
      </c>
      <c r="U223" s="128">
        <f t="shared" si="856"/>
        <v>3.2374027407396956E-2</v>
      </c>
      <c r="V223" s="128">
        <f t="shared" si="856"/>
        <v>3.8307116095605158E-2</v>
      </c>
      <c r="W223" s="128">
        <f t="shared" si="856"/>
        <v>5.6559330235275859E-2</v>
      </c>
      <c r="X223" s="101" t="e">
        <f t="shared" si="768"/>
        <v>#DIV/0!</v>
      </c>
      <c r="Y223" s="109"/>
      <c r="Z223" s="128">
        <f t="shared" ref="Z223:AI223" si="857">1/Z224</f>
        <v>4.8075430699984475E-2</v>
      </c>
      <c r="AA223" s="128">
        <f t="shared" si="857"/>
        <v>4.7132775196063216E-2</v>
      </c>
      <c r="AB223" s="128">
        <f t="shared" si="857"/>
        <v>4.6208603133395303E-2</v>
      </c>
      <c r="AC223" s="128">
        <f t="shared" si="857"/>
        <v>4.5302552091564023E-2</v>
      </c>
      <c r="AD223" s="128">
        <f t="shared" si="857"/>
        <v>4.4414266756435318E-2</v>
      </c>
      <c r="AE223" s="128">
        <f t="shared" si="857"/>
        <v>4.3543398780818941E-2</v>
      </c>
      <c r="AF223" s="128">
        <f t="shared" si="857"/>
        <v>4.26896066478617E-2</v>
      </c>
      <c r="AG223" s="128">
        <f t="shared" si="857"/>
        <v>4.1852555537119321E-2</v>
      </c>
      <c r="AH223" s="128">
        <f t="shared" si="857"/>
        <v>4.1031917193254233E-2</v>
      </c>
      <c r="AI223" s="128">
        <f t="shared" si="857"/>
        <v>4.0227369797308073E-2</v>
      </c>
      <c r="AJ223" s="115" t="e">
        <f t="shared" ref="AJ223" si="858">((AI223/J223)^(1/($AI$3-$K$1) ))-1</f>
        <v>#DIV/0!</v>
      </c>
      <c r="AK223" s="21">
        <f t="shared" ref="AK223:AK226" si="859">$O$1</f>
        <v>0.01</v>
      </c>
      <c r="AL223" s="154" t="e">
        <f>(AL210)/($O$2*100)</f>
        <v>#DIV/0!</v>
      </c>
    </row>
    <row r="224" spans="2:38" x14ac:dyDescent="0.2">
      <c r="B224" s="10" t="s">
        <v>509</v>
      </c>
      <c r="C224" s="110"/>
      <c r="D224" s="110"/>
      <c r="E224" s="110"/>
      <c r="F224" s="110"/>
      <c r="G224" s="112">
        <f t="shared" ref="G224:Q224" si="860">G205/$T$174</f>
        <v>0</v>
      </c>
      <c r="H224" s="112">
        <f t="shared" si="860"/>
        <v>0</v>
      </c>
      <c r="I224" s="112">
        <f t="shared" si="860"/>
        <v>0</v>
      </c>
      <c r="J224" s="112">
        <f t="shared" si="860"/>
        <v>0</v>
      </c>
      <c r="K224" s="112">
        <f t="shared" si="860"/>
        <v>9.9843099273607745</v>
      </c>
      <c r="L224" s="112">
        <f t="shared" si="860"/>
        <v>1.9760613397901534</v>
      </c>
      <c r="M224" s="112">
        <f t="shared" si="860"/>
        <v>5.8241807909604519</v>
      </c>
      <c r="N224" s="112">
        <f t="shared" si="860"/>
        <v>4.5761420500403549</v>
      </c>
      <c r="O224" s="112">
        <f t="shared" si="860"/>
        <v>4.0561259079903147</v>
      </c>
      <c r="P224" s="112">
        <f t="shared" si="860"/>
        <v>9.2562873284907177</v>
      </c>
      <c r="Q224" s="112">
        <f t="shared" si="860"/>
        <v>10.712332526230831</v>
      </c>
      <c r="R224" s="112">
        <f t="shared" ref="R224:W224" si="861">R205/$T$174</f>
        <v>23.088716707021792</v>
      </c>
      <c r="S224" s="112">
        <f t="shared" si="861"/>
        <v>10.712332526230831</v>
      </c>
      <c r="T224" s="112">
        <f t="shared" si="861"/>
        <v>18.92858757062147</v>
      </c>
      <c r="U224" s="112">
        <f t="shared" si="861"/>
        <v>30.888958837772396</v>
      </c>
      <c r="V224" s="112">
        <f t="shared" si="861"/>
        <v>26.104810330912027</v>
      </c>
      <c r="W224" s="112">
        <f t="shared" si="861"/>
        <v>17.680548829701372</v>
      </c>
      <c r="X224" s="101" t="e">
        <f t="shared" si="768"/>
        <v>#DIV/0!</v>
      </c>
      <c r="Y224" s="109"/>
      <c r="Z224" s="112">
        <f t="shared" ref="Z224:AI224" si="862">Z205/$T$174</f>
        <v>20.800645682001615</v>
      </c>
      <c r="AA224" s="112">
        <f t="shared" si="862"/>
        <v>21.216658595641647</v>
      </c>
      <c r="AB224" s="112">
        <f t="shared" si="862"/>
        <v>21.640991767554482</v>
      </c>
      <c r="AC224" s="112">
        <f t="shared" si="862"/>
        <v>22.073811602905572</v>
      </c>
      <c r="AD224" s="112">
        <f t="shared" si="862"/>
        <v>22.515287834963683</v>
      </c>
      <c r="AE224" s="112">
        <f t="shared" si="862"/>
        <v>22.965593591662955</v>
      </c>
      <c r="AF224" s="112">
        <f t="shared" si="862"/>
        <v>23.424905463496216</v>
      </c>
      <c r="AG224" s="112">
        <f t="shared" si="862"/>
        <v>23.89340357276614</v>
      </c>
      <c r="AH224" s="112">
        <f t="shared" si="862"/>
        <v>24.371271644221462</v>
      </c>
      <c r="AI224" s="112">
        <f t="shared" si="862"/>
        <v>24.858697077105891</v>
      </c>
      <c r="AJ224" s="115" t="e">
        <f t="shared" ref="AJ224:AJ226" si="863">((AI224/J224)^(1/($AI$3-$K$1) ))-1</f>
        <v>#DIV/0!</v>
      </c>
      <c r="AK224" s="21">
        <f t="shared" si="859"/>
        <v>0.01</v>
      </c>
      <c r="AL224" s="154" t="e">
        <f>(AL210)/($O$2*100)</f>
        <v>#DIV/0!</v>
      </c>
    </row>
    <row r="225" spans="2:38" x14ac:dyDescent="0.2">
      <c r="B225" s="10" t="s">
        <v>431</v>
      </c>
      <c r="C225" s="110"/>
      <c r="D225" s="110"/>
      <c r="E225" s="110"/>
      <c r="F225" s="110"/>
      <c r="G225" s="154">
        <f t="shared" ref="G225" si="864">(G224)/($O$2*100)</f>
        <v>0</v>
      </c>
      <c r="H225" s="154">
        <f t="shared" ref="H225:I225" si="865">(H224)/($O$2*100)</f>
        <v>0</v>
      </c>
      <c r="I225" s="154">
        <f t="shared" si="865"/>
        <v>0</v>
      </c>
      <c r="J225" s="154">
        <f t="shared" ref="J225:Q225" si="866">(J224)/($O$2*100)</f>
        <v>0</v>
      </c>
      <c r="K225" s="154">
        <f t="shared" si="866"/>
        <v>0.49921549636803875</v>
      </c>
      <c r="L225" s="154">
        <f t="shared" si="866"/>
        <v>9.8803066989507665E-2</v>
      </c>
      <c r="M225" s="154">
        <f t="shared" si="866"/>
        <v>0.29120903954802257</v>
      </c>
      <c r="N225" s="154">
        <f t="shared" si="866"/>
        <v>0.22880710250201775</v>
      </c>
      <c r="O225" s="154">
        <f t="shared" si="866"/>
        <v>0.20280629539951572</v>
      </c>
      <c r="P225" s="154">
        <f t="shared" si="866"/>
        <v>0.46281436642453588</v>
      </c>
      <c r="Q225" s="154">
        <f t="shared" si="866"/>
        <v>0.53561662631154161</v>
      </c>
      <c r="R225" s="154">
        <f t="shared" ref="R225:W225" si="867">(R224)/($O$2*100)</f>
        <v>1.1544358353510895</v>
      </c>
      <c r="S225" s="154">
        <f t="shared" si="867"/>
        <v>0.53561662631154161</v>
      </c>
      <c r="T225" s="154">
        <f t="shared" si="867"/>
        <v>0.94642937853107356</v>
      </c>
      <c r="U225" s="154">
        <f t="shared" si="867"/>
        <v>1.5444479418886199</v>
      </c>
      <c r="V225" s="154">
        <f t="shared" si="867"/>
        <v>1.3052405165456014</v>
      </c>
      <c r="W225" s="154">
        <f t="shared" si="867"/>
        <v>0.88402744148506862</v>
      </c>
      <c r="X225" s="101" t="e">
        <f t="shared" si="768"/>
        <v>#DIV/0!</v>
      </c>
      <c r="Y225" s="109"/>
      <c r="Z225" s="154">
        <f t="shared" ref="Z225:AI225" si="868">(Z224)/($O$2*100)</f>
        <v>1.0400322841000809</v>
      </c>
      <c r="AA225" s="154">
        <f t="shared" si="868"/>
        <v>1.0608329297820824</v>
      </c>
      <c r="AB225" s="154">
        <f t="shared" si="868"/>
        <v>1.0820495883777241</v>
      </c>
      <c r="AC225" s="154">
        <f t="shared" si="868"/>
        <v>1.1036905801452785</v>
      </c>
      <c r="AD225" s="154">
        <f t="shared" si="868"/>
        <v>1.1257643917481841</v>
      </c>
      <c r="AE225" s="154">
        <f t="shared" si="868"/>
        <v>1.1482796795831478</v>
      </c>
      <c r="AF225" s="154">
        <f t="shared" si="868"/>
        <v>1.1712452731748109</v>
      </c>
      <c r="AG225" s="154">
        <f t="shared" si="868"/>
        <v>1.1946701786383069</v>
      </c>
      <c r="AH225" s="154">
        <f t="shared" si="868"/>
        <v>1.2185635822110732</v>
      </c>
      <c r="AI225" s="154">
        <f t="shared" si="868"/>
        <v>1.2429348538552945</v>
      </c>
      <c r="AJ225" s="115" t="e">
        <f t="shared" si="863"/>
        <v>#DIV/0!</v>
      </c>
      <c r="AK225" s="21">
        <f t="shared" si="859"/>
        <v>0.01</v>
      </c>
      <c r="AL225" s="154" t="e">
        <f>(AL211)/($O$2*100)</f>
        <v>#DIV/0!</v>
      </c>
    </row>
    <row r="226" spans="2:38" x14ac:dyDescent="0.2">
      <c r="B226" s="10" t="s">
        <v>433</v>
      </c>
      <c r="C226" s="110"/>
      <c r="D226" s="110"/>
      <c r="E226" s="110"/>
      <c r="F226" s="110"/>
      <c r="G226" s="128">
        <f t="shared" ref="G226" si="869">G225-1</f>
        <v>-1</v>
      </c>
      <c r="H226" s="128">
        <f t="shared" ref="H226:I226" si="870">H225-1</f>
        <v>-1</v>
      </c>
      <c r="I226" s="128">
        <f t="shared" si="870"/>
        <v>-1</v>
      </c>
      <c r="J226" s="128">
        <f t="shared" ref="J226:Q226" si="871">J225-1</f>
        <v>-1</v>
      </c>
      <c r="K226" s="128">
        <f t="shared" si="871"/>
        <v>-0.50078450363196125</v>
      </c>
      <c r="L226" s="128">
        <f t="shared" si="871"/>
        <v>-0.90119693301049231</v>
      </c>
      <c r="M226" s="128">
        <f t="shared" si="871"/>
        <v>-0.70879096045197743</v>
      </c>
      <c r="N226" s="128">
        <f t="shared" si="871"/>
        <v>-0.77119289749798225</v>
      </c>
      <c r="O226" s="128">
        <f t="shared" si="871"/>
        <v>-0.79719370460048422</v>
      </c>
      <c r="P226" s="128">
        <f t="shared" si="871"/>
        <v>-0.53718563357546412</v>
      </c>
      <c r="Q226" s="128">
        <f t="shared" si="871"/>
        <v>-0.46438337368845839</v>
      </c>
      <c r="R226" s="128">
        <f t="shared" ref="R226:W226" si="872">R225-1</f>
        <v>0.15443583535108951</v>
      </c>
      <c r="S226" s="128">
        <f t="shared" si="872"/>
        <v>-0.46438337368845839</v>
      </c>
      <c r="T226" s="128">
        <f t="shared" si="872"/>
        <v>-5.3570621468926438E-2</v>
      </c>
      <c r="U226" s="128">
        <f t="shared" si="872"/>
        <v>0.54444794188861989</v>
      </c>
      <c r="V226" s="128">
        <f t="shared" si="872"/>
        <v>0.30524051654560136</v>
      </c>
      <c r="W226" s="128">
        <f t="shared" si="872"/>
        <v>-0.11597255851493138</v>
      </c>
      <c r="X226" s="101">
        <f t="shared" si="768"/>
        <v>-1.9127610320898594</v>
      </c>
      <c r="Y226" s="109"/>
      <c r="Z226" s="128">
        <f t="shared" ref="Z226:AI226" si="873">Z225-1</f>
        <v>4.0032284100080862E-2</v>
      </c>
      <c r="AA226" s="128">
        <f t="shared" si="873"/>
        <v>6.0832929782082434E-2</v>
      </c>
      <c r="AB226" s="128">
        <f t="shared" si="873"/>
        <v>8.2049588377724136E-2</v>
      </c>
      <c r="AC226" s="128">
        <f t="shared" si="873"/>
        <v>0.10369058014527854</v>
      </c>
      <c r="AD226" s="128">
        <f t="shared" si="873"/>
        <v>0.1257643917481841</v>
      </c>
      <c r="AE226" s="128">
        <f t="shared" si="873"/>
        <v>0.14827967958314781</v>
      </c>
      <c r="AF226" s="128">
        <f t="shared" si="873"/>
        <v>0.17124527317481086</v>
      </c>
      <c r="AG226" s="128">
        <f t="shared" si="873"/>
        <v>0.19467017863830693</v>
      </c>
      <c r="AH226" s="128">
        <f t="shared" si="873"/>
        <v>0.21856358221107319</v>
      </c>
      <c r="AI226" s="128">
        <f t="shared" si="873"/>
        <v>0.24293485385529445</v>
      </c>
      <c r="AJ226" s="115">
        <f t="shared" si="863"/>
        <v>-1.9403340586247675</v>
      </c>
      <c r="AK226" s="21">
        <f t="shared" si="859"/>
        <v>0.01</v>
      </c>
      <c r="AL226" s="154" t="e">
        <f>(AL212)/($O$2*100)</f>
        <v>#DIV/0!</v>
      </c>
    </row>
    <row r="227" spans="2:38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2"/>
      <c r="O227" s="173"/>
      <c r="P227" s="112"/>
      <c r="Q227" s="112"/>
      <c r="R227" s="112"/>
      <c r="S227" s="112"/>
      <c r="T227" s="112"/>
      <c r="U227" s="112"/>
      <c r="V227" s="112"/>
      <c r="W227" s="112"/>
      <c r="X227" s="155"/>
      <c r="Y227" s="109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4"/>
      <c r="AK227" s="10"/>
      <c r="AL227" s="10"/>
    </row>
    <row r="228" spans="2:38" x14ac:dyDescent="0.2">
      <c r="B228" s="10" t="s">
        <v>502</v>
      </c>
      <c r="C228" s="110"/>
      <c r="D228" s="110"/>
      <c r="E228" s="110"/>
      <c r="F228" s="110"/>
      <c r="G228" s="128" t="e">
        <f t="shared" ref="G228:W228" si="874">1/G229</f>
        <v>#DIV/0!</v>
      </c>
      <c r="H228" s="128" t="e">
        <f t="shared" si="874"/>
        <v>#DIV/0!</v>
      </c>
      <c r="I228" s="128" t="e">
        <f t="shared" si="874"/>
        <v>#DIV/0!</v>
      </c>
      <c r="J228" s="128" t="e">
        <f t="shared" si="874"/>
        <v>#DIV/0!</v>
      </c>
      <c r="K228" s="128">
        <f t="shared" si="874"/>
        <v>0.11543535620052769</v>
      </c>
      <c r="L228" s="128">
        <f t="shared" si="874"/>
        <v>0.58325232606582422</v>
      </c>
      <c r="M228" s="128">
        <f t="shared" si="874"/>
        <v>0.19788918205804748</v>
      </c>
      <c r="N228" s="128">
        <f t="shared" si="874"/>
        <v>0.25185895898296951</v>
      </c>
      <c r="O228" s="128">
        <f t="shared" si="874"/>
        <v>0.28414856910899122</v>
      </c>
      <c r="P228" s="128">
        <f t="shared" si="874"/>
        <v>0.12451454151967031</v>
      </c>
      <c r="Q228" s="128">
        <f t="shared" si="874"/>
        <v>0.10759023490534621</v>
      </c>
      <c r="R228" s="128">
        <f t="shared" si="874"/>
        <v>4.9917991870498467E-2</v>
      </c>
      <c r="S228" s="128">
        <f t="shared" si="874"/>
        <v>0.10759023490534621</v>
      </c>
      <c r="T228" s="128">
        <f t="shared" si="874"/>
        <v>6.0888979094783836E-2</v>
      </c>
      <c r="U228" s="128">
        <f t="shared" si="874"/>
        <v>3.7312438367847332E-2</v>
      </c>
      <c r="V228" s="128">
        <f t="shared" si="874"/>
        <v>4.4150574483070353E-2</v>
      </c>
      <c r="W228" s="128">
        <f t="shared" si="874"/>
        <v>6.5187024677945057E-2</v>
      </c>
      <c r="X228" s="101" t="e">
        <f t="shared" si="768"/>
        <v>#DIV/0!</v>
      </c>
      <c r="Y228" s="109"/>
      <c r="Z228" s="128">
        <f t="shared" ref="Z228:AI228" si="875">1/Z229</f>
        <v>5.5408970976253295E-2</v>
      </c>
      <c r="AA228" s="128">
        <f t="shared" si="875"/>
        <v>5.4322520564954208E-2</v>
      </c>
      <c r="AB228" s="128">
        <f t="shared" si="875"/>
        <v>5.3257373102896279E-2</v>
      </c>
      <c r="AC228" s="128">
        <f t="shared" si="875"/>
        <v>5.2213110885192433E-2</v>
      </c>
      <c r="AD228" s="128">
        <f t="shared" si="875"/>
        <v>5.1189324397247479E-2</v>
      </c>
      <c r="AE228" s="128">
        <f t="shared" si="875"/>
        <v>5.0185612154164193E-2</v>
      </c>
      <c r="AF228" s="128">
        <f t="shared" si="875"/>
        <v>4.9201580543298228E-2</v>
      </c>
      <c r="AG228" s="128">
        <f t="shared" si="875"/>
        <v>4.8236843669900227E-2</v>
      </c>
      <c r="AH228" s="128">
        <f t="shared" si="875"/>
        <v>4.7291023205784537E-2</v>
      </c>
      <c r="AI228" s="128">
        <f t="shared" si="875"/>
        <v>4.6363748240965237E-2</v>
      </c>
      <c r="AJ228" s="115" t="e">
        <f t="shared" ref="AJ228" si="876">((AI228/J228)^(1/($AI$3-$K$1) ))-1</f>
        <v>#DIV/0!</v>
      </c>
      <c r="AK228" s="21">
        <f t="shared" ref="AK228" si="877">$O$1</f>
        <v>0.01</v>
      </c>
      <c r="AL228" s="154">
        <f>(AL214)/($O$2*100)</f>
        <v>0</v>
      </c>
    </row>
    <row r="229" spans="2:38" x14ac:dyDescent="0.2">
      <c r="B229" s="10" t="s">
        <v>410</v>
      </c>
      <c r="C229" s="110"/>
      <c r="D229" s="110"/>
      <c r="E229" s="110"/>
      <c r="F229" s="110"/>
      <c r="G229" s="112">
        <f t="shared" ref="G229" si="878">G205/$U$174</f>
        <v>0</v>
      </c>
      <c r="H229" s="112">
        <f t="shared" ref="H229:Q229" si="879">H205/$U$174</f>
        <v>0</v>
      </c>
      <c r="I229" s="112">
        <f t="shared" si="879"/>
        <v>0</v>
      </c>
      <c r="J229" s="112">
        <f t="shared" si="879"/>
        <v>0</v>
      </c>
      <c r="K229" s="112">
        <f t="shared" si="879"/>
        <v>8.6628571428571437</v>
      </c>
      <c r="L229" s="112">
        <f t="shared" si="879"/>
        <v>1.7145238095238096</v>
      </c>
      <c r="M229" s="112">
        <f t="shared" si="879"/>
        <v>5.0533333333333337</v>
      </c>
      <c r="N229" s="112">
        <f t="shared" si="879"/>
        <v>3.9704761904761909</v>
      </c>
      <c r="O229" s="112">
        <f t="shared" si="879"/>
        <v>3.5192857142857146</v>
      </c>
      <c r="P229" s="112">
        <f t="shared" si="879"/>
        <v>8.0311904761904778</v>
      </c>
      <c r="Q229" s="112">
        <f t="shared" si="879"/>
        <v>9.2945238095238096</v>
      </c>
      <c r="R229" s="112">
        <f t="shared" ref="R229:W229" si="880">R205/$U$174</f>
        <v>20.032857142857143</v>
      </c>
      <c r="S229" s="112">
        <f t="shared" si="880"/>
        <v>9.2945238095238096</v>
      </c>
      <c r="T229" s="112">
        <f t="shared" si="880"/>
        <v>16.423333333333336</v>
      </c>
      <c r="U229" s="112">
        <f t="shared" si="880"/>
        <v>26.800714285714289</v>
      </c>
      <c r="V229" s="112">
        <f t="shared" si="880"/>
        <v>22.649761904761906</v>
      </c>
      <c r="W229" s="112">
        <f t="shared" si="880"/>
        <v>15.340476190476192</v>
      </c>
      <c r="X229" s="101" t="e">
        <f t="shared" si="768"/>
        <v>#DIV/0!</v>
      </c>
      <c r="Y229" s="109"/>
      <c r="Z229" s="112">
        <f t="shared" ref="Z229:AI229" si="881">Z205/$U$174</f>
        <v>18.047619047619047</v>
      </c>
      <c r="AA229" s="112">
        <f t="shared" si="881"/>
        <v>18.408571428571431</v>
      </c>
      <c r="AB229" s="112">
        <f t="shared" si="881"/>
        <v>18.77674285714286</v>
      </c>
      <c r="AC229" s="112">
        <f t="shared" si="881"/>
        <v>19.152277714285717</v>
      </c>
      <c r="AD229" s="112">
        <f t="shared" si="881"/>
        <v>19.535323268571432</v>
      </c>
      <c r="AE229" s="112">
        <f t="shared" si="881"/>
        <v>19.926029733942862</v>
      </c>
      <c r="AF229" s="112">
        <f t="shared" si="881"/>
        <v>20.324550328621719</v>
      </c>
      <c r="AG229" s="112">
        <f t="shared" si="881"/>
        <v>20.731041335194153</v>
      </c>
      <c r="AH229" s="112">
        <f t="shared" si="881"/>
        <v>21.145662161898034</v>
      </c>
      <c r="AI229" s="112">
        <f t="shared" si="881"/>
        <v>21.568575405135995</v>
      </c>
      <c r="AJ229" s="115" t="e">
        <f t="shared" ref="AJ229:AJ231" si="882">((AI229/J229)^(1/($AI$3-$K$1) ))-1</f>
        <v>#DIV/0!</v>
      </c>
      <c r="AK229" s="21">
        <f t="shared" ref="AK229:AK231" si="883">$O$1</f>
        <v>0.01</v>
      </c>
      <c r="AL229" s="154">
        <f>(AL214)/($O$2*100)</f>
        <v>0</v>
      </c>
    </row>
    <row r="230" spans="2:38" x14ac:dyDescent="0.2">
      <c r="B230" s="10" t="s">
        <v>431</v>
      </c>
      <c r="C230" s="110"/>
      <c r="D230" s="110"/>
      <c r="E230" s="110"/>
      <c r="F230" s="110"/>
      <c r="G230" s="154">
        <f t="shared" ref="G230" si="884">(G229)/($O$2*100)</f>
        <v>0</v>
      </c>
      <c r="H230" s="154">
        <f t="shared" ref="H230:I230" si="885">(H229)/($O$2*100)</f>
        <v>0</v>
      </c>
      <c r="I230" s="154">
        <f t="shared" si="885"/>
        <v>0</v>
      </c>
      <c r="J230" s="154">
        <f t="shared" ref="J230:Q230" si="886">(J229)/($O$2*100)</f>
        <v>0</v>
      </c>
      <c r="K230" s="154">
        <f t="shared" si="886"/>
        <v>0.43314285714285716</v>
      </c>
      <c r="L230" s="154">
        <f t="shared" si="886"/>
        <v>8.5726190476190484E-2</v>
      </c>
      <c r="M230" s="154">
        <f t="shared" si="886"/>
        <v>0.25266666666666671</v>
      </c>
      <c r="N230" s="154">
        <f t="shared" si="886"/>
        <v>0.19852380952380955</v>
      </c>
      <c r="O230" s="154">
        <f t="shared" si="886"/>
        <v>0.17596428571428574</v>
      </c>
      <c r="P230" s="154">
        <f t="shared" si="886"/>
        <v>0.40155952380952387</v>
      </c>
      <c r="Q230" s="154">
        <f t="shared" si="886"/>
        <v>0.46472619047619046</v>
      </c>
      <c r="R230" s="154">
        <f t="shared" ref="R230:W230" si="887">(R229)/($O$2*100)</f>
        <v>1.0016428571428571</v>
      </c>
      <c r="S230" s="154">
        <f t="shared" si="887"/>
        <v>0.46472619047619046</v>
      </c>
      <c r="T230" s="154">
        <f t="shared" si="887"/>
        <v>0.82116666666666682</v>
      </c>
      <c r="U230" s="154">
        <f t="shared" si="887"/>
        <v>1.3400357142857144</v>
      </c>
      <c r="V230" s="154">
        <f t="shared" si="887"/>
        <v>1.1324880952380953</v>
      </c>
      <c r="W230" s="154">
        <f t="shared" si="887"/>
        <v>0.76702380952380955</v>
      </c>
      <c r="X230" s="101" t="e">
        <f t="shared" si="768"/>
        <v>#DIV/0!</v>
      </c>
      <c r="Y230" s="109"/>
      <c r="Z230" s="154">
        <f t="shared" ref="Z230:AI230" si="888">(Z229)/($O$2*100)</f>
        <v>0.90238095238095239</v>
      </c>
      <c r="AA230" s="154">
        <f t="shared" si="888"/>
        <v>0.9204285714285716</v>
      </c>
      <c r="AB230" s="154">
        <f t="shared" si="888"/>
        <v>0.93883714285714304</v>
      </c>
      <c r="AC230" s="154">
        <f t="shared" si="888"/>
        <v>0.95761388571428585</v>
      </c>
      <c r="AD230" s="154">
        <f t="shared" si="888"/>
        <v>0.97676616342857159</v>
      </c>
      <c r="AE230" s="154">
        <f t="shared" si="888"/>
        <v>0.99630148669714313</v>
      </c>
      <c r="AF230" s="154">
        <f t="shared" si="888"/>
        <v>1.0162275164310859</v>
      </c>
      <c r="AG230" s="154">
        <f t="shared" si="888"/>
        <v>1.0365520667597077</v>
      </c>
      <c r="AH230" s="154">
        <f t="shared" si="888"/>
        <v>1.0572831080949017</v>
      </c>
      <c r="AI230" s="154">
        <f t="shared" si="888"/>
        <v>1.0784287702567998</v>
      </c>
      <c r="AJ230" s="115" t="e">
        <f t="shared" si="882"/>
        <v>#DIV/0!</v>
      </c>
      <c r="AK230" s="21">
        <f t="shared" si="883"/>
        <v>0.01</v>
      </c>
      <c r="AL230" s="154" t="e">
        <f>(AL215)/($O$2*100)</f>
        <v>#DIV/0!</v>
      </c>
    </row>
    <row r="231" spans="2:38" x14ac:dyDescent="0.2">
      <c r="B231" s="10" t="s">
        <v>433</v>
      </c>
      <c r="C231" s="110"/>
      <c r="D231" s="110"/>
      <c r="E231" s="110"/>
      <c r="F231" s="110"/>
      <c r="G231" s="128">
        <f t="shared" ref="G231" si="889">G230-1</f>
        <v>-1</v>
      </c>
      <c r="H231" s="128">
        <f t="shared" ref="H231:I231" si="890">H230-1</f>
        <v>-1</v>
      </c>
      <c r="I231" s="128">
        <f t="shared" si="890"/>
        <v>-1</v>
      </c>
      <c r="J231" s="128">
        <f t="shared" ref="J231:Q231" si="891">J230-1</f>
        <v>-1</v>
      </c>
      <c r="K231" s="128">
        <f t="shared" si="891"/>
        <v>-0.56685714285714284</v>
      </c>
      <c r="L231" s="128">
        <f t="shared" si="891"/>
        <v>-0.91427380952380954</v>
      </c>
      <c r="M231" s="128">
        <f t="shared" si="891"/>
        <v>-0.74733333333333329</v>
      </c>
      <c r="N231" s="128">
        <f t="shared" si="891"/>
        <v>-0.80147619047619045</v>
      </c>
      <c r="O231" s="128">
        <f t="shared" si="891"/>
        <v>-0.8240357142857142</v>
      </c>
      <c r="P231" s="128">
        <f t="shared" si="891"/>
        <v>-0.59844047619047613</v>
      </c>
      <c r="Q231" s="128">
        <f t="shared" si="891"/>
        <v>-0.53527380952380954</v>
      </c>
      <c r="R231" s="128">
        <f t="shared" ref="R231:W231" si="892">R230-1</f>
        <v>1.6428571428570571E-3</v>
      </c>
      <c r="S231" s="128">
        <f t="shared" si="892"/>
        <v>-0.53527380952380954</v>
      </c>
      <c r="T231" s="128">
        <f t="shared" si="892"/>
        <v>-0.17883333333333318</v>
      </c>
      <c r="U231" s="128">
        <f t="shared" si="892"/>
        <v>0.34003571428571444</v>
      </c>
      <c r="V231" s="128">
        <f t="shared" si="892"/>
        <v>0.13248809523809535</v>
      </c>
      <c r="W231" s="128">
        <f t="shared" si="892"/>
        <v>-0.23297619047619045</v>
      </c>
      <c r="X231" s="101">
        <f t="shared" si="768"/>
        <v>-1.8560027162946622</v>
      </c>
      <c r="Y231" s="109"/>
      <c r="Z231" s="128">
        <f t="shared" ref="Z231:AI231" si="893">Z230-1</f>
        <v>-9.7619047619047605E-2</v>
      </c>
      <c r="AA231" s="128">
        <f t="shared" si="893"/>
        <v>-7.9571428571428404E-2</v>
      </c>
      <c r="AB231" s="128">
        <f t="shared" si="893"/>
        <v>-6.1162857142856963E-2</v>
      </c>
      <c r="AC231" s="128">
        <f t="shared" si="893"/>
        <v>-4.2386114285714149E-2</v>
      </c>
      <c r="AD231" s="128">
        <f t="shared" si="893"/>
        <v>-2.3233836571428412E-2</v>
      </c>
      <c r="AE231" s="128">
        <f t="shared" si="893"/>
        <v>-3.6985133028568651E-3</v>
      </c>
      <c r="AF231" s="128">
        <f t="shared" si="893"/>
        <v>1.6227516431085887E-2</v>
      </c>
      <c r="AG231" s="128">
        <f t="shared" si="893"/>
        <v>3.655206675970768E-2</v>
      </c>
      <c r="AH231" s="128">
        <f t="shared" si="893"/>
        <v>5.7283108094901669E-2</v>
      </c>
      <c r="AI231" s="128">
        <f t="shared" si="893"/>
        <v>7.842877025679984E-2</v>
      </c>
      <c r="AJ231" s="115">
        <f t="shared" si="882"/>
        <v>-1.8952281157256159</v>
      </c>
      <c r="AK231" s="21">
        <f t="shared" si="883"/>
        <v>0.01</v>
      </c>
      <c r="AL231" s="154" t="e">
        <f>(AL216)/($O$2*100)</f>
        <v>#DIV/0!</v>
      </c>
    </row>
    <row r="232" spans="2:38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2"/>
      <c r="O232" s="173"/>
      <c r="P232" s="112"/>
      <c r="Q232" s="112"/>
      <c r="R232" s="112"/>
      <c r="S232" s="112"/>
      <c r="T232" s="112"/>
      <c r="U232" s="112"/>
      <c r="V232" s="112"/>
      <c r="W232" s="112"/>
      <c r="X232" s="155"/>
      <c r="Y232" s="109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4"/>
      <c r="AK232" s="10"/>
      <c r="AL232" s="10"/>
    </row>
    <row r="233" spans="2:38" x14ac:dyDescent="0.2">
      <c r="B233" s="10" t="s">
        <v>503</v>
      </c>
      <c r="C233" s="110"/>
      <c r="D233" s="110"/>
      <c r="E233" s="110"/>
      <c r="F233" s="110"/>
      <c r="G233" s="128" t="e">
        <f t="shared" ref="G233:W233" si="894">1/G234</f>
        <v>#DIV/0!</v>
      </c>
      <c r="H233" s="128" t="e">
        <f t="shared" si="894"/>
        <v>#DIV/0!</v>
      </c>
      <c r="I233" s="128" t="e">
        <f t="shared" si="894"/>
        <v>#DIV/0!</v>
      </c>
      <c r="J233" s="128" t="e">
        <f t="shared" si="894"/>
        <v>#DIV/0!</v>
      </c>
      <c r="K233" s="128">
        <f t="shared" si="894"/>
        <v>8.7436565756454115E-2</v>
      </c>
      <c r="L233" s="128">
        <f t="shared" si="894"/>
        <v>0.44178475329576822</v>
      </c>
      <c r="M233" s="128">
        <f t="shared" si="894"/>
        <v>0.14989125558249278</v>
      </c>
      <c r="N233" s="128">
        <f t="shared" si="894"/>
        <v>0.19077068892317264</v>
      </c>
      <c r="O233" s="128">
        <f t="shared" si="894"/>
        <v>0.2152284695543486</v>
      </c>
      <c r="P233" s="128">
        <f t="shared" si="894"/>
        <v>9.4313599018197705E-2</v>
      </c>
      <c r="Q233" s="128">
        <f t="shared" si="894"/>
        <v>8.1494274879801903E-2</v>
      </c>
      <c r="R233" s="128">
        <f t="shared" si="894"/>
        <v>3.7810406813601781E-2</v>
      </c>
      <c r="S233" s="128">
        <f t="shared" si="894"/>
        <v>8.1494274879801903E-2</v>
      </c>
      <c r="T233" s="128">
        <f t="shared" si="894"/>
        <v>4.6120386333074699E-2</v>
      </c>
      <c r="U233" s="128">
        <f t="shared" si="894"/>
        <v>2.8262324284914465E-2</v>
      </c>
      <c r="V233" s="128">
        <f t="shared" si="894"/>
        <v>3.3441873755456555E-2</v>
      </c>
      <c r="W233" s="128">
        <f t="shared" si="894"/>
        <v>4.9375943015409395E-2</v>
      </c>
      <c r="X233" s="101" t="e">
        <f t="shared" si="768"/>
        <v>#DIV/0!</v>
      </c>
      <c r="Y233" s="109"/>
      <c r="Z233" s="128">
        <f t="shared" ref="Z233:AI233" si="895">1/Z234</f>
        <v>88.094289577823588</v>
      </c>
      <c r="AA233" s="128">
        <f t="shared" si="895"/>
        <v>7.5782026479489835</v>
      </c>
      <c r="AB233" s="128">
        <f t="shared" si="895"/>
        <v>8.740718163724317</v>
      </c>
      <c r="AC233" s="128">
        <f t="shared" si="895"/>
        <v>10.081566509485947</v>
      </c>
      <c r="AD233" s="128">
        <f t="shared" si="895"/>
        <v>11.628104393870757</v>
      </c>
      <c r="AE233" s="128">
        <f t="shared" si="895"/>
        <v>13.411885114037776</v>
      </c>
      <c r="AF233" s="128">
        <f t="shared" si="895"/>
        <v>15.469302322996283</v>
      </c>
      <c r="AG233" s="128">
        <f t="shared" si="895"/>
        <v>17.842332552475529</v>
      </c>
      <c r="AH233" s="128">
        <f t="shared" si="895"/>
        <v>20.579391640686882</v>
      </c>
      <c r="AI233" s="128">
        <f t="shared" si="895"/>
        <v>23.736322538277836</v>
      </c>
      <c r="AJ233" s="115" t="e">
        <f t="shared" ref="AJ233:AJ236" si="896">((AI233/J233)^(1/($AI$3-$K$1) ))-1</f>
        <v>#DIV/0!</v>
      </c>
      <c r="AK233" s="21">
        <f t="shared" ref="AK233:AK236" si="897">$O$1</f>
        <v>0.01</v>
      </c>
      <c r="AL233" s="154" t="e">
        <f>(AL218)/($O$2*100)</f>
        <v>#DIV/0!</v>
      </c>
    </row>
    <row r="234" spans="2:38" x14ac:dyDescent="0.2">
      <c r="B234" s="10" t="s">
        <v>499</v>
      </c>
      <c r="C234" s="110"/>
      <c r="D234" s="110"/>
      <c r="E234" s="110"/>
      <c r="F234" s="110"/>
      <c r="G234" s="112">
        <f t="shared" ref="G234" si="898">G205/$Z$175</f>
        <v>0</v>
      </c>
      <c r="H234" s="112">
        <f t="shared" ref="H234:Q234" si="899">H205/$Z$175</f>
        <v>0</v>
      </c>
      <c r="I234" s="112">
        <f t="shared" si="899"/>
        <v>0</v>
      </c>
      <c r="J234" s="112">
        <f t="shared" si="899"/>
        <v>0</v>
      </c>
      <c r="K234" s="112">
        <f t="shared" si="899"/>
        <v>11.436862728408167</v>
      </c>
      <c r="L234" s="112">
        <f t="shared" si="899"/>
        <v>2.2635457483307828</v>
      </c>
      <c r="M234" s="112">
        <f t="shared" si="899"/>
        <v>6.6715032582380971</v>
      </c>
      <c r="N234" s="112">
        <f t="shared" si="899"/>
        <v>5.2418954171870764</v>
      </c>
      <c r="O234" s="112">
        <f t="shared" si="899"/>
        <v>4.6462254834158179</v>
      </c>
      <c r="P234" s="112">
        <f t="shared" si="899"/>
        <v>10.602924821128404</v>
      </c>
      <c r="Q234" s="112">
        <f t="shared" si="899"/>
        <v>12.270800635687928</v>
      </c>
      <c r="R234" s="112">
        <f t="shared" ref="R234:W234" si="900">R205/$Z$175</f>
        <v>26.447745059443886</v>
      </c>
      <c r="S234" s="112">
        <f t="shared" si="900"/>
        <v>12.270800635687928</v>
      </c>
      <c r="T234" s="112">
        <f t="shared" si="900"/>
        <v>21.682385589273817</v>
      </c>
      <c r="U234" s="112">
        <f t="shared" si="900"/>
        <v>35.382794066012764</v>
      </c>
      <c r="V234" s="112">
        <f t="shared" si="900"/>
        <v>29.902630675317187</v>
      </c>
      <c r="W234" s="112">
        <f t="shared" si="900"/>
        <v>20.252777748222794</v>
      </c>
      <c r="X234" s="101" t="e">
        <f t="shared" si="768"/>
        <v>#DIV/0!</v>
      </c>
      <c r="Y234" s="109"/>
      <c r="Z234" s="112">
        <f t="shared" ref="Z234:AI234" si="901">Z210/$U$174</f>
        <v>1.1351473572150073E-2</v>
      </c>
      <c r="AA234" s="112">
        <f t="shared" si="901"/>
        <v>0.13195741080777865</v>
      </c>
      <c r="AB234" s="112">
        <f t="shared" si="901"/>
        <v>0.11440707517034411</v>
      </c>
      <c r="AC234" s="112">
        <f t="shared" si="901"/>
        <v>9.9190934172688344E-2</v>
      </c>
      <c r="AD234" s="112">
        <f t="shared" si="901"/>
        <v>8.5998539927720802E-2</v>
      </c>
      <c r="AE234" s="112">
        <f t="shared" si="901"/>
        <v>7.4560734117333965E-2</v>
      </c>
      <c r="AF234" s="112">
        <f t="shared" si="901"/>
        <v>6.4644156479728543E-2</v>
      </c>
      <c r="AG234" s="112">
        <f t="shared" si="901"/>
        <v>5.6046483667924647E-2</v>
      </c>
      <c r="AH234" s="112">
        <f t="shared" si="901"/>
        <v>4.8592301340090675E-2</v>
      </c>
      <c r="AI234" s="112">
        <f t="shared" si="901"/>
        <v>4.2129525261858612E-2</v>
      </c>
      <c r="AJ234" s="115" t="e">
        <f t="shared" si="896"/>
        <v>#DIV/0!</v>
      </c>
      <c r="AK234" s="21">
        <f t="shared" si="897"/>
        <v>0.01</v>
      </c>
      <c r="AL234" s="154" t="e">
        <f>(AL219)/($O$2*100)</f>
        <v>#DIV/0!</v>
      </c>
    </row>
    <row r="235" spans="2:38" x14ac:dyDescent="0.2">
      <c r="B235" s="10" t="s">
        <v>431</v>
      </c>
      <c r="C235" s="110"/>
      <c r="D235" s="110"/>
      <c r="E235" s="110"/>
      <c r="F235" s="110"/>
      <c r="G235" s="154">
        <f t="shared" ref="G235" si="902">(G234)/($O$2*100)</f>
        <v>0</v>
      </c>
      <c r="H235" s="154">
        <f t="shared" ref="H235:Q235" si="903">(H234)/($O$2*100)</f>
        <v>0</v>
      </c>
      <c r="I235" s="154">
        <f t="shared" si="903"/>
        <v>0</v>
      </c>
      <c r="J235" s="154">
        <f t="shared" si="903"/>
        <v>0</v>
      </c>
      <c r="K235" s="154">
        <f t="shared" si="903"/>
        <v>0.5718431364204084</v>
      </c>
      <c r="L235" s="154">
        <f t="shared" si="903"/>
        <v>0.11317728741653914</v>
      </c>
      <c r="M235" s="154">
        <f t="shared" si="903"/>
        <v>0.33357516291190487</v>
      </c>
      <c r="N235" s="154">
        <f t="shared" si="903"/>
        <v>0.26209477085935384</v>
      </c>
      <c r="O235" s="154">
        <f t="shared" si="903"/>
        <v>0.23231127417079089</v>
      </c>
      <c r="P235" s="154">
        <f t="shared" si="903"/>
        <v>0.53014624105642016</v>
      </c>
      <c r="Q235" s="154">
        <f t="shared" si="903"/>
        <v>0.61354003178439642</v>
      </c>
      <c r="R235" s="154">
        <f t="shared" ref="R235:W235" si="904">(R234)/($O$2*100)</f>
        <v>1.3223872529721943</v>
      </c>
      <c r="S235" s="154">
        <f t="shared" si="904"/>
        <v>0.61354003178439642</v>
      </c>
      <c r="T235" s="154">
        <f t="shared" si="904"/>
        <v>1.0841192794636909</v>
      </c>
      <c r="U235" s="154">
        <f t="shared" si="904"/>
        <v>1.7691397033006382</v>
      </c>
      <c r="V235" s="154">
        <f t="shared" si="904"/>
        <v>1.4951315337658593</v>
      </c>
      <c r="W235" s="154">
        <f t="shared" si="904"/>
        <v>1.0126388874111396</v>
      </c>
      <c r="X235" s="101" t="e">
        <f t="shared" si="768"/>
        <v>#DIV/0!</v>
      </c>
      <c r="Y235" s="109"/>
      <c r="Z235" s="154">
        <f t="shared" ref="Z235:AI235" si="905">(Z234)/($O$2*100)</f>
        <v>5.6757367860750367E-4</v>
      </c>
      <c r="AA235" s="154">
        <f t="shared" si="905"/>
        <v>6.597870540388932E-3</v>
      </c>
      <c r="AB235" s="154">
        <f t="shared" si="905"/>
        <v>5.7203537585172057E-3</v>
      </c>
      <c r="AC235" s="154">
        <f t="shared" si="905"/>
        <v>4.9595467086344172E-3</v>
      </c>
      <c r="AD235" s="154">
        <f t="shared" si="905"/>
        <v>4.2999269963860404E-3</v>
      </c>
      <c r="AE235" s="154">
        <f t="shared" si="905"/>
        <v>3.7280367058666981E-3</v>
      </c>
      <c r="AF235" s="154">
        <f t="shared" si="905"/>
        <v>3.2322078239864272E-3</v>
      </c>
      <c r="AG235" s="154">
        <f t="shared" si="905"/>
        <v>2.8023241833962324E-3</v>
      </c>
      <c r="AH235" s="154">
        <f t="shared" si="905"/>
        <v>2.4296150670045339E-3</v>
      </c>
      <c r="AI235" s="154">
        <f t="shared" si="905"/>
        <v>2.1064762630929306E-3</v>
      </c>
      <c r="AJ235" s="115" t="e">
        <f t="shared" si="896"/>
        <v>#DIV/0!</v>
      </c>
      <c r="AK235" s="21">
        <f t="shared" si="897"/>
        <v>0.01</v>
      </c>
      <c r="AL235" s="154" t="e">
        <f>(AL220)/($O$2*100)</f>
        <v>#DIV/0!</v>
      </c>
    </row>
    <row r="236" spans="2:38" x14ac:dyDescent="0.2">
      <c r="B236" s="10" t="s">
        <v>433</v>
      </c>
      <c r="C236" s="110"/>
      <c r="D236" s="110"/>
      <c r="E236" s="110"/>
      <c r="F236" s="110"/>
      <c r="G236" s="128">
        <f t="shared" ref="G236" si="906">G235-1</f>
        <v>-1</v>
      </c>
      <c r="H236" s="128">
        <f t="shared" ref="H236:Q236" si="907">H235-1</f>
        <v>-1</v>
      </c>
      <c r="I236" s="128">
        <f t="shared" si="907"/>
        <v>-1</v>
      </c>
      <c r="J236" s="128">
        <f t="shared" si="907"/>
        <v>-1</v>
      </c>
      <c r="K236" s="128">
        <f t="shared" si="907"/>
        <v>-0.4281568635795916</v>
      </c>
      <c r="L236" s="128">
        <f t="shared" si="907"/>
        <v>-0.8868227125834609</v>
      </c>
      <c r="M236" s="128">
        <f t="shared" si="907"/>
        <v>-0.66642483708809519</v>
      </c>
      <c r="N236" s="128">
        <f t="shared" si="907"/>
        <v>-0.73790522914064616</v>
      </c>
      <c r="O236" s="128">
        <f t="shared" si="907"/>
        <v>-0.76768872582920911</v>
      </c>
      <c r="P236" s="128">
        <f t="shared" si="907"/>
        <v>-0.46985375894357984</v>
      </c>
      <c r="Q236" s="128">
        <f t="shared" si="907"/>
        <v>-0.38645996821560358</v>
      </c>
      <c r="R236" s="128">
        <f t="shared" ref="R236:W236" si="908">R235-1</f>
        <v>0.32238725297219428</v>
      </c>
      <c r="S236" s="128">
        <f t="shared" si="908"/>
        <v>-0.38645996821560358</v>
      </c>
      <c r="T236" s="128">
        <f t="shared" si="908"/>
        <v>8.411927946369091E-2</v>
      </c>
      <c r="U236" s="128">
        <f t="shared" si="908"/>
        <v>0.76913970330063819</v>
      </c>
      <c r="V236" s="128">
        <f t="shared" si="908"/>
        <v>0.49513153376585928</v>
      </c>
      <c r="W236" s="128">
        <f t="shared" si="908"/>
        <v>1.263888741113961E-2</v>
      </c>
      <c r="X236" s="101">
        <f t="shared" si="768"/>
        <v>-1.9473641979545921</v>
      </c>
      <c r="Y236" s="109"/>
      <c r="Z236" s="128">
        <f t="shared" ref="Z236:AI236" si="909">Z235-1</f>
        <v>-0.99943242632139251</v>
      </c>
      <c r="AA236" s="128">
        <f t="shared" si="909"/>
        <v>-0.99340212945961104</v>
      </c>
      <c r="AB236" s="128">
        <f t="shared" si="909"/>
        <v>-0.9942796462414828</v>
      </c>
      <c r="AC236" s="128">
        <f t="shared" si="909"/>
        <v>-0.99504045329136559</v>
      </c>
      <c r="AD236" s="128">
        <f t="shared" si="909"/>
        <v>-0.99570007300361396</v>
      </c>
      <c r="AE236" s="128">
        <f t="shared" si="909"/>
        <v>-0.99627196329413326</v>
      </c>
      <c r="AF236" s="128">
        <f t="shared" si="909"/>
        <v>-0.99676779217601352</v>
      </c>
      <c r="AG236" s="128">
        <f t="shared" si="909"/>
        <v>-0.99719767581660379</v>
      </c>
      <c r="AH236" s="128">
        <f t="shared" si="909"/>
        <v>-0.99757038493299544</v>
      </c>
      <c r="AI236" s="128">
        <f t="shared" si="909"/>
        <v>-0.9978935237369071</v>
      </c>
      <c r="AJ236" s="115">
        <f t="shared" si="896"/>
        <v>-9.1678319233623462E-5</v>
      </c>
      <c r="AK236" s="21">
        <f t="shared" si="897"/>
        <v>0.01</v>
      </c>
      <c r="AL236" s="154" t="e">
        <f>(AL221)/($O$2*100)</f>
        <v>#DIV/0!</v>
      </c>
    </row>
    <row r="237" spans="2:38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2"/>
      <c r="O237" s="173"/>
      <c r="P237" s="112"/>
      <c r="Q237" s="112"/>
      <c r="R237" s="112"/>
      <c r="S237" s="112"/>
      <c r="T237" s="112"/>
      <c r="U237" s="112"/>
      <c r="V237" s="112"/>
      <c r="W237" s="112"/>
      <c r="X237" s="155"/>
      <c r="Y237" s="109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4"/>
      <c r="AK237" s="10"/>
      <c r="AL237" s="10"/>
    </row>
    <row r="238" spans="2:38" x14ac:dyDescent="0.2">
      <c r="B238" s="10" t="s">
        <v>510</v>
      </c>
      <c r="C238" s="110"/>
      <c r="D238" s="110"/>
      <c r="E238" s="110"/>
      <c r="F238" s="110"/>
      <c r="G238" s="110">
        <f>G216/L59</f>
        <v>0</v>
      </c>
      <c r="H238" s="110">
        <f t="shared" ref="H238:P238" si="910">H216/M59</f>
        <v>0</v>
      </c>
      <c r="I238" s="110">
        <f t="shared" si="910"/>
        <v>0</v>
      </c>
      <c r="J238" s="110">
        <f t="shared" si="910"/>
        <v>0</v>
      </c>
      <c r="K238" s="110">
        <f t="shared" si="910"/>
        <v>5.8770731707317072</v>
      </c>
      <c r="L238" s="110">
        <f t="shared" si="910"/>
        <v>1.2228205128205127</v>
      </c>
      <c r="M238" s="15">
        <f t="shared" si="910"/>
        <v>4.1396078431372549</v>
      </c>
      <c r="N238" s="15">
        <f t="shared" si="910"/>
        <v>5.3509677419354835</v>
      </c>
      <c r="O238" s="15">
        <f t="shared" si="910"/>
        <v>3.38</v>
      </c>
      <c r="P238" s="15">
        <f t="shared" si="910"/>
        <v>5.5459504132231414</v>
      </c>
      <c r="Q238" s="15">
        <f>Q216/V59</f>
        <v>10.354933333333333</v>
      </c>
      <c r="R238" s="15">
        <f>R216/W59</f>
        <v>22.4072</v>
      </c>
      <c r="S238" s="15">
        <f>S216/Z59</f>
        <v>8.6634444444444441</v>
      </c>
      <c r="T238" s="15">
        <f>T216/AA59</f>
        <v>12.756851851851852</v>
      </c>
      <c r="U238" s="15">
        <f>U216/AB59</f>
        <v>17.347916666666666</v>
      </c>
      <c r="V238" s="15">
        <f>V216/AC59</f>
        <v>12.233667695473253</v>
      </c>
      <c r="W238" s="15">
        <f>W216/(Z59+AA59+AB59+AC59+AD59)</f>
        <v>1.9240187295444231</v>
      </c>
      <c r="X238" s="109"/>
      <c r="Y238" s="109"/>
      <c r="Z238" s="15">
        <f>Z216/(AA59+AB59+AC59+AD59+AE59)</f>
        <v>1.9240187295444235</v>
      </c>
      <c r="AA238" s="15">
        <f t="shared" ref="AA238:AD238" si="911">AA216/(AB59+AC59+AD59+AE59+AF59)</f>
        <v>1.668124238515015</v>
      </c>
      <c r="AB238" s="15">
        <f t="shared" si="911"/>
        <v>1.4462637147925184</v>
      </c>
      <c r="AC238" s="15">
        <f t="shared" si="911"/>
        <v>1.2539106407251135</v>
      </c>
      <c r="AD238" s="15">
        <f t="shared" si="911"/>
        <v>1.0871405255086735</v>
      </c>
      <c r="AE238" s="15"/>
      <c r="AF238" s="112"/>
      <c r="AG238" s="112"/>
      <c r="AH238" s="112"/>
      <c r="AI238" s="112"/>
      <c r="AJ238" s="114"/>
      <c r="AK238" s="10"/>
      <c r="AL238" s="10"/>
    </row>
    <row r="239" spans="2:38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2"/>
      <c r="O239" s="173"/>
      <c r="P239" s="112"/>
      <c r="Q239" s="112"/>
      <c r="R239" s="112"/>
      <c r="S239" s="112"/>
      <c r="T239" s="112"/>
      <c r="U239" s="112"/>
      <c r="V239" s="112"/>
      <c r="W239" s="112"/>
      <c r="X239" s="109"/>
      <c r="Y239" s="109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4"/>
      <c r="AK239" s="10"/>
      <c r="AL239" s="10"/>
    </row>
    <row r="240" spans="2:38" x14ac:dyDescent="0.2">
      <c r="B240" s="10"/>
      <c r="C240" s="110"/>
      <c r="D240" s="110"/>
      <c r="E240" s="110"/>
      <c r="F240" s="110"/>
      <c r="G240" s="110"/>
      <c r="H240" s="110"/>
      <c r="I240" s="110"/>
      <c r="J240" s="112"/>
      <c r="K240" s="112"/>
      <c r="L240" s="112"/>
      <c r="M240" s="112"/>
      <c r="N240" s="172"/>
      <c r="O240" s="173"/>
      <c r="P240" s="112"/>
      <c r="Q240" s="112"/>
      <c r="R240" s="112"/>
      <c r="S240" s="112"/>
      <c r="T240" s="112"/>
      <c r="U240" s="112"/>
      <c r="V240" s="112"/>
      <c r="W240" s="112"/>
      <c r="X240" s="109"/>
      <c r="Y240" s="109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4"/>
      <c r="AK240" s="10"/>
      <c r="AL240" s="10"/>
    </row>
    <row r="241" spans="2:49" x14ac:dyDescent="0.2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11" t="s">
        <v>293</v>
      </c>
      <c r="O241" s="312"/>
      <c r="P241" s="10"/>
      <c r="Q241" s="10"/>
      <c r="R241" s="10"/>
      <c r="S241" s="10"/>
      <c r="T241" s="93" t="s">
        <v>372</v>
      </c>
      <c r="U241" s="167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14"/>
      <c r="AK241" s="10"/>
      <c r="AL241" s="10"/>
    </row>
    <row r="242" spans="2:49" x14ac:dyDescent="0.2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 t="e">
        <f>(V205-AA192)/V205</f>
        <v>#DIV/0!</v>
      </c>
      <c r="U242" s="109">
        <f>(V205-Z192)/V205</f>
        <v>0.94421238659781581</v>
      </c>
      <c r="V242" s="109"/>
      <c r="W242" s="109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14"/>
      <c r="AK242" s="10"/>
      <c r="AL242" s="10"/>
    </row>
    <row r="243" spans="2:49" x14ac:dyDescent="0.2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5">
        <f>$O$242</f>
        <v>1</v>
      </c>
      <c r="O243" s="10"/>
      <c r="P243" s="109" t="e">
        <f>(T205-(N243*Y183))/T205</f>
        <v>#DIV/0!</v>
      </c>
      <c r="Q243" s="10"/>
      <c r="R243" s="10"/>
      <c r="S243" s="10"/>
      <c r="T243" s="109" t="e">
        <f>(V205-AA183)/V205</f>
        <v>#DIV/0!</v>
      </c>
      <c r="U243" s="109">
        <f>(V205-Z183)/V205</f>
        <v>0.50327670181895146</v>
      </c>
      <c r="V243" s="109"/>
      <c r="W243" s="109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14"/>
      <c r="AK243" s="10"/>
      <c r="AL243" s="10"/>
    </row>
    <row r="244" spans="2:49" x14ac:dyDescent="0.2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$O$242</f>
        <v>1</v>
      </c>
      <c r="O244" s="10"/>
      <c r="P244" s="109" t="e">
        <f>(T205-(N244*Y176))/T205</f>
        <v>#DIV/0!</v>
      </c>
      <c r="Q244" s="10"/>
      <c r="R244" s="10"/>
      <c r="S244" s="10"/>
      <c r="T244" s="109" t="e">
        <f>(V205-AA176)/V205</f>
        <v>#DIV/0!</v>
      </c>
      <c r="U244" s="109">
        <f>(V205-Z176)/V205</f>
        <v>0.62545101393888669</v>
      </c>
      <c r="V244" s="109"/>
      <c r="W244" s="109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14"/>
      <c r="AK244" s="10"/>
      <c r="AL244" s="10"/>
    </row>
    <row r="245" spans="2:49" x14ac:dyDescent="0.2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$O$242</f>
        <v>1</v>
      </c>
      <c r="O245" s="10"/>
      <c r="P245" s="109" t="e">
        <f>(T205-(N245*Y189))/T205</f>
        <v>#DIV/0!</v>
      </c>
      <c r="Q245" s="10"/>
      <c r="R245" s="10"/>
      <c r="S245" s="10"/>
      <c r="T245" s="109" t="e">
        <f>(V205-AA189)/V205</f>
        <v>#DIV/0!</v>
      </c>
      <c r="U245" s="109">
        <f>(V205-Z189)/V205</f>
        <v>0.96516752312918619</v>
      </c>
      <c r="V245" s="109"/>
      <c r="W245" s="109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14"/>
      <c r="AK245" s="10"/>
      <c r="AL245" s="10"/>
    </row>
    <row r="246" spans="2:49" x14ac:dyDescent="0.2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5">
        <f>$O$242</f>
        <v>1</v>
      </c>
      <c r="O246" s="10"/>
      <c r="P246" s="109" t="e">
        <f>(T205-(N246*Y202))/T205</f>
        <v>#DIV/0!</v>
      </c>
      <c r="Q246" s="10"/>
      <c r="R246" s="10"/>
      <c r="S246" s="10"/>
      <c r="T246" s="109" t="e">
        <f>(V205-AA202)/V205</f>
        <v>#DIV/0!</v>
      </c>
      <c r="U246" s="109">
        <f>(V205-Z202)/V205</f>
        <v>1</v>
      </c>
      <c r="V246" s="109"/>
      <c r="W246" s="109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14"/>
      <c r="AK246" s="10"/>
      <c r="AL246" s="10"/>
    </row>
    <row r="247" spans="2:49" x14ac:dyDescent="0.2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V205/AA175</f>
        <v>#DIV/0!</v>
      </c>
      <c r="U247" s="15">
        <f>V205/Z175</f>
        <v>29.902630675317187</v>
      </c>
      <c r="V247" s="15"/>
      <c r="W247" s="98" t="s">
        <v>5</v>
      </c>
      <c r="X247" s="98" t="s">
        <v>6</v>
      </c>
      <c r="Y247" s="98" t="s">
        <v>7</v>
      </c>
      <c r="Z247" s="98" t="s">
        <v>8</v>
      </c>
      <c r="AA247" s="98" t="s">
        <v>9</v>
      </c>
      <c r="AB247" s="98" t="s">
        <v>192</v>
      </c>
      <c r="AC247" s="98" t="s">
        <v>193</v>
      </c>
      <c r="AD247" s="98" t="s">
        <v>194</v>
      </c>
      <c r="AE247" s="98" t="s">
        <v>195</v>
      </c>
      <c r="AF247" s="98" t="s">
        <v>196</v>
      </c>
      <c r="AG247" s="98" t="s">
        <v>349</v>
      </c>
      <c r="AH247" s="98" t="s">
        <v>350</v>
      </c>
      <c r="AI247" s="98" t="s">
        <v>351</v>
      </c>
      <c r="AJ247" s="98" t="s">
        <v>352</v>
      </c>
      <c r="AK247" s="98" t="s">
        <v>353</v>
      </c>
      <c r="AL247" s="98" t="s">
        <v>354</v>
      </c>
      <c r="AM247" s="98" t="s">
        <v>355</v>
      </c>
      <c r="AN247" s="98" t="s">
        <v>356</v>
      </c>
      <c r="AO247" s="98" t="s">
        <v>357</v>
      </c>
      <c r="AP247" s="98" t="s">
        <v>358</v>
      </c>
      <c r="AQ247" s="98" t="s">
        <v>359</v>
      </c>
      <c r="AR247" s="98" t="s">
        <v>360</v>
      </c>
      <c r="AS247" s="98" t="s">
        <v>361</v>
      </c>
      <c r="AT247" s="98" t="s">
        <v>362</v>
      </c>
      <c r="AU247" s="98" t="s">
        <v>363</v>
      </c>
      <c r="AV247" s="98" t="s">
        <v>364</v>
      </c>
      <c r="AW247" s="98" t="s">
        <v>365</v>
      </c>
    </row>
    <row r="248" spans="2:49" x14ac:dyDescent="0.2">
      <c r="B248" s="10" t="s">
        <v>313</v>
      </c>
      <c r="C248" s="10"/>
      <c r="D248" s="10"/>
      <c r="E248" s="10"/>
      <c r="F248" s="10"/>
      <c r="G248" s="10"/>
      <c r="H248" s="10"/>
      <c r="I248" s="10"/>
      <c r="J248" s="162" t="s">
        <v>388</v>
      </c>
      <c r="K248" s="163"/>
      <c r="L248" s="162" t="s">
        <v>389</v>
      </c>
      <c r="M248" s="163"/>
      <c r="N248" s="10"/>
      <c r="O248" s="162" t="s">
        <v>390</v>
      </c>
      <c r="P248" s="163"/>
      <c r="Q248" s="162" t="s">
        <v>391</v>
      </c>
      <c r="R248" s="162"/>
      <c r="S248" s="163"/>
      <c r="T248" s="128" t="e">
        <f>1/T247</f>
        <v>#DIV/0!</v>
      </c>
      <c r="U248" s="128">
        <f>1/U247</f>
        <v>3.3441873755456555E-2</v>
      </c>
      <c r="V248" s="128"/>
      <c r="W248" s="110">
        <f>V205-W249</f>
        <v>238.84369021851455</v>
      </c>
      <c r="X248" s="158">
        <f>W248-X249</f>
        <v>224.86393396980628</v>
      </c>
      <c r="Y248" s="158">
        <f t="shared" ref="Y248:AA248" si="912">X248-Y249</f>
        <v>208.78721428379177</v>
      </c>
      <c r="Z248" s="158">
        <f t="shared" si="912"/>
        <v>190.29898664487507</v>
      </c>
      <c r="AA248" s="158">
        <f t="shared" si="912"/>
        <v>169.0375248601209</v>
      </c>
      <c r="AB248" s="158">
        <f>AA248-AB249</f>
        <v>144.58684380765359</v>
      </c>
      <c r="AC248" s="158">
        <f t="shared" ref="AC248:AF248" si="913">AB248-AC249</f>
        <v>116.46856059731618</v>
      </c>
      <c r="AD248" s="158">
        <f t="shared" si="913"/>
        <v>84.132534905428173</v>
      </c>
      <c r="AE248" s="158">
        <f t="shared" si="913"/>
        <v>46.946105359756956</v>
      </c>
      <c r="AF248" s="158">
        <f t="shared" si="913"/>
        <v>4.1817113822350578</v>
      </c>
      <c r="AG248" s="158">
        <f t="shared" ref="AG248" si="914">AF248-AG249</f>
        <v>-44.997341691915125</v>
      </c>
      <c r="AH248" s="158">
        <f t="shared" ref="AH248" si="915">AG248-AH249</f>
        <v>-101.55325272718784</v>
      </c>
      <c r="AI248" s="158">
        <f t="shared" ref="AI248" si="916">AH248-AI249</f>
        <v>-166.59255041775145</v>
      </c>
      <c r="AJ248" s="158">
        <f t="shared" ref="AJ248" si="917">AI248-AJ249</f>
        <v>-241.3877427618996</v>
      </c>
      <c r="AK248" s="158">
        <f t="shared" ref="AK248" si="918">AJ248-AK249</f>
        <v>-327.40221395766997</v>
      </c>
      <c r="AL248" s="158">
        <f t="shared" ref="AL248" si="919">AK248-AL249</f>
        <v>-426.31885583280587</v>
      </c>
      <c r="AM248" s="158">
        <f t="shared" ref="AM248" si="920">AL248-AM249</f>
        <v>-540.07299398921214</v>
      </c>
      <c r="AN248" s="158">
        <f t="shared" ref="AN248" si="921">AM248-AN249</f>
        <v>-670.8902528690794</v>
      </c>
      <c r="AO248" s="158">
        <f t="shared" ref="AO248" si="922">AN248-AO249</f>
        <v>-821.33010058092668</v>
      </c>
      <c r="AP248" s="158">
        <f t="shared" ref="AP248" si="923">AO248-AP249</f>
        <v>-994.33592544955104</v>
      </c>
      <c r="AQ248" s="158">
        <f t="shared" ref="AQ248" si="924">AP248-AQ249</f>
        <v>-1193.292624048469</v>
      </c>
      <c r="AR248" s="158">
        <f t="shared" ref="AR248" si="925">AQ248-AR249</f>
        <v>-1422.0928274372247</v>
      </c>
      <c r="AS248" s="158">
        <f t="shared" ref="AS248" si="926">AR248-AS249</f>
        <v>-1685.2130613342938</v>
      </c>
      <c r="AT248" s="158">
        <f t="shared" ref="AT248" si="927">AS248-AT249</f>
        <v>-1987.8013303159232</v>
      </c>
      <c r="AU248" s="158">
        <f t="shared" ref="AU248" si="928">AT248-AU249</f>
        <v>-2335.777839644797</v>
      </c>
      <c r="AV248" s="158">
        <f t="shared" ref="AV248" si="929">AU248-AV249</f>
        <v>-2735.9508253730019</v>
      </c>
      <c r="AW248" s="158">
        <f t="shared" ref="AW248" si="930">AV248-AW249</f>
        <v>-3196.1497589604373</v>
      </c>
    </row>
    <row r="249" spans="2:49" x14ac:dyDescent="0.2">
      <c r="B249" s="10" t="s">
        <v>338</v>
      </c>
      <c r="C249" s="10"/>
      <c r="D249" s="10"/>
      <c r="E249" s="10"/>
      <c r="F249" s="10"/>
      <c r="G249" s="10"/>
      <c r="H249" s="10"/>
      <c r="I249" s="10"/>
      <c r="J249" s="164">
        <v>0</v>
      </c>
      <c r="K249" s="163"/>
      <c r="L249" s="164">
        <v>0.05</v>
      </c>
      <c r="M249" s="163"/>
      <c r="N249" s="157">
        <v>0.15</v>
      </c>
      <c r="O249" s="164">
        <v>0.12</v>
      </c>
      <c r="P249" s="163"/>
      <c r="Q249" s="164">
        <v>0.2</v>
      </c>
      <c r="R249" s="164"/>
      <c r="S249" s="171" t="s">
        <v>230</v>
      </c>
      <c r="T249" s="154">
        <f>V205/T174</f>
        <v>26.104810330912027</v>
      </c>
      <c r="U249" s="154" t="s">
        <v>408</v>
      </c>
      <c r="V249" s="154"/>
      <c r="W249" s="159">
        <f>X174*(1+$N$249)</f>
        <v>12.156309781485453</v>
      </c>
      <c r="X249" s="159">
        <f>W249*(1+$N$249)</f>
        <v>13.97975624870827</v>
      </c>
      <c r="Y249" s="159">
        <f t="shared" ref="Y249:AF249" si="931">X249*(1+$N$249)</f>
        <v>16.07671968601451</v>
      </c>
      <c r="Z249" s="159">
        <f t="shared" si="931"/>
        <v>18.488227638916683</v>
      </c>
      <c r="AA249" s="159">
        <f t="shared" si="931"/>
        <v>21.261461784754186</v>
      </c>
      <c r="AB249" s="159">
        <f t="shared" si="931"/>
        <v>24.450681052467313</v>
      </c>
      <c r="AC249" s="159">
        <f t="shared" si="931"/>
        <v>28.11828321033741</v>
      </c>
      <c r="AD249" s="159">
        <f t="shared" si="931"/>
        <v>32.336025691888018</v>
      </c>
      <c r="AE249" s="159">
        <f t="shared" si="931"/>
        <v>37.186429545671217</v>
      </c>
      <c r="AF249" s="159">
        <f t="shared" si="931"/>
        <v>42.764393977521898</v>
      </c>
      <c r="AG249" s="159">
        <f t="shared" ref="AG249" si="932">AF249*(1+$N$249)</f>
        <v>49.179053074150183</v>
      </c>
      <c r="AH249" s="159">
        <f t="shared" ref="AH249" si="933">AG249*(1+$N$249)</f>
        <v>56.555911035272707</v>
      </c>
      <c r="AI249" s="159">
        <f t="shared" ref="AI249" si="934">AH249*(1+$N$249)</f>
        <v>65.039297690563615</v>
      </c>
      <c r="AJ249" s="159">
        <f t="shared" ref="AJ249" si="935">AI249*(1+$N$249)</f>
        <v>74.795192344148148</v>
      </c>
      <c r="AK249" s="159">
        <f t="shared" ref="AK249" si="936">AJ249*(1+$N$249)</f>
        <v>86.014471195770369</v>
      </c>
      <c r="AL249" s="159">
        <f t="shared" ref="AL249" si="937">AK249*(1+$N$249)</f>
        <v>98.916641875135923</v>
      </c>
      <c r="AM249" s="159">
        <f t="shared" ref="AM249" si="938">AL249*(1+$N$249)</f>
        <v>113.7541381564063</v>
      </c>
      <c r="AN249" s="159">
        <f t="shared" ref="AN249" si="939">AM249*(1+$N$249)</f>
        <v>130.81725887986724</v>
      </c>
      <c r="AO249" s="159">
        <f t="shared" ref="AO249" si="940">AN249*(1+$N$249)</f>
        <v>150.43984771184731</v>
      </c>
      <c r="AP249" s="159">
        <f t="shared" ref="AP249" si="941">AO249*(1+$N$249)</f>
        <v>173.00582486862439</v>
      </c>
      <c r="AQ249" s="159">
        <f t="shared" ref="AQ249" si="942">AP249*(1+$N$249)</f>
        <v>198.95669859891802</v>
      </c>
      <c r="AR249" s="159">
        <f t="shared" ref="AR249" si="943">AQ249*(1+$N$249)</f>
        <v>228.8002033887557</v>
      </c>
      <c r="AS249" s="159">
        <f t="shared" ref="AS249" si="944">AR249*(1+$N$249)</f>
        <v>263.12023389706906</v>
      </c>
      <c r="AT249" s="159">
        <f t="shared" ref="AT249" si="945">AS249*(1+$N$249)</f>
        <v>302.58826898162937</v>
      </c>
      <c r="AU249" s="159">
        <f t="shared" ref="AU249" si="946">AT249*(1+$N$249)</f>
        <v>347.97650932887376</v>
      </c>
      <c r="AV249" s="159">
        <f t="shared" ref="AV249" si="947">AU249*(1+$N$249)</f>
        <v>400.17298572820482</v>
      </c>
      <c r="AW249" s="159">
        <f t="shared" ref="AW249" si="948">AV249*(1+$N$249)</f>
        <v>460.19893358743553</v>
      </c>
    </row>
    <row r="250" spans="2:49" x14ac:dyDescent="0.2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4">
        <v>0</v>
      </c>
      <c r="K250" s="165">
        <f>U207</f>
        <v>18.580909090909092</v>
      </c>
      <c r="L250" s="164">
        <v>0.05</v>
      </c>
      <c r="M250" s="163"/>
      <c r="N250" s="157">
        <v>0.15</v>
      </c>
      <c r="O250" s="164">
        <v>0.12</v>
      </c>
      <c r="P250" s="163"/>
      <c r="Q250" s="164">
        <v>0.2</v>
      </c>
      <c r="R250" s="164"/>
      <c r="S250" s="171" t="s">
        <v>407</v>
      </c>
      <c r="T250" s="154">
        <f>V205/V76</f>
        <v>25.367733333333334</v>
      </c>
      <c r="U250" s="154" t="s">
        <v>408</v>
      </c>
      <c r="V250" s="154"/>
      <c r="W250" s="159">
        <f>U76*(1+$N$250)</f>
        <v>18.381770145310433</v>
      </c>
      <c r="X250" s="159">
        <f>W250*(1+$N$250)</f>
        <v>21.139035667106995</v>
      </c>
      <c r="Y250" s="159">
        <f t="shared" ref="Y250:AF250" si="949">X250*(1+$N$250)</f>
        <v>24.309891017173044</v>
      </c>
      <c r="Z250" s="159">
        <f t="shared" si="949"/>
        <v>27.956374669749</v>
      </c>
      <c r="AA250" s="159">
        <f t="shared" si="949"/>
        <v>32.149830870211346</v>
      </c>
      <c r="AB250" s="159">
        <f t="shared" si="949"/>
        <v>36.972305500743047</v>
      </c>
      <c r="AC250" s="159">
        <f t="shared" si="949"/>
        <v>42.518151325854504</v>
      </c>
      <c r="AD250" s="159">
        <f t="shared" si="949"/>
        <v>48.895874024732677</v>
      </c>
      <c r="AE250" s="159">
        <f t="shared" si="949"/>
        <v>56.230255128442572</v>
      </c>
      <c r="AF250" s="159">
        <f t="shared" si="949"/>
        <v>64.664793397708948</v>
      </c>
      <c r="AG250" s="159">
        <f t="shared" ref="AG250" si="950">AF250*(1+$N$250)</f>
        <v>74.364512407365282</v>
      </c>
      <c r="AH250" s="159">
        <f t="shared" ref="AH250" si="951">AG250*(1+$N$250)</f>
        <v>85.519189268470072</v>
      </c>
      <c r="AI250" s="159">
        <f t="shared" ref="AI250" si="952">AH250*(1+$N$250)</f>
        <v>98.347067658740571</v>
      </c>
      <c r="AJ250" s="159">
        <f t="shared" ref="AJ250" si="953">AI250*(1+$N$250)</f>
        <v>113.09912780755165</v>
      </c>
      <c r="AK250" s="159">
        <f t="shared" ref="AK250" si="954">AJ250*(1+$N$250)</f>
        <v>130.0639969786844</v>
      </c>
      <c r="AL250" s="159">
        <f t="shared" ref="AL250" si="955">AK250*(1+$N$250)</f>
        <v>149.57359652548706</v>
      </c>
      <c r="AM250" s="159">
        <f t="shared" ref="AM250" si="956">AL250*(1+$N$250)</f>
        <v>172.0096360043101</v>
      </c>
      <c r="AN250" s="159">
        <f t="shared" ref="AN250" si="957">AM250*(1+$N$250)</f>
        <v>197.81108140495658</v>
      </c>
      <c r="AO250" s="159">
        <f t="shared" ref="AO250" si="958">AN250*(1+$N$250)</f>
        <v>227.48274361570006</v>
      </c>
      <c r="AP250" s="159">
        <f t="shared" ref="AP250" si="959">AO250*(1+$N$250)</f>
        <v>261.60515515805503</v>
      </c>
      <c r="AQ250" s="159">
        <f t="shared" ref="AQ250" si="960">AP250*(1+$N$250)</f>
        <v>300.84592843176324</v>
      </c>
      <c r="AR250" s="159">
        <f t="shared" ref="AR250" si="961">AQ250*(1+$N$250)</f>
        <v>345.97281769652773</v>
      </c>
      <c r="AS250" s="159">
        <f t="shared" ref="AS250" si="962">AR250*(1+$N$250)</f>
        <v>397.86874035100686</v>
      </c>
      <c r="AT250" s="159">
        <f t="shared" ref="AT250" si="963">AS250*(1+$N$250)</f>
        <v>457.54905140365787</v>
      </c>
      <c r="AU250" s="159">
        <f t="shared" ref="AU250" si="964">AT250*(1+$N$250)</f>
        <v>526.18140911420653</v>
      </c>
      <c r="AV250" s="159">
        <f t="shared" ref="AV250" si="965">AU250*(1+$N$250)</f>
        <v>605.10862048133743</v>
      </c>
      <c r="AW250" s="159">
        <f t="shared" ref="AW250" si="966">AV250*(1+$N$250)</f>
        <v>695.87491355353802</v>
      </c>
    </row>
    <row r="251" spans="2:49" x14ac:dyDescent="0.2">
      <c r="B251" s="10"/>
      <c r="C251" s="10"/>
      <c r="D251" s="10"/>
      <c r="E251" s="13" t="s">
        <v>393</v>
      </c>
      <c r="F251" s="13"/>
      <c r="G251" s="13"/>
      <c r="H251" s="13"/>
      <c r="I251" s="12"/>
      <c r="J251" s="164">
        <v>0</v>
      </c>
      <c r="K251" s="165"/>
      <c r="L251" s="164">
        <v>0.05</v>
      </c>
      <c r="M251" s="163"/>
      <c r="N251" s="163"/>
      <c r="O251" s="164">
        <v>0.12</v>
      </c>
      <c r="P251" s="163"/>
      <c r="Q251" s="164">
        <v>0.2</v>
      </c>
      <c r="R251" s="164"/>
      <c r="S251" s="10"/>
      <c r="T251" s="10"/>
      <c r="U251" s="10"/>
      <c r="V251" s="10"/>
      <c r="W251" s="110">
        <f>V205-W250</f>
        <v>232.61822985468956</v>
      </c>
      <c r="X251" s="158">
        <f>W251-X250</f>
        <v>211.47919418758255</v>
      </c>
      <c r="Y251" s="158">
        <f t="shared" ref="Y251:AD251" si="967">X251-Y250</f>
        <v>187.16930317040951</v>
      </c>
      <c r="Z251" s="158">
        <f t="shared" si="967"/>
        <v>159.2129285006605</v>
      </c>
      <c r="AA251" s="158">
        <f t="shared" si="967"/>
        <v>127.06309763044915</v>
      </c>
      <c r="AB251" s="158">
        <f t="shared" si="967"/>
        <v>90.090792129706102</v>
      </c>
      <c r="AC251" s="158">
        <f t="shared" si="967"/>
        <v>47.572640803851598</v>
      </c>
      <c r="AD251" s="158">
        <f t="shared" si="967"/>
        <v>-1.3232332208810789</v>
      </c>
      <c r="AE251" s="158">
        <f>AD251-AE250</f>
        <v>-57.553488349323651</v>
      </c>
      <c r="AF251" s="158">
        <f t="shared" ref="AF251" si="968">AE251-AF250</f>
        <v>-122.21828174703259</v>
      </c>
      <c r="AG251" s="158">
        <f t="shared" ref="AG251" si="969">AF251-AG250</f>
        <v>-196.58279415439787</v>
      </c>
      <c r="AH251" s="158">
        <f t="shared" ref="AH251" si="970">AG251-AH250</f>
        <v>-282.10198342286793</v>
      </c>
      <c r="AI251" s="158">
        <f t="shared" ref="AI251" si="971">AH251-AI250</f>
        <v>-380.4490510816085</v>
      </c>
      <c r="AJ251" s="158">
        <f t="shared" ref="AJ251" si="972">AI251-AJ250</f>
        <v>-493.54817888916017</v>
      </c>
      <c r="AK251" s="158">
        <f t="shared" ref="AK251" si="973">AJ251-AK250</f>
        <v>-623.6121758678446</v>
      </c>
      <c r="AL251" s="158">
        <f t="shared" ref="AL251" si="974">AK251-AL250</f>
        <v>-773.18577239333172</v>
      </c>
      <c r="AM251" s="158">
        <f t="shared" ref="AM251" si="975">AL251-AM250</f>
        <v>-945.19540839764181</v>
      </c>
      <c r="AN251" s="158">
        <f t="shared" ref="AN251" si="976">AM251-AN250</f>
        <v>-1143.0064898025985</v>
      </c>
      <c r="AO251" s="158">
        <f t="shared" ref="AO251" si="977">AN251-AO250</f>
        <v>-1370.4892334182985</v>
      </c>
      <c r="AP251" s="158">
        <f t="shared" ref="AP251" si="978">AO251-AP250</f>
        <v>-1632.0943885763536</v>
      </c>
      <c r="AQ251" s="158">
        <f t="shared" ref="AQ251" si="979">AP251-AQ250</f>
        <v>-1932.9403170081168</v>
      </c>
      <c r="AR251" s="158">
        <f t="shared" ref="AR251" si="980">AQ251-AR250</f>
        <v>-2278.9131347046446</v>
      </c>
      <c r="AS251" s="158">
        <f t="shared" ref="AS251" si="981">AR251-AS250</f>
        <v>-2676.7818750556517</v>
      </c>
      <c r="AT251" s="158">
        <f t="shared" ref="AT251" si="982">AS251-AT250</f>
        <v>-3134.3309264593095</v>
      </c>
      <c r="AU251" s="158">
        <f t="shared" ref="AU251" si="983">AT251-AU250</f>
        <v>-3660.5123355735159</v>
      </c>
      <c r="AV251" s="158">
        <f t="shared" ref="AV251" si="984">AU251-AV250</f>
        <v>-4265.6209560548532</v>
      </c>
      <c r="AW251" s="158">
        <f t="shared" ref="AW251" si="985">AV251-AW250</f>
        <v>-4961.4958696083913</v>
      </c>
    </row>
    <row r="252" spans="2:49" x14ac:dyDescent="0.2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spans="2:49" x14ac:dyDescent="0.2">
      <c r="B253" s="10" t="s">
        <v>254</v>
      </c>
      <c r="C253" s="15"/>
      <c r="D253" s="15"/>
      <c r="E253" s="15"/>
      <c r="F253" s="15"/>
      <c r="G253" s="15"/>
      <c r="H253" s="15" t="e">
        <f t="shared" ref="H253:I253" si="986">H10/H7</f>
        <v>#DIV/0!</v>
      </c>
      <c r="I253" s="15" t="e">
        <f t="shared" si="986"/>
        <v>#DIV/0!</v>
      </c>
      <c r="J253" s="15">
        <f t="shared" ref="J253:U253" si="987">J10/J7</f>
        <v>0.83333333333333337</v>
      </c>
      <c r="K253" s="15">
        <f t="shared" si="987"/>
        <v>0.2561174551386623</v>
      </c>
      <c r="L253" s="15">
        <f t="shared" si="987"/>
        <v>0.24200913242009131</v>
      </c>
      <c r="M253" s="15">
        <f t="shared" si="987"/>
        <v>0.22255192878338279</v>
      </c>
      <c r="N253" s="15">
        <f t="shared" si="987"/>
        <v>0.22746781115879827</v>
      </c>
      <c r="O253" s="15">
        <f t="shared" si="987"/>
        <v>0.26213592233009708</v>
      </c>
      <c r="P253" s="15">
        <f t="shared" si="987"/>
        <v>0.21478382147838215</v>
      </c>
      <c r="Q253" s="15">
        <f t="shared" si="987"/>
        <v>0.34409937888198761</v>
      </c>
      <c r="R253" s="15"/>
      <c r="S253" s="15">
        <f t="shared" si="987"/>
        <v>0.92455242966751916</v>
      </c>
      <c r="T253" s="15">
        <f t="shared" si="987"/>
        <v>0.36529680365296802</v>
      </c>
      <c r="U253" s="15">
        <f t="shared" si="987"/>
        <v>0.47914547304170907</v>
      </c>
      <c r="V253" s="15">
        <f t="shared" ref="V253:W253" si="988">V10/V7</f>
        <v>0.66666666666666663</v>
      </c>
      <c r="W253" s="15">
        <f t="shared" si="988"/>
        <v>0.66666666666666663</v>
      </c>
      <c r="X253" s="101" t="e">
        <f t="shared" ref="X253:X255" si="989">((V253/G253)^(1/($K$2-$K$1) ))-1</f>
        <v>#DIV/0!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spans="2:49" x14ac:dyDescent="0.2">
      <c r="B254" s="10" t="s">
        <v>255</v>
      </c>
      <c r="C254" s="96"/>
      <c r="D254" s="96"/>
      <c r="E254" s="96"/>
      <c r="F254" s="96"/>
      <c r="G254" s="96"/>
      <c r="H254" s="96" t="e">
        <f t="shared" ref="H254:I254" si="990">H10/H12</f>
        <v>#DIV/0!</v>
      </c>
      <c r="I254" s="96" t="e">
        <f t="shared" si="990"/>
        <v>#DIV/0!</v>
      </c>
      <c r="J254" s="96">
        <f t="shared" ref="J254:U254" si="991">J10/J12</f>
        <v>50</v>
      </c>
      <c r="K254" s="96">
        <f t="shared" si="991"/>
        <v>13.083333333333334</v>
      </c>
      <c r="L254" s="96">
        <f t="shared" si="991"/>
        <v>13.25</v>
      </c>
      <c r="M254" s="96">
        <f t="shared" si="991"/>
        <v>12.5</v>
      </c>
      <c r="N254" s="96">
        <f t="shared" si="991"/>
        <v>3.7857142857142856</v>
      </c>
      <c r="O254" s="96">
        <f t="shared" si="991"/>
        <v>4.1086956521739131</v>
      </c>
      <c r="P254" s="96">
        <f t="shared" si="991"/>
        <v>1.375</v>
      </c>
      <c r="Q254" s="96">
        <f t="shared" si="991"/>
        <v>3.9571428571428573</v>
      </c>
      <c r="R254" s="96"/>
      <c r="S254" s="96">
        <f t="shared" si="991"/>
        <v>8.5058823529411764</v>
      </c>
      <c r="T254" s="96">
        <f t="shared" si="991"/>
        <v>4</v>
      </c>
      <c r="U254" s="96">
        <f t="shared" si="991"/>
        <v>3.9915254237288136</v>
      </c>
      <c r="V254" s="96">
        <f t="shared" ref="V254:W254" si="992">V10/V12</f>
        <v>8.75</v>
      </c>
      <c r="W254" s="96">
        <f t="shared" si="992"/>
        <v>8.75</v>
      </c>
      <c r="X254" s="101" t="e">
        <f t="shared" si="989"/>
        <v>#DIV/0!</v>
      </c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spans="2:49" x14ac:dyDescent="0.2">
      <c r="B255" s="10" t="s">
        <v>256</v>
      </c>
      <c r="C255" s="15"/>
      <c r="D255" s="15"/>
      <c r="E255" s="15"/>
      <c r="F255" s="15"/>
      <c r="G255" s="15"/>
      <c r="H255" s="15" t="e">
        <f t="shared" ref="H255:I255" si="993">H10/(H12+H13)</f>
        <v>#DIV/0!</v>
      </c>
      <c r="I255" s="15" t="e">
        <f t="shared" si="993"/>
        <v>#DIV/0!</v>
      </c>
      <c r="J255" s="15">
        <f t="shared" ref="J255:U255" si="994">J10/(J12+J13)</f>
        <v>1.048951048951049</v>
      </c>
      <c r="K255" s="15">
        <f t="shared" si="994"/>
        <v>0.39054726368159204</v>
      </c>
      <c r="L255" s="15">
        <f t="shared" si="994"/>
        <v>0.46764705882352942</v>
      </c>
      <c r="M255" s="15">
        <f t="shared" si="994"/>
        <v>0.4838709677419355</v>
      </c>
      <c r="N255" s="15">
        <f t="shared" si="994"/>
        <v>1.325</v>
      </c>
      <c r="O255" s="15">
        <f t="shared" si="994"/>
        <v>1.6016949152542372</v>
      </c>
      <c r="P255" s="15">
        <f t="shared" si="994"/>
        <v>1.0198675496688743</v>
      </c>
      <c r="Q255" s="15">
        <f t="shared" si="994"/>
        <v>3.2588235294117647</v>
      </c>
      <c r="R255" s="15"/>
      <c r="S255" s="15">
        <f t="shared" si="994"/>
        <v>8.2159090909090917</v>
      </c>
      <c r="T255" s="15">
        <f t="shared" si="994"/>
        <v>3.7647058823529411</v>
      </c>
      <c r="U255" s="15">
        <f t="shared" si="994"/>
        <v>3.9844344810083752</v>
      </c>
      <c r="V255" s="15">
        <f t="shared" ref="V255:W255" si="995">V10/(V12+V13)</f>
        <v>8.3582089552238799</v>
      </c>
      <c r="W255" s="15">
        <f t="shared" si="995"/>
        <v>8.3582089552238799</v>
      </c>
      <c r="X255" s="101" t="e">
        <f t="shared" si="989"/>
        <v>#DIV/0!</v>
      </c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spans="2:49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spans="2:38" x14ac:dyDescent="0.2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spans="2:38" ht="15" customHeight="1" x14ac:dyDescent="0.2">
      <c r="B258" s="10"/>
      <c r="C258" s="147" t="s">
        <v>319</v>
      </c>
      <c r="D258" s="148"/>
      <c r="E258" s="148"/>
      <c r="F258" s="148"/>
      <c r="G258" s="148"/>
      <c r="H258" s="148"/>
      <c r="I258" s="148"/>
      <c r="J258" s="148"/>
      <c r="K258" s="148"/>
      <c r="L258" s="148"/>
      <c r="M258" s="313" t="s">
        <v>281</v>
      </c>
      <c r="N258" s="313"/>
      <c r="O258" s="313"/>
      <c r="P258" s="314"/>
      <c r="Q258" s="10"/>
      <c r="R258" s="10"/>
      <c r="S258" s="13"/>
      <c r="T258" s="140"/>
      <c r="U258" s="140"/>
      <c r="V258" s="140"/>
      <c r="W258" s="140"/>
      <c r="X258" s="141"/>
      <c r="Y258" s="141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spans="2:38" x14ac:dyDescent="0.2">
      <c r="B259" s="10"/>
      <c r="C259" s="139" t="s">
        <v>282</v>
      </c>
      <c r="D259" s="139" t="s">
        <v>0</v>
      </c>
      <c r="E259" s="139" t="s">
        <v>320</v>
      </c>
      <c r="F259" s="139"/>
      <c r="G259" s="139" t="s">
        <v>321</v>
      </c>
      <c r="H259" s="139" t="s">
        <v>322</v>
      </c>
      <c r="I259" s="139" t="s">
        <v>323</v>
      </c>
      <c r="J259" s="139" t="s">
        <v>324</v>
      </c>
      <c r="K259" s="139" t="s">
        <v>325</v>
      </c>
      <c r="L259" s="10"/>
      <c r="M259" s="139" t="s">
        <v>282</v>
      </c>
      <c r="N259" s="139"/>
      <c r="O259" s="139" t="s">
        <v>0</v>
      </c>
      <c r="P259" s="139" t="s">
        <v>314</v>
      </c>
      <c r="Q259" s="10"/>
      <c r="R259" s="10"/>
      <c r="S259" s="10"/>
      <c r="T259" s="142"/>
      <c r="U259" s="142"/>
      <c r="V259" s="142"/>
      <c r="W259" s="142"/>
      <c r="X259" s="143"/>
      <c r="Y259" s="143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2:38" x14ac:dyDescent="0.2">
      <c r="B260" s="10"/>
      <c r="C260" s="140" t="s">
        <v>283</v>
      </c>
      <c r="D260" s="11">
        <v>0</v>
      </c>
      <c r="E260" s="149" t="s">
        <v>326</v>
      </c>
      <c r="F260" s="149"/>
      <c r="G260" s="12">
        <v>1</v>
      </c>
      <c r="H260" s="12">
        <v>1</v>
      </c>
      <c r="I260" s="140">
        <f>G260/H260</f>
        <v>1</v>
      </c>
      <c r="J260" s="140">
        <f>I260*D261</f>
        <v>0</v>
      </c>
      <c r="K260" s="150">
        <f>J260+D261</f>
        <v>0</v>
      </c>
      <c r="L260" s="10"/>
      <c r="M260" s="140" t="s">
        <v>283</v>
      </c>
      <c r="N260" s="140"/>
      <c r="O260" s="11">
        <v>0</v>
      </c>
      <c r="P260" s="146">
        <f>O260</f>
        <v>0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2:38" x14ac:dyDescent="0.2">
      <c r="B261" s="10"/>
      <c r="C261" s="140" t="s">
        <v>284</v>
      </c>
      <c r="D261" s="11"/>
      <c r="E261" s="149" t="s">
        <v>327</v>
      </c>
      <c r="F261" s="149"/>
      <c r="G261" s="12">
        <v>0</v>
      </c>
      <c r="H261" s="12">
        <v>1</v>
      </c>
      <c r="I261" s="140">
        <f>G261/H261</f>
        <v>0</v>
      </c>
      <c r="J261" s="140">
        <f>I261*K260</f>
        <v>0</v>
      </c>
      <c r="K261" s="140">
        <f>J261+K260</f>
        <v>0</v>
      </c>
      <c r="L261" s="10"/>
      <c r="M261" s="140" t="s">
        <v>284</v>
      </c>
      <c r="N261" s="140"/>
      <c r="O261" s="11">
        <v>1</v>
      </c>
      <c r="P261" s="146">
        <f>O261</f>
        <v>1</v>
      </c>
      <c r="Q261" s="10"/>
      <c r="R261" s="10"/>
      <c r="S261" s="10"/>
      <c r="T261" s="140"/>
      <c r="U261" s="140"/>
      <c r="V261" s="140"/>
      <c r="W261" s="140"/>
      <c r="X261" s="141"/>
      <c r="Y261" s="141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2:38" x14ac:dyDescent="0.2">
      <c r="B262" s="10"/>
      <c r="C262" s="140" t="s">
        <v>286</v>
      </c>
      <c r="D262" s="141">
        <f>D260*D261</f>
        <v>0</v>
      </c>
      <c r="E262" s="149" t="s">
        <v>339</v>
      </c>
      <c r="F262" s="149"/>
      <c r="G262" s="12">
        <v>0</v>
      </c>
      <c r="H262" s="12">
        <v>1</v>
      </c>
      <c r="I262" s="140">
        <f>G262/H262</f>
        <v>0</v>
      </c>
      <c r="J262" s="140">
        <f>I262*K261</f>
        <v>0</v>
      </c>
      <c r="K262" s="140">
        <f>J262+K261</f>
        <v>0</v>
      </c>
      <c r="L262" s="10"/>
      <c r="M262" s="140" t="s">
        <v>285</v>
      </c>
      <c r="N262" s="140"/>
      <c r="O262" s="141">
        <f>O260*O261</f>
        <v>0</v>
      </c>
      <c r="P262" s="146">
        <f>O262</f>
        <v>0</v>
      </c>
      <c r="Q262" s="10"/>
      <c r="R262" s="10"/>
      <c r="S262" s="10"/>
      <c r="T262" s="142"/>
      <c r="U262" s="142"/>
      <c r="V262" s="142"/>
      <c r="W262" s="142"/>
      <c r="X262" s="143"/>
      <c r="Y262" s="143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2:38" x14ac:dyDescent="0.2">
      <c r="B263" s="10"/>
      <c r="C263" s="140"/>
      <c r="D263" s="141"/>
      <c r="E263" s="149" t="s">
        <v>394</v>
      </c>
      <c r="F263" s="149"/>
      <c r="G263" s="12">
        <v>0</v>
      </c>
      <c r="H263" s="12">
        <v>1</v>
      </c>
      <c r="I263" s="140">
        <f t="shared" ref="I263:I266" si="996">G263/H263</f>
        <v>0</v>
      </c>
      <c r="J263" s="140">
        <f t="shared" ref="J263:J265" si="997">I263*K262</f>
        <v>0</v>
      </c>
      <c r="K263" s="140">
        <f t="shared" ref="K263:K265" si="998">J263+K262</f>
        <v>0</v>
      </c>
      <c r="L263" s="10"/>
      <c r="M263" s="140" t="s">
        <v>287</v>
      </c>
      <c r="N263" s="140"/>
      <c r="O263" s="11">
        <v>0</v>
      </c>
      <c r="P263" s="11">
        <v>0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2:38" x14ac:dyDescent="0.2">
      <c r="B264" s="10"/>
      <c r="C264" s="140"/>
      <c r="D264" s="141"/>
      <c r="E264" s="149" t="s">
        <v>395</v>
      </c>
      <c r="F264" s="149"/>
      <c r="G264" s="12">
        <v>0</v>
      </c>
      <c r="H264" s="12">
        <v>1</v>
      </c>
      <c r="I264" s="140">
        <f t="shared" si="996"/>
        <v>0</v>
      </c>
      <c r="J264" s="140">
        <f t="shared" si="997"/>
        <v>0</v>
      </c>
      <c r="K264" s="140">
        <f t="shared" si="998"/>
        <v>0</v>
      </c>
      <c r="L264" s="10"/>
      <c r="M264" s="140" t="s">
        <v>288</v>
      </c>
      <c r="N264" s="140"/>
      <c r="O264" s="141">
        <f>O263*O261</f>
        <v>0</v>
      </c>
      <c r="P264" s="141">
        <f>P263*P261</f>
        <v>0</v>
      </c>
      <c r="Q264" s="10"/>
      <c r="R264" s="10"/>
      <c r="S264" s="10"/>
      <c r="T264" s="140"/>
      <c r="U264" s="140"/>
      <c r="V264" s="140"/>
      <c r="W264" s="140"/>
      <c r="X264" s="141"/>
      <c r="Y264" s="141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2:38" x14ac:dyDescent="0.2">
      <c r="B265" s="10"/>
      <c r="C265" s="140"/>
      <c r="D265" s="141"/>
      <c r="E265" s="149" t="s">
        <v>396</v>
      </c>
      <c r="F265" s="149"/>
      <c r="G265" s="12">
        <v>0</v>
      </c>
      <c r="H265" s="12">
        <v>1</v>
      </c>
      <c r="I265" s="140">
        <f t="shared" si="996"/>
        <v>0</v>
      </c>
      <c r="J265" s="140">
        <f t="shared" si="997"/>
        <v>0</v>
      </c>
      <c r="K265" s="140">
        <f t="shared" si="998"/>
        <v>0</v>
      </c>
      <c r="L265" s="10"/>
      <c r="M265" s="140"/>
      <c r="N265" s="140"/>
      <c r="O265" s="141"/>
      <c r="P265" s="141"/>
      <c r="Q265" s="10"/>
      <c r="R265" s="10"/>
      <c r="S265" s="10"/>
      <c r="T265" s="142"/>
      <c r="U265" s="142"/>
      <c r="V265" s="142"/>
      <c r="W265" s="142"/>
      <c r="X265" s="143"/>
      <c r="Y265" s="143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2:38" x14ac:dyDescent="0.2">
      <c r="B266" s="10"/>
      <c r="C266" s="140"/>
      <c r="D266" s="141"/>
      <c r="E266" s="149" t="s">
        <v>328</v>
      </c>
      <c r="F266" s="149"/>
      <c r="G266" s="12">
        <v>2</v>
      </c>
      <c r="H266" s="12">
        <v>1</v>
      </c>
      <c r="I266" s="140">
        <f t="shared" si="996"/>
        <v>2</v>
      </c>
      <c r="J266" s="140">
        <f>I266*K265</f>
        <v>0</v>
      </c>
      <c r="K266" s="140">
        <f>J266</f>
        <v>0</v>
      </c>
      <c r="L266" s="10"/>
      <c r="M266" s="140"/>
      <c r="N266" s="140"/>
      <c r="O266" s="141"/>
      <c r="P266" s="141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2:38" x14ac:dyDescent="0.2">
      <c r="B267" s="10"/>
      <c r="C267" s="140"/>
      <c r="D267" s="141"/>
      <c r="E267" s="149" t="s">
        <v>397</v>
      </c>
      <c r="F267" s="149"/>
      <c r="G267" s="12">
        <v>0</v>
      </c>
      <c r="H267" s="12">
        <v>1</v>
      </c>
      <c r="I267" s="140">
        <f>G267/H267</f>
        <v>0</v>
      </c>
      <c r="J267" s="140">
        <f>I267*K266</f>
        <v>0</v>
      </c>
      <c r="K267" s="140">
        <f>J267</f>
        <v>0</v>
      </c>
      <c r="L267" s="10"/>
      <c r="M267" s="142" t="s">
        <v>289</v>
      </c>
      <c r="N267" s="142"/>
      <c r="O267" s="143" t="e">
        <f>O264/O262</f>
        <v>#DIV/0!</v>
      </c>
      <c r="P267" s="143" t="e">
        <f>P264/P262</f>
        <v>#DIV/0!</v>
      </c>
      <c r="Q267" s="10"/>
      <c r="R267" s="10"/>
      <c r="S267" s="10"/>
      <c r="T267" s="142"/>
      <c r="U267" s="142"/>
      <c r="V267" s="142"/>
      <c r="W267" s="142"/>
      <c r="X267" s="143"/>
      <c r="Y267" s="143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2:38" x14ac:dyDescent="0.2">
      <c r="B268" s="10"/>
      <c r="C268" s="140" t="s">
        <v>287</v>
      </c>
      <c r="D268" s="11"/>
      <c r="E268" s="149"/>
      <c r="F268" s="149"/>
      <c r="G268" s="140"/>
      <c r="H268" s="140"/>
      <c r="I268" s="142" t="s">
        <v>329</v>
      </c>
      <c r="J268" s="140"/>
      <c r="K268" s="140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2:38" x14ac:dyDescent="0.2">
      <c r="B269" s="10"/>
      <c r="C269" s="140" t="s">
        <v>284</v>
      </c>
      <c r="D269" s="11"/>
      <c r="E269" s="149" t="s">
        <v>328</v>
      </c>
      <c r="F269" s="149"/>
      <c r="G269" s="12">
        <v>10</v>
      </c>
      <c r="H269" s="12">
        <v>2</v>
      </c>
      <c r="I269" s="140">
        <f>G269/H269</f>
        <v>5</v>
      </c>
      <c r="J269" s="150">
        <f>I269*D261</f>
        <v>0</v>
      </c>
      <c r="K269" s="150">
        <f>J269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2:38" x14ac:dyDescent="0.2">
      <c r="B270" s="10"/>
      <c r="C270" s="140" t="s">
        <v>286</v>
      </c>
      <c r="D270" s="141">
        <f>D269*D268</f>
        <v>0</v>
      </c>
      <c r="E270" s="140"/>
      <c r="F270" s="140"/>
      <c r="G270" s="140"/>
      <c r="H270" s="140"/>
      <c r="I270" s="142" t="s">
        <v>329</v>
      </c>
      <c r="J270" s="140"/>
      <c r="K270" s="140">
        <f>K269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2:38" x14ac:dyDescent="0.2">
      <c r="B271" s="10"/>
      <c r="C271" s="140"/>
      <c r="D271" s="141"/>
      <c r="E271" s="149" t="s">
        <v>328</v>
      </c>
      <c r="F271" s="149"/>
      <c r="G271" s="12">
        <v>10</v>
      </c>
      <c r="H271" s="12">
        <v>2</v>
      </c>
      <c r="I271" s="140">
        <f>G271/H271</f>
        <v>5</v>
      </c>
      <c r="J271" s="140">
        <f>I271*K270</f>
        <v>0</v>
      </c>
      <c r="K271" s="140">
        <f>J271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2:38" x14ac:dyDescent="0.2">
      <c r="B272" s="10"/>
      <c r="C272" s="142" t="s">
        <v>289</v>
      </c>
      <c r="D272" s="143" t="e">
        <f>D270/D262</f>
        <v>#DIV/0!</v>
      </c>
      <c r="E272" s="149"/>
      <c r="F272" s="149"/>
      <c r="G272" s="140"/>
      <c r="H272" s="140"/>
      <c r="I272" s="142" t="s">
        <v>329</v>
      </c>
      <c r="J272" s="140"/>
      <c r="K272" s="140">
        <f>K271</f>
        <v>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2:36" x14ac:dyDescent="0.2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2:36" x14ac:dyDescent="0.2">
      <c r="B274" s="10"/>
      <c r="C274" s="10"/>
      <c r="D274" s="114"/>
      <c r="E274" s="151"/>
      <c r="F274" s="151"/>
      <c r="G274" s="151"/>
      <c r="H274" s="151"/>
      <c r="I274" s="151"/>
      <c r="J274" s="152"/>
      <c r="K274" s="10"/>
      <c r="L274" s="114"/>
      <c r="M274" s="151"/>
      <c r="N274" s="152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2:36" ht="14.25" x14ac:dyDescent="0.2">
      <c r="B275" s="10"/>
      <c r="C275" s="10"/>
      <c r="D275" s="304" t="s">
        <v>15</v>
      </c>
      <c r="E275" s="305"/>
      <c r="F275" s="305"/>
      <c r="G275" s="305"/>
      <c r="H275" s="305"/>
      <c r="I275" s="305"/>
      <c r="J275" s="306"/>
      <c r="K275" s="10"/>
      <c r="L275" s="304" t="s">
        <v>334</v>
      </c>
      <c r="M275" s="305"/>
      <c r="N275" s="30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2:36" x14ac:dyDescent="0.2">
      <c r="B276" s="10"/>
      <c r="C276" s="10"/>
      <c r="D276" s="10" t="s">
        <v>16</v>
      </c>
      <c r="E276" s="108"/>
      <c r="F276" s="108"/>
      <c r="G276" s="108">
        <f>D262</f>
        <v>0</v>
      </c>
      <c r="H276" s="11">
        <f>D262</f>
        <v>0</v>
      </c>
      <c r="I276" s="10"/>
      <c r="J276" s="10"/>
      <c r="K276" s="10"/>
      <c r="L276" s="10" t="s">
        <v>16</v>
      </c>
      <c r="M276" s="108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2:36" x14ac:dyDescent="0.2">
      <c r="B277" s="10"/>
      <c r="C277" s="10"/>
      <c r="D277" s="10" t="s">
        <v>17</v>
      </c>
      <c r="E277" s="108"/>
      <c r="F277" s="108"/>
      <c r="G277" s="108">
        <f>D270</f>
        <v>0</v>
      </c>
      <c r="H277" s="11">
        <f>D270</f>
        <v>0</v>
      </c>
      <c r="I277" s="10"/>
      <c r="J277" s="10"/>
      <c r="K277" s="10"/>
      <c r="L277" s="10" t="s">
        <v>17</v>
      </c>
      <c r="M277" s="10"/>
      <c r="N277" s="11">
        <f>H277</f>
        <v>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2:36" x14ac:dyDescent="0.2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2:36" x14ac:dyDescent="0.2">
      <c r="B279" s="10"/>
      <c r="C279" s="10"/>
      <c r="D279" s="13" t="s">
        <v>19</v>
      </c>
      <c r="E279" s="3"/>
      <c r="F279" s="3"/>
      <c r="G279" s="3" t="e">
        <f>((G277/G276)^(1/G278))-1</f>
        <v>#DIV/0!</v>
      </c>
      <c r="H279" s="3" t="e">
        <f>((H277/H276)^(1/H278))-1</f>
        <v>#DIV/0!</v>
      </c>
      <c r="I279" s="10"/>
      <c r="J279" s="10"/>
      <c r="K279" s="10"/>
      <c r="L279" s="13" t="s">
        <v>335</v>
      </c>
      <c r="M279" s="13"/>
      <c r="N279" s="166" t="e">
        <f>(N277-N276)/N276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2:36" x14ac:dyDescent="0.2">
      <c r="B280" s="10"/>
      <c r="C280" s="10"/>
      <c r="D280" s="13" t="s">
        <v>20</v>
      </c>
      <c r="E280" s="138"/>
      <c r="F280" s="138"/>
      <c r="G280" s="138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67" t="e">
        <f>N277/N276</f>
        <v>#DIV/0!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2:36" x14ac:dyDescent="0.2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2:36" x14ac:dyDescent="0.2">
      <c r="B282" s="10"/>
      <c r="C282" s="10"/>
      <c r="D282" s="13" t="s">
        <v>21</v>
      </c>
      <c r="E282" s="3"/>
      <c r="F282" s="3"/>
      <c r="G282" s="3" t="e">
        <f>((G277/G276)^(1/G281))-1</f>
        <v>#DIV/0!</v>
      </c>
      <c r="H282" s="3" t="e">
        <f>((H277/H276)^(1/H281))-1</f>
        <v>#DIV/0!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2:36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2:36" x14ac:dyDescent="0.2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</sheetData>
  <mergeCells count="8">
    <mergeCell ref="A36:A45"/>
    <mergeCell ref="A128:A136"/>
    <mergeCell ref="D275:J275"/>
    <mergeCell ref="L275:N275"/>
    <mergeCell ref="AK2:AL2"/>
    <mergeCell ref="AK3:AL3"/>
    <mergeCell ref="N241:O241"/>
    <mergeCell ref="M258:P258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0" t="s">
        <v>15</v>
      </c>
      <c r="K5" s="290"/>
      <c r="M5" s="290" t="s">
        <v>53</v>
      </c>
      <c r="N5" s="290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0" t="s">
        <v>24</v>
      </c>
      <c r="K14" s="290"/>
      <c r="L14" s="290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90" t="s">
        <v>15</v>
      </c>
      <c r="S5" s="290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0" t="s">
        <v>24</v>
      </c>
      <c r="S14" s="290"/>
      <c r="T14" s="290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90" t="s">
        <v>15</v>
      </c>
      <c r="C2" s="290"/>
      <c r="E2" s="290" t="s">
        <v>53</v>
      </c>
      <c r="F2" s="290"/>
      <c r="H2" s="318" t="s">
        <v>24</v>
      </c>
      <c r="I2" s="319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5" t="s">
        <v>56</v>
      </c>
      <c r="E10" s="316"/>
      <c r="F10" s="316"/>
      <c r="G10" s="316"/>
      <c r="H10" s="317"/>
      <c r="I10" s="315" t="s">
        <v>60</v>
      </c>
      <c r="J10" s="316"/>
      <c r="K10" s="316"/>
      <c r="L10" s="317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 x14ac:dyDescent="0.2">
      <c r="B3" s="320" t="s">
        <v>373</v>
      </c>
      <c r="C3" s="321"/>
      <c r="F3" s="320" t="s">
        <v>374</v>
      </c>
      <c r="G3" s="321"/>
    </row>
    <row r="4" spans="2:7" x14ac:dyDescent="0.2">
      <c r="B4" s="161" t="s">
        <v>375</v>
      </c>
      <c r="C4" s="161"/>
      <c r="F4" s="161" t="s">
        <v>376</v>
      </c>
      <c r="G4" s="161"/>
    </row>
    <row r="5" spans="2:7" x14ac:dyDescent="0.2">
      <c r="B5" s="161" t="s">
        <v>377</v>
      </c>
      <c r="C5" s="161"/>
      <c r="F5" s="161" t="s">
        <v>241</v>
      </c>
      <c r="G5" s="161"/>
    </row>
    <row r="6" spans="2:7" x14ac:dyDescent="0.2">
      <c r="B6" s="161" t="s">
        <v>378</v>
      </c>
      <c r="C6" s="161"/>
      <c r="F6" s="161" t="s">
        <v>379</v>
      </c>
      <c r="G6" s="161"/>
    </row>
    <row r="7" spans="2:7" x14ac:dyDescent="0.2">
      <c r="B7" s="161" t="s">
        <v>380</v>
      </c>
      <c r="C7" s="161"/>
      <c r="F7" s="161" t="s">
        <v>381</v>
      </c>
      <c r="G7" s="161"/>
    </row>
    <row r="8" spans="2:7" x14ac:dyDescent="0.2">
      <c r="B8" s="161" t="s">
        <v>382</v>
      </c>
      <c r="C8" s="161"/>
      <c r="F8" s="161" t="s">
        <v>383</v>
      </c>
      <c r="G8" s="161"/>
    </row>
    <row r="9" spans="2:7" x14ac:dyDescent="0.2">
      <c r="B9" s="161" t="s">
        <v>384</v>
      </c>
      <c r="C9" s="161"/>
      <c r="F9" s="161" t="s">
        <v>385</v>
      </c>
      <c r="G9" s="161"/>
    </row>
    <row r="10" spans="2:7" x14ac:dyDescent="0.2">
      <c r="B10" s="161" t="s">
        <v>383</v>
      </c>
      <c r="C10" s="161"/>
      <c r="F10" s="161"/>
      <c r="G10" s="161"/>
    </row>
    <row r="11" spans="2:7" x14ac:dyDescent="0.2">
      <c r="B11" s="161" t="s">
        <v>386</v>
      </c>
      <c r="C11" s="161"/>
      <c r="F11" s="161"/>
      <c r="G11" s="161"/>
    </row>
    <row r="12" spans="2:7" x14ac:dyDescent="0.2">
      <c r="B12" s="161" t="s">
        <v>387</v>
      </c>
      <c r="C12" s="161"/>
      <c r="F12" s="161"/>
      <c r="G12" s="161"/>
    </row>
    <row r="13" spans="2:7" x14ac:dyDescent="0.2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2020-09-12T16:25:42Z</dcterms:modified>
</cp:coreProperties>
</file>
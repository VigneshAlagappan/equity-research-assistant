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-15" yWindow="-15" windowWidth="9720" windowHeight="8745" activeTab="2"/>
  </bookViews>
  <sheets>
    <sheet name="1 - Eval Steps" sheetId="16" r:id="rId1"/>
    <sheet name="2. Time value" sheetId="20" r:id="rId2"/>
    <sheet name="3 - Forecast" sheetId="18" r:id="rId3"/>
    <sheet name="Sheet1" sheetId="11" state="hidden" r:id="rId4"/>
    <sheet name="IOB" sheetId="9" state="hidden" r:id="rId5"/>
    <sheet name="Template" sheetId="12" state="hidden" r:id="rId6"/>
    <sheet name="4. Analysis" sheetId="19" r:id="rId7"/>
  </sheets>
  <calcPr calcId="124519"/>
</workbook>
</file>

<file path=xl/calcChain.xml><?xml version="1.0" encoding="utf-8"?>
<calcChain xmlns="http://schemas.openxmlformats.org/spreadsheetml/2006/main">
  <c r="G205" i="18"/>
  <c r="U64"/>
  <c r="T64"/>
  <c r="S64"/>
  <c r="R64"/>
  <c r="Q64"/>
  <c r="P64"/>
  <c r="O64"/>
  <c r="N64"/>
  <c r="M64"/>
  <c r="L64"/>
  <c r="K64"/>
  <c r="J64"/>
  <c r="I64"/>
  <c r="H64"/>
  <c r="G64"/>
  <c r="U62"/>
  <c r="T62"/>
  <c r="S62"/>
  <c r="R62"/>
  <c r="Q62"/>
  <c r="P62"/>
  <c r="O62"/>
  <c r="N62"/>
  <c r="M62"/>
  <c r="L62"/>
  <c r="K62"/>
  <c r="J62"/>
  <c r="I62"/>
  <c r="H62"/>
  <c r="G62"/>
  <c r="U60"/>
  <c r="T60"/>
  <c r="S60"/>
  <c r="R60"/>
  <c r="Q60"/>
  <c r="P60"/>
  <c r="O60"/>
  <c r="N60"/>
  <c r="M60"/>
  <c r="L60"/>
  <c r="K60"/>
  <c r="J60"/>
  <c r="I60"/>
  <c r="H60"/>
  <c r="G60"/>
  <c r="U54"/>
  <c r="T54"/>
  <c r="S54"/>
  <c r="R54"/>
  <c r="Q54"/>
  <c r="P54"/>
  <c r="O54"/>
  <c r="N54"/>
  <c r="M54"/>
  <c r="L54"/>
  <c r="K54"/>
  <c r="J54"/>
  <c r="I54"/>
  <c r="H54"/>
  <c r="G54"/>
  <c r="J51"/>
  <c r="I51"/>
  <c r="H51" s="1"/>
  <c r="U50"/>
  <c r="T50"/>
  <c r="S50"/>
  <c r="R50"/>
  <c r="Q50"/>
  <c r="P50"/>
  <c r="O50"/>
  <c r="N50"/>
  <c r="M50"/>
  <c r="L50"/>
  <c r="K50"/>
  <c r="G50"/>
  <c r="J49"/>
  <c r="J50" s="1"/>
  <c r="I49"/>
  <c r="J45"/>
  <c r="I45" s="1"/>
  <c r="H45" s="1"/>
  <c r="U44"/>
  <c r="T44"/>
  <c r="S44"/>
  <c r="R44"/>
  <c r="Q44"/>
  <c r="P44"/>
  <c r="O44"/>
  <c r="N44"/>
  <c r="M44"/>
  <c r="L44"/>
  <c r="G44"/>
  <c r="J43"/>
  <c r="K44" s="1"/>
  <c r="I43"/>
  <c r="J42"/>
  <c r="I42" s="1"/>
  <c r="H42" s="1"/>
  <c r="J41"/>
  <c r="I41"/>
  <c r="H41" s="1"/>
  <c r="J40"/>
  <c r="I40" s="1"/>
  <c r="H40" s="1"/>
  <c r="U39"/>
  <c r="T39"/>
  <c r="S39"/>
  <c r="R39"/>
  <c r="Q39"/>
  <c r="P39"/>
  <c r="O39"/>
  <c r="N39"/>
  <c r="M39"/>
  <c r="L39"/>
  <c r="G39"/>
  <c r="J38"/>
  <c r="J39" s="1"/>
  <c r="I38"/>
  <c r="H38" s="1"/>
  <c r="H39" s="1"/>
  <c r="U37"/>
  <c r="T37"/>
  <c r="S37"/>
  <c r="R37"/>
  <c r="Q37"/>
  <c r="P37"/>
  <c r="O37"/>
  <c r="N37"/>
  <c r="M37"/>
  <c r="L37"/>
  <c r="G37"/>
  <c r="J36"/>
  <c r="J37" s="1"/>
  <c r="I36"/>
  <c r="H36" s="1"/>
  <c r="H37" s="1"/>
  <c r="U30"/>
  <c r="T30"/>
  <c r="S30"/>
  <c r="R30"/>
  <c r="Q30"/>
  <c r="P30"/>
  <c r="O30"/>
  <c r="N30"/>
  <c r="M30"/>
  <c r="L30"/>
  <c r="K30"/>
  <c r="J30"/>
  <c r="I30"/>
  <c r="H30"/>
  <c r="G30"/>
  <c r="U28"/>
  <c r="T28"/>
  <c r="S28"/>
  <c r="R28"/>
  <c r="Q28"/>
  <c r="P28"/>
  <c r="O28"/>
  <c r="N28"/>
  <c r="M28"/>
  <c r="L28"/>
  <c r="K28"/>
  <c r="J28"/>
  <c r="I28"/>
  <c r="H28"/>
  <c r="G28"/>
  <c r="U26"/>
  <c r="T26"/>
  <c r="S26"/>
  <c r="R26"/>
  <c r="Q26"/>
  <c r="P26"/>
  <c r="O26"/>
  <c r="N26"/>
  <c r="M26"/>
  <c r="L26"/>
  <c r="K26"/>
  <c r="J26"/>
  <c r="I26"/>
  <c r="H26"/>
  <c r="G26"/>
  <c r="U11"/>
  <c r="T11"/>
  <c r="S11"/>
  <c r="R11"/>
  <c r="Q11"/>
  <c r="P11"/>
  <c r="O11"/>
  <c r="N11"/>
  <c r="M11"/>
  <c r="L11"/>
  <c r="K11"/>
  <c r="J11"/>
  <c r="I11"/>
  <c r="H11"/>
  <c r="G11"/>
  <c r="T8"/>
  <c r="S8"/>
  <c r="R8"/>
  <c r="Q8"/>
  <c r="P8"/>
  <c r="O8"/>
  <c r="N8"/>
  <c r="M8"/>
  <c r="L8"/>
  <c r="K8"/>
  <c r="J8"/>
  <c r="I8"/>
  <c r="H8"/>
  <c r="G8"/>
  <c r="U7"/>
  <c r="U8" s="1"/>
  <c r="L46"/>
  <c r="M46"/>
  <c r="N46"/>
  <c r="O46"/>
  <c r="P46"/>
  <c r="Q46"/>
  <c r="R46"/>
  <c r="S46"/>
  <c r="T46"/>
  <c r="U46"/>
  <c r="G48"/>
  <c r="H48"/>
  <c r="I48"/>
  <c r="J48"/>
  <c r="K48"/>
  <c r="L48"/>
  <c r="M48"/>
  <c r="N48"/>
  <c r="O48"/>
  <c r="P48"/>
  <c r="Q48"/>
  <c r="R48"/>
  <c r="S48"/>
  <c r="T48"/>
  <c r="U48"/>
  <c r="C1"/>
  <c r="H49" l="1"/>
  <c r="H50" s="1"/>
  <c r="I37"/>
  <c r="K37"/>
  <c r="I39"/>
  <c r="K39"/>
  <c r="H43"/>
  <c r="H44" s="1"/>
  <c r="J44"/>
  <c r="J46"/>
  <c r="I46"/>
  <c r="K46"/>
  <c r="AI47"/>
  <c r="AH47"/>
  <c r="W47"/>
  <c r="X47" s="1"/>
  <c r="Y47" s="1"/>
  <c r="Z47" s="1"/>
  <c r="AA47" s="1"/>
  <c r="AB47" s="1"/>
  <c r="AC47" s="1"/>
  <c r="AD47" s="1"/>
  <c r="AE47" s="1"/>
  <c r="AF47" s="1"/>
  <c r="AG47" s="1"/>
  <c r="V47"/>
  <c r="AI57"/>
  <c r="X57"/>
  <c r="Y57" s="1"/>
  <c r="Z57" s="1"/>
  <c r="AA57" s="1"/>
  <c r="AB57" s="1"/>
  <c r="AC57" s="1"/>
  <c r="AD57" s="1"/>
  <c r="AE57" s="1"/>
  <c r="AF57" s="1"/>
  <c r="AG57" s="1"/>
  <c r="W57"/>
  <c r="V57"/>
  <c r="U58"/>
  <c r="T58"/>
  <c r="S58"/>
  <c r="R58"/>
  <c r="Q58"/>
  <c r="P58"/>
  <c r="O58"/>
  <c r="N58"/>
  <c r="M58"/>
  <c r="L58"/>
  <c r="K58"/>
  <c r="J58"/>
  <c r="I58"/>
  <c r="H58"/>
  <c r="G58"/>
  <c r="G106"/>
  <c r="H106"/>
  <c r="S174" s="1"/>
  <c r="I106"/>
  <c r="J106"/>
  <c r="K106"/>
  <c r="L106"/>
  <c r="M106"/>
  <c r="N106"/>
  <c r="O106"/>
  <c r="P106"/>
  <c r="Q106"/>
  <c r="R106"/>
  <c r="S106"/>
  <c r="T106"/>
  <c r="U106"/>
  <c r="U254"/>
  <c r="V254" s="1"/>
  <c r="U253"/>
  <c r="U252"/>
  <c r="V252" s="1"/>
  <c r="X61"/>
  <c r="X63"/>
  <c r="V253"/>
  <c r="V205"/>
  <c r="T174"/>
  <c r="V7"/>
  <c r="V9"/>
  <c r="V10"/>
  <c r="V12"/>
  <c r="V13"/>
  <c r="V14"/>
  <c r="V15"/>
  <c r="V16"/>
  <c r="V18"/>
  <c r="V20"/>
  <c r="V21"/>
  <c r="V22"/>
  <c r="V23"/>
  <c r="V25"/>
  <c r="V27"/>
  <c r="V29"/>
  <c r="V31"/>
  <c r="V32"/>
  <c r="V33"/>
  <c r="V34"/>
  <c r="V53"/>
  <c r="V55"/>
  <c r="V59"/>
  <c r="V61"/>
  <c r="V63"/>
  <c r="V65"/>
  <c r="V66"/>
  <c r="V67"/>
  <c r="V106"/>
  <c r="V6"/>
  <c r="U70"/>
  <c r="U71"/>
  <c r="U72"/>
  <c r="U74"/>
  <c r="U75"/>
  <c r="U76"/>
  <c r="U77"/>
  <c r="U78"/>
  <c r="U79"/>
  <c r="U80"/>
  <c r="U82"/>
  <c r="U83"/>
  <c r="U84"/>
  <c r="U86"/>
  <c r="U87"/>
  <c r="U88"/>
  <c r="U211" s="1"/>
  <c r="U89"/>
  <c r="U90"/>
  <c r="U92"/>
  <c r="U94"/>
  <c r="U96" s="1"/>
  <c r="U97"/>
  <c r="U98"/>
  <c r="U99"/>
  <c r="U100"/>
  <c r="U102"/>
  <c r="U103"/>
  <c r="U104"/>
  <c r="U109"/>
  <c r="U110"/>
  <c r="U111"/>
  <c r="U112"/>
  <c r="U113"/>
  <c r="U114"/>
  <c r="U116"/>
  <c r="U122" s="1"/>
  <c r="U117"/>
  <c r="U118"/>
  <c r="U124" s="1"/>
  <c r="U119"/>
  <c r="U125" s="1"/>
  <c r="U120"/>
  <c r="U126" s="1"/>
  <c r="U123"/>
  <c r="U128"/>
  <c r="U129"/>
  <c r="U130"/>
  <c r="U131"/>
  <c r="U132"/>
  <c r="U133"/>
  <c r="U134"/>
  <c r="U135"/>
  <c r="U136"/>
  <c r="U138"/>
  <c r="U139"/>
  <c r="U140"/>
  <c r="U141"/>
  <c r="U143"/>
  <c r="U144" s="1"/>
  <c r="U145" s="1"/>
  <c r="U146" s="1"/>
  <c r="U149"/>
  <c r="U150"/>
  <c r="U151"/>
  <c r="U153"/>
  <c r="U154"/>
  <c r="U155"/>
  <c r="U158"/>
  <c r="U159"/>
  <c r="U160"/>
  <c r="U161"/>
  <c r="U163"/>
  <c r="U164"/>
  <c r="U166"/>
  <c r="U167" s="1"/>
  <c r="U168"/>
  <c r="U170"/>
  <c r="U171"/>
  <c r="U206"/>
  <c r="U207"/>
  <c r="U208"/>
  <c r="U209"/>
  <c r="U210"/>
  <c r="U212"/>
  <c r="U213"/>
  <c r="U215"/>
  <c r="U216"/>
  <c r="U218"/>
  <c r="U219"/>
  <c r="U220"/>
  <c r="U221" s="1"/>
  <c r="U229"/>
  <c r="U228" s="1"/>
  <c r="U56"/>
  <c r="P56"/>
  <c r="O56"/>
  <c r="N56"/>
  <c r="M56"/>
  <c r="L56"/>
  <c r="K56"/>
  <c r="J56"/>
  <c r="I56"/>
  <c r="H56"/>
  <c r="G56"/>
  <c r="S248" l="1"/>
  <c r="U224"/>
  <c r="U223" s="1"/>
  <c r="I50"/>
  <c r="I44"/>
  <c r="H46"/>
  <c r="G46"/>
  <c r="AJ47"/>
  <c r="AJ57"/>
  <c r="AH57"/>
  <c r="S249"/>
  <c r="U147"/>
  <c r="U230"/>
  <c r="G215"/>
  <c r="V215" s="1"/>
  <c r="G216"/>
  <c r="V216" s="1"/>
  <c r="G70"/>
  <c r="G206" s="1"/>
  <c r="V206" s="1"/>
  <c r="G71"/>
  <c r="V71" s="1"/>
  <c r="G72"/>
  <c r="G114" s="1"/>
  <c r="V114" s="1"/>
  <c r="G74"/>
  <c r="G208" s="1"/>
  <c r="V208" s="1"/>
  <c r="G75"/>
  <c r="G209" s="1"/>
  <c r="V209" s="1"/>
  <c r="G76"/>
  <c r="V76" s="1"/>
  <c r="G77"/>
  <c r="V77" s="1"/>
  <c r="G78"/>
  <c r="V78" s="1"/>
  <c r="G79"/>
  <c r="G210" s="1"/>
  <c r="V210" s="1"/>
  <c r="G80"/>
  <c r="V80" s="1"/>
  <c r="G82"/>
  <c r="V82" s="1"/>
  <c r="G83"/>
  <c r="V83" s="1"/>
  <c r="G84"/>
  <c r="G213" s="1"/>
  <c r="V213" s="1"/>
  <c r="G86"/>
  <c r="V86" s="1"/>
  <c r="G87"/>
  <c r="V87" s="1"/>
  <c r="G89"/>
  <c r="V89" s="1"/>
  <c r="G90"/>
  <c r="G212" s="1"/>
  <c r="V212" s="1"/>
  <c r="G92"/>
  <c r="G143" s="1"/>
  <c r="G144" s="1"/>
  <c r="G145" s="1"/>
  <c r="G146" s="1"/>
  <c r="V146" s="1"/>
  <c r="G94"/>
  <c r="G96" s="1"/>
  <c r="V96" s="1"/>
  <c r="G97"/>
  <c r="V97" s="1"/>
  <c r="G98"/>
  <c r="V98" s="1"/>
  <c r="G99"/>
  <c r="V99" s="1"/>
  <c r="G100"/>
  <c r="V100" s="1"/>
  <c r="G102"/>
  <c r="G168" s="1"/>
  <c r="V168" s="1"/>
  <c r="G103"/>
  <c r="V103" s="1"/>
  <c r="G104"/>
  <c r="V104" s="1"/>
  <c r="G109"/>
  <c r="V109" s="1"/>
  <c r="G110"/>
  <c r="V110" s="1"/>
  <c r="G111"/>
  <c r="V111" s="1"/>
  <c r="G112"/>
  <c r="V112" s="1"/>
  <c r="G113"/>
  <c r="V113" s="1"/>
  <c r="G116"/>
  <c r="G122" s="1"/>
  <c r="V122" s="1"/>
  <c r="G117"/>
  <c r="G123" s="1"/>
  <c r="V123" s="1"/>
  <c r="G118"/>
  <c r="G124" s="1"/>
  <c r="V124" s="1"/>
  <c r="G119"/>
  <c r="G125" s="1"/>
  <c r="V125" s="1"/>
  <c r="G120"/>
  <c r="G126" s="1"/>
  <c r="V126" s="1"/>
  <c r="G138"/>
  <c r="V138" s="1"/>
  <c r="G139"/>
  <c r="V139" s="1"/>
  <c r="G140"/>
  <c r="V140" s="1"/>
  <c r="G141"/>
  <c r="V141" s="1"/>
  <c r="G149"/>
  <c r="V149" s="1"/>
  <c r="G150"/>
  <c r="V150" s="1"/>
  <c r="G151"/>
  <c r="V151" s="1"/>
  <c r="G153"/>
  <c r="V153" s="1"/>
  <c r="G154"/>
  <c r="V154" s="1"/>
  <c r="G155"/>
  <c r="V155" s="1"/>
  <c r="G158"/>
  <c r="V158" s="1"/>
  <c r="G159"/>
  <c r="V159" s="1"/>
  <c r="G160"/>
  <c r="V160" s="1"/>
  <c r="G161"/>
  <c r="V161" s="1"/>
  <c r="G163"/>
  <c r="V163" s="1"/>
  <c r="G164"/>
  <c r="V164" s="1"/>
  <c r="G166"/>
  <c r="G167" s="1"/>
  <c r="V167" s="1"/>
  <c r="G170"/>
  <c r="V170" s="1"/>
  <c r="G171"/>
  <c r="V171" s="1"/>
  <c r="AI236"/>
  <c r="AJ235"/>
  <c r="AI235"/>
  <c r="AI234"/>
  <c r="AI233"/>
  <c r="R56"/>
  <c r="Q56"/>
  <c r="U225" l="1"/>
  <c r="V144"/>
  <c r="V145"/>
  <c r="V143"/>
  <c r="V102"/>
  <c r="V117"/>
  <c r="V79"/>
  <c r="V90"/>
  <c r="V116"/>
  <c r="V120"/>
  <c r="V72"/>
  <c r="V84"/>
  <c r="V166"/>
  <c r="V94"/>
  <c r="V74"/>
  <c r="V118"/>
  <c r="V70"/>
  <c r="V75"/>
  <c r="V92"/>
  <c r="V119"/>
  <c r="U231"/>
  <c r="U226"/>
  <c r="G207"/>
  <c r="G219" s="1"/>
  <c r="V219" s="1"/>
  <c r="G88"/>
  <c r="G147"/>
  <c r="V147" s="1"/>
  <c r="G218"/>
  <c r="V218" s="1"/>
  <c r="K124" i="20"/>
  <c r="D124"/>
  <c r="I92"/>
  <c r="I93" s="1"/>
  <c r="B92"/>
  <c r="B93" s="1"/>
  <c r="M91"/>
  <c r="N91" s="1"/>
  <c r="J92" s="1"/>
  <c r="F91"/>
  <c r="G91" s="1"/>
  <c r="C92" s="1"/>
  <c r="K82"/>
  <c r="K81"/>
  <c r="D81"/>
  <c r="D82" s="1"/>
  <c r="G80"/>
  <c r="E69"/>
  <c r="E70" s="1"/>
  <c r="H68"/>
  <c r="L55"/>
  <c r="L56" s="1"/>
  <c r="L57" s="1"/>
  <c r="L58" s="1"/>
  <c r="L59" s="1"/>
  <c r="L60" s="1"/>
  <c r="L61" s="1"/>
  <c r="L62" s="1"/>
  <c r="L63" s="1"/>
  <c r="L64" s="1"/>
  <c r="L65" s="1"/>
  <c r="L66" s="1"/>
  <c r="L67" s="1"/>
  <c r="O50"/>
  <c r="O51" s="1"/>
  <c r="O52" s="1"/>
  <c r="O53" s="1"/>
  <c r="O54" s="1"/>
  <c r="O55" s="1"/>
  <c r="O56" s="1"/>
  <c r="O57" s="1"/>
  <c r="O58" s="1"/>
  <c r="O59" s="1"/>
  <c r="O60" s="1"/>
  <c r="O61" s="1"/>
  <c r="O62" s="1"/>
  <c r="O63" s="1"/>
  <c r="O64" s="1"/>
  <c r="I50"/>
  <c r="I51" s="1"/>
  <c r="I52" s="1"/>
  <c r="I53" s="1"/>
  <c r="I54" s="1"/>
  <c r="I55" s="1"/>
  <c r="I56" s="1"/>
  <c r="I57" s="1"/>
  <c r="I58" s="1"/>
  <c r="I59" s="1"/>
  <c r="I60" s="1"/>
  <c r="I61" s="1"/>
  <c r="I62" s="1"/>
  <c r="I63" s="1"/>
  <c r="I64" s="1"/>
  <c r="I65" s="1"/>
  <c r="I66" s="1"/>
  <c r="I67" s="1"/>
  <c r="I68" s="1"/>
  <c r="I69" s="1"/>
  <c r="I70" s="1"/>
  <c r="I71" s="1"/>
  <c r="I72" s="1"/>
  <c r="I73" s="1"/>
  <c r="I74" s="1"/>
  <c r="I75" s="1"/>
  <c r="I76" s="1"/>
  <c r="I77" s="1"/>
  <c r="I78" s="1"/>
  <c r="I79" s="1"/>
  <c r="E50"/>
  <c r="E51" s="1"/>
  <c r="E52" s="1"/>
  <c r="E53" s="1"/>
  <c r="E54" s="1"/>
  <c r="E55" s="1"/>
  <c r="E56" s="1"/>
  <c r="E57" s="1"/>
  <c r="E58" s="1"/>
  <c r="E59" s="1"/>
  <c r="E60" s="1"/>
  <c r="E61" s="1"/>
  <c r="E62" s="1"/>
  <c r="E63" s="1"/>
  <c r="E64" s="1"/>
  <c r="E65" s="1"/>
  <c r="E66" s="1"/>
  <c r="B50"/>
  <c r="B51" s="1"/>
  <c r="B52" s="1"/>
  <c r="B53" s="1"/>
  <c r="B54" s="1"/>
  <c r="B55" s="1"/>
  <c r="B56" s="1"/>
  <c r="B57" s="1"/>
  <c r="B58" s="1"/>
  <c r="B59" s="1"/>
  <c r="B60" s="1"/>
  <c r="B61" s="1"/>
  <c r="B62" s="1"/>
  <c r="B63" s="1"/>
  <c r="B64" s="1"/>
  <c r="B65" s="1"/>
  <c r="B66" s="1"/>
  <c r="B67" s="1"/>
  <c r="B68" s="1"/>
  <c r="B69" s="1"/>
  <c r="B70" s="1"/>
  <c r="B71" s="1"/>
  <c r="B72" s="1"/>
  <c r="B73" s="1"/>
  <c r="B74" s="1"/>
  <c r="B75" s="1"/>
  <c r="B76" s="1"/>
  <c r="B77" s="1"/>
  <c r="B78" s="1"/>
  <c r="B79" s="1"/>
  <c r="A50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M49"/>
  <c r="N49" s="1"/>
  <c r="F49"/>
  <c r="G49" s="1"/>
  <c r="C50" s="1"/>
  <c r="H41"/>
  <c r="D41"/>
  <c r="D42" s="1"/>
  <c r="L38"/>
  <c r="L37"/>
  <c r="H32"/>
  <c r="L31"/>
  <c r="L32" s="1"/>
  <c r="L33" s="1"/>
  <c r="H31"/>
  <c r="C31"/>
  <c r="C32" s="1"/>
  <c r="L30"/>
  <c r="L22"/>
  <c r="P21"/>
  <c r="L20"/>
  <c r="H20"/>
  <c r="P19"/>
  <c r="Q19" s="1"/>
  <c r="R19" s="1"/>
  <c r="R20" s="1"/>
  <c r="Q21" s="1"/>
  <c r="R21" s="1"/>
  <c r="R22" s="1"/>
  <c r="H19"/>
  <c r="C19"/>
  <c r="C20" s="1"/>
  <c r="P17"/>
  <c r="L17"/>
  <c r="P16"/>
  <c r="Q15"/>
  <c r="R15" s="1"/>
  <c r="P15"/>
  <c r="N12"/>
  <c r="N11"/>
  <c r="Q10"/>
  <c r="N10"/>
  <c r="H10"/>
  <c r="N9"/>
  <c r="H9"/>
  <c r="C9"/>
  <c r="C10" s="1"/>
  <c r="N8"/>
  <c r="N7"/>
  <c r="N6"/>
  <c r="Q5"/>
  <c r="N5"/>
  <c r="L41" l="1"/>
  <c r="M28" s="1"/>
  <c r="G211" i="18"/>
  <c r="V211" s="1"/>
  <c r="V88"/>
  <c r="G220"/>
  <c r="V207"/>
  <c r="H69" i="20"/>
  <c r="G50"/>
  <c r="C51" s="1"/>
  <c r="F50"/>
  <c r="J50"/>
  <c r="P49"/>
  <c r="Q16"/>
  <c r="R16" s="1"/>
  <c r="Q17" s="1"/>
  <c r="R17" s="1"/>
  <c r="R18" s="1"/>
  <c r="I94"/>
  <c r="M93"/>
  <c r="L40"/>
  <c r="B94"/>
  <c r="F93"/>
  <c r="F92"/>
  <c r="G92" s="1"/>
  <c r="C93" s="1"/>
  <c r="M92"/>
  <c r="N92" s="1"/>
  <c r="J93" s="1"/>
  <c r="G221" i="18" l="1"/>
  <c r="V221" s="1"/>
  <c r="V220"/>
  <c r="B95" i="20"/>
  <c r="F94"/>
  <c r="I95"/>
  <c r="M94"/>
  <c r="N94" s="1"/>
  <c r="J95" s="1"/>
  <c r="M50"/>
  <c r="N50" s="1"/>
  <c r="H70"/>
  <c r="G51"/>
  <c r="C52" s="1"/>
  <c r="F51"/>
  <c r="G93"/>
  <c r="C94" s="1"/>
  <c r="N93"/>
  <c r="J94" s="1"/>
  <c r="J51" l="1"/>
  <c r="P50"/>
  <c r="I96"/>
  <c r="M95"/>
  <c r="N95" s="1"/>
  <c r="J96" s="1"/>
  <c r="B96"/>
  <c r="F95"/>
  <c r="H71"/>
  <c r="G52"/>
  <c r="C53" s="1"/>
  <c r="F52"/>
  <c r="G94"/>
  <c r="C95" s="1"/>
  <c r="H72" l="1"/>
  <c r="G53"/>
  <c r="C54" s="1"/>
  <c r="F53"/>
  <c r="B97"/>
  <c r="F96"/>
  <c r="I97"/>
  <c r="M96"/>
  <c r="N96" s="1"/>
  <c r="J97" s="1"/>
  <c r="N51"/>
  <c r="M51"/>
  <c r="G95"/>
  <c r="C96" s="1"/>
  <c r="J52" l="1"/>
  <c r="P51"/>
  <c r="I98"/>
  <c r="M97"/>
  <c r="N97" s="1"/>
  <c r="J98" s="1"/>
  <c r="B98"/>
  <c r="F97"/>
  <c r="H73"/>
  <c r="G54"/>
  <c r="C55" s="1"/>
  <c r="F54"/>
  <c r="G96"/>
  <c r="C97" s="1"/>
  <c r="H74" l="1"/>
  <c r="G55"/>
  <c r="C56" s="1"/>
  <c r="F55"/>
  <c r="B99"/>
  <c r="F98"/>
  <c r="I99"/>
  <c r="M98"/>
  <c r="N98" s="1"/>
  <c r="J99" s="1"/>
  <c r="N52"/>
  <c r="M52"/>
  <c r="G97"/>
  <c r="C98" s="1"/>
  <c r="G277" i="18"/>
  <c r="G279" s="1"/>
  <c r="G280" s="1"/>
  <c r="H252"/>
  <c r="I252"/>
  <c r="H253"/>
  <c r="I253"/>
  <c r="H254"/>
  <c r="I254"/>
  <c r="H215"/>
  <c r="I215"/>
  <c r="H216"/>
  <c r="I216"/>
  <c r="H70"/>
  <c r="I70"/>
  <c r="I206" s="1"/>
  <c r="H71"/>
  <c r="I71"/>
  <c r="H72"/>
  <c r="I72"/>
  <c r="H74"/>
  <c r="H208" s="1"/>
  <c r="I74"/>
  <c r="I208" s="1"/>
  <c r="H75"/>
  <c r="H209" s="1"/>
  <c r="I75"/>
  <c r="I209" s="1"/>
  <c r="H76"/>
  <c r="I76"/>
  <c r="I207" s="1"/>
  <c r="H77"/>
  <c r="I77"/>
  <c r="H78"/>
  <c r="I78"/>
  <c r="I79"/>
  <c r="I210" s="1"/>
  <c r="H80"/>
  <c r="I80"/>
  <c r="H82"/>
  <c r="I82"/>
  <c r="H83"/>
  <c r="I83"/>
  <c r="H84"/>
  <c r="I84"/>
  <c r="I213" s="1"/>
  <c r="H86"/>
  <c r="I86"/>
  <c r="H87"/>
  <c r="I87"/>
  <c r="I88" s="1"/>
  <c r="I211" s="1"/>
  <c r="H88"/>
  <c r="H211" s="1"/>
  <c r="H89"/>
  <c r="I89"/>
  <c r="H90"/>
  <c r="H212" s="1"/>
  <c r="I90"/>
  <c r="I212" s="1"/>
  <c r="H92"/>
  <c r="H143" s="1"/>
  <c r="H144" s="1"/>
  <c r="I92"/>
  <c r="H94"/>
  <c r="I94"/>
  <c r="H96"/>
  <c r="I96"/>
  <c r="H97"/>
  <c r="I97"/>
  <c r="H98"/>
  <c r="I98"/>
  <c r="H99"/>
  <c r="I99"/>
  <c r="H100"/>
  <c r="I100"/>
  <c r="H102"/>
  <c r="I102"/>
  <c r="I168" s="1"/>
  <c r="H103"/>
  <c r="I103"/>
  <c r="I104"/>
  <c r="H109"/>
  <c r="I109"/>
  <c r="H110"/>
  <c r="I110"/>
  <c r="H111"/>
  <c r="I111"/>
  <c r="H112"/>
  <c r="I112"/>
  <c r="H113"/>
  <c r="I113"/>
  <c r="H114"/>
  <c r="I114"/>
  <c r="H116"/>
  <c r="I116"/>
  <c r="H117"/>
  <c r="I117"/>
  <c r="H118"/>
  <c r="I118"/>
  <c r="H119"/>
  <c r="I119"/>
  <c r="H120"/>
  <c r="I120"/>
  <c r="H122"/>
  <c r="I122"/>
  <c r="H123"/>
  <c r="I123"/>
  <c r="H124"/>
  <c r="I124"/>
  <c r="H125"/>
  <c r="I125"/>
  <c r="H126"/>
  <c r="I126"/>
  <c r="H138"/>
  <c r="I138"/>
  <c r="H139"/>
  <c r="I139"/>
  <c r="H140"/>
  <c r="I140"/>
  <c r="H141"/>
  <c r="I141"/>
  <c r="I143"/>
  <c r="I144" s="1"/>
  <c r="I145" s="1"/>
  <c r="I146" s="1"/>
  <c r="H149"/>
  <c r="I149"/>
  <c r="H150"/>
  <c r="I150"/>
  <c r="H151"/>
  <c r="I151"/>
  <c r="H153"/>
  <c r="I153"/>
  <c r="H154"/>
  <c r="I154"/>
  <c r="H155"/>
  <c r="I155"/>
  <c r="H158"/>
  <c r="I158"/>
  <c r="H159"/>
  <c r="I159"/>
  <c r="H160"/>
  <c r="I160"/>
  <c r="H161"/>
  <c r="I161"/>
  <c r="H163"/>
  <c r="I163"/>
  <c r="H164"/>
  <c r="I164"/>
  <c r="H166"/>
  <c r="I166"/>
  <c r="I167" s="1"/>
  <c r="H167"/>
  <c r="H168"/>
  <c r="H170"/>
  <c r="I170"/>
  <c r="H171"/>
  <c r="I171"/>
  <c r="V45" l="1"/>
  <c r="V38"/>
  <c r="I147"/>
  <c r="H145"/>
  <c r="H146" s="1"/>
  <c r="H147"/>
  <c r="V40"/>
  <c r="V42"/>
  <c r="V41"/>
  <c r="V43"/>
  <c r="I129"/>
  <c r="I130"/>
  <c r="I131"/>
  <c r="I132"/>
  <c r="I135"/>
  <c r="V49"/>
  <c r="I133"/>
  <c r="V36"/>
  <c r="I128"/>
  <c r="I136"/>
  <c r="I219"/>
  <c r="I220"/>
  <c r="I221" s="1"/>
  <c r="I218"/>
  <c r="H218"/>
  <c r="H207"/>
  <c r="H213"/>
  <c r="H206"/>
  <c r="G98" i="20"/>
  <c r="C99" s="1"/>
  <c r="J53"/>
  <c r="P52"/>
  <c r="I100"/>
  <c r="M99"/>
  <c r="N99" s="1"/>
  <c r="J100" s="1"/>
  <c r="B100"/>
  <c r="F99"/>
  <c r="G99" s="1"/>
  <c r="C100" s="1"/>
  <c r="F56"/>
  <c r="G56" s="1"/>
  <c r="H104" i="18"/>
  <c r="H79"/>
  <c r="T133"/>
  <c r="S133"/>
  <c r="R133"/>
  <c r="Q133"/>
  <c r="P133"/>
  <c r="O133"/>
  <c r="N133"/>
  <c r="M133"/>
  <c r="L133"/>
  <c r="K133"/>
  <c r="J133"/>
  <c r="AI49"/>
  <c r="W49"/>
  <c r="T134"/>
  <c r="S134"/>
  <c r="R134"/>
  <c r="Q134"/>
  <c r="P134"/>
  <c r="O134"/>
  <c r="N134"/>
  <c r="M134"/>
  <c r="L134"/>
  <c r="K134"/>
  <c r="X49" l="1"/>
  <c r="Y49" s="1"/>
  <c r="Z49" s="1"/>
  <c r="AA49" s="1"/>
  <c r="AB49" s="1"/>
  <c r="AC49" s="1"/>
  <c r="AD49" s="1"/>
  <c r="AE49" s="1"/>
  <c r="AF49" s="1"/>
  <c r="AG49" s="1"/>
  <c r="AH49" s="1"/>
  <c r="G133"/>
  <c r="V133" s="1"/>
  <c r="G129"/>
  <c r="V129" s="1"/>
  <c r="G131"/>
  <c r="V131" s="1"/>
  <c r="G135"/>
  <c r="V135" s="1"/>
  <c r="G130"/>
  <c r="V130" s="1"/>
  <c r="G132"/>
  <c r="V132" s="1"/>
  <c r="G128"/>
  <c r="V128" s="1"/>
  <c r="G136"/>
  <c r="V136" s="1"/>
  <c r="H133"/>
  <c r="H129"/>
  <c r="H130"/>
  <c r="H131"/>
  <c r="H132"/>
  <c r="H135"/>
  <c r="H128"/>
  <c r="H136"/>
  <c r="H219"/>
  <c r="H220"/>
  <c r="H210"/>
  <c r="H56" i="20"/>
  <c r="H75" s="1"/>
  <c r="C57"/>
  <c r="B101"/>
  <c r="F100"/>
  <c r="G100" s="1"/>
  <c r="C101" s="1"/>
  <c r="I101"/>
  <c r="M100"/>
  <c r="N100" s="1"/>
  <c r="J101" s="1"/>
  <c r="M53"/>
  <c r="N53" s="1"/>
  <c r="T130" i="18"/>
  <c r="S130"/>
  <c r="R130"/>
  <c r="Q130"/>
  <c r="P130"/>
  <c r="O130"/>
  <c r="N130"/>
  <c r="M130"/>
  <c r="L130"/>
  <c r="K130"/>
  <c r="W51"/>
  <c r="X51" s="1"/>
  <c r="J130"/>
  <c r="J134" l="1"/>
  <c r="H221"/>
  <c r="J54" i="20"/>
  <c r="P53"/>
  <c r="H76"/>
  <c r="G57"/>
  <c r="C58" s="1"/>
  <c r="F57"/>
  <c r="I102"/>
  <c r="M101"/>
  <c r="N101" s="1"/>
  <c r="J102" s="1"/>
  <c r="B102"/>
  <c r="F101"/>
  <c r="G101" s="1"/>
  <c r="C102" s="1"/>
  <c r="T136" i="18"/>
  <c r="T135"/>
  <c r="T132"/>
  <c r="T131"/>
  <c r="S136"/>
  <c r="S135"/>
  <c r="S132"/>
  <c r="S131"/>
  <c r="R136"/>
  <c r="R135"/>
  <c r="R132"/>
  <c r="R131"/>
  <c r="Q136"/>
  <c r="Q135"/>
  <c r="Q132"/>
  <c r="Q131"/>
  <c r="P136"/>
  <c r="P135"/>
  <c r="P132"/>
  <c r="P131"/>
  <c r="O136"/>
  <c r="O135"/>
  <c r="O132"/>
  <c r="O131"/>
  <c r="N136"/>
  <c r="N135"/>
  <c r="N132"/>
  <c r="N131"/>
  <c r="M136"/>
  <c r="M135"/>
  <c r="M132"/>
  <c r="M131"/>
  <c r="L136"/>
  <c r="L135"/>
  <c r="L132"/>
  <c r="L131"/>
  <c r="K136"/>
  <c r="K135"/>
  <c r="K132"/>
  <c r="K131"/>
  <c r="J136"/>
  <c r="J132"/>
  <c r="J135"/>
  <c r="J131"/>
  <c r="T129"/>
  <c r="S129"/>
  <c r="R129"/>
  <c r="Q129"/>
  <c r="P129"/>
  <c r="O129"/>
  <c r="N129"/>
  <c r="M129"/>
  <c r="L129"/>
  <c r="K129"/>
  <c r="J129"/>
  <c r="T128"/>
  <c r="S128"/>
  <c r="R128"/>
  <c r="Q128"/>
  <c r="P128"/>
  <c r="O128"/>
  <c r="N128"/>
  <c r="M128"/>
  <c r="L128"/>
  <c r="K128"/>
  <c r="J128"/>
  <c r="AI51"/>
  <c r="AI45"/>
  <c r="AI43"/>
  <c r="AI42"/>
  <c r="AI41"/>
  <c r="AI40"/>
  <c r="AI38"/>
  <c r="AI36"/>
  <c r="W40"/>
  <c r="Y51"/>
  <c r="Z51" s="1"/>
  <c r="AA51" s="1"/>
  <c r="AB51" s="1"/>
  <c r="AC51" s="1"/>
  <c r="AD51" s="1"/>
  <c r="AE51" s="1"/>
  <c r="AF51" s="1"/>
  <c r="AG51" s="1"/>
  <c r="W45"/>
  <c r="X45" l="1"/>
  <c r="Y45" s="1"/>
  <c r="Z45" s="1"/>
  <c r="AA45" s="1"/>
  <c r="AB45" s="1"/>
  <c r="AC45" s="1"/>
  <c r="AD45" s="1"/>
  <c r="AE45" s="1"/>
  <c r="AF45" s="1"/>
  <c r="AG45" s="1"/>
  <c r="AH45" s="1"/>
  <c r="X40"/>
  <c r="Y40" s="1"/>
  <c r="Z40" s="1"/>
  <c r="AA40" s="1"/>
  <c r="AB40" s="1"/>
  <c r="AC40" s="1"/>
  <c r="AD40" s="1"/>
  <c r="AE40" s="1"/>
  <c r="AF40" s="1"/>
  <c r="AG40" s="1"/>
  <c r="AH40" s="1"/>
  <c r="I134"/>
  <c r="B103" i="20"/>
  <c r="F102"/>
  <c r="G102" s="1"/>
  <c r="C103" s="1"/>
  <c r="I103"/>
  <c r="M102"/>
  <c r="N102" s="1"/>
  <c r="J103" s="1"/>
  <c r="H77"/>
  <c r="F58"/>
  <c r="G58" s="1"/>
  <c r="C59" s="1"/>
  <c r="N54"/>
  <c r="M54"/>
  <c r="AH51" i="18"/>
  <c r="W43"/>
  <c r="W42"/>
  <c r="W41"/>
  <c r="W38"/>
  <c r="X38" s="1"/>
  <c r="W36"/>
  <c r="X36" s="1"/>
  <c r="X42" l="1"/>
  <c r="Y42" s="1"/>
  <c r="Z42" s="1"/>
  <c r="AA42" s="1"/>
  <c r="AB42" s="1"/>
  <c r="AC42" s="1"/>
  <c r="AD42" s="1"/>
  <c r="AE42" s="1"/>
  <c r="AF42" s="1"/>
  <c r="AG42" s="1"/>
  <c r="AH42" s="1"/>
  <c r="G134"/>
  <c r="V134" s="1"/>
  <c r="V51"/>
  <c r="X41"/>
  <c r="Y41" s="1"/>
  <c r="Z41" s="1"/>
  <c r="AA41" s="1"/>
  <c r="AB41" s="1"/>
  <c r="AC41" s="1"/>
  <c r="AD41" s="1"/>
  <c r="AE41" s="1"/>
  <c r="AF41" s="1"/>
  <c r="AG41" s="1"/>
  <c r="AH41" s="1"/>
  <c r="X43"/>
  <c r="Y43" s="1"/>
  <c r="Z43" s="1"/>
  <c r="AA43" s="1"/>
  <c r="AB43" s="1"/>
  <c r="AC43" s="1"/>
  <c r="AD43" s="1"/>
  <c r="AE43" s="1"/>
  <c r="AF43" s="1"/>
  <c r="AG43" s="1"/>
  <c r="AH43" s="1"/>
  <c r="H134"/>
  <c r="H78" i="20"/>
  <c r="G59"/>
  <c r="C60" s="1"/>
  <c r="F59"/>
  <c r="J55"/>
  <c r="P54"/>
  <c r="I104"/>
  <c r="M103"/>
  <c r="N103" s="1"/>
  <c r="J104" s="1"/>
  <c r="B104"/>
  <c r="F103"/>
  <c r="G103" s="1"/>
  <c r="C104" s="1"/>
  <c r="Y38" i="18"/>
  <c r="X131"/>
  <c r="Y36"/>
  <c r="X130"/>
  <c r="B219"/>
  <c r="AI231"/>
  <c r="AI228"/>
  <c r="AI230"/>
  <c r="AI229"/>
  <c r="AI226"/>
  <c r="AI225"/>
  <c r="AI224"/>
  <c r="AI223"/>
  <c r="AI218"/>
  <c r="AI221"/>
  <c r="AI220"/>
  <c r="AI219"/>
  <c r="AI216"/>
  <c r="AI215"/>
  <c r="AI212"/>
  <c r="AI211"/>
  <c r="AI214"/>
  <c r="AI213"/>
  <c r="AI210"/>
  <c r="AI209"/>
  <c r="AI208"/>
  <c r="AI207"/>
  <c r="AI206"/>
  <c r="AI205"/>
  <c r="AJ228"/>
  <c r="X132" l="1"/>
  <c r="B105" i="20"/>
  <c r="F104"/>
  <c r="G104" s="1"/>
  <c r="C105" s="1"/>
  <c r="I105"/>
  <c r="M104"/>
  <c r="N104" s="1"/>
  <c r="J105" s="1"/>
  <c r="M55"/>
  <c r="N55"/>
  <c r="H79"/>
  <c r="F60"/>
  <c r="G60" s="1"/>
  <c r="C61" s="1"/>
  <c r="Z38" i="18"/>
  <c r="Y131"/>
  <c r="Z36"/>
  <c r="Y130"/>
  <c r="Y132"/>
  <c r="AJ229"/>
  <c r="T216"/>
  <c r="S216"/>
  <c r="R216"/>
  <c r="Q216"/>
  <c r="P216"/>
  <c r="O216"/>
  <c r="N216"/>
  <c r="M216"/>
  <c r="L216"/>
  <c r="K216"/>
  <c r="J216"/>
  <c r="H80" i="20" l="1"/>
  <c r="G61"/>
  <c r="C62" s="1"/>
  <c r="F61"/>
  <c r="J56"/>
  <c r="P55"/>
  <c r="I106"/>
  <c r="M105"/>
  <c r="N105" s="1"/>
  <c r="J106" s="1"/>
  <c r="B106"/>
  <c r="F105"/>
  <c r="G105" s="1"/>
  <c r="C106" s="1"/>
  <c r="AA38" i="18"/>
  <c r="Z131"/>
  <c r="AA36"/>
  <c r="Z132"/>
  <c r="Z130"/>
  <c r="T56"/>
  <c r="S56"/>
  <c r="B107" i="20" l="1"/>
  <c r="F106"/>
  <c r="G106" s="1"/>
  <c r="C107" s="1"/>
  <c r="I107"/>
  <c r="M106"/>
  <c r="N106" s="1"/>
  <c r="J107" s="1"/>
  <c r="M56"/>
  <c r="N56"/>
  <c r="H81"/>
  <c r="F62"/>
  <c r="G62" s="1"/>
  <c r="C63" s="1"/>
  <c r="AB38" i="18"/>
  <c r="AA131"/>
  <c r="AB36"/>
  <c r="AA132"/>
  <c r="AA130"/>
  <c r="H82" i="20" l="1"/>
  <c r="G63"/>
  <c r="C64" s="1"/>
  <c r="F63"/>
  <c r="J57"/>
  <c r="P56"/>
  <c r="I108"/>
  <c r="M107"/>
  <c r="N107" s="1"/>
  <c r="J108" s="1"/>
  <c r="B108"/>
  <c r="F107"/>
  <c r="G107" s="1"/>
  <c r="C108" s="1"/>
  <c r="AC38" i="18"/>
  <c r="AB131"/>
  <c r="AC36"/>
  <c r="AB130"/>
  <c r="AB132"/>
  <c r="G224"/>
  <c r="V224" s="1"/>
  <c r="AJ49"/>
  <c r="T229" l="1"/>
  <c r="G229"/>
  <c r="V229" s="1"/>
  <c r="G223"/>
  <c r="V223" s="1"/>
  <c r="G225"/>
  <c r="X229"/>
  <c r="X230" s="1"/>
  <c r="X231" s="1"/>
  <c r="H229"/>
  <c r="I229"/>
  <c r="X224"/>
  <c r="X225" s="1"/>
  <c r="X226" s="1"/>
  <c r="H224"/>
  <c r="I224"/>
  <c r="B109" i="20"/>
  <c r="F108"/>
  <c r="G108" s="1"/>
  <c r="C109" s="1"/>
  <c r="I109"/>
  <c r="M108"/>
  <c r="N108" s="1"/>
  <c r="J109" s="1"/>
  <c r="M57"/>
  <c r="N57"/>
  <c r="H83"/>
  <c r="F64"/>
  <c r="G64" s="1"/>
  <c r="C65" s="1"/>
  <c r="AD38" i="18"/>
  <c r="AC131"/>
  <c r="AD36"/>
  <c r="AC130"/>
  <c r="AC132"/>
  <c r="AJ45"/>
  <c r="AJ40"/>
  <c r="AJ51"/>
  <c r="AJ41"/>
  <c r="AJ42"/>
  <c r="AJ43"/>
  <c r="N229"/>
  <c r="N230" s="1"/>
  <c r="N231" s="1"/>
  <c r="S229"/>
  <c r="S228" s="1"/>
  <c r="R229"/>
  <c r="M229"/>
  <c r="L229"/>
  <c r="Q229"/>
  <c r="K229"/>
  <c r="P229"/>
  <c r="J229"/>
  <c r="O229"/>
  <c r="P224"/>
  <c r="S224"/>
  <c r="S223" s="1"/>
  <c r="O224"/>
  <c r="K224"/>
  <c r="R224"/>
  <c r="N224"/>
  <c r="J224"/>
  <c r="Q224"/>
  <c r="M224"/>
  <c r="T224"/>
  <c r="L224"/>
  <c r="AI75"/>
  <c r="AI74"/>
  <c r="AI72"/>
  <c r="J75"/>
  <c r="J209" s="1"/>
  <c r="K75"/>
  <c r="K209" s="1"/>
  <c r="L75"/>
  <c r="L209" s="1"/>
  <c r="M75"/>
  <c r="M209" s="1"/>
  <c r="N75"/>
  <c r="N209" s="1"/>
  <c r="O75"/>
  <c r="O209" s="1"/>
  <c r="P75"/>
  <c r="P209" s="1"/>
  <c r="Q75"/>
  <c r="Q209" s="1"/>
  <c r="R75"/>
  <c r="R209" s="1"/>
  <c r="S75"/>
  <c r="T75"/>
  <c r="J74"/>
  <c r="J208" s="1"/>
  <c r="K74"/>
  <c r="K208" s="1"/>
  <c r="L74"/>
  <c r="L208" s="1"/>
  <c r="M74"/>
  <c r="M208" s="1"/>
  <c r="N74"/>
  <c r="N208" s="1"/>
  <c r="O74"/>
  <c r="O208" s="1"/>
  <c r="P74"/>
  <c r="P208" s="1"/>
  <c r="Q74"/>
  <c r="Q208" s="1"/>
  <c r="R74"/>
  <c r="R208" s="1"/>
  <c r="S74"/>
  <c r="S208" s="1"/>
  <c r="T74"/>
  <c r="G226" l="1"/>
  <c r="V226" s="1"/>
  <c r="V225"/>
  <c r="X228"/>
  <c r="G228"/>
  <c r="V228" s="1"/>
  <c r="G230"/>
  <c r="T223"/>
  <c r="X223"/>
  <c r="T209"/>
  <c r="T208"/>
  <c r="H223"/>
  <c r="H225"/>
  <c r="I228"/>
  <c r="I230"/>
  <c r="I231" s="1"/>
  <c r="I223"/>
  <c r="I225"/>
  <c r="I226" s="1"/>
  <c r="H228"/>
  <c r="H230"/>
  <c r="H84" i="20"/>
  <c r="G65"/>
  <c r="C66" s="1"/>
  <c r="F65"/>
  <c r="I110"/>
  <c r="M109"/>
  <c r="N109" s="1"/>
  <c r="J110" s="1"/>
  <c r="B110"/>
  <c r="F109"/>
  <c r="G109" s="1"/>
  <c r="C110" s="1"/>
  <c r="J58"/>
  <c r="P57"/>
  <c r="AE38" i="18"/>
  <c r="AD131"/>
  <c r="AE36"/>
  <c r="AD132"/>
  <c r="AD130"/>
  <c r="N228"/>
  <c r="S230"/>
  <c r="S231" s="1"/>
  <c r="M225"/>
  <c r="M226" s="1"/>
  <c r="M223"/>
  <c r="R225"/>
  <c r="R226" s="1"/>
  <c r="R223"/>
  <c r="P225"/>
  <c r="P226" s="1"/>
  <c r="P223"/>
  <c r="O230"/>
  <c r="O231" s="1"/>
  <c r="O228"/>
  <c r="Q230"/>
  <c r="Q231" s="1"/>
  <c r="Q228"/>
  <c r="Q225"/>
  <c r="Q226" s="1"/>
  <c r="Q223"/>
  <c r="K225"/>
  <c r="K226" s="1"/>
  <c r="K223"/>
  <c r="J230"/>
  <c r="J231" s="1"/>
  <c r="J228"/>
  <c r="L230"/>
  <c r="L231" s="1"/>
  <c r="L228"/>
  <c r="L225"/>
  <c r="L226" s="1"/>
  <c r="L223"/>
  <c r="J225"/>
  <c r="J226" s="1"/>
  <c r="J223"/>
  <c r="O225"/>
  <c r="O226" s="1"/>
  <c r="O223"/>
  <c r="P230"/>
  <c r="P231" s="1"/>
  <c r="P228"/>
  <c r="M230"/>
  <c r="M231" s="1"/>
  <c r="M228"/>
  <c r="T225"/>
  <c r="T226" s="1"/>
  <c r="N225"/>
  <c r="N226" s="1"/>
  <c r="N223"/>
  <c r="K230"/>
  <c r="K231" s="1"/>
  <c r="K228"/>
  <c r="R230"/>
  <c r="R231" s="1"/>
  <c r="R228"/>
  <c r="T230"/>
  <c r="T231" s="1"/>
  <c r="T228"/>
  <c r="S225"/>
  <c r="S209"/>
  <c r="G231" l="1"/>
  <c r="V231" s="1"/>
  <c r="V230"/>
  <c r="H226"/>
  <c r="H231"/>
  <c r="M58" i="20"/>
  <c r="N58" s="1"/>
  <c r="B111"/>
  <c r="F110"/>
  <c r="G110" s="1"/>
  <c r="C111" s="1"/>
  <c r="I111"/>
  <c r="M110"/>
  <c r="N110" s="1"/>
  <c r="J111" s="1"/>
  <c r="F66"/>
  <c r="G66"/>
  <c r="AF38" i="18"/>
  <c r="AE131"/>
  <c r="AF36"/>
  <c r="AE132"/>
  <c r="AE130"/>
  <c r="S226"/>
  <c r="J151"/>
  <c r="K151"/>
  <c r="L151"/>
  <c r="M151"/>
  <c r="N151"/>
  <c r="O151"/>
  <c r="P151"/>
  <c r="Q151"/>
  <c r="R151"/>
  <c r="S151"/>
  <c r="T151"/>
  <c r="T150"/>
  <c r="J59" i="20" l="1"/>
  <c r="P58"/>
  <c r="C67"/>
  <c r="H66"/>
  <c r="H85" s="1"/>
  <c r="I112"/>
  <c r="M111"/>
  <c r="N111" s="1"/>
  <c r="J112" s="1"/>
  <c r="B112"/>
  <c r="F111"/>
  <c r="G111" s="1"/>
  <c r="C112" s="1"/>
  <c r="AG38" i="18"/>
  <c r="AF131"/>
  <c r="AG36"/>
  <c r="AF130"/>
  <c r="AF132"/>
  <c r="I265"/>
  <c r="I262"/>
  <c r="I263"/>
  <c r="I264"/>
  <c r="B113" i="20" l="1"/>
  <c r="F112"/>
  <c r="G112" s="1"/>
  <c r="C113" s="1"/>
  <c r="I113"/>
  <c r="M112"/>
  <c r="N112" s="1"/>
  <c r="J113" s="1"/>
  <c r="H86"/>
  <c r="G67"/>
  <c r="C68" s="1"/>
  <c r="F67"/>
  <c r="M59"/>
  <c r="N59" s="1"/>
  <c r="AH38" i="18"/>
  <c r="AG131"/>
  <c r="AH131" s="1"/>
  <c r="AJ38"/>
  <c r="AG130"/>
  <c r="AH130" s="1"/>
  <c r="AG132"/>
  <c r="AH132" s="1"/>
  <c r="AH36"/>
  <c r="AJ36"/>
  <c r="T254"/>
  <c r="T253"/>
  <c r="T252"/>
  <c r="T215"/>
  <c r="T70"/>
  <c r="T71"/>
  <c r="T72"/>
  <c r="T76"/>
  <c r="T77"/>
  <c r="T78"/>
  <c r="T79"/>
  <c r="T80"/>
  <c r="T82"/>
  <c r="T83"/>
  <c r="T84"/>
  <c r="T86"/>
  <c r="T87"/>
  <c r="T89"/>
  <c r="T90"/>
  <c r="T92"/>
  <c r="T94"/>
  <c r="T97"/>
  <c r="T98"/>
  <c r="T99"/>
  <c r="T100"/>
  <c r="T102"/>
  <c r="T103"/>
  <c r="T104"/>
  <c r="T109"/>
  <c r="T110"/>
  <c r="T111"/>
  <c r="T112"/>
  <c r="T113"/>
  <c r="T116"/>
  <c r="T117"/>
  <c r="T118"/>
  <c r="T119"/>
  <c r="T120"/>
  <c r="T138"/>
  <c r="T139"/>
  <c r="T140"/>
  <c r="T141"/>
  <c r="T149"/>
  <c r="T153"/>
  <c r="T154"/>
  <c r="T155"/>
  <c r="T158"/>
  <c r="T159"/>
  <c r="T160"/>
  <c r="T161"/>
  <c r="T163"/>
  <c r="T164"/>
  <c r="T166"/>
  <c r="T170"/>
  <c r="T171"/>
  <c r="T96" l="1"/>
  <c r="T143"/>
  <c r="T218"/>
  <c r="T114"/>
  <c r="T168"/>
  <c r="T126"/>
  <c r="T124"/>
  <c r="T123"/>
  <c r="T206"/>
  <c r="T122"/>
  <c r="T167"/>
  <c r="T212"/>
  <c r="T125"/>
  <c r="T213"/>
  <c r="T210"/>
  <c r="J60" i="20"/>
  <c r="P59"/>
  <c r="H87"/>
  <c r="F68"/>
  <c r="G68" s="1"/>
  <c r="C69" s="1"/>
  <c r="I114"/>
  <c r="M113"/>
  <c r="N113" s="1"/>
  <c r="J114" s="1"/>
  <c r="B114"/>
  <c r="F113"/>
  <c r="G113" s="1"/>
  <c r="C114" s="1"/>
  <c r="T207" i="18"/>
  <c r="T88"/>
  <c r="K72"/>
  <c r="K114" s="1"/>
  <c r="L72"/>
  <c r="L114" s="1"/>
  <c r="M72"/>
  <c r="M114" s="1"/>
  <c r="N72"/>
  <c r="N114" s="1"/>
  <c r="O72"/>
  <c r="O114" s="1"/>
  <c r="P72"/>
  <c r="P114" s="1"/>
  <c r="Q72"/>
  <c r="Q114" s="1"/>
  <c r="R72"/>
  <c r="R114" s="1"/>
  <c r="S72"/>
  <c r="S114" s="1"/>
  <c r="J72"/>
  <c r="J114" s="1"/>
  <c r="T144" l="1"/>
  <c r="T211"/>
  <c r="F69" i="20"/>
  <c r="G69" s="1"/>
  <c r="C70" s="1"/>
  <c r="H88"/>
  <c r="B115"/>
  <c r="F114"/>
  <c r="G114" s="1"/>
  <c r="C115" s="1"/>
  <c r="I115"/>
  <c r="M114"/>
  <c r="N114" s="1"/>
  <c r="J115" s="1"/>
  <c r="N60"/>
  <c r="M60"/>
  <c r="T220" i="18"/>
  <c r="T219"/>
  <c r="K249"/>
  <c r="T147" l="1"/>
  <c r="T145"/>
  <c r="T146" s="1"/>
  <c r="T221"/>
  <c r="F70" i="20"/>
  <c r="G70" s="1"/>
  <c r="C71" s="1"/>
  <c r="J61"/>
  <c r="P60"/>
  <c r="I116"/>
  <c r="M115"/>
  <c r="N115" s="1"/>
  <c r="J116" s="1"/>
  <c r="B116"/>
  <c r="F115"/>
  <c r="G115" s="1"/>
  <c r="C116" s="1"/>
  <c r="N245" i="18"/>
  <c r="N244"/>
  <c r="N243"/>
  <c r="N242"/>
  <c r="F71" i="20" l="1"/>
  <c r="G71"/>
  <c r="C72" s="1"/>
  <c r="B117"/>
  <c r="F116"/>
  <c r="G116" s="1"/>
  <c r="C117" s="1"/>
  <c r="I117"/>
  <c r="M116"/>
  <c r="N116" s="1"/>
  <c r="J117" s="1"/>
  <c r="M61"/>
  <c r="N61"/>
  <c r="AI55" i="18"/>
  <c r="W55"/>
  <c r="X55" s="1"/>
  <c r="J62" i="20" l="1"/>
  <c r="P61"/>
  <c r="F72"/>
  <c r="G72" s="1"/>
  <c r="C73" s="1"/>
  <c r="I118"/>
  <c r="M117"/>
  <c r="N117" s="1"/>
  <c r="J118" s="1"/>
  <c r="B118"/>
  <c r="F117"/>
  <c r="G117" s="1"/>
  <c r="C118" s="1"/>
  <c r="F73" l="1"/>
  <c r="G73"/>
  <c r="C74" s="1"/>
  <c r="B119"/>
  <c r="F118"/>
  <c r="G118" s="1"/>
  <c r="C119" s="1"/>
  <c r="I119"/>
  <c r="M118"/>
  <c r="N118" s="1"/>
  <c r="J119" s="1"/>
  <c r="M62"/>
  <c r="N62" s="1"/>
  <c r="Y55" i="18"/>
  <c r="X249"/>
  <c r="X250" s="1"/>
  <c r="J63" i="20" l="1"/>
  <c r="P62"/>
  <c r="F74"/>
  <c r="G74" s="1"/>
  <c r="C75" s="1"/>
  <c r="I120"/>
  <c r="M119"/>
  <c r="N119" s="1"/>
  <c r="J120" s="1"/>
  <c r="B120"/>
  <c r="F119"/>
  <c r="G119" s="1"/>
  <c r="C120" s="1"/>
  <c r="Z55" i="18"/>
  <c r="D261"/>
  <c r="I261"/>
  <c r="O138"/>
  <c r="M138"/>
  <c r="K138"/>
  <c r="J138"/>
  <c r="L138"/>
  <c r="N138"/>
  <c r="P138"/>
  <c r="Q138"/>
  <c r="R138"/>
  <c r="S138"/>
  <c r="K171"/>
  <c r="L171"/>
  <c r="M171"/>
  <c r="N171"/>
  <c r="O171"/>
  <c r="P171"/>
  <c r="Q171"/>
  <c r="R171"/>
  <c r="S171"/>
  <c r="K170"/>
  <c r="L170"/>
  <c r="M170"/>
  <c r="N170"/>
  <c r="O170"/>
  <c r="P170"/>
  <c r="Q170"/>
  <c r="R170"/>
  <c r="S170"/>
  <c r="H279"/>
  <c r="H280" s="1"/>
  <c r="AI77"/>
  <c r="K77"/>
  <c r="L77"/>
  <c r="M77"/>
  <c r="N77"/>
  <c r="O77"/>
  <c r="P77"/>
  <c r="Q77"/>
  <c r="R77"/>
  <c r="S77"/>
  <c r="J77"/>
  <c r="I270"/>
  <c r="D269"/>
  <c r="I268"/>
  <c r="J268" s="1"/>
  <c r="K268" s="1"/>
  <c r="K269" s="1"/>
  <c r="I266"/>
  <c r="I260"/>
  <c r="I259"/>
  <c r="J259" s="1"/>
  <c r="K259" s="1"/>
  <c r="H276" l="1"/>
  <c r="N276" s="1"/>
  <c r="G276"/>
  <c r="H275"/>
  <c r="N275" s="1"/>
  <c r="N278" s="1"/>
  <c r="G275"/>
  <c r="F75" i="20"/>
  <c r="G75"/>
  <c r="C76" s="1"/>
  <c r="B121"/>
  <c r="F121" s="1"/>
  <c r="F120"/>
  <c r="G120" s="1"/>
  <c r="C121" s="1"/>
  <c r="I121"/>
  <c r="M121" s="1"/>
  <c r="M120"/>
  <c r="N120" s="1"/>
  <c r="J121" s="1"/>
  <c r="M63"/>
  <c r="N63"/>
  <c r="AA55" i="18"/>
  <c r="D271"/>
  <c r="J260"/>
  <c r="K260" s="1"/>
  <c r="J270"/>
  <c r="K270" s="1"/>
  <c r="K271" s="1"/>
  <c r="K113"/>
  <c r="L113"/>
  <c r="M113"/>
  <c r="N113"/>
  <c r="O113"/>
  <c r="P113"/>
  <c r="Q113"/>
  <c r="R113"/>
  <c r="S113"/>
  <c r="J113"/>
  <c r="J171"/>
  <c r="J170"/>
  <c r="AI14"/>
  <c r="W14"/>
  <c r="X14" s="1"/>
  <c r="P260"/>
  <c r="P263" s="1"/>
  <c r="P259"/>
  <c r="K120"/>
  <c r="K126" s="1"/>
  <c r="L120"/>
  <c r="L126" s="1"/>
  <c r="M120"/>
  <c r="M126" s="1"/>
  <c r="N120"/>
  <c r="N126" s="1"/>
  <c r="O120"/>
  <c r="O126" s="1"/>
  <c r="P120"/>
  <c r="P126" s="1"/>
  <c r="Q120"/>
  <c r="Q126" s="1"/>
  <c r="R120"/>
  <c r="R126" s="1"/>
  <c r="S120"/>
  <c r="S126" s="1"/>
  <c r="J120"/>
  <c r="J126" s="1"/>
  <c r="K117"/>
  <c r="K123" s="1"/>
  <c r="L117"/>
  <c r="L123" s="1"/>
  <c r="M117"/>
  <c r="M123" s="1"/>
  <c r="N117"/>
  <c r="N123" s="1"/>
  <c r="O117"/>
  <c r="O123" s="1"/>
  <c r="P117"/>
  <c r="P123" s="1"/>
  <c r="Q117"/>
  <c r="Q123" s="1"/>
  <c r="R117"/>
  <c r="R123" s="1"/>
  <c r="S117"/>
  <c r="S123" s="1"/>
  <c r="J117"/>
  <c r="J123" s="1"/>
  <c r="K118"/>
  <c r="K124" s="1"/>
  <c r="L118"/>
  <c r="L124" s="1"/>
  <c r="M118"/>
  <c r="M124" s="1"/>
  <c r="N118"/>
  <c r="N124" s="1"/>
  <c r="O118"/>
  <c r="O124" s="1"/>
  <c r="P118"/>
  <c r="P124" s="1"/>
  <c r="Q118"/>
  <c r="Q124" s="1"/>
  <c r="R118"/>
  <c r="R124" s="1"/>
  <c r="S118"/>
  <c r="S124" s="1"/>
  <c r="J118"/>
  <c r="J124" s="1"/>
  <c r="K166"/>
  <c r="K167" s="1"/>
  <c r="L166"/>
  <c r="L167" s="1"/>
  <c r="M166"/>
  <c r="M167" s="1"/>
  <c r="N166"/>
  <c r="N167" s="1"/>
  <c r="O166"/>
  <c r="O167" s="1"/>
  <c r="P166"/>
  <c r="P167" s="1"/>
  <c r="Q166"/>
  <c r="Q167" s="1"/>
  <c r="R166"/>
  <c r="R167" s="1"/>
  <c r="S166"/>
  <c r="S167" s="1"/>
  <c r="J166"/>
  <c r="J167" s="1"/>
  <c r="N279" l="1"/>
  <c r="H278"/>
  <c r="H281"/>
  <c r="G281"/>
  <c r="G278"/>
  <c r="J64" i="20"/>
  <c r="P63"/>
  <c r="F76"/>
  <c r="G76" s="1"/>
  <c r="C77" s="1"/>
  <c r="N121"/>
  <c r="N124" s="1"/>
  <c r="N89" s="1"/>
  <c r="G121"/>
  <c r="G124" s="1"/>
  <c r="G89" s="1"/>
  <c r="AB55" i="18"/>
  <c r="Y14"/>
  <c r="Z14" s="1"/>
  <c r="AA14" s="1"/>
  <c r="AB14" s="1"/>
  <c r="AC14" s="1"/>
  <c r="AD14" s="1"/>
  <c r="AE14" s="1"/>
  <c r="AF14" s="1"/>
  <c r="AG14" s="1"/>
  <c r="J261"/>
  <c r="K261" s="1"/>
  <c r="S112"/>
  <c r="S111"/>
  <c r="K112"/>
  <c r="L112"/>
  <c r="M112"/>
  <c r="N112"/>
  <c r="O112"/>
  <c r="P112"/>
  <c r="Q112"/>
  <c r="R112"/>
  <c r="J112"/>
  <c r="J111"/>
  <c r="K164"/>
  <c r="L164"/>
  <c r="M164"/>
  <c r="N164"/>
  <c r="O164"/>
  <c r="P164"/>
  <c r="Q164"/>
  <c r="R164"/>
  <c r="S164"/>
  <c r="J164"/>
  <c r="K163"/>
  <c r="L163"/>
  <c r="M163"/>
  <c r="N163"/>
  <c r="O163"/>
  <c r="P163"/>
  <c r="Q163"/>
  <c r="R163"/>
  <c r="S163"/>
  <c r="J163"/>
  <c r="K160"/>
  <c r="L160"/>
  <c r="M160"/>
  <c r="N160"/>
  <c r="O160"/>
  <c r="P160"/>
  <c r="Q160"/>
  <c r="R160"/>
  <c r="S160"/>
  <c r="J160"/>
  <c r="K161"/>
  <c r="L161"/>
  <c r="M161"/>
  <c r="N161"/>
  <c r="O161"/>
  <c r="P161"/>
  <c r="Q161"/>
  <c r="R161"/>
  <c r="S161"/>
  <c r="J161"/>
  <c r="K159"/>
  <c r="L159"/>
  <c r="M159"/>
  <c r="N159"/>
  <c r="O159"/>
  <c r="P159"/>
  <c r="Q159"/>
  <c r="R159"/>
  <c r="S159"/>
  <c r="J159"/>
  <c r="K158"/>
  <c r="L158"/>
  <c r="M158"/>
  <c r="N158"/>
  <c r="O158"/>
  <c r="P158"/>
  <c r="Q158"/>
  <c r="R158"/>
  <c r="S158"/>
  <c r="J158"/>
  <c r="K155"/>
  <c r="L155"/>
  <c r="M155"/>
  <c r="N155"/>
  <c r="O155"/>
  <c r="P155"/>
  <c r="Q155"/>
  <c r="R155"/>
  <c r="S155"/>
  <c r="J155"/>
  <c r="K154"/>
  <c r="L154"/>
  <c r="M154"/>
  <c r="N154"/>
  <c r="O154"/>
  <c r="P154"/>
  <c r="Q154"/>
  <c r="R154"/>
  <c r="S154"/>
  <c r="J154"/>
  <c r="K153"/>
  <c r="L153"/>
  <c r="M153"/>
  <c r="N153"/>
  <c r="O153"/>
  <c r="P153"/>
  <c r="Q153"/>
  <c r="R153"/>
  <c r="S153"/>
  <c r="J153"/>
  <c r="B155"/>
  <c r="B154"/>
  <c r="AI32"/>
  <c r="W32"/>
  <c r="X32" s="1"/>
  <c r="J141"/>
  <c r="K141"/>
  <c r="L141"/>
  <c r="M141"/>
  <c r="N141"/>
  <c r="O141"/>
  <c r="P141"/>
  <c r="Q141"/>
  <c r="R141"/>
  <c r="S141"/>
  <c r="O263"/>
  <c r="O261"/>
  <c r="P261" s="1"/>
  <c r="P266" s="1"/>
  <c r="K150"/>
  <c r="L150"/>
  <c r="M150"/>
  <c r="N150"/>
  <c r="O150"/>
  <c r="P150"/>
  <c r="Q150"/>
  <c r="R150"/>
  <c r="S150"/>
  <c r="J150"/>
  <c r="K149"/>
  <c r="L149"/>
  <c r="M149"/>
  <c r="N149"/>
  <c r="O149"/>
  <c r="P149"/>
  <c r="Q149"/>
  <c r="R149"/>
  <c r="S149"/>
  <c r="J149"/>
  <c r="F77" i="20" l="1"/>
  <c r="G77"/>
  <c r="C78" s="1"/>
  <c r="M64"/>
  <c r="N64" s="1"/>
  <c r="J262" i="18"/>
  <c r="K262" s="1"/>
  <c r="J263" s="1"/>
  <c r="K263" s="1"/>
  <c r="J264" s="1"/>
  <c r="K264" s="1"/>
  <c r="J265" s="1"/>
  <c r="K265" s="1"/>
  <c r="J266" s="1"/>
  <c r="K266" s="1"/>
  <c r="K267" s="1"/>
  <c r="AC55"/>
  <c r="AH14"/>
  <c r="AJ14"/>
  <c r="Y32"/>
  <c r="Z32" s="1"/>
  <c r="AA32" s="1"/>
  <c r="AB32" s="1"/>
  <c r="AC32" s="1"/>
  <c r="AD32" s="1"/>
  <c r="AE32" s="1"/>
  <c r="AF32" s="1"/>
  <c r="AG32" s="1"/>
  <c r="AH32" s="1"/>
  <c r="O266"/>
  <c r="W9"/>
  <c r="X9" s="1"/>
  <c r="W10"/>
  <c r="X10" s="1"/>
  <c r="W12"/>
  <c r="X12" s="1"/>
  <c r="W13"/>
  <c r="X13" s="1"/>
  <c r="W15"/>
  <c r="X15" s="1"/>
  <c r="W16"/>
  <c r="X16" s="1"/>
  <c r="W18"/>
  <c r="X18" s="1"/>
  <c r="W20"/>
  <c r="X20" s="1"/>
  <c r="W21"/>
  <c r="X21" s="1"/>
  <c r="W22"/>
  <c r="X22" s="1"/>
  <c r="W23"/>
  <c r="X23" s="1"/>
  <c r="W25"/>
  <c r="W27"/>
  <c r="X27" s="1"/>
  <c r="W29"/>
  <c r="X29" s="1"/>
  <c r="W31"/>
  <c r="X31" s="1"/>
  <c r="W33"/>
  <c r="X33" s="1"/>
  <c r="W34"/>
  <c r="X34" s="1"/>
  <c r="W53"/>
  <c r="X53" s="1"/>
  <c r="W59"/>
  <c r="W7"/>
  <c r="X7" s="1"/>
  <c r="W6"/>
  <c r="X6" s="1"/>
  <c r="AI9"/>
  <c r="AI10"/>
  <c r="AI11"/>
  <c r="AI12"/>
  <c r="AI13"/>
  <c r="AI15"/>
  <c r="AI16"/>
  <c r="AI18"/>
  <c r="AI20"/>
  <c r="AI21"/>
  <c r="AI22"/>
  <c r="AI23"/>
  <c r="AI25"/>
  <c r="AI27"/>
  <c r="AI29"/>
  <c r="AI31"/>
  <c r="AI33"/>
  <c r="AI34"/>
  <c r="AI53"/>
  <c r="AI59"/>
  <c r="AI61"/>
  <c r="AI63"/>
  <c r="AI70"/>
  <c r="AI71"/>
  <c r="AI76"/>
  <c r="AI78"/>
  <c r="AI79"/>
  <c r="AI80"/>
  <c r="AI82"/>
  <c r="AI83"/>
  <c r="AI84"/>
  <c r="AI86"/>
  <c r="AI87"/>
  <c r="AI88"/>
  <c r="AI89"/>
  <c r="AI91"/>
  <c r="AI92"/>
  <c r="AI94"/>
  <c r="AI96"/>
  <c r="AI97"/>
  <c r="AI98"/>
  <c r="AI99"/>
  <c r="AI100"/>
  <c r="AI102"/>
  <c r="AI103"/>
  <c r="AI104"/>
  <c r="AI7"/>
  <c r="AI6"/>
  <c r="X25" l="1"/>
  <c r="X133" s="1"/>
  <c r="X59"/>
  <c r="X134" s="1"/>
  <c r="J65" i="20"/>
  <c r="P64"/>
  <c r="F78"/>
  <c r="G78" s="1"/>
  <c r="X136" i="18"/>
  <c r="AD55"/>
  <c r="AJ32"/>
  <c r="K116"/>
  <c r="K122" s="1"/>
  <c r="L116"/>
  <c r="L122" s="1"/>
  <c r="M116"/>
  <c r="M122" s="1"/>
  <c r="N116"/>
  <c r="N122" s="1"/>
  <c r="O116"/>
  <c r="O122" s="1"/>
  <c r="P116"/>
  <c r="P122" s="1"/>
  <c r="Q116"/>
  <c r="Q122" s="1"/>
  <c r="R116"/>
  <c r="R122" s="1"/>
  <c r="S116"/>
  <c r="S122" s="1"/>
  <c r="K119"/>
  <c r="K125" s="1"/>
  <c r="L119"/>
  <c r="L125" s="1"/>
  <c r="M119"/>
  <c r="M125" s="1"/>
  <c r="N119"/>
  <c r="N125" s="1"/>
  <c r="O119"/>
  <c r="O125" s="1"/>
  <c r="P119"/>
  <c r="P125" s="1"/>
  <c r="Q119"/>
  <c r="Q125" s="1"/>
  <c r="R119"/>
  <c r="R125" s="1"/>
  <c r="S119"/>
  <c r="S125" s="1"/>
  <c r="J119"/>
  <c r="J125" s="1"/>
  <c r="J116"/>
  <c r="J122" s="1"/>
  <c r="X129" l="1"/>
  <c r="X72"/>
  <c r="X135"/>
  <c r="X114"/>
  <c r="X128"/>
  <c r="G81" i="20"/>
  <c r="G82" s="1"/>
  <c r="C79"/>
  <c r="M65"/>
  <c r="N65"/>
  <c r="J66" s="1"/>
  <c r="AE55" i="18"/>
  <c r="Y31"/>
  <c r="X151"/>
  <c r="Y29"/>
  <c r="K140"/>
  <c r="L140"/>
  <c r="M140"/>
  <c r="N140"/>
  <c r="O140"/>
  <c r="P140"/>
  <c r="Q140"/>
  <c r="R140"/>
  <c r="S140"/>
  <c r="J140"/>
  <c r="K139"/>
  <c r="L139"/>
  <c r="M139"/>
  <c r="N139"/>
  <c r="O139"/>
  <c r="P139"/>
  <c r="Q139"/>
  <c r="R139"/>
  <c r="S139"/>
  <c r="J139"/>
  <c r="M66" i="20" l="1"/>
  <c r="N66"/>
  <c r="J67" s="1"/>
  <c r="F79"/>
  <c r="G79"/>
  <c r="AF55" i="18"/>
  <c r="Z31"/>
  <c r="Z29"/>
  <c r="AJ91"/>
  <c r="M67" i="20" l="1"/>
  <c r="N67"/>
  <c r="J68" s="1"/>
  <c r="AG55" i="18"/>
  <c r="AA31"/>
  <c r="AA29"/>
  <c r="J215"/>
  <c r="K215"/>
  <c r="L215"/>
  <c r="M215"/>
  <c r="N215"/>
  <c r="O215"/>
  <c r="P215"/>
  <c r="Q215"/>
  <c r="R215"/>
  <c r="S215"/>
  <c r="J92"/>
  <c r="J143" s="1"/>
  <c r="J144" s="1"/>
  <c r="J147" s="1"/>
  <c r="K92"/>
  <c r="K143" s="1"/>
  <c r="K144" s="1"/>
  <c r="K147" s="1"/>
  <c r="L92"/>
  <c r="L143" s="1"/>
  <c r="L144" s="1"/>
  <c r="L147" s="1"/>
  <c r="M92"/>
  <c r="M143" s="1"/>
  <c r="M144" s="1"/>
  <c r="M147" s="1"/>
  <c r="N92"/>
  <c r="N143" s="1"/>
  <c r="N144" s="1"/>
  <c r="N147" s="1"/>
  <c r="O92"/>
  <c r="O143" s="1"/>
  <c r="O144" s="1"/>
  <c r="O147" s="1"/>
  <c r="P92"/>
  <c r="P143" s="1"/>
  <c r="P144" s="1"/>
  <c r="P147" s="1"/>
  <c r="Q92"/>
  <c r="Q143" s="1"/>
  <c r="Q144" s="1"/>
  <c r="Q147" s="1"/>
  <c r="R92"/>
  <c r="R143" s="1"/>
  <c r="R144" s="1"/>
  <c r="R147" s="1"/>
  <c r="S92"/>
  <c r="S143" s="1"/>
  <c r="M68" i="20" l="1"/>
  <c r="N68" s="1"/>
  <c r="J69" s="1"/>
  <c r="AH55" i="18"/>
  <c r="AJ55"/>
  <c r="AB31"/>
  <c r="X92"/>
  <c r="AB29"/>
  <c r="Q145"/>
  <c r="Q146" s="1"/>
  <c r="M145"/>
  <c r="M146" s="1"/>
  <c r="O145"/>
  <c r="O146" s="1"/>
  <c r="K145"/>
  <c r="K146" s="1"/>
  <c r="P145"/>
  <c r="P146" s="1"/>
  <c r="L145"/>
  <c r="L146" s="1"/>
  <c r="R145"/>
  <c r="R146" s="1"/>
  <c r="N145"/>
  <c r="N146" s="1"/>
  <c r="J145"/>
  <c r="J146" s="1"/>
  <c r="S144"/>
  <c r="S147" s="1"/>
  <c r="Y63"/>
  <c r="M69" i="20" l="1"/>
  <c r="N69"/>
  <c r="J70" s="1"/>
  <c r="AC31" i="18"/>
  <c r="Z63"/>
  <c r="AC29"/>
  <c r="S145"/>
  <c r="Y92"/>
  <c r="J102"/>
  <c r="J168" s="1"/>
  <c r="K102"/>
  <c r="K168" s="1"/>
  <c r="L102"/>
  <c r="L168" s="1"/>
  <c r="M102"/>
  <c r="M168" s="1"/>
  <c r="N102"/>
  <c r="N168" s="1"/>
  <c r="O102"/>
  <c r="O168" s="1"/>
  <c r="P102"/>
  <c r="P168" s="1"/>
  <c r="Q102"/>
  <c r="Q168" s="1"/>
  <c r="R102"/>
  <c r="R168" s="1"/>
  <c r="J103"/>
  <c r="K103"/>
  <c r="L103"/>
  <c r="M103"/>
  <c r="N103"/>
  <c r="O103"/>
  <c r="P103"/>
  <c r="Q103"/>
  <c r="R103"/>
  <c r="J104"/>
  <c r="K104"/>
  <c r="L104"/>
  <c r="M104"/>
  <c r="N104"/>
  <c r="O104"/>
  <c r="P104"/>
  <c r="Q104"/>
  <c r="R104"/>
  <c r="S104"/>
  <c r="S103"/>
  <c r="S102"/>
  <c r="S168" s="1"/>
  <c r="K111"/>
  <c r="L111"/>
  <c r="M111"/>
  <c r="N111"/>
  <c r="O111"/>
  <c r="P111"/>
  <c r="Q111"/>
  <c r="R111"/>
  <c r="J110"/>
  <c r="K110"/>
  <c r="L110"/>
  <c r="M110"/>
  <c r="N110"/>
  <c r="O110"/>
  <c r="P110"/>
  <c r="Q110"/>
  <c r="R110"/>
  <c r="J109"/>
  <c r="K109"/>
  <c r="L109"/>
  <c r="M109"/>
  <c r="N109"/>
  <c r="O109"/>
  <c r="P109"/>
  <c r="Q109"/>
  <c r="R109"/>
  <c r="S110"/>
  <c r="M70" i="20" l="1"/>
  <c r="N70"/>
  <c r="J71" s="1"/>
  <c r="AD31" i="18"/>
  <c r="AA63"/>
  <c r="Z92"/>
  <c r="AD29"/>
  <c r="S109"/>
  <c r="K254"/>
  <c r="L254"/>
  <c r="M254"/>
  <c r="N254"/>
  <c r="O254"/>
  <c r="P254"/>
  <c r="Q254"/>
  <c r="R254"/>
  <c r="S254"/>
  <c r="J254"/>
  <c r="K253"/>
  <c r="L253"/>
  <c r="M253"/>
  <c r="N253"/>
  <c r="O253"/>
  <c r="P253"/>
  <c r="Q253"/>
  <c r="R253"/>
  <c r="S253"/>
  <c r="J253"/>
  <c r="K252"/>
  <c r="L252"/>
  <c r="M252"/>
  <c r="N252"/>
  <c r="O252"/>
  <c r="P252"/>
  <c r="Q252"/>
  <c r="R252"/>
  <c r="S252"/>
  <c r="J252"/>
  <c r="K71"/>
  <c r="L71"/>
  <c r="M71"/>
  <c r="N71"/>
  <c r="O71"/>
  <c r="P71"/>
  <c r="Q71"/>
  <c r="R71"/>
  <c r="S71"/>
  <c r="J71"/>
  <c r="J76"/>
  <c r="K70"/>
  <c r="K206" s="1"/>
  <c r="L70"/>
  <c r="L206" s="1"/>
  <c r="M70"/>
  <c r="M206" s="1"/>
  <c r="N70"/>
  <c r="N206" s="1"/>
  <c r="O70"/>
  <c r="O206" s="1"/>
  <c r="P70"/>
  <c r="P206" s="1"/>
  <c r="Q70"/>
  <c r="Q206" s="1"/>
  <c r="R70"/>
  <c r="R206" s="1"/>
  <c r="S70"/>
  <c r="S206" s="1"/>
  <c r="J70"/>
  <c r="J206" s="1"/>
  <c r="X117"/>
  <c r="X123" s="1"/>
  <c r="J218" l="1"/>
  <c r="M71" i="20"/>
  <c r="N71" s="1"/>
  <c r="J72" s="1"/>
  <c r="AE31" i="18"/>
  <c r="AB63"/>
  <c r="AA92"/>
  <c r="AE29"/>
  <c r="Y53"/>
  <c r="M72" i="20" l="1"/>
  <c r="N72" s="1"/>
  <c r="J73" s="1"/>
  <c r="Y117" i="18"/>
  <c r="Y123" s="1"/>
  <c r="AF31"/>
  <c r="AC63"/>
  <c r="AB92"/>
  <c r="AF29"/>
  <c r="Z53"/>
  <c r="L99"/>
  <c r="M99"/>
  <c r="N99"/>
  <c r="O99"/>
  <c r="P99"/>
  <c r="Q99"/>
  <c r="R99"/>
  <c r="S99"/>
  <c r="L100"/>
  <c r="M100"/>
  <c r="N100"/>
  <c r="O100"/>
  <c r="P100"/>
  <c r="Q100"/>
  <c r="R100"/>
  <c r="S100"/>
  <c r="L94"/>
  <c r="L96" s="1"/>
  <c r="M94"/>
  <c r="M96" s="1"/>
  <c r="N94"/>
  <c r="N96" s="1"/>
  <c r="O94"/>
  <c r="O96" s="1"/>
  <c r="P94"/>
  <c r="P96" s="1"/>
  <c r="Q94"/>
  <c r="Q96" s="1"/>
  <c r="R94"/>
  <c r="R96" s="1"/>
  <c r="S94"/>
  <c r="S96" s="1"/>
  <c r="L97"/>
  <c r="M97"/>
  <c r="N97"/>
  <c r="O97"/>
  <c r="P97"/>
  <c r="Q97"/>
  <c r="R97"/>
  <c r="S97"/>
  <c r="L98"/>
  <c r="M98"/>
  <c r="N98"/>
  <c r="O98"/>
  <c r="P98"/>
  <c r="Q98"/>
  <c r="R98"/>
  <c r="S98"/>
  <c r="J97"/>
  <c r="J98"/>
  <c r="J99"/>
  <c r="J100"/>
  <c r="K100"/>
  <c r="K99"/>
  <c r="Y22"/>
  <c r="Z22" s="1"/>
  <c r="AA22" s="1"/>
  <c r="AB22" s="1"/>
  <c r="AC22" s="1"/>
  <c r="AD22" s="1"/>
  <c r="AE22" s="1"/>
  <c r="AF22" s="1"/>
  <c r="AG22" s="1"/>
  <c r="J94"/>
  <c r="J96" s="1"/>
  <c r="K94"/>
  <c r="K96" s="1"/>
  <c r="K98"/>
  <c r="K97"/>
  <c r="N73" i="20" l="1"/>
  <c r="J74" s="1"/>
  <c r="M73"/>
  <c r="Z117" i="18"/>
  <c r="Z123" s="1"/>
  <c r="AG31"/>
  <c r="AH31" s="1"/>
  <c r="AD63"/>
  <c r="AC92"/>
  <c r="Y23"/>
  <c r="X120"/>
  <c r="X126" s="1"/>
  <c r="AG29"/>
  <c r="AH22"/>
  <c r="AJ22"/>
  <c r="AA53"/>
  <c r="Y21"/>
  <c r="M74" i="20" l="1"/>
  <c r="N74" s="1"/>
  <c r="J75" s="1"/>
  <c r="AJ31" i="18"/>
  <c r="AA117"/>
  <c r="AA123" s="1"/>
  <c r="AD92"/>
  <c r="AE63"/>
  <c r="Z23"/>
  <c r="Y120"/>
  <c r="Y126" s="1"/>
  <c r="AJ29"/>
  <c r="AH29"/>
  <c r="Y20"/>
  <c r="X94"/>
  <c r="Z21"/>
  <c r="Y9"/>
  <c r="Z9" s="1"/>
  <c r="AA9" s="1"/>
  <c r="AB9" s="1"/>
  <c r="AC9" s="1"/>
  <c r="AD9" s="1"/>
  <c r="AE9" s="1"/>
  <c r="AF9" s="1"/>
  <c r="AG9" s="1"/>
  <c r="AJ9" s="1"/>
  <c r="X113"/>
  <c r="Y33"/>
  <c r="Z33" s="1"/>
  <c r="AA33" s="1"/>
  <c r="AB33" s="1"/>
  <c r="AC33" s="1"/>
  <c r="AD33" s="1"/>
  <c r="AE33" s="1"/>
  <c r="AF33" s="1"/>
  <c r="AG33" s="1"/>
  <c r="AJ33" s="1"/>
  <c r="Y34"/>
  <c r="Z34" s="1"/>
  <c r="AA34" s="1"/>
  <c r="AB34" s="1"/>
  <c r="AC34" s="1"/>
  <c r="AD34" s="1"/>
  <c r="AE34" s="1"/>
  <c r="AF34" s="1"/>
  <c r="AG34" s="1"/>
  <c r="AJ34" s="1"/>
  <c r="AB53"/>
  <c r="R90"/>
  <c r="R212" s="1"/>
  <c r="R89"/>
  <c r="R87"/>
  <c r="R86"/>
  <c r="R84"/>
  <c r="R213" s="1"/>
  <c r="R83"/>
  <c r="R82"/>
  <c r="R80"/>
  <c r="R79"/>
  <c r="R210" s="1"/>
  <c r="R78"/>
  <c r="R76"/>
  <c r="R218" s="1"/>
  <c r="N75" i="20" l="1"/>
  <c r="J76" s="1"/>
  <c r="M75"/>
  <c r="AB117" i="18"/>
  <c r="AB123" s="1"/>
  <c r="AE92"/>
  <c r="AF63"/>
  <c r="Y94"/>
  <c r="X160"/>
  <c r="X170"/>
  <c r="X161"/>
  <c r="X171"/>
  <c r="AA23"/>
  <c r="Z120"/>
  <c r="Z126" s="1"/>
  <c r="X154"/>
  <c r="X155"/>
  <c r="X153"/>
  <c r="X141"/>
  <c r="S146"/>
  <c r="X116"/>
  <c r="X122" s="1"/>
  <c r="X150"/>
  <c r="X149"/>
  <c r="Y18"/>
  <c r="R207"/>
  <c r="Z20"/>
  <c r="Y27"/>
  <c r="AC53"/>
  <c r="Y25"/>
  <c r="Y133" s="1"/>
  <c r="X109"/>
  <c r="AA21"/>
  <c r="AH33"/>
  <c r="AH34"/>
  <c r="AH9"/>
  <c r="R88"/>
  <c r="R211" s="1"/>
  <c r="J84"/>
  <c r="J213" s="1"/>
  <c r="K84"/>
  <c r="K213" s="1"/>
  <c r="L84"/>
  <c r="L213" s="1"/>
  <c r="M84"/>
  <c r="M213" s="1"/>
  <c r="N84"/>
  <c r="N213" s="1"/>
  <c r="O84"/>
  <c r="O213" s="1"/>
  <c r="P84"/>
  <c r="P213" s="1"/>
  <c r="Q84"/>
  <c r="Q213" s="1"/>
  <c r="S84"/>
  <c r="M76" i="20" l="1"/>
  <c r="N76" s="1"/>
  <c r="J77" s="1"/>
  <c r="Y128" i="18"/>
  <c r="Y129"/>
  <c r="R220"/>
  <c r="R221" s="1"/>
  <c r="R219"/>
  <c r="AC117"/>
  <c r="AC123" s="1"/>
  <c r="Y113"/>
  <c r="Y151"/>
  <c r="AG63"/>
  <c r="AF92"/>
  <c r="Y161"/>
  <c r="Y171"/>
  <c r="Y160"/>
  <c r="Y170"/>
  <c r="AB23"/>
  <c r="AA120"/>
  <c r="AA126" s="1"/>
  <c r="Y153"/>
  <c r="Y155"/>
  <c r="Y154"/>
  <c r="Y141"/>
  <c r="Y116"/>
  <c r="Y122" s="1"/>
  <c r="Y150"/>
  <c r="Y149"/>
  <c r="Z18"/>
  <c r="AA20"/>
  <c r="Z94"/>
  <c r="Z27"/>
  <c r="Z25"/>
  <c r="Y109"/>
  <c r="AD53"/>
  <c r="AB21"/>
  <c r="S213"/>
  <c r="J83"/>
  <c r="K83"/>
  <c r="L83"/>
  <c r="M83"/>
  <c r="N83"/>
  <c r="O83"/>
  <c r="P83"/>
  <c r="Q83"/>
  <c r="S83"/>
  <c r="J82"/>
  <c r="K82"/>
  <c r="L82"/>
  <c r="M82"/>
  <c r="N82"/>
  <c r="O82"/>
  <c r="P82"/>
  <c r="Q82"/>
  <c r="S82"/>
  <c r="N77" i="20" l="1"/>
  <c r="J78" s="1"/>
  <c r="M77"/>
  <c r="Z129" i="18"/>
  <c r="Z133"/>
  <c r="Z151"/>
  <c r="Z128"/>
  <c r="AD117"/>
  <c r="AD123" s="1"/>
  <c r="AJ63"/>
  <c r="AG92"/>
  <c r="AH63"/>
  <c r="Z160"/>
  <c r="Z170"/>
  <c r="Z161"/>
  <c r="Z171"/>
  <c r="Z113"/>
  <c r="AC23"/>
  <c r="AB120"/>
  <c r="AB126" s="1"/>
  <c r="Z155"/>
  <c r="Z154"/>
  <c r="Z153"/>
  <c r="Z141"/>
  <c r="Z116"/>
  <c r="Z122" s="1"/>
  <c r="Z150"/>
  <c r="Z149"/>
  <c r="AA18"/>
  <c r="AB20"/>
  <c r="AA94"/>
  <c r="AA27"/>
  <c r="AA25"/>
  <c r="AA133" s="1"/>
  <c r="Z109"/>
  <c r="AE53"/>
  <c r="AC21"/>
  <c r="M78" i="20" l="1"/>
  <c r="N78" s="1"/>
  <c r="AA128" i="18"/>
  <c r="AA129"/>
  <c r="AE117"/>
  <c r="AE123" s="1"/>
  <c r="AA113"/>
  <c r="AA151"/>
  <c r="X192"/>
  <c r="T241" s="1"/>
  <c r="AJ92"/>
  <c r="Y192" s="1"/>
  <c r="S241" s="1"/>
  <c r="AH92"/>
  <c r="AA161"/>
  <c r="AA171"/>
  <c r="AA160"/>
  <c r="AA170"/>
  <c r="AD23"/>
  <c r="AC120"/>
  <c r="AC126" s="1"/>
  <c r="AA141"/>
  <c r="AA155"/>
  <c r="AA154"/>
  <c r="AA153"/>
  <c r="AA116"/>
  <c r="AA122" s="1"/>
  <c r="AA150"/>
  <c r="AA149"/>
  <c r="AB18"/>
  <c r="AC20"/>
  <c r="AB94"/>
  <c r="AB27"/>
  <c r="AB25"/>
  <c r="AA109"/>
  <c r="AF53"/>
  <c r="AD21"/>
  <c r="K76"/>
  <c r="L76"/>
  <c r="M76"/>
  <c r="M218" s="1"/>
  <c r="N76"/>
  <c r="N218" s="1"/>
  <c r="O76"/>
  <c r="O218" s="1"/>
  <c r="P76"/>
  <c r="P218" s="1"/>
  <c r="Q76"/>
  <c r="S76"/>
  <c r="S218" s="1"/>
  <c r="J90"/>
  <c r="K90"/>
  <c r="K212" s="1"/>
  <c r="L90"/>
  <c r="L212" s="1"/>
  <c r="M90"/>
  <c r="M212" s="1"/>
  <c r="N90"/>
  <c r="N212" s="1"/>
  <c r="O90"/>
  <c r="O212" s="1"/>
  <c r="P90"/>
  <c r="P212" s="1"/>
  <c r="Q90"/>
  <c r="S90"/>
  <c r="J89"/>
  <c r="K89"/>
  <c r="L89"/>
  <c r="M89"/>
  <c r="N89"/>
  <c r="O89"/>
  <c r="P89"/>
  <c r="Q89"/>
  <c r="S89"/>
  <c r="J87"/>
  <c r="K87"/>
  <c r="L87"/>
  <c r="M87"/>
  <c r="N87"/>
  <c r="O87"/>
  <c r="P87"/>
  <c r="Q87"/>
  <c r="S87"/>
  <c r="J86"/>
  <c r="K86"/>
  <c r="L86"/>
  <c r="M86"/>
  <c r="N86"/>
  <c r="O86"/>
  <c r="P86"/>
  <c r="Q86"/>
  <c r="S86"/>
  <c r="J80"/>
  <c r="K80"/>
  <c r="L80"/>
  <c r="M80"/>
  <c r="N80"/>
  <c r="O80"/>
  <c r="P80"/>
  <c r="Q80"/>
  <c r="S80"/>
  <c r="J79"/>
  <c r="K79"/>
  <c r="K210" s="1"/>
  <c r="L79"/>
  <c r="L210" s="1"/>
  <c r="M79"/>
  <c r="M210" s="1"/>
  <c r="N79"/>
  <c r="N210" s="1"/>
  <c r="O79"/>
  <c r="O210" s="1"/>
  <c r="P79"/>
  <c r="P210" s="1"/>
  <c r="Q79"/>
  <c r="S79"/>
  <c r="J78"/>
  <c r="K78"/>
  <c r="L78"/>
  <c r="M78"/>
  <c r="N78"/>
  <c r="O78"/>
  <c r="P78"/>
  <c r="Q78"/>
  <c r="S78"/>
  <c r="X158"/>
  <c r="X166"/>
  <c r="X167" s="1"/>
  <c r="X118"/>
  <c r="X124" s="1"/>
  <c r="Q218" l="1"/>
  <c r="U174"/>
  <c r="L218"/>
  <c r="V174"/>
  <c r="X248" s="1"/>
  <c r="X247" s="1"/>
  <c r="K218"/>
  <c r="N81" i="20"/>
  <c r="N82" s="1"/>
  <c r="J79"/>
  <c r="AB129" i="18"/>
  <c r="AB133"/>
  <c r="AB151"/>
  <c r="AB128"/>
  <c r="X215"/>
  <c r="AF117"/>
  <c r="AF123" s="1"/>
  <c r="X138"/>
  <c r="W192"/>
  <c r="AB160"/>
  <c r="AB170"/>
  <c r="AB113"/>
  <c r="AB161"/>
  <c r="AB171"/>
  <c r="AE23"/>
  <c r="AD120"/>
  <c r="AD126" s="1"/>
  <c r="X111"/>
  <c r="X112"/>
  <c r="X164"/>
  <c r="X163"/>
  <c r="X119"/>
  <c r="X125" s="1"/>
  <c r="X159"/>
  <c r="K207"/>
  <c r="AB141"/>
  <c r="AB154"/>
  <c r="AB153"/>
  <c r="AB155"/>
  <c r="X140"/>
  <c r="AB116"/>
  <c r="AB122" s="1"/>
  <c r="AB150"/>
  <c r="AB149"/>
  <c r="X139"/>
  <c r="AC18"/>
  <c r="S207"/>
  <c r="N207"/>
  <c r="M207"/>
  <c r="P207"/>
  <c r="L207"/>
  <c r="AD20"/>
  <c r="AC94"/>
  <c r="K88"/>
  <c r="K211" s="1"/>
  <c r="AC27"/>
  <c r="Y12"/>
  <c r="Y15"/>
  <c r="Y158" s="1"/>
  <c r="Y13"/>
  <c r="Y10"/>
  <c r="Y16"/>
  <c r="Y166" s="1"/>
  <c r="Y167" s="1"/>
  <c r="Y6"/>
  <c r="Y7"/>
  <c r="AC25"/>
  <c r="AC133" s="1"/>
  <c r="AB109"/>
  <c r="Y59"/>
  <c r="Y134" s="1"/>
  <c r="X110"/>
  <c r="AG53"/>
  <c r="O88"/>
  <c r="O211" s="1"/>
  <c r="N88"/>
  <c r="N211" s="1"/>
  <c r="M88"/>
  <c r="M211" s="1"/>
  <c r="AE21"/>
  <c r="Y205"/>
  <c r="L88"/>
  <c r="L211" s="1"/>
  <c r="J210"/>
  <c r="J207"/>
  <c r="J212"/>
  <c r="J88"/>
  <c r="Q210"/>
  <c r="Q207"/>
  <c r="Q212"/>
  <c r="S210"/>
  <c r="O207"/>
  <c r="Q88"/>
  <c r="P88"/>
  <c r="P211" s="1"/>
  <c r="S212"/>
  <c r="S88"/>
  <c r="C6" i="12"/>
  <c r="N79" i="20" l="1"/>
  <c r="J80" s="1"/>
  <c r="M79"/>
  <c r="Y136" i="18"/>
  <c r="Y135"/>
  <c r="AC128"/>
  <c r="AC129"/>
  <c r="Y215"/>
  <c r="Y224"/>
  <c r="Y229"/>
  <c r="J220"/>
  <c r="J221" s="1"/>
  <c r="J219"/>
  <c r="P220"/>
  <c r="P221" s="1"/>
  <c r="P219"/>
  <c r="N220"/>
  <c r="N221" s="1"/>
  <c r="N219"/>
  <c r="Q220"/>
  <c r="Q221" s="1"/>
  <c r="Q219"/>
  <c r="K220"/>
  <c r="K221" s="1"/>
  <c r="K219"/>
  <c r="L220"/>
  <c r="L221" s="1"/>
  <c r="L219"/>
  <c r="M220"/>
  <c r="M221" s="1"/>
  <c r="M219"/>
  <c r="S220"/>
  <c r="S221" s="1"/>
  <c r="S219"/>
  <c r="O220"/>
  <c r="O221" s="1"/>
  <c r="O219"/>
  <c r="AC113"/>
  <c r="AC151"/>
  <c r="Y118"/>
  <c r="Y124" s="1"/>
  <c r="Y72"/>
  <c r="Y114" s="1"/>
  <c r="Y249"/>
  <c r="Z249" s="1"/>
  <c r="AA249" s="1"/>
  <c r="AB249" s="1"/>
  <c r="AC249" s="1"/>
  <c r="AD249" s="1"/>
  <c r="AE249" s="1"/>
  <c r="AF249" s="1"/>
  <c r="AG249" s="1"/>
  <c r="AH249" s="1"/>
  <c r="AI249" s="1"/>
  <c r="AJ249" s="1"/>
  <c r="AK249" s="1"/>
  <c r="AL249" s="1"/>
  <c r="AM249" s="1"/>
  <c r="AN249" s="1"/>
  <c r="AO249" s="1"/>
  <c r="AP249" s="1"/>
  <c r="AQ249" s="1"/>
  <c r="AR249" s="1"/>
  <c r="AS249" s="1"/>
  <c r="AT249" s="1"/>
  <c r="AU249" s="1"/>
  <c r="AV249" s="1"/>
  <c r="AW249" s="1"/>
  <c r="AX249" s="1"/>
  <c r="Y138"/>
  <c r="AC160"/>
  <c r="AC170"/>
  <c r="AC161"/>
  <c r="AC171"/>
  <c r="AJ53"/>
  <c r="AG117"/>
  <c r="AF23"/>
  <c r="AE120"/>
  <c r="AE126" s="1"/>
  <c r="Y164"/>
  <c r="Y163"/>
  <c r="Y119"/>
  <c r="Y125" s="1"/>
  <c r="Y159"/>
  <c r="Y112"/>
  <c r="AC153"/>
  <c r="AC154"/>
  <c r="AC155"/>
  <c r="AC141"/>
  <c r="AC116"/>
  <c r="AC122" s="1"/>
  <c r="AC150"/>
  <c r="AC149"/>
  <c r="Y139"/>
  <c r="Y140"/>
  <c r="AD18"/>
  <c r="AE20"/>
  <c r="AD94"/>
  <c r="AD27"/>
  <c r="Z15"/>
  <c r="Z158" s="1"/>
  <c r="Z13"/>
  <c r="Z12"/>
  <c r="Z16"/>
  <c r="Z166" s="1"/>
  <c r="Z167" s="1"/>
  <c r="Z10"/>
  <c r="Z7"/>
  <c r="Z6"/>
  <c r="AH53"/>
  <c r="AD25"/>
  <c r="AD133" s="1"/>
  <c r="AC109"/>
  <c r="Z59"/>
  <c r="Z134" s="1"/>
  <c r="Y111"/>
  <c r="Y110"/>
  <c r="AF21"/>
  <c r="Z205"/>
  <c r="J211"/>
  <c r="Q211"/>
  <c r="S211"/>
  <c r="M80" i="20" l="1"/>
  <c r="N80" s="1"/>
  <c r="Z135" i="18"/>
  <c r="Z136"/>
  <c r="AD128"/>
  <c r="AD129"/>
  <c r="Y230"/>
  <c r="Y231" s="1"/>
  <c r="Y228"/>
  <c r="Y225"/>
  <c r="Y226" s="1"/>
  <c r="Y223"/>
  <c r="Z215"/>
  <c r="Z229"/>
  <c r="Z224"/>
  <c r="AD113"/>
  <c r="AD151"/>
  <c r="Z118"/>
  <c r="Z124" s="1"/>
  <c r="Z72"/>
  <c r="Z114" s="1"/>
  <c r="Y250"/>
  <c r="Z250" s="1"/>
  <c r="AA250" s="1"/>
  <c r="AB250" s="1"/>
  <c r="AC250" s="1"/>
  <c r="AD250" s="1"/>
  <c r="AE250" s="1"/>
  <c r="AF250" s="1"/>
  <c r="AG250" s="1"/>
  <c r="AH250" s="1"/>
  <c r="AI250" s="1"/>
  <c r="AJ250" s="1"/>
  <c r="AK250" s="1"/>
  <c r="AL250" s="1"/>
  <c r="AM250" s="1"/>
  <c r="AN250" s="1"/>
  <c r="AO250" s="1"/>
  <c r="AP250" s="1"/>
  <c r="AQ250" s="1"/>
  <c r="AR250" s="1"/>
  <c r="AS250" s="1"/>
  <c r="AT250" s="1"/>
  <c r="AU250" s="1"/>
  <c r="AV250" s="1"/>
  <c r="AW250" s="1"/>
  <c r="AX250" s="1"/>
  <c r="AH117"/>
  <c r="AG123"/>
  <c r="AH123" s="1"/>
  <c r="Y248"/>
  <c r="Z248" s="1"/>
  <c r="AA248" s="1"/>
  <c r="AB248" s="1"/>
  <c r="AC248" s="1"/>
  <c r="AD248" s="1"/>
  <c r="AE248" s="1"/>
  <c r="AF248" s="1"/>
  <c r="AG248" s="1"/>
  <c r="AH248" s="1"/>
  <c r="Z138"/>
  <c r="AD160"/>
  <c r="AD170"/>
  <c r="AD161"/>
  <c r="AD171"/>
  <c r="AG23"/>
  <c r="AF120"/>
  <c r="AF126" s="1"/>
  <c r="Z119"/>
  <c r="Z125" s="1"/>
  <c r="Z159"/>
  <c r="Z164"/>
  <c r="Z163"/>
  <c r="Z112"/>
  <c r="AD155"/>
  <c r="AD154"/>
  <c r="AD153"/>
  <c r="AD141"/>
  <c r="AD116"/>
  <c r="AD122" s="1"/>
  <c r="AD150"/>
  <c r="AD149"/>
  <c r="Z139"/>
  <c r="Z140"/>
  <c r="AE18"/>
  <c r="AF20"/>
  <c r="AE94"/>
  <c r="AE27"/>
  <c r="AA13"/>
  <c r="AA12"/>
  <c r="AA15"/>
  <c r="AA158" s="1"/>
  <c r="AA10"/>
  <c r="AA16"/>
  <c r="AA166" s="1"/>
  <c r="AA167" s="1"/>
  <c r="AA6"/>
  <c r="AA7"/>
  <c r="AA59"/>
  <c r="AA134" s="1"/>
  <c r="Z111"/>
  <c r="Z110"/>
  <c r="AE25"/>
  <c r="AE133" s="1"/>
  <c r="AD109"/>
  <c r="AG21"/>
  <c r="AJ21" s="1"/>
  <c r="AA205"/>
  <c r="AA136" l="1"/>
  <c r="AA135"/>
  <c r="AE128"/>
  <c r="AE129"/>
  <c r="Z225"/>
  <c r="Z226" s="1"/>
  <c r="Z223"/>
  <c r="Z230"/>
  <c r="Z231" s="1"/>
  <c r="Z228"/>
  <c r="AA215"/>
  <c r="AA224"/>
  <c r="AA229"/>
  <c r="AE113"/>
  <c r="AE151"/>
  <c r="AA118"/>
  <c r="AA124" s="1"/>
  <c r="AA72"/>
  <c r="AA114" s="1"/>
  <c r="Y247"/>
  <c r="Z247" s="1"/>
  <c r="AA247" s="1"/>
  <c r="AB247" s="1"/>
  <c r="AC247" s="1"/>
  <c r="AD247" s="1"/>
  <c r="AE247" s="1"/>
  <c r="AF247" s="1"/>
  <c r="AG247" s="1"/>
  <c r="AH247" s="1"/>
  <c r="AI248"/>
  <c r="AJ248" s="1"/>
  <c r="AK248" s="1"/>
  <c r="AL248" s="1"/>
  <c r="AM248" s="1"/>
  <c r="AN248" s="1"/>
  <c r="AO248" s="1"/>
  <c r="AP248" s="1"/>
  <c r="AQ248" s="1"/>
  <c r="AR248" s="1"/>
  <c r="AS248" s="1"/>
  <c r="AT248" s="1"/>
  <c r="AU248" s="1"/>
  <c r="AV248" s="1"/>
  <c r="AW248" s="1"/>
  <c r="AX248" s="1"/>
  <c r="AA138"/>
  <c r="AE160"/>
  <c r="AE170"/>
  <c r="AE161"/>
  <c r="AE171"/>
  <c r="AJ23"/>
  <c r="AG120"/>
  <c r="AH23"/>
  <c r="AA112"/>
  <c r="AA163"/>
  <c r="AA164"/>
  <c r="AA119"/>
  <c r="AA125" s="1"/>
  <c r="AA159"/>
  <c r="AE155"/>
  <c r="AE154"/>
  <c r="AE153"/>
  <c r="AE141"/>
  <c r="AE116"/>
  <c r="AE122" s="1"/>
  <c r="AE150"/>
  <c r="AE149"/>
  <c r="AA140"/>
  <c r="AA139"/>
  <c r="AF18"/>
  <c r="AG20"/>
  <c r="AF94"/>
  <c r="AF27"/>
  <c r="AB12"/>
  <c r="AB15"/>
  <c r="AB158" s="1"/>
  <c r="AB13"/>
  <c r="AB16"/>
  <c r="AB166" s="1"/>
  <c r="AB167" s="1"/>
  <c r="AB10"/>
  <c r="AB7"/>
  <c r="AB6"/>
  <c r="AF25"/>
  <c r="AE109"/>
  <c r="AB59"/>
  <c r="AB134" s="1"/>
  <c r="AA110"/>
  <c r="AA111"/>
  <c r="AH21"/>
  <c r="AB205"/>
  <c r="I7" i="12"/>
  <c r="F7"/>
  <c r="H39"/>
  <c r="L25"/>
  <c r="L26" s="1"/>
  <c r="L27" s="1"/>
  <c r="L28" s="1"/>
  <c r="L29" s="1"/>
  <c r="L30" s="1"/>
  <c r="L31" s="1"/>
  <c r="L32" s="1"/>
  <c r="L33" s="1"/>
  <c r="L34" s="1"/>
  <c r="L39" s="1"/>
  <c r="I25"/>
  <c r="I26" s="1"/>
  <c r="I27" s="1"/>
  <c r="I28" s="1"/>
  <c r="I29" s="1"/>
  <c r="I30" s="1"/>
  <c r="I31" s="1"/>
  <c r="I32" s="1"/>
  <c r="I33" s="1"/>
  <c r="I34" s="1"/>
  <c r="F24"/>
  <c r="G24" s="1"/>
  <c r="K25" s="1"/>
  <c r="K26" s="1"/>
  <c r="K27" s="1"/>
  <c r="K28" s="1"/>
  <c r="K29" s="1"/>
  <c r="K30" s="1"/>
  <c r="K31" s="1"/>
  <c r="K32" s="1"/>
  <c r="K33" s="1"/>
  <c r="K34" s="1"/>
  <c r="K40" s="1"/>
  <c r="F23"/>
  <c r="G23" s="1"/>
  <c r="F22"/>
  <c r="G22" s="1"/>
  <c r="F21"/>
  <c r="G21" s="1"/>
  <c r="F20"/>
  <c r="G20" s="1"/>
  <c r="F19"/>
  <c r="G19" s="1"/>
  <c r="F18"/>
  <c r="G18" s="1"/>
  <c r="F17"/>
  <c r="G17" s="1"/>
  <c r="F16"/>
  <c r="G16" s="1"/>
  <c r="F15"/>
  <c r="G15" s="1"/>
  <c r="F14"/>
  <c r="G14" s="1"/>
  <c r="F13"/>
  <c r="G13" s="1"/>
  <c r="AF129" i="18" l="1"/>
  <c r="AF133"/>
  <c r="AB136"/>
  <c r="AB135"/>
  <c r="AF151"/>
  <c r="AF128"/>
  <c r="AA230"/>
  <c r="AA231" s="1"/>
  <c r="AA228"/>
  <c r="AA225"/>
  <c r="AA226" s="1"/>
  <c r="AA223"/>
  <c r="AB215"/>
  <c r="AB229"/>
  <c r="AB224"/>
  <c r="AB118"/>
  <c r="AB124" s="1"/>
  <c r="AB72"/>
  <c r="AB114" s="1"/>
  <c r="AI247"/>
  <c r="AJ247" s="1"/>
  <c r="AK247" s="1"/>
  <c r="AL247" s="1"/>
  <c r="AM247" s="1"/>
  <c r="AN247" s="1"/>
  <c r="AO247" s="1"/>
  <c r="AP247" s="1"/>
  <c r="AQ247" s="1"/>
  <c r="AR247" s="1"/>
  <c r="AS247" s="1"/>
  <c r="AT247" s="1"/>
  <c r="AU247" s="1"/>
  <c r="AV247" s="1"/>
  <c r="AW247" s="1"/>
  <c r="AX247" s="1"/>
  <c r="AH120"/>
  <c r="AG126"/>
  <c r="AH126" s="1"/>
  <c r="AB138"/>
  <c r="AF160"/>
  <c r="AF170"/>
  <c r="AF161"/>
  <c r="AF171"/>
  <c r="AJ20"/>
  <c r="AF113"/>
  <c r="AB164"/>
  <c r="AB163"/>
  <c r="AB119"/>
  <c r="AB125" s="1"/>
  <c r="AB159"/>
  <c r="AB112"/>
  <c r="AF154"/>
  <c r="AF153"/>
  <c r="AF155"/>
  <c r="AF141"/>
  <c r="AF116"/>
  <c r="AF122" s="1"/>
  <c r="AF150"/>
  <c r="AF149"/>
  <c r="AB140"/>
  <c r="AB139"/>
  <c r="AG18"/>
  <c r="AH20"/>
  <c r="AG94"/>
  <c r="AG27"/>
  <c r="AG171" s="1"/>
  <c r="AH171" s="1"/>
  <c r="AC15"/>
  <c r="AC158" s="1"/>
  <c r="AC13"/>
  <c r="AC12"/>
  <c r="AC10"/>
  <c r="AC16"/>
  <c r="AC166" s="1"/>
  <c r="AC167" s="1"/>
  <c r="AC6"/>
  <c r="AC7"/>
  <c r="AC59"/>
  <c r="AC134" s="1"/>
  <c r="AB111"/>
  <c r="AB110"/>
  <c r="AG25"/>
  <c r="AG133" s="1"/>
  <c r="AH133" s="1"/>
  <c r="AF109"/>
  <c r="AC205"/>
  <c r="G40" i="12"/>
  <c r="J25"/>
  <c r="J26" s="1"/>
  <c r="J27" s="1"/>
  <c r="J28" s="1"/>
  <c r="J29" s="1"/>
  <c r="J30" s="1"/>
  <c r="J31" s="1"/>
  <c r="J32" s="1"/>
  <c r="J33" s="1"/>
  <c r="J34" s="1"/>
  <c r="K37" s="1"/>
  <c r="N10" i="11"/>
  <c r="H44"/>
  <c r="I41"/>
  <c r="F41"/>
  <c r="G41" s="1"/>
  <c r="K41" s="1"/>
  <c r="I40"/>
  <c r="F40"/>
  <c r="G40" s="1"/>
  <c r="K40" s="1"/>
  <c r="I39"/>
  <c r="F39"/>
  <c r="G39" s="1"/>
  <c r="K39" s="1"/>
  <c r="I38"/>
  <c r="F38"/>
  <c r="G38" s="1"/>
  <c r="K38" s="1"/>
  <c r="I37"/>
  <c r="F37"/>
  <c r="G37" s="1"/>
  <c r="K37" s="1"/>
  <c r="I36"/>
  <c r="F36"/>
  <c r="G36" s="1"/>
  <c r="K36" s="1"/>
  <c r="I35"/>
  <c r="F35"/>
  <c r="G35" s="1"/>
  <c r="K35" s="1"/>
  <c r="I34"/>
  <c r="F34"/>
  <c r="G34" s="1"/>
  <c r="K34" s="1"/>
  <c r="I33"/>
  <c r="F33"/>
  <c r="G33" s="1"/>
  <c r="K33" s="1"/>
  <c r="I32"/>
  <c r="F32"/>
  <c r="G32" s="1"/>
  <c r="K32" s="1"/>
  <c r="N31"/>
  <c r="Q31" s="1"/>
  <c r="I31"/>
  <c r="F31"/>
  <c r="G31" s="1"/>
  <c r="I30"/>
  <c r="F30"/>
  <c r="G30" s="1"/>
  <c r="K30" s="1"/>
  <c r="I29"/>
  <c r="D22"/>
  <c r="L19"/>
  <c r="K11"/>
  <c r="K12" s="1"/>
  <c r="K9"/>
  <c r="H44" i="9"/>
  <c r="N31"/>
  <c r="P31" s="1"/>
  <c r="I29"/>
  <c r="I30"/>
  <c r="I32"/>
  <c r="I33"/>
  <c r="I34"/>
  <c r="I35"/>
  <c r="I36"/>
  <c r="I37"/>
  <c r="I38"/>
  <c r="I39"/>
  <c r="I40"/>
  <c r="I41"/>
  <c r="I31"/>
  <c r="F31"/>
  <c r="G31" s="1"/>
  <c r="K31" s="1"/>
  <c r="L31" s="1"/>
  <c r="F32"/>
  <c r="G32" s="1"/>
  <c r="K32" s="1"/>
  <c r="F33"/>
  <c r="G33" s="1"/>
  <c r="K33" s="1"/>
  <c r="F34"/>
  <c r="G34" s="1"/>
  <c r="K34" s="1"/>
  <c r="F35"/>
  <c r="G35" s="1"/>
  <c r="K35" s="1"/>
  <c r="F36"/>
  <c r="G36" s="1"/>
  <c r="K36" s="1"/>
  <c r="F37"/>
  <c r="G37" s="1"/>
  <c r="K37" s="1"/>
  <c r="F38"/>
  <c r="G38" s="1"/>
  <c r="K38" s="1"/>
  <c r="F39"/>
  <c r="G39" s="1"/>
  <c r="K39" s="1"/>
  <c r="F40"/>
  <c r="G40" s="1"/>
  <c r="K40" s="1"/>
  <c r="F41"/>
  <c r="G41" s="1"/>
  <c r="K41" s="1"/>
  <c r="F30"/>
  <c r="G30" s="1"/>
  <c r="K30" s="1"/>
  <c r="AC136" i="18" l="1"/>
  <c r="AC135"/>
  <c r="AG128"/>
  <c r="AH128" s="1"/>
  <c r="AG129"/>
  <c r="AH129" s="1"/>
  <c r="AB225"/>
  <c r="AB226" s="1"/>
  <c r="AB223"/>
  <c r="AB230"/>
  <c r="AB231" s="1"/>
  <c r="AB228"/>
  <c r="AC215"/>
  <c r="AC229"/>
  <c r="AC224"/>
  <c r="AG113"/>
  <c r="AH113" s="1"/>
  <c r="AG151"/>
  <c r="AH151" s="1"/>
  <c r="AC118"/>
  <c r="AC124" s="1"/>
  <c r="AC72"/>
  <c r="AC114" s="1"/>
  <c r="AC138"/>
  <c r="AG160"/>
  <c r="AH160" s="1"/>
  <c r="AG170"/>
  <c r="AH170" s="1"/>
  <c r="AC119"/>
  <c r="AC125" s="1"/>
  <c r="AC159"/>
  <c r="AC164"/>
  <c r="AC163"/>
  <c r="AJ27"/>
  <c r="AG161"/>
  <c r="AH161" s="1"/>
  <c r="AC112"/>
  <c r="AG153"/>
  <c r="AH153" s="1"/>
  <c r="AG155"/>
  <c r="AH155" s="1"/>
  <c r="AG154"/>
  <c r="AH154" s="1"/>
  <c r="N32" i="9"/>
  <c r="N33" s="1"/>
  <c r="N34" s="1"/>
  <c r="N35" s="1"/>
  <c r="N36" s="1"/>
  <c r="N37" s="1"/>
  <c r="N38" s="1"/>
  <c r="N39" s="1"/>
  <c r="N40" s="1"/>
  <c r="N41" s="1"/>
  <c r="N42" s="1"/>
  <c r="M45"/>
  <c r="AG141" i="18"/>
  <c r="AH141" s="1"/>
  <c r="AG116"/>
  <c r="AG150"/>
  <c r="AH150" s="1"/>
  <c r="AG149"/>
  <c r="AH149" s="1"/>
  <c r="AC140"/>
  <c r="AC139"/>
  <c r="AJ25"/>
  <c r="AJ18"/>
  <c r="AH18"/>
  <c r="X194"/>
  <c r="AJ94"/>
  <c r="AH94"/>
  <c r="M32" i="9"/>
  <c r="M33" s="1"/>
  <c r="M34" s="1"/>
  <c r="M35" s="1"/>
  <c r="M36" s="1"/>
  <c r="M37" s="1"/>
  <c r="M38" s="1"/>
  <c r="M39" s="1"/>
  <c r="M40" s="1"/>
  <c r="M41" s="1"/>
  <c r="P32"/>
  <c r="AH27" i="18"/>
  <c r="AD12"/>
  <c r="AD15"/>
  <c r="AD158" s="1"/>
  <c r="AD13"/>
  <c r="AD10"/>
  <c r="AD16"/>
  <c r="AD166" s="1"/>
  <c r="AD167" s="1"/>
  <c r="AD7"/>
  <c r="AD6"/>
  <c r="AH25"/>
  <c r="AG109"/>
  <c r="AH109" s="1"/>
  <c r="AD59"/>
  <c r="AD134" s="1"/>
  <c r="AC111"/>
  <c r="AC110"/>
  <c r="O31" i="9"/>
  <c r="O32" s="1"/>
  <c r="AD205" i="18"/>
  <c r="P31" i="11"/>
  <c r="N32"/>
  <c r="T19" i="9"/>
  <c r="D22"/>
  <c r="AD135" i="18" l="1"/>
  <c r="AD136"/>
  <c r="AC225"/>
  <c r="AC226" s="1"/>
  <c r="AC223"/>
  <c r="AC230"/>
  <c r="AC231" s="1"/>
  <c r="AC228"/>
  <c r="AD215"/>
  <c r="AD224"/>
  <c r="AD229"/>
  <c r="AD118"/>
  <c r="AD124" s="1"/>
  <c r="AD72"/>
  <c r="AD114" s="1"/>
  <c r="AH116"/>
  <c r="AG122"/>
  <c r="AH122" s="1"/>
  <c r="AD138"/>
  <c r="AD164"/>
  <c r="AD163"/>
  <c r="AD119"/>
  <c r="AD125" s="1"/>
  <c r="AD159"/>
  <c r="AD112"/>
  <c r="AD139"/>
  <c r="AD140"/>
  <c r="Y194"/>
  <c r="W194" s="1"/>
  <c r="AE13"/>
  <c r="AE12"/>
  <c r="AE15"/>
  <c r="AE158" s="1"/>
  <c r="AE10"/>
  <c r="AE16"/>
  <c r="AE166" s="1"/>
  <c r="AE167" s="1"/>
  <c r="AE6"/>
  <c r="AE7"/>
  <c r="AE59"/>
  <c r="AE134" s="1"/>
  <c r="AD111"/>
  <c r="AD110"/>
  <c r="AE205"/>
  <c r="N33" i="11"/>
  <c r="O32"/>
  <c r="P32"/>
  <c r="M45"/>
  <c r="L31"/>
  <c r="M32" s="1"/>
  <c r="M33" s="1"/>
  <c r="M34" s="1"/>
  <c r="M35" s="1"/>
  <c r="M36" s="1"/>
  <c r="M37" s="1"/>
  <c r="M38" s="1"/>
  <c r="M39" s="1"/>
  <c r="M40" s="1"/>
  <c r="M41" s="1"/>
  <c r="Q32"/>
  <c r="S11" i="9"/>
  <c r="S12" s="1"/>
  <c r="S9"/>
  <c r="AE136" i="18" l="1"/>
  <c r="AE135"/>
  <c r="AD230"/>
  <c r="AD231" s="1"/>
  <c r="AD228"/>
  <c r="AD225"/>
  <c r="AD226" s="1"/>
  <c r="AD223"/>
  <c r="AE215"/>
  <c r="AE229"/>
  <c r="AE224"/>
  <c r="AE118"/>
  <c r="AE124" s="1"/>
  <c r="AE72"/>
  <c r="AE114" s="1"/>
  <c r="AE138"/>
  <c r="AE119"/>
  <c r="AE125" s="1"/>
  <c r="AE159"/>
  <c r="AE163"/>
  <c r="AE164"/>
  <c r="AE112"/>
  <c r="AE139"/>
  <c r="AE140"/>
  <c r="AF12"/>
  <c r="AF15"/>
  <c r="AF158" s="1"/>
  <c r="AF13"/>
  <c r="AF10"/>
  <c r="AF16"/>
  <c r="AF166" s="1"/>
  <c r="AF167" s="1"/>
  <c r="AF7"/>
  <c r="AF6"/>
  <c r="AF59"/>
  <c r="AF134" s="1"/>
  <c r="AE110"/>
  <c r="AE111"/>
  <c r="AF205"/>
  <c r="N34" i="11"/>
  <c r="O33"/>
  <c r="AF136" i="18" l="1"/>
  <c r="AF135"/>
  <c r="AE225"/>
  <c r="AE226" s="1"/>
  <c r="AE223"/>
  <c r="AE230"/>
  <c r="AE231" s="1"/>
  <c r="AE228"/>
  <c r="AF215"/>
  <c r="AF229"/>
  <c r="AF224"/>
  <c r="AF118"/>
  <c r="AF124" s="1"/>
  <c r="AF72"/>
  <c r="AF114" s="1"/>
  <c r="AF138"/>
  <c r="AF112"/>
  <c r="AF163"/>
  <c r="AF164"/>
  <c r="AF119"/>
  <c r="AF125" s="1"/>
  <c r="AF159"/>
  <c r="AF139"/>
  <c r="AF140"/>
  <c r="AG15"/>
  <c r="AG13"/>
  <c r="AJ13" s="1"/>
  <c r="AG12"/>
  <c r="AG159" s="1"/>
  <c r="AH159" s="1"/>
  <c r="AG10"/>
  <c r="AG16"/>
  <c r="AG6"/>
  <c r="AJ6" s="1"/>
  <c r="AG7"/>
  <c r="AJ7" s="1"/>
  <c r="AG59"/>
  <c r="AG134" s="1"/>
  <c r="AH134" s="1"/>
  <c r="AF111"/>
  <c r="AF110"/>
  <c r="AG205"/>
  <c r="N35" i="11"/>
  <c r="O34"/>
  <c r="AG136" i="18" l="1"/>
  <c r="AH136" s="1"/>
  <c r="AG135"/>
  <c r="AH135" s="1"/>
  <c r="AF225"/>
  <c r="AF226" s="1"/>
  <c r="AF223"/>
  <c r="AF230"/>
  <c r="AF231" s="1"/>
  <c r="AF228"/>
  <c r="AG215"/>
  <c r="AH215" s="1"/>
  <c r="AJ215" s="1"/>
  <c r="AJ231" s="1"/>
  <c r="AG229"/>
  <c r="AG228" s="1"/>
  <c r="AH228" s="1"/>
  <c r="AG224"/>
  <c r="AG223" s="1"/>
  <c r="AH223" s="1"/>
  <c r="AG118"/>
  <c r="AG124" s="1"/>
  <c r="AH124" s="1"/>
  <c r="AG72"/>
  <c r="AG138"/>
  <c r="AH138" s="1"/>
  <c r="AJ16"/>
  <c r="AG166"/>
  <c r="AG164"/>
  <c r="AH164" s="1"/>
  <c r="AG163"/>
  <c r="AH163" s="1"/>
  <c r="AJ15"/>
  <c r="AG158"/>
  <c r="AH158" s="1"/>
  <c r="AG112"/>
  <c r="AH112" s="1"/>
  <c r="AJ10"/>
  <c r="AJ12"/>
  <c r="AG119"/>
  <c r="AJ59"/>
  <c r="AG139"/>
  <c r="AH139" s="1"/>
  <c r="AG140"/>
  <c r="AH140" s="1"/>
  <c r="AH15"/>
  <c r="AH13"/>
  <c r="X188"/>
  <c r="AH12"/>
  <c r="AH10"/>
  <c r="AH16"/>
  <c r="AH7"/>
  <c r="AH6"/>
  <c r="AG111"/>
  <c r="AH111" s="1"/>
  <c r="AG110"/>
  <c r="AH110" s="1"/>
  <c r="AH59"/>
  <c r="AH205"/>
  <c r="AJ205" s="1"/>
  <c r="N36" i="11"/>
  <c r="O35"/>
  <c r="AG225" i="18" l="1"/>
  <c r="AH224"/>
  <c r="AH229"/>
  <c r="AG230"/>
  <c r="AH72"/>
  <c r="AJ72"/>
  <c r="AH118"/>
  <c r="AG114"/>
  <c r="AH114" s="1"/>
  <c r="AH119"/>
  <c r="AG125"/>
  <c r="AH125" s="1"/>
  <c r="AH166"/>
  <c r="AG167"/>
  <c r="AH167" s="1"/>
  <c r="Y188"/>
  <c r="Y189" s="1"/>
  <c r="S244" s="1"/>
  <c r="X189"/>
  <c r="T244" s="1"/>
  <c r="N37" i="11"/>
  <c r="O36"/>
  <c r="AH225" i="18" l="1"/>
  <c r="AG226"/>
  <c r="AH226" s="1"/>
  <c r="AG231"/>
  <c r="AH231" s="1"/>
  <c r="AH230"/>
  <c r="W188"/>
  <c r="W189"/>
  <c r="N38" i="11"/>
  <c r="O37"/>
  <c r="P244" i="18" l="1"/>
  <c r="N39" i="11"/>
  <c r="O38"/>
  <c r="N40" l="1"/>
  <c r="O39"/>
  <c r="N41" l="1"/>
  <c r="O40"/>
  <c r="N42" l="1"/>
  <c r="O41"/>
  <c r="X216" i="18"/>
  <c r="X97"/>
  <c r="X78"/>
  <c r="X83"/>
  <c r="X104"/>
  <c r="X106"/>
  <c r="X99"/>
  <c r="X96"/>
  <c r="X82"/>
  <c r="X77"/>
  <c r="X71"/>
  <c r="X89"/>
  <c r="X103"/>
  <c r="X87"/>
  <c r="X80"/>
  <c r="X98"/>
  <c r="X100"/>
  <c r="X84"/>
  <c r="X213" s="1"/>
  <c r="X70"/>
  <c r="X206" s="1"/>
  <c r="X75"/>
  <c r="X209" s="1"/>
  <c r="X90"/>
  <c r="X212" s="1"/>
  <c r="X102"/>
  <c r="X168" s="1"/>
  <c r="X74"/>
  <c r="X208" s="1"/>
  <c r="X86"/>
  <c r="X143"/>
  <c r="X144" s="1"/>
  <c r="X76"/>
  <c r="X218" s="1"/>
  <c r="X79"/>
  <c r="Y61"/>
  <c r="X210" l="1"/>
  <c r="X234" s="1"/>
  <c r="X88"/>
  <c r="X211" s="1"/>
  <c r="Y80"/>
  <c r="Y103"/>
  <c r="Y87"/>
  <c r="Y99"/>
  <c r="Y83"/>
  <c r="Y82"/>
  <c r="Y216"/>
  <c r="Y98"/>
  <c r="Y78"/>
  <c r="Y102"/>
  <c r="Y168" s="1"/>
  <c r="Y90"/>
  <c r="Y212" s="1"/>
  <c r="Y74"/>
  <c r="Y208" s="1"/>
  <c r="Y143"/>
  <c r="Y144" s="1"/>
  <c r="Y96"/>
  <c r="Y77"/>
  <c r="Y106"/>
  <c r="Y89"/>
  <c r="Y104"/>
  <c r="Y97"/>
  <c r="Y100"/>
  <c r="Y71"/>
  <c r="Y79"/>
  <c r="Y210" s="1"/>
  <c r="Y234" s="1"/>
  <c r="Y70"/>
  <c r="Y206" s="1"/>
  <c r="Y84"/>
  <c r="Y213" s="1"/>
  <c r="Y75"/>
  <c r="Y209" s="1"/>
  <c r="Y76"/>
  <c r="Y218" s="1"/>
  <c r="Z61"/>
  <c r="Y86"/>
  <c r="X145"/>
  <c r="X146" s="1"/>
  <c r="X147"/>
  <c r="X207"/>
  <c r="X235" l="1"/>
  <c r="X236" s="1"/>
  <c r="X233"/>
  <c r="Y235"/>
  <c r="Y236" s="1"/>
  <c r="Y233"/>
  <c r="Y88"/>
  <c r="Y211" s="1"/>
  <c r="X220"/>
  <c r="X221" s="1"/>
  <c r="X219"/>
  <c r="Z97"/>
  <c r="Z74"/>
  <c r="Z208" s="1"/>
  <c r="Z98"/>
  <c r="Z99"/>
  <c r="Z103"/>
  <c r="Z83"/>
  <c r="Z80"/>
  <c r="Z106"/>
  <c r="Z89"/>
  <c r="Z87"/>
  <c r="Z70"/>
  <c r="Z206" s="1"/>
  <c r="Z79"/>
  <c r="Z210" s="1"/>
  <c r="Z234" s="1"/>
  <c r="Z75"/>
  <c r="Z209" s="1"/>
  <c r="Z78"/>
  <c r="Z77"/>
  <c r="Z96"/>
  <c r="Z100"/>
  <c r="Z71"/>
  <c r="Z84"/>
  <c r="Z213" s="1"/>
  <c r="Z104"/>
  <c r="Z82"/>
  <c r="Z216"/>
  <c r="Z102"/>
  <c r="Z168" s="1"/>
  <c r="Z90"/>
  <c r="Z212" s="1"/>
  <c r="Z86"/>
  <c r="Z143"/>
  <c r="Z144" s="1"/>
  <c r="Z76"/>
  <c r="Z218" s="1"/>
  <c r="AA61"/>
  <c r="Y207"/>
  <c r="Y147"/>
  <c r="Y145"/>
  <c r="Y146" s="1"/>
  <c r="Z235" l="1"/>
  <c r="Z236" s="1"/>
  <c r="Z233"/>
  <c r="Y220"/>
  <c r="Y221" s="1"/>
  <c r="Y219"/>
  <c r="AA97"/>
  <c r="AA216"/>
  <c r="AA71"/>
  <c r="AA98"/>
  <c r="AA83"/>
  <c r="AA78"/>
  <c r="AA82"/>
  <c r="AA96"/>
  <c r="AA102"/>
  <c r="AA168" s="1"/>
  <c r="AA74"/>
  <c r="AA208" s="1"/>
  <c r="AA75"/>
  <c r="AA209" s="1"/>
  <c r="AA90"/>
  <c r="AA212" s="1"/>
  <c r="AA106"/>
  <c r="AA77"/>
  <c r="AA100"/>
  <c r="AA104"/>
  <c r="AA103"/>
  <c r="AA80"/>
  <c r="AA99"/>
  <c r="AA89"/>
  <c r="AA87"/>
  <c r="AA84"/>
  <c r="AA213" s="1"/>
  <c r="AA70"/>
  <c r="AA206" s="1"/>
  <c r="AA143"/>
  <c r="AA144" s="1"/>
  <c r="AA76"/>
  <c r="AA218" s="1"/>
  <c r="AA79"/>
  <c r="AA210" s="1"/>
  <c r="AA234" s="1"/>
  <c r="AB61"/>
  <c r="AA86"/>
  <c r="Z207"/>
  <c r="Z145"/>
  <c r="Z146" s="1"/>
  <c r="Z147"/>
  <c r="Z88"/>
  <c r="Z211" s="1"/>
  <c r="AA235" l="1"/>
  <c r="AA236" s="1"/>
  <c r="AA233"/>
  <c r="Z220"/>
  <c r="Z221" s="1"/>
  <c r="Z219"/>
  <c r="AA207"/>
  <c r="AA88"/>
  <c r="AA211" s="1"/>
  <c r="AA147"/>
  <c r="AA145"/>
  <c r="AA146" s="1"/>
  <c r="AB77"/>
  <c r="AB98"/>
  <c r="AB87"/>
  <c r="AB97"/>
  <c r="AB96"/>
  <c r="AB82"/>
  <c r="AB71"/>
  <c r="AB80"/>
  <c r="AB79"/>
  <c r="AB210" s="1"/>
  <c r="AB234" s="1"/>
  <c r="AB70"/>
  <c r="AB206" s="1"/>
  <c r="AB102"/>
  <c r="AB168" s="1"/>
  <c r="AB216"/>
  <c r="AB100"/>
  <c r="AB78"/>
  <c r="AB106"/>
  <c r="AB99"/>
  <c r="AB83"/>
  <c r="AB89"/>
  <c r="AB103"/>
  <c r="AB104"/>
  <c r="AB74"/>
  <c r="AB208" s="1"/>
  <c r="AB75"/>
  <c r="AB209" s="1"/>
  <c r="AB90"/>
  <c r="AB212" s="1"/>
  <c r="AB84"/>
  <c r="AB213" s="1"/>
  <c r="AB86"/>
  <c r="AB76"/>
  <c r="AB218" s="1"/>
  <c r="AB143"/>
  <c r="AB144" s="1"/>
  <c r="AC61"/>
  <c r="AB235" l="1"/>
  <c r="AB236" s="1"/>
  <c r="AB233"/>
  <c r="AB88"/>
  <c r="AB211" s="1"/>
  <c r="AA220"/>
  <c r="AA221" s="1"/>
  <c r="AA219"/>
  <c r="AC77"/>
  <c r="AC80"/>
  <c r="AC82"/>
  <c r="AC71"/>
  <c r="AC84"/>
  <c r="AC213" s="1"/>
  <c r="AC96"/>
  <c r="AC89"/>
  <c r="AC97"/>
  <c r="AC87"/>
  <c r="AC75"/>
  <c r="AC209" s="1"/>
  <c r="AC70"/>
  <c r="AC206" s="1"/>
  <c r="AC79"/>
  <c r="AC210" s="1"/>
  <c r="AC234" s="1"/>
  <c r="AC99"/>
  <c r="AC98"/>
  <c r="AC78"/>
  <c r="AC104"/>
  <c r="AC90"/>
  <c r="AC212" s="1"/>
  <c r="AC106"/>
  <c r="AC216"/>
  <c r="AC103"/>
  <c r="AC100"/>
  <c r="AC83"/>
  <c r="AC102"/>
  <c r="AC168" s="1"/>
  <c r="AC74"/>
  <c r="AC208" s="1"/>
  <c r="AD61"/>
  <c r="AC143"/>
  <c r="AC144" s="1"/>
  <c r="AC86"/>
  <c r="AC76"/>
  <c r="AC218" s="1"/>
  <c r="AB145"/>
  <c r="AB146" s="1"/>
  <c r="AB147"/>
  <c r="AB207"/>
  <c r="AC235" l="1"/>
  <c r="AC236" s="1"/>
  <c r="AC233"/>
  <c r="AB220"/>
  <c r="AB221" s="1"/>
  <c r="AB219"/>
  <c r="AC88"/>
  <c r="AC211" s="1"/>
  <c r="AD96"/>
  <c r="AD83"/>
  <c r="AD216"/>
  <c r="AD82"/>
  <c r="AD84"/>
  <c r="AD213" s="1"/>
  <c r="AD99"/>
  <c r="AD71"/>
  <c r="AD87"/>
  <c r="AD104"/>
  <c r="AD102"/>
  <c r="AD168" s="1"/>
  <c r="AD70"/>
  <c r="AD206" s="1"/>
  <c r="AD103"/>
  <c r="AD78"/>
  <c r="AD80"/>
  <c r="AD100"/>
  <c r="AD90"/>
  <c r="AD212" s="1"/>
  <c r="AD77"/>
  <c r="AD106"/>
  <c r="AD98"/>
  <c r="AD97"/>
  <c r="AD89"/>
  <c r="AD74"/>
  <c r="AD208" s="1"/>
  <c r="AD75"/>
  <c r="AD209" s="1"/>
  <c r="AD79"/>
  <c r="AD210" s="1"/>
  <c r="AD234" s="1"/>
  <c r="AD143"/>
  <c r="AD144" s="1"/>
  <c r="AD76"/>
  <c r="AD218" s="1"/>
  <c r="AD86"/>
  <c r="AE61"/>
  <c r="AC207"/>
  <c r="AC145"/>
  <c r="AC146" s="1"/>
  <c r="AC147"/>
  <c r="AD235" l="1"/>
  <c r="AD236" s="1"/>
  <c r="AD233"/>
  <c r="AC220"/>
  <c r="AC221" s="1"/>
  <c r="AC219"/>
  <c r="AD88"/>
  <c r="AD211" s="1"/>
  <c r="AD147"/>
  <c r="AD145"/>
  <c r="AD146" s="1"/>
  <c r="AE96"/>
  <c r="AE98"/>
  <c r="AE80"/>
  <c r="AE100"/>
  <c r="AE70"/>
  <c r="AE206" s="1"/>
  <c r="AE78"/>
  <c r="AE87"/>
  <c r="AE104"/>
  <c r="AE99"/>
  <c r="AE74"/>
  <c r="AE208" s="1"/>
  <c r="AE84"/>
  <c r="AE213" s="1"/>
  <c r="AE89"/>
  <c r="AE83"/>
  <c r="AE216"/>
  <c r="AE103"/>
  <c r="AE106"/>
  <c r="AE97"/>
  <c r="AE71"/>
  <c r="AE77"/>
  <c r="AE82"/>
  <c r="AE75"/>
  <c r="AE209" s="1"/>
  <c r="AE90"/>
  <c r="AE212" s="1"/>
  <c r="AE102"/>
  <c r="AE168" s="1"/>
  <c r="AE79"/>
  <c r="AE210" s="1"/>
  <c r="AE234" s="1"/>
  <c r="AE143"/>
  <c r="AE144" s="1"/>
  <c r="AE86"/>
  <c r="AE76"/>
  <c r="AE218" s="1"/>
  <c r="AF61"/>
  <c r="AD207"/>
  <c r="AE235" l="1"/>
  <c r="AE236" s="1"/>
  <c r="AE233"/>
  <c r="AD220"/>
  <c r="AD221" s="1"/>
  <c r="AD219"/>
  <c r="AE207"/>
  <c r="AE88"/>
  <c r="AE211" s="1"/>
  <c r="AE145"/>
  <c r="AE146" s="1"/>
  <c r="AE147"/>
  <c r="AF83"/>
  <c r="AF96"/>
  <c r="AF87"/>
  <c r="AF77"/>
  <c r="AF102"/>
  <c r="AF168" s="1"/>
  <c r="AF104"/>
  <c r="AF97"/>
  <c r="AF103"/>
  <c r="AF80"/>
  <c r="AF70"/>
  <c r="AF206" s="1"/>
  <c r="AF90"/>
  <c r="AF212" s="1"/>
  <c r="AF100"/>
  <c r="AF75"/>
  <c r="AF209" s="1"/>
  <c r="AF106"/>
  <c r="AF98"/>
  <c r="AF99"/>
  <c r="AF89"/>
  <c r="AF82"/>
  <c r="AF71"/>
  <c r="AF216"/>
  <c r="AF78"/>
  <c r="AF74"/>
  <c r="AF208" s="1"/>
  <c r="AF84"/>
  <c r="AF213" s="1"/>
  <c r="AF79"/>
  <c r="AF210" s="1"/>
  <c r="AF234" s="1"/>
  <c r="AF143"/>
  <c r="AF144" s="1"/>
  <c r="AF76"/>
  <c r="AF218" s="1"/>
  <c r="AG61"/>
  <c r="AF86"/>
  <c r="AF235" l="1"/>
  <c r="AF236" s="1"/>
  <c r="AF233"/>
  <c r="AE220"/>
  <c r="AE221" s="1"/>
  <c r="AE219"/>
  <c r="AF88"/>
  <c r="AF211" s="1"/>
  <c r="AF207"/>
  <c r="AG216"/>
  <c r="AG103"/>
  <c r="AG104"/>
  <c r="AG71"/>
  <c r="AH61"/>
  <c r="AG77"/>
  <c r="AJ61"/>
  <c r="AG106"/>
  <c r="AG102"/>
  <c r="AG74"/>
  <c r="AG70"/>
  <c r="AG75"/>
  <c r="AG79"/>
  <c r="AG89"/>
  <c r="AG76"/>
  <c r="AG218" s="1"/>
  <c r="AG90"/>
  <c r="AG97"/>
  <c r="AG99"/>
  <c r="AG84"/>
  <c r="AG86"/>
  <c r="AG82"/>
  <c r="AG87"/>
  <c r="AG98"/>
  <c r="AG96"/>
  <c r="AG80"/>
  <c r="AG100"/>
  <c r="AG143"/>
  <c r="AG78"/>
  <c r="AG83"/>
  <c r="AF147"/>
  <c r="AF145"/>
  <c r="AF146" s="1"/>
  <c r="AF220" l="1"/>
  <c r="AF221" s="1"/>
  <c r="AF219"/>
  <c r="AG144"/>
  <c r="AH143"/>
  <c r="AH98"/>
  <c r="X198"/>
  <c r="AJ98"/>
  <c r="Y198" s="1"/>
  <c r="AJ84"/>
  <c r="Y183" s="1"/>
  <c r="S242" s="1"/>
  <c r="AG213"/>
  <c r="AH84"/>
  <c r="X183"/>
  <c r="T242" s="1"/>
  <c r="AH76"/>
  <c r="AJ76"/>
  <c r="Y175" s="1"/>
  <c r="S246" s="1"/>
  <c r="X175"/>
  <c r="T246" s="1"/>
  <c r="AG207"/>
  <c r="AG219" s="1"/>
  <c r="AH219" s="1"/>
  <c r="AJ70"/>
  <c r="AH70"/>
  <c r="AG206"/>
  <c r="AH104"/>
  <c r="AJ104"/>
  <c r="X202"/>
  <c r="T245" s="1"/>
  <c r="AJ100"/>
  <c r="Y202" s="1"/>
  <c r="S245" s="1"/>
  <c r="AH100"/>
  <c r="AJ87"/>
  <c r="AH87"/>
  <c r="AJ99"/>
  <c r="Y199" s="1"/>
  <c r="AH99"/>
  <c r="X199"/>
  <c r="AH89"/>
  <c r="X185"/>
  <c r="AJ89"/>
  <c r="Y185" s="1"/>
  <c r="AH74"/>
  <c r="AJ74"/>
  <c r="AG208"/>
  <c r="AH77"/>
  <c r="AJ77"/>
  <c r="AJ103"/>
  <c r="AH103"/>
  <c r="AH83"/>
  <c r="AJ83"/>
  <c r="Y182" s="1"/>
  <c r="X182"/>
  <c r="AH80"/>
  <c r="X178"/>
  <c r="AJ80"/>
  <c r="Y178" s="1"/>
  <c r="X181"/>
  <c r="AH82"/>
  <c r="AJ82"/>
  <c r="Y181" s="1"/>
  <c r="AH97"/>
  <c r="X197"/>
  <c r="AJ97"/>
  <c r="Y197" s="1"/>
  <c r="AH79"/>
  <c r="AJ79"/>
  <c r="Y177" s="1"/>
  <c r="AG210"/>
  <c r="AG234" s="1"/>
  <c r="X177"/>
  <c r="AJ102"/>
  <c r="AH102"/>
  <c r="AG168"/>
  <c r="AH168" s="1"/>
  <c r="AH216"/>
  <c r="AJ216" s="1"/>
  <c r="X176"/>
  <c r="T243" s="1"/>
  <c r="AJ78"/>
  <c r="Y176" s="1"/>
  <c r="S243" s="1"/>
  <c r="AH78"/>
  <c r="AH96"/>
  <c r="X196"/>
  <c r="AJ96"/>
  <c r="Y196" s="1"/>
  <c r="AH86"/>
  <c r="AJ86"/>
  <c r="Y179" s="1"/>
  <c r="X179"/>
  <c r="AG88"/>
  <c r="AH90"/>
  <c r="AG212"/>
  <c r="X186"/>
  <c r="AJ90"/>
  <c r="Y186" s="1"/>
  <c r="AH75"/>
  <c r="AJ75"/>
  <c r="AG209"/>
  <c r="AH71"/>
  <c r="AJ71"/>
  <c r="G234" l="1"/>
  <c r="G235" s="1"/>
  <c r="G236" s="1"/>
  <c r="U234"/>
  <c r="G233"/>
  <c r="AG235"/>
  <c r="AG236" s="1"/>
  <c r="AG233"/>
  <c r="I234"/>
  <c r="K234"/>
  <c r="M234"/>
  <c r="O234"/>
  <c r="Q234"/>
  <c r="S234"/>
  <c r="H234"/>
  <c r="J234"/>
  <c r="L234"/>
  <c r="N234"/>
  <c r="P234"/>
  <c r="R234"/>
  <c r="T234"/>
  <c r="W179"/>
  <c r="Y200"/>
  <c r="AH218"/>
  <c r="AJ218" s="1"/>
  <c r="W196"/>
  <c r="W181"/>
  <c r="W177"/>
  <c r="W185"/>
  <c r="AJ88"/>
  <c r="AG211"/>
  <c r="AH88"/>
  <c r="AH210"/>
  <c r="AJ210" s="1"/>
  <c r="X200"/>
  <c r="W197"/>
  <c r="W182"/>
  <c r="W202"/>
  <c r="AJ230"/>
  <c r="W198"/>
  <c r="AH209"/>
  <c r="AJ209" s="1"/>
  <c r="W186"/>
  <c r="W176"/>
  <c r="W199"/>
  <c r="AH213"/>
  <c r="AJ213" s="1"/>
  <c r="AH212"/>
  <c r="AJ212" s="1"/>
  <c r="AJ226" s="1"/>
  <c r="W178"/>
  <c r="AG220"/>
  <c r="AH207"/>
  <c r="AJ207" s="1"/>
  <c r="AJ220" s="1"/>
  <c r="AJ236" s="1"/>
  <c r="AH208"/>
  <c r="AJ208" s="1"/>
  <c r="AJ221" s="1"/>
  <c r="AH206"/>
  <c r="AJ206" s="1"/>
  <c r="AJ219" s="1"/>
  <c r="W175"/>
  <c r="S247" s="1"/>
  <c r="T247"/>
  <c r="W183"/>
  <c r="AG147"/>
  <c r="AH144"/>
  <c r="AG145"/>
  <c r="U233" l="1"/>
  <c r="V233" s="1"/>
  <c r="V234"/>
  <c r="U235"/>
  <c r="AJ234"/>
  <c r="AJ233"/>
  <c r="T235"/>
  <c r="T233"/>
  <c r="P235"/>
  <c r="P236" s="1"/>
  <c r="P233"/>
  <c r="L235"/>
  <c r="L236" s="1"/>
  <c r="L233"/>
  <c r="H235"/>
  <c r="H236" s="1"/>
  <c r="H233"/>
  <c r="Q235"/>
  <c r="Q236" s="1"/>
  <c r="Q233"/>
  <c r="M235"/>
  <c r="M236" s="1"/>
  <c r="M233"/>
  <c r="I235"/>
  <c r="I236" s="1"/>
  <c r="I233"/>
  <c r="R233"/>
  <c r="R235"/>
  <c r="R236" s="1"/>
  <c r="N233"/>
  <c r="N235"/>
  <c r="N236" s="1"/>
  <c r="J233"/>
  <c r="AH233" s="1"/>
  <c r="J235"/>
  <c r="AH234"/>
  <c r="S235"/>
  <c r="S236" s="1"/>
  <c r="S233"/>
  <c r="O235"/>
  <c r="O236" s="1"/>
  <c r="O233"/>
  <c r="K235"/>
  <c r="K236" s="1"/>
  <c r="K233"/>
  <c r="AJ224"/>
  <c r="AJ223"/>
  <c r="AH220"/>
  <c r="AG221"/>
  <c r="AH221" s="1"/>
  <c r="W200"/>
  <c r="AH145"/>
  <c r="AG146"/>
  <c r="AH146" s="1"/>
  <c r="P242"/>
  <c r="P243"/>
  <c r="P245"/>
  <c r="AH211"/>
  <c r="AJ211" s="1"/>
  <c r="AJ225" s="1"/>
  <c r="U236" l="1"/>
  <c r="V236" s="1"/>
  <c r="V235"/>
  <c r="J236"/>
  <c r="AH236" s="1"/>
  <c r="AH235"/>
  <c r="T236"/>
</calcChain>
</file>

<file path=xl/comments1.xml><?xml version="1.0" encoding="utf-8"?>
<comments xmlns="http://schemas.openxmlformats.org/spreadsheetml/2006/main">
  <authors>
    <author>Author</author>
  </authors>
  <commentList>
    <comment ref="B168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ability for company to pay interest on outstanding debt.
Lesser ratio is risky...</t>
        </r>
      </text>
    </comment>
    <comment ref="S17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Rationalized avg EPS</t>
        </r>
      </text>
    </comment>
    <comment ref="T17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Rationalized avg EPS</t>
        </r>
      </text>
    </comment>
    <comment ref="B207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payback period</t>
        </r>
      </text>
    </comment>
    <comment ref="B220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  <comment ref="B225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  <comment ref="B230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  <comment ref="B235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</commentList>
</comments>
</file>

<file path=xl/sharedStrings.xml><?xml version="1.0" encoding="utf-8"?>
<sst xmlns="http://schemas.openxmlformats.org/spreadsheetml/2006/main" count="764" uniqueCount="510">
  <si>
    <t>#</t>
  </si>
  <si>
    <t>CAGR</t>
  </si>
  <si>
    <t>Cash and equivalents</t>
  </si>
  <si>
    <t>Total Liabilities</t>
  </si>
  <si>
    <t>in INR Cr</t>
  </si>
  <si>
    <t>Y1</t>
  </si>
  <si>
    <t>Y2</t>
  </si>
  <si>
    <t>Y3</t>
  </si>
  <si>
    <t>Y4</t>
  </si>
  <si>
    <t>Y5</t>
  </si>
  <si>
    <t>Networth (reserves only)</t>
  </si>
  <si>
    <t>Total Current Assets</t>
  </si>
  <si>
    <t>Net Current Assets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</si>
  <si>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</si>
  <si>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</si>
  <si>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</si>
  <si>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</si>
  <si>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</si>
  <si>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</si>
  <si>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</si>
  <si>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</si>
  <si>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</si>
  <si>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</si>
  <si>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</si>
  <si>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</si>
  <si>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</si>
  <si>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</si>
  <si>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</si>
  <si>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</si>
  <si>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</si>
  <si>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</si>
  <si>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</si>
  <si>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</si>
  <si>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</si>
  <si>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</si>
  <si>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</si>
  <si>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</si>
  <si>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</si>
  <si>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</si>
  <si>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</si>
  <si>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</si>
  <si>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</si>
  <si>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</si>
  <si>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</si>
  <si>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</si>
  <si>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</si>
  <si>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</si>
  <si>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</si>
  <si>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</si>
  <si>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</si>
  <si>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</si>
  <si>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</si>
  <si>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</si>
  <si>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</si>
  <si>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</si>
  <si>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</si>
  <si>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</si>
  <si>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</si>
  <si>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</si>
  <si>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</si>
  <si>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</si>
  <si>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</si>
  <si>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</si>
  <si>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</si>
  <si>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</si>
  <si>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</si>
  <si>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</si>
  <si>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</si>
  <si>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</si>
  <si>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</si>
  <si>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</si>
  <si>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</si>
  <si>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</si>
  <si>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</si>
  <si>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</si>
  <si>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</si>
  <si>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</si>
  <si>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</si>
  <si>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</si>
  <si>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</si>
  <si>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</si>
  <si>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</si>
  <si>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</si>
  <si>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</si>
  <si>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</si>
  <si>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</si>
  <si>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</si>
  <si>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</si>
  <si>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</si>
  <si>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</si>
  <si>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</si>
  <si>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</si>
  <si>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</si>
  <si>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</si>
  <si>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</si>
  <si>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</si>
  <si>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</si>
  <si>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</si>
  <si>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</si>
  <si>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</si>
  <si>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</si>
  <si>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</si>
  <si>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</si>
  <si>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</si>
  <si>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</si>
  <si>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</si>
  <si>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</si>
  <si>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</si>
  <si>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</si>
  <si>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</si>
  <si>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</si>
  <si>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</si>
  <si>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</si>
  <si>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</si>
  <si>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</si>
  <si>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</si>
  <si>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</si>
  <si>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</si>
  <si>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</si>
  <si>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</si>
  <si>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</si>
  <si>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</si>
  <si>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</si>
  <si>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</si>
  <si>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</si>
  <si>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</si>
  <si>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</si>
  <si>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</si>
  <si>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</si>
  <si>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</si>
  <si>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</si>
  <si>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</si>
  <si>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</si>
  <si>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</si>
  <si>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</si>
  <si>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</si>
  <si>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</si>
  <si>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</si>
  <si>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</si>
  <si>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</si>
  <si>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</si>
  <si>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</si>
  <si>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</si>
  <si>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</si>
  <si>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</si>
  <si>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</si>
  <si>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</si>
  <si>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</si>
  <si>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</si>
  <si>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</si>
  <si>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</si>
  <si>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</si>
  <si>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</si>
  <si>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</si>
  <si>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</si>
  <si>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</si>
  <si>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</si>
  <si>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</si>
  <si>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</si>
  <si>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</si>
  <si>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</si>
  <si>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</si>
  <si>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</si>
  <si>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</si>
  <si>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</si>
  <si>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</si>
  <si>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</si>
  <si>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</si>
  <si>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</si>
  <si>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</si>
  <si>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</si>
  <si>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</si>
  <si>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</si>
  <si>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</si>
  <si>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</si>
  <si>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</si>
  <si>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</si>
  <si>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</si>
  <si>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</si>
  <si>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</si>
  <si>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</si>
  <si>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</si>
  <si>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</si>
  <si>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</si>
  <si>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</si>
  <si>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</si>
  <si>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</si>
  <si>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</si>
  <si>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</si>
  <si>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</si>
  <si>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</si>
  <si>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Investments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</si>
  <si>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</si>
  <si>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</si>
  <si>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</si>
  <si>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</si>
  <si>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</si>
  <si>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</si>
  <si>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</si>
  <si>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</si>
  <si>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</si>
  <si>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</si>
  <si>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</si>
  <si>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</si>
  <si>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</si>
  <si>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</si>
  <si>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</si>
  <si>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</si>
  <si>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</si>
  <si>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</si>
  <si>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</si>
  <si>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</si>
  <si>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</si>
  <si>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</si>
  <si>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</si>
  <si>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</si>
  <si>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</si>
  <si>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</si>
  <si>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</si>
  <si>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Net Profit Margin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</si>
  <si>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</si>
  <si>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</si>
  <si>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</si>
  <si>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</si>
  <si>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</si>
  <si>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</si>
  <si>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</si>
  <si>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</si>
  <si>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</si>
  <si>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</si>
  <si>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</si>
  <si>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</si>
  <si>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</si>
  <si>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</si>
  <si>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</si>
  <si>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</si>
  <si>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</si>
  <si>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</si>
  <si>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</si>
  <si>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</si>
  <si>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</si>
  <si>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</si>
  <si>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</si>
  <si>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</si>
  <si>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</si>
  <si>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</si>
  <si>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</si>
  <si>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</si>
  <si>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</si>
  <si>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</si>
  <si>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</si>
  <si>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</si>
  <si>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</si>
  <si>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</si>
  <si>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</si>
  <si>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</si>
  <si>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</si>
  <si>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Operating Profit Margin</t>
  </si>
  <si>
    <t>Profitability Ratios</t>
  </si>
  <si>
    <t>Reserves per share</t>
  </si>
  <si>
    <t>if NEGATIVE, then stock is in DISCOUNT, if POSITIVE, then stock is in PREMIUM</t>
  </si>
  <si>
    <t>Company Name</t>
  </si>
  <si>
    <t>Net Cash Flow (Operations + Investments)</t>
  </si>
  <si>
    <t>Net Cash Flow (Operations + Investments) per share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</si>
  <si>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</si>
  <si>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</si>
  <si>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</si>
  <si>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</si>
  <si>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</si>
  <si>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</si>
  <si>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</si>
  <si>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</si>
  <si>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</si>
  <si>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</si>
  <si>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</si>
  <si>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</si>
  <si>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</si>
  <si>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</si>
  <si>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</si>
  <si>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</si>
  <si>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</si>
  <si>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</si>
  <si>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Desc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</si>
  <si>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</si>
  <si>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</si>
  <si>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</si>
  <si>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</si>
  <si>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</si>
  <si>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</si>
  <si>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</si>
  <si>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</si>
  <si>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</si>
  <si>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</si>
  <si>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</si>
  <si>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</si>
  <si>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</si>
  <si>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</si>
  <si>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Quick ratio (CA/CL) - preferred is 1</t>
  </si>
  <si>
    <t>COGS per day in Cr</t>
  </si>
  <si>
    <t>Avg per day sales in Cr</t>
  </si>
  <si>
    <t>Debt to capitalization ratio (l.T.L + SHE)</t>
  </si>
  <si>
    <t>RONW or ROE</t>
  </si>
  <si>
    <t>ROI i.e ROCE</t>
  </si>
  <si>
    <t>P/Sales per share</t>
  </si>
  <si>
    <t>Other Ratio's</t>
  </si>
  <si>
    <t>Avg Working Capital (CA-CL) i.e. Net Current Assets</t>
  </si>
  <si>
    <t>Days Working Capital (W.C*365/Sales)</t>
  </si>
  <si>
    <t>Cuurent Ratio (CA/CL) - preferred &gt;=1.25-1.33</t>
  </si>
  <si>
    <t>Debt to Equity Ratio &lt; 1/1 (For heaving ind &lt; 4/1)</t>
  </si>
  <si>
    <t>Interest Coverage ratio - EBITDA/Interest &gt; 1.5 to 2</t>
  </si>
  <si>
    <t>Interest Out go/ Net Profit</t>
  </si>
  <si>
    <t>Interest Out go/Operating Profit</t>
  </si>
  <si>
    <t>Interest Out go/Net cash and cash eqv</t>
  </si>
  <si>
    <t>Earnings yield/ratio (to compare with other investment options)</t>
  </si>
  <si>
    <t>Peak</t>
  </si>
  <si>
    <t>Inventories</t>
  </si>
  <si>
    <t>Inventory Turnover (Sales/inventory) - higher better</t>
  </si>
  <si>
    <t>Inventory Turnover (COGS/inventory) - higher better</t>
  </si>
  <si>
    <t>Cash Profit Margin (Net cash from ops/Rev), higher better</t>
  </si>
  <si>
    <t>Bonus + Stock Split Calculator</t>
  </si>
  <si>
    <t>Bonus Cal</t>
  </si>
  <si>
    <t>X</t>
  </si>
  <si>
    <t>Y</t>
  </si>
  <si>
    <t>Multiple</t>
  </si>
  <si>
    <t>Addition</t>
  </si>
  <si>
    <t>Held</t>
  </si>
  <si>
    <t>B-1</t>
  </si>
  <si>
    <t>B-2</t>
  </si>
  <si>
    <t>S-1</t>
  </si>
  <si>
    <t>Result Quantity</t>
  </si>
  <si>
    <t>Cash EPS (Net Profit per share)</t>
  </si>
  <si>
    <t>P/E (how many years it will take to recover invested amount)</t>
  </si>
  <si>
    <t>Current</t>
  </si>
  <si>
    <t>Preferred</t>
  </si>
  <si>
    <t>Overall gains</t>
  </si>
  <si>
    <t>Total Gain</t>
  </si>
  <si>
    <t>Multiplication - x</t>
  </si>
  <si>
    <t>Payback Period - with Last EPS i.e. P/EPSlast</t>
  </si>
  <si>
    <t>Payback Period -in years  with Avg EPS i.e. P/EPSavg</t>
  </si>
  <si>
    <t>B-3</t>
  </si>
  <si>
    <t>Avg growth rate</t>
  </si>
  <si>
    <t>% Discount (Price / Cash) Cash means Net Cash &amp; Cash Equivalent per share</t>
  </si>
  <si>
    <t>Profit before Tax (PBT)</t>
  </si>
  <si>
    <t>Net Earnings (Net Profit or PAT)</t>
  </si>
  <si>
    <t>Interest Coverage ratio (Earnings/Interest Outgo)</t>
  </si>
  <si>
    <t>Interest Coverage ratio (Operating Profit /Interest Outgo)</t>
  </si>
  <si>
    <t>Interest Coverage ratio (Net Profit /Interest Outgo)</t>
  </si>
  <si>
    <t>Interest Coverage ratio (Cash Only /Interest Outgo)</t>
  </si>
  <si>
    <t>Interest Coverage ratio (Net-cash and cash equivalent /Interest Outgo)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</si>
  <si>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</si>
  <si>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</si>
  <si>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</si>
  <si>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</si>
  <si>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</si>
  <si>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</si>
  <si>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</si>
  <si>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</si>
  <si>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</si>
  <si>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</si>
  <si>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</si>
  <si>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</si>
  <si>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</si>
  <si>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</si>
  <si>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</si>
  <si>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</si>
  <si>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</si>
  <si>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Bonus issue</t>
  </si>
  <si>
    <t>Rights issue</t>
  </si>
  <si>
    <t>Stock Split - FV</t>
  </si>
  <si>
    <t>Tax paid (PBT-Net Profit)</t>
  </si>
  <si>
    <t>Tax Paid % (Tax Paid/ Revenue)</t>
  </si>
  <si>
    <t>Next 10 yrs</t>
  </si>
  <si>
    <t>Going Concern</t>
  </si>
  <si>
    <t>Qualitative Description</t>
  </si>
  <si>
    <t>Quantitative Description</t>
  </si>
  <si>
    <t>Industry/Sector</t>
  </si>
  <si>
    <t>History</t>
  </si>
  <si>
    <t>Management</t>
  </si>
  <si>
    <t>Brand</t>
  </si>
  <si>
    <t>Expected RoR</t>
  </si>
  <si>
    <t>Firm</t>
  </si>
  <si>
    <t>Growth Style</t>
  </si>
  <si>
    <t>Differentiation</t>
  </si>
  <si>
    <t>General</t>
  </si>
  <si>
    <t>Competition</t>
  </si>
  <si>
    <t>Risk</t>
  </si>
  <si>
    <t>Downside</t>
  </si>
  <si>
    <t>Key People</t>
  </si>
  <si>
    <t>Worst</t>
  </si>
  <si>
    <t>Pessimistic</t>
  </si>
  <si>
    <t>Expected</t>
  </si>
  <si>
    <t>Optimistic</t>
  </si>
  <si>
    <t>Dividend Paid from Operations</t>
  </si>
  <si>
    <t>b</t>
  </si>
  <si>
    <t>Actual</t>
  </si>
  <si>
    <t>B-4</t>
  </si>
  <si>
    <t>B-5</t>
  </si>
  <si>
    <t>B-6</t>
  </si>
  <si>
    <t>S-2</t>
  </si>
  <si>
    <t>Free cash Flow (per Share)</t>
  </si>
  <si>
    <t>Total R&amp;D (capex+opex)/Total Sales</t>
  </si>
  <si>
    <t>Free cash flow i.e. Net Cash Flow (Operations - Investments) per share</t>
  </si>
  <si>
    <t>EBITDA (per share details)</t>
  </si>
  <si>
    <t>PBT (before extraordinary per share)</t>
  </si>
  <si>
    <t>P/EBITDA (operating Profit)</t>
  </si>
  <si>
    <t>P/PBT (Profit before tax, extraordinary items)</t>
  </si>
  <si>
    <t>Required RoR</t>
  </si>
  <si>
    <t>Rationalized EPS with current shareholding</t>
  </si>
  <si>
    <t>last EPS</t>
  </si>
  <si>
    <t>Not applicable</t>
  </si>
  <si>
    <t>Avg 5 yrs</t>
  </si>
  <si>
    <r>
      <t>P/EPSavg (current FY and</t>
    </r>
    <r>
      <rPr>
        <b/>
        <sz val="10"/>
        <color rgb="FFFF0000"/>
        <rFont val="Cambria"/>
        <family val="1"/>
        <scheme val="major"/>
      </rPr>
      <t xml:space="preserve"> last 5 years</t>
    </r>
    <r>
      <rPr>
        <sz val="10"/>
        <color theme="1"/>
        <rFont val="Cambria"/>
        <family val="1"/>
        <scheme val="major"/>
      </rPr>
      <t>)</t>
    </r>
  </si>
  <si>
    <t>Gross Deposits</t>
  </si>
  <si>
    <t>Gross Borrowings</t>
  </si>
  <si>
    <t>Cash &amp; Balances with RBI</t>
  </si>
  <si>
    <t>Advances</t>
  </si>
  <si>
    <t>Balance with Banks, Money at Call</t>
  </si>
  <si>
    <t>Other Liabilities &amp; provisions</t>
  </si>
  <si>
    <t>For Banks  only</t>
  </si>
  <si>
    <t>Total Assets/Liabilities</t>
  </si>
  <si>
    <t>Earnings / (Gross Advances)</t>
  </si>
  <si>
    <t>Net profit / Advances</t>
  </si>
  <si>
    <t>Net profit / (Gross Deposit + Borrowings)</t>
  </si>
  <si>
    <t>Advances / (gross Deposit + Borrowings)</t>
  </si>
  <si>
    <t>Advances/(Loan Fund or Borrowings)</t>
  </si>
  <si>
    <t>Earnings / (Gross Deposit + Borrowings)</t>
  </si>
  <si>
    <t>Credit Deposit Ratio (advances / Deposits)</t>
  </si>
  <si>
    <t>Net Profit / (Total Assets/Liabilities)</t>
  </si>
  <si>
    <t>Other Income</t>
  </si>
  <si>
    <t>Other Income / Earnings</t>
  </si>
  <si>
    <t>Operating profit per share</t>
  </si>
  <si>
    <t>Net Profit per share</t>
  </si>
  <si>
    <t>PEG (Preferred less than 1; Greater than 1 means costly)</t>
  </si>
  <si>
    <t>Discount/Prem to PEG (-ve means Discount, Positive means Premium)</t>
  </si>
  <si>
    <t>Discount/Prem to PEG (avg) - (-ve means Discount, Positive means Premium)</t>
  </si>
  <si>
    <t>Present Value with single cash flow</t>
  </si>
  <si>
    <t>Future Value with Single cash flow</t>
  </si>
  <si>
    <t>Vix</t>
  </si>
  <si>
    <t>Dad</t>
  </si>
  <si>
    <t>Future value</t>
  </si>
  <si>
    <t>Present Value</t>
  </si>
  <si>
    <t>Script</t>
  </si>
  <si>
    <t>Change</t>
  </si>
  <si>
    <t>Rank</t>
  </si>
  <si>
    <t>TO</t>
  </si>
  <si>
    <t>Status</t>
  </si>
  <si>
    <t>Interest rate</t>
  </si>
  <si>
    <t>Canara Bank</t>
  </si>
  <si>
    <t>No. of yrs</t>
  </si>
  <si>
    <t>PNB</t>
  </si>
  <si>
    <t>ok</t>
  </si>
  <si>
    <t>Praj</t>
  </si>
  <si>
    <t>CIL</t>
  </si>
  <si>
    <t>Future Value</t>
  </si>
  <si>
    <t>ITC</t>
  </si>
  <si>
    <t>Diff in value</t>
  </si>
  <si>
    <t>BHEL</t>
  </si>
  <si>
    <t>L&amp;T</t>
  </si>
  <si>
    <t>BoB</t>
  </si>
  <si>
    <t>Present Value of an Annuity</t>
  </si>
  <si>
    <t>Future Value of an Annuity - Ordinary</t>
  </si>
  <si>
    <t>PMT</t>
  </si>
  <si>
    <t>PVIFAn</t>
  </si>
  <si>
    <t>FVIFAn</t>
  </si>
  <si>
    <t>PVAn</t>
  </si>
  <si>
    <t>FVAn</t>
  </si>
  <si>
    <t>Present Value of an Annuity - Due</t>
  </si>
  <si>
    <t>Future Value of an Annuity - Due</t>
  </si>
  <si>
    <t>Growth rate</t>
  </si>
  <si>
    <t>Double in years</t>
  </si>
  <si>
    <t>PVAn (due)</t>
  </si>
  <si>
    <t>FVAn (due)</t>
  </si>
  <si>
    <t>In INR Cr</t>
  </si>
  <si>
    <t>FV in Cr</t>
  </si>
  <si>
    <t>Ordinary Annuities</t>
  </si>
  <si>
    <r>
      <t xml:space="preserve">Payments are made </t>
    </r>
    <r>
      <rPr>
        <b/>
        <u/>
        <sz val="11"/>
        <color theme="1"/>
        <rFont val="Calibri"/>
        <family val="2"/>
        <scheme val="minor"/>
      </rPr>
      <t>at end</t>
    </r>
    <r>
      <rPr>
        <sz val="11"/>
        <color theme="1"/>
        <rFont val="Calibri"/>
        <family val="2"/>
        <scheme val="minor"/>
      </rPr>
      <t xml:space="preserve"> of each period</t>
    </r>
  </si>
  <si>
    <t>Annuities Due</t>
  </si>
  <si>
    <r>
      <t xml:space="preserve">payments are made </t>
    </r>
    <r>
      <rPr>
        <b/>
        <u/>
        <sz val="11"/>
        <color theme="1"/>
        <rFont val="Calibri"/>
        <family val="2"/>
        <scheme val="minor"/>
      </rPr>
      <t>at start</t>
    </r>
    <r>
      <rPr>
        <sz val="11"/>
        <color theme="1"/>
        <rFont val="Calibri"/>
        <family val="2"/>
        <scheme val="minor"/>
      </rPr>
      <t xml:space="preserve"> of each period</t>
    </r>
  </si>
  <si>
    <t>Future Value for Different Cash flow and Interest Rate for 30yrs</t>
  </si>
  <si>
    <t>Initial Balance (at start of yr)</t>
  </si>
  <si>
    <t>Amt. invested (end of current yr)</t>
  </si>
  <si>
    <t>Interest %</t>
  </si>
  <si>
    <t>Interest</t>
  </si>
  <si>
    <t>Closing balance (End of current yr)</t>
  </si>
  <si>
    <t>Amt. invested (start of current yr)</t>
  </si>
  <si>
    <t>Yr</t>
  </si>
  <si>
    <t>Future value of Total Annuity</t>
  </si>
  <si>
    <t>in Cr</t>
  </si>
  <si>
    <t>Present value</t>
  </si>
  <si>
    <t xml:space="preserve"> Annuities Due</t>
  </si>
  <si>
    <r>
      <t xml:space="preserve">Payments are made </t>
    </r>
    <r>
      <rPr>
        <b/>
        <u/>
        <sz val="11"/>
        <color theme="1"/>
        <rFont val="Calibri"/>
        <family val="2"/>
        <scheme val="minor"/>
      </rPr>
      <t>at start</t>
    </r>
    <r>
      <rPr>
        <sz val="11"/>
        <color theme="1"/>
        <rFont val="Calibri"/>
        <family val="2"/>
        <scheme val="minor"/>
      </rPr>
      <t xml:space="preserve"> of each period</t>
    </r>
  </si>
  <si>
    <t>Present Value for Different Cash flow and Discount Rate for 30yrs</t>
  </si>
  <si>
    <t>Amt. Received (end of current yr)</t>
  </si>
  <si>
    <t>Present Value of that yr</t>
  </si>
  <si>
    <t>Total Present Value</t>
  </si>
  <si>
    <t>Initial Balance 
(at start of yr)</t>
  </si>
  <si>
    <t>Amt. Received (startof current yr)</t>
  </si>
  <si>
    <t>Present value of Total Annuity</t>
  </si>
  <si>
    <r>
      <t xml:space="preserve">P/EPSavg (current FY and </t>
    </r>
    <r>
      <rPr>
        <b/>
        <sz val="10"/>
        <color rgb="FFFF0000"/>
        <rFont val="Cambria"/>
        <family val="1"/>
        <scheme val="major"/>
      </rPr>
      <t>forward 10 years</t>
    </r>
    <r>
      <rPr>
        <sz val="10"/>
        <color theme="1"/>
        <rFont val="Cambria"/>
        <family val="1"/>
        <scheme val="major"/>
      </rPr>
      <t>)</t>
    </r>
  </si>
  <si>
    <t>xxxx</t>
  </si>
  <si>
    <t>Avg 14 yrs</t>
  </si>
  <si>
    <t>Avg10 yrs</t>
  </si>
  <si>
    <r>
      <t xml:space="preserve">P/EPSavg (current FY and </t>
    </r>
    <r>
      <rPr>
        <b/>
        <u/>
        <sz val="10"/>
        <color rgb="FFFF0000"/>
        <rFont val="Cambria"/>
        <family val="1"/>
        <scheme val="major"/>
      </rPr>
      <t>last 14 years</t>
    </r>
    <r>
      <rPr>
        <sz val="10"/>
        <color theme="1"/>
        <rFont val="Cambria"/>
        <family val="1"/>
        <scheme val="major"/>
      </rPr>
      <t>)</t>
    </r>
  </si>
  <si>
    <t>Earnings Yield (rationalized EPS)</t>
  </si>
  <si>
    <t>Earnings Yield (After 10 years)</t>
  </si>
  <si>
    <t>Depreciation</t>
  </si>
  <si>
    <t>Provisions</t>
  </si>
  <si>
    <t>Required Rate of Return</t>
  </si>
  <si>
    <t>Top Expenses ( Employee )</t>
  </si>
  <si>
    <t>2nd highest Expenses Comp. ( SG&amp;A Misc expense )</t>
  </si>
</sst>
</file>

<file path=xl/styles.xml><?xml version="1.0" encoding="utf-8"?>
<styleSheet xmlns="http://schemas.openxmlformats.org/spreadsheetml/2006/main">
  <numFmts count="19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#,##0.00_ ;[Red]\-#,##0.00\ "/>
    <numFmt numFmtId="174" formatCode="#,##0_ ;[Red]\-#,##0\ "/>
    <numFmt numFmtId="175" formatCode="0_);[Red]\(0\)"/>
    <numFmt numFmtId="176" formatCode="0.00_);[Red]\(0.00\)"/>
    <numFmt numFmtId="177" formatCode="#,##0.0_ ;[Red]\-#,##0.0\ "/>
    <numFmt numFmtId="178" formatCode="#,##0.0;[Red]\-#,##0.0"/>
    <numFmt numFmtId="179" formatCode="#,##0.000"/>
    <numFmt numFmtId="180" formatCode="_ * #,##0.00_ ;_ * \-#,##0.00_ ;_ * &quot;-&quot;??_ ;_ @_ "/>
    <numFmt numFmtId="181" formatCode="[$₹-861]#,##0.00;[Red][$₹-861]#,##0.00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sz val="10"/>
      <color rgb="FF0070C0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i/>
      <sz val="10"/>
      <color theme="1"/>
      <name val="Cambria"/>
      <family val="1"/>
      <scheme val="major"/>
    </font>
    <font>
      <b/>
      <u/>
      <sz val="10"/>
      <color rgb="FFFF0000"/>
      <name val="Cambria"/>
      <family val="1"/>
      <scheme val="major"/>
    </font>
    <font>
      <b/>
      <sz val="10"/>
      <color rgb="FFFF0000"/>
      <name val="Cambria"/>
      <family val="1"/>
      <scheme val="major"/>
    </font>
    <font>
      <sz val="10"/>
      <color theme="5" tint="-0.249977111117893"/>
      <name val="Cambria"/>
      <family val="1"/>
      <scheme val="major"/>
    </font>
    <font>
      <sz val="11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24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172" fontId="4" fillId="5" borderId="1" xfId="0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40" fontId="4" fillId="5" borderId="1" xfId="0" applyNumberFormat="1" applyFont="1" applyFill="1" applyBorder="1"/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3" fontId="4" fillId="5" borderId="1" xfId="0" applyNumberFormat="1" applyFont="1" applyFill="1" applyBorder="1"/>
    <xf numFmtId="0" fontId="7" fillId="5" borderId="1" xfId="0" applyFont="1" applyFill="1" applyBorder="1"/>
    <xf numFmtId="1" fontId="7" fillId="5" borderId="1" xfId="0" applyNumberFormat="1" applyFont="1" applyFill="1" applyBorder="1"/>
    <xf numFmtId="1" fontId="7" fillId="5" borderId="1" xfId="2" applyNumberFormat="1" applyFont="1" applyFill="1" applyBorder="1"/>
    <xf numFmtId="40" fontId="4" fillId="5" borderId="1" xfId="2" applyNumberFormat="1" applyFont="1" applyFill="1" applyBorder="1"/>
    <xf numFmtId="43" fontId="7" fillId="5" borderId="1" xfId="2" applyNumberFormat="1" applyFont="1" applyFill="1" applyBorder="1"/>
    <xf numFmtId="174" fontId="4" fillId="5" borderId="1" xfId="2" applyNumberFormat="1" applyFont="1" applyFill="1" applyBorder="1"/>
    <xf numFmtId="174" fontId="7" fillId="5" borderId="1" xfId="2" applyNumberFormat="1" applyFont="1" applyFill="1" applyBorder="1"/>
    <xf numFmtId="0" fontId="9" fillId="5" borderId="1" xfId="0" applyFont="1" applyFill="1" applyBorder="1"/>
    <xf numFmtId="174" fontId="9" fillId="5" borderId="1" xfId="2" applyNumberFormat="1" applyFont="1" applyFill="1" applyBorder="1"/>
    <xf numFmtId="9" fontId="8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4" fontId="4" fillId="5" borderId="1" xfId="0" applyNumberFormat="1" applyFont="1" applyFill="1" applyBorder="1"/>
    <xf numFmtId="174" fontId="5" fillId="5" borderId="1" xfId="0" applyNumberFormat="1" applyFont="1" applyFill="1" applyBorder="1"/>
    <xf numFmtId="174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0" fillId="5" borderId="1" xfId="2" applyNumberFormat="1" applyFont="1" applyFill="1" applyBorder="1"/>
    <xf numFmtId="168" fontId="4" fillId="5" borderId="1" xfId="1" applyNumberFormat="1" applyFont="1" applyFill="1" applyBorder="1"/>
    <xf numFmtId="1" fontId="4" fillId="5" borderId="4" xfId="0" applyNumberFormat="1" applyFont="1" applyFill="1" applyBorder="1"/>
    <xf numFmtId="175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4" fontId="4" fillId="0" borderId="1" xfId="2" applyNumberFormat="1" applyFont="1" applyBorder="1"/>
    <xf numFmtId="0" fontId="5" fillId="0" borderId="1" xfId="0" applyFont="1" applyBorder="1"/>
    <xf numFmtId="43" fontId="5" fillId="0" borderId="1" xfId="2" applyNumberFormat="1" applyFont="1" applyBorder="1"/>
    <xf numFmtId="9" fontId="4" fillId="5" borderId="1" xfId="1" applyNumberFormat="1" applyFont="1" applyFill="1" applyBorder="1"/>
    <xf numFmtId="0" fontId="4" fillId="6" borderId="1" xfId="0" applyFont="1" applyFill="1" applyBorder="1" applyAlignment="1">
      <alignment horizontal="center"/>
    </xf>
    <xf numFmtId="164" fontId="4" fillId="5" borderId="1" xfId="0" applyNumberFormat="1" applyFont="1" applyFill="1" applyBorder="1"/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/>
    <xf numFmtId="0" fontId="4" fillId="5" borderId="5" xfId="0" applyFont="1" applyFill="1" applyBorder="1"/>
    <xf numFmtId="0" fontId="4" fillId="5" borderId="6" xfId="0" applyFont="1" applyFill="1" applyBorder="1"/>
    <xf numFmtId="43" fontId="4" fillId="5" borderId="1" xfId="2" applyFont="1" applyFill="1" applyBorder="1"/>
    <xf numFmtId="2" fontId="4" fillId="5" borderId="1" xfId="1" applyNumberFormat="1" applyFont="1" applyFill="1" applyBorder="1"/>
    <xf numFmtId="176" fontId="4" fillId="5" borderId="1" xfId="0" applyNumberFormat="1" applyFont="1" applyFill="1" applyBorder="1"/>
    <xf numFmtId="16" fontId="5" fillId="5" borderId="1" xfId="0" applyNumberFormat="1" applyFont="1" applyFill="1" applyBorder="1"/>
    <xf numFmtId="9" fontId="4" fillId="6" borderId="1" xfId="0" applyNumberFormat="1" applyFont="1" applyFill="1" applyBorder="1" applyAlignment="1">
      <alignment horizontal="center"/>
    </xf>
    <xf numFmtId="177" fontId="4" fillId="5" borderId="1" xfId="0" applyNumberFormat="1" applyFont="1" applyFill="1" applyBorder="1"/>
    <xf numFmtId="178" fontId="4" fillId="5" borderId="1" xfId="0" applyNumberFormat="1" applyFont="1" applyFill="1" applyBorder="1"/>
    <xf numFmtId="0" fontId="14" fillId="5" borderId="0" xfId="0" applyFont="1" applyFill="1"/>
    <xf numFmtId="0" fontId="14" fillId="5" borderId="1" xfId="0" applyFont="1" applyFill="1" applyBorder="1"/>
    <xf numFmtId="0" fontId="5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9" fontId="4" fillId="10" borderId="1" xfId="0" applyNumberFormat="1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9" fontId="5" fillId="5" borderId="1" xfId="1" applyFont="1" applyFill="1" applyBorder="1"/>
    <xf numFmtId="0" fontId="5" fillId="10" borderId="1" xfId="0" applyFont="1" applyFill="1" applyBorder="1"/>
    <xf numFmtId="0" fontId="5" fillId="11" borderId="1" xfId="0" applyFont="1" applyFill="1" applyBorder="1"/>
    <xf numFmtId="0" fontId="4" fillId="10" borderId="1" xfId="0" applyFont="1" applyFill="1" applyBorder="1"/>
    <xf numFmtId="1" fontId="4" fillId="10" borderId="1" xfId="0" applyNumberFormat="1" applyFont="1" applyFill="1" applyBorder="1"/>
    <xf numFmtId="0" fontId="5" fillId="5" borderId="1" xfId="0" applyFont="1" applyFill="1" applyBorder="1" applyAlignment="1">
      <alignment horizontal="right"/>
    </xf>
    <xf numFmtId="43" fontId="4" fillId="5" borderId="4" xfId="0" applyNumberFormat="1" applyFont="1" applyFill="1" applyBorder="1"/>
    <xf numFmtId="43" fontId="4" fillId="5" borderId="6" xfId="0" applyNumberFormat="1" applyFont="1" applyFill="1" applyBorder="1"/>
    <xf numFmtId="0" fontId="15" fillId="5" borderId="1" xfId="0" applyFont="1" applyFill="1" applyBorder="1" applyAlignment="1">
      <alignment horizontal="right"/>
    </xf>
    <xf numFmtId="0" fontId="18" fillId="5" borderId="1" xfId="0" applyFont="1" applyFill="1" applyBorder="1"/>
    <xf numFmtId="0" fontId="4" fillId="13" borderId="0" xfId="0" applyFont="1" applyFill="1" applyBorder="1" applyAlignment="1">
      <alignment horizontal="center" vertical="center" wrapText="1"/>
    </xf>
    <xf numFmtId="9" fontId="4" fillId="5" borderId="4" xfId="1" applyFont="1" applyFill="1" applyBorder="1"/>
    <xf numFmtId="164" fontId="7" fillId="5" borderId="1" xfId="2" applyNumberFormat="1" applyFont="1" applyFill="1" applyBorder="1"/>
    <xf numFmtId="0" fontId="4" fillId="5" borderId="1" xfId="1" applyNumberFormat="1" applyFont="1" applyFill="1" applyBorder="1"/>
    <xf numFmtId="0" fontId="6" fillId="2" borderId="1" xfId="0" applyFont="1" applyFill="1" applyBorder="1" applyAlignment="1">
      <alignment horizontal="center"/>
    </xf>
    <xf numFmtId="0" fontId="0" fillId="0" borderId="1" xfId="0" applyBorder="1"/>
    <xf numFmtId="0" fontId="6" fillId="0" borderId="0" xfId="0" applyFont="1" applyAlignment="1">
      <alignment horizontal="center"/>
    </xf>
    <xf numFmtId="0" fontId="6" fillId="0" borderId="22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10" fontId="0" fillId="0" borderId="1" xfId="1" applyNumberFormat="1" applyFont="1" applyBorder="1"/>
    <xf numFmtId="0" fontId="0" fillId="0" borderId="4" xfId="0" applyBorder="1"/>
    <xf numFmtId="0" fontId="0" fillId="0" borderId="24" xfId="0" applyFill="1" applyBorder="1"/>
    <xf numFmtId="172" fontId="0" fillId="0" borderId="25" xfId="0" applyNumberFormat="1" applyFill="1" applyBorder="1"/>
    <xf numFmtId="172" fontId="0" fillId="0" borderId="26" xfId="0" applyNumberFormat="1" applyFill="1" applyBorder="1"/>
    <xf numFmtId="0" fontId="0" fillId="0" borderId="27" xfId="0" applyFill="1" applyBorder="1"/>
    <xf numFmtId="0" fontId="0" fillId="0" borderId="25" xfId="0" applyFill="1" applyBorder="1"/>
    <xf numFmtId="0" fontId="0" fillId="0" borderId="26" xfId="0" applyFill="1" applyBorder="1"/>
    <xf numFmtId="0" fontId="0" fillId="0" borderId="0" xfId="0" applyBorder="1"/>
    <xf numFmtId="0" fontId="0" fillId="0" borderId="23" xfId="0" applyBorder="1"/>
    <xf numFmtId="0" fontId="0" fillId="0" borderId="0" xfId="0" applyFill="1" applyBorder="1"/>
    <xf numFmtId="0" fontId="0" fillId="0" borderId="22" xfId="0" applyBorder="1"/>
    <xf numFmtId="172" fontId="0" fillId="0" borderId="0" xfId="0" applyNumberFormat="1" applyBorder="1"/>
    <xf numFmtId="0" fontId="6" fillId="0" borderId="1" xfId="0" applyFont="1" applyBorder="1"/>
    <xf numFmtId="1" fontId="0" fillId="0" borderId="0" xfId="0" applyNumberFormat="1" applyBorder="1"/>
    <xf numFmtId="164" fontId="0" fillId="0" borderId="24" xfId="2" applyNumberFormat="1" applyFont="1" applyFill="1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6" fillId="0" borderId="0" xfId="0" applyFont="1"/>
    <xf numFmtId="164" fontId="0" fillId="6" borderId="1" xfId="2" applyNumberFormat="1" applyFont="1" applyFill="1" applyBorder="1"/>
    <xf numFmtId="0" fontId="0" fillId="0" borderId="1" xfId="0" applyBorder="1" applyAlignment="1">
      <alignment horizontal="center" vertical="center"/>
    </xf>
    <xf numFmtId="0" fontId="0" fillId="6" borderId="1" xfId="0" applyFill="1" applyBorder="1"/>
    <xf numFmtId="164" fontId="0" fillId="0" borderId="1" xfId="0" applyNumberFormat="1" applyBorder="1"/>
    <xf numFmtId="164" fontId="0" fillId="0" borderId="1" xfId="2" applyNumberFormat="1" applyFont="1" applyBorder="1"/>
    <xf numFmtId="43" fontId="6" fillId="0" borderId="1" xfId="2" applyNumberFormat="1" applyFont="1" applyBorder="1"/>
    <xf numFmtId="164" fontId="0" fillId="0" borderId="0" xfId="2" applyNumberFormat="1" applyFont="1"/>
    <xf numFmtId="0" fontId="6" fillId="14" borderId="7" xfId="0" applyFont="1" applyFill="1" applyBorder="1"/>
    <xf numFmtId="0" fontId="6" fillId="14" borderId="9" xfId="0" applyFont="1" applyFill="1" applyBorder="1"/>
    <xf numFmtId="9" fontId="0" fillId="0" borderId="10" xfId="0" applyNumberFormat="1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166" fontId="4" fillId="5" borderId="0" xfId="0" applyNumberFormat="1" applyFont="1" applyFill="1"/>
    <xf numFmtId="167" fontId="4" fillId="6" borderId="1" xfId="0" applyNumberFormat="1" applyFont="1" applyFill="1" applyBorder="1" applyAlignment="1">
      <alignment horizontal="right" vertical="center"/>
    </xf>
    <xf numFmtId="1" fontId="4" fillId="6" borderId="1" xfId="0" applyNumberFormat="1" applyFont="1" applyFill="1" applyBorder="1"/>
    <xf numFmtId="9" fontId="0" fillId="0" borderId="31" xfId="0" applyNumberFormat="1" applyFont="1" applyBorder="1" applyAlignment="1">
      <alignment horizontal="center"/>
    </xf>
    <xf numFmtId="0" fontId="0" fillId="0" borderId="32" xfId="0" applyFont="1" applyBorder="1" applyAlignment="1">
      <alignment horizontal="center"/>
    </xf>
    <xf numFmtId="172" fontId="0" fillId="0" borderId="1" xfId="0" applyNumberFormat="1" applyBorder="1"/>
    <xf numFmtId="166" fontId="4" fillId="5" borderId="25" xfId="0" applyNumberFormat="1" applyFont="1" applyFill="1" applyBorder="1"/>
    <xf numFmtId="181" fontId="0" fillId="0" borderId="0" xfId="0" applyNumberFormat="1"/>
    <xf numFmtId="9" fontId="0" fillId="0" borderId="12" xfId="0" applyNumberFormat="1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164" fontId="0" fillId="6" borderId="0" xfId="2" applyNumberFormat="1" applyFont="1" applyFill="1" applyBorder="1"/>
    <xf numFmtId="0" fontId="6" fillId="2" borderId="10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 wrapText="1"/>
    </xf>
    <xf numFmtId="3" fontId="0" fillId="0" borderId="10" xfId="0" applyNumberFormat="1" applyBorder="1" applyAlignment="1">
      <alignment horizontal="center"/>
    </xf>
    <xf numFmtId="3" fontId="0" fillId="0" borderId="1" xfId="0" applyNumberFormat="1" applyBorder="1"/>
    <xf numFmtId="3" fontId="0" fillId="6" borderId="1" xfId="0" applyNumberFormat="1" applyFill="1" applyBorder="1"/>
    <xf numFmtId="9" fontId="0" fillId="6" borderId="1" xfId="1" applyFont="1" applyFill="1" applyBorder="1" applyAlignment="1">
      <alignment horizontal="center"/>
    </xf>
    <xf numFmtId="38" fontId="0" fillId="0" borderId="1" xfId="0" applyNumberFormat="1" applyBorder="1"/>
    <xf numFmtId="38" fontId="0" fillId="0" borderId="11" xfId="0" applyNumberFormat="1" applyBorder="1"/>
    <xf numFmtId="3" fontId="0" fillId="0" borderId="11" xfId="0" applyNumberFormat="1" applyBorder="1"/>
    <xf numFmtId="2" fontId="0" fillId="0" borderId="0" xfId="0" applyNumberFormat="1"/>
    <xf numFmtId="9" fontId="19" fillId="6" borderId="1" xfId="1" applyFont="1" applyFill="1" applyBorder="1" applyAlignment="1">
      <alignment horizontal="center"/>
    </xf>
    <xf numFmtId="0" fontId="0" fillId="10" borderId="0" xfId="0" applyFill="1"/>
    <xf numFmtId="38" fontId="0" fillId="10" borderId="11" xfId="0" applyNumberFormat="1" applyFill="1" applyBorder="1"/>
    <xf numFmtId="1" fontId="0" fillId="0" borderId="0" xfId="0" applyNumberFormat="1"/>
    <xf numFmtId="9" fontId="0" fillId="0" borderId="0" xfId="1" applyFont="1"/>
    <xf numFmtId="4" fontId="0" fillId="0" borderId="1" xfId="0" applyNumberFormat="1" applyBorder="1"/>
    <xf numFmtId="3" fontId="6" fillId="2" borderId="37" xfId="0" applyNumberFormat="1" applyFont="1" applyFill="1" applyBorder="1"/>
    <xf numFmtId="0" fontId="6" fillId="2" borderId="37" xfId="0" applyFont="1" applyFill="1" applyBorder="1"/>
    <xf numFmtId="38" fontId="6" fillId="2" borderId="38" xfId="0" applyNumberFormat="1" applyFont="1" applyFill="1" applyBorder="1"/>
    <xf numFmtId="4" fontId="6" fillId="2" borderId="37" xfId="0" applyNumberFormat="1" applyFont="1" applyFill="1" applyBorder="1"/>
    <xf numFmtId="3" fontId="6" fillId="2" borderId="38" xfId="0" applyNumberFormat="1" applyFont="1" applyFill="1" applyBorder="1"/>
    <xf numFmtId="3" fontId="0" fillId="0" borderId="12" xfId="0" applyNumberFormat="1" applyBorder="1" applyAlignment="1">
      <alignment horizontal="center"/>
    </xf>
    <xf numFmtId="0" fontId="0" fillId="0" borderId="13" xfId="0" applyBorder="1"/>
    <xf numFmtId="2" fontId="0" fillId="0" borderId="13" xfId="0" applyNumberFormat="1" applyBorder="1"/>
    <xf numFmtId="165" fontId="0" fillId="0" borderId="13" xfId="2" applyNumberFormat="1" applyFont="1" applyBorder="1"/>
    <xf numFmtId="40" fontId="0" fillId="0" borderId="0" xfId="0" applyNumberFormat="1"/>
    <xf numFmtId="0" fontId="6" fillId="0" borderId="22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40" fontId="6" fillId="0" borderId="23" xfId="0" applyNumberFormat="1" applyFont="1" applyFill="1" applyBorder="1" applyAlignment="1">
      <alignment horizontal="center"/>
    </xf>
    <xf numFmtId="9" fontId="0" fillId="0" borderId="1" xfId="1" applyFont="1" applyBorder="1"/>
    <xf numFmtId="40" fontId="0" fillId="0" borderId="11" xfId="0" applyNumberFormat="1" applyBorder="1"/>
    <xf numFmtId="40" fontId="6" fillId="2" borderId="38" xfId="0" applyNumberFormat="1" applyFont="1" applyFill="1" applyBorder="1"/>
    <xf numFmtId="9" fontId="8" fillId="5" borderId="1" xfId="1" applyFont="1" applyFill="1" applyBorder="1"/>
    <xf numFmtId="2" fontId="5" fillId="5" borderId="1" xfId="0" applyNumberFormat="1" applyFont="1" applyFill="1" applyBorder="1"/>
    <xf numFmtId="177" fontId="7" fillId="5" borderId="1" xfId="2" applyNumberFormat="1" applyFont="1" applyFill="1" applyBorder="1"/>
    <xf numFmtId="173" fontId="7" fillId="5" borderId="1" xfId="2" applyNumberFormat="1" applyFont="1" applyFill="1" applyBorder="1"/>
    <xf numFmtId="180" fontId="0" fillId="0" borderId="1" xfId="0" applyNumberFormat="1" applyBorder="1"/>
    <xf numFmtId="164" fontId="0" fillId="6" borderId="1" xfId="0" applyNumberFormat="1" applyFill="1" applyBorder="1"/>
    <xf numFmtId="1" fontId="0" fillId="0" borderId="1" xfId="0" applyNumberFormat="1" applyBorder="1"/>
    <xf numFmtId="2" fontId="0" fillId="0" borderId="1" xfId="0" applyNumberFormat="1" applyBorder="1"/>
    <xf numFmtId="10" fontId="0" fillId="0" borderId="1" xfId="0" applyNumberFormat="1" applyBorder="1"/>
    <xf numFmtId="174" fontId="4" fillId="5" borderId="4" xfId="0" applyNumberFormat="1" applyFont="1" applyFill="1" applyBorder="1"/>
    <xf numFmtId="9" fontId="5" fillId="6" borderId="0" xfId="0" applyNumberFormat="1" applyFont="1" applyFill="1"/>
    <xf numFmtId="0" fontId="6" fillId="2" borderId="1" xfId="0" applyFont="1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4" fontId="0" fillId="6" borderId="1" xfId="0" applyNumberFormat="1" applyFill="1" applyBorder="1" applyAlignment="1">
      <alignment horizontal="center"/>
    </xf>
    <xf numFmtId="3" fontId="0" fillId="6" borderId="1" xfId="0" applyNumberFormat="1" applyFill="1" applyBorder="1" applyAlignment="1">
      <alignment horizontal="center"/>
    </xf>
    <xf numFmtId="9" fontId="0" fillId="6" borderId="4" xfId="1" applyFont="1" applyFill="1" applyBorder="1" applyAlignment="1">
      <alignment horizontal="center"/>
    </xf>
    <xf numFmtId="9" fontId="0" fillId="6" borderId="6" xfId="1" applyFont="1" applyFill="1" applyBorder="1" applyAlignment="1">
      <alignment horizontal="center"/>
    </xf>
    <xf numFmtId="9" fontId="0" fillId="6" borderId="1" xfId="1" applyFont="1" applyFill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4" fontId="6" fillId="0" borderId="1" xfId="0" applyNumberFormat="1" applyFont="1" applyBorder="1" applyAlignment="1">
      <alignment horizontal="center"/>
    </xf>
    <xf numFmtId="3" fontId="6" fillId="0" borderId="1" xfId="0" applyNumberFormat="1" applyFont="1" applyBorder="1" applyAlignment="1">
      <alignment horizontal="center"/>
    </xf>
    <xf numFmtId="179" fontId="0" fillId="0" borderId="4" xfId="0" applyNumberFormat="1" applyBorder="1" applyAlignment="1">
      <alignment horizontal="center"/>
    </xf>
    <xf numFmtId="179" fontId="0" fillId="0" borderId="6" xfId="0" applyNumberFormat="1" applyBorder="1" applyAlignment="1">
      <alignment horizontal="center"/>
    </xf>
    <xf numFmtId="4" fontId="0" fillId="0" borderId="4" xfId="0" applyNumberFormat="1" applyBorder="1" applyAlignment="1">
      <alignment horizontal="center"/>
    </xf>
    <xf numFmtId="4" fontId="0" fillId="0" borderId="6" xfId="0" applyNumberFormat="1" applyBorder="1" applyAlignment="1">
      <alignment horizontal="center"/>
    </xf>
    <xf numFmtId="4" fontId="6" fillId="0" borderId="4" xfId="0" applyNumberFormat="1" applyFont="1" applyBorder="1" applyAlignment="1">
      <alignment horizontal="left"/>
    </xf>
    <xf numFmtId="4" fontId="6" fillId="0" borderId="6" xfId="0" applyNumberFormat="1" applyFont="1" applyBorder="1" applyAlignment="1">
      <alignment horizontal="left"/>
    </xf>
    <xf numFmtId="0" fontId="6" fillId="15" borderId="33" xfId="0" applyFont="1" applyFill="1" applyBorder="1" applyAlignment="1">
      <alignment horizontal="center"/>
    </xf>
    <xf numFmtId="0" fontId="6" fillId="15" borderId="34" xfId="0" applyFont="1" applyFill="1" applyBorder="1" applyAlignment="1">
      <alignment horizontal="center"/>
    </xf>
    <xf numFmtId="0" fontId="0" fillId="9" borderId="29" xfId="0" applyFill="1" applyBorder="1" applyAlignment="1">
      <alignment horizontal="center"/>
    </xf>
    <xf numFmtId="0" fontId="6" fillId="9" borderId="33" xfId="0" applyFont="1" applyFill="1" applyBorder="1" applyAlignment="1">
      <alignment horizontal="center"/>
    </xf>
    <xf numFmtId="0" fontId="6" fillId="9" borderId="35" xfId="0" applyFont="1" applyFill="1" applyBorder="1" applyAlignment="1">
      <alignment horizontal="center"/>
    </xf>
    <xf numFmtId="0" fontId="6" fillId="9" borderId="34" xfId="0" applyFont="1" applyFill="1" applyBorder="1" applyAlignment="1">
      <alignment horizontal="center"/>
    </xf>
    <xf numFmtId="0" fontId="6" fillId="2" borderId="33" xfId="0" applyFont="1" applyFill="1" applyBorder="1" applyAlignment="1">
      <alignment horizontal="left"/>
    </xf>
    <xf numFmtId="0" fontId="6" fillId="2" borderId="36" xfId="0" applyFont="1" applyFill="1" applyBorder="1" applyAlignment="1">
      <alignment horizontal="left"/>
    </xf>
    <xf numFmtId="0" fontId="4" fillId="13" borderId="18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/>
    </xf>
    <xf numFmtId="0" fontId="13" fillId="2" borderId="5" xfId="0" applyFont="1" applyFill="1" applyBorder="1" applyAlignment="1">
      <alignment horizontal="center"/>
    </xf>
    <xf numFmtId="0" fontId="13" fillId="2" borderId="6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13" fillId="4" borderId="4" xfId="0" applyFont="1" applyFill="1" applyBorder="1" applyAlignment="1">
      <alignment horizontal="center"/>
    </xf>
    <xf numFmtId="0" fontId="13" fillId="4" borderId="6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/>
    <c:plotArea>
      <c:layout/>
      <c:lineChart>
        <c:grouping val="stacked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</c:ser>
        <c:marker val="1"/>
        <c:axId val="72307456"/>
        <c:axId val="72308992"/>
      </c:lineChart>
      <c:catAx>
        <c:axId val="72307456"/>
        <c:scaling>
          <c:orientation val="minMax"/>
        </c:scaling>
        <c:axPos val="b"/>
        <c:tickLblPos val="nextTo"/>
        <c:crossAx val="72308992"/>
        <c:crosses val="autoZero"/>
        <c:auto val="1"/>
        <c:lblAlgn val="ctr"/>
        <c:lblOffset val="100"/>
      </c:catAx>
      <c:valAx>
        <c:axId val="72308992"/>
        <c:scaling>
          <c:orientation val="minMax"/>
        </c:scaling>
        <c:axPos val="l"/>
        <c:majorGridlines/>
        <c:numFmt formatCode="General" sourceLinked="1"/>
        <c:tickLblPos val="nextTo"/>
        <c:crossAx val="72307456"/>
        <c:crosses val="autoZero"/>
        <c:crossBetween val="between"/>
      </c:valAx>
    </c:plotArea>
    <c:legend>
      <c:legendPos val="r"/>
    </c:legend>
    <c:plotVisOnly val="1"/>
    <c:dispBlanksAs val="zero"/>
  </c:chart>
  <c:printSettings>
    <c:headerFooter/>
    <c:pageMargins b="0.75000000000000755" l="0.70000000000000062" r="0.70000000000000062" t="0.7500000000000075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F108"/>
  <sheetViews>
    <sheetView zoomScale="80" zoomScaleNormal="80" workbookViewId="0">
      <selection activeCell="C38" sqref="C38"/>
    </sheetView>
  </sheetViews>
  <sheetFormatPr defaultRowHeight="12.75"/>
  <cols>
    <col min="1" max="1" width="9.140625" style="89"/>
    <col min="2" max="2" width="9.140625" style="90"/>
    <col min="3" max="3" width="24.28515625" style="89" bestFit="1" customWidth="1"/>
    <col min="4" max="4" width="39.28515625" style="89" bestFit="1" customWidth="1"/>
    <col min="5" max="5" width="39.42578125" style="89" customWidth="1"/>
    <col min="6" max="6" width="56" style="89" bestFit="1" customWidth="1"/>
    <col min="7" max="16384" width="9.140625" style="89"/>
  </cols>
  <sheetData>
    <row r="3" spans="2:6">
      <c r="B3" s="88"/>
      <c r="C3" s="92" t="s">
        <v>66</v>
      </c>
      <c r="D3" s="92" t="s">
        <v>69</v>
      </c>
      <c r="E3" s="92" t="s">
        <v>74</v>
      </c>
      <c r="F3" s="92" t="s">
        <v>75</v>
      </c>
    </row>
    <row r="4" spans="2:6">
      <c r="B4" s="88"/>
      <c r="C4" s="10"/>
      <c r="D4" s="10"/>
      <c r="E4" s="10"/>
      <c r="F4" s="10"/>
    </row>
    <row r="5" spans="2:6">
      <c r="B5" s="88"/>
      <c r="C5" s="93" t="s">
        <v>105</v>
      </c>
      <c r="D5" s="10"/>
      <c r="E5" s="10"/>
      <c r="F5" s="10"/>
    </row>
    <row r="6" spans="2:6">
      <c r="B6" s="88">
        <v>1</v>
      </c>
      <c r="C6" s="10" t="s">
        <v>106</v>
      </c>
      <c r="D6" s="10" t="s">
        <v>107</v>
      </c>
      <c r="E6" s="10" t="s">
        <v>187</v>
      </c>
      <c r="F6" s="10"/>
    </row>
    <row r="7" spans="2:6">
      <c r="B7" s="88"/>
      <c r="C7" s="10"/>
      <c r="D7" s="10" t="s">
        <v>108</v>
      </c>
      <c r="E7" s="10"/>
      <c r="F7" s="10"/>
    </row>
    <row r="8" spans="2:6">
      <c r="B8" s="88"/>
      <c r="C8" s="10"/>
      <c r="D8" s="10" t="s">
        <v>114</v>
      </c>
      <c r="E8" s="10"/>
      <c r="F8" s="10"/>
    </row>
    <row r="9" spans="2:6">
      <c r="B9" s="88"/>
      <c r="C9" s="10"/>
      <c r="D9" s="10"/>
      <c r="E9" s="10"/>
      <c r="F9" s="10"/>
    </row>
    <row r="10" spans="2:6">
      <c r="B10" s="88">
        <v>2</v>
      </c>
      <c r="C10" s="10" t="s">
        <v>188</v>
      </c>
      <c r="D10" s="10" t="s">
        <v>109</v>
      </c>
      <c r="E10" s="10" t="s">
        <v>111</v>
      </c>
      <c r="F10" s="10" t="s">
        <v>112</v>
      </c>
    </row>
    <row r="11" spans="2:6">
      <c r="B11" s="88"/>
      <c r="C11" s="10"/>
      <c r="D11" s="10" t="s">
        <v>110</v>
      </c>
      <c r="E11" s="10"/>
      <c r="F11" s="10"/>
    </row>
    <row r="12" spans="2:6">
      <c r="B12" s="88"/>
      <c r="C12" s="10"/>
      <c r="D12" s="10"/>
      <c r="E12" s="10"/>
      <c r="F12" s="10"/>
    </row>
    <row r="13" spans="2:6">
      <c r="B13" s="88">
        <v>3</v>
      </c>
      <c r="C13" s="10" t="s">
        <v>113</v>
      </c>
      <c r="D13" s="10" t="s">
        <v>116</v>
      </c>
      <c r="E13" s="10" t="s">
        <v>117</v>
      </c>
      <c r="F13" s="10"/>
    </row>
    <row r="14" spans="2:6">
      <c r="B14" s="88"/>
      <c r="C14" s="10"/>
      <c r="D14" s="10" t="s">
        <v>115</v>
      </c>
      <c r="E14" s="10" t="s">
        <v>118</v>
      </c>
      <c r="F14" s="10"/>
    </row>
    <row r="15" spans="2:6">
      <c r="B15" s="88"/>
      <c r="C15" s="10"/>
      <c r="D15" s="10"/>
      <c r="E15" s="10" t="s">
        <v>119</v>
      </c>
      <c r="F15" s="10"/>
    </row>
    <row r="16" spans="2:6">
      <c r="B16" s="88"/>
      <c r="C16" s="10"/>
      <c r="D16" s="10"/>
      <c r="E16" s="10"/>
      <c r="F16" s="10"/>
    </row>
    <row r="17" spans="2:6">
      <c r="B17" s="88">
        <v>4</v>
      </c>
      <c r="C17" s="10" t="s">
        <v>120</v>
      </c>
      <c r="D17" s="10" t="s">
        <v>121</v>
      </c>
      <c r="E17" s="10"/>
      <c r="F17" s="10"/>
    </row>
    <row r="18" spans="2:6">
      <c r="B18" s="88"/>
      <c r="C18" s="10"/>
      <c r="D18" s="10" t="s">
        <v>122</v>
      </c>
      <c r="E18" s="10"/>
      <c r="F18" s="10"/>
    </row>
    <row r="19" spans="2:6">
      <c r="B19" s="88"/>
      <c r="C19" s="10"/>
      <c r="D19" s="10" t="s">
        <v>123</v>
      </c>
      <c r="E19" s="10"/>
      <c r="F19" s="10"/>
    </row>
    <row r="20" spans="2:6">
      <c r="B20" s="88"/>
      <c r="C20" s="10"/>
      <c r="D20" s="10" t="s">
        <v>124</v>
      </c>
      <c r="E20" s="10"/>
      <c r="F20" s="10"/>
    </row>
    <row r="21" spans="2:6">
      <c r="B21" s="88"/>
      <c r="C21" s="10"/>
      <c r="D21" s="10"/>
      <c r="E21" s="10"/>
      <c r="F21" s="10"/>
    </row>
    <row r="22" spans="2:6">
      <c r="B22" s="88">
        <v>5</v>
      </c>
      <c r="C22" s="10" t="s">
        <v>125</v>
      </c>
      <c r="D22" s="10" t="s">
        <v>126</v>
      </c>
      <c r="E22" s="10"/>
      <c r="F22" s="10"/>
    </row>
    <row r="23" spans="2:6">
      <c r="B23" s="88"/>
      <c r="C23" s="10"/>
      <c r="D23" s="10" t="s">
        <v>127</v>
      </c>
      <c r="E23" s="10"/>
      <c r="F23" s="10"/>
    </row>
    <row r="24" spans="2:6" ht="25.5">
      <c r="B24" s="88"/>
      <c r="C24" s="10"/>
      <c r="D24" s="10" t="s">
        <v>128</v>
      </c>
      <c r="E24" s="91" t="s">
        <v>129</v>
      </c>
      <c r="F24" s="10"/>
    </row>
    <row r="25" spans="2:6">
      <c r="B25" s="88"/>
      <c r="C25" s="10"/>
      <c r="D25" s="10"/>
      <c r="E25" s="10"/>
      <c r="F25" s="10"/>
    </row>
    <row r="26" spans="2:6">
      <c r="B26" s="88"/>
      <c r="C26" s="10"/>
      <c r="D26" s="10"/>
      <c r="E26" s="10"/>
      <c r="F26" s="10"/>
    </row>
    <row r="27" spans="2:6">
      <c r="B27" s="88"/>
      <c r="C27" s="93" t="s">
        <v>67</v>
      </c>
      <c r="D27" s="10"/>
      <c r="E27" s="10"/>
      <c r="F27" s="10"/>
    </row>
    <row r="28" spans="2:6">
      <c r="B28" s="88">
        <v>1</v>
      </c>
      <c r="C28" s="10" t="s">
        <v>68</v>
      </c>
      <c r="D28" s="10" t="s">
        <v>70</v>
      </c>
      <c r="E28" s="10" t="s">
        <v>72</v>
      </c>
      <c r="F28" s="10" t="s">
        <v>76</v>
      </c>
    </row>
    <row r="29" spans="2:6">
      <c r="B29" s="88"/>
      <c r="C29" s="10"/>
      <c r="D29" s="10" t="s">
        <v>71</v>
      </c>
      <c r="E29" s="10" t="s">
        <v>73</v>
      </c>
      <c r="F29" s="10"/>
    </row>
    <row r="30" spans="2:6">
      <c r="B30" s="88"/>
      <c r="C30" s="10"/>
      <c r="D30" s="10"/>
      <c r="E30" s="10"/>
      <c r="F30" s="10"/>
    </row>
    <row r="31" spans="2:6">
      <c r="B31" s="88">
        <v>2</v>
      </c>
      <c r="C31" s="10" t="s">
        <v>77</v>
      </c>
      <c r="D31" s="10" t="s">
        <v>78</v>
      </c>
      <c r="E31" s="10"/>
      <c r="F31" s="10"/>
    </row>
    <row r="32" spans="2:6">
      <c r="B32" s="88"/>
      <c r="C32" s="10"/>
      <c r="D32" s="10" t="s">
        <v>13</v>
      </c>
      <c r="E32" s="10"/>
      <c r="F32" s="10"/>
    </row>
    <row r="33" spans="2:6">
      <c r="B33" s="88"/>
      <c r="C33" s="10"/>
      <c r="D33" s="10" t="s">
        <v>79</v>
      </c>
      <c r="E33" s="10"/>
      <c r="F33" s="10"/>
    </row>
    <row r="34" spans="2:6">
      <c r="B34" s="88"/>
      <c r="C34" s="10"/>
      <c r="D34" s="10"/>
      <c r="E34" s="10"/>
      <c r="F34" s="10"/>
    </row>
    <row r="35" spans="2:6">
      <c r="B35" s="88">
        <v>3</v>
      </c>
      <c r="C35" s="10" t="s">
        <v>80</v>
      </c>
      <c r="D35" s="10" t="s">
        <v>13</v>
      </c>
      <c r="E35" s="10"/>
      <c r="F35" s="10"/>
    </row>
    <row r="36" spans="2:6">
      <c r="B36" s="88"/>
      <c r="C36" s="10"/>
      <c r="D36" s="10" t="s">
        <v>81</v>
      </c>
      <c r="E36" s="10"/>
      <c r="F36" s="10"/>
    </row>
    <row r="37" spans="2:6">
      <c r="B37" s="88"/>
      <c r="C37" s="10"/>
      <c r="D37" s="10" t="s">
        <v>82</v>
      </c>
      <c r="E37" s="10"/>
      <c r="F37" s="10"/>
    </row>
    <row r="38" spans="2:6">
      <c r="B38" s="88"/>
      <c r="C38" s="10"/>
      <c r="D38" s="10" t="s">
        <v>83</v>
      </c>
      <c r="E38" s="10"/>
      <c r="F38" s="10"/>
    </row>
    <row r="39" spans="2:6">
      <c r="B39" s="88"/>
      <c r="C39" s="10"/>
      <c r="D39" s="10"/>
      <c r="E39" s="10"/>
      <c r="F39" s="10"/>
    </row>
    <row r="40" spans="2:6">
      <c r="B40" s="88">
        <v>4</v>
      </c>
      <c r="C40" s="10" t="s">
        <v>88</v>
      </c>
      <c r="D40" s="10" t="s">
        <v>84</v>
      </c>
      <c r="E40" s="10" t="s">
        <v>86</v>
      </c>
      <c r="F40" s="10" t="s">
        <v>87</v>
      </c>
    </row>
    <row r="41" spans="2:6">
      <c r="B41" s="88"/>
      <c r="C41" s="10"/>
      <c r="D41" s="10" t="s">
        <v>85</v>
      </c>
      <c r="E41" s="10"/>
      <c r="F41" s="10"/>
    </row>
    <row r="42" spans="2:6">
      <c r="B42" s="88"/>
      <c r="C42" s="10"/>
      <c r="D42" s="10" t="s">
        <v>89</v>
      </c>
      <c r="E42" s="10" t="s">
        <v>90</v>
      </c>
      <c r="F42" s="10" t="s">
        <v>87</v>
      </c>
    </row>
    <row r="43" spans="2:6">
      <c r="B43" s="88"/>
      <c r="C43" s="10"/>
      <c r="D43" s="10"/>
      <c r="E43" s="91" t="s">
        <v>104</v>
      </c>
      <c r="F43" s="10"/>
    </row>
    <row r="44" spans="2:6">
      <c r="B44" s="88"/>
      <c r="C44" s="10"/>
      <c r="D44" s="10"/>
      <c r="E44" s="10"/>
      <c r="F44" s="10"/>
    </row>
    <row r="45" spans="2:6">
      <c r="B45" s="88">
        <v>5</v>
      </c>
      <c r="C45" s="10" t="s">
        <v>91</v>
      </c>
      <c r="D45" s="10" t="s">
        <v>93</v>
      </c>
      <c r="E45" s="91" t="s">
        <v>96</v>
      </c>
      <c r="F45" s="10" t="s">
        <v>97</v>
      </c>
    </row>
    <row r="46" spans="2:6">
      <c r="B46" s="88"/>
      <c r="C46" s="10" t="s">
        <v>92</v>
      </c>
      <c r="D46" s="10" t="s">
        <v>94</v>
      </c>
      <c r="E46" s="10"/>
      <c r="F46" s="10"/>
    </row>
    <row r="47" spans="2:6">
      <c r="B47" s="88"/>
      <c r="C47" s="10"/>
      <c r="D47" s="10" t="s">
        <v>95</v>
      </c>
      <c r="E47" s="10"/>
      <c r="F47" s="10"/>
    </row>
    <row r="48" spans="2:6">
      <c r="B48" s="88"/>
      <c r="C48" s="10"/>
      <c r="D48" s="10"/>
      <c r="E48" s="10"/>
      <c r="F48" s="10"/>
    </row>
    <row r="49" spans="2:6">
      <c r="B49" s="88">
        <v>6</v>
      </c>
      <c r="C49" s="10" t="s">
        <v>98</v>
      </c>
      <c r="D49" s="10" t="s">
        <v>99</v>
      </c>
      <c r="E49" s="10"/>
      <c r="F49" s="10"/>
    </row>
    <row r="50" spans="2:6">
      <c r="B50" s="88"/>
      <c r="C50" s="10"/>
      <c r="D50" s="10" t="s">
        <v>100</v>
      </c>
      <c r="E50" s="10"/>
      <c r="F50" s="10"/>
    </row>
    <row r="51" spans="2:6">
      <c r="B51" s="88"/>
      <c r="C51" s="10"/>
      <c r="D51" s="10"/>
      <c r="E51" s="10"/>
      <c r="F51" s="10"/>
    </row>
    <row r="52" spans="2:6">
      <c r="B52" s="88">
        <v>7</v>
      </c>
      <c r="C52" s="10" t="s">
        <v>101</v>
      </c>
      <c r="D52" s="10" t="s">
        <v>103</v>
      </c>
      <c r="E52" s="10"/>
      <c r="F52" s="10"/>
    </row>
    <row r="53" spans="2:6" ht="25.5">
      <c r="B53" s="88"/>
      <c r="C53" s="10"/>
      <c r="D53" s="91" t="s">
        <v>102</v>
      </c>
      <c r="E53" s="10"/>
      <c r="F53" s="10"/>
    </row>
    <row r="54" spans="2:6">
      <c r="B54" s="88"/>
      <c r="C54" s="10"/>
      <c r="D54" s="10"/>
      <c r="E54" s="10"/>
      <c r="F54" s="10"/>
    </row>
    <row r="55" spans="2:6">
      <c r="B55" s="88"/>
      <c r="C55" s="10"/>
      <c r="D55" s="10"/>
      <c r="E55" s="10"/>
      <c r="F55" s="10"/>
    </row>
    <row r="56" spans="2:6">
      <c r="B56" s="88"/>
      <c r="C56" s="93" t="s">
        <v>130</v>
      </c>
      <c r="D56" s="10"/>
      <c r="E56" s="10"/>
      <c r="F56" s="10"/>
    </row>
    <row r="57" spans="2:6">
      <c r="B57" s="88">
        <v>1</v>
      </c>
      <c r="C57" s="10" t="s">
        <v>131</v>
      </c>
      <c r="D57" s="10" t="s">
        <v>132</v>
      </c>
      <c r="E57" s="10"/>
      <c r="F57" s="10"/>
    </row>
    <row r="58" spans="2:6">
      <c r="B58" s="88"/>
      <c r="C58" s="10"/>
      <c r="D58" s="10" t="s">
        <v>133</v>
      </c>
      <c r="E58" s="10"/>
      <c r="F58" s="10"/>
    </row>
    <row r="59" spans="2:6">
      <c r="B59" s="88"/>
      <c r="C59" s="10"/>
      <c r="D59" s="10" t="s">
        <v>134</v>
      </c>
      <c r="E59" s="10"/>
      <c r="F59" s="10"/>
    </row>
    <row r="60" spans="2:6">
      <c r="B60" s="88"/>
      <c r="C60" s="10"/>
      <c r="D60" s="10"/>
      <c r="E60" s="10"/>
      <c r="F60" s="10"/>
    </row>
    <row r="61" spans="2:6">
      <c r="B61" s="88">
        <v>2</v>
      </c>
      <c r="C61" s="10" t="s">
        <v>135</v>
      </c>
      <c r="D61" s="10" t="s">
        <v>136</v>
      </c>
      <c r="E61" s="10"/>
      <c r="F61" s="10"/>
    </row>
    <row r="62" spans="2:6">
      <c r="B62" s="88"/>
      <c r="C62" s="10"/>
      <c r="D62" s="10"/>
      <c r="E62" s="10"/>
      <c r="F62" s="10"/>
    </row>
    <row r="63" spans="2:6">
      <c r="B63" s="88">
        <v>3</v>
      </c>
      <c r="C63" s="10" t="s">
        <v>137</v>
      </c>
      <c r="D63" s="10" t="s">
        <v>138</v>
      </c>
      <c r="E63" s="10"/>
      <c r="F63" s="10"/>
    </row>
    <row r="64" spans="2:6">
      <c r="B64" s="88"/>
      <c r="C64" s="10"/>
      <c r="D64" s="10"/>
      <c r="E64" s="10"/>
      <c r="F64" s="10"/>
    </row>
    <row r="65" spans="2:6" ht="25.5">
      <c r="B65" s="88">
        <v>4</v>
      </c>
      <c r="C65" s="10" t="s">
        <v>139</v>
      </c>
      <c r="D65" s="10" t="s">
        <v>140</v>
      </c>
      <c r="E65" s="91" t="s">
        <v>145</v>
      </c>
      <c r="F65" s="10" t="s">
        <v>146</v>
      </c>
    </row>
    <row r="66" spans="2:6">
      <c r="B66" s="88"/>
      <c r="C66" s="10"/>
      <c r="D66" s="10" t="s">
        <v>141</v>
      </c>
      <c r="E66" s="10" t="s">
        <v>147</v>
      </c>
      <c r="F66" s="10"/>
    </row>
    <row r="67" spans="2:6">
      <c r="B67" s="88"/>
      <c r="C67" s="10"/>
      <c r="D67" s="10" t="s">
        <v>142</v>
      </c>
      <c r="E67" s="10"/>
      <c r="F67" s="10"/>
    </row>
    <row r="68" spans="2:6">
      <c r="B68" s="88"/>
      <c r="C68" s="10"/>
      <c r="D68" s="10" t="s">
        <v>143</v>
      </c>
      <c r="E68" s="10"/>
      <c r="F68" s="10"/>
    </row>
    <row r="69" spans="2:6">
      <c r="B69" s="88"/>
      <c r="C69" s="10"/>
      <c r="D69" s="10" t="s">
        <v>144</v>
      </c>
      <c r="E69" s="10"/>
      <c r="F69" s="10"/>
    </row>
    <row r="70" spans="2:6">
      <c r="B70" s="88"/>
      <c r="C70" s="10"/>
      <c r="D70" s="10"/>
      <c r="E70" s="10"/>
      <c r="F70" s="10"/>
    </row>
    <row r="71" spans="2:6">
      <c r="B71" s="88">
        <v>5</v>
      </c>
      <c r="C71" s="10" t="s">
        <v>148</v>
      </c>
      <c r="D71" s="10" t="s">
        <v>149</v>
      </c>
      <c r="E71" s="10"/>
      <c r="F71" s="10"/>
    </row>
    <row r="72" spans="2:6">
      <c r="B72" s="88"/>
      <c r="C72" s="10"/>
      <c r="D72" s="10" t="s">
        <v>150</v>
      </c>
      <c r="E72" s="10"/>
      <c r="F72" s="10"/>
    </row>
    <row r="73" spans="2:6">
      <c r="B73" s="88"/>
      <c r="C73" s="10"/>
      <c r="D73" s="10" t="s">
        <v>151</v>
      </c>
      <c r="E73" s="10" t="s">
        <v>152</v>
      </c>
      <c r="F73" s="10" t="s">
        <v>153</v>
      </c>
    </row>
    <row r="74" spans="2:6">
      <c r="B74" s="88"/>
      <c r="C74" s="10"/>
      <c r="D74" s="10" t="s">
        <v>154</v>
      </c>
      <c r="E74" s="10"/>
      <c r="F74" s="10"/>
    </row>
    <row r="75" spans="2:6">
      <c r="B75" s="88"/>
      <c r="C75" s="10"/>
      <c r="D75" s="10"/>
      <c r="E75" s="10"/>
      <c r="F75" s="10"/>
    </row>
    <row r="76" spans="2:6">
      <c r="B76" s="88">
        <v>6</v>
      </c>
      <c r="C76" s="10" t="s">
        <v>155</v>
      </c>
      <c r="D76" s="10" t="s">
        <v>156</v>
      </c>
      <c r="E76" s="10"/>
      <c r="F76" s="10"/>
    </row>
    <row r="77" spans="2:6">
      <c r="B77" s="88"/>
      <c r="C77" s="10"/>
      <c r="D77" s="10" t="s">
        <v>157</v>
      </c>
      <c r="E77" s="10"/>
      <c r="F77" s="10"/>
    </row>
    <row r="78" spans="2:6">
      <c r="B78" s="88"/>
      <c r="C78" s="10"/>
      <c r="D78" s="10"/>
      <c r="E78" s="10"/>
      <c r="F78" s="10"/>
    </row>
    <row r="79" spans="2:6">
      <c r="B79" s="88">
        <v>7</v>
      </c>
      <c r="C79" s="10" t="s">
        <v>158</v>
      </c>
      <c r="D79" s="10" t="s">
        <v>159</v>
      </c>
      <c r="E79" s="10"/>
      <c r="F79" s="10"/>
    </row>
    <row r="80" spans="2:6">
      <c r="B80" s="88"/>
      <c r="C80" s="10"/>
      <c r="D80" s="10" t="s">
        <v>160</v>
      </c>
      <c r="E80" s="10"/>
      <c r="F80" s="10"/>
    </row>
    <row r="81" spans="2:6">
      <c r="B81" s="88"/>
      <c r="C81" s="10"/>
      <c r="D81" s="10"/>
      <c r="E81" s="10"/>
      <c r="F81" s="10"/>
    </row>
    <row r="82" spans="2:6">
      <c r="B82" s="88">
        <v>8</v>
      </c>
      <c r="C82" s="10" t="s">
        <v>161</v>
      </c>
      <c r="D82" s="10" t="s">
        <v>162</v>
      </c>
      <c r="E82" s="10" t="s">
        <v>164</v>
      </c>
      <c r="F82" s="10"/>
    </row>
    <row r="83" spans="2:6">
      <c r="B83" s="88"/>
      <c r="C83" s="10"/>
      <c r="D83" s="10" t="s">
        <v>163</v>
      </c>
      <c r="E83" s="10" t="s">
        <v>165</v>
      </c>
      <c r="F83" s="10"/>
    </row>
    <row r="84" spans="2:6">
      <c r="B84" s="88"/>
      <c r="C84" s="10"/>
      <c r="D84" s="10"/>
      <c r="E84" s="10"/>
      <c r="F84" s="10"/>
    </row>
    <row r="85" spans="2:6">
      <c r="B85" s="88">
        <v>9</v>
      </c>
      <c r="C85" s="10" t="s">
        <v>166</v>
      </c>
      <c r="D85" s="10" t="s">
        <v>167</v>
      </c>
      <c r="E85" s="13"/>
      <c r="F85" s="10"/>
    </row>
    <row r="86" spans="2:6">
      <c r="B86" s="88"/>
      <c r="C86" s="10"/>
      <c r="D86" s="10" t="s">
        <v>168</v>
      </c>
      <c r="E86" s="10"/>
      <c r="F86" s="10"/>
    </row>
    <row r="87" spans="2:6">
      <c r="B87" s="88"/>
      <c r="C87" s="10"/>
      <c r="D87" s="10" t="s">
        <v>169</v>
      </c>
      <c r="E87" s="10"/>
      <c r="F87" s="10"/>
    </row>
    <row r="88" spans="2:6" ht="25.5">
      <c r="B88" s="88"/>
      <c r="C88" s="10"/>
      <c r="D88" s="94" t="s">
        <v>189</v>
      </c>
      <c r="E88" s="13" t="s">
        <v>190</v>
      </c>
      <c r="F88" s="10"/>
    </row>
    <row r="89" spans="2:6">
      <c r="B89" s="88"/>
      <c r="C89" s="10"/>
      <c r="D89" s="10" t="s">
        <v>170</v>
      </c>
      <c r="E89" s="10"/>
      <c r="F89" s="10"/>
    </row>
    <row r="90" spans="2:6">
      <c r="B90" s="88"/>
      <c r="C90" s="10"/>
      <c r="D90" s="10"/>
      <c r="E90" s="10"/>
      <c r="F90" s="10"/>
    </row>
    <row r="91" spans="2:6">
      <c r="B91" s="88">
        <v>10</v>
      </c>
      <c r="C91" s="10" t="s">
        <v>89</v>
      </c>
      <c r="D91" s="10" t="s">
        <v>171</v>
      </c>
      <c r="E91" s="10"/>
      <c r="F91" s="10"/>
    </row>
    <row r="92" spans="2:6">
      <c r="B92" s="88"/>
      <c r="C92" s="10"/>
      <c r="D92" s="10"/>
      <c r="E92" s="10"/>
      <c r="F92" s="10"/>
    </row>
    <row r="93" spans="2:6">
      <c r="B93" s="88">
        <v>11</v>
      </c>
      <c r="C93" s="10" t="s">
        <v>172</v>
      </c>
      <c r="D93" s="10" t="s">
        <v>173</v>
      </c>
      <c r="E93" s="10"/>
      <c r="F93" s="10"/>
    </row>
    <row r="94" spans="2:6">
      <c r="B94" s="88"/>
      <c r="C94" s="10"/>
      <c r="D94" s="10"/>
      <c r="E94" s="10"/>
      <c r="F94" s="10"/>
    </row>
    <row r="95" spans="2:6">
      <c r="B95" s="88">
        <v>12</v>
      </c>
      <c r="C95" s="10" t="s">
        <v>174</v>
      </c>
      <c r="D95" s="10" t="s">
        <v>65</v>
      </c>
      <c r="E95" s="10" t="s">
        <v>185</v>
      </c>
      <c r="F95" s="10"/>
    </row>
    <row r="96" spans="2:6">
      <c r="B96" s="88"/>
      <c r="C96" s="10"/>
      <c r="D96" s="10" t="s">
        <v>183</v>
      </c>
      <c r="E96" s="10" t="s">
        <v>186</v>
      </c>
      <c r="F96" s="10"/>
    </row>
    <row r="97" spans="2:6">
      <c r="B97" s="88"/>
      <c r="C97" s="10"/>
      <c r="D97" s="10"/>
      <c r="E97" s="10" t="s">
        <v>184</v>
      </c>
      <c r="F97" s="10"/>
    </row>
    <row r="98" spans="2:6">
      <c r="B98" s="88"/>
      <c r="C98" s="10"/>
      <c r="D98" s="10"/>
      <c r="E98" s="10"/>
      <c r="F98" s="10"/>
    </row>
    <row r="99" spans="2:6">
      <c r="B99" s="88">
        <v>13</v>
      </c>
      <c r="C99" s="10" t="s">
        <v>175</v>
      </c>
      <c r="D99" s="10" t="s">
        <v>176</v>
      </c>
      <c r="E99" s="10"/>
      <c r="F99" s="10"/>
    </row>
    <row r="100" spans="2:6">
      <c r="B100" s="88"/>
      <c r="C100" s="10"/>
      <c r="D100" s="10" t="s">
        <v>177</v>
      </c>
      <c r="E100" s="10"/>
      <c r="F100" s="10"/>
    </row>
    <row r="101" spans="2:6">
      <c r="B101" s="88"/>
      <c r="C101" s="10"/>
      <c r="D101" s="10" t="s">
        <v>178</v>
      </c>
      <c r="E101" s="10"/>
      <c r="F101" s="10"/>
    </row>
    <row r="102" spans="2:6">
      <c r="B102" s="88"/>
      <c r="C102" s="10"/>
      <c r="D102" s="10"/>
      <c r="E102" s="10"/>
      <c r="F102" s="10"/>
    </row>
    <row r="103" spans="2:6">
      <c r="B103" s="88">
        <v>14</v>
      </c>
      <c r="C103" s="10" t="s">
        <v>179</v>
      </c>
      <c r="D103" s="10" t="s">
        <v>180</v>
      </c>
      <c r="E103" s="10" t="s">
        <v>182</v>
      </c>
      <c r="F103" s="10"/>
    </row>
    <row r="104" spans="2:6">
      <c r="B104" s="88"/>
      <c r="C104" s="10"/>
      <c r="D104" s="10" t="s">
        <v>181</v>
      </c>
      <c r="E104" s="10"/>
      <c r="F104" s="10"/>
    </row>
    <row r="105" spans="2:6">
      <c r="B105" s="88"/>
      <c r="C105" s="10"/>
      <c r="D105" s="10"/>
      <c r="E105" s="10"/>
      <c r="F105" s="10"/>
    </row>
    <row r="106" spans="2:6">
      <c r="B106" s="88"/>
      <c r="C106" s="10"/>
      <c r="D106" s="10"/>
      <c r="E106" s="10"/>
      <c r="F106" s="10"/>
    </row>
    <row r="107" spans="2:6">
      <c r="B107" s="88"/>
      <c r="C107" s="10"/>
      <c r="D107" s="10"/>
      <c r="E107" s="10"/>
      <c r="F107" s="10"/>
    </row>
    <row r="108" spans="2:6">
      <c r="B108" s="88"/>
      <c r="C108" s="10"/>
      <c r="D108" s="10"/>
      <c r="E108" s="10"/>
      <c r="F108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:W125"/>
  <sheetViews>
    <sheetView topLeftCell="G11" zoomScale="80" zoomScaleNormal="80" workbookViewId="0">
      <selection activeCell="L29" sqref="L29"/>
    </sheetView>
  </sheetViews>
  <sheetFormatPr defaultRowHeight="15"/>
  <cols>
    <col min="2" max="2" width="13.5703125" bestFit="1" customWidth="1"/>
    <col min="3" max="3" width="19.85546875" bestFit="1" customWidth="1"/>
    <col min="4" max="4" width="17.42578125" bestFit="1" customWidth="1"/>
    <col min="5" max="5" width="11.85546875" customWidth="1"/>
    <col min="6" max="6" width="19.85546875" bestFit="1" customWidth="1"/>
    <col min="7" max="7" width="22.42578125" customWidth="1"/>
    <col min="8" max="8" width="18.42578125" bestFit="1" customWidth="1"/>
    <col min="9" max="9" width="9.42578125" customWidth="1"/>
    <col min="10" max="10" width="18.85546875" customWidth="1"/>
    <col min="11" max="11" width="19.28515625" bestFit="1" customWidth="1"/>
    <col min="12" max="12" width="18" customWidth="1"/>
    <col min="13" max="13" width="19.28515625" bestFit="1" customWidth="1"/>
    <col min="14" max="14" width="20" customWidth="1"/>
    <col min="16" max="16" width="11.28515625" bestFit="1" customWidth="1"/>
    <col min="17" max="17" width="15.140625" bestFit="1" customWidth="1"/>
    <col min="18" max="18" width="10.85546875" customWidth="1"/>
  </cols>
  <sheetData>
    <row r="2" spans="2:23" ht="15.75" thickBot="1"/>
    <row r="3" spans="2:23">
      <c r="B3" s="279" t="s">
        <v>435</v>
      </c>
      <c r="C3" s="279"/>
      <c r="D3" s="279"/>
      <c r="G3" s="279" t="s">
        <v>436</v>
      </c>
      <c r="H3" s="279"/>
      <c r="I3" s="279"/>
      <c r="P3" s="280" t="s">
        <v>437</v>
      </c>
      <c r="Q3" s="281"/>
      <c r="R3" s="281"/>
      <c r="S3" s="282"/>
      <c r="T3" s="280" t="s">
        <v>438</v>
      </c>
      <c r="U3" s="281"/>
      <c r="V3" s="281"/>
      <c r="W3" s="282"/>
    </row>
    <row r="4" spans="2:23">
      <c r="B4" s="183" t="s">
        <v>439</v>
      </c>
      <c r="C4" s="283">
        <v>9500000</v>
      </c>
      <c r="D4" s="283"/>
      <c r="G4" s="183" t="s">
        <v>440</v>
      </c>
      <c r="H4" s="284">
        <v>200000</v>
      </c>
      <c r="I4" s="284"/>
      <c r="K4" s="184" t="s">
        <v>441</v>
      </c>
      <c r="L4" s="184" t="s">
        <v>78</v>
      </c>
      <c r="M4" s="184" t="s">
        <v>390</v>
      </c>
      <c r="N4" s="184" t="s">
        <v>442</v>
      </c>
      <c r="O4" s="184" t="s">
        <v>443</v>
      </c>
      <c r="P4" s="185" t="s">
        <v>444</v>
      </c>
      <c r="Q4" s="186" t="s">
        <v>284</v>
      </c>
      <c r="R4" s="186" t="s">
        <v>443</v>
      </c>
      <c r="S4" s="187" t="s">
        <v>445</v>
      </c>
      <c r="T4" s="185" t="s">
        <v>444</v>
      </c>
      <c r="U4" s="186" t="s">
        <v>284</v>
      </c>
      <c r="V4" s="186" t="s">
        <v>443</v>
      </c>
      <c r="W4" s="187" t="s">
        <v>445</v>
      </c>
    </row>
    <row r="5" spans="2:23">
      <c r="B5" s="183" t="s">
        <v>446</v>
      </c>
      <c r="C5" s="285">
        <v>0.08</v>
      </c>
      <c r="D5" s="286"/>
      <c r="G5" s="183" t="s">
        <v>446</v>
      </c>
      <c r="H5" s="287">
        <v>0.12</v>
      </c>
      <c r="I5" s="287"/>
      <c r="K5" s="183" t="s">
        <v>447</v>
      </c>
      <c r="L5" s="183">
        <v>200</v>
      </c>
      <c r="M5" s="183">
        <v>560</v>
      </c>
      <c r="N5" s="188">
        <f t="shared" ref="N5:N12" si="0">(M5-L5)/L5</f>
        <v>1.8</v>
      </c>
      <c r="O5" s="189">
        <v>1</v>
      </c>
      <c r="P5" s="190">
        <v>17500</v>
      </c>
      <c r="Q5" s="191">
        <f>P5/L5</f>
        <v>87.5</v>
      </c>
      <c r="R5" s="192">
        <v>1</v>
      </c>
      <c r="S5" s="193"/>
      <c r="T5" s="190">
        <v>14000</v>
      </c>
      <c r="U5" s="194">
        <v>50</v>
      </c>
      <c r="V5" s="195">
        <v>1</v>
      </c>
      <c r="W5" s="193"/>
    </row>
    <row r="6" spans="2:23">
      <c r="B6" s="183" t="s">
        <v>448</v>
      </c>
      <c r="C6" s="284">
        <v>30</v>
      </c>
      <c r="D6" s="284"/>
      <c r="G6" s="183" t="s">
        <v>448</v>
      </c>
      <c r="H6" s="284">
        <v>10</v>
      </c>
      <c r="I6" s="284"/>
      <c r="K6" s="183" t="s">
        <v>449</v>
      </c>
      <c r="L6" s="183">
        <v>450</v>
      </c>
      <c r="M6" s="183">
        <v>900</v>
      </c>
      <c r="N6" s="188">
        <f t="shared" si="0"/>
        <v>1</v>
      </c>
      <c r="O6" s="189">
        <v>5</v>
      </c>
      <c r="P6" s="190"/>
      <c r="Q6" s="196"/>
      <c r="R6" s="196"/>
      <c r="S6" s="197"/>
      <c r="T6" s="190">
        <v>18000</v>
      </c>
      <c r="U6" s="198">
        <v>400</v>
      </c>
      <c r="V6" s="198">
        <v>2</v>
      </c>
      <c r="W6" s="197" t="s">
        <v>450</v>
      </c>
    </row>
    <row r="7" spans="2:23">
      <c r="B7" s="183"/>
      <c r="C7" s="288"/>
      <c r="D7" s="288"/>
      <c r="G7" s="183"/>
      <c r="H7" s="288"/>
      <c r="I7" s="288"/>
      <c r="K7" s="183" t="s">
        <v>451</v>
      </c>
      <c r="L7" s="183">
        <v>32</v>
      </c>
      <c r="M7" s="183">
        <v>70</v>
      </c>
      <c r="N7" s="188">
        <f t="shared" si="0"/>
        <v>1.1875</v>
      </c>
      <c r="O7" s="189">
        <v>3</v>
      </c>
      <c r="P7" s="199"/>
      <c r="Q7" s="200"/>
      <c r="R7" s="200"/>
      <c r="S7" s="197"/>
      <c r="T7" s="199"/>
      <c r="U7" s="196"/>
      <c r="V7" s="196"/>
      <c r="W7" s="197"/>
    </row>
    <row r="8" spans="2:23">
      <c r="B8" s="183"/>
      <c r="C8" s="288"/>
      <c r="D8" s="288"/>
      <c r="G8" s="183"/>
      <c r="H8" s="288"/>
      <c r="I8" s="288"/>
      <c r="K8" s="183" t="s">
        <v>452</v>
      </c>
      <c r="L8" s="183">
        <v>260</v>
      </c>
      <c r="M8" s="183">
        <v>400</v>
      </c>
      <c r="N8" s="188">
        <f t="shared" si="0"/>
        <v>0.53846153846153844</v>
      </c>
      <c r="O8" s="189">
        <v>6</v>
      </c>
      <c r="P8" s="199"/>
      <c r="Q8" s="196"/>
      <c r="R8" s="196"/>
      <c r="S8" s="197"/>
      <c r="T8" s="199"/>
      <c r="U8" s="196"/>
      <c r="V8" s="196"/>
      <c r="W8" s="197"/>
    </row>
    <row r="9" spans="2:23">
      <c r="B9" s="201" t="s">
        <v>440</v>
      </c>
      <c r="C9" s="289">
        <f>C4*(1/(1+C5)^C6)</f>
        <v>944084.6592231117</v>
      </c>
      <c r="D9" s="289"/>
      <c r="G9" s="201" t="s">
        <v>453</v>
      </c>
      <c r="H9" s="289">
        <f>H4*((1+H5)^H6)</f>
        <v>621169.64166884217</v>
      </c>
      <c r="I9" s="289"/>
      <c r="K9" s="183" t="s">
        <v>454</v>
      </c>
      <c r="L9" s="183">
        <v>300</v>
      </c>
      <c r="M9" s="183">
        <v>500</v>
      </c>
      <c r="N9" s="188">
        <f t="shared" si="0"/>
        <v>0.66666666666666663</v>
      </c>
      <c r="O9" s="189">
        <v>7</v>
      </c>
      <c r="P9" s="199"/>
      <c r="Q9" s="196"/>
      <c r="R9" s="196"/>
      <c r="S9" s="197"/>
      <c r="T9" s="199"/>
      <c r="U9" s="196"/>
      <c r="V9" s="196"/>
      <c r="W9" s="197"/>
    </row>
    <row r="10" spans="2:23">
      <c r="B10" s="201" t="s">
        <v>455</v>
      </c>
      <c r="C10" s="289">
        <f>C4-C9</f>
        <v>8555915.3407768887</v>
      </c>
      <c r="D10" s="289"/>
      <c r="G10" s="201" t="s">
        <v>455</v>
      </c>
      <c r="H10" s="290">
        <f>H9-H4</f>
        <v>421169.64166884217</v>
      </c>
      <c r="I10" s="290"/>
      <c r="K10" s="183" t="s">
        <v>456</v>
      </c>
      <c r="L10" s="183">
        <v>112</v>
      </c>
      <c r="M10" s="183">
        <v>272</v>
      </c>
      <c r="N10" s="188">
        <f t="shared" si="0"/>
        <v>1.4285714285714286</v>
      </c>
      <c r="O10" s="189">
        <v>2</v>
      </c>
      <c r="P10" s="199">
        <v>7000</v>
      </c>
      <c r="Q10" s="202">
        <f>P10/L10</f>
        <v>62.5</v>
      </c>
      <c r="R10" s="202">
        <v>1</v>
      </c>
      <c r="S10" s="197"/>
      <c r="T10" s="199"/>
      <c r="U10" s="196"/>
      <c r="V10" s="196"/>
      <c r="W10" s="197"/>
    </row>
    <row r="11" spans="2:23">
      <c r="K11" s="183" t="s">
        <v>457</v>
      </c>
      <c r="L11" s="183">
        <v>700</v>
      </c>
      <c r="M11" s="183">
        <v>1500</v>
      </c>
      <c r="N11" s="188">
        <f t="shared" si="0"/>
        <v>1.1428571428571428</v>
      </c>
      <c r="O11" s="189">
        <v>4</v>
      </c>
      <c r="P11" s="203">
        <v>7000</v>
      </c>
      <c r="Q11" s="194">
        <v>200</v>
      </c>
      <c r="R11" s="195">
        <v>2</v>
      </c>
      <c r="S11" s="193"/>
      <c r="T11" s="203"/>
      <c r="U11" s="194"/>
      <c r="V11" s="195"/>
      <c r="W11" s="193"/>
    </row>
    <row r="12" spans="2:23" ht="15.75" thickBot="1">
      <c r="K12" s="183" t="s">
        <v>458</v>
      </c>
      <c r="L12" s="183">
        <v>488</v>
      </c>
      <c r="M12" s="183">
        <v>900</v>
      </c>
      <c r="N12" s="188">
        <f t="shared" si="0"/>
        <v>0.84426229508196726</v>
      </c>
      <c r="O12" s="189"/>
      <c r="P12" s="204"/>
      <c r="Q12" s="205"/>
      <c r="R12" s="205"/>
      <c r="S12" s="206"/>
      <c r="T12" s="204"/>
      <c r="U12" s="205"/>
      <c r="V12" s="205"/>
      <c r="W12" s="206"/>
    </row>
    <row r="13" spans="2:23">
      <c r="K13" s="207" t="s">
        <v>319</v>
      </c>
    </row>
    <row r="14" spans="2:23">
      <c r="B14" s="279" t="s">
        <v>459</v>
      </c>
      <c r="C14" s="279"/>
      <c r="D14" s="279"/>
      <c r="G14" s="279" t="s">
        <v>460</v>
      </c>
      <c r="H14" s="279"/>
      <c r="I14" s="279"/>
      <c r="K14" s="182" t="s">
        <v>282</v>
      </c>
      <c r="L14" s="182" t="s">
        <v>0</v>
      </c>
      <c r="M14" s="182" t="s">
        <v>320</v>
      </c>
      <c r="N14" s="182" t="s">
        <v>321</v>
      </c>
      <c r="O14" s="182" t="s">
        <v>322</v>
      </c>
      <c r="P14" s="182" t="s">
        <v>323</v>
      </c>
      <c r="Q14" s="182" t="s">
        <v>324</v>
      </c>
      <c r="R14" s="182" t="s">
        <v>325</v>
      </c>
    </row>
    <row r="15" spans="2:23">
      <c r="B15" s="183" t="s">
        <v>461</v>
      </c>
      <c r="C15" s="284">
        <v>24000</v>
      </c>
      <c r="D15" s="284"/>
      <c r="G15" s="183" t="s">
        <v>461</v>
      </c>
      <c r="H15" s="284">
        <v>200000</v>
      </c>
      <c r="I15" s="284"/>
      <c r="K15" s="183" t="s">
        <v>283</v>
      </c>
      <c r="L15" s="208">
        <v>50</v>
      </c>
      <c r="M15" s="209" t="s">
        <v>326</v>
      </c>
      <c r="N15" s="210">
        <v>4</v>
      </c>
      <c r="O15" s="210">
        <v>1</v>
      </c>
      <c r="P15" s="183">
        <f>N15/O15</f>
        <v>4</v>
      </c>
      <c r="Q15" s="183">
        <f>P15*L16</f>
        <v>4</v>
      </c>
      <c r="R15" s="211">
        <f>Q15+L16</f>
        <v>5</v>
      </c>
    </row>
    <row r="16" spans="2:23">
      <c r="B16" s="183" t="s">
        <v>446</v>
      </c>
      <c r="C16" s="285">
        <v>0.1</v>
      </c>
      <c r="D16" s="286"/>
      <c r="G16" s="183" t="s">
        <v>446</v>
      </c>
      <c r="H16" s="285">
        <v>0.12</v>
      </c>
      <c r="I16" s="286"/>
      <c r="K16" s="183" t="s">
        <v>284</v>
      </c>
      <c r="L16" s="208">
        <v>1</v>
      </c>
      <c r="M16" s="209" t="s">
        <v>327</v>
      </c>
      <c r="N16" s="210">
        <v>1</v>
      </c>
      <c r="O16" s="210">
        <v>1</v>
      </c>
      <c r="P16" s="183">
        <f>N16/O16</f>
        <v>1</v>
      </c>
      <c r="Q16" s="183">
        <f>P16*R15</f>
        <v>5</v>
      </c>
      <c r="R16" s="183">
        <f>Q16+R15</f>
        <v>10</v>
      </c>
    </row>
    <row r="17" spans="2:18">
      <c r="B17" s="183" t="s">
        <v>448</v>
      </c>
      <c r="C17" s="284">
        <v>20</v>
      </c>
      <c r="D17" s="284"/>
      <c r="G17" s="183" t="s">
        <v>448</v>
      </c>
      <c r="H17" s="284">
        <v>10</v>
      </c>
      <c r="I17" s="284"/>
      <c r="K17" s="183" t="s">
        <v>286</v>
      </c>
      <c r="L17" s="212">
        <f>L15*L16</f>
        <v>50</v>
      </c>
      <c r="M17" s="209" t="s">
        <v>328</v>
      </c>
      <c r="N17" s="210">
        <v>0</v>
      </c>
      <c r="O17" s="210">
        <v>2</v>
      </c>
      <c r="P17" s="183">
        <f>N17/O17</f>
        <v>0</v>
      </c>
      <c r="Q17" s="183">
        <f>P17*R16</f>
        <v>0</v>
      </c>
      <c r="R17" s="183">
        <f>Q17</f>
        <v>0</v>
      </c>
    </row>
    <row r="18" spans="2:18">
      <c r="B18" s="183"/>
      <c r="C18" s="288"/>
      <c r="D18" s="288"/>
      <c r="G18" s="183"/>
      <c r="H18" s="288"/>
      <c r="I18" s="288"/>
      <c r="K18" s="183" t="s">
        <v>287</v>
      </c>
      <c r="L18" s="208">
        <v>95</v>
      </c>
      <c r="M18" s="209"/>
      <c r="N18" s="183"/>
      <c r="O18" s="183"/>
      <c r="P18" s="201" t="s">
        <v>329</v>
      </c>
      <c r="Q18" s="183"/>
      <c r="R18" s="183">
        <f>R17</f>
        <v>0</v>
      </c>
    </row>
    <row r="19" spans="2:18">
      <c r="B19" s="201" t="s">
        <v>462</v>
      </c>
      <c r="C19" s="291">
        <f>( ( 1-  (1/ ( (1+C16)^C17) ) ) / C16)</f>
        <v>8.5135637197585652</v>
      </c>
      <c r="D19" s="292"/>
      <c r="G19" s="201" t="s">
        <v>463</v>
      </c>
      <c r="H19" s="291">
        <f>( ((1+H16)^H17) -1 ) / H16</f>
        <v>17.548735069535095</v>
      </c>
      <c r="I19" s="292"/>
      <c r="K19" s="183" t="s">
        <v>284</v>
      </c>
      <c r="L19" s="208">
        <v>10</v>
      </c>
      <c r="M19" s="209" t="s">
        <v>328</v>
      </c>
      <c r="N19" s="210">
        <v>10</v>
      </c>
      <c r="O19" s="210">
        <v>2</v>
      </c>
      <c r="P19" s="183">
        <f>N19/O19</f>
        <v>5</v>
      </c>
      <c r="Q19" s="211">
        <f>P19*L16</f>
        <v>5</v>
      </c>
      <c r="R19" s="211">
        <f>Q19</f>
        <v>5</v>
      </c>
    </row>
    <row r="20" spans="2:18">
      <c r="B20" s="201" t="s">
        <v>464</v>
      </c>
      <c r="C20" s="293">
        <f>C19 * C15</f>
        <v>204325.52927420556</v>
      </c>
      <c r="D20" s="294"/>
      <c r="G20" s="201" t="s">
        <v>465</v>
      </c>
      <c r="H20" s="291">
        <f>H19 * H15</f>
        <v>3509747.013907019</v>
      </c>
      <c r="I20" s="292"/>
      <c r="K20" s="183" t="s">
        <v>286</v>
      </c>
      <c r="L20" s="212">
        <f>L19*L18</f>
        <v>950</v>
      </c>
      <c r="M20" s="183"/>
      <c r="N20" s="183"/>
      <c r="O20" s="183"/>
      <c r="P20" s="201" t="s">
        <v>329</v>
      </c>
      <c r="Q20" s="183"/>
      <c r="R20" s="183">
        <f>R19</f>
        <v>5</v>
      </c>
    </row>
    <row r="21" spans="2:18">
      <c r="B21" s="201"/>
      <c r="C21" s="295"/>
      <c r="D21" s="296"/>
      <c r="G21" s="201"/>
      <c r="H21" s="295"/>
      <c r="I21" s="296"/>
      <c r="K21" s="183"/>
      <c r="L21" s="212"/>
      <c r="M21" s="209" t="s">
        <v>328</v>
      </c>
      <c r="N21" s="210">
        <v>10</v>
      </c>
      <c r="O21" s="210">
        <v>2</v>
      </c>
      <c r="P21" s="183">
        <f>N21/O21</f>
        <v>5</v>
      </c>
      <c r="Q21" s="183">
        <f>P21*R20</f>
        <v>25</v>
      </c>
      <c r="R21" s="183">
        <f>Q21</f>
        <v>25</v>
      </c>
    </row>
    <row r="22" spans="2:18">
      <c r="B22" s="201"/>
      <c r="C22" s="289"/>
      <c r="D22" s="289"/>
      <c r="G22" s="201"/>
      <c r="H22" s="289"/>
      <c r="I22" s="289"/>
      <c r="K22" s="201" t="s">
        <v>289</v>
      </c>
      <c r="L22" s="213">
        <f>L20/L17</f>
        <v>19</v>
      </c>
      <c r="M22" s="209"/>
      <c r="N22" s="183"/>
      <c r="O22" s="183"/>
      <c r="P22" s="201" t="s">
        <v>329</v>
      </c>
      <c r="Q22" s="183"/>
      <c r="R22" s="183">
        <f>R21</f>
        <v>25</v>
      </c>
    </row>
    <row r="26" spans="2:18">
      <c r="B26" s="279" t="s">
        <v>466</v>
      </c>
      <c r="C26" s="279"/>
      <c r="D26" s="279"/>
      <c r="G26" s="279" t="s">
        <v>467</v>
      </c>
      <c r="H26" s="279"/>
      <c r="I26" s="279"/>
      <c r="K26" s="279" t="s">
        <v>15</v>
      </c>
      <c r="L26" s="279"/>
    </row>
    <row r="27" spans="2:18">
      <c r="B27" s="183" t="s">
        <v>461</v>
      </c>
      <c r="C27" s="284">
        <v>100</v>
      </c>
      <c r="D27" s="284"/>
      <c r="G27" s="183" t="s">
        <v>461</v>
      </c>
      <c r="H27" s="284">
        <v>200000</v>
      </c>
      <c r="I27" s="284"/>
      <c r="K27" s="10" t="s">
        <v>16</v>
      </c>
      <c r="L27" s="11">
        <v>35</v>
      </c>
      <c r="M27" s="273">
        <v>2000000</v>
      </c>
    </row>
    <row r="28" spans="2:18">
      <c r="B28" s="183" t="s">
        <v>446</v>
      </c>
      <c r="C28" s="285">
        <v>0.05</v>
      </c>
      <c r="D28" s="286"/>
      <c r="G28" s="183" t="s">
        <v>446</v>
      </c>
      <c r="H28" s="285">
        <v>0.12</v>
      </c>
      <c r="I28" s="286"/>
      <c r="K28" s="10" t="s">
        <v>17</v>
      </c>
      <c r="L28" s="11">
        <v>85</v>
      </c>
      <c r="M28" s="212">
        <f>L41*M27</f>
        <v>4857142.8571428563</v>
      </c>
      <c r="R28">
        <v>416</v>
      </c>
    </row>
    <row r="29" spans="2:18">
      <c r="B29" s="183" t="s">
        <v>448</v>
      </c>
      <c r="C29" s="284">
        <v>3</v>
      </c>
      <c r="D29" s="284"/>
      <c r="G29" s="183" t="s">
        <v>448</v>
      </c>
      <c r="H29" s="284">
        <v>11</v>
      </c>
      <c r="I29" s="284"/>
      <c r="K29" s="10" t="s">
        <v>18</v>
      </c>
      <c r="L29" s="12">
        <v>3</v>
      </c>
      <c r="M29" s="272"/>
    </row>
    <row r="30" spans="2:18" ht="15.75" thickBot="1">
      <c r="B30" s="183"/>
      <c r="C30" s="288"/>
      <c r="D30" s="288"/>
      <c r="G30" s="183"/>
      <c r="H30" s="288"/>
      <c r="I30" s="288"/>
      <c r="K30" s="13" t="s">
        <v>19</v>
      </c>
      <c r="L30" s="3">
        <f>((L28/L27)^(1/L29))-1</f>
        <v>0.3441579152532328</v>
      </c>
      <c r="M30" s="3"/>
    </row>
    <row r="31" spans="2:18">
      <c r="B31" s="201" t="s">
        <v>462</v>
      </c>
      <c r="C31" s="291">
        <f>( ( ( 1-  (1/ ( (1+C28)^C29) ) ) / C28) ) * (1+C28)</f>
        <v>2.859410430839004</v>
      </c>
      <c r="D31" s="292"/>
      <c r="G31" s="201" t="s">
        <v>463</v>
      </c>
      <c r="H31" s="291">
        <f>(( ((1+H28)^H29) -1 ) / H28 ) * ( 1+H28)</f>
        <v>23.133133271224832</v>
      </c>
      <c r="I31" s="292"/>
      <c r="K31" s="13" t="s">
        <v>20</v>
      </c>
      <c r="L31" s="14">
        <f>L29*12</f>
        <v>36</v>
      </c>
      <c r="M31" s="274"/>
      <c r="P31" s="215" t="s">
        <v>468</v>
      </c>
      <c r="Q31" s="216" t="s">
        <v>469</v>
      </c>
    </row>
    <row r="32" spans="2:18">
      <c r="B32" s="201" t="s">
        <v>470</v>
      </c>
      <c r="C32" s="291">
        <f>C31 * C27</f>
        <v>285.94104308390041</v>
      </c>
      <c r="D32" s="292"/>
      <c r="G32" s="201" t="s">
        <v>471</v>
      </c>
      <c r="H32" s="291">
        <f>H31 * H27</f>
        <v>4626626.6542449668</v>
      </c>
      <c r="I32" s="292"/>
      <c r="K32" s="10" t="s">
        <v>18</v>
      </c>
      <c r="L32" s="15">
        <f>L31/12</f>
        <v>3</v>
      </c>
      <c r="M32" s="275"/>
      <c r="P32" s="217">
        <v>0.05</v>
      </c>
      <c r="Q32" s="218">
        <v>14</v>
      </c>
    </row>
    <row r="33" spans="2:17">
      <c r="B33" s="201"/>
      <c r="C33" s="295"/>
      <c r="D33" s="296"/>
      <c r="G33" s="201"/>
      <c r="H33" s="295"/>
      <c r="I33" s="296"/>
      <c r="K33" s="13" t="s">
        <v>21</v>
      </c>
      <c r="L33" s="3">
        <f>((L28/L27)^(1/L32))-1</f>
        <v>0.3441579152532328</v>
      </c>
      <c r="M33" s="276"/>
      <c r="P33" s="217">
        <v>0.08</v>
      </c>
      <c r="Q33" s="218">
        <v>9</v>
      </c>
    </row>
    <row r="34" spans="2:17">
      <c r="B34" s="201"/>
      <c r="C34" s="289"/>
      <c r="D34" s="289"/>
      <c r="G34" s="201"/>
      <c r="H34" s="289"/>
      <c r="I34" s="289"/>
      <c r="P34" s="217">
        <v>0.1</v>
      </c>
      <c r="Q34" s="218">
        <v>10</v>
      </c>
    </row>
    <row r="35" spans="2:17">
      <c r="P35" s="217">
        <v>0.15</v>
      </c>
      <c r="Q35" s="218">
        <v>5</v>
      </c>
    </row>
    <row r="36" spans="2:17">
      <c r="B36" s="279" t="s">
        <v>24</v>
      </c>
      <c r="C36" s="279"/>
      <c r="D36" s="279"/>
      <c r="E36" s="219"/>
      <c r="G36" s="279" t="s">
        <v>53</v>
      </c>
      <c r="H36" s="279"/>
      <c r="K36" s="279" t="s">
        <v>334</v>
      </c>
      <c r="L36" s="279"/>
      <c r="P36" s="217">
        <v>0.2</v>
      </c>
      <c r="Q36" s="218">
        <v>4</v>
      </c>
    </row>
    <row r="37" spans="2:17">
      <c r="B37" s="19" t="s">
        <v>25</v>
      </c>
      <c r="C37" s="19"/>
      <c r="D37" s="220">
        <v>1000000</v>
      </c>
      <c r="E37" s="219"/>
      <c r="G37" s="19" t="s">
        <v>29</v>
      </c>
      <c r="H37" s="44">
        <v>342</v>
      </c>
      <c r="K37" s="10" t="s">
        <v>16</v>
      </c>
      <c r="L37" s="11">
        <f>L27</f>
        <v>35</v>
      </c>
      <c r="M37" s="214"/>
      <c r="P37" s="217">
        <v>0.25</v>
      </c>
      <c r="Q37" s="218">
        <v>3</v>
      </c>
    </row>
    <row r="38" spans="2:17">
      <c r="B38" s="19" t="s">
        <v>26</v>
      </c>
      <c r="C38" s="19"/>
      <c r="D38" s="21">
        <v>0.66</v>
      </c>
      <c r="E38" s="219"/>
      <c r="G38" s="19" t="s">
        <v>26</v>
      </c>
      <c r="H38" s="21">
        <v>0.12</v>
      </c>
      <c r="K38" s="10" t="s">
        <v>17</v>
      </c>
      <c r="L38" s="11">
        <f>L28</f>
        <v>85</v>
      </c>
      <c r="M38" s="214"/>
      <c r="P38" s="217">
        <v>0.3</v>
      </c>
      <c r="Q38" s="218">
        <v>2.5</v>
      </c>
    </row>
    <row r="39" spans="2:17">
      <c r="B39" s="19" t="s">
        <v>27</v>
      </c>
      <c r="C39" s="19"/>
      <c r="D39" s="221">
        <v>6</v>
      </c>
      <c r="E39" s="219"/>
      <c r="G39" s="19" t="s">
        <v>27</v>
      </c>
      <c r="H39" s="22">
        <v>10</v>
      </c>
      <c r="K39" s="10" t="s">
        <v>472</v>
      </c>
      <c r="L39" s="10"/>
      <c r="M39" s="214"/>
      <c r="P39" s="222">
        <v>0.4</v>
      </c>
      <c r="Q39" s="223">
        <v>2</v>
      </c>
    </row>
    <row r="40" spans="2:17">
      <c r="B40" s="19" t="s">
        <v>28</v>
      </c>
      <c r="C40" s="19"/>
      <c r="D40" s="23">
        <v>500000</v>
      </c>
      <c r="E40" s="219"/>
      <c r="G40" s="19" t="s">
        <v>28</v>
      </c>
      <c r="H40" s="20">
        <v>0</v>
      </c>
      <c r="K40" s="10" t="s">
        <v>335</v>
      </c>
      <c r="L40" s="188">
        <f>(L38-L37)/L37</f>
        <v>1.4285714285714286</v>
      </c>
      <c r="P40" s="222">
        <v>0.5</v>
      </c>
      <c r="Q40" s="223">
        <v>1</v>
      </c>
    </row>
    <row r="41" spans="2:17">
      <c r="B41" s="24" t="s">
        <v>29</v>
      </c>
      <c r="C41" s="24"/>
      <c r="D41" s="45">
        <f>FV(D38,D39,-D40,-D37)</f>
        <v>36018262.604416013</v>
      </c>
      <c r="E41" s="219"/>
      <c r="G41" s="24" t="s">
        <v>54</v>
      </c>
      <c r="H41" s="45">
        <f>PV(H38,H39,H40,-H37)</f>
        <v>110.11484691401803</v>
      </c>
      <c r="K41" s="10" t="s">
        <v>336</v>
      </c>
      <c r="L41" s="224">
        <f>L38/L37</f>
        <v>2.4285714285714284</v>
      </c>
      <c r="P41" s="222">
        <v>0.75</v>
      </c>
      <c r="Q41" s="223">
        <v>1.3</v>
      </c>
    </row>
    <row r="42" spans="2:17" ht="15.75" thickBot="1">
      <c r="B42" s="225" t="s">
        <v>473</v>
      </c>
      <c r="D42" s="226">
        <f>D41/10000000</f>
        <v>3.6018262604416011</v>
      </c>
      <c r="P42" s="227">
        <v>1</v>
      </c>
      <c r="Q42" s="228">
        <v>1</v>
      </c>
    </row>
    <row r="43" spans="2:17" ht="15.75" thickBot="1">
      <c r="C43" s="299" t="s">
        <v>453</v>
      </c>
      <c r="D43" s="299"/>
      <c r="E43" s="299"/>
      <c r="F43" s="299"/>
      <c r="J43" s="299" t="s">
        <v>453</v>
      </c>
      <c r="K43" s="299"/>
      <c r="L43" s="299"/>
      <c r="M43" s="299"/>
    </row>
    <row r="44" spans="2:17" ht="15.75" thickBot="1">
      <c r="B44" s="229"/>
      <c r="C44" s="297" t="s">
        <v>474</v>
      </c>
      <c r="D44" s="298"/>
      <c r="E44" s="230" t="s">
        <v>475</v>
      </c>
      <c r="F44" s="230"/>
      <c r="G44" s="231"/>
      <c r="I44" s="229"/>
      <c r="J44" s="297" t="s">
        <v>476</v>
      </c>
      <c r="K44" s="298"/>
      <c r="L44" s="230" t="s">
        <v>477</v>
      </c>
      <c r="M44" s="230"/>
      <c r="N44" s="231"/>
    </row>
    <row r="45" spans="2:17" ht="15.75" thickBot="1">
      <c r="B45" s="199"/>
      <c r="C45" s="196"/>
      <c r="D45" s="196"/>
      <c r="E45" s="196"/>
      <c r="F45" s="196"/>
      <c r="G45" s="197"/>
      <c r="I45" s="199"/>
      <c r="J45" s="196"/>
      <c r="K45" s="196"/>
      <c r="L45" s="196"/>
      <c r="M45" s="196"/>
      <c r="N45" s="197"/>
    </row>
    <row r="46" spans="2:17" ht="15.75" thickBot="1">
      <c r="B46" s="300" t="s">
        <v>478</v>
      </c>
      <c r="C46" s="301"/>
      <c r="D46" s="301"/>
      <c r="E46" s="301"/>
      <c r="F46" s="301"/>
      <c r="G46" s="302"/>
      <c r="I46" s="300" t="s">
        <v>478</v>
      </c>
      <c r="J46" s="301"/>
      <c r="K46" s="301"/>
      <c r="L46" s="301"/>
      <c r="M46" s="301"/>
      <c r="N46" s="302"/>
    </row>
    <row r="47" spans="2:17">
      <c r="B47" s="199"/>
      <c r="C47" s="196"/>
      <c r="D47" s="232">
        <v>1100000</v>
      </c>
      <c r="E47" s="196"/>
      <c r="F47" s="196"/>
      <c r="G47" s="197"/>
      <c r="I47" s="199"/>
      <c r="J47" s="196"/>
      <c r="K47" s="196"/>
      <c r="L47" s="196"/>
      <c r="M47" s="196"/>
      <c r="N47" s="197"/>
    </row>
    <row r="48" spans="2:17" ht="30">
      <c r="B48" s="233" t="s">
        <v>14</v>
      </c>
      <c r="C48" s="234" t="s">
        <v>479</v>
      </c>
      <c r="D48" s="234" t="s">
        <v>480</v>
      </c>
      <c r="E48" s="234" t="s">
        <v>481</v>
      </c>
      <c r="F48" s="234" t="s">
        <v>482</v>
      </c>
      <c r="G48" s="235" t="s">
        <v>483</v>
      </c>
      <c r="I48" s="233" t="s">
        <v>14</v>
      </c>
      <c r="J48" s="234" t="s">
        <v>479</v>
      </c>
      <c r="K48" s="234" t="s">
        <v>484</v>
      </c>
      <c r="L48" s="234" t="s">
        <v>481</v>
      </c>
      <c r="M48" s="234" t="s">
        <v>482</v>
      </c>
      <c r="N48" s="235" t="s">
        <v>483</v>
      </c>
      <c r="O48" s="236" t="s">
        <v>485</v>
      </c>
      <c r="P48" s="237" t="s">
        <v>4</v>
      </c>
    </row>
    <row r="49" spans="1:16">
      <c r="A49">
        <v>2013</v>
      </c>
      <c r="B49" s="238">
        <v>0</v>
      </c>
      <c r="C49" s="239">
        <v>0</v>
      </c>
      <c r="D49" s="240">
        <v>1000000</v>
      </c>
      <c r="E49" s="241">
        <v>0.5</v>
      </c>
      <c r="F49" s="242">
        <f xml:space="preserve"> (C49) * E49</f>
        <v>0</v>
      </c>
      <c r="G49" s="243">
        <f>C49+D49+F49</f>
        <v>1000000</v>
      </c>
      <c r="H49" s="214"/>
      <c r="I49" s="238">
        <v>0</v>
      </c>
      <c r="J49" s="239">
        <v>1</v>
      </c>
      <c r="K49" s="240">
        <v>0</v>
      </c>
      <c r="L49" s="241">
        <v>3</v>
      </c>
      <c r="M49" s="239">
        <f xml:space="preserve"> (J49+K49) * L49</f>
        <v>3</v>
      </c>
      <c r="N49" s="244">
        <f>J49+K49+M49</f>
        <v>4</v>
      </c>
      <c r="O49">
        <v>2015</v>
      </c>
      <c r="P49" s="245">
        <f t="shared" ref="P49:P64" si="1">N49/10000000</f>
        <v>3.9999999999999998E-7</v>
      </c>
    </row>
    <row r="50" spans="1:16">
      <c r="A50">
        <f>A49+1</f>
        <v>2014</v>
      </c>
      <c r="B50" s="238">
        <f>B49+1</f>
        <v>1</v>
      </c>
      <c r="C50" s="239">
        <f t="shared" ref="C50:C79" si="2">G49</f>
        <v>1000000</v>
      </c>
      <c r="D50" s="240">
        <v>1500000</v>
      </c>
      <c r="E50" s="241">
        <f>E49</f>
        <v>0.5</v>
      </c>
      <c r="F50" s="242">
        <f t="shared" ref="F50:F79" si="3" xml:space="preserve"> (C50) * E50</f>
        <v>500000</v>
      </c>
      <c r="G50" s="243">
        <f t="shared" ref="G50:G80" si="4">C50+D50+F50</f>
        <v>3000000</v>
      </c>
      <c r="H50" s="214"/>
      <c r="I50" s="238">
        <f>I49+1</f>
        <v>1</v>
      </c>
      <c r="J50" s="239">
        <f>N49</f>
        <v>4</v>
      </c>
      <c r="K50" s="240">
        <v>0</v>
      </c>
      <c r="L50" s="241">
        <v>2</v>
      </c>
      <c r="M50" s="239">
        <f t="shared" ref="M50:M80" si="5" xml:space="preserve"> (J50+K50) * L50</f>
        <v>8</v>
      </c>
      <c r="N50" s="244">
        <f t="shared" ref="N50:N80" si="6">J50+K50+M50</f>
        <v>12</v>
      </c>
      <c r="O50">
        <f t="shared" ref="O50:O64" si="7">O49+1</f>
        <v>2016</v>
      </c>
      <c r="P50" s="245">
        <f t="shared" si="1"/>
        <v>1.1999999999999999E-6</v>
      </c>
    </row>
    <row r="51" spans="1:16">
      <c r="A51">
        <f t="shared" ref="A51:B66" si="8">A50+1</f>
        <v>2015</v>
      </c>
      <c r="B51" s="238">
        <f t="shared" si="8"/>
        <v>2</v>
      </c>
      <c r="C51" s="239">
        <f t="shared" si="2"/>
        <v>3000000</v>
      </c>
      <c r="D51" s="240">
        <v>2000000</v>
      </c>
      <c r="E51" s="241">
        <f>E50</f>
        <v>0.5</v>
      </c>
      <c r="F51" s="242">
        <f t="shared" si="3"/>
        <v>1500000</v>
      </c>
      <c r="G51" s="243">
        <f t="shared" si="4"/>
        <v>6500000</v>
      </c>
      <c r="H51" s="214"/>
      <c r="I51" s="238">
        <f t="shared" ref="I51:I79" si="9">I50+1</f>
        <v>2</v>
      </c>
      <c r="J51" s="239">
        <f t="shared" ref="J51:J80" si="10">N50</f>
        <v>12</v>
      </c>
      <c r="K51" s="240">
        <v>0</v>
      </c>
      <c r="L51" s="241">
        <v>0.8</v>
      </c>
      <c r="M51" s="239">
        <f t="shared" si="5"/>
        <v>9.6000000000000014</v>
      </c>
      <c r="N51" s="244">
        <f t="shared" si="6"/>
        <v>21.6</v>
      </c>
      <c r="O51">
        <f t="shared" si="7"/>
        <v>2017</v>
      </c>
      <c r="P51" s="245">
        <f t="shared" si="1"/>
        <v>2.1600000000000001E-6</v>
      </c>
    </row>
    <row r="52" spans="1:16">
      <c r="A52">
        <f t="shared" si="8"/>
        <v>2016</v>
      </c>
      <c r="B52" s="238">
        <f t="shared" si="8"/>
        <v>3</v>
      </c>
      <c r="C52" s="239">
        <f t="shared" si="2"/>
        <v>6500000</v>
      </c>
      <c r="D52" s="240">
        <v>2500000</v>
      </c>
      <c r="E52" s="241">
        <f t="shared" ref="E52:E70" si="11">E51</f>
        <v>0.5</v>
      </c>
      <c r="F52" s="242">
        <f t="shared" si="3"/>
        <v>3250000</v>
      </c>
      <c r="G52" s="243">
        <f t="shared" si="4"/>
        <v>12250000</v>
      </c>
      <c r="H52" s="214"/>
      <c r="I52" s="238">
        <f t="shared" si="9"/>
        <v>3</v>
      </c>
      <c r="J52" s="239">
        <f t="shared" si="10"/>
        <v>21.6</v>
      </c>
      <c r="K52" s="240">
        <v>0</v>
      </c>
      <c r="L52" s="246">
        <v>0.4</v>
      </c>
      <c r="M52" s="239">
        <f t="shared" si="5"/>
        <v>8.64</v>
      </c>
      <c r="N52" s="244">
        <f t="shared" si="6"/>
        <v>30.240000000000002</v>
      </c>
      <c r="O52">
        <f t="shared" si="7"/>
        <v>2018</v>
      </c>
      <c r="P52" s="245">
        <f t="shared" si="1"/>
        <v>3.0240000000000002E-6</v>
      </c>
    </row>
    <row r="53" spans="1:16">
      <c r="A53">
        <f t="shared" si="8"/>
        <v>2017</v>
      </c>
      <c r="B53" s="238">
        <f t="shared" si="8"/>
        <v>4</v>
      </c>
      <c r="C53" s="239">
        <f t="shared" si="2"/>
        <v>12250000</v>
      </c>
      <c r="D53" s="240">
        <v>3000000</v>
      </c>
      <c r="E53" s="241">
        <f t="shared" si="11"/>
        <v>0.5</v>
      </c>
      <c r="F53" s="242">
        <f t="shared" si="3"/>
        <v>6125000</v>
      </c>
      <c r="G53" s="243">
        <f t="shared" si="4"/>
        <v>21375000</v>
      </c>
      <c r="H53" s="214"/>
      <c r="I53" s="238">
        <f t="shared" si="9"/>
        <v>4</v>
      </c>
      <c r="J53" s="239">
        <f t="shared" si="10"/>
        <v>30.240000000000002</v>
      </c>
      <c r="K53" s="240">
        <v>0</v>
      </c>
      <c r="L53" s="246">
        <v>0.3</v>
      </c>
      <c r="M53" s="239">
        <f t="shared" si="5"/>
        <v>9.072000000000001</v>
      </c>
      <c r="N53" s="244">
        <f t="shared" si="6"/>
        <v>39.312000000000005</v>
      </c>
      <c r="O53">
        <f t="shared" si="7"/>
        <v>2019</v>
      </c>
      <c r="P53" s="245">
        <f t="shared" si="1"/>
        <v>3.9312000000000006E-6</v>
      </c>
    </row>
    <row r="54" spans="1:16">
      <c r="A54">
        <f t="shared" si="8"/>
        <v>2018</v>
      </c>
      <c r="B54" s="238">
        <f t="shared" si="8"/>
        <v>5</v>
      </c>
      <c r="C54" s="239">
        <f t="shared" si="2"/>
        <v>21375000</v>
      </c>
      <c r="D54" s="240">
        <v>3500000</v>
      </c>
      <c r="E54" s="241">
        <f t="shared" si="11"/>
        <v>0.5</v>
      </c>
      <c r="F54" s="242">
        <f t="shared" si="3"/>
        <v>10687500</v>
      </c>
      <c r="G54" s="243">
        <f t="shared" si="4"/>
        <v>35562500</v>
      </c>
      <c r="H54" s="214"/>
      <c r="I54" s="238">
        <f t="shared" si="9"/>
        <v>5</v>
      </c>
      <c r="J54" s="239">
        <f t="shared" si="10"/>
        <v>39.312000000000005</v>
      </c>
      <c r="K54" s="240">
        <v>0</v>
      </c>
      <c r="L54" s="241">
        <v>0.2</v>
      </c>
      <c r="M54" s="239">
        <f t="shared" si="5"/>
        <v>7.8624000000000009</v>
      </c>
      <c r="N54" s="244">
        <f t="shared" si="6"/>
        <v>47.174400000000006</v>
      </c>
      <c r="O54">
        <f t="shared" si="7"/>
        <v>2020</v>
      </c>
      <c r="P54" s="245">
        <f t="shared" si="1"/>
        <v>4.7174400000000002E-6</v>
      </c>
    </row>
    <row r="55" spans="1:16">
      <c r="A55">
        <f t="shared" si="8"/>
        <v>2019</v>
      </c>
      <c r="B55" s="238">
        <f t="shared" si="8"/>
        <v>6</v>
      </c>
      <c r="C55" s="239">
        <f t="shared" si="2"/>
        <v>35562500</v>
      </c>
      <c r="D55" s="240">
        <v>4000000</v>
      </c>
      <c r="E55" s="241">
        <f t="shared" si="11"/>
        <v>0.5</v>
      </c>
      <c r="F55" s="242">
        <f t="shared" si="3"/>
        <v>17781250</v>
      </c>
      <c r="G55" s="243">
        <f t="shared" si="4"/>
        <v>57343750</v>
      </c>
      <c r="H55" s="214"/>
      <c r="I55" s="238">
        <f t="shared" si="9"/>
        <v>6</v>
      </c>
      <c r="J55" s="239">
        <f t="shared" si="10"/>
        <v>47.174400000000006</v>
      </c>
      <c r="K55" s="240">
        <v>0</v>
      </c>
      <c r="L55" s="241">
        <f t="shared" ref="L55:L67" si="12">L54</f>
        <v>0.2</v>
      </c>
      <c r="M55" s="239">
        <f t="shared" si="5"/>
        <v>9.4348800000000015</v>
      </c>
      <c r="N55" s="244">
        <f t="shared" si="6"/>
        <v>56.609280000000005</v>
      </c>
      <c r="O55">
        <f t="shared" si="7"/>
        <v>2021</v>
      </c>
      <c r="P55" s="245">
        <f t="shared" si="1"/>
        <v>5.6609280000000002E-6</v>
      </c>
    </row>
    <row r="56" spans="1:16">
      <c r="A56">
        <f t="shared" si="8"/>
        <v>2020</v>
      </c>
      <c r="B56" s="238">
        <f t="shared" si="8"/>
        <v>7</v>
      </c>
      <c r="C56" s="239">
        <f t="shared" si="2"/>
        <v>57343750</v>
      </c>
      <c r="D56" s="240">
        <v>5000000</v>
      </c>
      <c r="E56" s="241">
        <f t="shared" si="11"/>
        <v>0.5</v>
      </c>
      <c r="F56" s="242">
        <f t="shared" si="3"/>
        <v>28671875</v>
      </c>
      <c r="G56" s="243">
        <f t="shared" si="4"/>
        <v>91015625</v>
      </c>
      <c r="H56" s="214">
        <f>G56/10000000</f>
        <v>9.1015625</v>
      </c>
      <c r="I56" s="238">
        <f t="shared" si="9"/>
        <v>7</v>
      </c>
      <c r="J56" s="239">
        <f t="shared" si="10"/>
        <v>56.609280000000005</v>
      </c>
      <c r="K56" s="240">
        <v>0</v>
      </c>
      <c r="L56" s="241">
        <f t="shared" si="12"/>
        <v>0.2</v>
      </c>
      <c r="M56" s="239">
        <f t="shared" si="5"/>
        <v>11.321856000000002</v>
      </c>
      <c r="N56" s="244">
        <f t="shared" si="6"/>
        <v>67.931136000000009</v>
      </c>
      <c r="O56">
        <f t="shared" si="7"/>
        <v>2022</v>
      </c>
      <c r="P56" s="245">
        <f t="shared" si="1"/>
        <v>6.7931136000000013E-6</v>
      </c>
    </row>
    <row r="57" spans="1:16">
      <c r="A57">
        <f t="shared" si="8"/>
        <v>2021</v>
      </c>
      <c r="B57" s="238">
        <f t="shared" si="8"/>
        <v>8</v>
      </c>
      <c r="C57" s="239">
        <f t="shared" si="2"/>
        <v>91015625</v>
      </c>
      <c r="D57" s="240">
        <v>0</v>
      </c>
      <c r="E57" s="241">
        <f t="shared" si="11"/>
        <v>0.5</v>
      </c>
      <c r="F57" s="242">
        <f t="shared" si="3"/>
        <v>45507812.5</v>
      </c>
      <c r="G57" s="243">
        <f t="shared" si="4"/>
        <v>136523437.5</v>
      </c>
      <c r="H57" s="214"/>
      <c r="I57" s="238">
        <f t="shared" si="9"/>
        <v>8</v>
      </c>
      <c r="J57" s="239">
        <f t="shared" si="10"/>
        <v>67.931136000000009</v>
      </c>
      <c r="K57" s="240">
        <v>0</v>
      </c>
      <c r="L57" s="241">
        <f t="shared" si="12"/>
        <v>0.2</v>
      </c>
      <c r="M57" s="239">
        <f t="shared" si="5"/>
        <v>13.586227200000003</v>
      </c>
      <c r="N57" s="244">
        <f t="shared" si="6"/>
        <v>81.517363200000005</v>
      </c>
      <c r="O57">
        <f t="shared" si="7"/>
        <v>2023</v>
      </c>
      <c r="P57" s="245">
        <f t="shared" si="1"/>
        <v>8.1517363199999998E-6</v>
      </c>
    </row>
    <row r="58" spans="1:16">
      <c r="A58">
        <f t="shared" si="8"/>
        <v>2022</v>
      </c>
      <c r="B58" s="238">
        <f t="shared" si="8"/>
        <v>9</v>
      </c>
      <c r="C58" s="239">
        <f t="shared" si="2"/>
        <v>136523437.5</v>
      </c>
      <c r="D58" s="240">
        <v>0</v>
      </c>
      <c r="E58" s="241">
        <f t="shared" si="11"/>
        <v>0.5</v>
      </c>
      <c r="F58" s="242">
        <f t="shared" si="3"/>
        <v>68261718.75</v>
      </c>
      <c r="G58" s="243">
        <f t="shared" si="4"/>
        <v>204785156.25</v>
      </c>
      <c r="H58" s="214"/>
      <c r="I58" s="238">
        <f t="shared" si="9"/>
        <v>9</v>
      </c>
      <c r="J58" s="239">
        <f t="shared" si="10"/>
        <v>81.517363200000005</v>
      </c>
      <c r="K58" s="240">
        <v>0</v>
      </c>
      <c r="L58" s="241">
        <f t="shared" si="12"/>
        <v>0.2</v>
      </c>
      <c r="M58" s="239">
        <f t="shared" si="5"/>
        <v>16.303472640000003</v>
      </c>
      <c r="N58" s="244">
        <f t="shared" si="6"/>
        <v>97.820835840000001</v>
      </c>
      <c r="O58">
        <f t="shared" si="7"/>
        <v>2024</v>
      </c>
      <c r="P58" s="245">
        <f t="shared" si="1"/>
        <v>9.7820835840000005E-6</v>
      </c>
    </row>
    <row r="59" spans="1:16">
      <c r="A59">
        <f t="shared" si="8"/>
        <v>2023</v>
      </c>
      <c r="B59" s="238">
        <f t="shared" si="8"/>
        <v>10</v>
      </c>
      <c r="C59" s="239">
        <f t="shared" si="2"/>
        <v>204785156.25</v>
      </c>
      <c r="D59" s="240">
        <v>0</v>
      </c>
      <c r="E59" s="241">
        <f t="shared" si="11"/>
        <v>0.5</v>
      </c>
      <c r="F59" s="242">
        <f t="shared" si="3"/>
        <v>102392578.125</v>
      </c>
      <c r="G59" s="243">
        <f t="shared" si="4"/>
        <v>307177734.375</v>
      </c>
      <c r="H59" s="214"/>
      <c r="I59" s="238">
        <f t="shared" si="9"/>
        <v>10</v>
      </c>
      <c r="J59" s="239">
        <f t="shared" si="10"/>
        <v>97.820835840000001</v>
      </c>
      <c r="K59" s="240">
        <v>0</v>
      </c>
      <c r="L59" s="241">
        <f t="shared" si="12"/>
        <v>0.2</v>
      </c>
      <c r="M59" s="239">
        <f t="shared" si="5"/>
        <v>19.564167168000001</v>
      </c>
      <c r="N59" s="244">
        <f t="shared" si="6"/>
        <v>117.385003008</v>
      </c>
      <c r="O59">
        <f t="shared" si="7"/>
        <v>2025</v>
      </c>
      <c r="P59" s="245">
        <f t="shared" si="1"/>
        <v>1.17385003008E-5</v>
      </c>
    </row>
    <row r="60" spans="1:16">
      <c r="A60">
        <f t="shared" si="8"/>
        <v>2024</v>
      </c>
      <c r="B60" s="238">
        <f t="shared" si="8"/>
        <v>11</v>
      </c>
      <c r="C60" s="239">
        <f t="shared" si="2"/>
        <v>307177734.375</v>
      </c>
      <c r="D60" s="240">
        <v>0</v>
      </c>
      <c r="E60" s="241">
        <f t="shared" si="11"/>
        <v>0.5</v>
      </c>
      <c r="F60" s="242">
        <f t="shared" si="3"/>
        <v>153588867.1875</v>
      </c>
      <c r="G60" s="243">
        <f t="shared" si="4"/>
        <v>460766601.5625</v>
      </c>
      <c r="H60" s="214"/>
      <c r="I60" s="238">
        <f t="shared" si="9"/>
        <v>11</v>
      </c>
      <c r="J60" s="239">
        <f t="shared" si="10"/>
        <v>117.385003008</v>
      </c>
      <c r="K60" s="240">
        <v>0</v>
      </c>
      <c r="L60" s="241">
        <f t="shared" si="12"/>
        <v>0.2</v>
      </c>
      <c r="M60" s="239">
        <f t="shared" si="5"/>
        <v>23.4770006016</v>
      </c>
      <c r="N60" s="244">
        <f t="shared" si="6"/>
        <v>140.86200360960001</v>
      </c>
      <c r="O60">
        <f t="shared" si="7"/>
        <v>2026</v>
      </c>
      <c r="P60" s="245">
        <f t="shared" si="1"/>
        <v>1.4086200360960001E-5</v>
      </c>
    </row>
    <row r="61" spans="1:16">
      <c r="A61">
        <f t="shared" si="8"/>
        <v>2025</v>
      </c>
      <c r="B61" s="238">
        <f t="shared" si="8"/>
        <v>12</v>
      </c>
      <c r="C61" s="239">
        <f t="shared" si="2"/>
        <v>460766601.5625</v>
      </c>
      <c r="D61" s="240">
        <v>0</v>
      </c>
      <c r="E61" s="241">
        <f t="shared" si="11"/>
        <v>0.5</v>
      </c>
      <c r="F61" s="242">
        <f t="shared" si="3"/>
        <v>230383300.78125</v>
      </c>
      <c r="G61" s="243">
        <f t="shared" si="4"/>
        <v>691149902.34375</v>
      </c>
      <c r="H61" s="214"/>
      <c r="I61" s="238">
        <f t="shared" si="9"/>
        <v>12</v>
      </c>
      <c r="J61" s="239">
        <f t="shared" si="10"/>
        <v>140.86200360960001</v>
      </c>
      <c r="K61" s="240">
        <v>0</v>
      </c>
      <c r="L61" s="241">
        <f t="shared" si="12"/>
        <v>0.2</v>
      </c>
      <c r="M61" s="239">
        <f t="shared" si="5"/>
        <v>28.172400721920003</v>
      </c>
      <c r="N61" s="244">
        <f t="shared" si="6"/>
        <v>169.03440433152002</v>
      </c>
      <c r="O61">
        <f t="shared" si="7"/>
        <v>2027</v>
      </c>
      <c r="P61" s="245">
        <f t="shared" si="1"/>
        <v>1.6903440433152003E-5</v>
      </c>
    </row>
    <row r="62" spans="1:16">
      <c r="A62">
        <f t="shared" si="8"/>
        <v>2026</v>
      </c>
      <c r="B62" s="238">
        <f t="shared" si="8"/>
        <v>13</v>
      </c>
      <c r="C62" s="239">
        <f t="shared" si="2"/>
        <v>691149902.34375</v>
      </c>
      <c r="D62" s="240">
        <v>0</v>
      </c>
      <c r="E62" s="241">
        <f t="shared" si="11"/>
        <v>0.5</v>
      </c>
      <c r="F62" s="242">
        <f t="shared" si="3"/>
        <v>345574951.171875</v>
      </c>
      <c r="G62" s="243">
        <f t="shared" si="4"/>
        <v>1036724853.515625</v>
      </c>
      <c r="H62" s="214"/>
      <c r="I62" s="238">
        <f t="shared" si="9"/>
        <v>13</v>
      </c>
      <c r="J62" s="239">
        <f t="shared" si="10"/>
        <v>169.03440433152002</v>
      </c>
      <c r="K62" s="240">
        <v>0</v>
      </c>
      <c r="L62" s="241">
        <f t="shared" si="12"/>
        <v>0.2</v>
      </c>
      <c r="M62" s="239">
        <f t="shared" si="5"/>
        <v>33.806880866304006</v>
      </c>
      <c r="N62" s="244">
        <f t="shared" si="6"/>
        <v>202.84128519782402</v>
      </c>
      <c r="O62">
        <f t="shared" si="7"/>
        <v>2028</v>
      </c>
      <c r="P62" s="245">
        <f t="shared" si="1"/>
        <v>2.0284128519782403E-5</v>
      </c>
    </row>
    <row r="63" spans="1:16">
      <c r="A63">
        <f t="shared" si="8"/>
        <v>2027</v>
      </c>
      <c r="B63" s="238">
        <f t="shared" si="8"/>
        <v>14</v>
      </c>
      <c r="C63" s="239">
        <f t="shared" si="2"/>
        <v>1036724853.515625</v>
      </c>
      <c r="D63" s="240">
        <v>0</v>
      </c>
      <c r="E63" s="241">
        <f t="shared" si="11"/>
        <v>0.5</v>
      </c>
      <c r="F63" s="242">
        <f t="shared" si="3"/>
        <v>518362426.7578125</v>
      </c>
      <c r="G63" s="243">
        <f t="shared" si="4"/>
        <v>1555087280.2734375</v>
      </c>
      <c r="H63" s="214"/>
      <c r="I63" s="238">
        <f t="shared" si="9"/>
        <v>14</v>
      </c>
      <c r="J63" s="239">
        <f t="shared" si="10"/>
        <v>202.84128519782402</v>
      </c>
      <c r="K63" s="240">
        <v>0</v>
      </c>
      <c r="L63" s="241">
        <f t="shared" si="12"/>
        <v>0.2</v>
      </c>
      <c r="M63" s="239">
        <f t="shared" si="5"/>
        <v>40.568257039564806</v>
      </c>
      <c r="N63" s="244">
        <f t="shared" si="6"/>
        <v>243.40954223738882</v>
      </c>
      <c r="O63">
        <f t="shared" si="7"/>
        <v>2029</v>
      </c>
      <c r="P63" s="245">
        <f t="shared" si="1"/>
        <v>2.4340954223738881E-5</v>
      </c>
    </row>
    <row r="64" spans="1:16">
      <c r="A64">
        <f t="shared" si="8"/>
        <v>2028</v>
      </c>
      <c r="B64" s="238">
        <f t="shared" si="8"/>
        <v>15</v>
      </c>
      <c r="C64" s="239">
        <f t="shared" si="2"/>
        <v>1555087280.2734375</v>
      </c>
      <c r="D64" s="240">
        <v>0</v>
      </c>
      <c r="E64" s="241">
        <f t="shared" si="11"/>
        <v>0.5</v>
      </c>
      <c r="F64" s="242">
        <f t="shared" si="3"/>
        <v>777543640.13671875</v>
      </c>
      <c r="G64" s="243">
        <f t="shared" si="4"/>
        <v>2332630920.4101562</v>
      </c>
      <c r="H64" s="214"/>
      <c r="I64" s="238">
        <f t="shared" si="9"/>
        <v>15</v>
      </c>
      <c r="J64" s="239">
        <f t="shared" si="10"/>
        <v>243.40954223738882</v>
      </c>
      <c r="K64" s="240">
        <v>0</v>
      </c>
      <c r="L64" s="241">
        <f t="shared" si="12"/>
        <v>0.2</v>
      </c>
      <c r="M64" s="239">
        <f t="shared" si="5"/>
        <v>48.681908447477767</v>
      </c>
      <c r="N64" s="244">
        <f t="shared" si="6"/>
        <v>292.09145068486657</v>
      </c>
      <c r="O64">
        <f t="shared" si="7"/>
        <v>2030</v>
      </c>
      <c r="P64" s="245">
        <f t="shared" si="1"/>
        <v>2.9209145068486657E-5</v>
      </c>
    </row>
    <row r="65" spans="1:14">
      <c r="A65">
        <f t="shared" si="8"/>
        <v>2029</v>
      </c>
      <c r="B65" s="238">
        <f t="shared" si="8"/>
        <v>16</v>
      </c>
      <c r="C65" s="239">
        <f t="shared" si="2"/>
        <v>2332630920.4101562</v>
      </c>
      <c r="D65" s="240">
        <v>0</v>
      </c>
      <c r="E65" s="241">
        <f t="shared" si="11"/>
        <v>0.5</v>
      </c>
      <c r="F65" s="242">
        <f t="shared" si="3"/>
        <v>1166315460.2050781</v>
      </c>
      <c r="G65" s="243">
        <f t="shared" si="4"/>
        <v>3498946380.6152344</v>
      </c>
      <c r="H65" s="214"/>
      <c r="I65" s="238">
        <f t="shared" si="9"/>
        <v>16</v>
      </c>
      <c r="J65" s="239">
        <f t="shared" si="10"/>
        <v>292.09145068486657</v>
      </c>
      <c r="K65" s="240">
        <v>0</v>
      </c>
      <c r="L65" s="241">
        <f t="shared" si="12"/>
        <v>0.2</v>
      </c>
      <c r="M65" s="239">
        <f t="shared" si="5"/>
        <v>58.418290136973319</v>
      </c>
      <c r="N65" s="244">
        <f t="shared" si="6"/>
        <v>350.5097408218399</v>
      </c>
    </row>
    <row r="66" spans="1:14">
      <c r="A66" s="247">
        <f t="shared" si="8"/>
        <v>2030</v>
      </c>
      <c r="B66" s="238">
        <f t="shared" si="8"/>
        <v>17</v>
      </c>
      <c r="C66" s="239">
        <f t="shared" si="2"/>
        <v>3498946380.6152344</v>
      </c>
      <c r="D66" s="240">
        <v>0</v>
      </c>
      <c r="E66" s="241">
        <f t="shared" si="11"/>
        <v>0.5</v>
      </c>
      <c r="F66" s="242">
        <f t="shared" si="3"/>
        <v>1749473190.3076172</v>
      </c>
      <c r="G66" s="248">
        <f t="shared" si="4"/>
        <v>5248419570.9228516</v>
      </c>
      <c r="H66" s="214">
        <f>G66/10000000</f>
        <v>524.84195709228516</v>
      </c>
      <c r="I66" s="238">
        <f t="shared" si="9"/>
        <v>17</v>
      </c>
      <c r="J66" s="239">
        <f t="shared" si="10"/>
        <v>350.5097408218399</v>
      </c>
      <c r="K66" s="240">
        <v>0</v>
      </c>
      <c r="L66" s="241">
        <f t="shared" si="12"/>
        <v>0.2</v>
      </c>
      <c r="M66" s="239">
        <f t="shared" si="5"/>
        <v>70.101948164367982</v>
      </c>
      <c r="N66" s="244">
        <f t="shared" si="6"/>
        <v>420.61168898620787</v>
      </c>
    </row>
    <row r="67" spans="1:14">
      <c r="A67">
        <f t="shared" ref="A67:B79" si="13">A66+1</f>
        <v>2031</v>
      </c>
      <c r="B67" s="238">
        <f t="shared" si="13"/>
        <v>18</v>
      </c>
      <c r="C67" s="239">
        <f t="shared" si="2"/>
        <v>5248419570.9228516</v>
      </c>
      <c r="D67" s="240">
        <v>0</v>
      </c>
      <c r="E67" s="241">
        <v>0</v>
      </c>
      <c r="F67" s="242">
        <f t="shared" si="3"/>
        <v>0</v>
      </c>
      <c r="G67" s="243">
        <f t="shared" si="4"/>
        <v>5248419570.9228516</v>
      </c>
      <c r="H67" s="249"/>
      <c r="I67" s="238">
        <f t="shared" si="9"/>
        <v>18</v>
      </c>
      <c r="J67" s="239">
        <f t="shared" si="10"/>
        <v>420.61168898620787</v>
      </c>
      <c r="K67" s="240">
        <v>0</v>
      </c>
      <c r="L67" s="241">
        <f t="shared" si="12"/>
        <v>0.2</v>
      </c>
      <c r="M67" s="239">
        <f t="shared" si="5"/>
        <v>84.122337797241585</v>
      </c>
      <c r="N67" s="244">
        <f t="shared" si="6"/>
        <v>504.73402678344945</v>
      </c>
    </row>
    <row r="68" spans="1:14">
      <c r="B68" s="238">
        <f t="shared" si="13"/>
        <v>19</v>
      </c>
      <c r="C68" s="239">
        <f t="shared" si="2"/>
        <v>5248419570.9228516</v>
      </c>
      <c r="D68" s="240">
        <v>0</v>
      </c>
      <c r="E68" s="241">
        <v>0</v>
      </c>
      <c r="F68" s="242">
        <f t="shared" si="3"/>
        <v>0</v>
      </c>
      <c r="G68" s="243">
        <f t="shared" si="4"/>
        <v>5248419570.9228516</v>
      </c>
      <c r="H68" s="250" t="e">
        <f>H49/C49</f>
        <v>#DIV/0!</v>
      </c>
      <c r="I68" s="238">
        <f t="shared" si="9"/>
        <v>19</v>
      </c>
      <c r="J68" s="239">
        <f t="shared" si="10"/>
        <v>504.73402678344945</v>
      </c>
      <c r="K68" s="240"/>
      <c r="L68" s="241"/>
      <c r="M68" s="239">
        <f t="shared" si="5"/>
        <v>0</v>
      </c>
      <c r="N68" s="244">
        <f t="shared" si="6"/>
        <v>504.73402678344945</v>
      </c>
    </row>
    <row r="69" spans="1:14">
      <c r="B69" s="238">
        <f t="shared" si="13"/>
        <v>20</v>
      </c>
      <c r="C69" s="239">
        <f t="shared" si="2"/>
        <v>5248419570.9228516</v>
      </c>
      <c r="D69" s="240">
        <v>0</v>
      </c>
      <c r="E69" s="241">
        <f t="shared" si="11"/>
        <v>0</v>
      </c>
      <c r="F69" s="242">
        <f t="shared" si="3"/>
        <v>0</v>
      </c>
      <c r="G69" s="243">
        <f t="shared" si="4"/>
        <v>5248419570.9228516</v>
      </c>
      <c r="H69" s="250">
        <f t="shared" ref="H69:H88" si="14">H50/C50</f>
        <v>0</v>
      </c>
      <c r="I69" s="238">
        <f t="shared" si="9"/>
        <v>20</v>
      </c>
      <c r="J69" s="239">
        <f t="shared" si="10"/>
        <v>504.73402678344945</v>
      </c>
      <c r="K69" s="240"/>
      <c r="L69" s="241"/>
      <c r="M69" s="239">
        <f t="shared" si="5"/>
        <v>0</v>
      </c>
      <c r="N69" s="244">
        <f t="shared" si="6"/>
        <v>504.73402678344945</v>
      </c>
    </row>
    <row r="70" spans="1:14">
      <c r="B70" s="238">
        <f t="shared" si="13"/>
        <v>21</v>
      </c>
      <c r="C70" s="239">
        <f t="shared" si="2"/>
        <v>5248419570.9228516</v>
      </c>
      <c r="D70" s="240"/>
      <c r="E70" s="241">
        <f t="shared" si="11"/>
        <v>0</v>
      </c>
      <c r="F70" s="242">
        <f t="shared" si="3"/>
        <v>0</v>
      </c>
      <c r="G70" s="243">
        <f t="shared" si="4"/>
        <v>5248419570.9228516</v>
      </c>
      <c r="H70" s="250">
        <f t="shared" si="14"/>
        <v>0</v>
      </c>
      <c r="I70" s="238">
        <f t="shared" si="9"/>
        <v>21</v>
      </c>
      <c r="J70" s="239">
        <f t="shared" si="10"/>
        <v>504.73402678344945</v>
      </c>
      <c r="K70" s="240"/>
      <c r="L70" s="241"/>
      <c r="M70" s="239">
        <f t="shared" si="5"/>
        <v>0</v>
      </c>
      <c r="N70" s="244">
        <f t="shared" si="6"/>
        <v>504.73402678344945</v>
      </c>
    </row>
    <row r="71" spans="1:14">
      <c r="B71" s="238">
        <f t="shared" si="13"/>
        <v>22</v>
      </c>
      <c r="C71" s="239">
        <f t="shared" si="2"/>
        <v>5248419570.9228516</v>
      </c>
      <c r="D71" s="240"/>
      <c r="E71" s="241"/>
      <c r="F71" s="242">
        <f t="shared" si="3"/>
        <v>0</v>
      </c>
      <c r="G71" s="243">
        <f t="shared" si="4"/>
        <v>5248419570.9228516</v>
      </c>
      <c r="H71" s="250">
        <f t="shared" si="14"/>
        <v>0</v>
      </c>
      <c r="I71" s="238">
        <f t="shared" si="9"/>
        <v>22</v>
      </c>
      <c r="J71" s="239">
        <f t="shared" si="10"/>
        <v>504.73402678344945</v>
      </c>
      <c r="K71" s="240"/>
      <c r="L71" s="241"/>
      <c r="M71" s="239">
        <f t="shared" si="5"/>
        <v>0</v>
      </c>
      <c r="N71" s="244">
        <f t="shared" si="6"/>
        <v>504.73402678344945</v>
      </c>
    </row>
    <row r="72" spans="1:14">
      <c r="B72" s="238">
        <f t="shared" si="13"/>
        <v>23</v>
      </c>
      <c r="C72" s="239">
        <f t="shared" si="2"/>
        <v>5248419570.9228516</v>
      </c>
      <c r="D72" s="240"/>
      <c r="E72" s="241"/>
      <c r="F72" s="242">
        <f t="shared" si="3"/>
        <v>0</v>
      </c>
      <c r="G72" s="243">
        <f t="shared" si="4"/>
        <v>5248419570.9228516</v>
      </c>
      <c r="H72" s="250">
        <f t="shared" si="14"/>
        <v>0</v>
      </c>
      <c r="I72" s="238">
        <f t="shared" si="9"/>
        <v>23</v>
      </c>
      <c r="J72" s="239">
        <f t="shared" si="10"/>
        <v>504.73402678344945</v>
      </c>
      <c r="K72" s="240"/>
      <c r="L72" s="241"/>
      <c r="M72" s="239">
        <f t="shared" si="5"/>
        <v>0</v>
      </c>
      <c r="N72" s="244">
        <f t="shared" si="6"/>
        <v>504.73402678344945</v>
      </c>
    </row>
    <row r="73" spans="1:14">
      <c r="B73" s="238">
        <f t="shared" si="13"/>
        <v>24</v>
      </c>
      <c r="C73" s="239">
        <f t="shared" si="2"/>
        <v>5248419570.9228516</v>
      </c>
      <c r="D73" s="240"/>
      <c r="E73" s="241"/>
      <c r="F73" s="242">
        <f t="shared" si="3"/>
        <v>0</v>
      </c>
      <c r="G73" s="243">
        <f t="shared" si="4"/>
        <v>5248419570.9228516</v>
      </c>
      <c r="H73" s="250">
        <f t="shared" si="14"/>
        <v>0</v>
      </c>
      <c r="I73" s="238">
        <f t="shared" si="9"/>
        <v>24</v>
      </c>
      <c r="J73" s="239">
        <f t="shared" si="10"/>
        <v>504.73402678344945</v>
      </c>
      <c r="K73" s="240"/>
      <c r="L73" s="241"/>
      <c r="M73" s="239">
        <f t="shared" si="5"/>
        <v>0</v>
      </c>
      <c r="N73" s="244">
        <f t="shared" si="6"/>
        <v>504.73402678344945</v>
      </c>
    </row>
    <row r="74" spans="1:14">
      <c r="B74" s="238">
        <f t="shared" si="13"/>
        <v>25</v>
      </c>
      <c r="C74" s="239">
        <f t="shared" si="2"/>
        <v>5248419570.9228516</v>
      </c>
      <c r="D74" s="240"/>
      <c r="E74" s="241"/>
      <c r="F74" s="242">
        <f t="shared" si="3"/>
        <v>0</v>
      </c>
      <c r="G74" s="243">
        <f t="shared" si="4"/>
        <v>5248419570.9228516</v>
      </c>
      <c r="H74" s="250">
        <f t="shared" si="14"/>
        <v>0</v>
      </c>
      <c r="I74" s="238">
        <f t="shared" si="9"/>
        <v>25</v>
      </c>
      <c r="J74" s="239">
        <f t="shared" si="10"/>
        <v>504.73402678344945</v>
      </c>
      <c r="K74" s="240"/>
      <c r="L74" s="241"/>
      <c r="M74" s="239">
        <f t="shared" si="5"/>
        <v>0</v>
      </c>
      <c r="N74" s="244">
        <f t="shared" si="6"/>
        <v>504.73402678344945</v>
      </c>
    </row>
    <row r="75" spans="1:14">
      <c r="B75" s="238">
        <f t="shared" si="13"/>
        <v>26</v>
      </c>
      <c r="C75" s="239">
        <f t="shared" si="2"/>
        <v>5248419570.9228516</v>
      </c>
      <c r="D75" s="240"/>
      <c r="E75" s="241"/>
      <c r="F75" s="242">
        <f t="shared" si="3"/>
        <v>0</v>
      </c>
      <c r="G75" s="243">
        <f t="shared" si="4"/>
        <v>5248419570.9228516</v>
      </c>
      <c r="H75" s="250">
        <f t="shared" si="14"/>
        <v>1.5871934604904632E-7</v>
      </c>
      <c r="I75" s="238">
        <f t="shared" si="9"/>
        <v>26</v>
      </c>
      <c r="J75" s="239">
        <f t="shared" si="10"/>
        <v>504.73402678344945</v>
      </c>
      <c r="K75" s="240"/>
      <c r="L75" s="241"/>
      <c r="M75" s="239">
        <f t="shared" si="5"/>
        <v>0</v>
      </c>
      <c r="N75" s="244">
        <f t="shared" si="6"/>
        <v>504.73402678344945</v>
      </c>
    </row>
    <row r="76" spans="1:14">
      <c r="B76" s="238">
        <f t="shared" si="13"/>
        <v>27</v>
      </c>
      <c r="C76" s="239">
        <f t="shared" si="2"/>
        <v>5248419570.9228516</v>
      </c>
      <c r="D76" s="240"/>
      <c r="E76" s="241"/>
      <c r="F76" s="242">
        <f t="shared" si="3"/>
        <v>0</v>
      </c>
      <c r="G76" s="243">
        <f t="shared" si="4"/>
        <v>5248419570.9228516</v>
      </c>
      <c r="H76" s="250">
        <f t="shared" si="14"/>
        <v>0</v>
      </c>
      <c r="I76" s="238">
        <f t="shared" si="9"/>
        <v>27</v>
      </c>
      <c r="J76" s="239">
        <f t="shared" si="10"/>
        <v>504.73402678344945</v>
      </c>
      <c r="K76" s="240"/>
      <c r="L76" s="241"/>
      <c r="M76" s="239">
        <f t="shared" si="5"/>
        <v>0</v>
      </c>
      <c r="N76" s="244">
        <f t="shared" si="6"/>
        <v>504.73402678344945</v>
      </c>
    </row>
    <row r="77" spans="1:14">
      <c r="B77" s="238">
        <f t="shared" si="13"/>
        <v>28</v>
      </c>
      <c r="C77" s="239">
        <f t="shared" si="2"/>
        <v>5248419570.9228516</v>
      </c>
      <c r="D77" s="240"/>
      <c r="E77" s="241"/>
      <c r="F77" s="242">
        <f t="shared" si="3"/>
        <v>0</v>
      </c>
      <c r="G77" s="243">
        <f t="shared" si="4"/>
        <v>5248419570.9228516</v>
      </c>
      <c r="H77" s="250">
        <f t="shared" si="14"/>
        <v>0</v>
      </c>
      <c r="I77" s="238">
        <f t="shared" si="9"/>
        <v>28</v>
      </c>
      <c r="J77" s="239">
        <f t="shared" si="10"/>
        <v>504.73402678344945</v>
      </c>
      <c r="K77" s="240"/>
      <c r="L77" s="241"/>
      <c r="M77" s="239">
        <f t="shared" si="5"/>
        <v>0</v>
      </c>
      <c r="N77" s="244">
        <f t="shared" si="6"/>
        <v>504.73402678344945</v>
      </c>
    </row>
    <row r="78" spans="1:14">
      <c r="B78" s="238">
        <f t="shared" si="13"/>
        <v>29</v>
      </c>
      <c r="C78" s="239">
        <f t="shared" si="2"/>
        <v>5248419570.9228516</v>
      </c>
      <c r="D78" s="240"/>
      <c r="E78" s="241"/>
      <c r="F78" s="242">
        <f t="shared" si="3"/>
        <v>0</v>
      </c>
      <c r="G78" s="243">
        <f t="shared" si="4"/>
        <v>5248419570.9228516</v>
      </c>
      <c r="H78" s="250">
        <f t="shared" si="14"/>
        <v>0</v>
      </c>
      <c r="I78" s="238">
        <f t="shared" si="9"/>
        <v>29</v>
      </c>
      <c r="J78" s="239">
        <f t="shared" si="10"/>
        <v>504.73402678344945</v>
      </c>
      <c r="K78" s="240"/>
      <c r="L78" s="241"/>
      <c r="M78" s="239">
        <f t="shared" si="5"/>
        <v>0</v>
      </c>
      <c r="N78" s="244">
        <f t="shared" si="6"/>
        <v>504.73402678344945</v>
      </c>
    </row>
    <row r="79" spans="1:14">
      <c r="B79" s="238">
        <f t="shared" si="13"/>
        <v>30</v>
      </c>
      <c r="C79" s="239">
        <f t="shared" si="2"/>
        <v>5248419570.9228516</v>
      </c>
      <c r="D79" s="240"/>
      <c r="E79" s="241"/>
      <c r="F79" s="242">
        <f t="shared" si="3"/>
        <v>0</v>
      </c>
      <c r="G79" s="243">
        <f t="shared" si="4"/>
        <v>5248419570.9228516</v>
      </c>
      <c r="H79" s="250">
        <f t="shared" si="14"/>
        <v>0</v>
      </c>
      <c r="I79" s="238">
        <f t="shared" si="9"/>
        <v>30</v>
      </c>
      <c r="J79" s="239">
        <f t="shared" si="10"/>
        <v>504.73402678344945</v>
      </c>
      <c r="K79" s="240"/>
      <c r="L79" s="241"/>
      <c r="M79" s="239">
        <f t="shared" si="5"/>
        <v>0</v>
      </c>
      <c r="N79" s="244">
        <f t="shared" si="6"/>
        <v>504.73402678344945</v>
      </c>
    </row>
    <row r="80" spans="1:14" ht="15.75" thickBot="1">
      <c r="B80" s="238"/>
      <c r="C80" s="251"/>
      <c r="D80" s="240"/>
      <c r="E80" s="241"/>
      <c r="F80" s="251"/>
      <c r="G80" s="243">
        <f t="shared" si="4"/>
        <v>0</v>
      </c>
      <c r="H80" s="250">
        <f t="shared" si="14"/>
        <v>0</v>
      </c>
      <c r="I80" s="238"/>
      <c r="J80" s="239">
        <f t="shared" si="10"/>
        <v>504.73402678344945</v>
      </c>
      <c r="K80" s="240"/>
      <c r="L80" s="241"/>
      <c r="M80" s="239">
        <f t="shared" si="5"/>
        <v>0</v>
      </c>
      <c r="N80" s="244">
        <f t="shared" si="6"/>
        <v>504.73402678344945</v>
      </c>
    </row>
    <row r="81" spans="2:14" ht="15.75" thickBot="1">
      <c r="B81" s="303" t="s">
        <v>486</v>
      </c>
      <c r="C81" s="304"/>
      <c r="D81" s="252">
        <f>SUM(D48:D80)</f>
        <v>22500000</v>
      </c>
      <c r="E81" s="253"/>
      <c r="F81" s="253"/>
      <c r="G81" s="254">
        <f>G78</f>
        <v>5248419570.9228516</v>
      </c>
      <c r="H81" s="250">
        <f t="shared" si="14"/>
        <v>0</v>
      </c>
      <c r="I81" s="303" t="s">
        <v>486</v>
      </c>
      <c r="J81" s="304"/>
      <c r="K81" s="255">
        <f>SUM(K48:K80)</f>
        <v>0</v>
      </c>
      <c r="L81" s="253"/>
      <c r="M81" s="252"/>
      <c r="N81" s="256">
        <f>N78</f>
        <v>504.73402678344945</v>
      </c>
    </row>
    <row r="82" spans="2:14" ht="15.75" thickBot="1">
      <c r="B82" s="257"/>
      <c r="C82" s="258" t="s">
        <v>487</v>
      </c>
      <c r="D82" s="259">
        <f>D81/10000000</f>
        <v>2.25</v>
      </c>
      <c r="E82" s="258"/>
      <c r="F82" s="258"/>
      <c r="G82" s="260">
        <f>G81/10000000</f>
        <v>524.84195709228516</v>
      </c>
      <c r="H82" s="250">
        <f t="shared" si="14"/>
        <v>0</v>
      </c>
      <c r="I82" s="257"/>
      <c r="J82" s="258" t="s">
        <v>487</v>
      </c>
      <c r="K82" s="259">
        <f>K81/10000000</f>
        <v>0</v>
      </c>
      <c r="L82" s="258"/>
      <c r="M82" s="258"/>
      <c r="N82" s="260">
        <f>N81/10000000</f>
        <v>5.0473402678344942E-5</v>
      </c>
    </row>
    <row r="83" spans="2:14">
      <c r="G83" s="261"/>
      <c r="H83" s="250">
        <f t="shared" si="14"/>
        <v>0</v>
      </c>
    </row>
    <row r="84" spans="2:14" ht="15.75" thickBot="1">
      <c r="C84" s="299" t="s">
        <v>488</v>
      </c>
      <c r="D84" s="299"/>
      <c r="E84" s="299"/>
      <c r="F84" s="299"/>
      <c r="H84" s="250">
        <f t="shared" si="14"/>
        <v>0</v>
      </c>
      <c r="J84" s="299" t="s">
        <v>488</v>
      </c>
      <c r="K84" s="299"/>
      <c r="L84" s="299"/>
      <c r="M84" s="299"/>
    </row>
    <row r="85" spans="2:14" ht="15.75" thickBot="1">
      <c r="H85" s="250">
        <f t="shared" si="14"/>
        <v>1.4999999999999999E-7</v>
      </c>
    </row>
    <row r="86" spans="2:14" ht="15.75" thickBot="1">
      <c r="B86" s="229"/>
      <c r="C86" s="297" t="s">
        <v>474</v>
      </c>
      <c r="D86" s="298"/>
      <c r="E86" s="230" t="s">
        <v>475</v>
      </c>
      <c r="F86" s="230"/>
      <c r="G86" s="231"/>
      <c r="H86" s="250">
        <f t="shared" si="14"/>
        <v>0</v>
      </c>
      <c r="I86" s="229"/>
      <c r="J86" s="297" t="s">
        <v>489</v>
      </c>
      <c r="K86" s="298"/>
      <c r="L86" s="230" t="s">
        <v>490</v>
      </c>
      <c r="M86" s="230"/>
      <c r="N86" s="231"/>
    </row>
    <row r="87" spans="2:14" ht="15.75" thickBot="1">
      <c r="B87" s="199"/>
      <c r="C87" s="196"/>
      <c r="D87" s="196"/>
      <c r="E87" s="196"/>
      <c r="F87" s="196"/>
      <c r="G87" s="197"/>
      <c r="H87" s="250" t="e">
        <f t="shared" si="14"/>
        <v>#DIV/0!</v>
      </c>
      <c r="I87" s="199"/>
      <c r="J87" s="196"/>
      <c r="K87" s="196"/>
      <c r="L87" s="196"/>
      <c r="M87" s="196"/>
      <c r="N87" s="197"/>
    </row>
    <row r="88" spans="2:14" ht="15.75" thickBot="1">
      <c r="B88" s="300" t="s">
        <v>491</v>
      </c>
      <c r="C88" s="301"/>
      <c r="D88" s="301"/>
      <c r="E88" s="301"/>
      <c r="F88" s="301"/>
      <c r="G88" s="302"/>
      <c r="H88" s="250">
        <f t="shared" si="14"/>
        <v>0</v>
      </c>
      <c r="I88" s="300" t="s">
        <v>491</v>
      </c>
      <c r="J88" s="301"/>
      <c r="K88" s="301"/>
      <c r="L88" s="301"/>
      <c r="M88" s="301"/>
      <c r="N88" s="302"/>
    </row>
    <row r="89" spans="2:14">
      <c r="B89" s="262"/>
      <c r="C89" s="263"/>
      <c r="D89" s="263"/>
      <c r="E89" s="263"/>
      <c r="F89" s="263"/>
      <c r="G89" s="264">
        <f>G124</f>
        <v>1413.1902480939689</v>
      </c>
      <c r="I89" s="262"/>
      <c r="J89" s="263"/>
      <c r="K89" s="263"/>
      <c r="L89" s="263"/>
      <c r="M89" s="263"/>
      <c r="N89" s="264">
        <f>N124</f>
        <v>285.94104308390024</v>
      </c>
    </row>
    <row r="90" spans="2:14" ht="30">
      <c r="B90" s="233" t="s">
        <v>14</v>
      </c>
      <c r="C90" s="234" t="s">
        <v>479</v>
      </c>
      <c r="D90" s="234" t="s">
        <v>492</v>
      </c>
      <c r="E90" s="234" t="s">
        <v>481</v>
      </c>
      <c r="F90" s="234" t="s">
        <v>493</v>
      </c>
      <c r="G90" s="235" t="s">
        <v>494</v>
      </c>
      <c r="I90" s="233" t="s">
        <v>14</v>
      </c>
      <c r="J90" s="234" t="s">
        <v>495</v>
      </c>
      <c r="K90" s="234" t="s">
        <v>496</v>
      </c>
      <c r="L90" s="234" t="s">
        <v>481</v>
      </c>
      <c r="M90" s="234" t="s">
        <v>493</v>
      </c>
      <c r="N90" s="235" t="s">
        <v>494</v>
      </c>
    </row>
    <row r="91" spans="2:14">
      <c r="B91" s="238">
        <v>0</v>
      </c>
      <c r="C91" s="251">
        <v>0</v>
      </c>
      <c r="D91" s="251">
        <v>100</v>
      </c>
      <c r="E91" s="265">
        <v>0.06</v>
      </c>
      <c r="F91" s="251">
        <f>((1/(1+E91) ) ^ (B91 + 1) ) * D91</f>
        <v>94.339622641509422</v>
      </c>
      <c r="G91" s="266">
        <f>F91+C91</f>
        <v>94.339622641509422</v>
      </c>
      <c r="I91" s="238">
        <v>0</v>
      </c>
      <c r="J91" s="251">
        <v>0</v>
      </c>
      <c r="K91" s="251">
        <v>100</v>
      </c>
      <c r="L91" s="265">
        <v>0</v>
      </c>
      <c r="M91" s="251">
        <f t="shared" ref="M91:M92" si="15">((1/(1+L91) ) ^ (I91) ) * K91</f>
        <v>100</v>
      </c>
      <c r="N91" s="266">
        <f>M91+J91</f>
        <v>100</v>
      </c>
    </row>
    <row r="92" spans="2:14">
      <c r="B92" s="238">
        <f>B91+1</f>
        <v>1</v>
      </c>
      <c r="C92" s="251">
        <f>G91</f>
        <v>94.339622641509422</v>
      </c>
      <c r="D92" s="251">
        <v>200</v>
      </c>
      <c r="E92" s="265">
        <v>0.06</v>
      </c>
      <c r="F92" s="251">
        <f>((1/(1+E92) ) ^ (B92 + 1) ) * D92</f>
        <v>177.99928800284795</v>
      </c>
      <c r="G92" s="266">
        <f>F92+C92</f>
        <v>272.33891064435738</v>
      </c>
      <c r="I92" s="238">
        <f>I91+1</f>
        <v>1</v>
      </c>
      <c r="J92" s="251">
        <f>N91</f>
        <v>100</v>
      </c>
      <c r="K92" s="251">
        <v>100</v>
      </c>
      <c r="L92" s="265">
        <v>0.05</v>
      </c>
      <c r="M92" s="251">
        <f t="shared" si="15"/>
        <v>95.238095238095227</v>
      </c>
      <c r="N92" s="266">
        <f>M92+J92</f>
        <v>195.23809523809524</v>
      </c>
    </row>
    <row r="93" spans="2:14">
      <c r="B93" s="238">
        <f t="shared" ref="B93:B121" si="16">B92+1</f>
        <v>2</v>
      </c>
      <c r="C93" s="251">
        <f t="shared" ref="C93:C121" si="17">G92</f>
        <v>272.33891064435738</v>
      </c>
      <c r="D93" s="251">
        <v>200</v>
      </c>
      <c r="E93" s="265">
        <v>0.06</v>
      </c>
      <c r="F93" s="251">
        <f t="shared" ref="F93:F121" si="18">((1/(1+E93) ) ^ (B93 + 1) ) * D93</f>
        <v>167.9238566064603</v>
      </c>
      <c r="G93" s="266">
        <f t="shared" ref="G93:G121" si="19">F93+C93</f>
        <v>440.26276725081766</v>
      </c>
      <c r="I93" s="238">
        <f t="shared" ref="I93:I121" si="20">I92+1</f>
        <v>2</v>
      </c>
      <c r="J93" s="251">
        <f t="shared" ref="J93:J121" si="21">N92</f>
        <v>195.23809523809524</v>
      </c>
      <c r="K93" s="251">
        <v>100</v>
      </c>
      <c r="L93" s="265">
        <v>0.05</v>
      </c>
      <c r="M93" s="251">
        <f>((1/(1+L93) ) ^ (I93) ) * K93</f>
        <v>90.702947845804985</v>
      </c>
      <c r="N93" s="266">
        <f t="shared" ref="N93:N121" si="22">M93+J93</f>
        <v>285.94104308390024</v>
      </c>
    </row>
    <row r="94" spans="2:14">
      <c r="B94" s="238">
        <f t="shared" si="16"/>
        <v>3</v>
      </c>
      <c r="C94" s="251">
        <f t="shared" si="17"/>
        <v>440.26276725081766</v>
      </c>
      <c r="D94" s="251">
        <v>200</v>
      </c>
      <c r="E94" s="265">
        <v>0.06</v>
      </c>
      <c r="F94" s="251">
        <f t="shared" si="18"/>
        <v>158.41873264760403</v>
      </c>
      <c r="G94" s="266">
        <f t="shared" si="19"/>
        <v>598.68149989842163</v>
      </c>
      <c r="I94" s="238">
        <f t="shared" si="20"/>
        <v>3</v>
      </c>
      <c r="J94" s="251">
        <f t="shared" si="21"/>
        <v>285.94104308390024</v>
      </c>
      <c r="K94" s="251"/>
      <c r="L94" s="265">
        <v>0.05</v>
      </c>
      <c r="M94" s="251">
        <f t="shared" ref="M94:M121" si="23">((1/(1+L94) ) ^ (I94) ) * K94</f>
        <v>0</v>
      </c>
      <c r="N94" s="266">
        <f t="shared" si="22"/>
        <v>285.94104308390024</v>
      </c>
    </row>
    <row r="95" spans="2:14">
      <c r="B95" s="238">
        <f t="shared" si="16"/>
        <v>4</v>
      </c>
      <c r="C95" s="251">
        <f t="shared" si="17"/>
        <v>598.68149989842163</v>
      </c>
      <c r="D95" s="251">
        <v>200</v>
      </c>
      <c r="E95" s="265">
        <v>0.06</v>
      </c>
      <c r="F95" s="251">
        <f t="shared" si="18"/>
        <v>149.45163457321135</v>
      </c>
      <c r="G95" s="266">
        <f t="shared" si="19"/>
        <v>748.13313447163296</v>
      </c>
      <c r="I95" s="238">
        <f t="shared" si="20"/>
        <v>4</v>
      </c>
      <c r="J95" s="251">
        <f t="shared" si="21"/>
        <v>285.94104308390024</v>
      </c>
      <c r="K95" s="251"/>
      <c r="L95" s="265">
        <v>0.05</v>
      </c>
      <c r="M95" s="251">
        <f t="shared" si="23"/>
        <v>0</v>
      </c>
      <c r="N95" s="266">
        <f t="shared" si="22"/>
        <v>285.94104308390024</v>
      </c>
    </row>
    <row r="96" spans="2:14">
      <c r="B96" s="238">
        <f t="shared" si="16"/>
        <v>5</v>
      </c>
      <c r="C96" s="251">
        <f t="shared" si="17"/>
        <v>748.13313447163296</v>
      </c>
      <c r="D96" s="251">
        <v>0</v>
      </c>
      <c r="E96" s="265">
        <v>0.06</v>
      </c>
      <c r="F96" s="251">
        <f t="shared" si="18"/>
        <v>0</v>
      </c>
      <c r="G96" s="266">
        <f t="shared" si="19"/>
        <v>748.13313447163296</v>
      </c>
      <c r="I96" s="238">
        <f t="shared" si="20"/>
        <v>5</v>
      </c>
      <c r="J96" s="251">
        <f t="shared" si="21"/>
        <v>285.94104308390024</v>
      </c>
      <c r="K96" s="251"/>
      <c r="L96" s="265">
        <v>0.05</v>
      </c>
      <c r="M96" s="251">
        <f t="shared" si="23"/>
        <v>0</v>
      </c>
      <c r="N96" s="266">
        <f t="shared" si="22"/>
        <v>285.94104308390024</v>
      </c>
    </row>
    <row r="97" spans="2:14">
      <c r="B97" s="238">
        <f t="shared" si="16"/>
        <v>6</v>
      </c>
      <c r="C97" s="251">
        <f t="shared" si="17"/>
        <v>748.13313447163296</v>
      </c>
      <c r="D97" s="251">
        <v>1000</v>
      </c>
      <c r="E97" s="265">
        <v>0.06</v>
      </c>
      <c r="F97" s="251">
        <f t="shared" si="18"/>
        <v>665.05711362233581</v>
      </c>
      <c r="G97" s="266">
        <f t="shared" si="19"/>
        <v>1413.1902480939689</v>
      </c>
      <c r="I97" s="238">
        <f t="shared" si="20"/>
        <v>6</v>
      </c>
      <c r="J97" s="251">
        <f t="shared" si="21"/>
        <v>285.94104308390024</v>
      </c>
      <c r="K97" s="251"/>
      <c r="L97" s="265">
        <v>0.05</v>
      </c>
      <c r="M97" s="251">
        <f t="shared" si="23"/>
        <v>0</v>
      </c>
      <c r="N97" s="266">
        <f t="shared" si="22"/>
        <v>285.94104308390024</v>
      </c>
    </row>
    <row r="98" spans="2:14">
      <c r="B98" s="238">
        <f t="shared" si="16"/>
        <v>7</v>
      </c>
      <c r="C98" s="251">
        <f t="shared" si="17"/>
        <v>1413.1902480939689</v>
      </c>
      <c r="D98" s="251"/>
      <c r="E98" s="265">
        <v>0.05</v>
      </c>
      <c r="F98" s="251">
        <f t="shared" si="18"/>
        <v>0</v>
      </c>
      <c r="G98" s="266">
        <f t="shared" si="19"/>
        <v>1413.1902480939689</v>
      </c>
      <c r="I98" s="238">
        <f t="shared" si="20"/>
        <v>7</v>
      </c>
      <c r="J98" s="251">
        <f t="shared" si="21"/>
        <v>285.94104308390024</v>
      </c>
      <c r="K98" s="251"/>
      <c r="L98" s="265">
        <v>0.05</v>
      </c>
      <c r="M98" s="251">
        <f t="shared" si="23"/>
        <v>0</v>
      </c>
      <c r="N98" s="266">
        <f t="shared" si="22"/>
        <v>285.94104308390024</v>
      </c>
    </row>
    <row r="99" spans="2:14">
      <c r="B99" s="238">
        <f t="shared" si="16"/>
        <v>8</v>
      </c>
      <c r="C99" s="251">
        <f t="shared" si="17"/>
        <v>1413.1902480939689</v>
      </c>
      <c r="D99" s="251"/>
      <c r="E99" s="265">
        <v>0.05</v>
      </c>
      <c r="F99" s="251">
        <f t="shared" si="18"/>
        <v>0</v>
      </c>
      <c r="G99" s="266">
        <f t="shared" si="19"/>
        <v>1413.1902480939689</v>
      </c>
      <c r="I99" s="238">
        <f t="shared" si="20"/>
        <v>8</v>
      </c>
      <c r="J99" s="251">
        <f t="shared" si="21"/>
        <v>285.94104308390024</v>
      </c>
      <c r="K99" s="251"/>
      <c r="L99" s="265">
        <v>0.05</v>
      </c>
      <c r="M99" s="251">
        <f t="shared" si="23"/>
        <v>0</v>
      </c>
      <c r="N99" s="266">
        <f t="shared" si="22"/>
        <v>285.94104308390024</v>
      </c>
    </row>
    <row r="100" spans="2:14">
      <c r="B100" s="238">
        <f t="shared" si="16"/>
        <v>9</v>
      </c>
      <c r="C100" s="251">
        <f t="shared" si="17"/>
        <v>1413.1902480939689</v>
      </c>
      <c r="D100" s="251"/>
      <c r="E100" s="265">
        <v>0.05</v>
      </c>
      <c r="F100" s="251">
        <f t="shared" si="18"/>
        <v>0</v>
      </c>
      <c r="G100" s="266">
        <f t="shared" si="19"/>
        <v>1413.1902480939689</v>
      </c>
      <c r="I100" s="238">
        <f t="shared" si="20"/>
        <v>9</v>
      </c>
      <c r="J100" s="251">
        <f t="shared" si="21"/>
        <v>285.94104308390024</v>
      </c>
      <c r="K100" s="251"/>
      <c r="L100" s="265">
        <v>0.05</v>
      </c>
      <c r="M100" s="251">
        <f t="shared" si="23"/>
        <v>0</v>
      </c>
      <c r="N100" s="266">
        <f t="shared" si="22"/>
        <v>285.94104308390024</v>
      </c>
    </row>
    <row r="101" spans="2:14">
      <c r="B101" s="238">
        <f t="shared" si="16"/>
        <v>10</v>
      </c>
      <c r="C101" s="251">
        <f t="shared" si="17"/>
        <v>1413.1902480939689</v>
      </c>
      <c r="D101" s="251"/>
      <c r="E101" s="265">
        <v>0.05</v>
      </c>
      <c r="F101" s="251">
        <f t="shared" si="18"/>
        <v>0</v>
      </c>
      <c r="G101" s="266">
        <f t="shared" si="19"/>
        <v>1413.1902480939689</v>
      </c>
      <c r="I101" s="238">
        <f t="shared" si="20"/>
        <v>10</v>
      </c>
      <c r="J101" s="251">
        <f t="shared" si="21"/>
        <v>285.94104308390024</v>
      </c>
      <c r="K101" s="251"/>
      <c r="L101" s="265">
        <v>0.05</v>
      </c>
      <c r="M101" s="251">
        <f t="shared" si="23"/>
        <v>0</v>
      </c>
      <c r="N101" s="266">
        <f t="shared" si="22"/>
        <v>285.94104308390024</v>
      </c>
    </row>
    <row r="102" spans="2:14">
      <c r="B102" s="238">
        <f t="shared" si="16"/>
        <v>11</v>
      </c>
      <c r="C102" s="251">
        <f t="shared" si="17"/>
        <v>1413.1902480939689</v>
      </c>
      <c r="D102" s="251"/>
      <c r="E102" s="265">
        <v>0.05</v>
      </c>
      <c r="F102" s="251">
        <f t="shared" si="18"/>
        <v>0</v>
      </c>
      <c r="G102" s="266">
        <f t="shared" si="19"/>
        <v>1413.1902480939689</v>
      </c>
      <c r="I102" s="238">
        <f t="shared" si="20"/>
        <v>11</v>
      </c>
      <c r="J102" s="251">
        <f t="shared" si="21"/>
        <v>285.94104308390024</v>
      </c>
      <c r="K102" s="251"/>
      <c r="L102" s="265">
        <v>0.05</v>
      </c>
      <c r="M102" s="251">
        <f t="shared" si="23"/>
        <v>0</v>
      </c>
      <c r="N102" s="266">
        <f t="shared" si="22"/>
        <v>285.94104308390024</v>
      </c>
    </row>
    <row r="103" spans="2:14">
      <c r="B103" s="238">
        <f t="shared" si="16"/>
        <v>12</v>
      </c>
      <c r="C103" s="251">
        <f t="shared" si="17"/>
        <v>1413.1902480939689</v>
      </c>
      <c r="D103" s="251"/>
      <c r="E103" s="265">
        <v>0.05</v>
      </c>
      <c r="F103" s="251">
        <f t="shared" si="18"/>
        <v>0</v>
      </c>
      <c r="G103" s="266">
        <f t="shared" si="19"/>
        <v>1413.1902480939689</v>
      </c>
      <c r="I103" s="238">
        <f t="shared" si="20"/>
        <v>12</v>
      </c>
      <c r="J103" s="251">
        <f t="shared" si="21"/>
        <v>285.94104308390024</v>
      </c>
      <c r="K103" s="251"/>
      <c r="L103" s="265">
        <v>0.05</v>
      </c>
      <c r="M103" s="251">
        <f t="shared" si="23"/>
        <v>0</v>
      </c>
      <c r="N103" s="266">
        <f t="shared" si="22"/>
        <v>285.94104308390024</v>
      </c>
    </row>
    <row r="104" spans="2:14">
      <c r="B104" s="238">
        <f t="shared" si="16"/>
        <v>13</v>
      </c>
      <c r="C104" s="251">
        <f t="shared" si="17"/>
        <v>1413.1902480939689</v>
      </c>
      <c r="D104" s="251"/>
      <c r="E104" s="265">
        <v>0.05</v>
      </c>
      <c r="F104" s="251">
        <f t="shared" si="18"/>
        <v>0</v>
      </c>
      <c r="G104" s="266">
        <f t="shared" si="19"/>
        <v>1413.1902480939689</v>
      </c>
      <c r="I104" s="238">
        <f t="shared" si="20"/>
        <v>13</v>
      </c>
      <c r="J104" s="251">
        <f t="shared" si="21"/>
        <v>285.94104308390024</v>
      </c>
      <c r="K104" s="251"/>
      <c r="L104" s="265">
        <v>0.05</v>
      </c>
      <c r="M104" s="251">
        <f t="shared" si="23"/>
        <v>0</v>
      </c>
      <c r="N104" s="266">
        <f t="shared" si="22"/>
        <v>285.94104308390024</v>
      </c>
    </row>
    <row r="105" spans="2:14">
      <c r="B105" s="238">
        <f t="shared" si="16"/>
        <v>14</v>
      </c>
      <c r="C105" s="251">
        <f t="shared" si="17"/>
        <v>1413.1902480939689</v>
      </c>
      <c r="D105" s="251"/>
      <c r="E105" s="265">
        <v>0.05</v>
      </c>
      <c r="F105" s="251">
        <f t="shared" si="18"/>
        <v>0</v>
      </c>
      <c r="G105" s="266">
        <f t="shared" si="19"/>
        <v>1413.1902480939689</v>
      </c>
      <c r="I105" s="238">
        <f t="shared" si="20"/>
        <v>14</v>
      </c>
      <c r="J105" s="251">
        <f t="shared" si="21"/>
        <v>285.94104308390024</v>
      </c>
      <c r="K105" s="251"/>
      <c r="L105" s="265">
        <v>0.05</v>
      </c>
      <c r="M105" s="251">
        <f t="shared" si="23"/>
        <v>0</v>
      </c>
      <c r="N105" s="266">
        <f t="shared" si="22"/>
        <v>285.94104308390024</v>
      </c>
    </row>
    <row r="106" spans="2:14">
      <c r="B106" s="238">
        <f t="shared" si="16"/>
        <v>15</v>
      </c>
      <c r="C106" s="251">
        <f t="shared" si="17"/>
        <v>1413.1902480939689</v>
      </c>
      <c r="D106" s="251"/>
      <c r="E106" s="265">
        <v>0.05</v>
      </c>
      <c r="F106" s="251">
        <f t="shared" si="18"/>
        <v>0</v>
      </c>
      <c r="G106" s="266">
        <f t="shared" si="19"/>
        <v>1413.1902480939689</v>
      </c>
      <c r="I106" s="238">
        <f t="shared" si="20"/>
        <v>15</v>
      </c>
      <c r="J106" s="251">
        <f t="shared" si="21"/>
        <v>285.94104308390024</v>
      </c>
      <c r="K106" s="251"/>
      <c r="L106" s="265">
        <v>0.05</v>
      </c>
      <c r="M106" s="251">
        <f t="shared" si="23"/>
        <v>0</v>
      </c>
      <c r="N106" s="266">
        <f t="shared" si="22"/>
        <v>285.94104308390024</v>
      </c>
    </row>
    <row r="107" spans="2:14">
      <c r="B107" s="238">
        <f t="shared" si="16"/>
        <v>16</v>
      </c>
      <c r="C107" s="251">
        <f t="shared" si="17"/>
        <v>1413.1902480939689</v>
      </c>
      <c r="D107" s="251"/>
      <c r="E107" s="265">
        <v>0.05</v>
      </c>
      <c r="F107" s="251">
        <f t="shared" si="18"/>
        <v>0</v>
      </c>
      <c r="G107" s="266">
        <f t="shared" si="19"/>
        <v>1413.1902480939689</v>
      </c>
      <c r="I107" s="238">
        <f t="shared" si="20"/>
        <v>16</v>
      </c>
      <c r="J107" s="251">
        <f t="shared" si="21"/>
        <v>285.94104308390024</v>
      </c>
      <c r="K107" s="251"/>
      <c r="L107" s="265">
        <v>0.05</v>
      </c>
      <c r="M107" s="251">
        <f t="shared" si="23"/>
        <v>0</v>
      </c>
      <c r="N107" s="266">
        <f t="shared" si="22"/>
        <v>285.94104308390024</v>
      </c>
    </row>
    <row r="108" spans="2:14">
      <c r="B108" s="238">
        <f t="shared" si="16"/>
        <v>17</v>
      </c>
      <c r="C108" s="251">
        <f t="shared" si="17"/>
        <v>1413.1902480939689</v>
      </c>
      <c r="D108" s="251"/>
      <c r="E108" s="265">
        <v>0.05</v>
      </c>
      <c r="F108" s="251">
        <f t="shared" si="18"/>
        <v>0</v>
      </c>
      <c r="G108" s="266">
        <f t="shared" si="19"/>
        <v>1413.1902480939689</v>
      </c>
      <c r="I108" s="238">
        <f t="shared" si="20"/>
        <v>17</v>
      </c>
      <c r="J108" s="251">
        <f t="shared" si="21"/>
        <v>285.94104308390024</v>
      </c>
      <c r="K108" s="251"/>
      <c r="L108" s="265">
        <v>0.05</v>
      </c>
      <c r="M108" s="251">
        <f t="shared" si="23"/>
        <v>0</v>
      </c>
      <c r="N108" s="266">
        <f t="shared" si="22"/>
        <v>285.94104308390024</v>
      </c>
    </row>
    <row r="109" spans="2:14">
      <c r="B109" s="238">
        <f t="shared" si="16"/>
        <v>18</v>
      </c>
      <c r="C109" s="251">
        <f t="shared" si="17"/>
        <v>1413.1902480939689</v>
      </c>
      <c r="D109" s="251"/>
      <c r="E109" s="265">
        <v>0.05</v>
      </c>
      <c r="F109" s="251">
        <f t="shared" si="18"/>
        <v>0</v>
      </c>
      <c r="G109" s="266">
        <f t="shared" si="19"/>
        <v>1413.1902480939689</v>
      </c>
      <c r="I109" s="238">
        <f t="shared" si="20"/>
        <v>18</v>
      </c>
      <c r="J109" s="251">
        <f t="shared" si="21"/>
        <v>285.94104308390024</v>
      </c>
      <c r="K109" s="251"/>
      <c r="L109" s="265">
        <v>0.05</v>
      </c>
      <c r="M109" s="251">
        <f t="shared" si="23"/>
        <v>0</v>
      </c>
      <c r="N109" s="266">
        <f t="shared" si="22"/>
        <v>285.94104308390024</v>
      </c>
    </row>
    <row r="110" spans="2:14">
      <c r="B110" s="238">
        <f t="shared" si="16"/>
        <v>19</v>
      </c>
      <c r="C110" s="251">
        <f t="shared" si="17"/>
        <v>1413.1902480939689</v>
      </c>
      <c r="D110" s="251"/>
      <c r="E110" s="265">
        <v>0.05</v>
      </c>
      <c r="F110" s="251">
        <f t="shared" si="18"/>
        <v>0</v>
      </c>
      <c r="G110" s="266">
        <f t="shared" si="19"/>
        <v>1413.1902480939689</v>
      </c>
      <c r="I110" s="238">
        <f t="shared" si="20"/>
        <v>19</v>
      </c>
      <c r="J110" s="251">
        <f t="shared" si="21"/>
        <v>285.94104308390024</v>
      </c>
      <c r="K110" s="251"/>
      <c r="L110" s="265">
        <v>0.05</v>
      </c>
      <c r="M110" s="251">
        <f t="shared" si="23"/>
        <v>0</v>
      </c>
      <c r="N110" s="266">
        <f t="shared" si="22"/>
        <v>285.94104308390024</v>
      </c>
    </row>
    <row r="111" spans="2:14">
      <c r="B111" s="238">
        <f t="shared" si="16"/>
        <v>20</v>
      </c>
      <c r="C111" s="251">
        <f t="shared" si="17"/>
        <v>1413.1902480939689</v>
      </c>
      <c r="D111" s="251"/>
      <c r="E111" s="265">
        <v>0.05</v>
      </c>
      <c r="F111" s="251">
        <f t="shared" si="18"/>
        <v>0</v>
      </c>
      <c r="G111" s="266">
        <f t="shared" si="19"/>
        <v>1413.1902480939689</v>
      </c>
      <c r="I111" s="238">
        <f t="shared" si="20"/>
        <v>20</v>
      </c>
      <c r="J111" s="251">
        <f t="shared" si="21"/>
        <v>285.94104308390024</v>
      </c>
      <c r="K111" s="251"/>
      <c r="L111" s="265">
        <v>0.05</v>
      </c>
      <c r="M111" s="251">
        <f t="shared" si="23"/>
        <v>0</v>
      </c>
      <c r="N111" s="266">
        <f t="shared" si="22"/>
        <v>285.94104308390024</v>
      </c>
    </row>
    <row r="112" spans="2:14">
      <c r="B112" s="238">
        <f t="shared" si="16"/>
        <v>21</v>
      </c>
      <c r="C112" s="251">
        <f t="shared" si="17"/>
        <v>1413.1902480939689</v>
      </c>
      <c r="D112" s="251"/>
      <c r="E112" s="265">
        <v>0.05</v>
      </c>
      <c r="F112" s="251">
        <f t="shared" si="18"/>
        <v>0</v>
      </c>
      <c r="G112" s="266">
        <f t="shared" si="19"/>
        <v>1413.1902480939689</v>
      </c>
      <c r="I112" s="238">
        <f t="shared" si="20"/>
        <v>21</v>
      </c>
      <c r="J112" s="251">
        <f t="shared" si="21"/>
        <v>285.94104308390024</v>
      </c>
      <c r="K112" s="251"/>
      <c r="L112" s="265">
        <v>0.05</v>
      </c>
      <c r="M112" s="251">
        <f t="shared" si="23"/>
        <v>0</v>
      </c>
      <c r="N112" s="266">
        <f t="shared" si="22"/>
        <v>285.94104308390024</v>
      </c>
    </row>
    <row r="113" spans="2:14">
      <c r="B113" s="238">
        <f t="shared" si="16"/>
        <v>22</v>
      </c>
      <c r="C113" s="251">
        <f t="shared" si="17"/>
        <v>1413.1902480939689</v>
      </c>
      <c r="D113" s="251"/>
      <c r="E113" s="265">
        <v>0.05</v>
      </c>
      <c r="F113" s="251">
        <f t="shared" si="18"/>
        <v>0</v>
      </c>
      <c r="G113" s="266">
        <f t="shared" si="19"/>
        <v>1413.1902480939689</v>
      </c>
      <c r="I113" s="238">
        <f t="shared" si="20"/>
        <v>22</v>
      </c>
      <c r="J113" s="251">
        <f t="shared" si="21"/>
        <v>285.94104308390024</v>
      </c>
      <c r="K113" s="251"/>
      <c r="L113" s="265">
        <v>0.05</v>
      </c>
      <c r="M113" s="251">
        <f t="shared" si="23"/>
        <v>0</v>
      </c>
      <c r="N113" s="266">
        <f t="shared" si="22"/>
        <v>285.94104308390024</v>
      </c>
    </row>
    <row r="114" spans="2:14">
      <c r="B114" s="238">
        <f t="shared" si="16"/>
        <v>23</v>
      </c>
      <c r="C114" s="251">
        <f t="shared" si="17"/>
        <v>1413.1902480939689</v>
      </c>
      <c r="D114" s="251"/>
      <c r="E114" s="265">
        <v>0.05</v>
      </c>
      <c r="F114" s="251">
        <f t="shared" si="18"/>
        <v>0</v>
      </c>
      <c r="G114" s="266">
        <f t="shared" si="19"/>
        <v>1413.1902480939689</v>
      </c>
      <c r="I114" s="238">
        <f t="shared" si="20"/>
        <v>23</v>
      </c>
      <c r="J114" s="251">
        <f t="shared" si="21"/>
        <v>285.94104308390024</v>
      </c>
      <c r="K114" s="251"/>
      <c r="L114" s="265">
        <v>0.05</v>
      </c>
      <c r="M114" s="251">
        <f t="shared" si="23"/>
        <v>0</v>
      </c>
      <c r="N114" s="266">
        <f t="shared" si="22"/>
        <v>285.94104308390024</v>
      </c>
    </row>
    <row r="115" spans="2:14">
      <c r="B115" s="238">
        <f t="shared" si="16"/>
        <v>24</v>
      </c>
      <c r="C115" s="251">
        <f t="shared" si="17"/>
        <v>1413.1902480939689</v>
      </c>
      <c r="D115" s="251"/>
      <c r="E115" s="265">
        <v>0.05</v>
      </c>
      <c r="F115" s="251">
        <f t="shared" si="18"/>
        <v>0</v>
      </c>
      <c r="G115" s="266">
        <f t="shared" si="19"/>
        <v>1413.1902480939689</v>
      </c>
      <c r="I115" s="238">
        <f t="shared" si="20"/>
        <v>24</v>
      </c>
      <c r="J115" s="251">
        <f t="shared" si="21"/>
        <v>285.94104308390024</v>
      </c>
      <c r="K115" s="251"/>
      <c r="L115" s="265">
        <v>0.05</v>
      </c>
      <c r="M115" s="251">
        <f t="shared" si="23"/>
        <v>0</v>
      </c>
      <c r="N115" s="266">
        <f t="shared" si="22"/>
        <v>285.94104308390024</v>
      </c>
    </row>
    <row r="116" spans="2:14">
      <c r="B116" s="238">
        <f t="shared" si="16"/>
        <v>25</v>
      </c>
      <c r="C116" s="251">
        <f t="shared" si="17"/>
        <v>1413.1902480939689</v>
      </c>
      <c r="D116" s="251"/>
      <c r="E116" s="265">
        <v>0.05</v>
      </c>
      <c r="F116" s="251">
        <f t="shared" si="18"/>
        <v>0</v>
      </c>
      <c r="G116" s="266">
        <f t="shared" si="19"/>
        <v>1413.1902480939689</v>
      </c>
      <c r="I116" s="238">
        <f t="shared" si="20"/>
        <v>25</v>
      </c>
      <c r="J116" s="251">
        <f t="shared" si="21"/>
        <v>285.94104308390024</v>
      </c>
      <c r="K116" s="251"/>
      <c r="L116" s="265">
        <v>0.05</v>
      </c>
      <c r="M116" s="251">
        <f t="shared" si="23"/>
        <v>0</v>
      </c>
      <c r="N116" s="266">
        <f t="shared" si="22"/>
        <v>285.94104308390024</v>
      </c>
    </row>
    <row r="117" spans="2:14">
      <c r="B117" s="238">
        <f t="shared" si="16"/>
        <v>26</v>
      </c>
      <c r="C117" s="251">
        <f t="shared" si="17"/>
        <v>1413.1902480939689</v>
      </c>
      <c r="D117" s="251"/>
      <c r="E117" s="265">
        <v>0.05</v>
      </c>
      <c r="F117" s="251">
        <f t="shared" si="18"/>
        <v>0</v>
      </c>
      <c r="G117" s="266">
        <f t="shared" si="19"/>
        <v>1413.1902480939689</v>
      </c>
      <c r="I117" s="238">
        <f t="shared" si="20"/>
        <v>26</v>
      </c>
      <c r="J117" s="251">
        <f t="shared" si="21"/>
        <v>285.94104308390024</v>
      </c>
      <c r="K117" s="251"/>
      <c r="L117" s="265">
        <v>0.05</v>
      </c>
      <c r="M117" s="251">
        <f t="shared" si="23"/>
        <v>0</v>
      </c>
      <c r="N117" s="266">
        <f t="shared" si="22"/>
        <v>285.94104308390024</v>
      </c>
    </row>
    <row r="118" spans="2:14">
      <c r="B118" s="238">
        <f t="shared" si="16"/>
        <v>27</v>
      </c>
      <c r="C118" s="251">
        <f t="shared" si="17"/>
        <v>1413.1902480939689</v>
      </c>
      <c r="D118" s="251"/>
      <c r="E118" s="265">
        <v>0.05</v>
      </c>
      <c r="F118" s="251">
        <f t="shared" si="18"/>
        <v>0</v>
      </c>
      <c r="G118" s="266">
        <f t="shared" si="19"/>
        <v>1413.1902480939689</v>
      </c>
      <c r="I118" s="238">
        <f t="shared" si="20"/>
        <v>27</v>
      </c>
      <c r="J118" s="251">
        <f t="shared" si="21"/>
        <v>285.94104308390024</v>
      </c>
      <c r="K118" s="251"/>
      <c r="L118" s="265">
        <v>0.05</v>
      </c>
      <c r="M118" s="251">
        <f t="shared" si="23"/>
        <v>0</v>
      </c>
      <c r="N118" s="266">
        <f t="shared" si="22"/>
        <v>285.94104308390024</v>
      </c>
    </row>
    <row r="119" spans="2:14">
      <c r="B119" s="238">
        <f t="shared" si="16"/>
        <v>28</v>
      </c>
      <c r="C119" s="251">
        <f t="shared" si="17"/>
        <v>1413.1902480939689</v>
      </c>
      <c r="D119" s="251"/>
      <c r="E119" s="265">
        <v>0.05</v>
      </c>
      <c r="F119" s="251">
        <f t="shared" si="18"/>
        <v>0</v>
      </c>
      <c r="G119" s="266">
        <f t="shared" si="19"/>
        <v>1413.1902480939689</v>
      </c>
      <c r="I119" s="238">
        <f t="shared" si="20"/>
        <v>28</v>
      </c>
      <c r="J119" s="251">
        <f t="shared" si="21"/>
        <v>285.94104308390024</v>
      </c>
      <c r="K119" s="251"/>
      <c r="L119" s="265">
        <v>0.05</v>
      </c>
      <c r="M119" s="251">
        <f t="shared" si="23"/>
        <v>0</v>
      </c>
      <c r="N119" s="266">
        <f t="shared" si="22"/>
        <v>285.94104308390024</v>
      </c>
    </row>
    <row r="120" spans="2:14">
      <c r="B120" s="238">
        <f t="shared" si="16"/>
        <v>29</v>
      </c>
      <c r="C120" s="251">
        <f t="shared" si="17"/>
        <v>1413.1902480939689</v>
      </c>
      <c r="D120" s="251"/>
      <c r="E120" s="265">
        <v>0.05</v>
      </c>
      <c r="F120" s="251">
        <f t="shared" si="18"/>
        <v>0</v>
      </c>
      <c r="G120" s="266">
        <f t="shared" si="19"/>
        <v>1413.1902480939689</v>
      </c>
      <c r="I120" s="238">
        <f t="shared" si="20"/>
        <v>29</v>
      </c>
      <c r="J120" s="251">
        <f t="shared" si="21"/>
        <v>285.94104308390024</v>
      </c>
      <c r="K120" s="251"/>
      <c r="L120" s="265">
        <v>0.05</v>
      </c>
      <c r="M120" s="251">
        <f t="shared" si="23"/>
        <v>0</v>
      </c>
      <c r="N120" s="266">
        <f t="shared" si="22"/>
        <v>285.94104308390024</v>
      </c>
    </row>
    <row r="121" spans="2:14">
      <c r="B121" s="238">
        <f t="shared" si="16"/>
        <v>30</v>
      </c>
      <c r="C121" s="251">
        <f t="shared" si="17"/>
        <v>1413.1902480939689</v>
      </c>
      <c r="D121" s="251"/>
      <c r="E121" s="265">
        <v>0.05</v>
      </c>
      <c r="F121" s="251">
        <f t="shared" si="18"/>
        <v>0</v>
      </c>
      <c r="G121" s="266">
        <f t="shared" si="19"/>
        <v>1413.1902480939689</v>
      </c>
      <c r="I121" s="238">
        <f t="shared" si="20"/>
        <v>30</v>
      </c>
      <c r="J121" s="251">
        <f t="shared" si="21"/>
        <v>285.94104308390024</v>
      </c>
      <c r="K121" s="251"/>
      <c r="L121" s="265">
        <v>0.05</v>
      </c>
      <c r="M121" s="251">
        <f t="shared" si="23"/>
        <v>0</v>
      </c>
      <c r="N121" s="266">
        <f t="shared" si="22"/>
        <v>285.94104308390024</v>
      </c>
    </row>
    <row r="122" spans="2:14">
      <c r="B122" s="199"/>
      <c r="C122" s="196"/>
      <c r="D122" s="196"/>
      <c r="E122" s="196"/>
      <c r="F122" s="196"/>
      <c r="G122" s="197"/>
      <c r="I122" s="199"/>
      <c r="J122" s="196"/>
      <c r="K122" s="196"/>
      <c r="L122" s="196"/>
      <c r="M122" s="196"/>
      <c r="N122" s="197"/>
    </row>
    <row r="123" spans="2:14" ht="15.75" thickBot="1">
      <c r="B123" s="199"/>
      <c r="C123" s="196"/>
      <c r="D123" s="196"/>
      <c r="E123" s="196"/>
      <c r="F123" s="196"/>
      <c r="G123" s="197"/>
      <c r="I123" s="199"/>
      <c r="J123" s="196"/>
      <c r="K123" s="196"/>
      <c r="L123" s="196"/>
      <c r="M123" s="196"/>
      <c r="N123" s="197"/>
    </row>
    <row r="124" spans="2:14" ht="15.75" thickBot="1">
      <c r="B124" s="303" t="s">
        <v>497</v>
      </c>
      <c r="C124" s="304"/>
      <c r="D124" s="255">
        <f>SUM(D91:D123)</f>
        <v>1900</v>
      </c>
      <c r="E124" s="253"/>
      <c r="F124" s="253"/>
      <c r="G124" s="267">
        <f>G121</f>
        <v>1413.1902480939689</v>
      </c>
      <c r="I124" s="303" t="s">
        <v>497</v>
      </c>
      <c r="J124" s="304"/>
      <c r="K124" s="255">
        <f>SUM(K91:K123)</f>
        <v>300</v>
      </c>
      <c r="L124" s="253"/>
      <c r="M124" s="253"/>
      <c r="N124" s="267">
        <f>N121</f>
        <v>285.94104308390024</v>
      </c>
    </row>
    <row r="125" spans="2:14" ht="15.75" thickBot="1">
      <c r="B125" s="204"/>
      <c r="C125" s="205"/>
      <c r="D125" s="205"/>
      <c r="E125" s="205"/>
      <c r="F125" s="205"/>
      <c r="G125" s="206"/>
      <c r="I125" s="204"/>
      <c r="J125" s="205"/>
      <c r="K125" s="205"/>
      <c r="L125" s="205"/>
      <c r="M125" s="205"/>
      <c r="N125" s="206"/>
    </row>
  </sheetData>
  <mergeCells count="74">
    <mergeCell ref="C86:D86"/>
    <mergeCell ref="J86:K86"/>
    <mergeCell ref="B88:G88"/>
    <mergeCell ref="I88:N88"/>
    <mergeCell ref="B124:C124"/>
    <mergeCell ref="I124:J124"/>
    <mergeCell ref="B46:G46"/>
    <mergeCell ref="I46:N46"/>
    <mergeCell ref="B81:C81"/>
    <mergeCell ref="I81:J81"/>
    <mergeCell ref="C84:F84"/>
    <mergeCell ref="J84:M84"/>
    <mergeCell ref="J44:K44"/>
    <mergeCell ref="C32:D32"/>
    <mergeCell ref="H32:I32"/>
    <mergeCell ref="C33:D33"/>
    <mergeCell ref="H33:I33"/>
    <mergeCell ref="C34:D34"/>
    <mergeCell ref="H34:I34"/>
    <mergeCell ref="B36:D36"/>
    <mergeCell ref="G36:H36"/>
    <mergeCell ref="K36:L36"/>
    <mergeCell ref="C43:F43"/>
    <mergeCell ref="J43:M43"/>
    <mergeCell ref="C30:D30"/>
    <mergeCell ref="H30:I30"/>
    <mergeCell ref="C31:D31"/>
    <mergeCell ref="H31:I31"/>
    <mergeCell ref="C44:D44"/>
    <mergeCell ref="K26:L26"/>
    <mergeCell ref="C27:D27"/>
    <mergeCell ref="H27:I27"/>
    <mergeCell ref="C29:D29"/>
    <mergeCell ref="H29:I29"/>
    <mergeCell ref="C28:D28"/>
    <mergeCell ref="H28:I28"/>
    <mergeCell ref="B26:D26"/>
    <mergeCell ref="G26:I26"/>
    <mergeCell ref="C20:D20"/>
    <mergeCell ref="H20:I20"/>
    <mergeCell ref="C21:D21"/>
    <mergeCell ref="H21:I21"/>
    <mergeCell ref="C22:D22"/>
    <mergeCell ref="H22:I22"/>
    <mergeCell ref="C17:D17"/>
    <mergeCell ref="H17:I17"/>
    <mergeCell ref="C18:D18"/>
    <mergeCell ref="H18:I18"/>
    <mergeCell ref="C19:D19"/>
    <mergeCell ref="H19:I19"/>
    <mergeCell ref="B14:D14"/>
    <mergeCell ref="G14:I14"/>
    <mergeCell ref="C15:D15"/>
    <mergeCell ref="H15:I15"/>
    <mergeCell ref="C16:D16"/>
    <mergeCell ref="H16:I16"/>
    <mergeCell ref="C8:D8"/>
    <mergeCell ref="H8:I8"/>
    <mergeCell ref="C9:D9"/>
    <mergeCell ref="H9:I9"/>
    <mergeCell ref="C10:D10"/>
    <mergeCell ref="H10:I10"/>
    <mergeCell ref="C5:D5"/>
    <mergeCell ref="H5:I5"/>
    <mergeCell ref="C6:D6"/>
    <mergeCell ref="H6:I6"/>
    <mergeCell ref="C7:D7"/>
    <mergeCell ref="H7:I7"/>
    <mergeCell ref="B3:D3"/>
    <mergeCell ref="G3:I3"/>
    <mergeCell ref="P3:S3"/>
    <mergeCell ref="T3:W3"/>
    <mergeCell ref="C4:D4"/>
    <mergeCell ref="H4:I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X283"/>
  <sheetViews>
    <sheetView tabSelected="1" zoomScale="80" zoomScaleNormal="80" workbookViewId="0">
      <pane xSplit="2" ySplit="3" topLeftCell="M185" activePane="bottomRight" state="frozen"/>
      <selection pane="topRight" activeCell="C1" sqref="C1"/>
      <selection pane="bottomLeft" activeCell="A5" sqref="A5"/>
      <selection pane="bottomRight" activeCell="X209" sqref="X209"/>
    </sheetView>
  </sheetViews>
  <sheetFormatPr defaultRowHeight="12.75"/>
  <cols>
    <col min="1" max="1" width="4.7109375" style="89" customWidth="1"/>
    <col min="2" max="2" width="37.140625" style="89" customWidth="1"/>
    <col min="3" max="3" width="7.85546875" style="89" customWidth="1"/>
    <col min="4" max="4" width="11.28515625" style="89" customWidth="1"/>
    <col min="5" max="5" width="8.42578125" style="89" bestFit="1" customWidth="1"/>
    <col min="6" max="6" width="8.42578125" style="89" customWidth="1"/>
    <col min="7" max="8" width="9.7109375" style="89" customWidth="1"/>
    <col min="9" max="9" width="10.85546875" style="89" customWidth="1"/>
    <col min="10" max="10" width="13.5703125" style="89" bestFit="1" customWidth="1"/>
    <col min="11" max="11" width="11.28515625" style="89" bestFit="1" customWidth="1"/>
    <col min="12" max="19" width="12.28515625" style="89" bestFit="1" customWidth="1"/>
    <col min="20" max="21" width="10.7109375" style="89" customWidth="1"/>
    <col min="22" max="22" width="9.85546875" style="89" customWidth="1"/>
    <col min="23" max="23" width="10.85546875" style="89" bestFit="1" customWidth="1"/>
    <col min="24" max="25" width="9.7109375" style="89" bestFit="1" customWidth="1"/>
    <col min="26" max="32" width="8" style="89" bestFit="1" customWidth="1"/>
    <col min="33" max="33" width="11.28515625" style="89" bestFit="1" customWidth="1"/>
    <col min="34" max="34" width="9.28515625" style="89" bestFit="1" customWidth="1"/>
    <col min="35" max="35" width="9" style="89" customWidth="1"/>
    <col min="36" max="36" width="10.7109375" style="89" customWidth="1"/>
    <col min="37" max="16384" width="9.140625" style="89"/>
  </cols>
  <sheetData>
    <row r="1" spans="2:36">
      <c r="B1" s="106" t="s">
        <v>507</v>
      </c>
      <c r="C1" s="278">
        <f>S2</f>
        <v>0.22</v>
      </c>
      <c r="I1" s="89" t="s">
        <v>209</v>
      </c>
      <c r="K1" s="107">
        <v>2004</v>
      </c>
      <c r="M1" s="89" t="s">
        <v>271</v>
      </c>
      <c r="O1" s="139">
        <v>0.01</v>
      </c>
      <c r="Q1" s="89" t="s">
        <v>340</v>
      </c>
      <c r="S1" s="139">
        <v>0.01</v>
      </c>
    </row>
    <row r="2" spans="2:36">
      <c r="B2" s="129" t="s">
        <v>261</v>
      </c>
      <c r="C2" s="103"/>
      <c r="I2" s="89" t="s">
        <v>210</v>
      </c>
      <c r="K2" s="107">
        <v>2018</v>
      </c>
      <c r="M2" s="89" t="s">
        <v>272</v>
      </c>
      <c r="O2" s="139">
        <v>0.15</v>
      </c>
      <c r="Q2" s="89" t="s">
        <v>406</v>
      </c>
      <c r="S2" s="139">
        <v>0.22</v>
      </c>
      <c r="X2" s="98" t="s">
        <v>5</v>
      </c>
      <c r="Y2" s="98" t="s">
        <v>6</v>
      </c>
      <c r="Z2" s="98" t="s">
        <v>7</v>
      </c>
      <c r="AA2" s="98" t="s">
        <v>8</v>
      </c>
      <c r="AB2" s="98" t="s">
        <v>9</v>
      </c>
      <c r="AC2" s="98" t="s">
        <v>192</v>
      </c>
      <c r="AD2" s="98" t="s">
        <v>193</v>
      </c>
      <c r="AE2" s="98" t="s">
        <v>194</v>
      </c>
      <c r="AF2" s="98" t="s">
        <v>195</v>
      </c>
      <c r="AG2" s="98" t="s">
        <v>196</v>
      </c>
      <c r="AI2" s="309" t="s">
        <v>240</v>
      </c>
      <c r="AJ2" s="310"/>
    </row>
    <row r="3" spans="2:36">
      <c r="B3" s="10"/>
      <c r="C3" s="97">
        <v>2000</v>
      </c>
      <c r="D3" s="97">
        <v>2001</v>
      </c>
      <c r="E3" s="97">
        <v>2002</v>
      </c>
      <c r="F3" s="97">
        <v>2003</v>
      </c>
      <c r="G3" s="97">
        <v>2004</v>
      </c>
      <c r="H3" s="97">
        <v>2005</v>
      </c>
      <c r="I3" s="97">
        <v>2006</v>
      </c>
      <c r="J3" s="97">
        <v>2007</v>
      </c>
      <c r="K3" s="97">
        <v>2008</v>
      </c>
      <c r="L3" s="97">
        <v>2009</v>
      </c>
      <c r="M3" s="97">
        <v>2010</v>
      </c>
      <c r="N3" s="97">
        <v>2011</v>
      </c>
      <c r="O3" s="97">
        <v>2012</v>
      </c>
      <c r="P3" s="97">
        <v>2013</v>
      </c>
      <c r="Q3" s="97">
        <v>2014</v>
      </c>
      <c r="R3" s="97">
        <v>2015</v>
      </c>
      <c r="S3" s="97">
        <v>2016</v>
      </c>
      <c r="T3" s="97">
        <v>2017</v>
      </c>
      <c r="U3" s="97">
        <v>2018</v>
      </c>
      <c r="V3" s="99" t="s">
        <v>1</v>
      </c>
      <c r="W3" s="99" t="s">
        <v>211</v>
      </c>
      <c r="X3" s="98">
        <v>2019</v>
      </c>
      <c r="Y3" s="98">
        <v>2020</v>
      </c>
      <c r="Z3" s="98">
        <v>2021</v>
      </c>
      <c r="AA3" s="98">
        <v>2022</v>
      </c>
      <c r="AB3" s="98">
        <v>2023</v>
      </c>
      <c r="AC3" s="98">
        <v>2024</v>
      </c>
      <c r="AD3" s="98">
        <v>2025</v>
      </c>
      <c r="AE3" s="98">
        <v>2026</v>
      </c>
      <c r="AF3" s="98">
        <v>2027</v>
      </c>
      <c r="AG3" s="98">
        <v>2028</v>
      </c>
      <c r="AH3" s="113" t="s">
        <v>1</v>
      </c>
      <c r="AI3" s="311" t="s">
        <v>241</v>
      </c>
      <c r="AJ3" s="312"/>
    </row>
    <row r="4" spans="2:36"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0"/>
      <c r="Y4" s="100"/>
      <c r="Z4" s="100"/>
      <c r="AA4" s="100"/>
      <c r="AB4" s="100"/>
      <c r="AC4" s="100"/>
      <c r="AD4" s="100"/>
      <c r="AE4" s="100"/>
      <c r="AF4" s="100"/>
      <c r="AG4" s="100"/>
      <c r="AH4" s="114"/>
      <c r="AI4" s="10"/>
      <c r="AJ4" s="10"/>
    </row>
    <row r="5" spans="2:36">
      <c r="B5" s="93" t="s">
        <v>199</v>
      </c>
      <c r="C5" s="10"/>
      <c r="D5" s="10"/>
      <c r="E5" s="123"/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0"/>
      <c r="W5" s="10"/>
      <c r="X5" s="130"/>
      <c r="Y5" s="130"/>
      <c r="Z5" s="130"/>
      <c r="AA5" s="130"/>
      <c r="AB5" s="130"/>
      <c r="AC5" s="130"/>
      <c r="AD5" s="130"/>
      <c r="AE5" s="130"/>
      <c r="AF5" s="130"/>
      <c r="AG5" s="130"/>
      <c r="AH5" s="114"/>
      <c r="AI5" s="10"/>
      <c r="AJ5" s="130"/>
    </row>
    <row r="6" spans="2:36">
      <c r="B6" s="10" t="s">
        <v>10</v>
      </c>
      <c r="C6" s="118"/>
      <c r="D6" s="118"/>
      <c r="E6" s="124"/>
      <c r="F6" s="124"/>
      <c r="G6" s="180">
        <v>10236.61</v>
      </c>
      <c r="H6" s="124"/>
      <c r="I6" s="124"/>
      <c r="J6" s="124"/>
      <c r="K6" s="124"/>
      <c r="L6" s="124"/>
      <c r="M6" s="124"/>
      <c r="N6" s="124"/>
      <c r="O6" s="124"/>
      <c r="P6" s="124"/>
      <c r="Q6" s="124"/>
      <c r="R6" s="124"/>
      <c r="S6" s="180">
        <v>10236.61</v>
      </c>
      <c r="T6" s="180">
        <v>11277.97</v>
      </c>
      <c r="U6" s="180">
        <v>11870</v>
      </c>
      <c r="V6" s="101">
        <f>((U6/G6)^(1/($K$2-$K$1) ))-1</f>
        <v>1.0630658044594732E-2</v>
      </c>
      <c r="W6" s="21">
        <f>$O$2</f>
        <v>0.15</v>
      </c>
      <c r="X6" s="130">
        <f>U6*(1+$W6)</f>
        <v>13650.499999999998</v>
      </c>
      <c r="Y6" s="130">
        <f>X6*(1+$W6)</f>
        <v>15698.074999999997</v>
      </c>
      <c r="Z6" s="130">
        <f t="shared" ref="Z6:AG6" si="0">Y6*(1+$W6)</f>
        <v>18052.786249999994</v>
      </c>
      <c r="AA6" s="130">
        <f t="shared" si="0"/>
        <v>20760.704187499992</v>
      </c>
      <c r="AB6" s="130">
        <f t="shared" si="0"/>
        <v>23874.809815624991</v>
      </c>
      <c r="AC6" s="130">
        <f t="shared" si="0"/>
        <v>27456.031287968737</v>
      </c>
      <c r="AD6" s="130">
        <f t="shared" si="0"/>
        <v>31574.435981164046</v>
      </c>
      <c r="AE6" s="130">
        <f t="shared" si="0"/>
        <v>36310.601378338652</v>
      </c>
      <c r="AF6" s="130">
        <f t="shared" si="0"/>
        <v>41757.191585089444</v>
      </c>
      <c r="AG6" s="130">
        <f t="shared" si="0"/>
        <v>48020.770322852855</v>
      </c>
      <c r="AH6" s="115" t="e">
        <f>((AG6/J6)^(1/($AG$3-$K$1) ))-1</f>
        <v>#DIV/0!</v>
      </c>
      <c r="AI6" s="21">
        <f>$O$1</f>
        <v>0.01</v>
      </c>
      <c r="AJ6" s="123">
        <f t="shared" ref="AJ6:AJ63" si="1">(AG6*(1+AI6))/($C$1-AI6)</f>
        <v>230957.03821943517</v>
      </c>
    </row>
    <row r="7" spans="2:36">
      <c r="B7" s="10" t="s">
        <v>198</v>
      </c>
      <c r="C7" s="118"/>
      <c r="D7" s="118"/>
      <c r="E7" s="124"/>
      <c r="F7" s="124"/>
      <c r="G7" s="180">
        <v>13632.55</v>
      </c>
      <c r="H7" s="124"/>
      <c r="I7" s="124"/>
      <c r="J7" s="124"/>
      <c r="K7" s="124"/>
      <c r="L7" s="124"/>
      <c r="M7" s="124"/>
      <c r="N7" s="124"/>
      <c r="O7" s="124"/>
      <c r="P7" s="124"/>
      <c r="Q7" s="124"/>
      <c r="R7" s="124"/>
      <c r="S7" s="180">
        <v>13632.55</v>
      </c>
      <c r="T7" s="180">
        <v>14678</v>
      </c>
      <c r="U7" s="180">
        <f>U6+3404</f>
        <v>15274</v>
      </c>
      <c r="V7" s="101">
        <f t="shared" ref="V7:V74" si="2">((U7/G7)^(1/($K$2-$K$1) ))-1</f>
        <v>8.1539006494764088E-3</v>
      </c>
      <c r="W7" s="21">
        <f>$O$2</f>
        <v>0.15</v>
      </c>
      <c r="X7" s="130">
        <f>U7*(1+$W7)</f>
        <v>17565.099999999999</v>
      </c>
      <c r="Y7" s="130">
        <f t="shared" ref="Y7:AG7" si="3">X7*(1+$W7)</f>
        <v>20199.864999999998</v>
      </c>
      <c r="Z7" s="130">
        <f t="shared" si="3"/>
        <v>23229.844749999997</v>
      </c>
      <c r="AA7" s="130">
        <f t="shared" si="3"/>
        <v>26714.321462499993</v>
      </c>
      <c r="AB7" s="130">
        <f t="shared" si="3"/>
        <v>30721.469681874991</v>
      </c>
      <c r="AC7" s="130">
        <f t="shared" si="3"/>
        <v>35329.690134156233</v>
      </c>
      <c r="AD7" s="130">
        <f t="shared" si="3"/>
        <v>40629.143654279665</v>
      </c>
      <c r="AE7" s="130">
        <f t="shared" si="3"/>
        <v>46723.515202421615</v>
      </c>
      <c r="AF7" s="130">
        <f t="shared" si="3"/>
        <v>53732.042482784855</v>
      </c>
      <c r="AG7" s="130">
        <f t="shared" si="3"/>
        <v>61791.848855202581</v>
      </c>
      <c r="AH7" s="115" t="e">
        <f>((AG7/J7)^(1/($AG$3-$K$1) ))-1</f>
        <v>#DIV/0!</v>
      </c>
      <c r="AI7" s="21">
        <f>$O$1</f>
        <v>0.01</v>
      </c>
      <c r="AJ7" s="123">
        <f t="shared" si="1"/>
        <v>297189.36830359342</v>
      </c>
    </row>
    <row r="8" spans="2:36">
      <c r="B8" s="10"/>
      <c r="C8" s="118"/>
      <c r="D8" s="118"/>
      <c r="E8" s="124"/>
      <c r="F8" s="268"/>
      <c r="G8" s="127" t="e">
        <f t="shared" ref="G8" si="4">(G7-F7)/F7</f>
        <v>#DIV/0!</v>
      </c>
      <c r="H8" s="127" t="e">
        <f>(H7-G7)/H7</f>
        <v>#DIV/0!</v>
      </c>
      <c r="I8" s="127" t="e">
        <f t="shared" ref="I8:R8" si="5">(I7-H7)/I7</f>
        <v>#DIV/0!</v>
      </c>
      <c r="J8" s="127" t="e">
        <f t="shared" si="5"/>
        <v>#DIV/0!</v>
      </c>
      <c r="K8" s="127" t="e">
        <f t="shared" si="5"/>
        <v>#DIV/0!</v>
      </c>
      <c r="L8" s="127" t="e">
        <f t="shared" si="5"/>
        <v>#DIV/0!</v>
      </c>
      <c r="M8" s="127" t="e">
        <f t="shared" si="5"/>
        <v>#DIV/0!</v>
      </c>
      <c r="N8" s="127" t="e">
        <f t="shared" si="5"/>
        <v>#DIV/0!</v>
      </c>
      <c r="O8" s="127" t="e">
        <f t="shared" si="5"/>
        <v>#DIV/0!</v>
      </c>
      <c r="P8" s="127" t="e">
        <f t="shared" si="5"/>
        <v>#DIV/0!</v>
      </c>
      <c r="Q8" s="127" t="e">
        <f t="shared" si="5"/>
        <v>#DIV/0!</v>
      </c>
      <c r="R8" s="127" t="e">
        <f t="shared" si="5"/>
        <v>#DIV/0!</v>
      </c>
      <c r="S8" s="127" t="e">
        <f t="shared" ref="S8:U8" si="6">(S7-R7)/R7</f>
        <v>#DIV/0!</v>
      </c>
      <c r="T8" s="127">
        <f t="shared" si="6"/>
        <v>7.6687780349237733E-2</v>
      </c>
      <c r="U8" s="127">
        <f t="shared" si="6"/>
        <v>4.0604987055457148E-2</v>
      </c>
      <c r="V8" s="10"/>
      <c r="W8" s="10"/>
      <c r="X8" s="130"/>
      <c r="Y8" s="130"/>
      <c r="Z8" s="130"/>
      <c r="AA8" s="130"/>
      <c r="AB8" s="130"/>
      <c r="AC8" s="130"/>
      <c r="AD8" s="130"/>
      <c r="AE8" s="130"/>
      <c r="AF8" s="130"/>
      <c r="AG8" s="130"/>
      <c r="AH8" s="114"/>
      <c r="AI8" s="114"/>
      <c r="AJ8" s="123"/>
    </row>
    <row r="9" spans="2:36">
      <c r="B9" s="10" t="s">
        <v>220</v>
      </c>
      <c r="C9" s="118"/>
      <c r="D9" s="118"/>
      <c r="E9" s="124"/>
      <c r="F9" s="124"/>
      <c r="G9" s="180">
        <v>4204.4399999999996</v>
      </c>
      <c r="H9" s="124"/>
      <c r="I9" s="124"/>
      <c r="J9" s="124"/>
      <c r="K9" s="124"/>
      <c r="L9" s="124"/>
      <c r="M9" s="124"/>
      <c r="N9" s="124"/>
      <c r="O9" s="124"/>
      <c r="P9" s="124"/>
      <c r="Q9" s="124"/>
      <c r="R9" s="124"/>
      <c r="S9" s="180">
        <v>4204.4399999999996</v>
      </c>
      <c r="T9" s="180">
        <v>7011</v>
      </c>
      <c r="U9" s="180">
        <v>0</v>
      </c>
      <c r="V9" s="101">
        <f t="shared" si="2"/>
        <v>-1</v>
      </c>
      <c r="W9" s="21">
        <f t="shared" ref="W9:W59" si="7">$O$2</f>
        <v>0.15</v>
      </c>
      <c r="X9" s="130">
        <f t="shared" ref="X9:X63" si="8">U9*(1+$W9)</f>
        <v>0</v>
      </c>
      <c r="Y9" s="130">
        <f t="shared" ref="Y9" si="9">X9*(1+$W9)</f>
        <v>0</v>
      </c>
      <c r="Z9" s="130">
        <f t="shared" ref="Z9" si="10">Y9*(1+$W9)</f>
        <v>0</v>
      </c>
      <c r="AA9" s="130">
        <f t="shared" ref="AA9" si="11">Z9*(1+$W9)</f>
        <v>0</v>
      </c>
      <c r="AB9" s="130">
        <f t="shared" ref="AB9" si="12">AA9*(1+$W9)</f>
        <v>0</v>
      </c>
      <c r="AC9" s="130">
        <f t="shared" ref="AC9" si="13">AB9*(1+$W9)</f>
        <v>0</v>
      </c>
      <c r="AD9" s="130">
        <f t="shared" ref="AD9" si="14">AC9*(1+$W9)</f>
        <v>0</v>
      </c>
      <c r="AE9" s="130">
        <f t="shared" ref="AE9" si="15">AD9*(1+$W9)</f>
        <v>0</v>
      </c>
      <c r="AF9" s="130">
        <f t="shared" ref="AF9" si="16">AE9*(1+$W9)</f>
        <v>0</v>
      </c>
      <c r="AG9" s="130">
        <f t="shared" ref="AG9" si="17">AF9*(1+$W9)</f>
        <v>0</v>
      </c>
      <c r="AH9" s="115" t="e">
        <f>((AG9/J9)^(1/($AG$3-$K$1) ))-1</f>
        <v>#DIV/0!</v>
      </c>
      <c r="AI9" s="21">
        <f t="shared" ref="AI9:AI103" si="18">$O$1</f>
        <v>0.01</v>
      </c>
      <c r="AJ9" s="123">
        <f t="shared" si="1"/>
        <v>0</v>
      </c>
    </row>
    <row r="10" spans="2:36">
      <c r="B10" s="10" t="s">
        <v>3</v>
      </c>
      <c r="C10" s="118"/>
      <c r="D10" s="118"/>
      <c r="E10" s="124"/>
      <c r="F10" s="124"/>
      <c r="G10" s="180">
        <v>56132</v>
      </c>
      <c r="H10" s="124"/>
      <c r="I10" s="124"/>
      <c r="J10" s="124"/>
      <c r="K10" s="124"/>
      <c r="L10" s="124"/>
      <c r="M10" s="124"/>
      <c r="N10" s="124"/>
      <c r="O10" s="124"/>
      <c r="P10" s="124"/>
      <c r="Q10" s="124"/>
      <c r="R10" s="124"/>
      <c r="S10" s="180">
        <v>56132</v>
      </c>
      <c r="T10" s="180">
        <v>90470</v>
      </c>
      <c r="U10" s="180">
        <v>105326</v>
      </c>
      <c r="V10" s="101">
        <f t="shared" si="2"/>
        <v>4.5979612415063764E-2</v>
      </c>
      <c r="W10" s="21">
        <f t="shared" si="7"/>
        <v>0.15</v>
      </c>
      <c r="X10" s="130">
        <f t="shared" si="8"/>
        <v>121124.9</v>
      </c>
      <c r="Y10" s="130">
        <f t="shared" ref="Y10:AG10" si="19">X10*(1+$W10)</f>
        <v>139293.63499999998</v>
      </c>
      <c r="Z10" s="130">
        <f t="shared" si="19"/>
        <v>160187.68024999998</v>
      </c>
      <c r="AA10" s="130">
        <f t="shared" si="19"/>
        <v>184215.83228749997</v>
      </c>
      <c r="AB10" s="130">
        <f t="shared" si="19"/>
        <v>211848.20713062494</v>
      </c>
      <c r="AC10" s="130">
        <f t="shared" si="19"/>
        <v>243625.43820021866</v>
      </c>
      <c r="AD10" s="130">
        <f t="shared" si="19"/>
        <v>280169.25393025146</v>
      </c>
      <c r="AE10" s="130">
        <f t="shared" si="19"/>
        <v>322194.64201978914</v>
      </c>
      <c r="AF10" s="130">
        <f t="shared" si="19"/>
        <v>370523.83832275751</v>
      </c>
      <c r="AG10" s="130">
        <f t="shared" si="19"/>
        <v>426102.41407117108</v>
      </c>
      <c r="AH10" s="115" t="e">
        <f t="shared" ref="AH10:AH61" si="20">((AG10/J10)^(1/($AG$3-$K$1) ))-1</f>
        <v>#DIV/0!</v>
      </c>
      <c r="AI10" s="21">
        <f t="shared" si="18"/>
        <v>0.01</v>
      </c>
      <c r="AJ10" s="123">
        <f t="shared" si="1"/>
        <v>2049349.7057708704</v>
      </c>
    </row>
    <row r="11" spans="2:36">
      <c r="B11" s="10"/>
      <c r="C11" s="118"/>
      <c r="D11" s="118"/>
      <c r="E11" s="124"/>
      <c r="F11" s="268"/>
      <c r="G11" s="127" t="e">
        <f t="shared" ref="G11" si="21">(G10-F10)/F10</f>
        <v>#DIV/0!</v>
      </c>
      <c r="H11" s="268" t="e">
        <f t="shared" ref="H11:R11" si="22">(H10-G10)/H10</f>
        <v>#DIV/0!</v>
      </c>
      <c r="I11" s="268" t="e">
        <f t="shared" si="22"/>
        <v>#DIV/0!</v>
      </c>
      <c r="J11" s="268" t="e">
        <f t="shared" si="22"/>
        <v>#DIV/0!</v>
      </c>
      <c r="K11" s="268" t="e">
        <f t="shared" si="22"/>
        <v>#DIV/0!</v>
      </c>
      <c r="L11" s="268" t="e">
        <f t="shared" si="22"/>
        <v>#DIV/0!</v>
      </c>
      <c r="M11" s="268" t="e">
        <f t="shared" si="22"/>
        <v>#DIV/0!</v>
      </c>
      <c r="N11" s="268" t="e">
        <f t="shared" si="22"/>
        <v>#DIV/0!</v>
      </c>
      <c r="O11" s="268" t="e">
        <f t="shared" si="22"/>
        <v>#DIV/0!</v>
      </c>
      <c r="P11" s="268" t="e">
        <f t="shared" si="22"/>
        <v>#DIV/0!</v>
      </c>
      <c r="Q11" s="268" t="e">
        <f t="shared" si="22"/>
        <v>#DIV/0!</v>
      </c>
      <c r="R11" s="268" t="e">
        <f t="shared" si="22"/>
        <v>#DIV/0!</v>
      </c>
      <c r="S11" s="127" t="e">
        <f t="shared" ref="S11:U11" si="23">(S10-R10)/R10</f>
        <v>#DIV/0!</v>
      </c>
      <c r="T11" s="127">
        <f t="shared" si="23"/>
        <v>0.61173662082234737</v>
      </c>
      <c r="U11" s="127">
        <f t="shared" si="23"/>
        <v>0.16420913009837515</v>
      </c>
      <c r="V11" s="10"/>
      <c r="W11" s="10"/>
      <c r="X11" s="130"/>
      <c r="Y11" s="130"/>
      <c r="Z11" s="130"/>
      <c r="AA11" s="130"/>
      <c r="AB11" s="130"/>
      <c r="AC11" s="130"/>
      <c r="AD11" s="130"/>
      <c r="AE11" s="130"/>
      <c r="AF11" s="130"/>
      <c r="AG11" s="130"/>
      <c r="AH11" s="102"/>
      <c r="AI11" s="21">
        <f t="shared" si="18"/>
        <v>0.01</v>
      </c>
      <c r="AJ11" s="130"/>
    </row>
    <row r="12" spans="2:36">
      <c r="B12" s="10" t="s">
        <v>2</v>
      </c>
      <c r="C12" s="118"/>
      <c r="D12" s="118"/>
      <c r="E12" s="124"/>
      <c r="F12" s="124"/>
      <c r="G12" s="180">
        <v>1900</v>
      </c>
      <c r="H12" s="124"/>
      <c r="I12" s="124"/>
      <c r="J12" s="124"/>
      <c r="K12" s="124"/>
      <c r="L12" s="124"/>
      <c r="M12" s="124"/>
      <c r="N12" s="124"/>
      <c r="O12" s="124"/>
      <c r="P12" s="124"/>
      <c r="Q12" s="124"/>
      <c r="R12" s="124"/>
      <c r="S12" s="180">
        <v>1900</v>
      </c>
      <c r="T12" s="180">
        <v>3036</v>
      </c>
      <c r="U12" s="180">
        <v>0</v>
      </c>
      <c r="V12" s="101">
        <f t="shared" si="2"/>
        <v>-1</v>
      </c>
      <c r="W12" s="21">
        <f t="shared" si="7"/>
        <v>0.15</v>
      </c>
      <c r="X12" s="130">
        <f t="shared" si="8"/>
        <v>0</v>
      </c>
      <c r="Y12" s="130">
        <f t="shared" ref="Y12:AG12" si="24">X12*(1+$W12)</f>
        <v>0</v>
      </c>
      <c r="Z12" s="130">
        <f t="shared" si="24"/>
        <v>0</v>
      </c>
      <c r="AA12" s="130">
        <f t="shared" si="24"/>
        <v>0</v>
      </c>
      <c r="AB12" s="130">
        <f t="shared" si="24"/>
        <v>0</v>
      </c>
      <c r="AC12" s="130">
        <f t="shared" si="24"/>
        <v>0</v>
      </c>
      <c r="AD12" s="130">
        <f t="shared" si="24"/>
        <v>0</v>
      </c>
      <c r="AE12" s="130">
        <f t="shared" si="24"/>
        <v>0</v>
      </c>
      <c r="AF12" s="130">
        <f t="shared" si="24"/>
        <v>0</v>
      </c>
      <c r="AG12" s="130">
        <f t="shared" si="24"/>
        <v>0</v>
      </c>
      <c r="AH12" s="115" t="e">
        <f t="shared" si="20"/>
        <v>#DIV/0!</v>
      </c>
      <c r="AI12" s="21">
        <f t="shared" si="18"/>
        <v>0.01</v>
      </c>
      <c r="AJ12" s="123">
        <f t="shared" si="1"/>
        <v>0</v>
      </c>
    </row>
    <row r="13" spans="2:36">
      <c r="B13" s="10" t="s">
        <v>191</v>
      </c>
      <c r="C13" s="118"/>
      <c r="D13" s="118"/>
      <c r="E13" s="124"/>
      <c r="F13" s="124"/>
      <c r="G13" s="180">
        <v>20091</v>
      </c>
      <c r="H13" s="124"/>
      <c r="I13" s="124"/>
      <c r="J13" s="124"/>
      <c r="K13" s="124"/>
      <c r="L13" s="124"/>
      <c r="M13" s="124"/>
      <c r="N13" s="124"/>
      <c r="O13" s="124"/>
      <c r="P13" s="124"/>
      <c r="Q13" s="124"/>
      <c r="R13" s="124"/>
      <c r="S13" s="180">
        <v>20091</v>
      </c>
      <c r="T13" s="180">
        <v>50471</v>
      </c>
      <c r="U13" s="180">
        <v>60904</v>
      </c>
      <c r="V13" s="101">
        <f t="shared" si="2"/>
        <v>8.2438327702243575E-2</v>
      </c>
      <c r="W13" s="21">
        <f t="shared" si="7"/>
        <v>0.15</v>
      </c>
      <c r="X13" s="130">
        <f t="shared" si="8"/>
        <v>70039.599999999991</v>
      </c>
      <c r="Y13" s="130">
        <f t="shared" ref="Y13:AG13" si="25">X13*(1+$W13)</f>
        <v>80545.539999999979</v>
      </c>
      <c r="Z13" s="130">
        <f t="shared" si="25"/>
        <v>92627.37099999997</v>
      </c>
      <c r="AA13" s="130">
        <f t="shared" si="25"/>
        <v>106521.47664999995</v>
      </c>
      <c r="AB13" s="130">
        <f t="shared" si="25"/>
        <v>122499.69814749993</v>
      </c>
      <c r="AC13" s="130">
        <f t="shared" si="25"/>
        <v>140874.6528696249</v>
      </c>
      <c r="AD13" s="130">
        <f t="shared" si="25"/>
        <v>162005.85080006861</v>
      </c>
      <c r="AE13" s="130">
        <f t="shared" si="25"/>
        <v>186306.7284200789</v>
      </c>
      <c r="AF13" s="130">
        <f t="shared" si="25"/>
        <v>214252.73768309073</v>
      </c>
      <c r="AG13" s="130">
        <f t="shared" si="25"/>
        <v>246390.64833555432</v>
      </c>
      <c r="AH13" s="115" t="e">
        <f t="shared" si="20"/>
        <v>#DIV/0!</v>
      </c>
      <c r="AI13" s="21">
        <f t="shared" si="18"/>
        <v>0.01</v>
      </c>
      <c r="AJ13" s="123">
        <f t="shared" si="1"/>
        <v>1185021.6896138564</v>
      </c>
    </row>
    <row r="14" spans="2:36">
      <c r="B14" s="10" t="s">
        <v>315</v>
      </c>
      <c r="C14" s="118"/>
      <c r="D14" s="118"/>
      <c r="E14" s="124"/>
      <c r="F14" s="124"/>
      <c r="G14" s="180">
        <v>0</v>
      </c>
      <c r="H14" s="124"/>
      <c r="I14" s="124"/>
      <c r="J14" s="124"/>
      <c r="K14" s="124"/>
      <c r="L14" s="124"/>
      <c r="M14" s="124"/>
      <c r="N14" s="124"/>
      <c r="O14" s="124"/>
      <c r="P14" s="124"/>
      <c r="Q14" s="124"/>
      <c r="R14" s="124"/>
      <c r="S14" s="180">
        <v>0</v>
      </c>
      <c r="T14" s="180">
        <v>0</v>
      </c>
      <c r="U14" s="180"/>
      <c r="V14" s="101" t="e">
        <f t="shared" si="2"/>
        <v>#DIV/0!</v>
      </c>
      <c r="W14" s="21">
        <f t="shared" si="7"/>
        <v>0.15</v>
      </c>
      <c r="X14" s="130">
        <f t="shared" si="8"/>
        <v>0</v>
      </c>
      <c r="Y14" s="130">
        <f t="shared" ref="Y14" si="26">X14*(1+$W14)</f>
        <v>0</v>
      </c>
      <c r="Z14" s="130">
        <f t="shared" ref="Z14" si="27">Y14*(1+$W14)</f>
        <v>0</v>
      </c>
      <c r="AA14" s="130">
        <f t="shared" ref="AA14" si="28">Z14*(1+$W14)</f>
        <v>0</v>
      </c>
      <c r="AB14" s="130">
        <f t="shared" ref="AB14" si="29">AA14*(1+$W14)</f>
        <v>0</v>
      </c>
      <c r="AC14" s="130">
        <f t="shared" ref="AC14" si="30">AB14*(1+$W14)</f>
        <v>0</v>
      </c>
      <c r="AD14" s="130">
        <f t="shared" ref="AD14" si="31">AC14*(1+$W14)</f>
        <v>0</v>
      </c>
      <c r="AE14" s="130">
        <f t="shared" ref="AE14" si="32">AD14*(1+$W14)</f>
        <v>0</v>
      </c>
      <c r="AF14" s="130">
        <f t="shared" ref="AF14" si="33">AE14*(1+$W14)</f>
        <v>0</v>
      </c>
      <c r="AG14" s="130">
        <f t="shared" ref="AG14" si="34">AF14*(1+$W14)</f>
        <v>0</v>
      </c>
      <c r="AH14" s="115" t="e">
        <f t="shared" ref="AH14" si="35">((AG14/J14)^(1/($AG$3-$K$1) ))-1</f>
        <v>#DIV/0!</v>
      </c>
      <c r="AI14" s="21">
        <f t="shared" si="18"/>
        <v>0.01</v>
      </c>
      <c r="AJ14" s="123">
        <f t="shared" ref="AJ14" si="36">(AG14*(1+AI14))/($C$1-AI14)</f>
        <v>0</v>
      </c>
    </row>
    <row r="15" spans="2:36">
      <c r="B15" s="10" t="s">
        <v>11</v>
      </c>
      <c r="C15" s="118"/>
      <c r="D15" s="118"/>
      <c r="E15" s="124"/>
      <c r="F15" s="124"/>
      <c r="G15" s="180">
        <v>0</v>
      </c>
      <c r="H15" s="124"/>
      <c r="I15" s="124"/>
      <c r="J15" s="124"/>
      <c r="K15" s="124"/>
      <c r="L15" s="124"/>
      <c r="M15" s="124"/>
      <c r="N15" s="124"/>
      <c r="O15" s="124"/>
      <c r="P15" s="124"/>
      <c r="Q15" s="124"/>
      <c r="R15" s="124"/>
      <c r="S15" s="180">
        <v>0</v>
      </c>
      <c r="T15" s="180">
        <v>0</v>
      </c>
      <c r="U15" s="180"/>
      <c r="V15" s="101" t="e">
        <f t="shared" si="2"/>
        <v>#DIV/0!</v>
      </c>
      <c r="W15" s="21">
        <f t="shared" si="7"/>
        <v>0.15</v>
      </c>
      <c r="X15" s="130">
        <f t="shared" si="8"/>
        <v>0</v>
      </c>
      <c r="Y15" s="130">
        <f t="shared" ref="Y15:AG15" si="37">X15*(1+$W15)</f>
        <v>0</v>
      </c>
      <c r="Z15" s="130">
        <f t="shared" si="37"/>
        <v>0</v>
      </c>
      <c r="AA15" s="130">
        <f t="shared" si="37"/>
        <v>0</v>
      </c>
      <c r="AB15" s="130">
        <f t="shared" si="37"/>
        <v>0</v>
      </c>
      <c r="AC15" s="130">
        <f t="shared" si="37"/>
        <v>0</v>
      </c>
      <c r="AD15" s="130">
        <f t="shared" si="37"/>
        <v>0</v>
      </c>
      <c r="AE15" s="130">
        <f t="shared" si="37"/>
        <v>0</v>
      </c>
      <c r="AF15" s="130">
        <f t="shared" si="37"/>
        <v>0</v>
      </c>
      <c r="AG15" s="130">
        <f t="shared" si="37"/>
        <v>0</v>
      </c>
      <c r="AH15" s="115" t="e">
        <f t="shared" si="20"/>
        <v>#DIV/0!</v>
      </c>
      <c r="AI15" s="21">
        <f t="shared" si="18"/>
        <v>0.01</v>
      </c>
      <c r="AJ15" s="123">
        <f t="shared" si="1"/>
        <v>0</v>
      </c>
    </row>
    <row r="16" spans="2:36">
      <c r="B16" s="10" t="s">
        <v>12</v>
      </c>
      <c r="C16" s="118"/>
      <c r="D16" s="118"/>
      <c r="E16" s="124"/>
      <c r="F16" s="124"/>
      <c r="G16" s="180">
        <v>0</v>
      </c>
      <c r="H16" s="124"/>
      <c r="I16" s="124"/>
      <c r="J16" s="124"/>
      <c r="K16" s="124"/>
      <c r="L16" s="124"/>
      <c r="M16" s="124"/>
      <c r="N16" s="124"/>
      <c r="O16" s="124"/>
      <c r="P16" s="124"/>
      <c r="Q16" s="124"/>
      <c r="R16" s="124"/>
      <c r="S16" s="180">
        <v>0</v>
      </c>
      <c r="T16" s="180">
        <v>0</v>
      </c>
      <c r="U16" s="180"/>
      <c r="V16" s="101" t="e">
        <f t="shared" si="2"/>
        <v>#DIV/0!</v>
      </c>
      <c r="W16" s="21">
        <f t="shared" si="7"/>
        <v>0.15</v>
      </c>
      <c r="X16" s="130">
        <f t="shared" si="8"/>
        <v>0</v>
      </c>
      <c r="Y16" s="130">
        <f t="shared" ref="Y16:AG16" si="38">X16*(1+$W16)</f>
        <v>0</v>
      </c>
      <c r="Z16" s="130">
        <f t="shared" si="38"/>
        <v>0</v>
      </c>
      <c r="AA16" s="130">
        <f t="shared" si="38"/>
        <v>0</v>
      </c>
      <c r="AB16" s="130">
        <f t="shared" si="38"/>
        <v>0</v>
      </c>
      <c r="AC16" s="130">
        <f t="shared" si="38"/>
        <v>0</v>
      </c>
      <c r="AD16" s="130">
        <f t="shared" si="38"/>
        <v>0</v>
      </c>
      <c r="AE16" s="130">
        <f t="shared" si="38"/>
        <v>0</v>
      </c>
      <c r="AF16" s="130">
        <f t="shared" si="38"/>
        <v>0</v>
      </c>
      <c r="AG16" s="130">
        <f t="shared" si="38"/>
        <v>0</v>
      </c>
      <c r="AH16" s="115" t="e">
        <f t="shared" si="20"/>
        <v>#DIV/0!</v>
      </c>
      <c r="AI16" s="21">
        <f t="shared" si="18"/>
        <v>0.01</v>
      </c>
      <c r="AJ16" s="123">
        <f t="shared" si="1"/>
        <v>0</v>
      </c>
    </row>
    <row r="17" spans="2:36">
      <c r="B17" s="10"/>
      <c r="C17" s="118"/>
      <c r="D17" s="118"/>
      <c r="E17" s="124"/>
      <c r="F17" s="124"/>
      <c r="G17" s="180"/>
      <c r="H17" s="124"/>
      <c r="I17" s="124"/>
      <c r="J17" s="124"/>
      <c r="K17" s="124"/>
      <c r="L17" s="124"/>
      <c r="M17" s="124"/>
      <c r="N17" s="124"/>
      <c r="O17" s="124"/>
      <c r="P17" s="124"/>
      <c r="Q17" s="124"/>
      <c r="R17" s="124"/>
      <c r="S17" s="180"/>
      <c r="T17" s="180"/>
      <c r="U17" s="180"/>
      <c r="V17" s="10"/>
      <c r="W17" s="10"/>
      <c r="X17" s="130"/>
      <c r="Y17" s="130"/>
      <c r="Z17" s="130"/>
      <c r="AA17" s="130"/>
      <c r="AB17" s="130"/>
      <c r="AC17" s="130"/>
      <c r="AD17" s="130"/>
      <c r="AE17" s="130"/>
      <c r="AF17" s="130"/>
      <c r="AG17" s="130"/>
      <c r="AH17" s="116"/>
      <c r="AI17" s="114"/>
      <c r="AJ17" s="130"/>
    </row>
    <row r="18" spans="2:36">
      <c r="B18" s="10" t="s">
        <v>228</v>
      </c>
      <c r="C18" s="118"/>
      <c r="D18" s="118"/>
      <c r="E18" s="124"/>
      <c r="F18" s="124"/>
      <c r="G18" s="180">
        <v>0</v>
      </c>
      <c r="H18" s="124"/>
      <c r="I18" s="124"/>
      <c r="J18" s="124"/>
      <c r="K18" s="124"/>
      <c r="L18" s="124"/>
      <c r="M18" s="124"/>
      <c r="N18" s="124"/>
      <c r="O18" s="124"/>
      <c r="P18" s="124"/>
      <c r="Q18" s="124"/>
      <c r="R18" s="124"/>
      <c r="S18" s="180">
        <v>0</v>
      </c>
      <c r="T18" s="180">
        <v>0</v>
      </c>
      <c r="U18" s="180"/>
      <c r="V18" s="101" t="e">
        <f t="shared" si="2"/>
        <v>#DIV/0!</v>
      </c>
      <c r="W18" s="21">
        <f t="shared" si="7"/>
        <v>0.15</v>
      </c>
      <c r="X18" s="130">
        <f t="shared" si="8"/>
        <v>0</v>
      </c>
      <c r="Y18" s="130">
        <f t="shared" ref="Y18:Y34" si="39">X18*(1+$W18)</f>
        <v>0</v>
      </c>
      <c r="Z18" s="130">
        <f t="shared" ref="Z18:Z34" si="40">Y18*(1+$W18)</f>
        <v>0</v>
      </c>
      <c r="AA18" s="130">
        <f t="shared" ref="AA18:AA34" si="41">Z18*(1+$W18)</f>
        <v>0</v>
      </c>
      <c r="AB18" s="130">
        <f t="shared" ref="AB18:AB53" si="42">AA18*(1+$W18)</f>
        <v>0</v>
      </c>
      <c r="AC18" s="130">
        <f t="shared" ref="AC18:AC53" si="43">AB18*(1+$W18)</f>
        <v>0</v>
      </c>
      <c r="AD18" s="130">
        <f t="shared" ref="AD18:AD53" si="44">AC18*(1+$W18)</f>
        <v>0</v>
      </c>
      <c r="AE18" s="130">
        <f t="shared" ref="AE18:AE53" si="45">AD18*(1+$W18)</f>
        <v>0</v>
      </c>
      <c r="AF18" s="130">
        <f t="shared" ref="AF18:AF53" si="46">AE18*(1+$W18)</f>
        <v>0</v>
      </c>
      <c r="AG18" s="130">
        <f t="shared" ref="AG18:AG53" si="47">AF18*(1+$W18)</f>
        <v>0</v>
      </c>
      <c r="AH18" s="115" t="e">
        <f t="shared" si="20"/>
        <v>#DIV/0!</v>
      </c>
      <c r="AI18" s="21">
        <f t="shared" si="18"/>
        <v>0.01</v>
      </c>
      <c r="AJ18" s="123">
        <f t="shared" si="1"/>
        <v>0</v>
      </c>
    </row>
    <row r="19" spans="2:36">
      <c r="B19" s="10"/>
      <c r="C19" s="118"/>
      <c r="D19" s="118"/>
      <c r="E19" s="124"/>
      <c r="F19" s="124"/>
      <c r="G19" s="180"/>
      <c r="H19" s="124"/>
      <c r="I19" s="124"/>
      <c r="J19" s="124"/>
      <c r="K19" s="124"/>
      <c r="L19" s="124"/>
      <c r="M19" s="124"/>
      <c r="N19" s="124"/>
      <c r="O19" s="124"/>
      <c r="P19" s="124"/>
      <c r="Q19" s="124"/>
      <c r="R19" s="124"/>
      <c r="S19" s="180"/>
      <c r="T19" s="180"/>
      <c r="U19" s="180"/>
      <c r="V19" s="10"/>
      <c r="W19" s="10"/>
      <c r="X19" s="130"/>
      <c r="Y19" s="130"/>
      <c r="Z19" s="130"/>
      <c r="AA19" s="130"/>
      <c r="AB19" s="130"/>
      <c r="AC19" s="130"/>
      <c r="AD19" s="130"/>
      <c r="AE19" s="130"/>
      <c r="AF19" s="130"/>
      <c r="AG19" s="130"/>
      <c r="AH19" s="116"/>
      <c r="AI19" s="114"/>
      <c r="AJ19" s="130"/>
    </row>
    <row r="20" spans="2:36">
      <c r="B20" s="10" t="s">
        <v>233</v>
      </c>
      <c r="C20" s="118"/>
      <c r="D20" s="118"/>
      <c r="E20" s="124"/>
      <c r="F20" s="124"/>
      <c r="G20" s="180"/>
      <c r="H20" s="124"/>
      <c r="I20" s="124"/>
      <c r="J20" s="124"/>
      <c r="K20" s="124"/>
      <c r="L20" s="124"/>
      <c r="M20" s="124"/>
      <c r="N20" s="124"/>
      <c r="O20" s="124"/>
      <c r="P20" s="124"/>
      <c r="Q20" s="124"/>
      <c r="R20" s="124"/>
      <c r="S20" s="180"/>
      <c r="T20" s="180"/>
      <c r="U20" s="180"/>
      <c r="V20" s="101" t="e">
        <f t="shared" si="2"/>
        <v>#DIV/0!</v>
      </c>
      <c r="W20" s="21">
        <f t="shared" si="7"/>
        <v>0.15</v>
      </c>
      <c r="X20" s="130">
        <f t="shared" si="8"/>
        <v>0</v>
      </c>
      <c r="Y20" s="130">
        <f t="shared" ref="Y20:Y22" si="48">X20*(1+$W20)</f>
        <v>0</v>
      </c>
      <c r="Z20" s="130">
        <f t="shared" ref="Z20:Z22" si="49">Y20*(1+$W20)</f>
        <v>0</v>
      </c>
      <c r="AA20" s="130">
        <f t="shared" ref="AA20:AA22" si="50">Z20*(1+$W20)</f>
        <v>0</v>
      </c>
      <c r="AB20" s="130">
        <f t="shared" ref="AB20:AB22" si="51">AA20*(1+$W20)</f>
        <v>0</v>
      </c>
      <c r="AC20" s="130">
        <f t="shared" ref="AC20:AC22" si="52">AB20*(1+$W20)</f>
        <v>0</v>
      </c>
      <c r="AD20" s="130">
        <f t="shared" ref="AD20:AD22" si="53">AC20*(1+$W20)</f>
        <v>0</v>
      </c>
      <c r="AE20" s="130">
        <f t="shared" ref="AE20:AE22" si="54">AD20*(1+$W20)</f>
        <v>0</v>
      </c>
      <c r="AF20" s="130">
        <f t="shared" ref="AF20:AF22" si="55">AE20*(1+$W20)</f>
        <v>0</v>
      </c>
      <c r="AG20" s="130">
        <f t="shared" ref="AG20:AG22" si="56">AF20*(1+$W20)</f>
        <v>0</v>
      </c>
      <c r="AH20" s="115" t="e">
        <f t="shared" ref="AH20:AH22" si="57">((AG20/J20)^(1/($AG$3-$K$1) ))-1</f>
        <v>#DIV/0!</v>
      </c>
      <c r="AI20" s="21">
        <f t="shared" si="18"/>
        <v>0.01</v>
      </c>
      <c r="AJ20" s="123">
        <f t="shared" si="1"/>
        <v>0</v>
      </c>
    </row>
    <row r="21" spans="2:36">
      <c r="B21" s="10" t="s">
        <v>234</v>
      </c>
      <c r="C21" s="118"/>
      <c r="D21" s="118"/>
      <c r="E21" s="124"/>
      <c r="F21" s="124"/>
      <c r="G21" s="180"/>
      <c r="H21" s="124"/>
      <c r="I21" s="124"/>
      <c r="J21" s="124"/>
      <c r="K21" s="124"/>
      <c r="L21" s="124"/>
      <c r="M21" s="124"/>
      <c r="N21" s="124"/>
      <c r="O21" s="124"/>
      <c r="P21" s="124"/>
      <c r="Q21" s="124"/>
      <c r="R21" s="124"/>
      <c r="S21" s="180"/>
      <c r="T21" s="180"/>
      <c r="U21" s="180"/>
      <c r="V21" s="101" t="e">
        <f t="shared" si="2"/>
        <v>#DIV/0!</v>
      </c>
      <c r="W21" s="21">
        <f t="shared" si="7"/>
        <v>0.15</v>
      </c>
      <c r="X21" s="130">
        <f t="shared" si="8"/>
        <v>0</v>
      </c>
      <c r="Y21" s="130">
        <f t="shared" si="48"/>
        <v>0</v>
      </c>
      <c r="Z21" s="130">
        <f t="shared" si="49"/>
        <v>0</v>
      </c>
      <c r="AA21" s="130">
        <f t="shared" si="50"/>
        <v>0</v>
      </c>
      <c r="AB21" s="130">
        <f t="shared" si="51"/>
        <v>0</v>
      </c>
      <c r="AC21" s="130">
        <f t="shared" si="52"/>
        <v>0</v>
      </c>
      <c r="AD21" s="130">
        <f t="shared" si="53"/>
        <v>0</v>
      </c>
      <c r="AE21" s="130">
        <f t="shared" si="54"/>
        <v>0</v>
      </c>
      <c r="AF21" s="130">
        <f t="shared" si="55"/>
        <v>0</v>
      </c>
      <c r="AG21" s="130">
        <f t="shared" si="56"/>
        <v>0</v>
      </c>
      <c r="AH21" s="115" t="e">
        <f t="shared" si="57"/>
        <v>#DIV/0!</v>
      </c>
      <c r="AI21" s="21">
        <f t="shared" si="18"/>
        <v>0.01</v>
      </c>
      <c r="AJ21" s="123">
        <f t="shared" si="1"/>
        <v>0</v>
      </c>
    </row>
    <row r="22" spans="2:36">
      <c r="B22" s="10" t="s">
        <v>235</v>
      </c>
      <c r="C22" s="118"/>
      <c r="D22" s="118"/>
      <c r="E22" s="124"/>
      <c r="F22" s="124"/>
      <c r="G22" s="180"/>
      <c r="H22" s="124"/>
      <c r="I22" s="124"/>
      <c r="J22" s="124"/>
      <c r="K22" s="124"/>
      <c r="L22" s="124"/>
      <c r="M22" s="124"/>
      <c r="N22" s="124"/>
      <c r="O22" s="124"/>
      <c r="P22" s="124"/>
      <c r="Q22" s="124"/>
      <c r="R22" s="124"/>
      <c r="S22" s="180"/>
      <c r="T22" s="180"/>
      <c r="U22" s="180"/>
      <c r="V22" s="101" t="e">
        <f t="shared" si="2"/>
        <v>#DIV/0!</v>
      </c>
      <c r="W22" s="21">
        <f t="shared" si="7"/>
        <v>0.15</v>
      </c>
      <c r="X22" s="130">
        <f t="shared" si="8"/>
        <v>0</v>
      </c>
      <c r="Y22" s="130">
        <f t="shared" si="48"/>
        <v>0</v>
      </c>
      <c r="Z22" s="130">
        <f t="shared" si="49"/>
        <v>0</v>
      </c>
      <c r="AA22" s="130">
        <f t="shared" si="50"/>
        <v>0</v>
      </c>
      <c r="AB22" s="130">
        <f t="shared" si="51"/>
        <v>0</v>
      </c>
      <c r="AC22" s="130">
        <f t="shared" si="52"/>
        <v>0</v>
      </c>
      <c r="AD22" s="130">
        <f t="shared" si="53"/>
        <v>0</v>
      </c>
      <c r="AE22" s="130">
        <f t="shared" si="54"/>
        <v>0</v>
      </c>
      <c r="AF22" s="130">
        <f t="shared" si="55"/>
        <v>0</v>
      </c>
      <c r="AG22" s="130">
        <f t="shared" si="56"/>
        <v>0</v>
      </c>
      <c r="AH22" s="115" t="e">
        <f t="shared" si="57"/>
        <v>#DIV/0!</v>
      </c>
      <c r="AI22" s="21">
        <f t="shared" si="18"/>
        <v>0.01</v>
      </c>
      <c r="AJ22" s="123">
        <f t="shared" si="1"/>
        <v>0</v>
      </c>
    </row>
    <row r="23" spans="2:36">
      <c r="B23" s="10" t="s">
        <v>244</v>
      </c>
      <c r="C23" s="118"/>
      <c r="D23" s="118"/>
      <c r="E23" s="124"/>
      <c r="F23" s="124"/>
      <c r="G23" s="180"/>
      <c r="H23" s="124"/>
      <c r="I23" s="124"/>
      <c r="J23" s="124"/>
      <c r="K23" s="124"/>
      <c r="L23" s="124"/>
      <c r="M23" s="124"/>
      <c r="N23" s="124"/>
      <c r="O23" s="124"/>
      <c r="P23" s="124"/>
      <c r="Q23" s="124"/>
      <c r="R23" s="124"/>
      <c r="S23" s="180"/>
      <c r="T23" s="180"/>
      <c r="U23" s="180"/>
      <c r="V23" s="101" t="e">
        <f t="shared" si="2"/>
        <v>#DIV/0!</v>
      </c>
      <c r="W23" s="21">
        <f t="shared" si="7"/>
        <v>0.15</v>
      </c>
      <c r="X23" s="130">
        <f t="shared" si="8"/>
        <v>0</v>
      </c>
      <c r="Y23" s="130">
        <f t="shared" ref="Y23" si="58">X23*(1+$W23)</f>
        <v>0</v>
      </c>
      <c r="Z23" s="130">
        <f t="shared" ref="Z23" si="59">Y23*(1+$W23)</f>
        <v>0</v>
      </c>
      <c r="AA23" s="130">
        <f t="shared" ref="AA23" si="60">Z23*(1+$W23)</f>
        <v>0</v>
      </c>
      <c r="AB23" s="130">
        <f t="shared" ref="AB23" si="61">AA23*(1+$W23)</f>
        <v>0</v>
      </c>
      <c r="AC23" s="130">
        <f t="shared" ref="AC23" si="62">AB23*(1+$W23)</f>
        <v>0</v>
      </c>
      <c r="AD23" s="130">
        <f t="shared" ref="AD23" si="63">AC23*(1+$W23)</f>
        <v>0</v>
      </c>
      <c r="AE23" s="130">
        <f t="shared" ref="AE23" si="64">AD23*(1+$W23)</f>
        <v>0</v>
      </c>
      <c r="AF23" s="130">
        <f t="shared" ref="AF23" si="65">AE23*(1+$W23)</f>
        <v>0</v>
      </c>
      <c r="AG23" s="130">
        <f t="shared" ref="AG23" si="66">AF23*(1+$W23)</f>
        <v>0</v>
      </c>
      <c r="AH23" s="115" t="e">
        <f t="shared" ref="AH23" si="67">((AG23/J23)^(1/($AG$3-$K$1) ))-1</f>
        <v>#DIV/0!</v>
      </c>
      <c r="AI23" s="21">
        <f t="shared" si="18"/>
        <v>0.01</v>
      </c>
      <c r="AJ23" s="123">
        <f t="shared" si="1"/>
        <v>0</v>
      </c>
    </row>
    <row r="24" spans="2:36">
      <c r="B24" s="10"/>
      <c r="C24" s="118"/>
      <c r="D24" s="118"/>
      <c r="E24" s="124"/>
      <c r="F24" s="124"/>
      <c r="G24" s="180"/>
      <c r="H24" s="124"/>
      <c r="I24" s="124"/>
      <c r="J24" s="124"/>
      <c r="K24" s="124"/>
      <c r="L24" s="124"/>
      <c r="M24" s="124"/>
      <c r="N24" s="124"/>
      <c r="O24" s="124"/>
      <c r="P24" s="124"/>
      <c r="Q24" s="124"/>
      <c r="R24" s="124"/>
      <c r="S24" s="180"/>
      <c r="T24" s="180"/>
      <c r="U24" s="180"/>
      <c r="V24" s="10"/>
      <c r="W24" s="10"/>
      <c r="X24" s="130"/>
      <c r="Y24" s="130"/>
      <c r="Z24" s="130"/>
      <c r="AA24" s="130"/>
      <c r="AB24" s="130"/>
      <c r="AC24" s="130"/>
      <c r="AD24" s="130"/>
      <c r="AE24" s="130"/>
      <c r="AF24" s="130"/>
      <c r="AG24" s="130"/>
      <c r="AH24" s="102"/>
      <c r="AI24" s="114"/>
      <c r="AJ24" s="130"/>
    </row>
    <row r="25" spans="2:36">
      <c r="B25" s="10" t="s">
        <v>68</v>
      </c>
      <c r="C25" s="118"/>
      <c r="D25" s="118"/>
      <c r="E25" s="124"/>
      <c r="F25" s="124"/>
      <c r="G25" s="180">
        <v>4052</v>
      </c>
      <c r="H25" s="124"/>
      <c r="I25" s="124"/>
      <c r="J25" s="124"/>
      <c r="K25" s="124"/>
      <c r="L25" s="124"/>
      <c r="M25" s="124"/>
      <c r="N25" s="124"/>
      <c r="O25" s="124"/>
      <c r="P25" s="124"/>
      <c r="Q25" s="124"/>
      <c r="R25" s="124"/>
      <c r="S25" s="180">
        <v>4050</v>
      </c>
      <c r="T25" s="180">
        <v>9597</v>
      </c>
      <c r="U25" s="180">
        <v>10218</v>
      </c>
      <c r="V25" s="101">
        <f t="shared" si="2"/>
        <v>6.8298465078826753E-2</v>
      </c>
      <c r="W25" s="21">
        <f t="shared" si="7"/>
        <v>0.15</v>
      </c>
      <c r="X25" s="130">
        <f t="shared" si="8"/>
        <v>11750.699999999999</v>
      </c>
      <c r="Y25" s="130">
        <f t="shared" si="39"/>
        <v>13513.304999999998</v>
      </c>
      <c r="Z25" s="130">
        <f t="shared" si="40"/>
        <v>15540.300749999997</v>
      </c>
      <c r="AA25" s="130">
        <f t="shared" si="41"/>
        <v>17871.345862499995</v>
      </c>
      <c r="AB25" s="130">
        <f t="shared" si="42"/>
        <v>20552.047741874994</v>
      </c>
      <c r="AC25" s="130">
        <f t="shared" si="43"/>
        <v>23634.85490315624</v>
      </c>
      <c r="AD25" s="130">
        <f t="shared" si="44"/>
        <v>27180.083138629674</v>
      </c>
      <c r="AE25" s="130">
        <f t="shared" si="45"/>
        <v>31257.095609424123</v>
      </c>
      <c r="AF25" s="130">
        <f t="shared" si="46"/>
        <v>35945.65995083774</v>
      </c>
      <c r="AG25" s="130">
        <f t="shared" si="47"/>
        <v>41337.508943463399</v>
      </c>
      <c r="AH25" s="115" t="e">
        <f t="shared" si="20"/>
        <v>#DIV/0!</v>
      </c>
      <c r="AI25" s="21">
        <f t="shared" si="18"/>
        <v>0.01</v>
      </c>
      <c r="AJ25" s="123">
        <f t="shared" si="1"/>
        <v>198813.73348999067</v>
      </c>
    </row>
    <row r="26" spans="2:36" s="106" customFormat="1">
      <c r="B26" s="13"/>
      <c r="C26" s="125"/>
      <c r="D26" s="125"/>
      <c r="E26" s="126"/>
      <c r="F26" s="268"/>
      <c r="G26" s="127" t="e">
        <f t="shared" ref="G26" si="68">(G25-F25)/F25</f>
        <v>#DIV/0!</v>
      </c>
      <c r="H26" s="268" t="e">
        <f>(H25-G25)/H25</f>
        <v>#DIV/0!</v>
      </c>
      <c r="I26" s="268" t="e">
        <f t="shared" ref="I26:R26" si="69">(I25-H25)/I25</f>
        <v>#DIV/0!</v>
      </c>
      <c r="J26" s="268" t="e">
        <f t="shared" si="69"/>
        <v>#DIV/0!</v>
      </c>
      <c r="K26" s="268" t="e">
        <f t="shared" si="69"/>
        <v>#DIV/0!</v>
      </c>
      <c r="L26" s="268" t="e">
        <f t="shared" si="69"/>
        <v>#DIV/0!</v>
      </c>
      <c r="M26" s="268" t="e">
        <f t="shared" si="69"/>
        <v>#DIV/0!</v>
      </c>
      <c r="N26" s="268" t="e">
        <f t="shared" si="69"/>
        <v>#DIV/0!</v>
      </c>
      <c r="O26" s="268" t="e">
        <f t="shared" si="69"/>
        <v>#DIV/0!</v>
      </c>
      <c r="P26" s="268" t="e">
        <f t="shared" si="69"/>
        <v>#DIV/0!</v>
      </c>
      <c r="Q26" s="268" t="e">
        <f t="shared" si="69"/>
        <v>#DIV/0!</v>
      </c>
      <c r="R26" s="268" t="e">
        <f t="shared" si="69"/>
        <v>#DIV/0!</v>
      </c>
      <c r="S26" s="127" t="e">
        <f t="shared" ref="S26:U26" si="70">(S25-R25)/R25</f>
        <v>#DIV/0!</v>
      </c>
      <c r="T26" s="127">
        <f t="shared" si="70"/>
        <v>1.3696296296296295</v>
      </c>
      <c r="U26" s="127">
        <f t="shared" si="70"/>
        <v>6.4707721162863399E-2</v>
      </c>
      <c r="V26" s="10"/>
      <c r="W26" s="10"/>
      <c r="X26" s="130"/>
      <c r="Y26" s="131"/>
      <c r="Z26" s="131"/>
      <c r="AA26" s="131"/>
      <c r="AB26" s="131"/>
      <c r="AC26" s="131"/>
      <c r="AD26" s="131"/>
      <c r="AE26" s="131"/>
      <c r="AF26" s="131"/>
      <c r="AG26" s="131"/>
      <c r="AH26" s="102"/>
      <c r="AI26" s="114"/>
      <c r="AJ26" s="130"/>
    </row>
    <row r="27" spans="2:36">
      <c r="B27" s="10" t="s">
        <v>218</v>
      </c>
      <c r="C27" s="118"/>
      <c r="D27" s="118"/>
      <c r="E27" s="124"/>
      <c r="F27" s="124"/>
      <c r="G27" s="180">
        <v>3585</v>
      </c>
      <c r="H27" s="124"/>
      <c r="I27" s="124"/>
      <c r="J27" s="124"/>
      <c r="K27" s="124"/>
      <c r="L27" s="124"/>
      <c r="M27" s="124"/>
      <c r="N27" s="124"/>
      <c r="O27" s="124"/>
      <c r="P27" s="124"/>
      <c r="Q27" s="124"/>
      <c r="R27" s="124"/>
      <c r="S27" s="180">
        <v>3585</v>
      </c>
      <c r="T27" s="180">
        <v>8526</v>
      </c>
      <c r="U27" s="180">
        <v>9263</v>
      </c>
      <c r="V27" s="101">
        <f t="shared" si="2"/>
        <v>7.0156569083821729E-2</v>
      </c>
      <c r="W27" s="21">
        <f t="shared" si="7"/>
        <v>0.15</v>
      </c>
      <c r="X27" s="130">
        <f t="shared" si="8"/>
        <v>10652.449999999999</v>
      </c>
      <c r="Y27" s="130">
        <f t="shared" si="39"/>
        <v>12250.317499999997</v>
      </c>
      <c r="Z27" s="130">
        <f t="shared" si="40"/>
        <v>14087.865124999997</v>
      </c>
      <c r="AA27" s="130">
        <f t="shared" si="41"/>
        <v>16201.044893749995</v>
      </c>
      <c r="AB27" s="130">
        <f t="shared" si="42"/>
        <v>18631.201627812494</v>
      </c>
      <c r="AC27" s="130">
        <f t="shared" si="43"/>
        <v>21425.881871984366</v>
      </c>
      <c r="AD27" s="130">
        <f t="shared" si="44"/>
        <v>24639.76415278202</v>
      </c>
      <c r="AE27" s="130">
        <f t="shared" si="45"/>
        <v>28335.728775699321</v>
      </c>
      <c r="AF27" s="130">
        <f t="shared" si="46"/>
        <v>32586.088092054215</v>
      </c>
      <c r="AG27" s="130">
        <f t="shared" si="47"/>
        <v>37474.001305862344</v>
      </c>
      <c r="AH27" s="115" t="e">
        <f t="shared" si="20"/>
        <v>#DIV/0!</v>
      </c>
      <c r="AI27" s="21">
        <f t="shared" si="18"/>
        <v>0.01</v>
      </c>
      <c r="AJ27" s="123">
        <f t="shared" si="1"/>
        <v>180232.10151867129</v>
      </c>
    </row>
    <row r="28" spans="2:36" s="106" customFormat="1">
      <c r="B28" s="13"/>
      <c r="C28" s="125"/>
      <c r="D28" s="125"/>
      <c r="E28" s="126"/>
      <c r="F28" s="268"/>
      <c r="G28" s="127" t="e">
        <f t="shared" ref="G28" si="71">(G27-F27)/F27</f>
        <v>#DIV/0!</v>
      </c>
      <c r="H28" s="268" t="e">
        <f t="shared" ref="H28:R28" si="72">(H27-G27)/H27</f>
        <v>#DIV/0!</v>
      </c>
      <c r="I28" s="268" t="e">
        <f t="shared" si="72"/>
        <v>#DIV/0!</v>
      </c>
      <c r="J28" s="268" t="e">
        <f t="shared" si="72"/>
        <v>#DIV/0!</v>
      </c>
      <c r="K28" s="268" t="e">
        <f t="shared" si="72"/>
        <v>#DIV/0!</v>
      </c>
      <c r="L28" s="268" t="e">
        <f t="shared" si="72"/>
        <v>#DIV/0!</v>
      </c>
      <c r="M28" s="268" t="e">
        <f t="shared" si="72"/>
        <v>#DIV/0!</v>
      </c>
      <c r="N28" s="268" t="e">
        <f t="shared" si="72"/>
        <v>#DIV/0!</v>
      </c>
      <c r="O28" s="268" t="e">
        <f t="shared" si="72"/>
        <v>#DIV/0!</v>
      </c>
      <c r="P28" s="268" t="e">
        <f t="shared" si="72"/>
        <v>#DIV/0!</v>
      </c>
      <c r="Q28" s="268" t="e">
        <f t="shared" si="72"/>
        <v>#DIV/0!</v>
      </c>
      <c r="R28" s="268" t="e">
        <f t="shared" si="72"/>
        <v>#DIV/0!</v>
      </c>
      <c r="S28" s="127" t="e">
        <f t="shared" ref="S28:U28" si="73">(S27-R27)/R27</f>
        <v>#DIV/0!</v>
      </c>
      <c r="T28" s="127">
        <f t="shared" si="73"/>
        <v>1.3782426778242678</v>
      </c>
      <c r="U28" s="127">
        <f t="shared" si="73"/>
        <v>8.6441473140980524E-2</v>
      </c>
      <c r="V28" s="10"/>
      <c r="W28" s="10"/>
      <c r="X28" s="130"/>
      <c r="Y28" s="131"/>
      <c r="Z28" s="131"/>
      <c r="AA28" s="131"/>
      <c r="AB28" s="131"/>
      <c r="AC28" s="131"/>
      <c r="AD28" s="131"/>
      <c r="AE28" s="131"/>
      <c r="AF28" s="131"/>
      <c r="AG28" s="131"/>
      <c r="AH28" s="102"/>
      <c r="AI28" s="114"/>
      <c r="AJ28" s="130"/>
    </row>
    <row r="29" spans="2:36" s="106" customFormat="1">
      <c r="B29" s="10" t="s">
        <v>268</v>
      </c>
      <c r="C29" s="125"/>
      <c r="D29" s="125"/>
      <c r="E29" s="126"/>
      <c r="F29" s="124"/>
      <c r="G29" s="180">
        <v>2801</v>
      </c>
      <c r="H29" s="124"/>
      <c r="I29" s="124"/>
      <c r="J29" s="124"/>
      <c r="K29" s="124"/>
      <c r="L29" s="124"/>
      <c r="M29" s="124"/>
      <c r="N29" s="124"/>
      <c r="O29" s="124"/>
      <c r="P29" s="124"/>
      <c r="Q29" s="124"/>
      <c r="R29" s="124"/>
      <c r="S29" s="180">
        <v>2801</v>
      </c>
      <c r="T29" s="180">
        <v>6515</v>
      </c>
      <c r="U29" s="180">
        <v>7125</v>
      </c>
      <c r="V29" s="101">
        <f t="shared" si="2"/>
        <v>6.8962003931279048E-2</v>
      </c>
      <c r="W29" s="21">
        <f t="shared" si="7"/>
        <v>0.15</v>
      </c>
      <c r="X29" s="130">
        <f t="shared" si="8"/>
        <v>8193.75</v>
      </c>
      <c r="Y29" s="130">
        <f t="shared" ref="Y29" si="74">X29*(1+$W29)</f>
        <v>9422.8125</v>
      </c>
      <c r="Z29" s="130">
        <f t="shared" ref="Z29" si="75">Y29*(1+$W29)</f>
        <v>10836.234375</v>
      </c>
      <c r="AA29" s="130">
        <f t="shared" ref="AA29" si="76">Z29*(1+$W29)</f>
        <v>12461.66953125</v>
      </c>
      <c r="AB29" s="130">
        <f t="shared" ref="AB29" si="77">AA29*(1+$W29)</f>
        <v>14330.919960937499</v>
      </c>
      <c r="AC29" s="130">
        <f t="shared" ref="AC29" si="78">AB29*(1+$W29)</f>
        <v>16480.557955078122</v>
      </c>
      <c r="AD29" s="130">
        <f t="shared" ref="AD29" si="79">AC29*(1+$W29)</f>
        <v>18952.641648339839</v>
      </c>
      <c r="AE29" s="130">
        <f t="shared" ref="AE29" si="80">AD29*(1+$W29)</f>
        <v>21795.537895590813</v>
      </c>
      <c r="AF29" s="130">
        <f t="shared" ref="AF29" si="81">AE29*(1+$W29)</f>
        <v>25064.868579929433</v>
      </c>
      <c r="AG29" s="130">
        <f t="shared" ref="AG29" si="82">AF29*(1+$W29)</f>
        <v>28824.598866918845</v>
      </c>
      <c r="AH29" s="115" t="e">
        <f t="shared" ref="AH29" si="83">((AG29/J29)^(1/($AG$3-$K$1) ))-1</f>
        <v>#DIV/0!</v>
      </c>
      <c r="AI29" s="21">
        <f t="shared" si="18"/>
        <v>0.01</v>
      </c>
      <c r="AJ29" s="123">
        <f t="shared" ref="AJ29" si="84">(AG29*(1+AI29))/($C$1-AI29)</f>
        <v>138632.59455041922</v>
      </c>
    </row>
    <row r="30" spans="2:36" s="106" customFormat="1">
      <c r="B30" s="13"/>
      <c r="C30" s="125"/>
      <c r="D30" s="125"/>
      <c r="E30" s="126"/>
      <c r="F30" s="268"/>
      <c r="G30" s="127" t="e">
        <f t="shared" ref="G30" si="85">(G29-F29)/F29</f>
        <v>#DIV/0!</v>
      </c>
      <c r="H30" s="268" t="e">
        <f t="shared" ref="H30:R30" si="86">(H29-G29)/H29</f>
        <v>#DIV/0!</v>
      </c>
      <c r="I30" s="268" t="e">
        <f t="shared" si="86"/>
        <v>#DIV/0!</v>
      </c>
      <c r="J30" s="268" t="e">
        <f t="shared" si="86"/>
        <v>#DIV/0!</v>
      </c>
      <c r="K30" s="268" t="e">
        <f t="shared" si="86"/>
        <v>#DIV/0!</v>
      </c>
      <c r="L30" s="268" t="e">
        <f t="shared" si="86"/>
        <v>#DIV/0!</v>
      </c>
      <c r="M30" s="268" t="e">
        <f t="shared" si="86"/>
        <v>#DIV/0!</v>
      </c>
      <c r="N30" s="268" t="e">
        <f t="shared" si="86"/>
        <v>#DIV/0!</v>
      </c>
      <c r="O30" s="268" t="e">
        <f t="shared" si="86"/>
        <v>#DIV/0!</v>
      </c>
      <c r="P30" s="268" t="e">
        <f t="shared" si="86"/>
        <v>#DIV/0!</v>
      </c>
      <c r="Q30" s="268" t="e">
        <f t="shared" si="86"/>
        <v>#DIV/0!</v>
      </c>
      <c r="R30" s="268" t="e">
        <f t="shared" si="86"/>
        <v>#DIV/0!</v>
      </c>
      <c r="S30" s="127" t="e">
        <f t="shared" ref="S30:U30" si="87">(S29-R29)/R29</f>
        <v>#DIV/0!</v>
      </c>
      <c r="T30" s="127">
        <f t="shared" si="87"/>
        <v>1.3259550160656908</v>
      </c>
      <c r="U30" s="127">
        <f t="shared" si="87"/>
        <v>9.3630084420567916E-2</v>
      </c>
      <c r="V30" s="10"/>
      <c r="W30" s="10"/>
      <c r="X30" s="130"/>
      <c r="Y30" s="131"/>
      <c r="Z30" s="131"/>
      <c r="AA30" s="131"/>
      <c r="AB30" s="131"/>
      <c r="AC30" s="131"/>
      <c r="AD30" s="131"/>
      <c r="AE30" s="131"/>
      <c r="AF30" s="131"/>
      <c r="AG30" s="131"/>
      <c r="AH30" s="137"/>
      <c r="AI30" s="114"/>
      <c r="AJ30" s="130"/>
    </row>
    <row r="31" spans="2:36">
      <c r="B31" s="10" t="s">
        <v>276</v>
      </c>
      <c r="C31" s="118"/>
      <c r="D31" s="118"/>
      <c r="E31" s="124"/>
      <c r="F31" s="124"/>
      <c r="G31" s="180">
        <v>0</v>
      </c>
      <c r="H31" s="124"/>
      <c r="I31" s="124"/>
      <c r="J31" s="124"/>
      <c r="K31" s="124"/>
      <c r="L31" s="124"/>
      <c r="M31" s="124"/>
      <c r="N31" s="124"/>
      <c r="O31" s="124"/>
      <c r="P31" s="124"/>
      <c r="Q31" s="124"/>
      <c r="R31" s="124"/>
      <c r="S31" s="180">
        <v>0</v>
      </c>
      <c r="T31" s="180">
        <v>0</v>
      </c>
      <c r="U31" s="180">
        <v>0</v>
      </c>
      <c r="V31" s="101" t="e">
        <f t="shared" si="2"/>
        <v>#DIV/0!</v>
      </c>
      <c r="W31" s="21">
        <f t="shared" si="7"/>
        <v>0.15</v>
      </c>
      <c r="X31" s="130">
        <f t="shared" si="8"/>
        <v>0</v>
      </c>
      <c r="Y31" s="130">
        <f>X31*(1+$W31)</f>
        <v>0</v>
      </c>
      <c r="Z31" s="130">
        <f t="shared" ref="Z31:AG32" si="88">Y31*(1+$W31)</f>
        <v>0</v>
      </c>
      <c r="AA31" s="130">
        <f t="shared" si="88"/>
        <v>0</v>
      </c>
      <c r="AB31" s="130">
        <f t="shared" si="88"/>
        <v>0</v>
      </c>
      <c r="AC31" s="130">
        <f t="shared" si="88"/>
        <v>0</v>
      </c>
      <c r="AD31" s="130">
        <f t="shared" si="88"/>
        <v>0</v>
      </c>
      <c r="AE31" s="130">
        <f t="shared" si="88"/>
        <v>0</v>
      </c>
      <c r="AF31" s="130">
        <f t="shared" si="88"/>
        <v>0</v>
      </c>
      <c r="AG31" s="130">
        <f t="shared" si="88"/>
        <v>0</v>
      </c>
      <c r="AH31" s="115" t="e">
        <f t="shared" ref="AH31" si="89">((AG31/J31)^(1/($AG$3-$K$1) ))-1</f>
        <v>#DIV/0!</v>
      </c>
      <c r="AI31" s="21">
        <f t="shared" si="18"/>
        <v>0.01</v>
      </c>
      <c r="AJ31" s="123">
        <f t="shared" si="1"/>
        <v>0</v>
      </c>
    </row>
    <row r="32" spans="2:36">
      <c r="B32" s="10" t="s">
        <v>275</v>
      </c>
      <c r="C32" s="118"/>
      <c r="D32" s="118"/>
      <c r="E32" s="124"/>
      <c r="F32" s="124"/>
      <c r="G32" s="180"/>
      <c r="H32" s="124"/>
      <c r="I32" s="124"/>
      <c r="J32" s="124"/>
      <c r="K32" s="124"/>
      <c r="L32" s="124"/>
      <c r="M32" s="124"/>
      <c r="N32" s="124"/>
      <c r="O32" s="124"/>
      <c r="P32" s="124"/>
      <c r="Q32" s="124"/>
      <c r="R32" s="124"/>
      <c r="S32" s="180"/>
      <c r="T32" s="180"/>
      <c r="U32" s="180"/>
      <c r="V32" s="101" t="e">
        <f t="shared" si="2"/>
        <v>#DIV/0!</v>
      </c>
      <c r="W32" s="21">
        <f t="shared" si="7"/>
        <v>0.15</v>
      </c>
      <c r="X32" s="130">
        <f t="shared" si="8"/>
        <v>0</v>
      </c>
      <c r="Y32" s="130">
        <f>X32*(1+$W32)</f>
        <v>0</v>
      </c>
      <c r="Z32" s="130">
        <f t="shared" si="88"/>
        <v>0</v>
      </c>
      <c r="AA32" s="130">
        <f t="shared" si="88"/>
        <v>0</v>
      </c>
      <c r="AB32" s="130">
        <f t="shared" si="88"/>
        <v>0</v>
      </c>
      <c r="AC32" s="130">
        <f t="shared" si="88"/>
        <v>0</v>
      </c>
      <c r="AD32" s="130">
        <f t="shared" si="88"/>
        <v>0</v>
      </c>
      <c r="AE32" s="130">
        <f t="shared" si="88"/>
        <v>0</v>
      </c>
      <c r="AF32" s="130">
        <f t="shared" si="88"/>
        <v>0</v>
      </c>
      <c r="AG32" s="130">
        <f t="shared" si="88"/>
        <v>0</v>
      </c>
      <c r="AH32" s="115" t="e">
        <f t="shared" ref="AH32" si="90">((AG32/J32)^(1/($AG$3-$K$1) ))-1</f>
        <v>#DIV/0!</v>
      </c>
      <c r="AI32" s="21">
        <f t="shared" si="18"/>
        <v>0.01</v>
      </c>
      <c r="AJ32" s="123">
        <f t="shared" si="1"/>
        <v>0</v>
      </c>
    </row>
    <row r="33" spans="1:36">
      <c r="B33" s="10" t="s">
        <v>508</v>
      </c>
      <c r="C33" s="118"/>
      <c r="D33" s="118"/>
      <c r="E33" s="124"/>
      <c r="F33" s="124"/>
      <c r="G33" s="180">
        <v>486</v>
      </c>
      <c r="H33" s="124"/>
      <c r="I33" s="124"/>
      <c r="J33" s="124"/>
      <c r="K33" s="124"/>
      <c r="L33" s="124"/>
      <c r="M33" s="124"/>
      <c r="N33" s="124"/>
      <c r="O33" s="124"/>
      <c r="P33" s="124"/>
      <c r="Q33" s="124"/>
      <c r="R33" s="124"/>
      <c r="S33" s="180">
        <v>486</v>
      </c>
      <c r="T33" s="180">
        <v>614</v>
      </c>
      <c r="U33" s="180">
        <v>786</v>
      </c>
      <c r="V33" s="101">
        <f t="shared" si="2"/>
        <v>3.4935550670500248E-2</v>
      </c>
      <c r="W33" s="21">
        <f t="shared" si="7"/>
        <v>0.15</v>
      </c>
      <c r="X33" s="130">
        <f t="shared" si="8"/>
        <v>903.9</v>
      </c>
      <c r="Y33" s="130">
        <f t="shared" si="39"/>
        <v>1039.4849999999999</v>
      </c>
      <c r="Z33" s="130">
        <f t="shared" si="40"/>
        <v>1195.4077499999999</v>
      </c>
      <c r="AA33" s="130">
        <f t="shared" si="41"/>
        <v>1374.7189124999998</v>
      </c>
      <c r="AB33" s="130">
        <f t="shared" si="42"/>
        <v>1580.9267493749996</v>
      </c>
      <c r="AC33" s="130">
        <f t="shared" si="43"/>
        <v>1818.0657617812494</v>
      </c>
      <c r="AD33" s="130">
        <f t="shared" si="44"/>
        <v>2090.7756260484366</v>
      </c>
      <c r="AE33" s="130">
        <f t="shared" si="45"/>
        <v>2404.3919699557018</v>
      </c>
      <c r="AF33" s="130">
        <f t="shared" si="46"/>
        <v>2765.0507654490571</v>
      </c>
      <c r="AG33" s="130">
        <f t="shared" si="47"/>
        <v>3179.8083802664155</v>
      </c>
      <c r="AH33" s="115" t="e">
        <f t="shared" si="20"/>
        <v>#DIV/0!</v>
      </c>
      <c r="AI33" s="21">
        <f t="shared" si="18"/>
        <v>0.01</v>
      </c>
      <c r="AJ33" s="123">
        <f t="shared" si="1"/>
        <v>15293.364114614666</v>
      </c>
    </row>
    <row r="34" spans="1:36">
      <c r="B34" s="10" t="s">
        <v>509</v>
      </c>
      <c r="C34" s="118"/>
      <c r="D34" s="118"/>
      <c r="E34" s="124"/>
      <c r="F34" s="124"/>
      <c r="G34" s="124">
        <v>256</v>
      </c>
      <c r="H34" s="124"/>
      <c r="I34" s="124"/>
      <c r="J34" s="124"/>
      <c r="K34" s="124"/>
      <c r="L34" s="124"/>
      <c r="M34" s="124"/>
      <c r="N34" s="124"/>
      <c r="O34" s="124"/>
      <c r="P34" s="124"/>
      <c r="Q34" s="124"/>
      <c r="R34" s="124"/>
      <c r="S34" s="124">
        <v>256</v>
      </c>
      <c r="T34" s="124">
        <v>1268</v>
      </c>
      <c r="U34" s="180">
        <v>1182</v>
      </c>
      <c r="V34" s="101">
        <f t="shared" si="2"/>
        <v>0.11546394324203746</v>
      </c>
      <c r="W34" s="21">
        <f t="shared" si="7"/>
        <v>0.15</v>
      </c>
      <c r="X34" s="130">
        <f t="shared" si="8"/>
        <v>1359.3</v>
      </c>
      <c r="Y34" s="130">
        <f t="shared" si="39"/>
        <v>1563.1949999999999</v>
      </c>
      <c r="Z34" s="130">
        <f t="shared" si="40"/>
        <v>1797.6742499999998</v>
      </c>
      <c r="AA34" s="130">
        <f t="shared" si="41"/>
        <v>2067.3253874999996</v>
      </c>
      <c r="AB34" s="130">
        <f t="shared" si="42"/>
        <v>2377.4241956249994</v>
      </c>
      <c r="AC34" s="130">
        <f t="shared" si="43"/>
        <v>2734.0378249687492</v>
      </c>
      <c r="AD34" s="130">
        <f t="shared" si="44"/>
        <v>3144.1434987140615</v>
      </c>
      <c r="AE34" s="130">
        <f t="shared" si="45"/>
        <v>3615.7650235211704</v>
      </c>
      <c r="AF34" s="130">
        <f t="shared" si="46"/>
        <v>4158.1297770493456</v>
      </c>
      <c r="AG34" s="130">
        <f t="shared" si="47"/>
        <v>4781.8492436067472</v>
      </c>
      <c r="AH34" s="115" t="e">
        <f t="shared" si="20"/>
        <v>#DIV/0!</v>
      </c>
      <c r="AI34" s="21">
        <f t="shared" si="18"/>
        <v>0.01</v>
      </c>
      <c r="AJ34" s="123">
        <f t="shared" si="1"/>
        <v>22998.417790680072</v>
      </c>
    </row>
    <row r="35" spans="1:36">
      <c r="B35" s="10"/>
      <c r="C35" s="118"/>
      <c r="D35" s="118"/>
      <c r="E35" s="124"/>
      <c r="F35" s="124"/>
      <c r="G35" s="124"/>
      <c r="H35" s="124"/>
      <c r="I35" s="124"/>
      <c r="J35" s="124"/>
      <c r="K35" s="124"/>
      <c r="L35" s="124"/>
      <c r="M35" s="124"/>
      <c r="N35" s="124"/>
      <c r="O35" s="124"/>
      <c r="P35" s="124"/>
      <c r="Q35" s="124"/>
      <c r="R35" s="124"/>
      <c r="S35" s="124"/>
      <c r="T35" s="124"/>
      <c r="U35" s="124"/>
      <c r="V35" s="10"/>
      <c r="W35" s="124"/>
      <c r="X35" s="130"/>
      <c r="Y35" s="130"/>
      <c r="Z35" s="130"/>
      <c r="AA35" s="130"/>
      <c r="AB35" s="130"/>
      <c r="AC35" s="130"/>
      <c r="AD35" s="130"/>
      <c r="AE35" s="130"/>
      <c r="AF35" s="130"/>
      <c r="AG35" s="130"/>
      <c r="AH35" s="116"/>
      <c r="AI35" s="114"/>
      <c r="AJ35" s="130"/>
    </row>
    <row r="36" spans="1:36">
      <c r="A36" s="305" t="s">
        <v>418</v>
      </c>
      <c r="B36" s="177" t="s">
        <v>412</v>
      </c>
      <c r="C36" s="118"/>
      <c r="D36" s="118"/>
      <c r="E36" s="124"/>
      <c r="F36" s="180"/>
      <c r="G36" s="180">
        <v>8219</v>
      </c>
      <c r="H36" s="180">
        <f t="shared" ref="H36:I36" si="91">I36</f>
        <v>0</v>
      </c>
      <c r="I36" s="180">
        <f t="shared" si="91"/>
        <v>0</v>
      </c>
      <c r="J36" s="180">
        <f>K36</f>
        <v>0</v>
      </c>
      <c r="K36" s="180">
        <v>0</v>
      </c>
      <c r="L36" s="180">
        <v>0</v>
      </c>
      <c r="M36" s="180">
        <v>0</v>
      </c>
      <c r="N36" s="180">
        <v>0</v>
      </c>
      <c r="O36" s="180">
        <v>0</v>
      </c>
      <c r="P36" s="180">
        <v>0</v>
      </c>
      <c r="Q36" s="180">
        <v>0</v>
      </c>
      <c r="R36" s="180">
        <v>0</v>
      </c>
      <c r="S36" s="180">
        <v>8219</v>
      </c>
      <c r="T36" s="180">
        <v>40208</v>
      </c>
      <c r="U36" s="180">
        <v>48039</v>
      </c>
      <c r="V36" s="101">
        <f t="shared" si="2"/>
        <v>0.13440894224320621</v>
      </c>
      <c r="W36" s="21">
        <f t="shared" si="7"/>
        <v>0.15</v>
      </c>
      <c r="X36" s="130">
        <f t="shared" si="8"/>
        <v>55244.85</v>
      </c>
      <c r="Y36" s="130">
        <f t="shared" ref="Y36:Y51" si="92">X36*(1+$W36)</f>
        <v>63531.577499999992</v>
      </c>
      <c r="Z36" s="130">
        <f t="shared" ref="Z36:Z51" si="93">Y36*(1+$W36)</f>
        <v>73061.31412499999</v>
      </c>
      <c r="AA36" s="130">
        <f t="shared" ref="AA36:AA51" si="94">Z36*(1+$W36)</f>
        <v>84020.511243749977</v>
      </c>
      <c r="AB36" s="130">
        <f t="shared" ref="AB36:AB51" si="95">AA36*(1+$W36)</f>
        <v>96623.587930312468</v>
      </c>
      <c r="AC36" s="130">
        <f t="shared" ref="AC36:AC51" si="96">AB36*(1+$W36)</f>
        <v>111117.12611985933</v>
      </c>
      <c r="AD36" s="130">
        <f t="shared" ref="AD36:AD51" si="97">AC36*(1+$W36)</f>
        <v>127784.69503783822</v>
      </c>
      <c r="AE36" s="130">
        <f t="shared" ref="AE36:AE51" si="98">AD36*(1+$W36)</f>
        <v>146952.39929351394</v>
      </c>
      <c r="AF36" s="130">
        <f t="shared" ref="AF36:AF51" si="99">AE36*(1+$W36)</f>
        <v>168995.25918754103</v>
      </c>
      <c r="AG36" s="130">
        <f t="shared" ref="AG36:AG51" si="100">AF36*(1+$W36)</f>
        <v>194344.54806567216</v>
      </c>
      <c r="AH36" s="115" t="e">
        <f t="shared" ref="AH36:AH51" si="101">((AG36/J36)^(1/($AG$3-$K$1) ))-1</f>
        <v>#DIV/0!</v>
      </c>
      <c r="AI36" s="21">
        <f t="shared" si="18"/>
        <v>0.01</v>
      </c>
      <c r="AJ36" s="123">
        <f t="shared" ref="AJ36:AJ51" si="102">(AG36*(1+AI36))/($C$1-AI36)</f>
        <v>934704.73117299471</v>
      </c>
    </row>
    <row r="37" spans="1:36">
      <c r="A37" s="305"/>
      <c r="B37" s="177"/>
      <c r="C37" s="118"/>
      <c r="D37" s="118"/>
      <c r="E37" s="124"/>
      <c r="F37" s="127"/>
      <c r="G37" s="127" t="e">
        <f t="shared" ref="G37" si="103">(G36-F36)/F36</f>
        <v>#DIV/0!</v>
      </c>
      <c r="H37" s="127" t="e">
        <f t="shared" ref="H37" si="104">(H36-F36)/F36</f>
        <v>#DIV/0!</v>
      </c>
      <c r="I37" s="127" t="e">
        <f t="shared" ref="I37:U37" si="105">(I36-H36)/H36</f>
        <v>#DIV/0!</v>
      </c>
      <c r="J37" s="127" t="e">
        <f t="shared" si="105"/>
        <v>#DIV/0!</v>
      </c>
      <c r="K37" s="127" t="e">
        <f t="shared" si="105"/>
        <v>#DIV/0!</v>
      </c>
      <c r="L37" s="127" t="e">
        <f t="shared" si="105"/>
        <v>#DIV/0!</v>
      </c>
      <c r="M37" s="127" t="e">
        <f t="shared" si="105"/>
        <v>#DIV/0!</v>
      </c>
      <c r="N37" s="127" t="e">
        <f t="shared" si="105"/>
        <v>#DIV/0!</v>
      </c>
      <c r="O37" s="127" t="e">
        <f t="shared" si="105"/>
        <v>#DIV/0!</v>
      </c>
      <c r="P37" s="127" t="e">
        <f t="shared" si="105"/>
        <v>#DIV/0!</v>
      </c>
      <c r="Q37" s="127" t="e">
        <f t="shared" si="105"/>
        <v>#DIV/0!</v>
      </c>
      <c r="R37" s="127" t="e">
        <f t="shared" si="105"/>
        <v>#DIV/0!</v>
      </c>
      <c r="S37" s="127" t="e">
        <f t="shared" si="105"/>
        <v>#DIV/0!</v>
      </c>
      <c r="T37" s="127">
        <f t="shared" si="105"/>
        <v>3.8920793283854485</v>
      </c>
      <c r="U37" s="127">
        <f t="shared" si="105"/>
        <v>0.19476223637087148</v>
      </c>
      <c r="V37" s="10"/>
      <c r="W37" s="10"/>
      <c r="X37" s="130"/>
      <c r="Y37" s="130"/>
      <c r="Z37" s="130"/>
      <c r="AA37" s="130"/>
      <c r="AB37" s="130"/>
      <c r="AC37" s="130"/>
      <c r="AD37" s="130"/>
      <c r="AE37" s="130"/>
      <c r="AF37" s="130"/>
      <c r="AG37" s="130"/>
      <c r="AH37" s="130"/>
      <c r="AI37" s="130"/>
      <c r="AJ37" s="123"/>
    </row>
    <row r="38" spans="1:36">
      <c r="A38" s="305"/>
      <c r="B38" s="177" t="s">
        <v>413</v>
      </c>
      <c r="C38" s="118"/>
      <c r="D38" s="118"/>
      <c r="E38" s="124"/>
      <c r="F38" s="180"/>
      <c r="G38" s="180">
        <v>47913</v>
      </c>
      <c r="H38" s="180">
        <f t="shared" ref="H38:I38" si="106">I38</f>
        <v>0</v>
      </c>
      <c r="I38" s="180">
        <f t="shared" si="106"/>
        <v>0</v>
      </c>
      <c r="J38" s="180">
        <f>K38</f>
        <v>0</v>
      </c>
      <c r="K38" s="180">
        <v>0</v>
      </c>
      <c r="L38" s="180">
        <v>0</v>
      </c>
      <c r="M38" s="180">
        <v>0</v>
      </c>
      <c r="N38" s="180">
        <v>0</v>
      </c>
      <c r="O38" s="180">
        <v>0</v>
      </c>
      <c r="P38" s="180">
        <v>0</v>
      </c>
      <c r="Q38" s="180">
        <v>0</v>
      </c>
      <c r="R38" s="180">
        <v>0</v>
      </c>
      <c r="S38" s="180">
        <v>47913</v>
      </c>
      <c r="T38" s="180">
        <v>50262</v>
      </c>
      <c r="U38" s="180">
        <v>57287</v>
      </c>
      <c r="V38" s="101">
        <f t="shared" si="2"/>
        <v>1.2845145975747041E-2</v>
      </c>
      <c r="W38" s="21">
        <f t="shared" si="7"/>
        <v>0.15</v>
      </c>
      <c r="X38" s="130">
        <f t="shared" si="8"/>
        <v>65880.049999999988</v>
      </c>
      <c r="Y38" s="130">
        <f t="shared" si="92"/>
        <v>75762.057499999981</v>
      </c>
      <c r="Z38" s="130">
        <f t="shared" si="93"/>
        <v>87126.366124999971</v>
      </c>
      <c r="AA38" s="130">
        <f t="shared" si="94"/>
        <v>100195.32104374997</v>
      </c>
      <c r="AB38" s="130">
        <f t="shared" si="95"/>
        <v>115224.61920031245</v>
      </c>
      <c r="AC38" s="130">
        <f t="shared" si="96"/>
        <v>132508.31208035929</v>
      </c>
      <c r="AD38" s="130">
        <f t="shared" si="97"/>
        <v>152384.55889241316</v>
      </c>
      <c r="AE38" s="130">
        <f t="shared" si="98"/>
        <v>175242.24272627512</v>
      </c>
      <c r="AF38" s="130">
        <f t="shared" si="99"/>
        <v>201528.57913521637</v>
      </c>
      <c r="AG38" s="130">
        <f t="shared" si="100"/>
        <v>231757.8660054988</v>
      </c>
      <c r="AH38" s="115" t="e">
        <f t="shared" si="101"/>
        <v>#DIV/0!</v>
      </c>
      <c r="AI38" s="21">
        <f t="shared" si="18"/>
        <v>0.01</v>
      </c>
      <c r="AJ38" s="123">
        <f t="shared" si="102"/>
        <v>1114644.9745978753</v>
      </c>
    </row>
    <row r="39" spans="1:36">
      <c r="A39" s="305"/>
      <c r="B39" s="177"/>
      <c r="C39" s="118"/>
      <c r="D39" s="118"/>
      <c r="E39" s="124"/>
      <c r="F39" s="127"/>
      <c r="G39" s="127" t="e">
        <f t="shared" ref="G39" si="107">(G38-F38)/F38</f>
        <v>#DIV/0!</v>
      </c>
      <c r="H39" s="127" t="e">
        <f t="shared" ref="H39" si="108">(H38-F38)/F38</f>
        <v>#DIV/0!</v>
      </c>
      <c r="I39" s="127" t="e">
        <f t="shared" ref="I39:U39" si="109">(I38-H38)/H38</f>
        <v>#DIV/0!</v>
      </c>
      <c r="J39" s="127" t="e">
        <f t="shared" si="109"/>
        <v>#DIV/0!</v>
      </c>
      <c r="K39" s="127" t="e">
        <f t="shared" si="109"/>
        <v>#DIV/0!</v>
      </c>
      <c r="L39" s="127" t="e">
        <f t="shared" si="109"/>
        <v>#DIV/0!</v>
      </c>
      <c r="M39" s="127" t="e">
        <f t="shared" si="109"/>
        <v>#DIV/0!</v>
      </c>
      <c r="N39" s="127" t="e">
        <f t="shared" si="109"/>
        <v>#DIV/0!</v>
      </c>
      <c r="O39" s="127" t="e">
        <f t="shared" si="109"/>
        <v>#DIV/0!</v>
      </c>
      <c r="P39" s="127" t="e">
        <f t="shared" si="109"/>
        <v>#DIV/0!</v>
      </c>
      <c r="Q39" s="127" t="e">
        <f t="shared" si="109"/>
        <v>#DIV/0!</v>
      </c>
      <c r="R39" s="127" t="e">
        <f t="shared" si="109"/>
        <v>#DIV/0!</v>
      </c>
      <c r="S39" s="127" t="e">
        <f t="shared" si="109"/>
        <v>#DIV/0!</v>
      </c>
      <c r="T39" s="127">
        <f t="shared" si="109"/>
        <v>4.9026360278003882E-2</v>
      </c>
      <c r="U39" s="127">
        <f t="shared" si="109"/>
        <v>0.13976761768333931</v>
      </c>
      <c r="V39" s="10"/>
      <c r="W39" s="10"/>
      <c r="X39" s="130"/>
      <c r="Y39" s="130"/>
      <c r="Z39" s="130"/>
      <c r="AA39" s="130"/>
      <c r="AB39" s="130"/>
      <c r="AC39" s="130"/>
      <c r="AD39" s="130"/>
      <c r="AE39" s="130"/>
      <c r="AF39" s="130"/>
      <c r="AG39" s="130"/>
      <c r="AH39" s="130"/>
      <c r="AI39" s="130"/>
      <c r="AJ39" s="123"/>
    </row>
    <row r="40" spans="1:36">
      <c r="A40" s="305"/>
      <c r="B40" s="177" t="s">
        <v>417</v>
      </c>
      <c r="C40" s="118"/>
      <c r="D40" s="118"/>
      <c r="E40" s="124"/>
      <c r="F40" s="180"/>
      <c r="G40" s="180">
        <v>4204</v>
      </c>
      <c r="H40" s="180">
        <f t="shared" ref="H40:I43" si="110">I40</f>
        <v>0</v>
      </c>
      <c r="I40" s="180">
        <f t="shared" si="110"/>
        <v>0</v>
      </c>
      <c r="J40" s="180">
        <f>K40</f>
        <v>0</v>
      </c>
      <c r="K40" s="180">
        <v>0</v>
      </c>
      <c r="L40" s="180">
        <v>0</v>
      </c>
      <c r="M40" s="180">
        <v>0</v>
      </c>
      <c r="N40" s="180">
        <v>0</v>
      </c>
      <c r="O40" s="180">
        <v>0</v>
      </c>
      <c r="P40" s="180">
        <v>0</v>
      </c>
      <c r="Q40" s="180">
        <v>0</v>
      </c>
      <c r="R40" s="180">
        <v>0</v>
      </c>
      <c r="S40" s="180">
        <v>4204</v>
      </c>
      <c r="T40" s="180">
        <v>7011</v>
      </c>
      <c r="U40" s="180">
        <v>5781</v>
      </c>
      <c r="V40" s="101">
        <f t="shared" si="2"/>
        <v>2.301369422634103E-2</v>
      </c>
      <c r="W40" s="21">
        <f t="shared" si="7"/>
        <v>0.15</v>
      </c>
      <c r="X40" s="130">
        <f t="shared" si="8"/>
        <v>6648.15</v>
      </c>
      <c r="Y40" s="130">
        <f t="shared" si="92"/>
        <v>7645.3724999999986</v>
      </c>
      <c r="Z40" s="130">
        <f t="shared" si="93"/>
        <v>8792.1783749999977</v>
      </c>
      <c r="AA40" s="130">
        <f t="shared" si="94"/>
        <v>10111.005131249996</v>
      </c>
      <c r="AB40" s="130">
        <f t="shared" si="95"/>
        <v>11627.655900937494</v>
      </c>
      <c r="AC40" s="130">
        <f t="shared" si="96"/>
        <v>13371.804286078117</v>
      </c>
      <c r="AD40" s="130">
        <f t="shared" si="97"/>
        <v>15377.574928989834</v>
      </c>
      <c r="AE40" s="130">
        <f t="shared" si="98"/>
        <v>17684.211168338308</v>
      </c>
      <c r="AF40" s="130">
        <f t="shared" si="99"/>
        <v>20336.842843589053</v>
      </c>
      <c r="AG40" s="130">
        <f t="shared" si="100"/>
        <v>23387.369270127409</v>
      </c>
      <c r="AH40" s="115" t="e">
        <f t="shared" si="101"/>
        <v>#DIV/0!</v>
      </c>
      <c r="AI40" s="21">
        <f t="shared" si="18"/>
        <v>0.01</v>
      </c>
      <c r="AJ40" s="123">
        <f t="shared" si="102"/>
        <v>112482.10934680326</v>
      </c>
    </row>
    <row r="41" spans="1:36">
      <c r="A41" s="305"/>
      <c r="B41" s="177" t="s">
        <v>414</v>
      </c>
      <c r="C41" s="118"/>
      <c r="D41" s="118"/>
      <c r="E41" s="124"/>
      <c r="F41" s="180"/>
      <c r="G41" s="180">
        <v>1900</v>
      </c>
      <c r="H41" s="180">
        <f t="shared" si="110"/>
        <v>0</v>
      </c>
      <c r="I41" s="180">
        <f t="shared" si="110"/>
        <v>0</v>
      </c>
      <c r="J41" s="180">
        <f>K41</f>
        <v>0</v>
      </c>
      <c r="K41" s="180">
        <v>0</v>
      </c>
      <c r="L41" s="180">
        <v>0</v>
      </c>
      <c r="M41" s="180">
        <v>0</v>
      </c>
      <c r="N41" s="180">
        <v>0</v>
      </c>
      <c r="O41" s="180">
        <v>0</v>
      </c>
      <c r="P41" s="180">
        <v>0</v>
      </c>
      <c r="Q41" s="180">
        <v>0</v>
      </c>
      <c r="R41" s="180">
        <v>0</v>
      </c>
      <c r="S41" s="180">
        <v>1900</v>
      </c>
      <c r="T41" s="180">
        <v>3036</v>
      </c>
      <c r="U41" s="180">
        <v>3021</v>
      </c>
      <c r="V41" s="101">
        <f t="shared" si="2"/>
        <v>3.3678560984546912E-2</v>
      </c>
      <c r="W41" s="21">
        <f t="shared" si="7"/>
        <v>0.15</v>
      </c>
      <c r="X41" s="130">
        <f t="shared" si="8"/>
        <v>3474.1499999999996</v>
      </c>
      <c r="Y41" s="130">
        <f t="shared" si="92"/>
        <v>3995.2724999999991</v>
      </c>
      <c r="Z41" s="130">
        <f t="shared" si="93"/>
        <v>4594.5633749999988</v>
      </c>
      <c r="AA41" s="130">
        <f t="shared" si="94"/>
        <v>5283.7478812499985</v>
      </c>
      <c r="AB41" s="130">
        <f t="shared" si="95"/>
        <v>6076.3100634374978</v>
      </c>
      <c r="AC41" s="130">
        <f t="shared" si="96"/>
        <v>6987.7565729531216</v>
      </c>
      <c r="AD41" s="130">
        <f t="shared" si="97"/>
        <v>8035.9200588960894</v>
      </c>
      <c r="AE41" s="130">
        <f t="shared" si="98"/>
        <v>9241.3080677305024</v>
      </c>
      <c r="AF41" s="130">
        <f t="shared" si="99"/>
        <v>10627.504277890077</v>
      </c>
      <c r="AG41" s="130">
        <f t="shared" si="100"/>
        <v>12221.629919573588</v>
      </c>
      <c r="AH41" s="115" t="e">
        <f t="shared" si="101"/>
        <v>#DIV/0!</v>
      </c>
      <c r="AI41" s="21">
        <f t="shared" si="18"/>
        <v>0.01</v>
      </c>
      <c r="AJ41" s="123">
        <f t="shared" si="102"/>
        <v>58780.220089377734</v>
      </c>
    </row>
    <row r="42" spans="1:36">
      <c r="A42" s="305"/>
      <c r="B42" s="177" t="s">
        <v>416</v>
      </c>
      <c r="C42" s="118"/>
      <c r="D42" s="118"/>
      <c r="E42" s="124"/>
      <c r="F42" s="180"/>
      <c r="G42" s="180">
        <v>1003</v>
      </c>
      <c r="H42" s="180">
        <f t="shared" si="110"/>
        <v>0</v>
      </c>
      <c r="I42" s="180">
        <f t="shared" si="110"/>
        <v>0</v>
      </c>
      <c r="J42" s="180">
        <f>K42</f>
        <v>0</v>
      </c>
      <c r="K42" s="180">
        <v>0</v>
      </c>
      <c r="L42" s="180">
        <v>0</v>
      </c>
      <c r="M42" s="180">
        <v>0</v>
      </c>
      <c r="N42" s="180">
        <v>0</v>
      </c>
      <c r="O42" s="180">
        <v>0</v>
      </c>
      <c r="P42" s="180">
        <v>0</v>
      </c>
      <c r="Q42" s="180">
        <v>0</v>
      </c>
      <c r="R42" s="180">
        <v>0</v>
      </c>
      <c r="S42" s="180">
        <v>1003</v>
      </c>
      <c r="T42" s="180">
        <v>2065</v>
      </c>
      <c r="U42" s="180">
        <v>1855</v>
      </c>
      <c r="V42" s="101">
        <f t="shared" si="2"/>
        <v>4.4899445327566179E-2</v>
      </c>
      <c r="W42" s="21">
        <f t="shared" si="7"/>
        <v>0.15</v>
      </c>
      <c r="X42" s="130">
        <f t="shared" si="8"/>
        <v>2133.25</v>
      </c>
      <c r="Y42" s="130">
        <f t="shared" si="92"/>
        <v>2453.2374999999997</v>
      </c>
      <c r="Z42" s="130">
        <f t="shared" si="93"/>
        <v>2821.2231249999995</v>
      </c>
      <c r="AA42" s="130">
        <f t="shared" si="94"/>
        <v>3244.406593749999</v>
      </c>
      <c r="AB42" s="130">
        <f t="shared" si="95"/>
        <v>3731.0675828124986</v>
      </c>
      <c r="AC42" s="130">
        <f t="shared" si="96"/>
        <v>4290.727720234373</v>
      </c>
      <c r="AD42" s="130">
        <f t="shared" si="97"/>
        <v>4934.3368782695288</v>
      </c>
      <c r="AE42" s="130">
        <f t="shared" si="98"/>
        <v>5674.4874100099578</v>
      </c>
      <c r="AF42" s="130">
        <f t="shared" si="99"/>
        <v>6525.6605215114505</v>
      </c>
      <c r="AG42" s="130">
        <f t="shared" si="100"/>
        <v>7504.5095997381677</v>
      </c>
      <c r="AH42" s="115" t="e">
        <f t="shared" si="101"/>
        <v>#DIV/0!</v>
      </c>
      <c r="AI42" s="21">
        <f t="shared" si="18"/>
        <v>0.01</v>
      </c>
      <c r="AJ42" s="123">
        <f t="shared" si="102"/>
        <v>36093.117598740711</v>
      </c>
    </row>
    <row r="43" spans="1:36">
      <c r="A43" s="305"/>
      <c r="B43" s="177" t="s">
        <v>415</v>
      </c>
      <c r="C43" s="118"/>
      <c r="D43" s="118"/>
      <c r="E43" s="124"/>
      <c r="F43" s="180"/>
      <c r="G43" s="180">
        <v>45699</v>
      </c>
      <c r="H43" s="180">
        <f t="shared" si="110"/>
        <v>0</v>
      </c>
      <c r="I43" s="180">
        <f t="shared" si="110"/>
        <v>0</v>
      </c>
      <c r="J43" s="180">
        <f>K43</f>
        <v>0</v>
      </c>
      <c r="K43" s="180">
        <v>0</v>
      </c>
      <c r="L43" s="180">
        <v>0</v>
      </c>
      <c r="M43" s="180">
        <v>0</v>
      </c>
      <c r="N43" s="180">
        <v>0</v>
      </c>
      <c r="O43" s="180">
        <v>0</v>
      </c>
      <c r="P43" s="180">
        <v>0</v>
      </c>
      <c r="Q43" s="180">
        <v>0</v>
      </c>
      <c r="R43" s="180">
        <v>0</v>
      </c>
      <c r="S43" s="180">
        <v>45699</v>
      </c>
      <c r="T43" s="180">
        <v>49401</v>
      </c>
      <c r="U43" s="180">
        <v>52164</v>
      </c>
      <c r="V43" s="101">
        <f t="shared" si="2"/>
        <v>9.4959593532033537E-3</v>
      </c>
      <c r="W43" s="21">
        <f t="shared" si="7"/>
        <v>0.15</v>
      </c>
      <c r="X43" s="130">
        <f t="shared" si="8"/>
        <v>59988.6</v>
      </c>
      <c r="Y43" s="130">
        <f t="shared" si="92"/>
        <v>68986.89</v>
      </c>
      <c r="Z43" s="130">
        <f t="shared" si="93"/>
        <v>79334.92349999999</v>
      </c>
      <c r="AA43" s="130">
        <f t="shared" si="94"/>
        <v>91235.162024999983</v>
      </c>
      <c r="AB43" s="130">
        <f t="shared" si="95"/>
        <v>104920.43632874997</v>
      </c>
      <c r="AC43" s="130">
        <f t="shared" si="96"/>
        <v>120658.50177806246</v>
      </c>
      <c r="AD43" s="130">
        <f t="shared" si="97"/>
        <v>138757.27704477182</v>
      </c>
      <c r="AE43" s="130">
        <f t="shared" si="98"/>
        <v>159570.86860148757</v>
      </c>
      <c r="AF43" s="130">
        <f t="shared" si="99"/>
        <v>183506.49889171068</v>
      </c>
      <c r="AG43" s="130">
        <f t="shared" si="100"/>
        <v>211032.47372546728</v>
      </c>
      <c r="AH43" s="115" t="e">
        <f t="shared" si="101"/>
        <v>#DIV/0!</v>
      </c>
      <c r="AI43" s="21">
        <f t="shared" si="18"/>
        <v>0.01</v>
      </c>
      <c r="AJ43" s="123">
        <f t="shared" si="102"/>
        <v>1014965.7069653426</v>
      </c>
    </row>
    <row r="44" spans="1:36">
      <c r="A44" s="305"/>
      <c r="B44" s="177"/>
      <c r="C44" s="118"/>
      <c r="D44" s="118"/>
      <c r="E44" s="124"/>
      <c r="F44" s="127"/>
      <c r="G44" s="127" t="e">
        <f t="shared" ref="G44" si="111">(G43-F43)/F43</f>
        <v>#DIV/0!</v>
      </c>
      <c r="H44" s="127" t="e">
        <f t="shared" ref="H44" si="112">(H43-F43)/F43</f>
        <v>#DIV/0!</v>
      </c>
      <c r="I44" s="127" t="e">
        <f t="shared" ref="I44:U44" si="113">(I43-H43)/H43</f>
        <v>#DIV/0!</v>
      </c>
      <c r="J44" s="127" t="e">
        <f t="shared" si="113"/>
        <v>#DIV/0!</v>
      </c>
      <c r="K44" s="127" t="e">
        <f t="shared" si="113"/>
        <v>#DIV/0!</v>
      </c>
      <c r="L44" s="127" t="e">
        <f t="shared" si="113"/>
        <v>#DIV/0!</v>
      </c>
      <c r="M44" s="127" t="e">
        <f t="shared" si="113"/>
        <v>#DIV/0!</v>
      </c>
      <c r="N44" s="127" t="e">
        <f t="shared" si="113"/>
        <v>#DIV/0!</v>
      </c>
      <c r="O44" s="127" t="e">
        <f t="shared" si="113"/>
        <v>#DIV/0!</v>
      </c>
      <c r="P44" s="127" t="e">
        <f t="shared" si="113"/>
        <v>#DIV/0!</v>
      </c>
      <c r="Q44" s="127" t="e">
        <f t="shared" si="113"/>
        <v>#DIV/0!</v>
      </c>
      <c r="R44" s="127" t="e">
        <f t="shared" si="113"/>
        <v>#DIV/0!</v>
      </c>
      <c r="S44" s="127" t="e">
        <f t="shared" si="113"/>
        <v>#DIV/0!</v>
      </c>
      <c r="T44" s="127">
        <f t="shared" si="113"/>
        <v>8.1008337162738794E-2</v>
      </c>
      <c r="U44" s="127">
        <f t="shared" si="113"/>
        <v>5.5930041901985791E-2</v>
      </c>
      <c r="V44" s="10"/>
      <c r="W44" s="10"/>
      <c r="X44" s="130"/>
      <c r="Y44" s="130"/>
      <c r="Z44" s="130"/>
      <c r="AA44" s="130"/>
      <c r="AB44" s="130"/>
      <c r="AC44" s="130"/>
      <c r="AD44" s="130"/>
      <c r="AE44" s="130"/>
      <c r="AF44" s="130"/>
      <c r="AG44" s="130"/>
      <c r="AH44" s="130"/>
      <c r="AI44" s="130"/>
      <c r="AJ44" s="123"/>
    </row>
    <row r="45" spans="1:36">
      <c r="A45" s="305"/>
      <c r="B45" s="177" t="s">
        <v>191</v>
      </c>
      <c r="C45" s="118"/>
      <c r="D45" s="118"/>
      <c r="E45" s="124"/>
      <c r="F45" s="180"/>
      <c r="G45" s="180">
        <v>20091</v>
      </c>
      <c r="H45" s="180">
        <f t="shared" ref="H45:I45" si="114">I45</f>
        <v>0</v>
      </c>
      <c r="I45" s="180">
        <f t="shared" si="114"/>
        <v>0</v>
      </c>
      <c r="J45" s="180">
        <f>K45</f>
        <v>0</v>
      </c>
      <c r="K45" s="180">
        <v>0</v>
      </c>
      <c r="L45" s="180">
        <v>0</v>
      </c>
      <c r="M45" s="180">
        <v>0</v>
      </c>
      <c r="N45" s="180">
        <v>0</v>
      </c>
      <c r="O45" s="180">
        <v>0</v>
      </c>
      <c r="P45" s="180">
        <v>0</v>
      </c>
      <c r="Q45" s="180">
        <v>0</v>
      </c>
      <c r="R45" s="180">
        <v>0</v>
      </c>
      <c r="S45" s="180">
        <v>20091</v>
      </c>
      <c r="T45" s="180">
        <v>50471</v>
      </c>
      <c r="U45" s="180">
        <v>60904</v>
      </c>
      <c r="V45" s="101">
        <f t="shared" si="2"/>
        <v>8.2438327702243575E-2</v>
      </c>
      <c r="W45" s="21">
        <f t="shared" si="7"/>
        <v>0.15</v>
      </c>
      <c r="X45" s="130">
        <f t="shared" si="8"/>
        <v>70039.599999999991</v>
      </c>
      <c r="Y45" s="130">
        <f t="shared" si="92"/>
        <v>80545.539999999979</v>
      </c>
      <c r="Z45" s="130">
        <f t="shared" si="93"/>
        <v>92627.37099999997</v>
      </c>
      <c r="AA45" s="130">
        <f t="shared" si="94"/>
        <v>106521.47664999995</v>
      </c>
      <c r="AB45" s="130">
        <f t="shared" si="95"/>
        <v>122499.69814749993</v>
      </c>
      <c r="AC45" s="130">
        <f t="shared" si="96"/>
        <v>140874.6528696249</v>
      </c>
      <c r="AD45" s="130">
        <f t="shared" si="97"/>
        <v>162005.85080006861</v>
      </c>
      <c r="AE45" s="130">
        <f t="shared" si="98"/>
        <v>186306.7284200789</v>
      </c>
      <c r="AF45" s="130">
        <f t="shared" si="99"/>
        <v>214252.73768309073</v>
      </c>
      <c r="AG45" s="130">
        <f t="shared" si="100"/>
        <v>246390.64833555432</v>
      </c>
      <c r="AH45" s="115" t="e">
        <f t="shared" si="101"/>
        <v>#DIV/0!</v>
      </c>
      <c r="AI45" s="21">
        <f t="shared" si="18"/>
        <v>0.01</v>
      </c>
      <c r="AJ45" s="123">
        <f t="shared" si="102"/>
        <v>1185021.6896138564</v>
      </c>
    </row>
    <row r="46" spans="1:36">
      <c r="A46" s="178"/>
      <c r="B46" s="177"/>
      <c r="C46" s="118"/>
      <c r="D46" s="118"/>
      <c r="E46" s="124"/>
      <c r="F46" s="127"/>
      <c r="G46" s="127" t="e">
        <f t="shared" ref="G46" si="115">(G45-E45)/E45</f>
        <v>#DIV/0!</v>
      </c>
      <c r="H46" s="127" t="e">
        <f t="shared" ref="H46" si="116">(H45-F45)/F45</f>
        <v>#DIV/0!</v>
      </c>
      <c r="I46" s="127" t="e">
        <f t="shared" ref="I46" si="117">(I45-H45)/H45</f>
        <v>#DIV/0!</v>
      </c>
      <c r="J46" s="127" t="e">
        <f t="shared" ref="J46" si="118">(J45-I45)/I45</f>
        <v>#DIV/0!</v>
      </c>
      <c r="K46" s="127" t="e">
        <f t="shared" ref="K46" si="119">(K45-J45)/J45</f>
        <v>#DIV/0!</v>
      </c>
      <c r="L46" s="127" t="e">
        <f t="shared" ref="L46" si="120">(L45-K45)/K45</f>
        <v>#DIV/0!</v>
      </c>
      <c r="M46" s="127" t="e">
        <f t="shared" ref="M46" si="121">(M45-L45)/L45</f>
        <v>#DIV/0!</v>
      </c>
      <c r="N46" s="127" t="e">
        <f t="shared" ref="N46" si="122">(N45-M45)/M45</f>
        <v>#DIV/0!</v>
      </c>
      <c r="O46" s="127" t="e">
        <f t="shared" ref="O46" si="123">(O45-N45)/N45</f>
        <v>#DIV/0!</v>
      </c>
      <c r="P46" s="127" t="e">
        <f t="shared" ref="P46" si="124">(P45-O45)/O45</f>
        <v>#DIV/0!</v>
      </c>
      <c r="Q46" s="127" t="e">
        <f t="shared" ref="Q46" si="125">(Q45-P45)/P45</f>
        <v>#DIV/0!</v>
      </c>
      <c r="R46" s="127" t="e">
        <f t="shared" ref="R46" si="126">(R45-Q45)/Q45</f>
        <v>#DIV/0!</v>
      </c>
      <c r="S46" s="127" t="e">
        <f t="shared" ref="S46" si="127">(S45-R45)/R45</f>
        <v>#DIV/0!</v>
      </c>
      <c r="T46" s="127">
        <f t="shared" ref="T46:U46" si="128">(T45-S45)/S45</f>
        <v>1.5121198546612911</v>
      </c>
      <c r="U46" s="127">
        <f t="shared" si="128"/>
        <v>0.20671276574666642</v>
      </c>
      <c r="V46" s="10"/>
      <c r="W46" s="10"/>
      <c r="X46" s="130"/>
      <c r="Y46" s="130"/>
      <c r="Z46" s="130"/>
      <c r="AA46" s="130"/>
      <c r="AB46" s="130"/>
      <c r="AC46" s="130"/>
      <c r="AD46" s="130"/>
      <c r="AE46" s="130"/>
      <c r="AF46" s="130"/>
      <c r="AG46" s="130"/>
      <c r="AH46" s="130"/>
      <c r="AI46" s="130"/>
      <c r="AJ46" s="123"/>
    </row>
    <row r="47" spans="1:36">
      <c r="A47" s="178"/>
      <c r="B47" s="177" t="s">
        <v>506</v>
      </c>
      <c r="C47" s="118"/>
      <c r="D47" s="118"/>
      <c r="E47" s="124"/>
      <c r="F47" s="127"/>
      <c r="G47" s="127"/>
      <c r="H47" s="127"/>
      <c r="I47" s="127"/>
      <c r="J47" s="127"/>
      <c r="K47" s="127"/>
      <c r="L47" s="127"/>
      <c r="M47" s="127"/>
      <c r="N47" s="127"/>
      <c r="O47" s="127"/>
      <c r="P47" s="127"/>
      <c r="Q47" s="127"/>
      <c r="R47" s="127"/>
      <c r="S47" s="127"/>
      <c r="T47" s="127"/>
      <c r="U47" s="127">
        <v>0</v>
      </c>
      <c r="V47" s="101" t="e">
        <f t="shared" ref="V47" si="129">((U47/G47)^(1/($K$2-$K$1) ))-1</f>
        <v>#DIV/0!</v>
      </c>
      <c r="W47" s="21">
        <f t="shared" si="7"/>
        <v>0.15</v>
      </c>
      <c r="X47" s="130">
        <f t="shared" ref="X47" si="130">U47*(1+$W47)</f>
        <v>0</v>
      </c>
      <c r="Y47" s="130">
        <f t="shared" ref="Y47" si="131">X47*(1+$W47)</f>
        <v>0</v>
      </c>
      <c r="Z47" s="130">
        <f t="shared" ref="Z47" si="132">Y47*(1+$W47)</f>
        <v>0</v>
      </c>
      <c r="AA47" s="130">
        <f t="shared" ref="AA47" si="133">Z47*(1+$W47)</f>
        <v>0</v>
      </c>
      <c r="AB47" s="130">
        <f t="shared" ref="AB47" si="134">AA47*(1+$W47)</f>
        <v>0</v>
      </c>
      <c r="AC47" s="130">
        <f t="shared" ref="AC47" si="135">AB47*(1+$W47)</f>
        <v>0</v>
      </c>
      <c r="AD47" s="130">
        <f t="shared" ref="AD47" si="136">AC47*(1+$W47)</f>
        <v>0</v>
      </c>
      <c r="AE47" s="130">
        <f t="shared" ref="AE47" si="137">AD47*(1+$W47)</f>
        <v>0</v>
      </c>
      <c r="AF47" s="130">
        <f t="shared" ref="AF47" si="138">AE47*(1+$W47)</f>
        <v>0</v>
      </c>
      <c r="AG47" s="130">
        <f t="shared" ref="AG47" si="139">AF47*(1+$W47)</f>
        <v>0</v>
      </c>
      <c r="AH47" s="115" t="e">
        <f t="shared" ref="AH47" si="140">((AG47/J47)^(1/($AG$3-$K$1) ))-1</f>
        <v>#DIV/0!</v>
      </c>
      <c r="AI47" s="21">
        <f t="shared" si="18"/>
        <v>0.01</v>
      </c>
      <c r="AJ47" s="123">
        <f t="shared" ref="AJ47" si="141">(AG47*(1+AI47))/($C$1-AI47)</f>
        <v>0</v>
      </c>
    </row>
    <row r="48" spans="1:36">
      <c r="A48" s="178"/>
      <c r="B48" s="177"/>
      <c r="C48" s="118"/>
      <c r="D48" s="118"/>
      <c r="E48" s="124"/>
      <c r="F48" s="127"/>
      <c r="G48" s="127" t="e">
        <f t="shared" ref="G48" si="142">(G47-E47)/E47</f>
        <v>#DIV/0!</v>
      </c>
      <c r="H48" s="127" t="e">
        <f t="shared" ref="H48" si="143">(H47-F47)/F47</f>
        <v>#DIV/0!</v>
      </c>
      <c r="I48" s="127" t="e">
        <f t="shared" ref="I48" si="144">(I47-H47)/H47</f>
        <v>#DIV/0!</v>
      </c>
      <c r="J48" s="127" t="e">
        <f t="shared" ref="J48" si="145">(J47-I47)/I47</f>
        <v>#DIV/0!</v>
      </c>
      <c r="K48" s="127" t="e">
        <f t="shared" ref="K48" si="146">(K47-J47)/J47</f>
        <v>#DIV/0!</v>
      </c>
      <c r="L48" s="127" t="e">
        <f t="shared" ref="L48" si="147">(L47-K47)/K47</f>
        <v>#DIV/0!</v>
      </c>
      <c r="M48" s="127" t="e">
        <f t="shared" ref="M48" si="148">(M47-L47)/L47</f>
        <v>#DIV/0!</v>
      </c>
      <c r="N48" s="127" t="e">
        <f t="shared" ref="N48" si="149">(N47-M47)/M47</f>
        <v>#DIV/0!</v>
      </c>
      <c r="O48" s="127" t="e">
        <f t="shared" ref="O48" si="150">(O47-N47)/N47</f>
        <v>#DIV/0!</v>
      </c>
      <c r="P48" s="127" t="e">
        <f t="shared" ref="P48" si="151">(P47-O47)/O47</f>
        <v>#DIV/0!</v>
      </c>
      <c r="Q48" s="127" t="e">
        <f t="shared" ref="Q48" si="152">(Q47-P47)/P47</f>
        <v>#DIV/0!</v>
      </c>
      <c r="R48" s="127" t="e">
        <f t="shared" ref="R48" si="153">(R47-Q47)/Q47</f>
        <v>#DIV/0!</v>
      </c>
      <c r="S48" s="127" t="e">
        <f t="shared" ref="S48" si="154">(S47-R47)/R47</f>
        <v>#DIV/0!</v>
      </c>
      <c r="T48" s="127" t="e">
        <f t="shared" ref="T48" si="155">(T47-S47)/S47</f>
        <v>#DIV/0!</v>
      </c>
      <c r="U48" s="127" t="e">
        <f t="shared" ref="U48" si="156">(U47-T47)/T47</f>
        <v>#DIV/0!</v>
      </c>
      <c r="V48" s="10"/>
      <c r="W48" s="10"/>
      <c r="X48" s="130"/>
      <c r="Y48" s="130"/>
      <c r="Z48" s="130"/>
      <c r="AA48" s="130"/>
      <c r="AB48" s="130"/>
      <c r="AC48" s="130"/>
      <c r="AD48" s="130"/>
      <c r="AE48" s="130"/>
      <c r="AF48" s="130"/>
      <c r="AG48" s="130"/>
      <c r="AH48" s="277"/>
      <c r="AI48" s="130"/>
      <c r="AJ48" s="123"/>
    </row>
    <row r="49" spans="1:36">
      <c r="A49" s="178"/>
      <c r="B49" s="177" t="s">
        <v>428</v>
      </c>
      <c r="C49" s="118"/>
      <c r="D49" s="118"/>
      <c r="E49" s="124"/>
      <c r="F49" s="180"/>
      <c r="G49" s="180">
        <v>403</v>
      </c>
      <c r="H49" s="180">
        <f t="shared" ref="H49:I49" si="157">I49</f>
        <v>0</v>
      </c>
      <c r="I49" s="180">
        <f t="shared" si="157"/>
        <v>0</v>
      </c>
      <c r="J49" s="180">
        <f>K49</f>
        <v>0</v>
      </c>
      <c r="K49" s="180">
        <v>0</v>
      </c>
      <c r="L49" s="180">
        <v>0</v>
      </c>
      <c r="M49" s="180">
        <v>0</v>
      </c>
      <c r="N49" s="180">
        <v>0</v>
      </c>
      <c r="O49" s="180">
        <v>0</v>
      </c>
      <c r="P49" s="180">
        <v>0</v>
      </c>
      <c r="Q49" s="180">
        <v>0</v>
      </c>
      <c r="R49" s="180">
        <v>0</v>
      </c>
      <c r="S49" s="180">
        <v>403</v>
      </c>
      <c r="T49" s="180">
        <v>1013</v>
      </c>
      <c r="U49" s="180">
        <v>1119</v>
      </c>
      <c r="V49" s="101">
        <f t="shared" si="2"/>
        <v>7.5673228617632926E-2</v>
      </c>
      <c r="W49" s="21">
        <f t="shared" si="7"/>
        <v>0.15</v>
      </c>
      <c r="X49" s="130">
        <f t="shared" si="8"/>
        <v>1286.8499999999999</v>
      </c>
      <c r="Y49" s="130">
        <f t="shared" ref="Y49" si="158">X49*(1+$W49)</f>
        <v>1479.8774999999998</v>
      </c>
      <c r="Z49" s="130">
        <f t="shared" ref="Z49" si="159">Y49*(1+$W49)</f>
        <v>1701.8591249999997</v>
      </c>
      <c r="AA49" s="130">
        <f t="shared" ref="AA49" si="160">Z49*(1+$W49)</f>
        <v>1957.1379937499996</v>
      </c>
      <c r="AB49" s="130">
        <f t="shared" ref="AB49" si="161">AA49*(1+$W49)</f>
        <v>2250.7086928124995</v>
      </c>
      <c r="AC49" s="130">
        <f t="shared" ref="AC49" si="162">AB49*(1+$W49)</f>
        <v>2588.3149967343743</v>
      </c>
      <c r="AD49" s="130">
        <f t="shared" ref="AD49" si="163">AC49*(1+$W49)</f>
        <v>2976.5622462445303</v>
      </c>
      <c r="AE49" s="130">
        <f t="shared" ref="AE49" si="164">AD49*(1+$W49)</f>
        <v>3423.0465831812098</v>
      </c>
      <c r="AF49" s="130">
        <f t="shared" ref="AF49" si="165">AE49*(1+$W49)</f>
        <v>3936.5035706583908</v>
      </c>
      <c r="AG49" s="130">
        <f t="shared" ref="AG49" si="166">AF49*(1+$W49)</f>
        <v>4526.9791062571494</v>
      </c>
      <c r="AH49" s="115" t="e">
        <f t="shared" ref="AH49" si="167">((AG49/J49)^(1/($AG$3-$K$1) ))-1</f>
        <v>#DIV/0!</v>
      </c>
      <c r="AI49" s="21">
        <f t="shared" si="18"/>
        <v>0.01</v>
      </c>
      <c r="AJ49" s="123">
        <f t="shared" si="102"/>
        <v>21772.613796760575</v>
      </c>
    </row>
    <row r="50" spans="1:36">
      <c r="A50" s="178"/>
      <c r="B50" s="177"/>
      <c r="C50" s="118"/>
      <c r="D50" s="118"/>
      <c r="E50" s="124"/>
      <c r="F50" s="127"/>
      <c r="G50" s="127" t="e">
        <f t="shared" ref="G50" si="168">(G49-F49)/F49</f>
        <v>#DIV/0!</v>
      </c>
      <c r="H50" s="127" t="e">
        <f t="shared" ref="H50" si="169">(H49-F49)/F49</f>
        <v>#DIV/0!</v>
      </c>
      <c r="I50" s="127" t="e">
        <f t="shared" ref="I50:U50" si="170">(I49-H49)/H49</f>
        <v>#DIV/0!</v>
      </c>
      <c r="J50" s="127" t="e">
        <f t="shared" si="170"/>
        <v>#DIV/0!</v>
      </c>
      <c r="K50" s="127" t="e">
        <f t="shared" si="170"/>
        <v>#DIV/0!</v>
      </c>
      <c r="L50" s="127" t="e">
        <f t="shared" si="170"/>
        <v>#DIV/0!</v>
      </c>
      <c r="M50" s="127" t="e">
        <f t="shared" si="170"/>
        <v>#DIV/0!</v>
      </c>
      <c r="N50" s="127" t="e">
        <f t="shared" si="170"/>
        <v>#DIV/0!</v>
      </c>
      <c r="O50" s="127" t="e">
        <f t="shared" si="170"/>
        <v>#DIV/0!</v>
      </c>
      <c r="P50" s="127" t="e">
        <f t="shared" si="170"/>
        <v>#DIV/0!</v>
      </c>
      <c r="Q50" s="127" t="e">
        <f t="shared" si="170"/>
        <v>#DIV/0!</v>
      </c>
      <c r="R50" s="127" t="e">
        <f t="shared" si="170"/>
        <v>#DIV/0!</v>
      </c>
      <c r="S50" s="127" t="e">
        <f t="shared" si="170"/>
        <v>#DIV/0!</v>
      </c>
      <c r="T50" s="127">
        <f t="shared" si="170"/>
        <v>1.5136476426799008</v>
      </c>
      <c r="U50" s="127">
        <f t="shared" si="170"/>
        <v>0.10463968410661402</v>
      </c>
      <c r="V50" s="10"/>
      <c r="W50" s="10"/>
      <c r="X50" s="130"/>
      <c r="Y50" s="130"/>
      <c r="Z50" s="130"/>
      <c r="AA50" s="130"/>
      <c r="AB50" s="130"/>
      <c r="AC50" s="130"/>
      <c r="AD50" s="130"/>
      <c r="AE50" s="130"/>
      <c r="AF50" s="130"/>
      <c r="AG50" s="130"/>
      <c r="AH50" s="130"/>
      <c r="AI50" s="130"/>
      <c r="AJ50" s="123"/>
    </row>
    <row r="51" spans="1:36">
      <c r="A51" s="178"/>
      <c r="B51" s="177" t="s">
        <v>419</v>
      </c>
      <c r="C51" s="118"/>
      <c r="D51" s="118"/>
      <c r="E51" s="124"/>
      <c r="F51" s="180"/>
      <c r="G51" s="180">
        <v>73969</v>
      </c>
      <c r="H51" s="180">
        <f t="shared" ref="H51:I51" si="171">I51</f>
        <v>0</v>
      </c>
      <c r="I51" s="180">
        <f t="shared" si="171"/>
        <v>0</v>
      </c>
      <c r="J51" s="180">
        <f>K51</f>
        <v>0</v>
      </c>
      <c r="K51" s="180">
        <v>0</v>
      </c>
      <c r="L51" s="180">
        <v>0</v>
      </c>
      <c r="M51" s="180">
        <v>0</v>
      </c>
      <c r="N51" s="180">
        <v>0</v>
      </c>
      <c r="O51" s="180">
        <v>0</v>
      </c>
      <c r="P51" s="180">
        <v>0</v>
      </c>
      <c r="Q51" s="180">
        <v>0</v>
      </c>
      <c r="R51" s="180">
        <v>0</v>
      </c>
      <c r="S51" s="180">
        <v>73969</v>
      </c>
      <c r="T51" s="180">
        <v>112159</v>
      </c>
      <c r="U51" s="180">
        <v>126381</v>
      </c>
      <c r="V51" s="101">
        <f t="shared" si="2"/>
        <v>3.9002456332855706E-2</v>
      </c>
      <c r="W51" s="21">
        <f t="shared" si="7"/>
        <v>0.15</v>
      </c>
      <c r="X51" s="130">
        <f t="shared" si="8"/>
        <v>145338.15</v>
      </c>
      <c r="Y51" s="130">
        <f t="shared" si="92"/>
        <v>167138.87249999997</v>
      </c>
      <c r="Z51" s="130">
        <f t="shared" si="93"/>
        <v>192209.70337499995</v>
      </c>
      <c r="AA51" s="130">
        <f t="shared" si="94"/>
        <v>221041.15888124992</v>
      </c>
      <c r="AB51" s="130">
        <f t="shared" si="95"/>
        <v>254197.33271343738</v>
      </c>
      <c r="AC51" s="130">
        <f t="shared" si="96"/>
        <v>292326.93262045295</v>
      </c>
      <c r="AD51" s="130">
        <f t="shared" si="97"/>
        <v>336175.97251352086</v>
      </c>
      <c r="AE51" s="130">
        <f t="shared" si="98"/>
        <v>386602.36839054897</v>
      </c>
      <c r="AF51" s="130">
        <f t="shared" si="99"/>
        <v>444592.72364913131</v>
      </c>
      <c r="AG51" s="130">
        <f t="shared" si="100"/>
        <v>511281.63219650096</v>
      </c>
      <c r="AH51" s="115" t="e">
        <f t="shared" si="101"/>
        <v>#DIV/0!</v>
      </c>
      <c r="AI51" s="21">
        <f t="shared" si="18"/>
        <v>0.01</v>
      </c>
      <c r="AJ51" s="123">
        <f t="shared" si="102"/>
        <v>2459021.1834212667</v>
      </c>
    </row>
    <row r="52" spans="1:36">
      <c r="B52" s="10"/>
      <c r="C52" s="118"/>
      <c r="D52" s="118"/>
      <c r="E52" s="124"/>
      <c r="F52" s="124"/>
      <c r="G52" s="124"/>
      <c r="H52" s="124"/>
      <c r="I52" s="124"/>
      <c r="J52" s="124"/>
      <c r="K52" s="124"/>
      <c r="L52" s="124"/>
      <c r="M52" s="124"/>
      <c r="N52" s="124"/>
      <c r="O52" s="124"/>
      <c r="P52" s="124"/>
      <c r="Q52" s="124"/>
      <c r="R52" s="124"/>
      <c r="S52" s="124"/>
      <c r="T52" s="124"/>
      <c r="U52" s="124"/>
      <c r="V52" s="10"/>
      <c r="W52" s="10"/>
      <c r="X52" s="130"/>
      <c r="Y52" s="130"/>
      <c r="Z52" s="130"/>
      <c r="AA52" s="130"/>
      <c r="AB52" s="130"/>
      <c r="AC52" s="130"/>
      <c r="AD52" s="130"/>
      <c r="AE52" s="130"/>
      <c r="AF52" s="130"/>
      <c r="AG52" s="130"/>
      <c r="AH52" s="116"/>
      <c r="AI52" s="114"/>
      <c r="AJ52" s="130"/>
    </row>
    <row r="53" spans="1:36">
      <c r="B53" s="10" t="s">
        <v>229</v>
      </c>
      <c r="C53" s="118"/>
      <c r="D53" s="118"/>
      <c r="E53" s="124"/>
      <c r="F53" s="124"/>
      <c r="G53" s="180">
        <v>0</v>
      </c>
      <c r="H53" s="124"/>
      <c r="I53" s="124"/>
      <c r="J53" s="124"/>
      <c r="K53" s="124"/>
      <c r="L53" s="124"/>
      <c r="M53" s="124"/>
      <c r="N53" s="124"/>
      <c r="O53" s="124"/>
      <c r="P53" s="124"/>
      <c r="Q53" s="124"/>
      <c r="R53" s="124"/>
      <c r="S53" s="180">
        <v>0</v>
      </c>
      <c r="T53" s="180">
        <v>0</v>
      </c>
      <c r="U53" s="180"/>
      <c r="V53" s="101" t="e">
        <f t="shared" si="2"/>
        <v>#DIV/0!</v>
      </c>
      <c r="W53" s="21">
        <f t="shared" si="7"/>
        <v>0.15</v>
      </c>
      <c r="X53" s="130">
        <f t="shared" si="8"/>
        <v>0</v>
      </c>
      <c r="Y53" s="130">
        <f t="shared" ref="Y53" si="172">X53*(1+$W53)</f>
        <v>0</v>
      </c>
      <c r="Z53" s="130">
        <f t="shared" ref="Z53" si="173">Y53*(1+$W53)</f>
        <v>0</v>
      </c>
      <c r="AA53" s="130">
        <f t="shared" ref="AA53" si="174">Z53*(1+$W53)</f>
        <v>0</v>
      </c>
      <c r="AB53" s="130">
        <f t="shared" si="42"/>
        <v>0</v>
      </c>
      <c r="AC53" s="130">
        <f t="shared" si="43"/>
        <v>0</v>
      </c>
      <c r="AD53" s="130">
        <f t="shared" si="44"/>
        <v>0</v>
      </c>
      <c r="AE53" s="130">
        <f t="shared" si="45"/>
        <v>0</v>
      </c>
      <c r="AF53" s="130">
        <f t="shared" si="46"/>
        <v>0</v>
      </c>
      <c r="AG53" s="130">
        <f t="shared" si="47"/>
        <v>0</v>
      </c>
      <c r="AH53" s="115" t="e">
        <f t="shared" si="20"/>
        <v>#DIV/0!</v>
      </c>
      <c r="AI53" s="21">
        <f t="shared" si="18"/>
        <v>0.01</v>
      </c>
      <c r="AJ53" s="123">
        <f t="shared" si="1"/>
        <v>0</v>
      </c>
    </row>
    <row r="54" spans="1:36" s="106" customFormat="1">
      <c r="B54" s="13"/>
      <c r="C54" s="125"/>
      <c r="D54" s="125"/>
      <c r="E54" s="126"/>
      <c r="F54" s="268"/>
      <c r="G54" s="127" t="e">
        <f t="shared" ref="G54" si="175">(G53-F53)/F53</f>
        <v>#DIV/0!</v>
      </c>
      <c r="H54" s="268" t="e">
        <f t="shared" ref="H54:R54" si="176">(H53-G53)/H53</f>
        <v>#DIV/0!</v>
      </c>
      <c r="I54" s="268" t="e">
        <f t="shared" si="176"/>
        <v>#DIV/0!</v>
      </c>
      <c r="J54" s="268" t="e">
        <f t="shared" si="176"/>
        <v>#DIV/0!</v>
      </c>
      <c r="K54" s="268" t="e">
        <f t="shared" si="176"/>
        <v>#DIV/0!</v>
      </c>
      <c r="L54" s="268" t="e">
        <f t="shared" si="176"/>
        <v>#DIV/0!</v>
      </c>
      <c r="M54" s="268" t="e">
        <f t="shared" si="176"/>
        <v>#DIV/0!</v>
      </c>
      <c r="N54" s="268" t="e">
        <f t="shared" si="176"/>
        <v>#DIV/0!</v>
      </c>
      <c r="O54" s="268" t="e">
        <f t="shared" si="176"/>
        <v>#DIV/0!</v>
      </c>
      <c r="P54" s="268" t="e">
        <f t="shared" si="176"/>
        <v>#DIV/0!</v>
      </c>
      <c r="Q54" s="268" t="e">
        <f t="shared" si="176"/>
        <v>#DIV/0!</v>
      </c>
      <c r="R54" s="268" t="e">
        <f t="shared" si="176"/>
        <v>#DIV/0!</v>
      </c>
      <c r="S54" s="127" t="e">
        <f t="shared" ref="S54:U54" si="177">(S53-R53)/R53</f>
        <v>#DIV/0!</v>
      </c>
      <c r="T54" s="127" t="e">
        <f t="shared" si="177"/>
        <v>#DIV/0!</v>
      </c>
      <c r="U54" s="127" t="e">
        <f t="shared" si="177"/>
        <v>#DIV/0!</v>
      </c>
      <c r="V54" s="10"/>
      <c r="W54" s="10"/>
      <c r="X54" s="130"/>
      <c r="Y54" s="131"/>
      <c r="Z54" s="131"/>
      <c r="AA54" s="131"/>
      <c r="AB54" s="131"/>
      <c r="AC54" s="131"/>
      <c r="AD54" s="131"/>
      <c r="AE54" s="131"/>
      <c r="AF54" s="131"/>
      <c r="AG54" s="131"/>
      <c r="AH54" s="116"/>
      <c r="AI54" s="114"/>
      <c r="AJ54" s="132"/>
    </row>
    <row r="55" spans="1:36" s="106" customFormat="1">
      <c r="B55" s="10" t="s">
        <v>342</v>
      </c>
      <c r="C55" s="125"/>
      <c r="D55" s="125"/>
      <c r="E55" s="126"/>
      <c r="F55" s="124"/>
      <c r="G55" s="180">
        <v>0</v>
      </c>
      <c r="H55" s="124"/>
      <c r="I55" s="124"/>
      <c r="J55" s="124"/>
      <c r="K55" s="124"/>
      <c r="L55" s="124"/>
      <c r="M55" s="124"/>
      <c r="N55" s="124"/>
      <c r="O55" s="124"/>
      <c r="P55" s="124"/>
      <c r="Q55" s="124"/>
      <c r="R55" s="124"/>
      <c r="S55" s="180">
        <v>0</v>
      </c>
      <c r="T55" s="180">
        <v>0</v>
      </c>
      <c r="U55" s="180"/>
      <c r="V55" s="101" t="e">
        <f t="shared" si="2"/>
        <v>#DIV/0!</v>
      </c>
      <c r="W55" s="21">
        <f t="shared" si="7"/>
        <v>0.15</v>
      </c>
      <c r="X55" s="130">
        <f t="shared" si="8"/>
        <v>0</v>
      </c>
      <c r="Y55" s="130">
        <f t="shared" ref="Y55" si="178">X55*(1+$W55)</f>
        <v>0</v>
      </c>
      <c r="Z55" s="130">
        <f t="shared" ref="Z55" si="179">Y55*(1+$W55)</f>
        <v>0</v>
      </c>
      <c r="AA55" s="130">
        <f t="shared" ref="AA55" si="180">Z55*(1+$W55)</f>
        <v>0</v>
      </c>
      <c r="AB55" s="130">
        <f t="shared" ref="AB55" si="181">AA55*(1+$W55)</f>
        <v>0</v>
      </c>
      <c r="AC55" s="130">
        <f t="shared" ref="AC55" si="182">AB55*(1+$W55)</f>
        <v>0</v>
      </c>
      <c r="AD55" s="130">
        <f t="shared" ref="AD55" si="183">AC55*(1+$W55)</f>
        <v>0</v>
      </c>
      <c r="AE55" s="130">
        <f t="shared" ref="AE55" si="184">AD55*(1+$W55)</f>
        <v>0</v>
      </c>
      <c r="AF55" s="130">
        <f t="shared" ref="AF55" si="185">AE55*(1+$W55)</f>
        <v>0</v>
      </c>
      <c r="AG55" s="130">
        <f t="shared" ref="AG55" si="186">AF55*(1+$W55)</f>
        <v>0</v>
      </c>
      <c r="AH55" s="115" t="e">
        <f t="shared" ref="AH55" si="187">((AG55/J55)^(1/($AG$3-$K$1) ))-1</f>
        <v>#DIV/0!</v>
      </c>
      <c r="AI55" s="21">
        <f t="shared" si="18"/>
        <v>0.01</v>
      </c>
      <c r="AJ55" s="123">
        <f t="shared" ref="AJ55" si="188">(AG55*(1+AI55))/($C$1-AI55)</f>
        <v>0</v>
      </c>
    </row>
    <row r="56" spans="1:36" s="106" customFormat="1">
      <c r="B56" s="13"/>
      <c r="C56" s="125"/>
      <c r="D56" s="125"/>
      <c r="E56" s="126"/>
      <c r="F56" s="268"/>
      <c r="G56" s="268" t="e">
        <f t="shared" ref="G56:P56" si="189">(G55-F55)/G55</f>
        <v>#DIV/0!</v>
      </c>
      <c r="H56" s="268" t="e">
        <f t="shared" si="189"/>
        <v>#DIV/0!</v>
      </c>
      <c r="I56" s="268" t="e">
        <f t="shared" si="189"/>
        <v>#DIV/0!</v>
      </c>
      <c r="J56" s="268" t="e">
        <f t="shared" si="189"/>
        <v>#DIV/0!</v>
      </c>
      <c r="K56" s="268" t="e">
        <f t="shared" si="189"/>
        <v>#DIV/0!</v>
      </c>
      <c r="L56" s="268" t="e">
        <f t="shared" si="189"/>
        <v>#DIV/0!</v>
      </c>
      <c r="M56" s="268" t="e">
        <f t="shared" si="189"/>
        <v>#DIV/0!</v>
      </c>
      <c r="N56" s="268" t="e">
        <f t="shared" si="189"/>
        <v>#DIV/0!</v>
      </c>
      <c r="O56" s="268" t="e">
        <f t="shared" si="189"/>
        <v>#DIV/0!</v>
      </c>
      <c r="P56" s="268" t="e">
        <f t="shared" si="189"/>
        <v>#DIV/0!</v>
      </c>
      <c r="Q56" s="268" t="e">
        <f t="shared" ref="Q56:R56" si="190">(Q55-P55)/Q55</f>
        <v>#DIV/0!</v>
      </c>
      <c r="R56" s="268" t="e">
        <f t="shared" si="190"/>
        <v>#DIV/0!</v>
      </c>
      <c r="S56" s="127" t="e">
        <f t="shared" ref="S56:U56" si="191">(S55-R55)/R55</f>
        <v>#DIV/0!</v>
      </c>
      <c r="T56" s="127" t="e">
        <f t="shared" si="191"/>
        <v>#DIV/0!</v>
      </c>
      <c r="U56" s="127" t="e">
        <f t="shared" si="191"/>
        <v>#DIV/0!</v>
      </c>
      <c r="V56" s="10"/>
      <c r="W56" s="10"/>
      <c r="X56" s="130"/>
      <c r="Y56" s="131"/>
      <c r="Z56" s="131"/>
      <c r="AA56" s="131"/>
      <c r="AB56" s="131"/>
      <c r="AC56" s="131"/>
      <c r="AD56" s="131"/>
      <c r="AE56" s="131"/>
      <c r="AF56" s="131"/>
      <c r="AG56" s="131"/>
      <c r="AH56" s="116"/>
      <c r="AI56" s="114"/>
      <c r="AJ56" s="132"/>
    </row>
    <row r="57" spans="1:36" s="106" customFormat="1">
      <c r="B57" s="10" t="s">
        <v>505</v>
      </c>
      <c r="C57" s="125"/>
      <c r="D57" s="125"/>
      <c r="E57" s="126"/>
      <c r="F57" s="268"/>
      <c r="G57" s="124"/>
      <c r="H57" s="124"/>
      <c r="I57" s="124"/>
      <c r="J57" s="124"/>
      <c r="K57" s="124"/>
      <c r="L57" s="124"/>
      <c r="M57" s="124"/>
      <c r="N57" s="124"/>
      <c r="O57" s="124"/>
      <c r="P57" s="124"/>
      <c r="Q57" s="124"/>
      <c r="R57" s="124"/>
      <c r="S57" s="180"/>
      <c r="T57" s="180"/>
      <c r="U57" s="180"/>
      <c r="V57" s="101" t="e">
        <f t="shared" si="2"/>
        <v>#DIV/0!</v>
      </c>
      <c r="W57" s="21">
        <f t="shared" si="7"/>
        <v>0.15</v>
      </c>
      <c r="X57" s="130">
        <f t="shared" ref="X57" si="192">U57*(1+$W57)</f>
        <v>0</v>
      </c>
      <c r="Y57" s="130">
        <f t="shared" ref="Y57" si="193">X57*(1+$W57)</f>
        <v>0</v>
      </c>
      <c r="Z57" s="130">
        <f t="shared" ref="Z57" si="194">Y57*(1+$W57)</f>
        <v>0</v>
      </c>
      <c r="AA57" s="130">
        <f t="shared" ref="AA57" si="195">Z57*(1+$W57)</f>
        <v>0</v>
      </c>
      <c r="AB57" s="130">
        <f t="shared" ref="AB57" si="196">AA57*(1+$W57)</f>
        <v>0</v>
      </c>
      <c r="AC57" s="130">
        <f t="shared" ref="AC57" si="197">AB57*(1+$W57)</f>
        <v>0</v>
      </c>
      <c r="AD57" s="130">
        <f t="shared" ref="AD57" si="198">AC57*(1+$W57)</f>
        <v>0</v>
      </c>
      <c r="AE57" s="130">
        <f t="shared" ref="AE57" si="199">AD57*(1+$W57)</f>
        <v>0</v>
      </c>
      <c r="AF57" s="130">
        <f t="shared" ref="AF57" si="200">AE57*(1+$W57)</f>
        <v>0</v>
      </c>
      <c r="AG57" s="130">
        <f t="shared" ref="AG57" si="201">AF57*(1+$W57)</f>
        <v>0</v>
      </c>
      <c r="AH57" s="115" t="e">
        <f t="shared" ref="AH57" si="202">((AG57/J57)^(1/($AG$3-$K$1) ))-1</f>
        <v>#DIV/0!</v>
      </c>
      <c r="AI57" s="21">
        <f t="shared" si="18"/>
        <v>0.01</v>
      </c>
      <c r="AJ57" s="123">
        <f t="shared" ref="AJ57" si="203">(AG57*(1+AI57))/($C$1-AI57)</f>
        <v>0</v>
      </c>
    </row>
    <row r="58" spans="1:36" s="106" customFormat="1">
      <c r="B58" s="13"/>
      <c r="C58" s="125"/>
      <c r="D58" s="125"/>
      <c r="E58" s="126"/>
      <c r="F58" s="268"/>
      <c r="G58" s="268" t="e">
        <f t="shared" ref="G58" si="204">(G57-F57)/G57</f>
        <v>#DIV/0!</v>
      </c>
      <c r="H58" s="268" t="e">
        <f t="shared" ref="H58" si="205">(H57-G57)/H57</f>
        <v>#DIV/0!</v>
      </c>
      <c r="I58" s="268" t="e">
        <f t="shared" ref="I58" si="206">(I57-H57)/I57</f>
        <v>#DIV/0!</v>
      </c>
      <c r="J58" s="268" t="e">
        <f t="shared" ref="J58" si="207">(J57-I57)/J57</f>
        <v>#DIV/0!</v>
      </c>
      <c r="K58" s="268" t="e">
        <f t="shared" ref="K58" si="208">(K57-J57)/K57</f>
        <v>#DIV/0!</v>
      </c>
      <c r="L58" s="268" t="e">
        <f t="shared" ref="L58" si="209">(L57-K57)/L57</f>
        <v>#DIV/0!</v>
      </c>
      <c r="M58" s="268" t="e">
        <f t="shared" ref="M58" si="210">(M57-L57)/M57</f>
        <v>#DIV/0!</v>
      </c>
      <c r="N58" s="268" t="e">
        <f t="shared" ref="N58" si="211">(N57-M57)/N57</f>
        <v>#DIV/0!</v>
      </c>
      <c r="O58" s="268" t="e">
        <f t="shared" ref="O58" si="212">(O57-N57)/O57</f>
        <v>#DIV/0!</v>
      </c>
      <c r="P58" s="268" t="e">
        <f t="shared" ref="P58" si="213">(P57-O57)/P57</f>
        <v>#DIV/0!</v>
      </c>
      <c r="Q58" s="268" t="e">
        <f t="shared" ref="Q58" si="214">(Q57-P57)/Q57</f>
        <v>#DIV/0!</v>
      </c>
      <c r="R58" s="268" t="e">
        <f t="shared" ref="R58" si="215">(R57-Q57)/R57</f>
        <v>#DIV/0!</v>
      </c>
      <c r="S58" s="127" t="e">
        <f t="shared" ref="S58" si="216">(S57-R57)/R57</f>
        <v>#DIV/0!</v>
      </c>
      <c r="T58" s="127" t="e">
        <f t="shared" ref="T58" si="217">(T57-S57)/S57</f>
        <v>#DIV/0!</v>
      </c>
      <c r="U58" s="127" t="e">
        <f t="shared" ref="U58" si="218">(U57-T57)/T57</f>
        <v>#DIV/0!</v>
      </c>
      <c r="V58" s="10"/>
      <c r="W58" s="10"/>
      <c r="X58" s="130"/>
      <c r="Y58" s="131"/>
      <c r="Z58" s="131"/>
      <c r="AA58" s="131"/>
      <c r="AB58" s="131"/>
      <c r="AC58" s="131"/>
      <c r="AD58" s="131"/>
      <c r="AE58" s="131"/>
      <c r="AF58" s="131"/>
      <c r="AG58" s="131"/>
      <c r="AH58" s="116"/>
      <c r="AI58" s="114"/>
      <c r="AJ58" s="132"/>
    </row>
    <row r="59" spans="1:36">
      <c r="B59" s="10" t="s">
        <v>343</v>
      </c>
      <c r="C59" s="118"/>
      <c r="D59" s="118"/>
      <c r="E59" s="124"/>
      <c r="F59" s="124"/>
      <c r="G59" s="180">
        <v>466</v>
      </c>
      <c r="H59" s="124"/>
      <c r="I59" s="124"/>
      <c r="J59" s="124"/>
      <c r="K59" s="124"/>
      <c r="L59" s="124"/>
      <c r="M59" s="124"/>
      <c r="N59" s="124"/>
      <c r="O59" s="124"/>
      <c r="P59" s="124"/>
      <c r="Q59" s="124"/>
      <c r="R59" s="124"/>
      <c r="S59" s="180">
        <v>466</v>
      </c>
      <c r="T59" s="180">
        <v>1019</v>
      </c>
      <c r="U59" s="180">
        <v>879</v>
      </c>
      <c r="V59" s="101">
        <f t="shared" si="2"/>
        <v>4.6371556205144326E-2</v>
      </c>
      <c r="W59" s="21">
        <f t="shared" si="7"/>
        <v>0.15</v>
      </c>
      <c r="X59" s="130">
        <f t="shared" si="8"/>
        <v>1010.8499999999999</v>
      </c>
      <c r="Y59" s="130">
        <f t="shared" ref="Y59:AG59" si="219">X59*(1+$W59)</f>
        <v>1162.4774999999997</v>
      </c>
      <c r="Z59" s="130">
        <f t="shared" si="219"/>
        <v>1336.8491249999995</v>
      </c>
      <c r="AA59" s="130">
        <f t="shared" si="219"/>
        <v>1537.3764937499993</v>
      </c>
      <c r="AB59" s="130">
        <f t="shared" si="219"/>
        <v>1767.9829678124991</v>
      </c>
      <c r="AC59" s="130">
        <f t="shared" si="219"/>
        <v>2033.1804129843738</v>
      </c>
      <c r="AD59" s="130">
        <f t="shared" si="219"/>
        <v>2338.1574749320298</v>
      </c>
      <c r="AE59" s="130">
        <f t="shared" si="219"/>
        <v>2688.8810961718341</v>
      </c>
      <c r="AF59" s="130">
        <f t="shared" si="219"/>
        <v>3092.213260597609</v>
      </c>
      <c r="AG59" s="130">
        <f t="shared" si="219"/>
        <v>3556.0452496872499</v>
      </c>
      <c r="AH59" s="115" t="e">
        <f t="shared" si="20"/>
        <v>#DIV/0!</v>
      </c>
      <c r="AI59" s="21">
        <f t="shared" si="18"/>
        <v>0.01</v>
      </c>
      <c r="AJ59" s="123">
        <f t="shared" si="1"/>
        <v>17102.884296114869</v>
      </c>
    </row>
    <row r="60" spans="1:36" s="106" customFormat="1">
      <c r="B60" s="13"/>
      <c r="C60" s="125"/>
      <c r="D60" s="125"/>
      <c r="E60" s="126"/>
      <c r="F60" s="268"/>
      <c r="G60" s="127" t="e">
        <f t="shared" ref="G60" si="220">(G59-F59)/F59</f>
        <v>#DIV/0!</v>
      </c>
      <c r="H60" s="268" t="e">
        <f t="shared" ref="H60:R60" si="221">(H59-G59)/H59</f>
        <v>#DIV/0!</v>
      </c>
      <c r="I60" s="268" t="e">
        <f t="shared" si="221"/>
        <v>#DIV/0!</v>
      </c>
      <c r="J60" s="268" t="e">
        <f t="shared" si="221"/>
        <v>#DIV/0!</v>
      </c>
      <c r="K60" s="268" t="e">
        <f t="shared" si="221"/>
        <v>#DIV/0!</v>
      </c>
      <c r="L60" s="268" t="e">
        <f t="shared" si="221"/>
        <v>#DIV/0!</v>
      </c>
      <c r="M60" s="268" t="e">
        <f t="shared" si="221"/>
        <v>#DIV/0!</v>
      </c>
      <c r="N60" s="268" t="e">
        <f t="shared" si="221"/>
        <v>#DIV/0!</v>
      </c>
      <c r="O60" s="268" t="e">
        <f t="shared" si="221"/>
        <v>#DIV/0!</v>
      </c>
      <c r="P60" s="268" t="e">
        <f t="shared" si="221"/>
        <v>#DIV/0!</v>
      </c>
      <c r="Q60" s="268" t="e">
        <f t="shared" si="221"/>
        <v>#DIV/0!</v>
      </c>
      <c r="R60" s="268" t="e">
        <f t="shared" si="221"/>
        <v>#DIV/0!</v>
      </c>
      <c r="S60" s="127" t="e">
        <f t="shared" ref="S60:U60" si="222">(S59-R59)/R59</f>
        <v>#DIV/0!</v>
      </c>
      <c r="T60" s="127">
        <f t="shared" si="222"/>
        <v>1.1866952789699572</v>
      </c>
      <c r="U60" s="127">
        <f t="shared" si="222"/>
        <v>-0.13738959764474976</v>
      </c>
      <c r="V60" s="10"/>
      <c r="W60" s="10"/>
      <c r="X60" s="130"/>
      <c r="Y60" s="131"/>
      <c r="Z60" s="131"/>
      <c r="AA60" s="131"/>
      <c r="AB60" s="131"/>
      <c r="AC60" s="131"/>
      <c r="AD60" s="131"/>
      <c r="AE60" s="131"/>
      <c r="AF60" s="131"/>
      <c r="AG60" s="131"/>
      <c r="AH60" s="116"/>
      <c r="AI60" s="114"/>
      <c r="AJ60" s="132"/>
    </row>
    <row r="61" spans="1:36">
      <c r="B61" s="10" t="s">
        <v>197</v>
      </c>
      <c r="C61" s="119"/>
      <c r="D61" s="119"/>
      <c r="E61" s="122"/>
      <c r="F61" s="124"/>
      <c r="G61" s="122">
        <v>339</v>
      </c>
      <c r="H61" s="270"/>
      <c r="I61" s="270"/>
      <c r="J61" s="270"/>
      <c r="K61" s="270"/>
      <c r="L61" s="270"/>
      <c r="M61" s="270"/>
      <c r="N61" s="270"/>
      <c r="O61" s="270"/>
      <c r="P61" s="270"/>
      <c r="Q61" s="122"/>
      <c r="R61" s="122"/>
      <c r="S61" s="122">
        <v>339</v>
      </c>
      <c r="T61" s="122">
        <v>339</v>
      </c>
      <c r="U61" s="122">
        <v>339</v>
      </c>
      <c r="V61" s="101">
        <f t="shared" si="2"/>
        <v>0</v>
      </c>
      <c r="W61" s="21">
        <v>0.02</v>
      </c>
      <c r="X61" s="130">
        <f t="shared" si="8"/>
        <v>345.78000000000003</v>
      </c>
      <c r="Y61" s="130">
        <f>X61*(1+$W61)</f>
        <v>352.69560000000001</v>
      </c>
      <c r="Z61" s="130">
        <f t="shared" ref="Z61:AG61" si="223">Y61*(1+$W61)</f>
        <v>359.74951200000004</v>
      </c>
      <c r="AA61" s="130">
        <f t="shared" si="223"/>
        <v>366.94450224000002</v>
      </c>
      <c r="AB61" s="130">
        <f t="shared" si="223"/>
        <v>374.28339228480002</v>
      </c>
      <c r="AC61" s="130">
        <f t="shared" si="223"/>
        <v>381.76906013049603</v>
      </c>
      <c r="AD61" s="130">
        <f t="shared" si="223"/>
        <v>389.40444133310598</v>
      </c>
      <c r="AE61" s="130">
        <f t="shared" si="223"/>
        <v>397.19253015976813</v>
      </c>
      <c r="AF61" s="130">
        <f t="shared" si="223"/>
        <v>405.13638076296348</v>
      </c>
      <c r="AG61" s="130">
        <f t="shared" si="223"/>
        <v>413.23910837822274</v>
      </c>
      <c r="AH61" s="115" t="e">
        <f t="shared" si="20"/>
        <v>#DIV/0!</v>
      </c>
      <c r="AI61" s="21">
        <f t="shared" si="18"/>
        <v>0.01</v>
      </c>
      <c r="AJ61" s="123">
        <f t="shared" si="1"/>
        <v>1987.4833307714523</v>
      </c>
    </row>
    <row r="62" spans="1:36">
      <c r="B62" s="10"/>
      <c r="C62" s="119"/>
      <c r="D62" s="119"/>
      <c r="E62" s="120"/>
      <c r="F62" s="268"/>
      <c r="G62" s="127" t="e">
        <f t="shared" ref="G62" si="224">(G61-F61)/F61</f>
        <v>#DIV/0!</v>
      </c>
      <c r="H62" s="268" t="e">
        <f>(H61-F61)/H61</f>
        <v>#DIV/0!</v>
      </c>
      <c r="I62" s="268" t="e">
        <f t="shared" ref="I62:R62" si="225">(I61-H61)/I61</f>
        <v>#DIV/0!</v>
      </c>
      <c r="J62" s="268" t="e">
        <f t="shared" si="225"/>
        <v>#DIV/0!</v>
      </c>
      <c r="K62" s="268" t="e">
        <f t="shared" si="225"/>
        <v>#DIV/0!</v>
      </c>
      <c r="L62" s="268" t="e">
        <f t="shared" si="225"/>
        <v>#DIV/0!</v>
      </c>
      <c r="M62" s="268" t="e">
        <f t="shared" si="225"/>
        <v>#DIV/0!</v>
      </c>
      <c r="N62" s="268" t="e">
        <f t="shared" si="225"/>
        <v>#DIV/0!</v>
      </c>
      <c r="O62" s="268" t="e">
        <f t="shared" si="225"/>
        <v>#DIV/0!</v>
      </c>
      <c r="P62" s="268" t="e">
        <f t="shared" si="225"/>
        <v>#DIV/0!</v>
      </c>
      <c r="Q62" s="268" t="e">
        <f t="shared" si="225"/>
        <v>#DIV/0!</v>
      </c>
      <c r="R62" s="268" t="e">
        <f t="shared" si="225"/>
        <v>#DIV/0!</v>
      </c>
      <c r="S62" s="127" t="e">
        <f t="shared" ref="S62:U62" si="226">(S61-R61)/R61</f>
        <v>#DIV/0!</v>
      </c>
      <c r="T62" s="127">
        <f t="shared" si="226"/>
        <v>0</v>
      </c>
      <c r="U62" s="127">
        <f t="shared" si="226"/>
        <v>0</v>
      </c>
      <c r="V62" s="10"/>
      <c r="W62" s="10"/>
      <c r="X62" s="130"/>
      <c r="Y62" s="130"/>
      <c r="Z62" s="130"/>
      <c r="AA62" s="130"/>
      <c r="AB62" s="130"/>
      <c r="AC62" s="130"/>
      <c r="AD62" s="130"/>
      <c r="AE62" s="130"/>
      <c r="AF62" s="130"/>
      <c r="AG62" s="130"/>
      <c r="AH62" s="116"/>
      <c r="AI62" s="114"/>
      <c r="AJ62" s="123"/>
    </row>
    <row r="63" spans="1:36">
      <c r="B63" s="10" t="s">
        <v>232</v>
      </c>
      <c r="C63" s="122"/>
      <c r="D63" s="122"/>
      <c r="E63" s="122"/>
      <c r="F63" s="124"/>
      <c r="G63" s="180"/>
      <c r="H63" s="271"/>
      <c r="I63" s="271"/>
      <c r="J63" s="271"/>
      <c r="K63" s="271"/>
      <c r="L63" s="271"/>
      <c r="M63" s="271"/>
      <c r="N63" s="271"/>
      <c r="O63" s="271"/>
      <c r="P63" s="271"/>
      <c r="Q63" s="124"/>
      <c r="R63" s="124"/>
      <c r="S63" s="180"/>
      <c r="T63" s="180"/>
      <c r="U63" s="180"/>
      <c r="V63" s="101" t="e">
        <f t="shared" si="2"/>
        <v>#DIV/0!</v>
      </c>
      <c r="W63" s="21">
        <v>0.02</v>
      </c>
      <c r="X63" s="130">
        <f t="shared" si="8"/>
        <v>0</v>
      </c>
      <c r="Y63" s="130">
        <f t="shared" ref="Y63" si="227">X63*(1+$W63)</f>
        <v>0</v>
      </c>
      <c r="Z63" s="130">
        <f t="shared" ref="Z63" si="228">Y63*(1+$W63)</f>
        <v>0</v>
      </c>
      <c r="AA63" s="130">
        <f t="shared" ref="AA63" si="229">Z63*(1+$W63)</f>
        <v>0</v>
      </c>
      <c r="AB63" s="130">
        <f t="shared" ref="AB63" si="230">AA63*(1+$W63)</f>
        <v>0</v>
      </c>
      <c r="AC63" s="130">
        <f t="shared" ref="AC63" si="231">AB63*(1+$W63)</f>
        <v>0</v>
      </c>
      <c r="AD63" s="130">
        <f t="shared" ref="AD63" si="232">AC63*(1+$W63)</f>
        <v>0</v>
      </c>
      <c r="AE63" s="130">
        <f t="shared" ref="AE63" si="233">AD63*(1+$W63)</f>
        <v>0</v>
      </c>
      <c r="AF63" s="130">
        <f t="shared" ref="AF63" si="234">AE63*(1+$W63)</f>
        <v>0</v>
      </c>
      <c r="AG63" s="130">
        <f t="shared" ref="AG63" si="235">AF63*(1+$W63)</f>
        <v>0</v>
      </c>
      <c r="AH63" s="115" t="e">
        <f t="shared" ref="AH63" si="236">((AG63/J63)^(1/($AG$3-$K$1) ))-1</f>
        <v>#DIV/0!</v>
      </c>
      <c r="AI63" s="21">
        <f t="shared" si="18"/>
        <v>0.01</v>
      </c>
      <c r="AJ63" s="123">
        <f t="shared" si="1"/>
        <v>0</v>
      </c>
    </row>
    <row r="64" spans="1:36">
      <c r="B64" s="10"/>
      <c r="C64" s="122"/>
      <c r="D64" s="122"/>
      <c r="E64" s="122"/>
      <c r="F64" s="127"/>
      <c r="G64" s="127" t="e">
        <f t="shared" ref="G64" si="237">(G63-F63)/F63</f>
        <v>#DIV/0!</v>
      </c>
      <c r="H64" s="127" t="e">
        <f t="shared" ref="H64" si="238">(H63-F63)/F63</f>
        <v>#DIV/0!</v>
      </c>
      <c r="I64" s="127" t="e">
        <f t="shared" ref="I64:U64" si="239">(I63-H63)/H63</f>
        <v>#DIV/0!</v>
      </c>
      <c r="J64" s="127" t="e">
        <f t="shared" si="239"/>
        <v>#DIV/0!</v>
      </c>
      <c r="K64" s="127" t="e">
        <f t="shared" si="239"/>
        <v>#DIV/0!</v>
      </c>
      <c r="L64" s="127" t="e">
        <f t="shared" si="239"/>
        <v>#DIV/0!</v>
      </c>
      <c r="M64" s="127" t="e">
        <f t="shared" si="239"/>
        <v>#DIV/0!</v>
      </c>
      <c r="N64" s="127" t="e">
        <f t="shared" si="239"/>
        <v>#DIV/0!</v>
      </c>
      <c r="O64" s="127" t="e">
        <f t="shared" si="239"/>
        <v>#DIV/0!</v>
      </c>
      <c r="P64" s="127" t="e">
        <f t="shared" si="239"/>
        <v>#DIV/0!</v>
      </c>
      <c r="Q64" s="127" t="e">
        <f t="shared" si="239"/>
        <v>#DIV/0!</v>
      </c>
      <c r="R64" s="127" t="e">
        <f t="shared" si="239"/>
        <v>#DIV/0!</v>
      </c>
      <c r="S64" s="127" t="e">
        <f t="shared" si="239"/>
        <v>#DIV/0!</v>
      </c>
      <c r="T64" s="127" t="e">
        <f t="shared" si="239"/>
        <v>#DIV/0!</v>
      </c>
      <c r="U64" s="127" t="e">
        <f t="shared" si="239"/>
        <v>#DIV/0!</v>
      </c>
      <c r="V64" s="10"/>
      <c r="W64" s="10"/>
      <c r="X64" s="130"/>
      <c r="Y64" s="130"/>
      <c r="Z64" s="130"/>
      <c r="AA64" s="130"/>
      <c r="AB64" s="130"/>
      <c r="AC64" s="130"/>
      <c r="AD64" s="130"/>
      <c r="AE64" s="130"/>
      <c r="AF64" s="130"/>
      <c r="AG64" s="130"/>
      <c r="AH64" s="116"/>
      <c r="AI64" s="114"/>
      <c r="AJ64" s="123"/>
    </row>
    <row r="65" spans="2:36">
      <c r="B65" s="10" t="s">
        <v>368</v>
      </c>
      <c r="C65" s="10"/>
      <c r="D65" s="10"/>
      <c r="E65" s="108"/>
      <c r="F65" s="124"/>
      <c r="G65" s="124">
        <v>0</v>
      </c>
      <c r="H65" s="124">
        <v>0</v>
      </c>
      <c r="I65" s="124">
        <v>0</v>
      </c>
      <c r="J65" s="124">
        <v>0</v>
      </c>
      <c r="K65" s="124">
        <v>0</v>
      </c>
      <c r="L65" s="124">
        <v>0</v>
      </c>
      <c r="M65" s="124">
        <v>0</v>
      </c>
      <c r="N65" s="124">
        <v>0</v>
      </c>
      <c r="O65" s="124">
        <v>0</v>
      </c>
      <c r="P65" s="124">
        <v>0</v>
      </c>
      <c r="Q65" s="124">
        <v>0</v>
      </c>
      <c r="R65" s="124">
        <v>0</v>
      </c>
      <c r="S65" s="124">
        <v>0</v>
      </c>
      <c r="T65" s="124">
        <v>0</v>
      </c>
      <c r="U65" s="124">
        <v>0</v>
      </c>
      <c r="V65" s="101" t="e">
        <f t="shared" si="2"/>
        <v>#DIV/0!</v>
      </c>
      <c r="W65" s="109"/>
      <c r="X65" s="130"/>
      <c r="Y65" s="130"/>
      <c r="Z65" s="130"/>
      <c r="AA65" s="130"/>
      <c r="AB65" s="130"/>
      <c r="AC65" s="130"/>
      <c r="AD65" s="130"/>
      <c r="AE65" s="130"/>
      <c r="AF65" s="130"/>
      <c r="AG65" s="130"/>
      <c r="AH65" s="116"/>
      <c r="AI65" s="114"/>
      <c r="AJ65" s="130"/>
    </row>
    <row r="66" spans="2:36">
      <c r="B66" s="10" t="s">
        <v>366</v>
      </c>
      <c r="C66" s="10"/>
      <c r="D66" s="10"/>
      <c r="E66" s="108"/>
      <c r="F66" s="124"/>
      <c r="G66" s="124">
        <v>0</v>
      </c>
      <c r="H66" s="124">
        <v>0</v>
      </c>
      <c r="I66" s="124">
        <v>0</v>
      </c>
      <c r="J66" s="124">
        <v>0</v>
      </c>
      <c r="K66" s="124">
        <v>0</v>
      </c>
      <c r="L66" s="124">
        <v>0</v>
      </c>
      <c r="M66" s="124">
        <v>0</v>
      </c>
      <c r="N66" s="124">
        <v>0</v>
      </c>
      <c r="O66" s="124">
        <v>0</v>
      </c>
      <c r="P66" s="124">
        <v>0</v>
      </c>
      <c r="Q66" s="124">
        <v>0</v>
      </c>
      <c r="R66" s="124">
        <v>0</v>
      </c>
      <c r="S66" s="124">
        <v>0</v>
      </c>
      <c r="T66" s="124">
        <v>0</v>
      </c>
      <c r="U66" s="124">
        <v>0</v>
      </c>
      <c r="V66" s="101" t="e">
        <f t="shared" si="2"/>
        <v>#DIV/0!</v>
      </c>
      <c r="W66" s="109"/>
      <c r="X66" s="130"/>
      <c r="Y66" s="130"/>
      <c r="Z66" s="130"/>
      <c r="AA66" s="130"/>
      <c r="AB66" s="130"/>
      <c r="AC66" s="130"/>
      <c r="AD66" s="130"/>
      <c r="AE66" s="130"/>
      <c r="AF66" s="130"/>
      <c r="AG66" s="130"/>
      <c r="AH66" s="116"/>
      <c r="AI66" s="114"/>
      <c r="AJ66" s="130"/>
    </row>
    <row r="67" spans="2:36">
      <c r="B67" s="10" t="s">
        <v>367</v>
      </c>
      <c r="C67" s="10"/>
      <c r="D67" s="10"/>
      <c r="E67" s="108"/>
      <c r="F67" s="124"/>
      <c r="G67" s="124">
        <v>0</v>
      </c>
      <c r="H67" s="124">
        <v>0</v>
      </c>
      <c r="I67" s="124">
        <v>0</v>
      </c>
      <c r="J67" s="124">
        <v>0</v>
      </c>
      <c r="K67" s="124">
        <v>0</v>
      </c>
      <c r="L67" s="124">
        <v>0</v>
      </c>
      <c r="M67" s="124">
        <v>0</v>
      </c>
      <c r="N67" s="124">
        <v>0</v>
      </c>
      <c r="O67" s="124">
        <v>0</v>
      </c>
      <c r="P67" s="124">
        <v>0</v>
      </c>
      <c r="Q67" s="124">
        <v>0</v>
      </c>
      <c r="R67" s="124">
        <v>0</v>
      </c>
      <c r="S67" s="124">
        <v>0</v>
      </c>
      <c r="T67" s="124">
        <v>0</v>
      </c>
      <c r="U67" s="124">
        <v>0</v>
      </c>
      <c r="V67" s="101" t="e">
        <f t="shared" si="2"/>
        <v>#DIV/0!</v>
      </c>
      <c r="W67" s="109"/>
      <c r="X67" s="130"/>
      <c r="Y67" s="130"/>
      <c r="Z67" s="130"/>
      <c r="AA67" s="130"/>
      <c r="AB67" s="130"/>
      <c r="AC67" s="130"/>
      <c r="AD67" s="130"/>
      <c r="AE67" s="130"/>
      <c r="AF67" s="130"/>
      <c r="AG67" s="130"/>
      <c r="AH67" s="116"/>
      <c r="AI67" s="114"/>
      <c r="AJ67" s="130"/>
    </row>
    <row r="68" spans="2:36">
      <c r="B68" s="10"/>
      <c r="C68" s="10"/>
      <c r="D68" s="10"/>
      <c r="E68" s="108"/>
      <c r="F68" s="108"/>
      <c r="G68" s="108"/>
      <c r="H68" s="108"/>
      <c r="I68" s="108"/>
      <c r="J68" s="108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30"/>
      <c r="Y68" s="130"/>
      <c r="Z68" s="130"/>
      <c r="AA68" s="130"/>
      <c r="AB68" s="130"/>
      <c r="AC68" s="130"/>
      <c r="AD68" s="130"/>
      <c r="AE68" s="130"/>
      <c r="AF68" s="130"/>
      <c r="AG68" s="130"/>
      <c r="AH68" s="116"/>
      <c r="AI68" s="114"/>
      <c r="AJ68" s="130"/>
    </row>
    <row r="69" spans="2:36">
      <c r="B69" s="93" t="s">
        <v>200</v>
      </c>
      <c r="C69" s="10"/>
      <c r="D69" s="10"/>
      <c r="E69" s="108"/>
      <c r="F69" s="108"/>
      <c r="G69" s="108"/>
      <c r="H69" s="108"/>
      <c r="I69" s="108"/>
      <c r="J69" s="108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30"/>
      <c r="Y69" s="130"/>
      <c r="Z69" s="130"/>
      <c r="AA69" s="130"/>
      <c r="AB69" s="130"/>
      <c r="AC69" s="130"/>
      <c r="AD69" s="130"/>
      <c r="AE69" s="130"/>
      <c r="AF69" s="130"/>
      <c r="AG69" s="130"/>
      <c r="AH69" s="116"/>
      <c r="AI69" s="114"/>
      <c r="AJ69" s="130"/>
    </row>
    <row r="70" spans="2:36">
      <c r="B70" s="10" t="s">
        <v>252</v>
      </c>
      <c r="C70" s="111"/>
      <c r="D70" s="111"/>
      <c r="E70" s="111"/>
      <c r="F70" s="111"/>
      <c r="G70" s="111">
        <f t="shared" ref="G70" si="240">G25/G61</f>
        <v>11.952802359882005</v>
      </c>
      <c r="H70" s="111" t="e">
        <f t="shared" ref="H70:I70" si="241">H25/H61</f>
        <v>#DIV/0!</v>
      </c>
      <c r="I70" s="111" t="e">
        <f t="shared" si="241"/>
        <v>#DIV/0!</v>
      </c>
      <c r="J70" s="111" t="e">
        <f t="shared" ref="J70:S70" si="242">J25/J61</f>
        <v>#DIV/0!</v>
      </c>
      <c r="K70" s="111" t="e">
        <f t="shared" si="242"/>
        <v>#DIV/0!</v>
      </c>
      <c r="L70" s="111" t="e">
        <f t="shared" si="242"/>
        <v>#DIV/0!</v>
      </c>
      <c r="M70" s="111" t="e">
        <f t="shared" si="242"/>
        <v>#DIV/0!</v>
      </c>
      <c r="N70" s="111" t="e">
        <f t="shared" si="242"/>
        <v>#DIV/0!</v>
      </c>
      <c r="O70" s="111" t="e">
        <f t="shared" si="242"/>
        <v>#DIV/0!</v>
      </c>
      <c r="P70" s="111" t="e">
        <f t="shared" si="242"/>
        <v>#DIV/0!</v>
      </c>
      <c r="Q70" s="111" t="e">
        <f t="shared" si="242"/>
        <v>#DIV/0!</v>
      </c>
      <c r="R70" s="111" t="e">
        <f t="shared" si="242"/>
        <v>#DIV/0!</v>
      </c>
      <c r="S70" s="111">
        <f t="shared" si="242"/>
        <v>11.946902654867257</v>
      </c>
      <c r="T70" s="111">
        <f t="shared" ref="T70:U70" si="243">T25/T61</f>
        <v>28.309734513274336</v>
      </c>
      <c r="U70" s="111">
        <f t="shared" si="243"/>
        <v>30.141592920353983</v>
      </c>
      <c r="V70" s="101">
        <f t="shared" si="2"/>
        <v>6.8298465078826753E-2</v>
      </c>
      <c r="W70" s="109"/>
      <c r="X70" s="134">
        <f t="shared" ref="X70:AG70" si="244">X25/X61</f>
        <v>33.983168488634384</v>
      </c>
      <c r="Y70" s="134">
        <f t="shared" si="244"/>
        <v>38.31435662934269</v>
      </c>
      <c r="Z70" s="134">
        <f t="shared" si="244"/>
        <v>43.197558944847145</v>
      </c>
      <c r="AA70" s="134">
        <f t="shared" si="244"/>
        <v>48.703130182915899</v>
      </c>
      <c r="AB70" s="134">
        <f t="shared" si="244"/>
        <v>54.910391872895374</v>
      </c>
      <c r="AC70" s="134">
        <f t="shared" si="244"/>
        <v>61.908775150813398</v>
      </c>
      <c r="AD70" s="134">
        <f t="shared" si="244"/>
        <v>69.799109238662155</v>
      </c>
      <c r="AE70" s="134">
        <f t="shared" si="244"/>
        <v>78.695074141628893</v>
      </c>
      <c r="AF70" s="134">
        <f t="shared" si="244"/>
        <v>88.724838493012967</v>
      </c>
      <c r="AG70" s="134">
        <f t="shared" si="244"/>
        <v>100.03290614408324</v>
      </c>
      <c r="AH70" s="115" t="e">
        <f t="shared" ref="AH70" si="245">((AG70/J70)^(1/($AG$3-$K$1) ))-1</f>
        <v>#DIV/0!</v>
      </c>
      <c r="AI70" s="21">
        <f t="shared" si="18"/>
        <v>0.01</v>
      </c>
      <c r="AJ70" s="123">
        <f t="shared" ref="AJ70:AJ71" si="246">(AG70*(1+AI70))/($C$1-AI70)</f>
        <v>481.11064383582897</v>
      </c>
    </row>
    <row r="71" spans="2:36">
      <c r="B71" s="10" t="s">
        <v>253</v>
      </c>
      <c r="C71" s="111"/>
      <c r="D71" s="111"/>
      <c r="E71" s="111"/>
      <c r="F71" s="111"/>
      <c r="G71" s="111">
        <f t="shared" ref="G71" si="247">G27/G61</f>
        <v>10.575221238938052</v>
      </c>
      <c r="H71" s="111" t="e">
        <f t="shared" ref="H71:I71" si="248">H27/H61</f>
        <v>#DIV/0!</v>
      </c>
      <c r="I71" s="111" t="e">
        <f t="shared" si="248"/>
        <v>#DIV/0!</v>
      </c>
      <c r="J71" s="111" t="e">
        <f t="shared" ref="J71:S71" si="249">J27/J61</f>
        <v>#DIV/0!</v>
      </c>
      <c r="K71" s="111" t="e">
        <f t="shared" si="249"/>
        <v>#DIV/0!</v>
      </c>
      <c r="L71" s="111" t="e">
        <f t="shared" si="249"/>
        <v>#DIV/0!</v>
      </c>
      <c r="M71" s="111" t="e">
        <f t="shared" si="249"/>
        <v>#DIV/0!</v>
      </c>
      <c r="N71" s="111" t="e">
        <f t="shared" si="249"/>
        <v>#DIV/0!</v>
      </c>
      <c r="O71" s="111" t="e">
        <f t="shared" si="249"/>
        <v>#DIV/0!</v>
      </c>
      <c r="P71" s="111" t="e">
        <f t="shared" si="249"/>
        <v>#DIV/0!</v>
      </c>
      <c r="Q71" s="111" t="e">
        <f t="shared" si="249"/>
        <v>#DIV/0!</v>
      </c>
      <c r="R71" s="111" t="e">
        <f t="shared" si="249"/>
        <v>#DIV/0!</v>
      </c>
      <c r="S71" s="111">
        <f t="shared" si="249"/>
        <v>10.575221238938052</v>
      </c>
      <c r="T71" s="111">
        <f t="shared" ref="T71:U71" si="250">T27/T61</f>
        <v>25.150442477876105</v>
      </c>
      <c r="U71" s="111">
        <f t="shared" si="250"/>
        <v>27.32448377581121</v>
      </c>
      <c r="V71" s="101">
        <f t="shared" si="2"/>
        <v>7.0156569083821729E-2</v>
      </c>
      <c r="W71" s="109"/>
      <c r="X71" s="134">
        <f t="shared" ref="X71:AG71" si="251">X27/X61</f>
        <v>30.807016021747927</v>
      </c>
      <c r="Y71" s="134">
        <f t="shared" si="251"/>
        <v>34.733400416676581</v>
      </c>
      <c r="Z71" s="134">
        <f t="shared" si="251"/>
        <v>39.160206352135354</v>
      </c>
      <c r="AA71" s="134">
        <f t="shared" si="251"/>
        <v>44.151213044074176</v>
      </c>
      <c r="AB71" s="134">
        <f t="shared" si="251"/>
        <v>49.778328432044418</v>
      </c>
      <c r="AC71" s="134">
        <f t="shared" si="251"/>
        <v>56.122625192991244</v>
      </c>
      <c r="AD71" s="134">
        <f t="shared" si="251"/>
        <v>63.275508796019537</v>
      </c>
      <c r="AE71" s="134">
        <f t="shared" si="251"/>
        <v>71.340034426884756</v>
      </c>
      <c r="AF71" s="134">
        <f t="shared" si="251"/>
        <v>80.432391755801433</v>
      </c>
      <c r="AG71" s="134">
        <f t="shared" si="251"/>
        <v>90.683578940364356</v>
      </c>
      <c r="AH71" s="115" t="e">
        <f t="shared" ref="AH71" si="252">((AG71/J71)^(1/($AG$3-$K$1) ))-1</f>
        <v>#DIV/0!</v>
      </c>
      <c r="AI71" s="21">
        <f t="shared" si="18"/>
        <v>0.01</v>
      </c>
      <c r="AJ71" s="123">
        <f t="shared" si="246"/>
        <v>436.1448320465143</v>
      </c>
    </row>
    <row r="72" spans="2:36">
      <c r="B72" s="10" t="s">
        <v>369</v>
      </c>
      <c r="C72" s="111"/>
      <c r="D72" s="111"/>
      <c r="E72" s="111"/>
      <c r="F72" s="111"/>
      <c r="G72" s="111">
        <f t="shared" ref="G72" si="253">G55-G59</f>
        <v>-466</v>
      </c>
      <c r="H72" s="111">
        <f t="shared" ref="H72:I72" si="254">H55-H59</f>
        <v>0</v>
      </c>
      <c r="I72" s="111">
        <f t="shared" si="254"/>
        <v>0</v>
      </c>
      <c r="J72" s="111">
        <f>J55-J59</f>
        <v>0</v>
      </c>
      <c r="K72" s="111">
        <f t="shared" ref="K72:S72" si="255">K55-K59</f>
        <v>0</v>
      </c>
      <c r="L72" s="111">
        <f t="shared" si="255"/>
        <v>0</v>
      </c>
      <c r="M72" s="111">
        <f t="shared" si="255"/>
        <v>0</v>
      </c>
      <c r="N72" s="111">
        <f t="shared" si="255"/>
        <v>0</v>
      </c>
      <c r="O72" s="111">
        <f t="shared" si="255"/>
        <v>0</v>
      </c>
      <c r="P72" s="111">
        <f t="shared" si="255"/>
        <v>0</v>
      </c>
      <c r="Q72" s="111">
        <f t="shared" si="255"/>
        <v>0</v>
      </c>
      <c r="R72" s="111">
        <f t="shared" si="255"/>
        <v>0</v>
      </c>
      <c r="S72" s="111">
        <f t="shared" si="255"/>
        <v>-466</v>
      </c>
      <c r="T72" s="111">
        <f t="shared" ref="T72:U72" si="256">T55-T59</f>
        <v>-1019</v>
      </c>
      <c r="U72" s="111">
        <f t="shared" si="256"/>
        <v>-879</v>
      </c>
      <c r="V72" s="101">
        <f t="shared" si="2"/>
        <v>4.6371556205144326E-2</v>
      </c>
      <c r="W72" s="109"/>
      <c r="X72" s="111">
        <f t="shared" ref="X72:AG72" si="257">X55-X59</f>
        <v>-1010.8499999999999</v>
      </c>
      <c r="Y72" s="111">
        <f t="shared" si="257"/>
        <v>-1162.4774999999997</v>
      </c>
      <c r="Z72" s="111">
        <f t="shared" si="257"/>
        <v>-1336.8491249999995</v>
      </c>
      <c r="AA72" s="111">
        <f t="shared" si="257"/>
        <v>-1537.3764937499993</v>
      </c>
      <c r="AB72" s="111">
        <f t="shared" si="257"/>
        <v>-1767.9829678124991</v>
      </c>
      <c r="AC72" s="111">
        <f t="shared" si="257"/>
        <v>-2033.1804129843738</v>
      </c>
      <c r="AD72" s="111">
        <f t="shared" si="257"/>
        <v>-2338.1574749320298</v>
      </c>
      <c r="AE72" s="111">
        <f t="shared" si="257"/>
        <v>-2688.8810961718341</v>
      </c>
      <c r="AF72" s="111">
        <f t="shared" si="257"/>
        <v>-3092.213260597609</v>
      </c>
      <c r="AG72" s="111">
        <f t="shared" si="257"/>
        <v>-3556.0452496872499</v>
      </c>
      <c r="AH72" s="115" t="e">
        <f t="shared" ref="AH72" si="258">((AG72/J72)^(1/($AG$3-$K$1) ))-1</f>
        <v>#DIV/0!</v>
      </c>
      <c r="AI72" s="21">
        <f t="shared" si="18"/>
        <v>0.01</v>
      </c>
      <c r="AJ72" s="123">
        <f t="shared" ref="AJ72" si="259">(AG72*(1+AI72))/($C$1-AI72)</f>
        <v>-17102.884296114869</v>
      </c>
    </row>
    <row r="73" spans="2:36">
      <c r="B73" s="10"/>
      <c r="C73" s="111"/>
      <c r="D73" s="111"/>
      <c r="E73" s="111"/>
      <c r="F73" s="111"/>
      <c r="G73" s="111"/>
      <c r="H73" s="111"/>
      <c r="I73" s="111"/>
      <c r="J73" s="111"/>
      <c r="K73" s="111"/>
      <c r="L73" s="111"/>
      <c r="M73" s="111"/>
      <c r="N73" s="111"/>
      <c r="O73" s="111"/>
      <c r="P73" s="111"/>
      <c r="Q73" s="111"/>
      <c r="R73" s="111"/>
      <c r="S73" s="111"/>
      <c r="T73" s="111"/>
      <c r="U73" s="111"/>
      <c r="V73" s="10"/>
      <c r="W73" s="10"/>
      <c r="X73" s="134"/>
      <c r="Y73" s="134"/>
      <c r="Z73" s="134"/>
      <c r="AA73" s="134"/>
      <c r="AB73" s="134"/>
      <c r="AC73" s="134"/>
      <c r="AD73" s="134"/>
      <c r="AE73" s="134"/>
      <c r="AF73" s="134"/>
      <c r="AG73" s="134"/>
      <c r="AH73" s="102"/>
      <c r="AI73" s="114"/>
      <c r="AJ73" s="123"/>
    </row>
    <row r="74" spans="2:36">
      <c r="B74" s="10" t="s">
        <v>402</v>
      </c>
      <c r="C74" s="111"/>
      <c r="D74" s="111"/>
      <c r="E74" s="111"/>
      <c r="F74" s="15"/>
      <c r="G74" s="15">
        <f t="shared" ref="G74" si="260">G53/G61</f>
        <v>0</v>
      </c>
      <c r="H74" s="15" t="e">
        <f t="shared" ref="H74:I74" si="261">H53/H61</f>
        <v>#DIV/0!</v>
      </c>
      <c r="I74" s="15" t="e">
        <f t="shared" si="261"/>
        <v>#DIV/0!</v>
      </c>
      <c r="J74" s="15" t="e">
        <f t="shared" ref="J74:S74" si="262">J53/J61</f>
        <v>#DIV/0!</v>
      </c>
      <c r="K74" s="15" t="e">
        <f t="shared" si="262"/>
        <v>#DIV/0!</v>
      </c>
      <c r="L74" s="15" t="e">
        <f t="shared" si="262"/>
        <v>#DIV/0!</v>
      </c>
      <c r="M74" s="15" t="e">
        <f t="shared" si="262"/>
        <v>#DIV/0!</v>
      </c>
      <c r="N74" s="15" t="e">
        <f t="shared" si="262"/>
        <v>#DIV/0!</v>
      </c>
      <c r="O74" s="15" t="e">
        <f t="shared" si="262"/>
        <v>#DIV/0!</v>
      </c>
      <c r="P74" s="15" t="e">
        <f t="shared" si="262"/>
        <v>#DIV/0!</v>
      </c>
      <c r="Q74" s="15" t="e">
        <f t="shared" si="262"/>
        <v>#DIV/0!</v>
      </c>
      <c r="R74" s="15" t="e">
        <f t="shared" si="262"/>
        <v>#DIV/0!</v>
      </c>
      <c r="S74" s="15">
        <f t="shared" si="262"/>
        <v>0</v>
      </c>
      <c r="T74" s="15">
        <f>T53/T61</f>
        <v>0</v>
      </c>
      <c r="U74" s="15">
        <f>U53/U61</f>
        <v>0</v>
      </c>
      <c r="V74" s="101" t="e">
        <f t="shared" si="2"/>
        <v>#DIV/0!</v>
      </c>
      <c r="W74" s="109"/>
      <c r="X74" s="96">
        <f>X53/X61</f>
        <v>0</v>
      </c>
      <c r="Y74" s="96">
        <f t="shared" ref="Y74:AG74" si="263">Y53/Y61</f>
        <v>0</v>
      </c>
      <c r="Z74" s="96">
        <f t="shared" si="263"/>
        <v>0</v>
      </c>
      <c r="AA74" s="96">
        <f t="shared" si="263"/>
        <v>0</v>
      </c>
      <c r="AB74" s="96">
        <f t="shared" si="263"/>
        <v>0</v>
      </c>
      <c r="AC74" s="96">
        <f t="shared" si="263"/>
        <v>0</v>
      </c>
      <c r="AD74" s="96">
        <f t="shared" si="263"/>
        <v>0</v>
      </c>
      <c r="AE74" s="96">
        <f t="shared" si="263"/>
        <v>0</v>
      </c>
      <c r="AF74" s="96">
        <f t="shared" si="263"/>
        <v>0</v>
      </c>
      <c r="AG74" s="96">
        <f t="shared" si="263"/>
        <v>0</v>
      </c>
      <c r="AH74" s="115" t="e">
        <f t="shared" ref="AH74:AH75" si="264">((AG74/J74)^(1/($AG$3-$K$1) ))-1</f>
        <v>#DIV/0!</v>
      </c>
      <c r="AI74" s="21">
        <f t="shared" si="18"/>
        <v>0.01</v>
      </c>
      <c r="AJ74" s="123">
        <f t="shared" ref="AJ74:AJ75" si="265">(AG74*(1+AI74))/($C$1-AI74)</f>
        <v>0</v>
      </c>
    </row>
    <row r="75" spans="2:36">
      <c r="B75" s="10" t="s">
        <v>403</v>
      </c>
      <c r="C75" s="111"/>
      <c r="D75" s="111"/>
      <c r="E75" s="111"/>
      <c r="F75" s="15"/>
      <c r="G75" s="15">
        <f t="shared" ref="G75" si="266">G55/G61</f>
        <v>0</v>
      </c>
      <c r="H75" s="15" t="e">
        <f t="shared" ref="H75:I75" si="267">H55/H61</f>
        <v>#DIV/0!</v>
      </c>
      <c r="I75" s="15" t="e">
        <f t="shared" si="267"/>
        <v>#DIV/0!</v>
      </c>
      <c r="J75" s="15" t="e">
        <f t="shared" ref="J75:S75" si="268">J55/J61</f>
        <v>#DIV/0!</v>
      </c>
      <c r="K75" s="15" t="e">
        <f t="shared" si="268"/>
        <v>#DIV/0!</v>
      </c>
      <c r="L75" s="15" t="e">
        <f t="shared" si="268"/>
        <v>#DIV/0!</v>
      </c>
      <c r="M75" s="15" t="e">
        <f t="shared" si="268"/>
        <v>#DIV/0!</v>
      </c>
      <c r="N75" s="15" t="e">
        <f t="shared" si="268"/>
        <v>#DIV/0!</v>
      </c>
      <c r="O75" s="15" t="e">
        <f t="shared" si="268"/>
        <v>#DIV/0!</v>
      </c>
      <c r="P75" s="15" t="e">
        <f t="shared" si="268"/>
        <v>#DIV/0!</v>
      </c>
      <c r="Q75" s="15" t="e">
        <f t="shared" si="268"/>
        <v>#DIV/0!</v>
      </c>
      <c r="R75" s="15" t="e">
        <f t="shared" si="268"/>
        <v>#DIV/0!</v>
      </c>
      <c r="S75" s="15">
        <f t="shared" si="268"/>
        <v>0</v>
      </c>
      <c r="T75" s="15">
        <f>T55/T61</f>
        <v>0</v>
      </c>
      <c r="U75" s="15">
        <f>U55/U61</f>
        <v>0</v>
      </c>
      <c r="V75" s="101" t="e">
        <f t="shared" ref="V75:V138" si="269">((U75/G75)^(1/($K$2-$K$1) ))-1</f>
        <v>#DIV/0!</v>
      </c>
      <c r="W75" s="109"/>
      <c r="X75" s="96">
        <f>X55/X61</f>
        <v>0</v>
      </c>
      <c r="Y75" s="96">
        <f t="shared" ref="Y75:AG75" si="270">Y55/Y61</f>
        <v>0</v>
      </c>
      <c r="Z75" s="96">
        <f t="shared" si="270"/>
        <v>0</v>
      </c>
      <c r="AA75" s="96">
        <f t="shared" si="270"/>
        <v>0</v>
      </c>
      <c r="AB75" s="96">
        <f t="shared" si="270"/>
        <v>0</v>
      </c>
      <c r="AC75" s="96">
        <f t="shared" si="270"/>
        <v>0</v>
      </c>
      <c r="AD75" s="96">
        <f t="shared" si="270"/>
        <v>0</v>
      </c>
      <c r="AE75" s="96">
        <f t="shared" si="270"/>
        <v>0</v>
      </c>
      <c r="AF75" s="96">
        <f t="shared" si="270"/>
        <v>0</v>
      </c>
      <c r="AG75" s="96">
        <f t="shared" si="270"/>
        <v>0</v>
      </c>
      <c r="AH75" s="115" t="e">
        <f t="shared" si="264"/>
        <v>#DIV/0!</v>
      </c>
      <c r="AI75" s="21">
        <f t="shared" si="18"/>
        <v>0.01</v>
      </c>
      <c r="AJ75" s="123">
        <f t="shared" si="265"/>
        <v>0</v>
      </c>
    </row>
    <row r="76" spans="2:36">
      <c r="B76" s="10" t="s">
        <v>214</v>
      </c>
      <c r="C76" s="15"/>
      <c r="D76" s="15"/>
      <c r="E76" s="15"/>
      <c r="F76" s="111"/>
      <c r="G76" s="111">
        <f t="shared" ref="G76" si="271">G59/G61</f>
        <v>1.3746312684365782</v>
      </c>
      <c r="H76" s="111" t="e">
        <f t="shared" ref="H76:I76" si="272">H59/H61</f>
        <v>#DIV/0!</v>
      </c>
      <c r="I76" s="111" t="e">
        <f t="shared" si="272"/>
        <v>#DIV/0!</v>
      </c>
      <c r="J76" s="111" t="e">
        <f t="shared" ref="J76:S76" si="273">J59/J61</f>
        <v>#DIV/0!</v>
      </c>
      <c r="K76" s="111" t="e">
        <f t="shared" si="273"/>
        <v>#DIV/0!</v>
      </c>
      <c r="L76" s="111" t="e">
        <f t="shared" si="273"/>
        <v>#DIV/0!</v>
      </c>
      <c r="M76" s="111" t="e">
        <f t="shared" si="273"/>
        <v>#DIV/0!</v>
      </c>
      <c r="N76" s="111" t="e">
        <f t="shared" si="273"/>
        <v>#DIV/0!</v>
      </c>
      <c r="O76" s="111" t="e">
        <f t="shared" si="273"/>
        <v>#DIV/0!</v>
      </c>
      <c r="P76" s="111" t="e">
        <f t="shared" si="273"/>
        <v>#DIV/0!</v>
      </c>
      <c r="Q76" s="111" t="e">
        <f t="shared" si="273"/>
        <v>#DIV/0!</v>
      </c>
      <c r="R76" s="111" t="e">
        <f t="shared" si="273"/>
        <v>#DIV/0!</v>
      </c>
      <c r="S76" s="111">
        <f t="shared" si="273"/>
        <v>1.3746312684365782</v>
      </c>
      <c r="T76" s="111">
        <f t="shared" ref="T76:U76" si="274">T59/T61</f>
        <v>3.0058997050147491</v>
      </c>
      <c r="U76" s="111">
        <f t="shared" si="274"/>
        <v>2.5929203539823007</v>
      </c>
      <c r="V76" s="101">
        <f t="shared" si="269"/>
        <v>4.6371556205144326E-2</v>
      </c>
      <c r="W76" s="109"/>
      <c r="X76" s="134">
        <f t="shared" ref="X76:AG76" si="275">X59/X61</f>
        <v>2.923390595176123</v>
      </c>
      <c r="Y76" s="134">
        <f t="shared" si="275"/>
        <v>3.2959795926005304</v>
      </c>
      <c r="Z76" s="134">
        <f t="shared" si="275"/>
        <v>3.7160554230300091</v>
      </c>
      <c r="AA76" s="134">
        <f t="shared" si="275"/>
        <v>4.1896703298867752</v>
      </c>
      <c r="AB76" s="134">
        <f t="shared" si="275"/>
        <v>4.7236479209507749</v>
      </c>
      <c r="AC76" s="134">
        <f t="shared" si="275"/>
        <v>5.3256814795033245</v>
      </c>
      <c r="AD76" s="134">
        <f t="shared" si="275"/>
        <v>6.0044448053223753</v>
      </c>
      <c r="AE76" s="134">
        <f t="shared" si="275"/>
        <v>6.7697171824713047</v>
      </c>
      <c r="AF76" s="134">
        <f t="shared" si="275"/>
        <v>7.6325242743549016</v>
      </c>
      <c r="AG76" s="134">
        <f t="shared" si="275"/>
        <v>8.6052969759883684</v>
      </c>
      <c r="AH76" s="115" t="e">
        <f t="shared" ref="AH76:AH90" si="276">((AG76/J76)^(1/($AG$3-$K$1) ))-1</f>
        <v>#DIV/0!</v>
      </c>
      <c r="AI76" s="21">
        <f t="shared" si="18"/>
        <v>0.01</v>
      </c>
      <c r="AJ76" s="123">
        <f t="shared" ref="AJ76:AJ104" si="277">(AG76*(1+AI76))/($C$1-AI76)</f>
        <v>41.387380694039294</v>
      </c>
    </row>
    <row r="77" spans="2:36">
      <c r="B77" s="10" t="s">
        <v>330</v>
      </c>
      <c r="C77" s="111"/>
      <c r="D77" s="111"/>
      <c r="E77" s="111"/>
      <c r="F77" s="111"/>
      <c r="G77" s="111">
        <f t="shared" ref="G77" si="278">G20/G61</f>
        <v>0</v>
      </c>
      <c r="H77" s="111" t="e">
        <f t="shared" ref="H77:I77" si="279">H20/H61</f>
        <v>#DIV/0!</v>
      </c>
      <c r="I77" s="111" t="e">
        <f t="shared" si="279"/>
        <v>#DIV/0!</v>
      </c>
      <c r="J77" s="111" t="e">
        <f>J20/J61</f>
        <v>#DIV/0!</v>
      </c>
      <c r="K77" s="111" t="e">
        <f t="shared" ref="K77:S77" si="280">K20/K61</f>
        <v>#DIV/0!</v>
      </c>
      <c r="L77" s="111" t="e">
        <f t="shared" si="280"/>
        <v>#DIV/0!</v>
      </c>
      <c r="M77" s="111" t="e">
        <f t="shared" si="280"/>
        <v>#DIV/0!</v>
      </c>
      <c r="N77" s="111" t="e">
        <f t="shared" si="280"/>
        <v>#DIV/0!</v>
      </c>
      <c r="O77" s="111" t="e">
        <f t="shared" si="280"/>
        <v>#DIV/0!</v>
      </c>
      <c r="P77" s="111" t="e">
        <f t="shared" si="280"/>
        <v>#DIV/0!</v>
      </c>
      <c r="Q77" s="111" t="e">
        <f t="shared" si="280"/>
        <v>#DIV/0!</v>
      </c>
      <c r="R77" s="111" t="e">
        <f t="shared" si="280"/>
        <v>#DIV/0!</v>
      </c>
      <c r="S77" s="111">
        <f t="shared" si="280"/>
        <v>0</v>
      </c>
      <c r="T77" s="111">
        <f t="shared" ref="T77:U77" si="281">T20/T61</f>
        <v>0</v>
      </c>
      <c r="U77" s="111">
        <f t="shared" si="281"/>
        <v>0</v>
      </c>
      <c r="V77" s="101" t="e">
        <f t="shared" si="269"/>
        <v>#DIV/0!</v>
      </c>
      <c r="W77" s="109"/>
      <c r="X77" s="111">
        <f t="shared" ref="X77:AG77" si="282">X20/X61</f>
        <v>0</v>
      </c>
      <c r="Y77" s="111">
        <f t="shared" si="282"/>
        <v>0</v>
      </c>
      <c r="Z77" s="111">
        <f t="shared" si="282"/>
        <v>0</v>
      </c>
      <c r="AA77" s="111">
        <f t="shared" si="282"/>
        <v>0</v>
      </c>
      <c r="AB77" s="111">
        <f t="shared" si="282"/>
        <v>0</v>
      </c>
      <c r="AC77" s="111">
        <f t="shared" si="282"/>
        <v>0</v>
      </c>
      <c r="AD77" s="111">
        <f t="shared" si="282"/>
        <v>0</v>
      </c>
      <c r="AE77" s="111">
        <f t="shared" si="282"/>
        <v>0</v>
      </c>
      <c r="AF77" s="111">
        <f t="shared" si="282"/>
        <v>0</v>
      </c>
      <c r="AG77" s="111">
        <f t="shared" si="282"/>
        <v>0</v>
      </c>
      <c r="AH77" s="115" t="e">
        <f t="shared" ref="AH77" si="283">((AG77/J77)^(1/($AG$3-$K$1) ))-1</f>
        <v>#DIV/0!</v>
      </c>
      <c r="AI77" s="21">
        <f t="shared" si="18"/>
        <v>0.01</v>
      </c>
      <c r="AJ77" s="123">
        <f t="shared" si="277"/>
        <v>0</v>
      </c>
    </row>
    <row r="78" spans="2:36">
      <c r="B78" s="10" t="s">
        <v>202</v>
      </c>
      <c r="C78" s="15"/>
      <c r="D78" s="15"/>
      <c r="E78" s="15"/>
      <c r="F78" s="111"/>
      <c r="G78" s="111">
        <f t="shared" ref="G78" si="284">G7/G61</f>
        <v>40.214011799410031</v>
      </c>
      <c r="H78" s="111" t="e">
        <f t="shared" ref="H78:I78" si="285">H7/H61</f>
        <v>#DIV/0!</v>
      </c>
      <c r="I78" s="111" t="e">
        <f t="shared" si="285"/>
        <v>#DIV/0!</v>
      </c>
      <c r="J78" s="111" t="e">
        <f t="shared" ref="J78:S78" si="286">J7/J61</f>
        <v>#DIV/0!</v>
      </c>
      <c r="K78" s="111" t="e">
        <f t="shared" si="286"/>
        <v>#DIV/0!</v>
      </c>
      <c r="L78" s="111" t="e">
        <f t="shared" si="286"/>
        <v>#DIV/0!</v>
      </c>
      <c r="M78" s="111" t="e">
        <f t="shared" si="286"/>
        <v>#DIV/0!</v>
      </c>
      <c r="N78" s="111" t="e">
        <f t="shared" si="286"/>
        <v>#DIV/0!</v>
      </c>
      <c r="O78" s="111" t="e">
        <f t="shared" si="286"/>
        <v>#DIV/0!</v>
      </c>
      <c r="P78" s="111" t="e">
        <f t="shared" si="286"/>
        <v>#DIV/0!</v>
      </c>
      <c r="Q78" s="111" t="e">
        <f t="shared" si="286"/>
        <v>#DIV/0!</v>
      </c>
      <c r="R78" s="111" t="e">
        <f t="shared" si="286"/>
        <v>#DIV/0!</v>
      </c>
      <c r="S78" s="111">
        <f t="shared" si="286"/>
        <v>40.214011799410031</v>
      </c>
      <c r="T78" s="111">
        <f t="shared" ref="T78:U78" si="287">T7/T61</f>
        <v>43.297935103244839</v>
      </c>
      <c r="U78" s="111">
        <f t="shared" si="287"/>
        <v>45.056047197640119</v>
      </c>
      <c r="V78" s="101">
        <f t="shared" si="269"/>
        <v>8.1539006494764088E-3</v>
      </c>
      <c r="W78" s="109"/>
      <c r="X78" s="134">
        <f t="shared" ref="X78:AG78" si="288">X7/X61</f>
        <v>50.798484585574634</v>
      </c>
      <c r="Y78" s="134">
        <f t="shared" si="288"/>
        <v>57.272801248441993</v>
      </c>
      <c r="Z78" s="134">
        <f t="shared" si="288"/>
        <v>64.572275917361054</v>
      </c>
      <c r="AA78" s="134">
        <f t="shared" si="288"/>
        <v>72.802075789181586</v>
      </c>
      <c r="AB78" s="134">
        <f t="shared" si="288"/>
        <v>82.080771723096888</v>
      </c>
      <c r="AC78" s="134">
        <f t="shared" si="288"/>
        <v>92.542046550550381</v>
      </c>
      <c r="AD78" s="134">
        <f t="shared" si="288"/>
        <v>104.33662111091463</v>
      </c>
      <c r="AE78" s="134">
        <f t="shared" si="288"/>
        <v>117.63442576230571</v>
      </c>
      <c r="AF78" s="134">
        <f t="shared" si="288"/>
        <v>132.62704865357995</v>
      </c>
      <c r="AG78" s="134">
        <f t="shared" si="288"/>
        <v>149.53049603099703</v>
      </c>
      <c r="AH78" s="115" t="e">
        <f t="shared" si="276"/>
        <v>#DIV/0!</v>
      </c>
      <c r="AI78" s="21">
        <f t="shared" si="18"/>
        <v>0.01</v>
      </c>
      <c r="AJ78" s="123">
        <f t="shared" si="277"/>
        <v>719.1704809109857</v>
      </c>
    </row>
    <row r="79" spans="2:36">
      <c r="B79" s="10" t="s">
        <v>203</v>
      </c>
      <c r="C79" s="108"/>
      <c r="D79" s="108"/>
      <c r="E79" s="108"/>
      <c r="F79" s="121"/>
      <c r="G79" s="121">
        <f t="shared" ref="G79" si="289">G6/G61</f>
        <v>30.196489675516226</v>
      </c>
      <c r="H79" s="121" t="e">
        <f t="shared" ref="H79:I79" si="290">H6/H61</f>
        <v>#DIV/0!</v>
      </c>
      <c r="I79" s="121" t="e">
        <f t="shared" si="290"/>
        <v>#DIV/0!</v>
      </c>
      <c r="J79" s="121" t="e">
        <f t="shared" ref="J79:S79" si="291">J6/J61</f>
        <v>#DIV/0!</v>
      </c>
      <c r="K79" s="121" t="e">
        <f t="shared" si="291"/>
        <v>#DIV/0!</v>
      </c>
      <c r="L79" s="121" t="e">
        <f t="shared" si="291"/>
        <v>#DIV/0!</v>
      </c>
      <c r="M79" s="121" t="e">
        <f t="shared" si="291"/>
        <v>#DIV/0!</v>
      </c>
      <c r="N79" s="121" t="e">
        <f t="shared" si="291"/>
        <v>#DIV/0!</v>
      </c>
      <c r="O79" s="121" t="e">
        <f t="shared" si="291"/>
        <v>#DIV/0!</v>
      </c>
      <c r="P79" s="121" t="e">
        <f t="shared" si="291"/>
        <v>#DIV/0!</v>
      </c>
      <c r="Q79" s="121" t="e">
        <f t="shared" si="291"/>
        <v>#DIV/0!</v>
      </c>
      <c r="R79" s="121" t="e">
        <f t="shared" si="291"/>
        <v>#DIV/0!</v>
      </c>
      <c r="S79" s="121">
        <f t="shared" si="291"/>
        <v>30.196489675516226</v>
      </c>
      <c r="T79" s="121">
        <f t="shared" ref="T79:U79" si="292">T6/T61</f>
        <v>33.268348082595871</v>
      </c>
      <c r="U79" s="121">
        <f t="shared" si="292"/>
        <v>35.014749262536874</v>
      </c>
      <c r="V79" s="101">
        <f t="shared" si="269"/>
        <v>1.0630658044594732E-2</v>
      </c>
      <c r="W79" s="109"/>
      <c r="X79" s="133">
        <f t="shared" ref="X79:AG79" si="293">X6/X61</f>
        <v>39.47741338423274</v>
      </c>
      <c r="Y79" s="133">
        <f t="shared" si="293"/>
        <v>44.508848423399655</v>
      </c>
      <c r="Z79" s="133">
        <f t="shared" si="293"/>
        <v>50.181544791087838</v>
      </c>
      <c r="AA79" s="133">
        <f t="shared" si="293"/>
        <v>56.577231872304914</v>
      </c>
      <c r="AB79" s="133">
        <f t="shared" si="293"/>
        <v>63.788055542304562</v>
      </c>
      <c r="AC79" s="133">
        <f t="shared" si="293"/>
        <v>71.917905758480629</v>
      </c>
      <c r="AD79" s="133">
        <f t="shared" si="293"/>
        <v>81.083913355149718</v>
      </c>
      <c r="AE79" s="133">
        <f t="shared" si="293"/>
        <v>91.418137606296241</v>
      </c>
      <c r="AF79" s="133">
        <f t="shared" si="293"/>
        <v>103.06946886984379</v>
      </c>
      <c r="AG79" s="133">
        <f t="shared" si="293"/>
        <v>116.20577372580426</v>
      </c>
      <c r="AH79" s="115" t="e">
        <f t="shared" si="276"/>
        <v>#DIV/0!</v>
      </c>
      <c r="AI79" s="21">
        <f t="shared" si="18"/>
        <v>0.01</v>
      </c>
      <c r="AJ79" s="123">
        <f t="shared" si="277"/>
        <v>558.89443553839192</v>
      </c>
    </row>
    <row r="80" spans="2:36">
      <c r="B80" s="10" t="s">
        <v>204</v>
      </c>
      <c r="C80" s="108"/>
      <c r="D80" s="108"/>
      <c r="E80" s="108"/>
      <c r="F80" s="121"/>
      <c r="G80" s="121">
        <f t="shared" ref="G80" si="294">G10/G61</f>
        <v>165.58112094395281</v>
      </c>
      <c r="H80" s="121" t="e">
        <f t="shared" ref="H80:I80" si="295">H10/H61</f>
        <v>#DIV/0!</v>
      </c>
      <c r="I80" s="121" t="e">
        <f t="shared" si="295"/>
        <v>#DIV/0!</v>
      </c>
      <c r="J80" s="121" t="e">
        <f t="shared" ref="J80:S80" si="296">J10/J61</f>
        <v>#DIV/0!</v>
      </c>
      <c r="K80" s="121" t="e">
        <f t="shared" si="296"/>
        <v>#DIV/0!</v>
      </c>
      <c r="L80" s="121" t="e">
        <f t="shared" si="296"/>
        <v>#DIV/0!</v>
      </c>
      <c r="M80" s="121" t="e">
        <f t="shared" si="296"/>
        <v>#DIV/0!</v>
      </c>
      <c r="N80" s="121" t="e">
        <f t="shared" si="296"/>
        <v>#DIV/0!</v>
      </c>
      <c r="O80" s="121" t="e">
        <f t="shared" si="296"/>
        <v>#DIV/0!</v>
      </c>
      <c r="P80" s="121" t="e">
        <f t="shared" si="296"/>
        <v>#DIV/0!</v>
      </c>
      <c r="Q80" s="121" t="e">
        <f t="shared" si="296"/>
        <v>#DIV/0!</v>
      </c>
      <c r="R80" s="121" t="e">
        <f t="shared" si="296"/>
        <v>#DIV/0!</v>
      </c>
      <c r="S80" s="121">
        <f t="shared" si="296"/>
        <v>165.58112094395281</v>
      </c>
      <c r="T80" s="121">
        <f t="shared" ref="T80:U80" si="297">T10/T61</f>
        <v>266.87315634218288</v>
      </c>
      <c r="U80" s="121">
        <f t="shared" si="297"/>
        <v>310.69616519174042</v>
      </c>
      <c r="V80" s="101">
        <f t="shared" si="269"/>
        <v>4.5979612415063764E-2</v>
      </c>
      <c r="W80" s="109"/>
      <c r="X80" s="133">
        <f t="shared" ref="X80:AG80" si="298">X10/X61</f>
        <v>350.29469604951123</v>
      </c>
      <c r="Y80" s="133">
        <f t="shared" si="298"/>
        <v>394.94009848719401</v>
      </c>
      <c r="Z80" s="133">
        <f t="shared" si="298"/>
        <v>445.27560123556179</v>
      </c>
      <c r="AA80" s="133">
        <f t="shared" si="298"/>
        <v>502.02641315774127</v>
      </c>
      <c r="AB80" s="133">
        <f t="shared" si="298"/>
        <v>566.0101716974533</v>
      </c>
      <c r="AC80" s="133">
        <f t="shared" si="298"/>
        <v>638.14872299222668</v>
      </c>
      <c r="AD80" s="133">
        <f t="shared" si="298"/>
        <v>719.48140337358893</v>
      </c>
      <c r="AE80" s="133">
        <f t="shared" si="298"/>
        <v>811.18001360747758</v>
      </c>
      <c r="AF80" s="133">
        <f t="shared" si="298"/>
        <v>914.56570161627371</v>
      </c>
      <c r="AG80" s="133">
        <f t="shared" si="298"/>
        <v>1031.1279969203085</v>
      </c>
      <c r="AH80" s="115" t="e">
        <f t="shared" si="276"/>
        <v>#DIV/0!</v>
      </c>
      <c r="AI80" s="21">
        <f t="shared" si="18"/>
        <v>0.01</v>
      </c>
      <c r="AJ80" s="123">
        <f t="shared" si="277"/>
        <v>4959.2346518548175</v>
      </c>
    </row>
    <row r="81" spans="2:36">
      <c r="B81" s="10"/>
      <c r="C81" s="108"/>
      <c r="D81" s="108"/>
      <c r="E81" s="108"/>
      <c r="F81" s="121"/>
      <c r="G81" s="121"/>
      <c r="H81" s="121"/>
      <c r="I81" s="121"/>
      <c r="J81" s="121"/>
      <c r="K81" s="121"/>
      <c r="L81" s="121"/>
      <c r="M81" s="121"/>
      <c r="N81" s="121"/>
      <c r="O81" s="121"/>
      <c r="P81" s="121"/>
      <c r="Q81" s="121"/>
      <c r="R81" s="121"/>
      <c r="S81" s="121"/>
      <c r="T81" s="121"/>
      <c r="U81" s="121"/>
      <c r="V81" s="10"/>
      <c r="W81" s="10"/>
      <c r="X81" s="133"/>
      <c r="Y81" s="133"/>
      <c r="Z81" s="133"/>
      <c r="AA81" s="133"/>
      <c r="AB81" s="133"/>
      <c r="AC81" s="133"/>
      <c r="AD81" s="133"/>
      <c r="AE81" s="133"/>
      <c r="AF81" s="133"/>
      <c r="AG81" s="133"/>
      <c r="AH81" s="116"/>
      <c r="AI81" s="114"/>
      <c r="AJ81" s="123"/>
    </row>
    <row r="82" spans="2:36">
      <c r="B82" s="10" t="s">
        <v>221</v>
      </c>
      <c r="C82" s="108"/>
      <c r="D82" s="108"/>
      <c r="E82" s="108"/>
      <c r="F82" s="121"/>
      <c r="G82" s="121">
        <f t="shared" ref="G82" si="299">(G7-G10)/G61</f>
        <v>-125.36710914454277</v>
      </c>
      <c r="H82" s="121" t="e">
        <f t="shared" ref="H82:I82" si="300">(H7-H10)/H61</f>
        <v>#DIV/0!</v>
      </c>
      <c r="I82" s="121" t="e">
        <f t="shared" si="300"/>
        <v>#DIV/0!</v>
      </c>
      <c r="J82" s="121" t="e">
        <f t="shared" ref="J82:S82" si="301">(J7-J10)/J61</f>
        <v>#DIV/0!</v>
      </c>
      <c r="K82" s="121" t="e">
        <f t="shared" si="301"/>
        <v>#DIV/0!</v>
      </c>
      <c r="L82" s="121" t="e">
        <f t="shared" si="301"/>
        <v>#DIV/0!</v>
      </c>
      <c r="M82" s="121" t="e">
        <f t="shared" si="301"/>
        <v>#DIV/0!</v>
      </c>
      <c r="N82" s="121" t="e">
        <f t="shared" si="301"/>
        <v>#DIV/0!</v>
      </c>
      <c r="O82" s="121" t="e">
        <f t="shared" si="301"/>
        <v>#DIV/0!</v>
      </c>
      <c r="P82" s="121" t="e">
        <f t="shared" si="301"/>
        <v>#DIV/0!</v>
      </c>
      <c r="Q82" s="121" t="e">
        <f t="shared" si="301"/>
        <v>#DIV/0!</v>
      </c>
      <c r="R82" s="121" t="e">
        <f t="shared" si="301"/>
        <v>#DIV/0!</v>
      </c>
      <c r="S82" s="121">
        <f t="shared" si="301"/>
        <v>-125.36710914454277</v>
      </c>
      <c r="T82" s="121">
        <f t="shared" ref="T82:U82" si="302">(T7-T10)/T61</f>
        <v>-223.57522123893804</v>
      </c>
      <c r="U82" s="121">
        <f t="shared" si="302"/>
        <v>-265.64011799410031</v>
      </c>
      <c r="V82" s="101">
        <f t="shared" si="269"/>
        <v>5.50998838083121E-2</v>
      </c>
      <c r="W82" s="109"/>
      <c r="X82" s="133">
        <f t="shared" ref="X82:AG82" si="303">(X7-X10)/X61</f>
        <v>-299.49621146393656</v>
      </c>
      <c r="Y82" s="133">
        <f t="shared" si="303"/>
        <v>-337.66729723875204</v>
      </c>
      <c r="Z82" s="133">
        <f t="shared" si="303"/>
        <v>-380.70332531820077</v>
      </c>
      <c r="AA82" s="133">
        <f t="shared" si="303"/>
        <v>-429.2243373685597</v>
      </c>
      <c r="AB82" s="133">
        <f t="shared" si="303"/>
        <v>-483.92939997435644</v>
      </c>
      <c r="AC82" s="133">
        <f t="shared" si="303"/>
        <v>-545.60667644167631</v>
      </c>
      <c r="AD82" s="133">
        <f t="shared" si="303"/>
        <v>-615.14478226267431</v>
      </c>
      <c r="AE82" s="133">
        <f t="shared" si="303"/>
        <v>-693.54558784517178</v>
      </c>
      <c r="AF82" s="133">
        <f t="shared" si="303"/>
        <v>-781.93865296269382</v>
      </c>
      <c r="AG82" s="133">
        <f t="shared" si="303"/>
        <v>-881.5975008893115</v>
      </c>
      <c r="AH82" s="115" t="e">
        <f t="shared" si="276"/>
        <v>#DIV/0!</v>
      </c>
      <c r="AI82" s="21">
        <f t="shared" si="18"/>
        <v>0.01</v>
      </c>
      <c r="AJ82" s="123">
        <f t="shared" si="277"/>
        <v>-4240.0641709438314</v>
      </c>
    </row>
    <row r="83" spans="2:36">
      <c r="B83" s="10" t="s">
        <v>222</v>
      </c>
      <c r="C83" s="108"/>
      <c r="D83" s="108"/>
      <c r="E83" s="108"/>
      <c r="F83" s="121"/>
      <c r="G83" s="121">
        <f t="shared" ref="G83" si="304">(G7-G10-G9)/G61</f>
        <v>-137.76958702064897</v>
      </c>
      <c r="H83" s="121" t="e">
        <f t="shared" ref="H83:I83" si="305">(H7-H10-H9)/H61</f>
        <v>#DIV/0!</v>
      </c>
      <c r="I83" s="121" t="e">
        <f t="shared" si="305"/>
        <v>#DIV/0!</v>
      </c>
      <c r="J83" s="121" t="e">
        <f t="shared" ref="J83:S83" si="306">(J7-J10-J9)/J61</f>
        <v>#DIV/0!</v>
      </c>
      <c r="K83" s="121" t="e">
        <f t="shared" si="306"/>
        <v>#DIV/0!</v>
      </c>
      <c r="L83" s="121" t="e">
        <f t="shared" si="306"/>
        <v>#DIV/0!</v>
      </c>
      <c r="M83" s="121" t="e">
        <f t="shared" si="306"/>
        <v>#DIV/0!</v>
      </c>
      <c r="N83" s="121" t="e">
        <f t="shared" si="306"/>
        <v>#DIV/0!</v>
      </c>
      <c r="O83" s="121" t="e">
        <f t="shared" si="306"/>
        <v>#DIV/0!</v>
      </c>
      <c r="P83" s="121" t="e">
        <f t="shared" si="306"/>
        <v>#DIV/0!</v>
      </c>
      <c r="Q83" s="121" t="e">
        <f t="shared" si="306"/>
        <v>#DIV/0!</v>
      </c>
      <c r="R83" s="121" t="e">
        <f t="shared" si="306"/>
        <v>#DIV/0!</v>
      </c>
      <c r="S83" s="121">
        <f t="shared" si="306"/>
        <v>-137.76958702064897</v>
      </c>
      <c r="T83" s="121">
        <f t="shared" ref="T83:U83" si="307">(T7-T10-T9)/T61</f>
        <v>-244.25663716814159</v>
      </c>
      <c r="U83" s="121">
        <f t="shared" si="307"/>
        <v>-265.64011799410031</v>
      </c>
      <c r="V83" s="101">
        <f t="shared" si="269"/>
        <v>4.8014194494417017E-2</v>
      </c>
      <c r="W83" s="109"/>
      <c r="X83" s="133">
        <f t="shared" ref="X83:AG83" si="308">(X7-X10-X9)/X61</f>
        <v>-299.49621146393656</v>
      </c>
      <c r="Y83" s="133">
        <f t="shared" si="308"/>
        <v>-337.66729723875204</v>
      </c>
      <c r="Z83" s="133">
        <f t="shared" si="308"/>
        <v>-380.70332531820077</v>
      </c>
      <c r="AA83" s="133">
        <f t="shared" si="308"/>
        <v>-429.2243373685597</v>
      </c>
      <c r="AB83" s="133">
        <f t="shared" si="308"/>
        <v>-483.92939997435644</v>
      </c>
      <c r="AC83" s="133">
        <f t="shared" si="308"/>
        <v>-545.60667644167631</v>
      </c>
      <c r="AD83" s="133">
        <f t="shared" si="308"/>
        <v>-615.14478226267431</v>
      </c>
      <c r="AE83" s="133">
        <f t="shared" si="308"/>
        <v>-693.54558784517178</v>
      </c>
      <c r="AF83" s="133">
        <f t="shared" si="308"/>
        <v>-781.93865296269382</v>
      </c>
      <c r="AG83" s="133">
        <f t="shared" si="308"/>
        <v>-881.5975008893115</v>
      </c>
      <c r="AH83" s="115" t="e">
        <f t="shared" si="276"/>
        <v>#DIV/0!</v>
      </c>
      <c r="AI83" s="21">
        <f t="shared" si="18"/>
        <v>0.01</v>
      </c>
      <c r="AJ83" s="123">
        <f t="shared" si="277"/>
        <v>-4240.0641709438314</v>
      </c>
    </row>
    <row r="84" spans="2:36">
      <c r="B84" s="10" t="s">
        <v>227</v>
      </c>
      <c r="C84" s="108"/>
      <c r="D84" s="108"/>
      <c r="E84" s="108"/>
      <c r="F84" s="121"/>
      <c r="G84" s="121">
        <f t="shared" ref="G84" si="309">(G7+G15-G10-G9)/G61</f>
        <v>-137.76958702064897</v>
      </c>
      <c r="H84" s="121" t="e">
        <f t="shared" ref="H84:I84" si="310">(H7+H15-H10-H9)/H61</f>
        <v>#DIV/0!</v>
      </c>
      <c r="I84" s="121" t="e">
        <f t="shared" si="310"/>
        <v>#DIV/0!</v>
      </c>
      <c r="J84" s="121" t="e">
        <f t="shared" ref="J84:S84" si="311">(J7+J15-J10-J9)/J61</f>
        <v>#DIV/0!</v>
      </c>
      <c r="K84" s="121" t="e">
        <f t="shared" si="311"/>
        <v>#DIV/0!</v>
      </c>
      <c r="L84" s="121" t="e">
        <f t="shared" si="311"/>
        <v>#DIV/0!</v>
      </c>
      <c r="M84" s="121" t="e">
        <f t="shared" si="311"/>
        <v>#DIV/0!</v>
      </c>
      <c r="N84" s="121" t="e">
        <f t="shared" si="311"/>
        <v>#DIV/0!</v>
      </c>
      <c r="O84" s="121" t="e">
        <f t="shared" si="311"/>
        <v>#DIV/0!</v>
      </c>
      <c r="P84" s="121" t="e">
        <f t="shared" si="311"/>
        <v>#DIV/0!</v>
      </c>
      <c r="Q84" s="121" t="e">
        <f t="shared" si="311"/>
        <v>#DIV/0!</v>
      </c>
      <c r="R84" s="121" t="e">
        <f t="shared" si="311"/>
        <v>#DIV/0!</v>
      </c>
      <c r="S84" s="121">
        <f t="shared" si="311"/>
        <v>-137.76958702064897</v>
      </c>
      <c r="T84" s="121">
        <f t="shared" ref="T84:U84" si="312">(T7+T15-T10-T9)/T61</f>
        <v>-244.25663716814159</v>
      </c>
      <c r="U84" s="121">
        <f t="shared" si="312"/>
        <v>-265.64011799410031</v>
      </c>
      <c r="V84" s="101">
        <f t="shared" si="269"/>
        <v>4.8014194494417017E-2</v>
      </c>
      <c r="W84" s="109"/>
      <c r="X84" s="133">
        <f t="shared" ref="X84:AG84" si="313">(X7+X15-X10-X9)/X61</f>
        <v>-299.49621146393656</v>
      </c>
      <c r="Y84" s="133">
        <f t="shared" si="313"/>
        <v>-337.66729723875204</v>
      </c>
      <c r="Z84" s="133">
        <f t="shared" si="313"/>
        <v>-380.70332531820077</v>
      </c>
      <c r="AA84" s="133">
        <f t="shared" si="313"/>
        <v>-429.2243373685597</v>
      </c>
      <c r="AB84" s="133">
        <f t="shared" si="313"/>
        <v>-483.92939997435644</v>
      </c>
      <c r="AC84" s="133">
        <f t="shared" si="313"/>
        <v>-545.60667644167631</v>
      </c>
      <c r="AD84" s="133">
        <f t="shared" si="313"/>
        <v>-615.14478226267431</v>
      </c>
      <c r="AE84" s="133">
        <f t="shared" si="313"/>
        <v>-693.54558784517178</v>
      </c>
      <c r="AF84" s="133">
        <f t="shared" si="313"/>
        <v>-781.93865296269382</v>
      </c>
      <c r="AG84" s="133">
        <f t="shared" si="313"/>
        <v>-881.5975008893115</v>
      </c>
      <c r="AH84" s="115" t="e">
        <f t="shared" si="276"/>
        <v>#DIV/0!</v>
      </c>
      <c r="AI84" s="21">
        <f t="shared" si="18"/>
        <v>0.01</v>
      </c>
      <c r="AJ84" s="123">
        <f t="shared" si="277"/>
        <v>-4240.0641709438314</v>
      </c>
    </row>
    <row r="85" spans="2:36">
      <c r="B85" s="10"/>
      <c r="C85" s="108"/>
      <c r="D85" s="108"/>
      <c r="E85" s="108"/>
      <c r="F85" s="121"/>
      <c r="G85" s="121"/>
      <c r="H85" s="121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0"/>
      <c r="W85" s="10"/>
      <c r="X85" s="130"/>
      <c r="Y85" s="130"/>
      <c r="Z85" s="130"/>
      <c r="AA85" s="130"/>
      <c r="AB85" s="130"/>
      <c r="AC85" s="130"/>
      <c r="AD85" s="130"/>
      <c r="AE85" s="130"/>
      <c r="AF85" s="130"/>
      <c r="AG85" s="130"/>
      <c r="AH85" s="116"/>
      <c r="AI85" s="114"/>
      <c r="AJ85" s="130"/>
    </row>
    <row r="86" spans="2:36">
      <c r="B86" s="10" t="s">
        <v>205</v>
      </c>
      <c r="C86" s="108"/>
      <c r="D86" s="108"/>
      <c r="E86" s="108"/>
      <c r="F86" s="121"/>
      <c r="G86" s="121">
        <f t="shared" ref="G86" si="314">G12/G61</f>
        <v>5.6047197640117998</v>
      </c>
      <c r="H86" s="121" t="e">
        <f t="shared" ref="H86:I86" si="315">H12/H61</f>
        <v>#DIV/0!</v>
      </c>
      <c r="I86" s="121" t="e">
        <f t="shared" si="315"/>
        <v>#DIV/0!</v>
      </c>
      <c r="J86" s="121" t="e">
        <f t="shared" ref="J86:S86" si="316">J12/J61</f>
        <v>#DIV/0!</v>
      </c>
      <c r="K86" s="121" t="e">
        <f t="shared" si="316"/>
        <v>#DIV/0!</v>
      </c>
      <c r="L86" s="121" t="e">
        <f t="shared" si="316"/>
        <v>#DIV/0!</v>
      </c>
      <c r="M86" s="121" t="e">
        <f t="shared" si="316"/>
        <v>#DIV/0!</v>
      </c>
      <c r="N86" s="121" t="e">
        <f t="shared" si="316"/>
        <v>#DIV/0!</v>
      </c>
      <c r="O86" s="121" t="e">
        <f t="shared" si="316"/>
        <v>#DIV/0!</v>
      </c>
      <c r="P86" s="121" t="e">
        <f t="shared" si="316"/>
        <v>#DIV/0!</v>
      </c>
      <c r="Q86" s="121" t="e">
        <f t="shared" si="316"/>
        <v>#DIV/0!</v>
      </c>
      <c r="R86" s="121" t="e">
        <f t="shared" si="316"/>
        <v>#DIV/0!</v>
      </c>
      <c r="S86" s="121">
        <f t="shared" si="316"/>
        <v>5.6047197640117998</v>
      </c>
      <c r="T86" s="121">
        <f t="shared" ref="T86:U86" si="317">T12/T61</f>
        <v>8.9557522123893811</v>
      </c>
      <c r="U86" s="121">
        <f t="shared" si="317"/>
        <v>0</v>
      </c>
      <c r="V86" s="101">
        <f t="shared" si="269"/>
        <v>-1</v>
      </c>
      <c r="W86" s="109"/>
      <c r="X86" s="133">
        <f t="shared" ref="X86:AG86" si="318">X12/X61</f>
        <v>0</v>
      </c>
      <c r="Y86" s="133">
        <f t="shared" si="318"/>
        <v>0</v>
      </c>
      <c r="Z86" s="133">
        <f t="shared" si="318"/>
        <v>0</v>
      </c>
      <c r="AA86" s="133">
        <f t="shared" si="318"/>
        <v>0</v>
      </c>
      <c r="AB86" s="133">
        <f t="shared" si="318"/>
        <v>0</v>
      </c>
      <c r="AC86" s="133">
        <f t="shared" si="318"/>
        <v>0</v>
      </c>
      <c r="AD86" s="133">
        <f t="shared" si="318"/>
        <v>0</v>
      </c>
      <c r="AE86" s="133">
        <f t="shared" si="318"/>
        <v>0</v>
      </c>
      <c r="AF86" s="133">
        <f t="shared" si="318"/>
        <v>0</v>
      </c>
      <c r="AG86" s="133">
        <f t="shared" si="318"/>
        <v>0</v>
      </c>
      <c r="AH86" s="115" t="e">
        <f t="shared" si="276"/>
        <v>#DIV/0!</v>
      </c>
      <c r="AI86" s="21">
        <f t="shared" si="18"/>
        <v>0.01</v>
      </c>
      <c r="AJ86" s="123">
        <f t="shared" si="277"/>
        <v>0</v>
      </c>
    </row>
    <row r="87" spans="2:36">
      <c r="B87" s="10" t="s">
        <v>212</v>
      </c>
      <c r="C87" s="108"/>
      <c r="D87" s="108"/>
      <c r="E87" s="108"/>
      <c r="F87" s="121"/>
      <c r="G87" s="121">
        <f t="shared" ref="G87" si="319">G13/G61</f>
        <v>59.26548672566372</v>
      </c>
      <c r="H87" s="121" t="e">
        <f t="shared" ref="H87:I87" si="320">H13/H61</f>
        <v>#DIV/0!</v>
      </c>
      <c r="I87" s="121" t="e">
        <f t="shared" si="320"/>
        <v>#DIV/0!</v>
      </c>
      <c r="J87" s="121" t="e">
        <f t="shared" ref="J87:S87" si="321">J13/J61</f>
        <v>#DIV/0!</v>
      </c>
      <c r="K87" s="121" t="e">
        <f t="shared" si="321"/>
        <v>#DIV/0!</v>
      </c>
      <c r="L87" s="121" t="e">
        <f t="shared" si="321"/>
        <v>#DIV/0!</v>
      </c>
      <c r="M87" s="121" t="e">
        <f t="shared" si="321"/>
        <v>#DIV/0!</v>
      </c>
      <c r="N87" s="121" t="e">
        <f t="shared" si="321"/>
        <v>#DIV/0!</v>
      </c>
      <c r="O87" s="121" t="e">
        <f t="shared" si="321"/>
        <v>#DIV/0!</v>
      </c>
      <c r="P87" s="121" t="e">
        <f t="shared" si="321"/>
        <v>#DIV/0!</v>
      </c>
      <c r="Q87" s="121" t="e">
        <f t="shared" si="321"/>
        <v>#DIV/0!</v>
      </c>
      <c r="R87" s="121" t="e">
        <f t="shared" si="321"/>
        <v>#DIV/0!</v>
      </c>
      <c r="S87" s="121">
        <f t="shared" si="321"/>
        <v>59.26548672566372</v>
      </c>
      <c r="T87" s="121">
        <f t="shared" ref="T87:U87" si="322">T13/T61</f>
        <v>148.88200589970501</v>
      </c>
      <c r="U87" s="121">
        <f t="shared" si="322"/>
        <v>179.65781710914453</v>
      </c>
      <c r="V87" s="101">
        <f t="shared" si="269"/>
        <v>8.2438327702243575E-2</v>
      </c>
      <c r="W87" s="109"/>
      <c r="X87" s="133">
        <f t="shared" ref="X87:AG87" si="323">X13/X61</f>
        <v>202.55538203481979</v>
      </c>
      <c r="Y87" s="133">
        <f t="shared" si="323"/>
        <v>228.37126405886542</v>
      </c>
      <c r="Z87" s="133">
        <f t="shared" si="323"/>
        <v>257.47740555656395</v>
      </c>
      <c r="AA87" s="133">
        <f t="shared" si="323"/>
        <v>290.29315332357697</v>
      </c>
      <c r="AB87" s="133">
        <f t="shared" si="323"/>
        <v>327.29130031579751</v>
      </c>
      <c r="AC87" s="133">
        <f t="shared" si="323"/>
        <v>369.00489741486967</v>
      </c>
      <c r="AD87" s="133">
        <f t="shared" si="323"/>
        <v>416.03493335990197</v>
      </c>
      <c r="AE87" s="133">
        <f t="shared" si="323"/>
        <v>469.0589934940071</v>
      </c>
      <c r="AF87" s="133">
        <f t="shared" si="323"/>
        <v>528.84102207657668</v>
      </c>
      <c r="AG87" s="133">
        <f t="shared" si="323"/>
        <v>596.24232881182661</v>
      </c>
      <c r="AH87" s="115" t="e">
        <f t="shared" si="276"/>
        <v>#DIV/0!</v>
      </c>
      <c r="AI87" s="21">
        <f t="shared" si="18"/>
        <v>0.01</v>
      </c>
      <c r="AJ87" s="123">
        <f t="shared" si="277"/>
        <v>2867.6416766664047</v>
      </c>
    </row>
    <row r="88" spans="2:36">
      <c r="B88" s="10" t="s">
        <v>213</v>
      </c>
      <c r="C88" s="108"/>
      <c r="D88" s="108"/>
      <c r="E88" s="108"/>
      <c r="F88" s="121"/>
      <c r="G88" s="121">
        <f t="shared" ref="G88" si="324">(G86+G87)</f>
        <v>64.870206489675525</v>
      </c>
      <c r="H88" s="121" t="e">
        <f t="shared" ref="H88:I88" si="325">(H86+H87)</f>
        <v>#DIV/0!</v>
      </c>
      <c r="I88" s="121" t="e">
        <f t="shared" si="325"/>
        <v>#DIV/0!</v>
      </c>
      <c r="J88" s="121" t="e">
        <f t="shared" ref="J88:S88" si="326">(J86+J87)</f>
        <v>#DIV/0!</v>
      </c>
      <c r="K88" s="121" t="e">
        <f t="shared" si="326"/>
        <v>#DIV/0!</v>
      </c>
      <c r="L88" s="121" t="e">
        <f t="shared" si="326"/>
        <v>#DIV/0!</v>
      </c>
      <c r="M88" s="121" t="e">
        <f t="shared" si="326"/>
        <v>#DIV/0!</v>
      </c>
      <c r="N88" s="121" t="e">
        <f t="shared" si="326"/>
        <v>#DIV/0!</v>
      </c>
      <c r="O88" s="121" t="e">
        <f t="shared" si="326"/>
        <v>#DIV/0!</v>
      </c>
      <c r="P88" s="121" t="e">
        <f t="shared" si="326"/>
        <v>#DIV/0!</v>
      </c>
      <c r="Q88" s="121" t="e">
        <f t="shared" si="326"/>
        <v>#DIV/0!</v>
      </c>
      <c r="R88" s="121" t="e">
        <f t="shared" ref="R88" si="327">(R86+R87)</f>
        <v>#DIV/0!</v>
      </c>
      <c r="S88" s="121">
        <f t="shared" si="326"/>
        <v>64.870206489675525</v>
      </c>
      <c r="T88" s="121">
        <f t="shared" ref="T88:U88" si="328">(T86+T87)</f>
        <v>157.83775811209438</v>
      </c>
      <c r="U88" s="121">
        <f t="shared" si="328"/>
        <v>179.65781710914453</v>
      </c>
      <c r="V88" s="101">
        <f t="shared" si="269"/>
        <v>7.5474357243406898E-2</v>
      </c>
      <c r="W88" s="109"/>
      <c r="X88" s="133">
        <f t="shared" ref="X88:AG88" si="329">(X86+X87)</f>
        <v>202.55538203481979</v>
      </c>
      <c r="Y88" s="133">
        <f t="shared" si="329"/>
        <v>228.37126405886542</v>
      </c>
      <c r="Z88" s="133">
        <f t="shared" si="329"/>
        <v>257.47740555656395</v>
      </c>
      <c r="AA88" s="133">
        <f t="shared" si="329"/>
        <v>290.29315332357697</v>
      </c>
      <c r="AB88" s="133">
        <f t="shared" si="329"/>
        <v>327.29130031579751</v>
      </c>
      <c r="AC88" s="133">
        <f t="shared" si="329"/>
        <v>369.00489741486967</v>
      </c>
      <c r="AD88" s="133">
        <f t="shared" si="329"/>
        <v>416.03493335990197</v>
      </c>
      <c r="AE88" s="133">
        <f t="shared" si="329"/>
        <v>469.0589934940071</v>
      </c>
      <c r="AF88" s="133">
        <f t="shared" si="329"/>
        <v>528.84102207657668</v>
      </c>
      <c r="AG88" s="133">
        <f t="shared" si="329"/>
        <v>596.24232881182661</v>
      </c>
      <c r="AH88" s="115" t="e">
        <f t="shared" si="276"/>
        <v>#DIV/0!</v>
      </c>
      <c r="AI88" s="21">
        <f t="shared" si="18"/>
        <v>0.01</v>
      </c>
      <c r="AJ88" s="123">
        <f t="shared" si="277"/>
        <v>2867.6416766664047</v>
      </c>
    </row>
    <row r="89" spans="2:36">
      <c r="B89" s="10" t="s">
        <v>206</v>
      </c>
      <c r="C89" s="108"/>
      <c r="D89" s="108"/>
      <c r="E89" s="108"/>
      <c r="F89" s="121"/>
      <c r="G89" s="121">
        <f t="shared" ref="G89" si="330">G15/G61</f>
        <v>0</v>
      </c>
      <c r="H89" s="121" t="e">
        <f t="shared" ref="H89:I89" si="331">H15/H61</f>
        <v>#DIV/0!</v>
      </c>
      <c r="I89" s="121" t="e">
        <f t="shared" si="331"/>
        <v>#DIV/0!</v>
      </c>
      <c r="J89" s="121" t="e">
        <f t="shared" ref="J89:S89" si="332">J15/J61</f>
        <v>#DIV/0!</v>
      </c>
      <c r="K89" s="121" t="e">
        <f t="shared" si="332"/>
        <v>#DIV/0!</v>
      </c>
      <c r="L89" s="121" t="e">
        <f t="shared" si="332"/>
        <v>#DIV/0!</v>
      </c>
      <c r="M89" s="121" t="e">
        <f t="shared" si="332"/>
        <v>#DIV/0!</v>
      </c>
      <c r="N89" s="121" t="e">
        <f t="shared" si="332"/>
        <v>#DIV/0!</v>
      </c>
      <c r="O89" s="121" t="e">
        <f t="shared" si="332"/>
        <v>#DIV/0!</v>
      </c>
      <c r="P89" s="121" t="e">
        <f t="shared" si="332"/>
        <v>#DIV/0!</v>
      </c>
      <c r="Q89" s="121" t="e">
        <f t="shared" si="332"/>
        <v>#DIV/0!</v>
      </c>
      <c r="R89" s="121" t="e">
        <f t="shared" si="332"/>
        <v>#DIV/0!</v>
      </c>
      <c r="S89" s="121">
        <f t="shared" si="332"/>
        <v>0</v>
      </c>
      <c r="T89" s="121">
        <f t="shared" ref="T89:U89" si="333">T15/T61</f>
        <v>0</v>
      </c>
      <c r="U89" s="121">
        <f t="shared" si="333"/>
        <v>0</v>
      </c>
      <c r="V89" s="101" t="e">
        <f t="shared" si="269"/>
        <v>#DIV/0!</v>
      </c>
      <c r="W89" s="109"/>
      <c r="X89" s="133">
        <f t="shared" ref="X89:AG89" si="334">X15/X61</f>
        <v>0</v>
      </c>
      <c r="Y89" s="133">
        <f t="shared" si="334"/>
        <v>0</v>
      </c>
      <c r="Z89" s="133">
        <f t="shared" si="334"/>
        <v>0</v>
      </c>
      <c r="AA89" s="133">
        <f t="shared" si="334"/>
        <v>0</v>
      </c>
      <c r="AB89" s="133">
        <f t="shared" si="334"/>
        <v>0</v>
      </c>
      <c r="AC89" s="133">
        <f t="shared" si="334"/>
        <v>0</v>
      </c>
      <c r="AD89" s="133">
        <f t="shared" si="334"/>
        <v>0</v>
      </c>
      <c r="AE89" s="133">
        <f t="shared" si="334"/>
        <v>0</v>
      </c>
      <c r="AF89" s="133">
        <f t="shared" si="334"/>
        <v>0</v>
      </c>
      <c r="AG89" s="133">
        <f t="shared" si="334"/>
        <v>0</v>
      </c>
      <c r="AH89" s="115" t="e">
        <f t="shared" si="276"/>
        <v>#DIV/0!</v>
      </c>
      <c r="AI89" s="21">
        <f t="shared" si="18"/>
        <v>0.01</v>
      </c>
      <c r="AJ89" s="123">
        <f t="shared" si="277"/>
        <v>0</v>
      </c>
    </row>
    <row r="90" spans="2:36">
      <c r="B90" s="10" t="s">
        <v>207</v>
      </c>
      <c r="C90" s="108"/>
      <c r="D90" s="108"/>
      <c r="E90" s="108"/>
      <c r="F90" s="121"/>
      <c r="G90" s="121">
        <f t="shared" ref="G90" si="335">G16/G61</f>
        <v>0</v>
      </c>
      <c r="H90" s="121" t="e">
        <f t="shared" ref="H90:I90" si="336">H16/H61</f>
        <v>#DIV/0!</v>
      </c>
      <c r="I90" s="121" t="e">
        <f t="shared" si="336"/>
        <v>#DIV/0!</v>
      </c>
      <c r="J90" s="121" t="e">
        <f t="shared" ref="J90:S90" si="337">J16/J61</f>
        <v>#DIV/0!</v>
      </c>
      <c r="K90" s="121" t="e">
        <f t="shared" si="337"/>
        <v>#DIV/0!</v>
      </c>
      <c r="L90" s="121" t="e">
        <f t="shared" si="337"/>
        <v>#DIV/0!</v>
      </c>
      <c r="M90" s="121" t="e">
        <f t="shared" si="337"/>
        <v>#DIV/0!</v>
      </c>
      <c r="N90" s="121" t="e">
        <f t="shared" si="337"/>
        <v>#DIV/0!</v>
      </c>
      <c r="O90" s="121" t="e">
        <f t="shared" si="337"/>
        <v>#DIV/0!</v>
      </c>
      <c r="P90" s="121" t="e">
        <f t="shared" si="337"/>
        <v>#DIV/0!</v>
      </c>
      <c r="Q90" s="121" t="e">
        <f t="shared" si="337"/>
        <v>#DIV/0!</v>
      </c>
      <c r="R90" s="121" t="e">
        <f t="shared" si="337"/>
        <v>#DIV/0!</v>
      </c>
      <c r="S90" s="121">
        <f t="shared" si="337"/>
        <v>0</v>
      </c>
      <c r="T90" s="121">
        <f t="shared" ref="T90:U90" si="338">T16/T61</f>
        <v>0</v>
      </c>
      <c r="U90" s="121">
        <f t="shared" si="338"/>
        <v>0</v>
      </c>
      <c r="V90" s="101" t="e">
        <f t="shared" si="269"/>
        <v>#DIV/0!</v>
      </c>
      <c r="W90" s="109"/>
      <c r="X90" s="133">
        <f t="shared" ref="X90:AG90" si="339">X16/X61</f>
        <v>0</v>
      </c>
      <c r="Y90" s="133">
        <f t="shared" si="339"/>
        <v>0</v>
      </c>
      <c r="Z90" s="133">
        <f t="shared" si="339"/>
        <v>0</v>
      </c>
      <c r="AA90" s="133">
        <f t="shared" si="339"/>
        <v>0</v>
      </c>
      <c r="AB90" s="133">
        <f t="shared" si="339"/>
        <v>0</v>
      </c>
      <c r="AC90" s="133">
        <f t="shared" si="339"/>
        <v>0</v>
      </c>
      <c r="AD90" s="133">
        <f t="shared" si="339"/>
        <v>0</v>
      </c>
      <c r="AE90" s="133">
        <f t="shared" si="339"/>
        <v>0</v>
      </c>
      <c r="AF90" s="133">
        <f t="shared" si="339"/>
        <v>0</v>
      </c>
      <c r="AG90" s="133">
        <f t="shared" si="339"/>
        <v>0</v>
      </c>
      <c r="AH90" s="115" t="e">
        <f t="shared" si="276"/>
        <v>#DIV/0!</v>
      </c>
      <c r="AI90" s="114"/>
      <c r="AJ90" s="123">
        <f t="shared" si="277"/>
        <v>0</v>
      </c>
    </row>
    <row r="91" spans="2:36">
      <c r="B91" s="10"/>
      <c r="C91" s="108"/>
      <c r="D91" s="108"/>
      <c r="E91" s="108"/>
      <c r="F91" s="121"/>
      <c r="G91" s="121"/>
      <c r="H91" s="121"/>
      <c r="I91" s="121"/>
      <c r="J91" s="121"/>
      <c r="K91" s="121"/>
      <c r="L91" s="121"/>
      <c r="M91" s="121"/>
      <c r="N91" s="121"/>
      <c r="O91" s="121"/>
      <c r="P91" s="121"/>
      <c r="Q91" s="121"/>
      <c r="R91" s="121"/>
      <c r="S91" s="121"/>
      <c r="T91" s="121"/>
      <c r="U91" s="121"/>
      <c r="V91" s="10"/>
      <c r="W91" s="10"/>
      <c r="X91" s="130"/>
      <c r="Y91" s="130"/>
      <c r="Z91" s="130"/>
      <c r="AA91" s="130"/>
      <c r="AB91" s="130"/>
      <c r="AC91" s="130"/>
      <c r="AD91" s="130"/>
      <c r="AE91" s="130"/>
      <c r="AF91" s="130"/>
      <c r="AG91" s="130"/>
      <c r="AH91" s="116"/>
      <c r="AI91" s="21">
        <f t="shared" si="18"/>
        <v>0.01</v>
      </c>
      <c r="AJ91" s="123">
        <f t="shared" si="277"/>
        <v>0</v>
      </c>
    </row>
    <row r="92" spans="2:36">
      <c r="B92" s="10" t="s">
        <v>232</v>
      </c>
      <c r="C92" s="135"/>
      <c r="D92" s="135"/>
      <c r="E92" s="135"/>
      <c r="F92" s="135"/>
      <c r="G92" s="135">
        <f t="shared" ref="G92" si="340">G63</f>
        <v>0</v>
      </c>
      <c r="H92" s="135">
        <f t="shared" ref="H92:I92" si="341">H63</f>
        <v>0</v>
      </c>
      <c r="I92" s="135">
        <f t="shared" si="341"/>
        <v>0</v>
      </c>
      <c r="J92" s="135">
        <f t="shared" ref="J92:S92" si="342">J63</f>
        <v>0</v>
      </c>
      <c r="K92" s="135">
        <f t="shared" si="342"/>
        <v>0</v>
      </c>
      <c r="L92" s="135">
        <f t="shared" si="342"/>
        <v>0</v>
      </c>
      <c r="M92" s="135">
        <f t="shared" si="342"/>
        <v>0</v>
      </c>
      <c r="N92" s="135">
        <f t="shared" si="342"/>
        <v>0</v>
      </c>
      <c r="O92" s="135">
        <f t="shared" si="342"/>
        <v>0</v>
      </c>
      <c r="P92" s="135">
        <f t="shared" si="342"/>
        <v>0</v>
      </c>
      <c r="Q92" s="135">
        <f t="shared" si="342"/>
        <v>0</v>
      </c>
      <c r="R92" s="135">
        <f t="shared" si="342"/>
        <v>0</v>
      </c>
      <c r="S92" s="135">
        <f t="shared" si="342"/>
        <v>0</v>
      </c>
      <c r="T92" s="135">
        <f t="shared" ref="T92:U92" si="343">T63</f>
        <v>0</v>
      </c>
      <c r="U92" s="135">
        <f t="shared" si="343"/>
        <v>0</v>
      </c>
      <c r="V92" s="101" t="e">
        <f t="shared" si="269"/>
        <v>#DIV/0!</v>
      </c>
      <c r="W92" s="109"/>
      <c r="X92" s="135">
        <f t="shared" ref="X92:AG92" si="344">X63</f>
        <v>0</v>
      </c>
      <c r="Y92" s="135">
        <f t="shared" si="344"/>
        <v>0</v>
      </c>
      <c r="Z92" s="135">
        <f t="shared" si="344"/>
        <v>0</v>
      </c>
      <c r="AA92" s="135">
        <f t="shared" si="344"/>
        <v>0</v>
      </c>
      <c r="AB92" s="135">
        <f t="shared" si="344"/>
        <v>0</v>
      </c>
      <c r="AC92" s="135">
        <f t="shared" si="344"/>
        <v>0</v>
      </c>
      <c r="AD92" s="135">
        <f t="shared" si="344"/>
        <v>0</v>
      </c>
      <c r="AE92" s="135">
        <f t="shared" si="344"/>
        <v>0</v>
      </c>
      <c r="AF92" s="135">
        <f t="shared" si="344"/>
        <v>0</v>
      </c>
      <c r="AG92" s="135">
        <f t="shared" si="344"/>
        <v>0</v>
      </c>
      <c r="AH92" s="115" t="e">
        <f t="shared" ref="AH92" si="345">((AG92/J92)^(1/($AG$3-$K$1) ))-1</f>
        <v>#DIV/0!</v>
      </c>
      <c r="AI92" s="21">
        <f t="shared" si="18"/>
        <v>0.01</v>
      </c>
      <c r="AJ92" s="123">
        <f t="shared" si="277"/>
        <v>0</v>
      </c>
    </row>
    <row r="93" spans="2:36">
      <c r="B93" s="10"/>
      <c r="C93" s="108"/>
      <c r="D93" s="108"/>
      <c r="E93" s="108"/>
      <c r="F93" s="121"/>
      <c r="G93" s="121"/>
      <c r="H93" s="121"/>
      <c r="I93" s="121"/>
      <c r="J93" s="121"/>
      <c r="K93" s="121"/>
      <c r="L93" s="121"/>
      <c r="M93" s="121"/>
      <c r="N93" s="121"/>
      <c r="O93" s="121"/>
      <c r="P93" s="121"/>
      <c r="Q93" s="121"/>
      <c r="R93" s="121"/>
      <c r="S93" s="121"/>
      <c r="T93" s="121"/>
      <c r="U93" s="121"/>
      <c r="V93" s="10"/>
      <c r="W93" s="10"/>
      <c r="X93" s="130"/>
      <c r="Y93" s="130"/>
      <c r="Z93" s="130"/>
      <c r="AA93" s="130"/>
      <c r="AB93" s="130"/>
      <c r="AC93" s="130"/>
      <c r="AD93" s="130"/>
      <c r="AE93" s="130"/>
      <c r="AF93" s="130"/>
      <c r="AG93" s="130"/>
      <c r="AH93" s="116"/>
      <c r="AI93" s="114"/>
      <c r="AJ93" s="130"/>
    </row>
    <row r="94" spans="2:36">
      <c r="B94" s="10" t="s">
        <v>262</v>
      </c>
      <c r="C94" s="108"/>
      <c r="D94" s="108"/>
      <c r="E94" s="108"/>
      <c r="F94" s="121"/>
      <c r="G94" s="121">
        <f t="shared" ref="G94" si="346">G20+G21</f>
        <v>0</v>
      </c>
      <c r="H94" s="121">
        <f t="shared" ref="H94:I94" si="347">H20+H21</f>
        <v>0</v>
      </c>
      <c r="I94" s="121">
        <f t="shared" si="347"/>
        <v>0</v>
      </c>
      <c r="J94" s="121">
        <f t="shared" ref="J94:S94" si="348">J20+J21</f>
        <v>0</v>
      </c>
      <c r="K94" s="121">
        <f t="shared" si="348"/>
        <v>0</v>
      </c>
      <c r="L94" s="121">
        <f t="shared" si="348"/>
        <v>0</v>
      </c>
      <c r="M94" s="121">
        <f t="shared" si="348"/>
        <v>0</v>
      </c>
      <c r="N94" s="121">
        <f t="shared" si="348"/>
        <v>0</v>
      </c>
      <c r="O94" s="121">
        <f t="shared" si="348"/>
        <v>0</v>
      </c>
      <c r="P94" s="121">
        <f t="shared" si="348"/>
        <v>0</v>
      </c>
      <c r="Q94" s="121">
        <f t="shared" si="348"/>
        <v>0</v>
      </c>
      <c r="R94" s="121">
        <f t="shared" si="348"/>
        <v>0</v>
      </c>
      <c r="S94" s="121">
        <f t="shared" si="348"/>
        <v>0</v>
      </c>
      <c r="T94" s="121">
        <f t="shared" ref="T94:U94" si="349">T20+T21</f>
        <v>0</v>
      </c>
      <c r="U94" s="121">
        <f t="shared" si="349"/>
        <v>0</v>
      </c>
      <c r="V94" s="101" t="e">
        <f t="shared" si="269"/>
        <v>#DIV/0!</v>
      </c>
      <c r="W94" s="109"/>
      <c r="X94" s="121">
        <f t="shared" ref="X94:AG94" si="350">X20+X21</f>
        <v>0</v>
      </c>
      <c r="Y94" s="121">
        <f t="shared" si="350"/>
        <v>0</v>
      </c>
      <c r="Z94" s="121">
        <f t="shared" si="350"/>
        <v>0</v>
      </c>
      <c r="AA94" s="121">
        <f t="shared" si="350"/>
        <v>0</v>
      </c>
      <c r="AB94" s="121">
        <f t="shared" si="350"/>
        <v>0</v>
      </c>
      <c r="AC94" s="121">
        <f t="shared" si="350"/>
        <v>0</v>
      </c>
      <c r="AD94" s="121">
        <f t="shared" si="350"/>
        <v>0</v>
      </c>
      <c r="AE94" s="121">
        <f t="shared" si="350"/>
        <v>0</v>
      </c>
      <c r="AF94" s="121">
        <f t="shared" si="350"/>
        <v>0</v>
      </c>
      <c r="AG94" s="121">
        <f t="shared" si="350"/>
        <v>0</v>
      </c>
      <c r="AH94" s="115" t="e">
        <f t="shared" ref="AH94:AH99" si="351">((AG94/J94)^(1/($AG$3-$K$1) ))-1</f>
        <v>#DIV/0!</v>
      </c>
      <c r="AI94" s="21">
        <f t="shared" si="18"/>
        <v>0.01</v>
      </c>
      <c r="AJ94" s="123">
        <f t="shared" si="277"/>
        <v>0</v>
      </c>
    </row>
    <row r="95" spans="2:36">
      <c r="B95" s="10"/>
      <c r="C95" s="108"/>
      <c r="D95" s="108"/>
      <c r="E95" s="108"/>
      <c r="F95" s="121"/>
      <c r="G95" s="121"/>
      <c r="H95" s="121"/>
      <c r="I95" s="121"/>
      <c r="J95" s="121"/>
      <c r="K95" s="121"/>
      <c r="L95" s="121"/>
      <c r="M95" s="121"/>
      <c r="N95" s="121"/>
      <c r="O95" s="121"/>
      <c r="P95" s="121"/>
      <c r="Q95" s="121"/>
      <c r="R95" s="121"/>
      <c r="S95" s="121"/>
      <c r="T95" s="121"/>
      <c r="U95" s="121"/>
      <c r="V95" s="10"/>
      <c r="W95" s="10"/>
      <c r="X95" s="123"/>
      <c r="Y95" s="123"/>
      <c r="Z95" s="123"/>
      <c r="AA95" s="123"/>
      <c r="AB95" s="123"/>
      <c r="AC95" s="123"/>
      <c r="AD95" s="123"/>
      <c r="AE95" s="123"/>
      <c r="AF95" s="123"/>
      <c r="AG95" s="123"/>
      <c r="AH95" s="116"/>
      <c r="AI95" s="114"/>
      <c r="AJ95" s="123"/>
    </row>
    <row r="96" spans="2:36">
      <c r="B96" s="10" t="s">
        <v>263</v>
      </c>
      <c r="C96" s="108"/>
      <c r="D96" s="108"/>
      <c r="E96" s="108"/>
      <c r="F96" s="121"/>
      <c r="G96" s="121">
        <f t="shared" ref="G96" si="352">G94/G61</f>
        <v>0</v>
      </c>
      <c r="H96" s="121" t="e">
        <f t="shared" ref="H96:I96" si="353">H94/H61</f>
        <v>#DIV/0!</v>
      </c>
      <c r="I96" s="121" t="e">
        <f t="shared" si="353"/>
        <v>#DIV/0!</v>
      </c>
      <c r="J96" s="121" t="e">
        <f t="shared" ref="J96:S96" si="354">J94/J61</f>
        <v>#DIV/0!</v>
      </c>
      <c r="K96" s="121" t="e">
        <f t="shared" si="354"/>
        <v>#DIV/0!</v>
      </c>
      <c r="L96" s="121" t="e">
        <f t="shared" si="354"/>
        <v>#DIV/0!</v>
      </c>
      <c r="M96" s="121" t="e">
        <f t="shared" si="354"/>
        <v>#DIV/0!</v>
      </c>
      <c r="N96" s="121" t="e">
        <f t="shared" si="354"/>
        <v>#DIV/0!</v>
      </c>
      <c r="O96" s="121" t="e">
        <f t="shared" si="354"/>
        <v>#DIV/0!</v>
      </c>
      <c r="P96" s="121" t="e">
        <f t="shared" si="354"/>
        <v>#DIV/0!</v>
      </c>
      <c r="Q96" s="121" t="e">
        <f t="shared" si="354"/>
        <v>#DIV/0!</v>
      </c>
      <c r="R96" s="121" t="e">
        <f t="shared" si="354"/>
        <v>#DIV/0!</v>
      </c>
      <c r="S96" s="121">
        <f t="shared" si="354"/>
        <v>0</v>
      </c>
      <c r="T96" s="121">
        <f t="shared" ref="T96:U96" si="355">T94/T61</f>
        <v>0</v>
      </c>
      <c r="U96" s="121">
        <f t="shared" si="355"/>
        <v>0</v>
      </c>
      <c r="V96" s="101" t="e">
        <f t="shared" si="269"/>
        <v>#DIV/0!</v>
      </c>
      <c r="W96" s="109"/>
      <c r="X96" s="123">
        <f t="shared" ref="X96:AG96" si="356">X94/X61</f>
        <v>0</v>
      </c>
      <c r="Y96" s="123">
        <f t="shared" si="356"/>
        <v>0</v>
      </c>
      <c r="Z96" s="123">
        <f t="shared" si="356"/>
        <v>0</v>
      </c>
      <c r="AA96" s="123">
        <f t="shared" si="356"/>
        <v>0</v>
      </c>
      <c r="AB96" s="123">
        <f t="shared" si="356"/>
        <v>0</v>
      </c>
      <c r="AC96" s="123">
        <f t="shared" si="356"/>
        <v>0</v>
      </c>
      <c r="AD96" s="123">
        <f t="shared" si="356"/>
        <v>0</v>
      </c>
      <c r="AE96" s="123">
        <f t="shared" si="356"/>
        <v>0</v>
      </c>
      <c r="AF96" s="123">
        <f t="shared" si="356"/>
        <v>0</v>
      </c>
      <c r="AG96" s="123">
        <f t="shared" si="356"/>
        <v>0</v>
      </c>
      <c r="AH96" s="115" t="e">
        <f t="shared" si="351"/>
        <v>#DIV/0!</v>
      </c>
      <c r="AI96" s="21">
        <f t="shared" si="18"/>
        <v>0.01</v>
      </c>
      <c r="AJ96" s="123">
        <f t="shared" si="277"/>
        <v>0</v>
      </c>
    </row>
    <row r="97" spans="2:36">
      <c r="B97" s="10" t="s">
        <v>236</v>
      </c>
      <c r="C97" s="108"/>
      <c r="D97" s="108"/>
      <c r="E97" s="108"/>
      <c r="F97" s="121"/>
      <c r="G97" s="121">
        <f t="shared" ref="G97" si="357">G20/G61</f>
        <v>0</v>
      </c>
      <c r="H97" s="121" t="e">
        <f t="shared" ref="H97:I97" si="358">H20/H61</f>
        <v>#DIV/0!</v>
      </c>
      <c r="I97" s="121" t="e">
        <f t="shared" si="358"/>
        <v>#DIV/0!</v>
      </c>
      <c r="J97" s="121" t="e">
        <f t="shared" ref="J97:S97" si="359">J20/J61</f>
        <v>#DIV/0!</v>
      </c>
      <c r="K97" s="121" t="e">
        <f t="shared" si="359"/>
        <v>#DIV/0!</v>
      </c>
      <c r="L97" s="121" t="e">
        <f t="shared" si="359"/>
        <v>#DIV/0!</v>
      </c>
      <c r="M97" s="121" t="e">
        <f t="shared" si="359"/>
        <v>#DIV/0!</v>
      </c>
      <c r="N97" s="121" t="e">
        <f t="shared" si="359"/>
        <v>#DIV/0!</v>
      </c>
      <c r="O97" s="121" t="e">
        <f t="shared" si="359"/>
        <v>#DIV/0!</v>
      </c>
      <c r="P97" s="121" t="e">
        <f t="shared" si="359"/>
        <v>#DIV/0!</v>
      </c>
      <c r="Q97" s="121" t="e">
        <f t="shared" si="359"/>
        <v>#DIV/0!</v>
      </c>
      <c r="R97" s="121" t="e">
        <f t="shared" si="359"/>
        <v>#DIV/0!</v>
      </c>
      <c r="S97" s="121">
        <f t="shared" si="359"/>
        <v>0</v>
      </c>
      <c r="T97" s="121">
        <f t="shared" ref="T97:U97" si="360">T20/T61</f>
        <v>0</v>
      </c>
      <c r="U97" s="121">
        <f t="shared" si="360"/>
        <v>0</v>
      </c>
      <c r="V97" s="101" t="e">
        <f t="shared" si="269"/>
        <v>#DIV/0!</v>
      </c>
      <c r="W97" s="109"/>
      <c r="X97" s="123">
        <f t="shared" ref="X97:AG97" si="361">X20/X61</f>
        <v>0</v>
      </c>
      <c r="Y97" s="123">
        <f t="shared" si="361"/>
        <v>0</v>
      </c>
      <c r="Z97" s="123">
        <f t="shared" si="361"/>
        <v>0</v>
      </c>
      <c r="AA97" s="123">
        <f t="shared" si="361"/>
        <v>0</v>
      </c>
      <c r="AB97" s="123">
        <f t="shared" si="361"/>
        <v>0</v>
      </c>
      <c r="AC97" s="123">
        <f t="shared" si="361"/>
        <v>0</v>
      </c>
      <c r="AD97" s="123">
        <f t="shared" si="361"/>
        <v>0</v>
      </c>
      <c r="AE97" s="123">
        <f t="shared" si="361"/>
        <v>0</v>
      </c>
      <c r="AF97" s="123">
        <f t="shared" si="361"/>
        <v>0</v>
      </c>
      <c r="AG97" s="123">
        <f t="shared" si="361"/>
        <v>0</v>
      </c>
      <c r="AH97" s="115" t="e">
        <f t="shared" si="351"/>
        <v>#DIV/0!</v>
      </c>
      <c r="AI97" s="21">
        <f t="shared" si="18"/>
        <v>0.01</v>
      </c>
      <c r="AJ97" s="123">
        <f t="shared" si="277"/>
        <v>0</v>
      </c>
    </row>
    <row r="98" spans="2:36">
      <c r="B98" s="10" t="s">
        <v>237</v>
      </c>
      <c r="C98" s="108"/>
      <c r="D98" s="108"/>
      <c r="E98" s="108"/>
      <c r="F98" s="121"/>
      <c r="G98" s="121">
        <f t="shared" ref="G98" si="362">G21/G61</f>
        <v>0</v>
      </c>
      <c r="H98" s="121" t="e">
        <f t="shared" ref="H98:I98" si="363">H21/H61</f>
        <v>#DIV/0!</v>
      </c>
      <c r="I98" s="121" t="e">
        <f t="shared" si="363"/>
        <v>#DIV/0!</v>
      </c>
      <c r="J98" s="121" t="e">
        <f t="shared" ref="J98:S98" si="364">J21/J61</f>
        <v>#DIV/0!</v>
      </c>
      <c r="K98" s="121" t="e">
        <f t="shared" si="364"/>
        <v>#DIV/0!</v>
      </c>
      <c r="L98" s="121" t="e">
        <f t="shared" si="364"/>
        <v>#DIV/0!</v>
      </c>
      <c r="M98" s="121" t="e">
        <f t="shared" si="364"/>
        <v>#DIV/0!</v>
      </c>
      <c r="N98" s="121" t="e">
        <f t="shared" si="364"/>
        <v>#DIV/0!</v>
      </c>
      <c r="O98" s="121" t="e">
        <f t="shared" si="364"/>
        <v>#DIV/0!</v>
      </c>
      <c r="P98" s="121" t="e">
        <f t="shared" si="364"/>
        <v>#DIV/0!</v>
      </c>
      <c r="Q98" s="121" t="e">
        <f t="shared" si="364"/>
        <v>#DIV/0!</v>
      </c>
      <c r="R98" s="121" t="e">
        <f t="shared" si="364"/>
        <v>#DIV/0!</v>
      </c>
      <c r="S98" s="121">
        <f t="shared" si="364"/>
        <v>0</v>
      </c>
      <c r="T98" s="121">
        <f t="shared" ref="T98:U98" si="365">T21/T61</f>
        <v>0</v>
      </c>
      <c r="U98" s="121">
        <f t="shared" si="365"/>
        <v>0</v>
      </c>
      <c r="V98" s="101" t="e">
        <f t="shared" si="269"/>
        <v>#DIV/0!</v>
      </c>
      <c r="W98" s="109"/>
      <c r="X98" s="123">
        <f t="shared" ref="X98:AG98" si="366">X21/X61</f>
        <v>0</v>
      </c>
      <c r="Y98" s="123">
        <f t="shared" si="366"/>
        <v>0</v>
      </c>
      <c r="Z98" s="123">
        <f t="shared" si="366"/>
        <v>0</v>
      </c>
      <c r="AA98" s="123">
        <f t="shared" si="366"/>
        <v>0</v>
      </c>
      <c r="AB98" s="123">
        <f t="shared" si="366"/>
        <v>0</v>
      </c>
      <c r="AC98" s="123">
        <f t="shared" si="366"/>
        <v>0</v>
      </c>
      <c r="AD98" s="123">
        <f t="shared" si="366"/>
        <v>0</v>
      </c>
      <c r="AE98" s="123">
        <f t="shared" si="366"/>
        <v>0</v>
      </c>
      <c r="AF98" s="123">
        <f t="shared" si="366"/>
        <v>0</v>
      </c>
      <c r="AG98" s="123">
        <f t="shared" si="366"/>
        <v>0</v>
      </c>
      <c r="AH98" s="115" t="e">
        <f t="shared" si="351"/>
        <v>#DIV/0!</v>
      </c>
      <c r="AI98" s="21">
        <f t="shared" si="18"/>
        <v>0.01</v>
      </c>
      <c r="AJ98" s="123">
        <f t="shared" si="277"/>
        <v>0</v>
      </c>
    </row>
    <row r="99" spans="2:36">
      <c r="B99" s="10" t="s">
        <v>238</v>
      </c>
      <c r="C99" s="108"/>
      <c r="D99" s="108"/>
      <c r="E99" s="108"/>
      <c r="F99" s="121"/>
      <c r="G99" s="121">
        <f t="shared" ref="G99" si="367">G22/G61</f>
        <v>0</v>
      </c>
      <c r="H99" s="121" t="e">
        <f t="shared" ref="H99:I99" si="368">H22/H61</f>
        <v>#DIV/0!</v>
      </c>
      <c r="I99" s="121" t="e">
        <f t="shared" si="368"/>
        <v>#DIV/0!</v>
      </c>
      <c r="J99" s="121" t="e">
        <f t="shared" ref="J99:S99" si="369">J22/J61</f>
        <v>#DIV/0!</v>
      </c>
      <c r="K99" s="121" t="e">
        <f t="shared" si="369"/>
        <v>#DIV/0!</v>
      </c>
      <c r="L99" s="121" t="e">
        <f t="shared" si="369"/>
        <v>#DIV/0!</v>
      </c>
      <c r="M99" s="121" t="e">
        <f t="shared" si="369"/>
        <v>#DIV/0!</v>
      </c>
      <c r="N99" s="121" t="e">
        <f t="shared" si="369"/>
        <v>#DIV/0!</v>
      </c>
      <c r="O99" s="121" t="e">
        <f t="shared" si="369"/>
        <v>#DIV/0!</v>
      </c>
      <c r="P99" s="121" t="e">
        <f t="shared" si="369"/>
        <v>#DIV/0!</v>
      </c>
      <c r="Q99" s="121" t="e">
        <f t="shared" si="369"/>
        <v>#DIV/0!</v>
      </c>
      <c r="R99" s="121" t="e">
        <f t="shared" si="369"/>
        <v>#DIV/0!</v>
      </c>
      <c r="S99" s="121">
        <f t="shared" si="369"/>
        <v>0</v>
      </c>
      <c r="T99" s="121">
        <f t="shared" ref="T99:U99" si="370">T22/T61</f>
        <v>0</v>
      </c>
      <c r="U99" s="121">
        <f t="shared" si="370"/>
        <v>0</v>
      </c>
      <c r="V99" s="101" t="e">
        <f t="shared" si="269"/>
        <v>#DIV/0!</v>
      </c>
      <c r="W99" s="109"/>
      <c r="X99" s="123">
        <f t="shared" ref="X99:AG99" si="371">X22/X61</f>
        <v>0</v>
      </c>
      <c r="Y99" s="123">
        <f t="shared" si="371"/>
        <v>0</v>
      </c>
      <c r="Z99" s="123">
        <f t="shared" si="371"/>
        <v>0</v>
      </c>
      <c r="AA99" s="123">
        <f t="shared" si="371"/>
        <v>0</v>
      </c>
      <c r="AB99" s="123">
        <f t="shared" si="371"/>
        <v>0</v>
      </c>
      <c r="AC99" s="123">
        <f t="shared" si="371"/>
        <v>0</v>
      </c>
      <c r="AD99" s="123">
        <f t="shared" si="371"/>
        <v>0</v>
      </c>
      <c r="AE99" s="123">
        <f t="shared" si="371"/>
        <v>0</v>
      </c>
      <c r="AF99" s="123">
        <f t="shared" si="371"/>
        <v>0</v>
      </c>
      <c r="AG99" s="123">
        <f t="shared" si="371"/>
        <v>0</v>
      </c>
      <c r="AH99" s="115" t="e">
        <f t="shared" si="351"/>
        <v>#DIV/0!</v>
      </c>
      <c r="AI99" s="21">
        <f t="shared" si="18"/>
        <v>0.01</v>
      </c>
      <c r="AJ99" s="123">
        <f t="shared" si="277"/>
        <v>0</v>
      </c>
    </row>
    <row r="100" spans="2:36">
      <c r="B100" s="10" t="s">
        <v>245</v>
      </c>
      <c r="C100" s="108"/>
      <c r="D100" s="108"/>
      <c r="E100" s="108"/>
      <c r="F100" s="121"/>
      <c r="G100" s="121">
        <f t="shared" ref="G100" si="372">G23/G61</f>
        <v>0</v>
      </c>
      <c r="H100" s="121" t="e">
        <f t="shared" ref="H100:I100" si="373">H23/H61</f>
        <v>#DIV/0!</v>
      </c>
      <c r="I100" s="121" t="e">
        <f t="shared" si="373"/>
        <v>#DIV/0!</v>
      </c>
      <c r="J100" s="121" t="e">
        <f t="shared" ref="J100:S100" si="374">J23/J61</f>
        <v>#DIV/0!</v>
      </c>
      <c r="K100" s="121" t="e">
        <f t="shared" si="374"/>
        <v>#DIV/0!</v>
      </c>
      <c r="L100" s="121" t="e">
        <f t="shared" si="374"/>
        <v>#DIV/0!</v>
      </c>
      <c r="M100" s="121" t="e">
        <f t="shared" si="374"/>
        <v>#DIV/0!</v>
      </c>
      <c r="N100" s="121" t="e">
        <f t="shared" si="374"/>
        <v>#DIV/0!</v>
      </c>
      <c r="O100" s="121" t="e">
        <f t="shared" si="374"/>
        <v>#DIV/0!</v>
      </c>
      <c r="P100" s="121" t="e">
        <f t="shared" si="374"/>
        <v>#DIV/0!</v>
      </c>
      <c r="Q100" s="121" t="e">
        <f t="shared" si="374"/>
        <v>#DIV/0!</v>
      </c>
      <c r="R100" s="121" t="e">
        <f t="shared" si="374"/>
        <v>#DIV/0!</v>
      </c>
      <c r="S100" s="121">
        <f t="shared" si="374"/>
        <v>0</v>
      </c>
      <c r="T100" s="121">
        <f t="shared" ref="T100:U100" si="375">T23/T61</f>
        <v>0</v>
      </c>
      <c r="U100" s="121">
        <f t="shared" si="375"/>
        <v>0</v>
      </c>
      <c r="V100" s="101" t="e">
        <f t="shared" si="269"/>
        <v>#DIV/0!</v>
      </c>
      <c r="W100" s="109"/>
      <c r="X100" s="123">
        <f t="shared" ref="X100:AG100" si="376">X23/X61</f>
        <v>0</v>
      </c>
      <c r="Y100" s="123">
        <f t="shared" si="376"/>
        <v>0</v>
      </c>
      <c r="Z100" s="123">
        <f t="shared" si="376"/>
        <v>0</v>
      </c>
      <c r="AA100" s="123">
        <f t="shared" si="376"/>
        <v>0</v>
      </c>
      <c r="AB100" s="123">
        <f t="shared" si="376"/>
        <v>0</v>
      </c>
      <c r="AC100" s="123">
        <f t="shared" si="376"/>
        <v>0</v>
      </c>
      <c r="AD100" s="123">
        <f t="shared" si="376"/>
        <v>0</v>
      </c>
      <c r="AE100" s="123">
        <f t="shared" si="376"/>
        <v>0</v>
      </c>
      <c r="AF100" s="123">
        <f t="shared" si="376"/>
        <v>0</v>
      </c>
      <c r="AG100" s="123">
        <f t="shared" si="376"/>
        <v>0</v>
      </c>
      <c r="AH100" s="115" t="e">
        <f t="shared" ref="AH100" si="377">((AG100/J100)^(1/($AG$3-$K$1) ))-1</f>
        <v>#DIV/0!</v>
      </c>
      <c r="AI100" s="21">
        <f t="shared" si="18"/>
        <v>0.01</v>
      </c>
      <c r="AJ100" s="123">
        <f t="shared" si="277"/>
        <v>0</v>
      </c>
    </row>
    <row r="101" spans="2:36">
      <c r="B101" s="10"/>
      <c r="C101" s="108"/>
      <c r="D101" s="108"/>
      <c r="E101" s="108"/>
      <c r="F101" s="121"/>
      <c r="G101" s="121"/>
      <c r="H101" s="121"/>
      <c r="I101" s="121"/>
      <c r="J101" s="121"/>
      <c r="K101" s="121"/>
      <c r="L101" s="121"/>
      <c r="M101" s="121"/>
      <c r="N101" s="121"/>
      <c r="O101" s="121"/>
      <c r="P101" s="121"/>
      <c r="Q101" s="121"/>
      <c r="R101" s="121"/>
      <c r="S101" s="121"/>
      <c r="T101" s="121"/>
      <c r="U101" s="121"/>
      <c r="V101" s="10"/>
      <c r="W101" s="10"/>
      <c r="X101" s="102"/>
      <c r="Y101" s="102"/>
      <c r="Z101" s="102"/>
      <c r="AA101" s="102"/>
      <c r="AB101" s="102"/>
      <c r="AC101" s="102"/>
      <c r="AD101" s="102"/>
      <c r="AE101" s="102"/>
      <c r="AF101" s="102"/>
      <c r="AG101" s="102"/>
      <c r="AH101" s="116"/>
      <c r="AI101" s="114"/>
      <c r="AJ101" s="130"/>
    </row>
    <row r="102" spans="2:36">
      <c r="B102" s="10" t="s">
        <v>430</v>
      </c>
      <c r="C102" s="121"/>
      <c r="D102" s="121"/>
      <c r="E102" s="121"/>
      <c r="F102" s="121"/>
      <c r="G102" s="121">
        <f t="shared" ref="G102" si="378">G53/G61</f>
        <v>0</v>
      </c>
      <c r="H102" s="121" t="e">
        <f t="shared" ref="H102:I102" si="379">H53/H61</f>
        <v>#DIV/0!</v>
      </c>
      <c r="I102" s="121" t="e">
        <f t="shared" si="379"/>
        <v>#DIV/0!</v>
      </c>
      <c r="J102" s="121" t="e">
        <f t="shared" ref="J102:S102" si="380">J53/J61</f>
        <v>#DIV/0!</v>
      </c>
      <c r="K102" s="121" t="e">
        <f t="shared" si="380"/>
        <v>#DIV/0!</v>
      </c>
      <c r="L102" s="121" t="e">
        <f t="shared" si="380"/>
        <v>#DIV/0!</v>
      </c>
      <c r="M102" s="121" t="e">
        <f t="shared" si="380"/>
        <v>#DIV/0!</v>
      </c>
      <c r="N102" s="121" t="e">
        <f t="shared" si="380"/>
        <v>#DIV/0!</v>
      </c>
      <c r="O102" s="121" t="e">
        <f t="shared" si="380"/>
        <v>#DIV/0!</v>
      </c>
      <c r="P102" s="121" t="e">
        <f t="shared" si="380"/>
        <v>#DIV/0!</v>
      </c>
      <c r="Q102" s="121" t="e">
        <f t="shared" si="380"/>
        <v>#DIV/0!</v>
      </c>
      <c r="R102" s="121" t="e">
        <f t="shared" si="380"/>
        <v>#DIV/0!</v>
      </c>
      <c r="S102" s="121">
        <f t="shared" si="380"/>
        <v>0</v>
      </c>
      <c r="T102" s="121">
        <f t="shared" ref="T102:U102" si="381">T53/T61</f>
        <v>0</v>
      </c>
      <c r="U102" s="121">
        <f t="shared" si="381"/>
        <v>0</v>
      </c>
      <c r="V102" s="101" t="e">
        <f t="shared" si="269"/>
        <v>#DIV/0!</v>
      </c>
      <c r="W102" s="109"/>
      <c r="X102" s="121">
        <f t="shared" ref="X102:AG102" si="382">X53/X61</f>
        <v>0</v>
      </c>
      <c r="Y102" s="121">
        <f t="shared" si="382"/>
        <v>0</v>
      </c>
      <c r="Z102" s="121">
        <f t="shared" si="382"/>
        <v>0</v>
      </c>
      <c r="AA102" s="121">
        <f t="shared" si="382"/>
        <v>0</v>
      </c>
      <c r="AB102" s="121">
        <f t="shared" si="382"/>
        <v>0</v>
      </c>
      <c r="AC102" s="121">
        <f t="shared" si="382"/>
        <v>0</v>
      </c>
      <c r="AD102" s="121">
        <f t="shared" si="382"/>
        <v>0</v>
      </c>
      <c r="AE102" s="121">
        <f t="shared" si="382"/>
        <v>0</v>
      </c>
      <c r="AF102" s="121">
        <f t="shared" si="382"/>
        <v>0</v>
      </c>
      <c r="AG102" s="121">
        <f t="shared" si="382"/>
        <v>0</v>
      </c>
      <c r="AH102" s="115" t="e">
        <f t="shared" ref="AH102:AH104" si="383">((AG102/J102)^(1/($AG$3-$K$1) ))-1</f>
        <v>#DIV/0!</v>
      </c>
      <c r="AI102" s="21">
        <f t="shared" si="18"/>
        <v>0.01</v>
      </c>
      <c r="AJ102" s="123">
        <f t="shared" si="277"/>
        <v>0</v>
      </c>
    </row>
    <row r="103" spans="2:36">
      <c r="B103" s="10" t="s">
        <v>431</v>
      </c>
      <c r="C103" s="121"/>
      <c r="D103" s="121"/>
      <c r="E103" s="121"/>
      <c r="F103" s="121"/>
      <c r="G103" s="121">
        <f t="shared" ref="G103" si="384">G59/G61</f>
        <v>1.3746312684365782</v>
      </c>
      <c r="H103" s="121" t="e">
        <f t="shared" ref="H103:I103" si="385">H59/H61</f>
        <v>#DIV/0!</v>
      </c>
      <c r="I103" s="121" t="e">
        <f t="shared" si="385"/>
        <v>#DIV/0!</v>
      </c>
      <c r="J103" s="121" t="e">
        <f t="shared" ref="J103:S103" si="386">J59/J61</f>
        <v>#DIV/0!</v>
      </c>
      <c r="K103" s="121" t="e">
        <f t="shared" si="386"/>
        <v>#DIV/0!</v>
      </c>
      <c r="L103" s="121" t="e">
        <f t="shared" si="386"/>
        <v>#DIV/0!</v>
      </c>
      <c r="M103" s="121" t="e">
        <f t="shared" si="386"/>
        <v>#DIV/0!</v>
      </c>
      <c r="N103" s="121" t="e">
        <f t="shared" si="386"/>
        <v>#DIV/0!</v>
      </c>
      <c r="O103" s="121" t="e">
        <f t="shared" si="386"/>
        <v>#DIV/0!</v>
      </c>
      <c r="P103" s="121" t="e">
        <f t="shared" si="386"/>
        <v>#DIV/0!</v>
      </c>
      <c r="Q103" s="121" t="e">
        <f t="shared" si="386"/>
        <v>#DIV/0!</v>
      </c>
      <c r="R103" s="121" t="e">
        <f t="shared" si="386"/>
        <v>#DIV/0!</v>
      </c>
      <c r="S103" s="121">
        <f t="shared" si="386"/>
        <v>1.3746312684365782</v>
      </c>
      <c r="T103" s="121">
        <f t="shared" ref="T103:U103" si="387">T59/T61</f>
        <v>3.0058997050147491</v>
      </c>
      <c r="U103" s="121">
        <f t="shared" si="387"/>
        <v>2.5929203539823007</v>
      </c>
      <c r="V103" s="101">
        <f t="shared" si="269"/>
        <v>4.6371556205144326E-2</v>
      </c>
      <c r="W103" s="109"/>
      <c r="X103" s="121">
        <f t="shared" ref="X103:AG103" si="388">X59/X61</f>
        <v>2.923390595176123</v>
      </c>
      <c r="Y103" s="121">
        <f t="shared" si="388"/>
        <v>3.2959795926005304</v>
      </c>
      <c r="Z103" s="121">
        <f t="shared" si="388"/>
        <v>3.7160554230300091</v>
      </c>
      <c r="AA103" s="121">
        <f t="shared" si="388"/>
        <v>4.1896703298867752</v>
      </c>
      <c r="AB103" s="121">
        <f t="shared" si="388"/>
        <v>4.7236479209507749</v>
      </c>
      <c r="AC103" s="121">
        <f t="shared" si="388"/>
        <v>5.3256814795033245</v>
      </c>
      <c r="AD103" s="121">
        <f t="shared" si="388"/>
        <v>6.0044448053223753</v>
      </c>
      <c r="AE103" s="121">
        <f t="shared" si="388"/>
        <v>6.7697171824713047</v>
      </c>
      <c r="AF103" s="121">
        <f t="shared" si="388"/>
        <v>7.6325242743549016</v>
      </c>
      <c r="AG103" s="121">
        <f t="shared" si="388"/>
        <v>8.6052969759883684</v>
      </c>
      <c r="AH103" s="115" t="e">
        <f t="shared" si="383"/>
        <v>#DIV/0!</v>
      </c>
      <c r="AI103" s="21">
        <f t="shared" si="18"/>
        <v>0.01</v>
      </c>
      <c r="AJ103" s="123">
        <f t="shared" si="277"/>
        <v>41.387380694039294</v>
      </c>
    </row>
    <row r="104" spans="2:36">
      <c r="B104" s="10" t="s">
        <v>259</v>
      </c>
      <c r="C104" s="121"/>
      <c r="D104" s="121"/>
      <c r="E104" s="121"/>
      <c r="F104" s="121"/>
      <c r="G104" s="121">
        <f t="shared" ref="G104" si="389">G6/G61</f>
        <v>30.196489675516226</v>
      </c>
      <c r="H104" s="121" t="e">
        <f t="shared" ref="H104:I104" si="390">H6/H61</f>
        <v>#DIV/0!</v>
      </c>
      <c r="I104" s="121" t="e">
        <f t="shared" si="390"/>
        <v>#DIV/0!</v>
      </c>
      <c r="J104" s="121" t="e">
        <f t="shared" ref="J104:S104" si="391">J6/J61</f>
        <v>#DIV/0!</v>
      </c>
      <c r="K104" s="121" t="e">
        <f t="shared" si="391"/>
        <v>#DIV/0!</v>
      </c>
      <c r="L104" s="121" t="e">
        <f t="shared" si="391"/>
        <v>#DIV/0!</v>
      </c>
      <c r="M104" s="121" t="e">
        <f t="shared" si="391"/>
        <v>#DIV/0!</v>
      </c>
      <c r="N104" s="121" t="e">
        <f t="shared" si="391"/>
        <v>#DIV/0!</v>
      </c>
      <c r="O104" s="121" t="e">
        <f t="shared" si="391"/>
        <v>#DIV/0!</v>
      </c>
      <c r="P104" s="121" t="e">
        <f t="shared" si="391"/>
        <v>#DIV/0!</v>
      </c>
      <c r="Q104" s="121" t="e">
        <f t="shared" si="391"/>
        <v>#DIV/0!</v>
      </c>
      <c r="R104" s="121" t="e">
        <f t="shared" si="391"/>
        <v>#DIV/0!</v>
      </c>
      <c r="S104" s="121">
        <f t="shared" si="391"/>
        <v>30.196489675516226</v>
      </c>
      <c r="T104" s="121">
        <f t="shared" ref="T104:U104" si="392">T6/T61</f>
        <v>33.268348082595871</v>
      </c>
      <c r="U104" s="121">
        <f t="shared" si="392"/>
        <v>35.014749262536874</v>
      </c>
      <c r="V104" s="101">
        <f t="shared" si="269"/>
        <v>1.0630658044594732E-2</v>
      </c>
      <c r="W104" s="109"/>
      <c r="X104" s="121">
        <f t="shared" ref="X104:AG104" si="393">X6/X61</f>
        <v>39.47741338423274</v>
      </c>
      <c r="Y104" s="121">
        <f t="shared" si="393"/>
        <v>44.508848423399655</v>
      </c>
      <c r="Z104" s="121">
        <f t="shared" si="393"/>
        <v>50.181544791087838</v>
      </c>
      <c r="AA104" s="121">
        <f t="shared" si="393"/>
        <v>56.577231872304914</v>
      </c>
      <c r="AB104" s="121">
        <f t="shared" si="393"/>
        <v>63.788055542304562</v>
      </c>
      <c r="AC104" s="121">
        <f t="shared" si="393"/>
        <v>71.917905758480629</v>
      </c>
      <c r="AD104" s="121">
        <f t="shared" si="393"/>
        <v>81.083913355149718</v>
      </c>
      <c r="AE104" s="121">
        <f t="shared" si="393"/>
        <v>91.418137606296241</v>
      </c>
      <c r="AF104" s="121">
        <f t="shared" si="393"/>
        <v>103.06946886984379</v>
      </c>
      <c r="AG104" s="121">
        <f t="shared" si="393"/>
        <v>116.20577372580426</v>
      </c>
      <c r="AH104" s="115" t="e">
        <f t="shared" si="383"/>
        <v>#DIV/0!</v>
      </c>
      <c r="AI104" s="21">
        <f t="shared" ref="AI104" si="394">$O$1</f>
        <v>0.01</v>
      </c>
      <c r="AJ104" s="123">
        <f t="shared" si="277"/>
        <v>558.89443553839192</v>
      </c>
    </row>
    <row r="105" spans="2:36">
      <c r="B105" s="10"/>
      <c r="C105" s="108"/>
      <c r="D105" s="108"/>
      <c r="E105" s="108"/>
      <c r="F105" s="121"/>
      <c r="G105" s="121"/>
      <c r="H105" s="121"/>
      <c r="I105" s="121"/>
      <c r="J105" s="121"/>
      <c r="K105" s="121"/>
      <c r="L105" s="121"/>
      <c r="M105" s="121"/>
      <c r="N105" s="121"/>
      <c r="O105" s="121"/>
      <c r="P105" s="121"/>
      <c r="Q105" s="121"/>
      <c r="R105" s="121"/>
      <c r="S105" s="121"/>
      <c r="T105" s="121"/>
      <c r="U105" s="121"/>
      <c r="V105" s="10"/>
      <c r="W105" s="10"/>
      <c r="X105" s="102"/>
      <c r="Y105" s="102"/>
      <c r="Z105" s="102"/>
      <c r="AA105" s="102"/>
      <c r="AB105" s="102"/>
      <c r="AC105" s="102"/>
      <c r="AD105" s="102"/>
      <c r="AE105" s="102"/>
      <c r="AF105" s="102"/>
      <c r="AG105" s="102"/>
      <c r="AH105" s="116"/>
      <c r="AI105" s="10"/>
      <c r="AJ105" s="130"/>
    </row>
    <row r="106" spans="2:36">
      <c r="B106" s="10" t="s">
        <v>407</v>
      </c>
      <c r="C106" s="108"/>
      <c r="D106" s="108"/>
      <c r="E106" s="108"/>
      <c r="F106" s="121"/>
      <c r="G106" s="121">
        <f t="shared" ref="G106:T106" si="395">G59/$U$61</f>
        <v>1.3746312684365782</v>
      </c>
      <c r="H106" s="121">
        <f t="shared" si="395"/>
        <v>0</v>
      </c>
      <c r="I106" s="121">
        <f t="shared" si="395"/>
        <v>0</v>
      </c>
      <c r="J106" s="121">
        <f t="shared" si="395"/>
        <v>0</v>
      </c>
      <c r="K106" s="121">
        <f t="shared" si="395"/>
        <v>0</v>
      </c>
      <c r="L106" s="121">
        <f t="shared" si="395"/>
        <v>0</v>
      </c>
      <c r="M106" s="121">
        <f t="shared" si="395"/>
        <v>0</v>
      </c>
      <c r="N106" s="121">
        <f t="shared" si="395"/>
        <v>0</v>
      </c>
      <c r="O106" s="121">
        <f t="shared" si="395"/>
        <v>0</v>
      </c>
      <c r="P106" s="121">
        <f t="shared" si="395"/>
        <v>0</v>
      </c>
      <c r="Q106" s="121">
        <f t="shared" si="395"/>
        <v>0</v>
      </c>
      <c r="R106" s="121">
        <f t="shared" si="395"/>
        <v>0</v>
      </c>
      <c r="S106" s="121">
        <f t="shared" si="395"/>
        <v>1.3746312684365782</v>
      </c>
      <c r="T106" s="121">
        <f t="shared" si="395"/>
        <v>3.0058997050147491</v>
      </c>
      <c r="U106" s="121">
        <f>U59/$U$61</f>
        <v>2.5929203539823007</v>
      </c>
      <c r="V106" s="101">
        <f t="shared" si="269"/>
        <v>4.6371556205144326E-2</v>
      </c>
      <c r="W106" s="109"/>
      <c r="X106" s="121">
        <f t="shared" ref="X106:AG106" si="396">X59/X61</f>
        <v>2.923390595176123</v>
      </c>
      <c r="Y106" s="121">
        <f t="shared" si="396"/>
        <v>3.2959795926005304</v>
      </c>
      <c r="Z106" s="121">
        <f t="shared" si="396"/>
        <v>3.7160554230300091</v>
      </c>
      <c r="AA106" s="121">
        <f t="shared" si="396"/>
        <v>4.1896703298867752</v>
      </c>
      <c r="AB106" s="121">
        <f t="shared" si="396"/>
        <v>4.7236479209507749</v>
      </c>
      <c r="AC106" s="121">
        <f t="shared" si="396"/>
        <v>5.3256814795033245</v>
      </c>
      <c r="AD106" s="121">
        <f t="shared" si="396"/>
        <v>6.0044448053223753</v>
      </c>
      <c r="AE106" s="121">
        <f t="shared" si="396"/>
        <v>6.7697171824713047</v>
      </c>
      <c r="AF106" s="121">
        <f t="shared" si="396"/>
        <v>7.6325242743549016</v>
      </c>
      <c r="AG106" s="121">
        <f t="shared" si="396"/>
        <v>8.6052969759883684</v>
      </c>
      <c r="AH106" s="116"/>
      <c r="AI106" s="10"/>
      <c r="AJ106" s="130"/>
    </row>
    <row r="107" spans="2:36">
      <c r="B107" s="10"/>
      <c r="C107" s="108"/>
      <c r="D107" s="108"/>
      <c r="E107" s="108"/>
      <c r="F107" s="121"/>
      <c r="G107" s="121"/>
      <c r="H107" s="121"/>
      <c r="I107" s="121"/>
      <c r="J107" s="121"/>
      <c r="K107" s="121"/>
      <c r="L107" s="121"/>
      <c r="M107" s="121"/>
      <c r="N107" s="121"/>
      <c r="O107" s="121"/>
      <c r="P107" s="121"/>
      <c r="Q107" s="121"/>
      <c r="R107" s="121"/>
      <c r="S107" s="121"/>
      <c r="T107" s="121"/>
      <c r="U107" s="121"/>
      <c r="V107" s="10"/>
      <c r="W107" s="10"/>
      <c r="X107" s="102"/>
      <c r="Y107" s="102"/>
      <c r="Z107" s="102"/>
      <c r="AA107" s="102"/>
      <c r="AB107" s="102"/>
      <c r="AC107" s="102"/>
      <c r="AD107" s="102"/>
      <c r="AE107" s="102"/>
      <c r="AF107" s="102"/>
      <c r="AG107" s="102"/>
      <c r="AH107" s="116"/>
      <c r="AI107" s="10"/>
      <c r="AJ107" s="130"/>
    </row>
    <row r="108" spans="2:36">
      <c r="B108" s="93" t="s">
        <v>258</v>
      </c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21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</row>
    <row r="109" spans="2:36">
      <c r="B109" s="10" t="s">
        <v>257</v>
      </c>
      <c r="C109" s="128"/>
      <c r="D109" s="128"/>
      <c r="E109" s="128"/>
      <c r="F109" s="128"/>
      <c r="G109" s="128">
        <f t="shared" ref="G109" si="397">G53/G25</f>
        <v>0</v>
      </c>
      <c r="H109" s="128" t="e">
        <f t="shared" ref="H109:I109" si="398">H53/H25</f>
        <v>#DIV/0!</v>
      </c>
      <c r="I109" s="128" t="e">
        <f t="shared" si="398"/>
        <v>#DIV/0!</v>
      </c>
      <c r="J109" s="128" t="e">
        <f t="shared" ref="J109:S109" si="399">J53/J25</f>
        <v>#DIV/0!</v>
      </c>
      <c r="K109" s="128" t="e">
        <f t="shared" si="399"/>
        <v>#DIV/0!</v>
      </c>
      <c r="L109" s="128" t="e">
        <f t="shared" si="399"/>
        <v>#DIV/0!</v>
      </c>
      <c r="M109" s="128" t="e">
        <f t="shared" si="399"/>
        <v>#DIV/0!</v>
      </c>
      <c r="N109" s="128" t="e">
        <f t="shared" si="399"/>
        <v>#DIV/0!</v>
      </c>
      <c r="O109" s="128" t="e">
        <f t="shared" si="399"/>
        <v>#DIV/0!</v>
      </c>
      <c r="P109" s="128" t="e">
        <f t="shared" si="399"/>
        <v>#DIV/0!</v>
      </c>
      <c r="Q109" s="128" t="e">
        <f t="shared" si="399"/>
        <v>#DIV/0!</v>
      </c>
      <c r="R109" s="128" t="e">
        <f t="shared" si="399"/>
        <v>#DIV/0!</v>
      </c>
      <c r="S109" s="128">
        <f t="shared" si="399"/>
        <v>0</v>
      </c>
      <c r="T109" s="128">
        <f t="shared" ref="T109:U109" si="400">T53/T25</f>
        <v>0</v>
      </c>
      <c r="U109" s="128">
        <f t="shared" si="400"/>
        <v>0</v>
      </c>
      <c r="V109" s="101" t="e">
        <f t="shared" si="269"/>
        <v>#DIV/0!</v>
      </c>
      <c r="W109" s="128"/>
      <c r="X109" s="128">
        <f t="shared" ref="X109:AG109" si="401">X53/X25</f>
        <v>0</v>
      </c>
      <c r="Y109" s="128">
        <f t="shared" si="401"/>
        <v>0</v>
      </c>
      <c r="Z109" s="128">
        <f t="shared" si="401"/>
        <v>0</v>
      </c>
      <c r="AA109" s="128">
        <f t="shared" si="401"/>
        <v>0</v>
      </c>
      <c r="AB109" s="128">
        <f t="shared" si="401"/>
        <v>0</v>
      </c>
      <c r="AC109" s="128">
        <f t="shared" si="401"/>
        <v>0</v>
      </c>
      <c r="AD109" s="128">
        <f t="shared" si="401"/>
        <v>0</v>
      </c>
      <c r="AE109" s="128">
        <f t="shared" si="401"/>
        <v>0</v>
      </c>
      <c r="AF109" s="128">
        <f t="shared" si="401"/>
        <v>0</v>
      </c>
      <c r="AG109" s="128">
        <f t="shared" si="401"/>
        <v>0</v>
      </c>
      <c r="AH109" s="115" t="e">
        <f t="shared" ref="AH109:AH158" si="402">((AG109/J109)^(1/($AG$3-$K$1) ))-1</f>
        <v>#DIV/0!</v>
      </c>
      <c r="AI109" s="123"/>
      <c r="AJ109" s="123"/>
    </row>
    <row r="110" spans="2:36">
      <c r="B110" s="10" t="s">
        <v>219</v>
      </c>
      <c r="C110" s="128"/>
      <c r="D110" s="128"/>
      <c r="E110" s="128"/>
      <c r="F110" s="128"/>
      <c r="G110" s="128">
        <f t="shared" ref="G110" si="403">G59/G25</f>
        <v>0.11500493583415597</v>
      </c>
      <c r="H110" s="128" t="e">
        <f t="shared" ref="H110:I110" si="404">H59/H25</f>
        <v>#DIV/0!</v>
      </c>
      <c r="I110" s="128" t="e">
        <f t="shared" si="404"/>
        <v>#DIV/0!</v>
      </c>
      <c r="J110" s="128" t="e">
        <f t="shared" ref="J110:S110" si="405">J59/J25</f>
        <v>#DIV/0!</v>
      </c>
      <c r="K110" s="128" t="e">
        <f t="shared" si="405"/>
        <v>#DIV/0!</v>
      </c>
      <c r="L110" s="128" t="e">
        <f t="shared" si="405"/>
        <v>#DIV/0!</v>
      </c>
      <c r="M110" s="128" t="e">
        <f t="shared" si="405"/>
        <v>#DIV/0!</v>
      </c>
      <c r="N110" s="128" t="e">
        <f t="shared" si="405"/>
        <v>#DIV/0!</v>
      </c>
      <c r="O110" s="128" t="e">
        <f t="shared" si="405"/>
        <v>#DIV/0!</v>
      </c>
      <c r="P110" s="128" t="e">
        <f t="shared" si="405"/>
        <v>#DIV/0!</v>
      </c>
      <c r="Q110" s="128" t="e">
        <f t="shared" si="405"/>
        <v>#DIV/0!</v>
      </c>
      <c r="R110" s="128" t="e">
        <f t="shared" si="405"/>
        <v>#DIV/0!</v>
      </c>
      <c r="S110" s="128">
        <f t="shared" si="405"/>
        <v>0.11506172839506174</v>
      </c>
      <c r="T110" s="128">
        <f t="shared" ref="T110:U110" si="406">T59/T25</f>
        <v>0.10617901427529436</v>
      </c>
      <c r="U110" s="128">
        <f t="shared" si="406"/>
        <v>8.6024662360540224E-2</v>
      </c>
      <c r="V110" s="101">
        <f t="shared" si="269"/>
        <v>-2.0525077579386486E-2</v>
      </c>
      <c r="W110" s="128"/>
      <c r="X110" s="128">
        <f t="shared" ref="X110:AG110" si="407">X59/X25</f>
        <v>8.6024662360540224E-2</v>
      </c>
      <c r="Y110" s="128">
        <f t="shared" si="407"/>
        <v>8.6024662360540211E-2</v>
      </c>
      <c r="Z110" s="128">
        <f t="shared" si="407"/>
        <v>8.6024662360540211E-2</v>
      </c>
      <c r="AA110" s="128">
        <f t="shared" si="407"/>
        <v>8.6024662360540211E-2</v>
      </c>
      <c r="AB110" s="128">
        <f t="shared" si="407"/>
        <v>8.6024662360540197E-2</v>
      </c>
      <c r="AC110" s="128">
        <f t="shared" si="407"/>
        <v>8.6024662360540211E-2</v>
      </c>
      <c r="AD110" s="128">
        <f t="shared" si="407"/>
        <v>8.6024662360540211E-2</v>
      </c>
      <c r="AE110" s="128">
        <f t="shared" si="407"/>
        <v>8.6024662360540211E-2</v>
      </c>
      <c r="AF110" s="128">
        <f t="shared" si="407"/>
        <v>8.6024662360540211E-2</v>
      </c>
      <c r="AG110" s="128">
        <f t="shared" si="407"/>
        <v>8.6024662360540197E-2</v>
      </c>
      <c r="AH110" s="115" t="e">
        <f t="shared" si="402"/>
        <v>#DIV/0!</v>
      </c>
      <c r="AI110" s="123"/>
      <c r="AJ110" s="123"/>
    </row>
    <row r="111" spans="2:36">
      <c r="B111" s="10" t="s">
        <v>301</v>
      </c>
      <c r="C111" s="128"/>
      <c r="D111" s="128"/>
      <c r="E111" s="128"/>
      <c r="F111" s="128"/>
      <c r="G111" s="128">
        <f t="shared" ref="G111" si="408">G59/G7</f>
        <v>3.418289314911737E-2</v>
      </c>
      <c r="H111" s="128" t="e">
        <f t="shared" ref="H111:I111" si="409">H59/H7</f>
        <v>#DIV/0!</v>
      </c>
      <c r="I111" s="128" t="e">
        <f t="shared" si="409"/>
        <v>#DIV/0!</v>
      </c>
      <c r="J111" s="128" t="e">
        <f>J59/J7</f>
        <v>#DIV/0!</v>
      </c>
      <c r="K111" s="128" t="e">
        <f t="shared" ref="K111:R111" si="410">K59/K7</f>
        <v>#DIV/0!</v>
      </c>
      <c r="L111" s="128" t="e">
        <f t="shared" si="410"/>
        <v>#DIV/0!</v>
      </c>
      <c r="M111" s="128" t="e">
        <f t="shared" si="410"/>
        <v>#DIV/0!</v>
      </c>
      <c r="N111" s="128" t="e">
        <f t="shared" si="410"/>
        <v>#DIV/0!</v>
      </c>
      <c r="O111" s="128" t="e">
        <f t="shared" si="410"/>
        <v>#DIV/0!</v>
      </c>
      <c r="P111" s="128" t="e">
        <f t="shared" si="410"/>
        <v>#DIV/0!</v>
      </c>
      <c r="Q111" s="128" t="e">
        <f t="shared" si="410"/>
        <v>#DIV/0!</v>
      </c>
      <c r="R111" s="128" t="e">
        <f t="shared" si="410"/>
        <v>#DIV/0!</v>
      </c>
      <c r="S111" s="128">
        <f t="shared" ref="S111:T111" si="411">S59/S7</f>
        <v>3.418289314911737E-2</v>
      </c>
      <c r="T111" s="128">
        <f t="shared" si="411"/>
        <v>6.9423627197165827E-2</v>
      </c>
      <c r="U111" s="128">
        <f t="shared" ref="U111" si="412">U59/U7</f>
        <v>5.754877569726332E-2</v>
      </c>
      <c r="V111" s="101">
        <f t="shared" si="269"/>
        <v>3.7908552980896237E-2</v>
      </c>
      <c r="W111" s="10"/>
      <c r="X111" s="128">
        <f t="shared" ref="X111" si="413">X59/X7</f>
        <v>5.754877569726332E-2</v>
      </c>
      <c r="Y111" s="128">
        <f t="shared" ref="Y111:AG111" si="414">Y59/Y7</f>
        <v>5.7548775697263313E-2</v>
      </c>
      <c r="Z111" s="128">
        <f t="shared" si="414"/>
        <v>5.7548775697263313E-2</v>
      </c>
      <c r="AA111" s="128">
        <f t="shared" si="414"/>
        <v>5.7548775697263313E-2</v>
      </c>
      <c r="AB111" s="128">
        <f t="shared" si="414"/>
        <v>5.7548775697263313E-2</v>
      </c>
      <c r="AC111" s="128">
        <f t="shared" si="414"/>
        <v>5.7548775697263313E-2</v>
      </c>
      <c r="AD111" s="128">
        <f t="shared" si="414"/>
        <v>5.754877569726332E-2</v>
      </c>
      <c r="AE111" s="128">
        <f t="shared" si="414"/>
        <v>5.7548775697263313E-2</v>
      </c>
      <c r="AF111" s="128">
        <f t="shared" si="414"/>
        <v>5.7548775697263313E-2</v>
      </c>
      <c r="AG111" s="128">
        <f t="shared" si="414"/>
        <v>5.7548775697263306E-2</v>
      </c>
      <c r="AH111" s="115" t="e">
        <f t="shared" si="402"/>
        <v>#DIV/0!</v>
      </c>
      <c r="AI111" s="123"/>
      <c r="AJ111" s="123"/>
    </row>
    <row r="112" spans="2:36">
      <c r="B112" s="10" t="s">
        <v>302</v>
      </c>
      <c r="C112" s="128"/>
      <c r="D112" s="128"/>
      <c r="E112" s="128"/>
      <c r="F112" s="128"/>
      <c r="G112" s="128">
        <f t="shared" ref="G112" si="415">(G59)/(G7+G10)</f>
        <v>6.6796102031762544E-3</v>
      </c>
      <c r="H112" s="128" t="e">
        <f t="shared" ref="H112:I112" si="416">(H59)/(H7+H10)</f>
        <v>#DIV/0!</v>
      </c>
      <c r="I112" s="128" t="e">
        <f t="shared" si="416"/>
        <v>#DIV/0!</v>
      </c>
      <c r="J112" s="128" t="e">
        <f>(J59)/(J7+J10)</f>
        <v>#DIV/0!</v>
      </c>
      <c r="K112" s="128" t="e">
        <f t="shared" ref="K112:R112" si="417">(K59)/(K7+K10)</f>
        <v>#DIV/0!</v>
      </c>
      <c r="L112" s="128" t="e">
        <f t="shared" si="417"/>
        <v>#DIV/0!</v>
      </c>
      <c r="M112" s="128" t="e">
        <f t="shared" si="417"/>
        <v>#DIV/0!</v>
      </c>
      <c r="N112" s="128" t="e">
        <f t="shared" si="417"/>
        <v>#DIV/0!</v>
      </c>
      <c r="O112" s="128" t="e">
        <f t="shared" si="417"/>
        <v>#DIV/0!</v>
      </c>
      <c r="P112" s="128" t="e">
        <f t="shared" si="417"/>
        <v>#DIV/0!</v>
      </c>
      <c r="Q112" s="128" t="e">
        <f t="shared" si="417"/>
        <v>#DIV/0!</v>
      </c>
      <c r="R112" s="128" t="e">
        <f t="shared" si="417"/>
        <v>#DIV/0!</v>
      </c>
      <c r="S112" s="128">
        <f t="shared" ref="S112:T112" si="418">(S59)/(S7+S10)</f>
        <v>6.6796102031762544E-3</v>
      </c>
      <c r="T112" s="128">
        <f t="shared" si="418"/>
        <v>9.6911020656598318E-3</v>
      </c>
      <c r="U112" s="128">
        <f t="shared" ref="U112" si="419">(U59)/(U7+U10)</f>
        <v>7.2885572139303485E-3</v>
      </c>
      <c r="V112" s="101">
        <f t="shared" si="269"/>
        <v>6.2513141529469962E-3</v>
      </c>
      <c r="W112" s="10"/>
      <c r="X112" s="128">
        <f t="shared" ref="X112:AG112" si="420">(X59)/(X7+X10)</f>
        <v>7.2885572139303476E-3</v>
      </c>
      <c r="Y112" s="128">
        <f t="shared" si="420"/>
        <v>7.2885572139303476E-3</v>
      </c>
      <c r="Z112" s="128">
        <f t="shared" si="420"/>
        <v>7.2885572139303467E-3</v>
      </c>
      <c r="AA112" s="128">
        <f t="shared" si="420"/>
        <v>7.2885572139303459E-3</v>
      </c>
      <c r="AB112" s="128">
        <f t="shared" si="420"/>
        <v>7.2885572139303459E-3</v>
      </c>
      <c r="AC112" s="128">
        <f t="shared" si="420"/>
        <v>7.2885572139303476E-3</v>
      </c>
      <c r="AD112" s="128">
        <f t="shared" si="420"/>
        <v>7.2885572139303467E-3</v>
      </c>
      <c r="AE112" s="128">
        <f t="shared" si="420"/>
        <v>7.2885572139303467E-3</v>
      </c>
      <c r="AF112" s="128">
        <f t="shared" si="420"/>
        <v>7.2885572139303467E-3</v>
      </c>
      <c r="AG112" s="128">
        <f t="shared" si="420"/>
        <v>7.2885572139303467E-3</v>
      </c>
      <c r="AH112" s="115" t="e">
        <f t="shared" si="402"/>
        <v>#DIV/0!</v>
      </c>
      <c r="AI112" s="123"/>
      <c r="AJ112" s="123"/>
    </row>
    <row r="113" spans="1:36">
      <c r="B113" s="10" t="s">
        <v>318</v>
      </c>
      <c r="C113" s="128"/>
      <c r="D113" s="128"/>
      <c r="E113" s="128"/>
      <c r="F113" s="128"/>
      <c r="G113" s="128">
        <f t="shared" ref="G113" si="421">G20/G25</f>
        <v>0</v>
      </c>
      <c r="H113" s="128" t="e">
        <f t="shared" ref="H113:I113" si="422">H20/H25</f>
        <v>#DIV/0!</v>
      </c>
      <c r="I113" s="128" t="e">
        <f t="shared" si="422"/>
        <v>#DIV/0!</v>
      </c>
      <c r="J113" s="128" t="e">
        <f>J20/J25</f>
        <v>#DIV/0!</v>
      </c>
      <c r="K113" s="128" t="e">
        <f t="shared" ref="K113:S113" si="423">K20/K25</f>
        <v>#DIV/0!</v>
      </c>
      <c r="L113" s="128" t="e">
        <f t="shared" si="423"/>
        <v>#DIV/0!</v>
      </c>
      <c r="M113" s="128" t="e">
        <f t="shared" si="423"/>
        <v>#DIV/0!</v>
      </c>
      <c r="N113" s="128" t="e">
        <f t="shared" si="423"/>
        <v>#DIV/0!</v>
      </c>
      <c r="O113" s="128" t="e">
        <f t="shared" si="423"/>
        <v>#DIV/0!</v>
      </c>
      <c r="P113" s="128" t="e">
        <f t="shared" si="423"/>
        <v>#DIV/0!</v>
      </c>
      <c r="Q113" s="128" t="e">
        <f t="shared" si="423"/>
        <v>#DIV/0!</v>
      </c>
      <c r="R113" s="128" t="e">
        <f t="shared" si="423"/>
        <v>#DIV/0!</v>
      </c>
      <c r="S113" s="128">
        <f t="shared" si="423"/>
        <v>0</v>
      </c>
      <c r="T113" s="128">
        <f t="shared" ref="T113:U113" si="424">T20/T25</f>
        <v>0</v>
      </c>
      <c r="U113" s="128">
        <f t="shared" si="424"/>
        <v>0</v>
      </c>
      <c r="V113" s="101" t="e">
        <f t="shared" si="269"/>
        <v>#DIV/0!</v>
      </c>
      <c r="W113" s="10"/>
      <c r="X113" s="128">
        <f t="shared" ref="X113:AG113" si="425">X20/X25</f>
        <v>0</v>
      </c>
      <c r="Y113" s="128">
        <f t="shared" si="425"/>
        <v>0</v>
      </c>
      <c r="Z113" s="128">
        <f t="shared" si="425"/>
        <v>0</v>
      </c>
      <c r="AA113" s="128">
        <f t="shared" si="425"/>
        <v>0</v>
      </c>
      <c r="AB113" s="128">
        <f t="shared" si="425"/>
        <v>0</v>
      </c>
      <c r="AC113" s="128">
        <f t="shared" si="425"/>
        <v>0</v>
      </c>
      <c r="AD113" s="128">
        <f t="shared" si="425"/>
        <v>0</v>
      </c>
      <c r="AE113" s="128">
        <f t="shared" si="425"/>
        <v>0</v>
      </c>
      <c r="AF113" s="128">
        <f t="shared" si="425"/>
        <v>0</v>
      </c>
      <c r="AG113" s="128">
        <f t="shared" si="425"/>
        <v>0</v>
      </c>
      <c r="AH113" s="115" t="e">
        <f t="shared" si="402"/>
        <v>#DIV/0!</v>
      </c>
      <c r="AI113" s="123"/>
      <c r="AJ113" s="123"/>
    </row>
    <row r="114" spans="1:36">
      <c r="B114" s="10" t="s">
        <v>370</v>
      </c>
      <c r="C114" s="128"/>
      <c r="D114" s="128"/>
      <c r="E114" s="128"/>
      <c r="F114" s="128"/>
      <c r="G114" s="128">
        <f t="shared" ref="G114" si="426">G72/G25</f>
        <v>-0.11500493583415597</v>
      </c>
      <c r="H114" s="128" t="e">
        <f t="shared" ref="H114:I114" si="427">H72/H25</f>
        <v>#DIV/0!</v>
      </c>
      <c r="I114" s="128" t="e">
        <f t="shared" si="427"/>
        <v>#DIV/0!</v>
      </c>
      <c r="J114" s="128" t="e">
        <f>J72/J25</f>
        <v>#DIV/0!</v>
      </c>
      <c r="K114" s="128" t="e">
        <f t="shared" ref="K114:S114" si="428">K72/K25</f>
        <v>#DIV/0!</v>
      </c>
      <c r="L114" s="128" t="e">
        <f t="shared" si="428"/>
        <v>#DIV/0!</v>
      </c>
      <c r="M114" s="128" t="e">
        <f t="shared" si="428"/>
        <v>#DIV/0!</v>
      </c>
      <c r="N114" s="128" t="e">
        <f t="shared" si="428"/>
        <v>#DIV/0!</v>
      </c>
      <c r="O114" s="128" t="e">
        <f t="shared" si="428"/>
        <v>#DIV/0!</v>
      </c>
      <c r="P114" s="128" t="e">
        <f t="shared" si="428"/>
        <v>#DIV/0!</v>
      </c>
      <c r="Q114" s="128" t="e">
        <f t="shared" si="428"/>
        <v>#DIV/0!</v>
      </c>
      <c r="R114" s="128" t="e">
        <f t="shared" si="428"/>
        <v>#DIV/0!</v>
      </c>
      <c r="S114" s="128">
        <f t="shared" si="428"/>
        <v>-0.11506172839506174</v>
      </c>
      <c r="T114" s="128">
        <f t="shared" ref="T114:U114" si="429">T72/T25</f>
        <v>-0.10617901427529436</v>
      </c>
      <c r="U114" s="128">
        <f t="shared" si="429"/>
        <v>-8.6024662360540224E-2</v>
      </c>
      <c r="V114" s="101">
        <f t="shared" si="269"/>
        <v>-2.0525077579386486E-2</v>
      </c>
      <c r="W114" s="10"/>
      <c r="X114" s="128">
        <f t="shared" ref="X114:AG114" si="430">X72/X25</f>
        <v>-8.6024662360540224E-2</v>
      </c>
      <c r="Y114" s="128">
        <f t="shared" si="430"/>
        <v>-8.6024662360540211E-2</v>
      </c>
      <c r="Z114" s="128">
        <f t="shared" si="430"/>
        <v>-8.6024662360540211E-2</v>
      </c>
      <c r="AA114" s="128">
        <f t="shared" si="430"/>
        <v>-8.6024662360540211E-2</v>
      </c>
      <c r="AB114" s="128">
        <f t="shared" si="430"/>
        <v>-8.6024662360540197E-2</v>
      </c>
      <c r="AC114" s="128">
        <f t="shared" si="430"/>
        <v>-8.6024662360540211E-2</v>
      </c>
      <c r="AD114" s="128">
        <f t="shared" si="430"/>
        <v>-8.6024662360540211E-2</v>
      </c>
      <c r="AE114" s="128">
        <f t="shared" si="430"/>
        <v>-8.6024662360540211E-2</v>
      </c>
      <c r="AF114" s="128">
        <f t="shared" si="430"/>
        <v>-8.6024662360540211E-2</v>
      </c>
      <c r="AG114" s="128">
        <f t="shared" si="430"/>
        <v>-8.6024662360540197E-2</v>
      </c>
      <c r="AH114" s="115" t="e">
        <f t="shared" si="402"/>
        <v>#DIV/0!</v>
      </c>
      <c r="AI114" s="123"/>
      <c r="AJ114" s="123"/>
    </row>
    <row r="115" spans="1:36">
      <c r="B115" s="10"/>
      <c r="C115" s="128"/>
      <c r="D115" s="128"/>
      <c r="E115" s="128"/>
      <c r="F115" s="128"/>
      <c r="G115" s="128"/>
      <c r="H115" s="128"/>
      <c r="I115" s="128"/>
      <c r="J115" s="128"/>
      <c r="K115" s="128"/>
      <c r="L115" s="128"/>
      <c r="M115" s="128"/>
      <c r="N115" s="128"/>
      <c r="O115" s="128"/>
      <c r="P115" s="128"/>
      <c r="Q115" s="128"/>
      <c r="R115" s="128"/>
      <c r="S115" s="128"/>
      <c r="T115" s="128"/>
      <c r="U115" s="121"/>
      <c r="V115" s="10"/>
      <c r="W115" s="10"/>
      <c r="X115" s="128"/>
      <c r="Y115" s="128"/>
      <c r="Z115" s="128"/>
      <c r="AA115" s="128"/>
      <c r="AB115" s="128"/>
      <c r="AC115" s="128"/>
      <c r="AD115" s="128"/>
      <c r="AE115" s="128"/>
      <c r="AF115" s="128"/>
      <c r="AG115" s="128"/>
      <c r="AH115" s="3"/>
      <c r="AI115" s="123"/>
      <c r="AJ115" s="123"/>
    </row>
    <row r="116" spans="1:36">
      <c r="B116" s="10" t="s">
        <v>267</v>
      </c>
      <c r="C116" s="128"/>
      <c r="D116" s="128"/>
      <c r="E116" s="128"/>
      <c r="F116" s="128"/>
      <c r="G116" s="128">
        <f t="shared" ref="G116" si="431">G29/G25</f>
        <v>0.69126357354392898</v>
      </c>
      <c r="H116" s="128" t="e">
        <f t="shared" ref="H116:I116" si="432">H29/H25</f>
        <v>#DIV/0!</v>
      </c>
      <c r="I116" s="128" t="e">
        <f t="shared" si="432"/>
        <v>#DIV/0!</v>
      </c>
      <c r="J116" s="128" t="e">
        <f>J29/J25</f>
        <v>#DIV/0!</v>
      </c>
      <c r="K116" s="128" t="e">
        <f t="shared" ref="K116:S116" si="433">K29/K25</f>
        <v>#DIV/0!</v>
      </c>
      <c r="L116" s="128" t="e">
        <f t="shared" si="433"/>
        <v>#DIV/0!</v>
      </c>
      <c r="M116" s="128" t="e">
        <f t="shared" si="433"/>
        <v>#DIV/0!</v>
      </c>
      <c r="N116" s="128" t="e">
        <f t="shared" si="433"/>
        <v>#DIV/0!</v>
      </c>
      <c r="O116" s="128" t="e">
        <f t="shared" si="433"/>
        <v>#DIV/0!</v>
      </c>
      <c r="P116" s="128" t="e">
        <f t="shared" si="433"/>
        <v>#DIV/0!</v>
      </c>
      <c r="Q116" s="128" t="e">
        <f t="shared" si="433"/>
        <v>#DIV/0!</v>
      </c>
      <c r="R116" s="128" t="e">
        <f t="shared" si="433"/>
        <v>#DIV/0!</v>
      </c>
      <c r="S116" s="128">
        <f t="shared" si="433"/>
        <v>0.69160493827160496</v>
      </c>
      <c r="T116" s="128">
        <f t="shared" ref="T116:U116" si="434">T29/T25</f>
        <v>0.67885797645097423</v>
      </c>
      <c r="U116" s="128">
        <f t="shared" si="434"/>
        <v>0.69729888432178511</v>
      </c>
      <c r="V116" s="101">
        <f t="shared" si="269"/>
        <v>6.211174818111509E-4</v>
      </c>
      <c r="W116" s="10"/>
      <c r="X116" s="128">
        <f t="shared" ref="X116:AG116" si="435">X29/X25</f>
        <v>0.69729888432178511</v>
      </c>
      <c r="Y116" s="128">
        <f t="shared" si="435"/>
        <v>0.69729888432178522</v>
      </c>
      <c r="Z116" s="128">
        <f t="shared" si="435"/>
        <v>0.69729888432178522</v>
      </c>
      <c r="AA116" s="128">
        <f t="shared" si="435"/>
        <v>0.69729888432178522</v>
      </c>
      <c r="AB116" s="128">
        <f t="shared" si="435"/>
        <v>0.69729888432178522</v>
      </c>
      <c r="AC116" s="128">
        <f t="shared" si="435"/>
        <v>0.69729888432178522</v>
      </c>
      <c r="AD116" s="128">
        <f t="shared" si="435"/>
        <v>0.69729888432178522</v>
      </c>
      <c r="AE116" s="128">
        <f t="shared" si="435"/>
        <v>0.69729888432178522</v>
      </c>
      <c r="AF116" s="128">
        <f t="shared" si="435"/>
        <v>0.69729888432178522</v>
      </c>
      <c r="AG116" s="128">
        <f t="shared" si="435"/>
        <v>0.69729888432178522</v>
      </c>
      <c r="AH116" s="115" t="e">
        <f t="shared" si="402"/>
        <v>#DIV/0!</v>
      </c>
      <c r="AI116" s="123"/>
      <c r="AJ116" s="123"/>
    </row>
    <row r="117" spans="1:36">
      <c r="B117" s="10" t="s">
        <v>311</v>
      </c>
      <c r="C117" s="128"/>
      <c r="D117" s="128"/>
      <c r="E117" s="128"/>
      <c r="F117" s="128"/>
      <c r="G117" s="128" t="e">
        <f t="shared" ref="G117" si="436">G29/G53</f>
        <v>#DIV/0!</v>
      </c>
      <c r="H117" s="128" t="e">
        <f t="shared" ref="H117:I117" si="437">H29/H53</f>
        <v>#DIV/0!</v>
      </c>
      <c r="I117" s="128" t="e">
        <f t="shared" si="437"/>
        <v>#DIV/0!</v>
      </c>
      <c r="J117" s="128" t="e">
        <f>J29/J53</f>
        <v>#DIV/0!</v>
      </c>
      <c r="K117" s="128" t="e">
        <f t="shared" ref="K117:S117" si="438">K29/K53</f>
        <v>#DIV/0!</v>
      </c>
      <c r="L117" s="128" t="e">
        <f t="shared" si="438"/>
        <v>#DIV/0!</v>
      </c>
      <c r="M117" s="128" t="e">
        <f t="shared" si="438"/>
        <v>#DIV/0!</v>
      </c>
      <c r="N117" s="128" t="e">
        <f t="shared" si="438"/>
        <v>#DIV/0!</v>
      </c>
      <c r="O117" s="128" t="e">
        <f t="shared" si="438"/>
        <v>#DIV/0!</v>
      </c>
      <c r="P117" s="128" t="e">
        <f t="shared" si="438"/>
        <v>#DIV/0!</v>
      </c>
      <c r="Q117" s="128" t="e">
        <f t="shared" si="438"/>
        <v>#DIV/0!</v>
      </c>
      <c r="R117" s="128" t="e">
        <f t="shared" si="438"/>
        <v>#DIV/0!</v>
      </c>
      <c r="S117" s="128" t="e">
        <f t="shared" si="438"/>
        <v>#DIV/0!</v>
      </c>
      <c r="T117" s="128" t="e">
        <f t="shared" ref="T117:U117" si="439">T29/T53</f>
        <v>#DIV/0!</v>
      </c>
      <c r="U117" s="128" t="e">
        <f t="shared" si="439"/>
        <v>#DIV/0!</v>
      </c>
      <c r="V117" s="101" t="e">
        <f t="shared" si="269"/>
        <v>#DIV/0!</v>
      </c>
      <c r="W117" s="10"/>
      <c r="X117" s="128" t="e">
        <f t="shared" ref="X117:AG117" si="440">X29/X53</f>
        <v>#DIV/0!</v>
      </c>
      <c r="Y117" s="128" t="e">
        <f t="shared" si="440"/>
        <v>#DIV/0!</v>
      </c>
      <c r="Z117" s="128" t="e">
        <f t="shared" si="440"/>
        <v>#DIV/0!</v>
      </c>
      <c r="AA117" s="128" t="e">
        <f t="shared" si="440"/>
        <v>#DIV/0!</v>
      </c>
      <c r="AB117" s="128" t="e">
        <f t="shared" si="440"/>
        <v>#DIV/0!</v>
      </c>
      <c r="AC117" s="128" t="e">
        <f t="shared" si="440"/>
        <v>#DIV/0!</v>
      </c>
      <c r="AD117" s="128" t="e">
        <f t="shared" si="440"/>
        <v>#DIV/0!</v>
      </c>
      <c r="AE117" s="128" t="e">
        <f t="shared" si="440"/>
        <v>#DIV/0!</v>
      </c>
      <c r="AF117" s="128" t="e">
        <f t="shared" si="440"/>
        <v>#DIV/0!</v>
      </c>
      <c r="AG117" s="128" t="e">
        <f t="shared" si="440"/>
        <v>#DIV/0!</v>
      </c>
      <c r="AH117" s="115" t="e">
        <f t="shared" ref="AH117" si="441">((AG117/J117)^(1/($AG$3-$K$1) ))-1</f>
        <v>#DIV/0!</v>
      </c>
      <c r="AI117" s="123"/>
      <c r="AJ117" s="123"/>
    </row>
    <row r="118" spans="1:36" ht="12" customHeight="1">
      <c r="B118" s="10" t="s">
        <v>310</v>
      </c>
      <c r="C118" s="128"/>
      <c r="D118" s="128"/>
      <c r="E118" s="128"/>
      <c r="F118" s="146"/>
      <c r="G118" s="146">
        <f t="shared" ref="G118" si="442">G29/G59</f>
        <v>6.0107296137339059</v>
      </c>
      <c r="H118" s="146" t="e">
        <f t="shared" ref="H118:I118" si="443">H29/H59</f>
        <v>#DIV/0!</v>
      </c>
      <c r="I118" s="146" t="e">
        <f t="shared" si="443"/>
        <v>#DIV/0!</v>
      </c>
      <c r="J118" s="146" t="e">
        <f t="shared" ref="J118:S118" si="444">J29/J59</f>
        <v>#DIV/0!</v>
      </c>
      <c r="K118" s="146" t="e">
        <f t="shared" si="444"/>
        <v>#DIV/0!</v>
      </c>
      <c r="L118" s="146" t="e">
        <f t="shared" si="444"/>
        <v>#DIV/0!</v>
      </c>
      <c r="M118" s="146" t="e">
        <f t="shared" si="444"/>
        <v>#DIV/0!</v>
      </c>
      <c r="N118" s="146" t="e">
        <f t="shared" si="444"/>
        <v>#DIV/0!</v>
      </c>
      <c r="O118" s="146" t="e">
        <f t="shared" si="444"/>
        <v>#DIV/0!</v>
      </c>
      <c r="P118" s="146" t="e">
        <f t="shared" si="444"/>
        <v>#DIV/0!</v>
      </c>
      <c r="Q118" s="146" t="e">
        <f t="shared" si="444"/>
        <v>#DIV/0!</v>
      </c>
      <c r="R118" s="146" t="e">
        <f t="shared" si="444"/>
        <v>#DIV/0!</v>
      </c>
      <c r="S118" s="146">
        <f t="shared" si="444"/>
        <v>6.0107296137339059</v>
      </c>
      <c r="T118" s="146">
        <f t="shared" ref="T118:U118" si="445">T29/T59</f>
        <v>6.3935230618253192</v>
      </c>
      <c r="U118" s="146">
        <f t="shared" si="445"/>
        <v>8.1058020477815695</v>
      </c>
      <c r="V118" s="101">
        <f t="shared" si="269"/>
        <v>2.1589317477305192E-2</v>
      </c>
      <c r="W118" s="10"/>
      <c r="X118" s="146">
        <f t="shared" ref="X118:AG118" si="446">X29/X59</f>
        <v>8.1058020477815713</v>
      </c>
      <c r="Y118" s="146">
        <f t="shared" si="446"/>
        <v>8.1058020477815713</v>
      </c>
      <c r="Z118" s="146">
        <f t="shared" si="446"/>
        <v>8.1058020477815731</v>
      </c>
      <c r="AA118" s="146">
        <f t="shared" si="446"/>
        <v>8.1058020477815731</v>
      </c>
      <c r="AB118" s="146">
        <f t="shared" si="446"/>
        <v>8.1058020477815731</v>
      </c>
      <c r="AC118" s="146">
        <f t="shared" si="446"/>
        <v>8.1058020477815731</v>
      </c>
      <c r="AD118" s="146">
        <f t="shared" si="446"/>
        <v>8.1058020477815731</v>
      </c>
      <c r="AE118" s="146">
        <f t="shared" si="446"/>
        <v>8.1058020477815731</v>
      </c>
      <c r="AF118" s="146">
        <f t="shared" si="446"/>
        <v>8.1058020477815731</v>
      </c>
      <c r="AG118" s="146">
        <f t="shared" si="446"/>
        <v>8.1058020477815731</v>
      </c>
      <c r="AH118" s="115" t="e">
        <f t="shared" ref="AH118" si="447">((AG118/J118)^(1/($AG$3-$K$1) ))-1</f>
        <v>#DIV/0!</v>
      </c>
      <c r="AI118" s="123"/>
      <c r="AJ118" s="123"/>
    </row>
    <row r="119" spans="1:36" ht="12" customHeight="1">
      <c r="B119" s="10" t="s">
        <v>269</v>
      </c>
      <c r="C119" s="128"/>
      <c r="D119" s="128"/>
      <c r="E119" s="128"/>
      <c r="F119" s="146"/>
      <c r="G119" s="146">
        <f t="shared" ref="G119" si="448">G29/G12</f>
        <v>1.4742105263157894</v>
      </c>
      <c r="H119" s="146" t="e">
        <f t="shared" ref="H119:I119" si="449">H29/H12</f>
        <v>#DIV/0!</v>
      </c>
      <c r="I119" s="146" t="e">
        <f t="shared" si="449"/>
        <v>#DIV/0!</v>
      </c>
      <c r="J119" s="146" t="e">
        <f t="shared" ref="J119:S119" si="450">J29/J12</f>
        <v>#DIV/0!</v>
      </c>
      <c r="K119" s="146" t="e">
        <f t="shared" si="450"/>
        <v>#DIV/0!</v>
      </c>
      <c r="L119" s="146" t="e">
        <f t="shared" si="450"/>
        <v>#DIV/0!</v>
      </c>
      <c r="M119" s="146" t="e">
        <f t="shared" si="450"/>
        <v>#DIV/0!</v>
      </c>
      <c r="N119" s="146" t="e">
        <f t="shared" si="450"/>
        <v>#DIV/0!</v>
      </c>
      <c r="O119" s="146" t="e">
        <f t="shared" si="450"/>
        <v>#DIV/0!</v>
      </c>
      <c r="P119" s="146" t="e">
        <f t="shared" si="450"/>
        <v>#DIV/0!</v>
      </c>
      <c r="Q119" s="146" t="e">
        <f t="shared" si="450"/>
        <v>#DIV/0!</v>
      </c>
      <c r="R119" s="146" t="e">
        <f t="shared" si="450"/>
        <v>#DIV/0!</v>
      </c>
      <c r="S119" s="146">
        <f t="shared" si="450"/>
        <v>1.4742105263157894</v>
      </c>
      <c r="T119" s="146">
        <f t="shared" ref="T119:U119" si="451">T29/T12</f>
        <v>2.145915678524374</v>
      </c>
      <c r="U119" s="146" t="e">
        <f t="shared" si="451"/>
        <v>#DIV/0!</v>
      </c>
      <c r="V119" s="101" t="e">
        <f t="shared" si="269"/>
        <v>#DIV/0!</v>
      </c>
      <c r="W119" s="10"/>
      <c r="X119" s="128" t="e">
        <f t="shared" ref="X119:AG119" si="452">X29/X12</f>
        <v>#DIV/0!</v>
      </c>
      <c r="Y119" s="128" t="e">
        <f t="shared" si="452"/>
        <v>#DIV/0!</v>
      </c>
      <c r="Z119" s="128" t="e">
        <f t="shared" si="452"/>
        <v>#DIV/0!</v>
      </c>
      <c r="AA119" s="128" t="e">
        <f t="shared" si="452"/>
        <v>#DIV/0!</v>
      </c>
      <c r="AB119" s="128" t="e">
        <f t="shared" si="452"/>
        <v>#DIV/0!</v>
      </c>
      <c r="AC119" s="128" t="e">
        <f t="shared" si="452"/>
        <v>#DIV/0!</v>
      </c>
      <c r="AD119" s="128" t="e">
        <f t="shared" si="452"/>
        <v>#DIV/0!</v>
      </c>
      <c r="AE119" s="128" t="e">
        <f t="shared" si="452"/>
        <v>#DIV/0!</v>
      </c>
      <c r="AF119" s="128" t="e">
        <f t="shared" si="452"/>
        <v>#DIV/0!</v>
      </c>
      <c r="AG119" s="128" t="e">
        <f t="shared" si="452"/>
        <v>#DIV/0!</v>
      </c>
      <c r="AH119" s="115" t="e">
        <f t="shared" si="402"/>
        <v>#DIV/0!</v>
      </c>
      <c r="AI119" s="123"/>
      <c r="AJ119" s="123"/>
    </row>
    <row r="120" spans="1:36" ht="12" customHeight="1">
      <c r="B120" s="10" t="s">
        <v>312</v>
      </c>
      <c r="C120" s="128"/>
      <c r="D120" s="128"/>
      <c r="E120" s="128"/>
      <c r="F120" s="146"/>
      <c r="G120" s="146" t="e">
        <f t="shared" ref="G120" si="453">G29/G23</f>
        <v>#DIV/0!</v>
      </c>
      <c r="H120" s="146" t="e">
        <f t="shared" ref="H120:I120" si="454">H29/H23</f>
        <v>#DIV/0!</v>
      </c>
      <c r="I120" s="146" t="e">
        <f t="shared" si="454"/>
        <v>#DIV/0!</v>
      </c>
      <c r="J120" s="146" t="e">
        <f>J29/J23</f>
        <v>#DIV/0!</v>
      </c>
      <c r="K120" s="146" t="e">
        <f t="shared" ref="K120:S120" si="455">K29/K23</f>
        <v>#DIV/0!</v>
      </c>
      <c r="L120" s="146" t="e">
        <f t="shared" si="455"/>
        <v>#DIV/0!</v>
      </c>
      <c r="M120" s="146" t="e">
        <f t="shared" si="455"/>
        <v>#DIV/0!</v>
      </c>
      <c r="N120" s="146" t="e">
        <f t="shared" si="455"/>
        <v>#DIV/0!</v>
      </c>
      <c r="O120" s="146" t="e">
        <f t="shared" si="455"/>
        <v>#DIV/0!</v>
      </c>
      <c r="P120" s="146" t="e">
        <f t="shared" si="455"/>
        <v>#DIV/0!</v>
      </c>
      <c r="Q120" s="146" t="e">
        <f t="shared" si="455"/>
        <v>#DIV/0!</v>
      </c>
      <c r="R120" s="146" t="e">
        <f t="shared" si="455"/>
        <v>#DIV/0!</v>
      </c>
      <c r="S120" s="146" t="e">
        <f t="shared" si="455"/>
        <v>#DIV/0!</v>
      </c>
      <c r="T120" s="146" t="e">
        <f t="shared" ref="T120:U120" si="456">T29/T23</f>
        <v>#DIV/0!</v>
      </c>
      <c r="U120" s="146" t="e">
        <f t="shared" si="456"/>
        <v>#DIV/0!</v>
      </c>
      <c r="V120" s="101" t="e">
        <f t="shared" si="269"/>
        <v>#DIV/0!</v>
      </c>
      <c r="W120" s="10"/>
      <c r="X120" s="146" t="e">
        <f t="shared" ref="X120:AG120" si="457">X29/X23</f>
        <v>#DIV/0!</v>
      </c>
      <c r="Y120" s="146" t="e">
        <f t="shared" si="457"/>
        <v>#DIV/0!</v>
      </c>
      <c r="Z120" s="146" t="e">
        <f t="shared" si="457"/>
        <v>#DIV/0!</v>
      </c>
      <c r="AA120" s="146" t="e">
        <f t="shared" si="457"/>
        <v>#DIV/0!</v>
      </c>
      <c r="AB120" s="146" t="e">
        <f t="shared" si="457"/>
        <v>#DIV/0!</v>
      </c>
      <c r="AC120" s="146" t="e">
        <f t="shared" si="457"/>
        <v>#DIV/0!</v>
      </c>
      <c r="AD120" s="146" t="e">
        <f t="shared" si="457"/>
        <v>#DIV/0!</v>
      </c>
      <c r="AE120" s="146" t="e">
        <f t="shared" si="457"/>
        <v>#DIV/0!</v>
      </c>
      <c r="AF120" s="146" t="e">
        <f t="shared" si="457"/>
        <v>#DIV/0!</v>
      </c>
      <c r="AG120" s="146" t="e">
        <f t="shared" si="457"/>
        <v>#DIV/0!</v>
      </c>
      <c r="AH120" s="115" t="e">
        <f t="shared" ref="AH120" si="458">((AG120/J120)^(1/($AG$3-$K$1) ))-1</f>
        <v>#DIV/0!</v>
      </c>
      <c r="AI120" s="123"/>
      <c r="AJ120" s="123"/>
    </row>
    <row r="121" spans="1:36" ht="12" customHeight="1">
      <c r="B121" s="10"/>
      <c r="C121" s="128"/>
      <c r="D121" s="128"/>
      <c r="E121" s="128"/>
      <c r="F121" s="146"/>
      <c r="G121" s="146"/>
      <c r="H121" s="146"/>
      <c r="I121" s="146"/>
      <c r="J121" s="146"/>
      <c r="K121" s="146"/>
      <c r="L121" s="146"/>
      <c r="M121" s="146"/>
      <c r="N121" s="146"/>
      <c r="O121" s="146"/>
      <c r="P121" s="146"/>
      <c r="Q121" s="146"/>
      <c r="R121" s="146"/>
      <c r="S121" s="146"/>
      <c r="T121" s="146"/>
      <c r="U121" s="121"/>
      <c r="V121" s="10"/>
      <c r="W121" s="10"/>
      <c r="X121" s="128"/>
      <c r="Y121" s="128"/>
      <c r="Z121" s="128"/>
      <c r="AA121" s="128"/>
      <c r="AB121" s="128"/>
      <c r="AC121" s="128"/>
      <c r="AD121" s="128"/>
      <c r="AE121" s="128"/>
      <c r="AF121" s="128"/>
      <c r="AG121" s="128"/>
      <c r="AH121" s="128"/>
      <c r="AI121" s="123"/>
      <c r="AJ121" s="123"/>
    </row>
    <row r="122" spans="1:36" ht="12" customHeight="1">
      <c r="B122" s="10" t="s">
        <v>344</v>
      </c>
      <c r="C122" s="128"/>
      <c r="D122" s="128"/>
      <c r="E122" s="128"/>
      <c r="F122" s="108"/>
      <c r="G122" s="108">
        <f t="shared" ref="G122" si="459">1/G116</f>
        <v>1.4466262049268117</v>
      </c>
      <c r="H122" s="108" t="e">
        <f t="shared" ref="H122:I122" si="460">1/H116</f>
        <v>#DIV/0!</v>
      </c>
      <c r="I122" s="108" t="e">
        <f t="shared" si="460"/>
        <v>#DIV/0!</v>
      </c>
      <c r="J122" s="108" t="e">
        <f>1/J116</f>
        <v>#DIV/0!</v>
      </c>
      <c r="K122" s="108" t="e">
        <f t="shared" ref="K122:S122" si="461">1/K116</f>
        <v>#DIV/0!</v>
      </c>
      <c r="L122" s="108" t="e">
        <f t="shared" si="461"/>
        <v>#DIV/0!</v>
      </c>
      <c r="M122" s="108" t="e">
        <f t="shared" si="461"/>
        <v>#DIV/0!</v>
      </c>
      <c r="N122" s="108" t="e">
        <f t="shared" si="461"/>
        <v>#DIV/0!</v>
      </c>
      <c r="O122" s="108" t="e">
        <f t="shared" si="461"/>
        <v>#DIV/0!</v>
      </c>
      <c r="P122" s="108" t="e">
        <f t="shared" si="461"/>
        <v>#DIV/0!</v>
      </c>
      <c r="Q122" s="108" t="e">
        <f t="shared" si="461"/>
        <v>#DIV/0!</v>
      </c>
      <c r="R122" s="108" t="e">
        <f t="shared" si="461"/>
        <v>#DIV/0!</v>
      </c>
      <c r="S122" s="108">
        <f t="shared" si="461"/>
        <v>1.4459121742234915</v>
      </c>
      <c r="T122" s="108">
        <f t="shared" ref="T122:U122" si="462">1/T116</f>
        <v>1.4730621642363777</v>
      </c>
      <c r="U122" s="108">
        <f t="shared" si="462"/>
        <v>1.4341052631578948</v>
      </c>
      <c r="V122" s="101">
        <f t="shared" si="269"/>
        <v>-6.2073193435518981E-4</v>
      </c>
      <c r="W122" s="10"/>
      <c r="X122" s="108">
        <f t="shared" ref="X122:AG122" si="463">1/X116</f>
        <v>1.4341052631578948</v>
      </c>
      <c r="Y122" s="108">
        <f t="shared" si="463"/>
        <v>1.4341052631578945</v>
      </c>
      <c r="Z122" s="108">
        <f t="shared" si="463"/>
        <v>1.4341052631578945</v>
      </c>
      <c r="AA122" s="108">
        <f t="shared" si="463"/>
        <v>1.4341052631578945</v>
      </c>
      <c r="AB122" s="108">
        <f t="shared" si="463"/>
        <v>1.4341052631578945</v>
      </c>
      <c r="AC122" s="108">
        <f t="shared" si="463"/>
        <v>1.4341052631578945</v>
      </c>
      <c r="AD122" s="108">
        <f t="shared" si="463"/>
        <v>1.4341052631578945</v>
      </c>
      <c r="AE122" s="108">
        <f t="shared" si="463"/>
        <v>1.4341052631578945</v>
      </c>
      <c r="AF122" s="108">
        <f t="shared" si="463"/>
        <v>1.4341052631578945</v>
      </c>
      <c r="AG122" s="108">
        <f t="shared" si="463"/>
        <v>1.4341052631578945</v>
      </c>
      <c r="AH122" s="115" t="e">
        <f t="shared" si="402"/>
        <v>#DIV/0!</v>
      </c>
      <c r="AI122" s="123"/>
      <c r="AJ122" s="123"/>
    </row>
    <row r="123" spans="1:36" ht="12" customHeight="1">
      <c r="B123" s="10" t="s">
        <v>345</v>
      </c>
      <c r="C123" s="128"/>
      <c r="D123" s="128"/>
      <c r="E123" s="128"/>
      <c r="F123" s="108"/>
      <c r="G123" s="108" t="e">
        <f t="shared" ref="G123" si="464">1/G117</f>
        <v>#DIV/0!</v>
      </c>
      <c r="H123" s="108" t="e">
        <f t="shared" ref="H123:I123" si="465">1/H117</f>
        <v>#DIV/0!</v>
      </c>
      <c r="I123" s="108" t="e">
        <f t="shared" si="465"/>
        <v>#DIV/0!</v>
      </c>
      <c r="J123" s="108" t="e">
        <f t="shared" ref="J123:S126" si="466">1/J117</f>
        <v>#DIV/0!</v>
      </c>
      <c r="K123" s="108" t="e">
        <f t="shared" si="466"/>
        <v>#DIV/0!</v>
      </c>
      <c r="L123" s="108" t="e">
        <f t="shared" si="466"/>
        <v>#DIV/0!</v>
      </c>
      <c r="M123" s="108" t="e">
        <f t="shared" si="466"/>
        <v>#DIV/0!</v>
      </c>
      <c r="N123" s="108" t="e">
        <f t="shared" si="466"/>
        <v>#DIV/0!</v>
      </c>
      <c r="O123" s="108" t="e">
        <f t="shared" si="466"/>
        <v>#DIV/0!</v>
      </c>
      <c r="P123" s="108" t="e">
        <f t="shared" si="466"/>
        <v>#DIV/0!</v>
      </c>
      <c r="Q123" s="108" t="e">
        <f t="shared" si="466"/>
        <v>#DIV/0!</v>
      </c>
      <c r="R123" s="108" t="e">
        <f t="shared" si="466"/>
        <v>#DIV/0!</v>
      </c>
      <c r="S123" s="108" t="e">
        <f t="shared" si="466"/>
        <v>#DIV/0!</v>
      </c>
      <c r="T123" s="108" t="e">
        <f t="shared" ref="T123:U123" si="467">1/T117</f>
        <v>#DIV/0!</v>
      </c>
      <c r="U123" s="108" t="e">
        <f t="shared" si="467"/>
        <v>#DIV/0!</v>
      </c>
      <c r="V123" s="101" t="e">
        <f t="shared" si="269"/>
        <v>#DIV/0!</v>
      </c>
      <c r="W123" s="10"/>
      <c r="X123" s="108" t="e">
        <f t="shared" ref="X123:AG123" si="468">1/X117</f>
        <v>#DIV/0!</v>
      </c>
      <c r="Y123" s="108" t="e">
        <f t="shared" si="468"/>
        <v>#DIV/0!</v>
      </c>
      <c r="Z123" s="108" t="e">
        <f t="shared" si="468"/>
        <v>#DIV/0!</v>
      </c>
      <c r="AA123" s="108" t="e">
        <f t="shared" si="468"/>
        <v>#DIV/0!</v>
      </c>
      <c r="AB123" s="108" t="e">
        <f t="shared" si="468"/>
        <v>#DIV/0!</v>
      </c>
      <c r="AC123" s="108" t="e">
        <f t="shared" si="468"/>
        <v>#DIV/0!</v>
      </c>
      <c r="AD123" s="108" t="e">
        <f t="shared" si="468"/>
        <v>#DIV/0!</v>
      </c>
      <c r="AE123" s="108" t="e">
        <f t="shared" si="468"/>
        <v>#DIV/0!</v>
      </c>
      <c r="AF123" s="108" t="e">
        <f t="shared" si="468"/>
        <v>#DIV/0!</v>
      </c>
      <c r="AG123" s="108" t="e">
        <f t="shared" si="468"/>
        <v>#DIV/0!</v>
      </c>
      <c r="AH123" s="115" t="e">
        <f t="shared" si="402"/>
        <v>#DIV/0!</v>
      </c>
      <c r="AI123" s="123"/>
      <c r="AJ123" s="123"/>
    </row>
    <row r="124" spans="1:36" ht="12" customHeight="1">
      <c r="B124" s="10" t="s">
        <v>346</v>
      </c>
      <c r="C124" s="128"/>
      <c r="D124" s="128"/>
      <c r="E124" s="128"/>
      <c r="F124" s="108"/>
      <c r="G124" s="108">
        <f t="shared" ref="G124" si="469">1/G118</f>
        <v>0.16636915387361656</v>
      </c>
      <c r="H124" s="108" t="e">
        <f t="shared" ref="H124:I124" si="470">1/H118</f>
        <v>#DIV/0!</v>
      </c>
      <c r="I124" s="108" t="e">
        <f t="shared" si="470"/>
        <v>#DIV/0!</v>
      </c>
      <c r="J124" s="108" t="e">
        <f t="shared" si="466"/>
        <v>#DIV/0!</v>
      </c>
      <c r="K124" s="108" t="e">
        <f t="shared" si="466"/>
        <v>#DIV/0!</v>
      </c>
      <c r="L124" s="108" t="e">
        <f t="shared" si="466"/>
        <v>#DIV/0!</v>
      </c>
      <c r="M124" s="108" t="e">
        <f t="shared" si="466"/>
        <v>#DIV/0!</v>
      </c>
      <c r="N124" s="108" t="e">
        <f t="shared" si="466"/>
        <v>#DIV/0!</v>
      </c>
      <c r="O124" s="108" t="e">
        <f t="shared" si="466"/>
        <v>#DIV/0!</v>
      </c>
      <c r="P124" s="108" t="e">
        <f t="shared" si="466"/>
        <v>#DIV/0!</v>
      </c>
      <c r="Q124" s="108" t="e">
        <f t="shared" si="466"/>
        <v>#DIV/0!</v>
      </c>
      <c r="R124" s="108" t="e">
        <f t="shared" si="466"/>
        <v>#DIV/0!</v>
      </c>
      <c r="S124" s="108">
        <f t="shared" si="466"/>
        <v>0.16636915387361656</v>
      </c>
      <c r="T124" s="108">
        <f t="shared" ref="T124:U124" si="471">1/T118</f>
        <v>0.15640828856485034</v>
      </c>
      <c r="U124" s="108">
        <f t="shared" si="471"/>
        <v>0.12336842105263159</v>
      </c>
      <c r="V124" s="101">
        <f t="shared" si="269"/>
        <v>-2.1133068942633004E-2</v>
      </c>
      <c r="W124" s="10"/>
      <c r="X124" s="108">
        <f t="shared" ref="X124:AG124" si="472">1/X118</f>
        <v>0.12336842105263156</v>
      </c>
      <c r="Y124" s="108">
        <f t="shared" si="472"/>
        <v>0.12336842105263156</v>
      </c>
      <c r="Z124" s="108">
        <f t="shared" si="472"/>
        <v>0.12336842105263153</v>
      </c>
      <c r="AA124" s="108">
        <f t="shared" si="472"/>
        <v>0.12336842105263153</v>
      </c>
      <c r="AB124" s="108">
        <f t="shared" si="472"/>
        <v>0.12336842105263153</v>
      </c>
      <c r="AC124" s="108">
        <f t="shared" si="472"/>
        <v>0.12336842105263153</v>
      </c>
      <c r="AD124" s="108">
        <f t="shared" si="472"/>
        <v>0.12336842105263153</v>
      </c>
      <c r="AE124" s="108">
        <f t="shared" si="472"/>
        <v>0.12336842105263153</v>
      </c>
      <c r="AF124" s="108">
        <f t="shared" si="472"/>
        <v>0.12336842105263153</v>
      </c>
      <c r="AG124" s="108">
        <f t="shared" si="472"/>
        <v>0.12336842105263153</v>
      </c>
      <c r="AH124" s="115" t="e">
        <f t="shared" si="402"/>
        <v>#DIV/0!</v>
      </c>
      <c r="AI124" s="123"/>
      <c r="AJ124" s="123"/>
    </row>
    <row r="125" spans="1:36" ht="12" customHeight="1">
      <c r="B125" s="10" t="s">
        <v>347</v>
      </c>
      <c r="C125" s="128"/>
      <c r="D125" s="128"/>
      <c r="E125" s="128"/>
      <c r="F125" s="108"/>
      <c r="G125" s="108">
        <f t="shared" ref="G125" si="473">1/G119</f>
        <v>0.67832916815423061</v>
      </c>
      <c r="H125" s="108" t="e">
        <f t="shared" ref="H125:I125" si="474">1/H119</f>
        <v>#DIV/0!</v>
      </c>
      <c r="I125" s="108" t="e">
        <f t="shared" si="474"/>
        <v>#DIV/0!</v>
      </c>
      <c r="J125" s="108" t="e">
        <f t="shared" si="466"/>
        <v>#DIV/0!</v>
      </c>
      <c r="K125" s="108" t="e">
        <f t="shared" si="466"/>
        <v>#DIV/0!</v>
      </c>
      <c r="L125" s="108" t="e">
        <f t="shared" si="466"/>
        <v>#DIV/0!</v>
      </c>
      <c r="M125" s="108" t="e">
        <f t="shared" si="466"/>
        <v>#DIV/0!</v>
      </c>
      <c r="N125" s="108" t="e">
        <f t="shared" si="466"/>
        <v>#DIV/0!</v>
      </c>
      <c r="O125" s="108" t="e">
        <f t="shared" si="466"/>
        <v>#DIV/0!</v>
      </c>
      <c r="P125" s="108" t="e">
        <f t="shared" si="466"/>
        <v>#DIV/0!</v>
      </c>
      <c r="Q125" s="108" t="e">
        <f t="shared" si="466"/>
        <v>#DIV/0!</v>
      </c>
      <c r="R125" s="108" t="e">
        <f t="shared" si="466"/>
        <v>#DIV/0!</v>
      </c>
      <c r="S125" s="108">
        <f t="shared" si="466"/>
        <v>0.67832916815423061</v>
      </c>
      <c r="T125" s="108">
        <f t="shared" ref="T125:U125" si="475">1/T119</f>
        <v>0.46600153491941676</v>
      </c>
      <c r="U125" s="108" t="e">
        <f t="shared" si="475"/>
        <v>#DIV/0!</v>
      </c>
      <c r="V125" s="101" t="e">
        <f t="shared" si="269"/>
        <v>#DIV/0!</v>
      </c>
      <c r="W125" s="10"/>
      <c r="X125" s="108" t="e">
        <f t="shared" ref="X125:AG125" si="476">1/X119</f>
        <v>#DIV/0!</v>
      </c>
      <c r="Y125" s="108" t="e">
        <f t="shared" si="476"/>
        <v>#DIV/0!</v>
      </c>
      <c r="Z125" s="108" t="e">
        <f t="shared" si="476"/>
        <v>#DIV/0!</v>
      </c>
      <c r="AA125" s="108" t="e">
        <f t="shared" si="476"/>
        <v>#DIV/0!</v>
      </c>
      <c r="AB125" s="108" t="e">
        <f t="shared" si="476"/>
        <v>#DIV/0!</v>
      </c>
      <c r="AC125" s="108" t="e">
        <f t="shared" si="476"/>
        <v>#DIV/0!</v>
      </c>
      <c r="AD125" s="108" t="e">
        <f t="shared" si="476"/>
        <v>#DIV/0!</v>
      </c>
      <c r="AE125" s="108" t="e">
        <f t="shared" si="476"/>
        <v>#DIV/0!</v>
      </c>
      <c r="AF125" s="108" t="e">
        <f t="shared" si="476"/>
        <v>#DIV/0!</v>
      </c>
      <c r="AG125" s="108" t="e">
        <f t="shared" si="476"/>
        <v>#DIV/0!</v>
      </c>
      <c r="AH125" s="115" t="e">
        <f t="shared" si="402"/>
        <v>#DIV/0!</v>
      </c>
      <c r="AI125" s="123"/>
      <c r="AJ125" s="123"/>
    </row>
    <row r="126" spans="1:36" ht="12" customHeight="1">
      <c r="B126" s="10" t="s">
        <v>348</v>
      </c>
      <c r="C126" s="128"/>
      <c r="D126" s="128"/>
      <c r="E126" s="128"/>
      <c r="F126" s="108"/>
      <c r="G126" s="108" t="e">
        <f t="shared" ref="G126" si="477">1/G120</f>
        <v>#DIV/0!</v>
      </c>
      <c r="H126" s="108" t="e">
        <f t="shared" ref="H126:I126" si="478">1/H120</f>
        <v>#DIV/0!</v>
      </c>
      <c r="I126" s="108" t="e">
        <f t="shared" si="478"/>
        <v>#DIV/0!</v>
      </c>
      <c r="J126" s="108" t="e">
        <f t="shared" si="466"/>
        <v>#DIV/0!</v>
      </c>
      <c r="K126" s="108" t="e">
        <f t="shared" si="466"/>
        <v>#DIV/0!</v>
      </c>
      <c r="L126" s="108" t="e">
        <f t="shared" si="466"/>
        <v>#DIV/0!</v>
      </c>
      <c r="M126" s="108" t="e">
        <f t="shared" si="466"/>
        <v>#DIV/0!</v>
      </c>
      <c r="N126" s="108" t="e">
        <f t="shared" si="466"/>
        <v>#DIV/0!</v>
      </c>
      <c r="O126" s="108" t="e">
        <f t="shared" si="466"/>
        <v>#DIV/0!</v>
      </c>
      <c r="P126" s="108" t="e">
        <f t="shared" si="466"/>
        <v>#DIV/0!</v>
      </c>
      <c r="Q126" s="108" t="e">
        <f t="shared" si="466"/>
        <v>#DIV/0!</v>
      </c>
      <c r="R126" s="108" t="e">
        <f t="shared" si="466"/>
        <v>#DIV/0!</v>
      </c>
      <c r="S126" s="108" t="e">
        <f t="shared" si="466"/>
        <v>#DIV/0!</v>
      </c>
      <c r="T126" s="108" t="e">
        <f t="shared" ref="T126:U126" si="479">1/T120</f>
        <v>#DIV/0!</v>
      </c>
      <c r="U126" s="108" t="e">
        <f t="shared" si="479"/>
        <v>#DIV/0!</v>
      </c>
      <c r="V126" s="101" t="e">
        <f t="shared" si="269"/>
        <v>#DIV/0!</v>
      </c>
      <c r="W126" s="10"/>
      <c r="X126" s="108" t="e">
        <f t="shared" ref="X126:AG126" si="480">1/X120</f>
        <v>#DIV/0!</v>
      </c>
      <c r="Y126" s="108" t="e">
        <f t="shared" si="480"/>
        <v>#DIV/0!</v>
      </c>
      <c r="Z126" s="108" t="e">
        <f t="shared" si="480"/>
        <v>#DIV/0!</v>
      </c>
      <c r="AA126" s="108" t="e">
        <f t="shared" si="480"/>
        <v>#DIV/0!</v>
      </c>
      <c r="AB126" s="108" t="e">
        <f t="shared" si="480"/>
        <v>#DIV/0!</v>
      </c>
      <c r="AC126" s="108" t="e">
        <f t="shared" si="480"/>
        <v>#DIV/0!</v>
      </c>
      <c r="AD126" s="108" t="e">
        <f t="shared" si="480"/>
        <v>#DIV/0!</v>
      </c>
      <c r="AE126" s="108" t="e">
        <f t="shared" si="480"/>
        <v>#DIV/0!</v>
      </c>
      <c r="AF126" s="108" t="e">
        <f t="shared" si="480"/>
        <v>#DIV/0!</v>
      </c>
      <c r="AG126" s="108" t="e">
        <f t="shared" si="480"/>
        <v>#DIV/0!</v>
      </c>
      <c r="AH126" s="115" t="e">
        <f t="shared" si="402"/>
        <v>#DIV/0!</v>
      </c>
      <c r="AI126" s="123"/>
      <c r="AJ126" s="123"/>
    </row>
    <row r="127" spans="1:36" ht="12" customHeight="1">
      <c r="B127" s="10"/>
      <c r="C127" s="128"/>
      <c r="D127" s="128"/>
      <c r="E127" s="128"/>
      <c r="F127" s="146"/>
      <c r="G127" s="146"/>
      <c r="H127" s="146"/>
      <c r="I127" s="146"/>
      <c r="J127" s="146"/>
      <c r="K127" s="146"/>
      <c r="L127" s="146"/>
      <c r="M127" s="146"/>
      <c r="N127" s="146"/>
      <c r="O127" s="146"/>
      <c r="P127" s="146"/>
      <c r="Q127" s="146"/>
      <c r="R127" s="146"/>
      <c r="S127" s="146"/>
      <c r="T127" s="146"/>
      <c r="U127" s="121"/>
      <c r="V127" s="10"/>
      <c r="W127" s="10"/>
      <c r="X127" s="128"/>
      <c r="Y127" s="128"/>
      <c r="Z127" s="128"/>
      <c r="AA127" s="128"/>
      <c r="AB127" s="128"/>
      <c r="AC127" s="128"/>
      <c r="AD127" s="128"/>
      <c r="AE127" s="128"/>
      <c r="AF127" s="128"/>
      <c r="AG127" s="128"/>
      <c r="AH127" s="128"/>
      <c r="AI127" s="123"/>
      <c r="AJ127" s="123"/>
    </row>
    <row r="128" spans="1:36" ht="12" customHeight="1">
      <c r="A128" s="305" t="s">
        <v>418</v>
      </c>
      <c r="B128" s="177" t="s">
        <v>425</v>
      </c>
      <c r="C128" s="128"/>
      <c r="D128" s="128"/>
      <c r="E128" s="128"/>
      <c r="F128" s="146"/>
      <c r="G128" s="146">
        <f t="shared" ref="G128" si="481">G25/(G36+G38)</f>
        <v>7.2186987814437401E-2</v>
      </c>
      <c r="H128" s="146" t="e">
        <f t="shared" ref="H128:I128" si="482">H25/(H36+H38)</f>
        <v>#DIV/0!</v>
      </c>
      <c r="I128" s="146" t="e">
        <f t="shared" si="482"/>
        <v>#DIV/0!</v>
      </c>
      <c r="J128" s="146" t="e">
        <f t="shared" ref="J128:T128" si="483">J25/(J36+J38)</f>
        <v>#DIV/0!</v>
      </c>
      <c r="K128" s="146" t="e">
        <f t="shared" si="483"/>
        <v>#DIV/0!</v>
      </c>
      <c r="L128" s="146" t="e">
        <f t="shared" si="483"/>
        <v>#DIV/0!</v>
      </c>
      <c r="M128" s="146" t="e">
        <f t="shared" si="483"/>
        <v>#DIV/0!</v>
      </c>
      <c r="N128" s="146" t="e">
        <f t="shared" si="483"/>
        <v>#DIV/0!</v>
      </c>
      <c r="O128" s="146" t="e">
        <f t="shared" si="483"/>
        <v>#DIV/0!</v>
      </c>
      <c r="P128" s="146" t="e">
        <f t="shared" si="483"/>
        <v>#DIV/0!</v>
      </c>
      <c r="Q128" s="146" t="e">
        <f t="shared" si="483"/>
        <v>#DIV/0!</v>
      </c>
      <c r="R128" s="146" t="e">
        <f t="shared" si="483"/>
        <v>#DIV/0!</v>
      </c>
      <c r="S128" s="146">
        <f t="shared" si="483"/>
        <v>7.2151357514430275E-2</v>
      </c>
      <c r="T128" s="146">
        <f t="shared" si="483"/>
        <v>0.10607936332485907</v>
      </c>
      <c r="U128" s="146">
        <f t="shared" ref="U128" si="484">U25/(U36+U38)</f>
        <v>9.7013083189335964E-2</v>
      </c>
      <c r="V128" s="101">
        <f t="shared" si="269"/>
        <v>2.1337751136688787E-2</v>
      </c>
      <c r="W128" s="10"/>
      <c r="X128" s="146">
        <f t="shared" ref="X128:AG128" si="485">X25/(X36+X38)</f>
        <v>9.7013083189335964E-2</v>
      </c>
      <c r="Y128" s="146">
        <f t="shared" si="485"/>
        <v>9.7013083189335964E-2</v>
      </c>
      <c r="Z128" s="146">
        <f t="shared" si="485"/>
        <v>9.7013083189335964E-2</v>
      </c>
      <c r="AA128" s="146">
        <f t="shared" si="485"/>
        <v>9.7013083189335964E-2</v>
      </c>
      <c r="AB128" s="146">
        <f t="shared" si="485"/>
        <v>9.7013083189335977E-2</v>
      </c>
      <c r="AC128" s="146">
        <f t="shared" si="485"/>
        <v>9.7013083189335977E-2</v>
      </c>
      <c r="AD128" s="146">
        <f t="shared" si="485"/>
        <v>9.7013083189335991E-2</v>
      </c>
      <c r="AE128" s="146">
        <f t="shared" si="485"/>
        <v>9.7013083189335977E-2</v>
      </c>
      <c r="AF128" s="146">
        <f t="shared" si="485"/>
        <v>9.7013083189335991E-2</v>
      </c>
      <c r="AG128" s="146">
        <f t="shared" si="485"/>
        <v>9.7013083189335991E-2</v>
      </c>
      <c r="AH128" s="115" t="e">
        <f t="shared" ref="AH128:AH136" si="486">((AG128/J128)^(1/($AG$3-$K$1) ))-1</f>
        <v>#DIV/0!</v>
      </c>
      <c r="AI128" s="123"/>
      <c r="AJ128" s="123"/>
    </row>
    <row r="129" spans="1:36" ht="12" customHeight="1">
      <c r="A129" s="305"/>
      <c r="B129" s="177" t="s">
        <v>420</v>
      </c>
      <c r="C129" s="128"/>
      <c r="D129" s="128"/>
      <c r="E129" s="128"/>
      <c r="F129" s="146"/>
      <c r="G129" s="146">
        <f t="shared" ref="G129" si="487">G25/G43</f>
        <v>8.8667148077638466E-2</v>
      </c>
      <c r="H129" s="146" t="e">
        <f t="shared" ref="H129:I129" si="488">H25/H43</f>
        <v>#DIV/0!</v>
      </c>
      <c r="I129" s="146" t="e">
        <f t="shared" si="488"/>
        <v>#DIV/0!</v>
      </c>
      <c r="J129" s="146" t="e">
        <f t="shared" ref="J129:T129" si="489">J25/J43</f>
        <v>#DIV/0!</v>
      </c>
      <c r="K129" s="146" t="e">
        <f t="shared" si="489"/>
        <v>#DIV/0!</v>
      </c>
      <c r="L129" s="146" t="e">
        <f t="shared" si="489"/>
        <v>#DIV/0!</v>
      </c>
      <c r="M129" s="146" t="e">
        <f t="shared" si="489"/>
        <v>#DIV/0!</v>
      </c>
      <c r="N129" s="146" t="e">
        <f t="shared" si="489"/>
        <v>#DIV/0!</v>
      </c>
      <c r="O129" s="146" t="e">
        <f t="shared" si="489"/>
        <v>#DIV/0!</v>
      </c>
      <c r="P129" s="146" t="e">
        <f t="shared" si="489"/>
        <v>#DIV/0!</v>
      </c>
      <c r="Q129" s="146" t="e">
        <f t="shared" si="489"/>
        <v>#DIV/0!</v>
      </c>
      <c r="R129" s="146" t="e">
        <f t="shared" si="489"/>
        <v>#DIV/0!</v>
      </c>
      <c r="S129" s="146">
        <f t="shared" si="489"/>
        <v>8.8623383443839035E-2</v>
      </c>
      <c r="T129" s="146">
        <f t="shared" si="489"/>
        <v>0.19426732252383555</v>
      </c>
      <c r="U129" s="146">
        <f t="shared" ref="U129" si="490">U25/U43</f>
        <v>0.19588221762134805</v>
      </c>
      <c r="V129" s="101">
        <f t="shared" si="269"/>
        <v>5.8249372056227822E-2</v>
      </c>
      <c r="W129" s="10"/>
      <c r="X129" s="146">
        <f t="shared" ref="X129:AG129" si="491">X25/X43</f>
        <v>0.19588221762134805</v>
      </c>
      <c r="Y129" s="146">
        <f t="shared" si="491"/>
        <v>0.19588221762134803</v>
      </c>
      <c r="Z129" s="146">
        <f t="shared" si="491"/>
        <v>0.19588221762134803</v>
      </c>
      <c r="AA129" s="146">
        <f t="shared" si="491"/>
        <v>0.19588221762134803</v>
      </c>
      <c r="AB129" s="146">
        <f t="shared" si="491"/>
        <v>0.19588221762134805</v>
      </c>
      <c r="AC129" s="146">
        <f t="shared" si="491"/>
        <v>0.19588221762134803</v>
      </c>
      <c r="AD129" s="146">
        <f t="shared" si="491"/>
        <v>0.19588221762134803</v>
      </c>
      <c r="AE129" s="146">
        <f t="shared" si="491"/>
        <v>0.19588221762134805</v>
      </c>
      <c r="AF129" s="146">
        <f t="shared" si="491"/>
        <v>0.19588221762134808</v>
      </c>
      <c r="AG129" s="146">
        <f t="shared" si="491"/>
        <v>0.19588221762134805</v>
      </c>
      <c r="AH129" s="115" t="e">
        <f t="shared" si="486"/>
        <v>#DIV/0!</v>
      </c>
      <c r="AI129" s="123"/>
      <c r="AJ129" s="123"/>
    </row>
    <row r="130" spans="1:36" ht="12" customHeight="1">
      <c r="A130" s="305"/>
      <c r="B130" s="177" t="s">
        <v>426</v>
      </c>
      <c r="C130" s="128"/>
      <c r="D130" s="128"/>
      <c r="E130" s="128"/>
      <c r="F130" s="146"/>
      <c r="G130" s="146">
        <f t="shared" ref="G130" si="492">G43/(G36)</f>
        <v>5.5601654702518557</v>
      </c>
      <c r="H130" s="146" t="e">
        <f t="shared" ref="H130:I130" si="493">H43/(H36)</f>
        <v>#DIV/0!</v>
      </c>
      <c r="I130" s="146" t="e">
        <f t="shared" si="493"/>
        <v>#DIV/0!</v>
      </c>
      <c r="J130" s="146" t="e">
        <f t="shared" ref="J130:T130" si="494">J43/(J36)</f>
        <v>#DIV/0!</v>
      </c>
      <c r="K130" s="146" t="e">
        <f t="shared" si="494"/>
        <v>#DIV/0!</v>
      </c>
      <c r="L130" s="146" t="e">
        <f t="shared" si="494"/>
        <v>#DIV/0!</v>
      </c>
      <c r="M130" s="146" t="e">
        <f t="shared" si="494"/>
        <v>#DIV/0!</v>
      </c>
      <c r="N130" s="146" t="e">
        <f t="shared" si="494"/>
        <v>#DIV/0!</v>
      </c>
      <c r="O130" s="146" t="e">
        <f t="shared" si="494"/>
        <v>#DIV/0!</v>
      </c>
      <c r="P130" s="146" t="e">
        <f t="shared" si="494"/>
        <v>#DIV/0!</v>
      </c>
      <c r="Q130" s="146" t="e">
        <f t="shared" si="494"/>
        <v>#DIV/0!</v>
      </c>
      <c r="R130" s="146" t="e">
        <f t="shared" si="494"/>
        <v>#DIV/0!</v>
      </c>
      <c r="S130" s="146">
        <f t="shared" si="494"/>
        <v>5.5601654702518557</v>
      </c>
      <c r="T130" s="146">
        <f t="shared" si="494"/>
        <v>1.2286360923199364</v>
      </c>
      <c r="U130" s="146">
        <f t="shared" ref="U130" si="495">U43/(U36)</f>
        <v>1.0858677324673702</v>
      </c>
      <c r="V130" s="101">
        <f t="shared" si="269"/>
        <v>-0.11011283342230815</v>
      </c>
      <c r="W130" s="10"/>
      <c r="X130" s="146">
        <f t="shared" ref="X130:AG130" si="496">X43/(X36+X38)</f>
        <v>0.49526232838995121</v>
      </c>
      <c r="Y130" s="146">
        <f t="shared" si="496"/>
        <v>0.49526232838995127</v>
      </c>
      <c r="Z130" s="146">
        <f t="shared" si="496"/>
        <v>0.49526232838995121</v>
      </c>
      <c r="AA130" s="146">
        <f t="shared" si="496"/>
        <v>0.49526232838995127</v>
      </c>
      <c r="AB130" s="146">
        <f t="shared" si="496"/>
        <v>0.49526232838995127</v>
      </c>
      <c r="AC130" s="146">
        <f t="shared" si="496"/>
        <v>0.49526232838995132</v>
      </c>
      <c r="AD130" s="146">
        <f t="shared" si="496"/>
        <v>0.49526232838995138</v>
      </c>
      <c r="AE130" s="146">
        <f t="shared" si="496"/>
        <v>0.49526232838995127</v>
      </c>
      <c r="AF130" s="146">
        <f t="shared" si="496"/>
        <v>0.49526232838995127</v>
      </c>
      <c r="AG130" s="146">
        <f t="shared" si="496"/>
        <v>0.49526232838995132</v>
      </c>
      <c r="AH130" s="115" t="e">
        <f t="shared" si="486"/>
        <v>#DIV/0!</v>
      </c>
      <c r="AI130" s="123"/>
      <c r="AJ130" s="123"/>
    </row>
    <row r="131" spans="1:36" ht="12" customHeight="1">
      <c r="A131" s="305"/>
      <c r="B131" s="177" t="s">
        <v>424</v>
      </c>
      <c r="C131" s="128"/>
      <c r="D131" s="128"/>
      <c r="E131" s="128"/>
      <c r="F131" s="146"/>
      <c r="G131" s="146">
        <f t="shared" ref="G131" si="497">G43/G38</f>
        <v>0.95379124663452508</v>
      </c>
      <c r="H131" s="146" t="e">
        <f t="shared" ref="H131:I131" si="498">H43/H38</f>
        <v>#DIV/0!</v>
      </c>
      <c r="I131" s="146" t="e">
        <f t="shared" si="498"/>
        <v>#DIV/0!</v>
      </c>
      <c r="J131" s="146" t="e">
        <f t="shared" ref="J131:T131" si="499">J43/J38</f>
        <v>#DIV/0!</v>
      </c>
      <c r="K131" s="146" t="e">
        <f t="shared" si="499"/>
        <v>#DIV/0!</v>
      </c>
      <c r="L131" s="146" t="e">
        <f t="shared" si="499"/>
        <v>#DIV/0!</v>
      </c>
      <c r="M131" s="146" t="e">
        <f t="shared" si="499"/>
        <v>#DIV/0!</v>
      </c>
      <c r="N131" s="146" t="e">
        <f t="shared" si="499"/>
        <v>#DIV/0!</v>
      </c>
      <c r="O131" s="146" t="e">
        <f t="shared" si="499"/>
        <v>#DIV/0!</v>
      </c>
      <c r="P131" s="146" t="e">
        <f t="shared" si="499"/>
        <v>#DIV/0!</v>
      </c>
      <c r="Q131" s="146" t="e">
        <f t="shared" si="499"/>
        <v>#DIV/0!</v>
      </c>
      <c r="R131" s="146" t="e">
        <f t="shared" si="499"/>
        <v>#DIV/0!</v>
      </c>
      <c r="S131" s="146">
        <f t="shared" si="499"/>
        <v>0.95379124663452508</v>
      </c>
      <c r="T131" s="146">
        <f t="shared" si="499"/>
        <v>0.9828697624447893</v>
      </c>
      <c r="U131" s="146">
        <f t="shared" ref="U131" si="500">U43/U38</f>
        <v>0.91057307940719534</v>
      </c>
      <c r="V131" s="101">
        <f t="shared" si="269"/>
        <v>-3.3067114315065149E-3</v>
      </c>
      <c r="W131" s="10"/>
      <c r="X131" s="146">
        <f t="shared" ref="X131:AG131" si="501">X43/X38</f>
        <v>0.91057307940719545</v>
      </c>
      <c r="Y131" s="146">
        <f t="shared" si="501"/>
        <v>0.91057307940719556</v>
      </c>
      <c r="Z131" s="146">
        <f t="shared" si="501"/>
        <v>0.91057307940719556</v>
      </c>
      <c r="AA131" s="146">
        <f t="shared" si="501"/>
        <v>0.91057307940719545</v>
      </c>
      <c r="AB131" s="146">
        <f t="shared" si="501"/>
        <v>0.91057307940719556</v>
      </c>
      <c r="AC131" s="146">
        <f t="shared" si="501"/>
        <v>0.91057307940719567</v>
      </c>
      <c r="AD131" s="146">
        <f t="shared" si="501"/>
        <v>0.91057307940719567</v>
      </c>
      <c r="AE131" s="146">
        <f t="shared" si="501"/>
        <v>0.91057307940719567</v>
      </c>
      <c r="AF131" s="146">
        <f t="shared" si="501"/>
        <v>0.91057307940719567</v>
      </c>
      <c r="AG131" s="146">
        <f t="shared" si="501"/>
        <v>0.91057307940719567</v>
      </c>
      <c r="AH131" s="115" t="e">
        <f t="shared" si="486"/>
        <v>#DIV/0!</v>
      </c>
      <c r="AI131" s="123"/>
      <c r="AJ131" s="123"/>
    </row>
    <row r="132" spans="1:36" ht="12" customHeight="1">
      <c r="A132" s="305"/>
      <c r="B132" s="177" t="s">
        <v>423</v>
      </c>
      <c r="C132" s="128"/>
      <c r="D132" s="128"/>
      <c r="E132" s="128"/>
      <c r="F132" s="146"/>
      <c r="G132" s="146">
        <f t="shared" ref="G132" si="502">G43/(G36+G38)</f>
        <v>0.81413454001282692</v>
      </c>
      <c r="H132" s="146" t="e">
        <f t="shared" ref="H132:I132" si="503">H43/(H36+H38)</f>
        <v>#DIV/0!</v>
      </c>
      <c r="I132" s="146" t="e">
        <f t="shared" si="503"/>
        <v>#DIV/0!</v>
      </c>
      <c r="J132" s="146" t="e">
        <f t="shared" ref="J132:T132" si="504">J43/(J36+J38)</f>
        <v>#DIV/0!</v>
      </c>
      <c r="K132" s="146" t="e">
        <f t="shared" si="504"/>
        <v>#DIV/0!</v>
      </c>
      <c r="L132" s="146" t="e">
        <f t="shared" si="504"/>
        <v>#DIV/0!</v>
      </c>
      <c r="M132" s="146" t="e">
        <f t="shared" si="504"/>
        <v>#DIV/0!</v>
      </c>
      <c r="N132" s="146" t="e">
        <f t="shared" si="504"/>
        <v>#DIV/0!</v>
      </c>
      <c r="O132" s="146" t="e">
        <f t="shared" si="504"/>
        <v>#DIV/0!</v>
      </c>
      <c r="P132" s="146" t="e">
        <f t="shared" si="504"/>
        <v>#DIV/0!</v>
      </c>
      <c r="Q132" s="146" t="e">
        <f t="shared" si="504"/>
        <v>#DIV/0!</v>
      </c>
      <c r="R132" s="146" t="e">
        <f t="shared" si="504"/>
        <v>#DIV/0!</v>
      </c>
      <c r="S132" s="146">
        <f t="shared" si="504"/>
        <v>0.81413454001282692</v>
      </c>
      <c r="T132" s="146">
        <f t="shared" si="504"/>
        <v>0.54604841383884162</v>
      </c>
      <c r="U132" s="146">
        <f t="shared" ref="U132" si="505">U43/(U36+U38)</f>
        <v>0.49526232838995121</v>
      </c>
      <c r="V132" s="101">
        <f t="shared" si="269"/>
        <v>-3.4879889272051212E-2</v>
      </c>
      <c r="W132" s="10"/>
      <c r="X132" s="146">
        <f t="shared" ref="X132:AG132" si="506">X43/(X36+X38)</f>
        <v>0.49526232838995121</v>
      </c>
      <c r="Y132" s="146">
        <f t="shared" si="506"/>
        <v>0.49526232838995127</v>
      </c>
      <c r="Z132" s="146">
        <f t="shared" si="506"/>
        <v>0.49526232838995121</v>
      </c>
      <c r="AA132" s="146">
        <f t="shared" si="506"/>
        <v>0.49526232838995127</v>
      </c>
      <c r="AB132" s="146">
        <f t="shared" si="506"/>
        <v>0.49526232838995127</v>
      </c>
      <c r="AC132" s="146">
        <f t="shared" si="506"/>
        <v>0.49526232838995132</v>
      </c>
      <c r="AD132" s="146">
        <f t="shared" si="506"/>
        <v>0.49526232838995138</v>
      </c>
      <c r="AE132" s="146">
        <f t="shared" si="506"/>
        <v>0.49526232838995127</v>
      </c>
      <c r="AF132" s="146">
        <f t="shared" si="506"/>
        <v>0.49526232838995127</v>
      </c>
      <c r="AG132" s="146">
        <f t="shared" si="506"/>
        <v>0.49526232838995132</v>
      </c>
      <c r="AH132" s="115" t="e">
        <f>((AG132/J132)^(1/($AG$3-$K$1) ))-1</f>
        <v>#DIV/0!</v>
      </c>
      <c r="AI132" s="123"/>
      <c r="AJ132" s="123"/>
    </row>
    <row r="133" spans="1:36" ht="12" customHeight="1">
      <c r="A133" s="305"/>
      <c r="B133" s="177" t="s">
        <v>429</v>
      </c>
      <c r="C133" s="128"/>
      <c r="D133" s="128"/>
      <c r="E133" s="128"/>
      <c r="F133" s="146"/>
      <c r="G133" s="146">
        <f t="shared" ref="G133" si="507">G49/G25</f>
        <v>9.9457058242843038E-2</v>
      </c>
      <c r="H133" s="146" t="e">
        <f t="shared" ref="H133:I133" si="508">H49/H25</f>
        <v>#DIV/0!</v>
      </c>
      <c r="I133" s="146" t="e">
        <f t="shared" si="508"/>
        <v>#DIV/0!</v>
      </c>
      <c r="J133" s="146" t="e">
        <f t="shared" ref="J133:T133" si="509">J49/J25</f>
        <v>#DIV/0!</v>
      </c>
      <c r="K133" s="146" t="e">
        <f t="shared" si="509"/>
        <v>#DIV/0!</v>
      </c>
      <c r="L133" s="146" t="e">
        <f t="shared" si="509"/>
        <v>#DIV/0!</v>
      </c>
      <c r="M133" s="146" t="e">
        <f t="shared" si="509"/>
        <v>#DIV/0!</v>
      </c>
      <c r="N133" s="146" t="e">
        <f t="shared" si="509"/>
        <v>#DIV/0!</v>
      </c>
      <c r="O133" s="146" t="e">
        <f t="shared" si="509"/>
        <v>#DIV/0!</v>
      </c>
      <c r="P133" s="146" t="e">
        <f t="shared" si="509"/>
        <v>#DIV/0!</v>
      </c>
      <c r="Q133" s="146" t="e">
        <f t="shared" si="509"/>
        <v>#DIV/0!</v>
      </c>
      <c r="R133" s="146" t="e">
        <f t="shared" si="509"/>
        <v>#DIV/0!</v>
      </c>
      <c r="S133" s="146">
        <f t="shared" si="509"/>
        <v>9.9506172839506177E-2</v>
      </c>
      <c r="T133" s="146">
        <f t="shared" si="509"/>
        <v>0.10555381890174012</v>
      </c>
      <c r="U133" s="146">
        <f t="shared" ref="U133" si="510">U49/U25</f>
        <v>0.10951262477980035</v>
      </c>
      <c r="V133" s="101">
        <f t="shared" si="269"/>
        <v>6.9032801037134384E-3</v>
      </c>
      <c r="W133" s="10"/>
      <c r="X133" s="146">
        <f t="shared" ref="X133:AG133" si="511">X49/X25</f>
        <v>0.10951262477980035</v>
      </c>
      <c r="Y133" s="146">
        <f t="shared" si="511"/>
        <v>0.10951262477980035</v>
      </c>
      <c r="Z133" s="146">
        <f t="shared" si="511"/>
        <v>0.10951262477980035</v>
      </c>
      <c r="AA133" s="146">
        <f t="shared" si="511"/>
        <v>0.10951262477980037</v>
      </c>
      <c r="AB133" s="146">
        <f t="shared" si="511"/>
        <v>0.10951262477980037</v>
      </c>
      <c r="AC133" s="146">
        <f t="shared" si="511"/>
        <v>0.10951262477980037</v>
      </c>
      <c r="AD133" s="146">
        <f t="shared" si="511"/>
        <v>0.10951262477980038</v>
      </c>
      <c r="AE133" s="146">
        <f t="shared" si="511"/>
        <v>0.10951262477980038</v>
      </c>
      <c r="AF133" s="146">
        <f t="shared" si="511"/>
        <v>0.10951262477980037</v>
      </c>
      <c r="AG133" s="146">
        <f t="shared" si="511"/>
        <v>0.10951262477980038</v>
      </c>
      <c r="AH133" s="115" t="e">
        <f>((AG133/J133)^(1/($AG$3-$K$1) ))-1</f>
        <v>#DIV/0!</v>
      </c>
      <c r="AI133" s="123"/>
      <c r="AJ133" s="123"/>
    </row>
    <row r="134" spans="1:36" ht="12" customHeight="1">
      <c r="A134" s="305"/>
      <c r="B134" s="177" t="s">
        <v>427</v>
      </c>
      <c r="C134" s="128"/>
      <c r="D134" s="128"/>
      <c r="E134" s="128"/>
      <c r="F134" s="181"/>
      <c r="G134" s="181">
        <f t="shared" ref="G134" si="512">G59/G51</f>
        <v>6.299936459868323E-3</v>
      </c>
      <c r="H134" s="181" t="e">
        <f t="shared" ref="H134:I134" si="513">H59/H51</f>
        <v>#DIV/0!</v>
      </c>
      <c r="I134" s="181" t="e">
        <f t="shared" si="513"/>
        <v>#DIV/0!</v>
      </c>
      <c r="J134" s="181" t="e">
        <f t="shared" ref="J134:T134" si="514">J59/J51</f>
        <v>#DIV/0!</v>
      </c>
      <c r="K134" s="181" t="e">
        <f t="shared" si="514"/>
        <v>#DIV/0!</v>
      </c>
      <c r="L134" s="181" t="e">
        <f t="shared" si="514"/>
        <v>#DIV/0!</v>
      </c>
      <c r="M134" s="181" t="e">
        <f t="shared" si="514"/>
        <v>#DIV/0!</v>
      </c>
      <c r="N134" s="181" t="e">
        <f t="shared" si="514"/>
        <v>#DIV/0!</v>
      </c>
      <c r="O134" s="181" t="e">
        <f t="shared" si="514"/>
        <v>#DIV/0!</v>
      </c>
      <c r="P134" s="181" t="e">
        <f t="shared" si="514"/>
        <v>#DIV/0!</v>
      </c>
      <c r="Q134" s="181" t="e">
        <f t="shared" si="514"/>
        <v>#DIV/0!</v>
      </c>
      <c r="R134" s="181" t="e">
        <f t="shared" si="514"/>
        <v>#DIV/0!</v>
      </c>
      <c r="S134" s="181">
        <f t="shared" si="514"/>
        <v>6.299936459868323E-3</v>
      </c>
      <c r="T134" s="181">
        <f t="shared" si="514"/>
        <v>9.0853163812088193E-3</v>
      </c>
      <c r="U134" s="181">
        <f t="shared" ref="U134" si="515">U59/U51</f>
        <v>6.9551593989602865E-3</v>
      </c>
      <c r="V134" s="101">
        <f t="shared" si="269"/>
        <v>7.0924758910557717E-3</v>
      </c>
      <c r="W134" s="10"/>
      <c r="X134" s="181">
        <f t="shared" ref="X134:AG134" si="516">X59/X51</f>
        <v>6.9551593989602865E-3</v>
      </c>
      <c r="Y134" s="181">
        <f t="shared" si="516"/>
        <v>6.9551593989602865E-3</v>
      </c>
      <c r="Z134" s="181">
        <f t="shared" si="516"/>
        <v>6.9551593989602856E-3</v>
      </c>
      <c r="AA134" s="181">
        <f t="shared" si="516"/>
        <v>6.9551593989602856E-3</v>
      </c>
      <c r="AB134" s="181">
        <f t="shared" si="516"/>
        <v>6.9551593989602865E-3</v>
      </c>
      <c r="AC134" s="181">
        <f t="shared" si="516"/>
        <v>6.9551593989602865E-3</v>
      </c>
      <c r="AD134" s="181">
        <f t="shared" si="516"/>
        <v>6.9551593989602874E-3</v>
      </c>
      <c r="AE134" s="181">
        <f t="shared" si="516"/>
        <v>6.9551593989602874E-3</v>
      </c>
      <c r="AF134" s="181">
        <f t="shared" si="516"/>
        <v>6.9551593989602865E-3</v>
      </c>
      <c r="AG134" s="181">
        <f t="shared" si="516"/>
        <v>6.9551593989602865E-3</v>
      </c>
      <c r="AH134" s="115" t="e">
        <f>((AG134/J134)^(1/($AG$3-$K$1) ))-1</f>
        <v>#DIV/0!</v>
      </c>
      <c r="AI134" s="123"/>
      <c r="AJ134" s="123"/>
    </row>
    <row r="135" spans="1:36" ht="12" customHeight="1">
      <c r="A135" s="305"/>
      <c r="B135" s="177" t="s">
        <v>421</v>
      </c>
      <c r="C135" s="128"/>
      <c r="D135" s="128"/>
      <c r="E135" s="128"/>
      <c r="F135" s="146"/>
      <c r="G135" s="146">
        <f t="shared" ref="G135" si="517">G59/G43</f>
        <v>1.0197159675266416E-2</v>
      </c>
      <c r="H135" s="146" t="e">
        <f t="shared" ref="H135:I135" si="518">H59/H43</f>
        <v>#DIV/0!</v>
      </c>
      <c r="I135" s="146" t="e">
        <f t="shared" si="518"/>
        <v>#DIV/0!</v>
      </c>
      <c r="J135" s="146" t="e">
        <f t="shared" ref="J135:T135" si="519">J59/J43</f>
        <v>#DIV/0!</v>
      </c>
      <c r="K135" s="146" t="e">
        <f t="shared" si="519"/>
        <v>#DIV/0!</v>
      </c>
      <c r="L135" s="146" t="e">
        <f t="shared" si="519"/>
        <v>#DIV/0!</v>
      </c>
      <c r="M135" s="146" t="e">
        <f t="shared" si="519"/>
        <v>#DIV/0!</v>
      </c>
      <c r="N135" s="146" t="e">
        <f t="shared" si="519"/>
        <v>#DIV/0!</v>
      </c>
      <c r="O135" s="146" t="e">
        <f t="shared" si="519"/>
        <v>#DIV/0!</v>
      </c>
      <c r="P135" s="146" t="e">
        <f t="shared" si="519"/>
        <v>#DIV/0!</v>
      </c>
      <c r="Q135" s="146" t="e">
        <f t="shared" si="519"/>
        <v>#DIV/0!</v>
      </c>
      <c r="R135" s="146" t="e">
        <f t="shared" si="519"/>
        <v>#DIV/0!</v>
      </c>
      <c r="S135" s="146">
        <f t="shared" si="519"/>
        <v>1.0197159675266416E-2</v>
      </c>
      <c r="T135" s="146">
        <f t="shared" si="519"/>
        <v>2.0627112811481548E-2</v>
      </c>
      <c r="U135" s="146">
        <f t="shared" ref="U135" si="520">U59/U43</f>
        <v>1.685070163331033E-2</v>
      </c>
      <c r="V135" s="101">
        <f t="shared" si="269"/>
        <v>3.652872159643672E-2</v>
      </c>
      <c r="W135" s="10"/>
      <c r="X135" s="146">
        <f t="shared" ref="X135:AG135" si="521">X59/X43</f>
        <v>1.6850701633310327E-2</v>
      </c>
      <c r="Y135" s="146">
        <f t="shared" si="521"/>
        <v>1.6850701633310327E-2</v>
      </c>
      <c r="Z135" s="146">
        <f t="shared" si="521"/>
        <v>1.6850701633310324E-2</v>
      </c>
      <c r="AA135" s="146">
        <f t="shared" si="521"/>
        <v>1.6850701633310324E-2</v>
      </c>
      <c r="AB135" s="146">
        <f t="shared" si="521"/>
        <v>1.6850701633310324E-2</v>
      </c>
      <c r="AC135" s="146">
        <f t="shared" si="521"/>
        <v>1.6850701633310324E-2</v>
      </c>
      <c r="AD135" s="146">
        <f t="shared" si="521"/>
        <v>1.6850701633310324E-2</v>
      </c>
      <c r="AE135" s="146">
        <f t="shared" si="521"/>
        <v>1.6850701633310327E-2</v>
      </c>
      <c r="AF135" s="146">
        <f t="shared" si="521"/>
        <v>1.6850701633310327E-2</v>
      </c>
      <c r="AG135" s="146">
        <f t="shared" si="521"/>
        <v>1.6850701633310327E-2</v>
      </c>
      <c r="AH135" s="115" t="e">
        <f t="shared" si="486"/>
        <v>#DIV/0!</v>
      </c>
      <c r="AI135" s="123"/>
      <c r="AJ135" s="123"/>
    </row>
    <row r="136" spans="1:36" ht="12" customHeight="1">
      <c r="A136" s="305"/>
      <c r="B136" s="177" t="s">
        <v>422</v>
      </c>
      <c r="C136" s="128"/>
      <c r="D136" s="128"/>
      <c r="E136" s="128"/>
      <c r="F136" s="146"/>
      <c r="G136" s="146">
        <f t="shared" ref="G136" si="522">G59/(G36+G38)</f>
        <v>8.3018599016603713E-3</v>
      </c>
      <c r="H136" s="146" t="e">
        <f t="shared" ref="H136:I136" si="523">H59/(H36+H38)</f>
        <v>#DIV/0!</v>
      </c>
      <c r="I136" s="146" t="e">
        <f t="shared" si="523"/>
        <v>#DIV/0!</v>
      </c>
      <c r="J136" s="146" t="e">
        <f t="shared" ref="J136:T136" si="524">J59/(J36+J38)</f>
        <v>#DIV/0!</v>
      </c>
      <c r="K136" s="146" t="e">
        <f t="shared" si="524"/>
        <v>#DIV/0!</v>
      </c>
      <c r="L136" s="146" t="e">
        <f t="shared" si="524"/>
        <v>#DIV/0!</v>
      </c>
      <c r="M136" s="146" t="e">
        <f t="shared" si="524"/>
        <v>#DIV/0!</v>
      </c>
      <c r="N136" s="146" t="e">
        <f t="shared" si="524"/>
        <v>#DIV/0!</v>
      </c>
      <c r="O136" s="146" t="e">
        <f t="shared" si="524"/>
        <v>#DIV/0!</v>
      </c>
      <c r="P136" s="146" t="e">
        <f t="shared" si="524"/>
        <v>#DIV/0!</v>
      </c>
      <c r="Q136" s="146" t="e">
        <f t="shared" si="524"/>
        <v>#DIV/0!</v>
      </c>
      <c r="R136" s="146" t="e">
        <f t="shared" si="524"/>
        <v>#DIV/0!</v>
      </c>
      <c r="S136" s="146">
        <f t="shared" si="524"/>
        <v>8.3018599016603713E-3</v>
      </c>
      <c r="T136" s="146">
        <f t="shared" si="524"/>
        <v>1.1263402232784348E-2</v>
      </c>
      <c r="U136" s="146">
        <f t="shared" ref="U136" si="525">U59/(U36+U38)</f>
        <v>8.3455177259176266E-3</v>
      </c>
      <c r="V136" s="101">
        <f t="shared" si="269"/>
        <v>3.7471455985227387E-4</v>
      </c>
      <c r="W136" s="10"/>
      <c r="X136" s="146">
        <f t="shared" ref="X136:AG136" si="526">X59/(X36+X38)</f>
        <v>8.3455177259176266E-3</v>
      </c>
      <c r="Y136" s="146">
        <f t="shared" si="526"/>
        <v>8.3455177259176266E-3</v>
      </c>
      <c r="Z136" s="146">
        <f t="shared" si="526"/>
        <v>8.3455177259176248E-3</v>
      </c>
      <c r="AA136" s="146">
        <f t="shared" si="526"/>
        <v>8.3455177259176266E-3</v>
      </c>
      <c r="AB136" s="146">
        <f t="shared" si="526"/>
        <v>8.3455177259176266E-3</v>
      </c>
      <c r="AC136" s="146">
        <f t="shared" si="526"/>
        <v>8.3455177259176266E-3</v>
      </c>
      <c r="AD136" s="146">
        <f t="shared" si="526"/>
        <v>8.3455177259176283E-3</v>
      </c>
      <c r="AE136" s="146">
        <f t="shared" si="526"/>
        <v>8.3455177259176266E-3</v>
      </c>
      <c r="AF136" s="146">
        <f t="shared" si="526"/>
        <v>8.3455177259176283E-3</v>
      </c>
      <c r="AG136" s="146">
        <f t="shared" si="526"/>
        <v>8.3455177259176266E-3</v>
      </c>
      <c r="AH136" s="115" t="e">
        <f t="shared" si="486"/>
        <v>#DIV/0!</v>
      </c>
      <c r="AI136" s="123"/>
      <c r="AJ136" s="123"/>
    </row>
    <row r="137" spans="1:36" ht="12" customHeight="1">
      <c r="B137" s="10"/>
      <c r="C137" s="128"/>
      <c r="D137" s="128"/>
      <c r="E137" s="128"/>
      <c r="F137" s="146"/>
      <c r="G137" s="146"/>
      <c r="H137" s="146"/>
      <c r="I137" s="146"/>
      <c r="J137" s="146"/>
      <c r="K137" s="146"/>
      <c r="L137" s="146"/>
      <c r="M137" s="146"/>
      <c r="N137" s="146"/>
      <c r="O137" s="146"/>
      <c r="P137" s="146"/>
      <c r="Q137" s="146"/>
      <c r="R137" s="146"/>
      <c r="S137" s="146"/>
      <c r="T137" s="146"/>
      <c r="U137" s="121"/>
      <c r="V137" s="10"/>
      <c r="W137" s="10"/>
      <c r="X137" s="128"/>
      <c r="Y137" s="128"/>
      <c r="Z137" s="128"/>
      <c r="AA137" s="128"/>
      <c r="AB137" s="128"/>
      <c r="AC137" s="128"/>
      <c r="AD137" s="128"/>
      <c r="AE137" s="128"/>
      <c r="AF137" s="128"/>
      <c r="AG137" s="128"/>
      <c r="AH137" s="179"/>
      <c r="AI137" s="123"/>
      <c r="AJ137" s="123"/>
    </row>
    <row r="138" spans="1:36">
      <c r="B138" s="10" t="s">
        <v>270</v>
      </c>
      <c r="C138" s="128"/>
      <c r="D138" s="128"/>
      <c r="E138" s="128"/>
      <c r="F138" s="138"/>
      <c r="G138" s="138">
        <f t="shared" ref="G138" si="527">G10-(G12+G13)</f>
        <v>34141</v>
      </c>
      <c r="H138" s="138">
        <f t="shared" ref="H138:I138" si="528">H10-(H12+H13)</f>
        <v>0</v>
      </c>
      <c r="I138" s="138">
        <f t="shared" si="528"/>
        <v>0</v>
      </c>
      <c r="J138" s="138">
        <f t="shared" ref="J138:T138" si="529">J10-(J12+J13)</f>
        <v>0</v>
      </c>
      <c r="K138" s="138">
        <f t="shared" si="529"/>
        <v>0</v>
      </c>
      <c r="L138" s="138">
        <f t="shared" si="529"/>
        <v>0</v>
      </c>
      <c r="M138" s="138">
        <f t="shared" si="529"/>
        <v>0</v>
      </c>
      <c r="N138" s="138">
        <f t="shared" si="529"/>
        <v>0</v>
      </c>
      <c r="O138" s="138">
        <f t="shared" si="529"/>
        <v>0</v>
      </c>
      <c r="P138" s="138">
        <f t="shared" si="529"/>
        <v>0</v>
      </c>
      <c r="Q138" s="138">
        <f t="shared" si="529"/>
        <v>0</v>
      </c>
      <c r="R138" s="138">
        <f t="shared" si="529"/>
        <v>0</v>
      </c>
      <c r="S138" s="138">
        <f t="shared" si="529"/>
        <v>34141</v>
      </c>
      <c r="T138" s="138">
        <f t="shared" si="529"/>
        <v>36963</v>
      </c>
      <c r="U138" s="138">
        <f t="shared" ref="U138" si="530">U10-(U12+U13)</f>
        <v>44422</v>
      </c>
      <c r="V138" s="101">
        <f t="shared" si="269"/>
        <v>1.898044082893624E-2</v>
      </c>
      <c r="W138" s="10"/>
      <c r="X138" s="138">
        <f t="shared" ref="X138:AG138" si="531">X10-(X12+X13)</f>
        <v>51085.3</v>
      </c>
      <c r="Y138" s="138">
        <f t="shared" si="531"/>
        <v>58748.095000000001</v>
      </c>
      <c r="Z138" s="138">
        <f t="shared" si="531"/>
        <v>67560.309250000006</v>
      </c>
      <c r="AA138" s="138">
        <f t="shared" si="531"/>
        <v>77694.355637500019</v>
      </c>
      <c r="AB138" s="138">
        <f t="shared" si="531"/>
        <v>89348.508983125008</v>
      </c>
      <c r="AC138" s="138">
        <f t="shared" si="531"/>
        <v>102750.78533059376</v>
      </c>
      <c r="AD138" s="138">
        <f t="shared" si="531"/>
        <v>118163.40313018285</v>
      </c>
      <c r="AE138" s="138">
        <f t="shared" si="531"/>
        <v>135887.91359971024</v>
      </c>
      <c r="AF138" s="138">
        <f t="shared" si="531"/>
        <v>156271.10063966678</v>
      </c>
      <c r="AG138" s="138">
        <f t="shared" si="531"/>
        <v>179711.76573561676</v>
      </c>
      <c r="AH138" s="115" t="e">
        <f t="shared" si="402"/>
        <v>#DIV/0!</v>
      </c>
      <c r="AI138" s="123"/>
      <c r="AJ138" s="123"/>
    </row>
    <row r="139" spans="1:36" ht="12" customHeight="1">
      <c r="B139" s="10" t="s">
        <v>265</v>
      </c>
      <c r="C139" s="10"/>
      <c r="D139" s="10"/>
      <c r="E139" s="10"/>
      <c r="F139" s="128"/>
      <c r="G139" s="128" t="e">
        <f t="shared" ref="G139" si="532">G59/G18</f>
        <v>#DIV/0!</v>
      </c>
      <c r="H139" s="128" t="e">
        <f t="shared" ref="H139:I139" si="533">H59/H18</f>
        <v>#DIV/0!</v>
      </c>
      <c r="I139" s="128" t="e">
        <f t="shared" si="533"/>
        <v>#DIV/0!</v>
      </c>
      <c r="J139" s="128" t="e">
        <f t="shared" ref="J139:T139" si="534">J59/J18</f>
        <v>#DIV/0!</v>
      </c>
      <c r="K139" s="128" t="e">
        <f t="shared" si="534"/>
        <v>#DIV/0!</v>
      </c>
      <c r="L139" s="128" t="e">
        <f t="shared" si="534"/>
        <v>#DIV/0!</v>
      </c>
      <c r="M139" s="128" t="e">
        <f t="shared" si="534"/>
        <v>#DIV/0!</v>
      </c>
      <c r="N139" s="128" t="e">
        <f t="shared" si="534"/>
        <v>#DIV/0!</v>
      </c>
      <c r="O139" s="128" t="e">
        <f t="shared" si="534"/>
        <v>#DIV/0!</v>
      </c>
      <c r="P139" s="128" t="e">
        <f t="shared" si="534"/>
        <v>#DIV/0!</v>
      </c>
      <c r="Q139" s="128" t="e">
        <f t="shared" si="534"/>
        <v>#DIV/0!</v>
      </c>
      <c r="R139" s="128" t="e">
        <f t="shared" si="534"/>
        <v>#DIV/0!</v>
      </c>
      <c r="S139" s="128" t="e">
        <f t="shared" si="534"/>
        <v>#DIV/0!</v>
      </c>
      <c r="T139" s="128" t="e">
        <f t="shared" si="534"/>
        <v>#DIV/0!</v>
      </c>
      <c r="U139" s="128" t="e">
        <f t="shared" ref="U139" si="535">U59/U18</f>
        <v>#DIV/0!</v>
      </c>
      <c r="V139" s="101" t="e">
        <f t="shared" ref="V139:V171" si="536">((U139/G139)^(1/($K$2-$K$1) ))-1</f>
        <v>#DIV/0!</v>
      </c>
      <c r="W139" s="10"/>
      <c r="X139" s="128" t="e">
        <f t="shared" ref="X139:AG139" si="537">X59/X18</f>
        <v>#DIV/0!</v>
      </c>
      <c r="Y139" s="128" t="e">
        <f t="shared" si="537"/>
        <v>#DIV/0!</v>
      </c>
      <c r="Z139" s="128" t="e">
        <f t="shared" si="537"/>
        <v>#DIV/0!</v>
      </c>
      <c r="AA139" s="128" t="e">
        <f t="shared" si="537"/>
        <v>#DIV/0!</v>
      </c>
      <c r="AB139" s="128" t="e">
        <f t="shared" si="537"/>
        <v>#DIV/0!</v>
      </c>
      <c r="AC139" s="128" t="e">
        <f t="shared" si="537"/>
        <v>#DIV/0!</v>
      </c>
      <c r="AD139" s="128" t="e">
        <f t="shared" si="537"/>
        <v>#DIV/0!</v>
      </c>
      <c r="AE139" s="128" t="e">
        <f t="shared" si="537"/>
        <v>#DIV/0!</v>
      </c>
      <c r="AF139" s="128" t="e">
        <f t="shared" si="537"/>
        <v>#DIV/0!</v>
      </c>
      <c r="AG139" s="128" t="e">
        <f t="shared" si="537"/>
        <v>#DIV/0!</v>
      </c>
      <c r="AH139" s="115" t="e">
        <f t="shared" si="402"/>
        <v>#DIV/0!</v>
      </c>
      <c r="AI139" s="10"/>
      <c r="AJ139" s="10"/>
    </row>
    <row r="140" spans="1:36">
      <c r="B140" s="10" t="s">
        <v>266</v>
      </c>
      <c r="C140" s="10"/>
      <c r="D140" s="10"/>
      <c r="E140" s="10"/>
      <c r="F140" s="128"/>
      <c r="G140" s="128">
        <f t="shared" ref="G140" si="538">G59/G25</f>
        <v>0.11500493583415597</v>
      </c>
      <c r="H140" s="128" t="e">
        <f t="shared" ref="H140:I140" si="539">H59/H25</f>
        <v>#DIV/0!</v>
      </c>
      <c r="I140" s="128" t="e">
        <f t="shared" si="539"/>
        <v>#DIV/0!</v>
      </c>
      <c r="J140" s="128" t="e">
        <f t="shared" ref="J140:T140" si="540">J59/J25</f>
        <v>#DIV/0!</v>
      </c>
      <c r="K140" s="128" t="e">
        <f t="shared" si="540"/>
        <v>#DIV/0!</v>
      </c>
      <c r="L140" s="128" t="e">
        <f t="shared" si="540"/>
        <v>#DIV/0!</v>
      </c>
      <c r="M140" s="128" t="e">
        <f t="shared" si="540"/>
        <v>#DIV/0!</v>
      </c>
      <c r="N140" s="128" t="e">
        <f t="shared" si="540"/>
        <v>#DIV/0!</v>
      </c>
      <c r="O140" s="128" t="e">
        <f t="shared" si="540"/>
        <v>#DIV/0!</v>
      </c>
      <c r="P140" s="128" t="e">
        <f t="shared" si="540"/>
        <v>#DIV/0!</v>
      </c>
      <c r="Q140" s="128" t="e">
        <f t="shared" si="540"/>
        <v>#DIV/0!</v>
      </c>
      <c r="R140" s="128" t="e">
        <f t="shared" si="540"/>
        <v>#DIV/0!</v>
      </c>
      <c r="S140" s="128">
        <f t="shared" si="540"/>
        <v>0.11506172839506174</v>
      </c>
      <c r="T140" s="128">
        <f t="shared" si="540"/>
        <v>0.10617901427529436</v>
      </c>
      <c r="U140" s="128">
        <f t="shared" ref="U140" si="541">U59/U25</f>
        <v>8.6024662360540224E-2</v>
      </c>
      <c r="V140" s="101">
        <f t="shared" si="536"/>
        <v>-2.0525077579386486E-2</v>
      </c>
      <c r="W140" s="10"/>
      <c r="X140" s="128">
        <f t="shared" ref="X140:AG140" si="542">X59/X25</f>
        <v>8.6024662360540224E-2</v>
      </c>
      <c r="Y140" s="128">
        <f t="shared" si="542"/>
        <v>8.6024662360540211E-2</v>
      </c>
      <c r="Z140" s="128">
        <f t="shared" si="542"/>
        <v>8.6024662360540211E-2</v>
      </c>
      <c r="AA140" s="128">
        <f t="shared" si="542"/>
        <v>8.6024662360540211E-2</v>
      </c>
      <c r="AB140" s="128">
        <f t="shared" si="542"/>
        <v>8.6024662360540197E-2</v>
      </c>
      <c r="AC140" s="128">
        <f t="shared" si="542"/>
        <v>8.6024662360540211E-2</v>
      </c>
      <c r="AD140" s="128">
        <f t="shared" si="542"/>
        <v>8.6024662360540211E-2</v>
      </c>
      <c r="AE140" s="128">
        <f t="shared" si="542"/>
        <v>8.6024662360540211E-2</v>
      </c>
      <c r="AF140" s="128">
        <f t="shared" si="542"/>
        <v>8.6024662360540211E-2</v>
      </c>
      <c r="AG140" s="128">
        <f t="shared" si="542"/>
        <v>8.6024662360540197E-2</v>
      </c>
      <c r="AH140" s="115" t="e">
        <f t="shared" si="402"/>
        <v>#DIV/0!</v>
      </c>
      <c r="AI140" s="10"/>
      <c r="AJ140" s="10"/>
    </row>
    <row r="141" spans="1:36">
      <c r="B141" s="10" t="s">
        <v>290</v>
      </c>
      <c r="C141" s="10"/>
      <c r="D141" s="10"/>
      <c r="E141" s="128"/>
      <c r="F141" s="128"/>
      <c r="G141" s="128" t="e">
        <f t="shared" ref="G141" si="543">G25/G18</f>
        <v>#DIV/0!</v>
      </c>
      <c r="H141" s="128" t="e">
        <f t="shared" ref="H141:I141" si="544">H25/H18</f>
        <v>#DIV/0!</v>
      </c>
      <c r="I141" s="128" t="e">
        <f t="shared" si="544"/>
        <v>#DIV/0!</v>
      </c>
      <c r="J141" s="128" t="e">
        <f t="shared" ref="J141:T141" si="545">J25/J18</f>
        <v>#DIV/0!</v>
      </c>
      <c r="K141" s="128" t="e">
        <f t="shared" si="545"/>
        <v>#DIV/0!</v>
      </c>
      <c r="L141" s="128" t="e">
        <f t="shared" si="545"/>
        <v>#DIV/0!</v>
      </c>
      <c r="M141" s="128" t="e">
        <f t="shared" si="545"/>
        <v>#DIV/0!</v>
      </c>
      <c r="N141" s="128" t="e">
        <f t="shared" si="545"/>
        <v>#DIV/0!</v>
      </c>
      <c r="O141" s="128" t="e">
        <f t="shared" si="545"/>
        <v>#DIV/0!</v>
      </c>
      <c r="P141" s="128" t="e">
        <f t="shared" si="545"/>
        <v>#DIV/0!</v>
      </c>
      <c r="Q141" s="128" t="e">
        <f t="shared" si="545"/>
        <v>#DIV/0!</v>
      </c>
      <c r="R141" s="128" t="e">
        <f t="shared" si="545"/>
        <v>#DIV/0!</v>
      </c>
      <c r="S141" s="128" t="e">
        <f t="shared" si="545"/>
        <v>#DIV/0!</v>
      </c>
      <c r="T141" s="128" t="e">
        <f t="shared" si="545"/>
        <v>#DIV/0!</v>
      </c>
      <c r="U141" s="128" t="e">
        <f t="shared" ref="U141" si="546">U25/U18</f>
        <v>#DIV/0!</v>
      </c>
      <c r="V141" s="101" t="e">
        <f t="shared" si="536"/>
        <v>#DIV/0!</v>
      </c>
      <c r="W141" s="10"/>
      <c r="X141" s="128" t="e">
        <f t="shared" ref="X141:AG141" si="547">X25/X18</f>
        <v>#DIV/0!</v>
      </c>
      <c r="Y141" s="128" t="e">
        <f t="shared" si="547"/>
        <v>#DIV/0!</v>
      </c>
      <c r="Z141" s="128" t="e">
        <f t="shared" si="547"/>
        <v>#DIV/0!</v>
      </c>
      <c r="AA141" s="128" t="e">
        <f t="shared" si="547"/>
        <v>#DIV/0!</v>
      </c>
      <c r="AB141" s="128" t="e">
        <f t="shared" si="547"/>
        <v>#DIV/0!</v>
      </c>
      <c r="AC141" s="128" t="e">
        <f t="shared" si="547"/>
        <v>#DIV/0!</v>
      </c>
      <c r="AD141" s="128" t="e">
        <f t="shared" si="547"/>
        <v>#DIV/0!</v>
      </c>
      <c r="AE141" s="128" t="e">
        <f t="shared" si="547"/>
        <v>#DIV/0!</v>
      </c>
      <c r="AF141" s="128" t="e">
        <f t="shared" si="547"/>
        <v>#DIV/0!</v>
      </c>
      <c r="AG141" s="128" t="e">
        <f t="shared" si="547"/>
        <v>#DIV/0!</v>
      </c>
      <c r="AH141" s="115" t="e">
        <f t="shared" si="402"/>
        <v>#DIV/0!</v>
      </c>
      <c r="AI141" s="10"/>
      <c r="AJ141" s="10"/>
    </row>
    <row r="142" spans="1:36">
      <c r="B142" s="10"/>
      <c r="C142" s="10"/>
      <c r="D142" s="10"/>
      <c r="E142" s="10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1"/>
      <c r="V142" s="10"/>
      <c r="W142" s="10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28"/>
      <c r="AH142" s="109"/>
      <c r="AI142" s="10"/>
      <c r="AJ142" s="10"/>
    </row>
    <row r="143" spans="1:36">
      <c r="B143" s="10" t="s">
        <v>278</v>
      </c>
      <c r="C143" s="10"/>
      <c r="D143" s="10"/>
      <c r="E143" s="140"/>
      <c r="F143" s="140"/>
      <c r="G143" s="140">
        <f t="shared" ref="G143" si="548">G92*G61</f>
        <v>0</v>
      </c>
      <c r="H143" s="140">
        <f t="shared" ref="H143:I143" si="549">H92*H61</f>
        <v>0</v>
      </c>
      <c r="I143" s="140">
        <f t="shared" si="549"/>
        <v>0</v>
      </c>
      <c r="J143" s="140">
        <f t="shared" ref="J143:T143" si="550">J92*J61</f>
        <v>0</v>
      </c>
      <c r="K143" s="140">
        <f t="shared" si="550"/>
        <v>0</v>
      </c>
      <c r="L143" s="140">
        <f t="shared" si="550"/>
        <v>0</v>
      </c>
      <c r="M143" s="140">
        <f t="shared" si="550"/>
        <v>0</v>
      </c>
      <c r="N143" s="140">
        <f t="shared" si="550"/>
        <v>0</v>
      </c>
      <c r="O143" s="140">
        <f t="shared" si="550"/>
        <v>0</v>
      </c>
      <c r="P143" s="140">
        <f t="shared" si="550"/>
        <v>0</v>
      </c>
      <c r="Q143" s="140">
        <f t="shared" si="550"/>
        <v>0</v>
      </c>
      <c r="R143" s="140">
        <f t="shared" si="550"/>
        <v>0</v>
      </c>
      <c r="S143" s="140">
        <f t="shared" si="550"/>
        <v>0</v>
      </c>
      <c r="T143" s="140">
        <f t="shared" si="550"/>
        <v>0</v>
      </c>
      <c r="U143" s="140">
        <f t="shared" ref="U143" si="551">U92*U61</f>
        <v>0</v>
      </c>
      <c r="V143" s="101" t="e">
        <f t="shared" si="536"/>
        <v>#DIV/0!</v>
      </c>
      <c r="W143" s="10"/>
      <c r="X143" s="140">
        <f t="shared" ref="X143:AG143" si="552">X92*X61</f>
        <v>0</v>
      </c>
      <c r="Y143" s="140">
        <f t="shared" si="552"/>
        <v>0</v>
      </c>
      <c r="Z143" s="140">
        <f t="shared" si="552"/>
        <v>0</v>
      </c>
      <c r="AA143" s="140">
        <f t="shared" si="552"/>
        <v>0</v>
      </c>
      <c r="AB143" s="140">
        <f t="shared" si="552"/>
        <v>0</v>
      </c>
      <c r="AC143" s="140">
        <f t="shared" si="552"/>
        <v>0</v>
      </c>
      <c r="AD143" s="140">
        <f t="shared" si="552"/>
        <v>0</v>
      </c>
      <c r="AE143" s="140">
        <f t="shared" si="552"/>
        <v>0</v>
      </c>
      <c r="AF143" s="140">
        <f t="shared" si="552"/>
        <v>0</v>
      </c>
      <c r="AG143" s="140">
        <f t="shared" si="552"/>
        <v>0</v>
      </c>
      <c r="AH143" s="115" t="e">
        <f t="shared" si="402"/>
        <v>#DIV/0!</v>
      </c>
      <c r="AI143" s="10"/>
      <c r="AJ143" s="10"/>
    </row>
    <row r="144" spans="1:36">
      <c r="B144" s="10" t="s">
        <v>279</v>
      </c>
      <c r="C144" s="10"/>
      <c r="D144" s="10"/>
      <c r="E144" s="140"/>
      <c r="F144" s="140"/>
      <c r="G144" s="140">
        <f t="shared" ref="G144" si="553">(G143*0.17)+G143</f>
        <v>0</v>
      </c>
      <c r="H144" s="140">
        <f t="shared" ref="H144:I144" si="554">(H143*0.17)+H143</f>
        <v>0</v>
      </c>
      <c r="I144" s="140">
        <f t="shared" si="554"/>
        <v>0</v>
      </c>
      <c r="J144" s="140">
        <f t="shared" ref="J144:S144" si="555">(J143*0.17)+J143</f>
        <v>0</v>
      </c>
      <c r="K144" s="140">
        <f t="shared" si="555"/>
        <v>0</v>
      </c>
      <c r="L144" s="140">
        <f t="shared" si="555"/>
        <v>0</v>
      </c>
      <c r="M144" s="140">
        <f t="shared" si="555"/>
        <v>0</v>
      </c>
      <c r="N144" s="140">
        <f t="shared" si="555"/>
        <v>0</v>
      </c>
      <c r="O144" s="140">
        <f t="shared" si="555"/>
        <v>0</v>
      </c>
      <c r="P144" s="140">
        <f t="shared" si="555"/>
        <v>0</v>
      </c>
      <c r="Q144" s="140">
        <f t="shared" si="555"/>
        <v>0</v>
      </c>
      <c r="R144" s="140">
        <f t="shared" si="555"/>
        <v>0</v>
      </c>
      <c r="S144" s="140">
        <f t="shared" si="555"/>
        <v>0</v>
      </c>
      <c r="T144" s="140">
        <f t="shared" ref="T144:U144" si="556">(T143*0.17)+T143</f>
        <v>0</v>
      </c>
      <c r="U144" s="140">
        <f t="shared" si="556"/>
        <v>0</v>
      </c>
      <c r="V144" s="101" t="e">
        <f t="shared" si="536"/>
        <v>#DIV/0!</v>
      </c>
      <c r="W144" s="10"/>
      <c r="X144" s="140">
        <f t="shared" ref="X144:AG144" si="557">(X143*0.17)+X143</f>
        <v>0</v>
      </c>
      <c r="Y144" s="140">
        <f t="shared" si="557"/>
        <v>0</v>
      </c>
      <c r="Z144" s="140">
        <f t="shared" si="557"/>
        <v>0</v>
      </c>
      <c r="AA144" s="140">
        <f t="shared" si="557"/>
        <v>0</v>
      </c>
      <c r="AB144" s="140">
        <f t="shared" si="557"/>
        <v>0</v>
      </c>
      <c r="AC144" s="140">
        <f t="shared" si="557"/>
        <v>0</v>
      </c>
      <c r="AD144" s="140">
        <f t="shared" si="557"/>
        <v>0</v>
      </c>
      <c r="AE144" s="140">
        <f t="shared" si="557"/>
        <v>0</v>
      </c>
      <c r="AF144" s="140">
        <f t="shared" si="557"/>
        <v>0</v>
      </c>
      <c r="AG144" s="140">
        <f t="shared" si="557"/>
        <v>0</v>
      </c>
      <c r="AH144" s="115" t="e">
        <f t="shared" si="402"/>
        <v>#DIV/0!</v>
      </c>
      <c r="AI144" s="10"/>
      <c r="AJ144" s="10"/>
    </row>
    <row r="145" spans="2:36">
      <c r="B145" s="10" t="s">
        <v>280</v>
      </c>
      <c r="C145" s="10"/>
      <c r="D145" s="10"/>
      <c r="E145" s="10"/>
      <c r="F145" s="128"/>
      <c r="G145" s="128">
        <f t="shared" ref="G145" si="558">G144/G59</f>
        <v>0</v>
      </c>
      <c r="H145" s="128" t="e">
        <f t="shared" ref="H145:I145" si="559">H144/H59</f>
        <v>#DIV/0!</v>
      </c>
      <c r="I145" s="128" t="e">
        <f t="shared" si="559"/>
        <v>#DIV/0!</v>
      </c>
      <c r="J145" s="128" t="e">
        <f t="shared" ref="J145:T145" si="560">J144/J59</f>
        <v>#DIV/0!</v>
      </c>
      <c r="K145" s="128" t="e">
        <f t="shared" si="560"/>
        <v>#DIV/0!</v>
      </c>
      <c r="L145" s="128" t="e">
        <f t="shared" si="560"/>
        <v>#DIV/0!</v>
      </c>
      <c r="M145" s="128" t="e">
        <f t="shared" si="560"/>
        <v>#DIV/0!</v>
      </c>
      <c r="N145" s="128" t="e">
        <f t="shared" si="560"/>
        <v>#DIV/0!</v>
      </c>
      <c r="O145" s="128" t="e">
        <f t="shared" si="560"/>
        <v>#DIV/0!</v>
      </c>
      <c r="P145" s="128" t="e">
        <f t="shared" si="560"/>
        <v>#DIV/0!</v>
      </c>
      <c r="Q145" s="128" t="e">
        <f t="shared" si="560"/>
        <v>#DIV/0!</v>
      </c>
      <c r="R145" s="128" t="e">
        <f t="shared" si="560"/>
        <v>#DIV/0!</v>
      </c>
      <c r="S145" s="128">
        <f t="shared" si="560"/>
        <v>0</v>
      </c>
      <c r="T145" s="128">
        <f t="shared" si="560"/>
        <v>0</v>
      </c>
      <c r="U145" s="128">
        <f t="shared" ref="U145" si="561">U144/U59</f>
        <v>0</v>
      </c>
      <c r="V145" s="101" t="e">
        <f t="shared" si="536"/>
        <v>#DIV/0!</v>
      </c>
      <c r="W145" s="10"/>
      <c r="X145" s="128">
        <f t="shared" ref="X145:AG145" si="562">X144/X59</f>
        <v>0</v>
      </c>
      <c r="Y145" s="128">
        <f t="shared" si="562"/>
        <v>0</v>
      </c>
      <c r="Z145" s="128">
        <f t="shared" si="562"/>
        <v>0</v>
      </c>
      <c r="AA145" s="128">
        <f t="shared" si="562"/>
        <v>0</v>
      </c>
      <c r="AB145" s="128">
        <f t="shared" si="562"/>
        <v>0</v>
      </c>
      <c r="AC145" s="128">
        <f t="shared" si="562"/>
        <v>0</v>
      </c>
      <c r="AD145" s="128">
        <f t="shared" si="562"/>
        <v>0</v>
      </c>
      <c r="AE145" s="128">
        <f t="shared" si="562"/>
        <v>0</v>
      </c>
      <c r="AF145" s="128">
        <f t="shared" si="562"/>
        <v>0</v>
      </c>
      <c r="AG145" s="128">
        <f t="shared" si="562"/>
        <v>0</v>
      </c>
      <c r="AH145" s="115" t="e">
        <f t="shared" si="402"/>
        <v>#DIV/0!</v>
      </c>
      <c r="AI145" s="10"/>
      <c r="AJ145" s="10"/>
    </row>
    <row r="146" spans="2:36">
      <c r="B146" s="10" t="s">
        <v>273</v>
      </c>
      <c r="C146" s="10"/>
      <c r="D146" s="10"/>
      <c r="E146" s="10"/>
      <c r="F146" s="128"/>
      <c r="G146" s="128">
        <f t="shared" ref="G146" si="563">1-G145</f>
        <v>1</v>
      </c>
      <c r="H146" s="128" t="e">
        <f t="shared" ref="H146:I146" si="564">1-H145</f>
        <v>#DIV/0!</v>
      </c>
      <c r="I146" s="128" t="e">
        <f t="shared" si="564"/>
        <v>#DIV/0!</v>
      </c>
      <c r="J146" s="128" t="e">
        <f>1-J145</f>
        <v>#DIV/0!</v>
      </c>
      <c r="K146" s="128" t="e">
        <f t="shared" ref="K146:S146" si="565">1-K145</f>
        <v>#DIV/0!</v>
      </c>
      <c r="L146" s="128" t="e">
        <f t="shared" si="565"/>
        <v>#DIV/0!</v>
      </c>
      <c r="M146" s="128" t="e">
        <f t="shared" si="565"/>
        <v>#DIV/0!</v>
      </c>
      <c r="N146" s="128" t="e">
        <f t="shared" si="565"/>
        <v>#DIV/0!</v>
      </c>
      <c r="O146" s="128" t="e">
        <f t="shared" si="565"/>
        <v>#DIV/0!</v>
      </c>
      <c r="P146" s="128" t="e">
        <f t="shared" si="565"/>
        <v>#DIV/0!</v>
      </c>
      <c r="Q146" s="128" t="e">
        <f t="shared" si="565"/>
        <v>#DIV/0!</v>
      </c>
      <c r="R146" s="128" t="e">
        <f t="shared" si="565"/>
        <v>#DIV/0!</v>
      </c>
      <c r="S146" s="128">
        <f t="shared" si="565"/>
        <v>1</v>
      </c>
      <c r="T146" s="128">
        <f t="shared" ref="T146:U146" si="566">1-T145</f>
        <v>1</v>
      </c>
      <c r="U146" s="128">
        <f t="shared" si="566"/>
        <v>1</v>
      </c>
      <c r="V146" s="101">
        <f t="shared" si="536"/>
        <v>0</v>
      </c>
      <c r="W146" s="10"/>
      <c r="X146" s="128">
        <f t="shared" ref="X146:AG146" si="567">1-X145</f>
        <v>1</v>
      </c>
      <c r="Y146" s="128">
        <f t="shared" si="567"/>
        <v>1</v>
      </c>
      <c r="Z146" s="128">
        <f t="shared" si="567"/>
        <v>1</v>
      </c>
      <c r="AA146" s="128">
        <f t="shared" si="567"/>
        <v>1</v>
      </c>
      <c r="AB146" s="128">
        <f t="shared" si="567"/>
        <v>1</v>
      </c>
      <c r="AC146" s="128">
        <f t="shared" si="567"/>
        <v>1</v>
      </c>
      <c r="AD146" s="128">
        <f t="shared" si="567"/>
        <v>1</v>
      </c>
      <c r="AE146" s="128">
        <f t="shared" si="567"/>
        <v>1</v>
      </c>
      <c r="AF146" s="128">
        <f t="shared" si="567"/>
        <v>1</v>
      </c>
      <c r="AG146" s="128">
        <f t="shared" si="567"/>
        <v>1</v>
      </c>
      <c r="AH146" s="115" t="e">
        <f t="shared" si="402"/>
        <v>#DIV/0!</v>
      </c>
      <c r="AI146" s="10"/>
      <c r="AJ146" s="10"/>
    </row>
    <row r="147" spans="2:36">
      <c r="B147" s="10" t="s">
        <v>392</v>
      </c>
      <c r="C147" s="10"/>
      <c r="D147" s="10"/>
      <c r="E147" s="10"/>
      <c r="F147" s="128"/>
      <c r="G147" s="128" t="e">
        <f t="shared" ref="G147" si="568">G144/G20</f>
        <v>#DIV/0!</v>
      </c>
      <c r="H147" s="128" t="e">
        <f t="shared" ref="H147:I147" si="569">H144/H20</f>
        <v>#DIV/0!</v>
      </c>
      <c r="I147" s="128" t="e">
        <f t="shared" si="569"/>
        <v>#DIV/0!</v>
      </c>
      <c r="J147" s="128" t="e">
        <f t="shared" ref="J147:T147" si="570">J144/J20</f>
        <v>#DIV/0!</v>
      </c>
      <c r="K147" s="128" t="e">
        <f t="shared" si="570"/>
        <v>#DIV/0!</v>
      </c>
      <c r="L147" s="128" t="e">
        <f t="shared" si="570"/>
        <v>#DIV/0!</v>
      </c>
      <c r="M147" s="128" t="e">
        <f t="shared" si="570"/>
        <v>#DIV/0!</v>
      </c>
      <c r="N147" s="128" t="e">
        <f t="shared" si="570"/>
        <v>#DIV/0!</v>
      </c>
      <c r="O147" s="128" t="e">
        <f t="shared" si="570"/>
        <v>#DIV/0!</v>
      </c>
      <c r="P147" s="128" t="e">
        <f t="shared" si="570"/>
        <v>#DIV/0!</v>
      </c>
      <c r="Q147" s="128" t="e">
        <f t="shared" si="570"/>
        <v>#DIV/0!</v>
      </c>
      <c r="R147" s="128" t="e">
        <f t="shared" si="570"/>
        <v>#DIV/0!</v>
      </c>
      <c r="S147" s="128" t="e">
        <f t="shared" si="570"/>
        <v>#DIV/0!</v>
      </c>
      <c r="T147" s="128" t="e">
        <f t="shared" si="570"/>
        <v>#DIV/0!</v>
      </c>
      <c r="U147" s="128" t="e">
        <f t="shared" ref="U147" si="571">U144/U20</f>
        <v>#DIV/0!</v>
      </c>
      <c r="V147" s="101" t="e">
        <f t="shared" si="536"/>
        <v>#DIV/0!</v>
      </c>
      <c r="W147" s="10"/>
      <c r="X147" s="128" t="e">
        <f t="shared" ref="X147:AG147" si="572">X144/X20</f>
        <v>#DIV/0!</v>
      </c>
      <c r="Y147" s="128" t="e">
        <f t="shared" si="572"/>
        <v>#DIV/0!</v>
      </c>
      <c r="Z147" s="128" t="e">
        <f t="shared" si="572"/>
        <v>#DIV/0!</v>
      </c>
      <c r="AA147" s="128" t="e">
        <f t="shared" si="572"/>
        <v>#DIV/0!</v>
      </c>
      <c r="AB147" s="128" t="e">
        <f t="shared" si="572"/>
        <v>#DIV/0!</v>
      </c>
      <c r="AC147" s="128" t="e">
        <f t="shared" si="572"/>
        <v>#DIV/0!</v>
      </c>
      <c r="AD147" s="128" t="e">
        <f t="shared" si="572"/>
        <v>#DIV/0!</v>
      </c>
      <c r="AE147" s="128" t="e">
        <f t="shared" si="572"/>
        <v>#DIV/0!</v>
      </c>
      <c r="AF147" s="128" t="e">
        <f t="shared" si="572"/>
        <v>#DIV/0!</v>
      </c>
      <c r="AG147" s="128" t="e">
        <f t="shared" si="572"/>
        <v>#DIV/0!</v>
      </c>
      <c r="AH147" s="115" t="s">
        <v>393</v>
      </c>
      <c r="AI147" s="10"/>
      <c r="AJ147" s="10"/>
    </row>
    <row r="148" spans="2:36">
      <c r="B148" s="10"/>
      <c r="C148" s="10"/>
      <c r="D148" s="10"/>
      <c r="E148" s="10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1"/>
      <c r="V148" s="10"/>
      <c r="W148" s="10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28"/>
      <c r="AH148" s="109"/>
      <c r="AI148" s="10"/>
      <c r="AJ148" s="10"/>
    </row>
    <row r="149" spans="2:36">
      <c r="B149" s="10" t="s">
        <v>277</v>
      </c>
      <c r="C149" s="128"/>
      <c r="D149" s="128"/>
      <c r="E149" s="128"/>
      <c r="F149" s="128"/>
      <c r="G149" s="128">
        <f t="shared" ref="G149" si="573">G31/G25</f>
        <v>0</v>
      </c>
      <c r="H149" s="128" t="e">
        <f t="shared" ref="H149:I149" si="574">H31/H25</f>
        <v>#DIV/0!</v>
      </c>
      <c r="I149" s="128" t="e">
        <f t="shared" si="574"/>
        <v>#DIV/0!</v>
      </c>
      <c r="J149" s="128" t="e">
        <f t="shared" ref="J149:T149" si="575">J31/J25</f>
        <v>#DIV/0!</v>
      </c>
      <c r="K149" s="128" t="e">
        <f t="shared" si="575"/>
        <v>#DIV/0!</v>
      </c>
      <c r="L149" s="128" t="e">
        <f t="shared" si="575"/>
        <v>#DIV/0!</v>
      </c>
      <c r="M149" s="128" t="e">
        <f t="shared" si="575"/>
        <v>#DIV/0!</v>
      </c>
      <c r="N149" s="128" t="e">
        <f t="shared" si="575"/>
        <v>#DIV/0!</v>
      </c>
      <c r="O149" s="128" t="e">
        <f t="shared" si="575"/>
        <v>#DIV/0!</v>
      </c>
      <c r="P149" s="128" t="e">
        <f t="shared" si="575"/>
        <v>#DIV/0!</v>
      </c>
      <c r="Q149" s="128" t="e">
        <f t="shared" si="575"/>
        <v>#DIV/0!</v>
      </c>
      <c r="R149" s="128" t="e">
        <f t="shared" si="575"/>
        <v>#DIV/0!</v>
      </c>
      <c r="S149" s="128">
        <f t="shared" si="575"/>
        <v>0</v>
      </c>
      <c r="T149" s="128">
        <f t="shared" si="575"/>
        <v>0</v>
      </c>
      <c r="U149" s="128">
        <f t="shared" ref="U149" si="576">U31/U25</f>
        <v>0</v>
      </c>
      <c r="V149" s="101" t="e">
        <f t="shared" si="536"/>
        <v>#DIV/0!</v>
      </c>
      <c r="W149" s="10"/>
      <c r="X149" s="128">
        <f t="shared" ref="X149:AG149" si="577">X31/X25</f>
        <v>0</v>
      </c>
      <c r="Y149" s="128">
        <f t="shared" si="577"/>
        <v>0</v>
      </c>
      <c r="Z149" s="128">
        <f t="shared" si="577"/>
        <v>0</v>
      </c>
      <c r="AA149" s="128">
        <f t="shared" si="577"/>
        <v>0</v>
      </c>
      <c r="AB149" s="128">
        <f t="shared" si="577"/>
        <v>0</v>
      </c>
      <c r="AC149" s="128">
        <f t="shared" si="577"/>
        <v>0</v>
      </c>
      <c r="AD149" s="128">
        <f t="shared" si="577"/>
        <v>0</v>
      </c>
      <c r="AE149" s="128">
        <f t="shared" si="577"/>
        <v>0</v>
      </c>
      <c r="AF149" s="128">
        <f t="shared" si="577"/>
        <v>0</v>
      </c>
      <c r="AG149" s="128">
        <f t="shared" si="577"/>
        <v>0</v>
      </c>
      <c r="AH149" s="115" t="e">
        <f t="shared" si="402"/>
        <v>#DIV/0!</v>
      </c>
      <c r="AI149" s="10"/>
      <c r="AJ149" s="10"/>
    </row>
    <row r="150" spans="2:36">
      <c r="B150" s="10" t="s">
        <v>274</v>
      </c>
      <c r="C150" s="128"/>
      <c r="D150" s="128"/>
      <c r="E150" s="128"/>
      <c r="F150" s="128"/>
      <c r="G150" s="128">
        <f t="shared" ref="G150" si="578">G32/G25</f>
        <v>0</v>
      </c>
      <c r="H150" s="128" t="e">
        <f t="shared" ref="H150:I150" si="579">H32/H25</f>
        <v>#DIV/0!</v>
      </c>
      <c r="I150" s="128" t="e">
        <f t="shared" si="579"/>
        <v>#DIV/0!</v>
      </c>
      <c r="J150" s="128" t="e">
        <f t="shared" ref="J150:T150" si="580">J32/J25</f>
        <v>#DIV/0!</v>
      </c>
      <c r="K150" s="128" t="e">
        <f t="shared" si="580"/>
        <v>#DIV/0!</v>
      </c>
      <c r="L150" s="128" t="e">
        <f t="shared" si="580"/>
        <v>#DIV/0!</v>
      </c>
      <c r="M150" s="128" t="e">
        <f t="shared" si="580"/>
        <v>#DIV/0!</v>
      </c>
      <c r="N150" s="128" t="e">
        <f t="shared" si="580"/>
        <v>#DIV/0!</v>
      </c>
      <c r="O150" s="128" t="e">
        <f t="shared" si="580"/>
        <v>#DIV/0!</v>
      </c>
      <c r="P150" s="128" t="e">
        <f t="shared" si="580"/>
        <v>#DIV/0!</v>
      </c>
      <c r="Q150" s="128" t="e">
        <f t="shared" si="580"/>
        <v>#DIV/0!</v>
      </c>
      <c r="R150" s="128" t="e">
        <f t="shared" si="580"/>
        <v>#DIV/0!</v>
      </c>
      <c r="S150" s="128">
        <f t="shared" si="580"/>
        <v>0</v>
      </c>
      <c r="T150" s="128">
        <f t="shared" si="580"/>
        <v>0</v>
      </c>
      <c r="U150" s="128">
        <f t="shared" ref="U150" si="581">U32/U25</f>
        <v>0</v>
      </c>
      <c r="V150" s="101" t="e">
        <f t="shared" si="536"/>
        <v>#DIV/0!</v>
      </c>
      <c r="W150" s="10"/>
      <c r="X150" s="128">
        <f t="shared" ref="X150:AG150" si="582">X32/X25</f>
        <v>0</v>
      </c>
      <c r="Y150" s="128">
        <f t="shared" si="582"/>
        <v>0</v>
      </c>
      <c r="Z150" s="128">
        <f t="shared" si="582"/>
        <v>0</v>
      </c>
      <c r="AA150" s="128">
        <f t="shared" si="582"/>
        <v>0</v>
      </c>
      <c r="AB150" s="128">
        <f t="shared" si="582"/>
        <v>0</v>
      </c>
      <c r="AC150" s="128">
        <f t="shared" si="582"/>
        <v>0</v>
      </c>
      <c r="AD150" s="128">
        <f t="shared" si="582"/>
        <v>0</v>
      </c>
      <c r="AE150" s="128">
        <f t="shared" si="582"/>
        <v>0</v>
      </c>
      <c r="AF150" s="128">
        <f t="shared" si="582"/>
        <v>0</v>
      </c>
      <c r="AG150" s="128">
        <f t="shared" si="582"/>
        <v>0</v>
      </c>
      <c r="AH150" s="115" t="e">
        <f t="shared" si="402"/>
        <v>#DIV/0!</v>
      </c>
      <c r="AI150" s="10"/>
      <c r="AJ150" s="10"/>
    </row>
    <row r="151" spans="2:36">
      <c r="B151" s="10" t="s">
        <v>400</v>
      </c>
      <c r="C151" s="128"/>
      <c r="D151" s="128"/>
      <c r="E151" s="128"/>
      <c r="F151" s="128"/>
      <c r="G151" s="128">
        <f t="shared" ref="G151" si="583">(G31+G32)/G25</f>
        <v>0</v>
      </c>
      <c r="H151" s="128" t="e">
        <f t="shared" ref="H151:I151" si="584">(H31+H32)/H25</f>
        <v>#DIV/0!</v>
      </c>
      <c r="I151" s="128" t="e">
        <f t="shared" si="584"/>
        <v>#DIV/0!</v>
      </c>
      <c r="J151" s="128" t="e">
        <f t="shared" ref="J151:T151" si="585">(J31+J32)/J25</f>
        <v>#DIV/0!</v>
      </c>
      <c r="K151" s="128" t="e">
        <f t="shared" si="585"/>
        <v>#DIV/0!</v>
      </c>
      <c r="L151" s="128" t="e">
        <f t="shared" si="585"/>
        <v>#DIV/0!</v>
      </c>
      <c r="M151" s="128" t="e">
        <f t="shared" si="585"/>
        <v>#DIV/0!</v>
      </c>
      <c r="N151" s="128" t="e">
        <f t="shared" si="585"/>
        <v>#DIV/0!</v>
      </c>
      <c r="O151" s="128" t="e">
        <f t="shared" si="585"/>
        <v>#DIV/0!</v>
      </c>
      <c r="P151" s="128" t="e">
        <f t="shared" si="585"/>
        <v>#DIV/0!</v>
      </c>
      <c r="Q151" s="128" t="e">
        <f t="shared" si="585"/>
        <v>#DIV/0!</v>
      </c>
      <c r="R151" s="128" t="e">
        <f t="shared" si="585"/>
        <v>#DIV/0!</v>
      </c>
      <c r="S151" s="128">
        <f t="shared" si="585"/>
        <v>0</v>
      </c>
      <c r="T151" s="128">
        <f t="shared" si="585"/>
        <v>0</v>
      </c>
      <c r="U151" s="128">
        <f t="shared" ref="U151" si="586">(U31+U32)/U25</f>
        <v>0</v>
      </c>
      <c r="V151" s="101" t="e">
        <f t="shared" si="536"/>
        <v>#DIV/0!</v>
      </c>
      <c r="W151" s="10"/>
      <c r="X151" s="128">
        <f t="shared" ref="X151:AG151" si="587">(X31+X32)/X25</f>
        <v>0</v>
      </c>
      <c r="Y151" s="128">
        <f t="shared" si="587"/>
        <v>0</v>
      </c>
      <c r="Z151" s="128">
        <f t="shared" si="587"/>
        <v>0</v>
      </c>
      <c r="AA151" s="128">
        <f t="shared" si="587"/>
        <v>0</v>
      </c>
      <c r="AB151" s="128">
        <f t="shared" si="587"/>
        <v>0</v>
      </c>
      <c r="AC151" s="128">
        <f t="shared" si="587"/>
        <v>0</v>
      </c>
      <c r="AD151" s="128">
        <f t="shared" si="587"/>
        <v>0</v>
      </c>
      <c r="AE151" s="128">
        <f t="shared" si="587"/>
        <v>0</v>
      </c>
      <c r="AF151" s="128">
        <f t="shared" si="587"/>
        <v>0</v>
      </c>
      <c r="AG151" s="128">
        <f t="shared" si="587"/>
        <v>0</v>
      </c>
      <c r="AH151" s="115" t="e">
        <f t="shared" si="402"/>
        <v>#DIV/0!</v>
      </c>
      <c r="AI151" s="10"/>
      <c r="AJ151" s="10"/>
    </row>
    <row r="152" spans="2:36">
      <c r="B152" s="10"/>
      <c r="C152" s="10"/>
      <c r="D152" s="10"/>
      <c r="E152" s="10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1"/>
      <c r="V152" s="10"/>
      <c r="W152" s="10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28"/>
      <c r="AH152" s="109"/>
      <c r="AI152" s="10"/>
      <c r="AJ152" s="10"/>
    </row>
    <row r="153" spans="2:36">
      <c r="B153" s="10" t="s">
        <v>296</v>
      </c>
      <c r="C153" s="10"/>
      <c r="D153" s="10"/>
      <c r="E153" s="10"/>
      <c r="F153" s="128"/>
      <c r="G153" s="128">
        <f t="shared" ref="G153" si="588">G27/G25</f>
        <v>0.88474827245804544</v>
      </c>
      <c r="H153" s="128" t="e">
        <f t="shared" ref="H153:I153" si="589">H27/H25</f>
        <v>#DIV/0!</v>
      </c>
      <c r="I153" s="128" t="e">
        <f t="shared" si="589"/>
        <v>#DIV/0!</v>
      </c>
      <c r="J153" s="128" t="e">
        <f t="shared" ref="J153:T153" si="590">J27/J25</f>
        <v>#DIV/0!</v>
      </c>
      <c r="K153" s="128" t="e">
        <f t="shared" si="590"/>
        <v>#DIV/0!</v>
      </c>
      <c r="L153" s="128" t="e">
        <f t="shared" si="590"/>
        <v>#DIV/0!</v>
      </c>
      <c r="M153" s="128" t="e">
        <f t="shared" si="590"/>
        <v>#DIV/0!</v>
      </c>
      <c r="N153" s="128" t="e">
        <f t="shared" si="590"/>
        <v>#DIV/0!</v>
      </c>
      <c r="O153" s="128" t="e">
        <f t="shared" si="590"/>
        <v>#DIV/0!</v>
      </c>
      <c r="P153" s="128" t="e">
        <f t="shared" si="590"/>
        <v>#DIV/0!</v>
      </c>
      <c r="Q153" s="128" t="e">
        <f t="shared" si="590"/>
        <v>#DIV/0!</v>
      </c>
      <c r="R153" s="128" t="e">
        <f t="shared" si="590"/>
        <v>#DIV/0!</v>
      </c>
      <c r="S153" s="128">
        <f t="shared" si="590"/>
        <v>0.88518518518518519</v>
      </c>
      <c r="T153" s="128">
        <f t="shared" si="590"/>
        <v>0.88840262582056895</v>
      </c>
      <c r="U153" s="128">
        <f t="shared" ref="U153" si="591">U27/U25</f>
        <v>0.90653748287336078</v>
      </c>
      <c r="V153" s="101">
        <f t="shared" si="536"/>
        <v>1.7393116865125346E-3</v>
      </c>
      <c r="W153" s="10"/>
      <c r="X153" s="128">
        <f t="shared" ref="X153:AG153" si="592">X27/X25</f>
        <v>0.90653748287336078</v>
      </c>
      <c r="Y153" s="128">
        <f t="shared" si="592"/>
        <v>0.90653748287336067</v>
      </c>
      <c r="Z153" s="128">
        <f t="shared" si="592"/>
        <v>0.90653748287336067</v>
      </c>
      <c r="AA153" s="128">
        <f t="shared" si="592"/>
        <v>0.90653748287336067</v>
      </c>
      <c r="AB153" s="128">
        <f t="shared" si="592"/>
        <v>0.90653748287336067</v>
      </c>
      <c r="AC153" s="128">
        <f t="shared" si="592"/>
        <v>0.90653748287336078</v>
      </c>
      <c r="AD153" s="128">
        <f t="shared" si="592"/>
        <v>0.90653748287336078</v>
      </c>
      <c r="AE153" s="128">
        <f t="shared" si="592"/>
        <v>0.90653748287336078</v>
      </c>
      <c r="AF153" s="128">
        <f t="shared" si="592"/>
        <v>0.90653748287336067</v>
      </c>
      <c r="AG153" s="128">
        <f t="shared" si="592"/>
        <v>0.90653748287336067</v>
      </c>
      <c r="AH153" s="115" t="e">
        <f t="shared" si="402"/>
        <v>#DIV/0!</v>
      </c>
      <c r="AI153" s="10"/>
      <c r="AJ153" s="10"/>
    </row>
    <row r="154" spans="2:36">
      <c r="B154" s="10" t="str">
        <f>B33</f>
        <v>Top Expenses ( Employee )</v>
      </c>
      <c r="C154" s="10"/>
      <c r="D154" s="10"/>
      <c r="E154" s="10"/>
      <c r="F154" s="128"/>
      <c r="G154" s="128">
        <f t="shared" ref="G154" si="593">G33/G25</f>
        <v>0.11994076999012833</v>
      </c>
      <c r="H154" s="128" t="e">
        <f t="shared" ref="H154:I154" si="594">H33/H25</f>
        <v>#DIV/0!</v>
      </c>
      <c r="I154" s="128" t="e">
        <f t="shared" si="594"/>
        <v>#DIV/0!</v>
      </c>
      <c r="J154" s="128" t="e">
        <f t="shared" ref="J154:T154" si="595">J33/J25</f>
        <v>#DIV/0!</v>
      </c>
      <c r="K154" s="128" t="e">
        <f t="shared" si="595"/>
        <v>#DIV/0!</v>
      </c>
      <c r="L154" s="128" t="e">
        <f t="shared" si="595"/>
        <v>#DIV/0!</v>
      </c>
      <c r="M154" s="128" t="e">
        <f t="shared" si="595"/>
        <v>#DIV/0!</v>
      </c>
      <c r="N154" s="128" t="e">
        <f t="shared" si="595"/>
        <v>#DIV/0!</v>
      </c>
      <c r="O154" s="128" t="e">
        <f t="shared" si="595"/>
        <v>#DIV/0!</v>
      </c>
      <c r="P154" s="128" t="e">
        <f t="shared" si="595"/>
        <v>#DIV/0!</v>
      </c>
      <c r="Q154" s="128" t="e">
        <f t="shared" si="595"/>
        <v>#DIV/0!</v>
      </c>
      <c r="R154" s="128" t="e">
        <f t="shared" si="595"/>
        <v>#DIV/0!</v>
      </c>
      <c r="S154" s="128">
        <f t="shared" si="595"/>
        <v>0.12</v>
      </c>
      <c r="T154" s="128">
        <f t="shared" si="595"/>
        <v>6.397832656038345E-2</v>
      </c>
      <c r="U154" s="128">
        <f t="shared" ref="U154" si="596">U33/U25</f>
        <v>7.6923076923076927E-2</v>
      </c>
      <c r="V154" s="101">
        <f t="shared" si="536"/>
        <v>-3.1229956326731867E-2</v>
      </c>
      <c r="W154" s="10"/>
      <c r="X154" s="128">
        <f t="shared" ref="X154:AG154" si="597">X33/X25</f>
        <v>7.6923076923076927E-2</v>
      </c>
      <c r="Y154" s="128">
        <f t="shared" si="597"/>
        <v>7.6923076923076927E-2</v>
      </c>
      <c r="Z154" s="128">
        <f t="shared" si="597"/>
        <v>7.6923076923076927E-2</v>
      </c>
      <c r="AA154" s="128">
        <f t="shared" si="597"/>
        <v>7.6923076923076927E-2</v>
      </c>
      <c r="AB154" s="128">
        <f t="shared" si="597"/>
        <v>7.6923076923076927E-2</v>
      </c>
      <c r="AC154" s="128">
        <f t="shared" si="597"/>
        <v>7.6923076923076927E-2</v>
      </c>
      <c r="AD154" s="128">
        <f t="shared" si="597"/>
        <v>7.6923076923076927E-2</v>
      </c>
      <c r="AE154" s="128">
        <f t="shared" si="597"/>
        <v>7.6923076923076927E-2</v>
      </c>
      <c r="AF154" s="128">
        <f t="shared" si="597"/>
        <v>7.6923076923076927E-2</v>
      </c>
      <c r="AG154" s="128">
        <f t="shared" si="597"/>
        <v>7.6923076923076927E-2</v>
      </c>
      <c r="AH154" s="115" t="e">
        <f t="shared" si="402"/>
        <v>#DIV/0!</v>
      </c>
      <c r="AI154" s="10"/>
      <c r="AJ154" s="10"/>
    </row>
    <row r="155" spans="2:36">
      <c r="B155" s="10" t="str">
        <f>B34</f>
        <v>2nd highest Expenses Comp. ( SG&amp;A Misc expense )</v>
      </c>
      <c r="C155" s="10"/>
      <c r="D155" s="10"/>
      <c r="E155" s="10"/>
      <c r="F155" s="128"/>
      <c r="G155" s="128">
        <f t="shared" ref="G155" si="598">G34/G25</f>
        <v>6.3178677196446195E-2</v>
      </c>
      <c r="H155" s="128" t="e">
        <f t="shared" ref="H155:I155" si="599">H34/H25</f>
        <v>#DIV/0!</v>
      </c>
      <c r="I155" s="128" t="e">
        <f t="shared" si="599"/>
        <v>#DIV/0!</v>
      </c>
      <c r="J155" s="128" t="e">
        <f t="shared" ref="J155:T155" si="600">J34/J25</f>
        <v>#DIV/0!</v>
      </c>
      <c r="K155" s="128" t="e">
        <f t="shared" si="600"/>
        <v>#DIV/0!</v>
      </c>
      <c r="L155" s="128" t="e">
        <f t="shared" si="600"/>
        <v>#DIV/0!</v>
      </c>
      <c r="M155" s="128" t="e">
        <f t="shared" si="600"/>
        <v>#DIV/0!</v>
      </c>
      <c r="N155" s="128" t="e">
        <f t="shared" si="600"/>
        <v>#DIV/0!</v>
      </c>
      <c r="O155" s="128" t="e">
        <f t="shared" si="600"/>
        <v>#DIV/0!</v>
      </c>
      <c r="P155" s="128" t="e">
        <f t="shared" si="600"/>
        <v>#DIV/0!</v>
      </c>
      <c r="Q155" s="128" t="e">
        <f t="shared" si="600"/>
        <v>#DIV/0!</v>
      </c>
      <c r="R155" s="128" t="e">
        <f t="shared" si="600"/>
        <v>#DIV/0!</v>
      </c>
      <c r="S155" s="128">
        <f t="shared" si="600"/>
        <v>6.3209876543209878E-2</v>
      </c>
      <c r="T155" s="128">
        <f t="shared" si="600"/>
        <v>0.13212462227779515</v>
      </c>
      <c r="U155" s="128">
        <f t="shared" ref="U155" si="601">U34/U25</f>
        <v>0.11567821491485614</v>
      </c>
      <c r="V155" s="101">
        <f t="shared" si="536"/>
        <v>4.415009447732432E-2</v>
      </c>
      <c r="W155" s="10"/>
      <c r="X155" s="128">
        <f t="shared" ref="X155:AG155" si="602">X34/X25</f>
        <v>0.11567821491485614</v>
      </c>
      <c r="Y155" s="128">
        <f t="shared" si="602"/>
        <v>0.11567821491485615</v>
      </c>
      <c r="Z155" s="128">
        <f t="shared" si="602"/>
        <v>0.11567821491485615</v>
      </c>
      <c r="AA155" s="128">
        <f t="shared" si="602"/>
        <v>0.11567821491485615</v>
      </c>
      <c r="AB155" s="128">
        <f t="shared" si="602"/>
        <v>0.11567821491485614</v>
      </c>
      <c r="AC155" s="128">
        <f t="shared" si="602"/>
        <v>0.11567821491485615</v>
      </c>
      <c r="AD155" s="128">
        <f t="shared" si="602"/>
        <v>0.11567821491485615</v>
      </c>
      <c r="AE155" s="128">
        <f t="shared" si="602"/>
        <v>0.11567821491485615</v>
      </c>
      <c r="AF155" s="128">
        <f t="shared" si="602"/>
        <v>0.11567821491485615</v>
      </c>
      <c r="AG155" s="128">
        <f t="shared" si="602"/>
        <v>0.11567821491485615</v>
      </c>
      <c r="AH155" s="115" t="e">
        <f t="shared" si="402"/>
        <v>#DIV/0!</v>
      </c>
      <c r="AI155" s="10"/>
      <c r="AJ155" s="10"/>
    </row>
    <row r="156" spans="2:36"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21"/>
      <c r="V156" s="10"/>
      <c r="W156" s="10"/>
      <c r="X156" s="102"/>
      <c r="Y156" s="102"/>
      <c r="Z156" s="102"/>
      <c r="AA156" s="102"/>
      <c r="AB156" s="102"/>
      <c r="AC156" s="102"/>
      <c r="AD156" s="102"/>
      <c r="AE156" s="102"/>
      <c r="AF156" s="102"/>
      <c r="AG156" s="102"/>
      <c r="AH156" s="116"/>
      <c r="AI156" s="10"/>
      <c r="AJ156" s="10"/>
    </row>
    <row r="157" spans="2:36">
      <c r="B157" s="93" t="s">
        <v>304</v>
      </c>
      <c r="C157" s="10"/>
      <c r="D157" s="10"/>
      <c r="E157" s="10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21"/>
      <c r="V157" s="10"/>
      <c r="W157" s="10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15"/>
      <c r="AI157" s="10"/>
      <c r="AJ157" s="10"/>
    </row>
    <row r="158" spans="2:36">
      <c r="B158" s="10" t="s">
        <v>307</v>
      </c>
      <c r="C158" s="10"/>
      <c r="D158" s="10"/>
      <c r="E158" s="10"/>
      <c r="F158" s="15"/>
      <c r="G158" s="15">
        <f t="shared" ref="G158" si="603">G15/G9</f>
        <v>0</v>
      </c>
      <c r="H158" s="15" t="e">
        <f t="shared" ref="H158:I158" si="604">H15/H9</f>
        <v>#DIV/0!</v>
      </c>
      <c r="I158" s="15" t="e">
        <f t="shared" si="604"/>
        <v>#DIV/0!</v>
      </c>
      <c r="J158" s="15" t="e">
        <f t="shared" ref="J158:T158" si="605">J15/J9</f>
        <v>#DIV/0!</v>
      </c>
      <c r="K158" s="15" t="e">
        <f t="shared" si="605"/>
        <v>#DIV/0!</v>
      </c>
      <c r="L158" s="15" t="e">
        <f t="shared" si="605"/>
        <v>#DIV/0!</v>
      </c>
      <c r="M158" s="15" t="e">
        <f t="shared" si="605"/>
        <v>#DIV/0!</v>
      </c>
      <c r="N158" s="15" t="e">
        <f t="shared" si="605"/>
        <v>#DIV/0!</v>
      </c>
      <c r="O158" s="15" t="e">
        <f t="shared" si="605"/>
        <v>#DIV/0!</v>
      </c>
      <c r="P158" s="15" t="e">
        <f t="shared" si="605"/>
        <v>#DIV/0!</v>
      </c>
      <c r="Q158" s="15" t="e">
        <f t="shared" si="605"/>
        <v>#DIV/0!</v>
      </c>
      <c r="R158" s="15" t="e">
        <f t="shared" si="605"/>
        <v>#DIV/0!</v>
      </c>
      <c r="S158" s="15">
        <f t="shared" si="605"/>
        <v>0</v>
      </c>
      <c r="T158" s="15">
        <f t="shared" si="605"/>
        <v>0</v>
      </c>
      <c r="U158" s="15" t="e">
        <f t="shared" ref="U158" si="606">U15/U9</f>
        <v>#DIV/0!</v>
      </c>
      <c r="V158" s="101" t="e">
        <f t="shared" si="536"/>
        <v>#DIV/0!</v>
      </c>
      <c r="W158" s="10"/>
      <c r="X158" s="10" t="e">
        <f t="shared" ref="X158:AG158" si="607">X15/X9</f>
        <v>#DIV/0!</v>
      </c>
      <c r="Y158" s="10" t="e">
        <f t="shared" si="607"/>
        <v>#DIV/0!</v>
      </c>
      <c r="Z158" s="10" t="e">
        <f t="shared" si="607"/>
        <v>#DIV/0!</v>
      </c>
      <c r="AA158" s="10" t="e">
        <f t="shared" si="607"/>
        <v>#DIV/0!</v>
      </c>
      <c r="AB158" s="10" t="e">
        <f t="shared" si="607"/>
        <v>#DIV/0!</v>
      </c>
      <c r="AC158" s="10" t="e">
        <f t="shared" si="607"/>
        <v>#DIV/0!</v>
      </c>
      <c r="AD158" s="10" t="e">
        <f t="shared" si="607"/>
        <v>#DIV/0!</v>
      </c>
      <c r="AE158" s="10" t="e">
        <f t="shared" si="607"/>
        <v>#DIV/0!</v>
      </c>
      <c r="AF158" s="10" t="e">
        <f t="shared" si="607"/>
        <v>#DIV/0!</v>
      </c>
      <c r="AG158" s="10" t="e">
        <f t="shared" si="607"/>
        <v>#DIV/0!</v>
      </c>
      <c r="AH158" s="115" t="e">
        <f t="shared" si="402"/>
        <v>#DIV/0!</v>
      </c>
      <c r="AI158" s="10"/>
      <c r="AJ158" s="10"/>
    </row>
    <row r="159" spans="2:36">
      <c r="B159" s="10" t="s">
        <v>297</v>
      </c>
      <c r="C159" s="10"/>
      <c r="D159" s="10"/>
      <c r="E159" s="10"/>
      <c r="F159" s="15"/>
      <c r="G159" s="15">
        <f t="shared" ref="G159" si="608">G12/G9</f>
        <v>0.45190322611334688</v>
      </c>
      <c r="H159" s="15" t="e">
        <f t="shared" ref="H159:I159" si="609">H12/H9</f>
        <v>#DIV/0!</v>
      </c>
      <c r="I159" s="15" t="e">
        <f t="shared" si="609"/>
        <v>#DIV/0!</v>
      </c>
      <c r="J159" s="15" t="e">
        <f t="shared" ref="J159:T159" si="610">J12/J9</f>
        <v>#DIV/0!</v>
      </c>
      <c r="K159" s="15" t="e">
        <f t="shared" si="610"/>
        <v>#DIV/0!</v>
      </c>
      <c r="L159" s="15" t="e">
        <f t="shared" si="610"/>
        <v>#DIV/0!</v>
      </c>
      <c r="M159" s="15" t="e">
        <f t="shared" si="610"/>
        <v>#DIV/0!</v>
      </c>
      <c r="N159" s="15" t="e">
        <f t="shared" si="610"/>
        <v>#DIV/0!</v>
      </c>
      <c r="O159" s="15" t="e">
        <f t="shared" si="610"/>
        <v>#DIV/0!</v>
      </c>
      <c r="P159" s="15" t="e">
        <f t="shared" si="610"/>
        <v>#DIV/0!</v>
      </c>
      <c r="Q159" s="15" t="e">
        <f t="shared" si="610"/>
        <v>#DIV/0!</v>
      </c>
      <c r="R159" s="15" t="e">
        <f t="shared" si="610"/>
        <v>#DIV/0!</v>
      </c>
      <c r="S159" s="15">
        <f t="shared" si="610"/>
        <v>0.45190322611334688</v>
      </c>
      <c r="T159" s="15">
        <f t="shared" si="610"/>
        <v>0.43303380402225072</v>
      </c>
      <c r="U159" s="15" t="e">
        <f t="shared" ref="U159" si="611">U12/U9</f>
        <v>#DIV/0!</v>
      </c>
      <c r="V159" s="101" t="e">
        <f t="shared" si="536"/>
        <v>#DIV/0!</v>
      </c>
      <c r="W159" s="109"/>
      <c r="X159" s="10" t="e">
        <f t="shared" ref="X159:AG159" si="612">X12/X9</f>
        <v>#DIV/0!</v>
      </c>
      <c r="Y159" s="10" t="e">
        <f t="shared" si="612"/>
        <v>#DIV/0!</v>
      </c>
      <c r="Z159" s="10" t="e">
        <f t="shared" si="612"/>
        <v>#DIV/0!</v>
      </c>
      <c r="AA159" s="10" t="e">
        <f t="shared" si="612"/>
        <v>#DIV/0!</v>
      </c>
      <c r="AB159" s="10" t="e">
        <f t="shared" si="612"/>
        <v>#DIV/0!</v>
      </c>
      <c r="AC159" s="10" t="e">
        <f t="shared" si="612"/>
        <v>#DIV/0!</v>
      </c>
      <c r="AD159" s="10" t="e">
        <f t="shared" si="612"/>
        <v>#DIV/0!</v>
      </c>
      <c r="AE159" s="10" t="e">
        <f t="shared" si="612"/>
        <v>#DIV/0!</v>
      </c>
      <c r="AF159" s="10" t="e">
        <f t="shared" si="612"/>
        <v>#DIV/0!</v>
      </c>
      <c r="AG159" s="10" t="e">
        <f t="shared" si="612"/>
        <v>#DIV/0!</v>
      </c>
      <c r="AH159" s="101" t="e">
        <f t="shared" ref="AH159" si="613">((AG159/X159)^(1/($K$2-$K$1) ))-1</f>
        <v>#DIV/0!</v>
      </c>
      <c r="AI159" s="10"/>
      <c r="AJ159" s="10"/>
    </row>
    <row r="160" spans="2:36">
      <c r="B160" s="10" t="s">
        <v>299</v>
      </c>
      <c r="C160" s="10"/>
      <c r="D160" s="10"/>
      <c r="E160" s="10"/>
      <c r="F160" s="15"/>
      <c r="G160" s="15">
        <f t="shared" ref="G160" si="614">G25/360</f>
        <v>11.255555555555556</v>
      </c>
      <c r="H160" s="15">
        <f t="shared" ref="H160:I160" si="615">H25/360</f>
        <v>0</v>
      </c>
      <c r="I160" s="15">
        <f t="shared" si="615"/>
        <v>0</v>
      </c>
      <c r="J160" s="15">
        <f t="shared" ref="J160:T160" si="616">J25/360</f>
        <v>0</v>
      </c>
      <c r="K160" s="15">
        <f t="shared" si="616"/>
        <v>0</v>
      </c>
      <c r="L160" s="15">
        <f t="shared" si="616"/>
        <v>0</v>
      </c>
      <c r="M160" s="15">
        <f t="shared" si="616"/>
        <v>0</v>
      </c>
      <c r="N160" s="15">
        <f t="shared" si="616"/>
        <v>0</v>
      </c>
      <c r="O160" s="15">
        <f t="shared" si="616"/>
        <v>0</v>
      </c>
      <c r="P160" s="15">
        <f t="shared" si="616"/>
        <v>0</v>
      </c>
      <c r="Q160" s="15">
        <f t="shared" si="616"/>
        <v>0</v>
      </c>
      <c r="R160" s="15">
        <f t="shared" si="616"/>
        <v>0</v>
      </c>
      <c r="S160" s="15">
        <f t="shared" si="616"/>
        <v>11.25</v>
      </c>
      <c r="T160" s="15">
        <f t="shared" si="616"/>
        <v>26.658333333333335</v>
      </c>
      <c r="U160" s="15">
        <f t="shared" ref="U160" si="617">U25/360</f>
        <v>28.383333333333333</v>
      </c>
      <c r="V160" s="101">
        <f t="shared" si="536"/>
        <v>6.8298465078826753E-2</v>
      </c>
      <c r="W160" s="109"/>
      <c r="X160" s="15">
        <f t="shared" ref="X160:AG160" si="618">X25/360</f>
        <v>32.640833333333333</v>
      </c>
      <c r="Y160" s="15">
        <f t="shared" si="618"/>
        <v>37.536958333333331</v>
      </c>
      <c r="Z160" s="15">
        <f t="shared" si="618"/>
        <v>43.167502083333325</v>
      </c>
      <c r="AA160" s="15">
        <f t="shared" si="618"/>
        <v>49.642627395833316</v>
      </c>
      <c r="AB160" s="15">
        <f t="shared" si="618"/>
        <v>57.089021505208315</v>
      </c>
      <c r="AC160" s="15">
        <f t="shared" si="618"/>
        <v>65.65237473098955</v>
      </c>
      <c r="AD160" s="15">
        <f t="shared" si="618"/>
        <v>75.500230940637977</v>
      </c>
      <c r="AE160" s="15">
        <f t="shared" si="618"/>
        <v>86.825265581733674</v>
      </c>
      <c r="AF160" s="15">
        <f t="shared" si="618"/>
        <v>99.849055418993728</v>
      </c>
      <c r="AG160" s="15">
        <f t="shared" si="618"/>
        <v>114.82641373184278</v>
      </c>
      <c r="AH160" s="101">
        <f t="shared" ref="AH160:AH171" si="619">((AG160/X160)^(1/($K$2-$K$1) ))-1</f>
        <v>9.4006847318931053E-2</v>
      </c>
      <c r="AI160" s="10"/>
      <c r="AJ160" s="10"/>
    </row>
    <row r="161" spans="2:36">
      <c r="B161" s="10" t="s">
        <v>298</v>
      </c>
      <c r="C161" s="10"/>
      <c r="D161" s="10"/>
      <c r="E161" s="10"/>
      <c r="F161" s="15"/>
      <c r="G161" s="15">
        <f t="shared" ref="G161" si="620">G27/360</f>
        <v>9.9583333333333339</v>
      </c>
      <c r="H161" s="15">
        <f t="shared" ref="H161:I161" si="621">H27/360</f>
        <v>0</v>
      </c>
      <c r="I161" s="15">
        <f t="shared" si="621"/>
        <v>0</v>
      </c>
      <c r="J161" s="15">
        <f t="shared" ref="J161:T161" si="622">J27/360</f>
        <v>0</v>
      </c>
      <c r="K161" s="15">
        <f t="shared" si="622"/>
        <v>0</v>
      </c>
      <c r="L161" s="15">
        <f t="shared" si="622"/>
        <v>0</v>
      </c>
      <c r="M161" s="15">
        <f t="shared" si="622"/>
        <v>0</v>
      </c>
      <c r="N161" s="15">
        <f t="shared" si="622"/>
        <v>0</v>
      </c>
      <c r="O161" s="15">
        <f t="shared" si="622"/>
        <v>0</v>
      </c>
      <c r="P161" s="15">
        <f t="shared" si="622"/>
        <v>0</v>
      </c>
      <c r="Q161" s="15">
        <f t="shared" si="622"/>
        <v>0</v>
      </c>
      <c r="R161" s="15">
        <f t="shared" si="622"/>
        <v>0</v>
      </c>
      <c r="S161" s="15">
        <f t="shared" si="622"/>
        <v>9.9583333333333339</v>
      </c>
      <c r="T161" s="15">
        <f t="shared" si="622"/>
        <v>23.683333333333334</v>
      </c>
      <c r="U161" s="15">
        <f t="shared" ref="U161" si="623">U27/360</f>
        <v>25.730555555555554</v>
      </c>
      <c r="V161" s="101">
        <f t="shared" si="536"/>
        <v>7.0156569083821729E-2</v>
      </c>
      <c r="W161" s="109"/>
      <c r="X161" s="15">
        <f t="shared" ref="X161:AG161" si="624">X27/360</f>
        <v>29.590138888888887</v>
      </c>
      <c r="Y161" s="15">
        <f t="shared" si="624"/>
        <v>34.028659722222216</v>
      </c>
      <c r="Z161" s="15">
        <f t="shared" si="624"/>
        <v>39.132958680555546</v>
      </c>
      <c r="AA161" s="15">
        <f t="shared" si="624"/>
        <v>45.002902482638873</v>
      </c>
      <c r="AB161" s="15">
        <f t="shared" si="624"/>
        <v>51.753337855034708</v>
      </c>
      <c r="AC161" s="15">
        <f t="shared" si="624"/>
        <v>59.516338533289904</v>
      </c>
      <c r="AD161" s="15">
        <f t="shared" si="624"/>
        <v>68.443789313283389</v>
      </c>
      <c r="AE161" s="15">
        <f t="shared" si="624"/>
        <v>78.710357710275886</v>
      </c>
      <c r="AF161" s="15">
        <f t="shared" si="624"/>
        <v>90.516911366817268</v>
      </c>
      <c r="AG161" s="15">
        <f t="shared" si="624"/>
        <v>104.09444807183985</v>
      </c>
      <c r="AH161" s="101">
        <f t="shared" si="619"/>
        <v>9.4006847318931053E-2</v>
      </c>
      <c r="AI161" s="10"/>
      <c r="AJ161" s="10"/>
    </row>
    <row r="162" spans="2:36">
      <c r="B162" s="10"/>
      <c r="C162" s="10"/>
      <c r="D162" s="10"/>
      <c r="E162" s="10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21"/>
      <c r="V162" s="10"/>
      <c r="W162" s="10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09"/>
      <c r="AI162" s="10"/>
      <c r="AJ162" s="10"/>
    </row>
    <row r="163" spans="2:36">
      <c r="B163" s="10" t="s">
        <v>308</v>
      </c>
      <c r="C163" s="10"/>
      <c r="D163" s="10"/>
      <c r="E163" s="10"/>
      <c r="F163" s="15"/>
      <c r="G163" s="15">
        <f t="shared" ref="G163" si="625">G10/G7</f>
        <v>4.1174981936614943</v>
      </c>
      <c r="H163" s="15" t="e">
        <f t="shared" ref="H163:I163" si="626">H10/H7</f>
        <v>#DIV/0!</v>
      </c>
      <c r="I163" s="15" t="e">
        <f t="shared" si="626"/>
        <v>#DIV/0!</v>
      </c>
      <c r="J163" s="15" t="e">
        <f t="shared" ref="J163:T163" si="627">J10/J7</f>
        <v>#DIV/0!</v>
      </c>
      <c r="K163" s="15" t="e">
        <f t="shared" si="627"/>
        <v>#DIV/0!</v>
      </c>
      <c r="L163" s="15" t="e">
        <f t="shared" si="627"/>
        <v>#DIV/0!</v>
      </c>
      <c r="M163" s="15" t="e">
        <f t="shared" si="627"/>
        <v>#DIV/0!</v>
      </c>
      <c r="N163" s="15" t="e">
        <f t="shared" si="627"/>
        <v>#DIV/0!</v>
      </c>
      <c r="O163" s="15" t="e">
        <f t="shared" si="627"/>
        <v>#DIV/0!</v>
      </c>
      <c r="P163" s="15" t="e">
        <f t="shared" si="627"/>
        <v>#DIV/0!</v>
      </c>
      <c r="Q163" s="15" t="e">
        <f t="shared" si="627"/>
        <v>#DIV/0!</v>
      </c>
      <c r="R163" s="15" t="e">
        <f t="shared" si="627"/>
        <v>#DIV/0!</v>
      </c>
      <c r="S163" s="15">
        <f t="shared" si="627"/>
        <v>4.1174981936614943</v>
      </c>
      <c r="T163" s="15">
        <f t="shared" si="627"/>
        <v>6.1636462733342414</v>
      </c>
      <c r="U163" s="15">
        <f t="shared" ref="U163" si="628">U10/U7</f>
        <v>6.895770590546026</v>
      </c>
      <c r="V163" s="101">
        <f t="shared" si="536"/>
        <v>3.7519779213490256E-2</v>
      </c>
      <c r="W163" s="109"/>
      <c r="X163" s="15">
        <f t="shared" ref="X163:AG163" si="629">X10/X7</f>
        <v>6.895770590546026</v>
      </c>
      <c r="Y163" s="15">
        <f t="shared" si="629"/>
        <v>6.895770590546026</v>
      </c>
      <c r="Z163" s="15">
        <f t="shared" si="629"/>
        <v>6.895770590546026</v>
      </c>
      <c r="AA163" s="15">
        <f t="shared" si="629"/>
        <v>6.8957705905460269</v>
      </c>
      <c r="AB163" s="15">
        <f t="shared" si="629"/>
        <v>6.895770590546026</v>
      </c>
      <c r="AC163" s="15">
        <f t="shared" si="629"/>
        <v>6.8957705905460269</v>
      </c>
      <c r="AD163" s="15">
        <f t="shared" si="629"/>
        <v>6.8957705905460269</v>
      </c>
      <c r="AE163" s="15">
        <f t="shared" si="629"/>
        <v>6.895770590546026</v>
      </c>
      <c r="AF163" s="15">
        <f t="shared" si="629"/>
        <v>6.8957705905460269</v>
      </c>
      <c r="AG163" s="15">
        <f t="shared" si="629"/>
        <v>6.895770590546026</v>
      </c>
      <c r="AH163" s="101">
        <f t="shared" si="619"/>
        <v>0</v>
      </c>
      <c r="AI163" s="10"/>
      <c r="AJ163" s="10"/>
    </row>
    <row r="164" spans="2:36">
      <c r="B164" s="10" t="s">
        <v>300</v>
      </c>
      <c r="C164" s="10"/>
      <c r="D164" s="10"/>
      <c r="E164" s="10"/>
      <c r="F164" s="15"/>
      <c r="G164" s="15">
        <f t="shared" ref="G164" si="630">G10/(G10+G7)</f>
        <v>0.80459201700577154</v>
      </c>
      <c r="H164" s="15" t="e">
        <f t="shared" ref="H164:I164" si="631">H10/(H10+H7)</f>
        <v>#DIV/0!</v>
      </c>
      <c r="I164" s="15" t="e">
        <f t="shared" si="631"/>
        <v>#DIV/0!</v>
      </c>
      <c r="J164" s="15" t="e">
        <f t="shared" ref="J164:T164" si="632">J10/(J10+J7)</f>
        <v>#DIV/0!</v>
      </c>
      <c r="K164" s="15" t="e">
        <f t="shared" si="632"/>
        <v>#DIV/0!</v>
      </c>
      <c r="L164" s="15" t="e">
        <f t="shared" si="632"/>
        <v>#DIV/0!</v>
      </c>
      <c r="M164" s="15" t="e">
        <f t="shared" si="632"/>
        <v>#DIV/0!</v>
      </c>
      <c r="N164" s="15" t="e">
        <f t="shared" si="632"/>
        <v>#DIV/0!</v>
      </c>
      <c r="O164" s="15" t="e">
        <f t="shared" si="632"/>
        <v>#DIV/0!</v>
      </c>
      <c r="P164" s="15" t="e">
        <f t="shared" si="632"/>
        <v>#DIV/0!</v>
      </c>
      <c r="Q164" s="15" t="e">
        <f t="shared" si="632"/>
        <v>#DIV/0!</v>
      </c>
      <c r="R164" s="15" t="e">
        <f t="shared" si="632"/>
        <v>#DIV/0!</v>
      </c>
      <c r="S164" s="15">
        <f t="shared" si="632"/>
        <v>0.80459201700577154</v>
      </c>
      <c r="T164" s="15">
        <f t="shared" si="632"/>
        <v>0.86040628447521583</v>
      </c>
      <c r="U164" s="15">
        <f t="shared" ref="U164" si="633">U10/(U10+U7)</f>
        <v>0.87334991708126042</v>
      </c>
      <c r="V164" s="101">
        <f t="shared" si="536"/>
        <v>5.8743983704949709E-3</v>
      </c>
      <c r="W164" s="109"/>
      <c r="X164" s="15">
        <f t="shared" ref="X164:AG164" si="634">X10/(X10+X7)</f>
        <v>0.87334991708126031</v>
      </c>
      <c r="Y164" s="15">
        <f t="shared" si="634"/>
        <v>0.87334991708126042</v>
      </c>
      <c r="Z164" s="15">
        <f t="shared" si="634"/>
        <v>0.87334991708126042</v>
      </c>
      <c r="AA164" s="15">
        <f t="shared" si="634"/>
        <v>0.87334991708126042</v>
      </c>
      <c r="AB164" s="15">
        <f t="shared" si="634"/>
        <v>0.87334991708126031</v>
      </c>
      <c r="AC164" s="15">
        <f t="shared" si="634"/>
        <v>0.87334991708126042</v>
      </c>
      <c r="AD164" s="15">
        <f t="shared" si="634"/>
        <v>0.87334991708126042</v>
      </c>
      <c r="AE164" s="15">
        <f t="shared" si="634"/>
        <v>0.87334991708126031</v>
      </c>
      <c r="AF164" s="15">
        <f t="shared" si="634"/>
        <v>0.87334991708126042</v>
      </c>
      <c r="AG164" s="15">
        <f t="shared" si="634"/>
        <v>0.87334991708126042</v>
      </c>
      <c r="AH164" s="101">
        <f t="shared" si="619"/>
        <v>0</v>
      </c>
      <c r="AI164" s="10"/>
      <c r="AJ164" s="10"/>
    </row>
    <row r="165" spans="2:36">
      <c r="B165" s="10"/>
      <c r="C165" s="10"/>
      <c r="D165" s="10"/>
      <c r="E165" s="10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21"/>
      <c r="V165" s="10"/>
      <c r="W165" s="10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14"/>
      <c r="AI165" s="10"/>
      <c r="AJ165" s="10"/>
    </row>
    <row r="166" spans="2:36">
      <c r="B166" s="10" t="s">
        <v>305</v>
      </c>
      <c r="C166" s="10"/>
      <c r="D166" s="10"/>
      <c r="E166" s="10"/>
      <c r="F166" s="15"/>
      <c r="G166" s="15">
        <f t="shared" ref="G166" si="635">G16</f>
        <v>0</v>
      </c>
      <c r="H166" s="15">
        <f t="shared" ref="H166:I166" si="636">H16</f>
        <v>0</v>
      </c>
      <c r="I166" s="15">
        <f t="shared" si="636"/>
        <v>0</v>
      </c>
      <c r="J166" s="15">
        <f t="shared" ref="J166:T166" si="637">J16</f>
        <v>0</v>
      </c>
      <c r="K166" s="15">
        <f t="shared" si="637"/>
        <v>0</v>
      </c>
      <c r="L166" s="15">
        <f t="shared" si="637"/>
        <v>0</v>
      </c>
      <c r="M166" s="15">
        <f t="shared" si="637"/>
        <v>0</v>
      </c>
      <c r="N166" s="15">
        <f t="shared" si="637"/>
        <v>0</v>
      </c>
      <c r="O166" s="15">
        <f t="shared" si="637"/>
        <v>0</v>
      </c>
      <c r="P166" s="15">
        <f t="shared" si="637"/>
        <v>0</v>
      </c>
      <c r="Q166" s="15">
        <f t="shared" si="637"/>
        <v>0</v>
      </c>
      <c r="R166" s="15">
        <f t="shared" si="637"/>
        <v>0</v>
      </c>
      <c r="S166" s="15">
        <f t="shared" si="637"/>
        <v>0</v>
      </c>
      <c r="T166" s="15">
        <f t="shared" si="637"/>
        <v>0</v>
      </c>
      <c r="U166" s="15">
        <f t="shared" ref="U166" si="638">U16</f>
        <v>0</v>
      </c>
      <c r="V166" s="101" t="e">
        <f t="shared" si="536"/>
        <v>#DIV/0!</v>
      </c>
      <c r="W166" s="109"/>
      <c r="X166" s="15">
        <f t="shared" ref="X166:AG166" si="639">X16</f>
        <v>0</v>
      </c>
      <c r="Y166" s="15">
        <f t="shared" si="639"/>
        <v>0</v>
      </c>
      <c r="Z166" s="15">
        <f t="shared" si="639"/>
        <v>0</v>
      </c>
      <c r="AA166" s="15">
        <f t="shared" si="639"/>
        <v>0</v>
      </c>
      <c r="AB166" s="15">
        <f t="shared" si="639"/>
        <v>0</v>
      </c>
      <c r="AC166" s="15">
        <f t="shared" si="639"/>
        <v>0</v>
      </c>
      <c r="AD166" s="15">
        <f t="shared" si="639"/>
        <v>0</v>
      </c>
      <c r="AE166" s="15">
        <f t="shared" si="639"/>
        <v>0</v>
      </c>
      <c r="AF166" s="15">
        <f t="shared" si="639"/>
        <v>0</v>
      </c>
      <c r="AG166" s="15">
        <f t="shared" si="639"/>
        <v>0</v>
      </c>
      <c r="AH166" s="101" t="e">
        <f t="shared" si="619"/>
        <v>#DIV/0!</v>
      </c>
      <c r="AI166" s="10"/>
      <c r="AJ166" s="10"/>
    </row>
    <row r="167" spans="2:36">
      <c r="B167" s="10" t="s">
        <v>306</v>
      </c>
      <c r="C167" s="10"/>
      <c r="D167" s="10"/>
      <c r="E167" s="10"/>
      <c r="F167" s="102"/>
      <c r="G167" s="102">
        <f t="shared" ref="G167" si="640">G166*365/G25</f>
        <v>0</v>
      </c>
      <c r="H167" s="102" t="e">
        <f t="shared" ref="H167:I167" si="641">H166*365/H25</f>
        <v>#DIV/0!</v>
      </c>
      <c r="I167" s="102" t="e">
        <f t="shared" si="641"/>
        <v>#DIV/0!</v>
      </c>
      <c r="J167" s="102" t="e">
        <f t="shared" ref="J167:T167" si="642">J166*365/J25</f>
        <v>#DIV/0!</v>
      </c>
      <c r="K167" s="102" t="e">
        <f t="shared" si="642"/>
        <v>#DIV/0!</v>
      </c>
      <c r="L167" s="102" t="e">
        <f t="shared" si="642"/>
        <v>#DIV/0!</v>
      </c>
      <c r="M167" s="102" t="e">
        <f t="shared" si="642"/>
        <v>#DIV/0!</v>
      </c>
      <c r="N167" s="102" t="e">
        <f t="shared" si="642"/>
        <v>#DIV/0!</v>
      </c>
      <c r="O167" s="102" t="e">
        <f t="shared" si="642"/>
        <v>#DIV/0!</v>
      </c>
      <c r="P167" s="102" t="e">
        <f t="shared" si="642"/>
        <v>#DIV/0!</v>
      </c>
      <c r="Q167" s="102" t="e">
        <f t="shared" si="642"/>
        <v>#DIV/0!</v>
      </c>
      <c r="R167" s="102" t="e">
        <f t="shared" si="642"/>
        <v>#DIV/0!</v>
      </c>
      <c r="S167" s="102">
        <f t="shared" si="642"/>
        <v>0</v>
      </c>
      <c r="T167" s="102">
        <f t="shared" si="642"/>
        <v>0</v>
      </c>
      <c r="U167" s="102">
        <f t="shared" ref="U167" si="643">U166*365/U25</f>
        <v>0</v>
      </c>
      <c r="V167" s="101" t="e">
        <f t="shared" si="536"/>
        <v>#DIV/0!</v>
      </c>
      <c r="W167" s="109"/>
      <c r="X167" s="102">
        <f t="shared" ref="X167:AG167" si="644">X166*365/X25</f>
        <v>0</v>
      </c>
      <c r="Y167" s="102">
        <f t="shared" si="644"/>
        <v>0</v>
      </c>
      <c r="Z167" s="102">
        <f t="shared" si="644"/>
        <v>0</v>
      </c>
      <c r="AA167" s="102">
        <f t="shared" si="644"/>
        <v>0</v>
      </c>
      <c r="AB167" s="102">
        <f t="shared" si="644"/>
        <v>0</v>
      </c>
      <c r="AC167" s="102">
        <f t="shared" si="644"/>
        <v>0</v>
      </c>
      <c r="AD167" s="102">
        <f t="shared" si="644"/>
        <v>0</v>
      </c>
      <c r="AE167" s="102">
        <f t="shared" si="644"/>
        <v>0</v>
      </c>
      <c r="AF167" s="102">
        <f t="shared" si="644"/>
        <v>0</v>
      </c>
      <c r="AG167" s="102">
        <f t="shared" si="644"/>
        <v>0</v>
      </c>
      <c r="AH167" s="101" t="e">
        <f t="shared" si="619"/>
        <v>#DIV/0!</v>
      </c>
      <c r="AI167" s="10"/>
      <c r="AJ167" s="10"/>
    </row>
    <row r="168" spans="2:36">
      <c r="B168" s="10" t="s">
        <v>309</v>
      </c>
      <c r="C168" s="10"/>
      <c r="D168" s="10"/>
      <c r="E168" s="10"/>
      <c r="F168" s="111"/>
      <c r="G168" s="111">
        <f t="shared" ref="G168" si="645">G102/G29</f>
        <v>0</v>
      </c>
      <c r="H168" s="111" t="e">
        <f t="shared" ref="H168:I168" si="646">H102/H29</f>
        <v>#DIV/0!</v>
      </c>
      <c r="I168" s="111" t="e">
        <f t="shared" si="646"/>
        <v>#DIV/0!</v>
      </c>
      <c r="J168" s="111" t="e">
        <f t="shared" ref="J168:T168" si="647">J102/J29</f>
        <v>#DIV/0!</v>
      </c>
      <c r="K168" s="111" t="e">
        <f t="shared" si="647"/>
        <v>#DIV/0!</v>
      </c>
      <c r="L168" s="111" t="e">
        <f t="shared" si="647"/>
        <v>#DIV/0!</v>
      </c>
      <c r="M168" s="111" t="e">
        <f t="shared" si="647"/>
        <v>#DIV/0!</v>
      </c>
      <c r="N168" s="111" t="e">
        <f t="shared" si="647"/>
        <v>#DIV/0!</v>
      </c>
      <c r="O168" s="111" t="e">
        <f t="shared" si="647"/>
        <v>#DIV/0!</v>
      </c>
      <c r="P168" s="111" t="e">
        <f t="shared" si="647"/>
        <v>#DIV/0!</v>
      </c>
      <c r="Q168" s="111" t="e">
        <f t="shared" si="647"/>
        <v>#DIV/0!</v>
      </c>
      <c r="R168" s="111" t="e">
        <f t="shared" si="647"/>
        <v>#DIV/0!</v>
      </c>
      <c r="S168" s="111">
        <f t="shared" si="647"/>
        <v>0</v>
      </c>
      <c r="T168" s="111">
        <f t="shared" si="647"/>
        <v>0</v>
      </c>
      <c r="U168" s="111">
        <f t="shared" ref="U168" si="648">U102/U29</f>
        <v>0</v>
      </c>
      <c r="V168" s="101" t="e">
        <f t="shared" si="536"/>
        <v>#DIV/0!</v>
      </c>
      <c r="W168" s="109"/>
      <c r="X168" s="111">
        <f t="shared" ref="X168:AG168" si="649">X102/X29</f>
        <v>0</v>
      </c>
      <c r="Y168" s="111">
        <f t="shared" si="649"/>
        <v>0</v>
      </c>
      <c r="Z168" s="111">
        <f t="shared" si="649"/>
        <v>0</v>
      </c>
      <c r="AA168" s="111">
        <f t="shared" si="649"/>
        <v>0</v>
      </c>
      <c r="AB168" s="111">
        <f t="shared" si="649"/>
        <v>0</v>
      </c>
      <c r="AC168" s="111">
        <f t="shared" si="649"/>
        <v>0</v>
      </c>
      <c r="AD168" s="111">
        <f t="shared" si="649"/>
        <v>0</v>
      </c>
      <c r="AE168" s="111">
        <f t="shared" si="649"/>
        <v>0</v>
      </c>
      <c r="AF168" s="111">
        <f t="shared" si="649"/>
        <v>0</v>
      </c>
      <c r="AG168" s="111">
        <f t="shared" si="649"/>
        <v>0</v>
      </c>
      <c r="AH168" s="101" t="e">
        <f t="shared" si="619"/>
        <v>#DIV/0!</v>
      </c>
      <c r="AI168" s="10"/>
      <c r="AJ168" s="10"/>
    </row>
    <row r="169" spans="2:36"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21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14"/>
      <c r="AI169" s="10"/>
      <c r="AJ169" s="10"/>
    </row>
    <row r="170" spans="2:36">
      <c r="B170" s="10" t="s">
        <v>316</v>
      </c>
      <c r="C170" s="10"/>
      <c r="D170" s="10"/>
      <c r="E170" s="10"/>
      <c r="F170" s="155"/>
      <c r="G170" s="155" t="e">
        <f t="shared" ref="G170" si="650">G25/G14</f>
        <v>#DIV/0!</v>
      </c>
      <c r="H170" s="155" t="e">
        <f t="shared" ref="H170:I170" si="651">H25/H14</f>
        <v>#DIV/0!</v>
      </c>
      <c r="I170" s="155" t="e">
        <f t="shared" si="651"/>
        <v>#DIV/0!</v>
      </c>
      <c r="J170" s="155" t="e">
        <f t="shared" ref="J170:T170" si="652">J25/J14</f>
        <v>#DIV/0!</v>
      </c>
      <c r="K170" s="155" t="e">
        <f t="shared" si="652"/>
        <v>#DIV/0!</v>
      </c>
      <c r="L170" s="155" t="e">
        <f t="shared" si="652"/>
        <v>#DIV/0!</v>
      </c>
      <c r="M170" s="155" t="e">
        <f t="shared" si="652"/>
        <v>#DIV/0!</v>
      </c>
      <c r="N170" s="155" t="e">
        <f t="shared" si="652"/>
        <v>#DIV/0!</v>
      </c>
      <c r="O170" s="155" t="e">
        <f t="shared" si="652"/>
        <v>#DIV/0!</v>
      </c>
      <c r="P170" s="155" t="e">
        <f t="shared" si="652"/>
        <v>#DIV/0!</v>
      </c>
      <c r="Q170" s="155" t="e">
        <f t="shared" si="652"/>
        <v>#DIV/0!</v>
      </c>
      <c r="R170" s="155" t="e">
        <f t="shared" si="652"/>
        <v>#DIV/0!</v>
      </c>
      <c r="S170" s="155" t="e">
        <f t="shared" si="652"/>
        <v>#DIV/0!</v>
      </c>
      <c r="T170" s="155" t="e">
        <f t="shared" si="652"/>
        <v>#DIV/0!</v>
      </c>
      <c r="U170" s="155" t="e">
        <f t="shared" ref="U170" si="653">U25/U14</f>
        <v>#DIV/0!</v>
      </c>
      <c r="V170" s="101" t="e">
        <f t="shared" si="536"/>
        <v>#DIV/0!</v>
      </c>
      <c r="W170" s="109"/>
      <c r="X170" s="10" t="e">
        <f t="shared" ref="X170:AG170" si="654">X25/X14</f>
        <v>#DIV/0!</v>
      </c>
      <c r="Y170" s="10" t="e">
        <f t="shared" si="654"/>
        <v>#DIV/0!</v>
      </c>
      <c r="Z170" s="10" t="e">
        <f t="shared" si="654"/>
        <v>#DIV/0!</v>
      </c>
      <c r="AA170" s="10" t="e">
        <f t="shared" si="654"/>
        <v>#DIV/0!</v>
      </c>
      <c r="AB170" s="10" t="e">
        <f t="shared" si="654"/>
        <v>#DIV/0!</v>
      </c>
      <c r="AC170" s="10" t="e">
        <f t="shared" si="654"/>
        <v>#DIV/0!</v>
      </c>
      <c r="AD170" s="10" t="e">
        <f t="shared" si="654"/>
        <v>#DIV/0!</v>
      </c>
      <c r="AE170" s="10" t="e">
        <f t="shared" si="654"/>
        <v>#DIV/0!</v>
      </c>
      <c r="AF170" s="10" t="e">
        <f t="shared" si="654"/>
        <v>#DIV/0!</v>
      </c>
      <c r="AG170" s="10" t="e">
        <f t="shared" si="654"/>
        <v>#DIV/0!</v>
      </c>
      <c r="AH170" s="101" t="e">
        <f t="shared" si="619"/>
        <v>#DIV/0!</v>
      </c>
      <c r="AI170" s="10"/>
      <c r="AJ170" s="10"/>
    </row>
    <row r="171" spans="2:36">
      <c r="B171" s="10" t="s">
        <v>317</v>
      </c>
      <c r="C171" s="10"/>
      <c r="D171" s="10"/>
      <c r="E171" s="10"/>
      <c r="F171" s="155"/>
      <c r="G171" s="155" t="e">
        <f t="shared" ref="G171" si="655">G27/G14</f>
        <v>#DIV/0!</v>
      </c>
      <c r="H171" s="155" t="e">
        <f t="shared" ref="H171:I171" si="656">H27/H14</f>
        <v>#DIV/0!</v>
      </c>
      <c r="I171" s="155" t="e">
        <f t="shared" si="656"/>
        <v>#DIV/0!</v>
      </c>
      <c r="J171" s="155" t="e">
        <f t="shared" ref="J171:T171" si="657">J27/J14</f>
        <v>#DIV/0!</v>
      </c>
      <c r="K171" s="155" t="e">
        <f t="shared" si="657"/>
        <v>#DIV/0!</v>
      </c>
      <c r="L171" s="155" t="e">
        <f t="shared" si="657"/>
        <v>#DIV/0!</v>
      </c>
      <c r="M171" s="155" t="e">
        <f t="shared" si="657"/>
        <v>#DIV/0!</v>
      </c>
      <c r="N171" s="155" t="e">
        <f t="shared" si="657"/>
        <v>#DIV/0!</v>
      </c>
      <c r="O171" s="155" t="e">
        <f t="shared" si="657"/>
        <v>#DIV/0!</v>
      </c>
      <c r="P171" s="155" t="e">
        <f t="shared" si="657"/>
        <v>#DIV/0!</v>
      </c>
      <c r="Q171" s="155" t="e">
        <f t="shared" si="657"/>
        <v>#DIV/0!</v>
      </c>
      <c r="R171" s="155" t="e">
        <f t="shared" si="657"/>
        <v>#DIV/0!</v>
      </c>
      <c r="S171" s="155" t="e">
        <f t="shared" si="657"/>
        <v>#DIV/0!</v>
      </c>
      <c r="T171" s="155" t="e">
        <f t="shared" si="657"/>
        <v>#DIV/0!</v>
      </c>
      <c r="U171" s="155" t="e">
        <f t="shared" ref="U171" si="658">U27/U14</f>
        <v>#DIV/0!</v>
      </c>
      <c r="V171" s="101" t="e">
        <f t="shared" si="536"/>
        <v>#DIV/0!</v>
      </c>
      <c r="W171" s="109"/>
      <c r="X171" s="10" t="e">
        <f t="shared" ref="X171:AG171" si="659">X27/X14</f>
        <v>#DIV/0!</v>
      </c>
      <c r="Y171" s="10" t="e">
        <f t="shared" si="659"/>
        <v>#DIV/0!</v>
      </c>
      <c r="Z171" s="10" t="e">
        <f t="shared" si="659"/>
        <v>#DIV/0!</v>
      </c>
      <c r="AA171" s="10" t="e">
        <f t="shared" si="659"/>
        <v>#DIV/0!</v>
      </c>
      <c r="AB171" s="10" t="e">
        <f t="shared" si="659"/>
        <v>#DIV/0!</v>
      </c>
      <c r="AC171" s="10" t="e">
        <f t="shared" si="659"/>
        <v>#DIV/0!</v>
      </c>
      <c r="AD171" s="10" t="e">
        <f t="shared" si="659"/>
        <v>#DIV/0!</v>
      </c>
      <c r="AE171" s="10" t="e">
        <f t="shared" si="659"/>
        <v>#DIV/0!</v>
      </c>
      <c r="AF171" s="10" t="e">
        <f t="shared" si="659"/>
        <v>#DIV/0!</v>
      </c>
      <c r="AG171" s="10" t="e">
        <f t="shared" si="659"/>
        <v>#DIV/0!</v>
      </c>
      <c r="AH171" s="101" t="e">
        <f t="shared" si="619"/>
        <v>#DIV/0!</v>
      </c>
      <c r="AI171" s="10"/>
      <c r="AJ171" s="10"/>
    </row>
    <row r="172" spans="2:36"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9"/>
      <c r="W172" s="109"/>
      <c r="X172" s="102"/>
      <c r="Y172" s="102"/>
      <c r="Z172" s="102"/>
      <c r="AA172" s="102"/>
      <c r="AB172" s="102"/>
      <c r="AC172" s="102"/>
      <c r="AD172" s="102"/>
      <c r="AE172" s="102"/>
      <c r="AF172" s="102"/>
      <c r="AG172" s="102"/>
      <c r="AH172" s="114"/>
      <c r="AI172" s="10"/>
      <c r="AJ172" s="10"/>
    </row>
    <row r="173" spans="2:36">
      <c r="B173" s="93" t="s">
        <v>201</v>
      </c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3" t="s">
        <v>500</v>
      </c>
      <c r="T173" s="13" t="s">
        <v>410</v>
      </c>
      <c r="U173" s="13" t="s">
        <v>410</v>
      </c>
      <c r="V173" s="13" t="s">
        <v>501</v>
      </c>
      <c r="W173" s="10"/>
      <c r="X173" s="105" t="s">
        <v>54</v>
      </c>
      <c r="Y173" s="10"/>
      <c r="Z173" s="10"/>
      <c r="AA173" s="10"/>
      <c r="AB173" s="10"/>
      <c r="AC173" s="10"/>
      <c r="AD173" s="10"/>
      <c r="AE173" s="10"/>
      <c r="AF173" s="10"/>
      <c r="AG173" s="10"/>
      <c r="AH173" s="114"/>
      <c r="AI173" s="10"/>
      <c r="AJ173" s="10"/>
    </row>
    <row r="174" spans="2:36">
      <c r="B174" s="13" t="s">
        <v>230</v>
      </c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11">
        <f>AVERAGE(G106:T106)</f>
        <v>0.41108301727770752</v>
      </c>
      <c r="T174" s="111">
        <f>AVERAGE(Q106:U106)</f>
        <v>1.3946902654867255</v>
      </c>
      <c r="U174" s="111" t="e">
        <f>AVERAGE(Q76:U76)</f>
        <v>#DIV/0!</v>
      </c>
      <c r="V174" s="111" t="e">
        <f>AVERAGE(L76:U76)</f>
        <v>#DIV/0!</v>
      </c>
      <c r="W174" s="10"/>
      <c r="X174" s="169" t="s">
        <v>371</v>
      </c>
      <c r="Y174" s="170" t="s">
        <v>372</v>
      </c>
      <c r="Z174" s="10"/>
      <c r="AA174" s="10"/>
      <c r="AB174" s="10"/>
      <c r="AC174" s="10"/>
      <c r="AD174" s="10"/>
      <c r="AE174" s="10"/>
      <c r="AF174" s="10"/>
      <c r="AG174" s="10"/>
      <c r="AH174" s="114"/>
      <c r="AI174" s="10"/>
      <c r="AJ174" s="10"/>
    </row>
    <row r="175" spans="2:36">
      <c r="B175" s="10" t="s">
        <v>13</v>
      </c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17">
        <f>X175+Y175</f>
        <v>8.3496433000871413</v>
      </c>
      <c r="X175" s="111">
        <f>PV($C$1, ($AG$3-$X$3), 0, -AG76)</f>
        <v>1.437233682801885</v>
      </c>
      <c r="Y175" s="111">
        <f>PV($C$1, ($AG$3-$X$3), 0, -AJ76)</f>
        <v>6.9124096172852569</v>
      </c>
      <c r="Z175" s="10"/>
      <c r="AA175" s="10"/>
      <c r="AB175" s="10"/>
      <c r="AC175" s="10"/>
      <c r="AD175" s="10"/>
      <c r="AE175" s="10"/>
      <c r="AF175" s="10"/>
      <c r="AG175" s="10"/>
      <c r="AH175" s="114"/>
      <c r="AI175" s="10"/>
      <c r="AJ175" s="10"/>
    </row>
    <row r="176" spans="2:36">
      <c r="B176" s="10" t="s">
        <v>223</v>
      </c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17">
        <f t="shared" ref="W176:W194" si="660">X176+Y176</f>
        <v>145.08811349889766</v>
      </c>
      <c r="X176" s="111">
        <f>PV($C$1, ($AG$3-$X$3), 0, -AG78)</f>
        <v>24.97418347112173</v>
      </c>
      <c r="Y176" s="111">
        <f>PV($C$1, ($AG$3-$X$3), 0, -AJ78)</f>
        <v>120.11393002777594</v>
      </c>
      <c r="Z176" s="10"/>
      <c r="AA176" s="10"/>
      <c r="AB176" s="10"/>
      <c r="AC176" s="10"/>
      <c r="AD176" s="10"/>
      <c r="AE176" s="10"/>
      <c r="AF176" s="10"/>
      <c r="AG176" s="10"/>
      <c r="AH176" s="114"/>
      <c r="AI176" s="10"/>
      <c r="AJ176" s="10"/>
    </row>
    <row r="177" spans="2:36">
      <c r="B177" s="10" t="s">
        <v>224</v>
      </c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17">
        <f t="shared" si="660"/>
        <v>112.75343113997087</v>
      </c>
      <c r="X177" s="111">
        <f>PV($C$1, ($AG$3-$X$3), 0, -AG79)</f>
        <v>19.40837749130646</v>
      </c>
      <c r="Y177" s="111">
        <f>PV($C$1, ($AG$3-$X$3), 0, -AJ79)</f>
        <v>93.345053648664404</v>
      </c>
      <c r="Z177" s="10"/>
      <c r="AA177" s="10"/>
      <c r="AB177" s="10"/>
      <c r="AC177" s="10"/>
      <c r="AD177" s="10"/>
      <c r="AE177" s="10"/>
      <c r="AF177" s="10"/>
      <c r="AG177" s="10"/>
      <c r="AH177" s="114"/>
      <c r="AI177" s="10"/>
      <c r="AJ177" s="10"/>
    </row>
    <row r="178" spans="2:36">
      <c r="B178" s="10" t="s">
        <v>225</v>
      </c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17">
        <f t="shared" si="660"/>
        <v>1000.4943461035025</v>
      </c>
      <c r="X178" s="111">
        <f>PV($C$1, ($AG$3-$X$3), 0, -AG80)</f>
        <v>172.2162399030619</v>
      </c>
      <c r="Y178" s="111">
        <f>PV($C$1, ($AG$3-$X$3), 0, -AJ80)</f>
        <v>828.27810620044056</v>
      </c>
      <c r="Z178" s="10"/>
      <c r="AA178" s="10"/>
      <c r="AB178" s="10"/>
      <c r="AC178" s="10"/>
      <c r="AD178" s="10"/>
      <c r="AE178" s="10"/>
      <c r="AF178" s="10"/>
      <c r="AG178" s="10"/>
      <c r="AH178" s="114"/>
      <c r="AI178" s="10"/>
      <c r="AJ178" s="10"/>
    </row>
    <row r="179" spans="2:36">
      <c r="B179" s="10" t="s">
        <v>226</v>
      </c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17">
        <f t="shared" si="660"/>
        <v>0</v>
      </c>
      <c r="X179" s="111">
        <f>PV($C$1, ($AG$3-$X$3), 0, -AG86)</f>
        <v>0</v>
      </c>
      <c r="Y179" s="111">
        <f>PV($C$1, ($AG$3-$X$3), 0, -AJ86)</f>
        <v>0</v>
      </c>
      <c r="Z179" s="10"/>
      <c r="AA179" s="10"/>
      <c r="AB179" s="10"/>
      <c r="AC179" s="10"/>
      <c r="AD179" s="10"/>
      <c r="AE179" s="10"/>
      <c r="AF179" s="10"/>
      <c r="AG179" s="10"/>
      <c r="AH179" s="114"/>
      <c r="AI179" s="10"/>
      <c r="AJ179" s="10"/>
    </row>
    <row r="180" spans="2:36"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17"/>
      <c r="X180" s="111"/>
      <c r="Y180" s="10"/>
      <c r="Z180" s="10"/>
      <c r="AA180" s="10"/>
      <c r="AB180" s="10"/>
      <c r="AC180" s="10"/>
      <c r="AD180" s="10"/>
      <c r="AE180" s="10"/>
      <c r="AF180" s="10"/>
      <c r="AG180" s="10"/>
      <c r="AH180" s="114"/>
      <c r="AI180" s="10"/>
      <c r="AJ180" s="10"/>
    </row>
    <row r="181" spans="2:36">
      <c r="B181" s="10" t="s">
        <v>221</v>
      </c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17">
        <f t="shared" si="660"/>
        <v>-855.40623260460484</v>
      </c>
      <c r="X181" s="111">
        <f>PV($C$1, ($AG$3-$X$3), 0, -AG82)</f>
        <v>-147.24205643194017</v>
      </c>
      <c r="Y181" s="111">
        <f>PV($C$1, ($AG$3-$X$3), 0, -$AJ$82)</f>
        <v>-708.16417617266461</v>
      </c>
      <c r="Z181" s="10"/>
      <c r="AA181" s="10"/>
      <c r="AB181" s="10"/>
      <c r="AC181" s="10"/>
      <c r="AD181" s="10"/>
      <c r="AE181" s="10"/>
      <c r="AF181" s="10"/>
      <c r="AG181" s="10"/>
      <c r="AH181" s="114"/>
      <c r="AI181" s="10"/>
      <c r="AJ181" s="10"/>
    </row>
    <row r="182" spans="2:36">
      <c r="B182" s="10" t="s">
        <v>222</v>
      </c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17">
        <f t="shared" si="660"/>
        <v>-855.40623260460484</v>
      </c>
      <c r="X182" s="111">
        <f>PV($C$1, ($AG$3-$X$3), 0, -AG83)</f>
        <v>-147.24205643194017</v>
      </c>
      <c r="Y182" s="111">
        <f>PV($C$1, ($AG$3-$X$3), 0, -$AJ$83)</f>
        <v>-708.16417617266461</v>
      </c>
      <c r="Z182" s="10"/>
      <c r="AA182" s="10"/>
      <c r="AB182" s="10"/>
      <c r="AC182" s="10"/>
      <c r="AD182" s="10"/>
      <c r="AE182" s="10"/>
      <c r="AF182" s="10"/>
      <c r="AG182" s="10"/>
      <c r="AH182" s="114"/>
      <c r="AI182" s="10"/>
      <c r="AJ182" s="10"/>
    </row>
    <row r="183" spans="2:36">
      <c r="B183" s="10" t="s">
        <v>227</v>
      </c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17">
        <f t="shared" si="660"/>
        <v>-855.40623260460484</v>
      </c>
      <c r="X183" s="111">
        <f>PV($C$1, ($AG$3-$X$3), 0, -AG84)</f>
        <v>-147.24205643194017</v>
      </c>
      <c r="Y183" s="111">
        <f>PV($C$1, ($AG$3-$X$3), 0, -$AJ$84)</f>
        <v>-708.16417617266461</v>
      </c>
      <c r="Z183" s="10"/>
      <c r="AA183" s="10"/>
      <c r="AB183" s="10"/>
      <c r="AC183" s="10"/>
      <c r="AD183" s="10"/>
      <c r="AE183" s="10"/>
      <c r="AF183" s="10"/>
      <c r="AG183" s="10"/>
      <c r="AH183" s="114"/>
      <c r="AI183" s="10"/>
      <c r="AJ183" s="10"/>
    </row>
    <row r="184" spans="2:36"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17"/>
      <c r="X184" s="111"/>
      <c r="Y184" s="10"/>
      <c r="Z184" s="10"/>
      <c r="AA184" s="10"/>
      <c r="AB184" s="10"/>
      <c r="AC184" s="10"/>
      <c r="AD184" s="10"/>
      <c r="AE184" s="10"/>
      <c r="AF184" s="10"/>
      <c r="AG184" s="10"/>
      <c r="AH184" s="114"/>
      <c r="AI184" s="10"/>
      <c r="AJ184" s="10"/>
    </row>
    <row r="185" spans="2:36">
      <c r="B185" s="10" t="s">
        <v>206</v>
      </c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17">
        <f t="shared" si="660"/>
        <v>0</v>
      </c>
      <c r="X185" s="111">
        <f>PV($C$1, ($AG$3-$X$3), 0, -AG89)</f>
        <v>0</v>
      </c>
      <c r="Y185" s="111">
        <f>PV($C$1, ($AG$3-$X$3), 0, -AJ89)</f>
        <v>0</v>
      </c>
      <c r="Z185" s="10"/>
      <c r="AA185" s="10"/>
      <c r="AB185" s="10"/>
      <c r="AC185" s="10"/>
      <c r="AD185" s="10"/>
      <c r="AE185" s="10"/>
      <c r="AF185" s="10"/>
      <c r="AG185" s="10"/>
      <c r="AH185" s="114"/>
      <c r="AI185" s="10"/>
      <c r="AJ185" s="10"/>
    </row>
    <row r="186" spans="2:36">
      <c r="B186" s="10" t="s">
        <v>207</v>
      </c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17">
        <f t="shared" si="660"/>
        <v>0</v>
      </c>
      <c r="X186" s="111">
        <f>PV($C$1, ($AG$3-$X$3), 0, -AG90)</f>
        <v>0</v>
      </c>
      <c r="Y186" s="111">
        <f>PV($C$1, ($AG$3-$X$3), 0, -AJ90)</f>
        <v>0</v>
      </c>
      <c r="Z186" s="10"/>
      <c r="AA186" s="10"/>
      <c r="AB186" s="10"/>
      <c r="AC186" s="10"/>
      <c r="AD186" s="10"/>
      <c r="AE186" s="10"/>
      <c r="AF186" s="10"/>
      <c r="AG186" s="10"/>
      <c r="AH186" s="114"/>
      <c r="AI186" s="10"/>
      <c r="AJ186" s="10"/>
    </row>
    <row r="187" spans="2:36"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17"/>
      <c r="X187" s="111"/>
      <c r="Y187" s="111"/>
      <c r="Z187" s="10"/>
      <c r="AA187" s="10"/>
      <c r="AB187" s="10"/>
      <c r="AC187" s="10"/>
      <c r="AD187" s="10"/>
      <c r="AE187" s="10"/>
      <c r="AF187" s="10"/>
      <c r="AG187" s="10"/>
      <c r="AH187" s="114"/>
      <c r="AI187" s="10"/>
      <c r="AJ187" s="10"/>
    </row>
    <row r="188" spans="2:36">
      <c r="B188" s="10" t="s">
        <v>242</v>
      </c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17">
        <f t="shared" ref="W188" si="661">X188+Y188</f>
        <v>0</v>
      </c>
      <c r="X188" s="111">
        <f>PV($C$1, ($AG$3-$X$3), 0, -AG12)</f>
        <v>0</v>
      </c>
      <c r="Y188" s="111">
        <f>PV($C$1, ($AG$3-$X$3), 0, -AJ12)</f>
        <v>0</v>
      </c>
      <c r="Z188" s="10"/>
      <c r="AA188" s="10"/>
      <c r="AB188" s="10"/>
      <c r="AC188" s="10"/>
      <c r="AD188" s="10"/>
      <c r="AE188" s="10"/>
      <c r="AF188" s="10"/>
      <c r="AG188" s="10"/>
      <c r="AH188" s="114"/>
      <c r="AI188" s="10"/>
      <c r="AJ188" s="10"/>
    </row>
    <row r="189" spans="2:36">
      <c r="B189" s="10" t="s">
        <v>243</v>
      </c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17">
        <f>X189+Y189</f>
        <v>0</v>
      </c>
      <c r="X189" s="117">
        <f>X188/S61</f>
        <v>0</v>
      </c>
      <c r="Y189" s="117">
        <f>Y188/S61</f>
        <v>0</v>
      </c>
      <c r="Z189" s="10"/>
      <c r="AA189" s="10"/>
      <c r="AB189" s="10"/>
      <c r="AC189" s="10"/>
      <c r="AD189" s="10"/>
      <c r="AE189" s="10"/>
      <c r="AF189" s="10"/>
      <c r="AG189" s="10"/>
      <c r="AH189" s="114"/>
      <c r="AI189" s="10"/>
      <c r="AJ189" s="10"/>
    </row>
    <row r="190" spans="2:36"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17"/>
      <c r="X190" s="117"/>
      <c r="Y190" s="117"/>
      <c r="Z190" s="10"/>
      <c r="AA190" s="10"/>
      <c r="AB190" s="10"/>
      <c r="AC190" s="10"/>
      <c r="AD190" s="10"/>
      <c r="AE190" s="10"/>
      <c r="AF190" s="10"/>
      <c r="AG190" s="10"/>
      <c r="AH190" s="114"/>
      <c r="AI190" s="10"/>
      <c r="AJ190" s="10"/>
    </row>
    <row r="191" spans="2:36">
      <c r="B191" s="93" t="s">
        <v>246</v>
      </c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17"/>
      <c r="X191" s="111"/>
      <c r="Y191" s="111"/>
      <c r="Z191" s="10"/>
      <c r="AA191" s="10"/>
      <c r="AB191" s="10"/>
      <c r="AC191" s="10"/>
      <c r="AD191" s="10"/>
      <c r="AE191" s="10"/>
      <c r="AF191" s="10"/>
      <c r="AG191" s="10"/>
      <c r="AH191" s="114"/>
      <c r="AI191" s="10"/>
      <c r="AJ191" s="10"/>
    </row>
    <row r="192" spans="2:36">
      <c r="B192" s="10" t="s">
        <v>232</v>
      </c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17">
        <f t="shared" ref="W192" si="662">X192+Y192</f>
        <v>0</v>
      </c>
      <c r="X192" s="111">
        <f>PV($C$1, ($AG$3-$X$3), 0, -AG92)+PV($C$1, ($AF$3-$X$3), 0, -AG92)+PV($C$1, ($AE$3-$X$3), 0, -AG92)+PV($C$1, ($AD$3-$X$3), 0, -AG92)+PV($C$1, ($AC$3-$X$3), 0, -AG92)+PV($C$1, ($AB$3-$X$3), 0, -AG92)+PV($C$1, ($AA$3-$X$3), 0, -AG92)+PV($C$1, ($Z$3-$X$3), 0, -AG92)+PV($C$1, ($Y$3-$X$3), 0, -AG92)+PV($C$1, ($X$3-$X$3), 0, -AG92)</f>
        <v>0</v>
      </c>
      <c r="Y192" s="111">
        <f>PV($C$1, ($AG$3-$X$3), 0, -AJ92)</f>
        <v>0</v>
      </c>
      <c r="Z192" s="10"/>
      <c r="AA192" s="10"/>
      <c r="AB192" s="10"/>
      <c r="AC192" s="10"/>
      <c r="AD192" s="10"/>
      <c r="AE192" s="10"/>
      <c r="AF192" s="10"/>
      <c r="AG192" s="10"/>
      <c r="AH192" s="114"/>
      <c r="AI192" s="10"/>
      <c r="AJ192" s="10"/>
    </row>
    <row r="193" spans="2:36">
      <c r="B193" s="13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17"/>
      <c r="X193" s="111"/>
      <c r="Y193" s="111"/>
      <c r="Z193" s="10"/>
      <c r="AA193" s="10"/>
      <c r="AB193" s="10"/>
      <c r="AC193" s="10"/>
      <c r="AD193" s="10"/>
      <c r="AE193" s="10"/>
      <c r="AF193" s="10"/>
      <c r="AG193" s="10"/>
      <c r="AH193" s="114"/>
      <c r="AI193" s="10"/>
      <c r="AJ193" s="10"/>
    </row>
    <row r="194" spans="2:36">
      <c r="B194" s="10" t="s">
        <v>239</v>
      </c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17">
        <f t="shared" si="660"/>
        <v>0</v>
      </c>
      <c r="X194" s="111">
        <f>PV($C$1, ($AG$3-$X$3), 0, -AG94)+PV($C$1, ($AF$3-$X$3), 0, -AG94)+PV($C$1, ($AE$3-$X$3), 0, -AG94)+PV($C$1, ($AD$3-$X$3), 0, -AG94)+PV($C$1, ($AC$3-$X$3), 0, -AG94)+PV($C$1, ($AB$3-$X$3), 0, -AG94)+PV($C$1, ($AA$3-$X$3), 0, -AG94)+PV($C$1, ($Z$3-$X$3), 0, -AG94)+PV($C$1, ($Y$3-$X$3), 0, -AG94)+PV($C$1, ($X$3-$X$3), 0, -AG94)</f>
        <v>0</v>
      </c>
      <c r="Y194" s="111">
        <f>PV($C$1, ($AG$3-$X$3), 0, -AJ94)</f>
        <v>0</v>
      </c>
      <c r="Z194" s="10"/>
      <c r="AA194" s="10"/>
      <c r="AB194" s="10"/>
      <c r="AC194" s="10"/>
      <c r="AD194" s="10"/>
      <c r="AE194" s="10"/>
      <c r="AF194" s="10"/>
      <c r="AG194" s="10"/>
      <c r="AH194" s="114"/>
      <c r="AI194" s="10"/>
      <c r="AJ194" s="10"/>
    </row>
    <row r="195" spans="2:36"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17"/>
      <c r="X195" s="111"/>
      <c r="Y195" s="111"/>
      <c r="Z195" s="10"/>
      <c r="AA195" s="10"/>
      <c r="AB195" s="10"/>
      <c r="AC195" s="10"/>
      <c r="AD195" s="10"/>
      <c r="AE195" s="10"/>
      <c r="AF195" s="10"/>
      <c r="AG195" s="10"/>
      <c r="AH195" s="114"/>
      <c r="AI195" s="10"/>
      <c r="AJ195" s="10"/>
    </row>
    <row r="196" spans="2:36">
      <c r="B196" s="10" t="s">
        <v>401</v>
      </c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17">
        <f t="shared" ref="W196:W199" si="663">X196+Y196</f>
        <v>0</v>
      </c>
      <c r="X196" s="111">
        <f>PV($C$1, ($AG$3-$X$3), 0, -AG96)+PV($C$1, ($AF$3-$X$3), 0, -AG96)+PV($C$1, ($AE$3-$X$3), 0, -AG96)+PV($C$1, ($AD$3-$X$3), 0, -AG96)+PV($C$1, ($AC$3-$X$3), 0, -AG96)+PV($C$1, ($AB$3-$X$3), 0, -AG96)+PV($C$1, ($AA$3-$X$3), 0, -AG96)+PV($C$1, ($Z$3-$X$3), 0, -AG96)+PV($C$1, ($Y$3-$X$3), 0, -AG96)+PV($C$1, ($X$3-$X$3), 0, -AG96)</f>
        <v>0</v>
      </c>
      <c r="Y196" s="111">
        <f>PV($C$1, ($AG$3-$X$3), 0, -AJ96)</f>
        <v>0</v>
      </c>
      <c r="Z196" s="10"/>
      <c r="AA196" s="10"/>
      <c r="AB196" s="10"/>
      <c r="AC196" s="10"/>
      <c r="AD196" s="10"/>
      <c r="AE196" s="10"/>
      <c r="AF196" s="10"/>
      <c r="AG196" s="10"/>
      <c r="AH196" s="114"/>
      <c r="AI196" s="10"/>
      <c r="AJ196" s="10"/>
    </row>
    <row r="197" spans="2:36">
      <c r="B197" s="10" t="s">
        <v>236</v>
      </c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17">
        <f t="shared" si="663"/>
        <v>0</v>
      </c>
      <c r="X197" s="111">
        <f>PV($C$1, ($AG$3-$X$3), 0, -AG97)+PV($C$1, ($AF$3-$X$3), 0, -AG97)+PV($C$1, ($AE$3-$X$3), 0, -AG97)+PV($C$1, ($AD$3-$X$3), 0, -AG97)+PV($C$1, ($AC$3-$X$3), 0, -AG97)+PV($C$1, ($AB$3-$X$3), 0, -AG97)+PV($C$1, ($AA$3-$X$3), 0, -AG97)+PV($C$1, ($Z$3-$X$3), 0, -AG97)+PV($C$1, ($Y$3-$X$3), 0, -AG97)+PV($C$1, ($X$3-$X$3), 0, -AG97)</f>
        <v>0</v>
      </c>
      <c r="Y197" s="111">
        <f>PV($C$1, ($AG$3-$X$3), 0, -AJ97)</f>
        <v>0</v>
      </c>
      <c r="Z197" s="10"/>
      <c r="AA197" s="10"/>
      <c r="AB197" s="10"/>
      <c r="AC197" s="10"/>
      <c r="AD197" s="10"/>
      <c r="AE197" s="10"/>
      <c r="AF197" s="10"/>
      <c r="AG197" s="10"/>
      <c r="AH197" s="114"/>
      <c r="AI197" s="10"/>
      <c r="AJ197" s="10"/>
    </row>
    <row r="198" spans="2:36">
      <c r="B198" s="10" t="s">
        <v>237</v>
      </c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17">
        <f t="shared" si="663"/>
        <v>0</v>
      </c>
      <c r="X198" s="111">
        <f>PV($C$1, ($AG$3-$X$3), 0, -AG98)+PV($C$1, ($AF$3-$X$3), 0, -AG98)+PV($C$1, ($AE$3-$X$3), 0, -AG98)+PV($C$1, ($AD$3-$X$3), 0, -AG98)+PV($C$1, ($AC$3-$X$3), 0, -AG98)+PV($C$1, ($AB$3-$X$3), 0, -AG98)+PV($C$1, ($AA$3-$X$3), 0, -AG98)+PV($C$1, ($Z$3-$X$3), 0, -AG98)+PV($C$1, ($Y$3-$X$3), 0, -AG98)+PV($C$1, ($X$3-$X$3), 0, -AG98)</f>
        <v>0</v>
      </c>
      <c r="Y198" s="111">
        <f>PV($C$1, ($AG$3-$X$3), 0, -AJ98)</f>
        <v>0</v>
      </c>
      <c r="Z198" s="10"/>
      <c r="AA198" s="10"/>
      <c r="AB198" s="10"/>
      <c r="AC198" s="10"/>
      <c r="AD198" s="10"/>
      <c r="AE198" s="10"/>
      <c r="AF198" s="10"/>
      <c r="AG198" s="10"/>
      <c r="AH198" s="114"/>
      <c r="AI198" s="10"/>
      <c r="AJ198" s="10"/>
    </row>
    <row r="199" spans="2:36">
      <c r="B199" s="10" t="s">
        <v>238</v>
      </c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17">
        <f t="shared" si="663"/>
        <v>0</v>
      </c>
      <c r="X199" s="111">
        <f>PV($C$1, ($AG$3-$X$3), 0, -AG99)+PV($C$1, ($AF$3-$X$3), 0, -AG99)+PV($C$1, ($AE$3-$X$3), 0, -AG99)+PV($C$1, ($AD$3-$X$3), 0, -AG99)+PV($C$1, ($AC$3-$X$3), 0, -AG99)+PV($C$1, ($AB$3-$X$3), 0, -AG99)+PV($C$1, ($AA$3-$X$3), 0, -AG99)+PV($C$1, ($Z$3-$X$3), 0, -AG99)+PV($C$1, ($Y$3-$X$3), 0, -AG99)+PV($C$1, ($X$3-$X$3), 0, -AG99)</f>
        <v>0</v>
      </c>
      <c r="Y199" s="111">
        <f>PV($C$1, ($AG$3-$X$3), 0, -AJ99)</f>
        <v>0</v>
      </c>
      <c r="Z199" s="10"/>
      <c r="AA199" s="10"/>
      <c r="AB199" s="10"/>
      <c r="AC199" s="10"/>
      <c r="AD199" s="10"/>
      <c r="AE199" s="10"/>
      <c r="AF199" s="10"/>
      <c r="AG199" s="10"/>
      <c r="AH199" s="114"/>
      <c r="AI199" s="10"/>
      <c r="AJ199" s="10"/>
    </row>
    <row r="200" spans="2:36">
      <c r="B200" s="10" t="s">
        <v>399</v>
      </c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95">
        <f>W197+W198+W199</f>
        <v>0</v>
      </c>
      <c r="X200" s="95">
        <f t="shared" ref="X200:Y200" si="664">X197+X198+X199</f>
        <v>0</v>
      </c>
      <c r="Y200" s="95">
        <f t="shared" si="664"/>
        <v>0</v>
      </c>
      <c r="Z200" s="10"/>
      <c r="AA200" s="10"/>
      <c r="AB200" s="10"/>
      <c r="AC200" s="10"/>
      <c r="AD200" s="10"/>
      <c r="AE200" s="10"/>
      <c r="AF200" s="10"/>
      <c r="AG200" s="10"/>
      <c r="AH200" s="114"/>
      <c r="AI200" s="10"/>
      <c r="AJ200" s="10"/>
    </row>
    <row r="201" spans="2:36"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17"/>
      <c r="X201" s="111"/>
      <c r="Y201" s="111"/>
      <c r="Z201" s="10"/>
      <c r="AA201" s="10"/>
      <c r="AB201" s="10"/>
      <c r="AC201" s="10"/>
      <c r="AD201" s="10"/>
      <c r="AE201" s="10"/>
      <c r="AF201" s="10"/>
      <c r="AG201" s="10"/>
      <c r="AH201" s="114"/>
      <c r="AI201" s="10"/>
      <c r="AJ201" s="10"/>
    </row>
    <row r="202" spans="2:36">
      <c r="B202" s="10" t="s">
        <v>247</v>
      </c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17">
        <f>X202+Y202</f>
        <v>0</v>
      </c>
      <c r="X202" s="111">
        <f>PV($C$1, ($AG$3-$X$3), 0, -AG100)+PV($C$1, ($AF$3-$X$3), 0, -AG100)+PV($C$1, ($AE$3-$X$3), 0, -AG100)+PV($C$1, ($AD$3-$X$3), 0, -AG100)+PV($C$1, ($AC$3-$X$3), 0, -AG100)+PV($C$1, ($AB$3-$X$3), 0, -AG100)+PV($C$1, ($AA$3-$X$3), 0, -AG100)+PV($C$1, ($Z$3-$X$3), 0, -AG100)+PV($C$1, ($Y$3-$X$3), 0, -AG100)+PV($C$1, ($X$3-$X$3), 0, -AG100)</f>
        <v>0</v>
      </c>
      <c r="Y202" s="111">
        <f>PV($C$1, ($AG$3-$X$3), 0, -AJ100)</f>
        <v>0</v>
      </c>
      <c r="Z202" s="10"/>
      <c r="AA202" s="10"/>
      <c r="AB202" s="10"/>
      <c r="AC202" s="10"/>
      <c r="AD202" s="10"/>
      <c r="AE202" s="10"/>
      <c r="AF202" s="10"/>
      <c r="AG202" s="10"/>
      <c r="AH202" s="114"/>
      <c r="AI202" s="10"/>
      <c r="AJ202" s="10"/>
    </row>
    <row r="203" spans="2:36"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58">
        <v>41729</v>
      </c>
      <c r="U203" s="10">
        <v>53</v>
      </c>
      <c r="V203" s="10"/>
      <c r="W203" s="10"/>
      <c r="X203" s="104"/>
      <c r="Y203" s="10"/>
      <c r="Z203" s="10"/>
      <c r="AA203" s="10"/>
      <c r="AB203" s="10"/>
      <c r="AC203" s="10"/>
      <c r="AD203" s="10"/>
      <c r="AE203" s="10"/>
      <c r="AF203" s="10"/>
      <c r="AG203" s="10"/>
      <c r="AH203" s="114"/>
      <c r="AI203" s="10"/>
      <c r="AJ203" s="10"/>
    </row>
    <row r="204" spans="2:36">
      <c r="B204" s="93" t="s">
        <v>208</v>
      </c>
      <c r="C204" s="10"/>
      <c r="D204" s="10"/>
      <c r="E204" s="10"/>
      <c r="F204" s="176"/>
      <c r="G204" s="176"/>
      <c r="H204" s="171">
        <v>0</v>
      </c>
      <c r="I204" s="171">
        <v>0</v>
      </c>
      <c r="J204" s="171">
        <v>0</v>
      </c>
      <c r="K204" s="171">
        <v>0</v>
      </c>
      <c r="L204" s="171">
        <v>0</v>
      </c>
      <c r="M204" s="171">
        <v>0</v>
      </c>
      <c r="N204" s="171">
        <v>0</v>
      </c>
      <c r="O204" s="171">
        <v>0</v>
      </c>
      <c r="P204" s="171">
        <v>0</v>
      </c>
      <c r="Q204" s="171">
        <v>0</v>
      </c>
      <c r="R204" s="171">
        <v>0</v>
      </c>
      <c r="S204" s="171">
        <v>0</v>
      </c>
      <c r="T204" s="13" t="s">
        <v>332</v>
      </c>
      <c r="U204" s="10">
        <v>35</v>
      </c>
      <c r="V204" s="10" t="s">
        <v>499</v>
      </c>
      <c r="W204" s="13" t="s">
        <v>333</v>
      </c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14"/>
      <c r="AI204" s="10"/>
      <c r="AJ204" s="10"/>
    </row>
    <row r="205" spans="2:36">
      <c r="B205" s="10" t="s">
        <v>183</v>
      </c>
      <c r="C205" s="12">
        <v>0</v>
      </c>
      <c r="D205" s="12">
        <v>0</v>
      </c>
      <c r="E205" s="12">
        <v>0</v>
      </c>
      <c r="F205" s="12">
        <v>0</v>
      </c>
      <c r="G205" s="12">
        <f>R205</f>
        <v>68</v>
      </c>
      <c r="H205" s="12">
        <v>48</v>
      </c>
      <c r="I205" s="12">
        <v>0</v>
      </c>
      <c r="J205" s="12">
        <v>0</v>
      </c>
      <c r="K205" s="12">
        <v>0</v>
      </c>
      <c r="L205" s="12">
        <v>0</v>
      </c>
      <c r="M205" s="12">
        <v>0</v>
      </c>
      <c r="N205" s="12">
        <v>0</v>
      </c>
      <c r="O205" s="12">
        <v>0</v>
      </c>
      <c r="P205" s="12">
        <v>0</v>
      </c>
      <c r="Q205" s="12">
        <v>0</v>
      </c>
      <c r="R205" s="12">
        <v>68</v>
      </c>
      <c r="S205" s="12">
        <v>48.25</v>
      </c>
      <c r="T205" s="12">
        <v>55</v>
      </c>
      <c r="U205" s="12">
        <v>47</v>
      </c>
      <c r="V205" s="101">
        <f t="shared" ref="V205:V236" si="665">((U205/G205)^(1/($K$2-$K$1) ))-1</f>
        <v>-2.6037877338137005E-2</v>
      </c>
      <c r="W205" s="21">
        <v>0</v>
      </c>
      <c r="X205" s="172">
        <v>50</v>
      </c>
      <c r="Y205" s="102">
        <f t="shared" ref="Y205:AG205" si="666">X205*(1+$W205)</f>
        <v>50</v>
      </c>
      <c r="Z205" s="102">
        <f t="shared" si="666"/>
        <v>50</v>
      </c>
      <c r="AA205" s="102">
        <f t="shared" si="666"/>
        <v>50</v>
      </c>
      <c r="AB205" s="102">
        <f t="shared" si="666"/>
        <v>50</v>
      </c>
      <c r="AC205" s="102">
        <f t="shared" si="666"/>
        <v>50</v>
      </c>
      <c r="AD205" s="102">
        <f t="shared" si="666"/>
        <v>50</v>
      </c>
      <c r="AE205" s="102">
        <f t="shared" si="666"/>
        <v>50</v>
      </c>
      <c r="AF205" s="102">
        <f t="shared" si="666"/>
        <v>50</v>
      </c>
      <c r="AG205" s="102">
        <f t="shared" si="666"/>
        <v>50</v>
      </c>
      <c r="AH205" s="115" t="e">
        <f t="shared" ref="AH205:AH212" si="667">((AG205/J205)^(1/($AG$3-$K$1) ))-1</f>
        <v>#DIV/0!</v>
      </c>
      <c r="AI205" s="21">
        <f t="shared" ref="AI205:AI212" si="668">$O$1</f>
        <v>0.01</v>
      </c>
      <c r="AJ205" s="108" t="e">
        <f t="shared" ref="AJ205:AJ216" si="669">(AG205*(1+AH205))/($C$1-AI205)</f>
        <v>#DIV/0!</v>
      </c>
    </row>
    <row r="206" spans="2:36">
      <c r="B206" s="10" t="s">
        <v>303</v>
      </c>
      <c r="C206" s="15"/>
      <c r="D206" s="15"/>
      <c r="E206" s="15"/>
      <c r="F206" s="15"/>
      <c r="G206" s="15">
        <f t="shared" ref="G206" si="670">G205/G70</f>
        <v>5.6890424481737414</v>
      </c>
      <c r="H206" s="15" t="e">
        <f t="shared" ref="H206:I206" si="671">H205/H70</f>
        <v>#DIV/0!</v>
      </c>
      <c r="I206" s="15" t="e">
        <f t="shared" si="671"/>
        <v>#DIV/0!</v>
      </c>
      <c r="J206" s="15" t="e">
        <f t="shared" ref="J206:T206" si="672">J205/J70</f>
        <v>#DIV/0!</v>
      </c>
      <c r="K206" s="15" t="e">
        <f t="shared" si="672"/>
        <v>#DIV/0!</v>
      </c>
      <c r="L206" s="15" t="e">
        <f t="shared" si="672"/>
        <v>#DIV/0!</v>
      </c>
      <c r="M206" s="15" t="e">
        <f t="shared" si="672"/>
        <v>#DIV/0!</v>
      </c>
      <c r="N206" s="15" t="e">
        <f t="shared" si="672"/>
        <v>#DIV/0!</v>
      </c>
      <c r="O206" s="15" t="e">
        <f t="shared" si="672"/>
        <v>#DIV/0!</v>
      </c>
      <c r="P206" s="15" t="e">
        <f t="shared" si="672"/>
        <v>#DIV/0!</v>
      </c>
      <c r="Q206" s="15" t="e">
        <f t="shared" si="672"/>
        <v>#DIV/0!</v>
      </c>
      <c r="R206" s="15" t="e">
        <f t="shared" si="672"/>
        <v>#DIV/0!</v>
      </c>
      <c r="S206" s="15">
        <f t="shared" si="672"/>
        <v>4.0387037037037032</v>
      </c>
      <c r="T206" s="15">
        <f t="shared" si="672"/>
        <v>1.9427946233197875</v>
      </c>
      <c r="U206" s="15">
        <f t="shared" ref="U206" si="673">U205/U70</f>
        <v>1.5593071051086318</v>
      </c>
      <c r="V206" s="101">
        <f t="shared" si="665"/>
        <v>-8.8305230701611892E-2</v>
      </c>
      <c r="W206" s="109"/>
      <c r="X206" s="15">
        <f t="shared" ref="X206:AG206" si="674">X205/X70</f>
        <v>1.4713166024151756</v>
      </c>
      <c r="Y206" s="15">
        <f t="shared" si="674"/>
        <v>1.3049938560551992</v>
      </c>
      <c r="Z206" s="15">
        <f t="shared" si="674"/>
        <v>1.1574728114576551</v>
      </c>
      <c r="AA206" s="15">
        <f t="shared" si="674"/>
        <v>1.0266280588580941</v>
      </c>
      <c r="AB206" s="15">
        <f t="shared" si="674"/>
        <v>0.91057445220457045</v>
      </c>
      <c r="AC206" s="15">
        <f t="shared" si="674"/>
        <v>0.80763994891188007</v>
      </c>
      <c r="AD206" s="15">
        <f t="shared" si="674"/>
        <v>0.71634151990445016</v>
      </c>
      <c r="AE206" s="15">
        <f t="shared" si="674"/>
        <v>0.63536378287177331</v>
      </c>
      <c r="AF206" s="15">
        <f t="shared" si="674"/>
        <v>0.56354005089496417</v>
      </c>
      <c r="AG206" s="15">
        <f t="shared" si="674"/>
        <v>0.49983552340248993</v>
      </c>
      <c r="AH206" s="115" t="e">
        <f t="shared" ref="AH206" si="675">((AG206/J206)^(1/($AG$3-$K$1) ))-1</f>
        <v>#DIV/0!</v>
      </c>
      <c r="AI206" s="21">
        <f t="shared" si="668"/>
        <v>0.01</v>
      </c>
      <c r="AJ206" s="108" t="e">
        <f t="shared" ref="AJ206" si="676">(AG206*(1+AH206))/($C$1-AI206)</f>
        <v>#DIV/0!</v>
      </c>
    </row>
    <row r="207" spans="2:36">
      <c r="B207" s="10" t="s">
        <v>331</v>
      </c>
      <c r="C207" s="15"/>
      <c r="D207" s="15"/>
      <c r="E207" s="15"/>
      <c r="F207" s="15"/>
      <c r="G207" s="15">
        <f t="shared" ref="G207" si="677">G205/G76</f>
        <v>49.467811158798284</v>
      </c>
      <c r="H207" s="15" t="e">
        <f t="shared" ref="H207:I207" si="678">H205/H76</f>
        <v>#DIV/0!</v>
      </c>
      <c r="I207" s="15" t="e">
        <f t="shared" si="678"/>
        <v>#DIV/0!</v>
      </c>
      <c r="J207" s="15" t="e">
        <f t="shared" ref="J207:T207" si="679">J205/J76</f>
        <v>#DIV/0!</v>
      </c>
      <c r="K207" s="15" t="e">
        <f t="shared" si="679"/>
        <v>#DIV/0!</v>
      </c>
      <c r="L207" s="15" t="e">
        <f t="shared" si="679"/>
        <v>#DIV/0!</v>
      </c>
      <c r="M207" s="15" t="e">
        <f t="shared" si="679"/>
        <v>#DIV/0!</v>
      </c>
      <c r="N207" s="15" t="e">
        <f t="shared" si="679"/>
        <v>#DIV/0!</v>
      </c>
      <c r="O207" s="15" t="e">
        <f t="shared" si="679"/>
        <v>#DIV/0!</v>
      </c>
      <c r="P207" s="15" t="e">
        <f t="shared" si="679"/>
        <v>#DIV/0!</v>
      </c>
      <c r="Q207" s="15" t="e">
        <f t="shared" si="679"/>
        <v>#DIV/0!</v>
      </c>
      <c r="R207" s="15" t="e">
        <f t="shared" si="679"/>
        <v>#DIV/0!</v>
      </c>
      <c r="S207" s="15">
        <f t="shared" si="679"/>
        <v>35.100321888412019</v>
      </c>
      <c r="T207" s="15">
        <f t="shared" si="679"/>
        <v>18.297350343473994</v>
      </c>
      <c r="U207" s="15">
        <f t="shared" ref="U207" si="680">U205/U76</f>
        <v>18.12627986348123</v>
      </c>
      <c r="V207" s="101">
        <f t="shared" si="665"/>
        <v>-6.9200498727132076E-2</v>
      </c>
      <c r="W207" s="109"/>
      <c r="X207" s="102">
        <f t="shared" ref="X207:AG207" si="681">X205/X76</f>
        <v>17.103427808280163</v>
      </c>
      <c r="Y207" s="102">
        <f t="shared" si="681"/>
        <v>15.169996838648494</v>
      </c>
      <c r="Z207" s="102">
        <f t="shared" si="681"/>
        <v>13.455127630801275</v>
      </c>
      <c r="AA207" s="102">
        <f t="shared" si="681"/>
        <v>11.934113202971567</v>
      </c>
      <c r="AB207" s="102">
        <f t="shared" si="681"/>
        <v>10.585039536548695</v>
      </c>
      <c r="AC207" s="102">
        <f t="shared" si="681"/>
        <v>9.3884698498084092</v>
      </c>
      <c r="AD207" s="102">
        <f t="shared" si="681"/>
        <v>8.327164562438762</v>
      </c>
      <c r="AE207" s="102">
        <f t="shared" si="681"/>
        <v>7.3858329162500338</v>
      </c>
      <c r="AF207" s="102">
        <f t="shared" si="681"/>
        <v>6.5509126735435093</v>
      </c>
      <c r="AG207" s="102">
        <f t="shared" si="681"/>
        <v>5.8103747191429393</v>
      </c>
      <c r="AH207" s="115" t="e">
        <f t="shared" si="667"/>
        <v>#DIV/0!</v>
      </c>
      <c r="AI207" s="21">
        <f t="shared" si="668"/>
        <v>0.01</v>
      </c>
      <c r="AJ207" s="108" t="e">
        <f t="shared" si="669"/>
        <v>#DIV/0!</v>
      </c>
    </row>
    <row r="208" spans="2:36">
      <c r="B208" s="10" t="s">
        <v>404</v>
      </c>
      <c r="C208" s="15"/>
      <c r="D208" s="15"/>
      <c r="E208" s="15"/>
      <c r="F208" s="15"/>
      <c r="G208" s="15" t="e">
        <f t="shared" ref="G208" si="682">G205/G74</f>
        <v>#DIV/0!</v>
      </c>
      <c r="H208" s="15" t="e">
        <f t="shared" ref="H208:I208" si="683">H205/H74</f>
        <v>#DIV/0!</v>
      </c>
      <c r="I208" s="15" t="e">
        <f t="shared" si="683"/>
        <v>#DIV/0!</v>
      </c>
      <c r="J208" s="15" t="e">
        <f t="shared" ref="J208:T208" si="684">J205/J74</f>
        <v>#DIV/0!</v>
      </c>
      <c r="K208" s="15" t="e">
        <f t="shared" si="684"/>
        <v>#DIV/0!</v>
      </c>
      <c r="L208" s="15" t="e">
        <f t="shared" si="684"/>
        <v>#DIV/0!</v>
      </c>
      <c r="M208" s="15" t="e">
        <f t="shared" si="684"/>
        <v>#DIV/0!</v>
      </c>
      <c r="N208" s="15" t="e">
        <f t="shared" si="684"/>
        <v>#DIV/0!</v>
      </c>
      <c r="O208" s="15" t="e">
        <f t="shared" si="684"/>
        <v>#DIV/0!</v>
      </c>
      <c r="P208" s="15" t="e">
        <f t="shared" si="684"/>
        <v>#DIV/0!</v>
      </c>
      <c r="Q208" s="15" t="e">
        <f t="shared" si="684"/>
        <v>#DIV/0!</v>
      </c>
      <c r="R208" s="15" t="e">
        <f t="shared" si="684"/>
        <v>#DIV/0!</v>
      </c>
      <c r="S208" s="15" t="e">
        <f t="shared" si="684"/>
        <v>#DIV/0!</v>
      </c>
      <c r="T208" s="15" t="e">
        <f t="shared" si="684"/>
        <v>#DIV/0!</v>
      </c>
      <c r="U208" s="15" t="e">
        <f t="shared" ref="U208" si="685">U205/U74</f>
        <v>#DIV/0!</v>
      </c>
      <c r="V208" s="101" t="e">
        <f t="shared" si="665"/>
        <v>#DIV/0!</v>
      </c>
      <c r="W208" s="109"/>
      <c r="X208" s="15" t="e">
        <f t="shared" ref="X208:AG208" si="686">X205/X74</f>
        <v>#DIV/0!</v>
      </c>
      <c r="Y208" s="15" t="e">
        <f t="shared" si="686"/>
        <v>#DIV/0!</v>
      </c>
      <c r="Z208" s="15" t="e">
        <f t="shared" si="686"/>
        <v>#DIV/0!</v>
      </c>
      <c r="AA208" s="15" t="e">
        <f t="shared" si="686"/>
        <v>#DIV/0!</v>
      </c>
      <c r="AB208" s="15" t="e">
        <f t="shared" si="686"/>
        <v>#DIV/0!</v>
      </c>
      <c r="AC208" s="15" t="e">
        <f t="shared" si="686"/>
        <v>#DIV/0!</v>
      </c>
      <c r="AD208" s="15" t="e">
        <f t="shared" si="686"/>
        <v>#DIV/0!</v>
      </c>
      <c r="AE208" s="15" t="e">
        <f t="shared" si="686"/>
        <v>#DIV/0!</v>
      </c>
      <c r="AF208" s="15" t="e">
        <f t="shared" si="686"/>
        <v>#DIV/0!</v>
      </c>
      <c r="AG208" s="15" t="e">
        <f t="shared" si="686"/>
        <v>#DIV/0!</v>
      </c>
      <c r="AH208" s="115" t="e">
        <f t="shared" ref="AH208:AH209" si="687">((AG208/J208)^(1/($AG$3-$K$1) ))-1</f>
        <v>#DIV/0!</v>
      </c>
      <c r="AI208" s="21">
        <f t="shared" si="668"/>
        <v>0.01</v>
      </c>
      <c r="AJ208" s="108" t="e">
        <f t="shared" ref="AJ208:AJ209" si="688">(AG208*(1+AH208))/($C$1-AI208)</f>
        <v>#DIV/0!</v>
      </c>
    </row>
    <row r="209" spans="2:36">
      <c r="B209" s="10" t="s">
        <v>405</v>
      </c>
      <c r="C209" s="15"/>
      <c r="D209" s="15"/>
      <c r="E209" s="15"/>
      <c r="F209" s="15"/>
      <c r="G209" s="15" t="e">
        <f t="shared" ref="G209" si="689">G205/G75</f>
        <v>#DIV/0!</v>
      </c>
      <c r="H209" s="15" t="e">
        <f t="shared" ref="H209:I209" si="690">H205/H75</f>
        <v>#DIV/0!</v>
      </c>
      <c r="I209" s="15" t="e">
        <f t="shared" si="690"/>
        <v>#DIV/0!</v>
      </c>
      <c r="J209" s="15" t="e">
        <f t="shared" ref="J209:T209" si="691">J205/J75</f>
        <v>#DIV/0!</v>
      </c>
      <c r="K209" s="15" t="e">
        <f t="shared" si="691"/>
        <v>#DIV/0!</v>
      </c>
      <c r="L209" s="15" t="e">
        <f t="shared" si="691"/>
        <v>#DIV/0!</v>
      </c>
      <c r="M209" s="15" t="e">
        <f t="shared" si="691"/>
        <v>#DIV/0!</v>
      </c>
      <c r="N209" s="15" t="e">
        <f t="shared" si="691"/>
        <v>#DIV/0!</v>
      </c>
      <c r="O209" s="15" t="e">
        <f t="shared" si="691"/>
        <v>#DIV/0!</v>
      </c>
      <c r="P209" s="15" t="e">
        <f t="shared" si="691"/>
        <v>#DIV/0!</v>
      </c>
      <c r="Q209" s="15" t="e">
        <f t="shared" si="691"/>
        <v>#DIV/0!</v>
      </c>
      <c r="R209" s="15" t="e">
        <f t="shared" si="691"/>
        <v>#DIV/0!</v>
      </c>
      <c r="S209" s="15" t="e">
        <f t="shared" si="691"/>
        <v>#DIV/0!</v>
      </c>
      <c r="T209" s="15" t="e">
        <f t="shared" si="691"/>
        <v>#DIV/0!</v>
      </c>
      <c r="U209" s="15" t="e">
        <f t="shared" ref="U209" si="692">U205/U75</f>
        <v>#DIV/0!</v>
      </c>
      <c r="V209" s="101" t="e">
        <f t="shared" si="665"/>
        <v>#DIV/0!</v>
      </c>
      <c r="W209" s="109"/>
      <c r="X209" s="15" t="e">
        <f t="shared" ref="X209:AG210" si="693">X205/X75</f>
        <v>#DIV/0!</v>
      </c>
      <c r="Y209" s="15" t="e">
        <f t="shared" si="693"/>
        <v>#DIV/0!</v>
      </c>
      <c r="Z209" s="15" t="e">
        <f t="shared" si="693"/>
        <v>#DIV/0!</v>
      </c>
      <c r="AA209" s="15" t="e">
        <f t="shared" si="693"/>
        <v>#DIV/0!</v>
      </c>
      <c r="AB209" s="15" t="e">
        <f t="shared" si="693"/>
        <v>#DIV/0!</v>
      </c>
      <c r="AC209" s="15" t="e">
        <f t="shared" si="693"/>
        <v>#DIV/0!</v>
      </c>
      <c r="AD209" s="15" t="e">
        <f t="shared" si="693"/>
        <v>#DIV/0!</v>
      </c>
      <c r="AE209" s="15" t="e">
        <f t="shared" si="693"/>
        <v>#DIV/0!</v>
      </c>
      <c r="AF209" s="15" t="e">
        <f t="shared" si="693"/>
        <v>#DIV/0!</v>
      </c>
      <c r="AG209" s="15" t="e">
        <f t="shared" si="693"/>
        <v>#DIV/0!</v>
      </c>
      <c r="AH209" s="115" t="e">
        <f t="shared" si="687"/>
        <v>#DIV/0!</v>
      </c>
      <c r="AI209" s="21">
        <f t="shared" si="668"/>
        <v>0.01</v>
      </c>
      <c r="AJ209" s="108" t="e">
        <f t="shared" si="688"/>
        <v>#DIV/0!</v>
      </c>
    </row>
    <row r="210" spans="2:36">
      <c r="B210" s="10" t="s">
        <v>215</v>
      </c>
      <c r="C210" s="15"/>
      <c r="D210" s="15"/>
      <c r="E210" s="15"/>
      <c r="F210" s="15"/>
      <c r="G210" s="15">
        <f t="shared" ref="G210" si="694">G205/G79</f>
        <v>2.2519173828054404</v>
      </c>
      <c r="H210" s="15" t="e">
        <f t="shared" ref="H210:I210" si="695">H205/H79</f>
        <v>#DIV/0!</v>
      </c>
      <c r="I210" s="15" t="e">
        <f t="shared" si="695"/>
        <v>#DIV/0!</v>
      </c>
      <c r="J210" s="15" t="e">
        <f t="shared" ref="J210:T210" si="696">J205/J79</f>
        <v>#DIV/0!</v>
      </c>
      <c r="K210" s="15" t="e">
        <f t="shared" si="696"/>
        <v>#DIV/0!</v>
      </c>
      <c r="L210" s="15" t="e">
        <f t="shared" si="696"/>
        <v>#DIV/0!</v>
      </c>
      <c r="M210" s="15" t="e">
        <f t="shared" si="696"/>
        <v>#DIV/0!</v>
      </c>
      <c r="N210" s="15" t="e">
        <f t="shared" si="696"/>
        <v>#DIV/0!</v>
      </c>
      <c r="O210" s="15" t="e">
        <f t="shared" si="696"/>
        <v>#DIV/0!</v>
      </c>
      <c r="P210" s="15" t="e">
        <f t="shared" si="696"/>
        <v>#DIV/0!</v>
      </c>
      <c r="Q210" s="15" t="e">
        <f t="shared" si="696"/>
        <v>#DIV/0!</v>
      </c>
      <c r="R210" s="15" t="e">
        <f t="shared" si="696"/>
        <v>#DIV/0!</v>
      </c>
      <c r="S210" s="15">
        <f t="shared" si="696"/>
        <v>1.5978678488288602</v>
      </c>
      <c r="T210" s="15">
        <f t="shared" si="696"/>
        <v>1.6532230534395818</v>
      </c>
      <c r="U210" s="15">
        <f t="shared" ref="U210" si="697">U205/U79</f>
        <v>1.3422914911541701</v>
      </c>
      <c r="V210" s="101">
        <f t="shared" si="665"/>
        <v>-3.6282825076452196E-2</v>
      </c>
      <c r="W210" s="109"/>
      <c r="X210" s="15">
        <f t="shared" si="693"/>
        <v>0.50329114585064005</v>
      </c>
      <c r="Y210" s="102">
        <f t="shared" ref="Y210:AG210" si="698">Y205/Y79</f>
        <v>1.1233721332074158</v>
      </c>
      <c r="Z210" s="102">
        <f t="shared" si="698"/>
        <v>0.99638223988831687</v>
      </c>
      <c r="AA210" s="102">
        <f t="shared" si="698"/>
        <v>0.88374772581398542</v>
      </c>
      <c r="AB210" s="102">
        <f t="shared" si="698"/>
        <v>0.78384580898283918</v>
      </c>
      <c r="AC210" s="102">
        <f t="shared" si="698"/>
        <v>0.69523715231521399</v>
      </c>
      <c r="AD210" s="102">
        <f t="shared" si="698"/>
        <v>0.6166451264013203</v>
      </c>
      <c r="AE210" s="102">
        <f t="shared" si="698"/>
        <v>0.54693741646030147</v>
      </c>
      <c r="AF210" s="102">
        <f t="shared" si="698"/>
        <v>0.48510970851261531</v>
      </c>
      <c r="AG210" s="102">
        <f t="shared" si="698"/>
        <v>0.43027121972423277</v>
      </c>
      <c r="AH210" s="115" t="e">
        <f t="shared" si="667"/>
        <v>#DIV/0!</v>
      </c>
      <c r="AI210" s="21">
        <f t="shared" si="668"/>
        <v>0.01</v>
      </c>
      <c r="AJ210" s="108" t="e">
        <f t="shared" si="669"/>
        <v>#DIV/0!</v>
      </c>
    </row>
    <row r="211" spans="2:36">
      <c r="B211" s="10" t="s">
        <v>216</v>
      </c>
      <c r="C211" s="15"/>
      <c r="D211" s="15"/>
      <c r="E211" s="15"/>
      <c r="F211" s="15"/>
      <c r="G211" s="15">
        <f t="shared" ref="G211" si="699">G205/G88</f>
        <v>1.0482470101405119</v>
      </c>
      <c r="H211" s="15" t="e">
        <f t="shared" ref="H211:I211" si="700">H205/H88</f>
        <v>#DIV/0!</v>
      </c>
      <c r="I211" s="15" t="e">
        <f t="shared" si="700"/>
        <v>#DIV/0!</v>
      </c>
      <c r="J211" s="15" t="e">
        <f t="shared" ref="J211:T211" si="701">J205/J88</f>
        <v>#DIV/0!</v>
      </c>
      <c r="K211" s="15" t="e">
        <f t="shared" si="701"/>
        <v>#DIV/0!</v>
      </c>
      <c r="L211" s="15" t="e">
        <f t="shared" si="701"/>
        <v>#DIV/0!</v>
      </c>
      <c r="M211" s="15" t="e">
        <f t="shared" si="701"/>
        <v>#DIV/0!</v>
      </c>
      <c r="N211" s="15" t="e">
        <f t="shared" si="701"/>
        <v>#DIV/0!</v>
      </c>
      <c r="O211" s="15" t="e">
        <f t="shared" si="701"/>
        <v>#DIV/0!</v>
      </c>
      <c r="P211" s="15" t="e">
        <f t="shared" si="701"/>
        <v>#DIV/0!</v>
      </c>
      <c r="Q211" s="15" t="e">
        <f t="shared" si="701"/>
        <v>#DIV/0!</v>
      </c>
      <c r="R211" s="15" t="e">
        <f t="shared" si="701"/>
        <v>#DIV/0!</v>
      </c>
      <c r="S211" s="15">
        <f t="shared" si="701"/>
        <v>0.74379291528352498</v>
      </c>
      <c r="T211" s="15">
        <f t="shared" si="701"/>
        <v>0.34845908012035814</v>
      </c>
      <c r="U211" s="15">
        <f t="shared" ref="U211" si="702">U205/U88</f>
        <v>0.26160843294364905</v>
      </c>
      <c r="V211" s="101">
        <f t="shared" si="665"/>
        <v>-9.438833561939497E-2</v>
      </c>
      <c r="W211" s="109"/>
      <c r="X211" s="102">
        <f t="shared" ref="X211:AG211" si="703">X205/X88</f>
        <v>0.24684606993757821</v>
      </c>
      <c r="Y211" s="102">
        <f t="shared" si="703"/>
        <v>0.21894173159680852</v>
      </c>
      <c r="Z211" s="102">
        <f t="shared" si="703"/>
        <v>0.19419179672064757</v>
      </c>
      <c r="AA211" s="102">
        <f t="shared" si="703"/>
        <v>0.17223968056961786</v>
      </c>
      <c r="AB211" s="102">
        <f t="shared" si="703"/>
        <v>0.15276910798348717</v>
      </c>
      <c r="AC211" s="102">
        <f t="shared" si="703"/>
        <v>0.13549955664622343</v>
      </c>
      <c r="AD211" s="102">
        <f t="shared" si="703"/>
        <v>0.12018221546012864</v>
      </c>
      <c r="AE211" s="102">
        <f t="shared" si="703"/>
        <v>0.10659639979941846</v>
      </c>
      <c r="AF211" s="102">
        <f t="shared" si="703"/>
        <v>9.4546371996005921E-2</v>
      </c>
      <c r="AG211" s="102">
        <f t="shared" si="703"/>
        <v>8.3858521248631343E-2</v>
      </c>
      <c r="AH211" s="115" t="e">
        <f t="shared" si="667"/>
        <v>#DIV/0!</v>
      </c>
      <c r="AI211" s="21">
        <f t="shared" si="668"/>
        <v>0.01</v>
      </c>
      <c r="AJ211" s="108" t="e">
        <f t="shared" si="669"/>
        <v>#DIV/0!</v>
      </c>
    </row>
    <row r="212" spans="2:36">
      <c r="B212" s="10" t="s">
        <v>217</v>
      </c>
      <c r="C212" s="15"/>
      <c r="D212" s="15"/>
      <c r="E212" s="15"/>
      <c r="F212" s="15"/>
      <c r="G212" s="15" t="e">
        <f t="shared" ref="G212" si="704">G205/G90</f>
        <v>#DIV/0!</v>
      </c>
      <c r="H212" s="15" t="e">
        <f t="shared" ref="H212:I212" si="705">H205/H90</f>
        <v>#DIV/0!</v>
      </c>
      <c r="I212" s="15" t="e">
        <f t="shared" si="705"/>
        <v>#DIV/0!</v>
      </c>
      <c r="J212" s="15" t="e">
        <f t="shared" ref="J212:T212" si="706">J205/J90</f>
        <v>#DIV/0!</v>
      </c>
      <c r="K212" s="15" t="e">
        <f t="shared" si="706"/>
        <v>#DIV/0!</v>
      </c>
      <c r="L212" s="15" t="e">
        <f t="shared" si="706"/>
        <v>#DIV/0!</v>
      </c>
      <c r="M212" s="15" t="e">
        <f t="shared" si="706"/>
        <v>#DIV/0!</v>
      </c>
      <c r="N212" s="15" t="e">
        <f t="shared" si="706"/>
        <v>#DIV/0!</v>
      </c>
      <c r="O212" s="15" t="e">
        <f t="shared" si="706"/>
        <v>#DIV/0!</v>
      </c>
      <c r="P212" s="15" t="e">
        <f t="shared" si="706"/>
        <v>#DIV/0!</v>
      </c>
      <c r="Q212" s="15" t="e">
        <f t="shared" si="706"/>
        <v>#DIV/0!</v>
      </c>
      <c r="R212" s="15" t="e">
        <f t="shared" si="706"/>
        <v>#DIV/0!</v>
      </c>
      <c r="S212" s="15" t="e">
        <f t="shared" si="706"/>
        <v>#DIV/0!</v>
      </c>
      <c r="T212" s="15" t="e">
        <f t="shared" si="706"/>
        <v>#DIV/0!</v>
      </c>
      <c r="U212" s="15" t="e">
        <f t="shared" ref="U212" si="707">U205/U90</f>
        <v>#DIV/0!</v>
      </c>
      <c r="V212" s="101" t="e">
        <f t="shared" si="665"/>
        <v>#DIV/0!</v>
      </c>
      <c r="W212" s="109"/>
      <c r="X212" s="102" t="e">
        <f t="shared" ref="X212:AG212" si="708">X205/X90</f>
        <v>#DIV/0!</v>
      </c>
      <c r="Y212" s="102" t="e">
        <f t="shared" si="708"/>
        <v>#DIV/0!</v>
      </c>
      <c r="Z212" s="102" t="e">
        <f t="shared" si="708"/>
        <v>#DIV/0!</v>
      </c>
      <c r="AA212" s="102" t="e">
        <f t="shared" si="708"/>
        <v>#DIV/0!</v>
      </c>
      <c r="AB212" s="102" t="e">
        <f t="shared" si="708"/>
        <v>#DIV/0!</v>
      </c>
      <c r="AC212" s="102" t="e">
        <f t="shared" si="708"/>
        <v>#DIV/0!</v>
      </c>
      <c r="AD212" s="102" t="e">
        <f t="shared" si="708"/>
        <v>#DIV/0!</v>
      </c>
      <c r="AE212" s="102" t="e">
        <f t="shared" si="708"/>
        <v>#DIV/0!</v>
      </c>
      <c r="AF212" s="102" t="e">
        <f t="shared" si="708"/>
        <v>#DIV/0!</v>
      </c>
      <c r="AG212" s="102" t="e">
        <f t="shared" si="708"/>
        <v>#DIV/0!</v>
      </c>
      <c r="AH212" s="115" t="e">
        <f t="shared" si="667"/>
        <v>#DIV/0!</v>
      </c>
      <c r="AI212" s="21">
        <f t="shared" si="668"/>
        <v>0.01</v>
      </c>
      <c r="AJ212" s="108" t="e">
        <f t="shared" si="669"/>
        <v>#DIV/0!</v>
      </c>
    </row>
    <row r="213" spans="2:36">
      <c r="B213" s="10" t="s">
        <v>231</v>
      </c>
      <c r="C213" s="15"/>
      <c r="D213" s="15"/>
      <c r="E213" s="15"/>
      <c r="F213" s="15"/>
      <c r="G213" s="157">
        <f t="shared" ref="G213" si="709">G205/G84</f>
        <v>-0.49357772982079223</v>
      </c>
      <c r="H213" s="157" t="e">
        <f t="shared" ref="H213:I213" si="710">H205/H84</f>
        <v>#DIV/0!</v>
      </c>
      <c r="I213" s="157" t="e">
        <f t="shared" si="710"/>
        <v>#DIV/0!</v>
      </c>
      <c r="J213" s="157" t="e">
        <f t="shared" ref="J213:T213" si="711">J205/J84</f>
        <v>#DIV/0!</v>
      </c>
      <c r="K213" s="157" t="e">
        <f t="shared" si="711"/>
        <v>#DIV/0!</v>
      </c>
      <c r="L213" s="157" t="e">
        <f t="shared" si="711"/>
        <v>#DIV/0!</v>
      </c>
      <c r="M213" s="157" t="e">
        <f t="shared" si="711"/>
        <v>#DIV/0!</v>
      </c>
      <c r="N213" s="157" t="e">
        <f t="shared" si="711"/>
        <v>#DIV/0!</v>
      </c>
      <c r="O213" s="157" t="e">
        <f t="shared" si="711"/>
        <v>#DIV/0!</v>
      </c>
      <c r="P213" s="157" t="e">
        <f t="shared" si="711"/>
        <v>#DIV/0!</v>
      </c>
      <c r="Q213" s="157" t="e">
        <f t="shared" si="711"/>
        <v>#DIV/0!</v>
      </c>
      <c r="R213" s="157" t="e">
        <f t="shared" si="711"/>
        <v>#DIV/0!</v>
      </c>
      <c r="S213" s="157">
        <f t="shared" si="711"/>
        <v>-0.35022243329195918</v>
      </c>
      <c r="T213" s="157">
        <f t="shared" si="711"/>
        <v>-0.22517300097822543</v>
      </c>
      <c r="U213" s="157">
        <f t="shared" ref="U213" si="712">U205/U84</f>
        <v>-0.17693110647181629</v>
      </c>
      <c r="V213" s="101">
        <f t="shared" si="665"/>
        <v>-7.0659416849099155E-2</v>
      </c>
      <c r="W213" s="109"/>
      <c r="X213" s="112">
        <f t="shared" ref="X213:AG213" si="713">X205/X84</f>
        <v>-0.1669470199826574</v>
      </c>
      <c r="Y213" s="112">
        <f t="shared" si="713"/>
        <v>-0.14807474815853089</v>
      </c>
      <c r="Z213" s="112">
        <f t="shared" si="713"/>
        <v>-0.13133586358408827</v>
      </c>
      <c r="AA213" s="112">
        <f t="shared" si="713"/>
        <v>-0.11648920074414787</v>
      </c>
      <c r="AB213" s="112">
        <f t="shared" si="713"/>
        <v>-0.10332085631220074</v>
      </c>
      <c r="AC213" s="112">
        <f t="shared" si="713"/>
        <v>-9.1641107337778055E-2</v>
      </c>
      <c r="AD213" s="112">
        <f t="shared" si="713"/>
        <v>-8.1281677812637926E-2</v>
      </c>
      <c r="AE213" s="112">
        <f t="shared" si="713"/>
        <v>-7.2093314233818012E-2</v>
      </c>
      <c r="AF213" s="112">
        <f t="shared" si="713"/>
        <v>-6.394363523347335E-2</v>
      </c>
      <c r="AG213" s="112">
        <f t="shared" si="713"/>
        <v>-5.6715224294037241E-2</v>
      </c>
      <c r="AH213" s="115" t="e">
        <f t="shared" ref="AH213" si="714">((AG213/J213)^(1/($AG$3-$K$1) ))-1</f>
        <v>#DIV/0!</v>
      </c>
      <c r="AI213" s="21">
        <f t="shared" ref="AI213:AI216" si="715">$O$1</f>
        <v>0.01</v>
      </c>
      <c r="AJ213" s="108" t="e">
        <f t="shared" si="669"/>
        <v>#DIV/0!</v>
      </c>
    </row>
    <row r="214" spans="2:36">
      <c r="B214" s="10"/>
      <c r="C214" s="15"/>
      <c r="D214" s="15"/>
      <c r="E214" s="15"/>
      <c r="F214" s="15"/>
      <c r="G214" s="157"/>
      <c r="H214" s="157"/>
      <c r="I214" s="157"/>
      <c r="J214" s="157"/>
      <c r="K214" s="157"/>
      <c r="L214" s="157"/>
      <c r="M214" s="157"/>
      <c r="N214" s="157"/>
      <c r="O214" s="157"/>
      <c r="P214" s="157"/>
      <c r="Q214" s="157"/>
      <c r="R214" s="157"/>
      <c r="S214" s="157"/>
      <c r="T214" s="157"/>
      <c r="U214" s="157"/>
      <c r="V214" s="157"/>
      <c r="W214" s="109"/>
      <c r="X214" s="112"/>
      <c r="Y214" s="112"/>
      <c r="Z214" s="112"/>
      <c r="AA214" s="112"/>
      <c r="AB214" s="112"/>
      <c r="AC214" s="112"/>
      <c r="AD214" s="112"/>
      <c r="AE214" s="112"/>
      <c r="AF214" s="112"/>
      <c r="AG214" s="112"/>
      <c r="AH214" s="115"/>
      <c r="AI214" s="21">
        <f t="shared" si="715"/>
        <v>0.01</v>
      </c>
      <c r="AJ214" s="108"/>
    </row>
    <row r="215" spans="2:36">
      <c r="B215" s="10" t="s">
        <v>264</v>
      </c>
      <c r="C215" s="128"/>
      <c r="D215" s="128"/>
      <c r="E215" s="128"/>
      <c r="F215" s="128"/>
      <c r="G215" s="128">
        <f t="shared" ref="G215" si="716">G63/G205</f>
        <v>0</v>
      </c>
      <c r="H215" s="128">
        <f t="shared" ref="H215:I215" si="717">H63/H205</f>
        <v>0</v>
      </c>
      <c r="I215" s="128" t="e">
        <f t="shared" si="717"/>
        <v>#DIV/0!</v>
      </c>
      <c r="J215" s="128" t="e">
        <f t="shared" ref="J215:T215" si="718">J63/J205</f>
        <v>#DIV/0!</v>
      </c>
      <c r="K215" s="128" t="e">
        <f t="shared" si="718"/>
        <v>#DIV/0!</v>
      </c>
      <c r="L215" s="128" t="e">
        <f t="shared" si="718"/>
        <v>#DIV/0!</v>
      </c>
      <c r="M215" s="128" t="e">
        <f t="shared" si="718"/>
        <v>#DIV/0!</v>
      </c>
      <c r="N215" s="128" t="e">
        <f t="shared" si="718"/>
        <v>#DIV/0!</v>
      </c>
      <c r="O215" s="128" t="e">
        <f t="shared" si="718"/>
        <v>#DIV/0!</v>
      </c>
      <c r="P215" s="128" t="e">
        <f t="shared" si="718"/>
        <v>#DIV/0!</v>
      </c>
      <c r="Q215" s="128" t="e">
        <f t="shared" si="718"/>
        <v>#DIV/0!</v>
      </c>
      <c r="R215" s="128">
        <f t="shared" si="718"/>
        <v>0</v>
      </c>
      <c r="S215" s="128">
        <f t="shared" si="718"/>
        <v>0</v>
      </c>
      <c r="T215" s="128">
        <f t="shared" si="718"/>
        <v>0</v>
      </c>
      <c r="U215" s="128">
        <f t="shared" ref="U215" si="719">U63/U205</f>
        <v>0</v>
      </c>
      <c r="V215" s="101" t="e">
        <f t="shared" si="665"/>
        <v>#DIV/0!</v>
      </c>
      <c r="W215" s="109"/>
      <c r="X215" s="128">
        <f t="shared" ref="X215:AG215" si="720">X63/X205</f>
        <v>0</v>
      </c>
      <c r="Y215" s="128">
        <f t="shared" si="720"/>
        <v>0</v>
      </c>
      <c r="Z215" s="128">
        <f t="shared" si="720"/>
        <v>0</v>
      </c>
      <c r="AA215" s="128">
        <f t="shared" si="720"/>
        <v>0</v>
      </c>
      <c r="AB215" s="128">
        <f t="shared" si="720"/>
        <v>0</v>
      </c>
      <c r="AC215" s="128">
        <f t="shared" si="720"/>
        <v>0</v>
      </c>
      <c r="AD215" s="128">
        <f t="shared" si="720"/>
        <v>0</v>
      </c>
      <c r="AE215" s="128">
        <f t="shared" si="720"/>
        <v>0</v>
      </c>
      <c r="AF215" s="128">
        <f t="shared" si="720"/>
        <v>0</v>
      </c>
      <c r="AG215" s="128">
        <f t="shared" si="720"/>
        <v>0</v>
      </c>
      <c r="AH215" s="115" t="e">
        <f t="shared" ref="AH215:AH220" si="721">((AG215/J215)^(1/($AG$3-$K$1) ))-1</f>
        <v>#DIV/0!</v>
      </c>
      <c r="AI215" s="21">
        <f t="shared" si="715"/>
        <v>0.01</v>
      </c>
      <c r="AJ215" s="108" t="e">
        <f t="shared" si="669"/>
        <v>#DIV/0!</v>
      </c>
    </row>
    <row r="216" spans="2:36">
      <c r="B216" s="10" t="s">
        <v>132</v>
      </c>
      <c r="C216" s="128"/>
      <c r="D216" s="128"/>
      <c r="E216" s="128"/>
      <c r="F216" s="128"/>
      <c r="G216" s="140">
        <f t="shared" ref="G216" si="722">G205*G61</f>
        <v>23052</v>
      </c>
      <c r="H216" s="140">
        <f t="shared" ref="H216:I216" si="723">H205*H61</f>
        <v>0</v>
      </c>
      <c r="I216" s="140">
        <f t="shared" si="723"/>
        <v>0</v>
      </c>
      <c r="J216" s="140">
        <f t="shared" ref="J216:T216" si="724">J205*J61</f>
        <v>0</v>
      </c>
      <c r="K216" s="140">
        <f t="shared" si="724"/>
        <v>0</v>
      </c>
      <c r="L216" s="140">
        <f t="shared" si="724"/>
        <v>0</v>
      </c>
      <c r="M216" s="140">
        <f t="shared" si="724"/>
        <v>0</v>
      </c>
      <c r="N216" s="140">
        <f t="shared" si="724"/>
        <v>0</v>
      </c>
      <c r="O216" s="140">
        <f t="shared" si="724"/>
        <v>0</v>
      </c>
      <c r="P216" s="140">
        <f t="shared" si="724"/>
        <v>0</v>
      </c>
      <c r="Q216" s="140">
        <f t="shared" si="724"/>
        <v>0</v>
      </c>
      <c r="R216" s="140">
        <f t="shared" si="724"/>
        <v>0</v>
      </c>
      <c r="S216" s="140">
        <f t="shared" si="724"/>
        <v>16356.75</v>
      </c>
      <c r="T216" s="140">
        <f t="shared" si="724"/>
        <v>18645</v>
      </c>
      <c r="U216" s="140">
        <f t="shared" ref="U216" si="725">U205*U61</f>
        <v>15933</v>
      </c>
      <c r="V216" s="101">
        <f t="shared" si="665"/>
        <v>-2.6037877338137005E-2</v>
      </c>
      <c r="W216" s="109"/>
      <c r="X216" s="140">
        <f t="shared" ref="X216:AG216" si="726">X205*X61</f>
        <v>17289</v>
      </c>
      <c r="Y216" s="140">
        <f t="shared" si="726"/>
        <v>17634.78</v>
      </c>
      <c r="Z216" s="140">
        <f t="shared" si="726"/>
        <v>17987.475600000002</v>
      </c>
      <c r="AA216" s="140">
        <f t="shared" si="726"/>
        <v>18347.225112</v>
      </c>
      <c r="AB216" s="140">
        <f t="shared" si="726"/>
        <v>18714.16961424</v>
      </c>
      <c r="AC216" s="140">
        <f t="shared" si="726"/>
        <v>19088.4530065248</v>
      </c>
      <c r="AD216" s="140">
        <f t="shared" si="726"/>
        <v>19470.2220666553</v>
      </c>
      <c r="AE216" s="140">
        <f t="shared" si="726"/>
        <v>19859.626507988407</v>
      </c>
      <c r="AF216" s="140">
        <f t="shared" si="726"/>
        <v>20256.819038148173</v>
      </c>
      <c r="AG216" s="140">
        <f t="shared" si="726"/>
        <v>20661.955418911137</v>
      </c>
      <c r="AH216" s="115" t="e">
        <f t="shared" si="721"/>
        <v>#DIV/0!</v>
      </c>
      <c r="AI216" s="21">
        <f t="shared" si="715"/>
        <v>0.01</v>
      </c>
      <c r="AJ216" s="108" t="e">
        <f t="shared" si="669"/>
        <v>#DIV/0!</v>
      </c>
    </row>
    <row r="217" spans="2:36">
      <c r="B217" s="10"/>
      <c r="C217" s="128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57"/>
      <c r="V217" s="157"/>
      <c r="W217" s="109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28"/>
      <c r="AH217" s="128"/>
      <c r="AI217" s="128"/>
      <c r="AJ217" s="128"/>
    </row>
    <row r="218" spans="2:36">
      <c r="B218" s="10" t="s">
        <v>313</v>
      </c>
      <c r="C218" s="136"/>
      <c r="D218" s="136"/>
      <c r="E218" s="136"/>
      <c r="F218" s="136"/>
      <c r="G218" s="136">
        <f t="shared" ref="G218" si="727">G76/G205</f>
        <v>2.021516571230262E-2</v>
      </c>
      <c r="H218" s="136" t="e">
        <f t="shared" ref="H218:I218" si="728">H76/H205</f>
        <v>#DIV/0!</v>
      </c>
      <c r="I218" s="136" t="e">
        <f t="shared" si="728"/>
        <v>#DIV/0!</v>
      </c>
      <c r="J218" s="136" t="e">
        <f t="shared" ref="J218:T218" si="729">J76/J205</f>
        <v>#DIV/0!</v>
      </c>
      <c r="K218" s="136" t="e">
        <f t="shared" si="729"/>
        <v>#DIV/0!</v>
      </c>
      <c r="L218" s="136" t="e">
        <f t="shared" si="729"/>
        <v>#DIV/0!</v>
      </c>
      <c r="M218" s="136" t="e">
        <f t="shared" si="729"/>
        <v>#DIV/0!</v>
      </c>
      <c r="N218" s="136" t="e">
        <f t="shared" si="729"/>
        <v>#DIV/0!</v>
      </c>
      <c r="O218" s="136" t="e">
        <f t="shared" si="729"/>
        <v>#DIV/0!</v>
      </c>
      <c r="P218" s="136" t="e">
        <f t="shared" si="729"/>
        <v>#DIV/0!</v>
      </c>
      <c r="Q218" s="136" t="e">
        <f t="shared" si="729"/>
        <v>#DIV/0!</v>
      </c>
      <c r="R218" s="136" t="e">
        <f t="shared" si="729"/>
        <v>#DIV/0!</v>
      </c>
      <c r="S218" s="136">
        <f t="shared" si="729"/>
        <v>2.8489767221483487E-2</v>
      </c>
      <c r="T218" s="136">
        <f t="shared" si="729"/>
        <v>5.4652721909359075E-2</v>
      </c>
      <c r="U218" s="136">
        <f t="shared" ref="U218" si="730">U76/U205</f>
        <v>5.5168518169836187E-2</v>
      </c>
      <c r="V218" s="101">
        <f t="shared" si="665"/>
        <v>7.4345225403000814E-2</v>
      </c>
      <c r="W218" s="109"/>
      <c r="X218" s="136">
        <f t="shared" ref="X218:AG218" si="731">X76/X205</f>
        <v>5.846781190352246E-2</v>
      </c>
      <c r="Y218" s="136">
        <f t="shared" si="731"/>
        <v>6.5919591852010614E-2</v>
      </c>
      <c r="Z218" s="136">
        <f t="shared" si="731"/>
        <v>7.432110846060018E-2</v>
      </c>
      <c r="AA218" s="136">
        <f t="shared" si="731"/>
        <v>8.3793406597735501E-2</v>
      </c>
      <c r="AB218" s="136">
        <f t="shared" si="731"/>
        <v>9.4472958419015499E-2</v>
      </c>
      <c r="AC218" s="136">
        <f t="shared" si="731"/>
        <v>0.10651362959006649</v>
      </c>
      <c r="AD218" s="136">
        <f t="shared" si="731"/>
        <v>0.1200888961064475</v>
      </c>
      <c r="AE218" s="136">
        <f t="shared" si="731"/>
        <v>0.1353943436494261</v>
      </c>
      <c r="AF218" s="136">
        <f t="shared" si="731"/>
        <v>0.15265048548709803</v>
      </c>
      <c r="AG218" s="136">
        <f t="shared" si="731"/>
        <v>0.17210593951976738</v>
      </c>
      <c r="AH218" s="115" t="e">
        <f t="shared" ref="AH218" si="732">((AG218/J218)^(1/($AG$3-$K$1) ))-1</f>
        <v>#DIV/0!</v>
      </c>
      <c r="AI218" s="21">
        <f t="shared" ref="AI218" si="733">$O$1</f>
        <v>0.01</v>
      </c>
      <c r="AJ218" s="108" t="e">
        <f t="shared" ref="AJ218" si="734">(AG218*(1+AH218))/($C$1-AI218)</f>
        <v>#DIV/0!</v>
      </c>
    </row>
    <row r="219" spans="2:36">
      <c r="B219" s="10" t="str">
        <f>B207</f>
        <v>P/E (how many years it will take to recover invested amount)</v>
      </c>
      <c r="C219" s="128"/>
      <c r="D219" s="128"/>
      <c r="E219" s="128"/>
      <c r="F219" s="128"/>
      <c r="G219" s="156">
        <f t="shared" ref="G219" si="735">G207</f>
        <v>49.467811158798284</v>
      </c>
      <c r="H219" s="156" t="e">
        <f t="shared" ref="H219:I219" si="736">H207</f>
        <v>#DIV/0!</v>
      </c>
      <c r="I219" s="156" t="e">
        <f t="shared" si="736"/>
        <v>#DIV/0!</v>
      </c>
      <c r="J219" s="156" t="e">
        <f t="shared" ref="J219:T219" si="737">J207</f>
        <v>#DIV/0!</v>
      </c>
      <c r="K219" s="156" t="e">
        <f t="shared" si="737"/>
        <v>#DIV/0!</v>
      </c>
      <c r="L219" s="156" t="e">
        <f t="shared" si="737"/>
        <v>#DIV/0!</v>
      </c>
      <c r="M219" s="156" t="e">
        <f t="shared" si="737"/>
        <v>#DIV/0!</v>
      </c>
      <c r="N219" s="156" t="e">
        <f t="shared" si="737"/>
        <v>#DIV/0!</v>
      </c>
      <c r="O219" s="156" t="e">
        <f t="shared" si="737"/>
        <v>#DIV/0!</v>
      </c>
      <c r="P219" s="156" t="e">
        <f t="shared" si="737"/>
        <v>#DIV/0!</v>
      </c>
      <c r="Q219" s="156" t="e">
        <f t="shared" si="737"/>
        <v>#DIV/0!</v>
      </c>
      <c r="R219" s="156" t="e">
        <f t="shared" si="737"/>
        <v>#DIV/0!</v>
      </c>
      <c r="S219" s="156">
        <f t="shared" si="737"/>
        <v>35.100321888412019</v>
      </c>
      <c r="T219" s="156">
        <f t="shared" si="737"/>
        <v>18.297350343473994</v>
      </c>
      <c r="U219" s="156">
        <f t="shared" ref="U219" si="738">U207</f>
        <v>18.12627986348123</v>
      </c>
      <c r="V219" s="101">
        <f t="shared" si="665"/>
        <v>-6.9200498727132076E-2</v>
      </c>
      <c r="W219" s="109"/>
      <c r="X219" s="128">
        <f t="shared" ref="X219:AG219" si="739">X207</f>
        <v>17.103427808280163</v>
      </c>
      <c r="Y219" s="128">
        <f t="shared" si="739"/>
        <v>15.169996838648494</v>
      </c>
      <c r="Z219" s="128">
        <f t="shared" si="739"/>
        <v>13.455127630801275</v>
      </c>
      <c r="AA219" s="128">
        <f t="shared" si="739"/>
        <v>11.934113202971567</v>
      </c>
      <c r="AB219" s="128">
        <f t="shared" si="739"/>
        <v>10.585039536548695</v>
      </c>
      <c r="AC219" s="128">
        <f t="shared" si="739"/>
        <v>9.3884698498084092</v>
      </c>
      <c r="AD219" s="128">
        <f t="shared" si="739"/>
        <v>8.327164562438762</v>
      </c>
      <c r="AE219" s="128">
        <f t="shared" si="739"/>
        <v>7.3858329162500338</v>
      </c>
      <c r="AF219" s="128">
        <f t="shared" si="739"/>
        <v>6.5509126735435093</v>
      </c>
      <c r="AG219" s="128">
        <f t="shared" si="739"/>
        <v>5.8103747191429393</v>
      </c>
      <c r="AH219" s="115" t="e">
        <f t="shared" ref="AH219" si="740">((AG219/J219)^(1/($AG$3-$K$1) ))-1</f>
        <v>#DIV/0!</v>
      </c>
      <c r="AI219" s="21">
        <f t="shared" ref="AI219:AI221" si="741">$O$1</f>
        <v>0.01</v>
      </c>
      <c r="AJ219" s="156" t="e">
        <f>(AJ206)/($O$2*100)</f>
        <v>#DIV/0!</v>
      </c>
    </row>
    <row r="220" spans="2:36">
      <c r="B220" s="10" t="s">
        <v>432</v>
      </c>
      <c r="C220" s="156"/>
      <c r="D220" s="156"/>
      <c r="E220" s="156"/>
      <c r="F220" s="156"/>
      <c r="G220" s="156">
        <f t="shared" ref="G220" si="742">(G207)/($O$2*100)</f>
        <v>3.297854077253219</v>
      </c>
      <c r="H220" s="156" t="e">
        <f t="shared" ref="H220:I220" si="743">(H207)/($O$2*100)</f>
        <v>#DIV/0!</v>
      </c>
      <c r="I220" s="156" t="e">
        <f t="shared" si="743"/>
        <v>#DIV/0!</v>
      </c>
      <c r="J220" s="156" t="e">
        <f t="shared" ref="J220:T220" si="744">(J207)/($O$2*100)</f>
        <v>#DIV/0!</v>
      </c>
      <c r="K220" s="156" t="e">
        <f t="shared" si="744"/>
        <v>#DIV/0!</v>
      </c>
      <c r="L220" s="156" t="e">
        <f t="shared" si="744"/>
        <v>#DIV/0!</v>
      </c>
      <c r="M220" s="156" t="e">
        <f t="shared" si="744"/>
        <v>#DIV/0!</v>
      </c>
      <c r="N220" s="156" t="e">
        <f t="shared" si="744"/>
        <v>#DIV/0!</v>
      </c>
      <c r="O220" s="156" t="e">
        <f t="shared" si="744"/>
        <v>#DIV/0!</v>
      </c>
      <c r="P220" s="156" t="e">
        <f t="shared" si="744"/>
        <v>#DIV/0!</v>
      </c>
      <c r="Q220" s="156" t="e">
        <f t="shared" si="744"/>
        <v>#DIV/0!</v>
      </c>
      <c r="R220" s="156" t="e">
        <f t="shared" si="744"/>
        <v>#DIV/0!</v>
      </c>
      <c r="S220" s="156">
        <f t="shared" si="744"/>
        <v>2.3400214592274677</v>
      </c>
      <c r="T220" s="156">
        <f t="shared" si="744"/>
        <v>1.2198233562315997</v>
      </c>
      <c r="U220" s="156">
        <f t="shared" ref="U220" si="745">(U207)/($O$2*100)</f>
        <v>1.2084186575654152</v>
      </c>
      <c r="V220" s="101">
        <f t="shared" si="665"/>
        <v>-6.9200498727132076E-2</v>
      </c>
      <c r="W220" s="109"/>
      <c r="X220" s="156">
        <f t="shared" ref="X220:AG220" si="746">(X207)/($O$2*100)</f>
        <v>1.1402285205520108</v>
      </c>
      <c r="Y220" s="156">
        <f t="shared" si="746"/>
        <v>1.0113331225765663</v>
      </c>
      <c r="Z220" s="156">
        <f t="shared" si="746"/>
        <v>0.89700850872008497</v>
      </c>
      <c r="AA220" s="156">
        <f t="shared" si="746"/>
        <v>0.79560754686477109</v>
      </c>
      <c r="AB220" s="156">
        <f t="shared" si="746"/>
        <v>0.70566930243657966</v>
      </c>
      <c r="AC220" s="156">
        <f t="shared" si="746"/>
        <v>0.62589798998722723</v>
      </c>
      <c r="AD220" s="156">
        <f t="shared" si="746"/>
        <v>0.55514430416258409</v>
      </c>
      <c r="AE220" s="156">
        <f t="shared" si="746"/>
        <v>0.49238886108333557</v>
      </c>
      <c r="AF220" s="156">
        <f t="shared" si="746"/>
        <v>0.43672751156956729</v>
      </c>
      <c r="AG220" s="156">
        <f t="shared" si="746"/>
        <v>0.3873583146095293</v>
      </c>
      <c r="AH220" s="115" t="e">
        <f t="shared" si="721"/>
        <v>#DIV/0!</v>
      </c>
      <c r="AI220" s="21">
        <f t="shared" si="741"/>
        <v>0.01</v>
      </c>
      <c r="AJ220" s="156" t="e">
        <f>(AJ207)/($O$2*100)</f>
        <v>#DIV/0!</v>
      </c>
    </row>
    <row r="221" spans="2:36">
      <c r="B221" s="10" t="s">
        <v>433</v>
      </c>
      <c r="C221" s="128"/>
      <c r="D221" s="128"/>
      <c r="E221" s="128"/>
      <c r="F221" s="128"/>
      <c r="G221" s="128">
        <f t="shared" ref="G221" si="747">G220-1</f>
        <v>2.297854077253219</v>
      </c>
      <c r="H221" s="128" t="e">
        <f t="shared" ref="H221:I221" si="748">H220-1</f>
        <v>#DIV/0!</v>
      </c>
      <c r="I221" s="128" t="e">
        <f t="shared" si="748"/>
        <v>#DIV/0!</v>
      </c>
      <c r="J221" s="128" t="e">
        <f t="shared" ref="J221:S221" si="749">J220-1</f>
        <v>#DIV/0!</v>
      </c>
      <c r="K221" s="128" t="e">
        <f t="shared" si="749"/>
        <v>#DIV/0!</v>
      </c>
      <c r="L221" s="128" t="e">
        <f t="shared" si="749"/>
        <v>#DIV/0!</v>
      </c>
      <c r="M221" s="128" t="e">
        <f t="shared" si="749"/>
        <v>#DIV/0!</v>
      </c>
      <c r="N221" s="128" t="e">
        <f t="shared" si="749"/>
        <v>#DIV/0!</v>
      </c>
      <c r="O221" s="128" t="e">
        <f t="shared" si="749"/>
        <v>#DIV/0!</v>
      </c>
      <c r="P221" s="128" t="e">
        <f t="shared" si="749"/>
        <v>#DIV/0!</v>
      </c>
      <c r="Q221" s="128" t="e">
        <f t="shared" si="749"/>
        <v>#DIV/0!</v>
      </c>
      <c r="R221" s="128" t="e">
        <f t="shared" si="749"/>
        <v>#DIV/0!</v>
      </c>
      <c r="S221" s="128">
        <f t="shared" si="749"/>
        <v>1.3400214592274677</v>
      </c>
      <c r="T221" s="128">
        <f>T220-1</f>
        <v>0.21982335623159965</v>
      </c>
      <c r="U221" s="128">
        <f>U220-1</f>
        <v>0.20841865756541522</v>
      </c>
      <c r="V221" s="101">
        <f t="shared" si="665"/>
        <v>-0.15755051769723849</v>
      </c>
      <c r="W221" s="109"/>
      <c r="X221" s="128">
        <f t="shared" ref="X221:AG221" si="750">X220-1</f>
        <v>0.14022852055201085</v>
      </c>
      <c r="Y221" s="128">
        <f t="shared" si="750"/>
        <v>1.1333122576566268E-2</v>
      </c>
      <c r="Z221" s="128">
        <f t="shared" si="750"/>
        <v>-0.10299149127991503</v>
      </c>
      <c r="AA221" s="128">
        <f t="shared" si="750"/>
        <v>-0.20439245313522891</v>
      </c>
      <c r="AB221" s="128">
        <f t="shared" si="750"/>
        <v>-0.29433069756342034</v>
      </c>
      <c r="AC221" s="128">
        <f t="shared" si="750"/>
        <v>-0.37410201001277277</v>
      </c>
      <c r="AD221" s="128">
        <f t="shared" si="750"/>
        <v>-0.44485569583741591</v>
      </c>
      <c r="AE221" s="128">
        <f t="shared" si="750"/>
        <v>-0.50761113891666443</v>
      </c>
      <c r="AF221" s="128">
        <f t="shared" si="750"/>
        <v>-0.56327248843043276</v>
      </c>
      <c r="AG221" s="128">
        <f t="shared" si="750"/>
        <v>-0.6126416853904707</v>
      </c>
      <c r="AH221" s="115" t="e">
        <f t="shared" ref="AH221" si="751">((AG221/J221)^(1/($AG$3-$K$1) ))-1</f>
        <v>#DIV/0!</v>
      </c>
      <c r="AI221" s="21">
        <f t="shared" si="741"/>
        <v>0.01</v>
      </c>
      <c r="AJ221" s="156" t="e">
        <f>(AJ208)/($O$2*100)</f>
        <v>#DIV/0!</v>
      </c>
    </row>
    <row r="222" spans="2:36">
      <c r="B222" s="10"/>
      <c r="C222" s="128"/>
      <c r="D222" s="128"/>
      <c r="E222" s="128"/>
      <c r="F222" s="128"/>
      <c r="G222" s="128"/>
      <c r="H222" s="128"/>
      <c r="I222" s="128"/>
      <c r="J222" s="128"/>
      <c r="K222" s="128"/>
      <c r="L222" s="128"/>
      <c r="M222" s="128"/>
      <c r="N222" s="128"/>
      <c r="O222" s="128"/>
      <c r="P222" s="128"/>
      <c r="Q222" s="128"/>
      <c r="R222" s="128"/>
      <c r="S222" s="128"/>
      <c r="T222" s="128"/>
      <c r="U222" s="157"/>
      <c r="V222" s="157"/>
      <c r="W222" s="109"/>
      <c r="X222" s="128"/>
      <c r="Y222" s="128"/>
      <c r="Z222" s="128"/>
      <c r="AA222" s="128"/>
      <c r="AB222" s="128"/>
      <c r="AC222" s="128"/>
      <c r="AD222" s="128"/>
      <c r="AE222" s="128"/>
      <c r="AF222" s="128"/>
      <c r="AG222" s="112"/>
      <c r="AH222" s="114"/>
      <c r="AI222" s="10"/>
      <c r="AJ222" s="108"/>
    </row>
    <row r="223" spans="2:36">
      <c r="B223" s="10" t="s">
        <v>503</v>
      </c>
      <c r="C223" s="128"/>
      <c r="D223" s="128"/>
      <c r="E223" s="128"/>
      <c r="F223" s="128"/>
      <c r="G223" s="128">
        <f t="shared" ref="G223:S223" si="752">1/G224</f>
        <v>6.0453384893780519E-3</v>
      </c>
      <c r="H223" s="128">
        <f t="shared" si="752"/>
        <v>8.5642295266189061E-3</v>
      </c>
      <c r="I223" s="128" t="e">
        <f t="shared" si="752"/>
        <v>#DIV/0!</v>
      </c>
      <c r="J223" s="128" t="e">
        <f t="shared" si="752"/>
        <v>#DIV/0!</v>
      </c>
      <c r="K223" s="128" t="e">
        <f t="shared" si="752"/>
        <v>#DIV/0!</v>
      </c>
      <c r="L223" s="128" t="e">
        <f t="shared" si="752"/>
        <v>#DIV/0!</v>
      </c>
      <c r="M223" s="128" t="e">
        <f t="shared" si="752"/>
        <v>#DIV/0!</v>
      </c>
      <c r="N223" s="128" t="e">
        <f t="shared" si="752"/>
        <v>#DIV/0!</v>
      </c>
      <c r="O223" s="128" t="e">
        <f t="shared" si="752"/>
        <v>#DIV/0!</v>
      </c>
      <c r="P223" s="128" t="e">
        <f t="shared" si="752"/>
        <v>#DIV/0!</v>
      </c>
      <c r="Q223" s="128" t="e">
        <f t="shared" si="752"/>
        <v>#DIV/0!</v>
      </c>
      <c r="R223" s="128">
        <f t="shared" si="752"/>
        <v>6.0453384893780519E-3</v>
      </c>
      <c r="S223" s="128">
        <f t="shared" si="752"/>
        <v>8.519855280366995E-3</v>
      </c>
      <c r="T223" s="128">
        <f>1/T224</f>
        <v>7.4742366777765011E-3</v>
      </c>
      <c r="U223" s="128">
        <f>1/U224</f>
        <v>8.7464471761214361E-3</v>
      </c>
      <c r="V223" s="101">
        <f t="shared" si="665"/>
        <v>2.6733973254498666E-2</v>
      </c>
      <c r="W223" s="109"/>
      <c r="X223" s="128">
        <f t="shared" ref="X223:AG223" si="753">1/X224</f>
        <v>8.22166034555415E-3</v>
      </c>
      <c r="Y223" s="128">
        <f t="shared" si="753"/>
        <v>8.22166034555415E-3</v>
      </c>
      <c r="Z223" s="128">
        <f t="shared" si="753"/>
        <v>8.22166034555415E-3</v>
      </c>
      <c r="AA223" s="128">
        <f t="shared" si="753"/>
        <v>8.22166034555415E-3</v>
      </c>
      <c r="AB223" s="128">
        <f t="shared" si="753"/>
        <v>8.22166034555415E-3</v>
      </c>
      <c r="AC223" s="128">
        <f t="shared" si="753"/>
        <v>8.22166034555415E-3</v>
      </c>
      <c r="AD223" s="128">
        <f t="shared" si="753"/>
        <v>8.22166034555415E-3</v>
      </c>
      <c r="AE223" s="128">
        <f t="shared" si="753"/>
        <v>8.22166034555415E-3</v>
      </c>
      <c r="AF223" s="128">
        <f t="shared" si="753"/>
        <v>8.22166034555415E-3</v>
      </c>
      <c r="AG223" s="128">
        <f t="shared" si="753"/>
        <v>8.22166034555415E-3</v>
      </c>
      <c r="AH223" s="115" t="e">
        <f t="shared" ref="AH223" si="754">((AG223/J223)^(1/($AG$3-$K$1) ))-1</f>
        <v>#DIV/0!</v>
      </c>
      <c r="AI223" s="21">
        <f t="shared" ref="AI223:AI226" si="755">$O$1</f>
        <v>0.01</v>
      </c>
      <c r="AJ223" s="156" t="e">
        <f>(AJ210)/($O$2*100)</f>
        <v>#DIV/0!</v>
      </c>
    </row>
    <row r="224" spans="2:36">
      <c r="B224" s="10" t="s">
        <v>502</v>
      </c>
      <c r="C224" s="110"/>
      <c r="D224" s="110"/>
      <c r="E224" s="110"/>
      <c r="F224" s="110"/>
      <c r="G224" s="112">
        <f t="shared" ref="G224:U224" si="756">G205/$S$174</f>
        <v>165.41670937980524</v>
      </c>
      <c r="H224" s="112">
        <f t="shared" si="756"/>
        <v>116.7647360328037</v>
      </c>
      <c r="I224" s="112">
        <f t="shared" si="756"/>
        <v>0</v>
      </c>
      <c r="J224" s="112">
        <f t="shared" si="756"/>
        <v>0</v>
      </c>
      <c r="K224" s="112">
        <f t="shared" si="756"/>
        <v>0</v>
      </c>
      <c r="L224" s="112">
        <f t="shared" si="756"/>
        <v>0</v>
      </c>
      <c r="M224" s="112">
        <f t="shared" si="756"/>
        <v>0</v>
      </c>
      <c r="N224" s="112">
        <f t="shared" si="756"/>
        <v>0</v>
      </c>
      <c r="O224" s="112">
        <f t="shared" si="756"/>
        <v>0</v>
      </c>
      <c r="P224" s="112">
        <f t="shared" si="756"/>
        <v>0</v>
      </c>
      <c r="Q224" s="112">
        <f t="shared" si="756"/>
        <v>0</v>
      </c>
      <c r="R224" s="112">
        <f t="shared" si="756"/>
        <v>165.41670937980524</v>
      </c>
      <c r="S224" s="112">
        <f t="shared" si="756"/>
        <v>117.37288569964122</v>
      </c>
      <c r="T224" s="112">
        <f t="shared" si="756"/>
        <v>133.79292670425423</v>
      </c>
      <c r="U224" s="112">
        <f t="shared" si="756"/>
        <v>114.33213736545362</v>
      </c>
      <c r="V224" s="101">
        <f t="shared" si="665"/>
        <v>-2.6037877338137005E-2</v>
      </c>
      <c r="W224" s="109"/>
      <c r="X224" s="112">
        <f t="shared" ref="X224:AG224" si="757">X205/$S$174</f>
        <v>121.62993336750385</v>
      </c>
      <c r="Y224" s="112">
        <f t="shared" si="757"/>
        <v>121.62993336750385</v>
      </c>
      <c r="Z224" s="112">
        <f t="shared" si="757"/>
        <v>121.62993336750385</v>
      </c>
      <c r="AA224" s="112">
        <f t="shared" si="757"/>
        <v>121.62993336750385</v>
      </c>
      <c r="AB224" s="112">
        <f t="shared" si="757"/>
        <v>121.62993336750385</v>
      </c>
      <c r="AC224" s="112">
        <f t="shared" si="757"/>
        <v>121.62993336750385</v>
      </c>
      <c r="AD224" s="112">
        <f t="shared" si="757"/>
        <v>121.62993336750385</v>
      </c>
      <c r="AE224" s="112">
        <f t="shared" si="757"/>
        <v>121.62993336750385</v>
      </c>
      <c r="AF224" s="112">
        <f t="shared" si="757"/>
        <v>121.62993336750385</v>
      </c>
      <c r="AG224" s="112">
        <f t="shared" si="757"/>
        <v>121.62993336750385</v>
      </c>
      <c r="AH224" s="115" t="e">
        <f t="shared" ref="AH224:AH226" si="758">((AG224/J224)^(1/($AG$3-$K$1) ))-1</f>
        <v>#DIV/0!</v>
      </c>
      <c r="AI224" s="21">
        <f t="shared" si="755"/>
        <v>0.01</v>
      </c>
      <c r="AJ224" s="156" t="e">
        <f>(AJ210)/($O$2*100)</f>
        <v>#DIV/0!</v>
      </c>
    </row>
    <row r="225" spans="2:36">
      <c r="B225" s="10" t="s">
        <v>432</v>
      </c>
      <c r="C225" s="110"/>
      <c r="D225" s="110"/>
      <c r="E225" s="110"/>
      <c r="F225" s="110"/>
      <c r="G225" s="156">
        <f t="shared" ref="G225" si="759">(G224)/($O$2*100)</f>
        <v>11.02778062532035</v>
      </c>
      <c r="H225" s="156">
        <f t="shared" ref="H225:I225" si="760">(H224)/($O$2*100)</f>
        <v>7.7843157355202468</v>
      </c>
      <c r="I225" s="156">
        <f t="shared" si="760"/>
        <v>0</v>
      </c>
      <c r="J225" s="156">
        <f t="shared" ref="J225:T225" si="761">(J224)/($O$2*100)</f>
        <v>0</v>
      </c>
      <c r="K225" s="156">
        <f t="shared" si="761"/>
        <v>0</v>
      </c>
      <c r="L225" s="156">
        <f t="shared" si="761"/>
        <v>0</v>
      </c>
      <c r="M225" s="156">
        <f t="shared" si="761"/>
        <v>0</v>
      </c>
      <c r="N225" s="156">
        <f t="shared" si="761"/>
        <v>0</v>
      </c>
      <c r="O225" s="156">
        <f t="shared" si="761"/>
        <v>0</v>
      </c>
      <c r="P225" s="156">
        <f t="shared" si="761"/>
        <v>0</v>
      </c>
      <c r="Q225" s="156">
        <f t="shared" si="761"/>
        <v>0</v>
      </c>
      <c r="R225" s="156">
        <f t="shared" si="761"/>
        <v>11.02778062532035</v>
      </c>
      <c r="S225" s="156">
        <f t="shared" si="761"/>
        <v>7.8248590466427475</v>
      </c>
      <c r="T225" s="156">
        <f t="shared" si="761"/>
        <v>8.9195284469502827</v>
      </c>
      <c r="U225" s="156">
        <f t="shared" ref="U225" si="762">(U224)/($O$2*100)</f>
        <v>7.6221424910302416</v>
      </c>
      <c r="V225" s="101">
        <f t="shared" si="665"/>
        <v>-2.6037877338137005E-2</v>
      </c>
      <c r="W225" s="109"/>
      <c r="X225" s="156">
        <f t="shared" ref="X225:AG225" si="763">(X224)/($O$2*100)</f>
        <v>8.1086622245002573</v>
      </c>
      <c r="Y225" s="156">
        <f t="shared" si="763"/>
        <v>8.1086622245002573</v>
      </c>
      <c r="Z225" s="156">
        <f t="shared" si="763"/>
        <v>8.1086622245002573</v>
      </c>
      <c r="AA225" s="156">
        <f t="shared" si="763"/>
        <v>8.1086622245002573</v>
      </c>
      <c r="AB225" s="156">
        <f t="shared" si="763"/>
        <v>8.1086622245002573</v>
      </c>
      <c r="AC225" s="156">
        <f t="shared" si="763"/>
        <v>8.1086622245002573</v>
      </c>
      <c r="AD225" s="156">
        <f t="shared" si="763"/>
        <v>8.1086622245002573</v>
      </c>
      <c r="AE225" s="156">
        <f t="shared" si="763"/>
        <v>8.1086622245002573</v>
      </c>
      <c r="AF225" s="156">
        <f t="shared" si="763"/>
        <v>8.1086622245002573</v>
      </c>
      <c r="AG225" s="156">
        <f t="shared" si="763"/>
        <v>8.1086622245002573</v>
      </c>
      <c r="AH225" s="115" t="e">
        <f t="shared" si="758"/>
        <v>#DIV/0!</v>
      </c>
      <c r="AI225" s="21">
        <f t="shared" si="755"/>
        <v>0.01</v>
      </c>
      <c r="AJ225" s="156" t="e">
        <f>(AJ211)/($O$2*100)</f>
        <v>#DIV/0!</v>
      </c>
    </row>
    <row r="226" spans="2:36">
      <c r="B226" s="10" t="s">
        <v>434</v>
      </c>
      <c r="C226" s="110"/>
      <c r="D226" s="110"/>
      <c r="E226" s="110"/>
      <c r="F226" s="110"/>
      <c r="G226" s="128">
        <f t="shared" ref="G226" si="764">G225-1</f>
        <v>10.02778062532035</v>
      </c>
      <c r="H226" s="128">
        <f t="shared" ref="H226:I226" si="765">H225-1</f>
        <v>6.7843157355202468</v>
      </c>
      <c r="I226" s="128">
        <f t="shared" si="765"/>
        <v>-1</v>
      </c>
      <c r="J226" s="128">
        <f t="shared" ref="J226:T226" si="766">J225-1</f>
        <v>-1</v>
      </c>
      <c r="K226" s="128">
        <f t="shared" si="766"/>
        <v>-1</v>
      </c>
      <c r="L226" s="128">
        <f t="shared" si="766"/>
        <v>-1</v>
      </c>
      <c r="M226" s="128">
        <f t="shared" si="766"/>
        <v>-1</v>
      </c>
      <c r="N226" s="128">
        <f t="shared" si="766"/>
        <v>-1</v>
      </c>
      <c r="O226" s="128">
        <f t="shared" si="766"/>
        <v>-1</v>
      </c>
      <c r="P226" s="128">
        <f t="shared" si="766"/>
        <v>-1</v>
      </c>
      <c r="Q226" s="128">
        <f t="shared" si="766"/>
        <v>-1</v>
      </c>
      <c r="R226" s="128">
        <f t="shared" si="766"/>
        <v>10.02778062532035</v>
      </c>
      <c r="S226" s="128">
        <f t="shared" si="766"/>
        <v>6.8248590466427475</v>
      </c>
      <c r="T226" s="128">
        <f t="shared" si="766"/>
        <v>7.9195284469502827</v>
      </c>
      <c r="U226" s="128">
        <f t="shared" ref="U226" si="767">U225-1</f>
        <v>6.6221424910302416</v>
      </c>
      <c r="V226" s="101">
        <f t="shared" si="665"/>
        <v>-2.920368038659471E-2</v>
      </c>
      <c r="W226" s="109"/>
      <c r="X226" s="128">
        <f t="shared" ref="X226:AG226" si="768">X225-1</f>
        <v>7.1086622245002573</v>
      </c>
      <c r="Y226" s="128">
        <f t="shared" si="768"/>
        <v>7.1086622245002573</v>
      </c>
      <c r="Z226" s="128">
        <f t="shared" si="768"/>
        <v>7.1086622245002573</v>
      </c>
      <c r="AA226" s="128">
        <f t="shared" si="768"/>
        <v>7.1086622245002573</v>
      </c>
      <c r="AB226" s="128">
        <f t="shared" si="768"/>
        <v>7.1086622245002573</v>
      </c>
      <c r="AC226" s="128">
        <f t="shared" si="768"/>
        <v>7.1086622245002573</v>
      </c>
      <c r="AD226" s="128">
        <f t="shared" si="768"/>
        <v>7.1086622245002573</v>
      </c>
      <c r="AE226" s="128">
        <f t="shared" si="768"/>
        <v>7.1086622245002573</v>
      </c>
      <c r="AF226" s="128">
        <f t="shared" si="768"/>
        <v>7.1086622245002573</v>
      </c>
      <c r="AG226" s="128">
        <f t="shared" si="768"/>
        <v>7.1086622245002573</v>
      </c>
      <c r="AH226" s="115" t="e">
        <f t="shared" si="758"/>
        <v>#NUM!</v>
      </c>
      <c r="AI226" s="21">
        <f t="shared" si="755"/>
        <v>0.01</v>
      </c>
      <c r="AJ226" s="156" t="e">
        <f>(AJ212)/($O$2*100)</f>
        <v>#DIV/0!</v>
      </c>
    </row>
    <row r="227" spans="2:36">
      <c r="B227" s="10"/>
      <c r="C227" s="110"/>
      <c r="D227" s="110"/>
      <c r="E227" s="110"/>
      <c r="F227" s="110"/>
      <c r="G227" s="112"/>
      <c r="H227" s="112"/>
      <c r="I227" s="112"/>
      <c r="J227" s="112"/>
      <c r="K227" s="112"/>
      <c r="L227" s="112"/>
      <c r="M227" s="112"/>
      <c r="N227" s="174"/>
      <c r="O227" s="175"/>
      <c r="P227" s="112"/>
      <c r="Q227" s="112"/>
      <c r="R227" s="112"/>
      <c r="S227" s="112"/>
      <c r="T227" s="112"/>
      <c r="U227" s="157"/>
      <c r="V227" s="157"/>
      <c r="W227" s="109"/>
      <c r="X227" s="112"/>
      <c r="Y227" s="112"/>
      <c r="Z227" s="112"/>
      <c r="AA227" s="112"/>
      <c r="AB227" s="112"/>
      <c r="AC227" s="112"/>
      <c r="AD227" s="112"/>
      <c r="AE227" s="112"/>
      <c r="AF227" s="112"/>
      <c r="AG227" s="112"/>
      <c r="AH227" s="114"/>
      <c r="AI227" s="10"/>
      <c r="AJ227" s="10"/>
    </row>
    <row r="228" spans="2:36">
      <c r="B228" s="10" t="s">
        <v>503</v>
      </c>
      <c r="C228" s="110"/>
      <c r="D228" s="110"/>
      <c r="E228" s="110"/>
      <c r="F228" s="110"/>
      <c r="G228" s="128">
        <f t="shared" ref="G228:U228" si="769">1/G229</f>
        <v>2.051015096304008E-2</v>
      </c>
      <c r="H228" s="128">
        <f t="shared" si="769"/>
        <v>2.9056047197640114E-2</v>
      </c>
      <c r="I228" s="128" t="e">
        <f t="shared" si="769"/>
        <v>#DIV/0!</v>
      </c>
      <c r="J228" s="128" t="e">
        <f t="shared" si="769"/>
        <v>#DIV/0!</v>
      </c>
      <c r="K228" s="128" t="e">
        <f t="shared" si="769"/>
        <v>#DIV/0!</v>
      </c>
      <c r="L228" s="128" t="e">
        <f t="shared" si="769"/>
        <v>#DIV/0!</v>
      </c>
      <c r="M228" s="128" t="e">
        <f t="shared" si="769"/>
        <v>#DIV/0!</v>
      </c>
      <c r="N228" s="128" t="e">
        <f t="shared" si="769"/>
        <v>#DIV/0!</v>
      </c>
      <c r="O228" s="128" t="e">
        <f t="shared" si="769"/>
        <v>#DIV/0!</v>
      </c>
      <c r="P228" s="128" t="e">
        <f t="shared" si="769"/>
        <v>#DIV/0!</v>
      </c>
      <c r="Q228" s="128" t="e">
        <f t="shared" si="769"/>
        <v>#DIV/0!</v>
      </c>
      <c r="R228" s="128">
        <f t="shared" si="769"/>
        <v>2.051015096304008E-2</v>
      </c>
      <c r="S228" s="128">
        <f t="shared" si="769"/>
        <v>2.890549773029483E-2</v>
      </c>
      <c r="T228" s="128">
        <f t="shared" si="769"/>
        <v>2.535800482703137E-2</v>
      </c>
      <c r="U228" s="128">
        <f t="shared" si="769"/>
        <v>2.9674260967802669E-2</v>
      </c>
      <c r="V228" s="101">
        <f t="shared" si="665"/>
        <v>2.6733973254498666E-2</v>
      </c>
      <c r="W228" s="109"/>
      <c r="X228" s="128">
        <f t="shared" ref="X228:AG228" si="770">1/X229</f>
        <v>2.789380530973451E-2</v>
      </c>
      <c r="Y228" s="128">
        <f t="shared" si="770"/>
        <v>2.789380530973451E-2</v>
      </c>
      <c r="Z228" s="128">
        <f t="shared" si="770"/>
        <v>2.789380530973451E-2</v>
      </c>
      <c r="AA228" s="128">
        <f t="shared" si="770"/>
        <v>2.789380530973451E-2</v>
      </c>
      <c r="AB228" s="128">
        <f t="shared" si="770"/>
        <v>2.789380530973451E-2</v>
      </c>
      <c r="AC228" s="128">
        <f t="shared" si="770"/>
        <v>2.789380530973451E-2</v>
      </c>
      <c r="AD228" s="128">
        <f t="shared" si="770"/>
        <v>2.789380530973451E-2</v>
      </c>
      <c r="AE228" s="128">
        <f t="shared" si="770"/>
        <v>2.789380530973451E-2</v>
      </c>
      <c r="AF228" s="128">
        <f t="shared" si="770"/>
        <v>2.789380530973451E-2</v>
      </c>
      <c r="AG228" s="128">
        <f t="shared" si="770"/>
        <v>2.789380530973451E-2</v>
      </c>
      <c r="AH228" s="115" t="e">
        <f t="shared" ref="AH228" si="771">((AG228/J228)^(1/($AG$3-$K$1) ))-1</f>
        <v>#DIV/0!</v>
      </c>
      <c r="AI228" s="21">
        <f t="shared" ref="AI228" si="772">$O$1</f>
        <v>0.01</v>
      </c>
      <c r="AJ228" s="156">
        <f>(AJ214)/($O$2*100)</f>
        <v>0</v>
      </c>
    </row>
    <row r="229" spans="2:36">
      <c r="B229" s="10" t="s">
        <v>411</v>
      </c>
      <c r="C229" s="110"/>
      <c r="D229" s="110"/>
      <c r="E229" s="110"/>
      <c r="F229" s="110"/>
      <c r="G229" s="112">
        <f t="shared" ref="G229" si="773">G205/$T$174</f>
        <v>48.756345177664983</v>
      </c>
      <c r="H229" s="112">
        <f t="shared" ref="H229:I229" si="774">H205/$T$174</f>
        <v>34.416243654822338</v>
      </c>
      <c r="I229" s="112">
        <f t="shared" si="774"/>
        <v>0</v>
      </c>
      <c r="J229" s="112">
        <f t="shared" ref="J229:S229" si="775">J205/$T$174</f>
        <v>0</v>
      </c>
      <c r="K229" s="112">
        <f t="shared" si="775"/>
        <v>0</v>
      </c>
      <c r="L229" s="112">
        <f t="shared" si="775"/>
        <v>0</v>
      </c>
      <c r="M229" s="112">
        <f t="shared" si="775"/>
        <v>0</v>
      </c>
      <c r="N229" s="112">
        <f t="shared" si="775"/>
        <v>0</v>
      </c>
      <c r="O229" s="112">
        <f t="shared" si="775"/>
        <v>0</v>
      </c>
      <c r="P229" s="112">
        <f t="shared" si="775"/>
        <v>0</v>
      </c>
      <c r="Q229" s="112">
        <f t="shared" si="775"/>
        <v>0</v>
      </c>
      <c r="R229" s="112">
        <f t="shared" si="775"/>
        <v>48.756345177664983</v>
      </c>
      <c r="S229" s="112">
        <f t="shared" si="775"/>
        <v>34.595494923857871</v>
      </c>
      <c r="T229" s="112">
        <f>T205/$T$174</f>
        <v>39.435279187817265</v>
      </c>
      <c r="U229" s="112">
        <f>U205/$T$174</f>
        <v>33.699238578680209</v>
      </c>
      <c r="V229" s="101">
        <f t="shared" si="665"/>
        <v>-2.6037877338137005E-2</v>
      </c>
      <c r="W229" s="109"/>
      <c r="X229" s="112">
        <f t="shared" ref="X229:AG229" si="776">X205/$T$174</f>
        <v>35.850253807106604</v>
      </c>
      <c r="Y229" s="112">
        <f t="shared" si="776"/>
        <v>35.850253807106604</v>
      </c>
      <c r="Z229" s="112">
        <f t="shared" si="776"/>
        <v>35.850253807106604</v>
      </c>
      <c r="AA229" s="112">
        <f t="shared" si="776"/>
        <v>35.850253807106604</v>
      </c>
      <c r="AB229" s="112">
        <f t="shared" si="776"/>
        <v>35.850253807106604</v>
      </c>
      <c r="AC229" s="112">
        <f t="shared" si="776"/>
        <v>35.850253807106604</v>
      </c>
      <c r="AD229" s="112">
        <f t="shared" si="776"/>
        <v>35.850253807106604</v>
      </c>
      <c r="AE229" s="112">
        <f t="shared" si="776"/>
        <v>35.850253807106604</v>
      </c>
      <c r="AF229" s="112">
        <f t="shared" si="776"/>
        <v>35.850253807106604</v>
      </c>
      <c r="AG229" s="112">
        <f t="shared" si="776"/>
        <v>35.850253807106604</v>
      </c>
      <c r="AH229" s="115" t="e">
        <f t="shared" ref="AH229:AH231" si="777">((AG229/J229)^(1/($AG$3-$K$1) ))-1</f>
        <v>#DIV/0!</v>
      </c>
      <c r="AI229" s="21">
        <f t="shared" ref="AI229:AI231" si="778">$O$1</f>
        <v>0.01</v>
      </c>
      <c r="AJ229" s="156">
        <f>(AJ214)/($O$2*100)</f>
        <v>0</v>
      </c>
    </row>
    <row r="230" spans="2:36">
      <c r="B230" s="10" t="s">
        <v>432</v>
      </c>
      <c r="C230" s="110"/>
      <c r="D230" s="110"/>
      <c r="E230" s="110"/>
      <c r="F230" s="110"/>
      <c r="G230" s="156">
        <f t="shared" ref="G230" si="779">(G229)/($O$2*100)</f>
        <v>3.2504230118443322</v>
      </c>
      <c r="H230" s="156">
        <f t="shared" ref="H230:I230" si="780">(H229)/($O$2*100)</f>
        <v>2.2944162436548226</v>
      </c>
      <c r="I230" s="156">
        <f t="shared" si="780"/>
        <v>0</v>
      </c>
      <c r="J230" s="156">
        <f t="shared" ref="J230:T230" si="781">(J229)/($O$2*100)</f>
        <v>0</v>
      </c>
      <c r="K230" s="156">
        <f t="shared" si="781"/>
        <v>0</v>
      </c>
      <c r="L230" s="156">
        <f t="shared" si="781"/>
        <v>0</v>
      </c>
      <c r="M230" s="156">
        <f t="shared" si="781"/>
        <v>0</v>
      </c>
      <c r="N230" s="156">
        <f t="shared" si="781"/>
        <v>0</v>
      </c>
      <c r="O230" s="156">
        <f t="shared" si="781"/>
        <v>0</v>
      </c>
      <c r="P230" s="156">
        <f t="shared" si="781"/>
        <v>0</v>
      </c>
      <c r="Q230" s="156">
        <f t="shared" si="781"/>
        <v>0</v>
      </c>
      <c r="R230" s="156">
        <f t="shared" si="781"/>
        <v>3.2504230118443322</v>
      </c>
      <c r="S230" s="156">
        <f t="shared" si="781"/>
        <v>2.3063663282571913</v>
      </c>
      <c r="T230" s="156">
        <f t="shared" si="781"/>
        <v>2.629018612521151</v>
      </c>
      <c r="U230" s="156">
        <f t="shared" ref="U230" si="782">(U229)/($O$2*100)</f>
        <v>2.2466159052453474</v>
      </c>
      <c r="V230" s="101">
        <f t="shared" si="665"/>
        <v>-2.6037877338137005E-2</v>
      </c>
      <c r="W230" s="109"/>
      <c r="X230" s="156">
        <f t="shared" ref="X230:AG230" si="783">(X229)/($O$2*100)</f>
        <v>2.3900169204737738</v>
      </c>
      <c r="Y230" s="156">
        <f t="shared" si="783"/>
        <v>2.3900169204737738</v>
      </c>
      <c r="Z230" s="156">
        <f t="shared" si="783"/>
        <v>2.3900169204737738</v>
      </c>
      <c r="AA230" s="156">
        <f t="shared" si="783"/>
        <v>2.3900169204737738</v>
      </c>
      <c r="AB230" s="156">
        <f t="shared" si="783"/>
        <v>2.3900169204737738</v>
      </c>
      <c r="AC230" s="156">
        <f t="shared" si="783"/>
        <v>2.3900169204737738</v>
      </c>
      <c r="AD230" s="156">
        <f t="shared" si="783"/>
        <v>2.3900169204737738</v>
      </c>
      <c r="AE230" s="156">
        <f t="shared" si="783"/>
        <v>2.3900169204737738</v>
      </c>
      <c r="AF230" s="156">
        <f t="shared" si="783"/>
        <v>2.3900169204737738</v>
      </c>
      <c r="AG230" s="156">
        <f t="shared" si="783"/>
        <v>2.3900169204737738</v>
      </c>
      <c r="AH230" s="115" t="e">
        <f t="shared" si="777"/>
        <v>#DIV/0!</v>
      </c>
      <c r="AI230" s="21">
        <f t="shared" si="778"/>
        <v>0.01</v>
      </c>
      <c r="AJ230" s="156" t="e">
        <f>(#REF!)/($O$2*100)</f>
        <v>#REF!</v>
      </c>
    </row>
    <row r="231" spans="2:36">
      <c r="B231" s="10" t="s">
        <v>434</v>
      </c>
      <c r="C231" s="110"/>
      <c r="D231" s="110"/>
      <c r="E231" s="110"/>
      <c r="F231" s="110"/>
      <c r="G231" s="128">
        <f t="shared" ref="G231" si="784">G230-1</f>
        <v>2.2504230118443322</v>
      </c>
      <c r="H231" s="128">
        <f t="shared" ref="H231:I231" si="785">H230-1</f>
        <v>1.2944162436548226</v>
      </c>
      <c r="I231" s="128">
        <f t="shared" si="785"/>
        <v>-1</v>
      </c>
      <c r="J231" s="128">
        <f t="shared" ref="J231:T231" si="786">J230-1</f>
        <v>-1</v>
      </c>
      <c r="K231" s="128">
        <f t="shared" si="786"/>
        <v>-1</v>
      </c>
      <c r="L231" s="128">
        <f t="shared" si="786"/>
        <v>-1</v>
      </c>
      <c r="M231" s="128">
        <f t="shared" si="786"/>
        <v>-1</v>
      </c>
      <c r="N231" s="128">
        <f t="shared" si="786"/>
        <v>-1</v>
      </c>
      <c r="O231" s="128">
        <f t="shared" si="786"/>
        <v>-1</v>
      </c>
      <c r="P231" s="128">
        <f t="shared" si="786"/>
        <v>-1</v>
      </c>
      <c r="Q231" s="128">
        <f t="shared" si="786"/>
        <v>-1</v>
      </c>
      <c r="R231" s="128">
        <f t="shared" si="786"/>
        <v>2.2504230118443322</v>
      </c>
      <c r="S231" s="128">
        <f t="shared" si="786"/>
        <v>1.3063663282571913</v>
      </c>
      <c r="T231" s="128">
        <f t="shared" si="786"/>
        <v>1.629018612521151</v>
      </c>
      <c r="U231" s="128">
        <f t="shared" ref="U231" si="787">U230-1</f>
        <v>1.2466159052453474</v>
      </c>
      <c r="V231" s="101">
        <f t="shared" si="665"/>
        <v>-4.1314140378967079E-2</v>
      </c>
      <c r="W231" s="109"/>
      <c r="X231" s="128">
        <f t="shared" ref="X231:AG231" si="788">X230-1</f>
        <v>1.3900169204737738</v>
      </c>
      <c r="Y231" s="128">
        <f t="shared" si="788"/>
        <v>1.3900169204737738</v>
      </c>
      <c r="Z231" s="128">
        <f t="shared" si="788"/>
        <v>1.3900169204737738</v>
      </c>
      <c r="AA231" s="128">
        <f t="shared" si="788"/>
        <v>1.3900169204737738</v>
      </c>
      <c r="AB231" s="128">
        <f t="shared" si="788"/>
        <v>1.3900169204737738</v>
      </c>
      <c r="AC231" s="128">
        <f t="shared" si="788"/>
        <v>1.3900169204737738</v>
      </c>
      <c r="AD231" s="128">
        <f t="shared" si="788"/>
        <v>1.3900169204737738</v>
      </c>
      <c r="AE231" s="128">
        <f t="shared" si="788"/>
        <v>1.3900169204737738</v>
      </c>
      <c r="AF231" s="128">
        <f t="shared" si="788"/>
        <v>1.3900169204737738</v>
      </c>
      <c r="AG231" s="128">
        <f t="shared" si="788"/>
        <v>1.3900169204737738</v>
      </c>
      <c r="AH231" s="115" t="e">
        <f t="shared" si="777"/>
        <v>#NUM!</v>
      </c>
      <c r="AI231" s="21">
        <f t="shared" si="778"/>
        <v>0.01</v>
      </c>
      <c r="AJ231" s="156" t="e">
        <f>(AJ215)/($O$2*100)</f>
        <v>#DIV/0!</v>
      </c>
    </row>
    <row r="232" spans="2:36">
      <c r="B232" s="10"/>
      <c r="C232" s="110"/>
      <c r="D232" s="110"/>
      <c r="E232" s="110"/>
      <c r="F232" s="110"/>
      <c r="G232" s="110"/>
      <c r="H232" s="110"/>
      <c r="I232" s="110"/>
      <c r="J232" s="112"/>
      <c r="K232" s="112"/>
      <c r="L232" s="112"/>
      <c r="M232" s="112"/>
      <c r="N232" s="174"/>
      <c r="O232" s="175"/>
      <c r="P232" s="112"/>
      <c r="Q232" s="112"/>
      <c r="R232" s="112"/>
      <c r="S232" s="112"/>
      <c r="T232" s="112"/>
      <c r="U232" s="157"/>
      <c r="V232" s="157"/>
      <c r="W232" s="109"/>
      <c r="X232" s="112"/>
      <c r="Y232" s="112"/>
      <c r="Z232" s="112"/>
      <c r="AA232" s="112"/>
      <c r="AB232" s="112"/>
      <c r="AC232" s="112"/>
      <c r="AD232" s="112"/>
      <c r="AE232" s="112"/>
      <c r="AF232" s="112"/>
      <c r="AG232" s="112"/>
      <c r="AH232" s="114"/>
      <c r="AI232" s="10"/>
      <c r="AJ232" s="10"/>
    </row>
    <row r="233" spans="2:36">
      <c r="B233" s="10" t="s">
        <v>504</v>
      </c>
      <c r="C233" s="110"/>
      <c r="D233" s="110"/>
      <c r="E233" s="110"/>
      <c r="F233" s="110"/>
      <c r="G233" s="128">
        <f t="shared" ref="G233:S233" si="789">1/G234</f>
        <v>2.1135789452968897E-2</v>
      </c>
      <c r="H233" s="128">
        <f t="shared" si="789"/>
        <v>2.9942368391705942E-2</v>
      </c>
      <c r="I233" s="128" t="e">
        <f t="shared" si="789"/>
        <v>#DIV/0!</v>
      </c>
      <c r="J233" s="128" t="e">
        <f t="shared" si="789"/>
        <v>#DIV/0!</v>
      </c>
      <c r="K233" s="128" t="e">
        <f t="shared" si="789"/>
        <v>#DIV/0!</v>
      </c>
      <c r="L233" s="128" t="e">
        <f t="shared" si="789"/>
        <v>#DIV/0!</v>
      </c>
      <c r="M233" s="128" t="e">
        <f t="shared" si="789"/>
        <v>#DIV/0!</v>
      </c>
      <c r="N233" s="128" t="e">
        <f t="shared" si="789"/>
        <v>#DIV/0!</v>
      </c>
      <c r="O233" s="128" t="e">
        <f t="shared" si="789"/>
        <v>#DIV/0!</v>
      </c>
      <c r="P233" s="128" t="e">
        <f t="shared" si="789"/>
        <v>#DIV/0!</v>
      </c>
      <c r="Q233" s="128" t="e">
        <f t="shared" si="789"/>
        <v>#DIV/0!</v>
      </c>
      <c r="R233" s="128">
        <f t="shared" si="789"/>
        <v>2.1135789452968897E-2</v>
      </c>
      <c r="S233" s="128">
        <f t="shared" si="789"/>
        <v>2.9787226586567569E-2</v>
      </c>
      <c r="T233" s="128">
        <f>1/T234</f>
        <v>2.6131521505488819E-2</v>
      </c>
      <c r="U233" s="128">
        <f>1/U234</f>
        <v>3.0579440059614577E-2</v>
      </c>
      <c r="V233" s="101">
        <f t="shared" si="665"/>
        <v>2.6733973254498666E-2</v>
      </c>
      <c r="W233" s="109"/>
      <c r="X233" s="128">
        <f t="shared" ref="X233:AG233" si="790">1/X234</f>
        <v>2.7711400786307951</v>
      </c>
      <c r="Y233" s="128">
        <f t="shared" si="790"/>
        <v>1.2415211524827938</v>
      </c>
      <c r="Z233" s="128">
        <f t="shared" si="790"/>
        <v>1.3997542405443262</v>
      </c>
      <c r="AA233" s="128">
        <f t="shared" si="790"/>
        <v>1.5781542908097792</v>
      </c>
      <c r="AB233" s="128">
        <f t="shared" si="790"/>
        <v>1.779291602383575</v>
      </c>
      <c r="AC233" s="128">
        <f t="shared" si="790"/>
        <v>2.0060640615108927</v>
      </c>
      <c r="AD233" s="128">
        <f t="shared" si="790"/>
        <v>2.261738892879928</v>
      </c>
      <c r="AE233" s="128">
        <f t="shared" si="790"/>
        <v>2.5499997321685464</v>
      </c>
      <c r="AF233" s="128">
        <f t="shared" si="790"/>
        <v>2.8749996980331645</v>
      </c>
      <c r="AG233" s="128">
        <f t="shared" si="790"/>
        <v>3.2414212281746457</v>
      </c>
      <c r="AH233" s="115" t="e">
        <f t="shared" ref="AH233:AH236" si="791">((AG233/J233)^(1/($AG$3-$K$1) ))-1</f>
        <v>#DIV/0!</v>
      </c>
      <c r="AI233" s="21">
        <f t="shared" ref="AI233:AI236" si="792">$O$1</f>
        <v>0.01</v>
      </c>
      <c r="AJ233" s="156" t="e">
        <f>(AJ219)/($O$2*100)</f>
        <v>#DIV/0!</v>
      </c>
    </row>
    <row r="234" spans="2:36">
      <c r="B234" s="10" t="s">
        <v>498</v>
      </c>
      <c r="C234" s="110"/>
      <c r="D234" s="110"/>
      <c r="E234" s="110"/>
      <c r="F234" s="110"/>
      <c r="G234" s="112">
        <f t="shared" ref="G234" si="793">G205/$X$175</f>
        <v>47.313113249220613</v>
      </c>
      <c r="H234" s="112">
        <f t="shared" ref="H234:S234" si="794">H205/$X$175</f>
        <v>33.397491705332193</v>
      </c>
      <c r="I234" s="112">
        <f t="shared" si="794"/>
        <v>0</v>
      </c>
      <c r="J234" s="112">
        <f t="shared" si="794"/>
        <v>0</v>
      </c>
      <c r="K234" s="112">
        <f t="shared" si="794"/>
        <v>0</v>
      </c>
      <c r="L234" s="112">
        <f t="shared" si="794"/>
        <v>0</v>
      </c>
      <c r="M234" s="112">
        <f t="shared" si="794"/>
        <v>0</v>
      </c>
      <c r="N234" s="112">
        <f t="shared" si="794"/>
        <v>0</v>
      </c>
      <c r="O234" s="112">
        <f t="shared" si="794"/>
        <v>0</v>
      </c>
      <c r="P234" s="112">
        <f t="shared" si="794"/>
        <v>0</v>
      </c>
      <c r="Q234" s="112">
        <f t="shared" si="794"/>
        <v>0</v>
      </c>
      <c r="R234" s="112">
        <f t="shared" si="794"/>
        <v>47.313113249220613</v>
      </c>
      <c r="S234" s="112">
        <f t="shared" si="794"/>
        <v>33.571436974630799</v>
      </c>
      <c r="T234" s="112">
        <f>T205/$X$175</f>
        <v>38.267959245693142</v>
      </c>
      <c r="U234" s="112">
        <f>U205/$X$175</f>
        <v>32.701710628137775</v>
      </c>
      <c r="V234" s="101">
        <f t="shared" si="665"/>
        <v>-2.6037877338137005E-2</v>
      </c>
      <c r="W234" s="109"/>
      <c r="X234" s="112">
        <f t="shared" ref="X234:AG234" si="795">X210/$T$174</f>
        <v>0.36086230635229904</v>
      </c>
      <c r="Y234" s="112">
        <f t="shared" si="795"/>
        <v>0.80546352190633252</v>
      </c>
      <c r="Z234" s="112">
        <f t="shared" si="795"/>
        <v>0.7144111237777907</v>
      </c>
      <c r="AA234" s="112">
        <f t="shared" si="795"/>
        <v>0.63365160543769272</v>
      </c>
      <c r="AB234" s="112">
        <f t="shared" si="795"/>
        <v>0.56202142395343169</v>
      </c>
      <c r="AC234" s="112">
        <f t="shared" si="795"/>
        <v>0.4984885673326091</v>
      </c>
      <c r="AD234" s="112">
        <f t="shared" si="795"/>
        <v>0.44213768580805329</v>
      </c>
      <c r="AE234" s="112">
        <f t="shared" si="795"/>
        <v>0.39215690393409947</v>
      </c>
      <c r="AF234" s="112">
        <f t="shared" si="795"/>
        <v>0.34782612348937525</v>
      </c>
      <c r="AG234" s="112">
        <f t="shared" si="795"/>
        <v>0.30850664866014155</v>
      </c>
      <c r="AH234" s="115" t="e">
        <f t="shared" si="791"/>
        <v>#DIV/0!</v>
      </c>
      <c r="AI234" s="21">
        <f t="shared" si="792"/>
        <v>0.01</v>
      </c>
      <c r="AJ234" s="156" t="e">
        <f>(AJ219)/($O$2*100)</f>
        <v>#DIV/0!</v>
      </c>
    </row>
    <row r="235" spans="2:36">
      <c r="B235" s="10" t="s">
        <v>432</v>
      </c>
      <c r="C235" s="110"/>
      <c r="D235" s="110"/>
      <c r="E235" s="110"/>
      <c r="F235" s="110"/>
      <c r="G235" s="156">
        <f t="shared" ref="G235" si="796">(G234)/($O$2*100)</f>
        <v>3.1542075499480409</v>
      </c>
      <c r="H235" s="156">
        <f t="shared" ref="H235:T235" si="797">(H234)/($O$2*100)</f>
        <v>2.2264994470221464</v>
      </c>
      <c r="I235" s="156">
        <f t="shared" si="797"/>
        <v>0</v>
      </c>
      <c r="J235" s="156">
        <f t="shared" si="797"/>
        <v>0</v>
      </c>
      <c r="K235" s="156">
        <f t="shared" si="797"/>
        <v>0</v>
      </c>
      <c r="L235" s="156">
        <f t="shared" si="797"/>
        <v>0</v>
      </c>
      <c r="M235" s="156">
        <f t="shared" si="797"/>
        <v>0</v>
      </c>
      <c r="N235" s="156">
        <f t="shared" si="797"/>
        <v>0</v>
      </c>
      <c r="O235" s="156">
        <f t="shared" si="797"/>
        <v>0</v>
      </c>
      <c r="P235" s="156">
        <f t="shared" si="797"/>
        <v>0</v>
      </c>
      <c r="Q235" s="156">
        <f t="shared" si="797"/>
        <v>0</v>
      </c>
      <c r="R235" s="156">
        <f t="shared" si="797"/>
        <v>3.1542075499480409</v>
      </c>
      <c r="S235" s="156">
        <f t="shared" si="797"/>
        <v>2.23809579830872</v>
      </c>
      <c r="T235" s="156">
        <f t="shared" si="797"/>
        <v>2.5511972830462093</v>
      </c>
      <c r="U235" s="156">
        <f t="shared" ref="U235" si="798">(U234)/($O$2*100)</f>
        <v>2.1801140418758518</v>
      </c>
      <c r="V235" s="101">
        <f t="shared" si="665"/>
        <v>-2.6037877338137005E-2</v>
      </c>
      <c r="W235" s="109"/>
      <c r="X235" s="156">
        <f t="shared" ref="X235:AG235" si="799">(X234)/($O$2*100)</f>
        <v>2.4057487090153269E-2</v>
      </c>
      <c r="Y235" s="156">
        <f t="shared" si="799"/>
        <v>5.3697568127088834E-2</v>
      </c>
      <c r="Z235" s="156">
        <f t="shared" si="799"/>
        <v>4.7627408251852715E-2</v>
      </c>
      <c r="AA235" s="156">
        <f t="shared" si="799"/>
        <v>4.2243440362512846E-2</v>
      </c>
      <c r="AB235" s="156">
        <f t="shared" si="799"/>
        <v>3.7468094930228776E-2</v>
      </c>
      <c r="AC235" s="156">
        <f t="shared" si="799"/>
        <v>3.3232571155507276E-2</v>
      </c>
      <c r="AD235" s="156">
        <f t="shared" si="799"/>
        <v>2.9475845720536888E-2</v>
      </c>
      <c r="AE235" s="156">
        <f t="shared" si="799"/>
        <v>2.6143793595606632E-2</v>
      </c>
      <c r="AF235" s="156">
        <f t="shared" si="799"/>
        <v>2.3188408232625017E-2</v>
      </c>
      <c r="AG235" s="156">
        <f t="shared" si="799"/>
        <v>2.0567109910676104E-2</v>
      </c>
      <c r="AH235" s="115" t="e">
        <f t="shared" si="791"/>
        <v>#DIV/0!</v>
      </c>
      <c r="AI235" s="21">
        <f t="shared" si="792"/>
        <v>0.01</v>
      </c>
      <c r="AJ235" s="156" t="e">
        <f>(#REF!)/($O$2*100)</f>
        <v>#REF!</v>
      </c>
    </row>
    <row r="236" spans="2:36">
      <c r="B236" s="10" t="s">
        <v>434</v>
      </c>
      <c r="C236" s="110"/>
      <c r="D236" s="110"/>
      <c r="E236" s="110"/>
      <c r="F236" s="110"/>
      <c r="G236" s="128">
        <f t="shared" ref="G236" si="800">G235-1</f>
        <v>2.1542075499480409</v>
      </c>
      <c r="H236" s="128">
        <f t="shared" ref="H236:T236" si="801">H235-1</f>
        <v>1.2264994470221464</v>
      </c>
      <c r="I236" s="128">
        <f t="shared" si="801"/>
        <v>-1</v>
      </c>
      <c r="J236" s="128">
        <f t="shared" si="801"/>
        <v>-1</v>
      </c>
      <c r="K236" s="128">
        <f t="shared" si="801"/>
        <v>-1</v>
      </c>
      <c r="L236" s="128">
        <f t="shared" si="801"/>
        <v>-1</v>
      </c>
      <c r="M236" s="128">
        <f t="shared" si="801"/>
        <v>-1</v>
      </c>
      <c r="N236" s="128">
        <f t="shared" si="801"/>
        <v>-1</v>
      </c>
      <c r="O236" s="128">
        <f t="shared" si="801"/>
        <v>-1</v>
      </c>
      <c r="P236" s="128">
        <f t="shared" si="801"/>
        <v>-1</v>
      </c>
      <c r="Q236" s="128">
        <f t="shared" si="801"/>
        <v>-1</v>
      </c>
      <c r="R236" s="128">
        <f t="shared" si="801"/>
        <v>2.1542075499480409</v>
      </c>
      <c r="S236" s="128">
        <f t="shared" si="801"/>
        <v>1.23809579830872</v>
      </c>
      <c r="T236" s="128">
        <f t="shared" si="801"/>
        <v>1.5511972830462093</v>
      </c>
      <c r="U236" s="128">
        <f t="shared" ref="U236" si="802">U235-1</f>
        <v>1.1801140418758518</v>
      </c>
      <c r="V236" s="101">
        <f t="shared" si="665"/>
        <v>-4.2075736216686033E-2</v>
      </c>
      <c r="W236" s="109"/>
      <c r="X236" s="128">
        <f t="shared" ref="X236:AG236" si="803">X235-1</f>
        <v>-0.97594251290984668</v>
      </c>
      <c r="Y236" s="128">
        <f t="shared" si="803"/>
        <v>-0.94630243187291119</v>
      </c>
      <c r="Z236" s="128">
        <f t="shared" si="803"/>
        <v>-0.95237259174814726</v>
      </c>
      <c r="AA236" s="128">
        <f t="shared" si="803"/>
        <v>-0.95775655963748718</v>
      </c>
      <c r="AB236" s="128">
        <f t="shared" si="803"/>
        <v>-0.96253190506977127</v>
      </c>
      <c r="AC236" s="128">
        <f t="shared" si="803"/>
        <v>-0.96676742884449274</v>
      </c>
      <c r="AD236" s="128">
        <f t="shared" si="803"/>
        <v>-0.97052415427946315</v>
      </c>
      <c r="AE236" s="128">
        <f t="shared" si="803"/>
        <v>-0.97385620640439341</v>
      </c>
      <c r="AF236" s="128">
        <f t="shared" si="803"/>
        <v>-0.97681159176737498</v>
      </c>
      <c r="AG236" s="128">
        <f t="shared" si="803"/>
        <v>-0.97943289008932388</v>
      </c>
      <c r="AH236" s="115">
        <f t="shared" si="791"/>
        <v>-8.6552348502000331E-4</v>
      </c>
      <c r="AI236" s="21">
        <f t="shared" si="792"/>
        <v>0.01</v>
      </c>
      <c r="AJ236" s="156" t="e">
        <f>(AJ220)/($O$2*100)</f>
        <v>#DIV/0!</v>
      </c>
    </row>
    <row r="237" spans="2:36">
      <c r="B237" s="10"/>
      <c r="C237" s="110"/>
      <c r="D237" s="110"/>
      <c r="E237" s="110"/>
      <c r="F237" s="110"/>
      <c r="G237" s="110"/>
      <c r="H237" s="110"/>
      <c r="I237" s="110"/>
      <c r="J237" s="112"/>
      <c r="K237" s="112"/>
      <c r="L237" s="112"/>
      <c r="M237" s="112"/>
      <c r="N237" s="174"/>
      <c r="O237" s="175"/>
      <c r="P237" s="112"/>
      <c r="Q237" s="112"/>
      <c r="R237" s="112"/>
      <c r="S237" s="112"/>
      <c r="T237" s="112"/>
      <c r="U237" s="157"/>
      <c r="V237" s="157"/>
      <c r="W237" s="109"/>
      <c r="X237" s="112"/>
      <c r="Y237" s="112"/>
      <c r="Z237" s="112"/>
      <c r="AA237" s="112"/>
      <c r="AB237" s="112"/>
      <c r="AC237" s="112"/>
      <c r="AD237" s="112"/>
      <c r="AE237" s="112"/>
      <c r="AF237" s="112"/>
      <c r="AG237" s="112"/>
      <c r="AH237" s="114"/>
      <c r="AI237" s="10"/>
      <c r="AJ237" s="10"/>
    </row>
    <row r="238" spans="2:36">
      <c r="B238" s="10"/>
      <c r="C238" s="110"/>
      <c r="D238" s="110"/>
      <c r="E238" s="110"/>
      <c r="F238" s="110"/>
      <c r="G238" s="110"/>
      <c r="H238" s="110"/>
      <c r="I238" s="110"/>
      <c r="J238" s="112"/>
      <c r="K238" s="112"/>
      <c r="L238" s="112"/>
      <c r="M238" s="112"/>
      <c r="N238" s="174"/>
      <c r="O238" s="175"/>
      <c r="P238" s="112"/>
      <c r="Q238" s="112"/>
      <c r="R238" s="112"/>
      <c r="S238" s="112"/>
      <c r="T238" s="112"/>
      <c r="U238" s="112"/>
      <c r="V238" s="109"/>
      <c r="W238" s="109"/>
      <c r="X238" s="112"/>
      <c r="Y238" s="112"/>
      <c r="Z238" s="112"/>
      <c r="AA238" s="112"/>
      <c r="AB238" s="112"/>
      <c r="AC238" s="112"/>
      <c r="AD238" s="112"/>
      <c r="AE238" s="112"/>
      <c r="AF238" s="112"/>
      <c r="AG238" s="112"/>
      <c r="AH238" s="114"/>
      <c r="AI238" s="10"/>
      <c r="AJ238" s="10"/>
    </row>
    <row r="239" spans="2:36">
      <c r="B239" s="10"/>
      <c r="C239" s="110"/>
      <c r="D239" s="110"/>
      <c r="E239" s="110"/>
      <c r="F239" s="110"/>
      <c r="G239" s="110"/>
      <c r="H239" s="110"/>
      <c r="I239" s="110"/>
      <c r="J239" s="112"/>
      <c r="K239" s="112"/>
      <c r="L239" s="112"/>
      <c r="M239" s="112"/>
      <c r="N239" s="174"/>
      <c r="O239" s="175"/>
      <c r="P239" s="112"/>
      <c r="Q239" s="112"/>
      <c r="R239" s="112"/>
      <c r="S239" s="112"/>
      <c r="T239" s="112"/>
      <c r="U239" s="112"/>
      <c r="V239" s="109"/>
      <c r="W239" s="109"/>
      <c r="X239" s="112"/>
      <c r="Y239" s="112"/>
      <c r="Z239" s="112"/>
      <c r="AA239" s="112"/>
      <c r="AB239" s="112"/>
      <c r="AC239" s="112"/>
      <c r="AD239" s="112"/>
      <c r="AE239" s="112"/>
      <c r="AF239" s="112"/>
      <c r="AG239" s="112"/>
      <c r="AH239" s="114"/>
      <c r="AI239" s="10"/>
      <c r="AJ239" s="10"/>
    </row>
    <row r="240" spans="2:36">
      <c r="B240" s="93" t="s">
        <v>250</v>
      </c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313" t="s">
        <v>293</v>
      </c>
      <c r="O240" s="314"/>
      <c r="P240" s="10"/>
      <c r="Q240" s="10"/>
      <c r="R240" s="10"/>
      <c r="S240" s="93" t="s">
        <v>372</v>
      </c>
      <c r="T240" s="169" t="s">
        <v>371</v>
      </c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14"/>
      <c r="AI240" s="10"/>
      <c r="AJ240" s="10"/>
    </row>
    <row r="241" spans="2:50">
      <c r="B241" s="10" t="s">
        <v>248</v>
      </c>
      <c r="C241" s="10" t="s">
        <v>260</v>
      </c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 t="s">
        <v>294</v>
      </c>
      <c r="O241" s="12">
        <v>1</v>
      </c>
      <c r="P241" s="10"/>
      <c r="Q241" s="10"/>
      <c r="R241" s="10"/>
      <c r="S241" s="109">
        <f>(U205-Y192)/U205</f>
        <v>1</v>
      </c>
      <c r="T241" s="109">
        <f>(U205-X192)/U205</f>
        <v>1</v>
      </c>
      <c r="U241" s="109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14"/>
      <c r="AI241" s="10"/>
      <c r="AJ241" s="10"/>
    </row>
    <row r="242" spans="2:50">
      <c r="B242" s="10" t="s">
        <v>291</v>
      </c>
      <c r="C242" s="10" t="s">
        <v>260</v>
      </c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47">
        <f>$O$241</f>
        <v>1</v>
      </c>
      <c r="O242" s="10"/>
      <c r="P242" s="109">
        <f>(S205-(N242*W183))/S205</f>
        <v>18.728626582478856</v>
      </c>
      <c r="Q242" s="10"/>
      <c r="R242" s="10"/>
      <c r="S242" s="109">
        <f>(U205-Y183)/U205</f>
        <v>16.067322897290737</v>
      </c>
      <c r="T242" s="109">
        <f>(U205-X183)/U205</f>
        <v>4.1328097113178757</v>
      </c>
      <c r="U242" s="109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14"/>
      <c r="AI242" s="10"/>
      <c r="AJ242" s="10"/>
    </row>
    <row r="243" spans="2:50">
      <c r="B243" s="10" t="s">
        <v>292</v>
      </c>
      <c r="C243" s="10" t="s">
        <v>260</v>
      </c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47">
        <f>$O$241</f>
        <v>1</v>
      </c>
      <c r="O243" s="10"/>
      <c r="P243" s="109">
        <f>(S205-(N243*W176))/S205</f>
        <v>-2.0070075336559099</v>
      </c>
      <c r="Q243" s="10"/>
      <c r="R243" s="10"/>
      <c r="S243" s="109">
        <f>(U205-Y176)/U205</f>
        <v>-1.5556155325058709</v>
      </c>
      <c r="T243" s="109">
        <f>(U205-X176)/U205</f>
        <v>0.46863439423145253</v>
      </c>
      <c r="U243" s="109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14"/>
      <c r="AI243" s="10"/>
      <c r="AJ243" s="10"/>
    </row>
    <row r="244" spans="2:50">
      <c r="B244" s="10" t="s">
        <v>295</v>
      </c>
      <c r="C244" s="10" t="s">
        <v>260</v>
      </c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47">
        <f>$O$241</f>
        <v>1</v>
      </c>
      <c r="O244" s="10"/>
      <c r="P244" s="109">
        <f>(S205-(N244*W189))/S205</f>
        <v>1</v>
      </c>
      <c r="Q244" s="10"/>
      <c r="R244" s="10"/>
      <c r="S244" s="109">
        <f>(U205-Y189)/U205</f>
        <v>1</v>
      </c>
      <c r="T244" s="109">
        <f>(U205-X189)/U205</f>
        <v>1</v>
      </c>
      <c r="U244" s="109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14"/>
      <c r="AI244" s="10"/>
      <c r="AJ244" s="10"/>
    </row>
    <row r="245" spans="2:50">
      <c r="B245" s="10" t="s">
        <v>341</v>
      </c>
      <c r="C245" s="10" t="s">
        <v>260</v>
      </c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47">
        <f>$O$241</f>
        <v>1</v>
      </c>
      <c r="O245" s="10"/>
      <c r="P245" s="109">
        <f>(S205-(N245*W202))/S205</f>
        <v>1</v>
      </c>
      <c r="Q245" s="10"/>
      <c r="R245" s="10"/>
      <c r="S245" s="109">
        <f>(U205-Y202)/U205</f>
        <v>1</v>
      </c>
      <c r="T245" s="109">
        <f>(U205-X202)/U205</f>
        <v>1</v>
      </c>
      <c r="U245" s="109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14"/>
      <c r="AI245" s="10"/>
      <c r="AJ245" s="10"/>
    </row>
    <row r="246" spans="2:50">
      <c r="B246" s="10" t="s">
        <v>249</v>
      </c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5">
        <f>U205/Y175</f>
        <v>6.7993655761474576</v>
      </c>
      <c r="T246" s="15">
        <f>U205/X175</f>
        <v>32.701710628137775</v>
      </c>
      <c r="U246" s="15"/>
      <c r="V246" s="10"/>
      <c r="W246" s="10"/>
      <c r="X246" s="98" t="s">
        <v>5</v>
      </c>
      <c r="Y246" s="98" t="s">
        <v>6</v>
      </c>
      <c r="Z246" s="98" t="s">
        <v>7</v>
      </c>
      <c r="AA246" s="98" t="s">
        <v>8</v>
      </c>
      <c r="AB246" s="98" t="s">
        <v>9</v>
      </c>
      <c r="AC246" s="98" t="s">
        <v>192</v>
      </c>
      <c r="AD246" s="98" t="s">
        <v>193</v>
      </c>
      <c r="AE246" s="98" t="s">
        <v>194</v>
      </c>
      <c r="AF246" s="98" t="s">
        <v>195</v>
      </c>
      <c r="AG246" s="98" t="s">
        <v>196</v>
      </c>
      <c r="AH246" s="98" t="s">
        <v>349</v>
      </c>
      <c r="AI246" s="98" t="s">
        <v>350</v>
      </c>
      <c r="AJ246" s="98" t="s">
        <v>351</v>
      </c>
      <c r="AK246" s="98" t="s">
        <v>352</v>
      </c>
      <c r="AL246" s="98" t="s">
        <v>353</v>
      </c>
      <c r="AM246" s="98" t="s">
        <v>354</v>
      </c>
      <c r="AN246" s="98" t="s">
        <v>355</v>
      </c>
      <c r="AO246" s="98" t="s">
        <v>356</v>
      </c>
      <c r="AP246" s="98" t="s">
        <v>357</v>
      </c>
      <c r="AQ246" s="98" t="s">
        <v>358</v>
      </c>
      <c r="AR246" s="98" t="s">
        <v>359</v>
      </c>
      <c r="AS246" s="98" t="s">
        <v>360</v>
      </c>
      <c r="AT246" s="98" t="s">
        <v>361</v>
      </c>
      <c r="AU246" s="98" t="s">
        <v>362</v>
      </c>
      <c r="AV246" s="98" t="s">
        <v>363</v>
      </c>
      <c r="AW246" s="98" t="s">
        <v>364</v>
      </c>
      <c r="AX246" s="98" t="s">
        <v>365</v>
      </c>
    </row>
    <row r="247" spans="2:50">
      <c r="B247" s="10" t="s">
        <v>313</v>
      </c>
      <c r="C247" s="10"/>
      <c r="D247" s="10"/>
      <c r="E247" s="10"/>
      <c r="F247" s="10"/>
      <c r="G247" s="10"/>
      <c r="H247" s="10"/>
      <c r="I247" s="10"/>
      <c r="J247" s="164" t="s">
        <v>388</v>
      </c>
      <c r="K247" s="165"/>
      <c r="L247" s="164" t="s">
        <v>389</v>
      </c>
      <c r="M247" s="165"/>
      <c r="N247" s="10"/>
      <c r="O247" s="164" t="s">
        <v>390</v>
      </c>
      <c r="P247" s="165"/>
      <c r="Q247" s="164" t="s">
        <v>391</v>
      </c>
      <c r="R247" s="165"/>
      <c r="S247" s="128">
        <f>1/S246</f>
        <v>0.14707254504862249</v>
      </c>
      <c r="T247" s="128">
        <f>1/T246</f>
        <v>3.0579440059614577E-2</v>
      </c>
      <c r="U247" s="128"/>
      <c r="V247" s="10"/>
      <c r="W247" s="10"/>
      <c r="X247" s="110" t="e">
        <f>U205-X248</f>
        <v>#DIV/0!</v>
      </c>
      <c r="Y247" s="160" t="e">
        <f>X247-Y248</f>
        <v>#DIV/0!</v>
      </c>
      <c r="Z247" s="160" t="e">
        <f t="shared" ref="Z247:AB247" si="804">Y247-Z248</f>
        <v>#DIV/0!</v>
      </c>
      <c r="AA247" s="160" t="e">
        <f t="shared" si="804"/>
        <v>#DIV/0!</v>
      </c>
      <c r="AB247" s="160" t="e">
        <f t="shared" si="804"/>
        <v>#DIV/0!</v>
      </c>
      <c r="AC247" s="160" t="e">
        <f>AB247-AC248</f>
        <v>#DIV/0!</v>
      </c>
      <c r="AD247" s="160" t="e">
        <f t="shared" ref="AD247:AG247" si="805">AC247-AD248</f>
        <v>#DIV/0!</v>
      </c>
      <c r="AE247" s="160" t="e">
        <f t="shared" si="805"/>
        <v>#DIV/0!</v>
      </c>
      <c r="AF247" s="160" t="e">
        <f t="shared" si="805"/>
        <v>#DIV/0!</v>
      </c>
      <c r="AG247" s="160" t="e">
        <f t="shared" si="805"/>
        <v>#DIV/0!</v>
      </c>
      <c r="AH247" s="160" t="e">
        <f t="shared" ref="AH247" si="806">AG247-AH248</f>
        <v>#DIV/0!</v>
      </c>
      <c r="AI247" s="160" t="e">
        <f t="shared" ref="AI247" si="807">AH247-AI248</f>
        <v>#DIV/0!</v>
      </c>
      <c r="AJ247" s="160" t="e">
        <f t="shared" ref="AJ247" si="808">AI247-AJ248</f>
        <v>#DIV/0!</v>
      </c>
      <c r="AK247" s="160" t="e">
        <f t="shared" ref="AK247" si="809">AJ247-AK248</f>
        <v>#DIV/0!</v>
      </c>
      <c r="AL247" s="160" t="e">
        <f t="shared" ref="AL247" si="810">AK247-AL248</f>
        <v>#DIV/0!</v>
      </c>
      <c r="AM247" s="160" t="e">
        <f t="shared" ref="AM247" si="811">AL247-AM248</f>
        <v>#DIV/0!</v>
      </c>
      <c r="AN247" s="160" t="e">
        <f t="shared" ref="AN247" si="812">AM247-AN248</f>
        <v>#DIV/0!</v>
      </c>
      <c r="AO247" s="160" t="e">
        <f t="shared" ref="AO247" si="813">AN247-AO248</f>
        <v>#DIV/0!</v>
      </c>
      <c r="AP247" s="160" t="e">
        <f t="shared" ref="AP247" si="814">AO247-AP248</f>
        <v>#DIV/0!</v>
      </c>
      <c r="AQ247" s="160" t="e">
        <f t="shared" ref="AQ247" si="815">AP247-AQ248</f>
        <v>#DIV/0!</v>
      </c>
      <c r="AR247" s="160" t="e">
        <f t="shared" ref="AR247" si="816">AQ247-AR248</f>
        <v>#DIV/0!</v>
      </c>
      <c r="AS247" s="160" t="e">
        <f t="shared" ref="AS247" si="817">AR247-AS248</f>
        <v>#DIV/0!</v>
      </c>
      <c r="AT247" s="160" t="e">
        <f t="shared" ref="AT247" si="818">AS247-AT248</f>
        <v>#DIV/0!</v>
      </c>
      <c r="AU247" s="160" t="e">
        <f t="shared" ref="AU247" si="819">AT247-AU248</f>
        <v>#DIV/0!</v>
      </c>
      <c r="AV247" s="160" t="e">
        <f t="shared" ref="AV247" si="820">AU247-AV248</f>
        <v>#DIV/0!</v>
      </c>
      <c r="AW247" s="160" t="e">
        <f t="shared" ref="AW247" si="821">AV247-AW248</f>
        <v>#DIV/0!</v>
      </c>
      <c r="AX247" s="160" t="e">
        <f t="shared" ref="AX247" si="822">AW247-AX248</f>
        <v>#DIV/0!</v>
      </c>
    </row>
    <row r="248" spans="2:50">
      <c r="B248" s="10" t="s">
        <v>338</v>
      </c>
      <c r="C248" s="10"/>
      <c r="D248" s="10"/>
      <c r="E248" s="10"/>
      <c r="F248" s="10"/>
      <c r="G248" s="10"/>
      <c r="H248" s="10"/>
      <c r="I248" s="10"/>
      <c r="J248" s="166">
        <v>0</v>
      </c>
      <c r="K248" s="165"/>
      <c r="L248" s="166">
        <v>0.05</v>
      </c>
      <c r="M248" s="165"/>
      <c r="N248" s="159">
        <v>0.15</v>
      </c>
      <c r="O248" s="166">
        <v>0.12</v>
      </c>
      <c r="P248" s="165"/>
      <c r="Q248" s="166">
        <v>0.2</v>
      </c>
      <c r="R248" s="173" t="s">
        <v>230</v>
      </c>
      <c r="S248" s="156">
        <f>U205/S174</f>
        <v>114.33213736545362</v>
      </c>
      <c r="T248" s="156" t="s">
        <v>409</v>
      </c>
      <c r="U248" s="156"/>
      <c r="V248" s="10"/>
      <c r="W248" s="10"/>
      <c r="X248" s="161" t="e">
        <f>V174*(1+$N$248)</f>
        <v>#DIV/0!</v>
      </c>
      <c r="Y248" s="161" t="e">
        <f>X248*(1+$N$248)</f>
        <v>#DIV/0!</v>
      </c>
      <c r="Z248" s="161" t="e">
        <f t="shared" ref="Z248:AG248" si="823">Y248*(1+$N$248)</f>
        <v>#DIV/0!</v>
      </c>
      <c r="AA248" s="161" t="e">
        <f t="shared" si="823"/>
        <v>#DIV/0!</v>
      </c>
      <c r="AB248" s="161" t="e">
        <f t="shared" si="823"/>
        <v>#DIV/0!</v>
      </c>
      <c r="AC248" s="161" t="e">
        <f t="shared" si="823"/>
        <v>#DIV/0!</v>
      </c>
      <c r="AD248" s="161" t="e">
        <f t="shared" si="823"/>
        <v>#DIV/0!</v>
      </c>
      <c r="AE248" s="161" t="e">
        <f t="shared" si="823"/>
        <v>#DIV/0!</v>
      </c>
      <c r="AF248" s="161" t="e">
        <f t="shared" si="823"/>
        <v>#DIV/0!</v>
      </c>
      <c r="AG248" s="161" t="e">
        <f t="shared" si="823"/>
        <v>#DIV/0!</v>
      </c>
      <c r="AH248" s="161" t="e">
        <f t="shared" ref="AH248" si="824">AG248*(1+$N$248)</f>
        <v>#DIV/0!</v>
      </c>
      <c r="AI248" s="161" t="e">
        <f t="shared" ref="AI248" si="825">AH248*(1+$N$248)</f>
        <v>#DIV/0!</v>
      </c>
      <c r="AJ248" s="161" t="e">
        <f t="shared" ref="AJ248" si="826">AI248*(1+$N$248)</f>
        <v>#DIV/0!</v>
      </c>
      <c r="AK248" s="161" t="e">
        <f t="shared" ref="AK248" si="827">AJ248*(1+$N$248)</f>
        <v>#DIV/0!</v>
      </c>
      <c r="AL248" s="161" t="e">
        <f t="shared" ref="AL248" si="828">AK248*(1+$N$248)</f>
        <v>#DIV/0!</v>
      </c>
      <c r="AM248" s="161" t="e">
        <f t="shared" ref="AM248" si="829">AL248*(1+$N$248)</f>
        <v>#DIV/0!</v>
      </c>
      <c r="AN248" s="161" t="e">
        <f t="shared" ref="AN248" si="830">AM248*(1+$N$248)</f>
        <v>#DIV/0!</v>
      </c>
      <c r="AO248" s="161" t="e">
        <f t="shared" ref="AO248" si="831">AN248*(1+$N$248)</f>
        <v>#DIV/0!</v>
      </c>
      <c r="AP248" s="161" t="e">
        <f t="shared" ref="AP248" si="832">AO248*(1+$N$248)</f>
        <v>#DIV/0!</v>
      </c>
      <c r="AQ248" s="161" t="e">
        <f t="shared" ref="AQ248" si="833">AP248*(1+$N$248)</f>
        <v>#DIV/0!</v>
      </c>
      <c r="AR248" s="161" t="e">
        <f t="shared" ref="AR248" si="834">AQ248*(1+$N$248)</f>
        <v>#DIV/0!</v>
      </c>
      <c r="AS248" s="161" t="e">
        <f t="shared" ref="AS248" si="835">AR248*(1+$N$248)</f>
        <v>#DIV/0!</v>
      </c>
      <c r="AT248" s="161" t="e">
        <f t="shared" ref="AT248" si="836">AS248*(1+$N$248)</f>
        <v>#DIV/0!</v>
      </c>
      <c r="AU248" s="161" t="e">
        <f t="shared" ref="AU248" si="837">AT248*(1+$N$248)</f>
        <v>#DIV/0!</v>
      </c>
      <c r="AV248" s="161" t="e">
        <f t="shared" ref="AV248" si="838">AU248*(1+$N$248)</f>
        <v>#DIV/0!</v>
      </c>
      <c r="AW248" s="161" t="e">
        <f t="shared" ref="AW248" si="839">AV248*(1+$N$248)</f>
        <v>#DIV/0!</v>
      </c>
      <c r="AX248" s="161" t="e">
        <f t="shared" ref="AX248" si="840">AW248*(1+$N$248)</f>
        <v>#DIV/0!</v>
      </c>
    </row>
    <row r="249" spans="2:50">
      <c r="B249" s="10" t="s">
        <v>337</v>
      </c>
      <c r="C249" s="10"/>
      <c r="D249" s="10"/>
      <c r="E249" s="13" t="s">
        <v>333</v>
      </c>
      <c r="F249" s="13"/>
      <c r="G249" s="13"/>
      <c r="H249" s="13"/>
      <c r="I249" s="12"/>
      <c r="J249" s="166">
        <v>0</v>
      </c>
      <c r="K249" s="167">
        <f>T207</f>
        <v>18.297350343473994</v>
      </c>
      <c r="L249" s="166">
        <v>0.05</v>
      </c>
      <c r="M249" s="165"/>
      <c r="N249" s="159">
        <v>0.15</v>
      </c>
      <c r="O249" s="166">
        <v>0.12</v>
      </c>
      <c r="P249" s="165"/>
      <c r="Q249" s="166">
        <v>0.2</v>
      </c>
      <c r="R249" s="173" t="s">
        <v>408</v>
      </c>
      <c r="S249" s="156">
        <f>U205/U76</f>
        <v>18.12627986348123</v>
      </c>
      <c r="T249" s="156" t="s">
        <v>409</v>
      </c>
      <c r="U249" s="156"/>
      <c r="V249" s="10"/>
      <c r="W249" s="10"/>
      <c r="X249" s="161">
        <f>T76*(1+$N$249)</f>
        <v>3.456784660766961</v>
      </c>
      <c r="Y249" s="161">
        <f>X249*(1+$N$249)</f>
        <v>3.9753023598820048</v>
      </c>
      <c r="Z249" s="161">
        <f t="shared" ref="Z249:AG249" si="841">Y249*(1+$N$249)</f>
        <v>4.5715977138643051</v>
      </c>
      <c r="AA249" s="161">
        <f t="shared" si="841"/>
        <v>5.2573373709439508</v>
      </c>
      <c r="AB249" s="161">
        <f t="shared" si="841"/>
        <v>6.0459379765855426</v>
      </c>
      <c r="AC249" s="161">
        <f t="shared" si="841"/>
        <v>6.9528286730733733</v>
      </c>
      <c r="AD249" s="161">
        <f t="shared" si="841"/>
        <v>7.9957529740343789</v>
      </c>
      <c r="AE249" s="161">
        <f t="shared" si="841"/>
        <v>9.1951159201395356</v>
      </c>
      <c r="AF249" s="161">
        <f t="shared" si="841"/>
        <v>10.574383308160465</v>
      </c>
      <c r="AG249" s="161">
        <f t="shared" si="841"/>
        <v>12.160540804384533</v>
      </c>
      <c r="AH249" s="161">
        <f t="shared" ref="AH249" si="842">AG249*(1+$N$249)</f>
        <v>13.984621925042212</v>
      </c>
      <c r="AI249" s="161">
        <f t="shared" ref="AI249" si="843">AH249*(1+$N$249)</f>
        <v>16.082315213798545</v>
      </c>
      <c r="AJ249" s="161">
        <f t="shared" ref="AJ249" si="844">AI249*(1+$N$249)</f>
        <v>18.494662495868326</v>
      </c>
      <c r="AK249" s="161">
        <f t="shared" ref="AK249" si="845">AJ249*(1+$N$249)</f>
        <v>21.268861870248575</v>
      </c>
      <c r="AL249" s="161">
        <f t="shared" ref="AL249" si="846">AK249*(1+$N$249)</f>
        <v>24.459191150785859</v>
      </c>
      <c r="AM249" s="161">
        <f t="shared" ref="AM249" si="847">AL249*(1+$N$249)</f>
        <v>28.128069823403735</v>
      </c>
      <c r="AN249" s="161">
        <f t="shared" ref="AN249" si="848">AM249*(1+$N$249)</f>
        <v>32.347280296914292</v>
      </c>
      <c r="AO249" s="161">
        <f t="shared" ref="AO249" si="849">AN249*(1+$N$249)</f>
        <v>37.199372341451429</v>
      </c>
      <c r="AP249" s="161">
        <f t="shared" ref="AP249" si="850">AO249*(1+$N$249)</f>
        <v>42.779278192669139</v>
      </c>
      <c r="AQ249" s="161">
        <f t="shared" ref="AQ249" si="851">AP249*(1+$N$249)</f>
        <v>49.196169921569506</v>
      </c>
      <c r="AR249" s="161">
        <f t="shared" ref="AR249" si="852">AQ249*(1+$N$249)</f>
        <v>56.575595409804926</v>
      </c>
      <c r="AS249" s="161">
        <f t="shared" ref="AS249" si="853">AR249*(1+$N$249)</f>
        <v>65.061934721275662</v>
      </c>
      <c r="AT249" s="161">
        <f t="shared" ref="AT249" si="854">AS249*(1+$N$249)</f>
        <v>74.821224929467007</v>
      </c>
      <c r="AU249" s="161">
        <f t="shared" ref="AU249" si="855">AT249*(1+$N$249)</f>
        <v>86.044408668887058</v>
      </c>
      <c r="AV249" s="161">
        <f t="shared" ref="AV249" si="856">AU249*(1+$N$249)</f>
        <v>98.951069969220114</v>
      </c>
      <c r="AW249" s="161">
        <f t="shared" ref="AW249" si="857">AV249*(1+$N$249)</f>
        <v>113.79373046460313</v>
      </c>
      <c r="AX249" s="161">
        <f t="shared" ref="AX249" si="858">AW249*(1+$N$249)</f>
        <v>130.8627900342936</v>
      </c>
    </row>
    <row r="250" spans="2:50">
      <c r="B250" s="10"/>
      <c r="C250" s="10"/>
      <c r="D250" s="10"/>
      <c r="E250" s="13" t="s">
        <v>394</v>
      </c>
      <c r="F250" s="13"/>
      <c r="G250" s="13"/>
      <c r="H250" s="13"/>
      <c r="I250" s="12"/>
      <c r="J250" s="166">
        <v>0</v>
      </c>
      <c r="K250" s="167"/>
      <c r="L250" s="166">
        <v>0.05</v>
      </c>
      <c r="M250" s="165"/>
      <c r="N250" s="165"/>
      <c r="O250" s="166">
        <v>0.12</v>
      </c>
      <c r="P250" s="165"/>
      <c r="Q250" s="166">
        <v>0.2</v>
      </c>
      <c r="R250" s="10"/>
      <c r="S250" s="10"/>
      <c r="T250" s="10"/>
      <c r="U250" s="10"/>
      <c r="V250" s="10"/>
      <c r="W250" s="10"/>
      <c r="X250" s="110">
        <f>U205-X249</f>
        <v>43.543215339233036</v>
      </c>
      <c r="Y250" s="160">
        <f>X250-Y249</f>
        <v>39.567912979351028</v>
      </c>
      <c r="Z250" s="160">
        <f t="shared" ref="Z250:AE250" si="859">Y250-Z249</f>
        <v>34.996315265486722</v>
      </c>
      <c r="AA250" s="160">
        <f t="shared" si="859"/>
        <v>29.738977894542771</v>
      </c>
      <c r="AB250" s="160">
        <f t="shared" si="859"/>
        <v>23.693039917957229</v>
      </c>
      <c r="AC250" s="160">
        <f t="shared" si="859"/>
        <v>16.740211244883856</v>
      </c>
      <c r="AD250" s="160">
        <f t="shared" si="859"/>
        <v>8.7444582708494778</v>
      </c>
      <c r="AE250" s="160">
        <f t="shared" si="859"/>
        <v>-0.4506576492900578</v>
      </c>
      <c r="AF250" s="160">
        <f>AE250-AF249</f>
        <v>-11.025040957450523</v>
      </c>
      <c r="AG250" s="160">
        <f t="shared" ref="AG250" si="860">AF250-AG249</f>
        <v>-23.185581761835056</v>
      </c>
      <c r="AH250" s="160">
        <f t="shared" ref="AH250" si="861">AG250-AH249</f>
        <v>-37.170203686877272</v>
      </c>
      <c r="AI250" s="160">
        <f t="shared" ref="AI250" si="862">AH250-AI249</f>
        <v>-53.252518900675817</v>
      </c>
      <c r="AJ250" s="160">
        <f t="shared" ref="AJ250" si="863">AI250-AJ249</f>
        <v>-71.747181396544136</v>
      </c>
      <c r="AK250" s="160">
        <f t="shared" ref="AK250" si="864">AJ250-AK249</f>
        <v>-93.016043266792707</v>
      </c>
      <c r="AL250" s="160">
        <f t="shared" ref="AL250" si="865">AK250-AL249</f>
        <v>-117.47523441757856</v>
      </c>
      <c r="AM250" s="160">
        <f t="shared" ref="AM250" si="866">AL250-AM249</f>
        <v>-145.60330424098231</v>
      </c>
      <c r="AN250" s="160">
        <f t="shared" ref="AN250" si="867">AM250-AN249</f>
        <v>-177.95058453789659</v>
      </c>
      <c r="AO250" s="160">
        <f t="shared" ref="AO250" si="868">AN250-AO249</f>
        <v>-215.14995687934803</v>
      </c>
      <c r="AP250" s="160">
        <f t="shared" ref="AP250" si="869">AO250-AP249</f>
        <v>-257.92923507201715</v>
      </c>
      <c r="AQ250" s="160">
        <f t="shared" ref="AQ250" si="870">AP250-AQ249</f>
        <v>-307.12540499358664</v>
      </c>
      <c r="AR250" s="160">
        <f t="shared" ref="AR250" si="871">AQ250-AR249</f>
        <v>-363.70100040339156</v>
      </c>
      <c r="AS250" s="160">
        <f t="shared" ref="AS250" si="872">AR250-AS249</f>
        <v>-428.76293512466725</v>
      </c>
      <c r="AT250" s="160">
        <f t="shared" ref="AT250" si="873">AS250-AT249</f>
        <v>-503.58416005413426</v>
      </c>
      <c r="AU250" s="160">
        <f t="shared" ref="AU250" si="874">AT250-AU249</f>
        <v>-589.62856872302132</v>
      </c>
      <c r="AV250" s="160">
        <f t="shared" ref="AV250" si="875">AU250-AV249</f>
        <v>-688.57963869224147</v>
      </c>
      <c r="AW250" s="160">
        <f t="shared" ref="AW250" si="876">AV250-AW249</f>
        <v>-802.37336915684455</v>
      </c>
      <c r="AX250" s="160">
        <f t="shared" ref="AX250" si="877">AW250-AX249</f>
        <v>-933.23615919113809</v>
      </c>
    </row>
    <row r="251" spans="2:50">
      <c r="B251" s="93" t="s">
        <v>251</v>
      </c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</row>
    <row r="252" spans="2:50">
      <c r="B252" s="10" t="s">
        <v>254</v>
      </c>
      <c r="C252" s="15"/>
      <c r="D252" s="15"/>
      <c r="E252" s="15"/>
      <c r="F252" s="15"/>
      <c r="G252" s="15"/>
      <c r="H252" s="15" t="e">
        <f t="shared" ref="H252:I252" si="878">H10/H7</f>
        <v>#DIV/0!</v>
      </c>
      <c r="I252" s="15" t="e">
        <f t="shared" si="878"/>
        <v>#DIV/0!</v>
      </c>
      <c r="J252" s="15" t="e">
        <f t="shared" ref="J252:T252" si="879">J10/J7</f>
        <v>#DIV/0!</v>
      </c>
      <c r="K252" s="15" t="e">
        <f t="shared" si="879"/>
        <v>#DIV/0!</v>
      </c>
      <c r="L252" s="15" t="e">
        <f t="shared" si="879"/>
        <v>#DIV/0!</v>
      </c>
      <c r="M252" s="15" t="e">
        <f t="shared" si="879"/>
        <v>#DIV/0!</v>
      </c>
      <c r="N252" s="15" t="e">
        <f t="shared" si="879"/>
        <v>#DIV/0!</v>
      </c>
      <c r="O252" s="15" t="e">
        <f t="shared" si="879"/>
        <v>#DIV/0!</v>
      </c>
      <c r="P252" s="15" t="e">
        <f t="shared" si="879"/>
        <v>#DIV/0!</v>
      </c>
      <c r="Q252" s="15" t="e">
        <f t="shared" si="879"/>
        <v>#DIV/0!</v>
      </c>
      <c r="R252" s="15" t="e">
        <f t="shared" si="879"/>
        <v>#DIV/0!</v>
      </c>
      <c r="S252" s="15">
        <f t="shared" si="879"/>
        <v>4.1174981936614943</v>
      </c>
      <c r="T252" s="15">
        <f t="shared" si="879"/>
        <v>6.1636462733342414</v>
      </c>
      <c r="U252" s="15">
        <f t="shared" ref="U252" si="880">U10/U7</f>
        <v>6.895770590546026</v>
      </c>
      <c r="V252" s="101" t="e">
        <f t="shared" ref="V252:V254" si="881">((U252/G252)^(1/($K$2-$K$1) ))-1</f>
        <v>#DIV/0!</v>
      </c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</row>
    <row r="253" spans="2:50">
      <c r="B253" s="10" t="s">
        <v>255</v>
      </c>
      <c r="C253" s="96"/>
      <c r="D253" s="96"/>
      <c r="E253" s="96"/>
      <c r="F253" s="96"/>
      <c r="G253" s="96"/>
      <c r="H253" s="96" t="e">
        <f t="shared" ref="H253:I253" si="882">H10/H12</f>
        <v>#DIV/0!</v>
      </c>
      <c r="I253" s="96" t="e">
        <f t="shared" si="882"/>
        <v>#DIV/0!</v>
      </c>
      <c r="J253" s="96" t="e">
        <f t="shared" ref="J253:T253" si="883">J10/J12</f>
        <v>#DIV/0!</v>
      </c>
      <c r="K253" s="96" t="e">
        <f t="shared" si="883"/>
        <v>#DIV/0!</v>
      </c>
      <c r="L253" s="96" t="e">
        <f t="shared" si="883"/>
        <v>#DIV/0!</v>
      </c>
      <c r="M253" s="96" t="e">
        <f t="shared" si="883"/>
        <v>#DIV/0!</v>
      </c>
      <c r="N253" s="96" t="e">
        <f t="shared" si="883"/>
        <v>#DIV/0!</v>
      </c>
      <c r="O253" s="96" t="e">
        <f t="shared" si="883"/>
        <v>#DIV/0!</v>
      </c>
      <c r="P253" s="96" t="e">
        <f t="shared" si="883"/>
        <v>#DIV/0!</v>
      </c>
      <c r="Q253" s="96" t="e">
        <f t="shared" si="883"/>
        <v>#DIV/0!</v>
      </c>
      <c r="R253" s="96" t="e">
        <f t="shared" si="883"/>
        <v>#DIV/0!</v>
      </c>
      <c r="S253" s="96">
        <f t="shared" si="883"/>
        <v>29.543157894736844</v>
      </c>
      <c r="T253" s="96">
        <f t="shared" si="883"/>
        <v>29.799077733860344</v>
      </c>
      <c r="U253" s="96" t="e">
        <f t="shared" ref="U253" si="884">U10/U12</f>
        <v>#DIV/0!</v>
      </c>
      <c r="V253" s="101" t="e">
        <f t="shared" si="881"/>
        <v>#DIV/0!</v>
      </c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</row>
    <row r="254" spans="2:50">
      <c r="B254" s="10" t="s">
        <v>256</v>
      </c>
      <c r="C254" s="15"/>
      <c r="D254" s="15"/>
      <c r="E254" s="15"/>
      <c r="F254" s="15"/>
      <c r="G254" s="15"/>
      <c r="H254" s="15" t="e">
        <f t="shared" ref="H254:I254" si="885">H10/(H12+H13)</f>
        <v>#DIV/0!</v>
      </c>
      <c r="I254" s="15" t="e">
        <f t="shared" si="885"/>
        <v>#DIV/0!</v>
      </c>
      <c r="J254" s="15" t="e">
        <f t="shared" ref="J254:T254" si="886">J10/(J12+J13)</f>
        <v>#DIV/0!</v>
      </c>
      <c r="K254" s="15" t="e">
        <f t="shared" si="886"/>
        <v>#DIV/0!</v>
      </c>
      <c r="L254" s="15" t="e">
        <f t="shared" si="886"/>
        <v>#DIV/0!</v>
      </c>
      <c r="M254" s="15" t="e">
        <f t="shared" si="886"/>
        <v>#DIV/0!</v>
      </c>
      <c r="N254" s="15" t="e">
        <f t="shared" si="886"/>
        <v>#DIV/0!</v>
      </c>
      <c r="O254" s="15" t="e">
        <f t="shared" si="886"/>
        <v>#DIV/0!</v>
      </c>
      <c r="P254" s="15" t="e">
        <f t="shared" si="886"/>
        <v>#DIV/0!</v>
      </c>
      <c r="Q254" s="15" t="e">
        <f t="shared" si="886"/>
        <v>#DIV/0!</v>
      </c>
      <c r="R254" s="15" t="e">
        <f t="shared" si="886"/>
        <v>#DIV/0!</v>
      </c>
      <c r="S254" s="15">
        <f t="shared" si="886"/>
        <v>2.5524987494884273</v>
      </c>
      <c r="T254" s="15">
        <f t="shared" si="886"/>
        <v>1.6908068103238829</v>
      </c>
      <c r="U254" s="15">
        <f t="shared" ref="U254" si="887">U10/(U12+U13)</f>
        <v>1.7293773807960069</v>
      </c>
      <c r="V254" s="101" t="e">
        <f t="shared" si="881"/>
        <v>#DIV/0!</v>
      </c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</row>
    <row r="255" spans="2:50"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</row>
    <row r="256" spans="2:50"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</row>
    <row r="257" spans="2:36" ht="15" customHeight="1">
      <c r="B257" s="10"/>
      <c r="C257" s="149" t="s">
        <v>319</v>
      </c>
      <c r="D257" s="150"/>
      <c r="E257" s="150"/>
      <c r="F257" s="150"/>
      <c r="G257" s="150"/>
      <c r="H257" s="150"/>
      <c r="I257" s="150"/>
      <c r="J257" s="150"/>
      <c r="K257" s="150"/>
      <c r="L257" s="150"/>
      <c r="M257" s="315" t="s">
        <v>281</v>
      </c>
      <c r="N257" s="315"/>
      <c r="O257" s="315"/>
      <c r="P257" s="316"/>
      <c r="Q257" s="10"/>
      <c r="R257" s="13"/>
      <c r="S257" s="142"/>
      <c r="T257" s="142"/>
      <c r="U257" s="142"/>
      <c r="V257" s="143"/>
      <c r="W257" s="143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</row>
    <row r="258" spans="2:36">
      <c r="B258" s="10"/>
      <c r="C258" s="141" t="s">
        <v>282</v>
      </c>
      <c r="D258" s="141" t="s">
        <v>0</v>
      </c>
      <c r="E258" s="141" t="s">
        <v>320</v>
      </c>
      <c r="F258" s="141"/>
      <c r="G258" s="141" t="s">
        <v>321</v>
      </c>
      <c r="H258" s="141" t="s">
        <v>322</v>
      </c>
      <c r="I258" s="141" t="s">
        <v>323</v>
      </c>
      <c r="J258" s="141" t="s">
        <v>324</v>
      </c>
      <c r="K258" s="141" t="s">
        <v>325</v>
      </c>
      <c r="L258" s="10"/>
      <c r="M258" s="141" t="s">
        <v>282</v>
      </c>
      <c r="N258" s="141"/>
      <c r="O258" s="141" t="s">
        <v>0</v>
      </c>
      <c r="P258" s="141" t="s">
        <v>314</v>
      </c>
      <c r="Q258" s="10"/>
      <c r="R258" s="10"/>
      <c r="S258" s="144"/>
      <c r="T258" s="144"/>
      <c r="U258" s="144"/>
      <c r="V258" s="145"/>
      <c r="W258" s="145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</row>
    <row r="259" spans="2:36">
      <c r="B259" s="10"/>
      <c r="C259" s="142" t="s">
        <v>283</v>
      </c>
      <c r="D259" s="11"/>
      <c r="E259" s="151" t="s">
        <v>326</v>
      </c>
      <c r="F259" s="151"/>
      <c r="G259" s="12">
        <v>1</v>
      </c>
      <c r="H259" s="12">
        <v>1</v>
      </c>
      <c r="I259" s="142">
        <f>G259/H259</f>
        <v>1</v>
      </c>
      <c r="J259" s="142">
        <f>I259*D260</f>
        <v>0</v>
      </c>
      <c r="K259" s="152">
        <f>J259+D260</f>
        <v>0</v>
      </c>
      <c r="L259" s="10"/>
      <c r="M259" s="142" t="s">
        <v>283</v>
      </c>
      <c r="N259" s="142"/>
      <c r="O259" s="11">
        <v>1</v>
      </c>
      <c r="P259" s="148">
        <f>O259</f>
        <v>1</v>
      </c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</row>
    <row r="260" spans="2:36">
      <c r="B260" s="10"/>
      <c r="C260" s="142" t="s">
        <v>284</v>
      </c>
      <c r="D260" s="11"/>
      <c r="E260" s="151" t="s">
        <v>327</v>
      </c>
      <c r="F260" s="151"/>
      <c r="G260" s="12">
        <v>0</v>
      </c>
      <c r="H260" s="12">
        <v>1</v>
      </c>
      <c r="I260" s="142">
        <f>G260/H260</f>
        <v>0</v>
      </c>
      <c r="J260" s="142">
        <f>I260*K259</f>
        <v>0</v>
      </c>
      <c r="K260" s="142">
        <f>J260+K259</f>
        <v>0</v>
      </c>
      <c r="L260" s="10"/>
      <c r="M260" s="142" t="s">
        <v>284</v>
      </c>
      <c r="N260" s="142"/>
      <c r="O260" s="11">
        <v>1</v>
      </c>
      <c r="P260" s="148">
        <f>O260</f>
        <v>1</v>
      </c>
      <c r="Q260" s="10"/>
      <c r="R260" s="10"/>
      <c r="S260" s="142"/>
      <c r="T260" s="142"/>
      <c r="U260" s="142"/>
      <c r="V260" s="143"/>
      <c r="W260" s="143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</row>
    <row r="261" spans="2:36">
      <c r="B261" s="10"/>
      <c r="C261" s="142" t="s">
        <v>286</v>
      </c>
      <c r="D261" s="143">
        <f>D259*D260</f>
        <v>0</v>
      </c>
      <c r="E261" s="151" t="s">
        <v>339</v>
      </c>
      <c r="F261" s="151"/>
      <c r="G261" s="12">
        <v>0</v>
      </c>
      <c r="H261" s="12">
        <v>1</v>
      </c>
      <c r="I261" s="142">
        <f>G261/H261</f>
        <v>0</v>
      </c>
      <c r="J261" s="142">
        <f>I261*K260</f>
        <v>0</v>
      </c>
      <c r="K261" s="142">
        <f>J261+K260</f>
        <v>0</v>
      </c>
      <c r="L261" s="10"/>
      <c r="M261" s="142" t="s">
        <v>285</v>
      </c>
      <c r="N261" s="142"/>
      <c r="O261" s="143">
        <f>O259*O260</f>
        <v>1</v>
      </c>
      <c r="P261" s="148">
        <f>O261</f>
        <v>1</v>
      </c>
      <c r="Q261" s="10"/>
      <c r="R261" s="10"/>
      <c r="S261" s="144"/>
      <c r="T261" s="144"/>
      <c r="U261" s="144"/>
      <c r="V261" s="145"/>
      <c r="W261" s="145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</row>
    <row r="262" spans="2:36">
      <c r="B262" s="10"/>
      <c r="C262" s="142"/>
      <c r="D262" s="143"/>
      <c r="E262" s="151" t="s">
        <v>395</v>
      </c>
      <c r="F262" s="151"/>
      <c r="G262" s="12">
        <v>0</v>
      </c>
      <c r="H262" s="12">
        <v>1</v>
      </c>
      <c r="I262" s="142">
        <f t="shared" ref="I262:I265" si="888">G262/H262</f>
        <v>0</v>
      </c>
      <c r="J262" s="142">
        <f t="shared" ref="J262:J264" si="889">I262*K261</f>
        <v>0</v>
      </c>
      <c r="K262" s="142">
        <f t="shared" ref="K262:K264" si="890">J262+K261</f>
        <v>0</v>
      </c>
      <c r="L262" s="10"/>
      <c r="M262" s="142" t="s">
        <v>287</v>
      </c>
      <c r="N262" s="142"/>
      <c r="O262" s="11">
        <v>1</v>
      </c>
      <c r="P262" s="11">
        <v>1</v>
      </c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</row>
    <row r="263" spans="2:36">
      <c r="B263" s="10"/>
      <c r="C263" s="142"/>
      <c r="D263" s="143"/>
      <c r="E263" s="151" t="s">
        <v>396</v>
      </c>
      <c r="F263" s="151"/>
      <c r="G263" s="12">
        <v>0</v>
      </c>
      <c r="H263" s="12">
        <v>1</v>
      </c>
      <c r="I263" s="142">
        <f t="shared" si="888"/>
        <v>0</v>
      </c>
      <c r="J263" s="142">
        <f t="shared" si="889"/>
        <v>0</v>
      </c>
      <c r="K263" s="142">
        <f t="shared" si="890"/>
        <v>0</v>
      </c>
      <c r="L263" s="10"/>
      <c r="M263" s="142" t="s">
        <v>288</v>
      </c>
      <c r="N263" s="142"/>
      <c r="O263" s="143">
        <f>O262*O260</f>
        <v>1</v>
      </c>
      <c r="P263" s="143">
        <f>P262*P260</f>
        <v>1</v>
      </c>
      <c r="Q263" s="10"/>
      <c r="R263" s="10"/>
      <c r="S263" s="142"/>
      <c r="T263" s="142"/>
      <c r="U263" s="142"/>
      <c r="V263" s="143"/>
      <c r="W263" s="143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</row>
    <row r="264" spans="2:36">
      <c r="B264" s="10"/>
      <c r="C264" s="142"/>
      <c r="D264" s="143"/>
      <c r="E264" s="151" t="s">
        <v>397</v>
      </c>
      <c r="F264" s="151"/>
      <c r="G264" s="12">
        <v>0</v>
      </c>
      <c r="H264" s="12">
        <v>1</v>
      </c>
      <c r="I264" s="142">
        <f t="shared" si="888"/>
        <v>0</v>
      </c>
      <c r="J264" s="142">
        <f t="shared" si="889"/>
        <v>0</v>
      </c>
      <c r="K264" s="142">
        <f t="shared" si="890"/>
        <v>0</v>
      </c>
      <c r="L264" s="10"/>
      <c r="M264" s="142"/>
      <c r="N264" s="142"/>
      <c r="O264" s="143"/>
      <c r="P264" s="143"/>
      <c r="Q264" s="10"/>
      <c r="R264" s="10"/>
      <c r="S264" s="144"/>
      <c r="T264" s="144"/>
      <c r="U264" s="144"/>
      <c r="V264" s="145"/>
      <c r="W264" s="145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</row>
    <row r="265" spans="2:36">
      <c r="B265" s="10"/>
      <c r="C265" s="142"/>
      <c r="D265" s="143"/>
      <c r="E265" s="151" t="s">
        <v>328</v>
      </c>
      <c r="F265" s="151"/>
      <c r="G265" s="12">
        <v>10</v>
      </c>
      <c r="H265" s="12">
        <v>1</v>
      </c>
      <c r="I265" s="142">
        <f t="shared" si="888"/>
        <v>10</v>
      </c>
      <c r="J265" s="142">
        <f>I265*K264</f>
        <v>0</v>
      </c>
      <c r="K265" s="142">
        <f>J265</f>
        <v>0</v>
      </c>
      <c r="L265" s="10"/>
      <c r="M265" s="142"/>
      <c r="N265" s="142"/>
      <c r="O265" s="143"/>
      <c r="P265" s="143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</row>
    <row r="266" spans="2:36">
      <c r="B266" s="10"/>
      <c r="C266" s="142"/>
      <c r="D266" s="143"/>
      <c r="E266" s="151" t="s">
        <v>398</v>
      </c>
      <c r="F266" s="151"/>
      <c r="G266" s="12">
        <v>0</v>
      </c>
      <c r="H266" s="12">
        <v>1</v>
      </c>
      <c r="I266" s="142">
        <f>G266/H266</f>
        <v>0</v>
      </c>
      <c r="J266" s="142">
        <f>I266*K265</f>
        <v>0</v>
      </c>
      <c r="K266" s="142">
        <f>J266</f>
        <v>0</v>
      </c>
      <c r="L266" s="10"/>
      <c r="M266" s="144" t="s">
        <v>289</v>
      </c>
      <c r="N266" s="144"/>
      <c r="O266" s="145">
        <f>O263/O261</f>
        <v>1</v>
      </c>
      <c r="P266" s="145">
        <f>P263/P261</f>
        <v>1</v>
      </c>
      <c r="Q266" s="10"/>
      <c r="R266" s="10"/>
      <c r="S266" s="144"/>
      <c r="T266" s="144"/>
      <c r="U266" s="144"/>
      <c r="V266" s="145"/>
      <c r="W266" s="145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</row>
    <row r="267" spans="2:36">
      <c r="B267" s="10"/>
      <c r="C267" s="142" t="s">
        <v>287</v>
      </c>
      <c r="D267" s="11"/>
      <c r="E267" s="151"/>
      <c r="F267" s="151"/>
      <c r="G267" s="142"/>
      <c r="H267" s="142"/>
      <c r="I267" s="144" t="s">
        <v>329</v>
      </c>
      <c r="J267" s="142"/>
      <c r="K267" s="142">
        <f>K266</f>
        <v>0</v>
      </c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</row>
    <row r="268" spans="2:36">
      <c r="B268" s="10"/>
      <c r="C268" s="142" t="s">
        <v>284</v>
      </c>
      <c r="D268" s="11"/>
      <c r="E268" s="151" t="s">
        <v>328</v>
      </c>
      <c r="F268" s="151"/>
      <c r="G268" s="12">
        <v>10</v>
      </c>
      <c r="H268" s="12">
        <v>2</v>
      </c>
      <c r="I268" s="142">
        <f>G268/H268</f>
        <v>5</v>
      </c>
      <c r="J268" s="152">
        <f>I268*D260</f>
        <v>0</v>
      </c>
      <c r="K268" s="152">
        <f>J268</f>
        <v>0</v>
      </c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</row>
    <row r="269" spans="2:36">
      <c r="B269" s="10"/>
      <c r="C269" s="142" t="s">
        <v>286</v>
      </c>
      <c r="D269" s="143">
        <f>D268*D267</f>
        <v>0</v>
      </c>
      <c r="E269" s="142"/>
      <c r="F269" s="142"/>
      <c r="G269" s="142"/>
      <c r="H269" s="142"/>
      <c r="I269" s="144" t="s">
        <v>329</v>
      </c>
      <c r="J269" s="142"/>
      <c r="K269" s="142">
        <f>K268</f>
        <v>0</v>
      </c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</row>
    <row r="270" spans="2:36">
      <c r="B270" s="10"/>
      <c r="C270" s="142"/>
      <c r="D270" s="143"/>
      <c r="E270" s="151" t="s">
        <v>328</v>
      </c>
      <c r="F270" s="151"/>
      <c r="G270" s="12">
        <v>10</v>
      </c>
      <c r="H270" s="12">
        <v>2</v>
      </c>
      <c r="I270" s="142">
        <f>G270/H270</f>
        <v>5</v>
      </c>
      <c r="J270" s="142">
        <f>I270*K269</f>
        <v>0</v>
      </c>
      <c r="K270" s="142">
        <f>J270</f>
        <v>0</v>
      </c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</row>
    <row r="271" spans="2:36">
      <c r="B271" s="10"/>
      <c r="C271" s="144" t="s">
        <v>289</v>
      </c>
      <c r="D271" s="145" t="e">
        <f>D269/D261</f>
        <v>#DIV/0!</v>
      </c>
      <c r="E271" s="151"/>
      <c r="F271" s="151"/>
      <c r="G271" s="142"/>
      <c r="H271" s="142"/>
      <c r="I271" s="144" t="s">
        <v>329</v>
      </c>
      <c r="J271" s="142"/>
      <c r="K271" s="142">
        <f>K270</f>
        <v>0</v>
      </c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</row>
    <row r="272" spans="2:36"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</row>
    <row r="273" spans="2:34">
      <c r="B273" s="10"/>
      <c r="C273" s="10"/>
      <c r="D273" s="114"/>
      <c r="E273" s="153"/>
      <c r="F273" s="153"/>
      <c r="G273" s="153"/>
      <c r="H273" s="153"/>
      <c r="I273" s="153"/>
      <c r="J273" s="154"/>
      <c r="K273" s="10"/>
      <c r="L273" s="114"/>
      <c r="M273" s="153"/>
      <c r="N273" s="154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</row>
    <row r="274" spans="2:34" ht="14.25">
      <c r="B274" s="10"/>
      <c r="C274" s="10"/>
      <c r="D274" s="306" t="s">
        <v>15</v>
      </c>
      <c r="E274" s="307"/>
      <c r="F274" s="307"/>
      <c r="G274" s="307"/>
      <c r="H274" s="307"/>
      <c r="I274" s="307"/>
      <c r="J274" s="308"/>
      <c r="K274" s="10"/>
      <c r="L274" s="306" t="s">
        <v>334</v>
      </c>
      <c r="M274" s="307"/>
      <c r="N274" s="308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</row>
    <row r="275" spans="2:34">
      <c r="B275" s="10"/>
      <c r="C275" s="10"/>
      <c r="D275" s="10" t="s">
        <v>16</v>
      </c>
      <c r="E275" s="108"/>
      <c r="F275" s="108"/>
      <c r="G275" s="108">
        <f>D261</f>
        <v>0</v>
      </c>
      <c r="H275" s="11">
        <f>D261</f>
        <v>0</v>
      </c>
      <c r="I275" s="10"/>
      <c r="J275" s="10"/>
      <c r="K275" s="10"/>
      <c r="L275" s="10" t="s">
        <v>16</v>
      </c>
      <c r="M275" s="108"/>
      <c r="N275" s="11">
        <f>H275</f>
        <v>0</v>
      </c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</row>
    <row r="276" spans="2:34">
      <c r="B276" s="10"/>
      <c r="C276" s="10"/>
      <c r="D276" s="10" t="s">
        <v>17</v>
      </c>
      <c r="E276" s="108"/>
      <c r="F276" s="108"/>
      <c r="G276" s="108">
        <f>D269</f>
        <v>0</v>
      </c>
      <c r="H276" s="11">
        <f>D269</f>
        <v>0</v>
      </c>
      <c r="I276" s="10"/>
      <c r="J276" s="10"/>
      <c r="K276" s="10"/>
      <c r="L276" s="10" t="s">
        <v>17</v>
      </c>
      <c r="M276" s="10"/>
      <c r="N276" s="11">
        <f>H276</f>
        <v>0</v>
      </c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</row>
    <row r="277" spans="2:34">
      <c r="B277" s="10"/>
      <c r="C277" s="10"/>
      <c r="D277" s="10" t="s">
        <v>18</v>
      </c>
      <c r="E277" s="10"/>
      <c r="F277" s="10"/>
      <c r="G277" s="12">
        <f>H277</f>
        <v>10</v>
      </c>
      <c r="H277" s="12">
        <v>10</v>
      </c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</row>
    <row r="278" spans="2:34">
      <c r="B278" s="10"/>
      <c r="C278" s="10"/>
      <c r="D278" s="13" t="s">
        <v>19</v>
      </c>
      <c r="E278" s="3"/>
      <c r="F278" s="3"/>
      <c r="G278" s="3" t="e">
        <f>((G276/G275)^(1/G277))-1</f>
        <v>#DIV/0!</v>
      </c>
      <c r="H278" s="3" t="e">
        <f>((H276/H275)^(1/H277))-1</f>
        <v>#DIV/0!</v>
      </c>
      <c r="I278" s="10"/>
      <c r="J278" s="10"/>
      <c r="K278" s="10"/>
      <c r="L278" s="13" t="s">
        <v>335</v>
      </c>
      <c r="M278" s="13"/>
      <c r="N278" s="168" t="e">
        <f>(N276-N275)/N275</f>
        <v>#DIV/0!</v>
      </c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</row>
    <row r="279" spans="2:34">
      <c r="B279" s="10"/>
      <c r="C279" s="10"/>
      <c r="D279" s="13" t="s">
        <v>20</v>
      </c>
      <c r="E279" s="140"/>
      <c r="F279" s="140"/>
      <c r="G279" s="140">
        <f>G277*12</f>
        <v>120</v>
      </c>
      <c r="H279" s="14">
        <f>H277*12</f>
        <v>120</v>
      </c>
      <c r="I279" s="10"/>
      <c r="J279" s="10"/>
      <c r="K279" s="10"/>
      <c r="L279" s="13" t="s">
        <v>336</v>
      </c>
      <c r="M279" s="13"/>
      <c r="N279" s="269" t="e">
        <f>N276/N275</f>
        <v>#DIV/0!</v>
      </c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</row>
    <row r="280" spans="2:34">
      <c r="B280" s="10"/>
      <c r="C280" s="10"/>
      <c r="D280" s="10" t="s">
        <v>18</v>
      </c>
      <c r="E280" s="15"/>
      <c r="F280" s="15"/>
      <c r="G280" s="15">
        <f>G279/12</f>
        <v>10</v>
      </c>
      <c r="H280" s="15">
        <f>H279/12</f>
        <v>10</v>
      </c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</row>
    <row r="281" spans="2:34">
      <c r="B281" s="10"/>
      <c r="C281" s="10"/>
      <c r="D281" s="13" t="s">
        <v>21</v>
      </c>
      <c r="E281" s="3"/>
      <c r="F281" s="3"/>
      <c r="G281" s="3" t="e">
        <f>((G276/G275)^(1/G280))-1</f>
        <v>#DIV/0!</v>
      </c>
      <c r="H281" s="3" t="e">
        <f>((H276/H275)^(1/H280))-1</f>
        <v>#DIV/0!</v>
      </c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</row>
    <row r="282" spans="2:34"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</row>
    <row r="283" spans="2:34"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</row>
  </sheetData>
  <mergeCells count="8">
    <mergeCell ref="A36:A45"/>
    <mergeCell ref="A128:A136"/>
    <mergeCell ref="D274:J274"/>
    <mergeCell ref="L274:N274"/>
    <mergeCell ref="AI2:AJ2"/>
    <mergeCell ref="AI3:AJ3"/>
    <mergeCell ref="N240:O240"/>
    <mergeCell ref="M257:P257"/>
  </mergeCell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2:Q45"/>
  <sheetViews>
    <sheetView topLeftCell="A25" zoomScale="80" zoomScaleNormal="80" workbookViewId="0">
      <selection activeCell="M5" sqref="M5:N10"/>
    </sheetView>
  </sheetViews>
  <sheetFormatPr defaultRowHeight="15"/>
  <cols>
    <col min="1" max="1" width="9.140625" style="6"/>
    <col min="2" max="2" width="16.140625" style="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>
      <c r="D2" s="6" t="s">
        <v>52</v>
      </c>
    </row>
    <row r="3" spans="2:14">
      <c r="B3" s="7" t="s">
        <v>0</v>
      </c>
      <c r="C3" s="7" t="s">
        <v>14</v>
      </c>
      <c r="D3" s="7" t="s">
        <v>13</v>
      </c>
      <c r="E3" s="7" t="s">
        <v>36</v>
      </c>
      <c r="F3" s="7" t="s">
        <v>30</v>
      </c>
      <c r="G3" s="7" t="s">
        <v>22</v>
      </c>
    </row>
    <row r="4" spans="2:14">
      <c r="B4" s="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>
      <c r="B5" s="8">
        <v>1</v>
      </c>
      <c r="C5" s="1">
        <v>2001</v>
      </c>
      <c r="D5" s="1">
        <v>2.61</v>
      </c>
      <c r="E5" s="1"/>
      <c r="F5" s="1"/>
      <c r="G5" s="1">
        <v>115.93</v>
      </c>
      <c r="J5" s="279" t="s">
        <v>15</v>
      </c>
      <c r="K5" s="279"/>
      <c r="M5" s="279" t="s">
        <v>53</v>
      </c>
      <c r="N5" s="279"/>
    </row>
    <row r="6" spans="2:14">
      <c r="B6" s="8">
        <v>2</v>
      </c>
      <c r="C6" s="1">
        <v>2002</v>
      </c>
      <c r="D6" s="1">
        <v>5.18</v>
      </c>
      <c r="E6" s="1"/>
      <c r="F6" s="1"/>
      <c r="G6" s="1">
        <v>230.21</v>
      </c>
      <c r="J6" s="10" t="s">
        <v>16</v>
      </c>
      <c r="K6" s="11">
        <v>2.61</v>
      </c>
      <c r="M6" s="19" t="s">
        <v>29</v>
      </c>
      <c r="N6" s="44">
        <v>38911</v>
      </c>
    </row>
    <row r="7" spans="2:14">
      <c r="B7" s="8">
        <v>3</v>
      </c>
      <c r="C7" s="1">
        <v>2003</v>
      </c>
      <c r="D7" s="1">
        <v>9.35</v>
      </c>
      <c r="E7" s="1"/>
      <c r="F7" s="1"/>
      <c r="G7" s="1">
        <v>416.1</v>
      </c>
      <c r="J7" s="10" t="s">
        <v>17</v>
      </c>
      <c r="K7" s="11">
        <v>203.28</v>
      </c>
      <c r="M7" s="19" t="s">
        <v>26</v>
      </c>
      <c r="N7" s="21">
        <v>0.15</v>
      </c>
    </row>
    <row r="8" spans="2:14">
      <c r="B8" s="8">
        <v>4</v>
      </c>
      <c r="C8" s="1">
        <v>2004</v>
      </c>
      <c r="D8" s="1">
        <v>9.41</v>
      </c>
      <c r="E8" s="1"/>
      <c r="F8" s="1"/>
      <c r="G8" s="1">
        <v>512.76</v>
      </c>
      <c r="J8" s="10" t="s">
        <v>18</v>
      </c>
      <c r="K8" s="12">
        <v>20</v>
      </c>
      <c r="M8" s="19" t="s">
        <v>27</v>
      </c>
      <c r="N8" s="22">
        <v>14</v>
      </c>
    </row>
    <row r="9" spans="2:14">
      <c r="B9" s="8">
        <v>5</v>
      </c>
      <c r="C9" s="1">
        <v>2005</v>
      </c>
      <c r="D9" s="1">
        <v>11.96</v>
      </c>
      <c r="E9" s="1"/>
      <c r="F9" s="1"/>
      <c r="G9" s="1">
        <v>651.36</v>
      </c>
      <c r="J9" s="13" t="s">
        <v>19</v>
      </c>
      <c r="K9" s="3">
        <f>((K7/K6)^(1/K8))-1</f>
        <v>0.24329076344312006</v>
      </c>
      <c r="M9" s="19" t="s">
        <v>28</v>
      </c>
      <c r="N9" s="20">
        <v>0</v>
      </c>
    </row>
    <row r="10" spans="2:14">
      <c r="B10" s="8">
        <v>6</v>
      </c>
      <c r="C10" s="1">
        <v>2006</v>
      </c>
      <c r="D10" s="1">
        <v>14.38</v>
      </c>
      <c r="E10" s="1"/>
      <c r="F10" s="1"/>
      <c r="G10" s="1">
        <v>783.34</v>
      </c>
      <c r="J10" s="13" t="s">
        <v>20</v>
      </c>
      <c r="K10" s="14">
        <v>140</v>
      </c>
      <c r="M10" s="24" t="s">
        <v>54</v>
      </c>
      <c r="N10" s="45">
        <f>PV(N7,N8,N9,-N6)</f>
        <v>5499.2394108985745</v>
      </c>
    </row>
    <row r="11" spans="2:14">
      <c r="B11" s="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10" t="s">
        <v>18</v>
      </c>
      <c r="K11" s="15">
        <f>K10/12</f>
        <v>11.666666666666666</v>
      </c>
    </row>
    <row r="12" spans="2:14">
      <c r="B12" s="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13" t="s">
        <v>21</v>
      </c>
      <c r="K12" s="3">
        <f>((K7/K6)^(1/K11))-1</f>
        <v>0.45252842827596251</v>
      </c>
    </row>
    <row r="13" spans="2:14">
      <c r="B13" s="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>
      <c r="B14" s="8">
        <v>10</v>
      </c>
      <c r="C14" s="1">
        <v>2010</v>
      </c>
      <c r="D14" s="1">
        <v>12.98</v>
      </c>
      <c r="E14" s="1"/>
      <c r="F14" s="1"/>
      <c r="G14" s="1">
        <v>706.96</v>
      </c>
      <c r="J14" s="279" t="s">
        <v>24</v>
      </c>
      <c r="K14" s="279"/>
      <c r="L14" s="279"/>
    </row>
    <row r="15" spans="2:14">
      <c r="B15" s="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19" t="s">
        <v>25</v>
      </c>
      <c r="K15" s="19"/>
      <c r="L15" s="20">
        <v>100000</v>
      </c>
    </row>
    <row r="16" spans="2:14">
      <c r="B16" s="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19" t="s">
        <v>26</v>
      </c>
      <c r="K16" s="19"/>
      <c r="L16" s="21">
        <v>0.15</v>
      </c>
    </row>
    <row r="17" spans="1:17">
      <c r="B17" s="8"/>
      <c r="C17" s="1"/>
      <c r="D17" s="1"/>
      <c r="E17" s="1"/>
      <c r="F17" s="1"/>
      <c r="G17" s="1"/>
      <c r="J17" s="19" t="s">
        <v>27</v>
      </c>
      <c r="K17" s="19"/>
      <c r="L17" s="22">
        <v>10</v>
      </c>
    </row>
    <row r="18" spans="1:17">
      <c r="B18" s="8"/>
      <c r="C18" s="1" t="s">
        <v>1</v>
      </c>
      <c r="D18" s="4">
        <v>0.14449999999999999</v>
      </c>
      <c r="E18" s="4"/>
      <c r="F18" s="4"/>
      <c r="G18" s="4">
        <v>0.2016</v>
      </c>
      <c r="J18" s="19" t="s">
        <v>28</v>
      </c>
      <c r="K18" s="19"/>
      <c r="L18" s="23">
        <v>0</v>
      </c>
    </row>
    <row r="19" spans="1:17">
      <c r="B19" s="8"/>
      <c r="C19" s="1" t="s">
        <v>31</v>
      </c>
      <c r="D19" s="1"/>
      <c r="E19" s="1"/>
      <c r="F19" s="1">
        <v>4</v>
      </c>
      <c r="G19" s="1"/>
      <c r="J19" s="24" t="s">
        <v>29</v>
      </c>
      <c r="K19" s="24"/>
      <c r="L19" s="19">
        <f>FV(L16,L17,L18,-L15)</f>
        <v>404555.77357079065</v>
      </c>
    </row>
    <row r="20" spans="1:17">
      <c r="B20" s="8" t="s">
        <v>23</v>
      </c>
      <c r="C20" s="1">
        <v>2022</v>
      </c>
      <c r="D20" s="1">
        <v>50.82</v>
      </c>
      <c r="E20" s="1"/>
      <c r="F20" s="1"/>
      <c r="G20" s="1"/>
    </row>
    <row r="21" spans="1:17">
      <c r="B21" s="8" t="s">
        <v>32</v>
      </c>
      <c r="C21" s="1">
        <v>2012</v>
      </c>
      <c r="D21" s="1">
        <v>70</v>
      </c>
      <c r="E21" s="1"/>
      <c r="F21" s="1"/>
      <c r="G21" s="1"/>
    </row>
    <row r="22" spans="1:17">
      <c r="B22" s="8" t="s">
        <v>33</v>
      </c>
      <c r="C22" s="1">
        <v>2022</v>
      </c>
      <c r="D22" s="1">
        <f>D20*F19</f>
        <v>203.28</v>
      </c>
      <c r="E22" s="1"/>
      <c r="F22" s="1"/>
      <c r="G22" s="1"/>
    </row>
    <row r="23" spans="1:17">
      <c r="B23" s="8" t="s">
        <v>34</v>
      </c>
      <c r="C23" s="1"/>
      <c r="D23" s="4">
        <v>0.1125</v>
      </c>
      <c r="E23" s="4"/>
      <c r="F23" s="1"/>
      <c r="G23" s="1"/>
    </row>
    <row r="27" spans="1:17">
      <c r="B27" s="17"/>
      <c r="C27" s="28"/>
      <c r="D27" s="25" t="s">
        <v>37</v>
      </c>
      <c r="E27" s="26"/>
      <c r="F27" s="26"/>
      <c r="G27" s="26"/>
      <c r="H27" s="26"/>
      <c r="I27" s="27"/>
      <c r="J27" s="16"/>
      <c r="K27" s="16"/>
      <c r="L27" s="16"/>
      <c r="M27" s="16"/>
    </row>
    <row r="28" spans="1:17">
      <c r="B28" s="7" t="s">
        <v>0</v>
      </c>
      <c r="C28" s="7" t="s">
        <v>49</v>
      </c>
      <c r="D28" s="18" t="s">
        <v>38</v>
      </c>
      <c r="E28" s="18" t="s">
        <v>39</v>
      </c>
      <c r="F28" s="18" t="s">
        <v>40</v>
      </c>
      <c r="G28" s="18" t="s">
        <v>50</v>
      </c>
      <c r="H28" s="18" t="s">
        <v>13</v>
      </c>
      <c r="I28" s="18" t="s">
        <v>43</v>
      </c>
      <c r="J28" s="18" t="s">
        <v>51</v>
      </c>
      <c r="K28" s="18" t="s">
        <v>42</v>
      </c>
      <c r="L28" s="18" t="s">
        <v>44</v>
      </c>
      <c r="M28" s="18" t="s">
        <v>46</v>
      </c>
      <c r="N28" s="18" t="s">
        <v>45</v>
      </c>
      <c r="O28" s="18" t="s">
        <v>55</v>
      </c>
      <c r="P28" s="18" t="s">
        <v>47</v>
      </c>
      <c r="Q28" s="18" t="s">
        <v>48</v>
      </c>
    </row>
    <row r="29" spans="1:17">
      <c r="B29" s="8">
        <v>0</v>
      </c>
      <c r="C29" s="1">
        <v>2000</v>
      </c>
      <c r="D29" s="17">
        <v>749.84</v>
      </c>
      <c r="E29" s="17"/>
      <c r="F29" s="17"/>
      <c r="G29" s="17"/>
      <c r="H29" s="17">
        <v>0</v>
      </c>
      <c r="I29" s="36">
        <f>100%-J29</f>
        <v>0</v>
      </c>
      <c r="J29" s="31">
        <v>1</v>
      </c>
      <c r="K29" s="33"/>
      <c r="L29" s="17"/>
      <c r="M29" s="37"/>
      <c r="N29" s="17"/>
      <c r="O29" s="17"/>
      <c r="P29" s="1"/>
      <c r="Q29" s="1"/>
    </row>
    <row r="30" spans="1:17">
      <c r="B30" s="8">
        <v>1</v>
      </c>
      <c r="C30" s="1">
        <v>2001</v>
      </c>
      <c r="D30" s="17">
        <v>932.76</v>
      </c>
      <c r="E30" s="17">
        <v>444800000</v>
      </c>
      <c r="F30" s="17">
        <f>E30/10000000</f>
        <v>44.48</v>
      </c>
      <c r="G30" s="30">
        <f>D30/F30</f>
        <v>20.970323741007196</v>
      </c>
      <c r="H30" s="17">
        <v>2.61</v>
      </c>
      <c r="I30" s="36">
        <f>100%-J30</f>
        <v>0.36419999999999997</v>
      </c>
      <c r="J30" s="33">
        <v>0.63580000000000003</v>
      </c>
      <c r="K30" s="33">
        <f>H30/G30</f>
        <v>0.12446159783867232</v>
      </c>
      <c r="L30" s="17"/>
      <c r="M30" s="37"/>
      <c r="N30" s="17"/>
      <c r="O30" s="17"/>
      <c r="P30" s="1"/>
      <c r="Q30" s="1"/>
    </row>
    <row r="31" spans="1:17">
      <c r="A31" s="6" t="s">
        <v>41</v>
      </c>
      <c r="B31" s="8">
        <v>2</v>
      </c>
      <c r="C31" s="1">
        <v>2002</v>
      </c>
      <c r="D31" s="17">
        <v>1132.6300000000001</v>
      </c>
      <c r="E31" s="17">
        <v>444800000</v>
      </c>
      <c r="F31" s="17">
        <f t="shared" ref="F31:F41" si="0">E31/10000000</f>
        <v>44.48</v>
      </c>
      <c r="G31" s="34">
        <f t="shared" ref="G31:G41" si="1">D31/F31</f>
        <v>25.463803956834536</v>
      </c>
      <c r="H31" s="35">
        <v>5.18</v>
      </c>
      <c r="I31" s="36">
        <f>100%-J31</f>
        <v>0.23250000000000004</v>
      </c>
      <c r="J31" s="33">
        <v>0.76749999999999996</v>
      </c>
      <c r="K31" s="41">
        <v>0.09</v>
      </c>
      <c r="L31" s="38">
        <f>K31*J31</f>
        <v>6.9074999999999998E-2</v>
      </c>
      <c r="M31" s="39">
        <v>25.46</v>
      </c>
      <c r="N31" s="35">
        <f>H31</f>
        <v>5.18</v>
      </c>
      <c r="O31" s="35"/>
      <c r="P31" s="40">
        <f>N31*I31</f>
        <v>1.20435</v>
      </c>
      <c r="Q31" s="40">
        <f>N31*J31</f>
        <v>3.9756499999999995</v>
      </c>
    </row>
    <row r="32" spans="1:17">
      <c r="B32" s="8">
        <v>3</v>
      </c>
      <c r="C32" s="1">
        <v>2003</v>
      </c>
      <c r="D32" s="17">
        <v>1459.59</v>
      </c>
      <c r="E32" s="17">
        <v>444800000</v>
      </c>
      <c r="F32" s="17">
        <f t="shared" si="0"/>
        <v>44.48</v>
      </c>
      <c r="G32" s="30">
        <f t="shared" si="1"/>
        <v>32.814523381294961</v>
      </c>
      <c r="H32" s="17">
        <v>9.35</v>
      </c>
      <c r="I32" s="36">
        <f t="shared" ref="I32:I41" si="2">100%-J32</f>
        <v>0.19359999999999999</v>
      </c>
      <c r="J32" s="33">
        <v>0.80640000000000001</v>
      </c>
      <c r="K32" s="33">
        <f t="shared" ref="K32:K41" si="3">H32/G32</f>
        <v>0.28493481046047181</v>
      </c>
      <c r="L32" s="17"/>
      <c r="M32" s="37">
        <f>G31*(1+$L$31)</f>
        <v>27.222716215152882</v>
      </c>
      <c r="N32" s="29">
        <f>N31*(1+$K$31)</f>
        <v>5.6462000000000003</v>
      </c>
      <c r="O32" s="3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>
      <c r="B33" s="8">
        <v>4</v>
      </c>
      <c r="C33" s="1">
        <v>2004</v>
      </c>
      <c r="D33" s="17">
        <v>2081.09</v>
      </c>
      <c r="E33" s="17">
        <v>444800000</v>
      </c>
      <c r="F33" s="17">
        <f t="shared" si="0"/>
        <v>44.48</v>
      </c>
      <c r="G33" s="30">
        <f t="shared" si="1"/>
        <v>46.787095323741013</v>
      </c>
      <c r="H33" s="17">
        <v>9.41</v>
      </c>
      <c r="I33" s="36">
        <f t="shared" si="2"/>
        <v>0.24050000000000005</v>
      </c>
      <c r="J33" s="33">
        <v>0.75949999999999995</v>
      </c>
      <c r="K33" s="33">
        <f t="shared" si="3"/>
        <v>0.20112383414460688</v>
      </c>
      <c r="L33" s="17"/>
      <c r="M33" s="37">
        <f>M32*(1+$L$31)</f>
        <v>29.103125337714566</v>
      </c>
      <c r="N33" s="29">
        <f t="shared" ref="N33:N41" si="4">N32*(1+$K$31)</f>
        <v>6.1543580000000011</v>
      </c>
      <c r="O33" s="32">
        <f t="shared" ref="O33:O41" si="5">(N33-H33)/H33</f>
        <v>-0.34597683315621669</v>
      </c>
      <c r="P33" s="1"/>
      <c r="Q33" s="1"/>
    </row>
    <row r="34" spans="2:17">
      <c r="B34" s="8">
        <v>5</v>
      </c>
      <c r="C34" s="1">
        <v>2005</v>
      </c>
      <c r="D34" s="17">
        <v>2575.19</v>
      </c>
      <c r="E34" s="17">
        <v>544800000</v>
      </c>
      <c r="F34" s="17">
        <f t="shared" si="0"/>
        <v>54.48</v>
      </c>
      <c r="G34" s="30">
        <f t="shared" si="1"/>
        <v>47.268538913362704</v>
      </c>
      <c r="H34" s="17">
        <v>11.96</v>
      </c>
      <c r="I34" s="36">
        <f t="shared" si="2"/>
        <v>0.22970000000000002</v>
      </c>
      <c r="J34" s="33">
        <v>0.77029999999999998</v>
      </c>
      <c r="K34" s="33">
        <f t="shared" si="3"/>
        <v>0.25302241776334949</v>
      </c>
      <c r="L34" s="17"/>
      <c r="M34" s="37">
        <f t="shared" ref="M34:M41" si="6">M33*(1+$L$31)</f>
        <v>31.113423720417199</v>
      </c>
      <c r="N34" s="29">
        <f t="shared" si="4"/>
        <v>6.7082502200000018</v>
      </c>
      <c r="O34" s="32">
        <f t="shared" si="5"/>
        <v>-0.43910951337792631</v>
      </c>
      <c r="P34" s="1"/>
      <c r="Q34" s="1"/>
    </row>
    <row r="35" spans="2:17">
      <c r="B35" s="8">
        <v>6</v>
      </c>
      <c r="C35" s="1">
        <v>2006</v>
      </c>
      <c r="D35" s="17">
        <v>31771.439999999999</v>
      </c>
      <c r="E35" s="17">
        <v>544800000</v>
      </c>
      <c r="F35" s="17">
        <f t="shared" si="0"/>
        <v>54.48</v>
      </c>
      <c r="G35" s="30">
        <f t="shared" si="1"/>
        <v>583.17621145374449</v>
      </c>
      <c r="H35" s="17">
        <v>14.38</v>
      </c>
      <c r="I35" s="36">
        <f t="shared" si="2"/>
        <v>0.21830000000000005</v>
      </c>
      <c r="J35" s="33">
        <v>0.78169999999999995</v>
      </c>
      <c r="K35" s="33">
        <f t="shared" si="3"/>
        <v>2.4658070266881202E-2</v>
      </c>
      <c r="L35" s="17"/>
      <c r="M35" s="37">
        <f t="shared" si="6"/>
        <v>33.262583463905017</v>
      </c>
      <c r="N35" s="29">
        <f t="shared" si="4"/>
        <v>7.3119927398000026</v>
      </c>
      <c r="O35" s="32">
        <f t="shared" si="5"/>
        <v>-0.49151649931849778</v>
      </c>
      <c r="P35" s="1"/>
      <c r="Q35" s="1"/>
    </row>
    <row r="36" spans="2:17">
      <c r="B36" s="8">
        <v>7</v>
      </c>
      <c r="C36" s="1">
        <v>2007</v>
      </c>
      <c r="D36" s="17">
        <v>3990.36</v>
      </c>
      <c r="E36" s="17">
        <v>544800000</v>
      </c>
      <c r="F36" s="17">
        <f t="shared" si="0"/>
        <v>54.48</v>
      </c>
      <c r="G36" s="30">
        <f t="shared" si="1"/>
        <v>73.244493392070495</v>
      </c>
      <c r="H36" s="17">
        <v>18.510000000000002</v>
      </c>
      <c r="I36" s="36">
        <f t="shared" si="2"/>
        <v>0.18999999999999995</v>
      </c>
      <c r="J36" s="33">
        <v>0.81</v>
      </c>
      <c r="K36" s="33">
        <f t="shared" si="3"/>
        <v>0.25271524373740711</v>
      </c>
      <c r="L36" s="17"/>
      <c r="M36" s="37">
        <f t="shared" si="6"/>
        <v>35.560196416674259</v>
      </c>
      <c r="N36" s="29">
        <f t="shared" si="4"/>
        <v>7.9700720863820038</v>
      </c>
      <c r="O36" s="32">
        <f t="shared" si="5"/>
        <v>-0.56941803963360327</v>
      </c>
      <c r="P36" s="1"/>
      <c r="Q36" s="1"/>
    </row>
    <row r="37" spans="2:17">
      <c r="B37" s="8">
        <v>8</v>
      </c>
      <c r="C37" s="1">
        <v>2008</v>
      </c>
      <c r="D37" s="17">
        <v>4856.67</v>
      </c>
      <c r="E37" s="17">
        <v>544800000</v>
      </c>
      <c r="F37" s="17">
        <f t="shared" si="0"/>
        <v>54.48</v>
      </c>
      <c r="G37" s="30">
        <f t="shared" si="1"/>
        <v>89.145925110132168</v>
      </c>
      <c r="H37" s="17">
        <v>22.07</v>
      </c>
      <c r="I37" s="36">
        <f t="shared" si="2"/>
        <v>0.16979999999999995</v>
      </c>
      <c r="J37" s="33">
        <v>0.83020000000000005</v>
      </c>
      <c r="K37" s="33">
        <f t="shared" si="3"/>
        <v>0.24757160770651493</v>
      </c>
      <c r="L37" s="17"/>
      <c r="M37" s="37">
        <f t="shared" si="6"/>
        <v>38.016516984156034</v>
      </c>
      <c r="N37" s="29">
        <f t="shared" si="4"/>
        <v>8.6873785741563854</v>
      </c>
      <c r="O37" s="32">
        <f t="shared" si="5"/>
        <v>-0.60637160968933457</v>
      </c>
      <c r="P37" s="1"/>
      <c r="Q37" s="1"/>
    </row>
    <row r="38" spans="2:17">
      <c r="B38" s="8">
        <v>9</v>
      </c>
      <c r="C38" s="1">
        <v>2009</v>
      </c>
      <c r="D38" s="17">
        <v>7150.96</v>
      </c>
      <c r="E38" s="17">
        <v>544800000</v>
      </c>
      <c r="F38" s="17">
        <f t="shared" si="0"/>
        <v>54.48</v>
      </c>
      <c r="G38" s="30">
        <f t="shared" si="1"/>
        <v>131.25844346549192</v>
      </c>
      <c r="H38" s="17">
        <v>24.34</v>
      </c>
      <c r="I38" s="36">
        <f t="shared" si="2"/>
        <v>0.22809999999999997</v>
      </c>
      <c r="J38" s="33">
        <v>0.77190000000000003</v>
      </c>
      <c r="K38" s="33">
        <f t="shared" si="3"/>
        <v>0.18543568975354358</v>
      </c>
      <c r="L38" s="17"/>
      <c r="M38" s="37">
        <f t="shared" si="6"/>
        <v>40.642507894836612</v>
      </c>
      <c r="N38" s="29">
        <f t="shared" si="4"/>
        <v>9.4692426458304606</v>
      </c>
      <c r="O38" s="32">
        <f t="shared" si="5"/>
        <v>-0.61095962835536322</v>
      </c>
      <c r="P38" s="1"/>
      <c r="Q38" s="1"/>
    </row>
    <row r="39" spans="2:17">
      <c r="B39" s="8">
        <v>10</v>
      </c>
      <c r="C39" s="1">
        <v>2010</v>
      </c>
      <c r="D39" s="17">
        <v>7524.58</v>
      </c>
      <c r="E39" s="17">
        <v>544800000</v>
      </c>
      <c r="F39" s="17">
        <f t="shared" si="0"/>
        <v>54.48</v>
      </c>
      <c r="G39" s="30">
        <f t="shared" si="1"/>
        <v>138.11637298091043</v>
      </c>
      <c r="H39" s="17">
        <v>12.98</v>
      </c>
      <c r="I39" s="36">
        <f t="shared" si="2"/>
        <v>0.31620000000000004</v>
      </c>
      <c r="J39" s="33">
        <v>0.68379999999999996</v>
      </c>
      <c r="K39" s="33">
        <f t="shared" si="3"/>
        <v>9.3978720406986169E-2</v>
      </c>
      <c r="L39" s="17"/>
      <c r="M39" s="37">
        <f t="shared" si="6"/>
        <v>43.449889127672449</v>
      </c>
      <c r="N39" s="29">
        <f t="shared" si="4"/>
        <v>10.321474483955203</v>
      </c>
      <c r="O39" s="32">
        <f t="shared" si="5"/>
        <v>-0.20481706595106294</v>
      </c>
      <c r="P39" s="1"/>
      <c r="Q39" s="1"/>
    </row>
    <row r="40" spans="2:17">
      <c r="B40" s="8">
        <v>11</v>
      </c>
      <c r="C40" s="1">
        <v>2011</v>
      </c>
      <c r="D40" s="17">
        <v>9324.93</v>
      </c>
      <c r="E40" s="17">
        <v>618749343</v>
      </c>
      <c r="F40" s="29">
        <f t="shared" si="0"/>
        <v>61.8749343</v>
      </c>
      <c r="G40" s="30">
        <f t="shared" si="1"/>
        <v>150.70609941641587</v>
      </c>
      <c r="H40" s="17">
        <v>17.329999999999998</v>
      </c>
      <c r="I40" s="36">
        <f t="shared" si="2"/>
        <v>0.33550000000000002</v>
      </c>
      <c r="J40" s="33">
        <v>0.66449999999999998</v>
      </c>
      <c r="K40" s="33">
        <f t="shared" si="3"/>
        <v>0.11499202797436547</v>
      </c>
      <c r="L40" s="17"/>
      <c r="M40" s="37">
        <f t="shared" si="6"/>
        <v>46.451190219166421</v>
      </c>
      <c r="N40" s="29">
        <f t="shared" si="4"/>
        <v>11.250407187511172</v>
      </c>
      <c r="O40" s="32">
        <f t="shared" si="5"/>
        <v>-0.35081320325959764</v>
      </c>
      <c r="P40" s="1"/>
      <c r="Q40" s="1"/>
    </row>
    <row r="41" spans="2:17">
      <c r="B41" s="8">
        <v>12</v>
      </c>
      <c r="C41" s="1">
        <v>2012</v>
      </c>
      <c r="D41" s="17">
        <v>11927.66</v>
      </c>
      <c r="E41" s="17">
        <v>796998198</v>
      </c>
      <c r="F41" s="29">
        <f t="shared" si="0"/>
        <v>79.6998198</v>
      </c>
      <c r="G41" s="30">
        <f t="shared" si="1"/>
        <v>149.65730198551842</v>
      </c>
      <c r="H41" s="17">
        <v>13.18</v>
      </c>
      <c r="I41" s="36">
        <f t="shared" si="2"/>
        <v>0.39780000000000004</v>
      </c>
      <c r="J41" s="33">
        <v>0.60219999999999996</v>
      </c>
      <c r="K41" s="33">
        <f t="shared" si="3"/>
        <v>8.806787123073595E-2</v>
      </c>
      <c r="L41" s="17"/>
      <c r="M41" s="37">
        <f t="shared" si="6"/>
        <v>49.659806183555339</v>
      </c>
      <c r="N41" s="29">
        <f t="shared" si="4"/>
        <v>12.262943834387178</v>
      </c>
      <c r="O41" s="32">
        <f t="shared" si="5"/>
        <v>-6.9579375236177674E-2</v>
      </c>
      <c r="P41" s="1"/>
      <c r="Q41" s="1"/>
    </row>
    <row r="42" spans="2:17">
      <c r="B42" s="8"/>
      <c r="C42" s="1"/>
      <c r="D42" s="17"/>
      <c r="E42" s="17"/>
      <c r="F42" s="17"/>
      <c r="G42" s="17"/>
      <c r="H42" s="17"/>
      <c r="I42" s="17"/>
      <c r="J42" s="17"/>
      <c r="K42" s="17"/>
      <c r="L42" s="17"/>
      <c r="M42" s="29"/>
      <c r="N42" s="17">
        <f>N41*5</f>
        <v>61.314719171935891</v>
      </c>
      <c r="O42" s="17"/>
      <c r="P42" s="1"/>
      <c r="Q42" s="1"/>
    </row>
    <row r="43" spans="2:17">
      <c r="B43" s="8"/>
      <c r="C43" s="1"/>
      <c r="D43" s="17"/>
      <c r="E43" s="17"/>
      <c r="F43" s="42" t="s">
        <v>1</v>
      </c>
      <c r="G43" s="43">
        <v>0.1938</v>
      </c>
      <c r="H43" s="43">
        <v>9.7900000000000001E-2</v>
      </c>
      <c r="I43" s="17"/>
      <c r="J43" s="17"/>
      <c r="K43" s="17"/>
      <c r="L43" s="17"/>
      <c r="P43" s="1"/>
      <c r="Q43" s="1"/>
    </row>
    <row r="44" spans="2:17">
      <c r="B44" s="8"/>
      <c r="C44" s="1"/>
      <c r="D44" s="17"/>
      <c r="E44" s="17"/>
      <c r="F44" s="17" t="s">
        <v>31</v>
      </c>
      <c r="G44" s="17"/>
      <c r="H44" s="17">
        <f>H41*6</f>
        <v>79.08</v>
      </c>
      <c r="I44" s="17"/>
      <c r="J44" s="17"/>
      <c r="K44" s="17"/>
      <c r="L44" s="17"/>
      <c r="M44" s="29"/>
      <c r="N44" s="17"/>
      <c r="O44" s="17"/>
      <c r="P44" s="1"/>
      <c r="Q44" s="1"/>
    </row>
    <row r="45" spans="2:17">
      <c r="L45" s="37">
        <v>103</v>
      </c>
      <c r="M45" s="1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2:T45"/>
  <sheetViews>
    <sheetView zoomScale="80" zoomScaleNormal="80" workbookViewId="0">
      <selection activeCell="B17" sqref="B17"/>
    </sheetView>
  </sheetViews>
  <sheetFormatPr defaultRowHeight="15"/>
  <cols>
    <col min="1" max="1" width="9.140625" style="6"/>
    <col min="2" max="2" width="16.140625" style="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>
      <c r="D2" s="6" t="s">
        <v>35</v>
      </c>
    </row>
    <row r="3" spans="2:20">
      <c r="B3" s="7" t="s">
        <v>0</v>
      </c>
      <c r="C3" s="7" t="s">
        <v>14</v>
      </c>
      <c r="D3" s="7" t="s">
        <v>13</v>
      </c>
      <c r="E3" s="7" t="s">
        <v>36</v>
      </c>
      <c r="F3" s="7" t="s">
        <v>30</v>
      </c>
      <c r="G3" s="7" t="s">
        <v>22</v>
      </c>
    </row>
    <row r="4" spans="2:20">
      <c r="B4" s="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>
      <c r="B5" s="8">
        <v>1</v>
      </c>
      <c r="C5" s="1">
        <v>2001</v>
      </c>
      <c r="D5" s="1"/>
      <c r="E5" s="1"/>
      <c r="F5" s="1"/>
      <c r="G5" s="1">
        <v>115.93</v>
      </c>
      <c r="R5" s="279" t="s">
        <v>15</v>
      </c>
      <c r="S5" s="279"/>
    </row>
    <row r="6" spans="2:20">
      <c r="B6" s="8">
        <v>2</v>
      </c>
      <c r="C6" s="1">
        <v>2002</v>
      </c>
      <c r="D6" s="1">
        <v>26.5</v>
      </c>
      <c r="E6" s="1"/>
      <c r="F6" s="1"/>
      <c r="G6" s="1">
        <v>230.21</v>
      </c>
      <c r="R6" s="10" t="s">
        <v>16</v>
      </c>
      <c r="S6" s="11">
        <v>2.61</v>
      </c>
    </row>
    <row r="7" spans="2:20">
      <c r="B7" s="8">
        <v>3</v>
      </c>
      <c r="C7" s="1">
        <v>2003</v>
      </c>
      <c r="D7" s="1">
        <v>31.74</v>
      </c>
      <c r="E7" s="1"/>
      <c r="F7" s="1"/>
      <c r="G7" s="1">
        <v>416.1</v>
      </c>
      <c r="R7" s="10" t="s">
        <v>17</v>
      </c>
      <c r="S7" s="11">
        <v>203.28</v>
      </c>
    </row>
    <row r="8" spans="2:20">
      <c r="B8" s="8">
        <v>4</v>
      </c>
      <c r="C8" s="1">
        <v>2004</v>
      </c>
      <c r="D8" s="1">
        <v>45.28</v>
      </c>
      <c r="E8" s="1"/>
      <c r="F8" s="1"/>
      <c r="G8" s="1">
        <v>512.76</v>
      </c>
      <c r="R8" s="10" t="s">
        <v>18</v>
      </c>
      <c r="S8" s="12">
        <v>20</v>
      </c>
    </row>
    <row r="9" spans="2:20">
      <c r="B9" s="8">
        <v>5</v>
      </c>
      <c r="C9" s="1">
        <v>2005</v>
      </c>
      <c r="D9" s="1">
        <v>42.52</v>
      </c>
      <c r="E9" s="1"/>
      <c r="F9" s="1"/>
      <c r="G9" s="1">
        <v>651.36</v>
      </c>
      <c r="R9" s="13" t="s">
        <v>19</v>
      </c>
      <c r="S9" s="3">
        <f>((S7/S6)^(1/S8))-1</f>
        <v>0.24329076344312006</v>
      </c>
    </row>
    <row r="10" spans="2:20">
      <c r="B10" s="8">
        <v>6</v>
      </c>
      <c r="C10" s="1">
        <v>2006</v>
      </c>
      <c r="D10" s="1">
        <v>46.71</v>
      </c>
      <c r="E10" s="1"/>
      <c r="F10" s="1"/>
      <c r="G10" s="1">
        <v>783.34</v>
      </c>
      <c r="R10" s="13" t="s">
        <v>20</v>
      </c>
      <c r="S10" s="14">
        <v>140</v>
      </c>
    </row>
    <row r="11" spans="2:20">
      <c r="B11" s="8">
        <v>7</v>
      </c>
      <c r="C11" s="1">
        <v>2007</v>
      </c>
      <c r="D11" s="1">
        <v>49.38</v>
      </c>
      <c r="E11" s="1"/>
      <c r="F11" s="1"/>
      <c r="G11" s="1">
        <v>1008.43</v>
      </c>
      <c r="R11" s="10" t="s">
        <v>18</v>
      </c>
      <c r="S11" s="15">
        <f>S10/12</f>
        <v>11.666666666666666</v>
      </c>
    </row>
    <row r="12" spans="2:20">
      <c r="B12" s="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13" t="s">
        <v>21</v>
      </c>
      <c r="S12" s="3">
        <f>((S7/S6)^(1/S11))-1</f>
        <v>0.45252842827596251</v>
      </c>
    </row>
    <row r="13" spans="2:20">
      <c r="B13" s="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>
      <c r="B14" s="8">
        <v>10</v>
      </c>
      <c r="C14" s="1">
        <v>2010</v>
      </c>
      <c r="D14" s="1">
        <v>123.39</v>
      </c>
      <c r="E14" s="1"/>
      <c r="F14" s="1"/>
      <c r="G14" s="1">
        <v>706.96</v>
      </c>
      <c r="R14" s="279" t="s">
        <v>24</v>
      </c>
      <c r="S14" s="279"/>
      <c r="T14" s="279"/>
    </row>
    <row r="15" spans="2:20">
      <c r="B15" s="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19" t="s">
        <v>25</v>
      </c>
      <c r="S15" s="19"/>
      <c r="T15" s="20">
        <v>100000</v>
      </c>
    </row>
    <row r="16" spans="2:20">
      <c r="B16" s="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19" t="s">
        <v>26</v>
      </c>
      <c r="S16" s="19"/>
      <c r="T16" s="21">
        <v>0.15</v>
      </c>
    </row>
    <row r="17" spans="1:20">
      <c r="B17" s="8"/>
      <c r="C17" s="1"/>
      <c r="D17" s="1"/>
      <c r="E17" s="1"/>
      <c r="F17" s="1"/>
      <c r="G17" s="1"/>
      <c r="R17" s="19" t="s">
        <v>27</v>
      </c>
      <c r="S17" s="19"/>
      <c r="T17" s="22">
        <v>10</v>
      </c>
    </row>
    <row r="18" spans="1:20">
      <c r="B18" s="8"/>
      <c r="C18" s="1" t="s">
        <v>1</v>
      </c>
      <c r="D18" s="4">
        <v>0.14449999999999999</v>
      </c>
      <c r="E18" s="4"/>
      <c r="F18" s="4"/>
      <c r="G18" s="4">
        <v>0.2016</v>
      </c>
      <c r="R18" s="19" t="s">
        <v>28</v>
      </c>
      <c r="S18" s="19"/>
      <c r="T18" s="23">
        <v>0</v>
      </c>
    </row>
    <row r="19" spans="1:20">
      <c r="B19" s="8"/>
      <c r="C19" s="1" t="s">
        <v>31</v>
      </c>
      <c r="D19" s="1"/>
      <c r="E19" s="1"/>
      <c r="F19" s="1">
        <v>4</v>
      </c>
      <c r="G19" s="1"/>
      <c r="R19" s="24" t="s">
        <v>29</v>
      </c>
      <c r="S19" s="24"/>
      <c r="T19" s="19">
        <f>FV(T16,T17,T18,-T15)</f>
        <v>404555.77357079065</v>
      </c>
    </row>
    <row r="20" spans="1:20">
      <c r="B20" s="8" t="s">
        <v>23</v>
      </c>
      <c r="C20" s="1">
        <v>2022</v>
      </c>
      <c r="D20" s="1">
        <v>50.82</v>
      </c>
      <c r="E20" s="1"/>
      <c r="F20" s="1"/>
      <c r="G20" s="1"/>
    </row>
    <row r="21" spans="1:20">
      <c r="B21" s="8" t="s">
        <v>32</v>
      </c>
      <c r="C21" s="1">
        <v>2012</v>
      </c>
      <c r="D21" s="1">
        <v>70</v>
      </c>
      <c r="E21" s="1"/>
      <c r="F21" s="1"/>
      <c r="G21" s="1"/>
    </row>
    <row r="22" spans="1:20">
      <c r="B22" s="8" t="s">
        <v>33</v>
      </c>
      <c r="C22" s="1">
        <v>2022</v>
      </c>
      <c r="D22" s="1">
        <f>D20*F19</f>
        <v>203.28</v>
      </c>
      <c r="E22" s="1"/>
      <c r="F22" s="1"/>
      <c r="G22" s="1"/>
    </row>
    <row r="23" spans="1:20">
      <c r="B23" s="8" t="s">
        <v>34</v>
      </c>
      <c r="C23" s="1"/>
      <c r="D23" s="4">
        <v>0.1125</v>
      </c>
      <c r="E23" s="4"/>
      <c r="F23" s="1"/>
      <c r="G23" s="1"/>
    </row>
    <row r="27" spans="1:20">
      <c r="B27" s="17"/>
      <c r="C27" s="28"/>
      <c r="D27" s="25" t="s">
        <v>37</v>
      </c>
      <c r="E27" s="26"/>
      <c r="F27" s="26"/>
      <c r="G27" s="26"/>
      <c r="H27" s="26"/>
      <c r="I27" s="27"/>
      <c r="J27" s="16"/>
      <c r="K27" s="16"/>
      <c r="L27" s="16"/>
      <c r="M27" s="16"/>
    </row>
    <row r="28" spans="1:20">
      <c r="B28" s="7" t="s">
        <v>0</v>
      </c>
      <c r="C28" s="7" t="s">
        <v>49</v>
      </c>
      <c r="D28" s="18" t="s">
        <v>38</v>
      </c>
      <c r="E28" s="18" t="s">
        <v>39</v>
      </c>
      <c r="F28" s="18" t="s">
        <v>40</v>
      </c>
      <c r="G28" s="18" t="s">
        <v>50</v>
      </c>
      <c r="H28" s="18" t="s">
        <v>13</v>
      </c>
      <c r="I28" s="18" t="s">
        <v>43</v>
      </c>
      <c r="J28" s="18" t="s">
        <v>51</v>
      </c>
      <c r="K28" s="18" t="s">
        <v>42</v>
      </c>
      <c r="L28" s="18" t="s">
        <v>44</v>
      </c>
      <c r="M28" s="18" t="s">
        <v>46</v>
      </c>
      <c r="N28" s="18" t="s">
        <v>45</v>
      </c>
      <c r="O28" s="18" t="s">
        <v>47</v>
      </c>
      <c r="P28" s="18" t="s">
        <v>48</v>
      </c>
    </row>
    <row r="29" spans="1:20">
      <c r="B29" s="8">
        <v>0</v>
      </c>
      <c r="C29" s="1">
        <v>2000</v>
      </c>
      <c r="D29" s="17">
        <v>749.84</v>
      </c>
      <c r="E29" s="17"/>
      <c r="F29" s="17"/>
      <c r="G29" s="17"/>
      <c r="H29" s="17">
        <v>0</v>
      </c>
      <c r="I29" s="36">
        <f>100%-J29</f>
        <v>0</v>
      </c>
      <c r="J29" s="31">
        <v>1</v>
      </c>
      <c r="K29" s="33"/>
      <c r="L29" s="17"/>
      <c r="M29" s="37"/>
      <c r="N29" s="17"/>
      <c r="O29" s="1"/>
      <c r="P29" s="1"/>
    </row>
    <row r="30" spans="1:20">
      <c r="B30" s="8">
        <v>1</v>
      </c>
      <c r="C30" s="1">
        <v>2001</v>
      </c>
      <c r="D30" s="17">
        <v>932.76</v>
      </c>
      <c r="E30" s="17">
        <v>444800000</v>
      </c>
      <c r="F30" s="17">
        <f>E30/10000000</f>
        <v>44.48</v>
      </c>
      <c r="G30" s="30">
        <f>D30/F30</f>
        <v>20.970323741007196</v>
      </c>
      <c r="H30" s="17">
        <v>2.61</v>
      </c>
      <c r="I30" s="36">
        <f>100%-J30</f>
        <v>0.36419999999999997</v>
      </c>
      <c r="J30" s="33">
        <v>0.63580000000000003</v>
      </c>
      <c r="K30" s="33">
        <f t="shared" ref="K30:K41" si="0">H30/G30</f>
        <v>0.12446159783867232</v>
      </c>
      <c r="L30" s="17"/>
      <c r="M30" s="37"/>
      <c r="N30" s="17"/>
      <c r="O30" s="1"/>
      <c r="P30" s="1"/>
    </row>
    <row r="31" spans="1:20">
      <c r="A31" s="6" t="s">
        <v>41</v>
      </c>
      <c r="B31" s="8">
        <v>2</v>
      </c>
      <c r="C31" s="1">
        <v>2002</v>
      </c>
      <c r="D31" s="17">
        <v>1132.6300000000001</v>
      </c>
      <c r="E31" s="17">
        <v>444800000</v>
      </c>
      <c r="F31" s="17">
        <f t="shared" ref="F31:F41" si="1">E31/10000000</f>
        <v>44.48</v>
      </c>
      <c r="G31" s="34">
        <f t="shared" ref="G31:G41" si="2">D31/F31</f>
        <v>25.463803956834536</v>
      </c>
      <c r="H31" s="35">
        <v>5.18</v>
      </c>
      <c r="I31" s="36">
        <f>100%-J31</f>
        <v>0.23250000000000004</v>
      </c>
      <c r="J31" s="33">
        <v>0.76749999999999996</v>
      </c>
      <c r="K31" s="41">
        <f t="shared" si="0"/>
        <v>0.20342600849350623</v>
      </c>
      <c r="L31" s="38">
        <f>K31*J31</f>
        <v>0.15612946151876603</v>
      </c>
      <c r="M31" s="39">
        <v>25.46</v>
      </c>
      <c r="N31" s="35">
        <f>H31</f>
        <v>5.18</v>
      </c>
      <c r="O31" s="40">
        <f>N31*I31</f>
        <v>1.20435</v>
      </c>
      <c r="P31" s="40">
        <f>N31*J31</f>
        <v>3.9756499999999995</v>
      </c>
    </row>
    <row r="32" spans="1:20">
      <c r="B32" s="8">
        <v>3</v>
      </c>
      <c r="C32" s="1">
        <v>2003</v>
      </c>
      <c r="D32" s="17">
        <v>1459.59</v>
      </c>
      <c r="E32" s="17">
        <v>444800000</v>
      </c>
      <c r="F32" s="17">
        <f t="shared" si="1"/>
        <v>44.48</v>
      </c>
      <c r="G32" s="30">
        <f t="shared" si="2"/>
        <v>32.814523381294961</v>
      </c>
      <c r="H32" s="17">
        <v>9.35</v>
      </c>
      <c r="I32" s="36">
        <f t="shared" ref="I32:I41" si="3">100%-J32</f>
        <v>0.19359999999999999</v>
      </c>
      <c r="J32" s="33">
        <v>0.80640000000000001</v>
      </c>
      <c r="K32" s="33">
        <f t="shared" si="0"/>
        <v>0.28493481046047181</v>
      </c>
      <c r="L32" s="17"/>
      <c r="M32" s="37">
        <f>G31*(1+$L$31)</f>
        <v>29.439453956834537</v>
      </c>
      <c r="N32" s="2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>
      <c r="B33" s="8">
        <v>4</v>
      </c>
      <c r="C33" s="1">
        <v>2004</v>
      </c>
      <c r="D33" s="17">
        <v>2081.09</v>
      </c>
      <c r="E33" s="17">
        <v>444800000</v>
      </c>
      <c r="F33" s="17">
        <f t="shared" si="1"/>
        <v>44.48</v>
      </c>
      <c r="G33" s="30">
        <f t="shared" si="2"/>
        <v>46.787095323741013</v>
      </c>
      <c r="H33" s="17">
        <v>9.41</v>
      </c>
      <c r="I33" s="36">
        <f t="shared" si="3"/>
        <v>0.24050000000000005</v>
      </c>
      <c r="J33" s="33">
        <v>0.75949999999999995</v>
      </c>
      <c r="K33" s="33">
        <f t="shared" si="0"/>
        <v>0.20112383414460688</v>
      </c>
      <c r="L33" s="17"/>
      <c r="M33" s="37">
        <f>M32*(1+$L$31)</f>
        <v>34.035820050521622</v>
      </c>
      <c r="N33" s="29">
        <f t="shared" ref="N33:N41" si="4">N32*(1+$K$31)</f>
        <v>7.5018529380184118</v>
      </c>
      <c r="O33" s="1"/>
      <c r="P33" s="1"/>
    </row>
    <row r="34" spans="2:16">
      <c r="B34" s="8">
        <v>5</v>
      </c>
      <c r="C34" s="1">
        <v>2005</v>
      </c>
      <c r="D34" s="17">
        <v>2575.19</v>
      </c>
      <c r="E34" s="17">
        <v>544800000</v>
      </c>
      <c r="F34" s="17">
        <f t="shared" si="1"/>
        <v>54.48</v>
      </c>
      <c r="G34" s="30">
        <f t="shared" si="2"/>
        <v>47.268538913362704</v>
      </c>
      <c r="H34" s="17">
        <v>11.96</v>
      </c>
      <c r="I34" s="36">
        <f t="shared" si="3"/>
        <v>0.22970000000000002</v>
      </c>
      <c r="J34" s="33">
        <v>0.77029999999999998</v>
      </c>
      <c r="K34" s="33">
        <f t="shared" si="0"/>
        <v>0.25302241776334949</v>
      </c>
      <c r="L34" s="17"/>
      <c r="M34" s="37">
        <f t="shared" ref="M34:M41" si="5">M33*(1+$L$31)</f>
        <v>39.349814307359182</v>
      </c>
      <c r="N34" s="29">
        <f t="shared" si="4"/>
        <v>9.0279249375047801</v>
      </c>
      <c r="O34" s="1"/>
      <c r="P34" s="1"/>
    </row>
    <row r="35" spans="2:16">
      <c r="B35" s="8">
        <v>6</v>
      </c>
      <c r="C35" s="1">
        <v>2006</v>
      </c>
      <c r="D35" s="17">
        <v>31771.439999999999</v>
      </c>
      <c r="E35" s="17">
        <v>544800000</v>
      </c>
      <c r="F35" s="17">
        <f t="shared" si="1"/>
        <v>54.48</v>
      </c>
      <c r="G35" s="30">
        <f t="shared" si="2"/>
        <v>583.17621145374449</v>
      </c>
      <c r="H35" s="17">
        <v>14.38</v>
      </c>
      <c r="I35" s="36">
        <f t="shared" si="3"/>
        <v>0.21830000000000005</v>
      </c>
      <c r="J35" s="33">
        <v>0.78169999999999995</v>
      </c>
      <c r="K35" s="33">
        <f t="shared" si="0"/>
        <v>2.4658070266881202E-2</v>
      </c>
      <c r="L35" s="17"/>
      <c r="M35" s="37">
        <f t="shared" si="5"/>
        <v>45.493479626030606</v>
      </c>
      <c r="N35" s="29">
        <f t="shared" si="4"/>
        <v>10.864439672520364</v>
      </c>
      <c r="O35" s="1"/>
      <c r="P35" s="1"/>
    </row>
    <row r="36" spans="2:16">
      <c r="B36" s="8">
        <v>7</v>
      </c>
      <c r="C36" s="1">
        <v>2007</v>
      </c>
      <c r="D36" s="17">
        <v>3990.36</v>
      </c>
      <c r="E36" s="17">
        <v>544800000</v>
      </c>
      <c r="F36" s="17">
        <f t="shared" si="1"/>
        <v>54.48</v>
      </c>
      <c r="G36" s="30">
        <f t="shared" si="2"/>
        <v>73.244493392070495</v>
      </c>
      <c r="H36" s="17">
        <v>18.510000000000002</v>
      </c>
      <c r="I36" s="36">
        <f t="shared" si="3"/>
        <v>0.18999999999999995</v>
      </c>
      <c r="J36" s="33">
        <v>0.81</v>
      </c>
      <c r="K36" s="33">
        <f t="shared" si="0"/>
        <v>0.25271524373740711</v>
      </c>
      <c r="L36" s="17"/>
      <c r="M36" s="37">
        <f t="shared" si="5"/>
        <v>52.596352102657718</v>
      </c>
      <c r="N36" s="29">
        <f t="shared" si="4"/>
        <v>13.074549269619677</v>
      </c>
      <c r="O36" s="1"/>
      <c r="P36" s="1"/>
    </row>
    <row r="37" spans="2:16">
      <c r="B37" s="8">
        <v>8</v>
      </c>
      <c r="C37" s="1">
        <v>2008</v>
      </c>
      <c r="D37" s="17">
        <v>4856.67</v>
      </c>
      <c r="E37" s="17">
        <v>544800000</v>
      </c>
      <c r="F37" s="17">
        <f t="shared" si="1"/>
        <v>54.48</v>
      </c>
      <c r="G37" s="30">
        <f t="shared" si="2"/>
        <v>89.145925110132168</v>
      </c>
      <c r="H37" s="17">
        <v>22.07</v>
      </c>
      <c r="I37" s="36">
        <f t="shared" si="3"/>
        <v>0.16979999999999995</v>
      </c>
      <c r="J37" s="33">
        <v>0.83020000000000005</v>
      </c>
      <c r="K37" s="33">
        <f t="shared" si="0"/>
        <v>0.24757160770651493</v>
      </c>
      <c r="L37" s="17"/>
      <c r="M37" s="37">
        <f t="shared" si="5"/>
        <v>60.808192234297088</v>
      </c>
      <c r="N37" s="29">
        <f t="shared" si="4"/>
        <v>15.734252640390094</v>
      </c>
      <c r="O37" s="1"/>
      <c r="P37" s="1"/>
    </row>
    <row r="38" spans="2:16">
      <c r="B38" s="8">
        <v>9</v>
      </c>
      <c r="C38" s="1">
        <v>2009</v>
      </c>
      <c r="D38" s="17">
        <v>7150.96</v>
      </c>
      <c r="E38" s="17">
        <v>544800000</v>
      </c>
      <c r="F38" s="17">
        <f t="shared" si="1"/>
        <v>54.48</v>
      </c>
      <c r="G38" s="30">
        <f t="shared" si="2"/>
        <v>131.25844346549192</v>
      </c>
      <c r="H38" s="17">
        <v>24.34</v>
      </c>
      <c r="I38" s="36">
        <f t="shared" si="3"/>
        <v>0.22809999999999997</v>
      </c>
      <c r="J38" s="33">
        <v>0.77190000000000003</v>
      </c>
      <c r="K38" s="33">
        <f t="shared" si="0"/>
        <v>0.18543568975354358</v>
      </c>
      <c r="L38" s="17"/>
      <c r="M38" s="37">
        <f t="shared" si="5"/>
        <v>70.302142543767502</v>
      </c>
      <c r="N38" s="29">
        <f t="shared" si="4"/>
        <v>18.935008851653063</v>
      </c>
      <c r="O38" s="1"/>
      <c r="P38" s="1"/>
    </row>
    <row r="39" spans="2:16">
      <c r="B39" s="8">
        <v>10</v>
      </c>
      <c r="C39" s="1">
        <v>2010</v>
      </c>
      <c r="D39" s="17">
        <v>7524.58</v>
      </c>
      <c r="E39" s="17">
        <v>544800000</v>
      </c>
      <c r="F39" s="17">
        <f t="shared" si="1"/>
        <v>54.48</v>
      </c>
      <c r="G39" s="30">
        <f t="shared" si="2"/>
        <v>138.11637298091043</v>
      </c>
      <c r="H39" s="17">
        <v>12.98</v>
      </c>
      <c r="I39" s="36">
        <f t="shared" si="3"/>
        <v>0.31620000000000004</v>
      </c>
      <c r="J39" s="33">
        <v>0.68379999999999996</v>
      </c>
      <c r="K39" s="33">
        <f t="shared" si="0"/>
        <v>9.3978720406986169E-2</v>
      </c>
      <c r="L39" s="17"/>
      <c r="M39" s="37">
        <f t="shared" si="5"/>
        <v>81.27837820274145</v>
      </c>
      <c r="N39" s="29">
        <f t="shared" si="4"/>
        <v>22.786882123134053</v>
      </c>
      <c r="O39" s="1"/>
      <c r="P39" s="1"/>
    </row>
    <row r="40" spans="2:16">
      <c r="B40" s="8">
        <v>11</v>
      </c>
      <c r="C40" s="1">
        <v>2011</v>
      </c>
      <c r="D40" s="17">
        <v>9324.93</v>
      </c>
      <c r="E40" s="17">
        <v>618749343</v>
      </c>
      <c r="F40" s="29">
        <f t="shared" si="1"/>
        <v>61.8749343</v>
      </c>
      <c r="G40" s="30">
        <f t="shared" si="2"/>
        <v>150.70609941641587</v>
      </c>
      <c r="H40" s="17">
        <v>17.329999999999998</v>
      </c>
      <c r="I40" s="36">
        <f t="shared" si="3"/>
        <v>0.33550000000000002</v>
      </c>
      <c r="J40" s="33">
        <v>0.66449999999999998</v>
      </c>
      <c r="K40" s="33">
        <f t="shared" si="0"/>
        <v>0.11499202797436547</v>
      </c>
      <c r="L40" s="17"/>
      <c r="M40" s="37">
        <f t="shared" si="5"/>
        <v>93.96832762465408</v>
      </c>
      <c r="N40" s="29">
        <f t="shared" si="4"/>
        <v>27.422326599455246</v>
      </c>
      <c r="O40" s="1"/>
      <c r="P40" s="1"/>
    </row>
    <row r="41" spans="2:16">
      <c r="B41" s="8">
        <v>12</v>
      </c>
      <c r="C41" s="1">
        <v>2012</v>
      </c>
      <c r="D41" s="17">
        <v>11927.66</v>
      </c>
      <c r="E41" s="17">
        <v>796998198</v>
      </c>
      <c r="F41" s="29">
        <f t="shared" si="1"/>
        <v>79.6998198</v>
      </c>
      <c r="G41" s="30">
        <f t="shared" si="2"/>
        <v>149.65730198551842</v>
      </c>
      <c r="H41" s="17">
        <v>13.18</v>
      </c>
      <c r="I41" s="36">
        <f t="shared" si="3"/>
        <v>0.39780000000000004</v>
      </c>
      <c r="J41" s="33">
        <v>0.60219999999999996</v>
      </c>
      <c r="K41" s="33">
        <f t="shared" si="0"/>
        <v>8.806787123073595E-2</v>
      </c>
      <c r="L41" s="17"/>
      <c r="M41" s="37">
        <f t="shared" si="5"/>
        <v>108.63955201651031</v>
      </c>
      <c r="N41" s="29">
        <f t="shared" si="4"/>
        <v>33.00074104318773</v>
      </c>
      <c r="O41" s="1"/>
      <c r="P41" s="1"/>
    </row>
    <row r="42" spans="2:16">
      <c r="B42" s="8"/>
      <c r="C42" s="1"/>
      <c r="D42" s="17"/>
      <c r="E42" s="17"/>
      <c r="F42" s="17"/>
      <c r="G42" s="17"/>
      <c r="H42" s="17"/>
      <c r="I42" s="17"/>
      <c r="J42" s="17"/>
      <c r="K42" s="17"/>
      <c r="L42" s="17"/>
      <c r="M42" s="29"/>
      <c r="N42" s="17">
        <f>N41*5</f>
        <v>165.00370521593865</v>
      </c>
      <c r="O42" s="1"/>
      <c r="P42" s="1"/>
    </row>
    <row r="43" spans="2:16">
      <c r="B43" s="8"/>
      <c r="C43" s="1"/>
      <c r="D43" s="17"/>
      <c r="E43" s="17"/>
      <c r="F43" s="42" t="s">
        <v>1</v>
      </c>
      <c r="G43" s="43">
        <v>0.1938</v>
      </c>
      <c r="H43" s="43">
        <v>9.7900000000000001E-2</v>
      </c>
      <c r="I43" s="17"/>
      <c r="J43" s="17"/>
      <c r="K43" s="17"/>
      <c r="L43" s="17"/>
      <c r="O43" s="1"/>
      <c r="P43" s="1"/>
    </row>
    <row r="44" spans="2:16">
      <c r="B44" s="8"/>
      <c r="C44" s="1"/>
      <c r="D44" s="17"/>
      <c r="E44" s="17"/>
      <c r="F44" s="17" t="s">
        <v>31</v>
      </c>
      <c r="G44" s="17"/>
      <c r="H44" s="17">
        <f>H41*6</f>
        <v>79.08</v>
      </c>
      <c r="I44" s="17"/>
      <c r="J44" s="17"/>
      <c r="K44" s="17"/>
      <c r="L44" s="17"/>
      <c r="M44" s="29"/>
      <c r="N44" s="17"/>
      <c r="O44" s="1"/>
      <c r="P44" s="1"/>
    </row>
    <row r="45" spans="2:16">
      <c r="L45" s="37">
        <v>103</v>
      </c>
      <c r="M45" s="1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B2:L48"/>
  <sheetViews>
    <sheetView topLeftCell="A25" zoomScale="90" zoomScaleNormal="90" workbookViewId="0">
      <selection activeCell="G25" sqref="G25"/>
    </sheetView>
  </sheetViews>
  <sheetFormatPr defaultRowHeight="15"/>
  <cols>
    <col min="1" max="1" width="9.140625" style="46"/>
    <col min="2" max="2" width="16.7109375" style="46" bestFit="1" customWidth="1"/>
    <col min="3" max="3" width="11.5703125" style="46" customWidth="1"/>
    <col min="4" max="4" width="12.85546875" style="46" customWidth="1"/>
    <col min="5" max="5" width="12.85546875" style="46" bestFit="1" customWidth="1"/>
    <col min="6" max="6" width="13" style="46" customWidth="1"/>
    <col min="7" max="7" width="11.7109375" style="46" customWidth="1"/>
    <col min="8" max="8" width="12.28515625" style="46" customWidth="1"/>
    <col min="9" max="9" width="12.140625" style="46" bestFit="1" customWidth="1"/>
    <col min="10" max="10" width="11.5703125" style="46" bestFit="1" customWidth="1"/>
    <col min="11" max="11" width="11.28515625" style="46" customWidth="1"/>
    <col min="12" max="16384" width="9.140625" style="46"/>
  </cols>
  <sheetData>
    <row r="2" spans="2:12">
      <c r="B2" s="279" t="s">
        <v>15</v>
      </c>
      <c r="C2" s="279"/>
      <c r="E2" s="279" t="s">
        <v>53</v>
      </c>
      <c r="F2" s="279"/>
      <c r="H2" s="320" t="s">
        <v>24</v>
      </c>
      <c r="I2" s="321"/>
    </row>
    <row r="3" spans="2:12">
      <c r="B3" s="10" t="s">
        <v>16</v>
      </c>
      <c r="C3" s="11">
        <v>2.61</v>
      </c>
      <c r="E3" s="19" t="s">
        <v>29</v>
      </c>
      <c r="F3" s="44">
        <v>399</v>
      </c>
      <c r="H3" s="19" t="s">
        <v>25</v>
      </c>
      <c r="I3" s="20">
        <v>100000</v>
      </c>
    </row>
    <row r="4" spans="2:12">
      <c r="B4" s="10" t="s">
        <v>17</v>
      </c>
      <c r="C4" s="11">
        <v>17</v>
      </c>
      <c r="E4" s="19" t="s">
        <v>26</v>
      </c>
      <c r="F4" s="21">
        <v>0.2</v>
      </c>
      <c r="H4" s="19" t="s">
        <v>26</v>
      </c>
      <c r="I4" s="21">
        <v>0.15</v>
      </c>
    </row>
    <row r="5" spans="2:12">
      <c r="B5" s="10" t="s">
        <v>18</v>
      </c>
      <c r="C5" s="12">
        <v>9</v>
      </c>
      <c r="E5" s="19" t="s">
        <v>27</v>
      </c>
      <c r="F5" s="22">
        <v>10</v>
      </c>
      <c r="H5" s="19" t="s">
        <v>27</v>
      </c>
      <c r="I5" s="22">
        <v>10</v>
      </c>
    </row>
    <row r="6" spans="2:12">
      <c r="B6" s="13" t="s">
        <v>19</v>
      </c>
      <c r="C6" s="3">
        <f>((C4/C3)^(1/C5))-1</f>
        <v>0.23146807384688306</v>
      </c>
      <c r="E6" s="19" t="s">
        <v>28</v>
      </c>
      <c r="F6" s="20">
        <v>0</v>
      </c>
      <c r="H6" s="19" t="s">
        <v>28</v>
      </c>
      <c r="I6" s="23">
        <v>0</v>
      </c>
    </row>
    <row r="7" spans="2:12">
      <c r="E7" s="24" t="s">
        <v>54</v>
      </c>
      <c r="F7" s="45">
        <f>PV(F4,F5,F6,-F3)</f>
        <v>64.440727573048449</v>
      </c>
      <c r="H7" s="24" t="s">
        <v>29</v>
      </c>
      <c r="I7" s="19">
        <f>FV(I4,I5,I6,-I3)</f>
        <v>404555.77357079065</v>
      </c>
    </row>
    <row r="9" spans="2:12" ht="15.75" thickBot="1"/>
    <row r="10" spans="2:12" ht="16.5" thickBot="1">
      <c r="B10" s="76"/>
      <c r="C10" s="77"/>
      <c r="D10" s="317" t="s">
        <v>56</v>
      </c>
      <c r="E10" s="318"/>
      <c r="F10" s="318"/>
      <c r="G10" s="318"/>
      <c r="H10" s="319"/>
      <c r="I10" s="317" t="s">
        <v>60</v>
      </c>
      <c r="J10" s="318"/>
      <c r="K10" s="318"/>
      <c r="L10" s="319"/>
    </row>
    <row r="11" spans="2:12" ht="45">
      <c r="B11" s="78" t="s">
        <v>0</v>
      </c>
      <c r="C11" s="79" t="s">
        <v>59</v>
      </c>
      <c r="D11" s="71" t="s">
        <v>38</v>
      </c>
      <c r="E11" s="72" t="s">
        <v>39</v>
      </c>
      <c r="F11" s="73" t="s">
        <v>40</v>
      </c>
      <c r="G11" s="73" t="s">
        <v>58</v>
      </c>
      <c r="H11" s="74" t="s">
        <v>13</v>
      </c>
      <c r="I11" s="71" t="s">
        <v>38</v>
      </c>
      <c r="J11" s="73" t="s">
        <v>40</v>
      </c>
      <c r="K11" s="73" t="s">
        <v>58</v>
      </c>
      <c r="L11" s="74" t="s">
        <v>13</v>
      </c>
    </row>
    <row r="12" spans="2:12" ht="15.75">
      <c r="B12" s="80">
        <v>0</v>
      </c>
      <c r="C12" s="81">
        <v>2000</v>
      </c>
      <c r="D12" s="56">
        <v>749.84</v>
      </c>
      <c r="E12" s="49"/>
      <c r="F12" s="49"/>
      <c r="G12" s="49"/>
      <c r="H12" s="57"/>
      <c r="I12" s="67"/>
      <c r="J12" s="50"/>
      <c r="K12" s="50"/>
      <c r="L12" s="68"/>
    </row>
    <row r="13" spans="2:12" ht="15.75">
      <c r="B13" s="80">
        <v>1</v>
      </c>
      <c r="C13" s="81">
        <v>2001</v>
      </c>
      <c r="D13" s="56">
        <v>932.76</v>
      </c>
      <c r="E13" s="49">
        <v>444800000</v>
      </c>
      <c r="F13" s="49">
        <f>E13/10000000</f>
        <v>44.48</v>
      </c>
      <c r="G13" s="52">
        <f>D13/F13</f>
        <v>20.970323741007196</v>
      </c>
      <c r="H13" s="58">
        <v>2.61</v>
      </c>
      <c r="I13" s="67"/>
      <c r="J13" s="50"/>
      <c r="K13" s="50"/>
      <c r="L13" s="68"/>
    </row>
    <row r="14" spans="2:12" ht="15.75">
      <c r="B14" s="80">
        <v>2</v>
      </c>
      <c r="C14" s="81">
        <v>2002</v>
      </c>
      <c r="D14" s="56">
        <v>1132.6300000000001</v>
      </c>
      <c r="E14" s="49">
        <v>444800000</v>
      </c>
      <c r="F14" s="49">
        <f t="shared" ref="F14:F24" si="0">E14/10000000</f>
        <v>44.48</v>
      </c>
      <c r="G14" s="52">
        <f t="shared" ref="G14:G24" si="1">D14/F14</f>
        <v>25.463803956834536</v>
      </c>
      <c r="H14" s="58">
        <v>5.18</v>
      </c>
      <c r="I14" s="67"/>
      <c r="J14" s="50"/>
      <c r="K14" s="50"/>
      <c r="L14" s="68"/>
    </row>
    <row r="15" spans="2:12" ht="15.75">
      <c r="B15" s="80">
        <v>3</v>
      </c>
      <c r="C15" s="81">
        <v>2003</v>
      </c>
      <c r="D15" s="56">
        <v>1459.59</v>
      </c>
      <c r="E15" s="49">
        <v>444800000</v>
      </c>
      <c r="F15" s="49">
        <f t="shared" si="0"/>
        <v>44.48</v>
      </c>
      <c r="G15" s="52">
        <f t="shared" si="1"/>
        <v>32.814523381294961</v>
      </c>
      <c r="H15" s="58">
        <v>9.35</v>
      </c>
      <c r="I15" s="67"/>
      <c r="J15" s="50"/>
      <c r="K15" s="50"/>
      <c r="L15" s="68"/>
    </row>
    <row r="16" spans="2:12" ht="15.75">
      <c r="B16" s="80">
        <v>4</v>
      </c>
      <c r="C16" s="81">
        <v>2004</v>
      </c>
      <c r="D16" s="56">
        <v>2081.09</v>
      </c>
      <c r="E16" s="49">
        <v>444800000</v>
      </c>
      <c r="F16" s="49">
        <f t="shared" si="0"/>
        <v>44.48</v>
      </c>
      <c r="G16" s="52">
        <f t="shared" si="1"/>
        <v>46.787095323741013</v>
      </c>
      <c r="H16" s="58">
        <v>9.41</v>
      </c>
      <c r="I16" s="67"/>
      <c r="J16" s="50"/>
      <c r="K16" s="50"/>
      <c r="L16" s="68"/>
    </row>
    <row r="17" spans="2:12" ht="15.75">
      <c r="B17" s="80">
        <v>5</v>
      </c>
      <c r="C17" s="81">
        <v>2005</v>
      </c>
      <c r="D17" s="56">
        <v>2575.19</v>
      </c>
      <c r="E17" s="49">
        <v>544800000</v>
      </c>
      <c r="F17" s="49">
        <f t="shared" si="0"/>
        <v>54.48</v>
      </c>
      <c r="G17" s="52">
        <f t="shared" si="1"/>
        <v>47.268538913362704</v>
      </c>
      <c r="H17" s="58">
        <v>11.96</v>
      </c>
      <c r="I17" s="67"/>
      <c r="J17" s="50"/>
      <c r="K17" s="50"/>
      <c r="L17" s="68"/>
    </row>
    <row r="18" spans="2:12" ht="15.75">
      <c r="B18" s="80">
        <v>6</v>
      </c>
      <c r="C18" s="81">
        <v>2006</v>
      </c>
      <c r="D18" s="56">
        <v>31771.439999999999</v>
      </c>
      <c r="E18" s="49">
        <v>544800000</v>
      </c>
      <c r="F18" s="49">
        <f t="shared" si="0"/>
        <v>54.48</v>
      </c>
      <c r="G18" s="52">
        <f t="shared" si="1"/>
        <v>583.17621145374449</v>
      </c>
      <c r="H18" s="58">
        <v>14.38</v>
      </c>
      <c r="I18" s="67"/>
      <c r="J18" s="50"/>
      <c r="K18" s="50"/>
      <c r="L18" s="68"/>
    </row>
    <row r="19" spans="2:12" ht="15.75">
      <c r="B19" s="80">
        <v>7</v>
      </c>
      <c r="C19" s="81">
        <v>2007</v>
      </c>
      <c r="D19" s="56">
        <v>3990.36</v>
      </c>
      <c r="E19" s="49">
        <v>544800000</v>
      </c>
      <c r="F19" s="49">
        <f t="shared" si="0"/>
        <v>54.48</v>
      </c>
      <c r="G19" s="52">
        <f t="shared" si="1"/>
        <v>73.244493392070495</v>
      </c>
      <c r="H19" s="58">
        <v>18.510000000000002</v>
      </c>
      <c r="I19" s="67"/>
      <c r="J19" s="50"/>
      <c r="K19" s="50"/>
      <c r="L19" s="68"/>
    </row>
    <row r="20" spans="2:12" ht="15.75">
      <c r="B20" s="80">
        <v>8</v>
      </c>
      <c r="C20" s="81">
        <v>2008</v>
      </c>
      <c r="D20" s="56">
        <v>4856.67</v>
      </c>
      <c r="E20" s="49">
        <v>544800000</v>
      </c>
      <c r="F20" s="49">
        <f t="shared" si="0"/>
        <v>54.48</v>
      </c>
      <c r="G20" s="52">
        <f t="shared" si="1"/>
        <v>89.145925110132168</v>
      </c>
      <c r="H20" s="58">
        <v>22.07</v>
      </c>
      <c r="I20" s="67"/>
      <c r="J20" s="50"/>
      <c r="K20" s="50"/>
      <c r="L20" s="68"/>
    </row>
    <row r="21" spans="2:12" ht="15.75">
      <c r="B21" s="80">
        <v>9</v>
      </c>
      <c r="C21" s="81">
        <v>2009</v>
      </c>
      <c r="D21" s="56">
        <v>7150.96</v>
      </c>
      <c r="E21" s="49">
        <v>544800000</v>
      </c>
      <c r="F21" s="49">
        <f t="shared" si="0"/>
        <v>54.48</v>
      </c>
      <c r="G21" s="52">
        <f t="shared" si="1"/>
        <v>131.25844346549192</v>
      </c>
      <c r="H21" s="58">
        <v>24.34</v>
      </c>
      <c r="I21" s="67"/>
      <c r="J21" s="50"/>
      <c r="K21" s="50"/>
      <c r="L21" s="68"/>
    </row>
    <row r="22" spans="2:12" ht="15.75">
      <c r="B22" s="80">
        <v>10</v>
      </c>
      <c r="C22" s="81">
        <v>2010</v>
      </c>
      <c r="D22" s="56">
        <v>7524.58</v>
      </c>
      <c r="E22" s="49">
        <v>544800000</v>
      </c>
      <c r="F22" s="49">
        <f t="shared" si="0"/>
        <v>54.48</v>
      </c>
      <c r="G22" s="52">
        <f t="shared" si="1"/>
        <v>138.11637298091043</v>
      </c>
      <c r="H22" s="58">
        <v>12.98</v>
      </c>
      <c r="I22" s="67"/>
      <c r="J22" s="50"/>
      <c r="K22" s="50"/>
      <c r="L22" s="68"/>
    </row>
    <row r="23" spans="2:12" ht="15.75">
      <c r="B23" s="80">
        <v>11</v>
      </c>
      <c r="C23" s="81">
        <v>2011</v>
      </c>
      <c r="D23" s="56">
        <v>9324.93</v>
      </c>
      <c r="E23" s="49">
        <v>618749343</v>
      </c>
      <c r="F23" s="49">
        <f t="shared" si="0"/>
        <v>61.8749343</v>
      </c>
      <c r="G23" s="52">
        <f t="shared" si="1"/>
        <v>150.70609941641587</v>
      </c>
      <c r="H23" s="58">
        <v>17.329999999999998</v>
      </c>
      <c r="I23" s="67"/>
      <c r="J23" s="50"/>
      <c r="K23" s="50"/>
      <c r="L23" s="68"/>
    </row>
    <row r="24" spans="2:12" ht="15.75">
      <c r="B24" s="80">
        <v>12</v>
      </c>
      <c r="C24" s="81">
        <v>2012</v>
      </c>
      <c r="D24" s="56">
        <v>11927.66</v>
      </c>
      <c r="E24" s="49">
        <v>796998198</v>
      </c>
      <c r="F24" s="49">
        <f t="shared" si="0"/>
        <v>79.6998198</v>
      </c>
      <c r="G24" s="52">
        <f t="shared" si="1"/>
        <v>149.65730198551842</v>
      </c>
      <c r="H24" s="58">
        <v>13.18</v>
      </c>
      <c r="I24" s="67"/>
      <c r="J24" s="50"/>
      <c r="K24" s="50"/>
      <c r="L24" s="68"/>
    </row>
    <row r="25" spans="2:12" ht="15.75">
      <c r="B25" s="80">
        <v>13</v>
      </c>
      <c r="C25" s="81">
        <v>2013</v>
      </c>
      <c r="D25" s="56"/>
      <c r="E25" s="49"/>
      <c r="F25" s="49"/>
      <c r="G25" s="52"/>
      <c r="H25" s="58"/>
      <c r="I25" s="67">
        <f>D24*(1+$D$36)</f>
        <v>15390.259698</v>
      </c>
      <c r="J25" s="50">
        <f>F24*(1+$F$36)</f>
        <v>84.481808987999997</v>
      </c>
      <c r="K25" s="53">
        <f>G24*(1+$G$36)</f>
        <v>182.16286797677301</v>
      </c>
      <c r="L25" s="69">
        <f>H24*(1+$H$36)</f>
        <v>15.497043999999999</v>
      </c>
    </row>
    <row r="26" spans="2:12" ht="15.75">
      <c r="B26" s="80">
        <v>14</v>
      </c>
      <c r="C26" s="81">
        <v>2014</v>
      </c>
      <c r="D26" s="56"/>
      <c r="E26" s="49"/>
      <c r="F26" s="49"/>
      <c r="G26" s="52"/>
      <c r="H26" s="58"/>
      <c r="I26" s="67">
        <f>I25*(1+$D$36)</f>
        <v>19858.052088329401</v>
      </c>
      <c r="J26" s="50">
        <f>J25*(1+$F$36)</f>
        <v>89.55071752728</v>
      </c>
      <c r="K26" s="53">
        <f>K25*(1+$G$36)</f>
        <v>221.72864290132813</v>
      </c>
      <c r="L26" s="69">
        <f>L25*(1+$H$36)</f>
        <v>18.221424335199998</v>
      </c>
    </row>
    <row r="27" spans="2:12" ht="15.75">
      <c r="B27" s="80">
        <v>15</v>
      </c>
      <c r="C27" s="81">
        <v>2015</v>
      </c>
      <c r="D27" s="56"/>
      <c r="E27" s="49"/>
      <c r="F27" s="49"/>
      <c r="G27" s="52"/>
      <c r="H27" s="58"/>
      <c r="I27" s="67">
        <f t="shared" ref="I27:I34" si="2">I26*(1+$D$36)</f>
        <v>25622.844609571428</v>
      </c>
      <c r="J27" s="50">
        <f t="shared" ref="J27:J34" si="3">J26*(1+$F$36)</f>
        <v>94.923760578916799</v>
      </c>
      <c r="K27" s="53">
        <f t="shared" ref="K27:K34" si="4">K26*(1+$G$36)</f>
        <v>269.88810413949659</v>
      </c>
      <c r="L27" s="69">
        <f t="shared" ref="L27:L34" si="5">L26*(1+$H$36)</f>
        <v>21.424750733328157</v>
      </c>
    </row>
    <row r="28" spans="2:12" ht="15.75">
      <c r="B28" s="80">
        <v>16</v>
      </c>
      <c r="C28" s="81">
        <v>2016</v>
      </c>
      <c r="D28" s="56"/>
      <c r="E28" s="49"/>
      <c r="F28" s="49"/>
      <c r="G28" s="52"/>
      <c r="H28" s="58"/>
      <c r="I28" s="67">
        <f t="shared" si="2"/>
        <v>33061.156399730011</v>
      </c>
      <c r="J28" s="50">
        <f t="shared" si="3"/>
        <v>100.61918621365182</v>
      </c>
      <c r="K28" s="53">
        <f t="shared" si="4"/>
        <v>328.50780035859526</v>
      </c>
      <c r="L28" s="69">
        <f t="shared" si="5"/>
        <v>25.191221912247247</v>
      </c>
    </row>
    <row r="29" spans="2:12" ht="15.75">
      <c r="B29" s="80">
        <v>17</v>
      </c>
      <c r="C29" s="81">
        <v>2017</v>
      </c>
      <c r="D29" s="56"/>
      <c r="E29" s="49"/>
      <c r="F29" s="49"/>
      <c r="G29" s="52"/>
      <c r="H29" s="58"/>
      <c r="I29" s="67">
        <f t="shared" si="2"/>
        <v>42658.810102571631</v>
      </c>
      <c r="J29" s="50">
        <f t="shared" si="3"/>
        <v>106.65633738647092</v>
      </c>
      <c r="K29" s="53">
        <f t="shared" si="4"/>
        <v>399.8596945964822</v>
      </c>
      <c r="L29" s="69">
        <f t="shared" si="5"/>
        <v>29.619838724420312</v>
      </c>
    </row>
    <row r="30" spans="2:12" ht="15.75">
      <c r="B30" s="80">
        <v>18</v>
      </c>
      <c r="C30" s="81">
        <v>2018</v>
      </c>
      <c r="D30" s="56"/>
      <c r="E30" s="49"/>
      <c r="F30" s="49"/>
      <c r="G30" s="52"/>
      <c r="H30" s="58"/>
      <c r="I30" s="67">
        <f t="shared" si="2"/>
        <v>55042.662675348176</v>
      </c>
      <c r="J30" s="50">
        <f t="shared" si="3"/>
        <v>113.05571762965918</v>
      </c>
      <c r="K30" s="53">
        <f t="shared" si="4"/>
        <v>486.70922026283813</v>
      </c>
      <c r="L30" s="69">
        <f t="shared" si="5"/>
        <v>34.8270063721734</v>
      </c>
    </row>
    <row r="31" spans="2:12" ht="15.75">
      <c r="B31" s="80">
        <v>19</v>
      </c>
      <c r="C31" s="81">
        <v>2019</v>
      </c>
      <c r="D31" s="56"/>
      <c r="E31" s="49"/>
      <c r="F31" s="49"/>
      <c r="G31" s="52"/>
      <c r="H31" s="58"/>
      <c r="I31" s="67">
        <f t="shared" si="2"/>
        <v>71021.547650001754</v>
      </c>
      <c r="J31" s="50">
        <f t="shared" si="3"/>
        <v>119.83906068743875</v>
      </c>
      <c r="K31" s="53">
        <f t="shared" si="4"/>
        <v>592.42246290392666</v>
      </c>
      <c r="L31" s="69">
        <f t="shared" si="5"/>
        <v>40.949594092401483</v>
      </c>
    </row>
    <row r="32" spans="2:12" ht="15.75">
      <c r="B32" s="80">
        <v>20</v>
      </c>
      <c r="C32" s="81">
        <v>2020</v>
      </c>
      <c r="D32" s="56"/>
      <c r="E32" s="49"/>
      <c r="F32" s="49"/>
      <c r="G32" s="52"/>
      <c r="H32" s="58"/>
      <c r="I32" s="67">
        <f t="shared" si="2"/>
        <v>91639.102932797265</v>
      </c>
      <c r="J32" s="50">
        <f t="shared" si="3"/>
        <v>127.02940432868508</v>
      </c>
      <c r="K32" s="53">
        <f t="shared" si="4"/>
        <v>721.09662184665956</v>
      </c>
      <c r="L32" s="69">
        <f t="shared" si="5"/>
        <v>48.148532733845663</v>
      </c>
    </row>
    <row r="33" spans="2:12" ht="15.75">
      <c r="B33" s="80">
        <v>21</v>
      </c>
      <c r="C33" s="81">
        <v>2021</v>
      </c>
      <c r="D33" s="56"/>
      <c r="E33" s="49"/>
      <c r="F33" s="49"/>
      <c r="G33" s="52"/>
      <c r="H33" s="58"/>
      <c r="I33" s="67">
        <f t="shared" si="2"/>
        <v>118241.93451418831</v>
      </c>
      <c r="J33" s="50">
        <f t="shared" si="3"/>
        <v>134.65116858840619</v>
      </c>
      <c r="K33" s="53">
        <f t="shared" si="4"/>
        <v>877.71880811175402</v>
      </c>
      <c r="L33" s="69">
        <f t="shared" si="5"/>
        <v>56.613044788455731</v>
      </c>
    </row>
    <row r="34" spans="2:12" ht="15.75">
      <c r="B34" s="80">
        <v>22</v>
      </c>
      <c r="C34" s="81">
        <v>2022</v>
      </c>
      <c r="D34" s="56"/>
      <c r="E34" s="49"/>
      <c r="F34" s="49"/>
      <c r="G34" s="52"/>
      <c r="H34" s="58"/>
      <c r="I34" s="67">
        <f t="shared" si="2"/>
        <v>152567.56810365716</v>
      </c>
      <c r="J34" s="50">
        <f t="shared" si="3"/>
        <v>142.73023870371057</v>
      </c>
      <c r="K34" s="53">
        <f t="shared" si="4"/>
        <v>1068.359333233627</v>
      </c>
      <c r="L34" s="69">
        <f t="shared" si="5"/>
        <v>66.565618062266253</v>
      </c>
    </row>
    <row r="35" spans="2:12" ht="15.75">
      <c r="B35" s="80"/>
      <c r="C35" s="81"/>
      <c r="D35" s="56"/>
      <c r="E35" s="49"/>
      <c r="F35" s="49"/>
      <c r="G35" s="52"/>
      <c r="H35" s="58"/>
      <c r="I35" s="67"/>
      <c r="J35" s="50"/>
      <c r="K35" s="53"/>
      <c r="L35" s="69"/>
    </row>
    <row r="36" spans="2:12" ht="15.75">
      <c r="B36" s="80"/>
      <c r="C36" s="82" t="s">
        <v>1</v>
      </c>
      <c r="D36" s="83">
        <v>0.2903</v>
      </c>
      <c r="E36" s="51" t="s">
        <v>57</v>
      </c>
      <c r="F36" s="84">
        <v>0.06</v>
      </c>
      <c r="G36" s="5">
        <v>0.2172</v>
      </c>
      <c r="H36" s="85">
        <v>0.17580000000000001</v>
      </c>
      <c r="I36" s="86"/>
      <c r="J36" s="47"/>
      <c r="K36" s="4"/>
      <c r="L36" s="87"/>
    </row>
    <row r="37" spans="2:12" ht="15.75">
      <c r="B37" s="80"/>
      <c r="C37" s="82" t="s">
        <v>64</v>
      </c>
      <c r="D37" s="86"/>
      <c r="E37" s="8"/>
      <c r="F37" s="47"/>
      <c r="G37" s="4"/>
      <c r="H37" s="87"/>
      <c r="I37" s="86"/>
      <c r="J37" s="47"/>
      <c r="K37" s="53">
        <f>I34/J34</f>
        <v>1068.9225316883803</v>
      </c>
      <c r="L37" s="87"/>
    </row>
    <row r="38" spans="2:12" ht="15.75">
      <c r="B38" s="80"/>
      <c r="C38" s="82"/>
      <c r="D38" s="86"/>
      <c r="E38" s="8"/>
      <c r="F38" s="47"/>
      <c r="G38" s="4"/>
      <c r="H38" s="87"/>
      <c r="I38" s="86"/>
      <c r="J38" s="47"/>
      <c r="K38" s="4"/>
      <c r="L38" s="87"/>
    </row>
    <row r="39" spans="2:12" ht="15.75">
      <c r="B39" s="80"/>
      <c r="C39" s="81" t="s">
        <v>62</v>
      </c>
      <c r="D39" s="59">
        <v>6</v>
      </c>
      <c r="E39" s="1"/>
      <c r="F39" s="1"/>
      <c r="G39" s="55"/>
      <c r="H39" s="60">
        <f>H24*D39</f>
        <v>79.08</v>
      </c>
      <c r="I39" s="62"/>
      <c r="J39" s="48"/>
      <c r="K39" s="54"/>
      <c r="L39" s="70">
        <f>L34*D39</f>
        <v>399.39370837359752</v>
      </c>
    </row>
    <row r="40" spans="2:12">
      <c r="B40" s="62"/>
      <c r="C40" s="63" t="s">
        <v>61</v>
      </c>
      <c r="D40" s="61">
        <v>1</v>
      </c>
      <c r="E40" s="48"/>
      <c r="F40" s="48"/>
      <c r="G40" s="55">
        <f>G24*D40</f>
        <v>149.65730198551842</v>
      </c>
      <c r="H40" s="60"/>
      <c r="I40" s="62"/>
      <c r="J40" s="48"/>
      <c r="K40" s="54">
        <f>K34*D40</f>
        <v>1068.359333233627</v>
      </c>
      <c r="L40" s="70"/>
    </row>
    <row r="41" spans="2:12">
      <c r="B41" s="62"/>
      <c r="C41" s="63"/>
      <c r="D41" s="62"/>
      <c r="E41" s="48"/>
      <c r="F41" s="48"/>
      <c r="G41" s="48"/>
      <c r="H41" s="63"/>
      <c r="I41" s="62"/>
      <c r="J41" s="48"/>
      <c r="K41" s="54"/>
      <c r="L41" s="70"/>
    </row>
    <row r="42" spans="2:12">
      <c r="B42" s="62"/>
      <c r="C42" s="63" t="s">
        <v>63</v>
      </c>
      <c r="D42" s="75">
        <v>0.2</v>
      </c>
      <c r="E42" s="48"/>
      <c r="F42" s="48"/>
      <c r="G42" s="48"/>
      <c r="H42" s="63"/>
      <c r="I42" s="62"/>
      <c r="J42" s="48"/>
      <c r="K42" s="54"/>
      <c r="L42" s="70"/>
    </row>
    <row r="43" spans="2:12">
      <c r="B43" s="62"/>
      <c r="C43" s="63" t="s">
        <v>54</v>
      </c>
      <c r="D43" s="62"/>
      <c r="E43" s="48"/>
      <c r="F43" s="48"/>
      <c r="G43" s="48"/>
      <c r="H43" s="63"/>
      <c r="I43" s="62"/>
      <c r="J43" s="48"/>
      <c r="K43" s="48">
        <v>172</v>
      </c>
      <c r="L43" s="63">
        <v>64</v>
      </c>
    </row>
    <row r="44" spans="2:12">
      <c r="B44" s="62"/>
      <c r="C44" s="63"/>
      <c r="D44" s="62"/>
      <c r="E44" s="48"/>
      <c r="F44" s="48"/>
      <c r="G44" s="48"/>
      <c r="H44" s="63"/>
      <c r="I44" s="62"/>
      <c r="J44" s="48"/>
      <c r="K44" s="48"/>
      <c r="L44" s="63"/>
    </row>
    <row r="45" spans="2:12">
      <c r="B45" s="62"/>
      <c r="C45" s="63"/>
      <c r="D45" s="62"/>
      <c r="E45" s="48"/>
      <c r="F45" s="48"/>
      <c r="G45" s="48"/>
      <c r="H45" s="63"/>
      <c r="I45" s="62"/>
      <c r="J45" s="48"/>
      <c r="K45" s="48"/>
      <c r="L45" s="63"/>
    </row>
    <row r="46" spans="2:12">
      <c r="B46" s="62"/>
      <c r="C46" s="63"/>
      <c r="D46" s="62"/>
      <c r="E46" s="48"/>
      <c r="F46" s="48"/>
      <c r="G46" s="48"/>
      <c r="H46" s="63"/>
      <c r="I46" s="62"/>
      <c r="J46" s="48"/>
      <c r="K46" s="48"/>
      <c r="L46" s="63"/>
    </row>
    <row r="47" spans="2:12">
      <c r="B47" s="62"/>
      <c r="C47" s="63"/>
      <c r="D47" s="62"/>
      <c r="E47" s="48"/>
      <c r="F47" s="48"/>
      <c r="G47" s="48"/>
      <c r="H47" s="63"/>
      <c r="I47" s="62"/>
      <c r="J47" s="48"/>
      <c r="K47" s="48"/>
      <c r="L47" s="63"/>
    </row>
    <row r="48" spans="2:12" ht="15.75" thickBot="1">
      <c r="B48" s="64"/>
      <c r="C48" s="66"/>
      <c r="D48" s="64"/>
      <c r="E48" s="65"/>
      <c r="F48" s="65"/>
      <c r="G48" s="65"/>
      <c r="H48" s="66"/>
      <c r="I48" s="64"/>
      <c r="J48" s="65"/>
      <c r="K48" s="65"/>
      <c r="L48" s="6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B3:G13"/>
  <sheetViews>
    <sheetView workbookViewId="0">
      <selection activeCell="D19" sqref="D19"/>
    </sheetView>
  </sheetViews>
  <sheetFormatPr defaultRowHeight="14.25"/>
  <cols>
    <col min="1" max="1" width="9.140625" style="162"/>
    <col min="2" max="2" width="16.5703125" style="162" customWidth="1"/>
    <col min="3" max="3" width="39.7109375" style="162" customWidth="1"/>
    <col min="4" max="5" width="9.140625" style="162"/>
    <col min="6" max="6" width="19" style="162" bestFit="1" customWidth="1"/>
    <col min="7" max="7" width="49" style="162" customWidth="1"/>
    <col min="8" max="16384" width="9.140625" style="162"/>
  </cols>
  <sheetData>
    <row r="3" spans="2:7">
      <c r="B3" s="322" t="s">
        <v>373</v>
      </c>
      <c r="C3" s="323"/>
      <c r="F3" s="322" t="s">
        <v>374</v>
      </c>
      <c r="G3" s="323"/>
    </row>
    <row r="4" spans="2:7">
      <c r="B4" s="163" t="s">
        <v>375</v>
      </c>
      <c r="C4" s="163"/>
      <c r="F4" s="163" t="s">
        <v>376</v>
      </c>
      <c r="G4" s="163"/>
    </row>
    <row r="5" spans="2:7">
      <c r="B5" s="163" t="s">
        <v>377</v>
      </c>
      <c r="C5" s="163"/>
      <c r="F5" s="163" t="s">
        <v>241</v>
      </c>
      <c r="G5" s="163"/>
    </row>
    <row r="6" spans="2:7">
      <c r="B6" s="163" t="s">
        <v>378</v>
      </c>
      <c r="C6" s="163"/>
      <c r="F6" s="163" t="s">
        <v>379</v>
      </c>
      <c r="G6" s="163"/>
    </row>
    <row r="7" spans="2:7">
      <c r="B7" s="163" t="s">
        <v>380</v>
      </c>
      <c r="C7" s="163"/>
      <c r="F7" s="163" t="s">
        <v>381</v>
      </c>
      <c r="G7" s="163"/>
    </row>
    <row r="8" spans="2:7">
      <c r="B8" s="163" t="s">
        <v>382</v>
      </c>
      <c r="C8" s="163"/>
      <c r="F8" s="163" t="s">
        <v>383</v>
      </c>
      <c r="G8" s="163"/>
    </row>
    <row r="9" spans="2:7">
      <c r="B9" s="163" t="s">
        <v>384</v>
      </c>
      <c r="C9" s="163"/>
      <c r="F9" s="163" t="s">
        <v>385</v>
      </c>
      <c r="G9" s="163"/>
    </row>
    <row r="10" spans="2:7">
      <c r="B10" s="163" t="s">
        <v>383</v>
      </c>
      <c r="C10" s="163"/>
      <c r="F10" s="163"/>
      <c r="G10" s="163"/>
    </row>
    <row r="11" spans="2:7">
      <c r="B11" s="163" t="s">
        <v>386</v>
      </c>
      <c r="C11" s="163"/>
      <c r="F11" s="163"/>
      <c r="G11" s="163"/>
    </row>
    <row r="12" spans="2:7">
      <c r="B12" s="163" t="s">
        <v>387</v>
      </c>
      <c r="C12" s="163"/>
      <c r="F12" s="163"/>
      <c r="G12" s="163"/>
    </row>
    <row r="13" spans="2:7">
      <c r="B13" s="163"/>
      <c r="C13" s="163"/>
      <c r="F13" s="163"/>
      <c r="G13" s="163"/>
    </row>
  </sheetData>
  <mergeCells count="2">
    <mergeCell ref="B3:C3"/>
    <mergeCell ref="F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1 - Eval Steps</vt:lpstr>
      <vt:lpstr>2. Time value</vt:lpstr>
      <vt:lpstr>3 - Forecast</vt:lpstr>
      <vt:lpstr>Sheet1</vt:lpstr>
      <vt:lpstr>IOB</vt:lpstr>
      <vt:lpstr>Template</vt:lpstr>
      <vt:lpstr>4.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2018-11-04T21:47:16Z</dcterms:modified>
</cp:coreProperties>
</file>
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62913"/>
</workbook>
</file>

<file path=xl/calcChain.xml><?xml version="1.0" encoding="utf-8"?>
<calcChain xmlns="http://schemas.openxmlformats.org/spreadsheetml/2006/main">
  <c r="G205" i="18" l="1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U58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J51" i="18"/>
  <c r="I51" i="18"/>
  <c r="H51" i="18" s="1"/>
  <c r="U50" i="18"/>
  <c r="T50" i="18"/>
  <c r="S50" i="18"/>
  <c r="R50" i="18"/>
  <c r="Q50" i="18"/>
  <c r="P50" i="18"/>
  <c r="O50" i="18"/>
  <c r="N50" i="18"/>
  <c r="M50" i="18"/>
  <c r="L50" i="18"/>
  <c r="K50" i="18"/>
  <c r="G50" i="18"/>
  <c r="J49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U46" i="18"/>
  <c r="T46" i="18"/>
  <c r="S46" i="18"/>
  <c r="R46" i="18"/>
  <c r="Q46" i="18"/>
  <c r="P46" i="18"/>
  <c r="O46" i="18"/>
  <c r="N46" i="18"/>
  <c r="M46" i="18"/>
  <c r="L46" i="18"/>
  <c r="G46" i="18"/>
  <c r="J45" i="18"/>
  <c r="K46" i="18" s="1"/>
  <c r="U44" i="18"/>
  <c r="T44" i="18"/>
  <c r="S44" i="18"/>
  <c r="R44" i="18"/>
  <c r="Q44" i="18"/>
  <c r="P44" i="18"/>
  <c r="O44" i="18"/>
  <c r="N44" i="18"/>
  <c r="M44" i="18"/>
  <c r="L44" i="18"/>
  <c r="G44" i="18"/>
  <c r="J43" i="18"/>
  <c r="I43" i="18" s="1"/>
  <c r="J42" i="18"/>
  <c r="I42" i="18"/>
  <c r="H42" i="18" s="1"/>
  <c r="J41" i="18"/>
  <c r="I41" i="18" s="1"/>
  <c r="H41" i="18" s="1"/>
  <c r="J40" i="18"/>
  <c r="I40" i="18" s="1"/>
  <c r="H40" i="18" s="1"/>
  <c r="U39" i="18"/>
  <c r="T39" i="18"/>
  <c r="S39" i="18"/>
  <c r="R39" i="18"/>
  <c r="Q39" i="18"/>
  <c r="P39" i="18"/>
  <c r="O39" i="18"/>
  <c r="N39" i="18"/>
  <c r="M39" i="18"/>
  <c r="L39" i="18"/>
  <c r="G39" i="18"/>
  <c r="J38" i="18"/>
  <c r="K39" i="18" s="1"/>
  <c r="I38" i="18"/>
  <c r="H38" i="18" s="1"/>
  <c r="H39" i="18" s="1"/>
  <c r="U37" i="18"/>
  <c r="T37" i="18"/>
  <c r="S37" i="18"/>
  <c r="R37" i="18"/>
  <c r="Q37" i="18"/>
  <c r="P37" i="18"/>
  <c r="O37" i="18"/>
  <c r="N37" i="18"/>
  <c r="M37" i="18"/>
  <c r="L37" i="18"/>
  <c r="K37" i="18"/>
  <c r="G37" i="18"/>
  <c r="J36" i="18"/>
  <c r="J37" i="18" s="1"/>
  <c r="I36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U7" i="18"/>
  <c r="H43" i="18" l="1"/>
  <c r="H44" i="18" s="1"/>
  <c r="I39" i="18"/>
  <c r="J44" i="18"/>
  <c r="H36" i="18"/>
  <c r="H37" i="18" s="1"/>
  <c r="J39" i="18"/>
  <c r="K44" i="18"/>
  <c r="I45" i="18"/>
  <c r="J46" i="18" s="1"/>
  <c r="I49" i="18"/>
  <c r="J50" i="18" s="1"/>
  <c r="I37" i="18" l="1"/>
  <c r="I46" i="18"/>
  <c r="H45" i="18"/>
  <c r="H46" i="18" s="1"/>
  <c r="I50" i="18"/>
  <c r="H49" i="18"/>
  <c r="H50" i="18" s="1"/>
  <c r="I44" i="18"/>
  <c r="V254" i="18" l="1"/>
  <c r="V253" i="18"/>
  <c r="V252" i="18"/>
  <c r="V216" i="18"/>
  <c r="V215" i="18"/>
  <c r="G106" i="18"/>
  <c r="H106" i="18"/>
  <c r="I106" i="18"/>
  <c r="S174" i="18" s="1"/>
  <c r="V224" i="18" s="1"/>
  <c r="V225" i="18" s="1"/>
  <c r="V226" i="18" s="1"/>
  <c r="J106" i="18"/>
  <c r="K106" i="18"/>
  <c r="L106" i="18"/>
  <c r="M106" i="18"/>
  <c r="N106" i="18"/>
  <c r="O106" i="18"/>
  <c r="P106" i="18"/>
  <c r="Q106" i="18"/>
  <c r="R106" i="18"/>
  <c r="S106" i="18"/>
  <c r="T106" i="18"/>
  <c r="T174" i="18" s="1"/>
  <c r="V229" i="18" s="1"/>
  <c r="U106" i="18"/>
  <c r="V106" i="18"/>
  <c r="AJ110" i="18"/>
  <c r="AJ111" i="18"/>
  <c r="AJ112" i="18"/>
  <c r="AJ113" i="18"/>
  <c r="AJ114" i="18"/>
  <c r="AJ116" i="18"/>
  <c r="AJ117" i="18"/>
  <c r="AJ118" i="18"/>
  <c r="AJ119" i="18"/>
  <c r="AJ120" i="18"/>
  <c r="AJ122" i="18"/>
  <c r="AJ123" i="18"/>
  <c r="AJ124" i="18"/>
  <c r="AJ125" i="18"/>
  <c r="AJ126" i="18"/>
  <c r="AJ128" i="18"/>
  <c r="AJ129" i="18"/>
  <c r="AJ130" i="18"/>
  <c r="AJ131" i="18"/>
  <c r="AJ132" i="18"/>
  <c r="AJ133" i="18"/>
  <c r="AJ134" i="18"/>
  <c r="AJ135" i="18"/>
  <c r="AJ136" i="18"/>
  <c r="AJ138" i="18"/>
  <c r="AJ139" i="18"/>
  <c r="AJ140" i="18"/>
  <c r="AJ141" i="18"/>
  <c r="AJ143" i="18"/>
  <c r="AJ144" i="18"/>
  <c r="AJ145" i="18"/>
  <c r="AJ146" i="18"/>
  <c r="AJ147" i="18"/>
  <c r="AJ149" i="18"/>
  <c r="AJ150" i="18"/>
  <c r="AJ151" i="18"/>
  <c r="AJ153" i="18"/>
  <c r="AJ154" i="18"/>
  <c r="AJ155" i="18"/>
  <c r="AJ158" i="18"/>
  <c r="AJ159" i="18"/>
  <c r="AJ160" i="18"/>
  <c r="AJ161" i="18"/>
  <c r="AJ163" i="18"/>
  <c r="AJ164" i="18"/>
  <c r="AJ166" i="18"/>
  <c r="AJ167" i="18"/>
  <c r="AJ168" i="18"/>
  <c r="AJ170" i="18"/>
  <c r="AJ171" i="18"/>
  <c r="AJ109" i="18"/>
  <c r="AJ106" i="18"/>
  <c r="AJ90" i="18"/>
  <c r="W73" i="18"/>
  <c r="W81" i="18"/>
  <c r="W85" i="18"/>
  <c r="W91" i="18"/>
  <c r="W93" i="18"/>
  <c r="W95" i="18"/>
  <c r="W101" i="18"/>
  <c r="W105" i="18"/>
  <c r="W107" i="18"/>
  <c r="W108" i="18"/>
  <c r="W115" i="18"/>
  <c r="W121" i="18"/>
  <c r="W127" i="18"/>
  <c r="W137" i="18"/>
  <c r="W142" i="18"/>
  <c r="W148" i="18"/>
  <c r="W152" i="18"/>
  <c r="W156" i="18"/>
  <c r="W157" i="18"/>
  <c r="W162" i="18"/>
  <c r="W165" i="18"/>
  <c r="W169" i="18"/>
  <c r="V171" i="18"/>
  <c r="V170" i="18"/>
  <c r="V166" i="18"/>
  <c r="V167" i="18" s="1"/>
  <c r="V164" i="18"/>
  <c r="V163" i="18"/>
  <c r="V161" i="18"/>
  <c r="V160" i="18"/>
  <c r="V159" i="18"/>
  <c r="V158" i="18"/>
  <c r="V155" i="18"/>
  <c r="V154" i="18"/>
  <c r="V153" i="18"/>
  <c r="V151" i="18"/>
  <c r="V150" i="18"/>
  <c r="V149" i="18"/>
  <c r="V141" i="18"/>
  <c r="V140" i="18"/>
  <c r="V139" i="18"/>
  <c r="V138" i="18"/>
  <c r="V136" i="18"/>
  <c r="V135" i="18"/>
  <c r="V134" i="18"/>
  <c r="V133" i="18"/>
  <c r="V132" i="18"/>
  <c r="V131" i="18"/>
  <c r="V130" i="18"/>
  <c r="V129" i="18"/>
  <c r="V128" i="18"/>
  <c r="V120" i="18"/>
  <c r="V126" i="18" s="1"/>
  <c r="V119" i="18"/>
  <c r="V125" i="18" s="1"/>
  <c r="V118" i="18"/>
  <c r="V124" i="18" s="1"/>
  <c r="V117" i="18"/>
  <c r="V123" i="18" s="1"/>
  <c r="V116" i="18"/>
  <c r="V122" i="18" s="1"/>
  <c r="V113" i="18"/>
  <c r="V112" i="18"/>
  <c r="V111" i="18"/>
  <c r="V110" i="18"/>
  <c r="V109" i="18"/>
  <c r="V104" i="18"/>
  <c r="V103" i="18"/>
  <c r="V102" i="18"/>
  <c r="V168" i="18" s="1"/>
  <c r="V100" i="18"/>
  <c r="V99" i="18"/>
  <c r="V98" i="18"/>
  <c r="V97" i="18"/>
  <c r="V94" i="18"/>
  <c r="V96" i="18" s="1"/>
  <c r="V92" i="18"/>
  <c r="V143" i="18" s="1"/>
  <c r="V144" i="18" s="1"/>
  <c r="V90" i="18"/>
  <c r="V89" i="18"/>
  <c r="V87" i="18"/>
  <c r="V86" i="18"/>
  <c r="V84" i="18"/>
  <c r="V213" i="18" s="1"/>
  <c r="V83" i="18"/>
  <c r="V82" i="18"/>
  <c r="V80" i="18"/>
  <c r="V79" i="18"/>
  <c r="V210" i="18" s="1"/>
  <c r="V78" i="18"/>
  <c r="V77" i="18"/>
  <c r="V76" i="18"/>
  <c r="V207" i="18" s="1"/>
  <c r="V219" i="18" s="1"/>
  <c r="V75" i="18"/>
  <c r="V209" i="18" s="1"/>
  <c r="V74" i="18"/>
  <c r="V72" i="18"/>
  <c r="V114" i="18" s="1"/>
  <c r="V71" i="18"/>
  <c r="V70" i="18"/>
  <c r="W13" i="18"/>
  <c r="W14" i="18"/>
  <c r="W15" i="18"/>
  <c r="W16" i="18"/>
  <c r="W18" i="18"/>
  <c r="W20" i="18"/>
  <c r="W21" i="18"/>
  <c r="W22" i="18"/>
  <c r="W23" i="18"/>
  <c r="W25" i="18"/>
  <c r="W27" i="18"/>
  <c r="W29" i="18"/>
  <c r="W31" i="18"/>
  <c r="W32" i="18"/>
  <c r="W33" i="18"/>
  <c r="W34" i="18"/>
  <c r="W47" i="18"/>
  <c r="W52" i="18"/>
  <c r="W53" i="18"/>
  <c r="W55" i="18"/>
  <c r="W57" i="18"/>
  <c r="W59" i="18"/>
  <c r="W61" i="18"/>
  <c r="W63" i="18"/>
  <c r="W65" i="18"/>
  <c r="W66" i="18"/>
  <c r="W67" i="18"/>
  <c r="W12" i="18"/>
  <c r="W10" i="18"/>
  <c r="W9" i="18"/>
  <c r="W7" i="18"/>
  <c r="W6" i="18"/>
  <c r="V64" i="18"/>
  <c r="V62" i="18"/>
  <c r="V60" i="18"/>
  <c r="V58" i="18"/>
  <c r="V56" i="18"/>
  <c r="V54" i="18"/>
  <c r="V50" i="18"/>
  <c r="V48" i="18"/>
  <c r="V46" i="18"/>
  <c r="V44" i="18"/>
  <c r="V39" i="18"/>
  <c r="V37" i="18"/>
  <c r="V30" i="18"/>
  <c r="V28" i="18"/>
  <c r="V26" i="18"/>
  <c r="V11" i="18"/>
  <c r="V8" i="18"/>
  <c r="C1" i="18"/>
  <c r="W106" i="18" l="1"/>
  <c r="V88" i="18"/>
  <c r="V211" i="18" s="1"/>
  <c r="V230" i="18"/>
  <c r="V231" i="18" s="1"/>
  <c r="V228" i="18"/>
  <c r="V206" i="18"/>
  <c r="V208" i="18"/>
  <c r="V212" i="18"/>
  <c r="V218" i="18"/>
  <c r="V223" i="18"/>
  <c r="V220" i="18"/>
  <c r="V221" i="18" s="1"/>
  <c r="V147" i="18"/>
  <c r="V145" i="18"/>
  <c r="AJ47" i="18"/>
  <c r="X47" i="18"/>
  <c r="Y47" i="18" s="1"/>
  <c r="Z47" i="18" s="1"/>
  <c r="AA47" i="18" s="1"/>
  <c r="AB47" i="18" s="1"/>
  <c r="AC47" i="18" s="1"/>
  <c r="AD47" i="18" s="1"/>
  <c r="AE47" i="18" s="1"/>
  <c r="AF47" i="18" s="1"/>
  <c r="AG47" i="18" s="1"/>
  <c r="AH47" i="18" s="1"/>
  <c r="AJ57" i="18"/>
  <c r="X57" i="18"/>
  <c r="Y57" i="18" s="1"/>
  <c r="Z57" i="18" s="1"/>
  <c r="AA57" i="18" s="1"/>
  <c r="AB57" i="18" s="1"/>
  <c r="AC57" i="18" s="1"/>
  <c r="AD57" i="18" s="1"/>
  <c r="AE57" i="18" s="1"/>
  <c r="AF57" i="18" s="1"/>
  <c r="AG57" i="18" s="1"/>
  <c r="AH57" i="18" s="1"/>
  <c r="U254" i="18"/>
  <c r="U253" i="18"/>
  <c r="W253" i="18" s="1"/>
  <c r="U252" i="18"/>
  <c r="W252" i="18" s="1"/>
  <c r="Y61" i="18"/>
  <c r="Y63" i="18"/>
  <c r="W254" i="18"/>
  <c r="W205" i="18"/>
  <c r="S248" i="18"/>
  <c r="U70" i="18"/>
  <c r="U206" i="18" s="1"/>
  <c r="U71" i="18"/>
  <c r="U72" i="18"/>
  <c r="U74" i="18"/>
  <c r="U75" i="18"/>
  <c r="U209" i="18" s="1"/>
  <c r="U76" i="18"/>
  <c r="U207" i="18" s="1"/>
  <c r="U77" i="18"/>
  <c r="U78" i="18"/>
  <c r="U79" i="18"/>
  <c r="U210" i="18" s="1"/>
  <c r="U80" i="18"/>
  <c r="U82" i="18"/>
  <c r="U83" i="18"/>
  <c r="U84" i="18"/>
  <c r="U213" i="18" s="1"/>
  <c r="U86" i="18"/>
  <c r="U88" i="18" s="1"/>
  <c r="U211" i="18" s="1"/>
  <c r="U87" i="18"/>
  <c r="U89" i="18"/>
  <c r="U90" i="18"/>
  <c r="U92" i="18"/>
  <c r="U143" i="18" s="1"/>
  <c r="U144" i="18" s="1"/>
  <c r="U145" i="18" s="1"/>
  <c r="U146" i="18" s="1"/>
  <c r="U94" i="18"/>
  <c r="U96" i="18" s="1"/>
  <c r="U97" i="18"/>
  <c r="U98" i="18"/>
  <c r="U99" i="18"/>
  <c r="U100" i="18"/>
  <c r="U102" i="18"/>
  <c r="U103" i="18"/>
  <c r="U104" i="18"/>
  <c r="U109" i="18"/>
  <c r="U110" i="18"/>
  <c r="U111" i="18"/>
  <c r="U112" i="18"/>
  <c r="U113" i="18"/>
  <c r="U114" i="18"/>
  <c r="U116" i="18"/>
  <c r="U122" i="18" s="1"/>
  <c r="U117" i="18"/>
  <c r="U118" i="18"/>
  <c r="U124" i="18" s="1"/>
  <c r="U119" i="18"/>
  <c r="U125" i="18" s="1"/>
  <c r="U120" i="18"/>
  <c r="U126" i="18" s="1"/>
  <c r="U123" i="18"/>
  <c r="U128" i="18"/>
  <c r="U129" i="18"/>
  <c r="U130" i="18"/>
  <c r="U131" i="18"/>
  <c r="U132" i="18"/>
  <c r="U133" i="18"/>
  <c r="U134" i="18"/>
  <c r="U135" i="18"/>
  <c r="U136" i="18"/>
  <c r="U138" i="18"/>
  <c r="U139" i="18"/>
  <c r="U140" i="18"/>
  <c r="U141" i="18"/>
  <c r="U149" i="18"/>
  <c r="U150" i="18"/>
  <c r="U151" i="18"/>
  <c r="U153" i="18"/>
  <c r="U154" i="18"/>
  <c r="U155" i="18"/>
  <c r="U158" i="18"/>
  <c r="U159" i="18"/>
  <c r="U160" i="18"/>
  <c r="U161" i="18"/>
  <c r="U163" i="18"/>
  <c r="U164" i="18"/>
  <c r="U166" i="18"/>
  <c r="U167" i="18" s="1"/>
  <c r="U168" i="18"/>
  <c r="U170" i="18"/>
  <c r="U171" i="18"/>
  <c r="U208" i="18"/>
  <c r="U212" i="18"/>
  <c r="U215" i="18"/>
  <c r="U216" i="18"/>
  <c r="U224" i="18"/>
  <c r="U223" i="18" s="1"/>
  <c r="U229" i="18"/>
  <c r="U228" i="18" s="1"/>
  <c r="U218" i="18" l="1"/>
  <c r="U220" i="18"/>
  <c r="U221" i="18" s="1"/>
  <c r="U219" i="18"/>
  <c r="AK57" i="18"/>
  <c r="AI57" i="18"/>
  <c r="AK47" i="18"/>
  <c r="AI47" i="18"/>
  <c r="V146" i="18"/>
  <c r="S249" i="18"/>
  <c r="U147" i="18"/>
  <c r="U230" i="18"/>
  <c r="U225" i="18"/>
  <c r="G215" i="18"/>
  <c r="W215" i="18" s="1"/>
  <c r="G216" i="18"/>
  <c r="W216" i="18" s="1"/>
  <c r="G70" i="18"/>
  <c r="G71" i="18"/>
  <c r="W71" i="18" s="1"/>
  <c r="G72" i="18"/>
  <c r="G74" i="18"/>
  <c r="G75" i="18"/>
  <c r="G76" i="18"/>
  <c r="W76" i="18" s="1"/>
  <c r="G77" i="18"/>
  <c r="W77" i="18" s="1"/>
  <c r="G78" i="18"/>
  <c r="W78" i="18" s="1"/>
  <c r="G79" i="18"/>
  <c r="G80" i="18"/>
  <c r="W80" i="18" s="1"/>
  <c r="G82" i="18"/>
  <c r="W82" i="18" s="1"/>
  <c r="G83" i="18"/>
  <c r="W83" i="18" s="1"/>
  <c r="G84" i="18"/>
  <c r="G86" i="18"/>
  <c r="W86" i="18" s="1"/>
  <c r="G87" i="18"/>
  <c r="W87" i="18" s="1"/>
  <c r="G89" i="18"/>
  <c r="W89" i="18" s="1"/>
  <c r="G90" i="18"/>
  <c r="G92" i="18"/>
  <c r="G94" i="18"/>
  <c r="G97" i="18"/>
  <c r="W97" i="18" s="1"/>
  <c r="G98" i="18"/>
  <c r="W98" i="18" s="1"/>
  <c r="G99" i="18"/>
  <c r="W99" i="18" s="1"/>
  <c r="G100" i="18"/>
  <c r="W100" i="18" s="1"/>
  <c r="G102" i="18"/>
  <c r="G103" i="18"/>
  <c r="W103" i="18" s="1"/>
  <c r="G104" i="18"/>
  <c r="W104" i="18" s="1"/>
  <c r="G109" i="18"/>
  <c r="W109" i="18" s="1"/>
  <c r="G110" i="18"/>
  <c r="W110" i="18" s="1"/>
  <c r="G111" i="18"/>
  <c r="W111" i="18" s="1"/>
  <c r="G112" i="18"/>
  <c r="W112" i="18" s="1"/>
  <c r="G113" i="18"/>
  <c r="W113" i="18" s="1"/>
  <c r="G116" i="18"/>
  <c r="G117" i="18"/>
  <c r="G118" i="18"/>
  <c r="G119" i="18"/>
  <c r="G120" i="18"/>
  <c r="G138" i="18"/>
  <c r="W138" i="18" s="1"/>
  <c r="G139" i="18"/>
  <c r="W139" i="18" s="1"/>
  <c r="G140" i="18"/>
  <c r="W140" i="18" s="1"/>
  <c r="G141" i="18"/>
  <c r="W141" i="18" s="1"/>
  <c r="G149" i="18"/>
  <c r="W149" i="18" s="1"/>
  <c r="G150" i="18"/>
  <c r="W150" i="18" s="1"/>
  <c r="G151" i="18"/>
  <c r="W151" i="18" s="1"/>
  <c r="G153" i="18"/>
  <c r="W153" i="18" s="1"/>
  <c r="G154" i="18"/>
  <c r="W154" i="18" s="1"/>
  <c r="G155" i="18"/>
  <c r="W155" i="18" s="1"/>
  <c r="G158" i="18"/>
  <c r="W158" i="18" s="1"/>
  <c r="G159" i="18"/>
  <c r="W159" i="18" s="1"/>
  <c r="G160" i="18"/>
  <c r="W160" i="18" s="1"/>
  <c r="G161" i="18"/>
  <c r="W161" i="18" s="1"/>
  <c r="G163" i="18"/>
  <c r="W163" i="18" s="1"/>
  <c r="G164" i="18"/>
  <c r="W164" i="18" s="1"/>
  <c r="G166" i="18"/>
  <c r="G170" i="18"/>
  <c r="W170" i="18" s="1"/>
  <c r="G171" i="18"/>
  <c r="W171" i="18" s="1"/>
  <c r="AJ236" i="18"/>
  <c r="AJ235" i="18"/>
  <c r="AJ234" i="18"/>
  <c r="AJ233" i="18"/>
  <c r="G126" i="18" l="1"/>
  <c r="W126" i="18" s="1"/>
  <c r="W120" i="18"/>
  <c r="G124" i="18"/>
  <c r="W124" i="18" s="1"/>
  <c r="W118" i="18"/>
  <c r="G122" i="18"/>
  <c r="W122" i="18" s="1"/>
  <c r="W116" i="18"/>
  <c r="G168" i="18"/>
  <c r="W168" i="18" s="1"/>
  <c r="W102" i="18"/>
  <c r="G143" i="18"/>
  <c r="W92" i="18"/>
  <c r="G208" i="18"/>
  <c r="W208" i="18" s="1"/>
  <c r="W74" i="18"/>
  <c r="G167" i="18"/>
  <c r="W167" i="18" s="1"/>
  <c r="W166" i="18"/>
  <c r="G125" i="18"/>
  <c r="W125" i="18" s="1"/>
  <c r="W119" i="18"/>
  <c r="G123" i="18"/>
  <c r="W123" i="18" s="1"/>
  <c r="W117" i="18"/>
  <c r="G96" i="18"/>
  <c r="W96" i="18" s="1"/>
  <c r="W94" i="18"/>
  <c r="G212" i="18"/>
  <c r="W212" i="18" s="1"/>
  <c r="W90" i="18"/>
  <c r="G213" i="18"/>
  <c r="W213" i="18" s="1"/>
  <c r="W84" i="18"/>
  <c r="G210" i="18"/>
  <c r="W210" i="18" s="1"/>
  <c r="W79" i="18"/>
  <c r="G209" i="18"/>
  <c r="W209" i="18" s="1"/>
  <c r="W75" i="18"/>
  <c r="G114" i="18"/>
  <c r="W114" i="18" s="1"/>
  <c r="W72" i="18"/>
  <c r="G206" i="18"/>
  <c r="W206" i="18" s="1"/>
  <c r="W70" i="18"/>
  <c r="U231" i="18"/>
  <c r="U226" i="18"/>
  <c r="G207" i="18"/>
  <c r="G219" i="18" s="1"/>
  <c r="W219" i="18" s="1"/>
  <c r="G88" i="18"/>
  <c r="W88" i="18" s="1"/>
  <c r="G218" i="18"/>
  <c r="W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2" i="20"/>
  <c r="K81" i="20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41" i="20" s="1"/>
  <c r="M28" i="20" s="1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L22" i="20" s="1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Q21" i="20" l="1"/>
  <c r="R21" i="20" s="1"/>
  <c r="R22" i="20" s="1"/>
  <c r="G144" i="18"/>
  <c r="W143" i="18"/>
  <c r="G211" i="18"/>
  <c r="W211" i="18" s="1"/>
  <c r="G220" i="18"/>
  <c r="W207" i="18"/>
  <c r="H69" i="20"/>
  <c r="G50" i="20"/>
  <c r="C51" i="20" s="1"/>
  <c r="F50" i="20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5" i="18" l="1"/>
  <c r="W144" i="18"/>
  <c r="G147" i="18"/>
  <c r="W147" i="18" s="1"/>
  <c r="G221" i="18"/>
  <c r="W221" i="18" s="1"/>
  <c r="W220" i="18"/>
  <c r="B95" i="20"/>
  <c r="F94" i="20"/>
  <c r="I95" i="20"/>
  <c r="M94" i="20"/>
  <c r="M50" i="20"/>
  <c r="N50" i="20" s="1"/>
  <c r="H70" i="20"/>
  <c r="G51" i="20"/>
  <c r="C52" i="20" s="1"/>
  <c r="F51" i="20"/>
  <c r="G93" i="20"/>
  <c r="C94" i="20" s="1"/>
  <c r="N93" i="20"/>
  <c r="J94" i="20" s="1"/>
  <c r="N94" i="20" l="1"/>
  <c r="J95" i="20" s="1"/>
  <c r="G146" i="18"/>
  <c r="W146" i="18" s="1"/>
  <c r="W145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N51" i="20"/>
  <c r="M51" i="20"/>
  <c r="G95" i="20"/>
  <c r="C96" i="20" s="1"/>
  <c r="J52" i="20" l="1"/>
  <c r="P51" i="20"/>
  <c r="I98" i="20"/>
  <c r="M97" i="20"/>
  <c r="N97" i="20" s="1"/>
  <c r="J98" i="20" s="1"/>
  <c r="B98" i="20"/>
  <c r="F97" i="20"/>
  <c r="H73" i="20"/>
  <c r="G54" i="20"/>
  <c r="C55" i="20" s="1"/>
  <c r="F54" i="20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N52" i="20"/>
  <c r="M52" i="20"/>
  <c r="G97" i="20"/>
  <c r="C98" i="20" s="1"/>
  <c r="G277" i="18"/>
  <c r="G279" i="18" s="1"/>
  <c r="G280" i="18" s="1"/>
  <c r="H252" i="18"/>
  <c r="I252" i="18"/>
  <c r="H253" i="18"/>
  <c r="I253" i="18"/>
  <c r="H254" i="18"/>
  <c r="I254" i="18"/>
  <c r="H215" i="18"/>
  <c r="I215" i="18"/>
  <c r="H216" i="18"/>
  <c r="I216" i="18"/>
  <c r="H70" i="18"/>
  <c r="I70" i="18"/>
  <c r="I206" i="18" s="1"/>
  <c r="H71" i="18"/>
  <c r="I71" i="18"/>
  <c r="H72" i="18"/>
  <c r="I72" i="18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H88" i="18" s="1"/>
  <c r="H211" i="18" s="1"/>
  <c r="I87" i="18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H96" i="18" s="1"/>
  <c r="I94" i="18"/>
  <c r="I96" i="18"/>
  <c r="H97" i="18"/>
  <c r="I97" i="18"/>
  <c r="H98" i="18"/>
  <c r="I98" i="18"/>
  <c r="H99" i="18"/>
  <c r="I99" i="18"/>
  <c r="H100" i="18"/>
  <c r="I100" i="18"/>
  <c r="H102" i="18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4" i="18"/>
  <c r="I114" i="18"/>
  <c r="H116" i="18"/>
  <c r="I116" i="18"/>
  <c r="H117" i="18"/>
  <c r="H123" i="18" s="1"/>
  <c r="I117" i="18"/>
  <c r="I123" i="18" s="1"/>
  <c r="H118" i="18"/>
  <c r="I118" i="18"/>
  <c r="H119" i="18"/>
  <c r="H125" i="18" s="1"/>
  <c r="I119" i="18"/>
  <c r="I125" i="18" s="1"/>
  <c r="H120" i="18"/>
  <c r="I120" i="18"/>
  <c r="H122" i="18"/>
  <c r="I122" i="18"/>
  <c r="H124" i="18"/>
  <c r="I124" i="18"/>
  <c r="H126" i="18"/>
  <c r="I126" i="18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I166" i="18"/>
  <c r="I167" i="18" s="1"/>
  <c r="H167" i="18"/>
  <c r="H168" i="18"/>
  <c r="H170" i="18"/>
  <c r="I170" i="18"/>
  <c r="H171" i="18"/>
  <c r="I171" i="18"/>
  <c r="W45" i="18"/>
  <c r="W38" i="18"/>
  <c r="I88" i="18" l="1"/>
  <c r="I211" i="18" s="1"/>
  <c r="I147" i="18"/>
  <c r="H145" i="18"/>
  <c r="H146" i="18" s="1"/>
  <c r="H147" i="18"/>
  <c r="W40" i="18"/>
  <c r="W42" i="18"/>
  <c r="W41" i="18"/>
  <c r="W43" i="18"/>
  <c r="I129" i="18"/>
  <c r="I130" i="18"/>
  <c r="I131" i="18"/>
  <c r="I132" i="18"/>
  <c r="I135" i="18"/>
  <c r="W49" i="18"/>
  <c r="I133" i="18"/>
  <c r="W36" i="18"/>
  <c r="I128" i="18"/>
  <c r="I13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G99" i="20" s="1"/>
  <c r="C100" i="20" s="1"/>
  <c r="F56" i="20"/>
  <c r="G56" i="20" s="1"/>
  <c r="H104" i="18"/>
  <c r="H79" i="18"/>
  <c r="T133" i="18"/>
  <c r="S133" i="18"/>
  <c r="R133" i="18"/>
  <c r="Q133" i="18"/>
  <c r="P133" i="18"/>
  <c r="O133" i="18"/>
  <c r="N133" i="18"/>
  <c r="M133" i="18"/>
  <c r="L133" i="18"/>
  <c r="K133" i="18"/>
  <c r="J133" i="18"/>
  <c r="AJ49" i="18"/>
  <c r="X49" i="18"/>
  <c r="T134" i="18"/>
  <c r="S134" i="18"/>
  <c r="R134" i="18"/>
  <c r="Q134" i="18"/>
  <c r="P134" i="18"/>
  <c r="O134" i="18"/>
  <c r="N134" i="18"/>
  <c r="M134" i="18"/>
  <c r="L134" i="18"/>
  <c r="K134" i="18"/>
  <c r="Y49" i="18" l="1"/>
  <c r="Z49" i="18" s="1"/>
  <c r="AA49" i="18" s="1"/>
  <c r="AB49" i="18" s="1"/>
  <c r="AC49" i="18" s="1"/>
  <c r="AD49" i="18" s="1"/>
  <c r="AE49" i="18" s="1"/>
  <c r="AF49" i="18" s="1"/>
  <c r="AG49" i="18" s="1"/>
  <c r="AH49" i="18" s="1"/>
  <c r="G133" i="18"/>
  <c r="W133" i="18" s="1"/>
  <c r="G129" i="18"/>
  <c r="W129" i="18" s="1"/>
  <c r="G131" i="18"/>
  <c r="W131" i="18" s="1"/>
  <c r="G135" i="18"/>
  <c r="W135" i="18" s="1"/>
  <c r="G130" i="18"/>
  <c r="W130" i="18" s="1"/>
  <c r="G132" i="18"/>
  <c r="W132" i="18" s="1"/>
  <c r="G128" i="18"/>
  <c r="W128" i="18" s="1"/>
  <c r="G136" i="18"/>
  <c r="W136" i="18" s="1"/>
  <c r="H133" i="18"/>
  <c r="H129" i="18"/>
  <c r="H130" i="18"/>
  <c r="H131" i="18"/>
  <c r="H132" i="18"/>
  <c r="H135" i="18"/>
  <c r="H128" i="18"/>
  <c r="H136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T130" i="18"/>
  <c r="S130" i="18"/>
  <c r="R130" i="18"/>
  <c r="Q130" i="18"/>
  <c r="P130" i="18"/>
  <c r="O130" i="18"/>
  <c r="N130" i="18"/>
  <c r="M130" i="18"/>
  <c r="L130" i="18"/>
  <c r="K130" i="18"/>
  <c r="X51" i="18"/>
  <c r="Y51" i="18" s="1"/>
  <c r="J130" i="18"/>
  <c r="AK49" i="18" l="1"/>
  <c r="AI49" i="18"/>
  <c r="J134" i="18"/>
  <c r="H221" i="18"/>
  <c r="J54" i="20"/>
  <c r="P53" i="20"/>
  <c r="H76" i="20"/>
  <c r="G57" i="20"/>
  <c r="C58" i="20" s="1"/>
  <c r="F57" i="20"/>
  <c r="I102" i="20"/>
  <c r="M101" i="20"/>
  <c r="N101" i="20" s="1"/>
  <c r="J102" i="20" s="1"/>
  <c r="B102" i="20"/>
  <c r="F101" i="20"/>
  <c r="G101" i="20" s="1"/>
  <c r="C102" i="20" s="1"/>
  <c r="T136" i="18"/>
  <c r="T135" i="18"/>
  <c r="T132" i="18"/>
  <c r="T131" i="18"/>
  <c r="S136" i="18"/>
  <c r="S135" i="18"/>
  <c r="S132" i="18"/>
  <c r="S131" i="18"/>
  <c r="R136" i="18"/>
  <c r="R135" i="18"/>
  <c r="R132" i="18"/>
  <c r="R131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T129" i="18"/>
  <c r="S129" i="18"/>
  <c r="R129" i="18"/>
  <c r="Q129" i="18"/>
  <c r="P129" i="18"/>
  <c r="O129" i="18"/>
  <c r="N129" i="18"/>
  <c r="M129" i="18"/>
  <c r="L129" i="18"/>
  <c r="K129" i="18"/>
  <c r="J129" i="18"/>
  <c r="T128" i="18"/>
  <c r="S128" i="18"/>
  <c r="R128" i="18"/>
  <c r="Q128" i="18"/>
  <c r="P128" i="18"/>
  <c r="O128" i="18"/>
  <c r="N128" i="18"/>
  <c r="M128" i="18"/>
  <c r="L128" i="18"/>
  <c r="K128" i="18"/>
  <c r="J128" i="18"/>
  <c r="AJ51" i="18"/>
  <c r="AJ45" i="18"/>
  <c r="AJ43" i="18"/>
  <c r="AJ42" i="18"/>
  <c r="AJ41" i="18"/>
  <c r="AJ40" i="18"/>
  <c r="AJ38" i="18"/>
  <c r="AJ36" i="18"/>
  <c r="X40" i="18"/>
  <c r="Z51" i="18"/>
  <c r="AA51" i="18" s="1"/>
  <c r="AB51" i="18" s="1"/>
  <c r="AC51" i="18" s="1"/>
  <c r="AD51" i="18" s="1"/>
  <c r="AE51" i="18" s="1"/>
  <c r="AF51" i="18" s="1"/>
  <c r="AG51" i="18" s="1"/>
  <c r="AH51" i="18" s="1"/>
  <c r="X45" i="18"/>
  <c r="AK51" i="18" l="1"/>
  <c r="AI51" i="18"/>
  <c r="Y45" i="18"/>
  <c r="Z45" i="18" s="1"/>
  <c r="AA45" i="18" s="1"/>
  <c r="AB45" i="18" s="1"/>
  <c r="AC45" i="18" s="1"/>
  <c r="AD45" i="18" s="1"/>
  <c r="AE45" i="18" s="1"/>
  <c r="AF45" i="18" s="1"/>
  <c r="AG45" i="18" s="1"/>
  <c r="AH45" i="18" s="1"/>
  <c r="Y40" i="18"/>
  <c r="Z40" i="18" s="1"/>
  <c r="AA40" i="18" s="1"/>
  <c r="AB40" i="18" s="1"/>
  <c r="AC40" i="18" s="1"/>
  <c r="AD40" i="18" s="1"/>
  <c r="AE40" i="18" s="1"/>
  <c r="AF40" i="18" s="1"/>
  <c r="AG40" i="18" s="1"/>
  <c r="AH40" i="18" s="1"/>
  <c r="W51" i="18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X43" i="18"/>
  <c r="X42" i="18"/>
  <c r="X41" i="18"/>
  <c r="X38" i="18"/>
  <c r="Y38" i="18" s="1"/>
  <c r="X36" i="18"/>
  <c r="Y36" i="18" s="1"/>
  <c r="AK40" i="18" l="1"/>
  <c r="AI40" i="18"/>
  <c r="AK45" i="18"/>
  <c r="AI45" i="18"/>
  <c r="Y42" i="18"/>
  <c r="Z42" i="18" s="1"/>
  <c r="AA42" i="18" s="1"/>
  <c r="AB42" i="18" s="1"/>
  <c r="AC42" i="18" s="1"/>
  <c r="AD42" i="18" s="1"/>
  <c r="AE42" i="18" s="1"/>
  <c r="AF42" i="18" s="1"/>
  <c r="AG42" i="18" s="1"/>
  <c r="AH42" i="18" s="1"/>
  <c r="G134" i="18"/>
  <c r="W134" i="18" s="1"/>
  <c r="Y41" i="18"/>
  <c r="Z41" i="18" s="1"/>
  <c r="AA41" i="18" s="1"/>
  <c r="AB41" i="18" s="1"/>
  <c r="AC41" i="18" s="1"/>
  <c r="AD41" i="18" s="1"/>
  <c r="AE41" i="18" s="1"/>
  <c r="AF41" i="18" s="1"/>
  <c r="AG41" i="18" s="1"/>
  <c r="AH41" i="18" s="1"/>
  <c r="Z43" i="18"/>
  <c r="AA43" i="18" s="1"/>
  <c r="AB43" i="18" s="1"/>
  <c r="AC43" i="18" s="1"/>
  <c r="AD43" i="18" s="1"/>
  <c r="AE43" i="18" s="1"/>
  <c r="AF43" i="18" s="1"/>
  <c r="AG43" i="18" s="1"/>
  <c r="AH43" i="18" s="1"/>
  <c r="Y43" i="18"/>
  <c r="H134" i="18"/>
  <c r="H78" i="20"/>
  <c r="G59" i="20"/>
  <c r="C60" i="20" s="1"/>
  <c r="F59" i="20"/>
  <c r="J55" i="20"/>
  <c r="P54" i="20"/>
  <c r="I104" i="20"/>
  <c r="M103" i="20"/>
  <c r="N103" i="20" s="1"/>
  <c r="J104" i="20" s="1"/>
  <c r="B104" i="20"/>
  <c r="F103" i="20"/>
  <c r="G103" i="20" s="1"/>
  <c r="C104" i="20" s="1"/>
  <c r="Z38" i="18"/>
  <c r="Y131" i="18"/>
  <c r="Z36" i="18"/>
  <c r="Y130" i="18"/>
  <c r="Y132" i="18"/>
  <c r="B219" i="18"/>
  <c r="AJ231" i="18"/>
  <c r="AJ228" i="18"/>
  <c r="AJ230" i="18"/>
  <c r="AJ229" i="18"/>
  <c r="AJ226" i="18"/>
  <c r="AJ225" i="18"/>
  <c r="AJ224" i="18"/>
  <c r="AJ223" i="18"/>
  <c r="AJ218" i="18"/>
  <c r="AJ221" i="18"/>
  <c r="AJ220" i="18"/>
  <c r="AJ219" i="18"/>
  <c r="AJ216" i="18"/>
  <c r="AJ215" i="18"/>
  <c r="AJ212" i="18"/>
  <c r="AJ211" i="18"/>
  <c r="AJ213" i="18"/>
  <c r="AJ210" i="18"/>
  <c r="AJ209" i="18"/>
  <c r="AJ208" i="18"/>
  <c r="AJ207" i="18"/>
  <c r="AJ206" i="18"/>
  <c r="AJ205" i="18"/>
  <c r="AK228" i="18"/>
  <c r="AK42" i="18" l="1"/>
  <c r="AI42" i="18"/>
  <c r="AK43" i="18"/>
  <c r="AI43" i="18"/>
  <c r="AK41" i="18"/>
  <c r="AI41" i="18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AA38" i="18"/>
  <c r="Z131" i="18"/>
  <c r="AA36" i="18"/>
  <c r="Z130" i="18"/>
  <c r="Z132" i="18"/>
  <c r="AK229" i="18"/>
  <c r="T216" i="18"/>
  <c r="S216" i="18"/>
  <c r="R216" i="18"/>
  <c r="Q216" i="18"/>
  <c r="P216" i="18"/>
  <c r="O216" i="18"/>
  <c r="N216" i="18"/>
  <c r="M216" i="18"/>
  <c r="L216" i="18"/>
  <c r="K216" i="18"/>
  <c r="J216" i="18"/>
  <c r="H80" i="20" l="1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B38" i="18"/>
  <c r="AA131" i="18"/>
  <c r="AB36" i="18"/>
  <c r="AA132" i="18"/>
  <c r="AA130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C38" i="18"/>
  <c r="AB131" i="18"/>
  <c r="AC36" i="18"/>
  <c r="AB132" i="18"/>
  <c r="AB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D38" i="18"/>
  <c r="AC131" i="18"/>
  <c r="AD36" i="18"/>
  <c r="AC130" i="18"/>
  <c r="AC132" i="18"/>
  <c r="G224" i="18"/>
  <c r="W224" i="18" s="1"/>
  <c r="T229" i="18" l="1"/>
  <c r="G229" i="18"/>
  <c r="W229" i="18" s="1"/>
  <c r="G223" i="18"/>
  <c r="W223" i="18" s="1"/>
  <c r="G225" i="18"/>
  <c r="Y229" i="18"/>
  <c r="Y230" i="18" s="1"/>
  <c r="Y231" i="18" s="1"/>
  <c r="H229" i="18"/>
  <c r="I229" i="18"/>
  <c r="Y224" i="18"/>
  <c r="Y225" i="18" s="1"/>
  <c r="Y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E38" i="18"/>
  <c r="AD131" i="18"/>
  <c r="AE36" i="18"/>
  <c r="AD130" i="18"/>
  <c r="AD132" i="18"/>
  <c r="N229" i="18"/>
  <c r="N230" i="18" s="1"/>
  <c r="N231" i="18" s="1"/>
  <c r="S229" i="18"/>
  <c r="S228" i="18" s="1"/>
  <c r="R229" i="18"/>
  <c r="M229" i="18"/>
  <c r="L229" i="18"/>
  <c r="Q229" i="18"/>
  <c r="K229" i="18"/>
  <c r="P229" i="18"/>
  <c r="J229" i="18"/>
  <c r="O229" i="18"/>
  <c r="P224" i="18"/>
  <c r="S224" i="18"/>
  <c r="S223" i="18" s="1"/>
  <c r="O224" i="18"/>
  <c r="K224" i="18"/>
  <c r="R224" i="18"/>
  <c r="N224" i="18"/>
  <c r="J224" i="18"/>
  <c r="Q224" i="18"/>
  <c r="M224" i="18"/>
  <c r="T224" i="18"/>
  <c r="L224" i="18"/>
  <c r="AJ75" i="18"/>
  <c r="AJ74" i="18"/>
  <c r="AJ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R75" i="18"/>
  <c r="R209" i="18" s="1"/>
  <c r="S75" i="18"/>
  <c r="T75" i="18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R74" i="18"/>
  <c r="R208" i="18" s="1"/>
  <c r="S74" i="18"/>
  <c r="S208" i="18" s="1"/>
  <c r="T74" i="18"/>
  <c r="G226" i="18" l="1"/>
  <c r="W226" i="18" s="1"/>
  <c r="W225" i="18"/>
  <c r="Y228" i="18"/>
  <c r="G228" i="18"/>
  <c r="W228" i="18" s="1"/>
  <c r="G230" i="18"/>
  <c r="T223" i="18"/>
  <c r="Y223" i="18"/>
  <c r="T209" i="18"/>
  <c r="T208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F38" i="18"/>
  <c r="AE131" i="18"/>
  <c r="AF36" i="18"/>
  <c r="AE132" i="18"/>
  <c r="AE130" i="18"/>
  <c r="N228" i="18"/>
  <c r="S230" i="18"/>
  <c r="S231" i="18" s="1"/>
  <c r="M225" i="18"/>
  <c r="M226" i="18" s="1"/>
  <c r="M223" i="18"/>
  <c r="R225" i="18"/>
  <c r="R226" i="18" s="1"/>
  <c r="R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T225" i="18"/>
  <c r="T226" i="18" s="1"/>
  <c r="N225" i="18"/>
  <c r="N226" i="18" s="1"/>
  <c r="N223" i="18"/>
  <c r="K230" i="18"/>
  <c r="K231" i="18" s="1"/>
  <c r="K228" i="18"/>
  <c r="R230" i="18"/>
  <c r="R231" i="18" s="1"/>
  <c r="R228" i="18"/>
  <c r="T230" i="18"/>
  <c r="T231" i="18" s="1"/>
  <c r="T228" i="18"/>
  <c r="S225" i="18"/>
  <c r="S209" i="18"/>
  <c r="G231" i="18" l="1"/>
  <c r="W231" i="18" s="1"/>
  <c r="W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G38" i="18"/>
  <c r="AF131" i="18"/>
  <c r="AG36" i="18"/>
  <c r="AF132" i="18"/>
  <c r="AF130" i="18"/>
  <c r="S226" i="18"/>
  <c r="J151" i="18"/>
  <c r="K151" i="18"/>
  <c r="L151" i="18"/>
  <c r="M151" i="18"/>
  <c r="N151" i="18"/>
  <c r="O151" i="18"/>
  <c r="P151" i="18"/>
  <c r="Q151" i="18"/>
  <c r="R151" i="18"/>
  <c r="S151" i="18"/>
  <c r="T151" i="18"/>
  <c r="T150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H38" i="18"/>
  <c r="AG131" i="18"/>
  <c r="AH36" i="18"/>
  <c r="AG130" i="18"/>
  <c r="AG132" i="18"/>
  <c r="I265" i="18"/>
  <c r="I262" i="18"/>
  <c r="I263" i="18"/>
  <c r="I264" i="18"/>
  <c r="AK36" i="18" l="1"/>
  <c r="AI36" i="18"/>
  <c r="AK38" i="18"/>
  <c r="AI38" i="18"/>
  <c r="B113" i="20"/>
  <c r="F112" i="20"/>
  <c r="G112" i="20" s="1"/>
  <c r="C113" i="20" s="1"/>
  <c r="I113" i="20"/>
  <c r="M112" i="20"/>
  <c r="N112" i="20" s="1"/>
  <c r="J113" i="20" s="1"/>
  <c r="H86" i="20"/>
  <c r="G67" i="20"/>
  <c r="C68" i="20" s="1"/>
  <c r="F67" i="20"/>
  <c r="M59" i="20"/>
  <c r="N59" i="20" s="1"/>
  <c r="AH131" i="18"/>
  <c r="AH130" i="18"/>
  <c r="AH132" i="18"/>
  <c r="T254" i="18"/>
  <c r="T253" i="18"/>
  <c r="T252" i="18"/>
  <c r="T215" i="18"/>
  <c r="T70" i="18"/>
  <c r="T71" i="18"/>
  <c r="T72" i="18"/>
  <c r="T76" i="18"/>
  <c r="T77" i="18"/>
  <c r="T78" i="18"/>
  <c r="T79" i="18"/>
  <c r="T80" i="18"/>
  <c r="T82" i="18"/>
  <c r="T83" i="18"/>
  <c r="T84" i="18"/>
  <c r="T86" i="18"/>
  <c r="T87" i="18"/>
  <c r="T89" i="18"/>
  <c r="T90" i="18"/>
  <c r="T92" i="18"/>
  <c r="T94" i="18"/>
  <c r="T97" i="18"/>
  <c r="T98" i="18"/>
  <c r="T99" i="18"/>
  <c r="T100" i="18"/>
  <c r="T102" i="18"/>
  <c r="T103" i="18"/>
  <c r="T104" i="18"/>
  <c r="T109" i="18"/>
  <c r="T110" i="18"/>
  <c r="T111" i="18"/>
  <c r="T112" i="18"/>
  <c r="T113" i="18"/>
  <c r="T116" i="18"/>
  <c r="T117" i="18"/>
  <c r="T118" i="18"/>
  <c r="T119" i="18"/>
  <c r="T120" i="18"/>
  <c r="T138" i="18"/>
  <c r="T139" i="18"/>
  <c r="T140" i="18"/>
  <c r="T141" i="18"/>
  <c r="T149" i="18"/>
  <c r="T153" i="18"/>
  <c r="T154" i="18"/>
  <c r="T155" i="18"/>
  <c r="T158" i="18"/>
  <c r="T159" i="18"/>
  <c r="T160" i="18"/>
  <c r="T161" i="18"/>
  <c r="T163" i="18"/>
  <c r="T164" i="18"/>
  <c r="T166" i="18"/>
  <c r="T170" i="18"/>
  <c r="T171" i="18"/>
  <c r="AI132" i="18" l="1"/>
  <c r="AK132" i="18"/>
  <c r="AI131" i="18"/>
  <c r="AK131" i="18"/>
  <c r="AI130" i="18"/>
  <c r="AK130" i="18"/>
  <c r="T96" i="18"/>
  <c r="T143" i="18"/>
  <c r="T218" i="18"/>
  <c r="T114" i="18"/>
  <c r="T168" i="18"/>
  <c r="T126" i="18"/>
  <c r="T124" i="18"/>
  <c r="T123" i="18"/>
  <c r="T206" i="18"/>
  <c r="T122" i="18"/>
  <c r="T167" i="18"/>
  <c r="T212" i="18"/>
  <c r="T125" i="18"/>
  <c r="T213" i="18"/>
  <c r="T21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T207" i="18"/>
  <c r="T88" i="18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R72" i="18"/>
  <c r="R114" i="18" s="1"/>
  <c r="S72" i="18"/>
  <c r="S114" i="18" s="1"/>
  <c r="J72" i="18"/>
  <c r="J114" i="18" s="1"/>
  <c r="T144" i="18" l="1"/>
  <c r="T211" i="18"/>
  <c r="F69" i="20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T220" i="18"/>
  <c r="T219" i="18"/>
  <c r="K249" i="18"/>
  <c r="T147" i="18" l="1"/>
  <c r="T145" i="18"/>
  <c r="T146" i="18" s="1"/>
  <c r="T221" i="18"/>
  <c r="F70" i="20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5" i="18"/>
  <c r="N244" i="18"/>
  <c r="N243" i="18"/>
  <c r="N242" i="18"/>
  <c r="F71" i="20" l="1"/>
  <c r="G71" i="20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J55" i="18"/>
  <c r="X55" i="18"/>
  <c r="Y55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Z55" i="18"/>
  <c r="V249" i="18"/>
  <c r="V250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A55" i="18"/>
  <c r="D261" i="18"/>
  <c r="I261" i="18"/>
  <c r="O138" i="18"/>
  <c r="M138" i="18"/>
  <c r="K138" i="18"/>
  <c r="J138" i="18"/>
  <c r="L138" i="18"/>
  <c r="N138" i="18"/>
  <c r="P138" i="18"/>
  <c r="Q138" i="18"/>
  <c r="R138" i="18"/>
  <c r="S138" i="18"/>
  <c r="K171" i="18"/>
  <c r="L171" i="18"/>
  <c r="M171" i="18"/>
  <c r="N171" i="18"/>
  <c r="O171" i="18"/>
  <c r="P171" i="18"/>
  <c r="Q171" i="18"/>
  <c r="R171" i="18"/>
  <c r="S171" i="18"/>
  <c r="K170" i="18"/>
  <c r="L170" i="18"/>
  <c r="M170" i="18"/>
  <c r="N170" i="18"/>
  <c r="O170" i="18"/>
  <c r="P170" i="18"/>
  <c r="Q170" i="18"/>
  <c r="R170" i="18"/>
  <c r="S170" i="18"/>
  <c r="H279" i="18"/>
  <c r="H280" i="18" s="1"/>
  <c r="AJ77" i="18"/>
  <c r="K77" i="18"/>
  <c r="L77" i="18"/>
  <c r="M77" i="18"/>
  <c r="N77" i="18"/>
  <c r="O77" i="18"/>
  <c r="P77" i="18"/>
  <c r="Q77" i="18"/>
  <c r="R77" i="18"/>
  <c r="S77" i="18"/>
  <c r="J77" i="18"/>
  <c r="I270" i="18"/>
  <c r="D269" i="18"/>
  <c r="I268" i="18"/>
  <c r="J268" i="18" s="1"/>
  <c r="K268" i="18" s="1"/>
  <c r="K269" i="18" s="1"/>
  <c r="I266" i="18"/>
  <c r="I260" i="18"/>
  <c r="I259" i="18"/>
  <c r="J259" i="18" s="1"/>
  <c r="K259" i="18" s="1"/>
  <c r="H276" i="18" l="1"/>
  <c r="N276" i="18" s="1"/>
  <c r="G276" i="18"/>
  <c r="H275" i="18"/>
  <c r="N275" i="18" s="1"/>
  <c r="N278" i="18" s="1"/>
  <c r="G275" i="18"/>
  <c r="F75" i="20"/>
  <c r="G75" i="20" s="1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B55" i="18"/>
  <c r="D271" i="18"/>
  <c r="J260" i="18"/>
  <c r="K260" i="18" s="1"/>
  <c r="J270" i="18"/>
  <c r="K270" i="18" s="1"/>
  <c r="K271" i="18" s="1"/>
  <c r="K113" i="18"/>
  <c r="L113" i="18"/>
  <c r="M113" i="18"/>
  <c r="N113" i="18"/>
  <c r="O113" i="18"/>
  <c r="P113" i="18"/>
  <c r="Q113" i="18"/>
  <c r="R113" i="18"/>
  <c r="S113" i="18"/>
  <c r="J113" i="18"/>
  <c r="J171" i="18"/>
  <c r="J170" i="18"/>
  <c r="AJ14" i="18"/>
  <c r="X14" i="18"/>
  <c r="Y14" i="18" s="1"/>
  <c r="P260" i="18"/>
  <c r="P263" i="18" s="1"/>
  <c r="P259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R120" i="18"/>
  <c r="R126" i="18" s="1"/>
  <c r="S120" i="18"/>
  <c r="S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R117" i="18"/>
  <c r="R123" i="18" s="1"/>
  <c r="S117" i="18"/>
  <c r="S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R118" i="18"/>
  <c r="R124" i="18" s="1"/>
  <c r="S118" i="18"/>
  <c r="S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R166" i="18"/>
  <c r="R167" i="18" s="1"/>
  <c r="S166" i="18"/>
  <c r="S167" i="18" s="1"/>
  <c r="J166" i="18"/>
  <c r="J167" i="18" s="1"/>
  <c r="N279" i="18" l="1"/>
  <c r="H278" i="18"/>
  <c r="H281" i="18"/>
  <c r="G281" i="18"/>
  <c r="G278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C55" i="18"/>
  <c r="Z14" i="18"/>
  <c r="AA14" i="18" s="1"/>
  <c r="AB14" i="18" s="1"/>
  <c r="AC14" i="18" s="1"/>
  <c r="AD14" i="18" s="1"/>
  <c r="AE14" i="18" s="1"/>
  <c r="AF14" i="18" s="1"/>
  <c r="AG14" i="18" s="1"/>
  <c r="AH14" i="18" s="1"/>
  <c r="J261" i="18"/>
  <c r="K261" i="18" s="1"/>
  <c r="S112" i="18"/>
  <c r="S111" i="18"/>
  <c r="K112" i="18"/>
  <c r="L112" i="18"/>
  <c r="M112" i="18"/>
  <c r="N112" i="18"/>
  <c r="O112" i="18"/>
  <c r="P112" i="18"/>
  <c r="Q112" i="18"/>
  <c r="R112" i="18"/>
  <c r="J112" i="18"/>
  <c r="J111" i="18"/>
  <c r="K164" i="18"/>
  <c r="L164" i="18"/>
  <c r="M164" i="18"/>
  <c r="N164" i="18"/>
  <c r="O164" i="18"/>
  <c r="P164" i="18"/>
  <c r="Q164" i="18"/>
  <c r="R164" i="18"/>
  <c r="S164" i="18"/>
  <c r="J164" i="18"/>
  <c r="K163" i="18"/>
  <c r="L163" i="18"/>
  <c r="M163" i="18"/>
  <c r="N163" i="18"/>
  <c r="O163" i="18"/>
  <c r="P163" i="18"/>
  <c r="Q163" i="18"/>
  <c r="R163" i="18"/>
  <c r="S163" i="18"/>
  <c r="J163" i="18"/>
  <c r="K160" i="18"/>
  <c r="L160" i="18"/>
  <c r="M160" i="18"/>
  <c r="N160" i="18"/>
  <c r="O160" i="18"/>
  <c r="P160" i="18"/>
  <c r="Q160" i="18"/>
  <c r="R160" i="18"/>
  <c r="S160" i="18"/>
  <c r="J160" i="18"/>
  <c r="K161" i="18"/>
  <c r="L161" i="18"/>
  <c r="M161" i="18"/>
  <c r="N161" i="18"/>
  <c r="O161" i="18"/>
  <c r="P161" i="18"/>
  <c r="Q161" i="18"/>
  <c r="R161" i="18"/>
  <c r="S161" i="18"/>
  <c r="J161" i="18"/>
  <c r="K159" i="18"/>
  <c r="L159" i="18"/>
  <c r="M159" i="18"/>
  <c r="N159" i="18"/>
  <c r="O159" i="18"/>
  <c r="P159" i="18"/>
  <c r="Q159" i="18"/>
  <c r="R159" i="18"/>
  <c r="S159" i="18"/>
  <c r="J159" i="18"/>
  <c r="K158" i="18"/>
  <c r="L158" i="18"/>
  <c r="M158" i="18"/>
  <c r="N158" i="18"/>
  <c r="O158" i="18"/>
  <c r="P158" i="18"/>
  <c r="Q158" i="18"/>
  <c r="R158" i="18"/>
  <c r="S158" i="18"/>
  <c r="J158" i="18"/>
  <c r="K155" i="18"/>
  <c r="L155" i="18"/>
  <c r="M155" i="18"/>
  <c r="N155" i="18"/>
  <c r="O155" i="18"/>
  <c r="P155" i="18"/>
  <c r="Q155" i="18"/>
  <c r="R155" i="18"/>
  <c r="S155" i="18"/>
  <c r="J155" i="18"/>
  <c r="K154" i="18"/>
  <c r="L154" i="18"/>
  <c r="M154" i="18"/>
  <c r="N154" i="18"/>
  <c r="O154" i="18"/>
  <c r="P154" i="18"/>
  <c r="Q154" i="18"/>
  <c r="R154" i="18"/>
  <c r="S154" i="18"/>
  <c r="J154" i="18"/>
  <c r="K153" i="18"/>
  <c r="L153" i="18"/>
  <c r="M153" i="18"/>
  <c r="N153" i="18"/>
  <c r="O153" i="18"/>
  <c r="P153" i="18"/>
  <c r="Q153" i="18"/>
  <c r="R153" i="18"/>
  <c r="S153" i="18"/>
  <c r="J153" i="18"/>
  <c r="B155" i="18"/>
  <c r="B154" i="18"/>
  <c r="AJ32" i="18"/>
  <c r="X32" i="18"/>
  <c r="Y32" i="18" s="1"/>
  <c r="J141" i="18"/>
  <c r="K141" i="18"/>
  <c r="L141" i="18"/>
  <c r="M141" i="18"/>
  <c r="N141" i="18"/>
  <c r="O141" i="18"/>
  <c r="P141" i="18"/>
  <c r="Q141" i="18"/>
  <c r="R141" i="18"/>
  <c r="S141" i="18"/>
  <c r="O263" i="18"/>
  <c r="O261" i="18"/>
  <c r="P261" i="18" s="1"/>
  <c r="P266" i="18" s="1"/>
  <c r="K150" i="18"/>
  <c r="L150" i="18"/>
  <c r="M150" i="18"/>
  <c r="N150" i="18"/>
  <c r="O150" i="18"/>
  <c r="P150" i="18"/>
  <c r="Q150" i="18"/>
  <c r="R150" i="18"/>
  <c r="S150" i="18"/>
  <c r="J150" i="18"/>
  <c r="K149" i="18"/>
  <c r="L149" i="18"/>
  <c r="M149" i="18"/>
  <c r="N149" i="18"/>
  <c r="O149" i="18"/>
  <c r="P149" i="18"/>
  <c r="Q149" i="18"/>
  <c r="R149" i="18"/>
  <c r="S149" i="18"/>
  <c r="J149" i="18"/>
  <c r="AK14" i="18" l="1"/>
  <c r="AI14" i="18"/>
  <c r="F77" i="20"/>
  <c r="G77" i="20"/>
  <c r="C78" i="20" s="1"/>
  <c r="M64" i="20"/>
  <c r="N64" i="20" s="1"/>
  <c r="J262" i="18"/>
  <c r="K262" i="18" s="1"/>
  <c r="J263" i="18" s="1"/>
  <c r="K263" i="18" s="1"/>
  <c r="J264" i="18" s="1"/>
  <c r="K264" i="18" s="1"/>
  <c r="J265" i="18" s="1"/>
  <c r="K265" i="18" s="1"/>
  <c r="J266" i="18" s="1"/>
  <c r="K266" i="18" s="1"/>
  <c r="K267" i="18" s="1"/>
  <c r="AD55" i="18"/>
  <c r="Z32" i="18"/>
  <c r="AA32" i="18" s="1"/>
  <c r="AB32" i="18" s="1"/>
  <c r="AC32" i="18" s="1"/>
  <c r="AD32" i="18" s="1"/>
  <c r="AE32" i="18" s="1"/>
  <c r="AF32" i="18" s="1"/>
  <c r="AG32" i="18" s="1"/>
  <c r="AH32" i="18" s="1"/>
  <c r="O266" i="18"/>
  <c r="X9" i="18"/>
  <c r="Y9" i="18" s="1"/>
  <c r="X10" i="18"/>
  <c r="Y10" i="18" s="1"/>
  <c r="X12" i="18"/>
  <c r="Y12" i="18" s="1"/>
  <c r="X13" i="18"/>
  <c r="Y13" i="18" s="1"/>
  <c r="X15" i="18"/>
  <c r="Y15" i="18" s="1"/>
  <c r="X16" i="18"/>
  <c r="Y16" i="18" s="1"/>
  <c r="X18" i="18"/>
  <c r="Y18" i="18" s="1"/>
  <c r="X20" i="18"/>
  <c r="Y20" i="18" s="1"/>
  <c r="X21" i="18"/>
  <c r="Y21" i="18" s="1"/>
  <c r="X22" i="18"/>
  <c r="Y22" i="18" s="1"/>
  <c r="X23" i="18"/>
  <c r="Y23" i="18" s="1"/>
  <c r="X25" i="18"/>
  <c r="X27" i="18"/>
  <c r="Y27" i="18" s="1"/>
  <c r="X29" i="18"/>
  <c r="Y29" i="18" s="1"/>
  <c r="X31" i="18"/>
  <c r="Y31" i="18" s="1"/>
  <c r="X33" i="18"/>
  <c r="Y33" i="18" s="1"/>
  <c r="X34" i="18"/>
  <c r="Y34" i="18" s="1"/>
  <c r="X53" i="18"/>
  <c r="Y53" i="18" s="1"/>
  <c r="X59" i="18"/>
  <c r="X7" i="18"/>
  <c r="Y7" i="18" s="1"/>
  <c r="X6" i="18"/>
  <c r="Y6" i="18" s="1"/>
  <c r="AJ9" i="18"/>
  <c r="AJ10" i="18"/>
  <c r="AJ12" i="18"/>
  <c r="AJ13" i="18"/>
  <c r="AJ15" i="18"/>
  <c r="AJ16" i="18"/>
  <c r="AJ18" i="18"/>
  <c r="AJ20" i="18"/>
  <c r="AJ21" i="18"/>
  <c r="AJ22" i="18"/>
  <c r="AJ23" i="18"/>
  <c r="AJ25" i="18"/>
  <c r="AJ27" i="18"/>
  <c r="AJ29" i="18"/>
  <c r="AJ31" i="18"/>
  <c r="AJ33" i="18"/>
  <c r="AJ34" i="18"/>
  <c r="AJ53" i="18"/>
  <c r="AJ59" i="18"/>
  <c r="AJ61" i="18"/>
  <c r="AJ63" i="18"/>
  <c r="AJ70" i="18"/>
  <c r="AJ71" i="18"/>
  <c r="AJ76" i="18"/>
  <c r="AJ78" i="18"/>
  <c r="AJ79" i="18"/>
  <c r="AJ80" i="18"/>
  <c r="AJ82" i="18"/>
  <c r="AJ83" i="18"/>
  <c r="AJ84" i="18"/>
  <c r="AJ86" i="18"/>
  <c r="AJ87" i="18"/>
  <c r="AJ88" i="18"/>
  <c r="AJ89" i="18"/>
  <c r="AJ92" i="18"/>
  <c r="AJ94" i="18"/>
  <c r="AJ96" i="18"/>
  <c r="AJ97" i="18"/>
  <c r="AJ98" i="18"/>
  <c r="AJ99" i="18"/>
  <c r="AJ100" i="18"/>
  <c r="AJ102" i="18"/>
  <c r="AJ103" i="18"/>
  <c r="AJ104" i="18"/>
  <c r="AJ7" i="18"/>
  <c r="AJ6" i="18"/>
  <c r="AK32" i="18" l="1"/>
  <c r="AI32" i="18"/>
  <c r="Y25" i="18"/>
  <c r="Y133" i="18" s="1"/>
  <c r="Y59" i="18"/>
  <c r="Y134" i="18" s="1"/>
  <c r="J65" i="20"/>
  <c r="P64" i="20"/>
  <c r="F78" i="20"/>
  <c r="G78" i="20" s="1"/>
  <c r="Y128" i="18"/>
  <c r="AE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R116" i="18"/>
  <c r="R122" i="18" s="1"/>
  <c r="S116" i="18"/>
  <c r="S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R119" i="18"/>
  <c r="R125" i="18" s="1"/>
  <c r="S119" i="18"/>
  <c r="S125" i="18" s="1"/>
  <c r="J119" i="18"/>
  <c r="J125" i="18" s="1"/>
  <c r="J116" i="18"/>
  <c r="J122" i="18" s="1"/>
  <c r="Y72" i="18" l="1"/>
  <c r="Y114" i="18" s="1"/>
  <c r="Y129" i="18"/>
  <c r="Y135" i="18"/>
  <c r="Y136" i="18"/>
  <c r="G81" i="20"/>
  <c r="G82" i="20" s="1"/>
  <c r="C79" i="20"/>
  <c r="M65" i="20"/>
  <c r="N65" i="20"/>
  <c r="J66" i="20" s="1"/>
  <c r="AF55" i="18"/>
  <c r="Z31" i="18"/>
  <c r="Y151" i="18"/>
  <c r="Z29" i="18"/>
  <c r="K140" i="18"/>
  <c r="L140" i="18"/>
  <c r="M140" i="18"/>
  <c r="N140" i="18"/>
  <c r="O140" i="18"/>
  <c r="P140" i="18"/>
  <c r="Q140" i="18"/>
  <c r="R140" i="18"/>
  <c r="S140" i="18"/>
  <c r="J140" i="18"/>
  <c r="K139" i="18"/>
  <c r="L139" i="18"/>
  <c r="M139" i="18"/>
  <c r="N139" i="18"/>
  <c r="O139" i="18"/>
  <c r="P139" i="18"/>
  <c r="Q139" i="18"/>
  <c r="R139" i="18"/>
  <c r="S139" i="18"/>
  <c r="J139" i="18"/>
  <c r="M66" i="20" l="1"/>
  <c r="N66" i="20"/>
  <c r="J67" i="20" s="1"/>
  <c r="F79" i="20"/>
  <c r="G79" i="20"/>
  <c r="AG55" i="18"/>
  <c r="AA31" i="18"/>
  <c r="AA29" i="18"/>
  <c r="M67" i="20" l="1"/>
  <c r="N67" i="20"/>
  <c r="J68" i="20" s="1"/>
  <c r="AH55" i="18"/>
  <c r="AB31" i="18"/>
  <c r="AB29" i="18"/>
  <c r="J215" i="18"/>
  <c r="K215" i="18"/>
  <c r="L215" i="18"/>
  <c r="M215" i="18"/>
  <c r="N215" i="18"/>
  <c r="O215" i="18"/>
  <c r="P215" i="18"/>
  <c r="Q215" i="18"/>
  <c r="R215" i="18"/>
  <c r="S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R92" i="18"/>
  <c r="R143" i="18" s="1"/>
  <c r="R144" i="18" s="1"/>
  <c r="R147" i="18" s="1"/>
  <c r="S92" i="18"/>
  <c r="S143" i="18" s="1"/>
  <c r="AK55" i="18" l="1"/>
  <c r="AI55" i="18"/>
  <c r="M68" i="20"/>
  <c r="N68" i="20" s="1"/>
  <c r="J69" i="20" s="1"/>
  <c r="AC31" i="18"/>
  <c r="Y92" i="18"/>
  <c r="AC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R145" i="18"/>
  <c r="R146" i="18" s="1"/>
  <c r="N145" i="18"/>
  <c r="N146" i="18" s="1"/>
  <c r="J145" i="18"/>
  <c r="J146" i="18" s="1"/>
  <c r="S144" i="18"/>
  <c r="S147" i="18" s="1"/>
  <c r="Z63" i="18"/>
  <c r="M69" i="20" l="1"/>
  <c r="N69" i="20"/>
  <c r="J70" i="20" s="1"/>
  <c r="AD31" i="18"/>
  <c r="AA63" i="18"/>
  <c r="AD29" i="18"/>
  <c r="S145" i="18"/>
  <c r="Z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R102" i="18"/>
  <c r="R168" i="18" s="1"/>
  <c r="J103" i="18"/>
  <c r="K103" i="18"/>
  <c r="L103" i="18"/>
  <c r="M103" i="18"/>
  <c r="N103" i="18"/>
  <c r="O103" i="18"/>
  <c r="P103" i="18"/>
  <c r="Q103" i="18"/>
  <c r="R103" i="18"/>
  <c r="J104" i="18"/>
  <c r="K104" i="18"/>
  <c r="L104" i="18"/>
  <c r="M104" i="18"/>
  <c r="N104" i="18"/>
  <c r="O104" i="18"/>
  <c r="P104" i="18"/>
  <c r="Q104" i="18"/>
  <c r="R104" i="18"/>
  <c r="S104" i="18"/>
  <c r="S103" i="18"/>
  <c r="S102" i="18"/>
  <c r="S168" i="18" s="1"/>
  <c r="K111" i="18"/>
  <c r="L111" i="18"/>
  <c r="M111" i="18"/>
  <c r="N111" i="18"/>
  <c r="O111" i="18"/>
  <c r="P111" i="18"/>
  <c r="Q111" i="18"/>
  <c r="R111" i="18"/>
  <c r="J110" i="18"/>
  <c r="K110" i="18"/>
  <c r="L110" i="18"/>
  <c r="M110" i="18"/>
  <c r="N110" i="18"/>
  <c r="O110" i="18"/>
  <c r="P110" i="18"/>
  <c r="Q110" i="18"/>
  <c r="R110" i="18"/>
  <c r="J109" i="18"/>
  <c r="K109" i="18"/>
  <c r="L109" i="18"/>
  <c r="M109" i="18"/>
  <c r="N109" i="18"/>
  <c r="O109" i="18"/>
  <c r="P109" i="18"/>
  <c r="Q109" i="18"/>
  <c r="R109" i="18"/>
  <c r="S110" i="18"/>
  <c r="M70" i="20" l="1"/>
  <c r="N70" i="20"/>
  <c r="J71" i="20" s="1"/>
  <c r="AE31" i="18"/>
  <c r="AB63" i="18"/>
  <c r="AA92" i="18"/>
  <c r="AE29" i="18"/>
  <c r="S109" i="18"/>
  <c r="K254" i="18"/>
  <c r="L254" i="18"/>
  <c r="M254" i="18"/>
  <c r="N254" i="18"/>
  <c r="O254" i="18"/>
  <c r="P254" i="18"/>
  <c r="Q254" i="18"/>
  <c r="R254" i="18"/>
  <c r="S254" i="18"/>
  <c r="J254" i="18"/>
  <c r="K253" i="18"/>
  <c r="L253" i="18"/>
  <c r="M253" i="18"/>
  <c r="N253" i="18"/>
  <c r="O253" i="18"/>
  <c r="P253" i="18"/>
  <c r="Q253" i="18"/>
  <c r="R253" i="18"/>
  <c r="S253" i="18"/>
  <c r="J253" i="18"/>
  <c r="K252" i="18"/>
  <c r="L252" i="18"/>
  <c r="M252" i="18"/>
  <c r="N252" i="18"/>
  <c r="O252" i="18"/>
  <c r="P252" i="18"/>
  <c r="Q252" i="18"/>
  <c r="R252" i="18"/>
  <c r="S252" i="18"/>
  <c r="J252" i="18"/>
  <c r="K71" i="18"/>
  <c r="L71" i="18"/>
  <c r="M71" i="18"/>
  <c r="N71" i="18"/>
  <c r="O71" i="18"/>
  <c r="P71" i="18"/>
  <c r="Q71" i="18"/>
  <c r="R71" i="18"/>
  <c r="S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R70" i="18"/>
  <c r="R206" i="18" s="1"/>
  <c r="S70" i="18"/>
  <c r="S206" i="18" s="1"/>
  <c r="J70" i="18"/>
  <c r="J206" i="18" s="1"/>
  <c r="Y117" i="18"/>
  <c r="Y123" i="18" s="1"/>
  <c r="J218" i="18" l="1"/>
  <c r="M71" i="20"/>
  <c r="N71" i="20" s="1"/>
  <c r="J72" i="20" s="1"/>
  <c r="AF31" i="18"/>
  <c r="AC63" i="18"/>
  <c r="AB92" i="18"/>
  <c r="AF29" i="18"/>
  <c r="Z53" i="18"/>
  <c r="M72" i="20" l="1"/>
  <c r="N72" i="20" s="1"/>
  <c r="J73" i="20" s="1"/>
  <c r="Z117" i="18"/>
  <c r="Z123" i="18" s="1"/>
  <c r="AG31" i="18"/>
  <c r="AD63" i="18"/>
  <c r="AC92" i="18"/>
  <c r="AG29" i="18"/>
  <c r="AA53" i="18"/>
  <c r="L99" i="18"/>
  <c r="M99" i="18"/>
  <c r="N99" i="18"/>
  <c r="O99" i="18"/>
  <c r="P99" i="18"/>
  <c r="Q99" i="18"/>
  <c r="R99" i="18"/>
  <c r="S99" i="18"/>
  <c r="L100" i="18"/>
  <c r="M100" i="18"/>
  <c r="N100" i="18"/>
  <c r="O100" i="18"/>
  <c r="P100" i="18"/>
  <c r="Q100" i="18"/>
  <c r="R100" i="18"/>
  <c r="S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R94" i="18"/>
  <c r="R96" i="18" s="1"/>
  <c r="S94" i="18"/>
  <c r="S96" i="18" s="1"/>
  <c r="L97" i="18"/>
  <c r="M97" i="18"/>
  <c r="N97" i="18"/>
  <c r="O97" i="18"/>
  <c r="P97" i="18"/>
  <c r="Q97" i="18"/>
  <c r="R97" i="18"/>
  <c r="S97" i="18"/>
  <c r="L98" i="18"/>
  <c r="M98" i="18"/>
  <c r="N98" i="18"/>
  <c r="O98" i="18"/>
  <c r="P98" i="18"/>
  <c r="Q98" i="18"/>
  <c r="R98" i="18"/>
  <c r="S98" i="18"/>
  <c r="J97" i="18"/>
  <c r="J98" i="18"/>
  <c r="J99" i="18"/>
  <c r="J100" i="18"/>
  <c r="K100" i="18"/>
  <c r="K99" i="18"/>
  <c r="Z22" i="18"/>
  <c r="AA22" i="18" s="1"/>
  <c r="AB22" i="18" s="1"/>
  <c r="AC22" i="18" s="1"/>
  <c r="AD22" i="18" s="1"/>
  <c r="AE22" i="18" s="1"/>
  <c r="AF22" i="18" s="1"/>
  <c r="AG22" i="18" s="1"/>
  <c r="AH22" i="18" s="1"/>
  <c r="J94" i="18"/>
  <c r="J96" i="18" s="1"/>
  <c r="K94" i="18"/>
  <c r="K96" i="18" s="1"/>
  <c r="K98" i="18"/>
  <c r="K97" i="18"/>
  <c r="AK22" i="18" l="1"/>
  <c r="AI22" i="18"/>
  <c r="M73" i="20"/>
  <c r="N73" i="20" s="1"/>
  <c r="J74" i="20" s="1"/>
  <c r="AA117" i="18"/>
  <c r="AA123" i="18" s="1"/>
  <c r="AH31" i="18"/>
  <c r="AE63" i="18"/>
  <c r="AD92" i="18"/>
  <c r="Z23" i="18"/>
  <c r="Y120" i="18"/>
  <c r="Y126" i="18" s="1"/>
  <c r="AH29" i="18"/>
  <c r="AB53" i="18"/>
  <c r="Z21" i="18"/>
  <c r="AK31" i="18" l="1"/>
  <c r="AI31" i="18"/>
  <c r="AK29" i="18"/>
  <c r="AI29" i="18"/>
  <c r="M74" i="20"/>
  <c r="N74" i="20" s="1"/>
  <c r="J75" i="20" s="1"/>
  <c r="AB117" i="18"/>
  <c r="AB123" i="18" s="1"/>
  <c r="AE92" i="18"/>
  <c r="AF63" i="18"/>
  <c r="AA23" i="18"/>
  <c r="Z120" i="18"/>
  <c r="Z126" i="18" s="1"/>
  <c r="Z20" i="18"/>
  <c r="Y94" i="18"/>
  <c r="AA21" i="18"/>
  <c r="Z9" i="18"/>
  <c r="AA9" i="18" s="1"/>
  <c r="AB9" i="18" s="1"/>
  <c r="AC9" i="18" s="1"/>
  <c r="AD9" i="18" s="1"/>
  <c r="AE9" i="18" s="1"/>
  <c r="AF9" i="18" s="1"/>
  <c r="AG9" i="18" s="1"/>
  <c r="AH9" i="18" s="1"/>
  <c r="Y113" i="18"/>
  <c r="Z33" i="18"/>
  <c r="AA33" i="18" s="1"/>
  <c r="AB33" i="18" s="1"/>
  <c r="AC33" i="18" s="1"/>
  <c r="AD33" i="18" s="1"/>
  <c r="AE33" i="18" s="1"/>
  <c r="AF33" i="18" s="1"/>
  <c r="AG33" i="18" s="1"/>
  <c r="AH33" i="18" s="1"/>
  <c r="Z34" i="18"/>
  <c r="AA34" i="18" s="1"/>
  <c r="AB34" i="18" s="1"/>
  <c r="AC34" i="18" s="1"/>
  <c r="AD34" i="18" s="1"/>
  <c r="AE34" i="18" s="1"/>
  <c r="AF34" i="18" s="1"/>
  <c r="AG34" i="18" s="1"/>
  <c r="AH34" i="18" s="1"/>
  <c r="AC53" i="18"/>
  <c r="R90" i="18"/>
  <c r="R212" i="18" s="1"/>
  <c r="R89" i="18"/>
  <c r="R87" i="18"/>
  <c r="R86" i="18"/>
  <c r="R84" i="18"/>
  <c r="R213" i="18" s="1"/>
  <c r="R83" i="18"/>
  <c r="R82" i="18"/>
  <c r="R80" i="18"/>
  <c r="R79" i="18"/>
  <c r="R210" i="18" s="1"/>
  <c r="R78" i="18"/>
  <c r="R76" i="18"/>
  <c r="AK9" i="18" l="1"/>
  <c r="AI9" i="18"/>
  <c r="R218" i="18"/>
  <c r="U174" i="18"/>
  <c r="AK34" i="18"/>
  <c r="AI34" i="18"/>
  <c r="AK33" i="18"/>
  <c r="AI33" i="18"/>
  <c r="M75" i="20"/>
  <c r="N75" i="20" s="1"/>
  <c r="J76" i="20" s="1"/>
  <c r="AC117" i="18"/>
  <c r="AC123" i="18" s="1"/>
  <c r="AF92" i="18"/>
  <c r="AG63" i="18"/>
  <c r="Z94" i="18"/>
  <c r="Y160" i="18"/>
  <c r="Y170" i="18"/>
  <c r="Y161" i="18"/>
  <c r="Y171" i="18"/>
  <c r="AB23" i="18"/>
  <c r="AA120" i="18"/>
  <c r="AA126" i="18" s="1"/>
  <c r="Y154" i="18"/>
  <c r="Y155" i="18"/>
  <c r="Y153" i="18"/>
  <c r="Y141" i="18"/>
  <c r="S146" i="18"/>
  <c r="Y116" i="18"/>
  <c r="Y122" i="18" s="1"/>
  <c r="Y150" i="18"/>
  <c r="Y149" i="18"/>
  <c r="Z18" i="18"/>
  <c r="R207" i="18"/>
  <c r="AA20" i="18"/>
  <c r="Z27" i="18"/>
  <c r="AD53" i="18"/>
  <c r="Z25" i="18"/>
  <c r="Z133" i="18" s="1"/>
  <c r="Y109" i="18"/>
  <c r="AB21" i="18"/>
  <c r="R88" i="18"/>
  <c r="R211" i="18" s="1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S84" i="18"/>
  <c r="M76" i="20" l="1"/>
  <c r="N76" i="20" s="1"/>
  <c r="J77" i="20" s="1"/>
  <c r="Z128" i="18"/>
  <c r="Z129" i="18"/>
  <c r="R220" i="18"/>
  <c r="R221" i="18" s="1"/>
  <c r="R219" i="18"/>
  <c r="AD117" i="18"/>
  <c r="AD123" i="18" s="1"/>
  <c r="Z113" i="18"/>
  <c r="Z151" i="18"/>
  <c r="AH63" i="18"/>
  <c r="AG92" i="18"/>
  <c r="Z161" i="18"/>
  <c r="Z171" i="18"/>
  <c r="Z160" i="18"/>
  <c r="Z170" i="18"/>
  <c r="AC23" i="18"/>
  <c r="AB120" i="18"/>
  <c r="AB126" i="18" s="1"/>
  <c r="Z153" i="18"/>
  <c r="Z155" i="18"/>
  <c r="Z154" i="18"/>
  <c r="Z141" i="18"/>
  <c r="Z116" i="18"/>
  <c r="Z122" i="18" s="1"/>
  <c r="Z150" i="18"/>
  <c r="Z149" i="18"/>
  <c r="AA18" i="18"/>
  <c r="AB20" i="18"/>
  <c r="AA94" i="18"/>
  <c r="AA27" i="18"/>
  <c r="AA25" i="18"/>
  <c r="Z109" i="18"/>
  <c r="AE53" i="18"/>
  <c r="AC21" i="18"/>
  <c r="S213" i="18"/>
  <c r="J83" i="18"/>
  <c r="K83" i="18"/>
  <c r="L83" i="18"/>
  <c r="M83" i="18"/>
  <c r="N83" i="18"/>
  <c r="O83" i="18"/>
  <c r="P83" i="18"/>
  <c r="Q83" i="18"/>
  <c r="S83" i="18"/>
  <c r="J82" i="18"/>
  <c r="K82" i="18"/>
  <c r="L82" i="18"/>
  <c r="M82" i="18"/>
  <c r="N82" i="18"/>
  <c r="O82" i="18"/>
  <c r="P82" i="18"/>
  <c r="Q82" i="18"/>
  <c r="S82" i="18"/>
  <c r="AK63" i="18" l="1"/>
  <c r="AI63" i="18"/>
  <c r="M77" i="20"/>
  <c r="N77" i="20" s="1"/>
  <c r="J78" i="20" s="1"/>
  <c r="AA129" i="18"/>
  <c r="AA133" i="18"/>
  <c r="AA151" i="18"/>
  <c r="AA128" i="18"/>
  <c r="AE117" i="18"/>
  <c r="AE123" i="18" s="1"/>
  <c r="AH92" i="18"/>
  <c r="AK92" i="18" s="1"/>
  <c r="AA160" i="18"/>
  <c r="AA170" i="18"/>
  <c r="AA161" i="18"/>
  <c r="AA171" i="18"/>
  <c r="AA113" i="18"/>
  <c r="AD23" i="18"/>
  <c r="AC120" i="18"/>
  <c r="AC126" i="18" s="1"/>
  <c r="AA155" i="18"/>
  <c r="AA154" i="18"/>
  <c r="AA153" i="18"/>
  <c r="AA141" i="18"/>
  <c r="AA116" i="18"/>
  <c r="AA122" i="18" s="1"/>
  <c r="AA150" i="18"/>
  <c r="AA149" i="18"/>
  <c r="AB18" i="18"/>
  <c r="AC20" i="18"/>
  <c r="AB94" i="18"/>
  <c r="AB27" i="18"/>
  <c r="AB25" i="18"/>
  <c r="AB133" i="18" s="1"/>
  <c r="AA109" i="18"/>
  <c r="AF53" i="18"/>
  <c r="AD21" i="18"/>
  <c r="M78" i="20" l="1"/>
  <c r="N78" i="20" s="1"/>
  <c r="AB128" i="18"/>
  <c r="AB129" i="18"/>
  <c r="AF117" i="18"/>
  <c r="AF123" i="18" s="1"/>
  <c r="AB113" i="18"/>
  <c r="AB151" i="18"/>
  <c r="Y192" i="18"/>
  <c r="T241" i="18" s="1"/>
  <c r="Z192" i="18"/>
  <c r="S241" i="18" s="1"/>
  <c r="AI92" i="18"/>
  <c r="AB161" i="18"/>
  <c r="AB171" i="18"/>
  <c r="AB160" i="18"/>
  <c r="AB170" i="18"/>
  <c r="AE23" i="18"/>
  <c r="AD120" i="18"/>
  <c r="AD126" i="18" s="1"/>
  <c r="AB141" i="18"/>
  <c r="AB155" i="18"/>
  <c r="AB154" i="18"/>
  <c r="AB153" i="18"/>
  <c r="AB116" i="18"/>
  <c r="AB122" i="18" s="1"/>
  <c r="AB150" i="18"/>
  <c r="AB149" i="18"/>
  <c r="AC18" i="18"/>
  <c r="AD20" i="18"/>
  <c r="AC94" i="18"/>
  <c r="AC27" i="18"/>
  <c r="AC25" i="18"/>
  <c r="AB109" i="18"/>
  <c r="AG53" i="18"/>
  <c r="AE21" i="18"/>
  <c r="K76" i="18"/>
  <c r="L76" i="18"/>
  <c r="M76" i="18"/>
  <c r="N76" i="18"/>
  <c r="N218" i="18" s="1"/>
  <c r="O76" i="18"/>
  <c r="O218" i="18" s="1"/>
  <c r="P76" i="18"/>
  <c r="P218" i="18" s="1"/>
  <c r="Q76" i="18"/>
  <c r="S76" i="18"/>
  <c r="S218" i="18" s="1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S90" i="18"/>
  <c r="J89" i="18"/>
  <c r="K89" i="18"/>
  <c r="L89" i="18"/>
  <c r="M89" i="18"/>
  <c r="N89" i="18"/>
  <c r="O89" i="18"/>
  <c r="P89" i="18"/>
  <c r="Q89" i="18"/>
  <c r="S89" i="18"/>
  <c r="J87" i="18"/>
  <c r="K87" i="18"/>
  <c r="L87" i="18"/>
  <c r="M87" i="18"/>
  <c r="N87" i="18"/>
  <c r="O87" i="18"/>
  <c r="P87" i="18"/>
  <c r="Q87" i="18"/>
  <c r="S87" i="18"/>
  <c r="J86" i="18"/>
  <c r="K86" i="18"/>
  <c r="L86" i="18"/>
  <c r="M86" i="18"/>
  <c r="N86" i="18"/>
  <c r="O86" i="18"/>
  <c r="P86" i="18"/>
  <c r="Q86" i="18"/>
  <c r="S86" i="18"/>
  <c r="J80" i="18"/>
  <c r="K80" i="18"/>
  <c r="L80" i="18"/>
  <c r="M80" i="18"/>
  <c r="N80" i="18"/>
  <c r="O80" i="18"/>
  <c r="P80" i="18"/>
  <c r="Q80" i="18"/>
  <c r="S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S79" i="18"/>
  <c r="J78" i="18"/>
  <c r="K78" i="18"/>
  <c r="L78" i="18"/>
  <c r="M78" i="18"/>
  <c r="N78" i="18"/>
  <c r="O78" i="18"/>
  <c r="P78" i="18"/>
  <c r="Q78" i="18"/>
  <c r="S78" i="18"/>
  <c r="Y158" i="18"/>
  <c r="Y166" i="18"/>
  <c r="Y167" i="18" s="1"/>
  <c r="Y118" i="18"/>
  <c r="Y124" i="18" s="1"/>
  <c r="M218" i="18" l="1"/>
  <c r="W174" i="18"/>
  <c r="V248" i="18" s="1"/>
  <c r="V247" i="18" s="1"/>
  <c r="Q218" i="18"/>
  <c r="L218" i="18"/>
  <c r="K218" i="18"/>
  <c r="N81" i="20"/>
  <c r="N82" i="20" s="1"/>
  <c r="J79" i="20"/>
  <c r="AC129" i="18"/>
  <c r="AC133" i="18"/>
  <c r="AC151" i="18"/>
  <c r="AC128" i="18"/>
  <c r="Y215" i="18"/>
  <c r="AG117" i="18"/>
  <c r="AG123" i="18" s="1"/>
  <c r="Y138" i="18"/>
  <c r="X192" i="18"/>
  <c r="AC160" i="18"/>
  <c r="AC170" i="18"/>
  <c r="AC113" i="18"/>
  <c r="AC161" i="18"/>
  <c r="AC171" i="18"/>
  <c r="AF23" i="18"/>
  <c r="AE120" i="18"/>
  <c r="AE126" i="18" s="1"/>
  <c r="Y111" i="18"/>
  <c r="Y112" i="18"/>
  <c r="Y164" i="18"/>
  <c r="Y163" i="18"/>
  <c r="Y119" i="18"/>
  <c r="Y125" i="18" s="1"/>
  <c r="Y159" i="18"/>
  <c r="K207" i="18"/>
  <c r="AC141" i="18"/>
  <c r="AC154" i="18"/>
  <c r="AC153" i="18"/>
  <c r="AC155" i="18"/>
  <c r="Y140" i="18"/>
  <c r="AC116" i="18"/>
  <c r="AC122" i="18" s="1"/>
  <c r="AC150" i="18"/>
  <c r="AC149" i="18"/>
  <c r="Y139" i="18"/>
  <c r="AD18" i="18"/>
  <c r="S207" i="18"/>
  <c r="N207" i="18"/>
  <c r="M207" i="18"/>
  <c r="P207" i="18"/>
  <c r="L207" i="18"/>
  <c r="AE20" i="18"/>
  <c r="AD94" i="18"/>
  <c r="K88" i="18"/>
  <c r="K211" i="18" s="1"/>
  <c r="AD27" i="18"/>
  <c r="Z12" i="18"/>
  <c r="Z15" i="18"/>
  <c r="Z158" i="18" s="1"/>
  <c r="Z13" i="18"/>
  <c r="Z10" i="18"/>
  <c r="Z16" i="18"/>
  <c r="Z166" i="18" s="1"/>
  <c r="Z167" i="18" s="1"/>
  <c r="Z6" i="18"/>
  <c r="Z7" i="18"/>
  <c r="AD25" i="18"/>
  <c r="AD133" i="18" s="1"/>
  <c r="AC109" i="18"/>
  <c r="Z59" i="18"/>
  <c r="Z134" i="18" s="1"/>
  <c r="Y110" i="18"/>
  <c r="AH53" i="18"/>
  <c r="O88" i="18"/>
  <c r="O211" i="18" s="1"/>
  <c r="N88" i="18"/>
  <c r="N211" i="18" s="1"/>
  <c r="M88" i="18"/>
  <c r="M211" i="18" s="1"/>
  <c r="AF21" i="18"/>
  <c r="Z205" i="18"/>
  <c r="L88" i="18"/>
  <c r="L211" i="18" s="1"/>
  <c r="J210" i="18"/>
  <c r="J207" i="18"/>
  <c r="J212" i="18"/>
  <c r="J88" i="18"/>
  <c r="Q210" i="18"/>
  <c r="Q207" i="18"/>
  <c r="Q212" i="18"/>
  <c r="S210" i="18"/>
  <c r="O207" i="18"/>
  <c r="Q88" i="18"/>
  <c r="P88" i="18"/>
  <c r="P211" i="18" s="1"/>
  <c r="S212" i="18"/>
  <c r="S88" i="18"/>
  <c r="C6" i="12"/>
  <c r="AK53" i="18" l="1"/>
  <c r="AI53" i="18"/>
  <c r="M79" i="20"/>
  <c r="N79" i="20" s="1"/>
  <c r="J80" i="20" s="1"/>
  <c r="Z136" i="18"/>
  <c r="Z135" i="18"/>
  <c r="AD128" i="18"/>
  <c r="AD129" i="18"/>
  <c r="Z215" i="18"/>
  <c r="Z224" i="18"/>
  <c r="Z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S220" i="18"/>
  <c r="S221" i="18" s="1"/>
  <c r="S219" i="18"/>
  <c r="O220" i="18"/>
  <c r="O221" i="18" s="1"/>
  <c r="O219" i="18"/>
  <c r="AD113" i="18"/>
  <c r="AD151" i="18"/>
  <c r="Z118" i="18"/>
  <c r="Z124" i="18" s="1"/>
  <c r="Z72" i="18"/>
  <c r="Z114" i="18" s="1"/>
  <c r="W249" i="18"/>
  <c r="X249" i="18" s="1"/>
  <c r="Y249" i="18" s="1"/>
  <c r="Z249" i="18" s="1"/>
  <c r="AA249" i="18" s="1"/>
  <c r="AB249" i="18" s="1"/>
  <c r="AC249" i="18" s="1"/>
  <c r="AD249" i="18" s="1"/>
  <c r="AE249" i="18" s="1"/>
  <c r="AF249" i="18" s="1"/>
  <c r="AG249" i="18" s="1"/>
  <c r="AH249" i="18" s="1"/>
  <c r="AI249" i="18" s="1"/>
  <c r="AJ249" i="18" s="1"/>
  <c r="AK249" i="18" s="1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Z138" i="18"/>
  <c r="AD160" i="18"/>
  <c r="AD170" i="18"/>
  <c r="AD161" i="18"/>
  <c r="AD171" i="18"/>
  <c r="AH117" i="18"/>
  <c r="AK117" i="18" s="1"/>
  <c r="AG23" i="18"/>
  <c r="AF120" i="18"/>
  <c r="AF126" i="18" s="1"/>
  <c r="Z164" i="18"/>
  <c r="Z163" i="18"/>
  <c r="Z119" i="18"/>
  <c r="Z125" i="18" s="1"/>
  <c r="Z159" i="18"/>
  <c r="Z112" i="18"/>
  <c r="AD153" i="18"/>
  <c r="AD154" i="18"/>
  <c r="AD155" i="18"/>
  <c r="AD141" i="18"/>
  <c r="AD116" i="18"/>
  <c r="AD122" i="18" s="1"/>
  <c r="AD150" i="18"/>
  <c r="AD149" i="18"/>
  <c r="Z139" i="18"/>
  <c r="Z140" i="18"/>
  <c r="AE18" i="18"/>
  <c r="AF20" i="18"/>
  <c r="AE94" i="18"/>
  <c r="AE27" i="18"/>
  <c r="AA15" i="18"/>
  <c r="AA158" i="18" s="1"/>
  <c r="AA13" i="18"/>
  <c r="AA12" i="18"/>
  <c r="AA16" i="18"/>
  <c r="AA166" i="18" s="1"/>
  <c r="AA167" i="18" s="1"/>
  <c r="AA10" i="18"/>
  <c r="AA7" i="18"/>
  <c r="AA6" i="18"/>
  <c r="AE25" i="18"/>
  <c r="AE133" i="18" s="1"/>
  <c r="AD109" i="18"/>
  <c r="AA59" i="18"/>
  <c r="AA134" i="18" s="1"/>
  <c r="Z111" i="18"/>
  <c r="Z110" i="18"/>
  <c r="AG21" i="18"/>
  <c r="AA205" i="18"/>
  <c r="J211" i="18"/>
  <c r="Q211" i="18"/>
  <c r="S211" i="18"/>
  <c r="M80" i="20" l="1"/>
  <c r="N80" i="20" s="1"/>
  <c r="AA135" i="18"/>
  <c r="AA136" i="18"/>
  <c r="AE128" i="18"/>
  <c r="AE129" i="18"/>
  <c r="Z230" i="18"/>
  <c r="Z231" i="18" s="1"/>
  <c r="Z228" i="18"/>
  <c r="Z225" i="18"/>
  <c r="Z226" i="18" s="1"/>
  <c r="Z223" i="18"/>
  <c r="AA215" i="18"/>
  <c r="AA229" i="18"/>
  <c r="AA224" i="18"/>
  <c r="AE113" i="18"/>
  <c r="AE151" i="18"/>
  <c r="AA118" i="18"/>
  <c r="AA124" i="18" s="1"/>
  <c r="AA72" i="18"/>
  <c r="AA114" i="18" s="1"/>
  <c r="W250" i="18"/>
  <c r="X250" i="18" s="1"/>
  <c r="Y250" i="18" s="1"/>
  <c r="Z250" i="18" s="1"/>
  <c r="AA250" i="18" s="1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I117" i="18"/>
  <c r="AH123" i="18"/>
  <c r="W248" i="18"/>
  <c r="X248" i="18" s="1"/>
  <c r="Y248" i="18" s="1"/>
  <c r="Z248" i="18" s="1"/>
  <c r="AA248" i="18" s="1"/>
  <c r="AB248" i="18" s="1"/>
  <c r="AC248" i="18" s="1"/>
  <c r="AD248" i="18" s="1"/>
  <c r="AE248" i="18" s="1"/>
  <c r="AF248" i="18" s="1"/>
  <c r="AA138" i="18"/>
  <c r="AE160" i="18"/>
  <c r="AE170" i="18"/>
  <c r="AE161" i="18"/>
  <c r="AE171" i="18"/>
  <c r="AH23" i="18"/>
  <c r="AG120" i="18"/>
  <c r="AG126" i="18" s="1"/>
  <c r="AA119" i="18"/>
  <c r="AA125" i="18" s="1"/>
  <c r="AA159" i="18"/>
  <c r="AA164" i="18"/>
  <c r="AA163" i="18"/>
  <c r="AA112" i="18"/>
  <c r="AE155" i="18"/>
  <c r="AE154" i="18"/>
  <c r="AE153" i="18"/>
  <c r="AE141" i="18"/>
  <c r="AE116" i="18"/>
  <c r="AE122" i="18" s="1"/>
  <c r="AE150" i="18"/>
  <c r="AE149" i="18"/>
  <c r="AA139" i="18"/>
  <c r="AA140" i="18"/>
  <c r="AF18" i="18"/>
  <c r="AG20" i="18"/>
  <c r="AF94" i="18"/>
  <c r="AF27" i="18"/>
  <c r="AB13" i="18"/>
  <c r="AB12" i="18"/>
  <c r="AB15" i="18"/>
  <c r="AB158" i="18" s="1"/>
  <c r="AB10" i="18"/>
  <c r="AB16" i="18"/>
  <c r="AB166" i="18" s="1"/>
  <c r="AB167" i="18" s="1"/>
  <c r="AB6" i="18"/>
  <c r="AB7" i="18"/>
  <c r="AB59" i="18"/>
  <c r="AB134" i="18" s="1"/>
  <c r="AA111" i="18"/>
  <c r="AA110" i="18"/>
  <c r="AF25" i="18"/>
  <c r="AF133" i="18" s="1"/>
  <c r="AE109" i="18"/>
  <c r="AH21" i="18"/>
  <c r="AB205" i="18"/>
  <c r="AK23" i="18" l="1"/>
  <c r="AI23" i="18"/>
  <c r="AI123" i="18"/>
  <c r="AK123" i="18"/>
  <c r="AK21" i="18"/>
  <c r="AI21" i="18"/>
  <c r="AB136" i="18"/>
  <c r="AB135" i="18"/>
  <c r="AF128" i="18"/>
  <c r="AF129" i="18"/>
  <c r="AA225" i="18"/>
  <c r="AA226" i="18" s="1"/>
  <c r="AA223" i="18"/>
  <c r="AA230" i="18"/>
  <c r="AA231" i="18" s="1"/>
  <c r="AA228" i="18"/>
  <c r="AB215" i="18"/>
  <c r="AB224" i="18"/>
  <c r="AB229" i="18"/>
  <c r="AF113" i="18"/>
  <c r="AF151" i="18"/>
  <c r="AB118" i="18"/>
  <c r="AB124" i="18" s="1"/>
  <c r="AB72" i="18"/>
  <c r="AB114" i="18" s="1"/>
  <c r="W247" i="18"/>
  <c r="X247" i="18" s="1"/>
  <c r="Y247" i="18" s="1"/>
  <c r="Z247" i="18" s="1"/>
  <c r="AA247" i="18" s="1"/>
  <c r="AB247" i="18" s="1"/>
  <c r="AC247" i="18" s="1"/>
  <c r="AD247" i="18" s="1"/>
  <c r="AE247" i="18" s="1"/>
  <c r="AF247" i="18" s="1"/>
  <c r="AG248" i="18"/>
  <c r="AH248" i="18" s="1"/>
  <c r="AI248" i="18" s="1"/>
  <c r="AJ248" i="18" s="1"/>
  <c r="AK248" i="18" s="1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B138" i="18"/>
  <c r="AF160" i="18"/>
  <c r="AF170" i="18"/>
  <c r="AF161" i="18"/>
  <c r="AF171" i="18"/>
  <c r="AH120" i="18"/>
  <c r="AK120" i="18" s="1"/>
  <c r="AB112" i="18"/>
  <c r="AB163" i="18"/>
  <c r="AB164" i="18"/>
  <c r="AB119" i="18"/>
  <c r="AB125" i="18" s="1"/>
  <c r="AB159" i="18"/>
  <c r="AF155" i="18"/>
  <c r="AF154" i="18"/>
  <c r="AF153" i="18"/>
  <c r="AF141" i="18"/>
  <c r="AF116" i="18"/>
  <c r="AF122" i="18" s="1"/>
  <c r="AF150" i="18"/>
  <c r="AF149" i="18"/>
  <c r="AB140" i="18"/>
  <c r="AB139" i="18"/>
  <c r="AG18" i="18"/>
  <c r="AH20" i="18"/>
  <c r="AG94" i="18"/>
  <c r="AG27" i="18"/>
  <c r="AC12" i="18"/>
  <c r="AC15" i="18"/>
  <c r="AC158" i="18" s="1"/>
  <c r="AC13" i="18"/>
  <c r="AC16" i="18"/>
  <c r="AC166" i="18" s="1"/>
  <c r="AC167" i="18" s="1"/>
  <c r="AC10" i="18"/>
  <c r="AC7" i="18"/>
  <c r="AC6" i="18"/>
  <c r="AG25" i="18"/>
  <c r="AF109" i="18"/>
  <c r="AC59" i="18"/>
  <c r="AC134" i="18" s="1"/>
  <c r="AB110" i="18"/>
  <c r="AB111" i="18"/>
  <c r="AC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K20" i="18" l="1"/>
  <c r="AI20" i="18"/>
  <c r="AG129" i="18"/>
  <c r="AG133" i="18"/>
  <c r="AC136" i="18"/>
  <c r="AC135" i="18"/>
  <c r="AG151" i="18"/>
  <c r="AG128" i="18"/>
  <c r="AB230" i="18"/>
  <c r="AB231" i="18" s="1"/>
  <c r="AB228" i="18"/>
  <c r="AB225" i="18"/>
  <c r="AB226" i="18" s="1"/>
  <c r="AB223" i="18"/>
  <c r="AC215" i="18"/>
  <c r="AC229" i="18"/>
  <c r="AC224" i="18"/>
  <c r="AC118" i="18"/>
  <c r="AC124" i="18" s="1"/>
  <c r="AC72" i="18"/>
  <c r="AC114" i="18" s="1"/>
  <c r="AG247" i="18"/>
  <c r="AH247" i="18" s="1"/>
  <c r="AI247" i="18" s="1"/>
  <c r="AJ247" i="18" s="1"/>
  <c r="AK247" i="18" s="1"/>
  <c r="AL247" i="18" s="1"/>
  <c r="AM247" i="18" s="1"/>
  <c r="AN247" i="18" s="1"/>
  <c r="AO247" i="18" s="1"/>
  <c r="AP247" i="18" s="1"/>
  <c r="AQ247" i="18" s="1"/>
  <c r="AR247" i="18" s="1"/>
  <c r="AS247" i="18" s="1"/>
  <c r="AT247" i="18" s="1"/>
  <c r="AU247" i="18" s="1"/>
  <c r="AV247" i="18" s="1"/>
  <c r="AI120" i="18"/>
  <c r="AH126" i="18"/>
  <c r="AC138" i="18"/>
  <c r="AG160" i="18"/>
  <c r="AG170" i="18"/>
  <c r="AG161" i="18"/>
  <c r="AG171" i="18"/>
  <c r="AG113" i="18"/>
  <c r="AC164" i="18"/>
  <c r="AC163" i="18"/>
  <c r="AC119" i="18"/>
  <c r="AC125" i="18" s="1"/>
  <c r="AC159" i="18"/>
  <c r="AC112" i="18"/>
  <c r="AG154" i="18"/>
  <c r="AG153" i="18"/>
  <c r="AG155" i="18"/>
  <c r="AG141" i="18"/>
  <c r="AG116" i="18"/>
  <c r="AG122" i="18" s="1"/>
  <c r="AG150" i="18"/>
  <c r="AG149" i="18"/>
  <c r="AC140" i="18"/>
  <c r="AC139" i="18"/>
  <c r="AH18" i="18"/>
  <c r="AH94" i="18"/>
  <c r="AK94" i="18" s="1"/>
  <c r="AH27" i="18"/>
  <c r="AD15" i="18"/>
  <c r="AD158" i="18" s="1"/>
  <c r="AD13" i="18"/>
  <c r="AD12" i="18"/>
  <c r="AD10" i="18"/>
  <c r="AD16" i="18"/>
  <c r="AD166" i="18" s="1"/>
  <c r="AD167" i="18" s="1"/>
  <c r="AD6" i="18"/>
  <c r="AD7" i="18"/>
  <c r="AD59" i="18"/>
  <c r="AD134" i="18" s="1"/>
  <c r="AC111" i="18"/>
  <c r="AC110" i="18"/>
  <c r="AH25" i="18"/>
  <c r="AG109" i="18"/>
  <c r="AD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H133" i="18" l="1"/>
  <c r="AK25" i="18"/>
  <c r="AI25" i="18"/>
  <c r="AI126" i="18"/>
  <c r="AK126" i="18"/>
  <c r="AH171" i="18"/>
  <c r="AK27" i="18"/>
  <c r="AI27" i="18"/>
  <c r="AK18" i="18"/>
  <c r="AI18" i="18"/>
  <c r="AD136" i="18"/>
  <c r="AD135" i="18"/>
  <c r="AH128" i="18"/>
  <c r="AH129" i="18"/>
  <c r="AC225" i="18"/>
  <c r="AC226" i="18" s="1"/>
  <c r="AC223" i="18"/>
  <c r="AC230" i="18"/>
  <c r="AC231" i="18" s="1"/>
  <c r="AC228" i="18"/>
  <c r="AD215" i="18"/>
  <c r="AD229" i="18"/>
  <c r="AD224" i="18"/>
  <c r="AH113" i="18"/>
  <c r="AH151" i="18"/>
  <c r="AD118" i="18"/>
  <c r="AD124" i="18" s="1"/>
  <c r="AD72" i="18"/>
  <c r="AD114" i="18" s="1"/>
  <c r="AD138" i="18"/>
  <c r="AH160" i="18"/>
  <c r="AH170" i="18"/>
  <c r="AD119" i="18"/>
  <c r="AD125" i="18" s="1"/>
  <c r="AD159" i="18"/>
  <c r="AD164" i="18"/>
  <c r="AD163" i="18"/>
  <c r="AH161" i="18"/>
  <c r="AD112" i="18"/>
  <c r="AH153" i="18"/>
  <c r="AH155" i="18"/>
  <c r="AH154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H141" i="18"/>
  <c r="AH116" i="18"/>
  <c r="AK116" i="18" s="1"/>
  <c r="AH150" i="18"/>
  <c r="AH149" i="18"/>
  <c r="AD140" i="18"/>
  <c r="AD139" i="18"/>
  <c r="Y194" i="18"/>
  <c r="AI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E12" i="18"/>
  <c r="AE15" i="18"/>
  <c r="AE158" i="18" s="1"/>
  <c r="AE13" i="18"/>
  <c r="AE10" i="18"/>
  <c r="AE16" i="18"/>
  <c r="AE166" i="18" s="1"/>
  <c r="AE167" i="18" s="1"/>
  <c r="AE7" i="18"/>
  <c r="AE6" i="18"/>
  <c r="AH109" i="18"/>
  <c r="AE59" i="18"/>
  <c r="AE134" i="18" s="1"/>
  <c r="AD111" i="18"/>
  <c r="AD110" i="18"/>
  <c r="O31" i="9"/>
  <c r="O32" i="9" s="1"/>
  <c r="AE205" i="18"/>
  <c r="P31" i="11"/>
  <c r="N32" i="11"/>
  <c r="T19" i="9"/>
  <c r="D22" i="9"/>
  <c r="AI150" i="18" l="1"/>
  <c r="AK150" i="18"/>
  <c r="AI109" i="18"/>
  <c r="AK109" i="18"/>
  <c r="AI149" i="18"/>
  <c r="AK149" i="18"/>
  <c r="AI154" i="18"/>
  <c r="AK154" i="18"/>
  <c r="AI153" i="18"/>
  <c r="AK153" i="18"/>
  <c r="AI161" i="18"/>
  <c r="AK161" i="18"/>
  <c r="AI160" i="18"/>
  <c r="AK160" i="18"/>
  <c r="AI151" i="18"/>
  <c r="AK151" i="18"/>
  <c r="AI128" i="18"/>
  <c r="AK128" i="18"/>
  <c r="AI133" i="18"/>
  <c r="AK133" i="18"/>
  <c r="AI141" i="18"/>
  <c r="AK141" i="18"/>
  <c r="AI155" i="18"/>
  <c r="AK155" i="18"/>
  <c r="AI170" i="18"/>
  <c r="AK170" i="18"/>
  <c r="AI113" i="18"/>
  <c r="AK113" i="18"/>
  <c r="AI129" i="18"/>
  <c r="AK129" i="18"/>
  <c r="AI171" i="18"/>
  <c r="AK171" i="18"/>
  <c r="AE135" i="18"/>
  <c r="AE136" i="18"/>
  <c r="AD225" i="18"/>
  <c r="AD226" i="18" s="1"/>
  <c r="AD223" i="18"/>
  <c r="AD230" i="18"/>
  <c r="AD231" i="18" s="1"/>
  <c r="AD228" i="18"/>
  <c r="AE215" i="18"/>
  <c r="AE224" i="18"/>
  <c r="AE229" i="18"/>
  <c r="AE118" i="18"/>
  <c r="AE124" i="18" s="1"/>
  <c r="AE72" i="18"/>
  <c r="AE114" i="18" s="1"/>
  <c r="AI116" i="18"/>
  <c r="AH122" i="18"/>
  <c r="AE138" i="18"/>
  <c r="AE164" i="18"/>
  <c r="AE163" i="18"/>
  <c r="AE119" i="18"/>
  <c r="AE125" i="18" s="1"/>
  <c r="AE159" i="18"/>
  <c r="AE112" i="18"/>
  <c r="AE139" i="18"/>
  <c r="AE140" i="18"/>
  <c r="Z194" i="18"/>
  <c r="X194" i="18" s="1"/>
  <c r="AF13" i="18"/>
  <c r="AF12" i="18"/>
  <c r="AF15" i="18"/>
  <c r="AF158" i="18" s="1"/>
  <c r="AF10" i="18"/>
  <c r="AF16" i="18"/>
  <c r="AF166" i="18" s="1"/>
  <c r="AF167" i="18" s="1"/>
  <c r="AF6" i="18"/>
  <c r="AF7" i="18"/>
  <c r="AF59" i="18"/>
  <c r="AF134" i="18" s="1"/>
  <c r="AE111" i="18"/>
  <c r="AE110" i="18"/>
  <c r="AF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I122" i="18" l="1"/>
  <c r="AK122" i="18"/>
  <c r="AF136" i="18"/>
  <c r="AF135" i="18"/>
  <c r="AE230" i="18"/>
  <c r="AE231" i="18" s="1"/>
  <c r="AE228" i="18"/>
  <c r="AE225" i="18"/>
  <c r="AE226" i="18" s="1"/>
  <c r="AE223" i="18"/>
  <c r="AF215" i="18"/>
  <c r="AF229" i="18"/>
  <c r="AF224" i="18"/>
  <c r="AF118" i="18"/>
  <c r="AF124" i="18" s="1"/>
  <c r="AF72" i="18"/>
  <c r="AF114" i="18" s="1"/>
  <c r="AF138" i="18"/>
  <c r="AF119" i="18"/>
  <c r="AF125" i="18" s="1"/>
  <c r="AF159" i="18"/>
  <c r="AF163" i="18"/>
  <c r="AF164" i="18"/>
  <c r="AF112" i="18"/>
  <c r="AF139" i="18"/>
  <c r="AF140" i="18"/>
  <c r="AG12" i="18"/>
  <c r="AG15" i="18"/>
  <c r="AG158" i="18" s="1"/>
  <c r="AG13" i="18"/>
  <c r="AG10" i="18"/>
  <c r="AG16" i="18"/>
  <c r="AG166" i="18" s="1"/>
  <c r="AG167" i="18" s="1"/>
  <c r="AG7" i="18"/>
  <c r="AG6" i="18"/>
  <c r="AG59" i="18"/>
  <c r="AG134" i="18" s="1"/>
  <c r="AF110" i="18"/>
  <c r="AF111" i="18"/>
  <c r="AG205" i="18"/>
  <c r="N34" i="11"/>
  <c r="O33" i="11"/>
  <c r="AG136" i="18" l="1"/>
  <c r="AG135" i="18"/>
  <c r="AF225" i="18"/>
  <c r="AF226" i="18" s="1"/>
  <c r="AF223" i="18"/>
  <c r="AF230" i="18"/>
  <c r="AF231" i="18" s="1"/>
  <c r="AF228" i="18"/>
  <c r="AG215" i="18"/>
  <c r="AG229" i="18"/>
  <c r="AG224" i="18"/>
  <c r="AG118" i="18"/>
  <c r="AG124" i="18" s="1"/>
  <c r="AG72" i="18"/>
  <c r="AG114" i="18" s="1"/>
  <c r="AG138" i="18"/>
  <c r="AG112" i="18"/>
  <c r="AG163" i="18"/>
  <c r="AG164" i="18"/>
  <c r="AG119" i="18"/>
  <c r="AG125" i="18" s="1"/>
  <c r="AG159" i="18"/>
  <c r="AG139" i="18"/>
  <c r="AG140" i="18"/>
  <c r="AH15" i="18"/>
  <c r="AH13" i="18"/>
  <c r="AH12" i="18"/>
  <c r="AH10" i="18"/>
  <c r="AH16" i="18"/>
  <c r="AH6" i="18"/>
  <c r="AH7" i="18"/>
  <c r="AH59" i="18"/>
  <c r="AG111" i="18"/>
  <c r="AG110" i="18"/>
  <c r="AH205" i="18"/>
  <c r="N35" i="11"/>
  <c r="O34" i="11"/>
  <c r="AK7" i="18" l="1"/>
  <c r="AI7" i="18"/>
  <c r="AK16" i="18"/>
  <c r="AI16" i="18"/>
  <c r="AH159" i="18"/>
  <c r="AK12" i="18"/>
  <c r="AI12" i="18"/>
  <c r="AK15" i="18"/>
  <c r="AI15" i="18"/>
  <c r="AH134" i="18"/>
  <c r="AK59" i="18"/>
  <c r="AI59" i="18"/>
  <c r="AI6" i="18"/>
  <c r="AK6" i="18"/>
  <c r="AK10" i="18"/>
  <c r="AI10" i="18"/>
  <c r="AK13" i="18"/>
  <c r="AI13" i="18"/>
  <c r="AH136" i="18"/>
  <c r="AH135" i="18"/>
  <c r="AG225" i="18"/>
  <c r="AG226" i="18" s="1"/>
  <c r="AG223" i="18"/>
  <c r="AG230" i="18"/>
  <c r="AG231" i="18" s="1"/>
  <c r="AG228" i="18"/>
  <c r="AH215" i="18"/>
  <c r="AI215" i="18" s="1"/>
  <c r="AK215" i="18" s="1"/>
  <c r="AK230" i="18" s="1"/>
  <c r="AH229" i="18"/>
  <c r="AH228" i="18" s="1"/>
  <c r="AI228" i="18" s="1"/>
  <c r="AH224" i="18"/>
  <c r="AH223" i="18" s="1"/>
  <c r="AI223" i="18" s="1"/>
  <c r="AH118" i="18"/>
  <c r="AH72" i="18"/>
  <c r="AK72" i="18" s="1"/>
  <c r="AH138" i="18"/>
  <c r="AH166" i="18"/>
  <c r="AK166" i="18" s="1"/>
  <c r="AH164" i="18"/>
  <c r="AH163" i="18"/>
  <c r="AH158" i="18"/>
  <c r="AH112" i="18"/>
  <c r="AH119" i="18"/>
  <c r="AK119" i="18" s="1"/>
  <c r="AH139" i="18"/>
  <c r="AH140" i="18"/>
  <c r="Y188" i="18"/>
  <c r="AH111" i="18"/>
  <c r="AH110" i="18"/>
  <c r="AI205" i="18"/>
  <c r="AK205" i="18" s="1"/>
  <c r="N36" i="11"/>
  <c r="O35" i="11"/>
  <c r="AI164" i="18" l="1"/>
  <c r="AK164" i="18"/>
  <c r="AI134" i="18"/>
  <c r="AK134" i="18"/>
  <c r="AI110" i="18"/>
  <c r="AK110" i="18"/>
  <c r="AI139" i="18"/>
  <c r="AK139" i="18"/>
  <c r="AI112" i="18"/>
  <c r="AK112" i="18"/>
  <c r="AI163" i="18"/>
  <c r="AK163" i="18"/>
  <c r="AI136" i="18"/>
  <c r="AK136" i="18"/>
  <c r="AI159" i="18"/>
  <c r="AK159" i="18"/>
  <c r="AI111" i="18"/>
  <c r="AK111" i="18"/>
  <c r="AI140" i="18"/>
  <c r="AK140" i="18"/>
  <c r="AI158" i="18"/>
  <c r="AK158" i="18"/>
  <c r="AI138" i="18"/>
  <c r="AK138" i="18"/>
  <c r="AH124" i="18"/>
  <c r="AK118" i="18"/>
  <c r="AI135" i="18"/>
  <c r="AK135" i="18"/>
  <c r="AH225" i="18"/>
  <c r="AI224" i="18"/>
  <c r="AI229" i="18"/>
  <c r="AH230" i="18"/>
  <c r="AI72" i="18"/>
  <c r="AI118" i="18"/>
  <c r="AH114" i="18"/>
  <c r="AI119" i="18"/>
  <c r="AH125" i="18"/>
  <c r="AI166" i="18"/>
  <c r="AH167" i="18"/>
  <c r="Z188" i="18"/>
  <c r="Z189" i="18" s="1"/>
  <c r="S244" i="18" s="1"/>
  <c r="Y189" i="18"/>
  <c r="T244" i="18" s="1"/>
  <c r="N37" i="11"/>
  <c r="O36" i="11"/>
  <c r="AI167" i="18" l="1"/>
  <c r="AK167" i="18"/>
  <c r="AI125" i="18"/>
  <c r="AK125" i="18"/>
  <c r="AI114" i="18"/>
  <c r="AK114" i="18"/>
  <c r="AI124" i="18"/>
  <c r="AK124" i="18"/>
  <c r="AI225" i="18"/>
  <c r="AH226" i="18"/>
  <c r="AI226" i="18" s="1"/>
  <c r="AH231" i="18"/>
  <c r="AI231" i="18" s="1"/>
  <c r="AI230" i="18"/>
  <c r="X188" i="18"/>
  <c r="X189" i="18"/>
  <c r="N38" i="11"/>
  <c r="O37" i="11"/>
  <c r="P244" i="18" l="1"/>
  <c r="N39" i="11"/>
  <c r="O38" i="11"/>
  <c r="N40" i="11" l="1"/>
  <c r="O39" i="11"/>
  <c r="N41" i="11" l="1"/>
  <c r="O40" i="11"/>
  <c r="N42" i="11" l="1"/>
  <c r="O41" i="11"/>
  <c r="Y216" i="18"/>
  <c r="Y97" i="18"/>
  <c r="Y78" i="18"/>
  <c r="Y83" i="18"/>
  <c r="Y104" i="18"/>
  <c r="Y106" i="18"/>
  <c r="Y99" i="18"/>
  <c r="Y96" i="18"/>
  <c r="Y82" i="18"/>
  <c r="Y77" i="18"/>
  <c r="Y71" i="18"/>
  <c r="Y89" i="18"/>
  <c r="Y103" i="18"/>
  <c r="Y87" i="18"/>
  <c r="Y80" i="18"/>
  <c r="Y98" i="18"/>
  <c r="Y100" i="18"/>
  <c r="Y84" i="18"/>
  <c r="Y213" i="18" s="1"/>
  <c r="Y70" i="18"/>
  <c r="Y206" i="18" s="1"/>
  <c r="Y75" i="18"/>
  <c r="Y209" i="18" s="1"/>
  <c r="Y90" i="18"/>
  <c r="Y212" i="18" s="1"/>
  <c r="Y102" i="18"/>
  <c r="Y168" i="18" s="1"/>
  <c r="Y74" i="18"/>
  <c r="Y208" i="18" s="1"/>
  <c r="Y86" i="18"/>
  <c r="Y143" i="18"/>
  <c r="Y144" i="18" s="1"/>
  <c r="Y76" i="18"/>
  <c r="Y218" i="18" s="1"/>
  <c r="Y79" i="18"/>
  <c r="Z61" i="18"/>
  <c r="Y210" i="18" l="1"/>
  <c r="Y234" i="18" s="1"/>
  <c r="Y88" i="18"/>
  <c r="Y211" i="18" s="1"/>
  <c r="Z80" i="18"/>
  <c r="Z103" i="18"/>
  <c r="Z87" i="18"/>
  <c r="Z99" i="18"/>
  <c r="Z83" i="18"/>
  <c r="Z82" i="18"/>
  <c r="Z216" i="18"/>
  <c r="Z98" i="18"/>
  <c r="Z78" i="18"/>
  <c r="Z102" i="18"/>
  <c r="Z168" i="18" s="1"/>
  <c r="Z90" i="18"/>
  <c r="Z212" i="18" s="1"/>
  <c r="Z74" i="18"/>
  <c r="Z208" i="18" s="1"/>
  <c r="Z143" i="18"/>
  <c r="Z144" i="18" s="1"/>
  <c r="Z96" i="18"/>
  <c r="Z77" i="18"/>
  <c r="Z106" i="18"/>
  <c r="Z89" i="18"/>
  <c r="Z104" i="18"/>
  <c r="Z97" i="18"/>
  <c r="Z100" i="18"/>
  <c r="Z71" i="18"/>
  <c r="Z79" i="18"/>
  <c r="Z210" i="18" s="1"/>
  <c r="Z234" i="18" s="1"/>
  <c r="Z70" i="18"/>
  <c r="Z206" i="18" s="1"/>
  <c r="Z84" i="18"/>
  <c r="Z213" i="18" s="1"/>
  <c r="Z75" i="18"/>
  <c r="Z209" i="18" s="1"/>
  <c r="Z76" i="18"/>
  <c r="Z218" i="18" s="1"/>
  <c r="AA61" i="18"/>
  <c r="Z86" i="18"/>
  <c r="Y145" i="18"/>
  <c r="Y146" i="18" s="1"/>
  <c r="Y147" i="18"/>
  <c r="Y207" i="18"/>
  <c r="Y233" i="18" l="1"/>
  <c r="Y235" i="18"/>
  <c r="Y236" i="18" s="1"/>
  <c r="Z235" i="18"/>
  <c r="Z236" i="18" s="1"/>
  <c r="Z233" i="18"/>
  <c r="Z88" i="18"/>
  <c r="Z211" i="18" s="1"/>
  <c r="Y220" i="18"/>
  <c r="Y221" i="18" s="1"/>
  <c r="Y219" i="18"/>
  <c r="AA97" i="18"/>
  <c r="AA74" i="18"/>
  <c r="AA208" i="18" s="1"/>
  <c r="AA98" i="18"/>
  <c r="AA99" i="18"/>
  <c r="AA103" i="18"/>
  <c r="AA83" i="18"/>
  <c r="AA80" i="18"/>
  <c r="AA106" i="18"/>
  <c r="AA89" i="18"/>
  <c r="AA87" i="18"/>
  <c r="AA70" i="18"/>
  <c r="AA206" i="18" s="1"/>
  <c r="AA79" i="18"/>
  <c r="AA210" i="18" s="1"/>
  <c r="AA234" i="18" s="1"/>
  <c r="AA75" i="18"/>
  <c r="AA209" i="18" s="1"/>
  <c r="AA78" i="18"/>
  <c r="AA77" i="18"/>
  <c r="AA96" i="18"/>
  <c r="AA100" i="18"/>
  <c r="AA71" i="18"/>
  <c r="AA84" i="18"/>
  <c r="AA213" i="18" s="1"/>
  <c r="AA104" i="18"/>
  <c r="AA82" i="18"/>
  <c r="AA216" i="18"/>
  <c r="AA102" i="18"/>
  <c r="AA168" i="18" s="1"/>
  <c r="AA90" i="18"/>
  <c r="AA212" i="18" s="1"/>
  <c r="AA86" i="18"/>
  <c r="AA143" i="18"/>
  <c r="AA144" i="18" s="1"/>
  <c r="AA76" i="18"/>
  <c r="AA218" i="18" s="1"/>
  <c r="AB61" i="18"/>
  <c r="Z207" i="18"/>
  <c r="Z147" i="18"/>
  <c r="Z145" i="18"/>
  <c r="Z146" i="18" s="1"/>
  <c r="AA235" i="18" l="1"/>
  <c r="AA236" i="18" s="1"/>
  <c r="AA233" i="18"/>
  <c r="Z220" i="18"/>
  <c r="Z221" i="18" s="1"/>
  <c r="Z219" i="18"/>
  <c r="AB97" i="18"/>
  <c r="AB216" i="18"/>
  <c r="AB71" i="18"/>
  <c r="AB98" i="18"/>
  <c r="AB83" i="18"/>
  <c r="AB78" i="18"/>
  <c r="AB82" i="18"/>
  <c r="AB96" i="18"/>
  <c r="AB102" i="18"/>
  <c r="AB168" i="18" s="1"/>
  <c r="AB74" i="18"/>
  <c r="AB208" i="18" s="1"/>
  <c r="AB75" i="18"/>
  <c r="AB209" i="18" s="1"/>
  <c r="AB90" i="18"/>
  <c r="AB212" i="18" s="1"/>
  <c r="AB106" i="18"/>
  <c r="AB77" i="18"/>
  <c r="AB100" i="18"/>
  <c r="AB104" i="18"/>
  <c r="AB103" i="18"/>
  <c r="AB80" i="18"/>
  <c r="AB99" i="18"/>
  <c r="AB89" i="18"/>
  <c r="AB87" i="18"/>
  <c r="AB84" i="18"/>
  <c r="AB213" i="18" s="1"/>
  <c r="AB70" i="18"/>
  <c r="AB206" i="18" s="1"/>
  <c r="AB143" i="18"/>
  <c r="AB144" i="18" s="1"/>
  <c r="AB76" i="18"/>
  <c r="AB218" i="18" s="1"/>
  <c r="AB79" i="18"/>
  <c r="AB210" i="18" s="1"/>
  <c r="AB234" i="18" s="1"/>
  <c r="AC61" i="18"/>
  <c r="AB86" i="18"/>
  <c r="AA207" i="18"/>
  <c r="AA145" i="18"/>
  <c r="AA146" i="18" s="1"/>
  <c r="AA147" i="18"/>
  <c r="AA88" i="18"/>
  <c r="AA211" i="18" s="1"/>
  <c r="AB235" i="18" l="1"/>
  <c r="AB236" i="18" s="1"/>
  <c r="AB233" i="18"/>
  <c r="AA220" i="18"/>
  <c r="AA221" i="18" s="1"/>
  <c r="AA219" i="18"/>
  <c r="AB207" i="18"/>
  <c r="AB88" i="18"/>
  <c r="AB211" i="18" s="1"/>
  <c r="AB147" i="18"/>
  <c r="AB145" i="18"/>
  <c r="AB146" i="18" s="1"/>
  <c r="AC77" i="18"/>
  <c r="AC98" i="18"/>
  <c r="AC87" i="18"/>
  <c r="AC97" i="18"/>
  <c r="AC96" i="18"/>
  <c r="AC82" i="18"/>
  <c r="AC71" i="18"/>
  <c r="AC80" i="18"/>
  <c r="AC79" i="18"/>
  <c r="AC210" i="18" s="1"/>
  <c r="AC234" i="18" s="1"/>
  <c r="AC70" i="18"/>
  <c r="AC206" i="18" s="1"/>
  <c r="AC102" i="18"/>
  <c r="AC168" i="18" s="1"/>
  <c r="AC216" i="18"/>
  <c r="AC100" i="18"/>
  <c r="AC78" i="18"/>
  <c r="AC106" i="18"/>
  <c r="AC99" i="18"/>
  <c r="AC83" i="18"/>
  <c r="AC89" i="18"/>
  <c r="AC103" i="18"/>
  <c r="AC104" i="18"/>
  <c r="AC74" i="18"/>
  <c r="AC208" i="18" s="1"/>
  <c r="AC75" i="18"/>
  <c r="AC209" i="18" s="1"/>
  <c r="AC90" i="18"/>
  <c r="AC212" i="18" s="1"/>
  <c r="AC84" i="18"/>
  <c r="AC213" i="18" s="1"/>
  <c r="AC86" i="18"/>
  <c r="AC76" i="18"/>
  <c r="AC218" i="18" s="1"/>
  <c r="AC143" i="18"/>
  <c r="AC144" i="18" s="1"/>
  <c r="AD61" i="18"/>
  <c r="AC235" i="18" l="1"/>
  <c r="AC236" i="18" s="1"/>
  <c r="AC233" i="18"/>
  <c r="AC88" i="18"/>
  <c r="AC211" i="18" s="1"/>
  <c r="AB220" i="18"/>
  <c r="AB221" i="18" s="1"/>
  <c r="AB219" i="18"/>
  <c r="AD77" i="18"/>
  <c r="AD80" i="18"/>
  <c r="AD82" i="18"/>
  <c r="AD71" i="18"/>
  <c r="AD84" i="18"/>
  <c r="AD213" i="18" s="1"/>
  <c r="AD96" i="18"/>
  <c r="AD89" i="18"/>
  <c r="AD97" i="18"/>
  <c r="AD87" i="18"/>
  <c r="AD75" i="18"/>
  <c r="AD209" i="18" s="1"/>
  <c r="AD70" i="18"/>
  <c r="AD206" i="18" s="1"/>
  <c r="AD79" i="18"/>
  <c r="AD210" i="18" s="1"/>
  <c r="AD234" i="18" s="1"/>
  <c r="AD99" i="18"/>
  <c r="AD98" i="18"/>
  <c r="AD78" i="18"/>
  <c r="AD104" i="18"/>
  <c r="AD90" i="18"/>
  <c r="AD212" i="18" s="1"/>
  <c r="AD106" i="18"/>
  <c r="AD216" i="18"/>
  <c r="AD103" i="18"/>
  <c r="AD100" i="18"/>
  <c r="AD83" i="18"/>
  <c r="AD102" i="18"/>
  <c r="AD168" i="18" s="1"/>
  <c r="AD74" i="18"/>
  <c r="AD208" i="18" s="1"/>
  <c r="AE61" i="18"/>
  <c r="AD143" i="18"/>
  <c r="AD144" i="18" s="1"/>
  <c r="AD86" i="18"/>
  <c r="AD76" i="18"/>
  <c r="AD218" i="18" s="1"/>
  <c r="AC145" i="18"/>
  <c r="AC146" i="18" s="1"/>
  <c r="AC147" i="18"/>
  <c r="AC207" i="18"/>
  <c r="AD235" i="18" l="1"/>
  <c r="AD236" i="18" s="1"/>
  <c r="AD233" i="18"/>
  <c r="AC220" i="18"/>
  <c r="AC221" i="18" s="1"/>
  <c r="AC219" i="18"/>
  <c r="AD88" i="18"/>
  <c r="AD211" i="18" s="1"/>
  <c r="AE96" i="18"/>
  <c r="AE83" i="18"/>
  <c r="AE216" i="18"/>
  <c r="AE82" i="18"/>
  <c r="AE84" i="18"/>
  <c r="AE213" i="18" s="1"/>
  <c r="AE99" i="18"/>
  <c r="AE71" i="18"/>
  <c r="AE87" i="18"/>
  <c r="AE104" i="18"/>
  <c r="AE102" i="18"/>
  <c r="AE168" i="18" s="1"/>
  <c r="AE70" i="18"/>
  <c r="AE206" i="18" s="1"/>
  <c r="AE103" i="18"/>
  <c r="AE78" i="18"/>
  <c r="AE80" i="18"/>
  <c r="AE100" i="18"/>
  <c r="AE90" i="18"/>
  <c r="AE212" i="18" s="1"/>
  <c r="AE77" i="18"/>
  <c r="AE106" i="18"/>
  <c r="AE98" i="18"/>
  <c r="AE97" i="18"/>
  <c r="AE89" i="18"/>
  <c r="AE74" i="18"/>
  <c r="AE208" i="18" s="1"/>
  <c r="AE75" i="18"/>
  <c r="AE209" i="18" s="1"/>
  <c r="AE79" i="18"/>
  <c r="AE210" i="18" s="1"/>
  <c r="AE234" i="18" s="1"/>
  <c r="AE143" i="18"/>
  <c r="AE144" i="18" s="1"/>
  <c r="AE76" i="18"/>
  <c r="AE218" i="18" s="1"/>
  <c r="AE86" i="18"/>
  <c r="AF61" i="18"/>
  <c r="AD207" i="18"/>
  <c r="AD145" i="18"/>
  <c r="AD146" i="18" s="1"/>
  <c r="AD147" i="18"/>
  <c r="AE235" i="18" l="1"/>
  <c r="AE236" i="18" s="1"/>
  <c r="AE233" i="18"/>
  <c r="AD220" i="18"/>
  <c r="AD221" i="18" s="1"/>
  <c r="AD219" i="18"/>
  <c r="AE88" i="18"/>
  <c r="AE211" i="18" s="1"/>
  <c r="AE147" i="18"/>
  <c r="AE145" i="18"/>
  <c r="AE146" i="18" s="1"/>
  <c r="AF96" i="18"/>
  <c r="AF98" i="18"/>
  <c r="AF80" i="18"/>
  <c r="AF100" i="18"/>
  <c r="AF70" i="18"/>
  <c r="AF206" i="18" s="1"/>
  <c r="AF78" i="18"/>
  <c r="AF87" i="18"/>
  <c r="AF104" i="18"/>
  <c r="AF99" i="18"/>
  <c r="AF74" i="18"/>
  <c r="AF208" i="18" s="1"/>
  <c r="AF84" i="18"/>
  <c r="AF213" i="18" s="1"/>
  <c r="AF89" i="18"/>
  <c r="AF83" i="18"/>
  <c r="AF216" i="18"/>
  <c r="AF103" i="18"/>
  <c r="AF106" i="18"/>
  <c r="AF97" i="18"/>
  <c r="AF71" i="18"/>
  <c r="AF77" i="18"/>
  <c r="AF82" i="18"/>
  <c r="AF75" i="18"/>
  <c r="AF209" i="18" s="1"/>
  <c r="AF90" i="18"/>
  <c r="AF212" i="18" s="1"/>
  <c r="AF102" i="18"/>
  <c r="AF168" i="18" s="1"/>
  <c r="AF79" i="18"/>
  <c r="AF210" i="18" s="1"/>
  <c r="AF234" i="18" s="1"/>
  <c r="AF143" i="18"/>
  <c r="AF144" i="18" s="1"/>
  <c r="AF86" i="18"/>
  <c r="AF76" i="18"/>
  <c r="AF218" i="18" s="1"/>
  <c r="AG61" i="18"/>
  <c r="AE207" i="18"/>
  <c r="AF235" i="18" l="1"/>
  <c r="AF236" i="18" s="1"/>
  <c r="AF233" i="18"/>
  <c r="AE220" i="18"/>
  <c r="AE221" i="18" s="1"/>
  <c r="AE219" i="18"/>
  <c r="AF207" i="18"/>
  <c r="AF88" i="18"/>
  <c r="AF211" i="18" s="1"/>
  <c r="AF145" i="18"/>
  <c r="AF146" i="18" s="1"/>
  <c r="AF147" i="18"/>
  <c r="AG83" i="18"/>
  <c r="AG96" i="18"/>
  <c r="AG87" i="18"/>
  <c r="AG77" i="18"/>
  <c r="AG102" i="18"/>
  <c r="AG168" i="18" s="1"/>
  <c r="AG104" i="18"/>
  <c r="AG97" i="18"/>
  <c r="AG103" i="18"/>
  <c r="AG80" i="18"/>
  <c r="AG70" i="18"/>
  <c r="AG206" i="18" s="1"/>
  <c r="AG90" i="18"/>
  <c r="AG212" i="18" s="1"/>
  <c r="AG100" i="18"/>
  <c r="AG75" i="18"/>
  <c r="AG209" i="18" s="1"/>
  <c r="AG106" i="18"/>
  <c r="AG98" i="18"/>
  <c r="AG99" i="18"/>
  <c r="AG89" i="18"/>
  <c r="AG82" i="18"/>
  <c r="AG71" i="18"/>
  <c r="AG216" i="18"/>
  <c r="AG78" i="18"/>
  <c r="AG74" i="18"/>
  <c r="AG208" i="18" s="1"/>
  <c r="AG84" i="18"/>
  <c r="AG213" i="18" s="1"/>
  <c r="AG79" i="18"/>
  <c r="AG210" i="18" s="1"/>
  <c r="AG234" i="18" s="1"/>
  <c r="AG143" i="18"/>
  <c r="AG144" i="18" s="1"/>
  <c r="AG76" i="18"/>
  <c r="AG218" i="18" s="1"/>
  <c r="AH61" i="18"/>
  <c r="AG86" i="18"/>
  <c r="AK61" i="18" l="1"/>
  <c r="AI61" i="18"/>
  <c r="AG235" i="18"/>
  <c r="AG236" i="18" s="1"/>
  <c r="AG233" i="18"/>
  <c r="AF220" i="18"/>
  <c r="AF221" i="18" s="1"/>
  <c r="AF219" i="18"/>
  <c r="AG88" i="18"/>
  <c r="AG211" i="18" s="1"/>
  <c r="AG207" i="18"/>
  <c r="AH216" i="18"/>
  <c r="AH103" i="18"/>
  <c r="AK103" i="18" s="1"/>
  <c r="AH104" i="18"/>
  <c r="AK104" i="18" s="1"/>
  <c r="AH71" i="18"/>
  <c r="AK71" i="18" s="1"/>
  <c r="AH77" i="18"/>
  <c r="AK77" i="18" s="1"/>
  <c r="AH106" i="18"/>
  <c r="AH102" i="18"/>
  <c r="AK102" i="18" s="1"/>
  <c r="AH74" i="18"/>
  <c r="AK74" i="18" s="1"/>
  <c r="AH70" i="18"/>
  <c r="AK70" i="18" s="1"/>
  <c r="AH75" i="18"/>
  <c r="AK75" i="18" s="1"/>
  <c r="AH79" i="18"/>
  <c r="AK79" i="18" s="1"/>
  <c r="AH89" i="18"/>
  <c r="AK89" i="18" s="1"/>
  <c r="AH76" i="18"/>
  <c r="AH90" i="18"/>
  <c r="AK90" i="18" s="1"/>
  <c r="AH97" i="18"/>
  <c r="AK97" i="18" s="1"/>
  <c r="AH99" i="18"/>
  <c r="AK99" i="18" s="1"/>
  <c r="AH84" i="18"/>
  <c r="AK84" i="18" s="1"/>
  <c r="AH86" i="18"/>
  <c r="AK86" i="18" s="1"/>
  <c r="AH82" i="18"/>
  <c r="AK82" i="18" s="1"/>
  <c r="AH87" i="18"/>
  <c r="AK87" i="18" s="1"/>
  <c r="AH98" i="18"/>
  <c r="AK98" i="18" s="1"/>
  <c r="AH96" i="18"/>
  <c r="AK96" i="18" s="1"/>
  <c r="AH80" i="18"/>
  <c r="AK80" i="18" s="1"/>
  <c r="AH100" i="18"/>
  <c r="AK100" i="18" s="1"/>
  <c r="AH143" i="18"/>
  <c r="AK143" i="18" s="1"/>
  <c r="AH78" i="18"/>
  <c r="AK78" i="18" s="1"/>
  <c r="AH83" i="18"/>
  <c r="AK83" i="18" s="1"/>
  <c r="AG147" i="18"/>
  <c r="AG145" i="18"/>
  <c r="AG146" i="18" s="1"/>
  <c r="AK106" i="18" l="1"/>
  <c r="AI106" i="18"/>
  <c r="AH218" i="18"/>
  <c r="AK76" i="18"/>
  <c r="Z175" i="18" s="1"/>
  <c r="S246" i="18" s="1"/>
  <c r="AG220" i="18"/>
  <c r="AG221" i="18" s="1"/>
  <c r="AG219" i="18"/>
  <c r="AH144" i="18"/>
  <c r="AK144" i="18" s="1"/>
  <c r="AI143" i="18"/>
  <c r="AI98" i="18"/>
  <c r="Y198" i="18"/>
  <c r="Z198" i="18"/>
  <c r="Z183" i="18"/>
  <c r="S242" i="18" s="1"/>
  <c r="AH213" i="18"/>
  <c r="AI84" i="18"/>
  <c r="Y183" i="18"/>
  <c r="T242" i="18" s="1"/>
  <c r="AI76" i="18"/>
  <c r="Y175" i="18"/>
  <c r="AH207" i="18"/>
  <c r="AH219" i="18" s="1"/>
  <c r="AI219" i="18" s="1"/>
  <c r="AI70" i="18"/>
  <c r="AH206" i="18"/>
  <c r="AI104" i="18"/>
  <c r="Y202" i="18"/>
  <c r="T245" i="18" s="1"/>
  <c r="Z202" i="18"/>
  <c r="S245" i="18" s="1"/>
  <c r="AI100" i="18"/>
  <c r="AI87" i="18"/>
  <c r="Z199" i="18"/>
  <c r="AI99" i="18"/>
  <c r="Y199" i="18"/>
  <c r="AI89" i="18"/>
  <c r="Y185" i="18"/>
  <c r="Z185" i="18"/>
  <c r="AI74" i="18"/>
  <c r="AH208" i="18"/>
  <c r="AI77" i="18"/>
  <c r="AI103" i="18"/>
  <c r="AI83" i="18"/>
  <c r="Z182" i="18"/>
  <c r="Y182" i="18"/>
  <c r="AI80" i="18"/>
  <c r="Y178" i="18"/>
  <c r="Z178" i="18"/>
  <c r="Y181" i="18"/>
  <c r="AI82" i="18"/>
  <c r="Z181" i="18"/>
  <c r="AI97" i="18"/>
  <c r="Y197" i="18"/>
  <c r="Z197" i="18"/>
  <c r="AI79" i="18"/>
  <c r="Z177" i="18"/>
  <c r="AH210" i="18"/>
  <c r="AH234" i="18" s="1"/>
  <c r="Y177" i="18"/>
  <c r="AI102" i="18"/>
  <c r="AH168" i="18"/>
  <c r="AI216" i="18"/>
  <c r="AK216" i="18" s="1"/>
  <c r="AK231" i="18" s="1"/>
  <c r="Y176" i="18"/>
  <c r="T243" i="18" s="1"/>
  <c r="Z176" i="18"/>
  <c r="S243" i="18" s="1"/>
  <c r="AI78" i="18"/>
  <c r="AI96" i="18"/>
  <c r="Y196" i="18"/>
  <c r="Z196" i="18"/>
  <c r="AI86" i="18"/>
  <c r="Z179" i="18"/>
  <c r="Y179" i="18"/>
  <c r="AH88" i="18"/>
  <c r="AK88" i="18" s="1"/>
  <c r="AI90" i="18"/>
  <c r="AH212" i="18"/>
  <c r="Y186" i="18"/>
  <c r="Z186" i="18"/>
  <c r="AI75" i="18"/>
  <c r="AH209" i="18"/>
  <c r="AI71" i="18"/>
  <c r="AI168" i="18" l="1"/>
  <c r="AK168" i="18"/>
  <c r="T246" i="18"/>
  <c r="V234" i="18"/>
  <c r="G234" i="18"/>
  <c r="G235" i="18" s="1"/>
  <c r="G236" i="18" s="1"/>
  <c r="U234" i="18"/>
  <c r="G233" i="18"/>
  <c r="AH235" i="18"/>
  <c r="AH236" i="18" s="1"/>
  <c r="AH233" i="18"/>
  <c r="I234" i="18"/>
  <c r="K234" i="18"/>
  <c r="M234" i="18"/>
  <c r="O234" i="18"/>
  <c r="Q234" i="18"/>
  <c r="S234" i="18"/>
  <c r="H234" i="18"/>
  <c r="J234" i="18"/>
  <c r="L234" i="18"/>
  <c r="N234" i="18"/>
  <c r="P234" i="18"/>
  <c r="R234" i="18"/>
  <c r="T234" i="18"/>
  <c r="X179" i="18"/>
  <c r="Z200" i="18"/>
  <c r="AI218" i="18"/>
  <c r="AK218" i="18" s="1"/>
  <c r="AK233" i="18" s="1"/>
  <c r="X196" i="18"/>
  <c r="X181" i="18"/>
  <c r="X177" i="18"/>
  <c r="X185" i="18"/>
  <c r="AH211" i="18"/>
  <c r="AI88" i="18"/>
  <c r="AI210" i="18"/>
  <c r="AK210" i="18" s="1"/>
  <c r="Y200" i="18"/>
  <c r="X197" i="18"/>
  <c r="X182" i="18"/>
  <c r="X202" i="18"/>
  <c r="X198" i="18"/>
  <c r="AI209" i="18"/>
  <c r="AK209" i="18" s="1"/>
  <c r="X186" i="18"/>
  <c r="X176" i="18"/>
  <c r="X199" i="18"/>
  <c r="AI213" i="18"/>
  <c r="AK213" i="18" s="1"/>
  <c r="AI212" i="18"/>
  <c r="AK212" i="18" s="1"/>
  <c r="AK226" i="18" s="1"/>
  <c r="X178" i="18"/>
  <c r="AH220" i="18"/>
  <c r="AI207" i="18"/>
  <c r="AK207" i="18" s="1"/>
  <c r="AK220" i="18" s="1"/>
  <c r="AK235" i="18" s="1"/>
  <c r="AI208" i="18"/>
  <c r="AK208" i="18" s="1"/>
  <c r="AK221" i="18" s="1"/>
  <c r="AK236" i="18" s="1"/>
  <c r="AI206" i="18"/>
  <c r="AK206" i="18" s="1"/>
  <c r="AK219" i="18" s="1"/>
  <c r="AK234" i="18" s="1"/>
  <c r="X175" i="18"/>
  <c r="S247" i="18" s="1"/>
  <c r="T247" i="18"/>
  <c r="X183" i="18"/>
  <c r="AH147" i="18"/>
  <c r="AI144" i="18"/>
  <c r="AH145" i="18"/>
  <c r="AK145" i="18" s="1"/>
  <c r="V235" i="18" l="1"/>
  <c r="V236" i="18" s="1"/>
  <c r="V233" i="18"/>
  <c r="AI147" i="18"/>
  <c r="AK147" i="18"/>
  <c r="U233" i="18"/>
  <c r="W233" i="18" s="1"/>
  <c r="W234" i="18"/>
  <c r="U235" i="18"/>
  <c r="T235" i="18"/>
  <c r="T233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R233" i="18"/>
  <c r="R235" i="18"/>
  <c r="R236" i="18" s="1"/>
  <c r="N233" i="18"/>
  <c r="N235" i="18"/>
  <c r="N236" i="18" s="1"/>
  <c r="J233" i="18"/>
  <c r="AI233" i="18" s="1"/>
  <c r="J235" i="18"/>
  <c r="AI234" i="18"/>
  <c r="S235" i="18"/>
  <c r="S236" i="18" s="1"/>
  <c r="S233" i="18"/>
  <c r="O235" i="18"/>
  <c r="O236" i="18" s="1"/>
  <c r="O233" i="18"/>
  <c r="K235" i="18"/>
  <c r="K236" i="18" s="1"/>
  <c r="K233" i="18"/>
  <c r="AK224" i="18"/>
  <c r="AK223" i="18"/>
  <c r="AI220" i="18"/>
  <c r="AH221" i="18"/>
  <c r="AI221" i="18" s="1"/>
  <c r="X200" i="18"/>
  <c r="AI145" i="18"/>
  <c r="AH146" i="18"/>
  <c r="P242" i="18"/>
  <c r="P243" i="18"/>
  <c r="P245" i="18"/>
  <c r="AI211" i="18"/>
  <c r="AK211" i="18" s="1"/>
  <c r="AK225" i="18" s="1"/>
  <c r="AI146" i="18" l="1"/>
  <c r="AK146" i="18"/>
  <c r="U236" i="18"/>
  <c r="W236" i="18" s="1"/>
  <c r="W235" i="18"/>
  <c r="J236" i="18"/>
  <c r="AI236" i="18" s="1"/>
  <c r="AI235" i="18"/>
  <c r="T236" i="18"/>
</calcChain>
</file>

<file path=xl/comments1.xml><?xml version="1.0" encoding="utf-8"?>
<comments xmlns="http://schemas.openxmlformats.org/spreadsheetml/2006/main">
  <authors>
    <author>Author</author>
  </authors>
  <commentList>
    <comment ref="B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<sst xmlns="http://schemas.openxmlformats.org/spreadsheetml/2006/main" count="764" uniqueCount="510">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</sst>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9-46A8-BACF-5AAD0FC7F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40960"/>
        <c:axId val="68046848"/>
      </c:lineChart>
      <c:catAx>
        <c:axId val="68040960"/>
        <c:scaling>
          <c:orientation val="minMax"/>
        </c:scaling>
        <c:delete val="0"/>
        <c:axPos val="b"/>
        <c:majorTickMark val="out"/>
        <c:minorTickMark val="none"/>
        <c:tickLblPos val="nextTo"/>
        <c:crossAx val="68046848"/>
        <c:crosses val="autoZero"/>
        <c:auto val="1"/>
        <c:lblAlgn val="ctr"/>
        <c:lblOffset val="100"/>
        <c:noMultiLvlLbl val="0"/>
      </c:catAx>
      <c:valAx>
        <c:axId val="6804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04096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C38" sqref="C38"/>
    </sheetView>
  </sheetViews>
  <sheetFormatPr defaultRowHeight="12.75" x14ac:dyDescent="0.2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 x14ac:dyDescent="0.2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2">
      <c r="B4" s="88"/>
      <c r="C4" s="10"/>
      <c r="D4" s="10"/>
      <c r="E4" s="10"/>
      <c r="F4" s="10"/>
    </row>
    <row r="5" spans="2:6" x14ac:dyDescent="0.2">
      <c r="B5" s="88"/>
      <c r="C5" s="93" t="s">
        <v>105</v>
      </c>
      <c r="D5" s="10"/>
      <c r="E5" s="10"/>
      <c r="F5" s="10"/>
    </row>
    <row r="6" spans="2:6" x14ac:dyDescent="0.2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2">
      <c r="B7" s="88"/>
      <c r="C7" s="10"/>
      <c r="D7" s="10" t="s">
        <v>108</v>
      </c>
      <c r="E7" s="10"/>
      <c r="F7" s="10"/>
    </row>
    <row r="8" spans="2:6" x14ac:dyDescent="0.2">
      <c r="B8" s="88"/>
      <c r="C8" s="10"/>
      <c r="D8" s="10" t="s">
        <v>114</v>
      </c>
      <c r="E8" s="10"/>
      <c r="F8" s="10"/>
    </row>
    <row r="9" spans="2:6" x14ac:dyDescent="0.2">
      <c r="B9" s="88"/>
      <c r="C9" s="10"/>
      <c r="D9" s="10"/>
      <c r="E9" s="10"/>
      <c r="F9" s="10"/>
    </row>
    <row r="10" spans="2:6" x14ac:dyDescent="0.2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2">
      <c r="B11" s="88"/>
      <c r="C11" s="10"/>
      <c r="D11" s="10" t="s">
        <v>110</v>
      </c>
      <c r="E11" s="10"/>
      <c r="F11" s="10"/>
    </row>
    <row r="12" spans="2:6" x14ac:dyDescent="0.2">
      <c r="B12" s="88"/>
      <c r="C12" s="10"/>
      <c r="D12" s="10"/>
      <c r="E12" s="10"/>
      <c r="F12" s="10"/>
    </row>
    <row r="13" spans="2:6" x14ac:dyDescent="0.2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2">
      <c r="B14" s="88"/>
      <c r="C14" s="10"/>
      <c r="D14" s="10" t="s">
        <v>115</v>
      </c>
      <c r="E14" s="10" t="s">
        <v>118</v>
      </c>
      <c r="F14" s="10"/>
    </row>
    <row r="15" spans="2:6" x14ac:dyDescent="0.2">
      <c r="B15" s="88"/>
      <c r="C15" s="10"/>
      <c r="D15" s="10"/>
      <c r="E15" s="10" t="s">
        <v>119</v>
      </c>
      <c r="F15" s="10"/>
    </row>
    <row r="16" spans="2:6" x14ac:dyDescent="0.2">
      <c r="B16" s="88"/>
      <c r="C16" s="10"/>
      <c r="D16" s="10"/>
      <c r="E16" s="10"/>
      <c r="F16" s="10"/>
    </row>
    <row r="17" spans="2:6" x14ac:dyDescent="0.2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2">
      <c r="B18" s="88"/>
      <c r="C18" s="10"/>
      <c r="D18" s="10" t="s">
        <v>122</v>
      </c>
      <c r="E18" s="10"/>
      <c r="F18" s="10"/>
    </row>
    <row r="19" spans="2:6" x14ac:dyDescent="0.2">
      <c r="B19" s="88"/>
      <c r="C19" s="10"/>
      <c r="D19" s="10" t="s">
        <v>123</v>
      </c>
      <c r="E19" s="10"/>
      <c r="F19" s="10"/>
    </row>
    <row r="20" spans="2:6" x14ac:dyDescent="0.2">
      <c r="B20" s="88"/>
      <c r="C20" s="10"/>
      <c r="D20" s="10" t="s">
        <v>124</v>
      </c>
      <c r="E20" s="10"/>
      <c r="F20" s="10"/>
    </row>
    <row r="21" spans="2:6" x14ac:dyDescent="0.2">
      <c r="B21" s="88"/>
      <c r="C21" s="10"/>
      <c r="D21" s="10"/>
      <c r="E21" s="10"/>
      <c r="F21" s="10"/>
    </row>
    <row r="22" spans="2:6" x14ac:dyDescent="0.2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2">
      <c r="B23" s="88"/>
      <c r="C23" s="10"/>
      <c r="D23" s="10" t="s">
        <v>127</v>
      </c>
      <c r="E23" s="10"/>
      <c r="F23" s="10"/>
    </row>
    <row r="24" spans="2:6" ht="25.5" x14ac:dyDescent="0.2">
      <c r="B24" s="88"/>
      <c r="C24" s="10"/>
      <c r="D24" s="10" t="s">
        <v>128</v>
      </c>
      <c r="E24" s="91" t="s">
        <v>129</v>
      </c>
      <c r="F24" s="10"/>
    </row>
    <row r="25" spans="2:6" x14ac:dyDescent="0.2">
      <c r="B25" s="88"/>
      <c r="C25" s="10"/>
      <c r="D25" s="10"/>
      <c r="E25" s="10"/>
      <c r="F25" s="10"/>
    </row>
    <row r="26" spans="2:6" x14ac:dyDescent="0.2">
      <c r="B26" s="88"/>
      <c r="C26" s="10"/>
      <c r="D26" s="10"/>
      <c r="E26" s="10"/>
      <c r="F26" s="10"/>
    </row>
    <row r="27" spans="2:6" x14ac:dyDescent="0.2">
      <c r="B27" s="88"/>
      <c r="C27" s="93" t="s">
        <v>67</v>
      </c>
      <c r="D27" s="10"/>
      <c r="E27" s="10"/>
      <c r="F27" s="10"/>
    </row>
    <row r="28" spans="2:6" x14ac:dyDescent="0.2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2">
      <c r="B29" s="88"/>
      <c r="C29" s="10"/>
      <c r="D29" s="10" t="s">
        <v>71</v>
      </c>
      <c r="E29" s="10" t="s">
        <v>73</v>
      </c>
      <c r="F29" s="10"/>
    </row>
    <row r="30" spans="2:6" x14ac:dyDescent="0.2">
      <c r="B30" s="88"/>
      <c r="C30" s="10"/>
      <c r="D30" s="10"/>
      <c r="E30" s="10"/>
      <c r="F30" s="10"/>
    </row>
    <row r="31" spans="2:6" x14ac:dyDescent="0.2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2">
      <c r="B32" s="88"/>
      <c r="C32" s="10"/>
      <c r="D32" s="10" t="s">
        <v>13</v>
      </c>
      <c r="E32" s="10"/>
      <c r="F32" s="10"/>
    </row>
    <row r="33" spans="2:6" x14ac:dyDescent="0.2">
      <c r="B33" s="88"/>
      <c r="C33" s="10"/>
      <c r="D33" s="10" t="s">
        <v>79</v>
      </c>
      <c r="E33" s="10"/>
      <c r="F33" s="10"/>
    </row>
    <row r="34" spans="2:6" x14ac:dyDescent="0.2">
      <c r="B34" s="88"/>
      <c r="C34" s="10"/>
      <c r="D34" s="10"/>
      <c r="E34" s="10"/>
      <c r="F34" s="10"/>
    </row>
    <row r="35" spans="2:6" x14ac:dyDescent="0.2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2">
      <c r="B36" s="88"/>
      <c r="C36" s="10"/>
      <c r="D36" s="10" t="s">
        <v>81</v>
      </c>
      <c r="E36" s="10"/>
      <c r="F36" s="10"/>
    </row>
    <row r="37" spans="2:6" x14ac:dyDescent="0.2">
      <c r="B37" s="88"/>
      <c r="C37" s="10"/>
      <c r="D37" s="10" t="s">
        <v>82</v>
      </c>
      <c r="E37" s="10"/>
      <c r="F37" s="10"/>
    </row>
    <row r="38" spans="2:6" x14ac:dyDescent="0.2">
      <c r="B38" s="88"/>
      <c r="C38" s="10"/>
      <c r="D38" s="10" t="s">
        <v>83</v>
      </c>
      <c r="E38" s="10"/>
      <c r="F38" s="10"/>
    </row>
    <row r="39" spans="2:6" x14ac:dyDescent="0.2">
      <c r="B39" s="88"/>
      <c r="C39" s="10"/>
      <c r="D39" s="10"/>
      <c r="E39" s="10"/>
      <c r="F39" s="10"/>
    </row>
    <row r="40" spans="2:6" x14ac:dyDescent="0.2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2">
      <c r="B41" s="88"/>
      <c r="C41" s="10"/>
      <c r="D41" s="10" t="s">
        <v>85</v>
      </c>
      <c r="E41" s="10"/>
      <c r="F41" s="10"/>
    </row>
    <row r="42" spans="2:6" x14ac:dyDescent="0.2">
      <c r="B42" s="88"/>
      <c r="C42" s="10"/>
      <c r="D42" s="10" t="s">
        <v>89</v>
      </c>
      <c r="E42" s="10" t="s">
        <v>90</v>
      </c>
      <c r="F42" s="10" t="s">
        <v>87</v>
      </c>
    </row>
    <row r="43" spans="2:6" x14ac:dyDescent="0.2">
      <c r="B43" s="88"/>
      <c r="C43" s="10"/>
      <c r="D43" s="10"/>
      <c r="E43" s="91" t="s">
        <v>104</v>
      </c>
      <c r="F43" s="10"/>
    </row>
    <row r="44" spans="2:6" x14ac:dyDescent="0.2">
      <c r="B44" s="88"/>
      <c r="C44" s="10"/>
      <c r="D44" s="10"/>
      <c r="E44" s="10"/>
      <c r="F44" s="10"/>
    </row>
    <row r="45" spans="2:6" x14ac:dyDescent="0.2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2">
      <c r="B46" s="88"/>
      <c r="C46" s="10" t="s">
        <v>92</v>
      </c>
      <c r="D46" s="10" t="s">
        <v>94</v>
      </c>
      <c r="E46" s="10"/>
      <c r="F46" s="10"/>
    </row>
    <row r="47" spans="2:6" x14ac:dyDescent="0.2">
      <c r="B47" s="88"/>
      <c r="C47" s="10"/>
      <c r="D47" s="10" t="s">
        <v>95</v>
      </c>
      <c r="E47" s="10"/>
      <c r="F47" s="10"/>
    </row>
    <row r="48" spans="2:6" x14ac:dyDescent="0.2">
      <c r="B48" s="88"/>
      <c r="C48" s="10"/>
      <c r="D48" s="10"/>
      <c r="E48" s="10"/>
      <c r="F48" s="10"/>
    </row>
    <row r="49" spans="2:6" x14ac:dyDescent="0.2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2">
      <c r="B50" s="88"/>
      <c r="C50" s="10"/>
      <c r="D50" s="10" t="s">
        <v>100</v>
      </c>
      <c r="E50" s="10"/>
      <c r="F50" s="10"/>
    </row>
    <row r="51" spans="2:6" x14ac:dyDescent="0.2">
      <c r="B51" s="88"/>
      <c r="C51" s="10"/>
      <c r="D51" s="10"/>
      <c r="E51" s="10"/>
      <c r="F51" s="10"/>
    </row>
    <row r="52" spans="2:6" x14ac:dyDescent="0.2">
      <c r="B52" s="88">
        <v>7</v>
      </c>
      <c r="C52" s="10" t="s">
        <v>101</v>
      </c>
      <c r="D52" s="10" t="s">
        <v>103</v>
      </c>
      <c r="E52" s="10"/>
      <c r="F52" s="10"/>
    </row>
    <row r="53" spans="2:6" ht="25.5" x14ac:dyDescent="0.2">
      <c r="B53" s="88"/>
      <c r="C53" s="10"/>
      <c r="D53" s="91" t="s">
        <v>102</v>
      </c>
      <c r="E53" s="10"/>
      <c r="F53" s="10"/>
    </row>
    <row r="54" spans="2:6" x14ac:dyDescent="0.2">
      <c r="B54" s="88"/>
      <c r="C54" s="10"/>
      <c r="D54" s="10"/>
      <c r="E54" s="10"/>
      <c r="F54" s="10"/>
    </row>
    <row r="55" spans="2:6" x14ac:dyDescent="0.2">
      <c r="B55" s="88"/>
      <c r="C55" s="10"/>
      <c r="D55" s="10"/>
      <c r="E55" s="10"/>
      <c r="F55" s="10"/>
    </row>
    <row r="56" spans="2:6" x14ac:dyDescent="0.2">
      <c r="B56" s="88"/>
      <c r="C56" s="93" t="s">
        <v>130</v>
      </c>
      <c r="D56" s="10"/>
      <c r="E56" s="10"/>
      <c r="F56" s="10"/>
    </row>
    <row r="57" spans="2:6" x14ac:dyDescent="0.2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2">
      <c r="B58" s="88"/>
      <c r="C58" s="10"/>
      <c r="D58" s="10" t="s">
        <v>133</v>
      </c>
      <c r="E58" s="10"/>
      <c r="F58" s="10"/>
    </row>
    <row r="59" spans="2:6" x14ac:dyDescent="0.2">
      <c r="B59" s="88"/>
      <c r="C59" s="10"/>
      <c r="D59" s="10" t="s">
        <v>134</v>
      </c>
      <c r="E59" s="10"/>
      <c r="F59" s="10"/>
    </row>
    <row r="60" spans="2:6" x14ac:dyDescent="0.2">
      <c r="B60" s="88"/>
      <c r="C60" s="10"/>
      <c r="D60" s="10"/>
      <c r="E60" s="10"/>
      <c r="F60" s="10"/>
    </row>
    <row r="61" spans="2:6" x14ac:dyDescent="0.2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2">
      <c r="B62" s="88"/>
      <c r="C62" s="10"/>
      <c r="D62" s="10"/>
      <c r="E62" s="10"/>
      <c r="F62" s="10"/>
    </row>
    <row r="63" spans="2:6" x14ac:dyDescent="0.2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2">
      <c r="B64" s="88"/>
      <c r="C64" s="10"/>
      <c r="D64" s="10"/>
      <c r="E64" s="10"/>
      <c r="F64" s="10"/>
    </row>
    <row r="65" spans="2:6" ht="25.5" x14ac:dyDescent="0.2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2">
      <c r="B66" s="88"/>
      <c r="C66" s="10"/>
      <c r="D66" s="10" t="s">
        <v>141</v>
      </c>
      <c r="E66" s="10" t="s">
        <v>147</v>
      </c>
      <c r="F66" s="10"/>
    </row>
    <row r="67" spans="2:6" x14ac:dyDescent="0.2">
      <c r="B67" s="88"/>
      <c r="C67" s="10"/>
      <c r="D67" s="10" t="s">
        <v>142</v>
      </c>
      <c r="E67" s="10"/>
      <c r="F67" s="10"/>
    </row>
    <row r="68" spans="2:6" x14ac:dyDescent="0.2">
      <c r="B68" s="88"/>
      <c r="C68" s="10"/>
      <c r="D68" s="10" t="s">
        <v>143</v>
      </c>
      <c r="E68" s="10"/>
      <c r="F68" s="10"/>
    </row>
    <row r="69" spans="2:6" x14ac:dyDescent="0.2">
      <c r="B69" s="88"/>
      <c r="C69" s="10"/>
      <c r="D69" s="10" t="s">
        <v>144</v>
      </c>
      <c r="E69" s="10"/>
      <c r="F69" s="10"/>
    </row>
    <row r="70" spans="2:6" x14ac:dyDescent="0.2">
      <c r="B70" s="88"/>
      <c r="C70" s="10"/>
      <c r="D70" s="10"/>
      <c r="E70" s="10"/>
      <c r="F70" s="10"/>
    </row>
    <row r="71" spans="2:6" x14ac:dyDescent="0.2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2">
      <c r="B72" s="88"/>
      <c r="C72" s="10"/>
      <c r="D72" s="10" t="s">
        <v>150</v>
      </c>
      <c r="E72" s="10"/>
      <c r="F72" s="10"/>
    </row>
    <row r="73" spans="2:6" x14ac:dyDescent="0.2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2">
      <c r="B74" s="88"/>
      <c r="C74" s="10"/>
      <c r="D74" s="10" t="s">
        <v>154</v>
      </c>
      <c r="E74" s="10"/>
      <c r="F74" s="10"/>
    </row>
    <row r="75" spans="2:6" x14ac:dyDescent="0.2">
      <c r="B75" s="88"/>
      <c r="C75" s="10"/>
      <c r="D75" s="10"/>
      <c r="E75" s="10"/>
      <c r="F75" s="10"/>
    </row>
    <row r="76" spans="2:6" x14ac:dyDescent="0.2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2">
      <c r="B77" s="88"/>
      <c r="C77" s="10"/>
      <c r="D77" s="10" t="s">
        <v>157</v>
      </c>
      <c r="E77" s="10"/>
      <c r="F77" s="10"/>
    </row>
    <row r="78" spans="2:6" x14ac:dyDescent="0.2">
      <c r="B78" s="88"/>
      <c r="C78" s="10"/>
      <c r="D78" s="10"/>
      <c r="E78" s="10"/>
      <c r="F78" s="10"/>
    </row>
    <row r="79" spans="2:6" x14ac:dyDescent="0.2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2">
      <c r="B80" s="88"/>
      <c r="C80" s="10"/>
      <c r="D80" s="10" t="s">
        <v>160</v>
      </c>
      <c r="E80" s="10"/>
      <c r="F80" s="10"/>
    </row>
    <row r="81" spans="2:6" x14ac:dyDescent="0.2">
      <c r="B81" s="88"/>
      <c r="C81" s="10"/>
      <c r="D81" s="10"/>
      <c r="E81" s="10"/>
      <c r="F81" s="10"/>
    </row>
    <row r="82" spans="2:6" x14ac:dyDescent="0.2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2">
      <c r="B83" s="88"/>
      <c r="C83" s="10"/>
      <c r="D83" s="10" t="s">
        <v>163</v>
      </c>
      <c r="E83" s="10" t="s">
        <v>165</v>
      </c>
      <c r="F83" s="10"/>
    </row>
    <row r="84" spans="2:6" x14ac:dyDescent="0.2">
      <c r="B84" s="88"/>
      <c r="C84" s="10"/>
      <c r="D84" s="10"/>
      <c r="E84" s="10"/>
      <c r="F84" s="10"/>
    </row>
    <row r="85" spans="2:6" x14ac:dyDescent="0.2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2">
      <c r="B86" s="88"/>
      <c r="C86" s="10"/>
      <c r="D86" s="10" t="s">
        <v>168</v>
      </c>
      <c r="E86" s="10"/>
      <c r="F86" s="10"/>
    </row>
    <row r="87" spans="2:6" x14ac:dyDescent="0.2">
      <c r="B87" s="88"/>
      <c r="C87" s="10"/>
      <c r="D87" s="10" t="s">
        <v>169</v>
      </c>
      <c r="E87" s="10"/>
      <c r="F87" s="10"/>
    </row>
    <row r="88" spans="2:6" ht="25.5" x14ac:dyDescent="0.2">
      <c r="B88" s="88"/>
      <c r="C88" s="10"/>
      <c r="D88" s="94" t="s">
        <v>189</v>
      </c>
      <c r="E88" s="13" t="s">
        <v>190</v>
      </c>
      <c r="F88" s="10"/>
    </row>
    <row r="89" spans="2:6" x14ac:dyDescent="0.2">
      <c r="B89" s="88"/>
      <c r="C89" s="10"/>
      <c r="D89" s="10" t="s">
        <v>170</v>
      </c>
      <c r="E89" s="10"/>
      <c r="F89" s="10"/>
    </row>
    <row r="90" spans="2:6" x14ac:dyDescent="0.2">
      <c r="B90" s="88"/>
      <c r="C90" s="10"/>
      <c r="D90" s="10"/>
      <c r="E90" s="10"/>
      <c r="F90" s="10"/>
    </row>
    <row r="91" spans="2:6" x14ac:dyDescent="0.2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2">
      <c r="B92" s="88"/>
      <c r="C92" s="10"/>
      <c r="D92" s="10"/>
      <c r="E92" s="10"/>
      <c r="F92" s="10"/>
    </row>
    <row r="93" spans="2:6" x14ac:dyDescent="0.2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2">
      <c r="B94" s="88"/>
      <c r="C94" s="10"/>
      <c r="D94" s="10"/>
      <c r="E94" s="10"/>
      <c r="F94" s="10"/>
    </row>
    <row r="95" spans="2:6" x14ac:dyDescent="0.2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2">
      <c r="B96" s="88"/>
      <c r="C96" s="10"/>
      <c r="D96" s="10" t="s">
        <v>183</v>
      </c>
      <c r="E96" s="10" t="s">
        <v>186</v>
      </c>
      <c r="F96" s="10"/>
    </row>
    <row r="97" spans="2:6" x14ac:dyDescent="0.2">
      <c r="B97" s="88"/>
      <c r="C97" s="10"/>
      <c r="D97" s="10"/>
      <c r="E97" s="10" t="s">
        <v>184</v>
      </c>
      <c r="F97" s="10"/>
    </row>
    <row r="98" spans="2:6" x14ac:dyDescent="0.2">
      <c r="B98" s="88"/>
      <c r="C98" s="10"/>
      <c r="D98" s="10"/>
      <c r="E98" s="10"/>
      <c r="F98" s="10"/>
    </row>
    <row r="99" spans="2:6" x14ac:dyDescent="0.2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2">
      <c r="B100" s="88"/>
      <c r="C100" s="10"/>
      <c r="D100" s="10" t="s">
        <v>177</v>
      </c>
      <c r="E100" s="10"/>
      <c r="F100" s="10"/>
    </row>
    <row r="101" spans="2:6" x14ac:dyDescent="0.2">
      <c r="B101" s="88"/>
      <c r="C101" s="10"/>
      <c r="D101" s="10" t="s">
        <v>178</v>
      </c>
      <c r="E101" s="10"/>
      <c r="F101" s="10"/>
    </row>
    <row r="102" spans="2:6" x14ac:dyDescent="0.2">
      <c r="B102" s="88"/>
      <c r="C102" s="10"/>
      <c r="D102" s="10"/>
      <c r="E102" s="10"/>
      <c r="F102" s="10"/>
    </row>
    <row r="103" spans="2:6" x14ac:dyDescent="0.2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2">
      <c r="B104" s="88"/>
      <c r="C104" s="10"/>
      <c r="D104" s="10" t="s">
        <v>181</v>
      </c>
      <c r="E104" s="10"/>
      <c r="F104" s="10"/>
    </row>
    <row r="105" spans="2:6" x14ac:dyDescent="0.2">
      <c r="B105" s="88"/>
      <c r="C105" s="10"/>
      <c r="D105" s="10"/>
      <c r="E105" s="10"/>
      <c r="F105" s="10"/>
    </row>
    <row r="106" spans="2:6" x14ac:dyDescent="0.2">
      <c r="B106" s="88"/>
      <c r="C106" s="10"/>
      <c r="D106" s="10"/>
      <c r="E106" s="10"/>
      <c r="F106" s="10"/>
    </row>
    <row r="107" spans="2:6" x14ac:dyDescent="0.2">
      <c r="B107" s="88"/>
      <c r="C107" s="10"/>
      <c r="D107" s="10"/>
      <c r="E107" s="10"/>
      <c r="F107" s="10"/>
    </row>
    <row r="108" spans="2:6" x14ac:dyDescent="0.2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25"/>
  <sheetViews>
    <sheetView topLeftCell="G11" zoomScale="80" zoomScaleNormal="80" workbookViewId="0">
      <selection activeCell="L30" sqref="L30"/>
    </sheetView>
  </sheetViews>
  <sheetFormatPr defaultRowHeight="15" x14ac:dyDescent="0.2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 x14ac:dyDescent="0.3"/>
    <row r="3" spans="2:23" x14ac:dyDescent="0.25">
      <c r="B3" s="289" t="s">
        <v>434</v>
      </c>
      <c r="C3" s="289"/>
      <c r="D3" s="289"/>
      <c r="G3" s="289" t="s">
        <v>435</v>
      </c>
      <c r="H3" s="289"/>
      <c r="I3" s="289"/>
      <c r="P3" s="298" t="s">
        <v>436</v>
      </c>
      <c r="Q3" s="299"/>
      <c r="R3" s="299"/>
      <c r="S3" s="300"/>
      <c r="T3" s="298" t="s">
        <v>437</v>
      </c>
      <c r="U3" s="299"/>
      <c r="V3" s="299"/>
      <c r="W3" s="300"/>
    </row>
    <row r="4" spans="2:23" x14ac:dyDescent="0.25">
      <c r="B4" s="181" t="s">
        <v>438</v>
      </c>
      <c r="C4" s="301">
        <v>9500000</v>
      </c>
      <c r="D4" s="301"/>
      <c r="G4" s="181" t="s">
        <v>439</v>
      </c>
      <c r="H4" s="291">
        <v>200000</v>
      </c>
      <c r="I4" s="291"/>
      <c r="K4" s="182" t="s">
        <v>440</v>
      </c>
      <c r="L4" s="182" t="s">
        <v>78</v>
      </c>
      <c r="M4" s="182" t="s">
        <v>390</v>
      </c>
      <c r="N4" s="182" t="s">
        <v>441</v>
      </c>
      <c r="O4" s="182" t="s">
        <v>442</v>
      </c>
      <c r="P4" s="183" t="s">
        <v>443</v>
      </c>
      <c r="Q4" s="184" t="s">
        <v>284</v>
      </c>
      <c r="R4" s="184" t="s">
        <v>442</v>
      </c>
      <c r="S4" s="185" t="s">
        <v>444</v>
      </c>
      <c r="T4" s="183" t="s">
        <v>443</v>
      </c>
      <c r="U4" s="184" t="s">
        <v>284</v>
      </c>
      <c r="V4" s="184" t="s">
        <v>442</v>
      </c>
      <c r="W4" s="185" t="s">
        <v>444</v>
      </c>
    </row>
    <row r="5" spans="2:23" x14ac:dyDescent="0.25">
      <c r="B5" s="181" t="s">
        <v>445</v>
      </c>
      <c r="C5" s="292">
        <v>0.08</v>
      </c>
      <c r="D5" s="293"/>
      <c r="G5" s="181" t="s">
        <v>445</v>
      </c>
      <c r="H5" s="297">
        <v>0.12</v>
      </c>
      <c r="I5" s="297"/>
      <c r="K5" s="181" t="s">
        <v>446</v>
      </c>
      <c r="L5" s="181">
        <v>200</v>
      </c>
      <c r="M5" s="181">
        <v>560</v>
      </c>
      <c r="N5" s="186">
        <f t="shared" ref="N5:N12" si="0">(M5-L5)/L5</f>
        <v>1.8</v>
      </c>
      <c r="O5" s="187">
        <v>1</v>
      </c>
      <c r="P5" s="188">
        <v>17500</v>
      </c>
      <c r="Q5" s="189">
        <f>P5/L5</f>
        <v>87.5</v>
      </c>
      <c r="R5" s="190">
        <v>1</v>
      </c>
      <c r="S5" s="191"/>
      <c r="T5" s="188">
        <v>14000</v>
      </c>
      <c r="U5" s="192">
        <v>50</v>
      </c>
      <c r="V5" s="193">
        <v>1</v>
      </c>
      <c r="W5" s="191"/>
    </row>
    <row r="6" spans="2:23" x14ac:dyDescent="0.25">
      <c r="B6" s="181" t="s">
        <v>447</v>
      </c>
      <c r="C6" s="291">
        <v>30</v>
      </c>
      <c r="D6" s="291"/>
      <c r="G6" s="181" t="s">
        <v>447</v>
      </c>
      <c r="H6" s="291">
        <v>10</v>
      </c>
      <c r="I6" s="291"/>
      <c r="K6" s="181" t="s">
        <v>448</v>
      </c>
      <c r="L6" s="181">
        <v>450</v>
      </c>
      <c r="M6" s="181">
        <v>900</v>
      </c>
      <c r="N6" s="186">
        <f t="shared" si="0"/>
        <v>1</v>
      </c>
      <c r="O6" s="187">
        <v>5</v>
      </c>
      <c r="P6" s="188"/>
      <c r="Q6" s="194"/>
      <c r="R6" s="194"/>
      <c r="S6" s="195"/>
      <c r="T6" s="188">
        <v>18000</v>
      </c>
      <c r="U6" s="196">
        <v>400</v>
      </c>
      <c r="V6" s="196">
        <v>2</v>
      </c>
      <c r="W6" s="195" t="s">
        <v>449</v>
      </c>
    </row>
    <row r="7" spans="2:23" x14ac:dyDescent="0.25">
      <c r="B7" s="181"/>
      <c r="C7" s="290"/>
      <c r="D7" s="290"/>
      <c r="G7" s="181"/>
      <c r="H7" s="290"/>
      <c r="I7" s="290"/>
      <c r="K7" s="181" t="s">
        <v>450</v>
      </c>
      <c r="L7" s="181">
        <v>32</v>
      </c>
      <c r="M7" s="181">
        <v>70</v>
      </c>
      <c r="N7" s="186">
        <f t="shared" si="0"/>
        <v>1.1875</v>
      </c>
      <c r="O7" s="187">
        <v>3</v>
      </c>
      <c r="P7" s="197"/>
      <c r="Q7" s="198"/>
      <c r="R7" s="198"/>
      <c r="S7" s="195"/>
      <c r="T7" s="197"/>
      <c r="U7" s="194"/>
      <c r="V7" s="194"/>
      <c r="W7" s="195"/>
    </row>
    <row r="8" spans="2:23" x14ac:dyDescent="0.25">
      <c r="B8" s="181"/>
      <c r="C8" s="290"/>
      <c r="D8" s="290"/>
      <c r="G8" s="181"/>
      <c r="H8" s="290"/>
      <c r="I8" s="290"/>
      <c r="K8" s="181" t="s">
        <v>451</v>
      </c>
      <c r="L8" s="181">
        <v>260</v>
      </c>
      <c r="M8" s="181">
        <v>400</v>
      </c>
      <c r="N8" s="186">
        <f t="shared" si="0"/>
        <v>0.53846153846153844</v>
      </c>
      <c r="O8" s="187">
        <v>6</v>
      </c>
      <c r="P8" s="197"/>
      <c r="Q8" s="194"/>
      <c r="R8" s="194"/>
      <c r="S8" s="195"/>
      <c r="T8" s="197"/>
      <c r="U8" s="194"/>
      <c r="V8" s="194"/>
      <c r="W8" s="195"/>
    </row>
    <row r="9" spans="2:23" x14ac:dyDescent="0.25">
      <c r="B9" s="199" t="s">
        <v>439</v>
      </c>
      <c r="C9" s="288">
        <f>C4*(1/(1+C5)^C6)</f>
        <v>944084.6592231117</v>
      </c>
      <c r="D9" s="288"/>
      <c r="G9" s="199" t="s">
        <v>452</v>
      </c>
      <c r="H9" s="288">
        <f>H4*((1+H5)^H6)</f>
        <v>621169.64166884217</v>
      </c>
      <c r="I9" s="288"/>
      <c r="K9" s="181" t="s">
        <v>453</v>
      </c>
      <c r="L9" s="181">
        <v>300</v>
      </c>
      <c r="M9" s="181">
        <v>500</v>
      </c>
      <c r="N9" s="186">
        <f t="shared" si="0"/>
        <v>0.66666666666666663</v>
      </c>
      <c r="O9" s="187">
        <v>7</v>
      </c>
      <c r="P9" s="197"/>
      <c r="Q9" s="194"/>
      <c r="R9" s="194"/>
      <c r="S9" s="195"/>
      <c r="T9" s="197"/>
      <c r="U9" s="194"/>
      <c r="V9" s="194"/>
      <c r="W9" s="195"/>
    </row>
    <row r="10" spans="2:23" x14ac:dyDescent="0.25">
      <c r="B10" s="199" t="s">
        <v>454</v>
      </c>
      <c r="C10" s="288">
        <f>C4-C9</f>
        <v>8555915.3407768887</v>
      </c>
      <c r="D10" s="288"/>
      <c r="G10" s="199" t="s">
        <v>454</v>
      </c>
      <c r="H10" s="296">
        <f>H9-H4</f>
        <v>421169.64166884217</v>
      </c>
      <c r="I10" s="296"/>
      <c r="K10" s="181" t="s">
        <v>455</v>
      </c>
      <c r="L10" s="181">
        <v>112</v>
      </c>
      <c r="M10" s="181">
        <v>272</v>
      </c>
      <c r="N10" s="186">
        <f t="shared" si="0"/>
        <v>1.4285714285714286</v>
      </c>
      <c r="O10" s="187">
        <v>2</v>
      </c>
      <c r="P10" s="197">
        <v>7000</v>
      </c>
      <c r="Q10" s="200">
        <f>P10/L10</f>
        <v>62.5</v>
      </c>
      <c r="R10" s="200">
        <v>1</v>
      </c>
      <c r="S10" s="195"/>
      <c r="T10" s="197"/>
      <c r="U10" s="194"/>
      <c r="V10" s="194"/>
      <c r="W10" s="195"/>
    </row>
    <row r="11" spans="2:23" x14ac:dyDescent="0.25">
      <c r="K11" s="181" t="s">
        <v>456</v>
      </c>
      <c r="L11" s="181">
        <v>700</v>
      </c>
      <c r="M11" s="181">
        <v>1500</v>
      </c>
      <c r="N11" s="186">
        <f t="shared" si="0"/>
        <v>1.1428571428571428</v>
      </c>
      <c r="O11" s="187">
        <v>4</v>
      </c>
      <c r="P11" s="201">
        <v>7000</v>
      </c>
      <c r="Q11" s="192">
        <v>200</v>
      </c>
      <c r="R11" s="193">
        <v>2</v>
      </c>
      <c r="S11" s="191"/>
      <c r="T11" s="201"/>
      <c r="U11" s="192"/>
      <c r="V11" s="193"/>
      <c r="W11" s="191"/>
    </row>
    <row r="12" spans="2:23" ht="15.75" thickBot="1" x14ac:dyDescent="0.3">
      <c r="K12" s="181" t="s">
        <v>457</v>
      </c>
      <c r="L12" s="181">
        <v>488</v>
      </c>
      <c r="M12" s="181">
        <v>900</v>
      </c>
      <c r="N12" s="186">
        <f t="shared" si="0"/>
        <v>0.84426229508196726</v>
      </c>
      <c r="O12" s="187"/>
      <c r="P12" s="202"/>
      <c r="Q12" s="203"/>
      <c r="R12" s="203"/>
      <c r="S12" s="204"/>
      <c r="T12" s="202"/>
      <c r="U12" s="203"/>
      <c r="V12" s="203"/>
      <c r="W12" s="204"/>
    </row>
    <row r="13" spans="2:23" x14ac:dyDescent="0.25">
      <c r="K13" s="205" t="s">
        <v>319</v>
      </c>
    </row>
    <row r="14" spans="2:23" x14ac:dyDescent="0.25">
      <c r="B14" s="289" t="s">
        <v>458</v>
      </c>
      <c r="C14" s="289"/>
      <c r="D14" s="289"/>
      <c r="G14" s="289" t="s">
        <v>459</v>
      </c>
      <c r="H14" s="289"/>
      <c r="I14" s="289"/>
      <c r="K14" s="180" t="s">
        <v>282</v>
      </c>
      <c r="L14" s="180" t="s">
        <v>0</v>
      </c>
      <c r="M14" s="180" t="s">
        <v>320</v>
      </c>
      <c r="N14" s="180" t="s">
        <v>321</v>
      </c>
      <c r="O14" s="180" t="s">
        <v>322</v>
      </c>
      <c r="P14" s="180" t="s">
        <v>323</v>
      </c>
      <c r="Q14" s="180" t="s">
        <v>324</v>
      </c>
      <c r="R14" s="180" t="s">
        <v>325</v>
      </c>
    </row>
    <row r="15" spans="2:23" x14ac:dyDescent="0.25">
      <c r="B15" s="181" t="s">
        <v>460</v>
      </c>
      <c r="C15" s="291">
        <v>24000</v>
      </c>
      <c r="D15" s="291"/>
      <c r="G15" s="181" t="s">
        <v>460</v>
      </c>
      <c r="H15" s="291">
        <v>200000</v>
      </c>
      <c r="I15" s="291"/>
      <c r="K15" s="181" t="s">
        <v>283</v>
      </c>
      <c r="L15" s="206">
        <v>50</v>
      </c>
      <c r="M15" s="207" t="s">
        <v>326</v>
      </c>
      <c r="N15" s="208">
        <v>4</v>
      </c>
      <c r="O15" s="208">
        <v>1</v>
      </c>
      <c r="P15" s="181">
        <f>N15/O15</f>
        <v>4</v>
      </c>
      <c r="Q15" s="181">
        <f>P15*L16</f>
        <v>4</v>
      </c>
      <c r="R15" s="209">
        <f>Q15+L16</f>
        <v>5</v>
      </c>
    </row>
    <row r="16" spans="2:23" x14ac:dyDescent="0.25">
      <c r="B16" s="181" t="s">
        <v>445</v>
      </c>
      <c r="C16" s="292">
        <v>0.1</v>
      </c>
      <c r="D16" s="293"/>
      <c r="G16" s="181" t="s">
        <v>445</v>
      </c>
      <c r="H16" s="292">
        <v>0.12</v>
      </c>
      <c r="I16" s="293"/>
      <c r="K16" s="181" t="s">
        <v>284</v>
      </c>
      <c r="L16" s="206">
        <v>1</v>
      </c>
      <c r="M16" s="207" t="s">
        <v>327</v>
      </c>
      <c r="N16" s="208">
        <v>1</v>
      </c>
      <c r="O16" s="208">
        <v>1</v>
      </c>
      <c r="P16" s="181">
        <f>N16/O16</f>
        <v>1</v>
      </c>
      <c r="Q16" s="181">
        <f>P16*R15</f>
        <v>5</v>
      </c>
      <c r="R16" s="181">
        <f>Q16+R15</f>
        <v>10</v>
      </c>
    </row>
    <row r="17" spans="2:18" x14ac:dyDescent="0.25">
      <c r="B17" s="181" t="s">
        <v>447</v>
      </c>
      <c r="C17" s="291">
        <v>20</v>
      </c>
      <c r="D17" s="291"/>
      <c r="G17" s="181" t="s">
        <v>447</v>
      </c>
      <c r="H17" s="291">
        <v>10</v>
      </c>
      <c r="I17" s="291"/>
      <c r="K17" s="181" t="s">
        <v>286</v>
      </c>
      <c r="L17" s="210">
        <f>L15*L16</f>
        <v>50</v>
      </c>
      <c r="M17" s="207" t="s">
        <v>328</v>
      </c>
      <c r="N17" s="208">
        <v>0</v>
      </c>
      <c r="O17" s="208">
        <v>2</v>
      </c>
      <c r="P17" s="181">
        <f>N17/O17</f>
        <v>0</v>
      </c>
      <c r="Q17" s="181">
        <f>P17*R16</f>
        <v>0</v>
      </c>
      <c r="R17" s="181">
        <f>Q17</f>
        <v>0</v>
      </c>
    </row>
    <row r="18" spans="2:18" x14ac:dyDescent="0.25">
      <c r="B18" s="181"/>
      <c r="C18" s="290"/>
      <c r="D18" s="290"/>
      <c r="G18" s="181"/>
      <c r="H18" s="290"/>
      <c r="I18" s="290"/>
      <c r="K18" s="181" t="s">
        <v>287</v>
      </c>
      <c r="L18" s="206">
        <v>95</v>
      </c>
      <c r="M18" s="207"/>
      <c r="N18" s="181"/>
      <c r="O18" s="181"/>
      <c r="P18" s="199" t="s">
        <v>329</v>
      </c>
      <c r="Q18" s="181"/>
      <c r="R18" s="181">
        <f>R17</f>
        <v>0</v>
      </c>
    </row>
    <row r="19" spans="2:18" x14ac:dyDescent="0.25">
      <c r="B19" s="199" t="s">
        <v>461</v>
      </c>
      <c r="C19" s="284">
        <f>( ( 1-  (1/ ( (1+C16)^C17) ) ) / C16)</f>
        <v>8.5135637197585652</v>
      </c>
      <c r="D19" s="285"/>
      <c r="G19" s="199" t="s">
        <v>462</v>
      </c>
      <c r="H19" s="284">
        <f>( ((1+H16)^H17) -1 ) / H16</f>
        <v>17.548735069535095</v>
      </c>
      <c r="I19" s="285"/>
      <c r="K19" s="181" t="s">
        <v>284</v>
      </c>
      <c r="L19" s="206">
        <v>10</v>
      </c>
      <c r="M19" s="207" t="s">
        <v>328</v>
      </c>
      <c r="N19" s="208">
        <v>10</v>
      </c>
      <c r="O19" s="208">
        <v>2</v>
      </c>
      <c r="P19" s="181">
        <f>N19/O19</f>
        <v>5</v>
      </c>
      <c r="Q19" s="209">
        <f>P19*L16</f>
        <v>5</v>
      </c>
      <c r="R19" s="209">
        <f>Q19</f>
        <v>5</v>
      </c>
    </row>
    <row r="20" spans="2:18" x14ac:dyDescent="0.25">
      <c r="B20" s="199" t="s">
        <v>463</v>
      </c>
      <c r="C20" s="294">
        <f>C19 * C15</f>
        <v>204325.52927420556</v>
      </c>
      <c r="D20" s="295"/>
      <c r="G20" s="199" t="s">
        <v>464</v>
      </c>
      <c r="H20" s="284">
        <f>H19 * H15</f>
        <v>3509747.013907019</v>
      </c>
      <c r="I20" s="285"/>
      <c r="K20" s="181" t="s">
        <v>286</v>
      </c>
      <c r="L20" s="210">
        <f>L19*L18</f>
        <v>950</v>
      </c>
      <c r="M20" s="181"/>
      <c r="N20" s="181"/>
      <c r="O20" s="181"/>
      <c r="P20" s="199" t="s">
        <v>329</v>
      </c>
      <c r="Q20" s="181"/>
      <c r="R20" s="181">
        <f>R19</f>
        <v>5</v>
      </c>
    </row>
    <row r="21" spans="2:18" x14ac:dyDescent="0.25">
      <c r="B21" s="199"/>
      <c r="C21" s="286"/>
      <c r="D21" s="287"/>
      <c r="G21" s="199"/>
      <c r="H21" s="286"/>
      <c r="I21" s="287"/>
      <c r="K21" s="181"/>
      <c r="L21" s="210"/>
      <c r="M21" s="207" t="s">
        <v>328</v>
      </c>
      <c r="N21" s="208">
        <v>10</v>
      </c>
      <c r="O21" s="208">
        <v>2</v>
      </c>
      <c r="P21" s="181">
        <f>N21/O21</f>
        <v>5</v>
      </c>
      <c r="Q21" s="181">
        <f>P21*R20</f>
        <v>25</v>
      </c>
      <c r="R21" s="181">
        <f>Q21</f>
        <v>25</v>
      </c>
    </row>
    <row r="22" spans="2:18" x14ac:dyDescent="0.25">
      <c r="B22" s="199"/>
      <c r="C22" s="288"/>
      <c r="D22" s="288"/>
      <c r="G22" s="199"/>
      <c r="H22" s="288"/>
      <c r="I22" s="288"/>
      <c r="K22" s="199" t="s">
        <v>289</v>
      </c>
      <c r="L22" s="211">
        <f>L20/L17</f>
        <v>19</v>
      </c>
      <c r="M22" s="207"/>
      <c r="N22" s="181"/>
      <c r="O22" s="181"/>
      <c r="P22" s="199" t="s">
        <v>329</v>
      </c>
      <c r="Q22" s="181"/>
      <c r="R22" s="181">
        <f>R21</f>
        <v>25</v>
      </c>
    </row>
    <row r="26" spans="2:18" x14ac:dyDescent="0.25">
      <c r="B26" s="289" t="s">
        <v>465</v>
      </c>
      <c r="C26" s="289"/>
      <c r="D26" s="289"/>
      <c r="G26" s="289" t="s">
        <v>466</v>
      </c>
      <c r="H26" s="289"/>
      <c r="I26" s="289"/>
      <c r="K26" s="289" t="s">
        <v>15</v>
      </c>
      <c r="L26" s="289"/>
    </row>
    <row r="27" spans="2:18" x14ac:dyDescent="0.25">
      <c r="B27" s="181" t="s">
        <v>460</v>
      </c>
      <c r="C27" s="291">
        <v>100</v>
      </c>
      <c r="D27" s="291"/>
      <c r="G27" s="181" t="s">
        <v>460</v>
      </c>
      <c r="H27" s="291">
        <v>200000</v>
      </c>
      <c r="I27" s="291"/>
      <c r="K27" s="10" t="s">
        <v>16</v>
      </c>
      <c r="L27" s="11">
        <v>45</v>
      </c>
      <c r="M27" s="271">
        <v>2000000</v>
      </c>
    </row>
    <row r="28" spans="2:18" x14ac:dyDescent="0.25">
      <c r="B28" s="181" t="s">
        <v>445</v>
      </c>
      <c r="C28" s="292">
        <v>0.05</v>
      </c>
      <c r="D28" s="293"/>
      <c r="G28" s="181" t="s">
        <v>445</v>
      </c>
      <c r="H28" s="292">
        <v>0.12</v>
      </c>
      <c r="I28" s="293"/>
      <c r="K28" s="10" t="s">
        <v>17</v>
      </c>
      <c r="L28" s="11">
        <v>240</v>
      </c>
      <c r="M28" s="210">
        <f>L41*M27</f>
        <v>10666666.666666666</v>
      </c>
      <c r="R28">
        <v>416</v>
      </c>
    </row>
    <row r="29" spans="2:18" x14ac:dyDescent="0.25">
      <c r="B29" s="181" t="s">
        <v>447</v>
      </c>
      <c r="C29" s="291">
        <v>3</v>
      </c>
      <c r="D29" s="291"/>
      <c r="G29" s="181" t="s">
        <v>447</v>
      </c>
      <c r="H29" s="291">
        <v>11</v>
      </c>
      <c r="I29" s="291"/>
      <c r="K29" s="10" t="s">
        <v>18</v>
      </c>
      <c r="L29" s="12">
        <v>8</v>
      </c>
      <c r="M29" s="270"/>
    </row>
    <row r="30" spans="2:18" ht="15.75" thickBot="1" x14ac:dyDescent="0.3">
      <c r="B30" s="181"/>
      <c r="C30" s="290"/>
      <c r="D30" s="290"/>
      <c r="G30" s="181"/>
      <c r="H30" s="290"/>
      <c r="I30" s="290"/>
      <c r="K30" s="13" t="s">
        <v>19</v>
      </c>
      <c r="L30" s="3">
        <f>((L28/L27)^(1/L29))-1</f>
        <v>0.23274951685376255</v>
      </c>
      <c r="M30" s="3"/>
    </row>
    <row r="31" spans="2:18" x14ac:dyDescent="0.25">
      <c r="B31" s="199" t="s">
        <v>461</v>
      </c>
      <c r="C31" s="284">
        <f>( ( ( 1-  (1/ ( (1+C28)^C29) ) ) / C28) ) * (1+C28)</f>
        <v>2.859410430839004</v>
      </c>
      <c r="D31" s="285"/>
      <c r="G31" s="199" t="s">
        <v>462</v>
      </c>
      <c r="H31" s="284">
        <f>(( ((1+H28)^H29) -1 ) / H28 ) * ( 1+H28)</f>
        <v>23.133133271224832</v>
      </c>
      <c r="I31" s="285"/>
      <c r="K31" s="13" t="s">
        <v>20</v>
      </c>
      <c r="L31" s="14">
        <f>L29*12</f>
        <v>96</v>
      </c>
      <c r="M31" s="272"/>
      <c r="P31" s="213" t="s">
        <v>467</v>
      </c>
      <c r="Q31" s="214" t="s">
        <v>468</v>
      </c>
    </row>
    <row r="32" spans="2:18" x14ac:dyDescent="0.25">
      <c r="B32" s="199" t="s">
        <v>469</v>
      </c>
      <c r="C32" s="284">
        <f>C31 * C27</f>
        <v>285.94104308390041</v>
      </c>
      <c r="D32" s="285"/>
      <c r="G32" s="199" t="s">
        <v>470</v>
      </c>
      <c r="H32" s="284">
        <f>H31 * H27</f>
        <v>4626626.6542449668</v>
      </c>
      <c r="I32" s="285"/>
      <c r="K32" s="10" t="s">
        <v>18</v>
      </c>
      <c r="L32" s="15">
        <f>L31/12</f>
        <v>8</v>
      </c>
      <c r="M32" s="273"/>
      <c r="P32" s="215">
        <v>0.05</v>
      </c>
      <c r="Q32" s="216">
        <v>14</v>
      </c>
    </row>
    <row r="33" spans="2:17" x14ac:dyDescent="0.25">
      <c r="B33" s="199"/>
      <c r="C33" s="286"/>
      <c r="D33" s="287"/>
      <c r="G33" s="199"/>
      <c r="H33" s="286"/>
      <c r="I33" s="287"/>
      <c r="K33" s="13" t="s">
        <v>21</v>
      </c>
      <c r="L33" s="3">
        <f>((L28/L27)^(1/L32))-1</f>
        <v>0.23274951685376255</v>
      </c>
      <c r="M33" s="274"/>
      <c r="P33" s="215">
        <v>0.08</v>
      </c>
      <c r="Q33" s="216">
        <v>9</v>
      </c>
    </row>
    <row r="34" spans="2:17" x14ac:dyDescent="0.25">
      <c r="B34" s="199"/>
      <c r="C34" s="288"/>
      <c r="D34" s="288"/>
      <c r="G34" s="199"/>
      <c r="H34" s="288"/>
      <c r="I34" s="288"/>
      <c r="P34" s="215">
        <v>0.1</v>
      </c>
      <c r="Q34" s="216">
        <v>10</v>
      </c>
    </row>
    <row r="35" spans="2:17" x14ac:dyDescent="0.25">
      <c r="P35" s="215">
        <v>0.15</v>
      </c>
      <c r="Q35" s="216">
        <v>5</v>
      </c>
    </row>
    <row r="36" spans="2:17" x14ac:dyDescent="0.25">
      <c r="B36" s="289" t="s">
        <v>24</v>
      </c>
      <c r="C36" s="289"/>
      <c r="D36" s="289"/>
      <c r="E36" s="217"/>
      <c r="G36" s="289" t="s">
        <v>53</v>
      </c>
      <c r="H36" s="289"/>
      <c r="K36" s="289" t="s">
        <v>334</v>
      </c>
      <c r="L36" s="289"/>
      <c r="P36" s="215">
        <v>0.2</v>
      </c>
      <c r="Q36" s="216">
        <v>4</v>
      </c>
    </row>
    <row r="37" spans="2:17" x14ac:dyDescent="0.25">
      <c r="B37" s="19" t="s">
        <v>25</v>
      </c>
      <c r="C37" s="19"/>
      <c r="D37" s="218">
        <v>1000000</v>
      </c>
      <c r="E37" s="217"/>
      <c r="G37" s="19" t="s">
        <v>29</v>
      </c>
      <c r="H37" s="44">
        <v>342</v>
      </c>
      <c r="K37" s="10" t="s">
        <v>16</v>
      </c>
      <c r="L37" s="11">
        <f>L27</f>
        <v>45</v>
      </c>
      <c r="M37" s="212"/>
      <c r="P37" s="215">
        <v>0.25</v>
      </c>
      <c r="Q37" s="216">
        <v>3</v>
      </c>
    </row>
    <row r="38" spans="2:17" x14ac:dyDescent="0.25">
      <c r="B38" s="19" t="s">
        <v>26</v>
      </c>
      <c r="C38" s="19"/>
      <c r="D38" s="21">
        <v>0.66</v>
      </c>
      <c r="E38" s="217"/>
      <c r="G38" s="19" t="s">
        <v>26</v>
      </c>
      <c r="H38" s="21">
        <v>0.12</v>
      </c>
      <c r="K38" s="10" t="s">
        <v>17</v>
      </c>
      <c r="L38" s="11">
        <f>L28</f>
        <v>240</v>
      </c>
      <c r="M38" s="212"/>
      <c r="P38" s="215">
        <v>0.3</v>
      </c>
      <c r="Q38" s="216">
        <v>2.5</v>
      </c>
    </row>
    <row r="39" spans="2:17" x14ac:dyDescent="0.25">
      <c r="B39" s="19" t="s">
        <v>27</v>
      </c>
      <c r="C39" s="19"/>
      <c r="D39" s="219">
        <v>6</v>
      </c>
      <c r="E39" s="217"/>
      <c r="G39" s="19" t="s">
        <v>27</v>
      </c>
      <c r="H39" s="22">
        <v>10</v>
      </c>
      <c r="K39" s="10" t="s">
        <v>471</v>
      </c>
      <c r="L39" s="10"/>
      <c r="M39" s="212"/>
      <c r="P39" s="220">
        <v>0.4</v>
      </c>
      <c r="Q39" s="221">
        <v>2</v>
      </c>
    </row>
    <row r="40" spans="2:17" x14ac:dyDescent="0.25">
      <c r="B40" s="19" t="s">
        <v>28</v>
      </c>
      <c r="C40" s="19"/>
      <c r="D40" s="23">
        <v>500000</v>
      </c>
      <c r="E40" s="217"/>
      <c r="G40" s="19" t="s">
        <v>28</v>
      </c>
      <c r="H40" s="20">
        <v>0</v>
      </c>
      <c r="K40" s="10" t="s">
        <v>335</v>
      </c>
      <c r="L40" s="186">
        <f>(L38-L37)/L37</f>
        <v>4.333333333333333</v>
      </c>
      <c r="P40" s="220">
        <v>0.5</v>
      </c>
      <c r="Q40" s="221">
        <v>1</v>
      </c>
    </row>
    <row r="41" spans="2:17" x14ac:dyDescent="0.25">
      <c r="B41" s="24" t="s">
        <v>29</v>
      </c>
      <c r="C41" s="24"/>
      <c r="D41" s="45">
        <f>FV(D38,D39,-D40,-D37)</f>
        <v>36018262.604416013</v>
      </c>
      <c r="E41" s="217"/>
      <c r="G41" s="24" t="s">
        <v>54</v>
      </c>
      <c r="H41" s="45">
        <f>PV(H38,H39,H40,-H37)</f>
        <v>110.11484691401803</v>
      </c>
      <c r="K41" s="10" t="s">
        <v>336</v>
      </c>
      <c r="L41" s="222">
        <f>L38/L37</f>
        <v>5.333333333333333</v>
      </c>
      <c r="P41" s="220">
        <v>0.75</v>
      </c>
      <c r="Q41" s="221">
        <v>1.3</v>
      </c>
    </row>
    <row r="42" spans="2:17" ht="15.75" thickBot="1" x14ac:dyDescent="0.3">
      <c r="B42" s="223" t="s">
        <v>472</v>
      </c>
      <c r="D42" s="224">
        <f>D41/10000000</f>
        <v>3.6018262604416011</v>
      </c>
      <c r="P42" s="225">
        <v>1</v>
      </c>
      <c r="Q42" s="226">
        <v>1</v>
      </c>
    </row>
    <row r="43" spans="2:17" ht="15.75" thickBot="1" x14ac:dyDescent="0.3">
      <c r="C43" s="283" t="s">
        <v>452</v>
      </c>
      <c r="D43" s="283"/>
      <c r="E43" s="283"/>
      <c r="F43" s="283"/>
      <c r="J43" s="283" t="s">
        <v>452</v>
      </c>
      <c r="K43" s="283"/>
      <c r="L43" s="283"/>
      <c r="M43" s="283"/>
    </row>
    <row r="44" spans="2:17" ht="15.75" thickBot="1" x14ac:dyDescent="0.3">
      <c r="B44" s="227"/>
      <c r="C44" s="276" t="s">
        <v>473</v>
      </c>
      <c r="D44" s="277"/>
      <c r="E44" s="228" t="s">
        <v>474</v>
      </c>
      <c r="F44" s="228"/>
      <c r="G44" s="229"/>
      <c r="I44" s="227"/>
      <c r="J44" s="276" t="s">
        <v>475</v>
      </c>
      <c r="K44" s="277"/>
      <c r="L44" s="228" t="s">
        <v>476</v>
      </c>
      <c r="M44" s="228"/>
      <c r="N44" s="229"/>
    </row>
    <row r="45" spans="2:17" ht="15.75" thickBot="1" x14ac:dyDescent="0.3">
      <c r="B45" s="197"/>
      <c r="C45" s="194"/>
      <c r="D45" s="194"/>
      <c r="E45" s="194"/>
      <c r="F45" s="194"/>
      <c r="G45" s="195"/>
      <c r="I45" s="197"/>
      <c r="J45" s="194"/>
      <c r="K45" s="194"/>
      <c r="L45" s="194"/>
      <c r="M45" s="194"/>
      <c r="N45" s="195"/>
    </row>
    <row r="46" spans="2:17" ht="15.75" thickBot="1" x14ac:dyDescent="0.3">
      <c r="B46" s="278" t="s">
        <v>477</v>
      </c>
      <c r="C46" s="279"/>
      <c r="D46" s="279"/>
      <c r="E46" s="279"/>
      <c r="F46" s="279"/>
      <c r="G46" s="280"/>
      <c r="I46" s="278" t="s">
        <v>477</v>
      </c>
      <c r="J46" s="279"/>
      <c r="K46" s="279"/>
      <c r="L46" s="279"/>
      <c r="M46" s="279"/>
      <c r="N46" s="280"/>
    </row>
    <row r="47" spans="2:17" x14ac:dyDescent="0.25">
      <c r="B47" s="197"/>
      <c r="C47" s="194"/>
      <c r="D47" s="230">
        <v>1100000</v>
      </c>
      <c r="E47" s="194"/>
      <c r="F47" s="194"/>
      <c r="G47" s="195"/>
      <c r="I47" s="197"/>
      <c r="J47" s="194"/>
      <c r="K47" s="194"/>
      <c r="L47" s="194"/>
      <c r="M47" s="194"/>
      <c r="N47" s="195"/>
    </row>
    <row r="48" spans="2:17" ht="30" x14ac:dyDescent="0.25">
      <c r="B48" s="231" t="s">
        <v>14</v>
      </c>
      <c r="C48" s="232" t="s">
        <v>478</v>
      </c>
      <c r="D48" s="232" t="s">
        <v>479</v>
      </c>
      <c r="E48" s="232" t="s">
        <v>480</v>
      </c>
      <c r="F48" s="232" t="s">
        <v>481</v>
      </c>
      <c r="G48" s="233" t="s">
        <v>482</v>
      </c>
      <c r="I48" s="231" t="s">
        <v>14</v>
      </c>
      <c r="J48" s="232" t="s">
        <v>478</v>
      </c>
      <c r="K48" s="232" t="s">
        <v>483</v>
      </c>
      <c r="L48" s="232" t="s">
        <v>480</v>
      </c>
      <c r="M48" s="232" t="s">
        <v>481</v>
      </c>
      <c r="N48" s="233" t="s">
        <v>482</v>
      </c>
      <c r="O48" s="234" t="s">
        <v>484</v>
      </c>
      <c r="P48" s="235" t="s">
        <v>4</v>
      </c>
    </row>
    <row r="49" spans="1:16" x14ac:dyDescent="0.25">
      <c r="A49">
        <v>2013</v>
      </c>
      <c r="B49" s="236">
        <v>0</v>
      </c>
      <c r="C49" s="237">
        <v>0</v>
      </c>
      <c r="D49" s="238">
        <v>1000000</v>
      </c>
      <c r="E49" s="239">
        <v>0.5</v>
      </c>
      <c r="F49" s="240">
        <f xml:space="preserve"> (C49) * E49</f>
        <v>0</v>
      </c>
      <c r="G49" s="241">
        <f>C49+D49+F49</f>
        <v>1000000</v>
      </c>
      <c r="H49" s="212"/>
      <c r="I49" s="236">
        <v>0</v>
      </c>
      <c r="J49" s="237">
        <v>1</v>
      </c>
      <c r="K49" s="238">
        <v>0</v>
      </c>
      <c r="L49" s="239">
        <v>3</v>
      </c>
      <c r="M49" s="237">
        <f xml:space="preserve"> (J49+K49) * L49</f>
        <v>3</v>
      </c>
      <c r="N49" s="242">
        <f>J49+K49+M49</f>
        <v>4</v>
      </c>
      <c r="O49">
        <v>2015</v>
      </c>
      <c r="P49" s="243">
        <f t="shared" ref="P49:P64" si="1">N49/10000000</f>
        <v>3.9999999999999998E-7</v>
      </c>
    </row>
    <row r="50" spans="1:16" x14ac:dyDescent="0.25">
      <c r="A50">
        <f>A49+1</f>
        <v>2014</v>
      </c>
      <c r="B50" s="236">
        <f>B49+1</f>
        <v>1</v>
      </c>
      <c r="C50" s="237">
        <f t="shared" ref="C50:C79" si="2">G49</f>
        <v>1000000</v>
      </c>
      <c r="D50" s="238">
        <v>1500000</v>
      </c>
      <c r="E50" s="239">
        <f>E49</f>
        <v>0.5</v>
      </c>
      <c r="F50" s="240">
        <f t="shared" ref="F50:F79" si="3" xml:space="preserve"> (C50) * E50</f>
        <v>500000</v>
      </c>
      <c r="G50" s="241">
        <f t="shared" ref="G50:G80" si="4">C50+D50+F50</f>
        <v>3000000</v>
      </c>
      <c r="H50" s="212"/>
      <c r="I50" s="236">
        <f>I49+1</f>
        <v>1</v>
      </c>
      <c r="J50" s="237">
        <f>N49</f>
        <v>4</v>
      </c>
      <c r="K50" s="238">
        <v>0</v>
      </c>
      <c r="L50" s="239">
        <v>2</v>
      </c>
      <c r="M50" s="237">
        <f t="shared" ref="M50:M80" si="5" xml:space="preserve"> (J50+K50) * L50</f>
        <v>8</v>
      </c>
      <c r="N50" s="242">
        <f t="shared" ref="N50:N80" si="6">J50+K50+M50</f>
        <v>12</v>
      </c>
      <c r="O50">
        <f t="shared" ref="O50:O64" si="7">O49+1</f>
        <v>2016</v>
      </c>
      <c r="P50" s="243">
        <f t="shared" si="1"/>
        <v>1.1999999999999999E-6</v>
      </c>
    </row>
    <row r="51" spans="1:16" x14ac:dyDescent="0.25">
      <c r="A51">
        <f t="shared" ref="A51:B66" si="8">A50+1</f>
        <v>2015</v>
      </c>
      <c r="B51" s="236">
        <f t="shared" si="8"/>
        <v>2</v>
      </c>
      <c r="C51" s="237">
        <f t="shared" si="2"/>
        <v>3000000</v>
      </c>
      <c r="D51" s="238">
        <v>2000000</v>
      </c>
      <c r="E51" s="239">
        <f>E50</f>
        <v>0.5</v>
      </c>
      <c r="F51" s="240">
        <f t="shared" si="3"/>
        <v>1500000</v>
      </c>
      <c r="G51" s="241">
        <f t="shared" si="4"/>
        <v>6500000</v>
      </c>
      <c r="H51" s="212"/>
      <c r="I51" s="236">
        <f t="shared" ref="I51:I79" si="9">I50+1</f>
        <v>2</v>
      </c>
      <c r="J51" s="237">
        <f t="shared" ref="J51:J80" si="10">N50</f>
        <v>12</v>
      </c>
      <c r="K51" s="238">
        <v>0</v>
      </c>
      <c r="L51" s="239">
        <v>0.8</v>
      </c>
      <c r="M51" s="237">
        <f t="shared" si="5"/>
        <v>9.6000000000000014</v>
      </c>
      <c r="N51" s="242">
        <f t="shared" si="6"/>
        <v>21.6</v>
      </c>
      <c r="O51">
        <f t="shared" si="7"/>
        <v>2017</v>
      </c>
      <c r="P51" s="243">
        <f t="shared" si="1"/>
        <v>2.1600000000000001E-6</v>
      </c>
    </row>
    <row r="52" spans="1:16" x14ac:dyDescent="0.25">
      <c r="A52">
        <f t="shared" si="8"/>
        <v>2016</v>
      </c>
      <c r="B52" s="236">
        <f t="shared" si="8"/>
        <v>3</v>
      </c>
      <c r="C52" s="237">
        <f t="shared" si="2"/>
        <v>6500000</v>
      </c>
      <c r="D52" s="238">
        <v>2500000</v>
      </c>
      <c r="E52" s="239">
        <f t="shared" ref="E52:E70" si="11">E51</f>
        <v>0.5</v>
      </c>
      <c r="F52" s="240">
        <f t="shared" si="3"/>
        <v>3250000</v>
      </c>
      <c r="G52" s="241">
        <f t="shared" si="4"/>
        <v>12250000</v>
      </c>
      <c r="H52" s="212"/>
      <c r="I52" s="236">
        <f t="shared" si="9"/>
        <v>3</v>
      </c>
      <c r="J52" s="237">
        <f t="shared" si="10"/>
        <v>21.6</v>
      </c>
      <c r="K52" s="238">
        <v>0</v>
      </c>
      <c r="L52" s="244">
        <v>0.4</v>
      </c>
      <c r="M52" s="237">
        <f t="shared" si="5"/>
        <v>8.64</v>
      </c>
      <c r="N52" s="242">
        <f t="shared" si="6"/>
        <v>30.240000000000002</v>
      </c>
      <c r="O52">
        <f t="shared" si="7"/>
        <v>2018</v>
      </c>
      <c r="P52" s="243">
        <f t="shared" si="1"/>
        <v>3.0240000000000002E-6</v>
      </c>
    </row>
    <row r="53" spans="1:16" x14ac:dyDescent="0.25">
      <c r="A53">
        <f t="shared" si="8"/>
        <v>2017</v>
      </c>
      <c r="B53" s="236">
        <f t="shared" si="8"/>
        <v>4</v>
      </c>
      <c r="C53" s="237">
        <f t="shared" si="2"/>
        <v>12250000</v>
      </c>
      <c r="D53" s="238">
        <v>3000000</v>
      </c>
      <c r="E53" s="239">
        <f t="shared" si="11"/>
        <v>0.5</v>
      </c>
      <c r="F53" s="240">
        <f t="shared" si="3"/>
        <v>6125000</v>
      </c>
      <c r="G53" s="241">
        <f t="shared" si="4"/>
        <v>21375000</v>
      </c>
      <c r="H53" s="212"/>
      <c r="I53" s="236">
        <f t="shared" si="9"/>
        <v>4</v>
      </c>
      <c r="J53" s="237">
        <f t="shared" si="10"/>
        <v>30.240000000000002</v>
      </c>
      <c r="K53" s="238">
        <v>0</v>
      </c>
      <c r="L53" s="244">
        <v>0.3</v>
      </c>
      <c r="M53" s="237">
        <f t="shared" si="5"/>
        <v>9.072000000000001</v>
      </c>
      <c r="N53" s="242">
        <f t="shared" si="6"/>
        <v>39.312000000000005</v>
      </c>
      <c r="O53">
        <f t="shared" si="7"/>
        <v>2019</v>
      </c>
      <c r="P53" s="243">
        <f t="shared" si="1"/>
        <v>3.9312000000000006E-6</v>
      </c>
    </row>
    <row r="54" spans="1:16" x14ac:dyDescent="0.25">
      <c r="A54">
        <f t="shared" si="8"/>
        <v>2018</v>
      </c>
      <c r="B54" s="236">
        <f t="shared" si="8"/>
        <v>5</v>
      </c>
      <c r="C54" s="237">
        <f t="shared" si="2"/>
        <v>21375000</v>
      </c>
      <c r="D54" s="238">
        <v>3500000</v>
      </c>
      <c r="E54" s="239">
        <f t="shared" si="11"/>
        <v>0.5</v>
      </c>
      <c r="F54" s="240">
        <f t="shared" si="3"/>
        <v>10687500</v>
      </c>
      <c r="G54" s="241">
        <f t="shared" si="4"/>
        <v>35562500</v>
      </c>
      <c r="H54" s="212"/>
      <c r="I54" s="236">
        <f t="shared" si="9"/>
        <v>5</v>
      </c>
      <c r="J54" s="237">
        <f t="shared" si="10"/>
        <v>39.312000000000005</v>
      </c>
      <c r="K54" s="238">
        <v>0</v>
      </c>
      <c r="L54" s="239">
        <v>0.2</v>
      </c>
      <c r="M54" s="237">
        <f t="shared" si="5"/>
        <v>7.8624000000000009</v>
      </c>
      <c r="N54" s="242">
        <f t="shared" si="6"/>
        <v>47.174400000000006</v>
      </c>
      <c r="O54">
        <f t="shared" si="7"/>
        <v>2020</v>
      </c>
      <c r="P54" s="243">
        <f t="shared" si="1"/>
        <v>4.7174400000000002E-6</v>
      </c>
    </row>
    <row r="55" spans="1:16" x14ac:dyDescent="0.25">
      <c r="A55">
        <f t="shared" si="8"/>
        <v>2019</v>
      </c>
      <c r="B55" s="236">
        <f t="shared" si="8"/>
        <v>6</v>
      </c>
      <c r="C55" s="237">
        <f t="shared" si="2"/>
        <v>35562500</v>
      </c>
      <c r="D55" s="238">
        <v>4000000</v>
      </c>
      <c r="E55" s="239">
        <f t="shared" si="11"/>
        <v>0.5</v>
      </c>
      <c r="F55" s="240">
        <f t="shared" si="3"/>
        <v>17781250</v>
      </c>
      <c r="G55" s="241">
        <f t="shared" si="4"/>
        <v>57343750</v>
      </c>
      <c r="H55" s="212"/>
      <c r="I55" s="236">
        <f t="shared" si="9"/>
        <v>6</v>
      </c>
      <c r="J55" s="237">
        <f t="shared" si="10"/>
        <v>47.174400000000006</v>
      </c>
      <c r="K55" s="238">
        <v>0</v>
      </c>
      <c r="L55" s="239">
        <f t="shared" ref="L55:L67" si="12">L54</f>
        <v>0.2</v>
      </c>
      <c r="M55" s="237">
        <f t="shared" si="5"/>
        <v>9.4348800000000015</v>
      </c>
      <c r="N55" s="242">
        <f t="shared" si="6"/>
        <v>56.609280000000005</v>
      </c>
      <c r="O55">
        <f t="shared" si="7"/>
        <v>2021</v>
      </c>
      <c r="P55" s="243">
        <f t="shared" si="1"/>
        <v>5.6609280000000002E-6</v>
      </c>
    </row>
    <row r="56" spans="1:16" x14ac:dyDescent="0.25">
      <c r="A56">
        <f t="shared" si="8"/>
        <v>2020</v>
      </c>
      <c r="B56" s="236">
        <f t="shared" si="8"/>
        <v>7</v>
      </c>
      <c r="C56" s="237">
        <f t="shared" si="2"/>
        <v>57343750</v>
      </c>
      <c r="D56" s="238">
        <v>5000000</v>
      </c>
      <c r="E56" s="239">
        <f t="shared" si="11"/>
        <v>0.5</v>
      </c>
      <c r="F56" s="240">
        <f t="shared" si="3"/>
        <v>28671875</v>
      </c>
      <c r="G56" s="241">
        <f t="shared" si="4"/>
        <v>91015625</v>
      </c>
      <c r="H56" s="212">
        <f>G56/10000000</f>
        <v>9.1015625</v>
      </c>
      <c r="I56" s="236">
        <f t="shared" si="9"/>
        <v>7</v>
      </c>
      <c r="J56" s="237">
        <f t="shared" si="10"/>
        <v>56.609280000000005</v>
      </c>
      <c r="K56" s="238">
        <v>0</v>
      </c>
      <c r="L56" s="239">
        <f t="shared" si="12"/>
        <v>0.2</v>
      </c>
      <c r="M56" s="237">
        <f t="shared" si="5"/>
        <v>11.321856000000002</v>
      </c>
      <c r="N56" s="242">
        <f t="shared" si="6"/>
        <v>67.931136000000009</v>
      </c>
      <c r="O56">
        <f t="shared" si="7"/>
        <v>2022</v>
      </c>
      <c r="P56" s="243">
        <f t="shared" si="1"/>
        <v>6.7931136000000013E-6</v>
      </c>
    </row>
    <row r="57" spans="1:16" x14ac:dyDescent="0.25">
      <c r="A57">
        <f t="shared" si="8"/>
        <v>2021</v>
      </c>
      <c r="B57" s="236">
        <f t="shared" si="8"/>
        <v>8</v>
      </c>
      <c r="C57" s="237">
        <f t="shared" si="2"/>
        <v>91015625</v>
      </c>
      <c r="D57" s="238">
        <v>0</v>
      </c>
      <c r="E57" s="239">
        <f t="shared" si="11"/>
        <v>0.5</v>
      </c>
      <c r="F57" s="240">
        <f t="shared" si="3"/>
        <v>45507812.5</v>
      </c>
      <c r="G57" s="241">
        <f t="shared" si="4"/>
        <v>136523437.5</v>
      </c>
      <c r="H57" s="212"/>
      <c r="I57" s="236">
        <f t="shared" si="9"/>
        <v>8</v>
      </c>
      <c r="J57" s="237">
        <f t="shared" si="10"/>
        <v>67.931136000000009</v>
      </c>
      <c r="K57" s="238">
        <v>0</v>
      </c>
      <c r="L57" s="239">
        <f t="shared" si="12"/>
        <v>0.2</v>
      </c>
      <c r="M57" s="237">
        <f t="shared" si="5"/>
        <v>13.586227200000003</v>
      </c>
      <c r="N57" s="242">
        <f t="shared" si="6"/>
        <v>81.517363200000005</v>
      </c>
      <c r="O57">
        <f t="shared" si="7"/>
        <v>2023</v>
      </c>
      <c r="P57" s="243">
        <f t="shared" si="1"/>
        <v>8.1517363199999998E-6</v>
      </c>
    </row>
    <row r="58" spans="1:16" x14ac:dyDescent="0.25">
      <c r="A58">
        <f t="shared" si="8"/>
        <v>2022</v>
      </c>
      <c r="B58" s="236">
        <f t="shared" si="8"/>
        <v>9</v>
      </c>
      <c r="C58" s="237">
        <f t="shared" si="2"/>
        <v>136523437.5</v>
      </c>
      <c r="D58" s="238">
        <v>0</v>
      </c>
      <c r="E58" s="239">
        <f t="shared" si="11"/>
        <v>0.5</v>
      </c>
      <c r="F58" s="240">
        <f t="shared" si="3"/>
        <v>68261718.75</v>
      </c>
      <c r="G58" s="241">
        <f t="shared" si="4"/>
        <v>204785156.25</v>
      </c>
      <c r="H58" s="212"/>
      <c r="I58" s="236">
        <f t="shared" si="9"/>
        <v>9</v>
      </c>
      <c r="J58" s="237">
        <f t="shared" si="10"/>
        <v>81.517363200000005</v>
      </c>
      <c r="K58" s="238">
        <v>0</v>
      </c>
      <c r="L58" s="239">
        <f t="shared" si="12"/>
        <v>0.2</v>
      </c>
      <c r="M58" s="237">
        <f t="shared" si="5"/>
        <v>16.303472640000003</v>
      </c>
      <c r="N58" s="242">
        <f t="shared" si="6"/>
        <v>97.820835840000001</v>
      </c>
      <c r="O58">
        <f t="shared" si="7"/>
        <v>2024</v>
      </c>
      <c r="P58" s="243">
        <f t="shared" si="1"/>
        <v>9.7820835840000005E-6</v>
      </c>
    </row>
    <row r="59" spans="1:16" x14ac:dyDescent="0.25">
      <c r="A59">
        <f t="shared" si="8"/>
        <v>2023</v>
      </c>
      <c r="B59" s="236">
        <f t="shared" si="8"/>
        <v>10</v>
      </c>
      <c r="C59" s="237">
        <f t="shared" si="2"/>
        <v>204785156.25</v>
      </c>
      <c r="D59" s="238">
        <v>0</v>
      </c>
      <c r="E59" s="239">
        <f t="shared" si="11"/>
        <v>0.5</v>
      </c>
      <c r="F59" s="240">
        <f t="shared" si="3"/>
        <v>102392578.125</v>
      </c>
      <c r="G59" s="241">
        <f t="shared" si="4"/>
        <v>307177734.375</v>
      </c>
      <c r="H59" s="212"/>
      <c r="I59" s="236">
        <f t="shared" si="9"/>
        <v>10</v>
      </c>
      <c r="J59" s="237">
        <f t="shared" si="10"/>
        <v>97.820835840000001</v>
      </c>
      <c r="K59" s="238">
        <v>0</v>
      </c>
      <c r="L59" s="239">
        <f t="shared" si="12"/>
        <v>0.2</v>
      </c>
      <c r="M59" s="237">
        <f t="shared" si="5"/>
        <v>19.564167168000001</v>
      </c>
      <c r="N59" s="242">
        <f t="shared" si="6"/>
        <v>117.385003008</v>
      </c>
      <c r="O59">
        <f t="shared" si="7"/>
        <v>2025</v>
      </c>
      <c r="P59" s="243">
        <f t="shared" si="1"/>
        <v>1.17385003008E-5</v>
      </c>
    </row>
    <row r="60" spans="1:16" x14ac:dyDescent="0.25">
      <c r="A60">
        <f t="shared" si="8"/>
        <v>2024</v>
      </c>
      <c r="B60" s="236">
        <f t="shared" si="8"/>
        <v>11</v>
      </c>
      <c r="C60" s="237">
        <f t="shared" si="2"/>
        <v>307177734.375</v>
      </c>
      <c r="D60" s="238">
        <v>0</v>
      </c>
      <c r="E60" s="239">
        <f t="shared" si="11"/>
        <v>0.5</v>
      </c>
      <c r="F60" s="240">
        <f t="shared" si="3"/>
        <v>153588867.1875</v>
      </c>
      <c r="G60" s="241">
        <f t="shared" si="4"/>
        <v>460766601.5625</v>
      </c>
      <c r="H60" s="212"/>
      <c r="I60" s="236">
        <f t="shared" si="9"/>
        <v>11</v>
      </c>
      <c r="J60" s="237">
        <f t="shared" si="10"/>
        <v>117.385003008</v>
      </c>
      <c r="K60" s="238">
        <v>0</v>
      </c>
      <c r="L60" s="239">
        <f t="shared" si="12"/>
        <v>0.2</v>
      </c>
      <c r="M60" s="237">
        <f t="shared" si="5"/>
        <v>23.4770006016</v>
      </c>
      <c r="N60" s="242">
        <f t="shared" si="6"/>
        <v>140.86200360960001</v>
      </c>
      <c r="O60">
        <f t="shared" si="7"/>
        <v>2026</v>
      </c>
      <c r="P60" s="243">
        <f t="shared" si="1"/>
        <v>1.4086200360960001E-5</v>
      </c>
    </row>
    <row r="61" spans="1:16" x14ac:dyDescent="0.25">
      <c r="A61">
        <f t="shared" si="8"/>
        <v>2025</v>
      </c>
      <c r="B61" s="236">
        <f t="shared" si="8"/>
        <v>12</v>
      </c>
      <c r="C61" s="237">
        <f t="shared" si="2"/>
        <v>460766601.5625</v>
      </c>
      <c r="D61" s="238">
        <v>0</v>
      </c>
      <c r="E61" s="239">
        <f t="shared" si="11"/>
        <v>0.5</v>
      </c>
      <c r="F61" s="240">
        <f t="shared" si="3"/>
        <v>230383300.78125</v>
      </c>
      <c r="G61" s="241">
        <f t="shared" si="4"/>
        <v>691149902.34375</v>
      </c>
      <c r="H61" s="212"/>
      <c r="I61" s="236">
        <f t="shared" si="9"/>
        <v>12</v>
      </c>
      <c r="J61" s="237">
        <f t="shared" si="10"/>
        <v>140.86200360960001</v>
      </c>
      <c r="K61" s="238">
        <v>0</v>
      </c>
      <c r="L61" s="239">
        <f t="shared" si="12"/>
        <v>0.2</v>
      </c>
      <c r="M61" s="237">
        <f t="shared" si="5"/>
        <v>28.172400721920003</v>
      </c>
      <c r="N61" s="242">
        <f t="shared" si="6"/>
        <v>169.03440433152002</v>
      </c>
      <c r="O61">
        <f t="shared" si="7"/>
        <v>2027</v>
      </c>
      <c r="P61" s="243">
        <f t="shared" si="1"/>
        <v>1.6903440433152003E-5</v>
      </c>
    </row>
    <row r="62" spans="1:16" x14ac:dyDescent="0.25">
      <c r="A62">
        <f t="shared" si="8"/>
        <v>2026</v>
      </c>
      <c r="B62" s="236">
        <f t="shared" si="8"/>
        <v>13</v>
      </c>
      <c r="C62" s="237">
        <f t="shared" si="2"/>
        <v>691149902.34375</v>
      </c>
      <c r="D62" s="238">
        <v>0</v>
      </c>
      <c r="E62" s="239">
        <f t="shared" si="11"/>
        <v>0.5</v>
      </c>
      <c r="F62" s="240">
        <f t="shared" si="3"/>
        <v>345574951.171875</v>
      </c>
      <c r="G62" s="241">
        <f t="shared" si="4"/>
        <v>1036724853.515625</v>
      </c>
      <c r="H62" s="212"/>
      <c r="I62" s="236">
        <f t="shared" si="9"/>
        <v>13</v>
      </c>
      <c r="J62" s="237">
        <f t="shared" si="10"/>
        <v>169.03440433152002</v>
      </c>
      <c r="K62" s="238">
        <v>0</v>
      </c>
      <c r="L62" s="239">
        <f t="shared" si="12"/>
        <v>0.2</v>
      </c>
      <c r="M62" s="237">
        <f t="shared" si="5"/>
        <v>33.806880866304006</v>
      </c>
      <c r="N62" s="242">
        <f t="shared" si="6"/>
        <v>202.84128519782402</v>
      </c>
      <c r="O62">
        <f t="shared" si="7"/>
        <v>2028</v>
      </c>
      <c r="P62" s="243">
        <f t="shared" si="1"/>
        <v>2.0284128519782403E-5</v>
      </c>
    </row>
    <row r="63" spans="1:16" x14ac:dyDescent="0.25">
      <c r="A63">
        <f t="shared" si="8"/>
        <v>2027</v>
      </c>
      <c r="B63" s="236">
        <f t="shared" si="8"/>
        <v>14</v>
      </c>
      <c r="C63" s="237">
        <f t="shared" si="2"/>
        <v>1036724853.515625</v>
      </c>
      <c r="D63" s="238">
        <v>0</v>
      </c>
      <c r="E63" s="239">
        <f t="shared" si="11"/>
        <v>0.5</v>
      </c>
      <c r="F63" s="240">
        <f t="shared" si="3"/>
        <v>518362426.7578125</v>
      </c>
      <c r="G63" s="241">
        <f t="shared" si="4"/>
        <v>1555087280.2734375</v>
      </c>
      <c r="H63" s="212"/>
      <c r="I63" s="236">
        <f t="shared" si="9"/>
        <v>14</v>
      </c>
      <c r="J63" s="237">
        <f t="shared" si="10"/>
        <v>202.84128519782402</v>
      </c>
      <c r="K63" s="238">
        <v>0</v>
      </c>
      <c r="L63" s="239">
        <f t="shared" si="12"/>
        <v>0.2</v>
      </c>
      <c r="M63" s="237">
        <f t="shared" si="5"/>
        <v>40.568257039564806</v>
      </c>
      <c r="N63" s="242">
        <f t="shared" si="6"/>
        <v>243.40954223738882</v>
      </c>
      <c r="O63">
        <f t="shared" si="7"/>
        <v>2029</v>
      </c>
      <c r="P63" s="243">
        <f t="shared" si="1"/>
        <v>2.4340954223738881E-5</v>
      </c>
    </row>
    <row r="64" spans="1:16" x14ac:dyDescent="0.25">
      <c r="A64">
        <f t="shared" si="8"/>
        <v>2028</v>
      </c>
      <c r="B64" s="236">
        <f t="shared" si="8"/>
        <v>15</v>
      </c>
      <c r="C64" s="237">
        <f t="shared" si="2"/>
        <v>1555087280.2734375</v>
      </c>
      <c r="D64" s="238">
        <v>0</v>
      </c>
      <c r="E64" s="239">
        <f t="shared" si="11"/>
        <v>0.5</v>
      </c>
      <c r="F64" s="240">
        <f t="shared" si="3"/>
        <v>777543640.13671875</v>
      </c>
      <c r="G64" s="241">
        <f t="shared" si="4"/>
        <v>2332630920.4101563</v>
      </c>
      <c r="H64" s="212"/>
      <c r="I64" s="236">
        <f t="shared" si="9"/>
        <v>15</v>
      </c>
      <c r="J64" s="237">
        <f t="shared" si="10"/>
        <v>243.40954223738882</v>
      </c>
      <c r="K64" s="238">
        <v>0</v>
      </c>
      <c r="L64" s="239">
        <f t="shared" si="12"/>
        <v>0.2</v>
      </c>
      <c r="M64" s="237">
        <f t="shared" si="5"/>
        <v>48.681908447477767</v>
      </c>
      <c r="N64" s="242">
        <f t="shared" si="6"/>
        <v>292.09145068486657</v>
      </c>
      <c r="O64">
        <f t="shared" si="7"/>
        <v>2030</v>
      </c>
      <c r="P64" s="243">
        <f t="shared" si="1"/>
        <v>2.9209145068486657E-5</v>
      </c>
    </row>
    <row r="65" spans="1:14" x14ac:dyDescent="0.25">
      <c r="A65">
        <f t="shared" si="8"/>
        <v>2029</v>
      </c>
      <c r="B65" s="236">
        <f t="shared" si="8"/>
        <v>16</v>
      </c>
      <c r="C65" s="237">
        <f t="shared" si="2"/>
        <v>2332630920.4101563</v>
      </c>
      <c r="D65" s="238">
        <v>0</v>
      </c>
      <c r="E65" s="239">
        <f t="shared" si="11"/>
        <v>0.5</v>
      </c>
      <c r="F65" s="240">
        <f t="shared" si="3"/>
        <v>1166315460.2050781</v>
      </c>
      <c r="G65" s="241">
        <f t="shared" si="4"/>
        <v>3498946380.6152344</v>
      </c>
      <c r="H65" s="212"/>
      <c r="I65" s="236">
        <f t="shared" si="9"/>
        <v>16</v>
      </c>
      <c r="J65" s="237">
        <f t="shared" si="10"/>
        <v>292.09145068486657</v>
      </c>
      <c r="K65" s="238">
        <v>0</v>
      </c>
      <c r="L65" s="239">
        <f t="shared" si="12"/>
        <v>0.2</v>
      </c>
      <c r="M65" s="237">
        <f t="shared" si="5"/>
        <v>58.418290136973319</v>
      </c>
      <c r="N65" s="242">
        <f t="shared" si="6"/>
        <v>350.5097408218399</v>
      </c>
    </row>
    <row r="66" spans="1:14" x14ac:dyDescent="0.25">
      <c r="A66" s="245">
        <f t="shared" si="8"/>
        <v>2030</v>
      </c>
      <c r="B66" s="236">
        <f t="shared" si="8"/>
        <v>17</v>
      </c>
      <c r="C66" s="237">
        <f t="shared" si="2"/>
        <v>3498946380.6152344</v>
      </c>
      <c r="D66" s="238">
        <v>0</v>
      </c>
      <c r="E66" s="239">
        <f t="shared" si="11"/>
        <v>0.5</v>
      </c>
      <c r="F66" s="240">
        <f t="shared" si="3"/>
        <v>1749473190.3076172</v>
      </c>
      <c r="G66" s="246">
        <f t="shared" si="4"/>
        <v>5248419570.9228516</v>
      </c>
      <c r="H66" s="212">
        <f>G66/10000000</f>
        <v>524.84195709228516</v>
      </c>
      <c r="I66" s="236">
        <f t="shared" si="9"/>
        <v>17</v>
      </c>
      <c r="J66" s="237">
        <f t="shared" si="10"/>
        <v>350.5097408218399</v>
      </c>
      <c r="K66" s="238">
        <v>0</v>
      </c>
      <c r="L66" s="239">
        <f t="shared" si="12"/>
        <v>0.2</v>
      </c>
      <c r="M66" s="237">
        <f t="shared" si="5"/>
        <v>70.101948164367982</v>
      </c>
      <c r="N66" s="242">
        <f t="shared" si="6"/>
        <v>420.61168898620787</v>
      </c>
    </row>
    <row r="67" spans="1:14" x14ac:dyDescent="0.25">
      <c r="A67">
        <f t="shared" ref="A67:B79" si="13">A66+1</f>
        <v>2031</v>
      </c>
      <c r="B67" s="236">
        <f t="shared" si="13"/>
        <v>18</v>
      </c>
      <c r="C67" s="237">
        <f t="shared" si="2"/>
        <v>5248419570.9228516</v>
      </c>
      <c r="D67" s="238">
        <v>0</v>
      </c>
      <c r="E67" s="239">
        <v>0</v>
      </c>
      <c r="F67" s="240">
        <f t="shared" si="3"/>
        <v>0</v>
      </c>
      <c r="G67" s="241">
        <f t="shared" si="4"/>
        <v>5248419570.9228516</v>
      </c>
      <c r="H67" s="247"/>
      <c r="I67" s="236">
        <f t="shared" si="9"/>
        <v>18</v>
      </c>
      <c r="J67" s="237">
        <f t="shared" si="10"/>
        <v>420.61168898620787</v>
      </c>
      <c r="K67" s="238">
        <v>0</v>
      </c>
      <c r="L67" s="239">
        <f t="shared" si="12"/>
        <v>0.2</v>
      </c>
      <c r="M67" s="237">
        <f t="shared" si="5"/>
        <v>84.122337797241585</v>
      </c>
      <c r="N67" s="242">
        <f t="shared" si="6"/>
        <v>504.73402678344945</v>
      </c>
    </row>
    <row r="68" spans="1:14" x14ac:dyDescent="0.25">
      <c r="B68" s="236">
        <f t="shared" si="13"/>
        <v>19</v>
      </c>
      <c r="C68" s="237">
        <f t="shared" si="2"/>
        <v>5248419570.9228516</v>
      </c>
      <c r="D68" s="238">
        <v>0</v>
      </c>
      <c r="E68" s="239">
        <v>0</v>
      </c>
      <c r="F68" s="240">
        <f t="shared" si="3"/>
        <v>0</v>
      </c>
      <c r="G68" s="241">
        <f t="shared" si="4"/>
        <v>5248419570.9228516</v>
      </c>
      <c r="H68" s="248" t="e">
        <f>H49/C49</f>
        <v>#DIV/0!</v>
      </c>
      <c r="I68" s="236">
        <f t="shared" si="9"/>
        <v>19</v>
      </c>
      <c r="J68" s="237">
        <f t="shared" si="10"/>
        <v>504.73402678344945</v>
      </c>
      <c r="K68" s="238"/>
      <c r="L68" s="239"/>
      <c r="M68" s="237">
        <f t="shared" si="5"/>
        <v>0</v>
      </c>
      <c r="N68" s="242">
        <f t="shared" si="6"/>
        <v>504.73402678344945</v>
      </c>
    </row>
    <row r="69" spans="1:14" x14ac:dyDescent="0.25">
      <c r="B69" s="236">
        <f t="shared" si="13"/>
        <v>20</v>
      </c>
      <c r="C69" s="237">
        <f t="shared" si="2"/>
        <v>5248419570.9228516</v>
      </c>
      <c r="D69" s="238">
        <v>0</v>
      </c>
      <c r="E69" s="239">
        <f t="shared" si="11"/>
        <v>0</v>
      </c>
      <c r="F69" s="240">
        <f t="shared" si="3"/>
        <v>0</v>
      </c>
      <c r="G69" s="241">
        <f t="shared" si="4"/>
        <v>5248419570.9228516</v>
      </c>
      <c r="H69" s="248">
        <f t="shared" ref="H69:H88" si="14">H50/C50</f>
        <v>0</v>
      </c>
      <c r="I69" s="236">
        <f t="shared" si="9"/>
        <v>20</v>
      </c>
      <c r="J69" s="237">
        <f t="shared" si="10"/>
        <v>504.73402678344945</v>
      </c>
      <c r="K69" s="238"/>
      <c r="L69" s="239"/>
      <c r="M69" s="237">
        <f t="shared" si="5"/>
        <v>0</v>
      </c>
      <c r="N69" s="242">
        <f t="shared" si="6"/>
        <v>504.73402678344945</v>
      </c>
    </row>
    <row r="70" spans="1:14" x14ac:dyDescent="0.25">
      <c r="B70" s="236">
        <f t="shared" si="13"/>
        <v>21</v>
      </c>
      <c r="C70" s="237">
        <f t="shared" si="2"/>
        <v>5248419570.9228516</v>
      </c>
      <c r="D70" s="238"/>
      <c r="E70" s="239">
        <f t="shared" si="11"/>
        <v>0</v>
      </c>
      <c r="F70" s="240">
        <f t="shared" si="3"/>
        <v>0</v>
      </c>
      <c r="G70" s="241">
        <f t="shared" si="4"/>
        <v>5248419570.9228516</v>
      </c>
      <c r="H70" s="248">
        <f t="shared" si="14"/>
        <v>0</v>
      </c>
      <c r="I70" s="236">
        <f t="shared" si="9"/>
        <v>21</v>
      </c>
      <c r="J70" s="237">
        <f t="shared" si="10"/>
        <v>504.73402678344945</v>
      </c>
      <c r="K70" s="238"/>
      <c r="L70" s="239"/>
      <c r="M70" s="237">
        <f t="shared" si="5"/>
        <v>0</v>
      </c>
      <c r="N70" s="242">
        <f t="shared" si="6"/>
        <v>504.73402678344945</v>
      </c>
    </row>
    <row r="71" spans="1:14" x14ac:dyDescent="0.25">
      <c r="B71" s="236">
        <f t="shared" si="13"/>
        <v>22</v>
      </c>
      <c r="C71" s="237">
        <f t="shared" si="2"/>
        <v>5248419570.9228516</v>
      </c>
      <c r="D71" s="238"/>
      <c r="E71" s="239"/>
      <c r="F71" s="240">
        <f t="shared" si="3"/>
        <v>0</v>
      </c>
      <c r="G71" s="241">
        <f t="shared" si="4"/>
        <v>5248419570.9228516</v>
      </c>
      <c r="H71" s="248">
        <f t="shared" si="14"/>
        <v>0</v>
      </c>
      <c r="I71" s="236">
        <f t="shared" si="9"/>
        <v>22</v>
      </c>
      <c r="J71" s="237">
        <f t="shared" si="10"/>
        <v>504.73402678344945</v>
      </c>
      <c r="K71" s="238"/>
      <c r="L71" s="239"/>
      <c r="M71" s="237">
        <f t="shared" si="5"/>
        <v>0</v>
      </c>
      <c r="N71" s="242">
        <f t="shared" si="6"/>
        <v>504.73402678344945</v>
      </c>
    </row>
    <row r="72" spans="1:14" x14ac:dyDescent="0.25">
      <c r="B72" s="236">
        <f t="shared" si="13"/>
        <v>23</v>
      </c>
      <c r="C72" s="237">
        <f t="shared" si="2"/>
        <v>5248419570.9228516</v>
      </c>
      <c r="D72" s="238"/>
      <c r="E72" s="239"/>
      <c r="F72" s="240">
        <f t="shared" si="3"/>
        <v>0</v>
      </c>
      <c r="G72" s="241">
        <f t="shared" si="4"/>
        <v>5248419570.9228516</v>
      </c>
      <c r="H72" s="248">
        <f t="shared" si="14"/>
        <v>0</v>
      </c>
      <c r="I72" s="236">
        <f t="shared" si="9"/>
        <v>23</v>
      </c>
      <c r="J72" s="237">
        <f t="shared" si="10"/>
        <v>504.73402678344945</v>
      </c>
      <c r="K72" s="238"/>
      <c r="L72" s="239"/>
      <c r="M72" s="237">
        <f t="shared" si="5"/>
        <v>0</v>
      </c>
      <c r="N72" s="242">
        <f t="shared" si="6"/>
        <v>504.73402678344945</v>
      </c>
    </row>
    <row r="73" spans="1:14" x14ac:dyDescent="0.25">
      <c r="B73" s="236">
        <f t="shared" si="13"/>
        <v>24</v>
      </c>
      <c r="C73" s="237">
        <f t="shared" si="2"/>
        <v>5248419570.9228516</v>
      </c>
      <c r="D73" s="238"/>
      <c r="E73" s="239"/>
      <c r="F73" s="240">
        <f t="shared" si="3"/>
        <v>0</v>
      </c>
      <c r="G73" s="241">
        <f t="shared" si="4"/>
        <v>5248419570.9228516</v>
      </c>
      <c r="H73" s="248">
        <f t="shared" si="14"/>
        <v>0</v>
      </c>
      <c r="I73" s="236">
        <f t="shared" si="9"/>
        <v>24</v>
      </c>
      <c r="J73" s="237">
        <f t="shared" si="10"/>
        <v>504.73402678344945</v>
      </c>
      <c r="K73" s="238"/>
      <c r="L73" s="239"/>
      <c r="M73" s="237">
        <f t="shared" si="5"/>
        <v>0</v>
      </c>
      <c r="N73" s="242">
        <f t="shared" si="6"/>
        <v>504.73402678344945</v>
      </c>
    </row>
    <row r="74" spans="1:14" x14ac:dyDescent="0.25">
      <c r="B74" s="236">
        <f t="shared" si="13"/>
        <v>25</v>
      </c>
      <c r="C74" s="237">
        <f t="shared" si="2"/>
        <v>5248419570.9228516</v>
      </c>
      <c r="D74" s="238"/>
      <c r="E74" s="239"/>
      <c r="F74" s="240">
        <f t="shared" si="3"/>
        <v>0</v>
      </c>
      <c r="G74" s="241">
        <f t="shared" si="4"/>
        <v>5248419570.9228516</v>
      </c>
      <c r="H74" s="248">
        <f t="shared" si="14"/>
        <v>0</v>
      </c>
      <c r="I74" s="236">
        <f t="shared" si="9"/>
        <v>25</v>
      </c>
      <c r="J74" s="237">
        <f t="shared" si="10"/>
        <v>504.73402678344945</v>
      </c>
      <c r="K74" s="238"/>
      <c r="L74" s="239"/>
      <c r="M74" s="237">
        <f t="shared" si="5"/>
        <v>0</v>
      </c>
      <c r="N74" s="242">
        <f t="shared" si="6"/>
        <v>504.73402678344945</v>
      </c>
    </row>
    <row r="75" spans="1:14" x14ac:dyDescent="0.25">
      <c r="B75" s="236">
        <f t="shared" si="13"/>
        <v>26</v>
      </c>
      <c r="C75" s="237">
        <f t="shared" si="2"/>
        <v>5248419570.9228516</v>
      </c>
      <c r="D75" s="238"/>
      <c r="E75" s="239"/>
      <c r="F75" s="240">
        <f t="shared" si="3"/>
        <v>0</v>
      </c>
      <c r="G75" s="241">
        <f t="shared" si="4"/>
        <v>5248419570.9228516</v>
      </c>
      <c r="H75" s="248">
        <f t="shared" si="14"/>
        <v>1.5871934604904632E-7</v>
      </c>
      <c r="I75" s="236">
        <f t="shared" si="9"/>
        <v>26</v>
      </c>
      <c r="J75" s="237">
        <f t="shared" si="10"/>
        <v>504.73402678344945</v>
      </c>
      <c r="K75" s="238"/>
      <c r="L75" s="239"/>
      <c r="M75" s="237">
        <f t="shared" si="5"/>
        <v>0</v>
      </c>
      <c r="N75" s="242">
        <f t="shared" si="6"/>
        <v>504.73402678344945</v>
      </c>
    </row>
    <row r="76" spans="1:14" x14ac:dyDescent="0.25">
      <c r="B76" s="236">
        <f t="shared" si="13"/>
        <v>27</v>
      </c>
      <c r="C76" s="237">
        <f t="shared" si="2"/>
        <v>5248419570.9228516</v>
      </c>
      <c r="D76" s="238"/>
      <c r="E76" s="239"/>
      <c r="F76" s="240">
        <f t="shared" si="3"/>
        <v>0</v>
      </c>
      <c r="G76" s="241">
        <f t="shared" si="4"/>
        <v>5248419570.9228516</v>
      </c>
      <c r="H76" s="248">
        <f t="shared" si="14"/>
        <v>0</v>
      </c>
      <c r="I76" s="236">
        <f t="shared" si="9"/>
        <v>27</v>
      </c>
      <c r="J76" s="237">
        <f t="shared" si="10"/>
        <v>504.73402678344945</v>
      </c>
      <c r="K76" s="238"/>
      <c r="L76" s="239"/>
      <c r="M76" s="237">
        <f t="shared" si="5"/>
        <v>0</v>
      </c>
      <c r="N76" s="242">
        <f t="shared" si="6"/>
        <v>504.73402678344945</v>
      </c>
    </row>
    <row r="77" spans="1:14" x14ac:dyDescent="0.25">
      <c r="B77" s="236">
        <f t="shared" si="13"/>
        <v>28</v>
      </c>
      <c r="C77" s="237">
        <f t="shared" si="2"/>
        <v>5248419570.9228516</v>
      </c>
      <c r="D77" s="238"/>
      <c r="E77" s="239"/>
      <c r="F77" s="240">
        <f t="shared" si="3"/>
        <v>0</v>
      </c>
      <c r="G77" s="241">
        <f t="shared" si="4"/>
        <v>5248419570.9228516</v>
      </c>
      <c r="H77" s="248">
        <f t="shared" si="14"/>
        <v>0</v>
      </c>
      <c r="I77" s="236">
        <f t="shared" si="9"/>
        <v>28</v>
      </c>
      <c r="J77" s="237">
        <f t="shared" si="10"/>
        <v>504.73402678344945</v>
      </c>
      <c r="K77" s="238"/>
      <c r="L77" s="239"/>
      <c r="M77" s="237">
        <f t="shared" si="5"/>
        <v>0</v>
      </c>
      <c r="N77" s="242">
        <f t="shared" si="6"/>
        <v>504.73402678344945</v>
      </c>
    </row>
    <row r="78" spans="1:14" x14ac:dyDescent="0.25">
      <c r="B78" s="236">
        <f t="shared" si="13"/>
        <v>29</v>
      </c>
      <c r="C78" s="237">
        <f t="shared" si="2"/>
        <v>5248419570.9228516</v>
      </c>
      <c r="D78" s="238"/>
      <c r="E78" s="239"/>
      <c r="F78" s="240">
        <f t="shared" si="3"/>
        <v>0</v>
      </c>
      <c r="G78" s="241">
        <f t="shared" si="4"/>
        <v>5248419570.9228516</v>
      </c>
      <c r="H78" s="248">
        <f t="shared" si="14"/>
        <v>0</v>
      </c>
      <c r="I78" s="236">
        <f t="shared" si="9"/>
        <v>29</v>
      </c>
      <c r="J78" s="237">
        <f t="shared" si="10"/>
        <v>504.73402678344945</v>
      </c>
      <c r="K78" s="238"/>
      <c r="L78" s="239"/>
      <c r="M78" s="237">
        <f t="shared" si="5"/>
        <v>0</v>
      </c>
      <c r="N78" s="242">
        <f t="shared" si="6"/>
        <v>504.73402678344945</v>
      </c>
    </row>
    <row r="79" spans="1:14" x14ac:dyDescent="0.25">
      <c r="B79" s="236">
        <f t="shared" si="13"/>
        <v>30</v>
      </c>
      <c r="C79" s="237">
        <f t="shared" si="2"/>
        <v>5248419570.9228516</v>
      </c>
      <c r="D79" s="238"/>
      <c r="E79" s="239"/>
      <c r="F79" s="240">
        <f t="shared" si="3"/>
        <v>0</v>
      </c>
      <c r="G79" s="241">
        <f t="shared" si="4"/>
        <v>5248419570.9228516</v>
      </c>
      <c r="H79" s="248">
        <f t="shared" si="14"/>
        <v>0</v>
      </c>
      <c r="I79" s="236">
        <f t="shared" si="9"/>
        <v>30</v>
      </c>
      <c r="J79" s="237">
        <f t="shared" si="10"/>
        <v>504.73402678344945</v>
      </c>
      <c r="K79" s="238"/>
      <c r="L79" s="239"/>
      <c r="M79" s="237">
        <f t="shared" si="5"/>
        <v>0</v>
      </c>
      <c r="N79" s="242">
        <f t="shared" si="6"/>
        <v>504.73402678344945</v>
      </c>
    </row>
    <row r="80" spans="1:14" ht="15.75" thickBot="1" x14ac:dyDescent="0.3">
      <c r="B80" s="236"/>
      <c r="C80" s="249"/>
      <c r="D80" s="238"/>
      <c r="E80" s="239"/>
      <c r="F80" s="249"/>
      <c r="G80" s="241">
        <f t="shared" si="4"/>
        <v>0</v>
      </c>
      <c r="H80" s="248">
        <f t="shared" si="14"/>
        <v>0</v>
      </c>
      <c r="I80" s="236"/>
      <c r="J80" s="237">
        <f t="shared" si="10"/>
        <v>504.73402678344945</v>
      </c>
      <c r="K80" s="238"/>
      <c r="L80" s="239"/>
      <c r="M80" s="237">
        <f t="shared" si="5"/>
        <v>0</v>
      </c>
      <c r="N80" s="242">
        <f t="shared" si="6"/>
        <v>504.73402678344945</v>
      </c>
    </row>
    <row r="81" spans="2:14" ht="15.75" thickBot="1" x14ac:dyDescent="0.3">
      <c r="B81" s="281" t="s">
        <v>485</v>
      </c>
      <c r="C81" s="282"/>
      <c r="D81" s="250">
        <f>SUM(D48:D80)</f>
        <v>22500000</v>
      </c>
      <c r="E81" s="251"/>
      <c r="F81" s="251"/>
      <c r="G81" s="252">
        <f>G78</f>
        <v>5248419570.9228516</v>
      </c>
      <c r="H81" s="248">
        <f t="shared" si="14"/>
        <v>0</v>
      </c>
      <c r="I81" s="281" t="s">
        <v>485</v>
      </c>
      <c r="J81" s="282"/>
      <c r="K81" s="253">
        <f>SUM(K48:K80)</f>
        <v>0</v>
      </c>
      <c r="L81" s="251"/>
      <c r="M81" s="250"/>
      <c r="N81" s="254">
        <f>N78</f>
        <v>504.73402678344945</v>
      </c>
    </row>
    <row r="82" spans="2:14" ht="15.75" thickBot="1" x14ac:dyDescent="0.3">
      <c r="B82" s="255"/>
      <c r="C82" s="256" t="s">
        <v>486</v>
      </c>
      <c r="D82" s="257">
        <f>D81/10000000</f>
        <v>2.25</v>
      </c>
      <c r="E82" s="256"/>
      <c r="F82" s="256"/>
      <c r="G82" s="258">
        <f>G81/10000000</f>
        <v>524.84195709228516</v>
      </c>
      <c r="H82" s="248">
        <f t="shared" si="14"/>
        <v>0</v>
      </c>
      <c r="I82" s="255"/>
      <c r="J82" s="256" t="s">
        <v>486</v>
      </c>
      <c r="K82" s="257">
        <f>K81/10000000</f>
        <v>0</v>
      </c>
      <c r="L82" s="256"/>
      <c r="M82" s="256"/>
      <c r="N82" s="258">
        <f>N81/10000000</f>
        <v>5.0473402678344942E-5</v>
      </c>
    </row>
    <row r="83" spans="2:14" x14ac:dyDescent="0.25">
      <c r="G83" s="259"/>
      <c r="H83" s="248">
        <f t="shared" si="14"/>
        <v>0</v>
      </c>
    </row>
    <row r="84" spans="2:14" ht="15.75" thickBot="1" x14ac:dyDescent="0.3">
      <c r="C84" s="283" t="s">
        <v>487</v>
      </c>
      <c r="D84" s="283"/>
      <c r="E84" s="283"/>
      <c r="F84" s="283"/>
      <c r="H84" s="248">
        <f t="shared" si="14"/>
        <v>0</v>
      </c>
      <c r="J84" s="283" t="s">
        <v>487</v>
      </c>
      <c r="K84" s="283"/>
      <c r="L84" s="283"/>
      <c r="M84" s="283"/>
    </row>
    <row r="85" spans="2:14" ht="15.75" thickBot="1" x14ac:dyDescent="0.3">
      <c r="H85" s="248">
        <f t="shared" si="14"/>
        <v>1.4999999999999999E-7</v>
      </c>
    </row>
    <row r="86" spans="2:14" ht="15.75" thickBot="1" x14ac:dyDescent="0.3">
      <c r="B86" s="227"/>
      <c r="C86" s="276" t="s">
        <v>473</v>
      </c>
      <c r="D86" s="277"/>
      <c r="E86" s="228" t="s">
        <v>474</v>
      </c>
      <c r="F86" s="228"/>
      <c r="G86" s="229"/>
      <c r="H86" s="248">
        <f t="shared" si="14"/>
        <v>0</v>
      </c>
      <c r="I86" s="227"/>
      <c r="J86" s="276" t="s">
        <v>488</v>
      </c>
      <c r="K86" s="277"/>
      <c r="L86" s="228" t="s">
        <v>489</v>
      </c>
      <c r="M86" s="228"/>
      <c r="N86" s="229"/>
    </row>
    <row r="87" spans="2:14" ht="15.75" thickBot="1" x14ac:dyDescent="0.3">
      <c r="B87" s="197"/>
      <c r="C87" s="194"/>
      <c r="D87" s="194"/>
      <c r="E87" s="194"/>
      <c r="F87" s="194"/>
      <c r="G87" s="195"/>
      <c r="H87" s="248" t="e">
        <f t="shared" si="14"/>
        <v>#DIV/0!</v>
      </c>
      <c r="I87" s="197"/>
      <c r="J87" s="194"/>
      <c r="K87" s="194"/>
      <c r="L87" s="194"/>
      <c r="M87" s="194"/>
      <c r="N87" s="195"/>
    </row>
    <row r="88" spans="2:14" ht="15.75" thickBot="1" x14ac:dyDescent="0.3">
      <c r="B88" s="278" t="s">
        <v>490</v>
      </c>
      <c r="C88" s="279"/>
      <c r="D88" s="279"/>
      <c r="E88" s="279"/>
      <c r="F88" s="279"/>
      <c r="G88" s="280"/>
      <c r="H88" s="248">
        <f t="shared" si="14"/>
        <v>0</v>
      </c>
      <c r="I88" s="278" t="s">
        <v>490</v>
      </c>
      <c r="J88" s="279"/>
      <c r="K88" s="279"/>
      <c r="L88" s="279"/>
      <c r="M88" s="279"/>
      <c r="N88" s="280"/>
    </row>
    <row r="89" spans="2:14" x14ac:dyDescent="0.25">
      <c r="B89" s="260"/>
      <c r="C89" s="261"/>
      <c r="D89" s="261"/>
      <c r="E89" s="261"/>
      <c r="F89" s="261"/>
      <c r="G89" s="262">
        <f>G124</f>
        <v>1413.1902480939689</v>
      </c>
      <c r="I89" s="260"/>
      <c r="J89" s="261"/>
      <c r="K89" s="261"/>
      <c r="L89" s="261"/>
      <c r="M89" s="261"/>
      <c r="N89" s="262">
        <f>N124</f>
        <v>285.94104308390024</v>
      </c>
    </row>
    <row r="90" spans="2:14" ht="30" x14ac:dyDescent="0.25">
      <c r="B90" s="231" t="s">
        <v>14</v>
      </c>
      <c r="C90" s="232" t="s">
        <v>478</v>
      </c>
      <c r="D90" s="232" t="s">
        <v>491</v>
      </c>
      <c r="E90" s="232" t="s">
        <v>480</v>
      </c>
      <c r="F90" s="232" t="s">
        <v>492</v>
      </c>
      <c r="G90" s="233" t="s">
        <v>493</v>
      </c>
      <c r="I90" s="231" t="s">
        <v>14</v>
      </c>
      <c r="J90" s="232" t="s">
        <v>494</v>
      </c>
      <c r="K90" s="232" t="s">
        <v>495</v>
      </c>
      <c r="L90" s="232" t="s">
        <v>480</v>
      </c>
      <c r="M90" s="232" t="s">
        <v>492</v>
      </c>
      <c r="N90" s="233" t="s">
        <v>493</v>
      </c>
    </row>
    <row r="91" spans="2:14" x14ac:dyDescent="0.25">
      <c r="B91" s="236">
        <v>0</v>
      </c>
      <c r="C91" s="249">
        <v>0</v>
      </c>
      <c r="D91" s="249">
        <v>100</v>
      </c>
      <c r="E91" s="263">
        <v>0.06</v>
      </c>
      <c r="F91" s="249">
        <f>((1/(1+E91) ) ^ (B91 + 1) ) * D91</f>
        <v>94.339622641509422</v>
      </c>
      <c r="G91" s="264">
        <f>F91+C91</f>
        <v>94.339622641509422</v>
      </c>
      <c r="I91" s="236">
        <v>0</v>
      </c>
      <c r="J91" s="249">
        <v>0</v>
      </c>
      <c r="K91" s="249">
        <v>100</v>
      </c>
      <c r="L91" s="263">
        <v>0</v>
      </c>
      <c r="M91" s="249">
        <f t="shared" ref="M91:M92" si="15">((1/(1+L91) ) ^ (I91) ) * K91</f>
        <v>100</v>
      </c>
      <c r="N91" s="264">
        <f>M91+J91</f>
        <v>100</v>
      </c>
    </row>
    <row r="92" spans="2:14" x14ac:dyDescent="0.25">
      <c r="B92" s="236">
        <f>B91+1</f>
        <v>1</v>
      </c>
      <c r="C92" s="249">
        <f>G91</f>
        <v>94.339622641509422</v>
      </c>
      <c r="D92" s="249">
        <v>200</v>
      </c>
      <c r="E92" s="263">
        <v>0.06</v>
      </c>
      <c r="F92" s="249">
        <f>((1/(1+E92) ) ^ (B92 + 1) ) * D92</f>
        <v>177.99928800284795</v>
      </c>
      <c r="G92" s="264">
        <f>F92+C92</f>
        <v>272.33891064435738</v>
      </c>
      <c r="I92" s="236">
        <f>I91+1</f>
        <v>1</v>
      </c>
      <c r="J92" s="249">
        <f>N91</f>
        <v>100</v>
      </c>
      <c r="K92" s="249">
        <v>100</v>
      </c>
      <c r="L92" s="263">
        <v>0.05</v>
      </c>
      <c r="M92" s="249">
        <f t="shared" si="15"/>
        <v>95.238095238095227</v>
      </c>
      <c r="N92" s="264">
        <f>M92+J92</f>
        <v>195.23809523809524</v>
      </c>
    </row>
    <row r="93" spans="2:14" x14ac:dyDescent="0.25">
      <c r="B93" s="236">
        <f t="shared" ref="B93:B121" si="16">B92+1</f>
        <v>2</v>
      </c>
      <c r="C93" s="249">
        <f t="shared" ref="C93:C121" si="17">G92</f>
        <v>272.33891064435738</v>
      </c>
      <c r="D93" s="249">
        <v>200</v>
      </c>
      <c r="E93" s="263">
        <v>0.06</v>
      </c>
      <c r="F93" s="249">
        <f t="shared" ref="F93:F121" si="18">((1/(1+E93) ) ^ (B93 + 1) ) * D93</f>
        <v>167.9238566064603</v>
      </c>
      <c r="G93" s="264">
        <f t="shared" ref="G93:G121" si="19">F93+C93</f>
        <v>440.26276725081766</v>
      </c>
      <c r="I93" s="236">
        <f t="shared" ref="I93:I121" si="20">I92+1</f>
        <v>2</v>
      </c>
      <c r="J93" s="249">
        <f t="shared" ref="J93:J121" si="21">N92</f>
        <v>195.23809523809524</v>
      </c>
      <c r="K93" s="249">
        <v>100</v>
      </c>
      <c r="L93" s="263">
        <v>0.05</v>
      </c>
      <c r="M93" s="249">
        <f>((1/(1+L93) ) ^ (I93) ) * K93</f>
        <v>90.702947845804985</v>
      </c>
      <c r="N93" s="264">
        <f t="shared" ref="N93:N121" si="22">M93+J93</f>
        <v>285.94104308390024</v>
      </c>
    </row>
    <row r="94" spans="2:14" x14ac:dyDescent="0.25">
      <c r="B94" s="236">
        <f t="shared" si="16"/>
        <v>3</v>
      </c>
      <c r="C94" s="249">
        <f t="shared" si="17"/>
        <v>440.26276725081766</v>
      </c>
      <c r="D94" s="249">
        <v>200</v>
      </c>
      <c r="E94" s="263">
        <v>0.06</v>
      </c>
      <c r="F94" s="249">
        <f t="shared" si="18"/>
        <v>158.41873264760403</v>
      </c>
      <c r="G94" s="264">
        <f t="shared" si="19"/>
        <v>598.68149989842163</v>
      </c>
      <c r="I94" s="236">
        <f t="shared" si="20"/>
        <v>3</v>
      </c>
      <c r="J94" s="249">
        <f t="shared" si="21"/>
        <v>285.94104308390024</v>
      </c>
      <c r="K94" s="249"/>
      <c r="L94" s="263">
        <v>0.05</v>
      </c>
      <c r="M94" s="249">
        <f t="shared" ref="M94:M121" si="23">((1/(1+L94) ) ^ (I94) ) * K94</f>
        <v>0</v>
      </c>
      <c r="N94" s="264">
        <f t="shared" si="22"/>
        <v>285.94104308390024</v>
      </c>
    </row>
    <row r="95" spans="2:14" x14ac:dyDescent="0.25">
      <c r="B95" s="236">
        <f t="shared" si="16"/>
        <v>4</v>
      </c>
      <c r="C95" s="249">
        <f t="shared" si="17"/>
        <v>598.68149989842163</v>
      </c>
      <c r="D95" s="249">
        <v>200</v>
      </c>
      <c r="E95" s="263">
        <v>0.06</v>
      </c>
      <c r="F95" s="249">
        <f t="shared" si="18"/>
        <v>149.45163457321135</v>
      </c>
      <c r="G95" s="264">
        <f t="shared" si="19"/>
        <v>748.13313447163296</v>
      </c>
      <c r="I95" s="236">
        <f t="shared" si="20"/>
        <v>4</v>
      </c>
      <c r="J95" s="249">
        <f t="shared" si="21"/>
        <v>285.94104308390024</v>
      </c>
      <c r="K95" s="249"/>
      <c r="L95" s="263">
        <v>0.05</v>
      </c>
      <c r="M95" s="249">
        <f t="shared" si="23"/>
        <v>0</v>
      </c>
      <c r="N95" s="264">
        <f t="shared" si="22"/>
        <v>285.94104308390024</v>
      </c>
    </row>
    <row r="96" spans="2:14" x14ac:dyDescent="0.25">
      <c r="B96" s="236">
        <f t="shared" si="16"/>
        <v>5</v>
      </c>
      <c r="C96" s="249">
        <f t="shared" si="17"/>
        <v>748.13313447163296</v>
      </c>
      <c r="D96" s="249">
        <v>0</v>
      </c>
      <c r="E96" s="263">
        <v>0.06</v>
      </c>
      <c r="F96" s="249">
        <f t="shared" si="18"/>
        <v>0</v>
      </c>
      <c r="G96" s="264">
        <f t="shared" si="19"/>
        <v>748.13313447163296</v>
      </c>
      <c r="I96" s="236">
        <f t="shared" si="20"/>
        <v>5</v>
      </c>
      <c r="J96" s="249">
        <f t="shared" si="21"/>
        <v>285.94104308390024</v>
      </c>
      <c r="K96" s="249"/>
      <c r="L96" s="263">
        <v>0.05</v>
      </c>
      <c r="M96" s="249">
        <f t="shared" si="23"/>
        <v>0</v>
      </c>
      <c r="N96" s="264">
        <f t="shared" si="22"/>
        <v>285.94104308390024</v>
      </c>
    </row>
    <row r="97" spans="2:14" x14ac:dyDescent="0.25">
      <c r="B97" s="236">
        <f t="shared" si="16"/>
        <v>6</v>
      </c>
      <c r="C97" s="249">
        <f t="shared" si="17"/>
        <v>748.13313447163296</v>
      </c>
      <c r="D97" s="249">
        <v>1000</v>
      </c>
      <c r="E97" s="263">
        <v>0.06</v>
      </c>
      <c r="F97" s="249">
        <f t="shared" si="18"/>
        <v>665.05711362233581</v>
      </c>
      <c r="G97" s="264">
        <f t="shared" si="19"/>
        <v>1413.1902480939689</v>
      </c>
      <c r="I97" s="236">
        <f t="shared" si="20"/>
        <v>6</v>
      </c>
      <c r="J97" s="249">
        <f t="shared" si="21"/>
        <v>285.94104308390024</v>
      </c>
      <c r="K97" s="249"/>
      <c r="L97" s="263">
        <v>0.05</v>
      </c>
      <c r="M97" s="249">
        <f t="shared" si="23"/>
        <v>0</v>
      </c>
      <c r="N97" s="264">
        <f t="shared" si="22"/>
        <v>285.94104308390024</v>
      </c>
    </row>
    <row r="98" spans="2:14" x14ac:dyDescent="0.25">
      <c r="B98" s="236">
        <f t="shared" si="16"/>
        <v>7</v>
      </c>
      <c r="C98" s="249">
        <f t="shared" si="17"/>
        <v>1413.1902480939689</v>
      </c>
      <c r="D98" s="249"/>
      <c r="E98" s="263">
        <v>0.05</v>
      </c>
      <c r="F98" s="249">
        <f t="shared" si="18"/>
        <v>0</v>
      </c>
      <c r="G98" s="264">
        <f t="shared" si="19"/>
        <v>1413.1902480939689</v>
      </c>
      <c r="I98" s="236">
        <f t="shared" si="20"/>
        <v>7</v>
      </c>
      <c r="J98" s="249">
        <f t="shared" si="21"/>
        <v>285.94104308390024</v>
      </c>
      <c r="K98" s="249"/>
      <c r="L98" s="263">
        <v>0.05</v>
      </c>
      <c r="M98" s="249">
        <f t="shared" si="23"/>
        <v>0</v>
      </c>
      <c r="N98" s="264">
        <f t="shared" si="22"/>
        <v>285.94104308390024</v>
      </c>
    </row>
    <row r="99" spans="2:14" x14ac:dyDescent="0.25">
      <c r="B99" s="236">
        <f t="shared" si="16"/>
        <v>8</v>
      </c>
      <c r="C99" s="249">
        <f t="shared" si="17"/>
        <v>1413.1902480939689</v>
      </c>
      <c r="D99" s="249"/>
      <c r="E99" s="263">
        <v>0.05</v>
      </c>
      <c r="F99" s="249">
        <f t="shared" si="18"/>
        <v>0</v>
      </c>
      <c r="G99" s="264">
        <f t="shared" si="19"/>
        <v>1413.1902480939689</v>
      </c>
      <c r="I99" s="236">
        <f t="shared" si="20"/>
        <v>8</v>
      </c>
      <c r="J99" s="249">
        <f t="shared" si="21"/>
        <v>285.94104308390024</v>
      </c>
      <c r="K99" s="249"/>
      <c r="L99" s="263">
        <v>0.05</v>
      </c>
      <c r="M99" s="249">
        <f t="shared" si="23"/>
        <v>0</v>
      </c>
      <c r="N99" s="264">
        <f t="shared" si="22"/>
        <v>285.94104308390024</v>
      </c>
    </row>
    <row r="100" spans="2:14" x14ac:dyDescent="0.25">
      <c r="B100" s="236">
        <f t="shared" si="16"/>
        <v>9</v>
      </c>
      <c r="C100" s="249">
        <f t="shared" si="17"/>
        <v>1413.1902480939689</v>
      </c>
      <c r="D100" s="249"/>
      <c r="E100" s="263">
        <v>0.05</v>
      </c>
      <c r="F100" s="249">
        <f t="shared" si="18"/>
        <v>0</v>
      </c>
      <c r="G100" s="264">
        <f t="shared" si="19"/>
        <v>1413.1902480939689</v>
      </c>
      <c r="I100" s="236">
        <f t="shared" si="20"/>
        <v>9</v>
      </c>
      <c r="J100" s="249">
        <f t="shared" si="21"/>
        <v>285.94104308390024</v>
      </c>
      <c r="K100" s="249"/>
      <c r="L100" s="263">
        <v>0.05</v>
      </c>
      <c r="M100" s="249">
        <f t="shared" si="23"/>
        <v>0</v>
      </c>
      <c r="N100" s="264">
        <f t="shared" si="22"/>
        <v>285.94104308390024</v>
      </c>
    </row>
    <row r="101" spans="2:14" x14ac:dyDescent="0.25">
      <c r="B101" s="236">
        <f t="shared" si="16"/>
        <v>10</v>
      </c>
      <c r="C101" s="249">
        <f t="shared" si="17"/>
        <v>1413.1902480939689</v>
      </c>
      <c r="D101" s="249"/>
      <c r="E101" s="263">
        <v>0.05</v>
      </c>
      <c r="F101" s="249">
        <f t="shared" si="18"/>
        <v>0</v>
      </c>
      <c r="G101" s="264">
        <f t="shared" si="19"/>
        <v>1413.1902480939689</v>
      </c>
      <c r="I101" s="236">
        <f t="shared" si="20"/>
        <v>10</v>
      </c>
      <c r="J101" s="249">
        <f t="shared" si="21"/>
        <v>285.94104308390024</v>
      </c>
      <c r="K101" s="249"/>
      <c r="L101" s="263">
        <v>0.05</v>
      </c>
      <c r="M101" s="249">
        <f t="shared" si="23"/>
        <v>0</v>
      </c>
      <c r="N101" s="264">
        <f t="shared" si="22"/>
        <v>285.94104308390024</v>
      </c>
    </row>
    <row r="102" spans="2:14" x14ac:dyDescent="0.25">
      <c r="B102" s="236">
        <f t="shared" si="16"/>
        <v>11</v>
      </c>
      <c r="C102" s="249">
        <f t="shared" si="17"/>
        <v>1413.1902480939689</v>
      </c>
      <c r="D102" s="249"/>
      <c r="E102" s="263">
        <v>0.05</v>
      </c>
      <c r="F102" s="249">
        <f t="shared" si="18"/>
        <v>0</v>
      </c>
      <c r="G102" s="264">
        <f t="shared" si="19"/>
        <v>1413.1902480939689</v>
      </c>
      <c r="I102" s="236">
        <f t="shared" si="20"/>
        <v>11</v>
      </c>
      <c r="J102" s="249">
        <f t="shared" si="21"/>
        <v>285.94104308390024</v>
      </c>
      <c r="K102" s="249"/>
      <c r="L102" s="263">
        <v>0.05</v>
      </c>
      <c r="M102" s="249">
        <f t="shared" si="23"/>
        <v>0</v>
      </c>
      <c r="N102" s="264">
        <f t="shared" si="22"/>
        <v>285.94104308390024</v>
      </c>
    </row>
    <row r="103" spans="2:14" x14ac:dyDescent="0.25">
      <c r="B103" s="236">
        <f t="shared" si="16"/>
        <v>12</v>
      </c>
      <c r="C103" s="249">
        <f t="shared" si="17"/>
        <v>1413.1902480939689</v>
      </c>
      <c r="D103" s="249"/>
      <c r="E103" s="263">
        <v>0.05</v>
      </c>
      <c r="F103" s="249">
        <f t="shared" si="18"/>
        <v>0</v>
      </c>
      <c r="G103" s="264">
        <f t="shared" si="19"/>
        <v>1413.1902480939689</v>
      </c>
      <c r="I103" s="236">
        <f t="shared" si="20"/>
        <v>12</v>
      </c>
      <c r="J103" s="249">
        <f t="shared" si="21"/>
        <v>285.94104308390024</v>
      </c>
      <c r="K103" s="249"/>
      <c r="L103" s="263">
        <v>0.05</v>
      </c>
      <c r="M103" s="249">
        <f t="shared" si="23"/>
        <v>0</v>
      </c>
      <c r="N103" s="264">
        <f t="shared" si="22"/>
        <v>285.94104308390024</v>
      </c>
    </row>
    <row r="104" spans="2:14" x14ac:dyDescent="0.25">
      <c r="B104" s="236">
        <f t="shared" si="16"/>
        <v>13</v>
      </c>
      <c r="C104" s="249">
        <f t="shared" si="17"/>
        <v>1413.1902480939689</v>
      </c>
      <c r="D104" s="249"/>
      <c r="E104" s="263">
        <v>0.05</v>
      </c>
      <c r="F104" s="249">
        <f t="shared" si="18"/>
        <v>0</v>
      </c>
      <c r="G104" s="264">
        <f t="shared" si="19"/>
        <v>1413.1902480939689</v>
      </c>
      <c r="I104" s="236">
        <f t="shared" si="20"/>
        <v>13</v>
      </c>
      <c r="J104" s="249">
        <f t="shared" si="21"/>
        <v>285.94104308390024</v>
      </c>
      <c r="K104" s="249"/>
      <c r="L104" s="263">
        <v>0.05</v>
      </c>
      <c r="M104" s="249">
        <f t="shared" si="23"/>
        <v>0</v>
      </c>
      <c r="N104" s="264">
        <f t="shared" si="22"/>
        <v>285.94104308390024</v>
      </c>
    </row>
    <row r="105" spans="2:14" x14ac:dyDescent="0.25">
      <c r="B105" s="236">
        <f t="shared" si="16"/>
        <v>14</v>
      </c>
      <c r="C105" s="249">
        <f t="shared" si="17"/>
        <v>1413.1902480939689</v>
      </c>
      <c r="D105" s="249"/>
      <c r="E105" s="263">
        <v>0.05</v>
      </c>
      <c r="F105" s="249">
        <f t="shared" si="18"/>
        <v>0</v>
      </c>
      <c r="G105" s="264">
        <f t="shared" si="19"/>
        <v>1413.1902480939689</v>
      </c>
      <c r="I105" s="236">
        <f t="shared" si="20"/>
        <v>14</v>
      </c>
      <c r="J105" s="249">
        <f t="shared" si="21"/>
        <v>285.94104308390024</v>
      </c>
      <c r="K105" s="249"/>
      <c r="L105" s="263">
        <v>0.05</v>
      </c>
      <c r="M105" s="249">
        <f t="shared" si="23"/>
        <v>0</v>
      </c>
      <c r="N105" s="264">
        <f t="shared" si="22"/>
        <v>285.94104308390024</v>
      </c>
    </row>
    <row r="106" spans="2:14" x14ac:dyDescent="0.25">
      <c r="B106" s="236">
        <f t="shared" si="16"/>
        <v>15</v>
      </c>
      <c r="C106" s="249">
        <f t="shared" si="17"/>
        <v>1413.1902480939689</v>
      </c>
      <c r="D106" s="249"/>
      <c r="E106" s="263">
        <v>0.05</v>
      </c>
      <c r="F106" s="249">
        <f t="shared" si="18"/>
        <v>0</v>
      </c>
      <c r="G106" s="264">
        <f t="shared" si="19"/>
        <v>1413.1902480939689</v>
      </c>
      <c r="I106" s="236">
        <f t="shared" si="20"/>
        <v>15</v>
      </c>
      <c r="J106" s="249">
        <f t="shared" si="21"/>
        <v>285.94104308390024</v>
      </c>
      <c r="K106" s="249"/>
      <c r="L106" s="263">
        <v>0.05</v>
      </c>
      <c r="M106" s="249">
        <f t="shared" si="23"/>
        <v>0</v>
      </c>
      <c r="N106" s="264">
        <f t="shared" si="22"/>
        <v>285.94104308390024</v>
      </c>
    </row>
    <row r="107" spans="2:14" x14ac:dyDescent="0.25">
      <c r="B107" s="236">
        <f t="shared" si="16"/>
        <v>16</v>
      </c>
      <c r="C107" s="249">
        <f t="shared" si="17"/>
        <v>1413.1902480939689</v>
      </c>
      <c r="D107" s="249"/>
      <c r="E107" s="263">
        <v>0.05</v>
      </c>
      <c r="F107" s="249">
        <f t="shared" si="18"/>
        <v>0</v>
      </c>
      <c r="G107" s="264">
        <f t="shared" si="19"/>
        <v>1413.1902480939689</v>
      </c>
      <c r="I107" s="236">
        <f t="shared" si="20"/>
        <v>16</v>
      </c>
      <c r="J107" s="249">
        <f t="shared" si="21"/>
        <v>285.94104308390024</v>
      </c>
      <c r="K107" s="249"/>
      <c r="L107" s="263">
        <v>0.05</v>
      </c>
      <c r="M107" s="249">
        <f t="shared" si="23"/>
        <v>0</v>
      </c>
      <c r="N107" s="264">
        <f t="shared" si="22"/>
        <v>285.94104308390024</v>
      </c>
    </row>
    <row r="108" spans="2:14" x14ac:dyDescent="0.25">
      <c r="B108" s="236">
        <f t="shared" si="16"/>
        <v>17</v>
      </c>
      <c r="C108" s="249">
        <f t="shared" si="17"/>
        <v>1413.1902480939689</v>
      </c>
      <c r="D108" s="249"/>
      <c r="E108" s="263">
        <v>0.05</v>
      </c>
      <c r="F108" s="249">
        <f t="shared" si="18"/>
        <v>0</v>
      </c>
      <c r="G108" s="264">
        <f t="shared" si="19"/>
        <v>1413.1902480939689</v>
      </c>
      <c r="I108" s="236">
        <f t="shared" si="20"/>
        <v>17</v>
      </c>
      <c r="J108" s="249">
        <f t="shared" si="21"/>
        <v>285.94104308390024</v>
      </c>
      <c r="K108" s="249"/>
      <c r="L108" s="263">
        <v>0.05</v>
      </c>
      <c r="M108" s="249">
        <f t="shared" si="23"/>
        <v>0</v>
      </c>
      <c r="N108" s="264">
        <f t="shared" si="22"/>
        <v>285.94104308390024</v>
      </c>
    </row>
    <row r="109" spans="2:14" x14ac:dyDescent="0.25">
      <c r="B109" s="236">
        <f t="shared" si="16"/>
        <v>18</v>
      </c>
      <c r="C109" s="249">
        <f t="shared" si="17"/>
        <v>1413.1902480939689</v>
      </c>
      <c r="D109" s="249"/>
      <c r="E109" s="263">
        <v>0.05</v>
      </c>
      <c r="F109" s="249">
        <f t="shared" si="18"/>
        <v>0</v>
      </c>
      <c r="G109" s="264">
        <f t="shared" si="19"/>
        <v>1413.1902480939689</v>
      </c>
      <c r="I109" s="236">
        <f t="shared" si="20"/>
        <v>18</v>
      </c>
      <c r="J109" s="249">
        <f t="shared" si="21"/>
        <v>285.94104308390024</v>
      </c>
      <c r="K109" s="249"/>
      <c r="L109" s="263">
        <v>0.05</v>
      </c>
      <c r="M109" s="249">
        <f t="shared" si="23"/>
        <v>0</v>
      </c>
      <c r="N109" s="264">
        <f t="shared" si="22"/>
        <v>285.94104308390024</v>
      </c>
    </row>
    <row r="110" spans="2:14" x14ac:dyDescent="0.25">
      <c r="B110" s="236">
        <f t="shared" si="16"/>
        <v>19</v>
      </c>
      <c r="C110" s="249">
        <f t="shared" si="17"/>
        <v>1413.1902480939689</v>
      </c>
      <c r="D110" s="249"/>
      <c r="E110" s="263">
        <v>0.05</v>
      </c>
      <c r="F110" s="249">
        <f t="shared" si="18"/>
        <v>0</v>
      </c>
      <c r="G110" s="264">
        <f t="shared" si="19"/>
        <v>1413.1902480939689</v>
      </c>
      <c r="I110" s="236">
        <f t="shared" si="20"/>
        <v>19</v>
      </c>
      <c r="J110" s="249">
        <f t="shared" si="21"/>
        <v>285.94104308390024</v>
      </c>
      <c r="K110" s="249"/>
      <c r="L110" s="263">
        <v>0.05</v>
      </c>
      <c r="M110" s="249">
        <f t="shared" si="23"/>
        <v>0</v>
      </c>
      <c r="N110" s="264">
        <f t="shared" si="22"/>
        <v>285.94104308390024</v>
      </c>
    </row>
    <row r="111" spans="2:14" x14ac:dyDescent="0.25">
      <c r="B111" s="236">
        <f t="shared" si="16"/>
        <v>20</v>
      </c>
      <c r="C111" s="249">
        <f t="shared" si="17"/>
        <v>1413.1902480939689</v>
      </c>
      <c r="D111" s="249"/>
      <c r="E111" s="263">
        <v>0.05</v>
      </c>
      <c r="F111" s="249">
        <f t="shared" si="18"/>
        <v>0</v>
      </c>
      <c r="G111" s="264">
        <f t="shared" si="19"/>
        <v>1413.1902480939689</v>
      </c>
      <c r="I111" s="236">
        <f t="shared" si="20"/>
        <v>20</v>
      </c>
      <c r="J111" s="249">
        <f t="shared" si="21"/>
        <v>285.94104308390024</v>
      </c>
      <c r="K111" s="249"/>
      <c r="L111" s="263">
        <v>0.05</v>
      </c>
      <c r="M111" s="249">
        <f t="shared" si="23"/>
        <v>0</v>
      </c>
      <c r="N111" s="264">
        <f t="shared" si="22"/>
        <v>285.94104308390024</v>
      </c>
    </row>
    <row r="112" spans="2:14" x14ac:dyDescent="0.25">
      <c r="B112" s="236">
        <f t="shared" si="16"/>
        <v>21</v>
      </c>
      <c r="C112" s="249">
        <f t="shared" si="17"/>
        <v>1413.1902480939689</v>
      </c>
      <c r="D112" s="249"/>
      <c r="E112" s="263">
        <v>0.05</v>
      </c>
      <c r="F112" s="249">
        <f t="shared" si="18"/>
        <v>0</v>
      </c>
      <c r="G112" s="264">
        <f t="shared" si="19"/>
        <v>1413.1902480939689</v>
      </c>
      <c r="I112" s="236">
        <f t="shared" si="20"/>
        <v>21</v>
      </c>
      <c r="J112" s="249">
        <f t="shared" si="21"/>
        <v>285.94104308390024</v>
      </c>
      <c r="K112" s="249"/>
      <c r="L112" s="263">
        <v>0.05</v>
      </c>
      <c r="M112" s="249">
        <f t="shared" si="23"/>
        <v>0</v>
      </c>
      <c r="N112" s="264">
        <f t="shared" si="22"/>
        <v>285.94104308390024</v>
      </c>
    </row>
    <row r="113" spans="2:14" x14ac:dyDescent="0.25">
      <c r="B113" s="236">
        <f t="shared" si="16"/>
        <v>22</v>
      </c>
      <c r="C113" s="249">
        <f t="shared" si="17"/>
        <v>1413.1902480939689</v>
      </c>
      <c r="D113" s="249"/>
      <c r="E113" s="263">
        <v>0.05</v>
      </c>
      <c r="F113" s="249">
        <f t="shared" si="18"/>
        <v>0</v>
      </c>
      <c r="G113" s="264">
        <f t="shared" si="19"/>
        <v>1413.1902480939689</v>
      </c>
      <c r="I113" s="236">
        <f t="shared" si="20"/>
        <v>22</v>
      </c>
      <c r="J113" s="249">
        <f t="shared" si="21"/>
        <v>285.94104308390024</v>
      </c>
      <c r="K113" s="249"/>
      <c r="L113" s="263">
        <v>0.05</v>
      </c>
      <c r="M113" s="249">
        <f t="shared" si="23"/>
        <v>0</v>
      </c>
      <c r="N113" s="264">
        <f t="shared" si="22"/>
        <v>285.94104308390024</v>
      </c>
    </row>
    <row r="114" spans="2:14" x14ac:dyDescent="0.25">
      <c r="B114" s="236">
        <f t="shared" si="16"/>
        <v>23</v>
      </c>
      <c r="C114" s="249">
        <f t="shared" si="17"/>
        <v>1413.1902480939689</v>
      </c>
      <c r="D114" s="249"/>
      <c r="E114" s="263">
        <v>0.05</v>
      </c>
      <c r="F114" s="249">
        <f t="shared" si="18"/>
        <v>0</v>
      </c>
      <c r="G114" s="264">
        <f t="shared" si="19"/>
        <v>1413.1902480939689</v>
      </c>
      <c r="I114" s="236">
        <f t="shared" si="20"/>
        <v>23</v>
      </c>
      <c r="J114" s="249">
        <f t="shared" si="21"/>
        <v>285.94104308390024</v>
      </c>
      <c r="K114" s="249"/>
      <c r="L114" s="263">
        <v>0.05</v>
      </c>
      <c r="M114" s="249">
        <f t="shared" si="23"/>
        <v>0</v>
      </c>
      <c r="N114" s="264">
        <f t="shared" si="22"/>
        <v>285.94104308390024</v>
      </c>
    </row>
    <row r="115" spans="2:14" x14ac:dyDescent="0.25">
      <c r="B115" s="236">
        <f t="shared" si="16"/>
        <v>24</v>
      </c>
      <c r="C115" s="249">
        <f t="shared" si="17"/>
        <v>1413.1902480939689</v>
      </c>
      <c r="D115" s="249"/>
      <c r="E115" s="263">
        <v>0.05</v>
      </c>
      <c r="F115" s="249">
        <f t="shared" si="18"/>
        <v>0</v>
      </c>
      <c r="G115" s="264">
        <f t="shared" si="19"/>
        <v>1413.1902480939689</v>
      </c>
      <c r="I115" s="236">
        <f t="shared" si="20"/>
        <v>24</v>
      </c>
      <c r="J115" s="249">
        <f t="shared" si="21"/>
        <v>285.94104308390024</v>
      </c>
      <c r="K115" s="249"/>
      <c r="L115" s="263">
        <v>0.05</v>
      </c>
      <c r="M115" s="249">
        <f t="shared" si="23"/>
        <v>0</v>
      </c>
      <c r="N115" s="264">
        <f t="shared" si="22"/>
        <v>285.94104308390024</v>
      </c>
    </row>
    <row r="116" spans="2:14" x14ac:dyDescent="0.25">
      <c r="B116" s="236">
        <f t="shared" si="16"/>
        <v>25</v>
      </c>
      <c r="C116" s="249">
        <f t="shared" si="17"/>
        <v>1413.1902480939689</v>
      </c>
      <c r="D116" s="249"/>
      <c r="E116" s="263">
        <v>0.05</v>
      </c>
      <c r="F116" s="249">
        <f t="shared" si="18"/>
        <v>0</v>
      </c>
      <c r="G116" s="264">
        <f t="shared" si="19"/>
        <v>1413.1902480939689</v>
      </c>
      <c r="I116" s="236">
        <f t="shared" si="20"/>
        <v>25</v>
      </c>
      <c r="J116" s="249">
        <f t="shared" si="21"/>
        <v>285.94104308390024</v>
      </c>
      <c r="K116" s="249"/>
      <c r="L116" s="263">
        <v>0.05</v>
      </c>
      <c r="M116" s="249">
        <f t="shared" si="23"/>
        <v>0</v>
      </c>
      <c r="N116" s="264">
        <f t="shared" si="22"/>
        <v>285.94104308390024</v>
      </c>
    </row>
    <row r="117" spans="2:14" x14ac:dyDescent="0.25">
      <c r="B117" s="236">
        <f t="shared" si="16"/>
        <v>26</v>
      </c>
      <c r="C117" s="249">
        <f t="shared" si="17"/>
        <v>1413.1902480939689</v>
      </c>
      <c r="D117" s="249"/>
      <c r="E117" s="263">
        <v>0.05</v>
      </c>
      <c r="F117" s="249">
        <f t="shared" si="18"/>
        <v>0</v>
      </c>
      <c r="G117" s="264">
        <f t="shared" si="19"/>
        <v>1413.1902480939689</v>
      </c>
      <c r="I117" s="236">
        <f t="shared" si="20"/>
        <v>26</v>
      </c>
      <c r="J117" s="249">
        <f t="shared" si="21"/>
        <v>285.94104308390024</v>
      </c>
      <c r="K117" s="249"/>
      <c r="L117" s="263">
        <v>0.05</v>
      </c>
      <c r="M117" s="249">
        <f t="shared" si="23"/>
        <v>0</v>
      </c>
      <c r="N117" s="264">
        <f t="shared" si="22"/>
        <v>285.94104308390024</v>
      </c>
    </row>
    <row r="118" spans="2:14" x14ac:dyDescent="0.25">
      <c r="B118" s="236">
        <f t="shared" si="16"/>
        <v>27</v>
      </c>
      <c r="C118" s="249">
        <f t="shared" si="17"/>
        <v>1413.1902480939689</v>
      </c>
      <c r="D118" s="249"/>
      <c r="E118" s="263">
        <v>0.05</v>
      </c>
      <c r="F118" s="249">
        <f t="shared" si="18"/>
        <v>0</v>
      </c>
      <c r="G118" s="264">
        <f t="shared" si="19"/>
        <v>1413.1902480939689</v>
      </c>
      <c r="I118" s="236">
        <f t="shared" si="20"/>
        <v>27</v>
      </c>
      <c r="J118" s="249">
        <f t="shared" si="21"/>
        <v>285.94104308390024</v>
      </c>
      <c r="K118" s="249"/>
      <c r="L118" s="263">
        <v>0.05</v>
      </c>
      <c r="M118" s="249">
        <f t="shared" si="23"/>
        <v>0</v>
      </c>
      <c r="N118" s="264">
        <f t="shared" si="22"/>
        <v>285.94104308390024</v>
      </c>
    </row>
    <row r="119" spans="2:14" x14ac:dyDescent="0.25">
      <c r="B119" s="236">
        <f t="shared" si="16"/>
        <v>28</v>
      </c>
      <c r="C119" s="249">
        <f t="shared" si="17"/>
        <v>1413.1902480939689</v>
      </c>
      <c r="D119" s="249"/>
      <c r="E119" s="263">
        <v>0.05</v>
      </c>
      <c r="F119" s="249">
        <f t="shared" si="18"/>
        <v>0</v>
      </c>
      <c r="G119" s="264">
        <f t="shared" si="19"/>
        <v>1413.1902480939689</v>
      </c>
      <c r="I119" s="236">
        <f t="shared" si="20"/>
        <v>28</v>
      </c>
      <c r="J119" s="249">
        <f t="shared" si="21"/>
        <v>285.94104308390024</v>
      </c>
      <c r="K119" s="249"/>
      <c r="L119" s="263">
        <v>0.05</v>
      </c>
      <c r="M119" s="249">
        <f t="shared" si="23"/>
        <v>0</v>
      </c>
      <c r="N119" s="264">
        <f t="shared" si="22"/>
        <v>285.94104308390024</v>
      </c>
    </row>
    <row r="120" spans="2:14" x14ac:dyDescent="0.25">
      <c r="B120" s="236">
        <f t="shared" si="16"/>
        <v>29</v>
      </c>
      <c r="C120" s="249">
        <f t="shared" si="17"/>
        <v>1413.1902480939689</v>
      </c>
      <c r="D120" s="249"/>
      <c r="E120" s="263">
        <v>0.05</v>
      </c>
      <c r="F120" s="249">
        <f t="shared" si="18"/>
        <v>0</v>
      </c>
      <c r="G120" s="264">
        <f t="shared" si="19"/>
        <v>1413.1902480939689</v>
      </c>
      <c r="I120" s="236">
        <f t="shared" si="20"/>
        <v>29</v>
      </c>
      <c r="J120" s="249">
        <f t="shared" si="21"/>
        <v>285.94104308390024</v>
      </c>
      <c r="K120" s="249"/>
      <c r="L120" s="263">
        <v>0.05</v>
      </c>
      <c r="M120" s="249">
        <f t="shared" si="23"/>
        <v>0</v>
      </c>
      <c r="N120" s="264">
        <f t="shared" si="22"/>
        <v>285.94104308390024</v>
      </c>
    </row>
    <row r="121" spans="2:14" x14ac:dyDescent="0.25">
      <c r="B121" s="236">
        <f t="shared" si="16"/>
        <v>30</v>
      </c>
      <c r="C121" s="249">
        <f t="shared" si="17"/>
        <v>1413.1902480939689</v>
      </c>
      <c r="D121" s="249"/>
      <c r="E121" s="263">
        <v>0.05</v>
      </c>
      <c r="F121" s="249">
        <f t="shared" si="18"/>
        <v>0</v>
      </c>
      <c r="G121" s="264">
        <f t="shared" si="19"/>
        <v>1413.1902480939689</v>
      </c>
      <c r="I121" s="236">
        <f t="shared" si="20"/>
        <v>30</v>
      </c>
      <c r="J121" s="249">
        <f t="shared" si="21"/>
        <v>285.94104308390024</v>
      </c>
      <c r="K121" s="249"/>
      <c r="L121" s="263">
        <v>0.05</v>
      </c>
      <c r="M121" s="249">
        <f t="shared" si="23"/>
        <v>0</v>
      </c>
      <c r="N121" s="264">
        <f t="shared" si="22"/>
        <v>285.94104308390024</v>
      </c>
    </row>
    <row r="122" spans="2:14" x14ac:dyDescent="0.25">
      <c r="B122" s="197"/>
      <c r="C122" s="194"/>
      <c r="D122" s="194"/>
      <c r="E122" s="194"/>
      <c r="F122" s="194"/>
      <c r="G122" s="195"/>
      <c r="I122" s="197"/>
      <c r="J122" s="194"/>
      <c r="K122" s="194"/>
      <c r="L122" s="194"/>
      <c r="M122" s="194"/>
      <c r="N122" s="195"/>
    </row>
    <row r="123" spans="2:14" ht="15.75" thickBot="1" x14ac:dyDescent="0.3">
      <c r="B123" s="197"/>
      <c r="C123" s="194"/>
      <c r="D123" s="194"/>
      <c r="E123" s="194"/>
      <c r="F123" s="194"/>
      <c r="G123" s="195"/>
      <c r="I123" s="197"/>
      <c r="J123" s="194"/>
      <c r="K123" s="194"/>
      <c r="L123" s="194"/>
      <c r="M123" s="194"/>
      <c r="N123" s="195"/>
    </row>
    <row r="124" spans="2:14" ht="15.75" thickBot="1" x14ac:dyDescent="0.3">
      <c r="B124" s="281" t="s">
        <v>496</v>
      </c>
      <c r="C124" s="282"/>
      <c r="D124" s="253">
        <f>SUM(D91:D123)</f>
        <v>1900</v>
      </c>
      <c r="E124" s="251"/>
      <c r="F124" s="251"/>
      <c r="G124" s="265">
        <f>G121</f>
        <v>1413.1902480939689</v>
      </c>
      <c r="I124" s="281" t="s">
        <v>496</v>
      </c>
      <c r="J124" s="282"/>
      <c r="K124" s="253">
        <f>SUM(K91:K123)</f>
        <v>300</v>
      </c>
      <c r="L124" s="251"/>
      <c r="M124" s="251"/>
      <c r="N124" s="265">
        <f>N121</f>
        <v>285.94104308390024</v>
      </c>
    </row>
    <row r="125" spans="2:14" ht="15.75" thickBot="1" x14ac:dyDescent="0.3">
      <c r="B125" s="202"/>
      <c r="C125" s="203"/>
      <c r="D125" s="203"/>
      <c r="E125" s="203"/>
      <c r="F125" s="203"/>
      <c r="G125" s="204"/>
      <c r="I125" s="202"/>
      <c r="J125" s="203"/>
      <c r="K125" s="203"/>
      <c r="L125" s="203"/>
      <c r="M125" s="203"/>
      <c r="N125" s="204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283"/>
  <sheetViews>
    <sheetView tabSelected="1" zoomScaleNormal="100" workbookViewId="0">
      <pane xSplit="2" ySplit="3" topLeftCell="P30" activePane="bottomRight" state="frozen"/>
      <selection pane="topRight" activeCell="C1" sqref="C1"/>
      <selection pane="bottomLeft" activeCell="A5" sqref="A5"/>
      <selection pane="bottomRight" activeCell="Y57" sqref="Y57"/>
    </sheetView>
  </sheetViews>
  <sheetFormatPr defaultRowHeight="12.75" x14ac:dyDescent="0.2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2" width="10.7109375" style="89" customWidth="1"/>
    <col min="23" max="23" width="9.85546875" style="89" customWidth="1"/>
    <col min="24" max="24" width="10.85546875" style="89" bestFit="1" customWidth="1"/>
    <col min="25" max="26" width="9.7109375" style="89" bestFit="1" customWidth="1"/>
    <col min="27" max="33" width="8" style="89" bestFit="1" customWidth="1"/>
    <col min="34" max="34" width="11.28515625" style="89" bestFit="1" customWidth="1"/>
    <col min="35" max="35" width="9.28515625" style="89" bestFit="1" customWidth="1"/>
    <col min="36" max="36" width="9" style="89" customWidth="1"/>
    <col min="37" max="37" width="10.7109375" style="89" customWidth="1"/>
    <col min="38" max="16384" width="9.140625" style="89"/>
  </cols>
  <sheetData>
    <row r="1" spans="2:37" x14ac:dyDescent="0.2">
      <c r="B1" s="106" t="s">
        <v>506</v>
      </c>
      <c r="C1" s="275">
        <f>S2</f>
        <v>0.22</v>
      </c>
      <c r="I1" s="89" t="s">
        <v>209</v>
      </c>
      <c r="K1" s="107">
        <v>2016</v>
      </c>
      <c r="M1" s="89" t="s">
        <v>271</v>
      </c>
      <c r="O1" s="137">
        <v>0.01</v>
      </c>
      <c r="Q1" s="89" t="s">
        <v>340</v>
      </c>
      <c r="S1" s="137">
        <v>0.01</v>
      </c>
    </row>
    <row r="2" spans="2:37" x14ac:dyDescent="0.2">
      <c r="B2" s="129" t="s">
        <v>261</v>
      </c>
      <c r="C2" s="103"/>
      <c r="I2" s="89" t="s">
        <v>210</v>
      </c>
      <c r="K2" s="107">
        <v>2019</v>
      </c>
      <c r="M2" s="89" t="s">
        <v>272</v>
      </c>
      <c r="O2" s="137">
        <v>0.15</v>
      </c>
      <c r="Q2" s="89" t="s">
        <v>405</v>
      </c>
      <c r="S2" s="137">
        <v>0.22</v>
      </c>
      <c r="Y2" s="98" t="s">
        <v>5</v>
      </c>
      <c r="Z2" s="98" t="s">
        <v>6</v>
      </c>
      <c r="AA2" s="98" t="s">
        <v>7</v>
      </c>
      <c r="AB2" s="98" t="s">
        <v>8</v>
      </c>
      <c r="AC2" s="98" t="s">
        <v>9</v>
      </c>
      <c r="AD2" s="98" t="s">
        <v>192</v>
      </c>
      <c r="AE2" s="98" t="s">
        <v>193</v>
      </c>
      <c r="AF2" s="98" t="s">
        <v>194</v>
      </c>
      <c r="AG2" s="98" t="s">
        <v>195</v>
      </c>
      <c r="AH2" s="98" t="s">
        <v>196</v>
      </c>
      <c r="AJ2" s="306" t="s">
        <v>240</v>
      </c>
      <c r="AK2" s="307"/>
    </row>
    <row r="3" spans="2:37" x14ac:dyDescent="0.2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9" t="s">
        <v>1</v>
      </c>
      <c r="X3" s="99" t="s">
        <v>211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113" t="s">
        <v>1</v>
      </c>
      <c r="AJ3" s="308" t="s">
        <v>241</v>
      </c>
      <c r="AK3" s="309"/>
    </row>
    <row r="4" spans="2:37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14"/>
      <c r="AJ4" s="10"/>
      <c r="AK4" s="10"/>
    </row>
    <row r="5" spans="2:37" x14ac:dyDescent="0.2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0"/>
      <c r="X5" s="1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14"/>
      <c r="AJ5" s="10"/>
      <c r="AK5" s="130"/>
    </row>
    <row r="6" spans="2:37" x14ac:dyDescent="0.2">
      <c r="B6" s="10" t="s">
        <v>10</v>
      </c>
      <c r="C6" s="118"/>
      <c r="D6" s="118"/>
      <c r="E6" s="124"/>
      <c r="F6" s="124"/>
      <c r="G6" s="178">
        <v>10236.61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78">
        <v>10236.61</v>
      </c>
      <c r="T6" s="178">
        <v>11277.97</v>
      </c>
      <c r="U6" s="178">
        <v>11870</v>
      </c>
      <c r="V6" s="178">
        <v>13417</v>
      </c>
      <c r="W6" s="101">
        <f>((V6/G6)^(1/($K$2-$K$1) ))-1</f>
        <v>9.4375648352167607E-2</v>
      </c>
      <c r="X6" s="21">
        <f>$O$2</f>
        <v>0.15</v>
      </c>
      <c r="Y6" s="130">
        <f>U6*(1+$X6)</f>
        <v>13650.499999999998</v>
      </c>
      <c r="Z6" s="130">
        <f>Y6*(1+$X6)</f>
        <v>15698.074999999997</v>
      </c>
      <c r="AA6" s="130">
        <f t="shared" ref="AA6:AH6" si="0">Z6*(1+$X6)</f>
        <v>18052.786249999994</v>
      </c>
      <c r="AB6" s="130">
        <f t="shared" si="0"/>
        <v>20760.704187499992</v>
      </c>
      <c r="AC6" s="130">
        <f t="shared" si="0"/>
        <v>23874.809815624991</v>
      </c>
      <c r="AD6" s="130">
        <f t="shared" si="0"/>
        <v>27456.031287968737</v>
      </c>
      <c r="AE6" s="130">
        <f t="shared" si="0"/>
        <v>31574.435981164046</v>
      </c>
      <c r="AF6" s="130">
        <f t="shared" si="0"/>
        <v>36310.601378338652</v>
      </c>
      <c r="AG6" s="130">
        <f t="shared" si="0"/>
        <v>41757.191585089444</v>
      </c>
      <c r="AH6" s="130">
        <f t="shared" si="0"/>
        <v>48020.770322852855</v>
      </c>
      <c r="AI6" s="115">
        <f>((AH6/G6)^(1/($AH$3-$K$1) ))-1</f>
        <v>0.12625409202322535</v>
      </c>
      <c r="AJ6" s="21">
        <f>$O$1</f>
        <v>0.01</v>
      </c>
      <c r="AK6" s="123" t="e">
        <f>(AH6*(1+AJ6))/($O$1-AJ6)</f>
        <v>#DIV/0!</v>
      </c>
    </row>
    <row r="7" spans="2:37" x14ac:dyDescent="0.2">
      <c r="B7" s="10" t="s">
        <v>198</v>
      </c>
      <c r="C7" s="118"/>
      <c r="D7" s="118"/>
      <c r="E7" s="124"/>
      <c r="F7" s="124"/>
      <c r="G7" s="178">
        <v>13632.55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78">
        <v>13632.55</v>
      </c>
      <c r="T7" s="178">
        <v>14678</v>
      </c>
      <c r="U7" s="178">
        <f>U6+3404</f>
        <v>15274</v>
      </c>
      <c r="V7" s="178">
        <v>18198</v>
      </c>
      <c r="W7" s="101">
        <f>((V7/G7)^(1/($K$2-$K$1) ))-1</f>
        <v>0.10107149729617304</v>
      </c>
      <c r="X7" s="21">
        <f>$O$2</f>
        <v>0.15</v>
      </c>
      <c r="Y7" s="130">
        <f>U7*(1+$X7)</f>
        <v>17565.099999999999</v>
      </c>
      <c r="Z7" s="130">
        <f t="shared" ref="Z7:AH7" si="1">Y7*(1+$X7)</f>
        <v>20199.864999999998</v>
      </c>
      <c r="AA7" s="130">
        <f t="shared" si="1"/>
        <v>23229.844749999997</v>
      </c>
      <c r="AB7" s="130">
        <f t="shared" si="1"/>
        <v>26714.321462499993</v>
      </c>
      <c r="AC7" s="130">
        <f t="shared" si="1"/>
        <v>30721.469681874991</v>
      </c>
      <c r="AD7" s="130">
        <f t="shared" si="1"/>
        <v>35329.690134156233</v>
      </c>
      <c r="AE7" s="130">
        <f t="shared" si="1"/>
        <v>40629.143654279665</v>
      </c>
      <c r="AF7" s="130">
        <f t="shared" si="1"/>
        <v>46723.515202421615</v>
      </c>
      <c r="AG7" s="130">
        <f t="shared" si="1"/>
        <v>53732.042482784855</v>
      </c>
      <c r="AH7" s="130">
        <f t="shared" si="1"/>
        <v>61791.848855202581</v>
      </c>
      <c r="AI7" s="115">
        <f t="shared" ref="AI7:AI63" si="2">((AH7/G7)^(1/($AH$3-$K$1) ))-1</f>
        <v>0.12328193947293586</v>
      </c>
      <c r="AJ7" s="21">
        <f>$O$1</f>
        <v>0.01</v>
      </c>
      <c r="AK7" s="123" t="e">
        <f>(AH7*(1+AJ7))/($O$1-AJ7)</f>
        <v>#DIV/0!</v>
      </c>
    </row>
    <row r="8" spans="2:37" x14ac:dyDescent="0.2">
      <c r="B8" s="10"/>
      <c r="C8" s="118"/>
      <c r="D8" s="118"/>
      <c r="E8" s="124"/>
      <c r="F8" s="266"/>
      <c r="G8" s="127" t="e">
        <f t="shared" ref="G8" si="3">(G7-F7)/F7</f>
        <v>#DIV/0!</v>
      </c>
      <c r="H8" s="127" t="e">
        <f>(H7-G7)/H7</f>
        <v>#DIV/0!</v>
      </c>
      <c r="I8" s="127" t="e">
        <f t="shared" ref="I8:R8" si="4">(I7-H7)/I7</f>
        <v>#DIV/0!</v>
      </c>
      <c r="J8" s="127" t="e">
        <f t="shared" si="4"/>
        <v>#DIV/0!</v>
      </c>
      <c r="K8" s="127" t="e">
        <f t="shared" si="4"/>
        <v>#DIV/0!</v>
      </c>
      <c r="L8" s="127" t="e">
        <f t="shared" si="4"/>
        <v>#DIV/0!</v>
      </c>
      <c r="M8" s="127" t="e">
        <f t="shared" si="4"/>
        <v>#DIV/0!</v>
      </c>
      <c r="N8" s="127" t="e">
        <f t="shared" si="4"/>
        <v>#DIV/0!</v>
      </c>
      <c r="O8" s="127" t="e">
        <f t="shared" si="4"/>
        <v>#DIV/0!</v>
      </c>
      <c r="P8" s="127" t="e">
        <f t="shared" si="4"/>
        <v>#DIV/0!</v>
      </c>
      <c r="Q8" s="127" t="e">
        <f t="shared" si="4"/>
        <v>#DIV/0!</v>
      </c>
      <c r="R8" s="127" t="e">
        <f t="shared" si="4"/>
        <v>#DIV/0!</v>
      </c>
      <c r="S8" s="127" t="e">
        <f t="shared" ref="S8:U8" si="5">(S7-R7)/R7</f>
        <v>#DIV/0!</v>
      </c>
      <c r="T8" s="127">
        <f t="shared" si="5"/>
        <v>7.6687780349237733E-2</v>
      </c>
      <c r="U8" s="127">
        <f t="shared" si="5"/>
        <v>4.0604987055457148E-2</v>
      </c>
      <c r="V8" s="127">
        <f t="shared" ref="V8" si="6">(V7-U7)/U7</f>
        <v>0.19143642791672122</v>
      </c>
      <c r="W8" s="10"/>
      <c r="X8" s="1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14"/>
      <c r="AJ8" s="114"/>
      <c r="AK8" s="123"/>
    </row>
    <row r="9" spans="2:37" x14ac:dyDescent="0.2">
      <c r="B9" s="10" t="s">
        <v>220</v>
      </c>
      <c r="C9" s="118"/>
      <c r="D9" s="118"/>
      <c r="E9" s="124"/>
      <c r="F9" s="124"/>
      <c r="G9" s="178">
        <v>4204.4399999999996</v>
      </c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78">
        <v>4204.4399999999996</v>
      </c>
      <c r="T9" s="178">
        <v>7011</v>
      </c>
      <c r="U9" s="178">
        <v>0</v>
      </c>
      <c r="V9" s="178">
        <v>0</v>
      </c>
      <c r="W9" s="101">
        <f>((V9/G9)^(1/($K$2-$K$1) ))-1</f>
        <v>-1</v>
      </c>
      <c r="X9" s="21">
        <f t="shared" ref="X9:X59" si="7">$O$2</f>
        <v>0.15</v>
      </c>
      <c r="Y9" s="130">
        <f t="shared" ref="Y9:Y63" si="8">U9*(1+$X9)</f>
        <v>0</v>
      </c>
      <c r="Z9" s="130">
        <f t="shared" ref="Z9" si="9">Y9*(1+$X9)</f>
        <v>0</v>
      </c>
      <c r="AA9" s="130">
        <f t="shared" ref="AA9" si="10">Z9*(1+$X9)</f>
        <v>0</v>
      </c>
      <c r="AB9" s="130">
        <f t="shared" ref="AB9" si="11">AA9*(1+$X9)</f>
        <v>0</v>
      </c>
      <c r="AC9" s="130">
        <f t="shared" ref="AC9" si="12">AB9*(1+$X9)</f>
        <v>0</v>
      </c>
      <c r="AD9" s="130">
        <f t="shared" ref="AD9" si="13">AC9*(1+$X9)</f>
        <v>0</v>
      </c>
      <c r="AE9" s="130">
        <f t="shared" ref="AE9" si="14">AD9*(1+$X9)</f>
        <v>0</v>
      </c>
      <c r="AF9" s="130">
        <f t="shared" ref="AF9" si="15">AE9*(1+$X9)</f>
        <v>0</v>
      </c>
      <c r="AG9" s="130">
        <f t="shared" ref="AG9" si="16">AF9*(1+$X9)</f>
        <v>0</v>
      </c>
      <c r="AH9" s="130">
        <f t="shared" ref="AH9" si="17">AG9*(1+$X9)</f>
        <v>0</v>
      </c>
      <c r="AI9" s="115">
        <f t="shared" si="2"/>
        <v>-1</v>
      </c>
      <c r="AJ9" s="21">
        <f t="shared" ref="AJ9:AJ103" si="18">$O$1</f>
        <v>0.01</v>
      </c>
      <c r="AK9" s="123" t="e">
        <f>(AH9*(1+AJ9))/($O$1-AJ9)</f>
        <v>#DIV/0!</v>
      </c>
    </row>
    <row r="10" spans="2:37" x14ac:dyDescent="0.2">
      <c r="B10" s="10" t="s">
        <v>3</v>
      </c>
      <c r="C10" s="118"/>
      <c r="D10" s="118"/>
      <c r="E10" s="124"/>
      <c r="F10" s="124"/>
      <c r="G10" s="178">
        <v>56132</v>
      </c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78">
        <v>56132</v>
      </c>
      <c r="T10" s="178">
        <v>90470</v>
      </c>
      <c r="U10" s="178">
        <v>105326</v>
      </c>
      <c r="V10" s="178">
        <v>140336</v>
      </c>
      <c r="W10" s="101">
        <f>((V10/G10)^(1/($K$2-$K$1) ))-1</f>
        <v>0.3572281511245845</v>
      </c>
      <c r="X10" s="21">
        <f t="shared" si="7"/>
        <v>0.15</v>
      </c>
      <c r="Y10" s="130">
        <f t="shared" si="8"/>
        <v>121124.9</v>
      </c>
      <c r="Z10" s="130">
        <f t="shared" ref="Z10:AH10" si="19">Y10*(1+$X10)</f>
        <v>139293.63499999998</v>
      </c>
      <c r="AA10" s="130">
        <f t="shared" si="19"/>
        <v>160187.68024999998</v>
      </c>
      <c r="AB10" s="130">
        <f t="shared" si="19"/>
        <v>184215.83228749997</v>
      </c>
      <c r="AC10" s="130">
        <f t="shared" si="19"/>
        <v>211848.20713062494</v>
      </c>
      <c r="AD10" s="130">
        <f t="shared" si="19"/>
        <v>243625.43820021866</v>
      </c>
      <c r="AE10" s="130">
        <f t="shared" si="19"/>
        <v>280169.25393025146</v>
      </c>
      <c r="AF10" s="130">
        <f t="shared" si="19"/>
        <v>322194.64201978914</v>
      </c>
      <c r="AG10" s="130">
        <f t="shared" si="19"/>
        <v>370523.83832275751</v>
      </c>
      <c r="AH10" s="130">
        <f t="shared" si="19"/>
        <v>426102.41407117108</v>
      </c>
      <c r="AI10" s="115">
        <f t="shared" si="2"/>
        <v>0.16873392935160347</v>
      </c>
      <c r="AJ10" s="21">
        <f t="shared" si="18"/>
        <v>0.01</v>
      </c>
      <c r="AK10" s="123" t="e">
        <f>(AH10*(1+AJ10))/($O$1-AJ10)</f>
        <v>#DIV/0!</v>
      </c>
    </row>
    <row r="11" spans="2:37" x14ac:dyDescent="0.2">
      <c r="B11" s="10"/>
      <c r="C11" s="118"/>
      <c r="D11" s="118"/>
      <c r="E11" s="124"/>
      <c r="F11" s="266"/>
      <c r="G11" s="127" t="e">
        <f t="shared" ref="G11" si="20">(G10-F10)/F10</f>
        <v>#DIV/0!</v>
      </c>
      <c r="H11" s="266" t="e">
        <f t="shared" ref="H11:R11" si="21">(H10-G10)/H10</f>
        <v>#DIV/0!</v>
      </c>
      <c r="I11" s="266" t="e">
        <f t="shared" si="21"/>
        <v>#DIV/0!</v>
      </c>
      <c r="J11" s="266" t="e">
        <f t="shared" si="21"/>
        <v>#DIV/0!</v>
      </c>
      <c r="K11" s="266" t="e">
        <f t="shared" si="21"/>
        <v>#DIV/0!</v>
      </c>
      <c r="L11" s="266" t="e">
        <f t="shared" si="21"/>
        <v>#DIV/0!</v>
      </c>
      <c r="M11" s="266" t="e">
        <f t="shared" si="21"/>
        <v>#DIV/0!</v>
      </c>
      <c r="N11" s="266" t="e">
        <f t="shared" si="21"/>
        <v>#DIV/0!</v>
      </c>
      <c r="O11" s="266" t="e">
        <f t="shared" si="21"/>
        <v>#DIV/0!</v>
      </c>
      <c r="P11" s="266" t="e">
        <f t="shared" si="21"/>
        <v>#DIV/0!</v>
      </c>
      <c r="Q11" s="266" t="e">
        <f t="shared" si="21"/>
        <v>#DIV/0!</v>
      </c>
      <c r="R11" s="266" t="e">
        <f t="shared" si="21"/>
        <v>#DIV/0!</v>
      </c>
      <c r="S11" s="127" t="e">
        <f t="shared" ref="S11:U11" si="22">(S10-R10)/R10</f>
        <v>#DIV/0!</v>
      </c>
      <c r="T11" s="127">
        <f t="shared" si="22"/>
        <v>0.61173662082234737</v>
      </c>
      <c r="U11" s="127">
        <f t="shared" si="22"/>
        <v>0.16420913009837515</v>
      </c>
      <c r="V11" s="127">
        <f t="shared" ref="V11" si="23">(V10-U10)/U10</f>
        <v>0.33239655925412531</v>
      </c>
      <c r="W11" s="10"/>
      <c r="X11" s="1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14"/>
      <c r="AJ11" s="114"/>
      <c r="AK11" s="114"/>
    </row>
    <row r="12" spans="2:37" x14ac:dyDescent="0.2">
      <c r="B12" s="10" t="s">
        <v>2</v>
      </c>
      <c r="C12" s="118"/>
      <c r="D12" s="118"/>
      <c r="E12" s="124"/>
      <c r="F12" s="124"/>
      <c r="G12" s="178">
        <v>1900</v>
      </c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78">
        <v>1900</v>
      </c>
      <c r="T12" s="178">
        <v>3036</v>
      </c>
      <c r="U12" s="178">
        <v>0</v>
      </c>
      <c r="V12" s="178">
        <v>0</v>
      </c>
      <c r="W12" s="101">
        <f>((V12/G12)^(1/($K$2-$K$1) ))-1</f>
        <v>-1</v>
      </c>
      <c r="X12" s="21">
        <f t="shared" si="7"/>
        <v>0.15</v>
      </c>
      <c r="Y12" s="130">
        <f t="shared" si="8"/>
        <v>0</v>
      </c>
      <c r="Z12" s="130">
        <f t="shared" ref="Z12:AH12" si="24">Y12*(1+$X12)</f>
        <v>0</v>
      </c>
      <c r="AA12" s="130">
        <f t="shared" si="24"/>
        <v>0</v>
      </c>
      <c r="AB12" s="130">
        <f t="shared" si="24"/>
        <v>0</v>
      </c>
      <c r="AC12" s="130">
        <f t="shared" si="24"/>
        <v>0</v>
      </c>
      <c r="AD12" s="130">
        <f t="shared" si="24"/>
        <v>0</v>
      </c>
      <c r="AE12" s="130">
        <f t="shared" si="24"/>
        <v>0</v>
      </c>
      <c r="AF12" s="130">
        <f t="shared" si="24"/>
        <v>0</v>
      </c>
      <c r="AG12" s="130">
        <f t="shared" si="24"/>
        <v>0</v>
      </c>
      <c r="AH12" s="130">
        <f t="shared" si="24"/>
        <v>0</v>
      </c>
      <c r="AI12" s="115">
        <f t="shared" si="2"/>
        <v>-1</v>
      </c>
      <c r="AJ12" s="21">
        <f t="shared" si="18"/>
        <v>0.01</v>
      </c>
      <c r="AK12" s="123" t="e">
        <f t="shared" ref="AK12:AK74" si="25">(AH12*(1+AJ12))/($O$1-AJ12)</f>
        <v>#DIV/0!</v>
      </c>
    </row>
    <row r="13" spans="2:37" x14ac:dyDescent="0.2">
      <c r="B13" s="10" t="s">
        <v>191</v>
      </c>
      <c r="C13" s="118"/>
      <c r="D13" s="118"/>
      <c r="E13" s="124"/>
      <c r="F13" s="124"/>
      <c r="G13" s="178">
        <v>20091</v>
      </c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78">
        <v>20091</v>
      </c>
      <c r="T13" s="178">
        <v>50471</v>
      </c>
      <c r="U13" s="178">
        <v>60904</v>
      </c>
      <c r="V13" s="178">
        <v>58245</v>
      </c>
      <c r="W13" s="101">
        <f t="shared" ref="W13:W67" si="26">((V13/G13)^(1/($K$2-$K$1) ))-1</f>
        <v>0.42588893426894603</v>
      </c>
      <c r="X13" s="21">
        <f t="shared" si="7"/>
        <v>0.15</v>
      </c>
      <c r="Y13" s="130">
        <f t="shared" si="8"/>
        <v>70039.599999999991</v>
      </c>
      <c r="Z13" s="130">
        <f t="shared" ref="Z13:AH13" si="27">Y13*(1+$X13)</f>
        <v>80545.539999999979</v>
      </c>
      <c r="AA13" s="130">
        <f t="shared" si="27"/>
        <v>92627.37099999997</v>
      </c>
      <c r="AB13" s="130">
        <f t="shared" si="27"/>
        <v>106521.47664999995</v>
      </c>
      <c r="AC13" s="130">
        <f t="shared" si="27"/>
        <v>122499.69814749993</v>
      </c>
      <c r="AD13" s="130">
        <f t="shared" si="27"/>
        <v>140874.6528696249</v>
      </c>
      <c r="AE13" s="130">
        <f t="shared" si="27"/>
        <v>162005.85080006861</v>
      </c>
      <c r="AF13" s="130">
        <f t="shared" si="27"/>
        <v>186306.7284200789</v>
      </c>
      <c r="AG13" s="130">
        <f t="shared" si="27"/>
        <v>214252.73768309073</v>
      </c>
      <c r="AH13" s="130">
        <f t="shared" si="27"/>
        <v>246390.64833555432</v>
      </c>
      <c r="AI13" s="115">
        <f t="shared" si="2"/>
        <v>0.21266321855630754</v>
      </c>
      <c r="AJ13" s="21">
        <f t="shared" si="18"/>
        <v>0.01</v>
      </c>
      <c r="AK13" s="123" t="e">
        <f t="shared" si="25"/>
        <v>#DIV/0!</v>
      </c>
    </row>
    <row r="14" spans="2:37" x14ac:dyDescent="0.2">
      <c r="B14" s="10" t="s">
        <v>315</v>
      </c>
      <c r="C14" s="118"/>
      <c r="D14" s="118"/>
      <c r="E14" s="124"/>
      <c r="F14" s="124"/>
      <c r="G14" s="178">
        <v>0</v>
      </c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78">
        <v>0</v>
      </c>
      <c r="T14" s="178">
        <v>0</v>
      </c>
      <c r="U14" s="178"/>
      <c r="V14" s="178"/>
      <c r="W14" s="101" t="e">
        <f t="shared" si="26"/>
        <v>#DIV/0!</v>
      </c>
      <c r="X14" s="21">
        <f t="shared" si="7"/>
        <v>0.15</v>
      </c>
      <c r="Y14" s="130">
        <f t="shared" si="8"/>
        <v>0</v>
      </c>
      <c r="Z14" s="130">
        <f t="shared" ref="Z14" si="28">Y14*(1+$X14)</f>
        <v>0</v>
      </c>
      <c r="AA14" s="130">
        <f t="shared" ref="AA14" si="29">Z14*(1+$X14)</f>
        <v>0</v>
      </c>
      <c r="AB14" s="130">
        <f t="shared" ref="AB14" si="30">AA14*(1+$X14)</f>
        <v>0</v>
      </c>
      <c r="AC14" s="130">
        <f t="shared" ref="AC14" si="31">AB14*(1+$X14)</f>
        <v>0</v>
      </c>
      <c r="AD14" s="130">
        <f t="shared" ref="AD14" si="32">AC14*(1+$X14)</f>
        <v>0</v>
      </c>
      <c r="AE14" s="130">
        <f t="shared" ref="AE14" si="33">AD14*(1+$X14)</f>
        <v>0</v>
      </c>
      <c r="AF14" s="130">
        <f t="shared" ref="AF14" si="34">AE14*(1+$X14)</f>
        <v>0</v>
      </c>
      <c r="AG14" s="130">
        <f t="shared" ref="AG14" si="35">AF14*(1+$X14)</f>
        <v>0</v>
      </c>
      <c r="AH14" s="130">
        <f t="shared" ref="AH14" si="36">AG14*(1+$X14)</f>
        <v>0</v>
      </c>
      <c r="AI14" s="115" t="e">
        <f t="shared" si="2"/>
        <v>#DIV/0!</v>
      </c>
      <c r="AJ14" s="21">
        <f t="shared" si="18"/>
        <v>0.01</v>
      </c>
      <c r="AK14" s="123" t="e">
        <f t="shared" si="25"/>
        <v>#DIV/0!</v>
      </c>
    </row>
    <row r="15" spans="2:37" x14ac:dyDescent="0.2">
      <c r="B15" s="10" t="s">
        <v>11</v>
      </c>
      <c r="C15" s="118"/>
      <c r="D15" s="118"/>
      <c r="E15" s="124"/>
      <c r="F15" s="124"/>
      <c r="G15" s="178">
        <v>0</v>
      </c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78">
        <v>0</v>
      </c>
      <c r="T15" s="178">
        <v>0</v>
      </c>
      <c r="U15" s="178"/>
      <c r="V15" s="178"/>
      <c r="W15" s="101" t="e">
        <f t="shared" si="26"/>
        <v>#DIV/0!</v>
      </c>
      <c r="X15" s="21">
        <f t="shared" si="7"/>
        <v>0.15</v>
      </c>
      <c r="Y15" s="130">
        <f t="shared" si="8"/>
        <v>0</v>
      </c>
      <c r="Z15" s="130">
        <f t="shared" ref="Z15:AH15" si="37">Y15*(1+$X15)</f>
        <v>0</v>
      </c>
      <c r="AA15" s="130">
        <f t="shared" si="37"/>
        <v>0</v>
      </c>
      <c r="AB15" s="130">
        <f t="shared" si="37"/>
        <v>0</v>
      </c>
      <c r="AC15" s="130">
        <f t="shared" si="37"/>
        <v>0</v>
      </c>
      <c r="AD15" s="130">
        <f t="shared" si="37"/>
        <v>0</v>
      </c>
      <c r="AE15" s="130">
        <f t="shared" si="37"/>
        <v>0</v>
      </c>
      <c r="AF15" s="130">
        <f t="shared" si="37"/>
        <v>0</v>
      </c>
      <c r="AG15" s="130">
        <f t="shared" si="37"/>
        <v>0</v>
      </c>
      <c r="AH15" s="130">
        <f t="shared" si="37"/>
        <v>0</v>
      </c>
      <c r="AI15" s="115" t="e">
        <f t="shared" si="2"/>
        <v>#DIV/0!</v>
      </c>
      <c r="AJ15" s="21">
        <f t="shared" si="18"/>
        <v>0.01</v>
      </c>
      <c r="AK15" s="123" t="e">
        <f t="shared" si="25"/>
        <v>#DIV/0!</v>
      </c>
    </row>
    <row r="16" spans="2:37" x14ac:dyDescent="0.2">
      <c r="B16" s="10" t="s">
        <v>12</v>
      </c>
      <c r="C16" s="118"/>
      <c r="D16" s="118"/>
      <c r="E16" s="124"/>
      <c r="F16" s="124"/>
      <c r="G16" s="178">
        <v>0</v>
      </c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78">
        <v>0</v>
      </c>
      <c r="T16" s="178">
        <v>0</v>
      </c>
      <c r="U16" s="178"/>
      <c r="V16" s="178"/>
      <c r="W16" s="101" t="e">
        <f t="shared" si="26"/>
        <v>#DIV/0!</v>
      </c>
      <c r="X16" s="21">
        <f t="shared" si="7"/>
        <v>0.15</v>
      </c>
      <c r="Y16" s="130">
        <f t="shared" si="8"/>
        <v>0</v>
      </c>
      <c r="Z16" s="130">
        <f t="shared" ref="Z16:AH16" si="38">Y16*(1+$X16)</f>
        <v>0</v>
      </c>
      <c r="AA16" s="130">
        <f t="shared" si="38"/>
        <v>0</v>
      </c>
      <c r="AB16" s="130">
        <f t="shared" si="38"/>
        <v>0</v>
      </c>
      <c r="AC16" s="130">
        <f t="shared" si="38"/>
        <v>0</v>
      </c>
      <c r="AD16" s="130">
        <f t="shared" si="38"/>
        <v>0</v>
      </c>
      <c r="AE16" s="130">
        <f t="shared" si="38"/>
        <v>0</v>
      </c>
      <c r="AF16" s="130">
        <f t="shared" si="38"/>
        <v>0</v>
      </c>
      <c r="AG16" s="130">
        <f t="shared" si="38"/>
        <v>0</v>
      </c>
      <c r="AH16" s="130">
        <f t="shared" si="38"/>
        <v>0</v>
      </c>
      <c r="AI16" s="115" t="e">
        <f t="shared" si="2"/>
        <v>#DIV/0!</v>
      </c>
      <c r="AJ16" s="21">
        <f t="shared" si="18"/>
        <v>0.01</v>
      </c>
      <c r="AK16" s="123" t="e">
        <f t="shared" si="25"/>
        <v>#DIV/0!</v>
      </c>
    </row>
    <row r="17" spans="2:37" x14ac:dyDescent="0.2">
      <c r="B17" s="10"/>
      <c r="C17" s="118"/>
      <c r="D17" s="118"/>
      <c r="E17" s="124"/>
      <c r="F17" s="124"/>
      <c r="G17" s="178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78"/>
      <c r="T17" s="178"/>
      <c r="U17" s="178"/>
      <c r="V17" s="178"/>
      <c r="W17" s="10"/>
      <c r="X17" s="1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14"/>
      <c r="AJ17" s="114"/>
      <c r="AK17" s="114"/>
    </row>
    <row r="18" spans="2:37" x14ac:dyDescent="0.2">
      <c r="B18" s="10" t="s">
        <v>228</v>
      </c>
      <c r="C18" s="118"/>
      <c r="D18" s="118"/>
      <c r="E18" s="124"/>
      <c r="F18" s="124"/>
      <c r="G18" s="178">
        <v>0</v>
      </c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78">
        <v>0</v>
      </c>
      <c r="T18" s="178">
        <v>0</v>
      </c>
      <c r="U18" s="178"/>
      <c r="V18" s="178"/>
      <c r="W18" s="101" t="e">
        <f t="shared" si="26"/>
        <v>#DIV/0!</v>
      </c>
      <c r="X18" s="21">
        <f t="shared" si="7"/>
        <v>0.15</v>
      </c>
      <c r="Y18" s="130">
        <f t="shared" si="8"/>
        <v>0</v>
      </c>
      <c r="Z18" s="130">
        <f t="shared" ref="Z18:Z34" si="39">Y18*(1+$X18)</f>
        <v>0</v>
      </c>
      <c r="AA18" s="130">
        <f t="shared" ref="AA18:AA34" si="40">Z18*(1+$X18)</f>
        <v>0</v>
      </c>
      <c r="AB18" s="130">
        <f t="shared" ref="AB18:AB34" si="41">AA18*(1+$X18)</f>
        <v>0</v>
      </c>
      <c r="AC18" s="130">
        <f t="shared" ref="AC18:AC53" si="42">AB18*(1+$X18)</f>
        <v>0</v>
      </c>
      <c r="AD18" s="130">
        <f t="shared" ref="AD18:AD53" si="43">AC18*(1+$X18)</f>
        <v>0</v>
      </c>
      <c r="AE18" s="130">
        <f t="shared" ref="AE18:AE53" si="44">AD18*(1+$X18)</f>
        <v>0</v>
      </c>
      <c r="AF18" s="130">
        <f t="shared" ref="AF18:AF53" si="45">AE18*(1+$X18)</f>
        <v>0</v>
      </c>
      <c r="AG18" s="130">
        <f t="shared" ref="AG18:AG53" si="46">AF18*(1+$X18)</f>
        <v>0</v>
      </c>
      <c r="AH18" s="130">
        <f t="shared" ref="AH18:AH53" si="47">AG18*(1+$X18)</f>
        <v>0</v>
      </c>
      <c r="AI18" s="115" t="e">
        <f t="shared" si="2"/>
        <v>#DIV/0!</v>
      </c>
      <c r="AJ18" s="21">
        <f t="shared" si="18"/>
        <v>0.01</v>
      </c>
      <c r="AK18" s="123" t="e">
        <f t="shared" si="25"/>
        <v>#DIV/0!</v>
      </c>
    </row>
    <row r="19" spans="2:37" x14ac:dyDescent="0.2">
      <c r="B19" s="10"/>
      <c r="C19" s="118"/>
      <c r="D19" s="118"/>
      <c r="E19" s="124"/>
      <c r="F19" s="124"/>
      <c r="G19" s="178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78"/>
      <c r="T19" s="178"/>
      <c r="U19" s="178"/>
      <c r="V19" s="178"/>
      <c r="W19" s="10"/>
      <c r="X19" s="1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14"/>
      <c r="AJ19" s="114"/>
      <c r="AK19" s="114"/>
    </row>
    <row r="20" spans="2:37" x14ac:dyDescent="0.2">
      <c r="B20" s="10" t="s">
        <v>233</v>
      </c>
      <c r="C20" s="118"/>
      <c r="D20" s="118"/>
      <c r="E20" s="124"/>
      <c r="F20" s="124"/>
      <c r="G20" s="178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78"/>
      <c r="T20" s="178"/>
      <c r="U20" s="178"/>
      <c r="V20" s="178"/>
      <c r="W20" s="101" t="e">
        <f t="shared" si="26"/>
        <v>#DIV/0!</v>
      </c>
      <c r="X20" s="21">
        <f t="shared" si="7"/>
        <v>0.15</v>
      </c>
      <c r="Y20" s="130">
        <f t="shared" si="8"/>
        <v>0</v>
      </c>
      <c r="Z20" s="130">
        <f t="shared" ref="Z20:Z22" si="48">Y20*(1+$X20)</f>
        <v>0</v>
      </c>
      <c r="AA20" s="130">
        <f t="shared" ref="AA20:AA22" si="49">Z20*(1+$X20)</f>
        <v>0</v>
      </c>
      <c r="AB20" s="130">
        <f t="shared" ref="AB20:AB22" si="50">AA20*(1+$X20)</f>
        <v>0</v>
      </c>
      <c r="AC20" s="130">
        <f t="shared" ref="AC20:AC22" si="51">AB20*(1+$X20)</f>
        <v>0</v>
      </c>
      <c r="AD20" s="130">
        <f t="shared" ref="AD20:AD22" si="52">AC20*(1+$X20)</f>
        <v>0</v>
      </c>
      <c r="AE20" s="130">
        <f t="shared" ref="AE20:AE22" si="53">AD20*(1+$X20)</f>
        <v>0</v>
      </c>
      <c r="AF20" s="130">
        <f t="shared" ref="AF20:AF22" si="54">AE20*(1+$X20)</f>
        <v>0</v>
      </c>
      <c r="AG20" s="130">
        <f t="shared" ref="AG20:AG22" si="55">AF20*(1+$X20)</f>
        <v>0</v>
      </c>
      <c r="AH20" s="130">
        <f t="shared" ref="AH20:AH22" si="56">AG20*(1+$X20)</f>
        <v>0</v>
      </c>
      <c r="AI20" s="115" t="e">
        <f t="shared" si="2"/>
        <v>#DIV/0!</v>
      </c>
      <c r="AJ20" s="21">
        <f t="shared" si="18"/>
        <v>0.01</v>
      </c>
      <c r="AK20" s="123" t="e">
        <f t="shared" si="25"/>
        <v>#DIV/0!</v>
      </c>
    </row>
    <row r="21" spans="2:37" x14ac:dyDescent="0.2">
      <c r="B21" s="10" t="s">
        <v>234</v>
      </c>
      <c r="C21" s="118"/>
      <c r="D21" s="118"/>
      <c r="E21" s="124"/>
      <c r="F21" s="124"/>
      <c r="G21" s="178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78"/>
      <c r="T21" s="178"/>
      <c r="U21" s="178"/>
      <c r="V21" s="178"/>
      <c r="W21" s="101" t="e">
        <f t="shared" si="26"/>
        <v>#DIV/0!</v>
      </c>
      <c r="X21" s="21">
        <f t="shared" si="7"/>
        <v>0.15</v>
      </c>
      <c r="Y21" s="130">
        <f t="shared" si="8"/>
        <v>0</v>
      </c>
      <c r="Z21" s="130">
        <f t="shared" si="48"/>
        <v>0</v>
      </c>
      <c r="AA21" s="130">
        <f t="shared" si="49"/>
        <v>0</v>
      </c>
      <c r="AB21" s="130">
        <f t="shared" si="50"/>
        <v>0</v>
      </c>
      <c r="AC21" s="130">
        <f t="shared" si="51"/>
        <v>0</v>
      </c>
      <c r="AD21" s="130">
        <f t="shared" si="52"/>
        <v>0</v>
      </c>
      <c r="AE21" s="130">
        <f t="shared" si="53"/>
        <v>0</v>
      </c>
      <c r="AF21" s="130">
        <f t="shared" si="54"/>
        <v>0</v>
      </c>
      <c r="AG21" s="130">
        <f t="shared" si="55"/>
        <v>0</v>
      </c>
      <c r="AH21" s="130">
        <f t="shared" si="56"/>
        <v>0</v>
      </c>
      <c r="AI21" s="115" t="e">
        <f t="shared" si="2"/>
        <v>#DIV/0!</v>
      </c>
      <c r="AJ21" s="21">
        <f t="shared" si="18"/>
        <v>0.01</v>
      </c>
      <c r="AK21" s="123" t="e">
        <f t="shared" si="25"/>
        <v>#DIV/0!</v>
      </c>
    </row>
    <row r="22" spans="2:37" x14ac:dyDescent="0.2">
      <c r="B22" s="10" t="s">
        <v>235</v>
      </c>
      <c r="C22" s="118"/>
      <c r="D22" s="118"/>
      <c r="E22" s="124"/>
      <c r="F22" s="124"/>
      <c r="G22" s="178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78"/>
      <c r="T22" s="178"/>
      <c r="U22" s="178"/>
      <c r="V22" s="178"/>
      <c r="W22" s="101" t="e">
        <f t="shared" si="26"/>
        <v>#DIV/0!</v>
      </c>
      <c r="X22" s="21">
        <f t="shared" si="7"/>
        <v>0.15</v>
      </c>
      <c r="Y22" s="130">
        <f t="shared" si="8"/>
        <v>0</v>
      </c>
      <c r="Z22" s="130">
        <f t="shared" si="48"/>
        <v>0</v>
      </c>
      <c r="AA22" s="130">
        <f t="shared" si="49"/>
        <v>0</v>
      </c>
      <c r="AB22" s="130">
        <f t="shared" si="50"/>
        <v>0</v>
      </c>
      <c r="AC22" s="130">
        <f t="shared" si="51"/>
        <v>0</v>
      </c>
      <c r="AD22" s="130">
        <f t="shared" si="52"/>
        <v>0</v>
      </c>
      <c r="AE22" s="130">
        <f t="shared" si="53"/>
        <v>0</v>
      </c>
      <c r="AF22" s="130">
        <f t="shared" si="54"/>
        <v>0</v>
      </c>
      <c r="AG22" s="130">
        <f t="shared" si="55"/>
        <v>0</v>
      </c>
      <c r="AH22" s="130">
        <f t="shared" si="56"/>
        <v>0</v>
      </c>
      <c r="AI22" s="115" t="e">
        <f t="shared" si="2"/>
        <v>#DIV/0!</v>
      </c>
      <c r="AJ22" s="21">
        <f t="shared" si="18"/>
        <v>0.01</v>
      </c>
      <c r="AK22" s="123" t="e">
        <f t="shared" si="25"/>
        <v>#DIV/0!</v>
      </c>
    </row>
    <row r="23" spans="2:37" x14ac:dyDescent="0.2">
      <c r="B23" s="10" t="s">
        <v>244</v>
      </c>
      <c r="C23" s="118"/>
      <c r="D23" s="118"/>
      <c r="E23" s="124"/>
      <c r="F23" s="124"/>
      <c r="G23" s="178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78"/>
      <c r="T23" s="178"/>
      <c r="U23" s="178"/>
      <c r="V23" s="178"/>
      <c r="W23" s="101" t="e">
        <f t="shared" si="26"/>
        <v>#DIV/0!</v>
      </c>
      <c r="X23" s="21">
        <f t="shared" si="7"/>
        <v>0.15</v>
      </c>
      <c r="Y23" s="130">
        <f t="shared" si="8"/>
        <v>0</v>
      </c>
      <c r="Z23" s="130">
        <f t="shared" ref="Z23" si="57">Y23*(1+$X23)</f>
        <v>0</v>
      </c>
      <c r="AA23" s="130">
        <f t="shared" ref="AA23" si="58">Z23*(1+$X23)</f>
        <v>0</v>
      </c>
      <c r="AB23" s="130">
        <f t="shared" ref="AB23" si="59">AA23*(1+$X23)</f>
        <v>0</v>
      </c>
      <c r="AC23" s="130">
        <f t="shared" ref="AC23" si="60">AB23*(1+$X23)</f>
        <v>0</v>
      </c>
      <c r="AD23" s="130">
        <f t="shared" ref="AD23" si="61">AC23*(1+$X23)</f>
        <v>0</v>
      </c>
      <c r="AE23" s="130">
        <f t="shared" ref="AE23" si="62">AD23*(1+$X23)</f>
        <v>0</v>
      </c>
      <c r="AF23" s="130">
        <f t="shared" ref="AF23" si="63">AE23*(1+$X23)</f>
        <v>0</v>
      </c>
      <c r="AG23" s="130">
        <f t="shared" ref="AG23" si="64">AF23*(1+$X23)</f>
        <v>0</v>
      </c>
      <c r="AH23" s="130">
        <f t="shared" ref="AH23" si="65">AG23*(1+$X23)</f>
        <v>0</v>
      </c>
      <c r="AI23" s="115" t="e">
        <f t="shared" si="2"/>
        <v>#DIV/0!</v>
      </c>
      <c r="AJ23" s="21">
        <f t="shared" si="18"/>
        <v>0.01</v>
      </c>
      <c r="AK23" s="123" t="e">
        <f t="shared" si="25"/>
        <v>#DIV/0!</v>
      </c>
    </row>
    <row r="24" spans="2:37" x14ac:dyDescent="0.2">
      <c r="B24" s="10"/>
      <c r="C24" s="118"/>
      <c r="D24" s="118"/>
      <c r="E24" s="124"/>
      <c r="F24" s="124"/>
      <c r="G24" s="178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78"/>
      <c r="T24" s="178"/>
      <c r="U24" s="178"/>
      <c r="V24" s="178"/>
      <c r="W24" s="10"/>
      <c r="X24" s="1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14"/>
      <c r="AJ24" s="114"/>
      <c r="AK24" s="114"/>
    </row>
    <row r="25" spans="2:37" x14ac:dyDescent="0.2">
      <c r="B25" s="10" t="s">
        <v>68</v>
      </c>
      <c r="C25" s="118"/>
      <c r="D25" s="118"/>
      <c r="E25" s="124"/>
      <c r="F25" s="124"/>
      <c r="G25" s="178">
        <v>4052</v>
      </c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78">
        <v>4050</v>
      </c>
      <c r="T25" s="178">
        <v>9597</v>
      </c>
      <c r="U25" s="178">
        <v>10218</v>
      </c>
      <c r="V25" s="178">
        <v>13142</v>
      </c>
      <c r="W25" s="101">
        <f t="shared" si="26"/>
        <v>0.48023502231417203</v>
      </c>
      <c r="X25" s="21">
        <f t="shared" si="7"/>
        <v>0.15</v>
      </c>
      <c r="Y25" s="130">
        <f t="shared" si="8"/>
        <v>11750.699999999999</v>
      </c>
      <c r="Z25" s="130">
        <f t="shared" si="39"/>
        <v>13513.304999999998</v>
      </c>
      <c r="AA25" s="130">
        <f t="shared" si="40"/>
        <v>15540.300749999997</v>
      </c>
      <c r="AB25" s="130">
        <f t="shared" si="41"/>
        <v>17871.345862499995</v>
      </c>
      <c r="AC25" s="130">
        <f t="shared" si="42"/>
        <v>20552.047741874994</v>
      </c>
      <c r="AD25" s="130">
        <f t="shared" si="43"/>
        <v>23634.85490315624</v>
      </c>
      <c r="AE25" s="130">
        <f t="shared" si="44"/>
        <v>27180.083138629674</v>
      </c>
      <c r="AF25" s="130">
        <f t="shared" si="45"/>
        <v>31257.095609424123</v>
      </c>
      <c r="AG25" s="130">
        <f t="shared" si="46"/>
        <v>35945.65995083774</v>
      </c>
      <c r="AH25" s="130">
        <f t="shared" si="47"/>
        <v>41337.508943463399</v>
      </c>
      <c r="AI25" s="115">
        <f t="shared" si="2"/>
        <v>0.19561230000192209</v>
      </c>
      <c r="AJ25" s="21">
        <f t="shared" si="18"/>
        <v>0.01</v>
      </c>
      <c r="AK25" s="123" t="e">
        <f t="shared" si="25"/>
        <v>#DIV/0!</v>
      </c>
    </row>
    <row r="26" spans="2:37" s="106" customFormat="1" x14ac:dyDescent="0.2">
      <c r="B26" s="13"/>
      <c r="C26" s="125"/>
      <c r="D26" s="125"/>
      <c r="E26" s="126"/>
      <c r="F26" s="266"/>
      <c r="G26" s="127" t="e">
        <f t="shared" ref="G26" si="66">(G25-F25)/F25</f>
        <v>#DIV/0!</v>
      </c>
      <c r="H26" s="266" t="e">
        <f>(H25-G25)/H25</f>
        <v>#DIV/0!</v>
      </c>
      <c r="I26" s="266" t="e">
        <f t="shared" ref="I26:R26" si="67">(I25-H25)/I25</f>
        <v>#DIV/0!</v>
      </c>
      <c r="J26" s="266" t="e">
        <f t="shared" si="67"/>
        <v>#DIV/0!</v>
      </c>
      <c r="K26" s="266" t="e">
        <f t="shared" si="67"/>
        <v>#DIV/0!</v>
      </c>
      <c r="L26" s="266" t="e">
        <f t="shared" si="67"/>
        <v>#DIV/0!</v>
      </c>
      <c r="M26" s="266" t="e">
        <f t="shared" si="67"/>
        <v>#DIV/0!</v>
      </c>
      <c r="N26" s="266" t="e">
        <f t="shared" si="67"/>
        <v>#DIV/0!</v>
      </c>
      <c r="O26" s="266" t="e">
        <f t="shared" si="67"/>
        <v>#DIV/0!</v>
      </c>
      <c r="P26" s="266" t="e">
        <f t="shared" si="67"/>
        <v>#DIV/0!</v>
      </c>
      <c r="Q26" s="266" t="e">
        <f t="shared" si="67"/>
        <v>#DIV/0!</v>
      </c>
      <c r="R26" s="266" t="e">
        <f t="shared" si="67"/>
        <v>#DIV/0!</v>
      </c>
      <c r="S26" s="127" t="e">
        <f t="shared" ref="S26:U26" si="68">(S25-R25)/R25</f>
        <v>#DIV/0!</v>
      </c>
      <c r="T26" s="127">
        <f t="shared" si="68"/>
        <v>1.3696296296296295</v>
      </c>
      <c r="U26" s="127">
        <f t="shared" si="68"/>
        <v>6.4707721162863399E-2</v>
      </c>
      <c r="V26" s="127">
        <f t="shared" ref="V26" si="69">(V25-U25)/U25</f>
        <v>0.2861616754746526</v>
      </c>
      <c r="W26" s="10"/>
      <c r="X26" s="10"/>
      <c r="Y26" s="130"/>
      <c r="Z26" s="131"/>
      <c r="AA26" s="131"/>
      <c r="AB26" s="131"/>
      <c r="AC26" s="131"/>
      <c r="AD26" s="131"/>
      <c r="AE26" s="131"/>
      <c r="AF26" s="131"/>
      <c r="AG26" s="131"/>
      <c r="AH26" s="131"/>
      <c r="AI26" s="114"/>
      <c r="AJ26" s="114"/>
      <c r="AK26" s="114"/>
    </row>
    <row r="27" spans="2:37" x14ac:dyDescent="0.2">
      <c r="B27" s="10" t="s">
        <v>218</v>
      </c>
      <c r="C27" s="118"/>
      <c r="D27" s="118"/>
      <c r="E27" s="124"/>
      <c r="F27" s="124"/>
      <c r="G27" s="178">
        <v>3585</v>
      </c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78">
        <v>3585</v>
      </c>
      <c r="T27" s="178">
        <v>8526</v>
      </c>
      <c r="U27" s="178">
        <v>9263</v>
      </c>
      <c r="V27" s="178">
        <v>6090</v>
      </c>
      <c r="W27" s="101">
        <f t="shared" si="26"/>
        <v>0.19318937527540303</v>
      </c>
      <c r="X27" s="21">
        <f t="shared" si="7"/>
        <v>0.15</v>
      </c>
      <c r="Y27" s="130">
        <f t="shared" si="8"/>
        <v>10652.449999999999</v>
      </c>
      <c r="Z27" s="130">
        <f t="shared" si="39"/>
        <v>12250.317499999997</v>
      </c>
      <c r="AA27" s="130">
        <f t="shared" si="40"/>
        <v>14087.865124999997</v>
      </c>
      <c r="AB27" s="130">
        <f t="shared" si="41"/>
        <v>16201.044893749995</v>
      </c>
      <c r="AC27" s="130">
        <f t="shared" si="42"/>
        <v>18631.201627812494</v>
      </c>
      <c r="AD27" s="130">
        <f t="shared" si="43"/>
        <v>21425.881871984366</v>
      </c>
      <c r="AE27" s="130">
        <f t="shared" si="44"/>
        <v>24639.76415278202</v>
      </c>
      <c r="AF27" s="130">
        <f t="shared" si="45"/>
        <v>28335.728775699321</v>
      </c>
      <c r="AG27" s="130">
        <f t="shared" si="46"/>
        <v>32586.088092054215</v>
      </c>
      <c r="AH27" s="130">
        <f t="shared" si="47"/>
        <v>37474.001305862344</v>
      </c>
      <c r="AI27" s="115">
        <f t="shared" si="2"/>
        <v>0.19785195698670477</v>
      </c>
      <c r="AJ27" s="21">
        <f t="shared" si="18"/>
        <v>0.01</v>
      </c>
      <c r="AK27" s="123" t="e">
        <f t="shared" si="25"/>
        <v>#DIV/0!</v>
      </c>
    </row>
    <row r="28" spans="2:37" s="106" customFormat="1" x14ac:dyDescent="0.2">
      <c r="B28" s="13"/>
      <c r="C28" s="125"/>
      <c r="D28" s="125"/>
      <c r="E28" s="126"/>
      <c r="F28" s="266"/>
      <c r="G28" s="127" t="e">
        <f t="shared" ref="G28" si="70">(G27-F27)/F27</f>
        <v>#DIV/0!</v>
      </c>
      <c r="H28" s="266" t="e">
        <f t="shared" ref="H28:R28" si="71">(H27-G27)/H27</f>
        <v>#DIV/0!</v>
      </c>
      <c r="I28" s="266" t="e">
        <f t="shared" si="71"/>
        <v>#DIV/0!</v>
      </c>
      <c r="J28" s="266" t="e">
        <f t="shared" si="71"/>
        <v>#DIV/0!</v>
      </c>
      <c r="K28" s="266" t="e">
        <f t="shared" si="71"/>
        <v>#DIV/0!</v>
      </c>
      <c r="L28" s="266" t="e">
        <f t="shared" si="71"/>
        <v>#DIV/0!</v>
      </c>
      <c r="M28" s="266" t="e">
        <f t="shared" si="71"/>
        <v>#DIV/0!</v>
      </c>
      <c r="N28" s="266" t="e">
        <f t="shared" si="71"/>
        <v>#DIV/0!</v>
      </c>
      <c r="O28" s="266" t="e">
        <f t="shared" si="71"/>
        <v>#DIV/0!</v>
      </c>
      <c r="P28" s="266" t="e">
        <f t="shared" si="71"/>
        <v>#DIV/0!</v>
      </c>
      <c r="Q28" s="266" t="e">
        <f t="shared" si="71"/>
        <v>#DIV/0!</v>
      </c>
      <c r="R28" s="266" t="e">
        <f t="shared" si="71"/>
        <v>#DIV/0!</v>
      </c>
      <c r="S28" s="127" t="e">
        <f t="shared" ref="S28:U28" si="72">(S27-R27)/R27</f>
        <v>#DIV/0!</v>
      </c>
      <c r="T28" s="127">
        <f t="shared" si="72"/>
        <v>1.3782426778242678</v>
      </c>
      <c r="U28" s="127">
        <f t="shared" si="72"/>
        <v>8.6441473140980524E-2</v>
      </c>
      <c r="V28" s="127">
        <f t="shared" ref="V28" si="73">(V27-U27)/U27</f>
        <v>-0.34254561157292451</v>
      </c>
      <c r="W28" s="10"/>
      <c r="X28" s="10"/>
      <c r="Y28" s="130"/>
      <c r="Z28" s="131"/>
      <c r="AA28" s="131"/>
      <c r="AB28" s="131"/>
      <c r="AC28" s="131"/>
      <c r="AD28" s="131"/>
      <c r="AE28" s="131"/>
      <c r="AF28" s="131"/>
      <c r="AG28" s="131"/>
      <c r="AH28" s="131"/>
      <c r="AI28" s="114"/>
      <c r="AJ28" s="114"/>
      <c r="AK28" s="114"/>
    </row>
    <row r="29" spans="2:37" s="106" customFormat="1" x14ac:dyDescent="0.2">
      <c r="B29" s="10" t="s">
        <v>268</v>
      </c>
      <c r="C29" s="125"/>
      <c r="D29" s="125"/>
      <c r="E29" s="126"/>
      <c r="F29" s="124"/>
      <c r="G29" s="178">
        <v>2801</v>
      </c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78">
        <v>2801</v>
      </c>
      <c r="T29" s="178">
        <v>6515</v>
      </c>
      <c r="U29" s="178">
        <v>7125</v>
      </c>
      <c r="V29" s="178">
        <v>8743</v>
      </c>
      <c r="W29" s="101">
        <f t="shared" si="26"/>
        <v>0.46144493523143582</v>
      </c>
      <c r="X29" s="21">
        <f t="shared" si="7"/>
        <v>0.15</v>
      </c>
      <c r="Y29" s="130">
        <f t="shared" si="8"/>
        <v>8193.75</v>
      </c>
      <c r="Z29" s="130">
        <f t="shared" ref="Z29" si="74">Y29*(1+$X29)</f>
        <v>9422.8125</v>
      </c>
      <c r="AA29" s="130">
        <f t="shared" ref="AA29" si="75">Z29*(1+$X29)</f>
        <v>10836.234375</v>
      </c>
      <c r="AB29" s="130">
        <f t="shared" ref="AB29" si="76">AA29*(1+$X29)</f>
        <v>12461.66953125</v>
      </c>
      <c r="AC29" s="130">
        <f t="shared" ref="AC29" si="77">AB29*(1+$X29)</f>
        <v>14330.919960937499</v>
      </c>
      <c r="AD29" s="130">
        <f t="shared" ref="AD29" si="78">AC29*(1+$X29)</f>
        <v>16480.557955078122</v>
      </c>
      <c r="AE29" s="130">
        <f t="shared" ref="AE29" si="79">AD29*(1+$X29)</f>
        <v>18952.641648339839</v>
      </c>
      <c r="AF29" s="130">
        <f t="shared" ref="AF29" si="80">AE29*(1+$X29)</f>
        <v>21795.537895590813</v>
      </c>
      <c r="AG29" s="130">
        <f t="shared" ref="AG29" si="81">AF29*(1+$X29)</f>
        <v>25064.868579929433</v>
      </c>
      <c r="AH29" s="130">
        <f t="shared" ref="AH29" si="82">AG29*(1+$X29)</f>
        <v>28824.598866918845</v>
      </c>
      <c r="AI29" s="115">
        <f t="shared" si="2"/>
        <v>0.19641205908905945</v>
      </c>
      <c r="AJ29" s="21">
        <f t="shared" si="18"/>
        <v>0.01</v>
      </c>
      <c r="AK29" s="123" t="e">
        <f t="shared" si="25"/>
        <v>#DIV/0!</v>
      </c>
    </row>
    <row r="30" spans="2:37" s="106" customFormat="1" x14ac:dyDescent="0.2">
      <c r="B30" s="13"/>
      <c r="C30" s="125"/>
      <c r="D30" s="125"/>
      <c r="E30" s="126"/>
      <c r="F30" s="266"/>
      <c r="G30" s="127" t="e">
        <f t="shared" ref="G30" si="83">(G29-F29)/F29</f>
        <v>#DIV/0!</v>
      </c>
      <c r="H30" s="266" t="e">
        <f t="shared" ref="H30:R30" si="84">(H29-G29)/H29</f>
        <v>#DIV/0!</v>
      </c>
      <c r="I30" s="266" t="e">
        <f t="shared" si="84"/>
        <v>#DIV/0!</v>
      </c>
      <c r="J30" s="266" t="e">
        <f t="shared" si="84"/>
        <v>#DIV/0!</v>
      </c>
      <c r="K30" s="266" t="e">
        <f t="shared" si="84"/>
        <v>#DIV/0!</v>
      </c>
      <c r="L30" s="266" t="e">
        <f t="shared" si="84"/>
        <v>#DIV/0!</v>
      </c>
      <c r="M30" s="266" t="e">
        <f t="shared" si="84"/>
        <v>#DIV/0!</v>
      </c>
      <c r="N30" s="266" t="e">
        <f t="shared" si="84"/>
        <v>#DIV/0!</v>
      </c>
      <c r="O30" s="266" t="e">
        <f t="shared" si="84"/>
        <v>#DIV/0!</v>
      </c>
      <c r="P30" s="266" t="e">
        <f t="shared" si="84"/>
        <v>#DIV/0!</v>
      </c>
      <c r="Q30" s="266" t="e">
        <f t="shared" si="84"/>
        <v>#DIV/0!</v>
      </c>
      <c r="R30" s="266" t="e">
        <f t="shared" si="84"/>
        <v>#DIV/0!</v>
      </c>
      <c r="S30" s="127" t="e">
        <f t="shared" ref="S30:U30" si="85">(S29-R29)/R29</f>
        <v>#DIV/0!</v>
      </c>
      <c r="T30" s="127">
        <f t="shared" si="85"/>
        <v>1.3259550160656908</v>
      </c>
      <c r="U30" s="127">
        <f t="shared" si="85"/>
        <v>9.3630084420567916E-2</v>
      </c>
      <c r="V30" s="127">
        <f t="shared" ref="V30" si="86">(V29-U29)/U29</f>
        <v>0.22708771929824562</v>
      </c>
      <c r="W30" s="10"/>
      <c r="X30" s="10"/>
      <c r="Y30" s="130"/>
      <c r="Z30" s="131"/>
      <c r="AA30" s="131"/>
      <c r="AB30" s="131"/>
      <c r="AC30" s="131"/>
      <c r="AD30" s="131"/>
      <c r="AE30" s="131"/>
      <c r="AF30" s="131"/>
      <c r="AG30" s="131"/>
      <c r="AH30" s="131"/>
      <c r="AI30" s="114"/>
      <c r="AJ30" s="114"/>
      <c r="AK30" s="114"/>
    </row>
    <row r="31" spans="2:37" x14ac:dyDescent="0.2">
      <c r="B31" s="10" t="s">
        <v>276</v>
      </c>
      <c r="C31" s="118"/>
      <c r="D31" s="118"/>
      <c r="E31" s="124"/>
      <c r="F31" s="124"/>
      <c r="G31" s="178">
        <v>0</v>
      </c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78">
        <v>0</v>
      </c>
      <c r="T31" s="178">
        <v>0</v>
      </c>
      <c r="U31" s="178">
        <v>0</v>
      </c>
      <c r="V31" s="178">
        <v>0</v>
      </c>
      <c r="W31" s="101" t="e">
        <f t="shared" si="26"/>
        <v>#DIV/0!</v>
      </c>
      <c r="X31" s="21">
        <f t="shared" si="7"/>
        <v>0.15</v>
      </c>
      <c r="Y31" s="130">
        <f t="shared" si="8"/>
        <v>0</v>
      </c>
      <c r="Z31" s="130">
        <f>Y31*(1+$X31)</f>
        <v>0</v>
      </c>
      <c r="AA31" s="130">
        <f t="shared" ref="AA31:AH32" si="87">Z31*(1+$X31)</f>
        <v>0</v>
      </c>
      <c r="AB31" s="130">
        <f t="shared" si="87"/>
        <v>0</v>
      </c>
      <c r="AC31" s="130">
        <f t="shared" si="87"/>
        <v>0</v>
      </c>
      <c r="AD31" s="130">
        <f t="shared" si="87"/>
        <v>0</v>
      </c>
      <c r="AE31" s="130">
        <f t="shared" si="87"/>
        <v>0</v>
      </c>
      <c r="AF31" s="130">
        <f t="shared" si="87"/>
        <v>0</v>
      </c>
      <c r="AG31" s="130">
        <f t="shared" si="87"/>
        <v>0</v>
      </c>
      <c r="AH31" s="130">
        <f t="shared" si="87"/>
        <v>0</v>
      </c>
      <c r="AI31" s="115" t="e">
        <f t="shared" si="2"/>
        <v>#DIV/0!</v>
      </c>
      <c r="AJ31" s="21">
        <f t="shared" si="18"/>
        <v>0.01</v>
      </c>
      <c r="AK31" s="123" t="e">
        <f t="shared" si="25"/>
        <v>#DIV/0!</v>
      </c>
    </row>
    <row r="32" spans="2:37" x14ac:dyDescent="0.2">
      <c r="B32" s="10" t="s">
        <v>275</v>
      </c>
      <c r="C32" s="118"/>
      <c r="D32" s="118"/>
      <c r="E32" s="124"/>
      <c r="F32" s="124"/>
      <c r="G32" s="178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78"/>
      <c r="T32" s="178"/>
      <c r="U32" s="178"/>
      <c r="V32" s="178"/>
      <c r="W32" s="101" t="e">
        <f t="shared" si="26"/>
        <v>#DIV/0!</v>
      </c>
      <c r="X32" s="21">
        <f t="shared" si="7"/>
        <v>0.15</v>
      </c>
      <c r="Y32" s="130">
        <f t="shared" si="8"/>
        <v>0</v>
      </c>
      <c r="Z32" s="130">
        <f>Y32*(1+$X32)</f>
        <v>0</v>
      </c>
      <c r="AA32" s="130">
        <f t="shared" si="87"/>
        <v>0</v>
      </c>
      <c r="AB32" s="130">
        <f t="shared" si="87"/>
        <v>0</v>
      </c>
      <c r="AC32" s="130">
        <f t="shared" si="87"/>
        <v>0</v>
      </c>
      <c r="AD32" s="130">
        <f t="shared" si="87"/>
        <v>0</v>
      </c>
      <c r="AE32" s="130">
        <f t="shared" si="87"/>
        <v>0</v>
      </c>
      <c r="AF32" s="130">
        <f t="shared" si="87"/>
        <v>0</v>
      </c>
      <c r="AG32" s="130">
        <f t="shared" si="87"/>
        <v>0</v>
      </c>
      <c r="AH32" s="130">
        <f t="shared" si="87"/>
        <v>0</v>
      </c>
      <c r="AI32" s="115" t="e">
        <f t="shared" si="2"/>
        <v>#DIV/0!</v>
      </c>
      <c r="AJ32" s="21">
        <f t="shared" si="18"/>
        <v>0.01</v>
      </c>
      <c r="AK32" s="123" t="e">
        <f t="shared" si="25"/>
        <v>#DIV/0!</v>
      </c>
    </row>
    <row r="33" spans="1:37" x14ac:dyDescent="0.2">
      <c r="B33" s="10" t="s">
        <v>497</v>
      </c>
      <c r="C33" s="118"/>
      <c r="D33" s="118"/>
      <c r="E33" s="124"/>
      <c r="F33" s="124"/>
      <c r="G33" s="178">
        <v>486</v>
      </c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78">
        <v>486</v>
      </c>
      <c r="T33" s="178">
        <v>614</v>
      </c>
      <c r="U33" s="178">
        <v>786</v>
      </c>
      <c r="V33" s="178">
        <v>1279</v>
      </c>
      <c r="W33" s="101">
        <f t="shared" si="26"/>
        <v>0.38063249778128982</v>
      </c>
      <c r="X33" s="21">
        <f t="shared" si="7"/>
        <v>0.15</v>
      </c>
      <c r="Y33" s="130">
        <f t="shared" si="8"/>
        <v>903.9</v>
      </c>
      <c r="Z33" s="130">
        <f t="shared" si="39"/>
        <v>1039.4849999999999</v>
      </c>
      <c r="AA33" s="130">
        <f t="shared" si="40"/>
        <v>1195.4077499999999</v>
      </c>
      <c r="AB33" s="130">
        <f t="shared" si="41"/>
        <v>1374.7189124999998</v>
      </c>
      <c r="AC33" s="130">
        <f t="shared" si="42"/>
        <v>1580.9267493749996</v>
      </c>
      <c r="AD33" s="130">
        <f t="shared" si="43"/>
        <v>1818.0657617812494</v>
      </c>
      <c r="AE33" s="130">
        <f t="shared" si="44"/>
        <v>2090.7756260484366</v>
      </c>
      <c r="AF33" s="130">
        <f t="shared" si="45"/>
        <v>2404.3919699557018</v>
      </c>
      <c r="AG33" s="130">
        <f t="shared" si="46"/>
        <v>2765.0507654490571</v>
      </c>
      <c r="AH33" s="130">
        <f t="shared" si="47"/>
        <v>3179.8083802664155</v>
      </c>
      <c r="AI33" s="115">
        <f t="shared" si="2"/>
        <v>0.15544992640459077</v>
      </c>
      <c r="AJ33" s="21">
        <f t="shared" si="18"/>
        <v>0.01</v>
      </c>
      <c r="AK33" s="123" t="e">
        <f t="shared" si="25"/>
        <v>#DIV/0!</v>
      </c>
    </row>
    <row r="34" spans="1:37" x14ac:dyDescent="0.2">
      <c r="B34" s="10" t="s">
        <v>498</v>
      </c>
      <c r="C34" s="118"/>
      <c r="D34" s="118"/>
      <c r="E34" s="124"/>
      <c r="F34" s="124"/>
      <c r="G34" s="124">
        <v>256</v>
      </c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>
        <v>256</v>
      </c>
      <c r="T34" s="124">
        <v>1268</v>
      </c>
      <c r="U34" s="178">
        <v>1182</v>
      </c>
      <c r="V34" s="178">
        <v>1990</v>
      </c>
      <c r="W34" s="101">
        <f t="shared" si="26"/>
        <v>0.98093870226430302</v>
      </c>
      <c r="X34" s="21">
        <f t="shared" si="7"/>
        <v>0.15</v>
      </c>
      <c r="Y34" s="130">
        <f t="shared" si="8"/>
        <v>1359.3</v>
      </c>
      <c r="Z34" s="130">
        <f t="shared" si="39"/>
        <v>1563.1949999999999</v>
      </c>
      <c r="AA34" s="130">
        <f t="shared" si="40"/>
        <v>1797.6742499999998</v>
      </c>
      <c r="AB34" s="130">
        <f t="shared" si="41"/>
        <v>2067.3253874999996</v>
      </c>
      <c r="AC34" s="130">
        <f t="shared" si="42"/>
        <v>2377.4241956249994</v>
      </c>
      <c r="AD34" s="130">
        <f t="shared" si="43"/>
        <v>2734.0378249687492</v>
      </c>
      <c r="AE34" s="130">
        <f t="shared" si="44"/>
        <v>3144.1434987140615</v>
      </c>
      <c r="AF34" s="130">
        <f t="shared" si="45"/>
        <v>3615.7650235211704</v>
      </c>
      <c r="AG34" s="130">
        <f t="shared" si="46"/>
        <v>4158.1297770493456</v>
      </c>
      <c r="AH34" s="130">
        <f t="shared" si="47"/>
        <v>4781.8492436067472</v>
      </c>
      <c r="AI34" s="115">
        <f t="shared" si="2"/>
        <v>0.25255443440300218</v>
      </c>
      <c r="AJ34" s="21">
        <f t="shared" si="18"/>
        <v>0.01</v>
      </c>
      <c r="AK34" s="123" t="e">
        <f t="shared" si="25"/>
        <v>#DIV/0!</v>
      </c>
    </row>
    <row r="35" spans="1:37" x14ac:dyDescent="0.2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0"/>
      <c r="X35" s="124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14"/>
      <c r="AJ35" s="114"/>
      <c r="AK35" s="114"/>
    </row>
    <row r="36" spans="1:37" x14ac:dyDescent="0.2">
      <c r="A36" s="302" t="s">
        <v>417</v>
      </c>
      <c r="B36" s="175" t="s">
        <v>411</v>
      </c>
      <c r="C36" s="118"/>
      <c r="D36" s="118"/>
      <c r="E36" s="124"/>
      <c r="F36" s="178"/>
      <c r="G36" s="178">
        <v>8219</v>
      </c>
      <c r="H36" s="178">
        <f t="shared" ref="H36:I36" si="88">I36</f>
        <v>0</v>
      </c>
      <c r="I36" s="178">
        <f t="shared" si="88"/>
        <v>0</v>
      </c>
      <c r="J36" s="178">
        <f>K36</f>
        <v>0</v>
      </c>
      <c r="K36" s="178">
        <v>0</v>
      </c>
      <c r="L36" s="178">
        <v>0</v>
      </c>
      <c r="M36" s="178">
        <v>0</v>
      </c>
      <c r="N36" s="178">
        <v>0</v>
      </c>
      <c r="O36" s="178">
        <v>0</v>
      </c>
      <c r="P36" s="178">
        <v>0</v>
      </c>
      <c r="Q36" s="178">
        <v>0</v>
      </c>
      <c r="R36" s="178">
        <v>0</v>
      </c>
      <c r="S36" s="178">
        <v>8219</v>
      </c>
      <c r="T36" s="178">
        <v>40208</v>
      </c>
      <c r="U36" s="178">
        <v>48039</v>
      </c>
      <c r="V36" s="178">
        <v>0</v>
      </c>
      <c r="W36" s="101">
        <f t="shared" si="26"/>
        <v>-1</v>
      </c>
      <c r="X36" s="21">
        <f t="shared" si="7"/>
        <v>0.15</v>
      </c>
      <c r="Y36" s="130">
        <f t="shared" si="8"/>
        <v>55244.85</v>
      </c>
      <c r="Z36" s="130">
        <f t="shared" ref="Z36:Z51" si="89">Y36*(1+$X36)</f>
        <v>63531.577499999992</v>
      </c>
      <c r="AA36" s="130">
        <f t="shared" ref="AA36:AA51" si="90">Z36*(1+$X36)</f>
        <v>73061.31412499999</v>
      </c>
      <c r="AB36" s="130">
        <f t="shared" ref="AB36:AB51" si="91">AA36*(1+$X36)</f>
        <v>84020.511243749977</v>
      </c>
      <c r="AC36" s="130">
        <f t="shared" ref="AC36:AC51" si="92">AB36*(1+$X36)</f>
        <v>96623.587930312468</v>
      </c>
      <c r="AD36" s="130">
        <f t="shared" ref="AD36:AD51" si="93">AC36*(1+$X36)</f>
        <v>111117.12611985933</v>
      </c>
      <c r="AE36" s="130">
        <f t="shared" ref="AE36:AE51" si="94">AD36*(1+$X36)</f>
        <v>127784.69503783822</v>
      </c>
      <c r="AF36" s="130">
        <f t="shared" ref="AF36:AF51" si="95">AE36*(1+$X36)</f>
        <v>146952.39929351394</v>
      </c>
      <c r="AG36" s="130">
        <f t="shared" ref="AG36:AG51" si="96">AF36*(1+$X36)</f>
        <v>168995.25918754103</v>
      </c>
      <c r="AH36" s="130">
        <f t="shared" ref="AH36:AH51" si="97">AG36*(1+$X36)</f>
        <v>194344.54806567216</v>
      </c>
      <c r="AI36" s="115">
        <f t="shared" si="2"/>
        <v>0.27547907174779773</v>
      </c>
      <c r="AJ36" s="21">
        <f t="shared" si="18"/>
        <v>0.01</v>
      </c>
      <c r="AK36" s="123" t="e">
        <f t="shared" si="25"/>
        <v>#DIV/0!</v>
      </c>
    </row>
    <row r="37" spans="1:37" x14ac:dyDescent="0.2">
      <c r="A37" s="302"/>
      <c r="B37" s="175"/>
      <c r="C37" s="118"/>
      <c r="D37" s="118"/>
      <c r="E37" s="124"/>
      <c r="F37" s="127"/>
      <c r="G37" s="127" t="e">
        <f t="shared" ref="G37" si="98">(G36-F36)/F36</f>
        <v>#DIV/0!</v>
      </c>
      <c r="H37" s="127" t="e">
        <f t="shared" ref="H37" si="99">(H36-F36)/F36</f>
        <v>#DIV/0!</v>
      </c>
      <c r="I37" s="127" t="e">
        <f t="shared" ref="I37:U37" si="100">(I36-H36)/H36</f>
        <v>#DIV/0!</v>
      </c>
      <c r="J37" s="127" t="e">
        <f t="shared" si="100"/>
        <v>#DIV/0!</v>
      </c>
      <c r="K37" s="127" t="e">
        <f t="shared" si="100"/>
        <v>#DIV/0!</v>
      </c>
      <c r="L37" s="127" t="e">
        <f t="shared" si="100"/>
        <v>#DIV/0!</v>
      </c>
      <c r="M37" s="127" t="e">
        <f t="shared" si="100"/>
        <v>#DIV/0!</v>
      </c>
      <c r="N37" s="127" t="e">
        <f t="shared" si="100"/>
        <v>#DIV/0!</v>
      </c>
      <c r="O37" s="127" t="e">
        <f t="shared" si="100"/>
        <v>#DIV/0!</v>
      </c>
      <c r="P37" s="127" t="e">
        <f t="shared" si="100"/>
        <v>#DIV/0!</v>
      </c>
      <c r="Q37" s="127" t="e">
        <f t="shared" si="100"/>
        <v>#DIV/0!</v>
      </c>
      <c r="R37" s="127" t="e">
        <f t="shared" si="100"/>
        <v>#DIV/0!</v>
      </c>
      <c r="S37" s="127" t="e">
        <f t="shared" si="100"/>
        <v>#DIV/0!</v>
      </c>
      <c r="T37" s="127">
        <f t="shared" si="100"/>
        <v>3.8920793283854485</v>
      </c>
      <c r="U37" s="127">
        <f t="shared" si="100"/>
        <v>0.19476223637087148</v>
      </c>
      <c r="V37" s="127">
        <f t="shared" ref="V37" si="101">(V36-U36)/U36</f>
        <v>-1</v>
      </c>
      <c r="W37" s="10"/>
      <c r="X37" s="1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14"/>
      <c r="AJ37" s="130"/>
      <c r="AK37" s="114"/>
    </row>
    <row r="38" spans="1:37" x14ac:dyDescent="0.2">
      <c r="A38" s="302"/>
      <c r="B38" s="175" t="s">
        <v>412</v>
      </c>
      <c r="C38" s="118"/>
      <c r="D38" s="118"/>
      <c r="E38" s="124"/>
      <c r="F38" s="178"/>
      <c r="G38" s="178">
        <v>47913</v>
      </c>
      <c r="H38" s="178">
        <f t="shared" ref="H38:I38" si="102">I38</f>
        <v>0</v>
      </c>
      <c r="I38" s="178">
        <f t="shared" si="102"/>
        <v>0</v>
      </c>
      <c r="J38" s="178">
        <f>K38</f>
        <v>0</v>
      </c>
      <c r="K38" s="178">
        <v>0</v>
      </c>
      <c r="L38" s="178">
        <v>0</v>
      </c>
      <c r="M38" s="178">
        <v>0</v>
      </c>
      <c r="N38" s="178">
        <v>0</v>
      </c>
      <c r="O38" s="178">
        <v>0</v>
      </c>
      <c r="P38" s="178">
        <v>0</v>
      </c>
      <c r="Q38" s="178">
        <v>0</v>
      </c>
      <c r="R38" s="178">
        <v>0</v>
      </c>
      <c r="S38" s="178">
        <v>47913</v>
      </c>
      <c r="T38" s="178">
        <v>50262</v>
      </c>
      <c r="U38" s="178">
        <v>57287</v>
      </c>
      <c r="V38" s="178">
        <v>1</v>
      </c>
      <c r="W38" s="101">
        <f t="shared" si="26"/>
        <v>-0.97246729519000819</v>
      </c>
      <c r="X38" s="21">
        <f t="shared" si="7"/>
        <v>0.15</v>
      </c>
      <c r="Y38" s="130">
        <f t="shared" si="8"/>
        <v>65880.049999999988</v>
      </c>
      <c r="Z38" s="130">
        <f t="shared" si="89"/>
        <v>75762.057499999981</v>
      </c>
      <c r="AA38" s="130">
        <f t="shared" si="90"/>
        <v>87126.366124999971</v>
      </c>
      <c r="AB38" s="130">
        <f t="shared" si="91"/>
        <v>100195.32104374997</v>
      </c>
      <c r="AC38" s="130">
        <f t="shared" si="92"/>
        <v>115224.61920031245</v>
      </c>
      <c r="AD38" s="130">
        <f t="shared" si="93"/>
        <v>132508.31208035929</v>
      </c>
      <c r="AE38" s="130">
        <f t="shared" si="94"/>
        <v>152384.55889241316</v>
      </c>
      <c r="AF38" s="130">
        <f t="shared" si="95"/>
        <v>175242.24272627512</v>
      </c>
      <c r="AG38" s="130">
        <f t="shared" si="96"/>
        <v>201528.57913521637</v>
      </c>
      <c r="AH38" s="130">
        <f t="shared" si="97"/>
        <v>231757.8660054988</v>
      </c>
      <c r="AI38" s="115">
        <f t="shared" si="2"/>
        <v>0.12891199111697582</v>
      </c>
      <c r="AJ38" s="21">
        <f t="shared" si="18"/>
        <v>0.01</v>
      </c>
      <c r="AK38" s="123" t="e">
        <f t="shared" si="25"/>
        <v>#DIV/0!</v>
      </c>
    </row>
    <row r="39" spans="1:37" x14ac:dyDescent="0.2">
      <c r="A39" s="302"/>
      <c r="B39" s="175"/>
      <c r="C39" s="118"/>
      <c r="D39" s="118"/>
      <c r="E39" s="124"/>
      <c r="F39" s="127"/>
      <c r="G39" s="127" t="e">
        <f t="shared" ref="G39" si="103">(G38-F38)/F38</f>
        <v>#DIV/0!</v>
      </c>
      <c r="H39" s="127" t="e">
        <f t="shared" ref="H39" si="104">(H38-F38)/F38</f>
        <v>#DIV/0!</v>
      </c>
      <c r="I39" s="127" t="e">
        <f t="shared" ref="I39:U39" si="105">(I38-H38)/H38</f>
        <v>#DIV/0!</v>
      </c>
      <c r="J39" s="127" t="e">
        <f t="shared" si="105"/>
        <v>#DIV/0!</v>
      </c>
      <c r="K39" s="127" t="e">
        <f t="shared" si="105"/>
        <v>#DIV/0!</v>
      </c>
      <c r="L39" s="127" t="e">
        <f t="shared" si="105"/>
        <v>#DIV/0!</v>
      </c>
      <c r="M39" s="127" t="e">
        <f t="shared" si="105"/>
        <v>#DIV/0!</v>
      </c>
      <c r="N39" s="127" t="e">
        <f t="shared" si="105"/>
        <v>#DIV/0!</v>
      </c>
      <c r="O39" s="127" t="e">
        <f t="shared" si="105"/>
        <v>#DIV/0!</v>
      </c>
      <c r="P39" s="127" t="e">
        <f t="shared" si="105"/>
        <v>#DIV/0!</v>
      </c>
      <c r="Q39" s="127" t="e">
        <f t="shared" si="105"/>
        <v>#DIV/0!</v>
      </c>
      <c r="R39" s="127" t="e">
        <f t="shared" si="105"/>
        <v>#DIV/0!</v>
      </c>
      <c r="S39" s="127" t="e">
        <f t="shared" si="105"/>
        <v>#DIV/0!</v>
      </c>
      <c r="T39" s="127">
        <f t="shared" si="105"/>
        <v>4.9026360278003882E-2</v>
      </c>
      <c r="U39" s="127">
        <f t="shared" si="105"/>
        <v>0.13976761768333931</v>
      </c>
      <c r="V39" s="127">
        <f t="shared" ref="V39" si="106">(V38-U38)/U38</f>
        <v>-0.99998254403267761</v>
      </c>
      <c r="W39" s="10"/>
      <c r="X39" s="1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14"/>
      <c r="AJ39" s="130"/>
      <c r="AK39" s="114"/>
    </row>
    <row r="40" spans="1:37" x14ac:dyDescent="0.2">
      <c r="A40" s="302"/>
      <c r="B40" s="175" t="s">
        <v>416</v>
      </c>
      <c r="C40" s="118"/>
      <c r="D40" s="118"/>
      <c r="E40" s="124"/>
      <c r="F40" s="178"/>
      <c r="G40" s="178">
        <v>4204</v>
      </c>
      <c r="H40" s="178">
        <f t="shared" ref="H40:I43" si="107">I40</f>
        <v>0</v>
      </c>
      <c r="I40" s="178">
        <f t="shared" si="107"/>
        <v>0</v>
      </c>
      <c r="J40" s="178">
        <f>K40</f>
        <v>0</v>
      </c>
      <c r="K40" s="178">
        <v>0</v>
      </c>
      <c r="L40" s="178">
        <v>0</v>
      </c>
      <c r="M40" s="178">
        <v>0</v>
      </c>
      <c r="N40" s="178">
        <v>0</v>
      </c>
      <c r="O40" s="178">
        <v>0</v>
      </c>
      <c r="P40" s="178">
        <v>0</v>
      </c>
      <c r="Q40" s="178">
        <v>0</v>
      </c>
      <c r="R40" s="178">
        <v>0</v>
      </c>
      <c r="S40" s="178">
        <v>4204</v>
      </c>
      <c r="T40" s="178">
        <v>7011</v>
      </c>
      <c r="U40" s="178">
        <v>5781</v>
      </c>
      <c r="V40" s="178">
        <v>0</v>
      </c>
      <c r="W40" s="101">
        <f t="shared" si="26"/>
        <v>-1</v>
      </c>
      <c r="X40" s="21">
        <f t="shared" si="7"/>
        <v>0.15</v>
      </c>
      <c r="Y40" s="130">
        <f t="shared" si="8"/>
        <v>6648.15</v>
      </c>
      <c r="Z40" s="130">
        <f t="shared" si="89"/>
        <v>7645.3724999999986</v>
      </c>
      <c r="AA40" s="130">
        <f t="shared" si="90"/>
        <v>8792.1783749999977</v>
      </c>
      <c r="AB40" s="130">
        <f t="shared" si="91"/>
        <v>10111.005131249996</v>
      </c>
      <c r="AC40" s="130">
        <f t="shared" si="92"/>
        <v>11627.655900937494</v>
      </c>
      <c r="AD40" s="130">
        <f t="shared" si="93"/>
        <v>13371.804286078117</v>
      </c>
      <c r="AE40" s="130">
        <f t="shared" si="94"/>
        <v>15377.574928989834</v>
      </c>
      <c r="AF40" s="130">
        <f t="shared" si="95"/>
        <v>17684.211168338308</v>
      </c>
      <c r="AG40" s="130">
        <f t="shared" si="96"/>
        <v>20336.842843589053</v>
      </c>
      <c r="AH40" s="130">
        <f t="shared" si="97"/>
        <v>23387.369270127409</v>
      </c>
      <c r="AI40" s="115">
        <f t="shared" si="2"/>
        <v>0.14112233293915399</v>
      </c>
      <c r="AJ40" s="21">
        <f t="shared" si="18"/>
        <v>0.01</v>
      </c>
      <c r="AK40" s="123" t="e">
        <f t="shared" si="25"/>
        <v>#DIV/0!</v>
      </c>
    </row>
    <row r="41" spans="1:37" x14ac:dyDescent="0.2">
      <c r="A41" s="302"/>
      <c r="B41" s="175" t="s">
        <v>413</v>
      </c>
      <c r="C41" s="118"/>
      <c r="D41" s="118"/>
      <c r="E41" s="124"/>
      <c r="F41" s="178"/>
      <c r="G41" s="178">
        <v>1900</v>
      </c>
      <c r="H41" s="178">
        <f t="shared" si="107"/>
        <v>0</v>
      </c>
      <c r="I41" s="178">
        <f t="shared" si="107"/>
        <v>0</v>
      </c>
      <c r="J41" s="178">
        <f>K41</f>
        <v>0</v>
      </c>
      <c r="K41" s="178">
        <v>0</v>
      </c>
      <c r="L41" s="178">
        <v>0</v>
      </c>
      <c r="M41" s="178">
        <v>0</v>
      </c>
      <c r="N41" s="178">
        <v>0</v>
      </c>
      <c r="O41" s="178">
        <v>0</v>
      </c>
      <c r="P41" s="178">
        <v>0</v>
      </c>
      <c r="Q41" s="178">
        <v>0</v>
      </c>
      <c r="R41" s="178">
        <v>0</v>
      </c>
      <c r="S41" s="178">
        <v>1900</v>
      </c>
      <c r="T41" s="178">
        <v>3036</v>
      </c>
      <c r="U41" s="178">
        <v>3021</v>
      </c>
      <c r="V41" s="178">
        <v>0</v>
      </c>
      <c r="W41" s="101">
        <f t="shared" si="26"/>
        <v>-1</v>
      </c>
      <c r="X41" s="21">
        <f t="shared" si="7"/>
        <v>0.15</v>
      </c>
      <c r="Y41" s="130">
        <f t="shared" si="8"/>
        <v>3474.1499999999996</v>
      </c>
      <c r="Z41" s="130">
        <f t="shared" si="89"/>
        <v>3995.2724999999991</v>
      </c>
      <c r="AA41" s="130">
        <f t="shared" si="90"/>
        <v>4594.5633749999988</v>
      </c>
      <c r="AB41" s="130">
        <f t="shared" si="91"/>
        <v>5283.7478812499985</v>
      </c>
      <c r="AC41" s="130">
        <f t="shared" si="92"/>
        <v>6076.3100634374978</v>
      </c>
      <c r="AD41" s="130">
        <f t="shared" si="93"/>
        <v>6987.7565729531216</v>
      </c>
      <c r="AE41" s="130">
        <f t="shared" si="94"/>
        <v>8035.9200588960894</v>
      </c>
      <c r="AF41" s="130">
        <f t="shared" si="95"/>
        <v>9241.3080677305024</v>
      </c>
      <c r="AG41" s="130">
        <f t="shared" si="96"/>
        <v>10627.504277890077</v>
      </c>
      <c r="AH41" s="130">
        <f t="shared" si="97"/>
        <v>12221.629919573588</v>
      </c>
      <c r="AI41" s="115">
        <f t="shared" si="2"/>
        <v>0.15393868471486427</v>
      </c>
      <c r="AJ41" s="21">
        <f t="shared" si="18"/>
        <v>0.01</v>
      </c>
      <c r="AK41" s="123" t="e">
        <f t="shared" si="25"/>
        <v>#DIV/0!</v>
      </c>
    </row>
    <row r="42" spans="1:37" x14ac:dyDescent="0.2">
      <c r="A42" s="302"/>
      <c r="B42" s="175" t="s">
        <v>415</v>
      </c>
      <c r="C42" s="118"/>
      <c r="D42" s="118"/>
      <c r="E42" s="124"/>
      <c r="F42" s="178"/>
      <c r="G42" s="178">
        <v>1003</v>
      </c>
      <c r="H42" s="178">
        <f t="shared" si="107"/>
        <v>0</v>
      </c>
      <c r="I42" s="178">
        <f t="shared" si="107"/>
        <v>0</v>
      </c>
      <c r="J42" s="178">
        <f>K42</f>
        <v>0</v>
      </c>
      <c r="K42" s="178">
        <v>0</v>
      </c>
      <c r="L42" s="178">
        <v>0</v>
      </c>
      <c r="M42" s="178">
        <v>0</v>
      </c>
      <c r="N42" s="178">
        <v>0</v>
      </c>
      <c r="O42" s="178">
        <v>0</v>
      </c>
      <c r="P42" s="178">
        <v>0</v>
      </c>
      <c r="Q42" s="178">
        <v>0</v>
      </c>
      <c r="R42" s="178">
        <v>0</v>
      </c>
      <c r="S42" s="178">
        <v>1003</v>
      </c>
      <c r="T42" s="178">
        <v>2065</v>
      </c>
      <c r="U42" s="178">
        <v>1855</v>
      </c>
      <c r="V42" s="178">
        <v>0</v>
      </c>
      <c r="W42" s="101">
        <f t="shared" si="26"/>
        <v>-1</v>
      </c>
      <c r="X42" s="21">
        <f t="shared" si="7"/>
        <v>0.15</v>
      </c>
      <c r="Y42" s="130">
        <f t="shared" si="8"/>
        <v>2133.25</v>
      </c>
      <c r="Z42" s="130">
        <f t="shared" si="89"/>
        <v>2453.2374999999997</v>
      </c>
      <c r="AA42" s="130">
        <f t="shared" si="90"/>
        <v>2821.2231249999995</v>
      </c>
      <c r="AB42" s="130">
        <f t="shared" si="91"/>
        <v>3244.406593749999</v>
      </c>
      <c r="AC42" s="130">
        <f t="shared" si="92"/>
        <v>3731.0675828124986</v>
      </c>
      <c r="AD42" s="130">
        <f t="shared" si="93"/>
        <v>4290.727720234373</v>
      </c>
      <c r="AE42" s="130">
        <f t="shared" si="94"/>
        <v>4934.3368782695288</v>
      </c>
      <c r="AF42" s="130">
        <f t="shared" si="95"/>
        <v>5674.4874100099578</v>
      </c>
      <c r="AG42" s="130">
        <f t="shared" si="96"/>
        <v>6525.6605215114505</v>
      </c>
      <c r="AH42" s="130">
        <f t="shared" si="97"/>
        <v>7504.5095997381677</v>
      </c>
      <c r="AI42" s="115">
        <f t="shared" si="2"/>
        <v>0.16743420636218653</v>
      </c>
      <c r="AJ42" s="21">
        <f t="shared" si="18"/>
        <v>0.01</v>
      </c>
      <c r="AK42" s="123" t="e">
        <f t="shared" si="25"/>
        <v>#DIV/0!</v>
      </c>
    </row>
    <row r="43" spans="1:37" x14ac:dyDescent="0.2">
      <c r="A43" s="302"/>
      <c r="B43" s="175" t="s">
        <v>414</v>
      </c>
      <c r="C43" s="118"/>
      <c r="D43" s="118"/>
      <c r="E43" s="124"/>
      <c r="F43" s="178"/>
      <c r="G43" s="178">
        <v>45699</v>
      </c>
      <c r="H43" s="178">
        <f t="shared" si="107"/>
        <v>0</v>
      </c>
      <c r="I43" s="178">
        <f t="shared" si="107"/>
        <v>0</v>
      </c>
      <c r="J43" s="178">
        <f>K43</f>
        <v>0</v>
      </c>
      <c r="K43" s="178">
        <v>0</v>
      </c>
      <c r="L43" s="178">
        <v>0</v>
      </c>
      <c r="M43" s="178">
        <v>0</v>
      </c>
      <c r="N43" s="178">
        <v>0</v>
      </c>
      <c r="O43" s="178">
        <v>0</v>
      </c>
      <c r="P43" s="178">
        <v>0</v>
      </c>
      <c r="Q43" s="178">
        <v>0</v>
      </c>
      <c r="R43" s="178">
        <v>0</v>
      </c>
      <c r="S43" s="178">
        <v>45699</v>
      </c>
      <c r="T43" s="178">
        <v>49401</v>
      </c>
      <c r="U43" s="178">
        <v>52164</v>
      </c>
      <c r="V43" s="178">
        <v>0</v>
      </c>
      <c r="W43" s="101">
        <f t="shared" si="26"/>
        <v>-1</v>
      </c>
      <c r="X43" s="21">
        <f t="shared" si="7"/>
        <v>0.15</v>
      </c>
      <c r="Y43" s="130">
        <f t="shared" si="8"/>
        <v>59988.6</v>
      </c>
      <c r="Z43" s="130">
        <f t="shared" si="89"/>
        <v>68986.89</v>
      </c>
      <c r="AA43" s="130">
        <f t="shared" si="90"/>
        <v>79334.92349999999</v>
      </c>
      <c r="AB43" s="130">
        <f t="shared" si="91"/>
        <v>91235.162024999983</v>
      </c>
      <c r="AC43" s="130">
        <f t="shared" si="92"/>
        <v>104920.43632874997</v>
      </c>
      <c r="AD43" s="130">
        <f t="shared" si="93"/>
        <v>120658.50177806246</v>
      </c>
      <c r="AE43" s="130">
        <f t="shared" si="94"/>
        <v>138757.27704477182</v>
      </c>
      <c r="AF43" s="130">
        <f t="shared" si="95"/>
        <v>159570.86860148757</v>
      </c>
      <c r="AG43" s="130">
        <f t="shared" si="96"/>
        <v>183506.49889171068</v>
      </c>
      <c r="AH43" s="130">
        <f t="shared" si="97"/>
        <v>211032.47372546728</v>
      </c>
      <c r="AI43" s="115">
        <f t="shared" si="2"/>
        <v>0.12489236395440195</v>
      </c>
      <c r="AJ43" s="21">
        <f t="shared" si="18"/>
        <v>0.01</v>
      </c>
      <c r="AK43" s="123" t="e">
        <f t="shared" si="25"/>
        <v>#DIV/0!</v>
      </c>
    </row>
    <row r="44" spans="1:37" x14ac:dyDescent="0.2">
      <c r="A44" s="302"/>
      <c r="B44" s="175"/>
      <c r="C44" s="118"/>
      <c r="D44" s="118"/>
      <c r="E44" s="124"/>
      <c r="F44" s="127"/>
      <c r="G44" s="127" t="e">
        <f t="shared" ref="G44" si="108">(G43-F43)/F43</f>
        <v>#DIV/0!</v>
      </c>
      <c r="H44" s="127" t="e">
        <f t="shared" ref="H44" si="109">(H43-F43)/F43</f>
        <v>#DIV/0!</v>
      </c>
      <c r="I44" s="127" t="e">
        <f t="shared" ref="I44:U44" si="110">(I43-H43)/H43</f>
        <v>#DIV/0!</v>
      </c>
      <c r="J44" s="127" t="e">
        <f t="shared" si="110"/>
        <v>#DIV/0!</v>
      </c>
      <c r="K44" s="127" t="e">
        <f t="shared" si="110"/>
        <v>#DIV/0!</v>
      </c>
      <c r="L44" s="127" t="e">
        <f t="shared" si="110"/>
        <v>#DIV/0!</v>
      </c>
      <c r="M44" s="127" t="e">
        <f t="shared" si="110"/>
        <v>#DIV/0!</v>
      </c>
      <c r="N44" s="127" t="e">
        <f t="shared" si="110"/>
        <v>#DIV/0!</v>
      </c>
      <c r="O44" s="127" t="e">
        <f t="shared" si="110"/>
        <v>#DIV/0!</v>
      </c>
      <c r="P44" s="127" t="e">
        <f t="shared" si="110"/>
        <v>#DIV/0!</v>
      </c>
      <c r="Q44" s="127" t="e">
        <f t="shared" si="110"/>
        <v>#DIV/0!</v>
      </c>
      <c r="R44" s="127" t="e">
        <f t="shared" si="110"/>
        <v>#DIV/0!</v>
      </c>
      <c r="S44" s="127" t="e">
        <f t="shared" si="110"/>
        <v>#DIV/0!</v>
      </c>
      <c r="T44" s="127">
        <f t="shared" si="110"/>
        <v>8.1008337162738794E-2</v>
      </c>
      <c r="U44" s="127">
        <f t="shared" si="110"/>
        <v>5.5930041901985791E-2</v>
      </c>
      <c r="V44" s="127">
        <f t="shared" ref="V44" si="111">(V43-U43)/U43</f>
        <v>-1</v>
      </c>
      <c r="W44" s="10"/>
      <c r="X44" s="1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14"/>
      <c r="AJ44" s="130"/>
      <c r="AK44" s="114"/>
    </row>
    <row r="45" spans="1:37" x14ac:dyDescent="0.2">
      <c r="A45" s="302"/>
      <c r="B45" s="175" t="s">
        <v>191</v>
      </c>
      <c r="C45" s="118"/>
      <c r="D45" s="118"/>
      <c r="E45" s="124"/>
      <c r="F45" s="178"/>
      <c r="G45" s="178">
        <v>20091</v>
      </c>
      <c r="H45" s="178">
        <f t="shared" ref="H45:I45" si="112">I45</f>
        <v>0</v>
      </c>
      <c r="I45" s="178">
        <f t="shared" si="112"/>
        <v>0</v>
      </c>
      <c r="J45" s="178">
        <f>K45</f>
        <v>0</v>
      </c>
      <c r="K45" s="178">
        <v>0</v>
      </c>
      <c r="L45" s="178">
        <v>0</v>
      </c>
      <c r="M45" s="178">
        <v>0</v>
      </c>
      <c r="N45" s="178">
        <v>0</v>
      </c>
      <c r="O45" s="178">
        <v>0</v>
      </c>
      <c r="P45" s="178">
        <v>0</v>
      </c>
      <c r="Q45" s="178">
        <v>0</v>
      </c>
      <c r="R45" s="178">
        <v>0</v>
      </c>
      <c r="S45" s="178">
        <v>20091</v>
      </c>
      <c r="T45" s="178">
        <v>50471</v>
      </c>
      <c r="U45" s="178">
        <v>60904</v>
      </c>
      <c r="V45" s="178"/>
      <c r="W45" s="101">
        <f t="shared" si="26"/>
        <v>-1</v>
      </c>
      <c r="X45" s="21">
        <f t="shared" si="7"/>
        <v>0.15</v>
      </c>
      <c r="Y45" s="130">
        <f t="shared" si="8"/>
        <v>70039.599999999991</v>
      </c>
      <c r="Z45" s="130">
        <f t="shared" si="89"/>
        <v>80545.539999999979</v>
      </c>
      <c r="AA45" s="130">
        <f t="shared" si="90"/>
        <v>92627.37099999997</v>
      </c>
      <c r="AB45" s="130">
        <f t="shared" si="91"/>
        <v>106521.47664999995</v>
      </c>
      <c r="AC45" s="130">
        <f t="shared" si="92"/>
        <v>122499.69814749993</v>
      </c>
      <c r="AD45" s="130">
        <f t="shared" si="93"/>
        <v>140874.6528696249</v>
      </c>
      <c r="AE45" s="130">
        <f t="shared" si="94"/>
        <v>162005.85080006861</v>
      </c>
      <c r="AF45" s="130">
        <f t="shared" si="95"/>
        <v>186306.7284200789</v>
      </c>
      <c r="AG45" s="130">
        <f t="shared" si="96"/>
        <v>214252.73768309073</v>
      </c>
      <c r="AH45" s="130">
        <f t="shared" si="97"/>
        <v>246390.64833555432</v>
      </c>
      <c r="AI45" s="115">
        <f t="shared" si="2"/>
        <v>0.21266321855630754</v>
      </c>
      <c r="AJ45" s="21">
        <f t="shared" si="18"/>
        <v>0.01</v>
      </c>
      <c r="AK45" s="123" t="e">
        <f t="shared" si="25"/>
        <v>#DIV/0!</v>
      </c>
    </row>
    <row r="46" spans="1:37" x14ac:dyDescent="0.2">
      <c r="A46" s="176"/>
      <c r="B46" s="175"/>
      <c r="C46" s="118"/>
      <c r="D46" s="118"/>
      <c r="E46" s="124"/>
      <c r="F46" s="127"/>
      <c r="G46" s="127" t="e">
        <f t="shared" ref="G46:H46" si="113">(G45-E45)/E45</f>
        <v>#DIV/0!</v>
      </c>
      <c r="H46" s="127" t="e">
        <f t="shared" si="113"/>
        <v>#DIV/0!</v>
      </c>
      <c r="I46" s="127" t="e">
        <f t="shared" ref="I46:U46" si="114">(I45-H45)/H45</f>
        <v>#DIV/0!</v>
      </c>
      <c r="J46" s="127" t="e">
        <f t="shared" si="114"/>
        <v>#DIV/0!</v>
      </c>
      <c r="K46" s="127" t="e">
        <f t="shared" si="114"/>
        <v>#DIV/0!</v>
      </c>
      <c r="L46" s="127" t="e">
        <f t="shared" si="114"/>
        <v>#DIV/0!</v>
      </c>
      <c r="M46" s="127" t="e">
        <f t="shared" si="114"/>
        <v>#DIV/0!</v>
      </c>
      <c r="N46" s="127" t="e">
        <f t="shared" si="114"/>
        <v>#DIV/0!</v>
      </c>
      <c r="O46" s="127" t="e">
        <f t="shared" si="114"/>
        <v>#DIV/0!</v>
      </c>
      <c r="P46" s="127" t="e">
        <f t="shared" si="114"/>
        <v>#DIV/0!</v>
      </c>
      <c r="Q46" s="127" t="e">
        <f t="shared" si="114"/>
        <v>#DIV/0!</v>
      </c>
      <c r="R46" s="127" t="e">
        <f t="shared" si="114"/>
        <v>#DIV/0!</v>
      </c>
      <c r="S46" s="127" t="e">
        <f t="shared" si="114"/>
        <v>#DIV/0!</v>
      </c>
      <c r="T46" s="127">
        <f t="shared" si="114"/>
        <v>1.5121198546612911</v>
      </c>
      <c r="U46" s="127">
        <f t="shared" si="114"/>
        <v>0.20671276574666642</v>
      </c>
      <c r="V46" s="127">
        <f t="shared" ref="V46" si="115">(V45-U45)/U45</f>
        <v>-1</v>
      </c>
      <c r="W46" s="10"/>
      <c r="X46" s="1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14"/>
      <c r="AJ46" s="130"/>
      <c r="AK46" s="114"/>
    </row>
    <row r="47" spans="1:37" x14ac:dyDescent="0.2">
      <c r="A47" s="176"/>
      <c r="B47" s="175" t="s">
        <v>505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>
        <v>0</v>
      </c>
      <c r="V47" s="127"/>
      <c r="W47" s="101" t="e">
        <f t="shared" si="26"/>
        <v>#DIV/0!</v>
      </c>
      <c r="X47" s="21">
        <f t="shared" si="7"/>
        <v>0.15</v>
      </c>
      <c r="Y47" s="130">
        <f t="shared" ref="Y47" si="116">U47*(1+$X47)</f>
        <v>0</v>
      </c>
      <c r="Z47" s="130">
        <f t="shared" ref="Z47" si="117">Y47*(1+$X47)</f>
        <v>0</v>
      </c>
      <c r="AA47" s="130">
        <f t="shared" ref="AA47" si="118">Z47*(1+$X47)</f>
        <v>0</v>
      </c>
      <c r="AB47" s="130">
        <f t="shared" ref="AB47" si="119">AA47*(1+$X47)</f>
        <v>0</v>
      </c>
      <c r="AC47" s="130">
        <f t="shared" ref="AC47" si="120">AB47*(1+$X47)</f>
        <v>0</v>
      </c>
      <c r="AD47" s="130">
        <f t="shared" ref="AD47" si="121">AC47*(1+$X47)</f>
        <v>0</v>
      </c>
      <c r="AE47" s="130">
        <f t="shared" ref="AE47" si="122">AD47*(1+$X47)</f>
        <v>0</v>
      </c>
      <c r="AF47" s="130">
        <f t="shared" ref="AF47" si="123">AE47*(1+$X47)</f>
        <v>0</v>
      </c>
      <c r="AG47" s="130">
        <f t="shared" ref="AG47" si="124">AF47*(1+$X47)</f>
        <v>0</v>
      </c>
      <c r="AH47" s="130">
        <f t="shared" ref="AH47" si="125">AG47*(1+$X47)</f>
        <v>0</v>
      </c>
      <c r="AI47" s="115" t="e">
        <f t="shared" si="2"/>
        <v>#DIV/0!</v>
      </c>
      <c r="AJ47" s="21">
        <f t="shared" si="18"/>
        <v>0.01</v>
      </c>
      <c r="AK47" s="123" t="e">
        <f t="shared" si="25"/>
        <v>#DIV/0!</v>
      </c>
    </row>
    <row r="48" spans="1:37" x14ac:dyDescent="0.2">
      <c r="A48" s="176"/>
      <c r="B48" s="175"/>
      <c r="C48" s="118"/>
      <c r="D48" s="118"/>
      <c r="E48" s="124"/>
      <c r="F48" s="127"/>
      <c r="G48" s="127" t="e">
        <f t="shared" ref="G48:H48" si="126">(G47-E47)/E47</f>
        <v>#DIV/0!</v>
      </c>
      <c r="H48" s="127" t="e">
        <f t="shared" si="126"/>
        <v>#DIV/0!</v>
      </c>
      <c r="I48" s="127" t="e">
        <f t="shared" ref="I48:U48" si="127">(I47-H47)/H47</f>
        <v>#DIV/0!</v>
      </c>
      <c r="J48" s="127" t="e">
        <f t="shared" si="127"/>
        <v>#DIV/0!</v>
      </c>
      <c r="K48" s="127" t="e">
        <f t="shared" si="127"/>
        <v>#DIV/0!</v>
      </c>
      <c r="L48" s="127" t="e">
        <f t="shared" si="127"/>
        <v>#DIV/0!</v>
      </c>
      <c r="M48" s="127" t="e">
        <f t="shared" si="127"/>
        <v>#DIV/0!</v>
      </c>
      <c r="N48" s="127" t="e">
        <f t="shared" si="127"/>
        <v>#DIV/0!</v>
      </c>
      <c r="O48" s="127" t="e">
        <f t="shared" si="127"/>
        <v>#DIV/0!</v>
      </c>
      <c r="P48" s="127" t="e">
        <f t="shared" si="127"/>
        <v>#DIV/0!</v>
      </c>
      <c r="Q48" s="127" t="e">
        <f t="shared" si="127"/>
        <v>#DIV/0!</v>
      </c>
      <c r="R48" s="127" t="e">
        <f t="shared" si="127"/>
        <v>#DIV/0!</v>
      </c>
      <c r="S48" s="127" t="e">
        <f t="shared" si="127"/>
        <v>#DIV/0!</v>
      </c>
      <c r="T48" s="127" t="e">
        <f t="shared" si="127"/>
        <v>#DIV/0!</v>
      </c>
      <c r="U48" s="127" t="e">
        <f t="shared" si="127"/>
        <v>#DIV/0!</v>
      </c>
      <c r="V48" s="127" t="e">
        <f t="shared" ref="V48" si="128">(V47-U47)/U47</f>
        <v>#DIV/0!</v>
      </c>
      <c r="W48" s="10"/>
      <c r="X48" s="1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14"/>
      <c r="AJ48" s="130"/>
      <c r="AK48" s="114"/>
    </row>
    <row r="49" spans="1:37" x14ac:dyDescent="0.2">
      <c r="A49" s="176"/>
      <c r="B49" s="175" t="s">
        <v>427</v>
      </c>
      <c r="C49" s="118"/>
      <c r="D49" s="118"/>
      <c r="E49" s="124"/>
      <c r="F49" s="178"/>
      <c r="G49" s="178">
        <v>403</v>
      </c>
      <c r="H49" s="178">
        <f t="shared" ref="H49:I49" si="129">I49</f>
        <v>0</v>
      </c>
      <c r="I49" s="178">
        <f t="shared" si="129"/>
        <v>0</v>
      </c>
      <c r="J49" s="178">
        <f>K49</f>
        <v>0</v>
      </c>
      <c r="K49" s="178">
        <v>0</v>
      </c>
      <c r="L49" s="178">
        <v>0</v>
      </c>
      <c r="M49" s="178">
        <v>0</v>
      </c>
      <c r="N49" s="178">
        <v>0</v>
      </c>
      <c r="O49" s="178">
        <v>0</v>
      </c>
      <c r="P49" s="178">
        <v>0</v>
      </c>
      <c r="Q49" s="178">
        <v>0</v>
      </c>
      <c r="R49" s="178">
        <v>0</v>
      </c>
      <c r="S49" s="178">
        <v>403</v>
      </c>
      <c r="T49" s="178">
        <v>1013</v>
      </c>
      <c r="U49" s="178">
        <v>1119</v>
      </c>
      <c r="V49" s="178"/>
      <c r="W49" s="101">
        <f t="shared" si="26"/>
        <v>-1</v>
      </c>
      <c r="X49" s="21">
        <f t="shared" si="7"/>
        <v>0.15</v>
      </c>
      <c r="Y49" s="130">
        <f t="shared" si="8"/>
        <v>1286.8499999999999</v>
      </c>
      <c r="Z49" s="130">
        <f t="shared" ref="Z49" si="130">Y49*(1+$X49)</f>
        <v>1479.8774999999998</v>
      </c>
      <c r="AA49" s="130">
        <f t="shared" ref="AA49" si="131">Z49*(1+$X49)</f>
        <v>1701.8591249999997</v>
      </c>
      <c r="AB49" s="130">
        <f t="shared" ref="AB49" si="132">AA49*(1+$X49)</f>
        <v>1957.1379937499996</v>
      </c>
      <c r="AC49" s="130">
        <f t="shared" ref="AC49" si="133">AB49*(1+$X49)</f>
        <v>2250.7086928124995</v>
      </c>
      <c r="AD49" s="130">
        <f t="shared" ref="AD49" si="134">AC49*(1+$X49)</f>
        <v>2588.3149967343743</v>
      </c>
      <c r="AE49" s="130">
        <f t="shared" ref="AE49" si="135">AD49*(1+$X49)</f>
        <v>2976.5622462445303</v>
      </c>
      <c r="AF49" s="130">
        <f t="shared" ref="AF49" si="136">AE49*(1+$X49)</f>
        <v>3423.0465831812098</v>
      </c>
      <c r="AG49" s="130">
        <f t="shared" ref="AG49" si="137">AF49*(1+$X49)</f>
        <v>3936.5035706583908</v>
      </c>
      <c r="AH49" s="130">
        <f t="shared" ref="AH49" si="138">AG49*(1+$X49)</f>
        <v>4526.9791062571494</v>
      </c>
      <c r="AI49" s="115">
        <f t="shared" si="2"/>
        <v>0.20450319750427903</v>
      </c>
      <c r="AJ49" s="21">
        <f t="shared" si="18"/>
        <v>0.01</v>
      </c>
      <c r="AK49" s="123" t="e">
        <f t="shared" si="25"/>
        <v>#DIV/0!</v>
      </c>
    </row>
    <row r="50" spans="1:37" x14ac:dyDescent="0.2">
      <c r="A50" s="176"/>
      <c r="B50" s="175"/>
      <c r="C50" s="118"/>
      <c r="D50" s="118"/>
      <c r="E50" s="124"/>
      <c r="F50" s="127"/>
      <c r="G50" s="127" t="e">
        <f t="shared" ref="G50" si="139">(G49-F49)/F49</f>
        <v>#DIV/0!</v>
      </c>
      <c r="H50" s="127" t="e">
        <f t="shared" ref="H50" si="140">(H49-F49)/F49</f>
        <v>#DIV/0!</v>
      </c>
      <c r="I50" s="127" t="e">
        <f t="shared" ref="I50:U50" si="141">(I49-H49)/H49</f>
        <v>#DIV/0!</v>
      </c>
      <c r="J50" s="127" t="e">
        <f t="shared" si="141"/>
        <v>#DIV/0!</v>
      </c>
      <c r="K50" s="127" t="e">
        <f t="shared" si="141"/>
        <v>#DIV/0!</v>
      </c>
      <c r="L50" s="127" t="e">
        <f t="shared" si="141"/>
        <v>#DIV/0!</v>
      </c>
      <c r="M50" s="127" t="e">
        <f t="shared" si="141"/>
        <v>#DIV/0!</v>
      </c>
      <c r="N50" s="127" t="e">
        <f t="shared" si="141"/>
        <v>#DIV/0!</v>
      </c>
      <c r="O50" s="127" t="e">
        <f t="shared" si="141"/>
        <v>#DIV/0!</v>
      </c>
      <c r="P50" s="127" t="e">
        <f t="shared" si="141"/>
        <v>#DIV/0!</v>
      </c>
      <c r="Q50" s="127" t="e">
        <f t="shared" si="141"/>
        <v>#DIV/0!</v>
      </c>
      <c r="R50" s="127" t="e">
        <f t="shared" si="141"/>
        <v>#DIV/0!</v>
      </c>
      <c r="S50" s="127" t="e">
        <f t="shared" si="141"/>
        <v>#DIV/0!</v>
      </c>
      <c r="T50" s="127">
        <f t="shared" si="141"/>
        <v>1.5136476426799008</v>
      </c>
      <c r="U50" s="127">
        <f t="shared" si="141"/>
        <v>0.10463968410661402</v>
      </c>
      <c r="V50" s="127">
        <f t="shared" ref="V50" si="142">(V49-U49)/U49</f>
        <v>-1</v>
      </c>
      <c r="W50" s="10"/>
      <c r="X50" s="1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14"/>
      <c r="AJ50" s="130"/>
      <c r="AK50" s="114"/>
    </row>
    <row r="51" spans="1:37" x14ac:dyDescent="0.2">
      <c r="A51" s="176"/>
      <c r="B51" s="175" t="s">
        <v>418</v>
      </c>
      <c r="C51" s="118"/>
      <c r="D51" s="118"/>
      <c r="E51" s="124"/>
      <c r="F51" s="178"/>
      <c r="G51" s="178">
        <v>73969</v>
      </c>
      <c r="H51" s="178">
        <f t="shared" ref="H51:I51" si="143">I51</f>
        <v>0</v>
      </c>
      <c r="I51" s="178">
        <f t="shared" si="143"/>
        <v>0</v>
      </c>
      <c r="J51" s="178">
        <f>K51</f>
        <v>0</v>
      </c>
      <c r="K51" s="178">
        <v>0</v>
      </c>
      <c r="L51" s="178">
        <v>0</v>
      </c>
      <c r="M51" s="178">
        <v>0</v>
      </c>
      <c r="N51" s="178">
        <v>0</v>
      </c>
      <c r="O51" s="178">
        <v>0</v>
      </c>
      <c r="P51" s="178">
        <v>0</v>
      </c>
      <c r="Q51" s="178">
        <v>0</v>
      </c>
      <c r="R51" s="178">
        <v>0</v>
      </c>
      <c r="S51" s="178">
        <v>73969</v>
      </c>
      <c r="T51" s="178">
        <v>112159</v>
      </c>
      <c r="U51" s="178">
        <v>126381</v>
      </c>
      <c r="V51" s="178"/>
      <c r="W51" s="101">
        <f t="shared" si="26"/>
        <v>-1</v>
      </c>
      <c r="X51" s="21">
        <f t="shared" si="7"/>
        <v>0.15</v>
      </c>
      <c r="Y51" s="130">
        <f t="shared" si="8"/>
        <v>145338.15</v>
      </c>
      <c r="Z51" s="130">
        <f t="shared" si="89"/>
        <v>167138.87249999997</v>
      </c>
      <c r="AA51" s="130">
        <f t="shared" si="90"/>
        <v>192209.70337499995</v>
      </c>
      <c r="AB51" s="130">
        <f t="shared" si="91"/>
        <v>221041.15888124992</v>
      </c>
      <c r="AC51" s="130">
        <f t="shared" si="92"/>
        <v>254197.33271343738</v>
      </c>
      <c r="AD51" s="130">
        <f t="shared" si="93"/>
        <v>292326.93262045295</v>
      </c>
      <c r="AE51" s="130">
        <f t="shared" si="94"/>
        <v>336175.97251352086</v>
      </c>
      <c r="AF51" s="130">
        <f t="shared" si="95"/>
        <v>386602.36839054897</v>
      </c>
      <c r="AG51" s="130">
        <f t="shared" si="96"/>
        <v>444592.72364913131</v>
      </c>
      <c r="AH51" s="130">
        <f t="shared" si="97"/>
        <v>511281.63219650096</v>
      </c>
      <c r="AI51" s="115">
        <f t="shared" si="2"/>
        <v>0.16034041398565813</v>
      </c>
      <c r="AJ51" s="21">
        <f t="shared" si="18"/>
        <v>0.01</v>
      </c>
      <c r="AK51" s="123" t="e">
        <f t="shared" si="25"/>
        <v>#DIV/0!</v>
      </c>
    </row>
    <row r="52" spans="1:37" x14ac:dyDescent="0.2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01" t="e">
        <f t="shared" si="26"/>
        <v>#DIV/0!</v>
      </c>
      <c r="X52" s="1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14"/>
      <c r="AJ52" s="114"/>
      <c r="AK52" s="114"/>
    </row>
    <row r="53" spans="1:37" x14ac:dyDescent="0.2">
      <c r="B53" s="10" t="s">
        <v>229</v>
      </c>
      <c r="C53" s="118"/>
      <c r="D53" s="118"/>
      <c r="E53" s="124"/>
      <c r="F53" s="124"/>
      <c r="G53" s="178">
        <v>0</v>
      </c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78">
        <v>0</v>
      </c>
      <c r="T53" s="178">
        <v>0</v>
      </c>
      <c r="U53" s="178"/>
      <c r="V53" s="178">
        <v>0</v>
      </c>
      <c r="W53" s="101" t="e">
        <f t="shared" si="26"/>
        <v>#DIV/0!</v>
      </c>
      <c r="X53" s="21">
        <f t="shared" si="7"/>
        <v>0.15</v>
      </c>
      <c r="Y53" s="130">
        <f t="shared" si="8"/>
        <v>0</v>
      </c>
      <c r="Z53" s="130">
        <f t="shared" ref="Z53" si="144">Y53*(1+$X53)</f>
        <v>0</v>
      </c>
      <c r="AA53" s="130">
        <f t="shared" ref="AA53" si="145">Z53*(1+$X53)</f>
        <v>0</v>
      </c>
      <c r="AB53" s="130">
        <f t="shared" ref="AB53" si="146">AA53*(1+$X53)</f>
        <v>0</v>
      </c>
      <c r="AC53" s="130">
        <f t="shared" si="42"/>
        <v>0</v>
      </c>
      <c r="AD53" s="130">
        <f t="shared" si="43"/>
        <v>0</v>
      </c>
      <c r="AE53" s="130">
        <f t="shared" si="44"/>
        <v>0</v>
      </c>
      <c r="AF53" s="130">
        <f t="shared" si="45"/>
        <v>0</v>
      </c>
      <c r="AG53" s="130">
        <f t="shared" si="46"/>
        <v>0</v>
      </c>
      <c r="AH53" s="130">
        <f t="shared" si="47"/>
        <v>0</v>
      </c>
      <c r="AI53" s="115" t="e">
        <f t="shared" si="2"/>
        <v>#DIV/0!</v>
      </c>
      <c r="AJ53" s="21">
        <f t="shared" si="18"/>
        <v>0.01</v>
      </c>
      <c r="AK53" s="123" t="e">
        <f t="shared" si="25"/>
        <v>#DIV/0!</v>
      </c>
    </row>
    <row r="54" spans="1:37" s="106" customFormat="1" x14ac:dyDescent="0.2">
      <c r="B54" s="13"/>
      <c r="C54" s="125"/>
      <c r="D54" s="125"/>
      <c r="E54" s="126"/>
      <c r="F54" s="266"/>
      <c r="G54" s="127" t="e">
        <f t="shared" ref="G54" si="147">(G53-F53)/F53</f>
        <v>#DIV/0!</v>
      </c>
      <c r="H54" s="266" t="e">
        <f t="shared" ref="H54:R54" si="148">(H53-G53)/H53</f>
        <v>#DIV/0!</v>
      </c>
      <c r="I54" s="266" t="e">
        <f t="shared" si="148"/>
        <v>#DIV/0!</v>
      </c>
      <c r="J54" s="266" t="e">
        <f t="shared" si="148"/>
        <v>#DIV/0!</v>
      </c>
      <c r="K54" s="266" t="e">
        <f t="shared" si="148"/>
        <v>#DIV/0!</v>
      </c>
      <c r="L54" s="266" t="e">
        <f t="shared" si="148"/>
        <v>#DIV/0!</v>
      </c>
      <c r="M54" s="266" t="e">
        <f t="shared" si="148"/>
        <v>#DIV/0!</v>
      </c>
      <c r="N54" s="266" t="e">
        <f t="shared" si="148"/>
        <v>#DIV/0!</v>
      </c>
      <c r="O54" s="266" t="e">
        <f t="shared" si="148"/>
        <v>#DIV/0!</v>
      </c>
      <c r="P54" s="266" t="e">
        <f t="shared" si="148"/>
        <v>#DIV/0!</v>
      </c>
      <c r="Q54" s="266" t="e">
        <f t="shared" si="148"/>
        <v>#DIV/0!</v>
      </c>
      <c r="R54" s="266" t="e">
        <f t="shared" si="148"/>
        <v>#DIV/0!</v>
      </c>
      <c r="S54" s="127" t="e">
        <f t="shared" ref="S54:U54" si="149">(S53-R53)/R53</f>
        <v>#DIV/0!</v>
      </c>
      <c r="T54" s="127" t="e">
        <f t="shared" si="149"/>
        <v>#DIV/0!</v>
      </c>
      <c r="U54" s="127" t="e">
        <f t="shared" si="149"/>
        <v>#DIV/0!</v>
      </c>
      <c r="V54" s="127" t="e">
        <f t="shared" ref="V54" si="150">(V53-U53)/U53</f>
        <v>#DIV/0!</v>
      </c>
      <c r="W54" s="10"/>
      <c r="X54" s="10"/>
      <c r="Y54" s="130"/>
      <c r="Z54" s="131"/>
      <c r="AA54" s="131"/>
      <c r="AB54" s="131"/>
      <c r="AC54" s="131"/>
      <c r="AD54" s="131"/>
      <c r="AE54" s="131"/>
      <c r="AF54" s="131"/>
      <c r="AG54" s="131"/>
      <c r="AH54" s="131"/>
      <c r="AI54" s="114"/>
      <c r="AJ54" s="114"/>
      <c r="AK54" s="114"/>
    </row>
    <row r="55" spans="1:37" s="106" customFormat="1" x14ac:dyDescent="0.2">
      <c r="B55" s="10" t="s">
        <v>342</v>
      </c>
      <c r="C55" s="125"/>
      <c r="D55" s="125"/>
      <c r="E55" s="126"/>
      <c r="F55" s="124"/>
      <c r="G55" s="178">
        <v>0</v>
      </c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78">
        <v>0</v>
      </c>
      <c r="T55" s="178">
        <v>0</v>
      </c>
      <c r="U55" s="178"/>
      <c r="V55" s="178">
        <v>0</v>
      </c>
      <c r="W55" s="101" t="e">
        <f t="shared" si="26"/>
        <v>#DIV/0!</v>
      </c>
      <c r="X55" s="21">
        <f t="shared" si="7"/>
        <v>0.15</v>
      </c>
      <c r="Y55" s="130">
        <f t="shared" si="8"/>
        <v>0</v>
      </c>
      <c r="Z55" s="130">
        <f t="shared" ref="Z55" si="151">Y55*(1+$X55)</f>
        <v>0</v>
      </c>
      <c r="AA55" s="130">
        <f t="shared" ref="AA55" si="152">Z55*(1+$X55)</f>
        <v>0</v>
      </c>
      <c r="AB55" s="130">
        <f t="shared" ref="AB55" si="153">AA55*(1+$X55)</f>
        <v>0</v>
      </c>
      <c r="AC55" s="130">
        <f t="shared" ref="AC55" si="154">AB55*(1+$X55)</f>
        <v>0</v>
      </c>
      <c r="AD55" s="130">
        <f t="shared" ref="AD55" si="155">AC55*(1+$X55)</f>
        <v>0</v>
      </c>
      <c r="AE55" s="130">
        <f t="shared" ref="AE55" si="156">AD55*(1+$X55)</f>
        <v>0</v>
      </c>
      <c r="AF55" s="130">
        <f t="shared" ref="AF55" si="157">AE55*(1+$X55)</f>
        <v>0</v>
      </c>
      <c r="AG55" s="130">
        <f t="shared" ref="AG55" si="158">AF55*(1+$X55)</f>
        <v>0</v>
      </c>
      <c r="AH55" s="130">
        <f t="shared" ref="AH55" si="159">AG55*(1+$X55)</f>
        <v>0</v>
      </c>
      <c r="AI55" s="115" t="e">
        <f t="shared" si="2"/>
        <v>#DIV/0!</v>
      </c>
      <c r="AJ55" s="21">
        <f t="shared" si="18"/>
        <v>0.01</v>
      </c>
      <c r="AK55" s="123" t="e">
        <f t="shared" si="25"/>
        <v>#DIV/0!</v>
      </c>
    </row>
    <row r="56" spans="1:37" s="106" customFormat="1" x14ac:dyDescent="0.2">
      <c r="B56" s="13"/>
      <c r="C56" s="125"/>
      <c r="D56" s="125"/>
      <c r="E56" s="126"/>
      <c r="F56" s="266"/>
      <c r="G56" s="266" t="e">
        <f t="shared" ref="G56:R56" si="160">(G55-F55)/G55</f>
        <v>#DIV/0!</v>
      </c>
      <c r="H56" s="266" t="e">
        <f t="shared" si="160"/>
        <v>#DIV/0!</v>
      </c>
      <c r="I56" s="266" t="e">
        <f t="shared" si="160"/>
        <v>#DIV/0!</v>
      </c>
      <c r="J56" s="266" t="e">
        <f t="shared" si="160"/>
        <v>#DIV/0!</v>
      </c>
      <c r="K56" s="266" t="e">
        <f t="shared" si="160"/>
        <v>#DIV/0!</v>
      </c>
      <c r="L56" s="266" t="e">
        <f t="shared" si="160"/>
        <v>#DIV/0!</v>
      </c>
      <c r="M56" s="266" t="e">
        <f t="shared" si="160"/>
        <v>#DIV/0!</v>
      </c>
      <c r="N56" s="266" t="e">
        <f t="shared" si="160"/>
        <v>#DIV/0!</v>
      </c>
      <c r="O56" s="266" t="e">
        <f t="shared" si="160"/>
        <v>#DIV/0!</v>
      </c>
      <c r="P56" s="266" t="e">
        <f t="shared" si="160"/>
        <v>#DIV/0!</v>
      </c>
      <c r="Q56" s="266" t="e">
        <f t="shared" si="160"/>
        <v>#DIV/0!</v>
      </c>
      <c r="R56" s="266" t="e">
        <f t="shared" si="160"/>
        <v>#DIV/0!</v>
      </c>
      <c r="S56" s="127" t="e">
        <f t="shared" ref="S56:U56" si="161">(S55-R55)/R55</f>
        <v>#DIV/0!</v>
      </c>
      <c r="T56" s="127" t="e">
        <f t="shared" si="161"/>
        <v>#DIV/0!</v>
      </c>
      <c r="U56" s="127" t="e">
        <f t="shared" si="161"/>
        <v>#DIV/0!</v>
      </c>
      <c r="V56" s="127" t="e">
        <f t="shared" ref="V56" si="162">(V55-U55)/U55</f>
        <v>#DIV/0!</v>
      </c>
      <c r="W56" s="10"/>
      <c r="X56" s="10"/>
      <c r="Y56" s="130"/>
      <c r="Z56" s="131"/>
      <c r="AA56" s="131"/>
      <c r="AB56" s="131"/>
      <c r="AC56" s="131"/>
      <c r="AD56" s="131"/>
      <c r="AE56" s="131"/>
      <c r="AF56" s="131"/>
      <c r="AG56" s="131"/>
      <c r="AH56" s="131"/>
      <c r="AI56" s="114"/>
      <c r="AJ56" s="114"/>
      <c r="AK56" s="114"/>
    </row>
    <row r="57" spans="1:37" s="106" customFormat="1" x14ac:dyDescent="0.2">
      <c r="B57" s="10" t="s">
        <v>504</v>
      </c>
      <c r="C57" s="125"/>
      <c r="D57" s="125"/>
      <c r="E57" s="126"/>
      <c r="F57" s="266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78"/>
      <c r="T57" s="178"/>
      <c r="U57" s="178">
        <v>168</v>
      </c>
      <c r="V57" s="178">
        <v>2820</v>
      </c>
      <c r="W57" s="101" t="e">
        <f t="shared" si="26"/>
        <v>#DIV/0!</v>
      </c>
      <c r="X57" s="21">
        <f t="shared" si="7"/>
        <v>0.15</v>
      </c>
      <c r="Y57" s="130">
        <f t="shared" ref="Y57" si="163">U57*(1+$X57)</f>
        <v>193.2</v>
      </c>
      <c r="Z57" s="130">
        <f t="shared" ref="Z57" si="164">Y57*(1+$X57)</f>
        <v>222.17999999999998</v>
      </c>
      <c r="AA57" s="130">
        <f t="shared" ref="AA57" si="165">Z57*(1+$X57)</f>
        <v>255.50699999999995</v>
      </c>
      <c r="AB57" s="130">
        <f t="shared" ref="AB57" si="166">AA57*(1+$X57)</f>
        <v>293.8330499999999</v>
      </c>
      <c r="AC57" s="130">
        <f t="shared" ref="AC57" si="167">AB57*(1+$X57)</f>
        <v>337.90800749999988</v>
      </c>
      <c r="AD57" s="130">
        <f t="shared" ref="AD57" si="168">AC57*(1+$X57)</f>
        <v>388.59420862499985</v>
      </c>
      <c r="AE57" s="130">
        <f t="shared" ref="AE57" si="169">AD57*(1+$X57)</f>
        <v>446.88333991874981</v>
      </c>
      <c r="AF57" s="130">
        <f t="shared" ref="AF57" si="170">AE57*(1+$X57)</f>
        <v>513.91584090656227</v>
      </c>
      <c r="AG57" s="130">
        <f t="shared" ref="AG57" si="171">AF57*(1+$X57)</f>
        <v>591.00321704254657</v>
      </c>
      <c r="AH57" s="130">
        <f t="shared" ref="AH57" si="172">AG57*(1+$X57)</f>
        <v>679.65369959892848</v>
      </c>
      <c r="AI57" s="115" t="e">
        <f t="shared" si="2"/>
        <v>#DIV/0!</v>
      </c>
      <c r="AJ57" s="21">
        <f t="shared" si="18"/>
        <v>0.01</v>
      </c>
      <c r="AK57" s="123" t="e">
        <f t="shared" si="25"/>
        <v>#DIV/0!</v>
      </c>
    </row>
    <row r="58" spans="1:37" s="106" customFormat="1" x14ac:dyDescent="0.2">
      <c r="B58" s="13"/>
      <c r="C58" s="125"/>
      <c r="D58" s="125"/>
      <c r="E58" s="126"/>
      <c r="F58" s="266"/>
      <c r="G58" s="266" t="e">
        <f t="shared" ref="G58:R58" si="173">(G57-F57)/G57</f>
        <v>#DIV/0!</v>
      </c>
      <c r="H58" s="266" t="e">
        <f t="shared" si="173"/>
        <v>#DIV/0!</v>
      </c>
      <c r="I58" s="266" t="e">
        <f t="shared" si="173"/>
        <v>#DIV/0!</v>
      </c>
      <c r="J58" s="266" t="e">
        <f t="shared" si="173"/>
        <v>#DIV/0!</v>
      </c>
      <c r="K58" s="266" t="e">
        <f t="shared" si="173"/>
        <v>#DIV/0!</v>
      </c>
      <c r="L58" s="266" t="e">
        <f t="shared" si="173"/>
        <v>#DIV/0!</v>
      </c>
      <c r="M58" s="266" t="e">
        <f t="shared" si="173"/>
        <v>#DIV/0!</v>
      </c>
      <c r="N58" s="266" t="e">
        <f t="shared" si="173"/>
        <v>#DIV/0!</v>
      </c>
      <c r="O58" s="266" t="e">
        <f t="shared" si="173"/>
        <v>#DIV/0!</v>
      </c>
      <c r="P58" s="266" t="e">
        <f t="shared" si="173"/>
        <v>#DIV/0!</v>
      </c>
      <c r="Q58" s="266" t="e">
        <f t="shared" si="173"/>
        <v>#DIV/0!</v>
      </c>
      <c r="R58" s="266" t="e">
        <f t="shared" si="173"/>
        <v>#DIV/0!</v>
      </c>
      <c r="S58" s="127" t="e">
        <f t="shared" ref="S58:U58" si="174">(S57-R57)/R57</f>
        <v>#DIV/0!</v>
      </c>
      <c r="T58" s="127" t="e">
        <f t="shared" si="174"/>
        <v>#DIV/0!</v>
      </c>
      <c r="U58" s="127" t="e">
        <f t="shared" si="174"/>
        <v>#DIV/0!</v>
      </c>
      <c r="V58" s="127">
        <f t="shared" ref="V58" si="175">(V57-U57)/U57</f>
        <v>15.785714285714286</v>
      </c>
      <c r="W58" s="10"/>
      <c r="X58" s="10"/>
      <c r="Y58" s="130"/>
      <c r="Z58" s="131"/>
      <c r="AA58" s="131"/>
      <c r="AB58" s="131"/>
      <c r="AC58" s="131"/>
      <c r="AD58" s="131"/>
      <c r="AE58" s="131"/>
      <c r="AF58" s="131"/>
      <c r="AG58" s="131"/>
      <c r="AH58" s="131"/>
      <c r="AI58" s="114"/>
      <c r="AJ58" s="114"/>
      <c r="AK58" s="114"/>
    </row>
    <row r="59" spans="1:37" x14ac:dyDescent="0.2">
      <c r="B59" s="10" t="s">
        <v>343</v>
      </c>
      <c r="C59" s="118"/>
      <c r="D59" s="118"/>
      <c r="E59" s="124"/>
      <c r="F59" s="124"/>
      <c r="G59" s="178">
        <v>466</v>
      </c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78">
        <v>466</v>
      </c>
      <c r="T59" s="178">
        <v>1019</v>
      </c>
      <c r="U59" s="178">
        <v>879</v>
      </c>
      <c r="V59" s="178">
        <v>-1907</v>
      </c>
      <c r="W59" s="101">
        <f t="shared" si="26"/>
        <v>-2.5995147849146045</v>
      </c>
      <c r="X59" s="21">
        <f t="shared" si="7"/>
        <v>0.15</v>
      </c>
      <c r="Y59" s="130">
        <f t="shared" si="8"/>
        <v>1010.8499999999999</v>
      </c>
      <c r="Z59" s="130">
        <f t="shared" ref="Z59:AH59" si="176">Y59*(1+$X59)</f>
        <v>1162.4774999999997</v>
      </c>
      <c r="AA59" s="130">
        <f t="shared" si="176"/>
        <v>1336.8491249999995</v>
      </c>
      <c r="AB59" s="130">
        <f t="shared" si="176"/>
        <v>1537.3764937499993</v>
      </c>
      <c r="AC59" s="130">
        <f t="shared" si="176"/>
        <v>1767.9829678124991</v>
      </c>
      <c r="AD59" s="130">
        <f t="shared" si="176"/>
        <v>2033.1804129843738</v>
      </c>
      <c r="AE59" s="130">
        <f t="shared" si="176"/>
        <v>2338.1574749320298</v>
      </c>
      <c r="AF59" s="130">
        <f t="shared" si="176"/>
        <v>2688.8810961718341</v>
      </c>
      <c r="AG59" s="130">
        <f t="shared" si="176"/>
        <v>3092.213260597609</v>
      </c>
      <c r="AH59" s="130">
        <f t="shared" si="176"/>
        <v>3556.0452496872499</v>
      </c>
      <c r="AI59" s="115">
        <f t="shared" si="2"/>
        <v>0.16920556558482813</v>
      </c>
      <c r="AJ59" s="21">
        <f t="shared" si="18"/>
        <v>0.01</v>
      </c>
      <c r="AK59" s="123" t="e">
        <f t="shared" si="25"/>
        <v>#DIV/0!</v>
      </c>
    </row>
    <row r="60" spans="1:37" s="106" customFormat="1" x14ac:dyDescent="0.2">
      <c r="B60" s="13"/>
      <c r="C60" s="125"/>
      <c r="D60" s="125"/>
      <c r="E60" s="126"/>
      <c r="F60" s="266"/>
      <c r="G60" s="127" t="e">
        <f t="shared" ref="G60" si="177">(G59-F59)/F59</f>
        <v>#DIV/0!</v>
      </c>
      <c r="H60" s="266" t="e">
        <f t="shared" ref="H60:R60" si="178">(H59-G59)/H59</f>
        <v>#DIV/0!</v>
      </c>
      <c r="I60" s="266" t="e">
        <f t="shared" si="178"/>
        <v>#DIV/0!</v>
      </c>
      <c r="J60" s="266" t="e">
        <f t="shared" si="178"/>
        <v>#DIV/0!</v>
      </c>
      <c r="K60" s="266" t="e">
        <f t="shared" si="178"/>
        <v>#DIV/0!</v>
      </c>
      <c r="L60" s="266" t="e">
        <f t="shared" si="178"/>
        <v>#DIV/0!</v>
      </c>
      <c r="M60" s="266" t="e">
        <f t="shared" si="178"/>
        <v>#DIV/0!</v>
      </c>
      <c r="N60" s="266" t="e">
        <f t="shared" si="178"/>
        <v>#DIV/0!</v>
      </c>
      <c r="O60" s="266" t="e">
        <f t="shared" si="178"/>
        <v>#DIV/0!</v>
      </c>
      <c r="P60" s="266" t="e">
        <f t="shared" si="178"/>
        <v>#DIV/0!</v>
      </c>
      <c r="Q60" s="266" t="e">
        <f t="shared" si="178"/>
        <v>#DIV/0!</v>
      </c>
      <c r="R60" s="266" t="e">
        <f t="shared" si="178"/>
        <v>#DIV/0!</v>
      </c>
      <c r="S60" s="127" t="e">
        <f t="shared" ref="S60:U60" si="179">(S59-R59)/R59</f>
        <v>#DIV/0!</v>
      </c>
      <c r="T60" s="127">
        <f t="shared" si="179"/>
        <v>1.1866952789699572</v>
      </c>
      <c r="U60" s="127">
        <f t="shared" si="179"/>
        <v>-0.13738959764474976</v>
      </c>
      <c r="V60" s="127">
        <f t="shared" ref="V60" si="180">(V59-U59)/U59</f>
        <v>-3.1695108077360636</v>
      </c>
      <c r="W60" s="10"/>
      <c r="X60" s="10"/>
      <c r="Y60" s="130"/>
      <c r="Z60" s="131"/>
      <c r="AA60" s="131"/>
      <c r="AB60" s="131"/>
      <c r="AC60" s="131"/>
      <c r="AD60" s="131"/>
      <c r="AE60" s="131"/>
      <c r="AF60" s="131"/>
      <c r="AG60" s="131"/>
      <c r="AH60" s="131"/>
      <c r="AI60" s="114"/>
      <c r="AJ60" s="114"/>
      <c r="AK60" s="114"/>
    </row>
    <row r="61" spans="1:37" x14ac:dyDescent="0.2">
      <c r="B61" s="10" t="s">
        <v>197</v>
      </c>
      <c r="C61" s="119"/>
      <c r="D61" s="119"/>
      <c r="E61" s="122"/>
      <c r="F61" s="124"/>
      <c r="G61" s="122">
        <v>339</v>
      </c>
      <c r="H61" s="268"/>
      <c r="I61" s="268"/>
      <c r="J61" s="268"/>
      <c r="K61" s="268"/>
      <c r="L61" s="268"/>
      <c r="M61" s="268"/>
      <c r="N61" s="268"/>
      <c r="O61" s="268"/>
      <c r="P61" s="268"/>
      <c r="Q61" s="122"/>
      <c r="R61" s="122"/>
      <c r="S61" s="122">
        <v>339</v>
      </c>
      <c r="T61" s="122">
        <v>339</v>
      </c>
      <c r="U61" s="122">
        <v>339</v>
      </c>
      <c r="V61" s="122">
        <v>478</v>
      </c>
      <c r="W61" s="101">
        <f t="shared" si="26"/>
        <v>0.12135399027146465</v>
      </c>
      <c r="X61" s="21">
        <v>0.02</v>
      </c>
      <c r="Y61" s="130">
        <f t="shared" si="8"/>
        <v>345.78000000000003</v>
      </c>
      <c r="Z61" s="130">
        <f>Y61*(1+$X61)</f>
        <v>352.69560000000001</v>
      </c>
      <c r="AA61" s="130">
        <f t="shared" ref="AA61:AH61" si="181">Z61*(1+$X61)</f>
        <v>359.74951200000004</v>
      </c>
      <c r="AB61" s="130">
        <f t="shared" si="181"/>
        <v>366.94450224000002</v>
      </c>
      <c r="AC61" s="130">
        <f t="shared" si="181"/>
        <v>374.28339228480002</v>
      </c>
      <c r="AD61" s="130">
        <f t="shared" si="181"/>
        <v>381.76906013049603</v>
      </c>
      <c r="AE61" s="130">
        <f t="shared" si="181"/>
        <v>389.40444133310598</v>
      </c>
      <c r="AF61" s="130">
        <f t="shared" si="181"/>
        <v>397.19253015976813</v>
      </c>
      <c r="AG61" s="130">
        <f t="shared" si="181"/>
        <v>405.13638076296348</v>
      </c>
      <c r="AH61" s="130">
        <f t="shared" si="181"/>
        <v>413.23910837822274</v>
      </c>
      <c r="AI61" s="115">
        <f t="shared" si="2"/>
        <v>1.5349400524582446E-2</v>
      </c>
      <c r="AJ61" s="21">
        <f t="shared" si="18"/>
        <v>0.01</v>
      </c>
      <c r="AK61" s="123" t="e">
        <f t="shared" si="25"/>
        <v>#DIV/0!</v>
      </c>
    </row>
    <row r="62" spans="1:37" x14ac:dyDescent="0.2">
      <c r="B62" s="10"/>
      <c r="C62" s="119"/>
      <c r="D62" s="119"/>
      <c r="E62" s="120"/>
      <c r="F62" s="266"/>
      <c r="G62" s="127" t="e">
        <f t="shared" ref="G62" si="182">(G61-F61)/F61</f>
        <v>#DIV/0!</v>
      </c>
      <c r="H62" s="266" t="e">
        <f>(H61-F61)/H61</f>
        <v>#DIV/0!</v>
      </c>
      <c r="I62" s="266" t="e">
        <f t="shared" ref="I62:R62" si="183">(I61-H61)/I61</f>
        <v>#DIV/0!</v>
      </c>
      <c r="J62" s="266" t="e">
        <f t="shared" si="183"/>
        <v>#DIV/0!</v>
      </c>
      <c r="K62" s="266" t="e">
        <f t="shared" si="183"/>
        <v>#DIV/0!</v>
      </c>
      <c r="L62" s="266" t="e">
        <f t="shared" si="183"/>
        <v>#DIV/0!</v>
      </c>
      <c r="M62" s="266" t="e">
        <f t="shared" si="183"/>
        <v>#DIV/0!</v>
      </c>
      <c r="N62" s="266" t="e">
        <f t="shared" si="183"/>
        <v>#DIV/0!</v>
      </c>
      <c r="O62" s="266" t="e">
        <f t="shared" si="183"/>
        <v>#DIV/0!</v>
      </c>
      <c r="P62" s="266" t="e">
        <f t="shared" si="183"/>
        <v>#DIV/0!</v>
      </c>
      <c r="Q62" s="266" t="e">
        <f t="shared" si="183"/>
        <v>#DIV/0!</v>
      </c>
      <c r="R62" s="266" t="e">
        <f t="shared" si="183"/>
        <v>#DIV/0!</v>
      </c>
      <c r="S62" s="127" t="e">
        <f t="shared" ref="S62:U62" si="184">(S61-R61)/R61</f>
        <v>#DIV/0!</v>
      </c>
      <c r="T62" s="127">
        <f t="shared" si="184"/>
        <v>0</v>
      </c>
      <c r="U62" s="127">
        <f t="shared" si="184"/>
        <v>0</v>
      </c>
      <c r="V62" s="127">
        <f t="shared" ref="V62" si="185">(V61-U61)/U61</f>
        <v>0.41002949852507375</v>
      </c>
      <c r="W62" s="10"/>
      <c r="X62" s="1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14"/>
      <c r="AJ62" s="114"/>
      <c r="AK62" s="114"/>
    </row>
    <row r="63" spans="1:37" x14ac:dyDescent="0.2">
      <c r="B63" s="10" t="s">
        <v>232</v>
      </c>
      <c r="C63" s="122"/>
      <c r="D63" s="122"/>
      <c r="E63" s="122"/>
      <c r="F63" s="124"/>
      <c r="G63" s="178"/>
      <c r="H63" s="269"/>
      <c r="I63" s="269"/>
      <c r="J63" s="269"/>
      <c r="K63" s="269"/>
      <c r="L63" s="269"/>
      <c r="M63" s="269"/>
      <c r="N63" s="269"/>
      <c r="O63" s="269"/>
      <c r="P63" s="269"/>
      <c r="Q63" s="124"/>
      <c r="R63" s="124"/>
      <c r="S63" s="178"/>
      <c r="T63" s="178"/>
      <c r="U63" s="178"/>
      <c r="V63" s="178"/>
      <c r="W63" s="101" t="e">
        <f t="shared" si="26"/>
        <v>#DIV/0!</v>
      </c>
      <c r="X63" s="21">
        <v>0.02</v>
      </c>
      <c r="Y63" s="130">
        <f t="shared" si="8"/>
        <v>0</v>
      </c>
      <c r="Z63" s="130">
        <f t="shared" ref="Z63" si="186">Y63*(1+$X63)</f>
        <v>0</v>
      </c>
      <c r="AA63" s="130">
        <f t="shared" ref="AA63" si="187">Z63*(1+$X63)</f>
        <v>0</v>
      </c>
      <c r="AB63" s="130">
        <f t="shared" ref="AB63" si="188">AA63*(1+$X63)</f>
        <v>0</v>
      </c>
      <c r="AC63" s="130">
        <f t="shared" ref="AC63" si="189">AB63*(1+$X63)</f>
        <v>0</v>
      </c>
      <c r="AD63" s="130">
        <f t="shared" ref="AD63" si="190">AC63*(1+$X63)</f>
        <v>0</v>
      </c>
      <c r="AE63" s="130">
        <f t="shared" ref="AE63" si="191">AD63*(1+$X63)</f>
        <v>0</v>
      </c>
      <c r="AF63" s="130">
        <f t="shared" ref="AF63" si="192">AE63*(1+$X63)</f>
        <v>0</v>
      </c>
      <c r="AG63" s="130">
        <f t="shared" ref="AG63" si="193">AF63*(1+$X63)</f>
        <v>0</v>
      </c>
      <c r="AH63" s="130">
        <f t="shared" ref="AH63" si="194">AG63*(1+$X63)</f>
        <v>0</v>
      </c>
      <c r="AI63" s="115" t="e">
        <f t="shared" si="2"/>
        <v>#DIV/0!</v>
      </c>
      <c r="AJ63" s="21">
        <f t="shared" si="18"/>
        <v>0.01</v>
      </c>
      <c r="AK63" s="123" t="e">
        <f t="shared" si="25"/>
        <v>#DIV/0!</v>
      </c>
    </row>
    <row r="64" spans="1:37" x14ac:dyDescent="0.2">
      <c r="B64" s="10"/>
      <c r="C64" s="122"/>
      <c r="D64" s="122"/>
      <c r="E64" s="122"/>
      <c r="F64" s="127"/>
      <c r="G64" s="127" t="e">
        <f t="shared" ref="G64" si="195">(G63-F63)/F63</f>
        <v>#DIV/0!</v>
      </c>
      <c r="H64" s="127" t="e">
        <f t="shared" ref="H64" si="196">(H63-F63)/F63</f>
        <v>#DIV/0!</v>
      </c>
      <c r="I64" s="127" t="e">
        <f t="shared" ref="I64:U64" si="197">(I63-H63)/H63</f>
        <v>#DIV/0!</v>
      </c>
      <c r="J64" s="127" t="e">
        <f t="shared" si="197"/>
        <v>#DIV/0!</v>
      </c>
      <c r="K64" s="127" t="e">
        <f t="shared" si="197"/>
        <v>#DIV/0!</v>
      </c>
      <c r="L64" s="127" t="e">
        <f t="shared" si="197"/>
        <v>#DIV/0!</v>
      </c>
      <c r="M64" s="127" t="e">
        <f t="shared" si="197"/>
        <v>#DIV/0!</v>
      </c>
      <c r="N64" s="127" t="e">
        <f t="shared" si="197"/>
        <v>#DIV/0!</v>
      </c>
      <c r="O64" s="127" t="e">
        <f t="shared" si="197"/>
        <v>#DIV/0!</v>
      </c>
      <c r="P64" s="127" t="e">
        <f t="shared" si="197"/>
        <v>#DIV/0!</v>
      </c>
      <c r="Q64" s="127" t="e">
        <f t="shared" si="197"/>
        <v>#DIV/0!</v>
      </c>
      <c r="R64" s="127" t="e">
        <f t="shared" si="197"/>
        <v>#DIV/0!</v>
      </c>
      <c r="S64" s="127" t="e">
        <f t="shared" si="197"/>
        <v>#DIV/0!</v>
      </c>
      <c r="T64" s="127" t="e">
        <f t="shared" si="197"/>
        <v>#DIV/0!</v>
      </c>
      <c r="U64" s="127" t="e">
        <f t="shared" si="197"/>
        <v>#DIV/0!</v>
      </c>
      <c r="V64" s="127" t="e">
        <f t="shared" ref="V64" si="198">(V63-U63)/U63</f>
        <v>#DIV/0!</v>
      </c>
      <c r="W64" s="10"/>
      <c r="X64" s="1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16"/>
      <c r="AJ64" s="114"/>
      <c r="AK64" s="123"/>
    </row>
    <row r="65" spans="2:37" x14ac:dyDescent="0.2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24">
        <v>0</v>
      </c>
      <c r="W65" s="101" t="e">
        <f t="shared" si="26"/>
        <v>#DIV/0!</v>
      </c>
      <c r="X65" s="109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16"/>
      <c r="AJ65" s="114"/>
      <c r="AK65" s="123"/>
    </row>
    <row r="66" spans="2:37" x14ac:dyDescent="0.2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24"/>
      <c r="W66" s="101" t="e">
        <f t="shared" si="26"/>
        <v>#DIV/0!</v>
      </c>
      <c r="X66" s="109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16"/>
      <c r="AJ66" s="114"/>
      <c r="AK66" s="123"/>
    </row>
    <row r="67" spans="2:37" x14ac:dyDescent="0.2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24"/>
      <c r="W67" s="101" t="e">
        <f t="shared" si="26"/>
        <v>#DIV/0!</v>
      </c>
      <c r="X67" s="109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16"/>
      <c r="AJ67" s="114"/>
      <c r="AK67" s="123"/>
    </row>
    <row r="68" spans="2:37" x14ac:dyDescent="0.2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16"/>
      <c r="AJ68" s="114"/>
      <c r="AK68" s="123"/>
    </row>
    <row r="69" spans="2:37" x14ac:dyDescent="0.2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16"/>
      <c r="AJ69" s="114"/>
      <c r="AK69" s="123"/>
    </row>
    <row r="70" spans="2:37" x14ac:dyDescent="0.2">
      <c r="B70" s="10" t="s">
        <v>252</v>
      </c>
      <c r="C70" s="111"/>
      <c r="D70" s="111"/>
      <c r="E70" s="111"/>
      <c r="F70" s="111"/>
      <c r="G70" s="111">
        <f t="shared" ref="G70" si="199">G25/G61</f>
        <v>11.952802359882005</v>
      </c>
      <c r="H70" s="111" t="e">
        <f t="shared" ref="H70:I70" si="200">H25/H61</f>
        <v>#DIV/0!</v>
      </c>
      <c r="I70" s="111" t="e">
        <f t="shared" si="200"/>
        <v>#DIV/0!</v>
      </c>
      <c r="J70" s="111" t="e">
        <f t="shared" ref="J70:S70" si="201">J25/J61</f>
        <v>#DIV/0!</v>
      </c>
      <c r="K70" s="111" t="e">
        <f t="shared" si="201"/>
        <v>#DIV/0!</v>
      </c>
      <c r="L70" s="111" t="e">
        <f t="shared" si="201"/>
        <v>#DIV/0!</v>
      </c>
      <c r="M70" s="111" t="e">
        <f t="shared" si="201"/>
        <v>#DIV/0!</v>
      </c>
      <c r="N70" s="111" t="e">
        <f t="shared" si="201"/>
        <v>#DIV/0!</v>
      </c>
      <c r="O70" s="111" t="e">
        <f t="shared" si="201"/>
        <v>#DIV/0!</v>
      </c>
      <c r="P70" s="111" t="e">
        <f t="shared" si="201"/>
        <v>#DIV/0!</v>
      </c>
      <c r="Q70" s="111" t="e">
        <f t="shared" si="201"/>
        <v>#DIV/0!</v>
      </c>
      <c r="R70" s="111" t="e">
        <f t="shared" si="201"/>
        <v>#DIV/0!</v>
      </c>
      <c r="S70" s="111">
        <f t="shared" si="201"/>
        <v>11.946902654867257</v>
      </c>
      <c r="T70" s="111">
        <f t="shared" ref="T70:U70" si="202">T25/T61</f>
        <v>28.309734513274336</v>
      </c>
      <c r="U70" s="111">
        <f t="shared" si="202"/>
        <v>30.141592920353983</v>
      </c>
      <c r="V70" s="111">
        <f t="shared" ref="V70" si="203">V25/V61</f>
        <v>27.493723849372383</v>
      </c>
      <c r="W70" s="101">
        <f t="shared" ref="W70:W133" si="204">((V70/G70)^(1/($K$2-$K$1) ))-1</f>
        <v>0.32004258704767019</v>
      </c>
      <c r="X70" s="109"/>
      <c r="Y70" s="133">
        <f t="shared" ref="Y70:AH70" si="205">Y25/Y61</f>
        <v>33.983168488634384</v>
      </c>
      <c r="Z70" s="133">
        <f t="shared" si="205"/>
        <v>38.31435662934269</v>
      </c>
      <c r="AA70" s="133">
        <f t="shared" si="205"/>
        <v>43.197558944847145</v>
      </c>
      <c r="AB70" s="133">
        <f t="shared" si="205"/>
        <v>48.703130182915899</v>
      </c>
      <c r="AC70" s="133">
        <f t="shared" si="205"/>
        <v>54.910391872895374</v>
      </c>
      <c r="AD70" s="133">
        <f t="shared" si="205"/>
        <v>61.908775150813398</v>
      </c>
      <c r="AE70" s="133">
        <f t="shared" si="205"/>
        <v>69.799109238662155</v>
      </c>
      <c r="AF70" s="133">
        <f t="shared" si="205"/>
        <v>78.695074141628893</v>
      </c>
      <c r="AG70" s="133">
        <f t="shared" si="205"/>
        <v>88.724838493012967</v>
      </c>
      <c r="AH70" s="133">
        <f t="shared" si="205"/>
        <v>100.03290614408324</v>
      </c>
      <c r="AI70" s="115" t="e">
        <f t="shared" ref="AI70" si="206">((AH70/J70)^(1/($AH$3-$K$1) ))-1</f>
        <v>#DIV/0!</v>
      </c>
      <c r="AJ70" s="21">
        <f t="shared" si="18"/>
        <v>0.01</v>
      </c>
      <c r="AK70" s="123" t="e">
        <f t="shared" si="25"/>
        <v>#DIV/0!</v>
      </c>
    </row>
    <row r="71" spans="2:37" x14ac:dyDescent="0.2">
      <c r="B71" s="10" t="s">
        <v>253</v>
      </c>
      <c r="C71" s="111"/>
      <c r="D71" s="111"/>
      <c r="E71" s="111"/>
      <c r="F71" s="111"/>
      <c r="G71" s="111">
        <f t="shared" ref="G71" si="207">G27/G61</f>
        <v>10.575221238938052</v>
      </c>
      <c r="H71" s="111" t="e">
        <f t="shared" ref="H71:I71" si="208">H27/H61</f>
        <v>#DIV/0!</v>
      </c>
      <c r="I71" s="111" t="e">
        <f t="shared" si="208"/>
        <v>#DIV/0!</v>
      </c>
      <c r="J71" s="111" t="e">
        <f t="shared" ref="J71:S71" si="209">J27/J61</f>
        <v>#DIV/0!</v>
      </c>
      <c r="K71" s="111" t="e">
        <f t="shared" si="209"/>
        <v>#DIV/0!</v>
      </c>
      <c r="L71" s="111" t="e">
        <f t="shared" si="209"/>
        <v>#DIV/0!</v>
      </c>
      <c r="M71" s="111" t="e">
        <f t="shared" si="209"/>
        <v>#DIV/0!</v>
      </c>
      <c r="N71" s="111" t="e">
        <f t="shared" si="209"/>
        <v>#DIV/0!</v>
      </c>
      <c r="O71" s="111" t="e">
        <f t="shared" si="209"/>
        <v>#DIV/0!</v>
      </c>
      <c r="P71" s="111" t="e">
        <f t="shared" si="209"/>
        <v>#DIV/0!</v>
      </c>
      <c r="Q71" s="111" t="e">
        <f t="shared" si="209"/>
        <v>#DIV/0!</v>
      </c>
      <c r="R71" s="111" t="e">
        <f t="shared" si="209"/>
        <v>#DIV/0!</v>
      </c>
      <c r="S71" s="111">
        <f t="shared" si="209"/>
        <v>10.575221238938052</v>
      </c>
      <c r="T71" s="111">
        <f t="shared" ref="T71:U71" si="210">T27/T61</f>
        <v>25.150442477876105</v>
      </c>
      <c r="U71" s="111">
        <f t="shared" si="210"/>
        <v>27.32448377581121</v>
      </c>
      <c r="V71" s="111">
        <f t="shared" ref="V71" si="211">V27/V61</f>
        <v>12.740585774058577</v>
      </c>
      <c r="W71" s="101">
        <f t="shared" si="204"/>
        <v>6.4061291641320128E-2</v>
      </c>
      <c r="X71" s="109"/>
      <c r="Y71" s="133">
        <f t="shared" ref="Y71:AH71" si="212">Y27/Y61</f>
        <v>30.807016021747927</v>
      </c>
      <c r="Z71" s="133">
        <f t="shared" si="212"/>
        <v>34.733400416676581</v>
      </c>
      <c r="AA71" s="133">
        <f t="shared" si="212"/>
        <v>39.160206352135354</v>
      </c>
      <c r="AB71" s="133">
        <f t="shared" si="212"/>
        <v>44.151213044074176</v>
      </c>
      <c r="AC71" s="133">
        <f t="shared" si="212"/>
        <v>49.778328432044418</v>
      </c>
      <c r="AD71" s="133">
        <f t="shared" si="212"/>
        <v>56.122625192991244</v>
      </c>
      <c r="AE71" s="133">
        <f t="shared" si="212"/>
        <v>63.275508796019537</v>
      </c>
      <c r="AF71" s="133">
        <f t="shared" si="212"/>
        <v>71.340034426884756</v>
      </c>
      <c r="AG71" s="133">
        <f t="shared" si="212"/>
        <v>80.432391755801433</v>
      </c>
      <c r="AH71" s="133">
        <f t="shared" si="212"/>
        <v>90.683578940364356</v>
      </c>
      <c r="AI71" s="115" t="e">
        <f t="shared" ref="AI71" si="213">((AH71/J71)^(1/($AH$3-$K$1) ))-1</f>
        <v>#DIV/0!</v>
      </c>
      <c r="AJ71" s="21">
        <f t="shared" si="18"/>
        <v>0.01</v>
      </c>
      <c r="AK71" s="123" t="e">
        <f t="shared" si="25"/>
        <v>#DIV/0!</v>
      </c>
    </row>
    <row r="72" spans="2:37" x14ac:dyDescent="0.2">
      <c r="B72" s="10" t="s">
        <v>369</v>
      </c>
      <c r="C72" s="111"/>
      <c r="D72" s="111"/>
      <c r="E72" s="111"/>
      <c r="F72" s="111"/>
      <c r="G72" s="111">
        <f t="shared" ref="G72" si="214">G55-G59</f>
        <v>-466</v>
      </c>
      <c r="H72" s="111">
        <f t="shared" ref="H72:I72" si="215">H55-H59</f>
        <v>0</v>
      </c>
      <c r="I72" s="111">
        <f t="shared" si="215"/>
        <v>0</v>
      </c>
      <c r="J72" s="111">
        <f>J55-J59</f>
        <v>0</v>
      </c>
      <c r="K72" s="111">
        <f t="shared" ref="K72:S72" si="216">K55-K59</f>
        <v>0</v>
      </c>
      <c r="L72" s="111">
        <f t="shared" si="216"/>
        <v>0</v>
      </c>
      <c r="M72" s="111">
        <f t="shared" si="216"/>
        <v>0</v>
      </c>
      <c r="N72" s="111">
        <f t="shared" si="216"/>
        <v>0</v>
      </c>
      <c r="O72" s="111">
        <f t="shared" si="216"/>
        <v>0</v>
      </c>
      <c r="P72" s="111">
        <f t="shared" si="216"/>
        <v>0</v>
      </c>
      <c r="Q72" s="111">
        <f t="shared" si="216"/>
        <v>0</v>
      </c>
      <c r="R72" s="111">
        <f t="shared" si="216"/>
        <v>0</v>
      </c>
      <c r="S72" s="111">
        <f t="shared" si="216"/>
        <v>-466</v>
      </c>
      <c r="T72" s="111">
        <f t="shared" ref="T72:U72" si="217">T55-T59</f>
        <v>-1019</v>
      </c>
      <c r="U72" s="111">
        <f t="shared" si="217"/>
        <v>-879</v>
      </c>
      <c r="V72" s="111">
        <f t="shared" ref="V72" si="218">V55-V59</f>
        <v>1907</v>
      </c>
      <c r="W72" s="101">
        <f t="shared" si="204"/>
        <v>-2.5995147849146045</v>
      </c>
      <c r="X72" s="109"/>
      <c r="Y72" s="111">
        <f t="shared" ref="Y72:AH72" si="219">Y55-Y59</f>
        <v>-1010.8499999999999</v>
      </c>
      <c r="Z72" s="111">
        <f t="shared" si="219"/>
        <v>-1162.4774999999997</v>
      </c>
      <c r="AA72" s="111">
        <f t="shared" si="219"/>
        <v>-1336.8491249999995</v>
      </c>
      <c r="AB72" s="111">
        <f t="shared" si="219"/>
        <v>-1537.3764937499993</v>
      </c>
      <c r="AC72" s="111">
        <f t="shared" si="219"/>
        <v>-1767.9829678124991</v>
      </c>
      <c r="AD72" s="111">
        <f t="shared" si="219"/>
        <v>-2033.1804129843738</v>
      </c>
      <c r="AE72" s="111">
        <f t="shared" si="219"/>
        <v>-2338.1574749320298</v>
      </c>
      <c r="AF72" s="111">
        <f t="shared" si="219"/>
        <v>-2688.8810961718341</v>
      </c>
      <c r="AG72" s="111">
        <f t="shared" si="219"/>
        <v>-3092.213260597609</v>
      </c>
      <c r="AH72" s="111">
        <f t="shared" si="219"/>
        <v>-3556.0452496872499</v>
      </c>
      <c r="AI72" s="115" t="e">
        <f t="shared" ref="AI72" si="220">((AH72/J72)^(1/($AH$3-$K$1) ))-1</f>
        <v>#DIV/0!</v>
      </c>
      <c r="AJ72" s="21">
        <f t="shared" si="18"/>
        <v>0.01</v>
      </c>
      <c r="AK72" s="123" t="e">
        <f t="shared" si="25"/>
        <v>#DIV/0!</v>
      </c>
    </row>
    <row r="73" spans="2:37" x14ac:dyDescent="0.2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01" t="e">
        <f t="shared" si="204"/>
        <v>#DIV/0!</v>
      </c>
      <c r="X73" s="10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02"/>
      <c r="AJ73" s="114"/>
      <c r="AK73" s="123"/>
    </row>
    <row r="74" spans="2:37" x14ac:dyDescent="0.2">
      <c r="B74" s="10" t="s">
        <v>401</v>
      </c>
      <c r="C74" s="111"/>
      <c r="D74" s="111"/>
      <c r="E74" s="111"/>
      <c r="F74" s="15"/>
      <c r="G74" s="15">
        <f t="shared" ref="G74" si="221">G53/G61</f>
        <v>0</v>
      </c>
      <c r="H74" s="15" t="e">
        <f t="shared" ref="H74:I74" si="222">H53/H61</f>
        <v>#DIV/0!</v>
      </c>
      <c r="I74" s="15" t="e">
        <f t="shared" si="222"/>
        <v>#DIV/0!</v>
      </c>
      <c r="J74" s="15" t="e">
        <f t="shared" ref="J74:S74" si="223">J53/J61</f>
        <v>#DIV/0!</v>
      </c>
      <c r="K74" s="15" t="e">
        <f t="shared" si="223"/>
        <v>#DIV/0!</v>
      </c>
      <c r="L74" s="15" t="e">
        <f t="shared" si="223"/>
        <v>#DIV/0!</v>
      </c>
      <c r="M74" s="15" t="e">
        <f t="shared" si="223"/>
        <v>#DIV/0!</v>
      </c>
      <c r="N74" s="15" t="e">
        <f t="shared" si="223"/>
        <v>#DIV/0!</v>
      </c>
      <c r="O74" s="15" t="e">
        <f t="shared" si="223"/>
        <v>#DIV/0!</v>
      </c>
      <c r="P74" s="15" t="e">
        <f t="shared" si="223"/>
        <v>#DIV/0!</v>
      </c>
      <c r="Q74" s="15" t="e">
        <f t="shared" si="223"/>
        <v>#DIV/0!</v>
      </c>
      <c r="R74" s="15" t="e">
        <f t="shared" si="223"/>
        <v>#DIV/0!</v>
      </c>
      <c r="S74" s="15">
        <f t="shared" si="223"/>
        <v>0</v>
      </c>
      <c r="T74" s="15">
        <f>T53/T61</f>
        <v>0</v>
      </c>
      <c r="U74" s="15">
        <f>U53/U61</f>
        <v>0</v>
      </c>
      <c r="V74" s="15">
        <f>V53/V61</f>
        <v>0</v>
      </c>
      <c r="W74" s="101" t="e">
        <f t="shared" si="204"/>
        <v>#DIV/0!</v>
      </c>
      <c r="X74" s="109"/>
      <c r="Y74" s="96">
        <f>Y53/Y61</f>
        <v>0</v>
      </c>
      <c r="Z74" s="96">
        <f t="shared" ref="Z74:AH74" si="224">Z53/Z61</f>
        <v>0</v>
      </c>
      <c r="AA74" s="96">
        <f t="shared" si="224"/>
        <v>0</v>
      </c>
      <c r="AB74" s="96">
        <f t="shared" si="224"/>
        <v>0</v>
      </c>
      <c r="AC74" s="96">
        <f t="shared" si="224"/>
        <v>0</v>
      </c>
      <c r="AD74" s="96">
        <f t="shared" si="224"/>
        <v>0</v>
      </c>
      <c r="AE74" s="96">
        <f t="shared" si="224"/>
        <v>0</v>
      </c>
      <c r="AF74" s="96">
        <f t="shared" si="224"/>
        <v>0</v>
      </c>
      <c r="AG74" s="96">
        <f t="shared" si="224"/>
        <v>0</v>
      </c>
      <c r="AH74" s="96">
        <f t="shared" si="224"/>
        <v>0</v>
      </c>
      <c r="AI74" s="115" t="e">
        <f t="shared" ref="AI74:AI75" si="225">((AH74/J74)^(1/($AH$3-$K$1) ))-1</f>
        <v>#DIV/0!</v>
      </c>
      <c r="AJ74" s="21">
        <f t="shared" si="18"/>
        <v>0.01</v>
      </c>
      <c r="AK74" s="123" t="e">
        <f t="shared" si="25"/>
        <v>#DIV/0!</v>
      </c>
    </row>
    <row r="75" spans="2:37" x14ac:dyDescent="0.2">
      <c r="B75" s="10" t="s">
        <v>402</v>
      </c>
      <c r="C75" s="111"/>
      <c r="D75" s="111"/>
      <c r="E75" s="111"/>
      <c r="F75" s="15"/>
      <c r="G75" s="15">
        <f t="shared" ref="G75" si="226">G55/G61</f>
        <v>0</v>
      </c>
      <c r="H75" s="15" t="e">
        <f t="shared" ref="H75:I75" si="227">H55/H61</f>
        <v>#DIV/0!</v>
      </c>
      <c r="I75" s="15" t="e">
        <f t="shared" si="227"/>
        <v>#DIV/0!</v>
      </c>
      <c r="J75" s="15" t="e">
        <f t="shared" ref="J75:S75" si="228">J55/J61</f>
        <v>#DIV/0!</v>
      </c>
      <c r="K75" s="15" t="e">
        <f t="shared" si="228"/>
        <v>#DIV/0!</v>
      </c>
      <c r="L75" s="15" t="e">
        <f t="shared" si="228"/>
        <v>#DIV/0!</v>
      </c>
      <c r="M75" s="15" t="e">
        <f t="shared" si="228"/>
        <v>#DIV/0!</v>
      </c>
      <c r="N75" s="15" t="e">
        <f t="shared" si="228"/>
        <v>#DIV/0!</v>
      </c>
      <c r="O75" s="15" t="e">
        <f t="shared" si="228"/>
        <v>#DIV/0!</v>
      </c>
      <c r="P75" s="15" t="e">
        <f t="shared" si="228"/>
        <v>#DIV/0!</v>
      </c>
      <c r="Q75" s="15" t="e">
        <f t="shared" si="228"/>
        <v>#DIV/0!</v>
      </c>
      <c r="R75" s="15" t="e">
        <f t="shared" si="228"/>
        <v>#DIV/0!</v>
      </c>
      <c r="S75" s="15">
        <f t="shared" si="228"/>
        <v>0</v>
      </c>
      <c r="T75" s="15">
        <f>T55/T61</f>
        <v>0</v>
      </c>
      <c r="U75" s="15">
        <f>U55/U61</f>
        <v>0</v>
      </c>
      <c r="V75" s="15">
        <f>V55/V61</f>
        <v>0</v>
      </c>
      <c r="W75" s="101" t="e">
        <f t="shared" si="204"/>
        <v>#DIV/0!</v>
      </c>
      <c r="X75" s="109"/>
      <c r="Y75" s="96">
        <f>Y55/Y61</f>
        <v>0</v>
      </c>
      <c r="Z75" s="96">
        <f t="shared" ref="Z75:AH75" si="229">Z55/Z61</f>
        <v>0</v>
      </c>
      <c r="AA75" s="96">
        <f t="shared" si="229"/>
        <v>0</v>
      </c>
      <c r="AB75" s="96">
        <f t="shared" si="229"/>
        <v>0</v>
      </c>
      <c r="AC75" s="96">
        <f t="shared" si="229"/>
        <v>0</v>
      </c>
      <c r="AD75" s="96">
        <f t="shared" si="229"/>
        <v>0</v>
      </c>
      <c r="AE75" s="96">
        <f t="shared" si="229"/>
        <v>0</v>
      </c>
      <c r="AF75" s="96">
        <f t="shared" si="229"/>
        <v>0</v>
      </c>
      <c r="AG75" s="96">
        <f t="shared" si="229"/>
        <v>0</v>
      </c>
      <c r="AH75" s="96">
        <f t="shared" si="229"/>
        <v>0</v>
      </c>
      <c r="AI75" s="115" t="e">
        <f t="shared" si="225"/>
        <v>#DIV/0!</v>
      </c>
      <c r="AJ75" s="21">
        <f t="shared" si="18"/>
        <v>0.01</v>
      </c>
      <c r="AK75" s="123" t="e">
        <f t="shared" ref="AK75:AK138" si="230">(AH75*(1+AJ75))/($O$1-AJ75)</f>
        <v>#DIV/0!</v>
      </c>
    </row>
    <row r="76" spans="2:37" x14ac:dyDescent="0.2">
      <c r="B76" s="10" t="s">
        <v>214</v>
      </c>
      <c r="C76" s="15"/>
      <c r="D76" s="15"/>
      <c r="E76" s="15"/>
      <c r="F76" s="111"/>
      <c r="G76" s="111">
        <f t="shared" ref="G76" si="231">G59/G61</f>
        <v>1.3746312684365782</v>
      </c>
      <c r="H76" s="111" t="e">
        <f t="shared" ref="H76:I76" si="232">H59/H61</f>
        <v>#DIV/0!</v>
      </c>
      <c r="I76" s="111" t="e">
        <f t="shared" si="232"/>
        <v>#DIV/0!</v>
      </c>
      <c r="J76" s="111" t="e">
        <f t="shared" ref="J76:S76" si="233">J59/J61</f>
        <v>#DIV/0!</v>
      </c>
      <c r="K76" s="111" t="e">
        <f t="shared" si="233"/>
        <v>#DIV/0!</v>
      </c>
      <c r="L76" s="111" t="e">
        <f t="shared" si="233"/>
        <v>#DIV/0!</v>
      </c>
      <c r="M76" s="111" t="e">
        <f t="shared" si="233"/>
        <v>#DIV/0!</v>
      </c>
      <c r="N76" s="111" t="e">
        <f t="shared" si="233"/>
        <v>#DIV/0!</v>
      </c>
      <c r="O76" s="111" t="e">
        <f t="shared" si="233"/>
        <v>#DIV/0!</v>
      </c>
      <c r="P76" s="111" t="e">
        <f t="shared" si="233"/>
        <v>#DIV/0!</v>
      </c>
      <c r="Q76" s="111" t="e">
        <f t="shared" si="233"/>
        <v>#DIV/0!</v>
      </c>
      <c r="R76" s="111" t="e">
        <f t="shared" si="233"/>
        <v>#DIV/0!</v>
      </c>
      <c r="S76" s="111">
        <f t="shared" si="233"/>
        <v>1.3746312684365782</v>
      </c>
      <c r="T76" s="111">
        <f t="shared" ref="T76:U76" si="234">T59/T61</f>
        <v>3.0058997050147491</v>
      </c>
      <c r="U76" s="111">
        <f t="shared" si="234"/>
        <v>2.5929203539823007</v>
      </c>
      <c r="V76" s="111">
        <f t="shared" ref="V76" si="235">V59/V61</f>
        <v>-3.989539748953975</v>
      </c>
      <c r="W76" s="101">
        <f t="shared" si="204"/>
        <v>-2.4264137808323882</v>
      </c>
      <c r="X76" s="109"/>
      <c r="Y76" s="133">
        <f t="shared" ref="Y76:AH76" si="236">Y59/Y61</f>
        <v>2.923390595176123</v>
      </c>
      <c r="Z76" s="133">
        <f t="shared" si="236"/>
        <v>3.2959795926005304</v>
      </c>
      <c r="AA76" s="133">
        <f t="shared" si="236"/>
        <v>3.7160554230300091</v>
      </c>
      <c r="AB76" s="133">
        <f t="shared" si="236"/>
        <v>4.1896703298867752</v>
      </c>
      <c r="AC76" s="133">
        <f t="shared" si="236"/>
        <v>4.7236479209507749</v>
      </c>
      <c r="AD76" s="133">
        <f t="shared" si="236"/>
        <v>5.3256814795033245</v>
      </c>
      <c r="AE76" s="133">
        <f t="shared" si="236"/>
        <v>6.0044448053223753</v>
      </c>
      <c r="AF76" s="133">
        <f t="shared" si="236"/>
        <v>6.7697171824713047</v>
      </c>
      <c r="AG76" s="133">
        <f t="shared" si="236"/>
        <v>7.6325242743549016</v>
      </c>
      <c r="AH76" s="133">
        <f t="shared" si="236"/>
        <v>8.6052969759883684</v>
      </c>
      <c r="AI76" s="115" t="e">
        <f t="shared" ref="AI76:AI90" si="237">((AH76/J76)^(1/($AH$3-$K$1) ))-1</f>
        <v>#DIV/0!</v>
      </c>
      <c r="AJ76" s="21">
        <f t="shared" si="18"/>
        <v>0.01</v>
      </c>
      <c r="AK76" s="123" t="e">
        <f t="shared" si="230"/>
        <v>#DIV/0!</v>
      </c>
    </row>
    <row r="77" spans="2:37" x14ac:dyDescent="0.2">
      <c r="B77" s="10" t="s">
        <v>330</v>
      </c>
      <c r="C77" s="111"/>
      <c r="D77" s="111"/>
      <c r="E77" s="111"/>
      <c r="F77" s="111"/>
      <c r="G77" s="111">
        <f t="shared" ref="G77" si="238">G20/G61</f>
        <v>0</v>
      </c>
      <c r="H77" s="111" t="e">
        <f t="shared" ref="H77:I77" si="239">H20/H61</f>
        <v>#DIV/0!</v>
      </c>
      <c r="I77" s="111" t="e">
        <f t="shared" si="239"/>
        <v>#DIV/0!</v>
      </c>
      <c r="J77" s="111" t="e">
        <f>J20/J61</f>
        <v>#DIV/0!</v>
      </c>
      <c r="K77" s="111" t="e">
        <f t="shared" ref="K77:S77" si="240">K20/K61</f>
        <v>#DIV/0!</v>
      </c>
      <c r="L77" s="111" t="e">
        <f t="shared" si="240"/>
        <v>#DIV/0!</v>
      </c>
      <c r="M77" s="111" t="e">
        <f t="shared" si="240"/>
        <v>#DIV/0!</v>
      </c>
      <c r="N77" s="111" t="e">
        <f t="shared" si="240"/>
        <v>#DIV/0!</v>
      </c>
      <c r="O77" s="111" t="e">
        <f t="shared" si="240"/>
        <v>#DIV/0!</v>
      </c>
      <c r="P77" s="111" t="e">
        <f t="shared" si="240"/>
        <v>#DIV/0!</v>
      </c>
      <c r="Q77" s="111" t="e">
        <f t="shared" si="240"/>
        <v>#DIV/0!</v>
      </c>
      <c r="R77" s="111" t="e">
        <f t="shared" si="240"/>
        <v>#DIV/0!</v>
      </c>
      <c r="S77" s="111">
        <f t="shared" si="240"/>
        <v>0</v>
      </c>
      <c r="T77" s="111">
        <f t="shared" ref="T77:U77" si="241">T20/T61</f>
        <v>0</v>
      </c>
      <c r="U77" s="111">
        <f t="shared" si="241"/>
        <v>0</v>
      </c>
      <c r="V77" s="111">
        <f t="shared" ref="V77" si="242">V20/V61</f>
        <v>0</v>
      </c>
      <c r="W77" s="101" t="e">
        <f t="shared" si="204"/>
        <v>#DIV/0!</v>
      </c>
      <c r="X77" s="109"/>
      <c r="Y77" s="111">
        <f t="shared" ref="Y77:AH77" si="243">Y20/Y61</f>
        <v>0</v>
      </c>
      <c r="Z77" s="111">
        <f t="shared" si="243"/>
        <v>0</v>
      </c>
      <c r="AA77" s="111">
        <f t="shared" si="243"/>
        <v>0</v>
      </c>
      <c r="AB77" s="111">
        <f t="shared" si="243"/>
        <v>0</v>
      </c>
      <c r="AC77" s="111">
        <f t="shared" si="243"/>
        <v>0</v>
      </c>
      <c r="AD77" s="111">
        <f t="shared" si="243"/>
        <v>0</v>
      </c>
      <c r="AE77" s="111">
        <f t="shared" si="243"/>
        <v>0</v>
      </c>
      <c r="AF77" s="111">
        <f t="shared" si="243"/>
        <v>0</v>
      </c>
      <c r="AG77" s="111">
        <f t="shared" si="243"/>
        <v>0</v>
      </c>
      <c r="AH77" s="111">
        <f t="shared" si="243"/>
        <v>0</v>
      </c>
      <c r="AI77" s="115" t="e">
        <f t="shared" ref="AI77" si="244">((AH77/J77)^(1/($AH$3-$K$1) ))-1</f>
        <v>#DIV/0!</v>
      </c>
      <c r="AJ77" s="21">
        <f t="shared" si="18"/>
        <v>0.01</v>
      </c>
      <c r="AK77" s="123" t="e">
        <f t="shared" si="230"/>
        <v>#DIV/0!</v>
      </c>
    </row>
    <row r="78" spans="2:37" x14ac:dyDescent="0.2">
      <c r="B78" s="10" t="s">
        <v>202</v>
      </c>
      <c r="C78" s="15"/>
      <c r="D78" s="15"/>
      <c r="E78" s="15"/>
      <c r="F78" s="111"/>
      <c r="G78" s="111">
        <f t="shared" ref="G78" si="245">G7/G61</f>
        <v>40.214011799410031</v>
      </c>
      <c r="H78" s="111" t="e">
        <f t="shared" ref="H78:I78" si="246">H7/H61</f>
        <v>#DIV/0!</v>
      </c>
      <c r="I78" s="111" t="e">
        <f t="shared" si="246"/>
        <v>#DIV/0!</v>
      </c>
      <c r="J78" s="111" t="e">
        <f t="shared" ref="J78:S78" si="247">J7/J61</f>
        <v>#DIV/0!</v>
      </c>
      <c r="K78" s="111" t="e">
        <f t="shared" si="247"/>
        <v>#DIV/0!</v>
      </c>
      <c r="L78" s="111" t="e">
        <f t="shared" si="247"/>
        <v>#DIV/0!</v>
      </c>
      <c r="M78" s="111" t="e">
        <f t="shared" si="247"/>
        <v>#DIV/0!</v>
      </c>
      <c r="N78" s="111" t="e">
        <f t="shared" si="247"/>
        <v>#DIV/0!</v>
      </c>
      <c r="O78" s="111" t="e">
        <f t="shared" si="247"/>
        <v>#DIV/0!</v>
      </c>
      <c r="P78" s="111" t="e">
        <f t="shared" si="247"/>
        <v>#DIV/0!</v>
      </c>
      <c r="Q78" s="111" t="e">
        <f t="shared" si="247"/>
        <v>#DIV/0!</v>
      </c>
      <c r="R78" s="111" t="e">
        <f t="shared" si="247"/>
        <v>#DIV/0!</v>
      </c>
      <c r="S78" s="111">
        <f t="shared" si="247"/>
        <v>40.214011799410031</v>
      </c>
      <c r="T78" s="111">
        <f t="shared" ref="T78:U78" si="248">T7/T61</f>
        <v>43.297935103244839</v>
      </c>
      <c r="U78" s="111">
        <f t="shared" si="248"/>
        <v>45.056047197640119</v>
      </c>
      <c r="V78" s="111">
        <f t="shared" ref="V78" si="249">V7/V61</f>
        <v>38.071129707112974</v>
      </c>
      <c r="W78" s="101">
        <f t="shared" si="204"/>
        <v>-1.8087502386629484E-2</v>
      </c>
      <c r="X78" s="109"/>
      <c r="Y78" s="133">
        <f t="shared" ref="Y78:AH78" si="250">Y7/Y61</f>
        <v>50.798484585574634</v>
      </c>
      <c r="Z78" s="133">
        <f t="shared" si="250"/>
        <v>57.272801248441993</v>
      </c>
      <c r="AA78" s="133">
        <f t="shared" si="250"/>
        <v>64.572275917361054</v>
      </c>
      <c r="AB78" s="133">
        <f t="shared" si="250"/>
        <v>72.802075789181586</v>
      </c>
      <c r="AC78" s="133">
        <f t="shared" si="250"/>
        <v>82.080771723096888</v>
      </c>
      <c r="AD78" s="133">
        <f t="shared" si="250"/>
        <v>92.542046550550381</v>
      </c>
      <c r="AE78" s="133">
        <f t="shared" si="250"/>
        <v>104.33662111091463</v>
      </c>
      <c r="AF78" s="133">
        <f t="shared" si="250"/>
        <v>117.63442576230571</v>
      </c>
      <c r="AG78" s="133">
        <f t="shared" si="250"/>
        <v>132.62704865357995</v>
      </c>
      <c r="AH78" s="133">
        <f t="shared" si="250"/>
        <v>149.53049603099703</v>
      </c>
      <c r="AI78" s="115" t="e">
        <f t="shared" si="237"/>
        <v>#DIV/0!</v>
      </c>
      <c r="AJ78" s="21">
        <f t="shared" si="18"/>
        <v>0.01</v>
      </c>
      <c r="AK78" s="123" t="e">
        <f t="shared" si="230"/>
        <v>#DIV/0!</v>
      </c>
    </row>
    <row r="79" spans="2:37" x14ac:dyDescent="0.2">
      <c r="B79" s="10" t="s">
        <v>203</v>
      </c>
      <c r="C79" s="108"/>
      <c r="D79" s="108"/>
      <c r="E79" s="108"/>
      <c r="F79" s="121"/>
      <c r="G79" s="121">
        <f t="shared" ref="G79" si="251">G6/G61</f>
        <v>30.196489675516226</v>
      </c>
      <c r="H79" s="121" t="e">
        <f t="shared" ref="H79:I79" si="252">H6/H61</f>
        <v>#DIV/0!</v>
      </c>
      <c r="I79" s="121" t="e">
        <f t="shared" si="252"/>
        <v>#DIV/0!</v>
      </c>
      <c r="J79" s="121" t="e">
        <f t="shared" ref="J79:S79" si="253">J6/J61</f>
        <v>#DIV/0!</v>
      </c>
      <c r="K79" s="121" t="e">
        <f t="shared" si="253"/>
        <v>#DIV/0!</v>
      </c>
      <c r="L79" s="121" t="e">
        <f t="shared" si="253"/>
        <v>#DIV/0!</v>
      </c>
      <c r="M79" s="121" t="e">
        <f t="shared" si="253"/>
        <v>#DIV/0!</v>
      </c>
      <c r="N79" s="121" t="e">
        <f t="shared" si="253"/>
        <v>#DIV/0!</v>
      </c>
      <c r="O79" s="121" t="e">
        <f t="shared" si="253"/>
        <v>#DIV/0!</v>
      </c>
      <c r="P79" s="121" t="e">
        <f t="shared" si="253"/>
        <v>#DIV/0!</v>
      </c>
      <c r="Q79" s="121" t="e">
        <f t="shared" si="253"/>
        <v>#DIV/0!</v>
      </c>
      <c r="R79" s="121" t="e">
        <f t="shared" si="253"/>
        <v>#DIV/0!</v>
      </c>
      <c r="S79" s="121">
        <f t="shared" si="253"/>
        <v>30.196489675516226</v>
      </c>
      <c r="T79" s="121">
        <f t="shared" ref="T79:U79" si="254">T6/T61</f>
        <v>33.268348082595871</v>
      </c>
      <c r="U79" s="121">
        <f t="shared" si="254"/>
        <v>35.014749262536874</v>
      </c>
      <c r="V79" s="121">
        <f t="shared" ref="V79" si="255">V6/V61</f>
        <v>28.069037656903767</v>
      </c>
      <c r="W79" s="101">
        <f t="shared" si="204"/>
        <v>-2.405872021979949E-2</v>
      </c>
      <c r="X79" s="109"/>
      <c r="Y79" s="132">
        <f t="shared" ref="Y79:AH79" si="256">Y6/Y61</f>
        <v>39.47741338423274</v>
      </c>
      <c r="Z79" s="132">
        <f t="shared" si="256"/>
        <v>44.508848423399655</v>
      </c>
      <c r="AA79" s="132">
        <f t="shared" si="256"/>
        <v>50.181544791087838</v>
      </c>
      <c r="AB79" s="132">
        <f t="shared" si="256"/>
        <v>56.577231872304914</v>
      </c>
      <c r="AC79" s="132">
        <f t="shared" si="256"/>
        <v>63.788055542304562</v>
      </c>
      <c r="AD79" s="132">
        <f t="shared" si="256"/>
        <v>71.917905758480629</v>
      </c>
      <c r="AE79" s="132">
        <f t="shared" si="256"/>
        <v>81.083913355149718</v>
      </c>
      <c r="AF79" s="132">
        <f t="shared" si="256"/>
        <v>91.418137606296241</v>
      </c>
      <c r="AG79" s="132">
        <f t="shared" si="256"/>
        <v>103.06946886984379</v>
      </c>
      <c r="AH79" s="132">
        <f t="shared" si="256"/>
        <v>116.20577372580426</v>
      </c>
      <c r="AI79" s="115" t="e">
        <f t="shared" si="237"/>
        <v>#DIV/0!</v>
      </c>
      <c r="AJ79" s="21">
        <f t="shared" si="18"/>
        <v>0.01</v>
      </c>
      <c r="AK79" s="123" t="e">
        <f t="shared" si="230"/>
        <v>#DIV/0!</v>
      </c>
    </row>
    <row r="80" spans="2:37" x14ac:dyDescent="0.2">
      <c r="B80" s="10" t="s">
        <v>204</v>
      </c>
      <c r="C80" s="108"/>
      <c r="D80" s="108"/>
      <c r="E80" s="108"/>
      <c r="F80" s="121"/>
      <c r="G80" s="121">
        <f t="shared" ref="G80" si="257">G10/G61</f>
        <v>165.58112094395281</v>
      </c>
      <c r="H80" s="121" t="e">
        <f t="shared" ref="H80:I80" si="258">H10/H61</f>
        <v>#DIV/0!</v>
      </c>
      <c r="I80" s="121" t="e">
        <f t="shared" si="258"/>
        <v>#DIV/0!</v>
      </c>
      <c r="J80" s="121" t="e">
        <f t="shared" ref="J80:S80" si="259">J10/J61</f>
        <v>#DIV/0!</v>
      </c>
      <c r="K80" s="121" t="e">
        <f t="shared" si="259"/>
        <v>#DIV/0!</v>
      </c>
      <c r="L80" s="121" t="e">
        <f t="shared" si="259"/>
        <v>#DIV/0!</v>
      </c>
      <c r="M80" s="121" t="e">
        <f t="shared" si="259"/>
        <v>#DIV/0!</v>
      </c>
      <c r="N80" s="121" t="e">
        <f t="shared" si="259"/>
        <v>#DIV/0!</v>
      </c>
      <c r="O80" s="121" t="e">
        <f t="shared" si="259"/>
        <v>#DIV/0!</v>
      </c>
      <c r="P80" s="121" t="e">
        <f t="shared" si="259"/>
        <v>#DIV/0!</v>
      </c>
      <c r="Q80" s="121" t="e">
        <f t="shared" si="259"/>
        <v>#DIV/0!</v>
      </c>
      <c r="R80" s="121" t="e">
        <f t="shared" si="259"/>
        <v>#DIV/0!</v>
      </c>
      <c r="S80" s="121">
        <f t="shared" si="259"/>
        <v>165.58112094395281</v>
      </c>
      <c r="T80" s="121">
        <f t="shared" ref="T80:U80" si="260">T10/T61</f>
        <v>266.87315634218288</v>
      </c>
      <c r="U80" s="121">
        <f t="shared" si="260"/>
        <v>310.69616519174042</v>
      </c>
      <c r="V80" s="121">
        <f t="shared" ref="V80" si="261">V10/V61</f>
        <v>293.58995815899584</v>
      </c>
      <c r="W80" s="101">
        <f t="shared" si="204"/>
        <v>0.21034763589329875</v>
      </c>
      <c r="X80" s="109"/>
      <c r="Y80" s="132">
        <f t="shared" ref="Y80:AH80" si="262">Y10/Y61</f>
        <v>350.29469604951123</v>
      </c>
      <c r="Z80" s="132">
        <f t="shared" si="262"/>
        <v>394.94009848719401</v>
      </c>
      <c r="AA80" s="132">
        <f t="shared" si="262"/>
        <v>445.27560123556179</v>
      </c>
      <c r="AB80" s="132">
        <f t="shared" si="262"/>
        <v>502.02641315774127</v>
      </c>
      <c r="AC80" s="132">
        <f t="shared" si="262"/>
        <v>566.0101716974533</v>
      </c>
      <c r="AD80" s="132">
        <f t="shared" si="262"/>
        <v>638.14872299222668</v>
      </c>
      <c r="AE80" s="132">
        <f t="shared" si="262"/>
        <v>719.48140337358893</v>
      </c>
      <c r="AF80" s="132">
        <f t="shared" si="262"/>
        <v>811.18001360747758</v>
      </c>
      <c r="AG80" s="132">
        <f t="shared" si="262"/>
        <v>914.56570161627371</v>
      </c>
      <c r="AH80" s="132">
        <f t="shared" si="262"/>
        <v>1031.1279969203085</v>
      </c>
      <c r="AI80" s="115" t="e">
        <f t="shared" si="237"/>
        <v>#DIV/0!</v>
      </c>
      <c r="AJ80" s="21">
        <f t="shared" si="18"/>
        <v>0.01</v>
      </c>
      <c r="AK80" s="123" t="e">
        <f t="shared" si="230"/>
        <v>#DIV/0!</v>
      </c>
    </row>
    <row r="81" spans="2:37" x14ac:dyDescent="0.2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01" t="e">
        <f t="shared" si="204"/>
        <v>#DIV/0!</v>
      </c>
      <c r="X81" s="10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16"/>
      <c r="AJ81" s="114"/>
      <c r="AK81" s="123"/>
    </row>
    <row r="82" spans="2:37" x14ac:dyDescent="0.2">
      <c r="B82" s="10" t="s">
        <v>221</v>
      </c>
      <c r="C82" s="108"/>
      <c r="D82" s="108"/>
      <c r="E82" s="108"/>
      <c r="F82" s="121"/>
      <c r="G82" s="121">
        <f t="shared" ref="G82" si="263">(G7-G10)/G61</f>
        <v>-125.36710914454277</v>
      </c>
      <c r="H82" s="121" t="e">
        <f t="shared" ref="H82:I82" si="264">(H7-H10)/H61</f>
        <v>#DIV/0!</v>
      </c>
      <c r="I82" s="121" t="e">
        <f t="shared" si="264"/>
        <v>#DIV/0!</v>
      </c>
      <c r="J82" s="121" t="e">
        <f t="shared" ref="J82:S82" si="265">(J7-J10)/J61</f>
        <v>#DIV/0!</v>
      </c>
      <c r="K82" s="121" t="e">
        <f t="shared" si="265"/>
        <v>#DIV/0!</v>
      </c>
      <c r="L82" s="121" t="e">
        <f t="shared" si="265"/>
        <v>#DIV/0!</v>
      </c>
      <c r="M82" s="121" t="e">
        <f t="shared" si="265"/>
        <v>#DIV/0!</v>
      </c>
      <c r="N82" s="121" t="e">
        <f t="shared" si="265"/>
        <v>#DIV/0!</v>
      </c>
      <c r="O82" s="121" t="e">
        <f t="shared" si="265"/>
        <v>#DIV/0!</v>
      </c>
      <c r="P82" s="121" t="e">
        <f t="shared" si="265"/>
        <v>#DIV/0!</v>
      </c>
      <c r="Q82" s="121" t="e">
        <f t="shared" si="265"/>
        <v>#DIV/0!</v>
      </c>
      <c r="R82" s="121" t="e">
        <f t="shared" si="265"/>
        <v>#DIV/0!</v>
      </c>
      <c r="S82" s="121">
        <f t="shared" si="265"/>
        <v>-125.36710914454277</v>
      </c>
      <c r="T82" s="121">
        <f t="shared" ref="T82:U82" si="266">(T7-T10)/T61</f>
        <v>-223.57522123893804</v>
      </c>
      <c r="U82" s="121">
        <f t="shared" si="266"/>
        <v>-265.64011799410031</v>
      </c>
      <c r="V82" s="121">
        <f t="shared" ref="V82" si="267">(V7-V10)/V61</f>
        <v>-255.51882845188285</v>
      </c>
      <c r="W82" s="101">
        <f t="shared" si="204"/>
        <v>0.26788471241852196</v>
      </c>
      <c r="X82" s="109"/>
      <c r="Y82" s="132">
        <f t="shared" ref="Y82:AH82" si="268">(Y7-Y10)/Y61</f>
        <v>-299.49621146393656</v>
      </c>
      <c r="Z82" s="132">
        <f t="shared" si="268"/>
        <v>-337.66729723875204</v>
      </c>
      <c r="AA82" s="132">
        <f t="shared" si="268"/>
        <v>-380.70332531820077</v>
      </c>
      <c r="AB82" s="132">
        <f t="shared" si="268"/>
        <v>-429.2243373685597</v>
      </c>
      <c r="AC82" s="132">
        <f t="shared" si="268"/>
        <v>-483.92939997435644</v>
      </c>
      <c r="AD82" s="132">
        <f t="shared" si="268"/>
        <v>-545.60667644167631</v>
      </c>
      <c r="AE82" s="132">
        <f t="shared" si="268"/>
        <v>-615.14478226267431</v>
      </c>
      <c r="AF82" s="132">
        <f t="shared" si="268"/>
        <v>-693.54558784517178</v>
      </c>
      <c r="AG82" s="132">
        <f t="shared" si="268"/>
        <v>-781.93865296269382</v>
      </c>
      <c r="AH82" s="132">
        <f t="shared" si="268"/>
        <v>-881.5975008893115</v>
      </c>
      <c r="AI82" s="115" t="e">
        <f t="shared" si="237"/>
        <v>#DIV/0!</v>
      </c>
      <c r="AJ82" s="21">
        <f t="shared" si="18"/>
        <v>0.01</v>
      </c>
      <c r="AK82" s="123" t="e">
        <f t="shared" si="230"/>
        <v>#DIV/0!</v>
      </c>
    </row>
    <row r="83" spans="2:37" x14ac:dyDescent="0.2">
      <c r="B83" s="10" t="s">
        <v>222</v>
      </c>
      <c r="C83" s="108"/>
      <c r="D83" s="108"/>
      <c r="E83" s="108"/>
      <c r="F83" s="121"/>
      <c r="G83" s="121">
        <f t="shared" ref="G83" si="269">(G7-G10-G9)/G61</f>
        <v>-137.76958702064897</v>
      </c>
      <c r="H83" s="121" t="e">
        <f t="shared" ref="H83:I83" si="270">(H7-H10-H9)/H61</f>
        <v>#DIV/0!</v>
      </c>
      <c r="I83" s="121" t="e">
        <f t="shared" si="270"/>
        <v>#DIV/0!</v>
      </c>
      <c r="J83" s="121" t="e">
        <f t="shared" ref="J83:S83" si="271">(J7-J10-J9)/J61</f>
        <v>#DIV/0!</v>
      </c>
      <c r="K83" s="121" t="e">
        <f t="shared" si="271"/>
        <v>#DIV/0!</v>
      </c>
      <c r="L83" s="121" t="e">
        <f t="shared" si="271"/>
        <v>#DIV/0!</v>
      </c>
      <c r="M83" s="121" t="e">
        <f t="shared" si="271"/>
        <v>#DIV/0!</v>
      </c>
      <c r="N83" s="121" t="e">
        <f t="shared" si="271"/>
        <v>#DIV/0!</v>
      </c>
      <c r="O83" s="121" t="e">
        <f t="shared" si="271"/>
        <v>#DIV/0!</v>
      </c>
      <c r="P83" s="121" t="e">
        <f t="shared" si="271"/>
        <v>#DIV/0!</v>
      </c>
      <c r="Q83" s="121" t="e">
        <f t="shared" si="271"/>
        <v>#DIV/0!</v>
      </c>
      <c r="R83" s="121" t="e">
        <f t="shared" si="271"/>
        <v>#DIV/0!</v>
      </c>
      <c r="S83" s="121">
        <f t="shared" si="271"/>
        <v>-137.76958702064897</v>
      </c>
      <c r="T83" s="121">
        <f t="shared" ref="T83:U83" si="272">(T7-T10-T9)/T61</f>
        <v>-244.25663716814159</v>
      </c>
      <c r="U83" s="121">
        <f t="shared" si="272"/>
        <v>-265.64011799410031</v>
      </c>
      <c r="V83" s="121">
        <f t="shared" ref="V83" si="273">(V7-V10-V9)/V61</f>
        <v>-255.51882845188285</v>
      </c>
      <c r="W83" s="101">
        <f t="shared" si="204"/>
        <v>0.2286358509909876</v>
      </c>
      <c r="X83" s="109"/>
      <c r="Y83" s="132">
        <f t="shared" ref="Y83:AH83" si="274">(Y7-Y10-Y9)/Y61</f>
        <v>-299.49621146393656</v>
      </c>
      <c r="Z83" s="132">
        <f t="shared" si="274"/>
        <v>-337.66729723875204</v>
      </c>
      <c r="AA83" s="132">
        <f t="shared" si="274"/>
        <v>-380.70332531820077</v>
      </c>
      <c r="AB83" s="132">
        <f t="shared" si="274"/>
        <v>-429.2243373685597</v>
      </c>
      <c r="AC83" s="132">
        <f t="shared" si="274"/>
        <v>-483.92939997435644</v>
      </c>
      <c r="AD83" s="132">
        <f t="shared" si="274"/>
        <v>-545.60667644167631</v>
      </c>
      <c r="AE83" s="132">
        <f t="shared" si="274"/>
        <v>-615.14478226267431</v>
      </c>
      <c r="AF83" s="132">
        <f t="shared" si="274"/>
        <v>-693.54558784517178</v>
      </c>
      <c r="AG83" s="132">
        <f t="shared" si="274"/>
        <v>-781.93865296269382</v>
      </c>
      <c r="AH83" s="132">
        <f t="shared" si="274"/>
        <v>-881.5975008893115</v>
      </c>
      <c r="AI83" s="115" t="e">
        <f t="shared" si="237"/>
        <v>#DIV/0!</v>
      </c>
      <c r="AJ83" s="21">
        <f t="shared" si="18"/>
        <v>0.01</v>
      </c>
      <c r="AK83" s="123" t="e">
        <f t="shared" si="230"/>
        <v>#DIV/0!</v>
      </c>
    </row>
    <row r="84" spans="2:37" x14ac:dyDescent="0.2">
      <c r="B84" s="10" t="s">
        <v>227</v>
      </c>
      <c r="C84" s="108"/>
      <c r="D84" s="108"/>
      <c r="E84" s="108"/>
      <c r="F84" s="121"/>
      <c r="G84" s="121">
        <f t="shared" ref="G84" si="275">(G7+G15-G10-G9)/G61</f>
        <v>-137.76958702064897</v>
      </c>
      <c r="H84" s="121" t="e">
        <f t="shared" ref="H84:I84" si="276">(H7+H15-H10-H9)/H61</f>
        <v>#DIV/0!</v>
      </c>
      <c r="I84" s="121" t="e">
        <f t="shared" si="276"/>
        <v>#DIV/0!</v>
      </c>
      <c r="J84" s="121" t="e">
        <f t="shared" ref="J84:S84" si="277">(J7+J15-J10-J9)/J61</f>
        <v>#DIV/0!</v>
      </c>
      <c r="K84" s="121" t="e">
        <f t="shared" si="277"/>
        <v>#DIV/0!</v>
      </c>
      <c r="L84" s="121" t="e">
        <f t="shared" si="277"/>
        <v>#DIV/0!</v>
      </c>
      <c r="M84" s="121" t="e">
        <f t="shared" si="277"/>
        <v>#DIV/0!</v>
      </c>
      <c r="N84" s="121" t="e">
        <f t="shared" si="277"/>
        <v>#DIV/0!</v>
      </c>
      <c r="O84" s="121" t="e">
        <f t="shared" si="277"/>
        <v>#DIV/0!</v>
      </c>
      <c r="P84" s="121" t="e">
        <f t="shared" si="277"/>
        <v>#DIV/0!</v>
      </c>
      <c r="Q84" s="121" t="e">
        <f t="shared" si="277"/>
        <v>#DIV/0!</v>
      </c>
      <c r="R84" s="121" t="e">
        <f t="shared" si="277"/>
        <v>#DIV/0!</v>
      </c>
      <c r="S84" s="121">
        <f t="shared" si="277"/>
        <v>-137.76958702064897</v>
      </c>
      <c r="T84" s="121">
        <f t="shared" ref="T84:U84" si="278">(T7+T15-T10-T9)/T61</f>
        <v>-244.25663716814159</v>
      </c>
      <c r="U84" s="121">
        <f t="shared" si="278"/>
        <v>-265.64011799410031</v>
      </c>
      <c r="V84" s="121">
        <f t="shared" ref="V84" si="279">(V7+V15-V10-V9)/V61</f>
        <v>-255.51882845188285</v>
      </c>
      <c r="W84" s="101">
        <f t="shared" si="204"/>
        <v>0.2286358509909876</v>
      </c>
      <c r="X84" s="109"/>
      <c r="Y84" s="132">
        <f t="shared" ref="Y84:AH84" si="280">(Y7+Y15-Y10-Y9)/Y61</f>
        <v>-299.49621146393656</v>
      </c>
      <c r="Z84" s="132">
        <f t="shared" si="280"/>
        <v>-337.66729723875204</v>
      </c>
      <c r="AA84" s="132">
        <f t="shared" si="280"/>
        <v>-380.70332531820077</v>
      </c>
      <c r="AB84" s="132">
        <f t="shared" si="280"/>
        <v>-429.2243373685597</v>
      </c>
      <c r="AC84" s="132">
        <f t="shared" si="280"/>
        <v>-483.92939997435644</v>
      </c>
      <c r="AD84" s="132">
        <f t="shared" si="280"/>
        <v>-545.60667644167631</v>
      </c>
      <c r="AE84" s="132">
        <f t="shared" si="280"/>
        <v>-615.14478226267431</v>
      </c>
      <c r="AF84" s="132">
        <f t="shared" si="280"/>
        <v>-693.54558784517178</v>
      </c>
      <c r="AG84" s="132">
        <f t="shared" si="280"/>
        <v>-781.93865296269382</v>
      </c>
      <c r="AH84" s="132">
        <f t="shared" si="280"/>
        <v>-881.5975008893115</v>
      </c>
      <c r="AI84" s="115" t="e">
        <f t="shared" si="237"/>
        <v>#DIV/0!</v>
      </c>
      <c r="AJ84" s="21">
        <f t="shared" si="18"/>
        <v>0.01</v>
      </c>
      <c r="AK84" s="123" t="e">
        <f t="shared" si="230"/>
        <v>#DIV/0!</v>
      </c>
    </row>
    <row r="85" spans="2:37" x14ac:dyDescent="0.2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01" t="e">
        <f t="shared" si="204"/>
        <v>#DIV/0!</v>
      </c>
      <c r="X85" s="1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16"/>
      <c r="AJ85" s="114"/>
      <c r="AK85" s="123"/>
    </row>
    <row r="86" spans="2:37" x14ac:dyDescent="0.2">
      <c r="B86" s="10" t="s">
        <v>205</v>
      </c>
      <c r="C86" s="108"/>
      <c r="D86" s="108"/>
      <c r="E86" s="108"/>
      <c r="F86" s="121"/>
      <c r="G86" s="121">
        <f t="shared" ref="G86" si="281">G12/G61</f>
        <v>5.6047197640117998</v>
      </c>
      <c r="H86" s="121" t="e">
        <f t="shared" ref="H86:I86" si="282">H12/H61</f>
        <v>#DIV/0!</v>
      </c>
      <c r="I86" s="121" t="e">
        <f t="shared" si="282"/>
        <v>#DIV/0!</v>
      </c>
      <c r="J86" s="121" t="e">
        <f t="shared" ref="J86:S86" si="283">J12/J61</f>
        <v>#DIV/0!</v>
      </c>
      <c r="K86" s="121" t="e">
        <f t="shared" si="283"/>
        <v>#DIV/0!</v>
      </c>
      <c r="L86" s="121" t="e">
        <f t="shared" si="283"/>
        <v>#DIV/0!</v>
      </c>
      <c r="M86" s="121" t="e">
        <f t="shared" si="283"/>
        <v>#DIV/0!</v>
      </c>
      <c r="N86" s="121" t="e">
        <f t="shared" si="283"/>
        <v>#DIV/0!</v>
      </c>
      <c r="O86" s="121" t="e">
        <f t="shared" si="283"/>
        <v>#DIV/0!</v>
      </c>
      <c r="P86" s="121" t="e">
        <f t="shared" si="283"/>
        <v>#DIV/0!</v>
      </c>
      <c r="Q86" s="121" t="e">
        <f t="shared" si="283"/>
        <v>#DIV/0!</v>
      </c>
      <c r="R86" s="121" t="e">
        <f t="shared" si="283"/>
        <v>#DIV/0!</v>
      </c>
      <c r="S86" s="121">
        <f t="shared" si="283"/>
        <v>5.6047197640117998</v>
      </c>
      <c r="T86" s="121">
        <f t="shared" ref="T86:U86" si="284">T12/T61</f>
        <v>8.9557522123893811</v>
      </c>
      <c r="U86" s="121">
        <f t="shared" si="284"/>
        <v>0</v>
      </c>
      <c r="V86" s="121">
        <f t="shared" ref="V86" si="285">V12/V61</f>
        <v>0</v>
      </c>
      <c r="W86" s="101">
        <f t="shared" si="204"/>
        <v>-1</v>
      </c>
      <c r="X86" s="109"/>
      <c r="Y86" s="132">
        <f t="shared" ref="Y86:AH86" si="286">Y12/Y61</f>
        <v>0</v>
      </c>
      <c r="Z86" s="132">
        <f t="shared" si="286"/>
        <v>0</v>
      </c>
      <c r="AA86" s="132">
        <f t="shared" si="286"/>
        <v>0</v>
      </c>
      <c r="AB86" s="132">
        <f t="shared" si="286"/>
        <v>0</v>
      </c>
      <c r="AC86" s="132">
        <f t="shared" si="286"/>
        <v>0</v>
      </c>
      <c r="AD86" s="132">
        <f t="shared" si="286"/>
        <v>0</v>
      </c>
      <c r="AE86" s="132">
        <f t="shared" si="286"/>
        <v>0</v>
      </c>
      <c r="AF86" s="132">
        <f t="shared" si="286"/>
        <v>0</v>
      </c>
      <c r="AG86" s="132">
        <f t="shared" si="286"/>
        <v>0</v>
      </c>
      <c r="AH86" s="132">
        <f t="shared" si="286"/>
        <v>0</v>
      </c>
      <c r="AI86" s="115" t="e">
        <f t="shared" si="237"/>
        <v>#DIV/0!</v>
      </c>
      <c r="AJ86" s="21">
        <f t="shared" si="18"/>
        <v>0.01</v>
      </c>
      <c r="AK86" s="123" t="e">
        <f t="shared" si="230"/>
        <v>#DIV/0!</v>
      </c>
    </row>
    <row r="87" spans="2:37" x14ac:dyDescent="0.2">
      <c r="B87" s="10" t="s">
        <v>212</v>
      </c>
      <c r="C87" s="108"/>
      <c r="D87" s="108"/>
      <c r="E87" s="108"/>
      <c r="F87" s="121"/>
      <c r="G87" s="121">
        <f t="shared" ref="G87" si="287">G13/G61</f>
        <v>59.26548672566372</v>
      </c>
      <c r="H87" s="121" t="e">
        <f t="shared" ref="H87:I87" si="288">H13/H61</f>
        <v>#DIV/0!</v>
      </c>
      <c r="I87" s="121" t="e">
        <f t="shared" si="288"/>
        <v>#DIV/0!</v>
      </c>
      <c r="J87" s="121" t="e">
        <f t="shared" ref="J87:S87" si="289">J13/J61</f>
        <v>#DIV/0!</v>
      </c>
      <c r="K87" s="121" t="e">
        <f t="shared" si="289"/>
        <v>#DIV/0!</v>
      </c>
      <c r="L87" s="121" t="e">
        <f t="shared" si="289"/>
        <v>#DIV/0!</v>
      </c>
      <c r="M87" s="121" t="e">
        <f t="shared" si="289"/>
        <v>#DIV/0!</v>
      </c>
      <c r="N87" s="121" t="e">
        <f t="shared" si="289"/>
        <v>#DIV/0!</v>
      </c>
      <c r="O87" s="121" t="e">
        <f t="shared" si="289"/>
        <v>#DIV/0!</v>
      </c>
      <c r="P87" s="121" t="e">
        <f t="shared" si="289"/>
        <v>#DIV/0!</v>
      </c>
      <c r="Q87" s="121" t="e">
        <f t="shared" si="289"/>
        <v>#DIV/0!</v>
      </c>
      <c r="R87" s="121" t="e">
        <f t="shared" si="289"/>
        <v>#DIV/0!</v>
      </c>
      <c r="S87" s="121">
        <f t="shared" si="289"/>
        <v>59.26548672566372</v>
      </c>
      <c r="T87" s="121">
        <f t="shared" ref="T87:U87" si="290">T13/T61</f>
        <v>148.88200589970501</v>
      </c>
      <c r="U87" s="121">
        <f t="shared" si="290"/>
        <v>179.65781710914453</v>
      </c>
      <c r="V87" s="121">
        <f t="shared" ref="V87" si="291">V13/V61</f>
        <v>121.85146443514644</v>
      </c>
      <c r="W87" s="101">
        <f t="shared" si="204"/>
        <v>0.27157788409328032</v>
      </c>
      <c r="X87" s="109"/>
      <c r="Y87" s="132">
        <f t="shared" ref="Y87:AH87" si="292">Y13/Y61</f>
        <v>202.55538203481979</v>
      </c>
      <c r="Z87" s="132">
        <f t="shared" si="292"/>
        <v>228.37126405886542</v>
      </c>
      <c r="AA87" s="132">
        <f t="shared" si="292"/>
        <v>257.47740555656395</v>
      </c>
      <c r="AB87" s="132">
        <f t="shared" si="292"/>
        <v>290.29315332357697</v>
      </c>
      <c r="AC87" s="132">
        <f t="shared" si="292"/>
        <v>327.29130031579751</v>
      </c>
      <c r="AD87" s="132">
        <f t="shared" si="292"/>
        <v>369.00489741486967</v>
      </c>
      <c r="AE87" s="132">
        <f t="shared" si="292"/>
        <v>416.03493335990197</v>
      </c>
      <c r="AF87" s="132">
        <f t="shared" si="292"/>
        <v>469.0589934940071</v>
      </c>
      <c r="AG87" s="132">
        <f t="shared" si="292"/>
        <v>528.84102207657668</v>
      </c>
      <c r="AH87" s="132">
        <f t="shared" si="292"/>
        <v>596.24232881182661</v>
      </c>
      <c r="AI87" s="115" t="e">
        <f t="shared" si="237"/>
        <v>#DIV/0!</v>
      </c>
      <c r="AJ87" s="21">
        <f t="shared" si="18"/>
        <v>0.01</v>
      </c>
      <c r="AK87" s="123" t="e">
        <f t="shared" si="230"/>
        <v>#DIV/0!</v>
      </c>
    </row>
    <row r="88" spans="2:37" x14ac:dyDescent="0.2">
      <c r="B88" s="10" t="s">
        <v>213</v>
      </c>
      <c r="C88" s="108"/>
      <c r="D88" s="108"/>
      <c r="E88" s="108"/>
      <c r="F88" s="121"/>
      <c r="G88" s="121">
        <f t="shared" ref="G88" si="293">(G86+G87)</f>
        <v>64.870206489675525</v>
      </c>
      <c r="H88" s="121" t="e">
        <f t="shared" ref="H88:I88" si="294">(H86+H87)</f>
        <v>#DIV/0!</v>
      </c>
      <c r="I88" s="121" t="e">
        <f t="shared" si="294"/>
        <v>#DIV/0!</v>
      </c>
      <c r="J88" s="121" t="e">
        <f t="shared" ref="J88:S88" si="295">(J86+J87)</f>
        <v>#DIV/0!</v>
      </c>
      <c r="K88" s="121" t="e">
        <f t="shared" si="295"/>
        <v>#DIV/0!</v>
      </c>
      <c r="L88" s="121" t="e">
        <f t="shared" si="295"/>
        <v>#DIV/0!</v>
      </c>
      <c r="M88" s="121" t="e">
        <f t="shared" si="295"/>
        <v>#DIV/0!</v>
      </c>
      <c r="N88" s="121" t="e">
        <f t="shared" si="295"/>
        <v>#DIV/0!</v>
      </c>
      <c r="O88" s="121" t="e">
        <f t="shared" si="295"/>
        <v>#DIV/0!</v>
      </c>
      <c r="P88" s="121" t="e">
        <f t="shared" si="295"/>
        <v>#DIV/0!</v>
      </c>
      <c r="Q88" s="121" t="e">
        <f t="shared" si="295"/>
        <v>#DIV/0!</v>
      </c>
      <c r="R88" s="121" t="e">
        <f t="shared" ref="R88" si="296">(R86+R87)</f>
        <v>#DIV/0!</v>
      </c>
      <c r="S88" s="121">
        <f t="shared" si="295"/>
        <v>64.870206489675525</v>
      </c>
      <c r="T88" s="121">
        <f t="shared" ref="T88:U88" si="297">(T86+T87)</f>
        <v>157.83775811209438</v>
      </c>
      <c r="U88" s="121">
        <f t="shared" si="297"/>
        <v>179.65781710914453</v>
      </c>
      <c r="V88" s="121">
        <f t="shared" ref="V88" si="298">(V86+V87)</f>
        <v>121.85146443514644</v>
      </c>
      <c r="W88" s="101">
        <f t="shared" si="204"/>
        <v>0.23384846239977297</v>
      </c>
      <c r="X88" s="109"/>
      <c r="Y88" s="132">
        <f t="shared" ref="Y88:AH88" si="299">(Y86+Y87)</f>
        <v>202.55538203481979</v>
      </c>
      <c r="Z88" s="132">
        <f t="shared" si="299"/>
        <v>228.37126405886542</v>
      </c>
      <c r="AA88" s="132">
        <f t="shared" si="299"/>
        <v>257.47740555656395</v>
      </c>
      <c r="AB88" s="132">
        <f t="shared" si="299"/>
        <v>290.29315332357697</v>
      </c>
      <c r="AC88" s="132">
        <f t="shared" si="299"/>
        <v>327.29130031579751</v>
      </c>
      <c r="AD88" s="132">
        <f t="shared" si="299"/>
        <v>369.00489741486967</v>
      </c>
      <c r="AE88" s="132">
        <f t="shared" si="299"/>
        <v>416.03493335990197</v>
      </c>
      <c r="AF88" s="132">
        <f t="shared" si="299"/>
        <v>469.0589934940071</v>
      </c>
      <c r="AG88" s="132">
        <f t="shared" si="299"/>
        <v>528.84102207657668</v>
      </c>
      <c r="AH88" s="132">
        <f t="shared" si="299"/>
        <v>596.24232881182661</v>
      </c>
      <c r="AI88" s="115" t="e">
        <f t="shared" si="237"/>
        <v>#DIV/0!</v>
      </c>
      <c r="AJ88" s="21">
        <f t="shared" si="18"/>
        <v>0.01</v>
      </c>
      <c r="AK88" s="123" t="e">
        <f t="shared" si="230"/>
        <v>#DIV/0!</v>
      </c>
    </row>
    <row r="89" spans="2:37" x14ac:dyDescent="0.2">
      <c r="B89" s="10" t="s">
        <v>206</v>
      </c>
      <c r="C89" s="108"/>
      <c r="D89" s="108"/>
      <c r="E89" s="108"/>
      <c r="F89" s="121"/>
      <c r="G89" s="121">
        <f t="shared" ref="G89" si="300">G15/G61</f>
        <v>0</v>
      </c>
      <c r="H89" s="121" t="e">
        <f t="shared" ref="H89:I89" si="301">H15/H61</f>
        <v>#DIV/0!</v>
      </c>
      <c r="I89" s="121" t="e">
        <f t="shared" si="301"/>
        <v>#DIV/0!</v>
      </c>
      <c r="J89" s="121" t="e">
        <f t="shared" ref="J89:S89" si="302">J15/J61</f>
        <v>#DIV/0!</v>
      </c>
      <c r="K89" s="121" t="e">
        <f t="shared" si="302"/>
        <v>#DIV/0!</v>
      </c>
      <c r="L89" s="121" t="e">
        <f t="shared" si="302"/>
        <v>#DIV/0!</v>
      </c>
      <c r="M89" s="121" t="e">
        <f t="shared" si="302"/>
        <v>#DIV/0!</v>
      </c>
      <c r="N89" s="121" t="e">
        <f t="shared" si="302"/>
        <v>#DIV/0!</v>
      </c>
      <c r="O89" s="121" t="e">
        <f t="shared" si="302"/>
        <v>#DIV/0!</v>
      </c>
      <c r="P89" s="121" t="e">
        <f t="shared" si="302"/>
        <v>#DIV/0!</v>
      </c>
      <c r="Q89" s="121" t="e">
        <f t="shared" si="302"/>
        <v>#DIV/0!</v>
      </c>
      <c r="R89" s="121" t="e">
        <f t="shared" si="302"/>
        <v>#DIV/0!</v>
      </c>
      <c r="S89" s="121">
        <f t="shared" si="302"/>
        <v>0</v>
      </c>
      <c r="T89" s="121">
        <f t="shared" ref="T89:U89" si="303">T15/T61</f>
        <v>0</v>
      </c>
      <c r="U89" s="121">
        <f t="shared" si="303"/>
        <v>0</v>
      </c>
      <c r="V89" s="121">
        <f t="shared" ref="V89" si="304">V15/V61</f>
        <v>0</v>
      </c>
      <c r="W89" s="101" t="e">
        <f t="shared" si="204"/>
        <v>#DIV/0!</v>
      </c>
      <c r="X89" s="109"/>
      <c r="Y89" s="132">
        <f t="shared" ref="Y89:AH89" si="305">Y15/Y61</f>
        <v>0</v>
      </c>
      <c r="Z89" s="132">
        <f t="shared" si="305"/>
        <v>0</v>
      </c>
      <c r="AA89" s="132">
        <f t="shared" si="305"/>
        <v>0</v>
      </c>
      <c r="AB89" s="132">
        <f t="shared" si="305"/>
        <v>0</v>
      </c>
      <c r="AC89" s="132">
        <f t="shared" si="305"/>
        <v>0</v>
      </c>
      <c r="AD89" s="132">
        <f t="shared" si="305"/>
        <v>0</v>
      </c>
      <c r="AE89" s="132">
        <f t="shared" si="305"/>
        <v>0</v>
      </c>
      <c r="AF89" s="132">
        <f t="shared" si="305"/>
        <v>0</v>
      </c>
      <c r="AG89" s="132">
        <f t="shared" si="305"/>
        <v>0</v>
      </c>
      <c r="AH89" s="132">
        <f t="shared" si="305"/>
        <v>0</v>
      </c>
      <c r="AI89" s="115" t="e">
        <f t="shared" si="237"/>
        <v>#DIV/0!</v>
      </c>
      <c r="AJ89" s="21">
        <f t="shared" si="18"/>
        <v>0.01</v>
      </c>
      <c r="AK89" s="123" t="e">
        <f t="shared" si="230"/>
        <v>#DIV/0!</v>
      </c>
    </row>
    <row r="90" spans="2:37" x14ac:dyDescent="0.2">
      <c r="B90" s="10" t="s">
        <v>207</v>
      </c>
      <c r="C90" s="108"/>
      <c r="D90" s="108"/>
      <c r="E90" s="108"/>
      <c r="F90" s="121"/>
      <c r="G90" s="121">
        <f t="shared" ref="G90" si="306">G16/G61</f>
        <v>0</v>
      </c>
      <c r="H90" s="121" t="e">
        <f t="shared" ref="H90:I90" si="307">H16/H61</f>
        <v>#DIV/0!</v>
      </c>
      <c r="I90" s="121" t="e">
        <f t="shared" si="307"/>
        <v>#DIV/0!</v>
      </c>
      <c r="J90" s="121" t="e">
        <f t="shared" ref="J90:S90" si="308">J16/J61</f>
        <v>#DIV/0!</v>
      </c>
      <c r="K90" s="121" t="e">
        <f t="shared" si="308"/>
        <v>#DIV/0!</v>
      </c>
      <c r="L90" s="121" t="e">
        <f t="shared" si="308"/>
        <v>#DIV/0!</v>
      </c>
      <c r="M90" s="121" t="e">
        <f t="shared" si="308"/>
        <v>#DIV/0!</v>
      </c>
      <c r="N90" s="121" t="e">
        <f t="shared" si="308"/>
        <v>#DIV/0!</v>
      </c>
      <c r="O90" s="121" t="e">
        <f t="shared" si="308"/>
        <v>#DIV/0!</v>
      </c>
      <c r="P90" s="121" t="e">
        <f t="shared" si="308"/>
        <v>#DIV/0!</v>
      </c>
      <c r="Q90" s="121" t="e">
        <f t="shared" si="308"/>
        <v>#DIV/0!</v>
      </c>
      <c r="R90" s="121" t="e">
        <f t="shared" si="308"/>
        <v>#DIV/0!</v>
      </c>
      <c r="S90" s="121">
        <f t="shared" si="308"/>
        <v>0</v>
      </c>
      <c r="T90" s="121">
        <f t="shared" ref="T90:U90" si="309">T16/T61</f>
        <v>0</v>
      </c>
      <c r="U90" s="121">
        <f t="shared" si="309"/>
        <v>0</v>
      </c>
      <c r="V90" s="121">
        <f t="shared" ref="V90" si="310">V16/V61</f>
        <v>0</v>
      </c>
      <c r="W90" s="101" t="e">
        <f t="shared" si="204"/>
        <v>#DIV/0!</v>
      </c>
      <c r="X90" s="109"/>
      <c r="Y90" s="132">
        <f t="shared" ref="Y90:AH90" si="311">Y16/Y61</f>
        <v>0</v>
      </c>
      <c r="Z90" s="132">
        <f t="shared" si="311"/>
        <v>0</v>
      </c>
      <c r="AA90" s="132">
        <f t="shared" si="311"/>
        <v>0</v>
      </c>
      <c r="AB90" s="132">
        <f t="shared" si="311"/>
        <v>0</v>
      </c>
      <c r="AC90" s="132">
        <f t="shared" si="311"/>
        <v>0</v>
      </c>
      <c r="AD90" s="132">
        <f t="shared" si="311"/>
        <v>0</v>
      </c>
      <c r="AE90" s="132">
        <f t="shared" si="311"/>
        <v>0</v>
      </c>
      <c r="AF90" s="132">
        <f t="shared" si="311"/>
        <v>0</v>
      </c>
      <c r="AG90" s="132">
        <f t="shared" si="311"/>
        <v>0</v>
      </c>
      <c r="AH90" s="132">
        <f t="shared" si="311"/>
        <v>0</v>
      </c>
      <c r="AI90" s="115" t="e">
        <f t="shared" si="237"/>
        <v>#DIV/0!</v>
      </c>
      <c r="AJ90" s="21">
        <f t="shared" si="18"/>
        <v>0.01</v>
      </c>
      <c r="AK90" s="123" t="e">
        <f t="shared" si="230"/>
        <v>#DIV/0!</v>
      </c>
    </row>
    <row r="91" spans="2:37" x14ac:dyDescent="0.2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01" t="e">
        <f t="shared" si="204"/>
        <v>#DIV/0!</v>
      </c>
      <c r="X91" s="1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16"/>
      <c r="AJ91" s="116"/>
      <c r="AK91" s="116"/>
    </row>
    <row r="92" spans="2:37" x14ac:dyDescent="0.2">
      <c r="B92" s="10" t="s">
        <v>232</v>
      </c>
      <c r="C92" s="134"/>
      <c r="D92" s="134"/>
      <c r="E92" s="134"/>
      <c r="F92" s="134"/>
      <c r="G92" s="134">
        <f t="shared" ref="G92" si="312">G63</f>
        <v>0</v>
      </c>
      <c r="H92" s="134">
        <f t="shared" ref="H92:I92" si="313">H63</f>
        <v>0</v>
      </c>
      <c r="I92" s="134">
        <f t="shared" si="313"/>
        <v>0</v>
      </c>
      <c r="J92" s="134">
        <f t="shared" ref="J92:S92" si="314">J63</f>
        <v>0</v>
      </c>
      <c r="K92" s="134">
        <f t="shared" si="314"/>
        <v>0</v>
      </c>
      <c r="L92" s="134">
        <f t="shared" si="314"/>
        <v>0</v>
      </c>
      <c r="M92" s="134">
        <f t="shared" si="314"/>
        <v>0</v>
      </c>
      <c r="N92" s="134">
        <f t="shared" si="314"/>
        <v>0</v>
      </c>
      <c r="O92" s="134">
        <f t="shared" si="314"/>
        <v>0</v>
      </c>
      <c r="P92" s="134">
        <f t="shared" si="314"/>
        <v>0</v>
      </c>
      <c r="Q92" s="134">
        <f t="shared" si="314"/>
        <v>0</v>
      </c>
      <c r="R92" s="134">
        <f t="shared" si="314"/>
        <v>0</v>
      </c>
      <c r="S92" s="134">
        <f t="shared" si="314"/>
        <v>0</v>
      </c>
      <c r="T92" s="134">
        <f t="shared" ref="T92:U92" si="315">T63</f>
        <v>0</v>
      </c>
      <c r="U92" s="134">
        <f t="shared" si="315"/>
        <v>0</v>
      </c>
      <c r="V92" s="134">
        <f t="shared" ref="V92" si="316">V63</f>
        <v>0</v>
      </c>
      <c r="W92" s="101" t="e">
        <f t="shared" si="204"/>
        <v>#DIV/0!</v>
      </c>
      <c r="X92" s="109"/>
      <c r="Y92" s="134">
        <f t="shared" ref="Y92:AH92" si="317">Y63</f>
        <v>0</v>
      </c>
      <c r="Z92" s="134">
        <f t="shared" si="317"/>
        <v>0</v>
      </c>
      <c r="AA92" s="134">
        <f t="shared" si="317"/>
        <v>0</v>
      </c>
      <c r="AB92" s="134">
        <f t="shared" si="317"/>
        <v>0</v>
      </c>
      <c r="AC92" s="134">
        <f t="shared" si="317"/>
        <v>0</v>
      </c>
      <c r="AD92" s="134">
        <f t="shared" si="317"/>
        <v>0</v>
      </c>
      <c r="AE92" s="134">
        <f t="shared" si="317"/>
        <v>0</v>
      </c>
      <c r="AF92" s="134">
        <f t="shared" si="317"/>
        <v>0</v>
      </c>
      <c r="AG92" s="134">
        <f t="shared" si="317"/>
        <v>0</v>
      </c>
      <c r="AH92" s="134">
        <f t="shared" si="317"/>
        <v>0</v>
      </c>
      <c r="AI92" s="115" t="e">
        <f t="shared" ref="AI92" si="318">((AH92/J92)^(1/($AH$3-$K$1) ))-1</f>
        <v>#DIV/0!</v>
      </c>
      <c r="AJ92" s="21">
        <f t="shared" si="18"/>
        <v>0.01</v>
      </c>
      <c r="AK92" s="123" t="e">
        <f t="shared" si="230"/>
        <v>#DIV/0!</v>
      </c>
    </row>
    <row r="93" spans="2:37" x14ac:dyDescent="0.2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01" t="e">
        <f t="shared" si="204"/>
        <v>#DIV/0!</v>
      </c>
      <c r="X93" s="1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16"/>
      <c r="AJ93" s="114"/>
      <c r="AK93" s="116"/>
    </row>
    <row r="94" spans="2:37" x14ac:dyDescent="0.2">
      <c r="B94" s="10" t="s">
        <v>262</v>
      </c>
      <c r="C94" s="108"/>
      <c r="D94" s="108"/>
      <c r="E94" s="108"/>
      <c r="F94" s="121"/>
      <c r="G94" s="121">
        <f t="shared" ref="G94" si="319">G20+G21</f>
        <v>0</v>
      </c>
      <c r="H94" s="121">
        <f t="shared" ref="H94:I94" si="320">H20+H21</f>
        <v>0</v>
      </c>
      <c r="I94" s="121">
        <f t="shared" si="320"/>
        <v>0</v>
      </c>
      <c r="J94" s="121">
        <f t="shared" ref="J94:S94" si="321">J20+J21</f>
        <v>0</v>
      </c>
      <c r="K94" s="121">
        <f t="shared" si="321"/>
        <v>0</v>
      </c>
      <c r="L94" s="121">
        <f t="shared" si="321"/>
        <v>0</v>
      </c>
      <c r="M94" s="121">
        <f t="shared" si="321"/>
        <v>0</v>
      </c>
      <c r="N94" s="121">
        <f t="shared" si="321"/>
        <v>0</v>
      </c>
      <c r="O94" s="121">
        <f t="shared" si="321"/>
        <v>0</v>
      </c>
      <c r="P94" s="121">
        <f t="shared" si="321"/>
        <v>0</v>
      </c>
      <c r="Q94" s="121">
        <f t="shared" si="321"/>
        <v>0</v>
      </c>
      <c r="R94" s="121">
        <f t="shared" si="321"/>
        <v>0</v>
      </c>
      <c r="S94" s="121">
        <f t="shared" si="321"/>
        <v>0</v>
      </c>
      <c r="T94" s="121">
        <f t="shared" ref="T94:U94" si="322">T20+T21</f>
        <v>0</v>
      </c>
      <c r="U94" s="121">
        <f t="shared" si="322"/>
        <v>0</v>
      </c>
      <c r="V94" s="121">
        <f t="shared" ref="V94" si="323">V20+V21</f>
        <v>0</v>
      </c>
      <c r="W94" s="101" t="e">
        <f t="shared" si="204"/>
        <v>#DIV/0!</v>
      </c>
      <c r="X94" s="109"/>
      <c r="Y94" s="121">
        <f t="shared" ref="Y94:AH94" si="324">Y20+Y21</f>
        <v>0</v>
      </c>
      <c r="Z94" s="121">
        <f t="shared" si="324"/>
        <v>0</v>
      </c>
      <c r="AA94" s="121">
        <f t="shared" si="324"/>
        <v>0</v>
      </c>
      <c r="AB94" s="121">
        <f t="shared" si="324"/>
        <v>0</v>
      </c>
      <c r="AC94" s="121">
        <f t="shared" si="324"/>
        <v>0</v>
      </c>
      <c r="AD94" s="121">
        <f t="shared" si="324"/>
        <v>0</v>
      </c>
      <c r="AE94" s="121">
        <f t="shared" si="324"/>
        <v>0</v>
      </c>
      <c r="AF94" s="121">
        <f t="shared" si="324"/>
        <v>0</v>
      </c>
      <c r="AG94" s="121">
        <f t="shared" si="324"/>
        <v>0</v>
      </c>
      <c r="AH94" s="121">
        <f t="shared" si="324"/>
        <v>0</v>
      </c>
      <c r="AI94" s="115" t="e">
        <f t="shared" ref="AI94:AI99" si="325">((AH94/J94)^(1/($AH$3-$K$1) ))-1</f>
        <v>#DIV/0!</v>
      </c>
      <c r="AJ94" s="21">
        <f t="shared" si="18"/>
        <v>0.01</v>
      </c>
      <c r="AK94" s="123" t="e">
        <f t="shared" si="230"/>
        <v>#DIV/0!</v>
      </c>
    </row>
    <row r="95" spans="2:37" x14ac:dyDescent="0.2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01" t="e">
        <f t="shared" si="204"/>
        <v>#DIV/0!</v>
      </c>
      <c r="X95" s="10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16"/>
      <c r="AJ95" s="114"/>
      <c r="AK95" s="116"/>
    </row>
    <row r="96" spans="2:37" x14ac:dyDescent="0.2">
      <c r="B96" s="10" t="s">
        <v>263</v>
      </c>
      <c r="C96" s="108"/>
      <c r="D96" s="108"/>
      <c r="E96" s="108"/>
      <c r="F96" s="121"/>
      <c r="G96" s="121">
        <f t="shared" ref="G96" si="326">G94/G61</f>
        <v>0</v>
      </c>
      <c r="H96" s="121" t="e">
        <f t="shared" ref="H96:I96" si="327">H94/H61</f>
        <v>#DIV/0!</v>
      </c>
      <c r="I96" s="121" t="e">
        <f t="shared" si="327"/>
        <v>#DIV/0!</v>
      </c>
      <c r="J96" s="121" t="e">
        <f t="shared" ref="J96:S96" si="328">J94/J61</f>
        <v>#DIV/0!</v>
      </c>
      <c r="K96" s="121" t="e">
        <f t="shared" si="328"/>
        <v>#DIV/0!</v>
      </c>
      <c r="L96" s="121" t="e">
        <f t="shared" si="328"/>
        <v>#DIV/0!</v>
      </c>
      <c r="M96" s="121" t="e">
        <f t="shared" si="328"/>
        <v>#DIV/0!</v>
      </c>
      <c r="N96" s="121" t="e">
        <f t="shared" si="328"/>
        <v>#DIV/0!</v>
      </c>
      <c r="O96" s="121" t="e">
        <f t="shared" si="328"/>
        <v>#DIV/0!</v>
      </c>
      <c r="P96" s="121" t="e">
        <f t="shared" si="328"/>
        <v>#DIV/0!</v>
      </c>
      <c r="Q96" s="121" t="e">
        <f t="shared" si="328"/>
        <v>#DIV/0!</v>
      </c>
      <c r="R96" s="121" t="e">
        <f t="shared" si="328"/>
        <v>#DIV/0!</v>
      </c>
      <c r="S96" s="121">
        <f t="shared" si="328"/>
        <v>0</v>
      </c>
      <c r="T96" s="121">
        <f t="shared" ref="T96:U96" si="329">T94/T61</f>
        <v>0</v>
      </c>
      <c r="U96" s="121">
        <f t="shared" si="329"/>
        <v>0</v>
      </c>
      <c r="V96" s="121">
        <f t="shared" ref="V96" si="330">V94/V61</f>
        <v>0</v>
      </c>
      <c r="W96" s="101" t="e">
        <f t="shared" si="204"/>
        <v>#DIV/0!</v>
      </c>
      <c r="X96" s="109"/>
      <c r="Y96" s="123">
        <f t="shared" ref="Y96:AH96" si="331">Y94/Y61</f>
        <v>0</v>
      </c>
      <c r="Z96" s="123">
        <f t="shared" si="331"/>
        <v>0</v>
      </c>
      <c r="AA96" s="123">
        <f t="shared" si="331"/>
        <v>0</v>
      </c>
      <c r="AB96" s="123">
        <f t="shared" si="331"/>
        <v>0</v>
      </c>
      <c r="AC96" s="123">
        <f t="shared" si="331"/>
        <v>0</v>
      </c>
      <c r="AD96" s="123">
        <f t="shared" si="331"/>
        <v>0</v>
      </c>
      <c r="AE96" s="123">
        <f t="shared" si="331"/>
        <v>0</v>
      </c>
      <c r="AF96" s="123">
        <f t="shared" si="331"/>
        <v>0</v>
      </c>
      <c r="AG96" s="123">
        <f t="shared" si="331"/>
        <v>0</v>
      </c>
      <c r="AH96" s="123">
        <f t="shared" si="331"/>
        <v>0</v>
      </c>
      <c r="AI96" s="115" t="e">
        <f t="shared" si="325"/>
        <v>#DIV/0!</v>
      </c>
      <c r="AJ96" s="21">
        <f t="shared" si="18"/>
        <v>0.01</v>
      </c>
      <c r="AK96" s="123" t="e">
        <f t="shared" si="230"/>
        <v>#DIV/0!</v>
      </c>
    </row>
    <row r="97" spans="2:37" x14ac:dyDescent="0.2">
      <c r="B97" s="10" t="s">
        <v>236</v>
      </c>
      <c r="C97" s="108"/>
      <c r="D97" s="108"/>
      <c r="E97" s="108"/>
      <c r="F97" s="121"/>
      <c r="G97" s="121">
        <f t="shared" ref="G97" si="332">G20/G61</f>
        <v>0</v>
      </c>
      <c r="H97" s="121" t="e">
        <f t="shared" ref="H97:I97" si="333">H20/H61</f>
        <v>#DIV/0!</v>
      </c>
      <c r="I97" s="121" t="e">
        <f t="shared" si="333"/>
        <v>#DIV/0!</v>
      </c>
      <c r="J97" s="121" t="e">
        <f t="shared" ref="J97:S97" si="334">J20/J61</f>
        <v>#DIV/0!</v>
      </c>
      <c r="K97" s="121" t="e">
        <f t="shared" si="334"/>
        <v>#DIV/0!</v>
      </c>
      <c r="L97" s="121" t="e">
        <f t="shared" si="334"/>
        <v>#DIV/0!</v>
      </c>
      <c r="M97" s="121" t="e">
        <f t="shared" si="334"/>
        <v>#DIV/0!</v>
      </c>
      <c r="N97" s="121" t="e">
        <f t="shared" si="334"/>
        <v>#DIV/0!</v>
      </c>
      <c r="O97" s="121" t="e">
        <f t="shared" si="334"/>
        <v>#DIV/0!</v>
      </c>
      <c r="P97" s="121" t="e">
        <f t="shared" si="334"/>
        <v>#DIV/0!</v>
      </c>
      <c r="Q97" s="121" t="e">
        <f t="shared" si="334"/>
        <v>#DIV/0!</v>
      </c>
      <c r="R97" s="121" t="e">
        <f t="shared" si="334"/>
        <v>#DIV/0!</v>
      </c>
      <c r="S97" s="121">
        <f t="shared" si="334"/>
        <v>0</v>
      </c>
      <c r="T97" s="121">
        <f t="shared" ref="T97:U97" si="335">T20/T61</f>
        <v>0</v>
      </c>
      <c r="U97" s="121">
        <f t="shared" si="335"/>
        <v>0</v>
      </c>
      <c r="V97" s="121">
        <f t="shared" ref="V97" si="336">V20/V61</f>
        <v>0</v>
      </c>
      <c r="W97" s="101" t="e">
        <f t="shared" si="204"/>
        <v>#DIV/0!</v>
      </c>
      <c r="X97" s="109"/>
      <c r="Y97" s="123">
        <f t="shared" ref="Y97:AH97" si="337">Y20/Y61</f>
        <v>0</v>
      </c>
      <c r="Z97" s="123">
        <f t="shared" si="337"/>
        <v>0</v>
      </c>
      <c r="AA97" s="123">
        <f t="shared" si="337"/>
        <v>0</v>
      </c>
      <c r="AB97" s="123">
        <f t="shared" si="337"/>
        <v>0</v>
      </c>
      <c r="AC97" s="123">
        <f t="shared" si="337"/>
        <v>0</v>
      </c>
      <c r="AD97" s="123">
        <f t="shared" si="337"/>
        <v>0</v>
      </c>
      <c r="AE97" s="123">
        <f t="shared" si="337"/>
        <v>0</v>
      </c>
      <c r="AF97" s="123">
        <f t="shared" si="337"/>
        <v>0</v>
      </c>
      <c r="AG97" s="123">
        <f t="shared" si="337"/>
        <v>0</v>
      </c>
      <c r="AH97" s="123">
        <f t="shared" si="337"/>
        <v>0</v>
      </c>
      <c r="AI97" s="115" t="e">
        <f t="shared" si="325"/>
        <v>#DIV/0!</v>
      </c>
      <c r="AJ97" s="21">
        <f t="shared" si="18"/>
        <v>0.01</v>
      </c>
      <c r="AK97" s="123" t="e">
        <f t="shared" si="230"/>
        <v>#DIV/0!</v>
      </c>
    </row>
    <row r="98" spans="2:37" x14ac:dyDescent="0.2">
      <c r="B98" s="10" t="s">
        <v>237</v>
      </c>
      <c r="C98" s="108"/>
      <c r="D98" s="108"/>
      <c r="E98" s="108"/>
      <c r="F98" s="121"/>
      <c r="G98" s="121">
        <f t="shared" ref="G98" si="338">G21/G61</f>
        <v>0</v>
      </c>
      <c r="H98" s="121" t="e">
        <f t="shared" ref="H98:I98" si="339">H21/H61</f>
        <v>#DIV/0!</v>
      </c>
      <c r="I98" s="121" t="e">
        <f t="shared" si="339"/>
        <v>#DIV/0!</v>
      </c>
      <c r="J98" s="121" t="e">
        <f t="shared" ref="J98:S98" si="340">J21/J61</f>
        <v>#DIV/0!</v>
      </c>
      <c r="K98" s="121" t="e">
        <f t="shared" si="340"/>
        <v>#DIV/0!</v>
      </c>
      <c r="L98" s="121" t="e">
        <f t="shared" si="340"/>
        <v>#DIV/0!</v>
      </c>
      <c r="M98" s="121" t="e">
        <f t="shared" si="340"/>
        <v>#DIV/0!</v>
      </c>
      <c r="N98" s="121" t="e">
        <f t="shared" si="340"/>
        <v>#DIV/0!</v>
      </c>
      <c r="O98" s="121" t="e">
        <f t="shared" si="340"/>
        <v>#DIV/0!</v>
      </c>
      <c r="P98" s="121" t="e">
        <f t="shared" si="340"/>
        <v>#DIV/0!</v>
      </c>
      <c r="Q98" s="121" t="e">
        <f t="shared" si="340"/>
        <v>#DIV/0!</v>
      </c>
      <c r="R98" s="121" t="e">
        <f t="shared" si="340"/>
        <v>#DIV/0!</v>
      </c>
      <c r="S98" s="121">
        <f t="shared" si="340"/>
        <v>0</v>
      </c>
      <c r="T98" s="121">
        <f t="shared" ref="T98:U98" si="341">T21/T61</f>
        <v>0</v>
      </c>
      <c r="U98" s="121">
        <f t="shared" si="341"/>
        <v>0</v>
      </c>
      <c r="V98" s="121">
        <f t="shared" ref="V98" si="342">V21/V61</f>
        <v>0</v>
      </c>
      <c r="W98" s="101" t="e">
        <f t="shared" si="204"/>
        <v>#DIV/0!</v>
      </c>
      <c r="X98" s="109"/>
      <c r="Y98" s="123">
        <f t="shared" ref="Y98:AH98" si="343">Y21/Y61</f>
        <v>0</v>
      </c>
      <c r="Z98" s="123">
        <f t="shared" si="343"/>
        <v>0</v>
      </c>
      <c r="AA98" s="123">
        <f t="shared" si="343"/>
        <v>0</v>
      </c>
      <c r="AB98" s="123">
        <f t="shared" si="343"/>
        <v>0</v>
      </c>
      <c r="AC98" s="123">
        <f t="shared" si="343"/>
        <v>0</v>
      </c>
      <c r="AD98" s="123">
        <f t="shared" si="343"/>
        <v>0</v>
      </c>
      <c r="AE98" s="123">
        <f t="shared" si="343"/>
        <v>0</v>
      </c>
      <c r="AF98" s="123">
        <f t="shared" si="343"/>
        <v>0</v>
      </c>
      <c r="AG98" s="123">
        <f t="shared" si="343"/>
        <v>0</v>
      </c>
      <c r="AH98" s="123">
        <f t="shared" si="343"/>
        <v>0</v>
      </c>
      <c r="AI98" s="115" t="e">
        <f t="shared" si="325"/>
        <v>#DIV/0!</v>
      </c>
      <c r="AJ98" s="21">
        <f t="shared" si="18"/>
        <v>0.01</v>
      </c>
      <c r="AK98" s="123" t="e">
        <f t="shared" si="230"/>
        <v>#DIV/0!</v>
      </c>
    </row>
    <row r="99" spans="2:37" x14ac:dyDescent="0.2">
      <c r="B99" s="10" t="s">
        <v>238</v>
      </c>
      <c r="C99" s="108"/>
      <c r="D99" s="108"/>
      <c r="E99" s="108"/>
      <c r="F99" s="121"/>
      <c r="G99" s="121">
        <f t="shared" ref="G99" si="344">G22/G61</f>
        <v>0</v>
      </c>
      <c r="H99" s="121" t="e">
        <f t="shared" ref="H99:I99" si="345">H22/H61</f>
        <v>#DIV/0!</v>
      </c>
      <c r="I99" s="121" t="e">
        <f t="shared" si="345"/>
        <v>#DIV/0!</v>
      </c>
      <c r="J99" s="121" t="e">
        <f t="shared" ref="J99:S99" si="346">J22/J61</f>
        <v>#DIV/0!</v>
      </c>
      <c r="K99" s="121" t="e">
        <f t="shared" si="346"/>
        <v>#DIV/0!</v>
      </c>
      <c r="L99" s="121" t="e">
        <f t="shared" si="346"/>
        <v>#DIV/0!</v>
      </c>
      <c r="M99" s="121" t="e">
        <f t="shared" si="346"/>
        <v>#DIV/0!</v>
      </c>
      <c r="N99" s="121" t="e">
        <f t="shared" si="346"/>
        <v>#DIV/0!</v>
      </c>
      <c r="O99" s="121" t="e">
        <f t="shared" si="346"/>
        <v>#DIV/0!</v>
      </c>
      <c r="P99" s="121" t="e">
        <f t="shared" si="346"/>
        <v>#DIV/0!</v>
      </c>
      <c r="Q99" s="121" t="e">
        <f t="shared" si="346"/>
        <v>#DIV/0!</v>
      </c>
      <c r="R99" s="121" t="e">
        <f t="shared" si="346"/>
        <v>#DIV/0!</v>
      </c>
      <c r="S99" s="121">
        <f t="shared" si="346"/>
        <v>0</v>
      </c>
      <c r="T99" s="121">
        <f t="shared" ref="T99:U99" si="347">T22/T61</f>
        <v>0</v>
      </c>
      <c r="U99" s="121">
        <f t="shared" si="347"/>
        <v>0</v>
      </c>
      <c r="V99" s="121">
        <f t="shared" ref="V99" si="348">V22/V61</f>
        <v>0</v>
      </c>
      <c r="W99" s="101" t="e">
        <f t="shared" si="204"/>
        <v>#DIV/0!</v>
      </c>
      <c r="X99" s="109"/>
      <c r="Y99" s="123">
        <f t="shared" ref="Y99:AH99" si="349">Y22/Y61</f>
        <v>0</v>
      </c>
      <c r="Z99" s="123">
        <f t="shared" si="349"/>
        <v>0</v>
      </c>
      <c r="AA99" s="123">
        <f t="shared" si="349"/>
        <v>0</v>
      </c>
      <c r="AB99" s="123">
        <f t="shared" si="349"/>
        <v>0</v>
      </c>
      <c r="AC99" s="123">
        <f t="shared" si="349"/>
        <v>0</v>
      </c>
      <c r="AD99" s="123">
        <f t="shared" si="349"/>
        <v>0</v>
      </c>
      <c r="AE99" s="123">
        <f t="shared" si="349"/>
        <v>0</v>
      </c>
      <c r="AF99" s="123">
        <f t="shared" si="349"/>
        <v>0</v>
      </c>
      <c r="AG99" s="123">
        <f t="shared" si="349"/>
        <v>0</v>
      </c>
      <c r="AH99" s="123">
        <f t="shared" si="349"/>
        <v>0</v>
      </c>
      <c r="AI99" s="115" t="e">
        <f t="shared" si="325"/>
        <v>#DIV/0!</v>
      </c>
      <c r="AJ99" s="21">
        <f t="shared" si="18"/>
        <v>0.01</v>
      </c>
      <c r="AK99" s="123" t="e">
        <f t="shared" si="230"/>
        <v>#DIV/0!</v>
      </c>
    </row>
    <row r="100" spans="2:37" x14ac:dyDescent="0.2">
      <c r="B100" s="10" t="s">
        <v>245</v>
      </c>
      <c r="C100" s="108"/>
      <c r="D100" s="108"/>
      <c r="E100" s="108"/>
      <c r="F100" s="121"/>
      <c r="G100" s="121">
        <f t="shared" ref="G100" si="350">G23/G61</f>
        <v>0</v>
      </c>
      <c r="H100" s="121" t="e">
        <f t="shared" ref="H100:I100" si="351">H23/H61</f>
        <v>#DIV/0!</v>
      </c>
      <c r="I100" s="121" t="e">
        <f t="shared" si="351"/>
        <v>#DIV/0!</v>
      </c>
      <c r="J100" s="121" t="e">
        <f t="shared" ref="J100:S100" si="352">J23/J61</f>
        <v>#DIV/0!</v>
      </c>
      <c r="K100" s="121" t="e">
        <f t="shared" si="352"/>
        <v>#DIV/0!</v>
      </c>
      <c r="L100" s="121" t="e">
        <f t="shared" si="352"/>
        <v>#DIV/0!</v>
      </c>
      <c r="M100" s="121" t="e">
        <f t="shared" si="352"/>
        <v>#DIV/0!</v>
      </c>
      <c r="N100" s="121" t="e">
        <f t="shared" si="352"/>
        <v>#DIV/0!</v>
      </c>
      <c r="O100" s="121" t="e">
        <f t="shared" si="352"/>
        <v>#DIV/0!</v>
      </c>
      <c r="P100" s="121" t="e">
        <f t="shared" si="352"/>
        <v>#DIV/0!</v>
      </c>
      <c r="Q100" s="121" t="e">
        <f t="shared" si="352"/>
        <v>#DIV/0!</v>
      </c>
      <c r="R100" s="121" t="e">
        <f t="shared" si="352"/>
        <v>#DIV/0!</v>
      </c>
      <c r="S100" s="121">
        <f t="shared" si="352"/>
        <v>0</v>
      </c>
      <c r="T100" s="121">
        <f t="shared" ref="T100:U100" si="353">T23/T61</f>
        <v>0</v>
      </c>
      <c r="U100" s="121">
        <f t="shared" si="353"/>
        <v>0</v>
      </c>
      <c r="V100" s="121">
        <f t="shared" ref="V100" si="354">V23/V61</f>
        <v>0</v>
      </c>
      <c r="W100" s="101" t="e">
        <f t="shared" si="204"/>
        <v>#DIV/0!</v>
      </c>
      <c r="X100" s="109"/>
      <c r="Y100" s="123">
        <f t="shared" ref="Y100:AH100" si="355">Y23/Y61</f>
        <v>0</v>
      </c>
      <c r="Z100" s="123">
        <f t="shared" si="355"/>
        <v>0</v>
      </c>
      <c r="AA100" s="123">
        <f t="shared" si="355"/>
        <v>0</v>
      </c>
      <c r="AB100" s="123">
        <f t="shared" si="355"/>
        <v>0</v>
      </c>
      <c r="AC100" s="123">
        <f t="shared" si="355"/>
        <v>0</v>
      </c>
      <c r="AD100" s="123">
        <f t="shared" si="355"/>
        <v>0</v>
      </c>
      <c r="AE100" s="123">
        <f t="shared" si="355"/>
        <v>0</v>
      </c>
      <c r="AF100" s="123">
        <f t="shared" si="355"/>
        <v>0</v>
      </c>
      <c r="AG100" s="123">
        <f t="shared" si="355"/>
        <v>0</v>
      </c>
      <c r="AH100" s="123">
        <f t="shared" si="355"/>
        <v>0</v>
      </c>
      <c r="AI100" s="115" t="e">
        <f t="shared" ref="AI100" si="356">((AH100/J100)^(1/($AH$3-$K$1) ))-1</f>
        <v>#DIV/0!</v>
      </c>
      <c r="AJ100" s="21">
        <f t="shared" si="18"/>
        <v>0.01</v>
      </c>
      <c r="AK100" s="123" t="e">
        <f t="shared" si="230"/>
        <v>#DIV/0!</v>
      </c>
    </row>
    <row r="101" spans="2:37" x14ac:dyDescent="0.2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01" t="e">
        <f t="shared" si="204"/>
        <v>#DIV/0!</v>
      </c>
      <c r="X101" s="10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16"/>
      <c r="AJ101" s="114"/>
      <c r="AK101" s="116"/>
    </row>
    <row r="102" spans="2:37" x14ac:dyDescent="0.2">
      <c r="B102" s="10" t="s">
        <v>429</v>
      </c>
      <c r="C102" s="121"/>
      <c r="D102" s="121"/>
      <c r="E102" s="121"/>
      <c r="F102" s="121"/>
      <c r="G102" s="121">
        <f t="shared" ref="G102" si="357">G53/G61</f>
        <v>0</v>
      </c>
      <c r="H102" s="121" t="e">
        <f t="shared" ref="H102:I102" si="358">H53/H61</f>
        <v>#DIV/0!</v>
      </c>
      <c r="I102" s="121" t="e">
        <f t="shared" si="358"/>
        <v>#DIV/0!</v>
      </c>
      <c r="J102" s="121" t="e">
        <f t="shared" ref="J102:S102" si="359">J53/J61</f>
        <v>#DIV/0!</v>
      </c>
      <c r="K102" s="121" t="e">
        <f t="shared" si="359"/>
        <v>#DIV/0!</v>
      </c>
      <c r="L102" s="121" t="e">
        <f t="shared" si="359"/>
        <v>#DIV/0!</v>
      </c>
      <c r="M102" s="121" t="e">
        <f t="shared" si="359"/>
        <v>#DIV/0!</v>
      </c>
      <c r="N102" s="121" t="e">
        <f t="shared" si="359"/>
        <v>#DIV/0!</v>
      </c>
      <c r="O102" s="121" t="e">
        <f t="shared" si="359"/>
        <v>#DIV/0!</v>
      </c>
      <c r="P102" s="121" t="e">
        <f t="shared" si="359"/>
        <v>#DIV/0!</v>
      </c>
      <c r="Q102" s="121" t="e">
        <f t="shared" si="359"/>
        <v>#DIV/0!</v>
      </c>
      <c r="R102" s="121" t="e">
        <f t="shared" si="359"/>
        <v>#DIV/0!</v>
      </c>
      <c r="S102" s="121">
        <f t="shared" si="359"/>
        <v>0</v>
      </c>
      <c r="T102" s="121">
        <f t="shared" ref="T102:U102" si="360">T53/T61</f>
        <v>0</v>
      </c>
      <c r="U102" s="121">
        <f t="shared" si="360"/>
        <v>0</v>
      </c>
      <c r="V102" s="121">
        <f t="shared" ref="V102" si="361">V53/V61</f>
        <v>0</v>
      </c>
      <c r="W102" s="101" t="e">
        <f t="shared" si="204"/>
        <v>#DIV/0!</v>
      </c>
      <c r="X102" s="109"/>
      <c r="Y102" s="121">
        <f t="shared" ref="Y102:AH102" si="362">Y53/Y61</f>
        <v>0</v>
      </c>
      <c r="Z102" s="121">
        <f t="shared" si="362"/>
        <v>0</v>
      </c>
      <c r="AA102" s="121">
        <f t="shared" si="362"/>
        <v>0</v>
      </c>
      <c r="AB102" s="121">
        <f t="shared" si="362"/>
        <v>0</v>
      </c>
      <c r="AC102" s="121">
        <f t="shared" si="362"/>
        <v>0</v>
      </c>
      <c r="AD102" s="121">
        <f t="shared" si="362"/>
        <v>0</v>
      </c>
      <c r="AE102" s="121">
        <f t="shared" si="362"/>
        <v>0</v>
      </c>
      <c r="AF102" s="121">
        <f t="shared" si="362"/>
        <v>0</v>
      </c>
      <c r="AG102" s="121">
        <f t="shared" si="362"/>
        <v>0</v>
      </c>
      <c r="AH102" s="121">
        <f t="shared" si="362"/>
        <v>0</v>
      </c>
      <c r="AI102" s="115" t="e">
        <f t="shared" ref="AI102:AI104" si="363">((AH102/J102)^(1/($AH$3-$K$1) ))-1</f>
        <v>#DIV/0!</v>
      </c>
      <c r="AJ102" s="21">
        <f t="shared" si="18"/>
        <v>0.01</v>
      </c>
      <c r="AK102" s="123" t="e">
        <f t="shared" si="230"/>
        <v>#DIV/0!</v>
      </c>
    </row>
    <row r="103" spans="2:37" x14ac:dyDescent="0.2">
      <c r="B103" s="10" t="s">
        <v>430</v>
      </c>
      <c r="C103" s="121"/>
      <c r="D103" s="121"/>
      <c r="E103" s="121"/>
      <c r="F103" s="121"/>
      <c r="G103" s="121">
        <f t="shared" ref="G103" si="364">G59/G61</f>
        <v>1.3746312684365782</v>
      </c>
      <c r="H103" s="121" t="e">
        <f t="shared" ref="H103:I103" si="365">H59/H61</f>
        <v>#DIV/0!</v>
      </c>
      <c r="I103" s="121" t="e">
        <f t="shared" si="365"/>
        <v>#DIV/0!</v>
      </c>
      <c r="J103" s="121" t="e">
        <f t="shared" ref="J103:S103" si="366">J59/J61</f>
        <v>#DIV/0!</v>
      </c>
      <c r="K103" s="121" t="e">
        <f t="shared" si="366"/>
        <v>#DIV/0!</v>
      </c>
      <c r="L103" s="121" t="e">
        <f t="shared" si="366"/>
        <v>#DIV/0!</v>
      </c>
      <c r="M103" s="121" t="e">
        <f t="shared" si="366"/>
        <v>#DIV/0!</v>
      </c>
      <c r="N103" s="121" t="e">
        <f t="shared" si="366"/>
        <v>#DIV/0!</v>
      </c>
      <c r="O103" s="121" t="e">
        <f t="shared" si="366"/>
        <v>#DIV/0!</v>
      </c>
      <c r="P103" s="121" t="e">
        <f t="shared" si="366"/>
        <v>#DIV/0!</v>
      </c>
      <c r="Q103" s="121" t="e">
        <f t="shared" si="366"/>
        <v>#DIV/0!</v>
      </c>
      <c r="R103" s="121" t="e">
        <f t="shared" si="366"/>
        <v>#DIV/0!</v>
      </c>
      <c r="S103" s="121">
        <f t="shared" si="366"/>
        <v>1.3746312684365782</v>
      </c>
      <c r="T103" s="121">
        <f t="shared" ref="T103:U103" si="367">T59/T61</f>
        <v>3.0058997050147491</v>
      </c>
      <c r="U103" s="121">
        <f t="shared" si="367"/>
        <v>2.5929203539823007</v>
      </c>
      <c r="V103" s="121">
        <f t="shared" ref="V103" si="368">V59/V61</f>
        <v>-3.989539748953975</v>
      </c>
      <c r="W103" s="101">
        <f t="shared" si="204"/>
        <v>-2.4264137808323882</v>
      </c>
      <c r="X103" s="109"/>
      <c r="Y103" s="121">
        <f t="shared" ref="Y103:AH103" si="369">Y59/Y61</f>
        <v>2.923390595176123</v>
      </c>
      <c r="Z103" s="121">
        <f t="shared" si="369"/>
        <v>3.2959795926005304</v>
      </c>
      <c r="AA103" s="121">
        <f t="shared" si="369"/>
        <v>3.7160554230300091</v>
      </c>
      <c r="AB103" s="121">
        <f t="shared" si="369"/>
        <v>4.1896703298867752</v>
      </c>
      <c r="AC103" s="121">
        <f t="shared" si="369"/>
        <v>4.7236479209507749</v>
      </c>
      <c r="AD103" s="121">
        <f t="shared" si="369"/>
        <v>5.3256814795033245</v>
      </c>
      <c r="AE103" s="121">
        <f t="shared" si="369"/>
        <v>6.0044448053223753</v>
      </c>
      <c r="AF103" s="121">
        <f t="shared" si="369"/>
        <v>6.7697171824713047</v>
      </c>
      <c r="AG103" s="121">
        <f t="shared" si="369"/>
        <v>7.6325242743549016</v>
      </c>
      <c r="AH103" s="121">
        <f t="shared" si="369"/>
        <v>8.6052969759883684</v>
      </c>
      <c r="AI103" s="115" t="e">
        <f t="shared" si="363"/>
        <v>#DIV/0!</v>
      </c>
      <c r="AJ103" s="21">
        <f t="shared" si="18"/>
        <v>0.01</v>
      </c>
      <c r="AK103" s="123" t="e">
        <f t="shared" si="230"/>
        <v>#DIV/0!</v>
      </c>
    </row>
    <row r="104" spans="2:37" x14ac:dyDescent="0.2">
      <c r="B104" s="10" t="s">
        <v>259</v>
      </c>
      <c r="C104" s="121"/>
      <c r="D104" s="121"/>
      <c r="E104" s="121"/>
      <c r="F104" s="121"/>
      <c r="G104" s="121">
        <f t="shared" ref="G104" si="370">G6/G61</f>
        <v>30.196489675516226</v>
      </c>
      <c r="H104" s="121" t="e">
        <f t="shared" ref="H104:I104" si="371">H6/H61</f>
        <v>#DIV/0!</v>
      </c>
      <c r="I104" s="121" t="e">
        <f t="shared" si="371"/>
        <v>#DIV/0!</v>
      </c>
      <c r="J104" s="121" t="e">
        <f t="shared" ref="J104:S104" si="372">J6/J61</f>
        <v>#DIV/0!</v>
      </c>
      <c r="K104" s="121" t="e">
        <f t="shared" si="372"/>
        <v>#DIV/0!</v>
      </c>
      <c r="L104" s="121" t="e">
        <f t="shared" si="372"/>
        <v>#DIV/0!</v>
      </c>
      <c r="M104" s="121" t="e">
        <f t="shared" si="372"/>
        <v>#DIV/0!</v>
      </c>
      <c r="N104" s="121" t="e">
        <f t="shared" si="372"/>
        <v>#DIV/0!</v>
      </c>
      <c r="O104" s="121" t="e">
        <f t="shared" si="372"/>
        <v>#DIV/0!</v>
      </c>
      <c r="P104" s="121" t="e">
        <f t="shared" si="372"/>
        <v>#DIV/0!</v>
      </c>
      <c r="Q104" s="121" t="e">
        <f t="shared" si="372"/>
        <v>#DIV/0!</v>
      </c>
      <c r="R104" s="121" t="e">
        <f t="shared" si="372"/>
        <v>#DIV/0!</v>
      </c>
      <c r="S104" s="121">
        <f t="shared" si="372"/>
        <v>30.196489675516226</v>
      </c>
      <c r="T104" s="121">
        <f t="shared" ref="T104:U104" si="373">T6/T61</f>
        <v>33.268348082595871</v>
      </c>
      <c r="U104" s="121">
        <f t="shared" si="373"/>
        <v>35.014749262536874</v>
      </c>
      <c r="V104" s="121">
        <f t="shared" ref="V104" si="374">V6/V61</f>
        <v>28.069037656903767</v>
      </c>
      <c r="W104" s="101">
        <f t="shared" si="204"/>
        <v>-2.405872021979949E-2</v>
      </c>
      <c r="X104" s="109"/>
      <c r="Y104" s="121">
        <f t="shared" ref="Y104:AH104" si="375">Y6/Y61</f>
        <v>39.47741338423274</v>
      </c>
      <c r="Z104" s="121">
        <f t="shared" si="375"/>
        <v>44.508848423399655</v>
      </c>
      <c r="AA104" s="121">
        <f t="shared" si="375"/>
        <v>50.181544791087838</v>
      </c>
      <c r="AB104" s="121">
        <f t="shared" si="375"/>
        <v>56.577231872304914</v>
      </c>
      <c r="AC104" s="121">
        <f t="shared" si="375"/>
        <v>63.788055542304562</v>
      </c>
      <c r="AD104" s="121">
        <f t="shared" si="375"/>
        <v>71.917905758480629</v>
      </c>
      <c r="AE104" s="121">
        <f t="shared" si="375"/>
        <v>81.083913355149718</v>
      </c>
      <c r="AF104" s="121">
        <f t="shared" si="375"/>
        <v>91.418137606296241</v>
      </c>
      <c r="AG104" s="121">
        <f t="shared" si="375"/>
        <v>103.06946886984379</v>
      </c>
      <c r="AH104" s="121">
        <f t="shared" si="375"/>
        <v>116.20577372580426</v>
      </c>
      <c r="AI104" s="115" t="e">
        <f t="shared" si="363"/>
        <v>#DIV/0!</v>
      </c>
      <c r="AJ104" s="21">
        <f t="shared" ref="AJ104:AJ106" si="376">$O$1</f>
        <v>0.01</v>
      </c>
      <c r="AK104" s="123" t="e">
        <f t="shared" si="230"/>
        <v>#DIV/0!</v>
      </c>
    </row>
    <row r="105" spans="2:37" x14ac:dyDescent="0.2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01" t="e">
        <f t="shared" si="204"/>
        <v>#DIV/0!</v>
      </c>
      <c r="X105" s="10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16"/>
      <c r="AJ105" s="10"/>
      <c r="AK105" s="116"/>
    </row>
    <row r="106" spans="2:37" x14ac:dyDescent="0.2">
      <c r="B106" s="10" t="s">
        <v>406</v>
      </c>
      <c r="C106" s="108"/>
      <c r="D106" s="108"/>
      <c r="E106" s="108"/>
      <c r="F106" s="121"/>
      <c r="G106" s="121">
        <f t="shared" ref="G106:U106" si="377">G59/$V$61</f>
        <v>0.97489539748953979</v>
      </c>
      <c r="H106" s="121">
        <f t="shared" si="377"/>
        <v>0</v>
      </c>
      <c r="I106" s="121">
        <f t="shared" si="377"/>
        <v>0</v>
      </c>
      <c r="J106" s="121">
        <f t="shared" si="377"/>
        <v>0</v>
      </c>
      <c r="K106" s="121">
        <f t="shared" si="377"/>
        <v>0</v>
      </c>
      <c r="L106" s="121">
        <f t="shared" si="377"/>
        <v>0</v>
      </c>
      <c r="M106" s="121">
        <f t="shared" si="377"/>
        <v>0</v>
      </c>
      <c r="N106" s="121">
        <f t="shared" si="377"/>
        <v>0</v>
      </c>
      <c r="O106" s="121">
        <f t="shared" si="377"/>
        <v>0</v>
      </c>
      <c r="P106" s="121">
        <f t="shared" si="377"/>
        <v>0</v>
      </c>
      <c r="Q106" s="121">
        <f t="shared" si="377"/>
        <v>0</v>
      </c>
      <c r="R106" s="121">
        <f t="shared" si="377"/>
        <v>0</v>
      </c>
      <c r="S106" s="121">
        <f t="shared" si="377"/>
        <v>0.97489539748953979</v>
      </c>
      <c r="T106" s="121">
        <f t="shared" si="377"/>
        <v>2.1317991631799162</v>
      </c>
      <c r="U106" s="121">
        <f t="shared" si="377"/>
        <v>1.8389121338912133</v>
      </c>
      <c r="V106" s="121">
        <f>V59/$V$61</f>
        <v>-3.989539748953975</v>
      </c>
      <c r="W106" s="101">
        <f t="shared" si="204"/>
        <v>-2.5995147849146045</v>
      </c>
      <c r="X106" s="109"/>
      <c r="Y106" s="121">
        <f t="shared" ref="Y106:AH106" si="378">Y59/Y61</f>
        <v>2.923390595176123</v>
      </c>
      <c r="Z106" s="121">
        <f t="shared" si="378"/>
        <v>3.2959795926005304</v>
      </c>
      <c r="AA106" s="121">
        <f t="shared" si="378"/>
        <v>3.7160554230300091</v>
      </c>
      <c r="AB106" s="121">
        <f t="shared" si="378"/>
        <v>4.1896703298867752</v>
      </c>
      <c r="AC106" s="121">
        <f t="shared" si="378"/>
        <v>4.7236479209507749</v>
      </c>
      <c r="AD106" s="121">
        <f t="shared" si="378"/>
        <v>5.3256814795033245</v>
      </c>
      <c r="AE106" s="121">
        <f t="shared" si="378"/>
        <v>6.0044448053223753</v>
      </c>
      <c r="AF106" s="121">
        <f t="shared" si="378"/>
        <v>6.7697171824713047</v>
      </c>
      <c r="AG106" s="121">
        <f t="shared" si="378"/>
        <v>7.6325242743549016</v>
      </c>
      <c r="AH106" s="121">
        <f t="shared" si="378"/>
        <v>8.6052969759883684</v>
      </c>
      <c r="AI106" s="115" t="e">
        <f t="shared" ref="AI106" si="379">((AH106/J106)^(1/($AH$3-$K$1) ))-1</f>
        <v>#DIV/0!</v>
      </c>
      <c r="AJ106" s="21">
        <f t="shared" si="376"/>
        <v>0.01</v>
      </c>
      <c r="AK106" s="123" t="e">
        <f t="shared" si="230"/>
        <v>#DIV/0!</v>
      </c>
    </row>
    <row r="107" spans="2:37" x14ac:dyDescent="0.2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01" t="e">
        <f t="shared" si="204"/>
        <v>#DIV/0!</v>
      </c>
      <c r="X107" s="10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16"/>
      <c r="AJ107" s="10"/>
      <c r="AK107" s="116"/>
    </row>
    <row r="108" spans="2:37" x14ac:dyDescent="0.2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21"/>
      <c r="W108" s="101" t="e">
        <f t="shared" si="204"/>
        <v>#DIV/0!</v>
      </c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16"/>
    </row>
    <row r="109" spans="2:37" x14ac:dyDescent="0.2">
      <c r="B109" s="10" t="s">
        <v>257</v>
      </c>
      <c r="C109" s="128"/>
      <c r="D109" s="128"/>
      <c r="E109" s="128"/>
      <c r="F109" s="128"/>
      <c r="G109" s="128">
        <f t="shared" ref="G109" si="380">G53/G25</f>
        <v>0</v>
      </c>
      <c r="H109" s="128" t="e">
        <f t="shared" ref="H109:I109" si="381">H53/H25</f>
        <v>#DIV/0!</v>
      </c>
      <c r="I109" s="128" t="e">
        <f t="shared" si="381"/>
        <v>#DIV/0!</v>
      </c>
      <c r="J109" s="128" t="e">
        <f t="shared" ref="J109:S109" si="382">J53/J25</f>
        <v>#DIV/0!</v>
      </c>
      <c r="K109" s="128" t="e">
        <f t="shared" si="382"/>
        <v>#DIV/0!</v>
      </c>
      <c r="L109" s="128" t="e">
        <f t="shared" si="382"/>
        <v>#DIV/0!</v>
      </c>
      <c r="M109" s="128" t="e">
        <f t="shared" si="382"/>
        <v>#DIV/0!</v>
      </c>
      <c r="N109" s="128" t="e">
        <f t="shared" si="382"/>
        <v>#DIV/0!</v>
      </c>
      <c r="O109" s="128" t="e">
        <f t="shared" si="382"/>
        <v>#DIV/0!</v>
      </c>
      <c r="P109" s="128" t="e">
        <f t="shared" si="382"/>
        <v>#DIV/0!</v>
      </c>
      <c r="Q109" s="128" t="e">
        <f t="shared" si="382"/>
        <v>#DIV/0!</v>
      </c>
      <c r="R109" s="128" t="e">
        <f t="shared" si="382"/>
        <v>#DIV/0!</v>
      </c>
      <c r="S109" s="128">
        <f t="shared" si="382"/>
        <v>0</v>
      </c>
      <c r="T109" s="128">
        <f t="shared" ref="T109:U109" si="383">T53/T25</f>
        <v>0</v>
      </c>
      <c r="U109" s="128">
        <f t="shared" si="383"/>
        <v>0</v>
      </c>
      <c r="V109" s="128">
        <f t="shared" ref="V109" si="384">V53/V25</f>
        <v>0</v>
      </c>
      <c r="W109" s="101" t="e">
        <f t="shared" si="204"/>
        <v>#DIV/0!</v>
      </c>
      <c r="X109" s="128"/>
      <c r="Y109" s="128">
        <f t="shared" ref="Y109:AH109" si="385">Y53/Y25</f>
        <v>0</v>
      </c>
      <c r="Z109" s="128">
        <f t="shared" si="385"/>
        <v>0</v>
      </c>
      <c r="AA109" s="128">
        <f t="shared" si="385"/>
        <v>0</v>
      </c>
      <c r="AB109" s="128">
        <f t="shared" si="385"/>
        <v>0</v>
      </c>
      <c r="AC109" s="128">
        <f t="shared" si="385"/>
        <v>0</v>
      </c>
      <c r="AD109" s="128">
        <f t="shared" si="385"/>
        <v>0</v>
      </c>
      <c r="AE109" s="128">
        <f t="shared" si="385"/>
        <v>0</v>
      </c>
      <c r="AF109" s="128">
        <f t="shared" si="385"/>
        <v>0</v>
      </c>
      <c r="AG109" s="128">
        <f t="shared" si="385"/>
        <v>0</v>
      </c>
      <c r="AH109" s="128">
        <f t="shared" si="385"/>
        <v>0</v>
      </c>
      <c r="AI109" s="115" t="e">
        <f t="shared" ref="AI109:AI158" si="386">((AH109/J109)^(1/($AH$3-$K$1) ))-1</f>
        <v>#DIV/0!</v>
      </c>
      <c r="AJ109" s="21">
        <f t="shared" ref="AJ109:AJ171" si="387">$O$1</f>
        <v>0.01</v>
      </c>
      <c r="AK109" s="123" t="e">
        <f t="shared" si="230"/>
        <v>#DIV/0!</v>
      </c>
    </row>
    <row r="110" spans="2:37" x14ac:dyDescent="0.2">
      <c r="B110" s="10" t="s">
        <v>219</v>
      </c>
      <c r="C110" s="128"/>
      <c r="D110" s="128"/>
      <c r="E110" s="128"/>
      <c r="F110" s="128"/>
      <c r="G110" s="128">
        <f t="shared" ref="G110" si="388">G59/G25</f>
        <v>0.11500493583415597</v>
      </c>
      <c r="H110" s="128" t="e">
        <f t="shared" ref="H110:I110" si="389">H59/H25</f>
        <v>#DIV/0!</v>
      </c>
      <c r="I110" s="128" t="e">
        <f t="shared" si="389"/>
        <v>#DIV/0!</v>
      </c>
      <c r="J110" s="128" t="e">
        <f t="shared" ref="J110:S110" si="390">J59/J25</f>
        <v>#DIV/0!</v>
      </c>
      <c r="K110" s="128" t="e">
        <f t="shared" si="390"/>
        <v>#DIV/0!</v>
      </c>
      <c r="L110" s="128" t="e">
        <f t="shared" si="390"/>
        <v>#DIV/0!</v>
      </c>
      <c r="M110" s="128" t="e">
        <f t="shared" si="390"/>
        <v>#DIV/0!</v>
      </c>
      <c r="N110" s="128" t="e">
        <f t="shared" si="390"/>
        <v>#DIV/0!</v>
      </c>
      <c r="O110" s="128" t="e">
        <f t="shared" si="390"/>
        <v>#DIV/0!</v>
      </c>
      <c r="P110" s="128" t="e">
        <f t="shared" si="390"/>
        <v>#DIV/0!</v>
      </c>
      <c r="Q110" s="128" t="e">
        <f t="shared" si="390"/>
        <v>#DIV/0!</v>
      </c>
      <c r="R110" s="128" t="e">
        <f t="shared" si="390"/>
        <v>#DIV/0!</v>
      </c>
      <c r="S110" s="128">
        <f t="shared" si="390"/>
        <v>0.11506172839506174</v>
      </c>
      <c r="T110" s="128">
        <f t="shared" ref="T110:U110" si="391">T59/T25</f>
        <v>0.10617901427529436</v>
      </c>
      <c r="U110" s="128">
        <f t="shared" si="391"/>
        <v>8.6024662360540224E-2</v>
      </c>
      <c r="V110" s="128">
        <f t="shared" ref="V110" si="392">V59/V25</f>
        <v>-0.14510728960584385</v>
      </c>
      <c r="W110" s="101">
        <f t="shared" si="204"/>
        <v>-2.0805816379171684</v>
      </c>
      <c r="X110" s="128"/>
      <c r="Y110" s="128">
        <f t="shared" ref="Y110:AH110" si="393">Y59/Y25</f>
        <v>8.6024662360540224E-2</v>
      </c>
      <c r="Z110" s="128">
        <f t="shared" si="393"/>
        <v>8.6024662360540211E-2</v>
      </c>
      <c r="AA110" s="128">
        <f t="shared" si="393"/>
        <v>8.6024662360540211E-2</v>
      </c>
      <c r="AB110" s="128">
        <f t="shared" si="393"/>
        <v>8.6024662360540211E-2</v>
      </c>
      <c r="AC110" s="128">
        <f t="shared" si="393"/>
        <v>8.6024662360540197E-2</v>
      </c>
      <c r="AD110" s="128">
        <f t="shared" si="393"/>
        <v>8.6024662360540211E-2</v>
      </c>
      <c r="AE110" s="128">
        <f t="shared" si="393"/>
        <v>8.6024662360540211E-2</v>
      </c>
      <c r="AF110" s="128">
        <f t="shared" si="393"/>
        <v>8.6024662360540211E-2</v>
      </c>
      <c r="AG110" s="128">
        <f t="shared" si="393"/>
        <v>8.6024662360540211E-2</v>
      </c>
      <c r="AH110" s="128">
        <f t="shared" si="393"/>
        <v>8.6024662360540197E-2</v>
      </c>
      <c r="AI110" s="115" t="e">
        <f t="shared" si="386"/>
        <v>#DIV/0!</v>
      </c>
      <c r="AJ110" s="21">
        <f t="shared" si="387"/>
        <v>0.01</v>
      </c>
      <c r="AK110" s="123" t="e">
        <f t="shared" si="230"/>
        <v>#DIV/0!</v>
      </c>
    </row>
    <row r="111" spans="2:37" x14ac:dyDescent="0.2">
      <c r="B111" s="10" t="s">
        <v>301</v>
      </c>
      <c r="C111" s="128"/>
      <c r="D111" s="128"/>
      <c r="E111" s="128"/>
      <c r="F111" s="128"/>
      <c r="G111" s="128">
        <f t="shared" ref="G111" si="394">G59/G7</f>
        <v>3.418289314911737E-2</v>
      </c>
      <c r="H111" s="128" t="e">
        <f t="shared" ref="H111:I111" si="395">H59/H7</f>
        <v>#DIV/0!</v>
      </c>
      <c r="I111" s="128" t="e">
        <f t="shared" si="395"/>
        <v>#DIV/0!</v>
      </c>
      <c r="J111" s="128" t="e">
        <f>J59/J7</f>
        <v>#DIV/0!</v>
      </c>
      <c r="K111" s="128" t="e">
        <f t="shared" ref="K111:R111" si="396">K59/K7</f>
        <v>#DIV/0!</v>
      </c>
      <c r="L111" s="128" t="e">
        <f t="shared" si="396"/>
        <v>#DIV/0!</v>
      </c>
      <c r="M111" s="128" t="e">
        <f t="shared" si="396"/>
        <v>#DIV/0!</v>
      </c>
      <c r="N111" s="128" t="e">
        <f t="shared" si="396"/>
        <v>#DIV/0!</v>
      </c>
      <c r="O111" s="128" t="e">
        <f t="shared" si="396"/>
        <v>#DIV/0!</v>
      </c>
      <c r="P111" s="128" t="e">
        <f t="shared" si="396"/>
        <v>#DIV/0!</v>
      </c>
      <c r="Q111" s="128" t="e">
        <f t="shared" si="396"/>
        <v>#DIV/0!</v>
      </c>
      <c r="R111" s="128" t="e">
        <f t="shared" si="396"/>
        <v>#DIV/0!</v>
      </c>
      <c r="S111" s="128">
        <f t="shared" ref="S111:T111" si="397">S59/S7</f>
        <v>3.418289314911737E-2</v>
      </c>
      <c r="T111" s="128">
        <f t="shared" si="397"/>
        <v>6.9423627197165827E-2</v>
      </c>
      <c r="U111" s="128">
        <f t="shared" ref="U111:V111" si="398">U59/U7</f>
        <v>5.754877569726332E-2</v>
      </c>
      <c r="V111" s="128">
        <f t="shared" si="398"/>
        <v>-0.10479173535553357</v>
      </c>
      <c r="W111" s="101">
        <f t="shared" si="204"/>
        <v>-2.4526893020502527</v>
      </c>
      <c r="X111" s="10"/>
      <c r="Y111" s="128">
        <f t="shared" ref="Y111" si="399">Y59/Y7</f>
        <v>5.754877569726332E-2</v>
      </c>
      <c r="Z111" s="128">
        <f t="shared" ref="Z111:AH111" si="400">Z59/Z7</f>
        <v>5.7548775697263313E-2</v>
      </c>
      <c r="AA111" s="128">
        <f t="shared" si="400"/>
        <v>5.7548775697263313E-2</v>
      </c>
      <c r="AB111" s="128">
        <f t="shared" si="400"/>
        <v>5.7548775697263313E-2</v>
      </c>
      <c r="AC111" s="128">
        <f t="shared" si="400"/>
        <v>5.7548775697263313E-2</v>
      </c>
      <c r="AD111" s="128">
        <f t="shared" si="400"/>
        <v>5.7548775697263313E-2</v>
      </c>
      <c r="AE111" s="128">
        <f t="shared" si="400"/>
        <v>5.754877569726332E-2</v>
      </c>
      <c r="AF111" s="128">
        <f t="shared" si="400"/>
        <v>5.7548775697263313E-2</v>
      </c>
      <c r="AG111" s="128">
        <f t="shared" si="400"/>
        <v>5.7548775697263313E-2</v>
      </c>
      <c r="AH111" s="128">
        <f t="shared" si="400"/>
        <v>5.7548775697263306E-2</v>
      </c>
      <c r="AI111" s="115" t="e">
        <f t="shared" si="386"/>
        <v>#DIV/0!</v>
      </c>
      <c r="AJ111" s="21">
        <f t="shared" si="387"/>
        <v>0.01</v>
      </c>
      <c r="AK111" s="123" t="e">
        <f t="shared" si="230"/>
        <v>#DIV/0!</v>
      </c>
    </row>
    <row r="112" spans="2:37" x14ac:dyDescent="0.2">
      <c r="B112" s="10" t="s">
        <v>302</v>
      </c>
      <c r="C112" s="128"/>
      <c r="D112" s="128"/>
      <c r="E112" s="128"/>
      <c r="F112" s="128"/>
      <c r="G112" s="128">
        <f t="shared" ref="G112" si="401">(G59)/(G7+G10)</f>
        <v>6.6796102031762544E-3</v>
      </c>
      <c r="H112" s="128" t="e">
        <f t="shared" ref="H112:I112" si="402">(H59)/(H7+H10)</f>
        <v>#DIV/0!</v>
      </c>
      <c r="I112" s="128" t="e">
        <f t="shared" si="402"/>
        <v>#DIV/0!</v>
      </c>
      <c r="J112" s="128" t="e">
        <f>(J59)/(J7+J10)</f>
        <v>#DIV/0!</v>
      </c>
      <c r="K112" s="128" t="e">
        <f t="shared" ref="K112:R112" si="403">(K59)/(K7+K10)</f>
        <v>#DIV/0!</v>
      </c>
      <c r="L112" s="128" t="e">
        <f t="shared" si="403"/>
        <v>#DIV/0!</v>
      </c>
      <c r="M112" s="128" t="e">
        <f t="shared" si="403"/>
        <v>#DIV/0!</v>
      </c>
      <c r="N112" s="128" t="e">
        <f t="shared" si="403"/>
        <v>#DIV/0!</v>
      </c>
      <c r="O112" s="128" t="e">
        <f t="shared" si="403"/>
        <v>#DIV/0!</v>
      </c>
      <c r="P112" s="128" t="e">
        <f t="shared" si="403"/>
        <v>#DIV/0!</v>
      </c>
      <c r="Q112" s="128" t="e">
        <f t="shared" si="403"/>
        <v>#DIV/0!</v>
      </c>
      <c r="R112" s="128" t="e">
        <f t="shared" si="403"/>
        <v>#DIV/0!</v>
      </c>
      <c r="S112" s="128">
        <f t="shared" ref="S112:T112" si="404">(S59)/(S7+S10)</f>
        <v>6.6796102031762544E-3</v>
      </c>
      <c r="T112" s="128">
        <f t="shared" si="404"/>
        <v>9.6911020656598318E-3</v>
      </c>
      <c r="U112" s="128">
        <f t="shared" ref="U112:V112" si="405">(U59)/(U7+U10)</f>
        <v>7.2885572139303485E-3</v>
      </c>
      <c r="V112" s="128">
        <f t="shared" si="405"/>
        <v>-1.202896539543568E-2</v>
      </c>
      <c r="W112" s="101">
        <f t="shared" si="204"/>
        <v>-2.2166314870312487</v>
      </c>
      <c r="X112" s="10"/>
      <c r="Y112" s="128">
        <f t="shared" ref="Y112:AH112" si="406">(Y59)/(Y7+Y10)</f>
        <v>7.2885572139303476E-3</v>
      </c>
      <c r="Z112" s="128">
        <f t="shared" si="406"/>
        <v>7.2885572139303476E-3</v>
      </c>
      <c r="AA112" s="128">
        <f t="shared" si="406"/>
        <v>7.2885572139303467E-3</v>
      </c>
      <c r="AB112" s="128">
        <f t="shared" si="406"/>
        <v>7.2885572139303459E-3</v>
      </c>
      <c r="AC112" s="128">
        <f t="shared" si="406"/>
        <v>7.2885572139303459E-3</v>
      </c>
      <c r="AD112" s="128">
        <f t="shared" si="406"/>
        <v>7.2885572139303476E-3</v>
      </c>
      <c r="AE112" s="128">
        <f t="shared" si="406"/>
        <v>7.2885572139303467E-3</v>
      </c>
      <c r="AF112" s="128">
        <f t="shared" si="406"/>
        <v>7.2885572139303467E-3</v>
      </c>
      <c r="AG112" s="128">
        <f t="shared" si="406"/>
        <v>7.2885572139303467E-3</v>
      </c>
      <c r="AH112" s="128">
        <f t="shared" si="406"/>
        <v>7.2885572139303467E-3</v>
      </c>
      <c r="AI112" s="115" t="e">
        <f t="shared" si="386"/>
        <v>#DIV/0!</v>
      </c>
      <c r="AJ112" s="21">
        <f t="shared" si="387"/>
        <v>0.01</v>
      </c>
      <c r="AK112" s="123" t="e">
        <f t="shared" si="230"/>
        <v>#DIV/0!</v>
      </c>
    </row>
    <row r="113" spans="1:37" x14ac:dyDescent="0.2">
      <c r="B113" s="10" t="s">
        <v>318</v>
      </c>
      <c r="C113" s="128"/>
      <c r="D113" s="128"/>
      <c r="E113" s="128"/>
      <c r="F113" s="128"/>
      <c r="G113" s="128">
        <f t="shared" ref="G113" si="407">G20/G25</f>
        <v>0</v>
      </c>
      <c r="H113" s="128" t="e">
        <f t="shared" ref="H113:I113" si="408">H20/H25</f>
        <v>#DIV/0!</v>
      </c>
      <c r="I113" s="128" t="e">
        <f t="shared" si="408"/>
        <v>#DIV/0!</v>
      </c>
      <c r="J113" s="128" t="e">
        <f>J20/J25</f>
        <v>#DIV/0!</v>
      </c>
      <c r="K113" s="128" t="e">
        <f t="shared" ref="K113:S113" si="409">K20/K25</f>
        <v>#DIV/0!</v>
      </c>
      <c r="L113" s="128" t="e">
        <f t="shared" si="409"/>
        <v>#DIV/0!</v>
      </c>
      <c r="M113" s="128" t="e">
        <f t="shared" si="409"/>
        <v>#DIV/0!</v>
      </c>
      <c r="N113" s="128" t="e">
        <f t="shared" si="409"/>
        <v>#DIV/0!</v>
      </c>
      <c r="O113" s="128" t="e">
        <f t="shared" si="409"/>
        <v>#DIV/0!</v>
      </c>
      <c r="P113" s="128" t="e">
        <f t="shared" si="409"/>
        <v>#DIV/0!</v>
      </c>
      <c r="Q113" s="128" t="e">
        <f t="shared" si="409"/>
        <v>#DIV/0!</v>
      </c>
      <c r="R113" s="128" t="e">
        <f t="shared" si="409"/>
        <v>#DIV/0!</v>
      </c>
      <c r="S113" s="128">
        <f t="shared" si="409"/>
        <v>0</v>
      </c>
      <c r="T113" s="128">
        <f t="shared" ref="T113:U113" si="410">T20/T25</f>
        <v>0</v>
      </c>
      <c r="U113" s="128">
        <f t="shared" si="410"/>
        <v>0</v>
      </c>
      <c r="V113" s="128">
        <f t="shared" ref="V113" si="411">V20/V25</f>
        <v>0</v>
      </c>
      <c r="W113" s="101" t="e">
        <f t="shared" si="204"/>
        <v>#DIV/0!</v>
      </c>
      <c r="X113" s="10"/>
      <c r="Y113" s="128">
        <f t="shared" ref="Y113:AH113" si="412">Y20/Y25</f>
        <v>0</v>
      </c>
      <c r="Z113" s="128">
        <f t="shared" si="412"/>
        <v>0</v>
      </c>
      <c r="AA113" s="128">
        <f t="shared" si="412"/>
        <v>0</v>
      </c>
      <c r="AB113" s="128">
        <f t="shared" si="412"/>
        <v>0</v>
      </c>
      <c r="AC113" s="128">
        <f t="shared" si="412"/>
        <v>0</v>
      </c>
      <c r="AD113" s="128">
        <f t="shared" si="412"/>
        <v>0</v>
      </c>
      <c r="AE113" s="128">
        <f t="shared" si="412"/>
        <v>0</v>
      </c>
      <c r="AF113" s="128">
        <f t="shared" si="412"/>
        <v>0</v>
      </c>
      <c r="AG113" s="128">
        <f t="shared" si="412"/>
        <v>0</v>
      </c>
      <c r="AH113" s="128">
        <f t="shared" si="412"/>
        <v>0</v>
      </c>
      <c r="AI113" s="115" t="e">
        <f t="shared" si="386"/>
        <v>#DIV/0!</v>
      </c>
      <c r="AJ113" s="21">
        <f t="shared" si="387"/>
        <v>0.01</v>
      </c>
      <c r="AK113" s="123" t="e">
        <f t="shared" si="230"/>
        <v>#DIV/0!</v>
      </c>
    </row>
    <row r="114" spans="1:37" x14ac:dyDescent="0.2">
      <c r="B114" s="10" t="s">
        <v>370</v>
      </c>
      <c r="C114" s="128"/>
      <c r="D114" s="128"/>
      <c r="E114" s="128"/>
      <c r="F114" s="128"/>
      <c r="G114" s="128">
        <f t="shared" ref="G114" si="413">G72/G25</f>
        <v>-0.11500493583415597</v>
      </c>
      <c r="H114" s="128" t="e">
        <f t="shared" ref="H114:I114" si="414">H72/H25</f>
        <v>#DIV/0!</v>
      </c>
      <c r="I114" s="128" t="e">
        <f t="shared" si="414"/>
        <v>#DIV/0!</v>
      </c>
      <c r="J114" s="128" t="e">
        <f>J72/J25</f>
        <v>#DIV/0!</v>
      </c>
      <c r="K114" s="128" t="e">
        <f t="shared" ref="K114:S114" si="415">K72/K25</f>
        <v>#DIV/0!</v>
      </c>
      <c r="L114" s="128" t="e">
        <f t="shared" si="415"/>
        <v>#DIV/0!</v>
      </c>
      <c r="M114" s="128" t="e">
        <f t="shared" si="415"/>
        <v>#DIV/0!</v>
      </c>
      <c r="N114" s="128" t="e">
        <f t="shared" si="415"/>
        <v>#DIV/0!</v>
      </c>
      <c r="O114" s="128" t="e">
        <f t="shared" si="415"/>
        <v>#DIV/0!</v>
      </c>
      <c r="P114" s="128" t="e">
        <f t="shared" si="415"/>
        <v>#DIV/0!</v>
      </c>
      <c r="Q114" s="128" t="e">
        <f t="shared" si="415"/>
        <v>#DIV/0!</v>
      </c>
      <c r="R114" s="128" t="e">
        <f t="shared" si="415"/>
        <v>#DIV/0!</v>
      </c>
      <c r="S114" s="128">
        <f t="shared" si="415"/>
        <v>-0.11506172839506174</v>
      </c>
      <c r="T114" s="128">
        <f t="shared" ref="T114:U114" si="416">T72/T25</f>
        <v>-0.10617901427529436</v>
      </c>
      <c r="U114" s="128">
        <f t="shared" si="416"/>
        <v>-8.6024662360540224E-2</v>
      </c>
      <c r="V114" s="128">
        <f t="shared" ref="V114" si="417">V72/V25</f>
        <v>0.14510728960584385</v>
      </c>
      <c r="W114" s="101">
        <f t="shared" si="204"/>
        <v>-2.0805816379171684</v>
      </c>
      <c r="X114" s="10"/>
      <c r="Y114" s="128">
        <f t="shared" ref="Y114:AH114" si="418">Y72/Y25</f>
        <v>-8.6024662360540224E-2</v>
      </c>
      <c r="Z114" s="128">
        <f t="shared" si="418"/>
        <v>-8.6024662360540211E-2</v>
      </c>
      <c r="AA114" s="128">
        <f t="shared" si="418"/>
        <v>-8.6024662360540211E-2</v>
      </c>
      <c r="AB114" s="128">
        <f t="shared" si="418"/>
        <v>-8.6024662360540211E-2</v>
      </c>
      <c r="AC114" s="128">
        <f t="shared" si="418"/>
        <v>-8.6024662360540197E-2</v>
      </c>
      <c r="AD114" s="128">
        <f t="shared" si="418"/>
        <v>-8.6024662360540211E-2</v>
      </c>
      <c r="AE114" s="128">
        <f t="shared" si="418"/>
        <v>-8.6024662360540211E-2</v>
      </c>
      <c r="AF114" s="128">
        <f t="shared" si="418"/>
        <v>-8.6024662360540211E-2</v>
      </c>
      <c r="AG114" s="128">
        <f t="shared" si="418"/>
        <v>-8.6024662360540211E-2</v>
      </c>
      <c r="AH114" s="128">
        <f t="shared" si="418"/>
        <v>-8.6024662360540197E-2</v>
      </c>
      <c r="AI114" s="115" t="e">
        <f t="shared" si="386"/>
        <v>#DIV/0!</v>
      </c>
      <c r="AJ114" s="21">
        <f t="shared" si="387"/>
        <v>0.01</v>
      </c>
      <c r="AK114" s="123" t="e">
        <f t="shared" si="230"/>
        <v>#DIV/0!</v>
      </c>
    </row>
    <row r="115" spans="1:37" x14ac:dyDescent="0.2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21"/>
      <c r="W115" s="101" t="e">
        <f t="shared" si="204"/>
        <v>#DIV/0!</v>
      </c>
      <c r="X115" s="10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3"/>
      <c r="AJ115" s="123"/>
      <c r="AK115" s="123"/>
    </row>
    <row r="116" spans="1:37" x14ac:dyDescent="0.2">
      <c r="B116" s="10" t="s">
        <v>267</v>
      </c>
      <c r="C116" s="128"/>
      <c r="D116" s="128"/>
      <c r="E116" s="128"/>
      <c r="F116" s="128"/>
      <c r="G116" s="128">
        <f t="shared" ref="G116" si="419">G29/G25</f>
        <v>0.69126357354392898</v>
      </c>
      <c r="H116" s="128" t="e">
        <f t="shared" ref="H116:I116" si="420">H29/H25</f>
        <v>#DIV/0!</v>
      </c>
      <c r="I116" s="128" t="e">
        <f t="shared" si="420"/>
        <v>#DIV/0!</v>
      </c>
      <c r="J116" s="128" t="e">
        <f>J29/J25</f>
        <v>#DIV/0!</v>
      </c>
      <c r="K116" s="128" t="e">
        <f t="shared" ref="K116:S116" si="421">K29/K25</f>
        <v>#DIV/0!</v>
      </c>
      <c r="L116" s="128" t="e">
        <f t="shared" si="421"/>
        <v>#DIV/0!</v>
      </c>
      <c r="M116" s="128" t="e">
        <f t="shared" si="421"/>
        <v>#DIV/0!</v>
      </c>
      <c r="N116" s="128" t="e">
        <f t="shared" si="421"/>
        <v>#DIV/0!</v>
      </c>
      <c r="O116" s="128" t="e">
        <f t="shared" si="421"/>
        <v>#DIV/0!</v>
      </c>
      <c r="P116" s="128" t="e">
        <f t="shared" si="421"/>
        <v>#DIV/0!</v>
      </c>
      <c r="Q116" s="128" t="e">
        <f t="shared" si="421"/>
        <v>#DIV/0!</v>
      </c>
      <c r="R116" s="128" t="e">
        <f t="shared" si="421"/>
        <v>#DIV/0!</v>
      </c>
      <c r="S116" s="128">
        <f t="shared" si="421"/>
        <v>0.69160493827160496</v>
      </c>
      <c r="T116" s="128">
        <f t="shared" ref="T116:U116" si="422">T29/T25</f>
        <v>0.67885797645097423</v>
      </c>
      <c r="U116" s="128">
        <f t="shared" si="422"/>
        <v>0.69729888432178511</v>
      </c>
      <c r="V116" s="128">
        <f t="shared" ref="V116" si="423">V29/V25</f>
        <v>0.6652716481509664</v>
      </c>
      <c r="W116" s="101">
        <f t="shared" si="204"/>
        <v>-1.2693988994639693E-2</v>
      </c>
      <c r="X116" s="10"/>
      <c r="Y116" s="128">
        <f t="shared" ref="Y116:AH116" si="424">Y29/Y25</f>
        <v>0.69729888432178511</v>
      </c>
      <c r="Z116" s="128">
        <f t="shared" si="424"/>
        <v>0.69729888432178522</v>
      </c>
      <c r="AA116" s="128">
        <f t="shared" si="424"/>
        <v>0.69729888432178522</v>
      </c>
      <c r="AB116" s="128">
        <f t="shared" si="424"/>
        <v>0.69729888432178522</v>
      </c>
      <c r="AC116" s="128">
        <f t="shared" si="424"/>
        <v>0.69729888432178522</v>
      </c>
      <c r="AD116" s="128">
        <f t="shared" si="424"/>
        <v>0.69729888432178522</v>
      </c>
      <c r="AE116" s="128">
        <f t="shared" si="424"/>
        <v>0.69729888432178522</v>
      </c>
      <c r="AF116" s="128">
        <f t="shared" si="424"/>
        <v>0.69729888432178522</v>
      </c>
      <c r="AG116" s="128">
        <f t="shared" si="424"/>
        <v>0.69729888432178522</v>
      </c>
      <c r="AH116" s="128">
        <f t="shared" si="424"/>
        <v>0.69729888432178522</v>
      </c>
      <c r="AI116" s="115" t="e">
        <f t="shared" si="386"/>
        <v>#DIV/0!</v>
      </c>
      <c r="AJ116" s="21">
        <f t="shared" si="387"/>
        <v>0.01</v>
      </c>
      <c r="AK116" s="123" t="e">
        <f t="shared" si="230"/>
        <v>#DIV/0!</v>
      </c>
    </row>
    <row r="117" spans="1:37" x14ac:dyDescent="0.2">
      <c r="B117" s="10" t="s">
        <v>311</v>
      </c>
      <c r="C117" s="128"/>
      <c r="D117" s="128"/>
      <c r="E117" s="128"/>
      <c r="F117" s="128"/>
      <c r="G117" s="128" t="e">
        <f t="shared" ref="G117" si="425">G29/G53</f>
        <v>#DIV/0!</v>
      </c>
      <c r="H117" s="128" t="e">
        <f t="shared" ref="H117:I117" si="426">H29/H53</f>
        <v>#DIV/0!</v>
      </c>
      <c r="I117" s="128" t="e">
        <f t="shared" si="426"/>
        <v>#DIV/0!</v>
      </c>
      <c r="J117" s="128" t="e">
        <f>J29/J53</f>
        <v>#DIV/0!</v>
      </c>
      <c r="K117" s="128" t="e">
        <f t="shared" ref="K117:S117" si="427">K29/K53</f>
        <v>#DIV/0!</v>
      </c>
      <c r="L117" s="128" t="e">
        <f t="shared" si="427"/>
        <v>#DIV/0!</v>
      </c>
      <c r="M117" s="128" t="e">
        <f t="shared" si="427"/>
        <v>#DIV/0!</v>
      </c>
      <c r="N117" s="128" t="e">
        <f t="shared" si="427"/>
        <v>#DIV/0!</v>
      </c>
      <c r="O117" s="128" t="e">
        <f t="shared" si="427"/>
        <v>#DIV/0!</v>
      </c>
      <c r="P117" s="128" t="e">
        <f t="shared" si="427"/>
        <v>#DIV/0!</v>
      </c>
      <c r="Q117" s="128" t="e">
        <f t="shared" si="427"/>
        <v>#DIV/0!</v>
      </c>
      <c r="R117" s="128" t="e">
        <f t="shared" si="427"/>
        <v>#DIV/0!</v>
      </c>
      <c r="S117" s="128" t="e">
        <f t="shared" si="427"/>
        <v>#DIV/0!</v>
      </c>
      <c r="T117" s="128" t="e">
        <f t="shared" ref="T117:U117" si="428">T29/T53</f>
        <v>#DIV/0!</v>
      </c>
      <c r="U117" s="128" t="e">
        <f t="shared" si="428"/>
        <v>#DIV/0!</v>
      </c>
      <c r="V117" s="128" t="e">
        <f t="shared" ref="V117" si="429">V29/V53</f>
        <v>#DIV/0!</v>
      </c>
      <c r="W117" s="101" t="e">
        <f t="shared" si="204"/>
        <v>#DIV/0!</v>
      </c>
      <c r="X117" s="10"/>
      <c r="Y117" s="128" t="e">
        <f t="shared" ref="Y117:AH117" si="430">Y29/Y53</f>
        <v>#DIV/0!</v>
      </c>
      <c r="Z117" s="128" t="e">
        <f t="shared" si="430"/>
        <v>#DIV/0!</v>
      </c>
      <c r="AA117" s="128" t="e">
        <f t="shared" si="430"/>
        <v>#DIV/0!</v>
      </c>
      <c r="AB117" s="128" t="e">
        <f t="shared" si="430"/>
        <v>#DIV/0!</v>
      </c>
      <c r="AC117" s="128" t="e">
        <f t="shared" si="430"/>
        <v>#DIV/0!</v>
      </c>
      <c r="AD117" s="128" t="e">
        <f t="shared" si="430"/>
        <v>#DIV/0!</v>
      </c>
      <c r="AE117" s="128" t="e">
        <f t="shared" si="430"/>
        <v>#DIV/0!</v>
      </c>
      <c r="AF117" s="128" t="e">
        <f t="shared" si="430"/>
        <v>#DIV/0!</v>
      </c>
      <c r="AG117" s="128" t="e">
        <f t="shared" si="430"/>
        <v>#DIV/0!</v>
      </c>
      <c r="AH117" s="128" t="e">
        <f t="shared" si="430"/>
        <v>#DIV/0!</v>
      </c>
      <c r="AI117" s="115" t="e">
        <f t="shared" ref="AI117" si="431">((AH117/J117)^(1/($AH$3-$K$1) ))-1</f>
        <v>#DIV/0!</v>
      </c>
      <c r="AJ117" s="21">
        <f t="shared" si="387"/>
        <v>0.01</v>
      </c>
      <c r="AK117" s="123" t="e">
        <f t="shared" si="230"/>
        <v>#DIV/0!</v>
      </c>
    </row>
    <row r="118" spans="1:37" ht="12" customHeight="1" x14ac:dyDescent="0.2">
      <c r="B118" s="10" t="s">
        <v>310</v>
      </c>
      <c r="C118" s="128"/>
      <c r="D118" s="128"/>
      <c r="E118" s="128"/>
      <c r="F118" s="144"/>
      <c r="G118" s="144">
        <f t="shared" ref="G118" si="432">G29/G59</f>
        <v>6.0107296137339059</v>
      </c>
      <c r="H118" s="144" t="e">
        <f t="shared" ref="H118:I118" si="433">H29/H59</f>
        <v>#DIV/0!</v>
      </c>
      <c r="I118" s="144" t="e">
        <f t="shared" si="433"/>
        <v>#DIV/0!</v>
      </c>
      <c r="J118" s="144" t="e">
        <f t="shared" ref="J118:S118" si="434">J29/J59</f>
        <v>#DIV/0!</v>
      </c>
      <c r="K118" s="144" t="e">
        <f t="shared" si="434"/>
        <v>#DIV/0!</v>
      </c>
      <c r="L118" s="144" t="e">
        <f t="shared" si="434"/>
        <v>#DIV/0!</v>
      </c>
      <c r="M118" s="144" t="e">
        <f t="shared" si="434"/>
        <v>#DIV/0!</v>
      </c>
      <c r="N118" s="144" t="e">
        <f t="shared" si="434"/>
        <v>#DIV/0!</v>
      </c>
      <c r="O118" s="144" t="e">
        <f t="shared" si="434"/>
        <v>#DIV/0!</v>
      </c>
      <c r="P118" s="144" t="e">
        <f t="shared" si="434"/>
        <v>#DIV/0!</v>
      </c>
      <c r="Q118" s="144" t="e">
        <f t="shared" si="434"/>
        <v>#DIV/0!</v>
      </c>
      <c r="R118" s="144" t="e">
        <f t="shared" si="434"/>
        <v>#DIV/0!</v>
      </c>
      <c r="S118" s="144">
        <f t="shared" si="434"/>
        <v>6.0107296137339059</v>
      </c>
      <c r="T118" s="144">
        <f t="shared" ref="T118:U118" si="435">T29/T59</f>
        <v>6.3935230618253192</v>
      </c>
      <c r="U118" s="144">
        <f t="shared" si="435"/>
        <v>8.1058020477815695</v>
      </c>
      <c r="V118" s="144">
        <f t="shared" ref="V118" si="436">V29/V59</f>
        <v>-4.5846879916098588</v>
      </c>
      <c r="W118" s="101">
        <f t="shared" si="204"/>
        <v>-1.913680166644699</v>
      </c>
      <c r="X118" s="10"/>
      <c r="Y118" s="144">
        <f t="shared" ref="Y118:AH118" si="437">Y29/Y59</f>
        <v>8.1058020477815713</v>
      </c>
      <c r="Z118" s="144">
        <f t="shared" si="437"/>
        <v>8.1058020477815713</v>
      </c>
      <c r="AA118" s="144">
        <f t="shared" si="437"/>
        <v>8.1058020477815731</v>
      </c>
      <c r="AB118" s="144">
        <f t="shared" si="437"/>
        <v>8.1058020477815731</v>
      </c>
      <c r="AC118" s="144">
        <f t="shared" si="437"/>
        <v>8.1058020477815731</v>
      </c>
      <c r="AD118" s="144">
        <f t="shared" si="437"/>
        <v>8.1058020477815731</v>
      </c>
      <c r="AE118" s="144">
        <f t="shared" si="437"/>
        <v>8.1058020477815731</v>
      </c>
      <c r="AF118" s="144">
        <f t="shared" si="437"/>
        <v>8.1058020477815731</v>
      </c>
      <c r="AG118" s="144">
        <f t="shared" si="437"/>
        <v>8.1058020477815731</v>
      </c>
      <c r="AH118" s="144">
        <f t="shared" si="437"/>
        <v>8.1058020477815731</v>
      </c>
      <c r="AI118" s="115" t="e">
        <f t="shared" ref="AI118" si="438">((AH118/J118)^(1/($AH$3-$K$1) ))-1</f>
        <v>#DIV/0!</v>
      </c>
      <c r="AJ118" s="21">
        <f t="shared" si="387"/>
        <v>0.01</v>
      </c>
      <c r="AK118" s="123" t="e">
        <f t="shared" si="230"/>
        <v>#DIV/0!</v>
      </c>
    </row>
    <row r="119" spans="1:37" ht="12" customHeight="1" x14ac:dyDescent="0.2">
      <c r="B119" s="10" t="s">
        <v>269</v>
      </c>
      <c r="C119" s="128"/>
      <c r="D119" s="128"/>
      <c r="E119" s="128"/>
      <c r="F119" s="144"/>
      <c r="G119" s="144">
        <f t="shared" ref="G119" si="439">G29/G12</f>
        <v>1.4742105263157894</v>
      </c>
      <c r="H119" s="144" t="e">
        <f t="shared" ref="H119:I119" si="440">H29/H12</f>
        <v>#DIV/0!</v>
      </c>
      <c r="I119" s="144" t="e">
        <f t="shared" si="440"/>
        <v>#DIV/0!</v>
      </c>
      <c r="J119" s="144" t="e">
        <f t="shared" ref="J119:S119" si="441">J29/J12</f>
        <v>#DIV/0!</v>
      </c>
      <c r="K119" s="144" t="e">
        <f t="shared" si="441"/>
        <v>#DIV/0!</v>
      </c>
      <c r="L119" s="144" t="e">
        <f t="shared" si="441"/>
        <v>#DIV/0!</v>
      </c>
      <c r="M119" s="144" t="e">
        <f t="shared" si="441"/>
        <v>#DIV/0!</v>
      </c>
      <c r="N119" s="144" t="e">
        <f t="shared" si="441"/>
        <v>#DIV/0!</v>
      </c>
      <c r="O119" s="144" t="e">
        <f t="shared" si="441"/>
        <v>#DIV/0!</v>
      </c>
      <c r="P119" s="144" t="e">
        <f t="shared" si="441"/>
        <v>#DIV/0!</v>
      </c>
      <c r="Q119" s="144" t="e">
        <f t="shared" si="441"/>
        <v>#DIV/0!</v>
      </c>
      <c r="R119" s="144" t="e">
        <f t="shared" si="441"/>
        <v>#DIV/0!</v>
      </c>
      <c r="S119" s="144">
        <f t="shared" si="441"/>
        <v>1.4742105263157894</v>
      </c>
      <c r="T119" s="144">
        <f t="shared" ref="T119:U119" si="442">T29/T12</f>
        <v>2.145915678524374</v>
      </c>
      <c r="U119" s="144" t="e">
        <f t="shared" si="442"/>
        <v>#DIV/0!</v>
      </c>
      <c r="V119" s="144" t="e">
        <f t="shared" ref="V119" si="443">V29/V12</f>
        <v>#DIV/0!</v>
      </c>
      <c r="W119" s="101" t="e">
        <f t="shared" si="204"/>
        <v>#DIV/0!</v>
      </c>
      <c r="X119" s="10"/>
      <c r="Y119" s="128" t="e">
        <f t="shared" ref="Y119:AH119" si="444">Y29/Y12</f>
        <v>#DIV/0!</v>
      </c>
      <c r="Z119" s="128" t="e">
        <f t="shared" si="444"/>
        <v>#DIV/0!</v>
      </c>
      <c r="AA119" s="128" t="e">
        <f t="shared" si="444"/>
        <v>#DIV/0!</v>
      </c>
      <c r="AB119" s="128" t="e">
        <f t="shared" si="444"/>
        <v>#DIV/0!</v>
      </c>
      <c r="AC119" s="128" t="e">
        <f t="shared" si="444"/>
        <v>#DIV/0!</v>
      </c>
      <c r="AD119" s="128" t="e">
        <f t="shared" si="444"/>
        <v>#DIV/0!</v>
      </c>
      <c r="AE119" s="128" t="e">
        <f t="shared" si="444"/>
        <v>#DIV/0!</v>
      </c>
      <c r="AF119" s="128" t="e">
        <f t="shared" si="444"/>
        <v>#DIV/0!</v>
      </c>
      <c r="AG119" s="128" t="e">
        <f t="shared" si="444"/>
        <v>#DIV/0!</v>
      </c>
      <c r="AH119" s="128" t="e">
        <f t="shared" si="444"/>
        <v>#DIV/0!</v>
      </c>
      <c r="AI119" s="115" t="e">
        <f t="shared" si="386"/>
        <v>#DIV/0!</v>
      </c>
      <c r="AJ119" s="21">
        <f t="shared" si="387"/>
        <v>0.01</v>
      </c>
      <c r="AK119" s="123" t="e">
        <f t="shared" si="230"/>
        <v>#DIV/0!</v>
      </c>
    </row>
    <row r="120" spans="1:37" ht="12" customHeight="1" x14ac:dyDescent="0.2">
      <c r="B120" s="10" t="s">
        <v>312</v>
      </c>
      <c r="C120" s="128"/>
      <c r="D120" s="128"/>
      <c r="E120" s="128"/>
      <c r="F120" s="144"/>
      <c r="G120" s="144" t="e">
        <f t="shared" ref="G120" si="445">G29/G23</f>
        <v>#DIV/0!</v>
      </c>
      <c r="H120" s="144" t="e">
        <f t="shared" ref="H120:I120" si="446">H29/H23</f>
        <v>#DIV/0!</v>
      </c>
      <c r="I120" s="144" t="e">
        <f t="shared" si="446"/>
        <v>#DIV/0!</v>
      </c>
      <c r="J120" s="144" t="e">
        <f>J29/J23</f>
        <v>#DIV/0!</v>
      </c>
      <c r="K120" s="144" t="e">
        <f t="shared" ref="K120:S120" si="447">K29/K23</f>
        <v>#DIV/0!</v>
      </c>
      <c r="L120" s="144" t="e">
        <f t="shared" si="447"/>
        <v>#DIV/0!</v>
      </c>
      <c r="M120" s="144" t="e">
        <f t="shared" si="447"/>
        <v>#DIV/0!</v>
      </c>
      <c r="N120" s="144" t="e">
        <f t="shared" si="447"/>
        <v>#DIV/0!</v>
      </c>
      <c r="O120" s="144" t="e">
        <f t="shared" si="447"/>
        <v>#DIV/0!</v>
      </c>
      <c r="P120" s="144" t="e">
        <f t="shared" si="447"/>
        <v>#DIV/0!</v>
      </c>
      <c r="Q120" s="144" t="e">
        <f t="shared" si="447"/>
        <v>#DIV/0!</v>
      </c>
      <c r="R120" s="144" t="e">
        <f t="shared" si="447"/>
        <v>#DIV/0!</v>
      </c>
      <c r="S120" s="144" t="e">
        <f t="shared" si="447"/>
        <v>#DIV/0!</v>
      </c>
      <c r="T120" s="144" t="e">
        <f t="shared" ref="T120:U120" si="448">T29/T23</f>
        <v>#DIV/0!</v>
      </c>
      <c r="U120" s="144" t="e">
        <f t="shared" si="448"/>
        <v>#DIV/0!</v>
      </c>
      <c r="V120" s="144" t="e">
        <f t="shared" ref="V120" si="449">V29/V23</f>
        <v>#DIV/0!</v>
      </c>
      <c r="W120" s="101" t="e">
        <f t="shared" si="204"/>
        <v>#DIV/0!</v>
      </c>
      <c r="X120" s="10"/>
      <c r="Y120" s="144" t="e">
        <f t="shared" ref="Y120:AH120" si="450">Y29/Y23</f>
        <v>#DIV/0!</v>
      </c>
      <c r="Z120" s="144" t="e">
        <f t="shared" si="450"/>
        <v>#DIV/0!</v>
      </c>
      <c r="AA120" s="144" t="e">
        <f t="shared" si="450"/>
        <v>#DIV/0!</v>
      </c>
      <c r="AB120" s="144" t="e">
        <f t="shared" si="450"/>
        <v>#DIV/0!</v>
      </c>
      <c r="AC120" s="144" t="e">
        <f t="shared" si="450"/>
        <v>#DIV/0!</v>
      </c>
      <c r="AD120" s="144" t="e">
        <f t="shared" si="450"/>
        <v>#DIV/0!</v>
      </c>
      <c r="AE120" s="144" t="e">
        <f t="shared" si="450"/>
        <v>#DIV/0!</v>
      </c>
      <c r="AF120" s="144" t="e">
        <f t="shared" si="450"/>
        <v>#DIV/0!</v>
      </c>
      <c r="AG120" s="144" t="e">
        <f t="shared" si="450"/>
        <v>#DIV/0!</v>
      </c>
      <c r="AH120" s="144" t="e">
        <f t="shared" si="450"/>
        <v>#DIV/0!</v>
      </c>
      <c r="AI120" s="115" t="e">
        <f t="shared" ref="AI120" si="451">((AH120/J120)^(1/($AH$3-$K$1) ))-1</f>
        <v>#DIV/0!</v>
      </c>
      <c r="AJ120" s="21">
        <f t="shared" si="387"/>
        <v>0.01</v>
      </c>
      <c r="AK120" s="123" t="e">
        <f t="shared" si="230"/>
        <v>#DIV/0!</v>
      </c>
    </row>
    <row r="121" spans="1:37" ht="12" customHeight="1" x14ac:dyDescent="0.2">
      <c r="B121" s="10"/>
      <c r="C121" s="128"/>
      <c r="D121" s="128"/>
      <c r="E121" s="128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21"/>
      <c r="V121" s="121"/>
      <c r="W121" s="101" t="e">
        <f t="shared" si="204"/>
        <v>#DIV/0!</v>
      </c>
      <c r="X121" s="10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3"/>
      <c r="AK121" s="123"/>
    </row>
    <row r="122" spans="1:37" ht="12" customHeight="1" x14ac:dyDescent="0.2">
      <c r="B122" s="10" t="s">
        <v>344</v>
      </c>
      <c r="C122" s="128"/>
      <c r="D122" s="128"/>
      <c r="E122" s="128"/>
      <c r="F122" s="108"/>
      <c r="G122" s="108">
        <f t="shared" ref="G122" si="452">1/G116</f>
        <v>1.4466262049268117</v>
      </c>
      <c r="H122" s="108" t="e">
        <f t="shared" ref="H122:I122" si="453">1/H116</f>
        <v>#DIV/0!</v>
      </c>
      <c r="I122" s="108" t="e">
        <f t="shared" si="453"/>
        <v>#DIV/0!</v>
      </c>
      <c r="J122" s="108" t="e">
        <f>1/J116</f>
        <v>#DIV/0!</v>
      </c>
      <c r="K122" s="108" t="e">
        <f t="shared" ref="K122:S122" si="454">1/K116</f>
        <v>#DIV/0!</v>
      </c>
      <c r="L122" s="108" t="e">
        <f t="shared" si="454"/>
        <v>#DIV/0!</v>
      </c>
      <c r="M122" s="108" t="e">
        <f t="shared" si="454"/>
        <v>#DIV/0!</v>
      </c>
      <c r="N122" s="108" t="e">
        <f t="shared" si="454"/>
        <v>#DIV/0!</v>
      </c>
      <c r="O122" s="108" t="e">
        <f t="shared" si="454"/>
        <v>#DIV/0!</v>
      </c>
      <c r="P122" s="108" t="e">
        <f t="shared" si="454"/>
        <v>#DIV/0!</v>
      </c>
      <c r="Q122" s="108" t="e">
        <f t="shared" si="454"/>
        <v>#DIV/0!</v>
      </c>
      <c r="R122" s="108" t="e">
        <f t="shared" si="454"/>
        <v>#DIV/0!</v>
      </c>
      <c r="S122" s="108">
        <f t="shared" si="454"/>
        <v>1.4459121742234915</v>
      </c>
      <c r="T122" s="108">
        <f t="shared" ref="T122:U122" si="455">1/T116</f>
        <v>1.4730621642363777</v>
      </c>
      <c r="U122" s="108">
        <f t="shared" si="455"/>
        <v>1.4341052631578948</v>
      </c>
      <c r="V122" s="108">
        <f t="shared" ref="V122" si="456">1/V116</f>
        <v>1.5031453734416103</v>
      </c>
      <c r="W122" s="101">
        <f t="shared" si="204"/>
        <v>1.2857198126154934E-2</v>
      </c>
      <c r="X122" s="10"/>
      <c r="Y122" s="108">
        <f t="shared" ref="Y122:AH122" si="457">1/Y116</f>
        <v>1.4341052631578948</v>
      </c>
      <c r="Z122" s="108">
        <f t="shared" si="457"/>
        <v>1.4341052631578945</v>
      </c>
      <c r="AA122" s="108">
        <f t="shared" si="457"/>
        <v>1.4341052631578945</v>
      </c>
      <c r="AB122" s="108">
        <f t="shared" si="457"/>
        <v>1.4341052631578945</v>
      </c>
      <c r="AC122" s="108">
        <f t="shared" si="457"/>
        <v>1.4341052631578945</v>
      </c>
      <c r="AD122" s="108">
        <f t="shared" si="457"/>
        <v>1.4341052631578945</v>
      </c>
      <c r="AE122" s="108">
        <f t="shared" si="457"/>
        <v>1.4341052631578945</v>
      </c>
      <c r="AF122" s="108">
        <f t="shared" si="457"/>
        <v>1.4341052631578945</v>
      </c>
      <c r="AG122" s="108">
        <f t="shared" si="457"/>
        <v>1.4341052631578945</v>
      </c>
      <c r="AH122" s="108">
        <f t="shared" si="457"/>
        <v>1.4341052631578945</v>
      </c>
      <c r="AI122" s="115" t="e">
        <f t="shared" si="386"/>
        <v>#DIV/0!</v>
      </c>
      <c r="AJ122" s="21">
        <f t="shared" si="387"/>
        <v>0.01</v>
      </c>
      <c r="AK122" s="123" t="e">
        <f t="shared" si="230"/>
        <v>#DIV/0!</v>
      </c>
    </row>
    <row r="123" spans="1:37" ht="12" customHeight="1" x14ac:dyDescent="0.2">
      <c r="B123" s="10" t="s">
        <v>345</v>
      </c>
      <c r="C123" s="128"/>
      <c r="D123" s="128"/>
      <c r="E123" s="128"/>
      <c r="F123" s="108"/>
      <c r="G123" s="108" t="e">
        <f t="shared" ref="G123" si="458">1/G117</f>
        <v>#DIV/0!</v>
      </c>
      <c r="H123" s="108" t="e">
        <f t="shared" ref="H123:I123" si="459">1/H117</f>
        <v>#DIV/0!</v>
      </c>
      <c r="I123" s="108" t="e">
        <f t="shared" si="459"/>
        <v>#DIV/0!</v>
      </c>
      <c r="J123" s="108" t="e">
        <f t="shared" ref="J123:S126" si="460">1/J117</f>
        <v>#DIV/0!</v>
      </c>
      <c r="K123" s="108" t="e">
        <f t="shared" si="460"/>
        <v>#DIV/0!</v>
      </c>
      <c r="L123" s="108" t="e">
        <f t="shared" si="460"/>
        <v>#DIV/0!</v>
      </c>
      <c r="M123" s="108" t="e">
        <f t="shared" si="460"/>
        <v>#DIV/0!</v>
      </c>
      <c r="N123" s="108" t="e">
        <f t="shared" si="460"/>
        <v>#DIV/0!</v>
      </c>
      <c r="O123" s="108" t="e">
        <f t="shared" si="460"/>
        <v>#DIV/0!</v>
      </c>
      <c r="P123" s="108" t="e">
        <f t="shared" si="460"/>
        <v>#DIV/0!</v>
      </c>
      <c r="Q123" s="108" t="e">
        <f t="shared" si="460"/>
        <v>#DIV/0!</v>
      </c>
      <c r="R123" s="108" t="e">
        <f t="shared" si="460"/>
        <v>#DIV/0!</v>
      </c>
      <c r="S123" s="108" t="e">
        <f t="shared" si="460"/>
        <v>#DIV/0!</v>
      </c>
      <c r="T123" s="108" t="e">
        <f t="shared" ref="T123:U123" si="461">1/T117</f>
        <v>#DIV/0!</v>
      </c>
      <c r="U123" s="108" t="e">
        <f t="shared" si="461"/>
        <v>#DIV/0!</v>
      </c>
      <c r="V123" s="108" t="e">
        <f t="shared" ref="V123" si="462">1/V117</f>
        <v>#DIV/0!</v>
      </c>
      <c r="W123" s="101" t="e">
        <f t="shared" si="204"/>
        <v>#DIV/0!</v>
      </c>
      <c r="X123" s="10"/>
      <c r="Y123" s="108" t="e">
        <f t="shared" ref="Y123:AH123" si="463">1/Y117</f>
        <v>#DIV/0!</v>
      </c>
      <c r="Z123" s="108" t="e">
        <f t="shared" si="463"/>
        <v>#DIV/0!</v>
      </c>
      <c r="AA123" s="108" t="e">
        <f t="shared" si="463"/>
        <v>#DIV/0!</v>
      </c>
      <c r="AB123" s="108" t="e">
        <f t="shared" si="463"/>
        <v>#DIV/0!</v>
      </c>
      <c r="AC123" s="108" t="e">
        <f t="shared" si="463"/>
        <v>#DIV/0!</v>
      </c>
      <c r="AD123" s="108" t="e">
        <f t="shared" si="463"/>
        <v>#DIV/0!</v>
      </c>
      <c r="AE123" s="108" t="e">
        <f t="shared" si="463"/>
        <v>#DIV/0!</v>
      </c>
      <c r="AF123" s="108" t="e">
        <f t="shared" si="463"/>
        <v>#DIV/0!</v>
      </c>
      <c r="AG123" s="108" t="e">
        <f t="shared" si="463"/>
        <v>#DIV/0!</v>
      </c>
      <c r="AH123" s="108" t="e">
        <f t="shared" si="463"/>
        <v>#DIV/0!</v>
      </c>
      <c r="AI123" s="115" t="e">
        <f t="shared" si="386"/>
        <v>#DIV/0!</v>
      </c>
      <c r="AJ123" s="21">
        <f t="shared" si="387"/>
        <v>0.01</v>
      </c>
      <c r="AK123" s="123" t="e">
        <f t="shared" si="230"/>
        <v>#DIV/0!</v>
      </c>
    </row>
    <row r="124" spans="1:37" ht="12" customHeight="1" x14ac:dyDescent="0.2">
      <c r="B124" s="10" t="s">
        <v>346</v>
      </c>
      <c r="C124" s="128"/>
      <c r="D124" s="128"/>
      <c r="E124" s="128"/>
      <c r="F124" s="108"/>
      <c r="G124" s="108">
        <f t="shared" ref="G124" si="464">1/G118</f>
        <v>0.16636915387361656</v>
      </c>
      <c r="H124" s="108" t="e">
        <f t="shared" ref="H124:I124" si="465">1/H118</f>
        <v>#DIV/0!</v>
      </c>
      <c r="I124" s="108" t="e">
        <f t="shared" si="465"/>
        <v>#DIV/0!</v>
      </c>
      <c r="J124" s="108" t="e">
        <f t="shared" si="460"/>
        <v>#DIV/0!</v>
      </c>
      <c r="K124" s="108" t="e">
        <f t="shared" si="460"/>
        <v>#DIV/0!</v>
      </c>
      <c r="L124" s="108" t="e">
        <f t="shared" si="460"/>
        <v>#DIV/0!</v>
      </c>
      <c r="M124" s="108" t="e">
        <f t="shared" si="460"/>
        <v>#DIV/0!</v>
      </c>
      <c r="N124" s="108" t="e">
        <f t="shared" si="460"/>
        <v>#DIV/0!</v>
      </c>
      <c r="O124" s="108" t="e">
        <f t="shared" si="460"/>
        <v>#DIV/0!</v>
      </c>
      <c r="P124" s="108" t="e">
        <f t="shared" si="460"/>
        <v>#DIV/0!</v>
      </c>
      <c r="Q124" s="108" t="e">
        <f t="shared" si="460"/>
        <v>#DIV/0!</v>
      </c>
      <c r="R124" s="108" t="e">
        <f t="shared" si="460"/>
        <v>#DIV/0!</v>
      </c>
      <c r="S124" s="108">
        <f t="shared" si="460"/>
        <v>0.16636915387361656</v>
      </c>
      <c r="T124" s="108">
        <f t="shared" ref="T124:U124" si="466">1/T118</f>
        <v>0.15640828856485034</v>
      </c>
      <c r="U124" s="108">
        <f t="shared" si="466"/>
        <v>0.12336842105263159</v>
      </c>
      <c r="V124" s="108">
        <f t="shared" ref="V124" si="467">1/V118</f>
        <v>-0.21811735102367608</v>
      </c>
      <c r="W124" s="101">
        <f t="shared" si="204"/>
        <v>-2.0944748901273549</v>
      </c>
      <c r="X124" s="10"/>
      <c r="Y124" s="108">
        <f t="shared" ref="Y124:AH124" si="468">1/Y118</f>
        <v>0.12336842105263156</v>
      </c>
      <c r="Z124" s="108">
        <f t="shared" si="468"/>
        <v>0.12336842105263156</v>
      </c>
      <c r="AA124" s="108">
        <f t="shared" si="468"/>
        <v>0.12336842105263153</v>
      </c>
      <c r="AB124" s="108">
        <f t="shared" si="468"/>
        <v>0.12336842105263153</v>
      </c>
      <c r="AC124" s="108">
        <f t="shared" si="468"/>
        <v>0.12336842105263153</v>
      </c>
      <c r="AD124" s="108">
        <f t="shared" si="468"/>
        <v>0.12336842105263153</v>
      </c>
      <c r="AE124" s="108">
        <f t="shared" si="468"/>
        <v>0.12336842105263153</v>
      </c>
      <c r="AF124" s="108">
        <f t="shared" si="468"/>
        <v>0.12336842105263153</v>
      </c>
      <c r="AG124" s="108">
        <f t="shared" si="468"/>
        <v>0.12336842105263153</v>
      </c>
      <c r="AH124" s="108">
        <f t="shared" si="468"/>
        <v>0.12336842105263153</v>
      </c>
      <c r="AI124" s="115" t="e">
        <f t="shared" si="386"/>
        <v>#DIV/0!</v>
      </c>
      <c r="AJ124" s="21">
        <f t="shared" si="387"/>
        <v>0.01</v>
      </c>
      <c r="AK124" s="123" t="e">
        <f t="shared" si="230"/>
        <v>#DIV/0!</v>
      </c>
    </row>
    <row r="125" spans="1:37" ht="12" customHeight="1" x14ac:dyDescent="0.2">
      <c r="B125" s="10" t="s">
        <v>347</v>
      </c>
      <c r="C125" s="128"/>
      <c r="D125" s="128"/>
      <c r="E125" s="128"/>
      <c r="F125" s="108"/>
      <c r="G125" s="108">
        <f t="shared" ref="G125" si="469">1/G119</f>
        <v>0.67832916815423061</v>
      </c>
      <c r="H125" s="108" t="e">
        <f t="shared" ref="H125:I125" si="470">1/H119</f>
        <v>#DIV/0!</v>
      </c>
      <c r="I125" s="108" t="e">
        <f t="shared" si="470"/>
        <v>#DIV/0!</v>
      </c>
      <c r="J125" s="108" t="e">
        <f t="shared" si="460"/>
        <v>#DIV/0!</v>
      </c>
      <c r="K125" s="108" t="e">
        <f t="shared" si="460"/>
        <v>#DIV/0!</v>
      </c>
      <c r="L125" s="108" t="e">
        <f t="shared" si="460"/>
        <v>#DIV/0!</v>
      </c>
      <c r="M125" s="108" t="e">
        <f t="shared" si="460"/>
        <v>#DIV/0!</v>
      </c>
      <c r="N125" s="108" t="e">
        <f t="shared" si="460"/>
        <v>#DIV/0!</v>
      </c>
      <c r="O125" s="108" t="e">
        <f t="shared" si="460"/>
        <v>#DIV/0!</v>
      </c>
      <c r="P125" s="108" t="e">
        <f t="shared" si="460"/>
        <v>#DIV/0!</v>
      </c>
      <c r="Q125" s="108" t="e">
        <f t="shared" si="460"/>
        <v>#DIV/0!</v>
      </c>
      <c r="R125" s="108" t="e">
        <f t="shared" si="460"/>
        <v>#DIV/0!</v>
      </c>
      <c r="S125" s="108">
        <f t="shared" si="460"/>
        <v>0.67832916815423061</v>
      </c>
      <c r="T125" s="108">
        <f t="shared" ref="T125:U125" si="471">1/T119</f>
        <v>0.46600153491941676</v>
      </c>
      <c r="U125" s="108" t="e">
        <f t="shared" si="471"/>
        <v>#DIV/0!</v>
      </c>
      <c r="V125" s="108" t="e">
        <f t="shared" ref="V125" si="472">1/V119</f>
        <v>#DIV/0!</v>
      </c>
      <c r="W125" s="101" t="e">
        <f t="shared" si="204"/>
        <v>#DIV/0!</v>
      </c>
      <c r="X125" s="10"/>
      <c r="Y125" s="108" t="e">
        <f t="shared" ref="Y125:AH125" si="473">1/Y119</f>
        <v>#DIV/0!</v>
      </c>
      <c r="Z125" s="108" t="e">
        <f t="shared" si="473"/>
        <v>#DIV/0!</v>
      </c>
      <c r="AA125" s="108" t="e">
        <f t="shared" si="473"/>
        <v>#DIV/0!</v>
      </c>
      <c r="AB125" s="108" t="e">
        <f t="shared" si="473"/>
        <v>#DIV/0!</v>
      </c>
      <c r="AC125" s="108" t="e">
        <f t="shared" si="473"/>
        <v>#DIV/0!</v>
      </c>
      <c r="AD125" s="108" t="e">
        <f t="shared" si="473"/>
        <v>#DIV/0!</v>
      </c>
      <c r="AE125" s="108" t="e">
        <f t="shared" si="473"/>
        <v>#DIV/0!</v>
      </c>
      <c r="AF125" s="108" t="e">
        <f t="shared" si="473"/>
        <v>#DIV/0!</v>
      </c>
      <c r="AG125" s="108" t="e">
        <f t="shared" si="473"/>
        <v>#DIV/0!</v>
      </c>
      <c r="AH125" s="108" t="e">
        <f t="shared" si="473"/>
        <v>#DIV/0!</v>
      </c>
      <c r="AI125" s="115" t="e">
        <f t="shared" si="386"/>
        <v>#DIV/0!</v>
      </c>
      <c r="AJ125" s="21">
        <f t="shared" si="387"/>
        <v>0.01</v>
      </c>
      <c r="AK125" s="123" t="e">
        <f t="shared" si="230"/>
        <v>#DIV/0!</v>
      </c>
    </row>
    <row r="126" spans="1:37" ht="12" customHeight="1" x14ac:dyDescent="0.2">
      <c r="B126" s="10" t="s">
        <v>348</v>
      </c>
      <c r="C126" s="128"/>
      <c r="D126" s="128"/>
      <c r="E126" s="128"/>
      <c r="F126" s="108"/>
      <c r="G126" s="108" t="e">
        <f t="shared" ref="G126" si="474">1/G120</f>
        <v>#DIV/0!</v>
      </c>
      <c r="H126" s="108" t="e">
        <f t="shared" ref="H126:I126" si="475">1/H120</f>
        <v>#DIV/0!</v>
      </c>
      <c r="I126" s="108" t="e">
        <f t="shared" si="475"/>
        <v>#DIV/0!</v>
      </c>
      <c r="J126" s="108" t="e">
        <f t="shared" si="460"/>
        <v>#DIV/0!</v>
      </c>
      <c r="K126" s="108" t="e">
        <f t="shared" si="460"/>
        <v>#DIV/0!</v>
      </c>
      <c r="L126" s="108" t="e">
        <f t="shared" si="460"/>
        <v>#DIV/0!</v>
      </c>
      <c r="M126" s="108" t="e">
        <f t="shared" si="460"/>
        <v>#DIV/0!</v>
      </c>
      <c r="N126" s="108" t="e">
        <f t="shared" si="460"/>
        <v>#DIV/0!</v>
      </c>
      <c r="O126" s="108" t="e">
        <f t="shared" si="460"/>
        <v>#DIV/0!</v>
      </c>
      <c r="P126" s="108" t="e">
        <f t="shared" si="460"/>
        <v>#DIV/0!</v>
      </c>
      <c r="Q126" s="108" t="e">
        <f t="shared" si="460"/>
        <v>#DIV/0!</v>
      </c>
      <c r="R126" s="108" t="e">
        <f t="shared" si="460"/>
        <v>#DIV/0!</v>
      </c>
      <c r="S126" s="108" t="e">
        <f t="shared" si="460"/>
        <v>#DIV/0!</v>
      </c>
      <c r="T126" s="108" t="e">
        <f t="shared" ref="T126:U126" si="476">1/T120</f>
        <v>#DIV/0!</v>
      </c>
      <c r="U126" s="108" t="e">
        <f t="shared" si="476"/>
        <v>#DIV/0!</v>
      </c>
      <c r="V126" s="108" t="e">
        <f t="shared" ref="V126" si="477">1/V120</f>
        <v>#DIV/0!</v>
      </c>
      <c r="W126" s="101" t="e">
        <f t="shared" si="204"/>
        <v>#DIV/0!</v>
      </c>
      <c r="X126" s="10"/>
      <c r="Y126" s="108" t="e">
        <f t="shared" ref="Y126:AH126" si="478">1/Y120</f>
        <v>#DIV/0!</v>
      </c>
      <c r="Z126" s="108" t="e">
        <f t="shared" si="478"/>
        <v>#DIV/0!</v>
      </c>
      <c r="AA126" s="108" t="e">
        <f t="shared" si="478"/>
        <v>#DIV/0!</v>
      </c>
      <c r="AB126" s="108" t="e">
        <f t="shared" si="478"/>
        <v>#DIV/0!</v>
      </c>
      <c r="AC126" s="108" t="e">
        <f t="shared" si="478"/>
        <v>#DIV/0!</v>
      </c>
      <c r="AD126" s="108" t="e">
        <f t="shared" si="478"/>
        <v>#DIV/0!</v>
      </c>
      <c r="AE126" s="108" t="e">
        <f t="shared" si="478"/>
        <v>#DIV/0!</v>
      </c>
      <c r="AF126" s="108" t="e">
        <f t="shared" si="478"/>
        <v>#DIV/0!</v>
      </c>
      <c r="AG126" s="108" t="e">
        <f t="shared" si="478"/>
        <v>#DIV/0!</v>
      </c>
      <c r="AH126" s="108" t="e">
        <f t="shared" si="478"/>
        <v>#DIV/0!</v>
      </c>
      <c r="AI126" s="115" t="e">
        <f t="shared" si="386"/>
        <v>#DIV/0!</v>
      </c>
      <c r="AJ126" s="21">
        <f t="shared" si="387"/>
        <v>0.01</v>
      </c>
      <c r="AK126" s="123" t="e">
        <f t="shared" si="230"/>
        <v>#DIV/0!</v>
      </c>
    </row>
    <row r="127" spans="1:37" ht="12" customHeight="1" x14ac:dyDescent="0.2">
      <c r="B127" s="10"/>
      <c r="C127" s="128"/>
      <c r="D127" s="128"/>
      <c r="E127" s="128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21"/>
      <c r="V127" s="121"/>
      <c r="W127" s="101" t="e">
        <f t="shared" si="204"/>
        <v>#DIV/0!</v>
      </c>
      <c r="X127" s="10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3"/>
      <c r="AK127" s="123"/>
    </row>
    <row r="128" spans="1:37" ht="12" customHeight="1" x14ac:dyDescent="0.2">
      <c r="A128" s="302" t="s">
        <v>417</v>
      </c>
      <c r="B128" s="175" t="s">
        <v>424</v>
      </c>
      <c r="C128" s="128"/>
      <c r="D128" s="128"/>
      <c r="E128" s="128"/>
      <c r="F128" s="144"/>
      <c r="G128" s="144">
        <f t="shared" ref="G128" si="479">G25/(G36+G38)</f>
        <v>7.2186987814437401E-2</v>
      </c>
      <c r="H128" s="144" t="e">
        <f t="shared" ref="H128:I128" si="480">H25/(H36+H38)</f>
        <v>#DIV/0!</v>
      </c>
      <c r="I128" s="144" t="e">
        <f t="shared" si="480"/>
        <v>#DIV/0!</v>
      </c>
      <c r="J128" s="144" t="e">
        <f t="shared" ref="J128:T128" si="481">J25/(J36+J38)</f>
        <v>#DIV/0!</v>
      </c>
      <c r="K128" s="144" t="e">
        <f t="shared" si="481"/>
        <v>#DIV/0!</v>
      </c>
      <c r="L128" s="144" t="e">
        <f t="shared" si="481"/>
        <v>#DIV/0!</v>
      </c>
      <c r="M128" s="144" t="e">
        <f t="shared" si="481"/>
        <v>#DIV/0!</v>
      </c>
      <c r="N128" s="144" t="e">
        <f t="shared" si="481"/>
        <v>#DIV/0!</v>
      </c>
      <c r="O128" s="144" t="e">
        <f t="shared" si="481"/>
        <v>#DIV/0!</v>
      </c>
      <c r="P128" s="144" t="e">
        <f t="shared" si="481"/>
        <v>#DIV/0!</v>
      </c>
      <c r="Q128" s="144" t="e">
        <f t="shared" si="481"/>
        <v>#DIV/0!</v>
      </c>
      <c r="R128" s="144" t="e">
        <f t="shared" si="481"/>
        <v>#DIV/0!</v>
      </c>
      <c r="S128" s="144">
        <f t="shared" si="481"/>
        <v>7.2151357514430275E-2</v>
      </c>
      <c r="T128" s="144">
        <f t="shared" si="481"/>
        <v>0.10607936332485907</v>
      </c>
      <c r="U128" s="144">
        <f t="shared" ref="U128:V128" si="482">U25/(U36+U38)</f>
        <v>9.7013083189335964E-2</v>
      </c>
      <c r="V128" s="144">
        <f t="shared" si="482"/>
        <v>13142</v>
      </c>
      <c r="W128" s="101">
        <f t="shared" si="204"/>
        <v>55.676216103247889</v>
      </c>
      <c r="X128" s="10"/>
      <c r="Y128" s="144">
        <f t="shared" ref="Y128:AH128" si="483">Y25/(Y36+Y38)</f>
        <v>9.7013083189335964E-2</v>
      </c>
      <c r="Z128" s="144">
        <f t="shared" si="483"/>
        <v>9.7013083189335964E-2</v>
      </c>
      <c r="AA128" s="144">
        <f t="shared" si="483"/>
        <v>9.7013083189335964E-2</v>
      </c>
      <c r="AB128" s="144">
        <f t="shared" si="483"/>
        <v>9.7013083189335964E-2</v>
      </c>
      <c r="AC128" s="144">
        <f t="shared" si="483"/>
        <v>9.7013083189335977E-2</v>
      </c>
      <c r="AD128" s="144">
        <f t="shared" si="483"/>
        <v>9.7013083189335977E-2</v>
      </c>
      <c r="AE128" s="144">
        <f t="shared" si="483"/>
        <v>9.7013083189335991E-2</v>
      </c>
      <c r="AF128" s="144">
        <f t="shared" si="483"/>
        <v>9.7013083189335977E-2</v>
      </c>
      <c r="AG128" s="144">
        <f t="shared" si="483"/>
        <v>9.7013083189335991E-2</v>
      </c>
      <c r="AH128" s="144">
        <f t="shared" si="483"/>
        <v>9.7013083189335991E-2</v>
      </c>
      <c r="AI128" s="115" t="e">
        <f t="shared" ref="AI128:AI136" si="484">((AH128/J128)^(1/($AH$3-$K$1) ))-1</f>
        <v>#DIV/0!</v>
      </c>
      <c r="AJ128" s="21">
        <f t="shared" si="387"/>
        <v>0.01</v>
      </c>
      <c r="AK128" s="123" t="e">
        <f t="shared" si="230"/>
        <v>#DIV/0!</v>
      </c>
    </row>
    <row r="129" spans="1:37" ht="12" customHeight="1" x14ac:dyDescent="0.2">
      <c r="A129" s="302"/>
      <c r="B129" s="175" t="s">
        <v>419</v>
      </c>
      <c r="C129" s="128"/>
      <c r="D129" s="128"/>
      <c r="E129" s="128"/>
      <c r="F129" s="144"/>
      <c r="G129" s="144">
        <f t="shared" ref="G129" si="485">G25/G43</f>
        <v>8.8667148077638466E-2</v>
      </c>
      <c r="H129" s="144" t="e">
        <f t="shared" ref="H129:I129" si="486">H25/H43</f>
        <v>#DIV/0!</v>
      </c>
      <c r="I129" s="144" t="e">
        <f t="shared" si="486"/>
        <v>#DIV/0!</v>
      </c>
      <c r="J129" s="144" t="e">
        <f t="shared" ref="J129:T129" si="487">J25/J43</f>
        <v>#DIV/0!</v>
      </c>
      <c r="K129" s="144" t="e">
        <f t="shared" si="487"/>
        <v>#DIV/0!</v>
      </c>
      <c r="L129" s="144" t="e">
        <f t="shared" si="487"/>
        <v>#DIV/0!</v>
      </c>
      <c r="M129" s="144" t="e">
        <f t="shared" si="487"/>
        <v>#DIV/0!</v>
      </c>
      <c r="N129" s="144" t="e">
        <f t="shared" si="487"/>
        <v>#DIV/0!</v>
      </c>
      <c r="O129" s="144" t="e">
        <f t="shared" si="487"/>
        <v>#DIV/0!</v>
      </c>
      <c r="P129" s="144" t="e">
        <f t="shared" si="487"/>
        <v>#DIV/0!</v>
      </c>
      <c r="Q129" s="144" t="e">
        <f t="shared" si="487"/>
        <v>#DIV/0!</v>
      </c>
      <c r="R129" s="144" t="e">
        <f t="shared" si="487"/>
        <v>#DIV/0!</v>
      </c>
      <c r="S129" s="144">
        <f t="shared" si="487"/>
        <v>8.8623383443839035E-2</v>
      </c>
      <c r="T129" s="144">
        <f t="shared" si="487"/>
        <v>0.19426732252383555</v>
      </c>
      <c r="U129" s="144">
        <f t="shared" ref="U129:V129" si="488">U25/U43</f>
        <v>0.19588221762134805</v>
      </c>
      <c r="V129" s="144" t="e">
        <f t="shared" si="488"/>
        <v>#DIV/0!</v>
      </c>
      <c r="W129" s="101" t="e">
        <f t="shared" si="204"/>
        <v>#DIV/0!</v>
      </c>
      <c r="X129" s="10"/>
      <c r="Y129" s="144">
        <f t="shared" ref="Y129:AH129" si="489">Y25/Y43</f>
        <v>0.19588221762134805</v>
      </c>
      <c r="Z129" s="144">
        <f t="shared" si="489"/>
        <v>0.19588221762134803</v>
      </c>
      <c r="AA129" s="144">
        <f t="shared" si="489"/>
        <v>0.19588221762134803</v>
      </c>
      <c r="AB129" s="144">
        <f t="shared" si="489"/>
        <v>0.19588221762134803</v>
      </c>
      <c r="AC129" s="144">
        <f t="shared" si="489"/>
        <v>0.19588221762134805</v>
      </c>
      <c r="AD129" s="144">
        <f t="shared" si="489"/>
        <v>0.19588221762134803</v>
      </c>
      <c r="AE129" s="144">
        <f t="shared" si="489"/>
        <v>0.19588221762134803</v>
      </c>
      <c r="AF129" s="144">
        <f t="shared" si="489"/>
        <v>0.19588221762134805</v>
      </c>
      <c r="AG129" s="144">
        <f t="shared" si="489"/>
        <v>0.19588221762134808</v>
      </c>
      <c r="AH129" s="144">
        <f t="shared" si="489"/>
        <v>0.19588221762134805</v>
      </c>
      <c r="AI129" s="115" t="e">
        <f t="shared" si="484"/>
        <v>#DIV/0!</v>
      </c>
      <c r="AJ129" s="21">
        <f t="shared" si="387"/>
        <v>0.01</v>
      </c>
      <c r="AK129" s="123" t="e">
        <f t="shared" si="230"/>
        <v>#DIV/0!</v>
      </c>
    </row>
    <row r="130" spans="1:37" ht="12" customHeight="1" x14ac:dyDescent="0.2">
      <c r="A130" s="302"/>
      <c r="B130" s="175" t="s">
        <v>425</v>
      </c>
      <c r="C130" s="128"/>
      <c r="D130" s="128"/>
      <c r="E130" s="128"/>
      <c r="F130" s="144"/>
      <c r="G130" s="144">
        <f t="shared" ref="G130" si="490">G43/(G36)</f>
        <v>5.5601654702518557</v>
      </c>
      <c r="H130" s="144" t="e">
        <f t="shared" ref="H130:I130" si="491">H43/(H36)</f>
        <v>#DIV/0!</v>
      </c>
      <c r="I130" s="144" t="e">
        <f t="shared" si="491"/>
        <v>#DIV/0!</v>
      </c>
      <c r="J130" s="144" t="e">
        <f t="shared" ref="J130:T130" si="492">J43/(J36)</f>
        <v>#DIV/0!</v>
      </c>
      <c r="K130" s="144" t="e">
        <f t="shared" si="492"/>
        <v>#DIV/0!</v>
      </c>
      <c r="L130" s="144" t="e">
        <f t="shared" si="492"/>
        <v>#DIV/0!</v>
      </c>
      <c r="M130" s="144" t="e">
        <f t="shared" si="492"/>
        <v>#DIV/0!</v>
      </c>
      <c r="N130" s="144" t="e">
        <f t="shared" si="492"/>
        <v>#DIV/0!</v>
      </c>
      <c r="O130" s="144" t="e">
        <f t="shared" si="492"/>
        <v>#DIV/0!</v>
      </c>
      <c r="P130" s="144" t="e">
        <f t="shared" si="492"/>
        <v>#DIV/0!</v>
      </c>
      <c r="Q130" s="144" t="e">
        <f t="shared" si="492"/>
        <v>#DIV/0!</v>
      </c>
      <c r="R130" s="144" t="e">
        <f t="shared" si="492"/>
        <v>#DIV/0!</v>
      </c>
      <c r="S130" s="144">
        <f t="shared" si="492"/>
        <v>5.5601654702518557</v>
      </c>
      <c r="T130" s="144">
        <f t="shared" si="492"/>
        <v>1.2286360923199364</v>
      </c>
      <c r="U130" s="144">
        <f t="shared" ref="U130:V130" si="493">U43/(U36)</f>
        <v>1.0858677324673702</v>
      </c>
      <c r="V130" s="144" t="e">
        <f t="shared" si="493"/>
        <v>#DIV/0!</v>
      </c>
      <c r="W130" s="101" t="e">
        <f t="shared" si="204"/>
        <v>#DIV/0!</v>
      </c>
      <c r="X130" s="10"/>
      <c r="Y130" s="144">
        <f t="shared" ref="Y130:AH130" si="494">Y43/(Y36+Y38)</f>
        <v>0.49526232838995121</v>
      </c>
      <c r="Z130" s="144">
        <f t="shared" si="494"/>
        <v>0.49526232838995127</v>
      </c>
      <c r="AA130" s="144">
        <f t="shared" si="494"/>
        <v>0.49526232838995121</v>
      </c>
      <c r="AB130" s="144">
        <f t="shared" si="494"/>
        <v>0.49526232838995127</v>
      </c>
      <c r="AC130" s="144">
        <f t="shared" si="494"/>
        <v>0.49526232838995127</v>
      </c>
      <c r="AD130" s="144">
        <f t="shared" si="494"/>
        <v>0.49526232838995132</v>
      </c>
      <c r="AE130" s="144">
        <f t="shared" si="494"/>
        <v>0.49526232838995138</v>
      </c>
      <c r="AF130" s="144">
        <f t="shared" si="494"/>
        <v>0.49526232838995127</v>
      </c>
      <c r="AG130" s="144">
        <f t="shared" si="494"/>
        <v>0.49526232838995127</v>
      </c>
      <c r="AH130" s="144">
        <f t="shared" si="494"/>
        <v>0.49526232838995132</v>
      </c>
      <c r="AI130" s="115" t="e">
        <f t="shared" si="484"/>
        <v>#DIV/0!</v>
      </c>
      <c r="AJ130" s="21">
        <f t="shared" si="387"/>
        <v>0.01</v>
      </c>
      <c r="AK130" s="123" t="e">
        <f t="shared" si="230"/>
        <v>#DIV/0!</v>
      </c>
    </row>
    <row r="131" spans="1:37" ht="12" customHeight="1" x14ac:dyDescent="0.2">
      <c r="A131" s="302"/>
      <c r="B131" s="175" t="s">
        <v>423</v>
      </c>
      <c r="C131" s="128"/>
      <c r="D131" s="128"/>
      <c r="E131" s="128"/>
      <c r="F131" s="144"/>
      <c r="G131" s="144">
        <f t="shared" ref="G131" si="495">G43/G38</f>
        <v>0.95379124663452508</v>
      </c>
      <c r="H131" s="144" t="e">
        <f t="shared" ref="H131:I131" si="496">H43/H38</f>
        <v>#DIV/0!</v>
      </c>
      <c r="I131" s="144" t="e">
        <f t="shared" si="496"/>
        <v>#DIV/0!</v>
      </c>
      <c r="J131" s="144" t="e">
        <f t="shared" ref="J131:T131" si="497">J43/J38</f>
        <v>#DIV/0!</v>
      </c>
      <c r="K131" s="144" t="e">
        <f t="shared" si="497"/>
        <v>#DIV/0!</v>
      </c>
      <c r="L131" s="144" t="e">
        <f t="shared" si="497"/>
        <v>#DIV/0!</v>
      </c>
      <c r="M131" s="144" t="e">
        <f t="shared" si="497"/>
        <v>#DIV/0!</v>
      </c>
      <c r="N131" s="144" t="e">
        <f t="shared" si="497"/>
        <v>#DIV/0!</v>
      </c>
      <c r="O131" s="144" t="e">
        <f t="shared" si="497"/>
        <v>#DIV/0!</v>
      </c>
      <c r="P131" s="144" t="e">
        <f t="shared" si="497"/>
        <v>#DIV/0!</v>
      </c>
      <c r="Q131" s="144" t="e">
        <f t="shared" si="497"/>
        <v>#DIV/0!</v>
      </c>
      <c r="R131" s="144" t="e">
        <f t="shared" si="497"/>
        <v>#DIV/0!</v>
      </c>
      <c r="S131" s="144">
        <f t="shared" si="497"/>
        <v>0.95379124663452508</v>
      </c>
      <c r="T131" s="144">
        <f t="shared" si="497"/>
        <v>0.9828697624447893</v>
      </c>
      <c r="U131" s="144">
        <f t="shared" ref="U131:V131" si="498">U43/U38</f>
        <v>0.91057307940719534</v>
      </c>
      <c r="V131" s="144">
        <f t="shared" si="498"/>
        <v>0</v>
      </c>
      <c r="W131" s="101">
        <f t="shared" si="204"/>
        <v>-1</v>
      </c>
      <c r="X131" s="10"/>
      <c r="Y131" s="144">
        <f t="shared" ref="Y131:AH131" si="499">Y43/Y38</f>
        <v>0.91057307940719545</v>
      </c>
      <c r="Z131" s="144">
        <f t="shared" si="499"/>
        <v>0.91057307940719556</v>
      </c>
      <c r="AA131" s="144">
        <f t="shared" si="499"/>
        <v>0.91057307940719556</v>
      </c>
      <c r="AB131" s="144">
        <f t="shared" si="499"/>
        <v>0.91057307940719545</v>
      </c>
      <c r="AC131" s="144">
        <f t="shared" si="499"/>
        <v>0.91057307940719556</v>
      </c>
      <c r="AD131" s="144">
        <f t="shared" si="499"/>
        <v>0.91057307940719567</v>
      </c>
      <c r="AE131" s="144">
        <f t="shared" si="499"/>
        <v>0.91057307940719567</v>
      </c>
      <c r="AF131" s="144">
        <f t="shared" si="499"/>
        <v>0.91057307940719567</v>
      </c>
      <c r="AG131" s="144">
        <f t="shared" si="499"/>
        <v>0.91057307940719567</v>
      </c>
      <c r="AH131" s="144">
        <f t="shared" si="499"/>
        <v>0.91057307940719567</v>
      </c>
      <c r="AI131" s="115" t="e">
        <f t="shared" si="484"/>
        <v>#DIV/0!</v>
      </c>
      <c r="AJ131" s="21">
        <f t="shared" si="387"/>
        <v>0.01</v>
      </c>
      <c r="AK131" s="123" t="e">
        <f t="shared" si="230"/>
        <v>#DIV/0!</v>
      </c>
    </row>
    <row r="132" spans="1:37" ht="12" customHeight="1" x14ac:dyDescent="0.2">
      <c r="A132" s="302"/>
      <c r="B132" s="175" t="s">
        <v>422</v>
      </c>
      <c r="C132" s="128"/>
      <c r="D132" s="128"/>
      <c r="E132" s="128"/>
      <c r="F132" s="144"/>
      <c r="G132" s="144">
        <f t="shared" ref="G132" si="500">G43/(G36+G38)</f>
        <v>0.81413454001282692</v>
      </c>
      <c r="H132" s="144" t="e">
        <f t="shared" ref="H132:I132" si="501">H43/(H36+H38)</f>
        <v>#DIV/0!</v>
      </c>
      <c r="I132" s="144" t="e">
        <f t="shared" si="501"/>
        <v>#DIV/0!</v>
      </c>
      <c r="J132" s="144" t="e">
        <f t="shared" ref="J132:T132" si="502">J43/(J36+J38)</f>
        <v>#DIV/0!</v>
      </c>
      <c r="K132" s="144" t="e">
        <f t="shared" si="502"/>
        <v>#DIV/0!</v>
      </c>
      <c r="L132" s="144" t="e">
        <f t="shared" si="502"/>
        <v>#DIV/0!</v>
      </c>
      <c r="M132" s="144" t="e">
        <f t="shared" si="502"/>
        <v>#DIV/0!</v>
      </c>
      <c r="N132" s="144" t="e">
        <f t="shared" si="502"/>
        <v>#DIV/0!</v>
      </c>
      <c r="O132" s="144" t="e">
        <f t="shared" si="502"/>
        <v>#DIV/0!</v>
      </c>
      <c r="P132" s="144" t="e">
        <f t="shared" si="502"/>
        <v>#DIV/0!</v>
      </c>
      <c r="Q132" s="144" t="e">
        <f t="shared" si="502"/>
        <v>#DIV/0!</v>
      </c>
      <c r="R132" s="144" t="e">
        <f t="shared" si="502"/>
        <v>#DIV/0!</v>
      </c>
      <c r="S132" s="144">
        <f t="shared" si="502"/>
        <v>0.81413454001282692</v>
      </c>
      <c r="T132" s="144">
        <f t="shared" si="502"/>
        <v>0.54604841383884162</v>
      </c>
      <c r="U132" s="144">
        <f t="shared" ref="U132:V132" si="503">U43/(U36+U38)</f>
        <v>0.49526232838995121</v>
      </c>
      <c r="V132" s="144">
        <f t="shared" si="503"/>
        <v>0</v>
      </c>
      <c r="W132" s="101">
        <f t="shared" si="204"/>
        <v>-1</v>
      </c>
      <c r="X132" s="10"/>
      <c r="Y132" s="144">
        <f t="shared" ref="Y132:AH132" si="504">Y43/(Y36+Y38)</f>
        <v>0.49526232838995121</v>
      </c>
      <c r="Z132" s="144">
        <f t="shared" si="504"/>
        <v>0.49526232838995127</v>
      </c>
      <c r="AA132" s="144">
        <f t="shared" si="504"/>
        <v>0.49526232838995121</v>
      </c>
      <c r="AB132" s="144">
        <f t="shared" si="504"/>
        <v>0.49526232838995127</v>
      </c>
      <c r="AC132" s="144">
        <f t="shared" si="504"/>
        <v>0.49526232838995127</v>
      </c>
      <c r="AD132" s="144">
        <f t="shared" si="504"/>
        <v>0.49526232838995132</v>
      </c>
      <c r="AE132" s="144">
        <f t="shared" si="504"/>
        <v>0.49526232838995138</v>
      </c>
      <c r="AF132" s="144">
        <f t="shared" si="504"/>
        <v>0.49526232838995127</v>
      </c>
      <c r="AG132" s="144">
        <f t="shared" si="504"/>
        <v>0.49526232838995127</v>
      </c>
      <c r="AH132" s="144">
        <f t="shared" si="504"/>
        <v>0.49526232838995132</v>
      </c>
      <c r="AI132" s="115" t="e">
        <f>((AH132/J132)^(1/($AH$3-$K$1) ))-1</f>
        <v>#DIV/0!</v>
      </c>
      <c r="AJ132" s="21">
        <f t="shared" si="387"/>
        <v>0.01</v>
      </c>
      <c r="AK132" s="123" t="e">
        <f t="shared" si="230"/>
        <v>#DIV/0!</v>
      </c>
    </row>
    <row r="133" spans="1:37" ht="12" customHeight="1" x14ac:dyDescent="0.2">
      <c r="A133" s="302"/>
      <c r="B133" s="175" t="s">
        <v>428</v>
      </c>
      <c r="C133" s="128"/>
      <c r="D133" s="128"/>
      <c r="E133" s="128"/>
      <c r="F133" s="144"/>
      <c r="G133" s="144">
        <f t="shared" ref="G133" si="505">G49/G25</f>
        <v>9.9457058242843038E-2</v>
      </c>
      <c r="H133" s="144" t="e">
        <f t="shared" ref="H133:I133" si="506">H49/H25</f>
        <v>#DIV/0!</v>
      </c>
      <c r="I133" s="144" t="e">
        <f t="shared" si="506"/>
        <v>#DIV/0!</v>
      </c>
      <c r="J133" s="144" t="e">
        <f t="shared" ref="J133:T133" si="507">J49/J25</f>
        <v>#DIV/0!</v>
      </c>
      <c r="K133" s="144" t="e">
        <f t="shared" si="507"/>
        <v>#DIV/0!</v>
      </c>
      <c r="L133" s="144" t="e">
        <f t="shared" si="507"/>
        <v>#DIV/0!</v>
      </c>
      <c r="M133" s="144" t="e">
        <f t="shared" si="507"/>
        <v>#DIV/0!</v>
      </c>
      <c r="N133" s="144" t="e">
        <f t="shared" si="507"/>
        <v>#DIV/0!</v>
      </c>
      <c r="O133" s="144" t="e">
        <f t="shared" si="507"/>
        <v>#DIV/0!</v>
      </c>
      <c r="P133" s="144" t="e">
        <f t="shared" si="507"/>
        <v>#DIV/0!</v>
      </c>
      <c r="Q133" s="144" t="e">
        <f t="shared" si="507"/>
        <v>#DIV/0!</v>
      </c>
      <c r="R133" s="144" t="e">
        <f t="shared" si="507"/>
        <v>#DIV/0!</v>
      </c>
      <c r="S133" s="144">
        <f t="shared" si="507"/>
        <v>9.9506172839506177E-2</v>
      </c>
      <c r="T133" s="144">
        <f t="shared" si="507"/>
        <v>0.10555381890174012</v>
      </c>
      <c r="U133" s="144">
        <f t="shared" ref="U133:V133" si="508">U49/U25</f>
        <v>0.10951262477980035</v>
      </c>
      <c r="V133" s="144">
        <f t="shared" si="508"/>
        <v>0</v>
      </c>
      <c r="W133" s="101">
        <f t="shared" si="204"/>
        <v>-1</v>
      </c>
      <c r="X133" s="10"/>
      <c r="Y133" s="144">
        <f t="shared" ref="Y133:AH133" si="509">Y49/Y25</f>
        <v>0.10951262477980035</v>
      </c>
      <c r="Z133" s="144">
        <f t="shared" si="509"/>
        <v>0.10951262477980035</v>
      </c>
      <c r="AA133" s="144">
        <f t="shared" si="509"/>
        <v>0.10951262477980035</v>
      </c>
      <c r="AB133" s="144">
        <f t="shared" si="509"/>
        <v>0.10951262477980037</v>
      </c>
      <c r="AC133" s="144">
        <f t="shared" si="509"/>
        <v>0.10951262477980037</v>
      </c>
      <c r="AD133" s="144">
        <f t="shared" si="509"/>
        <v>0.10951262477980037</v>
      </c>
      <c r="AE133" s="144">
        <f t="shared" si="509"/>
        <v>0.10951262477980038</v>
      </c>
      <c r="AF133" s="144">
        <f t="shared" si="509"/>
        <v>0.10951262477980038</v>
      </c>
      <c r="AG133" s="144">
        <f t="shared" si="509"/>
        <v>0.10951262477980037</v>
      </c>
      <c r="AH133" s="144">
        <f t="shared" si="509"/>
        <v>0.10951262477980038</v>
      </c>
      <c r="AI133" s="115" t="e">
        <f>((AH133/J133)^(1/($AH$3-$K$1) ))-1</f>
        <v>#DIV/0!</v>
      </c>
      <c r="AJ133" s="21">
        <f t="shared" si="387"/>
        <v>0.01</v>
      </c>
      <c r="AK133" s="123" t="e">
        <f t="shared" si="230"/>
        <v>#DIV/0!</v>
      </c>
    </row>
    <row r="134" spans="1:37" ht="12" customHeight="1" x14ac:dyDescent="0.2">
      <c r="A134" s="302"/>
      <c r="B134" s="175" t="s">
        <v>426</v>
      </c>
      <c r="C134" s="128"/>
      <c r="D134" s="128"/>
      <c r="E134" s="128"/>
      <c r="F134" s="179"/>
      <c r="G134" s="179">
        <f t="shared" ref="G134" si="510">G59/G51</f>
        <v>6.299936459868323E-3</v>
      </c>
      <c r="H134" s="179" t="e">
        <f t="shared" ref="H134:I134" si="511">H59/H51</f>
        <v>#DIV/0!</v>
      </c>
      <c r="I134" s="179" t="e">
        <f t="shared" si="511"/>
        <v>#DIV/0!</v>
      </c>
      <c r="J134" s="179" t="e">
        <f t="shared" ref="J134:T134" si="512">J59/J51</f>
        <v>#DIV/0!</v>
      </c>
      <c r="K134" s="179" t="e">
        <f t="shared" si="512"/>
        <v>#DIV/0!</v>
      </c>
      <c r="L134" s="179" t="e">
        <f t="shared" si="512"/>
        <v>#DIV/0!</v>
      </c>
      <c r="M134" s="179" t="e">
        <f t="shared" si="512"/>
        <v>#DIV/0!</v>
      </c>
      <c r="N134" s="179" t="e">
        <f t="shared" si="512"/>
        <v>#DIV/0!</v>
      </c>
      <c r="O134" s="179" t="e">
        <f t="shared" si="512"/>
        <v>#DIV/0!</v>
      </c>
      <c r="P134" s="179" t="e">
        <f t="shared" si="512"/>
        <v>#DIV/0!</v>
      </c>
      <c r="Q134" s="179" t="e">
        <f t="shared" si="512"/>
        <v>#DIV/0!</v>
      </c>
      <c r="R134" s="179" t="e">
        <f t="shared" si="512"/>
        <v>#DIV/0!</v>
      </c>
      <c r="S134" s="179">
        <f t="shared" si="512"/>
        <v>6.299936459868323E-3</v>
      </c>
      <c r="T134" s="179">
        <f t="shared" si="512"/>
        <v>9.0853163812088193E-3</v>
      </c>
      <c r="U134" s="179">
        <f t="shared" ref="U134:V134" si="513">U59/U51</f>
        <v>6.9551593989602865E-3</v>
      </c>
      <c r="V134" s="179" t="e">
        <f t="shared" si="513"/>
        <v>#DIV/0!</v>
      </c>
      <c r="W134" s="101" t="e">
        <f t="shared" ref="W134:W171" si="514">((V134/G134)^(1/($K$2-$K$1) ))-1</f>
        <v>#DIV/0!</v>
      </c>
      <c r="X134" s="10"/>
      <c r="Y134" s="179">
        <f t="shared" ref="Y134:AH134" si="515">Y59/Y51</f>
        <v>6.9551593989602865E-3</v>
      </c>
      <c r="Z134" s="179">
        <f t="shared" si="515"/>
        <v>6.9551593989602865E-3</v>
      </c>
      <c r="AA134" s="179">
        <f t="shared" si="515"/>
        <v>6.9551593989602856E-3</v>
      </c>
      <c r="AB134" s="179">
        <f t="shared" si="515"/>
        <v>6.9551593989602856E-3</v>
      </c>
      <c r="AC134" s="179">
        <f t="shared" si="515"/>
        <v>6.9551593989602865E-3</v>
      </c>
      <c r="AD134" s="179">
        <f t="shared" si="515"/>
        <v>6.9551593989602865E-3</v>
      </c>
      <c r="AE134" s="179">
        <f t="shared" si="515"/>
        <v>6.9551593989602874E-3</v>
      </c>
      <c r="AF134" s="179">
        <f t="shared" si="515"/>
        <v>6.9551593989602874E-3</v>
      </c>
      <c r="AG134" s="179">
        <f t="shared" si="515"/>
        <v>6.9551593989602865E-3</v>
      </c>
      <c r="AH134" s="179">
        <f t="shared" si="515"/>
        <v>6.9551593989602865E-3</v>
      </c>
      <c r="AI134" s="115" t="e">
        <f>((AH134/J134)^(1/($AH$3-$K$1) ))-1</f>
        <v>#DIV/0!</v>
      </c>
      <c r="AJ134" s="21">
        <f t="shared" si="387"/>
        <v>0.01</v>
      </c>
      <c r="AK134" s="123" t="e">
        <f t="shared" si="230"/>
        <v>#DIV/0!</v>
      </c>
    </row>
    <row r="135" spans="1:37" ht="12" customHeight="1" x14ac:dyDescent="0.2">
      <c r="A135" s="302"/>
      <c r="B135" s="175" t="s">
        <v>420</v>
      </c>
      <c r="C135" s="128"/>
      <c r="D135" s="128"/>
      <c r="E135" s="128"/>
      <c r="F135" s="144"/>
      <c r="G135" s="144">
        <f t="shared" ref="G135" si="516">G59/G43</f>
        <v>1.0197159675266416E-2</v>
      </c>
      <c r="H135" s="144" t="e">
        <f t="shared" ref="H135:I135" si="517">H59/H43</f>
        <v>#DIV/0!</v>
      </c>
      <c r="I135" s="144" t="e">
        <f t="shared" si="517"/>
        <v>#DIV/0!</v>
      </c>
      <c r="J135" s="144" t="e">
        <f t="shared" ref="J135:T135" si="518">J59/J43</f>
        <v>#DIV/0!</v>
      </c>
      <c r="K135" s="144" t="e">
        <f t="shared" si="518"/>
        <v>#DIV/0!</v>
      </c>
      <c r="L135" s="144" t="e">
        <f t="shared" si="518"/>
        <v>#DIV/0!</v>
      </c>
      <c r="M135" s="144" t="e">
        <f t="shared" si="518"/>
        <v>#DIV/0!</v>
      </c>
      <c r="N135" s="144" t="e">
        <f t="shared" si="518"/>
        <v>#DIV/0!</v>
      </c>
      <c r="O135" s="144" t="e">
        <f t="shared" si="518"/>
        <v>#DIV/0!</v>
      </c>
      <c r="P135" s="144" t="e">
        <f t="shared" si="518"/>
        <v>#DIV/0!</v>
      </c>
      <c r="Q135" s="144" t="e">
        <f t="shared" si="518"/>
        <v>#DIV/0!</v>
      </c>
      <c r="R135" s="144" t="e">
        <f t="shared" si="518"/>
        <v>#DIV/0!</v>
      </c>
      <c r="S135" s="144">
        <f t="shared" si="518"/>
        <v>1.0197159675266416E-2</v>
      </c>
      <c r="T135" s="144">
        <f t="shared" si="518"/>
        <v>2.0627112811481548E-2</v>
      </c>
      <c r="U135" s="144">
        <f t="shared" ref="U135:V135" si="519">U59/U43</f>
        <v>1.685070163331033E-2</v>
      </c>
      <c r="V135" s="144" t="e">
        <f t="shared" si="519"/>
        <v>#DIV/0!</v>
      </c>
      <c r="W135" s="101" t="e">
        <f t="shared" si="514"/>
        <v>#DIV/0!</v>
      </c>
      <c r="X135" s="10"/>
      <c r="Y135" s="144">
        <f t="shared" ref="Y135:AH135" si="520">Y59/Y43</f>
        <v>1.6850701633310327E-2</v>
      </c>
      <c r="Z135" s="144">
        <f t="shared" si="520"/>
        <v>1.6850701633310327E-2</v>
      </c>
      <c r="AA135" s="144">
        <f t="shared" si="520"/>
        <v>1.6850701633310324E-2</v>
      </c>
      <c r="AB135" s="144">
        <f t="shared" si="520"/>
        <v>1.6850701633310324E-2</v>
      </c>
      <c r="AC135" s="144">
        <f t="shared" si="520"/>
        <v>1.6850701633310324E-2</v>
      </c>
      <c r="AD135" s="144">
        <f t="shared" si="520"/>
        <v>1.6850701633310324E-2</v>
      </c>
      <c r="AE135" s="144">
        <f t="shared" si="520"/>
        <v>1.6850701633310324E-2</v>
      </c>
      <c r="AF135" s="144">
        <f t="shared" si="520"/>
        <v>1.6850701633310327E-2</v>
      </c>
      <c r="AG135" s="144">
        <f t="shared" si="520"/>
        <v>1.6850701633310327E-2</v>
      </c>
      <c r="AH135" s="144">
        <f t="shared" si="520"/>
        <v>1.6850701633310327E-2</v>
      </c>
      <c r="AI135" s="115" t="e">
        <f t="shared" si="484"/>
        <v>#DIV/0!</v>
      </c>
      <c r="AJ135" s="21">
        <f t="shared" si="387"/>
        <v>0.01</v>
      </c>
      <c r="AK135" s="123" t="e">
        <f t="shared" si="230"/>
        <v>#DIV/0!</v>
      </c>
    </row>
    <row r="136" spans="1:37" ht="12" customHeight="1" x14ac:dyDescent="0.2">
      <c r="A136" s="302"/>
      <c r="B136" s="175" t="s">
        <v>421</v>
      </c>
      <c r="C136" s="128"/>
      <c r="D136" s="128"/>
      <c r="E136" s="128"/>
      <c r="F136" s="144"/>
      <c r="G136" s="144">
        <f t="shared" ref="G136" si="521">G59/(G36+G38)</f>
        <v>8.3018599016603713E-3</v>
      </c>
      <c r="H136" s="144" t="e">
        <f t="shared" ref="H136:I136" si="522">H59/(H36+H38)</f>
        <v>#DIV/0!</v>
      </c>
      <c r="I136" s="144" t="e">
        <f t="shared" si="522"/>
        <v>#DIV/0!</v>
      </c>
      <c r="J136" s="144" t="e">
        <f t="shared" ref="J136:T136" si="523">J59/(J36+J38)</f>
        <v>#DIV/0!</v>
      </c>
      <c r="K136" s="144" t="e">
        <f t="shared" si="523"/>
        <v>#DIV/0!</v>
      </c>
      <c r="L136" s="144" t="e">
        <f t="shared" si="523"/>
        <v>#DIV/0!</v>
      </c>
      <c r="M136" s="144" t="e">
        <f t="shared" si="523"/>
        <v>#DIV/0!</v>
      </c>
      <c r="N136" s="144" t="e">
        <f t="shared" si="523"/>
        <v>#DIV/0!</v>
      </c>
      <c r="O136" s="144" t="e">
        <f t="shared" si="523"/>
        <v>#DIV/0!</v>
      </c>
      <c r="P136" s="144" t="e">
        <f t="shared" si="523"/>
        <v>#DIV/0!</v>
      </c>
      <c r="Q136" s="144" t="e">
        <f t="shared" si="523"/>
        <v>#DIV/0!</v>
      </c>
      <c r="R136" s="144" t="e">
        <f t="shared" si="523"/>
        <v>#DIV/0!</v>
      </c>
      <c r="S136" s="144">
        <f t="shared" si="523"/>
        <v>8.3018599016603713E-3</v>
      </c>
      <c r="T136" s="144">
        <f t="shared" si="523"/>
        <v>1.1263402232784348E-2</v>
      </c>
      <c r="U136" s="144">
        <f t="shared" ref="U136:V136" si="524">U59/(U36+U38)</f>
        <v>8.3455177259176266E-3</v>
      </c>
      <c r="V136" s="144">
        <f t="shared" si="524"/>
        <v>-1907</v>
      </c>
      <c r="W136" s="101">
        <f t="shared" si="514"/>
        <v>-62.243278427795026</v>
      </c>
      <c r="X136" s="10"/>
      <c r="Y136" s="144">
        <f t="shared" ref="Y136:AH136" si="525">Y59/(Y36+Y38)</f>
        <v>8.3455177259176266E-3</v>
      </c>
      <c r="Z136" s="144">
        <f t="shared" si="525"/>
        <v>8.3455177259176266E-3</v>
      </c>
      <c r="AA136" s="144">
        <f t="shared" si="525"/>
        <v>8.3455177259176248E-3</v>
      </c>
      <c r="AB136" s="144">
        <f t="shared" si="525"/>
        <v>8.3455177259176266E-3</v>
      </c>
      <c r="AC136" s="144">
        <f t="shared" si="525"/>
        <v>8.3455177259176266E-3</v>
      </c>
      <c r="AD136" s="144">
        <f t="shared" si="525"/>
        <v>8.3455177259176266E-3</v>
      </c>
      <c r="AE136" s="144">
        <f t="shared" si="525"/>
        <v>8.3455177259176283E-3</v>
      </c>
      <c r="AF136" s="144">
        <f t="shared" si="525"/>
        <v>8.3455177259176266E-3</v>
      </c>
      <c r="AG136" s="144">
        <f t="shared" si="525"/>
        <v>8.3455177259176283E-3</v>
      </c>
      <c r="AH136" s="144">
        <f t="shared" si="525"/>
        <v>8.3455177259176266E-3</v>
      </c>
      <c r="AI136" s="115" t="e">
        <f t="shared" si="484"/>
        <v>#DIV/0!</v>
      </c>
      <c r="AJ136" s="21">
        <f t="shared" si="387"/>
        <v>0.01</v>
      </c>
      <c r="AK136" s="123" t="e">
        <f t="shared" si="230"/>
        <v>#DIV/0!</v>
      </c>
    </row>
    <row r="137" spans="1:37" ht="12" customHeight="1" x14ac:dyDescent="0.2">
      <c r="B137" s="10"/>
      <c r="C137" s="128"/>
      <c r="D137" s="128"/>
      <c r="E137" s="128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21"/>
      <c r="V137" s="121"/>
      <c r="W137" s="101" t="e">
        <f t="shared" si="514"/>
        <v>#DIV/0!</v>
      </c>
      <c r="X137" s="10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77"/>
      <c r="AJ137" s="123"/>
      <c r="AK137" s="123"/>
    </row>
    <row r="138" spans="1:37" x14ac:dyDescent="0.2">
      <c r="B138" s="10" t="s">
        <v>270</v>
      </c>
      <c r="C138" s="128"/>
      <c r="D138" s="128"/>
      <c r="E138" s="128"/>
      <c r="F138" s="136"/>
      <c r="G138" s="136">
        <f t="shared" ref="G138" si="526">G10-(G12+G13)</f>
        <v>34141</v>
      </c>
      <c r="H138" s="136">
        <f t="shared" ref="H138:I138" si="527">H10-(H12+H13)</f>
        <v>0</v>
      </c>
      <c r="I138" s="136">
        <f t="shared" si="527"/>
        <v>0</v>
      </c>
      <c r="J138" s="136">
        <f t="shared" ref="J138:T138" si="528">J10-(J12+J13)</f>
        <v>0</v>
      </c>
      <c r="K138" s="136">
        <f t="shared" si="528"/>
        <v>0</v>
      </c>
      <c r="L138" s="136">
        <f t="shared" si="528"/>
        <v>0</v>
      </c>
      <c r="M138" s="136">
        <f t="shared" si="528"/>
        <v>0</v>
      </c>
      <c r="N138" s="136">
        <f t="shared" si="528"/>
        <v>0</v>
      </c>
      <c r="O138" s="136">
        <f t="shared" si="528"/>
        <v>0</v>
      </c>
      <c r="P138" s="136">
        <f t="shared" si="528"/>
        <v>0</v>
      </c>
      <c r="Q138" s="136">
        <f t="shared" si="528"/>
        <v>0</v>
      </c>
      <c r="R138" s="136">
        <f t="shared" si="528"/>
        <v>0</v>
      </c>
      <c r="S138" s="136">
        <f t="shared" si="528"/>
        <v>34141</v>
      </c>
      <c r="T138" s="136">
        <f t="shared" si="528"/>
        <v>36963</v>
      </c>
      <c r="U138" s="136">
        <f t="shared" ref="U138:V138" si="529">U10-(U12+U13)</f>
        <v>44422</v>
      </c>
      <c r="V138" s="136">
        <f t="shared" si="529"/>
        <v>82091</v>
      </c>
      <c r="W138" s="101">
        <f t="shared" si="514"/>
        <v>0.33969654136524241</v>
      </c>
      <c r="X138" s="10"/>
      <c r="Y138" s="136">
        <f t="shared" ref="Y138:AH138" si="530">Y10-(Y12+Y13)</f>
        <v>51085.3</v>
      </c>
      <c r="Z138" s="136">
        <f t="shared" si="530"/>
        <v>58748.095000000001</v>
      </c>
      <c r="AA138" s="136">
        <f t="shared" si="530"/>
        <v>67560.309250000006</v>
      </c>
      <c r="AB138" s="136">
        <f t="shared" si="530"/>
        <v>77694.355637500019</v>
      </c>
      <c r="AC138" s="136">
        <f t="shared" si="530"/>
        <v>89348.508983125008</v>
      </c>
      <c r="AD138" s="136">
        <f t="shared" si="530"/>
        <v>102750.78533059376</v>
      </c>
      <c r="AE138" s="136">
        <f t="shared" si="530"/>
        <v>118163.40313018285</v>
      </c>
      <c r="AF138" s="136">
        <f t="shared" si="530"/>
        <v>135887.91359971024</v>
      </c>
      <c r="AG138" s="136">
        <f t="shared" si="530"/>
        <v>156271.10063966678</v>
      </c>
      <c r="AH138" s="136">
        <f t="shared" si="530"/>
        <v>179711.76573561676</v>
      </c>
      <c r="AI138" s="115" t="e">
        <f t="shared" si="386"/>
        <v>#DIV/0!</v>
      </c>
      <c r="AJ138" s="21">
        <f t="shared" si="387"/>
        <v>0.01</v>
      </c>
      <c r="AK138" s="123" t="e">
        <f t="shared" si="230"/>
        <v>#DIV/0!</v>
      </c>
    </row>
    <row r="139" spans="1:37" ht="12" customHeight="1" x14ac:dyDescent="0.2">
      <c r="B139" s="10" t="s">
        <v>265</v>
      </c>
      <c r="C139" s="10"/>
      <c r="D139" s="10"/>
      <c r="E139" s="10"/>
      <c r="F139" s="128"/>
      <c r="G139" s="128" t="e">
        <f t="shared" ref="G139" si="531">G59/G18</f>
        <v>#DIV/0!</v>
      </c>
      <c r="H139" s="128" t="e">
        <f t="shared" ref="H139:I139" si="532">H59/H18</f>
        <v>#DIV/0!</v>
      </c>
      <c r="I139" s="128" t="e">
        <f t="shared" si="532"/>
        <v>#DIV/0!</v>
      </c>
      <c r="J139" s="128" t="e">
        <f t="shared" ref="J139:T139" si="533">J59/J18</f>
        <v>#DIV/0!</v>
      </c>
      <c r="K139" s="128" t="e">
        <f t="shared" si="533"/>
        <v>#DIV/0!</v>
      </c>
      <c r="L139" s="128" t="e">
        <f t="shared" si="533"/>
        <v>#DIV/0!</v>
      </c>
      <c r="M139" s="128" t="e">
        <f t="shared" si="533"/>
        <v>#DIV/0!</v>
      </c>
      <c r="N139" s="128" t="e">
        <f t="shared" si="533"/>
        <v>#DIV/0!</v>
      </c>
      <c r="O139" s="128" t="e">
        <f t="shared" si="533"/>
        <v>#DIV/0!</v>
      </c>
      <c r="P139" s="128" t="e">
        <f t="shared" si="533"/>
        <v>#DIV/0!</v>
      </c>
      <c r="Q139" s="128" t="e">
        <f t="shared" si="533"/>
        <v>#DIV/0!</v>
      </c>
      <c r="R139" s="128" t="e">
        <f t="shared" si="533"/>
        <v>#DIV/0!</v>
      </c>
      <c r="S139" s="128" t="e">
        <f t="shared" si="533"/>
        <v>#DIV/0!</v>
      </c>
      <c r="T139" s="128" t="e">
        <f t="shared" si="533"/>
        <v>#DIV/0!</v>
      </c>
      <c r="U139" s="128" t="e">
        <f t="shared" ref="U139:V139" si="534">U59/U18</f>
        <v>#DIV/0!</v>
      </c>
      <c r="V139" s="128" t="e">
        <f t="shared" si="534"/>
        <v>#DIV/0!</v>
      </c>
      <c r="W139" s="101" t="e">
        <f t="shared" si="514"/>
        <v>#DIV/0!</v>
      </c>
      <c r="X139" s="10"/>
      <c r="Y139" s="128" t="e">
        <f t="shared" ref="Y139:AH139" si="535">Y59/Y18</f>
        <v>#DIV/0!</v>
      </c>
      <c r="Z139" s="128" t="e">
        <f t="shared" si="535"/>
        <v>#DIV/0!</v>
      </c>
      <c r="AA139" s="128" t="e">
        <f t="shared" si="535"/>
        <v>#DIV/0!</v>
      </c>
      <c r="AB139" s="128" t="e">
        <f t="shared" si="535"/>
        <v>#DIV/0!</v>
      </c>
      <c r="AC139" s="128" t="e">
        <f t="shared" si="535"/>
        <v>#DIV/0!</v>
      </c>
      <c r="AD139" s="128" t="e">
        <f t="shared" si="535"/>
        <v>#DIV/0!</v>
      </c>
      <c r="AE139" s="128" t="e">
        <f t="shared" si="535"/>
        <v>#DIV/0!</v>
      </c>
      <c r="AF139" s="128" t="e">
        <f t="shared" si="535"/>
        <v>#DIV/0!</v>
      </c>
      <c r="AG139" s="128" t="e">
        <f t="shared" si="535"/>
        <v>#DIV/0!</v>
      </c>
      <c r="AH139" s="128" t="e">
        <f t="shared" si="535"/>
        <v>#DIV/0!</v>
      </c>
      <c r="AI139" s="115" t="e">
        <f t="shared" si="386"/>
        <v>#DIV/0!</v>
      </c>
      <c r="AJ139" s="21">
        <f t="shared" si="387"/>
        <v>0.01</v>
      </c>
      <c r="AK139" s="123" t="e">
        <f t="shared" ref="AK139:AK171" si="536">(AH139*(1+AJ139))/($O$1-AJ139)</f>
        <v>#DIV/0!</v>
      </c>
    </row>
    <row r="140" spans="1:37" x14ac:dyDescent="0.2">
      <c r="B140" s="10" t="s">
        <v>266</v>
      </c>
      <c r="C140" s="10"/>
      <c r="D140" s="10"/>
      <c r="E140" s="10"/>
      <c r="F140" s="128"/>
      <c r="G140" s="128">
        <f t="shared" ref="G140" si="537">G59/G25</f>
        <v>0.11500493583415597</v>
      </c>
      <c r="H140" s="128" t="e">
        <f t="shared" ref="H140:I140" si="538">H59/H25</f>
        <v>#DIV/0!</v>
      </c>
      <c r="I140" s="128" t="e">
        <f t="shared" si="538"/>
        <v>#DIV/0!</v>
      </c>
      <c r="J140" s="128" t="e">
        <f t="shared" ref="J140:T140" si="539">J59/J25</f>
        <v>#DIV/0!</v>
      </c>
      <c r="K140" s="128" t="e">
        <f t="shared" si="539"/>
        <v>#DIV/0!</v>
      </c>
      <c r="L140" s="128" t="e">
        <f t="shared" si="539"/>
        <v>#DIV/0!</v>
      </c>
      <c r="M140" s="128" t="e">
        <f t="shared" si="539"/>
        <v>#DIV/0!</v>
      </c>
      <c r="N140" s="128" t="e">
        <f t="shared" si="539"/>
        <v>#DIV/0!</v>
      </c>
      <c r="O140" s="128" t="e">
        <f t="shared" si="539"/>
        <v>#DIV/0!</v>
      </c>
      <c r="P140" s="128" t="e">
        <f t="shared" si="539"/>
        <v>#DIV/0!</v>
      </c>
      <c r="Q140" s="128" t="e">
        <f t="shared" si="539"/>
        <v>#DIV/0!</v>
      </c>
      <c r="R140" s="128" t="e">
        <f t="shared" si="539"/>
        <v>#DIV/0!</v>
      </c>
      <c r="S140" s="128">
        <f t="shared" si="539"/>
        <v>0.11506172839506174</v>
      </c>
      <c r="T140" s="128">
        <f t="shared" si="539"/>
        <v>0.10617901427529436</v>
      </c>
      <c r="U140" s="128">
        <f t="shared" ref="U140:V140" si="540">U59/U25</f>
        <v>8.6024662360540224E-2</v>
      </c>
      <c r="V140" s="128">
        <f t="shared" si="540"/>
        <v>-0.14510728960584385</v>
      </c>
      <c r="W140" s="101">
        <f t="shared" si="514"/>
        <v>-2.0805816379171684</v>
      </c>
      <c r="X140" s="10"/>
      <c r="Y140" s="128">
        <f t="shared" ref="Y140:AH140" si="541">Y59/Y25</f>
        <v>8.6024662360540224E-2</v>
      </c>
      <c r="Z140" s="128">
        <f t="shared" si="541"/>
        <v>8.6024662360540211E-2</v>
      </c>
      <c r="AA140" s="128">
        <f t="shared" si="541"/>
        <v>8.6024662360540211E-2</v>
      </c>
      <c r="AB140" s="128">
        <f t="shared" si="541"/>
        <v>8.6024662360540211E-2</v>
      </c>
      <c r="AC140" s="128">
        <f t="shared" si="541"/>
        <v>8.6024662360540197E-2</v>
      </c>
      <c r="AD140" s="128">
        <f t="shared" si="541"/>
        <v>8.6024662360540211E-2</v>
      </c>
      <c r="AE140" s="128">
        <f t="shared" si="541"/>
        <v>8.6024662360540211E-2</v>
      </c>
      <c r="AF140" s="128">
        <f t="shared" si="541"/>
        <v>8.6024662360540211E-2</v>
      </c>
      <c r="AG140" s="128">
        <f t="shared" si="541"/>
        <v>8.6024662360540211E-2</v>
      </c>
      <c r="AH140" s="128">
        <f t="shared" si="541"/>
        <v>8.6024662360540197E-2</v>
      </c>
      <c r="AI140" s="115" t="e">
        <f t="shared" si="386"/>
        <v>#DIV/0!</v>
      </c>
      <c r="AJ140" s="21">
        <f t="shared" si="387"/>
        <v>0.01</v>
      </c>
      <c r="AK140" s="123" t="e">
        <f t="shared" si="536"/>
        <v>#DIV/0!</v>
      </c>
    </row>
    <row r="141" spans="1:37" x14ac:dyDescent="0.2">
      <c r="B141" s="10" t="s">
        <v>290</v>
      </c>
      <c r="C141" s="10"/>
      <c r="D141" s="10"/>
      <c r="E141" s="128"/>
      <c r="F141" s="128"/>
      <c r="G141" s="128" t="e">
        <f t="shared" ref="G141" si="542">G25/G18</f>
        <v>#DIV/0!</v>
      </c>
      <c r="H141" s="128" t="e">
        <f t="shared" ref="H141:I141" si="543">H25/H18</f>
        <v>#DIV/0!</v>
      </c>
      <c r="I141" s="128" t="e">
        <f t="shared" si="543"/>
        <v>#DIV/0!</v>
      </c>
      <c r="J141" s="128" t="e">
        <f t="shared" ref="J141:T141" si="544">J25/J18</f>
        <v>#DIV/0!</v>
      </c>
      <c r="K141" s="128" t="e">
        <f t="shared" si="544"/>
        <v>#DIV/0!</v>
      </c>
      <c r="L141" s="128" t="e">
        <f t="shared" si="544"/>
        <v>#DIV/0!</v>
      </c>
      <c r="M141" s="128" t="e">
        <f t="shared" si="544"/>
        <v>#DIV/0!</v>
      </c>
      <c r="N141" s="128" t="e">
        <f t="shared" si="544"/>
        <v>#DIV/0!</v>
      </c>
      <c r="O141" s="128" t="e">
        <f t="shared" si="544"/>
        <v>#DIV/0!</v>
      </c>
      <c r="P141" s="128" t="e">
        <f t="shared" si="544"/>
        <v>#DIV/0!</v>
      </c>
      <c r="Q141" s="128" t="e">
        <f t="shared" si="544"/>
        <v>#DIV/0!</v>
      </c>
      <c r="R141" s="128" t="e">
        <f t="shared" si="544"/>
        <v>#DIV/0!</v>
      </c>
      <c r="S141" s="128" t="e">
        <f t="shared" si="544"/>
        <v>#DIV/0!</v>
      </c>
      <c r="T141" s="128" t="e">
        <f t="shared" si="544"/>
        <v>#DIV/0!</v>
      </c>
      <c r="U141" s="128" t="e">
        <f t="shared" ref="U141:V141" si="545">U25/U18</f>
        <v>#DIV/0!</v>
      </c>
      <c r="V141" s="128" t="e">
        <f t="shared" si="545"/>
        <v>#DIV/0!</v>
      </c>
      <c r="W141" s="101" t="e">
        <f t="shared" si="514"/>
        <v>#DIV/0!</v>
      </c>
      <c r="X141" s="10"/>
      <c r="Y141" s="128" t="e">
        <f t="shared" ref="Y141:AH141" si="546">Y25/Y18</f>
        <v>#DIV/0!</v>
      </c>
      <c r="Z141" s="128" t="e">
        <f t="shared" si="546"/>
        <v>#DIV/0!</v>
      </c>
      <c r="AA141" s="128" t="e">
        <f t="shared" si="546"/>
        <v>#DIV/0!</v>
      </c>
      <c r="AB141" s="128" t="e">
        <f t="shared" si="546"/>
        <v>#DIV/0!</v>
      </c>
      <c r="AC141" s="128" t="e">
        <f t="shared" si="546"/>
        <v>#DIV/0!</v>
      </c>
      <c r="AD141" s="128" t="e">
        <f t="shared" si="546"/>
        <v>#DIV/0!</v>
      </c>
      <c r="AE141" s="128" t="e">
        <f t="shared" si="546"/>
        <v>#DIV/0!</v>
      </c>
      <c r="AF141" s="128" t="e">
        <f t="shared" si="546"/>
        <v>#DIV/0!</v>
      </c>
      <c r="AG141" s="128" t="e">
        <f t="shared" si="546"/>
        <v>#DIV/0!</v>
      </c>
      <c r="AH141" s="128" t="e">
        <f t="shared" si="546"/>
        <v>#DIV/0!</v>
      </c>
      <c r="AI141" s="115" t="e">
        <f t="shared" si="386"/>
        <v>#DIV/0!</v>
      </c>
      <c r="AJ141" s="21">
        <f t="shared" si="387"/>
        <v>0.01</v>
      </c>
      <c r="AK141" s="123" t="e">
        <f t="shared" si="536"/>
        <v>#DIV/0!</v>
      </c>
    </row>
    <row r="142" spans="1:37" x14ac:dyDescent="0.2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21"/>
      <c r="W142" s="101" t="e">
        <f t="shared" si="514"/>
        <v>#DIV/0!</v>
      </c>
      <c r="X142" s="10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09"/>
      <c r="AJ142" s="123"/>
      <c r="AK142" s="123"/>
    </row>
    <row r="143" spans="1:37" x14ac:dyDescent="0.2">
      <c r="B143" s="10" t="s">
        <v>278</v>
      </c>
      <c r="C143" s="10"/>
      <c r="D143" s="10"/>
      <c r="E143" s="138"/>
      <c r="F143" s="138"/>
      <c r="G143" s="138">
        <f t="shared" ref="G143" si="547">G92*G61</f>
        <v>0</v>
      </c>
      <c r="H143" s="138">
        <f t="shared" ref="H143:I143" si="548">H92*H61</f>
        <v>0</v>
      </c>
      <c r="I143" s="138">
        <f t="shared" si="548"/>
        <v>0</v>
      </c>
      <c r="J143" s="138">
        <f t="shared" ref="J143:T143" si="549">J92*J61</f>
        <v>0</v>
      </c>
      <c r="K143" s="138">
        <f t="shared" si="549"/>
        <v>0</v>
      </c>
      <c r="L143" s="138">
        <f t="shared" si="549"/>
        <v>0</v>
      </c>
      <c r="M143" s="138">
        <f t="shared" si="549"/>
        <v>0</v>
      </c>
      <c r="N143" s="138">
        <f t="shared" si="549"/>
        <v>0</v>
      </c>
      <c r="O143" s="138">
        <f t="shared" si="549"/>
        <v>0</v>
      </c>
      <c r="P143" s="138">
        <f t="shared" si="549"/>
        <v>0</v>
      </c>
      <c r="Q143" s="138">
        <f t="shared" si="549"/>
        <v>0</v>
      </c>
      <c r="R143" s="138">
        <f t="shared" si="549"/>
        <v>0</v>
      </c>
      <c r="S143" s="138">
        <f t="shared" si="549"/>
        <v>0</v>
      </c>
      <c r="T143" s="138">
        <f t="shared" si="549"/>
        <v>0</v>
      </c>
      <c r="U143" s="138">
        <f t="shared" ref="U143:V143" si="550">U92*U61</f>
        <v>0</v>
      </c>
      <c r="V143" s="138">
        <f t="shared" si="550"/>
        <v>0</v>
      </c>
      <c r="W143" s="101" t="e">
        <f t="shared" si="514"/>
        <v>#DIV/0!</v>
      </c>
      <c r="X143" s="10"/>
      <c r="Y143" s="138">
        <f t="shared" ref="Y143:AH143" si="551">Y92*Y61</f>
        <v>0</v>
      </c>
      <c r="Z143" s="138">
        <f t="shared" si="551"/>
        <v>0</v>
      </c>
      <c r="AA143" s="138">
        <f t="shared" si="551"/>
        <v>0</v>
      </c>
      <c r="AB143" s="138">
        <f t="shared" si="551"/>
        <v>0</v>
      </c>
      <c r="AC143" s="138">
        <f t="shared" si="551"/>
        <v>0</v>
      </c>
      <c r="AD143" s="138">
        <f t="shared" si="551"/>
        <v>0</v>
      </c>
      <c r="AE143" s="138">
        <f t="shared" si="551"/>
        <v>0</v>
      </c>
      <c r="AF143" s="138">
        <f t="shared" si="551"/>
        <v>0</v>
      </c>
      <c r="AG143" s="138">
        <f t="shared" si="551"/>
        <v>0</v>
      </c>
      <c r="AH143" s="138">
        <f t="shared" si="551"/>
        <v>0</v>
      </c>
      <c r="AI143" s="115" t="e">
        <f t="shared" si="386"/>
        <v>#DIV/0!</v>
      </c>
      <c r="AJ143" s="21">
        <f t="shared" si="387"/>
        <v>0.01</v>
      </c>
      <c r="AK143" s="123" t="e">
        <f t="shared" si="536"/>
        <v>#DIV/0!</v>
      </c>
    </row>
    <row r="144" spans="1:37" x14ac:dyDescent="0.2">
      <c r="B144" s="10" t="s">
        <v>279</v>
      </c>
      <c r="C144" s="10"/>
      <c r="D144" s="10"/>
      <c r="E144" s="138"/>
      <c r="F144" s="138"/>
      <c r="G144" s="138">
        <f t="shared" ref="G144" si="552">(G143*0.17)+G143</f>
        <v>0</v>
      </c>
      <c r="H144" s="138">
        <f t="shared" ref="H144:I144" si="553">(H143*0.17)+H143</f>
        <v>0</v>
      </c>
      <c r="I144" s="138">
        <f t="shared" si="553"/>
        <v>0</v>
      </c>
      <c r="J144" s="138">
        <f t="shared" ref="J144:S144" si="554">(J143*0.17)+J143</f>
        <v>0</v>
      </c>
      <c r="K144" s="138">
        <f t="shared" si="554"/>
        <v>0</v>
      </c>
      <c r="L144" s="138">
        <f t="shared" si="554"/>
        <v>0</v>
      </c>
      <c r="M144" s="138">
        <f t="shared" si="554"/>
        <v>0</v>
      </c>
      <c r="N144" s="138">
        <f t="shared" si="554"/>
        <v>0</v>
      </c>
      <c r="O144" s="138">
        <f t="shared" si="554"/>
        <v>0</v>
      </c>
      <c r="P144" s="138">
        <f t="shared" si="554"/>
        <v>0</v>
      </c>
      <c r="Q144" s="138">
        <f t="shared" si="554"/>
        <v>0</v>
      </c>
      <c r="R144" s="138">
        <f t="shared" si="554"/>
        <v>0</v>
      </c>
      <c r="S144" s="138">
        <f t="shared" si="554"/>
        <v>0</v>
      </c>
      <c r="T144" s="138">
        <f t="shared" ref="T144:U144" si="555">(T143*0.17)+T143</f>
        <v>0</v>
      </c>
      <c r="U144" s="138">
        <f t="shared" si="555"/>
        <v>0</v>
      </c>
      <c r="V144" s="138">
        <f t="shared" ref="V144" si="556">(V143*0.17)+V143</f>
        <v>0</v>
      </c>
      <c r="W144" s="101" t="e">
        <f t="shared" si="514"/>
        <v>#DIV/0!</v>
      </c>
      <c r="X144" s="10"/>
      <c r="Y144" s="138">
        <f t="shared" ref="Y144:AH144" si="557">(Y143*0.17)+Y143</f>
        <v>0</v>
      </c>
      <c r="Z144" s="138">
        <f t="shared" si="557"/>
        <v>0</v>
      </c>
      <c r="AA144" s="138">
        <f t="shared" si="557"/>
        <v>0</v>
      </c>
      <c r="AB144" s="138">
        <f t="shared" si="557"/>
        <v>0</v>
      </c>
      <c r="AC144" s="138">
        <f t="shared" si="557"/>
        <v>0</v>
      </c>
      <c r="AD144" s="138">
        <f t="shared" si="557"/>
        <v>0</v>
      </c>
      <c r="AE144" s="138">
        <f t="shared" si="557"/>
        <v>0</v>
      </c>
      <c r="AF144" s="138">
        <f t="shared" si="557"/>
        <v>0</v>
      </c>
      <c r="AG144" s="138">
        <f t="shared" si="557"/>
        <v>0</v>
      </c>
      <c r="AH144" s="138">
        <f t="shared" si="557"/>
        <v>0</v>
      </c>
      <c r="AI144" s="115" t="e">
        <f t="shared" si="386"/>
        <v>#DIV/0!</v>
      </c>
      <c r="AJ144" s="21">
        <f t="shared" si="387"/>
        <v>0.01</v>
      </c>
      <c r="AK144" s="123" t="e">
        <f t="shared" si="536"/>
        <v>#DIV/0!</v>
      </c>
    </row>
    <row r="145" spans="2:37" x14ac:dyDescent="0.2">
      <c r="B145" s="10" t="s">
        <v>280</v>
      </c>
      <c r="C145" s="10"/>
      <c r="D145" s="10"/>
      <c r="E145" s="10"/>
      <c r="F145" s="128"/>
      <c r="G145" s="128">
        <f t="shared" ref="G145" si="558">G144/G59</f>
        <v>0</v>
      </c>
      <c r="H145" s="128" t="e">
        <f t="shared" ref="H145:I145" si="559">H144/H59</f>
        <v>#DIV/0!</v>
      </c>
      <c r="I145" s="128" t="e">
        <f t="shared" si="559"/>
        <v>#DIV/0!</v>
      </c>
      <c r="J145" s="128" t="e">
        <f t="shared" ref="J145:T145" si="560">J144/J59</f>
        <v>#DIV/0!</v>
      </c>
      <c r="K145" s="128" t="e">
        <f t="shared" si="560"/>
        <v>#DIV/0!</v>
      </c>
      <c r="L145" s="128" t="e">
        <f t="shared" si="560"/>
        <v>#DIV/0!</v>
      </c>
      <c r="M145" s="128" t="e">
        <f t="shared" si="560"/>
        <v>#DIV/0!</v>
      </c>
      <c r="N145" s="128" t="e">
        <f t="shared" si="560"/>
        <v>#DIV/0!</v>
      </c>
      <c r="O145" s="128" t="e">
        <f t="shared" si="560"/>
        <v>#DIV/0!</v>
      </c>
      <c r="P145" s="128" t="e">
        <f t="shared" si="560"/>
        <v>#DIV/0!</v>
      </c>
      <c r="Q145" s="128" t="e">
        <f t="shared" si="560"/>
        <v>#DIV/0!</v>
      </c>
      <c r="R145" s="128" t="e">
        <f t="shared" si="560"/>
        <v>#DIV/0!</v>
      </c>
      <c r="S145" s="128">
        <f t="shared" si="560"/>
        <v>0</v>
      </c>
      <c r="T145" s="128">
        <f t="shared" si="560"/>
        <v>0</v>
      </c>
      <c r="U145" s="128">
        <f t="shared" ref="U145:V145" si="561">U144/U59</f>
        <v>0</v>
      </c>
      <c r="V145" s="128">
        <f t="shared" si="561"/>
        <v>0</v>
      </c>
      <c r="W145" s="101" t="e">
        <f t="shared" si="514"/>
        <v>#DIV/0!</v>
      </c>
      <c r="X145" s="10"/>
      <c r="Y145" s="128">
        <f t="shared" ref="Y145:AH145" si="562">Y144/Y59</f>
        <v>0</v>
      </c>
      <c r="Z145" s="128">
        <f t="shared" si="562"/>
        <v>0</v>
      </c>
      <c r="AA145" s="128">
        <f t="shared" si="562"/>
        <v>0</v>
      </c>
      <c r="AB145" s="128">
        <f t="shared" si="562"/>
        <v>0</v>
      </c>
      <c r="AC145" s="128">
        <f t="shared" si="562"/>
        <v>0</v>
      </c>
      <c r="AD145" s="128">
        <f t="shared" si="562"/>
        <v>0</v>
      </c>
      <c r="AE145" s="128">
        <f t="shared" si="562"/>
        <v>0</v>
      </c>
      <c r="AF145" s="128">
        <f t="shared" si="562"/>
        <v>0</v>
      </c>
      <c r="AG145" s="128">
        <f t="shared" si="562"/>
        <v>0</v>
      </c>
      <c r="AH145" s="128">
        <f t="shared" si="562"/>
        <v>0</v>
      </c>
      <c r="AI145" s="115" t="e">
        <f t="shared" si="386"/>
        <v>#DIV/0!</v>
      </c>
      <c r="AJ145" s="21">
        <f t="shared" si="387"/>
        <v>0.01</v>
      </c>
      <c r="AK145" s="123" t="e">
        <f t="shared" si="536"/>
        <v>#DIV/0!</v>
      </c>
    </row>
    <row r="146" spans="2:37" x14ac:dyDescent="0.2">
      <c r="B146" s="10" t="s">
        <v>273</v>
      </c>
      <c r="C146" s="10"/>
      <c r="D146" s="10"/>
      <c r="E146" s="10"/>
      <c r="F146" s="128"/>
      <c r="G146" s="128">
        <f t="shared" ref="G146" si="563">1-G145</f>
        <v>1</v>
      </c>
      <c r="H146" s="128" t="e">
        <f t="shared" ref="H146:I146" si="564">1-H145</f>
        <v>#DIV/0!</v>
      </c>
      <c r="I146" s="128" t="e">
        <f t="shared" si="564"/>
        <v>#DIV/0!</v>
      </c>
      <c r="J146" s="128" t="e">
        <f>1-J145</f>
        <v>#DIV/0!</v>
      </c>
      <c r="K146" s="128" t="e">
        <f t="shared" ref="K146:S146" si="565">1-K145</f>
        <v>#DIV/0!</v>
      </c>
      <c r="L146" s="128" t="e">
        <f t="shared" si="565"/>
        <v>#DIV/0!</v>
      </c>
      <c r="M146" s="128" t="e">
        <f t="shared" si="565"/>
        <v>#DIV/0!</v>
      </c>
      <c r="N146" s="128" t="e">
        <f t="shared" si="565"/>
        <v>#DIV/0!</v>
      </c>
      <c r="O146" s="128" t="e">
        <f t="shared" si="565"/>
        <v>#DIV/0!</v>
      </c>
      <c r="P146" s="128" t="e">
        <f t="shared" si="565"/>
        <v>#DIV/0!</v>
      </c>
      <c r="Q146" s="128" t="e">
        <f t="shared" si="565"/>
        <v>#DIV/0!</v>
      </c>
      <c r="R146" s="128" t="e">
        <f t="shared" si="565"/>
        <v>#DIV/0!</v>
      </c>
      <c r="S146" s="128">
        <f t="shared" si="565"/>
        <v>1</v>
      </c>
      <c r="T146" s="128">
        <f t="shared" ref="T146:U146" si="566">1-T145</f>
        <v>1</v>
      </c>
      <c r="U146" s="128">
        <f t="shared" si="566"/>
        <v>1</v>
      </c>
      <c r="V146" s="128">
        <f t="shared" ref="V146" si="567">1-V145</f>
        <v>1</v>
      </c>
      <c r="W146" s="101">
        <f t="shared" si="514"/>
        <v>0</v>
      </c>
      <c r="X146" s="10"/>
      <c r="Y146" s="128">
        <f t="shared" ref="Y146:AH146" si="568">1-Y145</f>
        <v>1</v>
      </c>
      <c r="Z146" s="128">
        <f t="shared" si="568"/>
        <v>1</v>
      </c>
      <c r="AA146" s="128">
        <f t="shared" si="568"/>
        <v>1</v>
      </c>
      <c r="AB146" s="128">
        <f t="shared" si="568"/>
        <v>1</v>
      </c>
      <c r="AC146" s="128">
        <f t="shared" si="568"/>
        <v>1</v>
      </c>
      <c r="AD146" s="128">
        <f t="shared" si="568"/>
        <v>1</v>
      </c>
      <c r="AE146" s="128">
        <f t="shared" si="568"/>
        <v>1</v>
      </c>
      <c r="AF146" s="128">
        <f t="shared" si="568"/>
        <v>1</v>
      </c>
      <c r="AG146" s="128">
        <f t="shared" si="568"/>
        <v>1</v>
      </c>
      <c r="AH146" s="128">
        <f t="shared" si="568"/>
        <v>1</v>
      </c>
      <c r="AI146" s="115" t="e">
        <f t="shared" si="386"/>
        <v>#DIV/0!</v>
      </c>
      <c r="AJ146" s="21">
        <f t="shared" si="387"/>
        <v>0.01</v>
      </c>
      <c r="AK146" s="123" t="e">
        <f t="shared" si="536"/>
        <v>#DIV/0!</v>
      </c>
    </row>
    <row r="147" spans="2:37" x14ac:dyDescent="0.2">
      <c r="B147" s="10" t="s">
        <v>392</v>
      </c>
      <c r="C147" s="10"/>
      <c r="D147" s="10"/>
      <c r="E147" s="10"/>
      <c r="F147" s="128"/>
      <c r="G147" s="128" t="e">
        <f t="shared" ref="G147" si="569">G144/G20</f>
        <v>#DIV/0!</v>
      </c>
      <c r="H147" s="128" t="e">
        <f t="shared" ref="H147:I147" si="570">H144/H20</f>
        <v>#DIV/0!</v>
      </c>
      <c r="I147" s="128" t="e">
        <f t="shared" si="570"/>
        <v>#DIV/0!</v>
      </c>
      <c r="J147" s="128" t="e">
        <f t="shared" ref="J147:T147" si="571">J144/J20</f>
        <v>#DIV/0!</v>
      </c>
      <c r="K147" s="128" t="e">
        <f t="shared" si="571"/>
        <v>#DIV/0!</v>
      </c>
      <c r="L147" s="128" t="e">
        <f t="shared" si="571"/>
        <v>#DIV/0!</v>
      </c>
      <c r="M147" s="128" t="e">
        <f t="shared" si="571"/>
        <v>#DIV/0!</v>
      </c>
      <c r="N147" s="128" t="e">
        <f t="shared" si="571"/>
        <v>#DIV/0!</v>
      </c>
      <c r="O147" s="128" t="e">
        <f t="shared" si="571"/>
        <v>#DIV/0!</v>
      </c>
      <c r="P147" s="128" t="e">
        <f t="shared" si="571"/>
        <v>#DIV/0!</v>
      </c>
      <c r="Q147" s="128" t="e">
        <f t="shared" si="571"/>
        <v>#DIV/0!</v>
      </c>
      <c r="R147" s="128" t="e">
        <f t="shared" si="571"/>
        <v>#DIV/0!</v>
      </c>
      <c r="S147" s="128" t="e">
        <f t="shared" si="571"/>
        <v>#DIV/0!</v>
      </c>
      <c r="T147" s="128" t="e">
        <f t="shared" si="571"/>
        <v>#DIV/0!</v>
      </c>
      <c r="U147" s="128" t="e">
        <f t="shared" ref="U147:V147" si="572">U144/U20</f>
        <v>#DIV/0!</v>
      </c>
      <c r="V147" s="128" t="e">
        <f t="shared" si="572"/>
        <v>#DIV/0!</v>
      </c>
      <c r="W147" s="101" t="e">
        <f t="shared" si="514"/>
        <v>#DIV/0!</v>
      </c>
      <c r="X147" s="10"/>
      <c r="Y147" s="128" t="e">
        <f t="shared" ref="Y147:AH147" si="573">Y144/Y20</f>
        <v>#DIV/0!</v>
      </c>
      <c r="Z147" s="128" t="e">
        <f t="shared" si="573"/>
        <v>#DIV/0!</v>
      </c>
      <c r="AA147" s="128" t="e">
        <f t="shared" si="573"/>
        <v>#DIV/0!</v>
      </c>
      <c r="AB147" s="128" t="e">
        <f t="shared" si="573"/>
        <v>#DIV/0!</v>
      </c>
      <c r="AC147" s="128" t="e">
        <f t="shared" si="573"/>
        <v>#DIV/0!</v>
      </c>
      <c r="AD147" s="128" t="e">
        <f t="shared" si="573"/>
        <v>#DIV/0!</v>
      </c>
      <c r="AE147" s="128" t="e">
        <f t="shared" si="573"/>
        <v>#DIV/0!</v>
      </c>
      <c r="AF147" s="128" t="e">
        <f t="shared" si="573"/>
        <v>#DIV/0!</v>
      </c>
      <c r="AG147" s="128" t="e">
        <f t="shared" si="573"/>
        <v>#DIV/0!</v>
      </c>
      <c r="AH147" s="128" t="e">
        <f t="shared" si="573"/>
        <v>#DIV/0!</v>
      </c>
      <c r="AI147" s="115" t="e">
        <f t="shared" si="386"/>
        <v>#DIV/0!</v>
      </c>
      <c r="AJ147" s="21">
        <f t="shared" si="387"/>
        <v>0.01</v>
      </c>
      <c r="AK147" s="123" t="e">
        <f t="shared" si="536"/>
        <v>#DIV/0!</v>
      </c>
    </row>
    <row r="148" spans="2:37" x14ac:dyDescent="0.2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21"/>
      <c r="W148" s="101" t="e">
        <f t="shared" si="514"/>
        <v>#DIV/0!</v>
      </c>
      <c r="X148" s="10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09"/>
      <c r="AJ148" s="123"/>
      <c r="AK148" s="123"/>
    </row>
    <row r="149" spans="2:37" x14ac:dyDescent="0.2">
      <c r="B149" s="10" t="s">
        <v>277</v>
      </c>
      <c r="C149" s="128"/>
      <c r="D149" s="128"/>
      <c r="E149" s="128"/>
      <c r="F149" s="128"/>
      <c r="G149" s="128">
        <f t="shared" ref="G149" si="574">G31/G25</f>
        <v>0</v>
      </c>
      <c r="H149" s="128" t="e">
        <f t="shared" ref="H149:I149" si="575">H31/H25</f>
        <v>#DIV/0!</v>
      </c>
      <c r="I149" s="128" t="e">
        <f t="shared" si="575"/>
        <v>#DIV/0!</v>
      </c>
      <c r="J149" s="128" t="e">
        <f t="shared" ref="J149:T149" si="576">J31/J25</f>
        <v>#DIV/0!</v>
      </c>
      <c r="K149" s="128" t="e">
        <f t="shared" si="576"/>
        <v>#DIV/0!</v>
      </c>
      <c r="L149" s="128" t="e">
        <f t="shared" si="576"/>
        <v>#DIV/0!</v>
      </c>
      <c r="M149" s="128" t="e">
        <f t="shared" si="576"/>
        <v>#DIV/0!</v>
      </c>
      <c r="N149" s="128" t="e">
        <f t="shared" si="576"/>
        <v>#DIV/0!</v>
      </c>
      <c r="O149" s="128" t="e">
        <f t="shared" si="576"/>
        <v>#DIV/0!</v>
      </c>
      <c r="P149" s="128" t="e">
        <f t="shared" si="576"/>
        <v>#DIV/0!</v>
      </c>
      <c r="Q149" s="128" t="e">
        <f t="shared" si="576"/>
        <v>#DIV/0!</v>
      </c>
      <c r="R149" s="128" t="e">
        <f t="shared" si="576"/>
        <v>#DIV/0!</v>
      </c>
      <c r="S149" s="128">
        <f t="shared" si="576"/>
        <v>0</v>
      </c>
      <c r="T149" s="128">
        <f t="shared" si="576"/>
        <v>0</v>
      </c>
      <c r="U149" s="128">
        <f t="shared" ref="U149:V149" si="577">U31/U25</f>
        <v>0</v>
      </c>
      <c r="V149" s="128">
        <f t="shared" si="577"/>
        <v>0</v>
      </c>
      <c r="W149" s="101" t="e">
        <f t="shared" si="514"/>
        <v>#DIV/0!</v>
      </c>
      <c r="X149" s="10"/>
      <c r="Y149" s="128">
        <f t="shared" ref="Y149:AH149" si="578">Y31/Y25</f>
        <v>0</v>
      </c>
      <c r="Z149" s="128">
        <f t="shared" si="578"/>
        <v>0</v>
      </c>
      <c r="AA149" s="128">
        <f t="shared" si="578"/>
        <v>0</v>
      </c>
      <c r="AB149" s="128">
        <f t="shared" si="578"/>
        <v>0</v>
      </c>
      <c r="AC149" s="128">
        <f t="shared" si="578"/>
        <v>0</v>
      </c>
      <c r="AD149" s="128">
        <f t="shared" si="578"/>
        <v>0</v>
      </c>
      <c r="AE149" s="128">
        <f t="shared" si="578"/>
        <v>0</v>
      </c>
      <c r="AF149" s="128">
        <f t="shared" si="578"/>
        <v>0</v>
      </c>
      <c r="AG149" s="128">
        <f t="shared" si="578"/>
        <v>0</v>
      </c>
      <c r="AH149" s="128">
        <f t="shared" si="578"/>
        <v>0</v>
      </c>
      <c r="AI149" s="115" t="e">
        <f t="shared" si="386"/>
        <v>#DIV/0!</v>
      </c>
      <c r="AJ149" s="21">
        <f t="shared" si="387"/>
        <v>0.01</v>
      </c>
      <c r="AK149" s="123" t="e">
        <f t="shared" si="536"/>
        <v>#DIV/0!</v>
      </c>
    </row>
    <row r="150" spans="2:37" x14ac:dyDescent="0.2">
      <c r="B150" s="10" t="s">
        <v>274</v>
      </c>
      <c r="C150" s="128"/>
      <c r="D150" s="128"/>
      <c r="E150" s="128"/>
      <c r="F150" s="128"/>
      <c r="G150" s="128">
        <f t="shared" ref="G150" si="579">G32/G25</f>
        <v>0</v>
      </c>
      <c r="H150" s="128" t="e">
        <f t="shared" ref="H150:I150" si="580">H32/H25</f>
        <v>#DIV/0!</v>
      </c>
      <c r="I150" s="128" t="e">
        <f t="shared" si="580"/>
        <v>#DIV/0!</v>
      </c>
      <c r="J150" s="128" t="e">
        <f t="shared" ref="J150:T150" si="581">J32/J25</f>
        <v>#DIV/0!</v>
      </c>
      <c r="K150" s="128" t="e">
        <f t="shared" si="581"/>
        <v>#DIV/0!</v>
      </c>
      <c r="L150" s="128" t="e">
        <f t="shared" si="581"/>
        <v>#DIV/0!</v>
      </c>
      <c r="M150" s="128" t="e">
        <f t="shared" si="581"/>
        <v>#DIV/0!</v>
      </c>
      <c r="N150" s="128" t="e">
        <f t="shared" si="581"/>
        <v>#DIV/0!</v>
      </c>
      <c r="O150" s="128" t="e">
        <f t="shared" si="581"/>
        <v>#DIV/0!</v>
      </c>
      <c r="P150" s="128" t="e">
        <f t="shared" si="581"/>
        <v>#DIV/0!</v>
      </c>
      <c r="Q150" s="128" t="e">
        <f t="shared" si="581"/>
        <v>#DIV/0!</v>
      </c>
      <c r="R150" s="128" t="e">
        <f t="shared" si="581"/>
        <v>#DIV/0!</v>
      </c>
      <c r="S150" s="128">
        <f t="shared" si="581"/>
        <v>0</v>
      </c>
      <c r="T150" s="128">
        <f t="shared" si="581"/>
        <v>0</v>
      </c>
      <c r="U150" s="128">
        <f t="shared" ref="U150:V150" si="582">U32/U25</f>
        <v>0</v>
      </c>
      <c r="V150" s="128">
        <f t="shared" si="582"/>
        <v>0</v>
      </c>
      <c r="W150" s="101" t="e">
        <f t="shared" si="514"/>
        <v>#DIV/0!</v>
      </c>
      <c r="X150" s="10"/>
      <c r="Y150" s="128">
        <f t="shared" ref="Y150:AH150" si="583">Y32/Y25</f>
        <v>0</v>
      </c>
      <c r="Z150" s="128">
        <f t="shared" si="583"/>
        <v>0</v>
      </c>
      <c r="AA150" s="128">
        <f t="shared" si="583"/>
        <v>0</v>
      </c>
      <c r="AB150" s="128">
        <f t="shared" si="583"/>
        <v>0</v>
      </c>
      <c r="AC150" s="128">
        <f t="shared" si="583"/>
        <v>0</v>
      </c>
      <c r="AD150" s="128">
        <f t="shared" si="583"/>
        <v>0</v>
      </c>
      <c r="AE150" s="128">
        <f t="shared" si="583"/>
        <v>0</v>
      </c>
      <c r="AF150" s="128">
        <f t="shared" si="583"/>
        <v>0</v>
      </c>
      <c r="AG150" s="128">
        <f t="shared" si="583"/>
        <v>0</v>
      </c>
      <c r="AH150" s="128">
        <f t="shared" si="583"/>
        <v>0</v>
      </c>
      <c r="AI150" s="115" t="e">
        <f t="shared" si="386"/>
        <v>#DIV/0!</v>
      </c>
      <c r="AJ150" s="21">
        <f t="shared" si="387"/>
        <v>0.01</v>
      </c>
      <c r="AK150" s="123" t="e">
        <f t="shared" si="536"/>
        <v>#DIV/0!</v>
      </c>
    </row>
    <row r="151" spans="2:37" x14ac:dyDescent="0.2">
      <c r="B151" s="10" t="s">
        <v>399</v>
      </c>
      <c r="C151" s="128"/>
      <c r="D151" s="128"/>
      <c r="E151" s="128"/>
      <c r="F151" s="128"/>
      <c r="G151" s="128">
        <f t="shared" ref="G151" si="584">(G31+G32)/G25</f>
        <v>0</v>
      </c>
      <c r="H151" s="128" t="e">
        <f t="shared" ref="H151:I151" si="585">(H31+H32)/H25</f>
        <v>#DIV/0!</v>
      </c>
      <c r="I151" s="128" t="e">
        <f t="shared" si="585"/>
        <v>#DIV/0!</v>
      </c>
      <c r="J151" s="128" t="e">
        <f t="shared" ref="J151:T151" si="586">(J31+J32)/J25</f>
        <v>#DIV/0!</v>
      </c>
      <c r="K151" s="128" t="e">
        <f t="shared" si="586"/>
        <v>#DIV/0!</v>
      </c>
      <c r="L151" s="128" t="e">
        <f t="shared" si="586"/>
        <v>#DIV/0!</v>
      </c>
      <c r="M151" s="128" t="e">
        <f t="shared" si="586"/>
        <v>#DIV/0!</v>
      </c>
      <c r="N151" s="128" t="e">
        <f t="shared" si="586"/>
        <v>#DIV/0!</v>
      </c>
      <c r="O151" s="128" t="e">
        <f t="shared" si="586"/>
        <v>#DIV/0!</v>
      </c>
      <c r="P151" s="128" t="e">
        <f t="shared" si="586"/>
        <v>#DIV/0!</v>
      </c>
      <c r="Q151" s="128" t="e">
        <f t="shared" si="586"/>
        <v>#DIV/0!</v>
      </c>
      <c r="R151" s="128" t="e">
        <f t="shared" si="586"/>
        <v>#DIV/0!</v>
      </c>
      <c r="S151" s="128">
        <f t="shared" si="586"/>
        <v>0</v>
      </c>
      <c r="T151" s="128">
        <f t="shared" si="586"/>
        <v>0</v>
      </c>
      <c r="U151" s="128">
        <f t="shared" ref="U151:V151" si="587">(U31+U32)/U25</f>
        <v>0</v>
      </c>
      <c r="V151" s="128">
        <f t="shared" si="587"/>
        <v>0</v>
      </c>
      <c r="W151" s="101" t="e">
        <f t="shared" si="514"/>
        <v>#DIV/0!</v>
      </c>
      <c r="X151" s="10"/>
      <c r="Y151" s="128">
        <f t="shared" ref="Y151:AH151" si="588">(Y31+Y32)/Y25</f>
        <v>0</v>
      </c>
      <c r="Z151" s="128">
        <f t="shared" si="588"/>
        <v>0</v>
      </c>
      <c r="AA151" s="128">
        <f t="shared" si="588"/>
        <v>0</v>
      </c>
      <c r="AB151" s="128">
        <f t="shared" si="588"/>
        <v>0</v>
      </c>
      <c r="AC151" s="128">
        <f t="shared" si="588"/>
        <v>0</v>
      </c>
      <c r="AD151" s="128">
        <f t="shared" si="588"/>
        <v>0</v>
      </c>
      <c r="AE151" s="128">
        <f t="shared" si="588"/>
        <v>0</v>
      </c>
      <c r="AF151" s="128">
        <f t="shared" si="588"/>
        <v>0</v>
      </c>
      <c r="AG151" s="128">
        <f t="shared" si="588"/>
        <v>0</v>
      </c>
      <c r="AH151" s="128">
        <f t="shared" si="588"/>
        <v>0</v>
      </c>
      <c r="AI151" s="115" t="e">
        <f t="shared" si="386"/>
        <v>#DIV/0!</v>
      </c>
      <c r="AJ151" s="21">
        <f t="shared" si="387"/>
        <v>0.01</v>
      </c>
      <c r="AK151" s="123" t="e">
        <f t="shared" si="536"/>
        <v>#DIV/0!</v>
      </c>
    </row>
    <row r="152" spans="2:37" x14ac:dyDescent="0.2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21"/>
      <c r="W152" s="101" t="e">
        <f t="shared" si="514"/>
        <v>#DIV/0!</v>
      </c>
      <c r="X152" s="10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09"/>
      <c r="AJ152" s="123"/>
      <c r="AK152" s="123"/>
    </row>
    <row r="153" spans="2:37" x14ac:dyDescent="0.2">
      <c r="B153" s="10" t="s">
        <v>296</v>
      </c>
      <c r="C153" s="10"/>
      <c r="D153" s="10"/>
      <c r="E153" s="10"/>
      <c r="F153" s="128"/>
      <c r="G153" s="128">
        <f t="shared" ref="G153" si="589">G27/G25</f>
        <v>0.88474827245804544</v>
      </c>
      <c r="H153" s="128" t="e">
        <f t="shared" ref="H153:I153" si="590">H27/H25</f>
        <v>#DIV/0!</v>
      </c>
      <c r="I153" s="128" t="e">
        <f t="shared" si="590"/>
        <v>#DIV/0!</v>
      </c>
      <c r="J153" s="128" t="e">
        <f t="shared" ref="J153:T153" si="591">J27/J25</f>
        <v>#DIV/0!</v>
      </c>
      <c r="K153" s="128" t="e">
        <f t="shared" si="591"/>
        <v>#DIV/0!</v>
      </c>
      <c r="L153" s="128" t="e">
        <f t="shared" si="591"/>
        <v>#DIV/0!</v>
      </c>
      <c r="M153" s="128" t="e">
        <f t="shared" si="591"/>
        <v>#DIV/0!</v>
      </c>
      <c r="N153" s="128" t="e">
        <f t="shared" si="591"/>
        <v>#DIV/0!</v>
      </c>
      <c r="O153" s="128" t="e">
        <f t="shared" si="591"/>
        <v>#DIV/0!</v>
      </c>
      <c r="P153" s="128" t="e">
        <f t="shared" si="591"/>
        <v>#DIV/0!</v>
      </c>
      <c r="Q153" s="128" t="e">
        <f t="shared" si="591"/>
        <v>#DIV/0!</v>
      </c>
      <c r="R153" s="128" t="e">
        <f t="shared" si="591"/>
        <v>#DIV/0!</v>
      </c>
      <c r="S153" s="128">
        <f t="shared" si="591"/>
        <v>0.88518518518518519</v>
      </c>
      <c r="T153" s="128">
        <f t="shared" si="591"/>
        <v>0.88840262582056895</v>
      </c>
      <c r="U153" s="128">
        <f t="shared" ref="U153:V153" si="592">U27/U25</f>
        <v>0.90653748287336078</v>
      </c>
      <c r="V153" s="128">
        <f t="shared" si="592"/>
        <v>0.46339978694262668</v>
      </c>
      <c r="W153" s="101">
        <f t="shared" si="514"/>
        <v>-0.19391896740154635</v>
      </c>
      <c r="X153" s="10"/>
      <c r="Y153" s="128">
        <f t="shared" ref="Y153:AH153" si="593">Y27/Y25</f>
        <v>0.90653748287336078</v>
      </c>
      <c r="Z153" s="128">
        <f t="shared" si="593"/>
        <v>0.90653748287336067</v>
      </c>
      <c r="AA153" s="128">
        <f t="shared" si="593"/>
        <v>0.90653748287336067</v>
      </c>
      <c r="AB153" s="128">
        <f t="shared" si="593"/>
        <v>0.90653748287336067</v>
      </c>
      <c r="AC153" s="128">
        <f t="shared" si="593"/>
        <v>0.90653748287336067</v>
      </c>
      <c r="AD153" s="128">
        <f t="shared" si="593"/>
        <v>0.90653748287336078</v>
      </c>
      <c r="AE153" s="128">
        <f t="shared" si="593"/>
        <v>0.90653748287336078</v>
      </c>
      <c r="AF153" s="128">
        <f t="shared" si="593"/>
        <v>0.90653748287336078</v>
      </c>
      <c r="AG153" s="128">
        <f t="shared" si="593"/>
        <v>0.90653748287336067</v>
      </c>
      <c r="AH153" s="128">
        <f t="shared" si="593"/>
        <v>0.90653748287336067</v>
      </c>
      <c r="AI153" s="115" t="e">
        <f t="shared" si="386"/>
        <v>#DIV/0!</v>
      </c>
      <c r="AJ153" s="21">
        <f t="shared" si="387"/>
        <v>0.01</v>
      </c>
      <c r="AK153" s="123" t="e">
        <f t="shared" si="536"/>
        <v>#DIV/0!</v>
      </c>
    </row>
    <row r="154" spans="2:37" x14ac:dyDescent="0.2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594">G33/G25</f>
        <v>0.11994076999012833</v>
      </c>
      <c r="H154" s="128" t="e">
        <f t="shared" ref="H154:I154" si="595">H33/H25</f>
        <v>#DIV/0!</v>
      </c>
      <c r="I154" s="128" t="e">
        <f t="shared" si="595"/>
        <v>#DIV/0!</v>
      </c>
      <c r="J154" s="128" t="e">
        <f t="shared" ref="J154:T154" si="596">J33/J25</f>
        <v>#DIV/0!</v>
      </c>
      <c r="K154" s="128" t="e">
        <f t="shared" si="596"/>
        <v>#DIV/0!</v>
      </c>
      <c r="L154" s="128" t="e">
        <f t="shared" si="596"/>
        <v>#DIV/0!</v>
      </c>
      <c r="M154" s="128" t="e">
        <f t="shared" si="596"/>
        <v>#DIV/0!</v>
      </c>
      <c r="N154" s="128" t="e">
        <f t="shared" si="596"/>
        <v>#DIV/0!</v>
      </c>
      <c r="O154" s="128" t="e">
        <f t="shared" si="596"/>
        <v>#DIV/0!</v>
      </c>
      <c r="P154" s="128" t="e">
        <f t="shared" si="596"/>
        <v>#DIV/0!</v>
      </c>
      <c r="Q154" s="128" t="e">
        <f t="shared" si="596"/>
        <v>#DIV/0!</v>
      </c>
      <c r="R154" s="128" t="e">
        <f t="shared" si="596"/>
        <v>#DIV/0!</v>
      </c>
      <c r="S154" s="128">
        <f t="shared" si="596"/>
        <v>0.12</v>
      </c>
      <c r="T154" s="128">
        <f t="shared" si="596"/>
        <v>6.397832656038345E-2</v>
      </c>
      <c r="U154" s="128">
        <f t="shared" ref="U154:V154" si="597">U33/U25</f>
        <v>7.6923076923076927E-2</v>
      </c>
      <c r="V154" s="128">
        <f t="shared" si="597"/>
        <v>9.732156444985543E-2</v>
      </c>
      <c r="W154" s="101">
        <f t="shared" si="514"/>
        <v>-6.7288317754545135E-2</v>
      </c>
      <c r="X154" s="10"/>
      <c r="Y154" s="128">
        <f t="shared" ref="Y154:AH154" si="598">Y33/Y25</f>
        <v>7.6923076923076927E-2</v>
      </c>
      <c r="Z154" s="128">
        <f t="shared" si="598"/>
        <v>7.6923076923076927E-2</v>
      </c>
      <c r="AA154" s="128">
        <f t="shared" si="598"/>
        <v>7.6923076923076927E-2</v>
      </c>
      <c r="AB154" s="128">
        <f t="shared" si="598"/>
        <v>7.6923076923076927E-2</v>
      </c>
      <c r="AC154" s="128">
        <f t="shared" si="598"/>
        <v>7.6923076923076927E-2</v>
      </c>
      <c r="AD154" s="128">
        <f t="shared" si="598"/>
        <v>7.6923076923076927E-2</v>
      </c>
      <c r="AE154" s="128">
        <f t="shared" si="598"/>
        <v>7.6923076923076927E-2</v>
      </c>
      <c r="AF154" s="128">
        <f t="shared" si="598"/>
        <v>7.6923076923076927E-2</v>
      </c>
      <c r="AG154" s="128">
        <f t="shared" si="598"/>
        <v>7.6923076923076927E-2</v>
      </c>
      <c r="AH154" s="128">
        <f t="shared" si="598"/>
        <v>7.6923076923076927E-2</v>
      </c>
      <c r="AI154" s="115" t="e">
        <f t="shared" si="386"/>
        <v>#DIV/0!</v>
      </c>
      <c r="AJ154" s="21">
        <f t="shared" si="387"/>
        <v>0.01</v>
      </c>
      <c r="AK154" s="123" t="e">
        <f t="shared" si="536"/>
        <v>#DIV/0!</v>
      </c>
    </row>
    <row r="155" spans="2:37" x14ac:dyDescent="0.2">
      <c r="B155" s="10" t="str">
        <f>B34</f>
        <v>2nd highest Expenses Comp. ( Power and Fuel )</v>
      </c>
      <c r="C155" s="10"/>
      <c r="D155" s="10"/>
      <c r="E155" s="10"/>
      <c r="F155" s="128"/>
      <c r="G155" s="128">
        <f t="shared" ref="G155" si="599">G34/G25</f>
        <v>6.3178677196446195E-2</v>
      </c>
      <c r="H155" s="128" t="e">
        <f t="shared" ref="H155:I155" si="600">H34/H25</f>
        <v>#DIV/0!</v>
      </c>
      <c r="I155" s="128" t="e">
        <f t="shared" si="600"/>
        <v>#DIV/0!</v>
      </c>
      <c r="J155" s="128" t="e">
        <f t="shared" ref="J155:T155" si="601">J34/J25</f>
        <v>#DIV/0!</v>
      </c>
      <c r="K155" s="128" t="e">
        <f t="shared" si="601"/>
        <v>#DIV/0!</v>
      </c>
      <c r="L155" s="128" t="e">
        <f t="shared" si="601"/>
        <v>#DIV/0!</v>
      </c>
      <c r="M155" s="128" t="e">
        <f t="shared" si="601"/>
        <v>#DIV/0!</v>
      </c>
      <c r="N155" s="128" t="e">
        <f t="shared" si="601"/>
        <v>#DIV/0!</v>
      </c>
      <c r="O155" s="128" t="e">
        <f t="shared" si="601"/>
        <v>#DIV/0!</v>
      </c>
      <c r="P155" s="128" t="e">
        <f t="shared" si="601"/>
        <v>#DIV/0!</v>
      </c>
      <c r="Q155" s="128" t="e">
        <f t="shared" si="601"/>
        <v>#DIV/0!</v>
      </c>
      <c r="R155" s="128" t="e">
        <f t="shared" si="601"/>
        <v>#DIV/0!</v>
      </c>
      <c r="S155" s="128">
        <f t="shared" si="601"/>
        <v>6.3209876543209878E-2</v>
      </c>
      <c r="T155" s="128">
        <f t="shared" si="601"/>
        <v>0.13212462227779515</v>
      </c>
      <c r="U155" s="128">
        <f t="shared" ref="U155:V155" si="602">U34/U25</f>
        <v>0.11567821491485614</v>
      </c>
      <c r="V155" s="128">
        <f t="shared" si="602"/>
        <v>0.15142291888601431</v>
      </c>
      <c r="W155" s="101">
        <f t="shared" si="514"/>
        <v>0.33825958202727824</v>
      </c>
      <c r="X155" s="10"/>
      <c r="Y155" s="128">
        <f t="shared" ref="Y155:AH155" si="603">Y34/Y25</f>
        <v>0.11567821491485614</v>
      </c>
      <c r="Z155" s="128">
        <f t="shared" si="603"/>
        <v>0.11567821491485615</v>
      </c>
      <c r="AA155" s="128">
        <f t="shared" si="603"/>
        <v>0.11567821491485615</v>
      </c>
      <c r="AB155" s="128">
        <f t="shared" si="603"/>
        <v>0.11567821491485615</v>
      </c>
      <c r="AC155" s="128">
        <f t="shared" si="603"/>
        <v>0.11567821491485614</v>
      </c>
      <c r="AD155" s="128">
        <f t="shared" si="603"/>
        <v>0.11567821491485615</v>
      </c>
      <c r="AE155" s="128">
        <f t="shared" si="603"/>
        <v>0.11567821491485615</v>
      </c>
      <c r="AF155" s="128">
        <f t="shared" si="603"/>
        <v>0.11567821491485615</v>
      </c>
      <c r="AG155" s="128">
        <f t="shared" si="603"/>
        <v>0.11567821491485615</v>
      </c>
      <c r="AH155" s="128">
        <f t="shared" si="603"/>
        <v>0.11567821491485615</v>
      </c>
      <c r="AI155" s="115" t="e">
        <f t="shared" si="386"/>
        <v>#DIV/0!</v>
      </c>
      <c r="AJ155" s="21">
        <f t="shared" si="387"/>
        <v>0.01</v>
      </c>
      <c r="AK155" s="123" t="e">
        <f t="shared" si="536"/>
        <v>#DIV/0!</v>
      </c>
    </row>
    <row r="156" spans="2:37" x14ac:dyDescent="0.2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21"/>
      <c r="W156" s="101" t="e">
        <f t="shared" si="514"/>
        <v>#DIV/0!</v>
      </c>
      <c r="X156" s="10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16"/>
      <c r="AJ156" s="123"/>
      <c r="AK156" s="123"/>
    </row>
    <row r="157" spans="2:37" x14ac:dyDescent="0.2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21"/>
      <c r="W157" s="101" t="e">
        <f t="shared" si="514"/>
        <v>#DIV/0!</v>
      </c>
      <c r="X157" s="10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0"/>
      <c r="AJ157" s="123"/>
      <c r="AK157" s="123"/>
    </row>
    <row r="158" spans="2:37" x14ac:dyDescent="0.2">
      <c r="B158" s="10" t="s">
        <v>307</v>
      </c>
      <c r="C158" s="10"/>
      <c r="D158" s="10"/>
      <c r="E158" s="10"/>
      <c r="F158" s="15"/>
      <c r="G158" s="15">
        <f t="shared" ref="G158" si="604">G15/G9</f>
        <v>0</v>
      </c>
      <c r="H158" s="15" t="e">
        <f t="shared" ref="H158:I158" si="605">H15/H9</f>
        <v>#DIV/0!</v>
      </c>
      <c r="I158" s="15" t="e">
        <f t="shared" si="605"/>
        <v>#DIV/0!</v>
      </c>
      <c r="J158" s="15" t="e">
        <f t="shared" ref="J158:T158" si="606">J15/J9</f>
        <v>#DIV/0!</v>
      </c>
      <c r="K158" s="15" t="e">
        <f t="shared" si="606"/>
        <v>#DIV/0!</v>
      </c>
      <c r="L158" s="15" t="e">
        <f t="shared" si="606"/>
        <v>#DIV/0!</v>
      </c>
      <c r="M158" s="15" t="e">
        <f t="shared" si="606"/>
        <v>#DIV/0!</v>
      </c>
      <c r="N158" s="15" t="e">
        <f t="shared" si="606"/>
        <v>#DIV/0!</v>
      </c>
      <c r="O158" s="15" t="e">
        <f t="shared" si="606"/>
        <v>#DIV/0!</v>
      </c>
      <c r="P158" s="15" t="e">
        <f t="shared" si="606"/>
        <v>#DIV/0!</v>
      </c>
      <c r="Q158" s="15" t="e">
        <f t="shared" si="606"/>
        <v>#DIV/0!</v>
      </c>
      <c r="R158" s="15" t="e">
        <f t="shared" si="606"/>
        <v>#DIV/0!</v>
      </c>
      <c r="S158" s="15">
        <f t="shared" si="606"/>
        <v>0</v>
      </c>
      <c r="T158" s="15">
        <f t="shared" si="606"/>
        <v>0</v>
      </c>
      <c r="U158" s="15" t="e">
        <f t="shared" ref="U158:V158" si="607">U15/U9</f>
        <v>#DIV/0!</v>
      </c>
      <c r="V158" s="15" t="e">
        <f t="shared" si="607"/>
        <v>#DIV/0!</v>
      </c>
      <c r="W158" s="101" t="e">
        <f t="shared" si="514"/>
        <v>#DIV/0!</v>
      </c>
      <c r="X158" s="10"/>
      <c r="Y158" s="10" t="e">
        <f t="shared" ref="Y158:AH158" si="608">Y15/Y9</f>
        <v>#DIV/0!</v>
      </c>
      <c r="Z158" s="10" t="e">
        <f t="shared" si="608"/>
        <v>#DIV/0!</v>
      </c>
      <c r="AA158" s="10" t="e">
        <f t="shared" si="608"/>
        <v>#DIV/0!</v>
      </c>
      <c r="AB158" s="10" t="e">
        <f t="shared" si="608"/>
        <v>#DIV/0!</v>
      </c>
      <c r="AC158" s="10" t="e">
        <f t="shared" si="608"/>
        <v>#DIV/0!</v>
      </c>
      <c r="AD158" s="10" t="e">
        <f t="shared" si="608"/>
        <v>#DIV/0!</v>
      </c>
      <c r="AE158" s="10" t="e">
        <f t="shared" si="608"/>
        <v>#DIV/0!</v>
      </c>
      <c r="AF158" s="10" t="e">
        <f t="shared" si="608"/>
        <v>#DIV/0!</v>
      </c>
      <c r="AG158" s="10" t="e">
        <f t="shared" si="608"/>
        <v>#DIV/0!</v>
      </c>
      <c r="AH158" s="10" t="e">
        <f t="shared" si="608"/>
        <v>#DIV/0!</v>
      </c>
      <c r="AI158" s="115" t="e">
        <f t="shared" si="386"/>
        <v>#DIV/0!</v>
      </c>
      <c r="AJ158" s="21">
        <f t="shared" si="387"/>
        <v>0.01</v>
      </c>
      <c r="AK158" s="123" t="e">
        <f t="shared" si="536"/>
        <v>#DIV/0!</v>
      </c>
    </row>
    <row r="159" spans="2:37" x14ac:dyDescent="0.2">
      <c r="B159" s="10" t="s">
        <v>297</v>
      </c>
      <c r="C159" s="10"/>
      <c r="D159" s="10"/>
      <c r="E159" s="10"/>
      <c r="F159" s="15"/>
      <c r="G159" s="15">
        <f t="shared" ref="G159" si="609">G12/G9</f>
        <v>0.45190322611334688</v>
      </c>
      <c r="H159" s="15" t="e">
        <f t="shared" ref="H159:I159" si="610">H12/H9</f>
        <v>#DIV/0!</v>
      </c>
      <c r="I159" s="15" t="e">
        <f t="shared" si="610"/>
        <v>#DIV/0!</v>
      </c>
      <c r="J159" s="15" t="e">
        <f t="shared" ref="J159:T159" si="611">J12/J9</f>
        <v>#DIV/0!</v>
      </c>
      <c r="K159" s="15" t="e">
        <f t="shared" si="611"/>
        <v>#DIV/0!</v>
      </c>
      <c r="L159" s="15" t="e">
        <f t="shared" si="611"/>
        <v>#DIV/0!</v>
      </c>
      <c r="M159" s="15" t="e">
        <f t="shared" si="611"/>
        <v>#DIV/0!</v>
      </c>
      <c r="N159" s="15" t="e">
        <f t="shared" si="611"/>
        <v>#DIV/0!</v>
      </c>
      <c r="O159" s="15" t="e">
        <f t="shared" si="611"/>
        <v>#DIV/0!</v>
      </c>
      <c r="P159" s="15" t="e">
        <f t="shared" si="611"/>
        <v>#DIV/0!</v>
      </c>
      <c r="Q159" s="15" t="e">
        <f t="shared" si="611"/>
        <v>#DIV/0!</v>
      </c>
      <c r="R159" s="15" t="e">
        <f t="shared" si="611"/>
        <v>#DIV/0!</v>
      </c>
      <c r="S159" s="15">
        <f t="shared" si="611"/>
        <v>0.45190322611334688</v>
      </c>
      <c r="T159" s="15">
        <f t="shared" si="611"/>
        <v>0.43303380402225072</v>
      </c>
      <c r="U159" s="15" t="e">
        <f t="shared" ref="U159:V159" si="612">U12/U9</f>
        <v>#DIV/0!</v>
      </c>
      <c r="V159" s="15" t="e">
        <f t="shared" si="612"/>
        <v>#DIV/0!</v>
      </c>
      <c r="W159" s="101" t="e">
        <f t="shared" si="514"/>
        <v>#DIV/0!</v>
      </c>
      <c r="X159" s="109"/>
      <c r="Y159" s="10" t="e">
        <f t="shared" ref="Y159:AH159" si="613">Y12/Y9</f>
        <v>#DIV/0!</v>
      </c>
      <c r="Z159" s="10" t="e">
        <f t="shared" si="613"/>
        <v>#DIV/0!</v>
      </c>
      <c r="AA159" s="10" t="e">
        <f t="shared" si="613"/>
        <v>#DIV/0!</v>
      </c>
      <c r="AB159" s="10" t="e">
        <f t="shared" si="613"/>
        <v>#DIV/0!</v>
      </c>
      <c r="AC159" s="10" t="e">
        <f t="shared" si="613"/>
        <v>#DIV/0!</v>
      </c>
      <c r="AD159" s="10" t="e">
        <f t="shared" si="613"/>
        <v>#DIV/0!</v>
      </c>
      <c r="AE159" s="10" t="e">
        <f t="shared" si="613"/>
        <v>#DIV/0!</v>
      </c>
      <c r="AF159" s="10" t="e">
        <f t="shared" si="613"/>
        <v>#DIV/0!</v>
      </c>
      <c r="AG159" s="10" t="e">
        <f t="shared" si="613"/>
        <v>#DIV/0!</v>
      </c>
      <c r="AH159" s="10" t="e">
        <f t="shared" si="613"/>
        <v>#DIV/0!</v>
      </c>
      <c r="AI159" s="101" t="e">
        <f t="shared" ref="AI159" si="614">((AH159/Y159)^(1/($K$2-$K$1) ))-1</f>
        <v>#DIV/0!</v>
      </c>
      <c r="AJ159" s="21">
        <f t="shared" si="387"/>
        <v>0.01</v>
      </c>
      <c r="AK159" s="123" t="e">
        <f t="shared" si="536"/>
        <v>#DIV/0!</v>
      </c>
    </row>
    <row r="160" spans="2:37" x14ac:dyDescent="0.2">
      <c r="B160" s="10" t="s">
        <v>299</v>
      </c>
      <c r="C160" s="10"/>
      <c r="D160" s="10"/>
      <c r="E160" s="10"/>
      <c r="F160" s="15"/>
      <c r="G160" s="15">
        <f t="shared" ref="G160" si="615">G25/360</f>
        <v>11.255555555555556</v>
      </c>
      <c r="H160" s="15">
        <f t="shared" ref="H160:I160" si="616">H25/360</f>
        <v>0</v>
      </c>
      <c r="I160" s="15">
        <f t="shared" si="616"/>
        <v>0</v>
      </c>
      <c r="J160" s="15">
        <f t="shared" ref="J160:T160" si="617">J25/360</f>
        <v>0</v>
      </c>
      <c r="K160" s="15">
        <f t="shared" si="617"/>
        <v>0</v>
      </c>
      <c r="L160" s="15">
        <f t="shared" si="617"/>
        <v>0</v>
      </c>
      <c r="M160" s="15">
        <f t="shared" si="617"/>
        <v>0</v>
      </c>
      <c r="N160" s="15">
        <f t="shared" si="617"/>
        <v>0</v>
      </c>
      <c r="O160" s="15">
        <f t="shared" si="617"/>
        <v>0</v>
      </c>
      <c r="P160" s="15">
        <f t="shared" si="617"/>
        <v>0</v>
      </c>
      <c r="Q160" s="15">
        <f t="shared" si="617"/>
        <v>0</v>
      </c>
      <c r="R160" s="15">
        <f t="shared" si="617"/>
        <v>0</v>
      </c>
      <c r="S160" s="15">
        <f t="shared" si="617"/>
        <v>11.25</v>
      </c>
      <c r="T160" s="15">
        <f t="shared" si="617"/>
        <v>26.658333333333335</v>
      </c>
      <c r="U160" s="15">
        <f t="shared" ref="U160:V160" si="618">U25/360</f>
        <v>28.383333333333333</v>
      </c>
      <c r="V160" s="15">
        <f t="shared" si="618"/>
        <v>36.505555555555553</v>
      </c>
      <c r="W160" s="101">
        <f t="shared" si="514"/>
        <v>0.48023502231417203</v>
      </c>
      <c r="X160" s="109"/>
      <c r="Y160" s="15">
        <f t="shared" ref="Y160:AH160" si="619">Y25/360</f>
        <v>32.640833333333333</v>
      </c>
      <c r="Z160" s="15">
        <f t="shared" si="619"/>
        <v>37.536958333333331</v>
      </c>
      <c r="AA160" s="15">
        <f t="shared" si="619"/>
        <v>43.167502083333325</v>
      </c>
      <c r="AB160" s="15">
        <f t="shared" si="619"/>
        <v>49.642627395833316</v>
      </c>
      <c r="AC160" s="15">
        <f t="shared" si="619"/>
        <v>57.089021505208315</v>
      </c>
      <c r="AD160" s="15">
        <f t="shared" si="619"/>
        <v>65.65237473098955</v>
      </c>
      <c r="AE160" s="15">
        <f t="shared" si="619"/>
        <v>75.500230940637977</v>
      </c>
      <c r="AF160" s="15">
        <f t="shared" si="619"/>
        <v>86.825265581733674</v>
      </c>
      <c r="AG160" s="15">
        <f t="shared" si="619"/>
        <v>99.849055418993728</v>
      </c>
      <c r="AH160" s="15">
        <f t="shared" si="619"/>
        <v>114.82641373184278</v>
      </c>
      <c r="AI160" s="101">
        <f t="shared" ref="AI160:AI171" si="620">((AH160/Y160)^(1/($K$2-$K$1) ))-1</f>
        <v>0.52087499999999953</v>
      </c>
      <c r="AJ160" s="21">
        <f t="shared" si="387"/>
        <v>0.01</v>
      </c>
      <c r="AK160" s="123" t="e">
        <f t="shared" si="536"/>
        <v>#DIV/0!</v>
      </c>
    </row>
    <row r="161" spans="2:37" x14ac:dyDescent="0.2">
      <c r="B161" s="10" t="s">
        <v>298</v>
      </c>
      <c r="C161" s="10"/>
      <c r="D161" s="10"/>
      <c r="E161" s="10"/>
      <c r="F161" s="15"/>
      <c r="G161" s="15">
        <f t="shared" ref="G161" si="621">G27/360</f>
        <v>9.9583333333333339</v>
      </c>
      <c r="H161" s="15">
        <f t="shared" ref="H161:I161" si="622">H27/360</f>
        <v>0</v>
      </c>
      <c r="I161" s="15">
        <f t="shared" si="622"/>
        <v>0</v>
      </c>
      <c r="J161" s="15">
        <f t="shared" ref="J161:T161" si="623">J27/360</f>
        <v>0</v>
      </c>
      <c r="K161" s="15">
        <f t="shared" si="623"/>
        <v>0</v>
      </c>
      <c r="L161" s="15">
        <f t="shared" si="623"/>
        <v>0</v>
      </c>
      <c r="M161" s="15">
        <f t="shared" si="623"/>
        <v>0</v>
      </c>
      <c r="N161" s="15">
        <f t="shared" si="623"/>
        <v>0</v>
      </c>
      <c r="O161" s="15">
        <f t="shared" si="623"/>
        <v>0</v>
      </c>
      <c r="P161" s="15">
        <f t="shared" si="623"/>
        <v>0</v>
      </c>
      <c r="Q161" s="15">
        <f t="shared" si="623"/>
        <v>0</v>
      </c>
      <c r="R161" s="15">
        <f t="shared" si="623"/>
        <v>0</v>
      </c>
      <c r="S161" s="15">
        <f t="shared" si="623"/>
        <v>9.9583333333333339</v>
      </c>
      <c r="T161" s="15">
        <f t="shared" si="623"/>
        <v>23.683333333333334</v>
      </c>
      <c r="U161" s="15">
        <f t="shared" ref="U161:V161" si="624">U27/360</f>
        <v>25.730555555555554</v>
      </c>
      <c r="V161" s="15">
        <f t="shared" si="624"/>
        <v>16.916666666666668</v>
      </c>
      <c r="W161" s="101">
        <f t="shared" si="514"/>
        <v>0.19318937527540303</v>
      </c>
      <c r="X161" s="109"/>
      <c r="Y161" s="15">
        <f t="shared" ref="Y161:AH161" si="625">Y27/360</f>
        <v>29.590138888888887</v>
      </c>
      <c r="Z161" s="15">
        <f t="shared" si="625"/>
        <v>34.028659722222216</v>
      </c>
      <c r="AA161" s="15">
        <f t="shared" si="625"/>
        <v>39.132958680555546</v>
      </c>
      <c r="AB161" s="15">
        <f t="shared" si="625"/>
        <v>45.002902482638873</v>
      </c>
      <c r="AC161" s="15">
        <f t="shared" si="625"/>
        <v>51.753337855034708</v>
      </c>
      <c r="AD161" s="15">
        <f t="shared" si="625"/>
        <v>59.516338533289904</v>
      </c>
      <c r="AE161" s="15">
        <f t="shared" si="625"/>
        <v>68.443789313283389</v>
      </c>
      <c r="AF161" s="15">
        <f t="shared" si="625"/>
        <v>78.710357710275886</v>
      </c>
      <c r="AG161" s="15">
        <f t="shared" si="625"/>
        <v>90.516911366817268</v>
      </c>
      <c r="AH161" s="15">
        <f t="shared" si="625"/>
        <v>104.09444807183985</v>
      </c>
      <c r="AI161" s="101">
        <f t="shared" si="620"/>
        <v>0.52087499999999953</v>
      </c>
      <c r="AJ161" s="21">
        <f t="shared" si="387"/>
        <v>0.01</v>
      </c>
      <c r="AK161" s="123" t="e">
        <f t="shared" si="536"/>
        <v>#DIV/0!</v>
      </c>
    </row>
    <row r="162" spans="2:37" x14ac:dyDescent="0.2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21"/>
      <c r="W162" s="101" t="e">
        <f t="shared" si="514"/>
        <v>#DIV/0!</v>
      </c>
      <c r="X162" s="10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09"/>
      <c r="AJ162" s="123"/>
      <c r="AK162" s="123"/>
    </row>
    <row r="163" spans="2:37" x14ac:dyDescent="0.2">
      <c r="B163" s="10" t="s">
        <v>308</v>
      </c>
      <c r="C163" s="10"/>
      <c r="D163" s="10"/>
      <c r="E163" s="10"/>
      <c r="F163" s="15"/>
      <c r="G163" s="15">
        <f t="shared" ref="G163" si="626">G10/G7</f>
        <v>4.1174981936614943</v>
      </c>
      <c r="H163" s="15" t="e">
        <f t="shared" ref="H163:I163" si="627">H10/H7</f>
        <v>#DIV/0!</v>
      </c>
      <c r="I163" s="15" t="e">
        <f t="shared" si="627"/>
        <v>#DIV/0!</v>
      </c>
      <c r="J163" s="15" t="e">
        <f t="shared" ref="J163:T163" si="628">J10/J7</f>
        <v>#DIV/0!</v>
      </c>
      <c r="K163" s="15" t="e">
        <f t="shared" si="628"/>
        <v>#DIV/0!</v>
      </c>
      <c r="L163" s="15" t="e">
        <f t="shared" si="628"/>
        <v>#DIV/0!</v>
      </c>
      <c r="M163" s="15" t="e">
        <f t="shared" si="628"/>
        <v>#DIV/0!</v>
      </c>
      <c r="N163" s="15" t="e">
        <f t="shared" si="628"/>
        <v>#DIV/0!</v>
      </c>
      <c r="O163" s="15" t="e">
        <f t="shared" si="628"/>
        <v>#DIV/0!</v>
      </c>
      <c r="P163" s="15" t="e">
        <f t="shared" si="628"/>
        <v>#DIV/0!</v>
      </c>
      <c r="Q163" s="15" t="e">
        <f t="shared" si="628"/>
        <v>#DIV/0!</v>
      </c>
      <c r="R163" s="15" t="e">
        <f t="shared" si="628"/>
        <v>#DIV/0!</v>
      </c>
      <c r="S163" s="15">
        <f t="shared" si="628"/>
        <v>4.1174981936614943</v>
      </c>
      <c r="T163" s="15">
        <f t="shared" si="628"/>
        <v>6.1636462733342414</v>
      </c>
      <c r="U163" s="15">
        <f t="shared" ref="U163:V163" si="629">U10/U7</f>
        <v>6.895770590546026</v>
      </c>
      <c r="V163" s="15">
        <f t="shared" si="629"/>
        <v>7.7116166611715578</v>
      </c>
      <c r="W163" s="101">
        <f t="shared" si="514"/>
        <v>0.23264307037048715</v>
      </c>
      <c r="X163" s="109"/>
      <c r="Y163" s="15">
        <f t="shared" ref="Y163:AH163" si="630">Y10/Y7</f>
        <v>6.895770590546026</v>
      </c>
      <c r="Z163" s="15">
        <f t="shared" si="630"/>
        <v>6.895770590546026</v>
      </c>
      <c r="AA163" s="15">
        <f t="shared" si="630"/>
        <v>6.895770590546026</v>
      </c>
      <c r="AB163" s="15">
        <f t="shared" si="630"/>
        <v>6.8957705905460269</v>
      </c>
      <c r="AC163" s="15">
        <f t="shared" si="630"/>
        <v>6.895770590546026</v>
      </c>
      <c r="AD163" s="15">
        <f t="shared" si="630"/>
        <v>6.8957705905460269</v>
      </c>
      <c r="AE163" s="15">
        <f t="shared" si="630"/>
        <v>6.8957705905460269</v>
      </c>
      <c r="AF163" s="15">
        <f t="shared" si="630"/>
        <v>6.895770590546026</v>
      </c>
      <c r="AG163" s="15">
        <f t="shared" si="630"/>
        <v>6.8957705905460269</v>
      </c>
      <c r="AH163" s="15">
        <f t="shared" si="630"/>
        <v>6.895770590546026</v>
      </c>
      <c r="AI163" s="101">
        <f t="shared" si="620"/>
        <v>0</v>
      </c>
      <c r="AJ163" s="21">
        <f t="shared" si="387"/>
        <v>0.01</v>
      </c>
      <c r="AK163" s="123" t="e">
        <f t="shared" si="536"/>
        <v>#DIV/0!</v>
      </c>
    </row>
    <row r="164" spans="2:37" x14ac:dyDescent="0.2">
      <c r="B164" s="10" t="s">
        <v>300</v>
      </c>
      <c r="C164" s="10"/>
      <c r="D164" s="10"/>
      <c r="E164" s="10"/>
      <c r="F164" s="15"/>
      <c r="G164" s="15">
        <f t="shared" ref="G164" si="631">G10/(G10+G7)</f>
        <v>0.80459201700577154</v>
      </c>
      <c r="H164" s="15" t="e">
        <f t="shared" ref="H164:I164" si="632">H10/(H10+H7)</f>
        <v>#DIV/0!</v>
      </c>
      <c r="I164" s="15" t="e">
        <f t="shared" si="632"/>
        <v>#DIV/0!</v>
      </c>
      <c r="J164" s="15" t="e">
        <f t="shared" ref="J164:T164" si="633">J10/(J10+J7)</f>
        <v>#DIV/0!</v>
      </c>
      <c r="K164" s="15" t="e">
        <f t="shared" si="633"/>
        <v>#DIV/0!</v>
      </c>
      <c r="L164" s="15" t="e">
        <f t="shared" si="633"/>
        <v>#DIV/0!</v>
      </c>
      <c r="M164" s="15" t="e">
        <f t="shared" si="633"/>
        <v>#DIV/0!</v>
      </c>
      <c r="N164" s="15" t="e">
        <f t="shared" si="633"/>
        <v>#DIV/0!</v>
      </c>
      <c r="O164" s="15" t="e">
        <f t="shared" si="633"/>
        <v>#DIV/0!</v>
      </c>
      <c r="P164" s="15" t="e">
        <f t="shared" si="633"/>
        <v>#DIV/0!</v>
      </c>
      <c r="Q164" s="15" t="e">
        <f t="shared" si="633"/>
        <v>#DIV/0!</v>
      </c>
      <c r="R164" s="15" t="e">
        <f t="shared" si="633"/>
        <v>#DIV/0!</v>
      </c>
      <c r="S164" s="15">
        <f t="shared" si="633"/>
        <v>0.80459201700577154</v>
      </c>
      <c r="T164" s="15">
        <f t="shared" si="633"/>
        <v>0.86040628447521583</v>
      </c>
      <c r="U164" s="15">
        <f t="shared" ref="U164:V164" si="634">U10/(U10+U7)</f>
        <v>0.87334991708126042</v>
      </c>
      <c r="V164" s="15">
        <f t="shared" si="634"/>
        <v>0.88521074343673911</v>
      </c>
      <c r="W164" s="101">
        <f t="shared" si="514"/>
        <v>3.2342132324542749E-2</v>
      </c>
      <c r="X164" s="109"/>
      <c r="Y164" s="15">
        <f t="shared" ref="Y164:AH164" si="635">Y10/(Y10+Y7)</f>
        <v>0.87334991708126031</v>
      </c>
      <c r="Z164" s="15">
        <f t="shared" si="635"/>
        <v>0.87334991708126042</v>
      </c>
      <c r="AA164" s="15">
        <f t="shared" si="635"/>
        <v>0.87334991708126042</v>
      </c>
      <c r="AB164" s="15">
        <f t="shared" si="635"/>
        <v>0.87334991708126042</v>
      </c>
      <c r="AC164" s="15">
        <f t="shared" si="635"/>
        <v>0.87334991708126031</v>
      </c>
      <c r="AD164" s="15">
        <f t="shared" si="635"/>
        <v>0.87334991708126042</v>
      </c>
      <c r="AE164" s="15">
        <f t="shared" si="635"/>
        <v>0.87334991708126042</v>
      </c>
      <c r="AF164" s="15">
        <f t="shared" si="635"/>
        <v>0.87334991708126031</v>
      </c>
      <c r="AG164" s="15">
        <f t="shared" si="635"/>
        <v>0.87334991708126042</v>
      </c>
      <c r="AH164" s="15">
        <f t="shared" si="635"/>
        <v>0.87334991708126042</v>
      </c>
      <c r="AI164" s="101">
        <f t="shared" si="620"/>
        <v>0</v>
      </c>
      <c r="AJ164" s="21">
        <f t="shared" si="387"/>
        <v>0.01</v>
      </c>
      <c r="AK164" s="123" t="e">
        <f t="shared" si="536"/>
        <v>#DIV/0!</v>
      </c>
    </row>
    <row r="165" spans="2:37" x14ac:dyDescent="0.2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21"/>
      <c r="W165" s="101" t="e">
        <f t="shared" si="514"/>
        <v>#DIV/0!</v>
      </c>
      <c r="X165" s="10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14"/>
      <c r="AJ165" s="123"/>
      <c r="AK165" s="123"/>
    </row>
    <row r="166" spans="2:37" x14ac:dyDescent="0.2">
      <c r="B166" s="10" t="s">
        <v>305</v>
      </c>
      <c r="C166" s="10"/>
      <c r="D166" s="10"/>
      <c r="E166" s="10"/>
      <c r="F166" s="15"/>
      <c r="G166" s="15">
        <f t="shared" ref="G166" si="636">G16</f>
        <v>0</v>
      </c>
      <c r="H166" s="15">
        <f t="shared" ref="H166:I166" si="637">H16</f>
        <v>0</v>
      </c>
      <c r="I166" s="15">
        <f t="shared" si="637"/>
        <v>0</v>
      </c>
      <c r="J166" s="15">
        <f t="shared" ref="J166:T166" si="638">J16</f>
        <v>0</v>
      </c>
      <c r="K166" s="15">
        <f t="shared" si="638"/>
        <v>0</v>
      </c>
      <c r="L166" s="15">
        <f t="shared" si="638"/>
        <v>0</v>
      </c>
      <c r="M166" s="15">
        <f t="shared" si="638"/>
        <v>0</v>
      </c>
      <c r="N166" s="15">
        <f t="shared" si="638"/>
        <v>0</v>
      </c>
      <c r="O166" s="15">
        <f t="shared" si="638"/>
        <v>0</v>
      </c>
      <c r="P166" s="15">
        <f t="shared" si="638"/>
        <v>0</v>
      </c>
      <c r="Q166" s="15">
        <f t="shared" si="638"/>
        <v>0</v>
      </c>
      <c r="R166" s="15">
        <f t="shared" si="638"/>
        <v>0</v>
      </c>
      <c r="S166" s="15">
        <f t="shared" si="638"/>
        <v>0</v>
      </c>
      <c r="T166" s="15">
        <f t="shared" si="638"/>
        <v>0</v>
      </c>
      <c r="U166" s="15">
        <f t="shared" ref="U166:V166" si="639">U16</f>
        <v>0</v>
      </c>
      <c r="V166" s="15">
        <f t="shared" si="639"/>
        <v>0</v>
      </c>
      <c r="W166" s="101" t="e">
        <f t="shared" si="514"/>
        <v>#DIV/0!</v>
      </c>
      <c r="X166" s="109"/>
      <c r="Y166" s="15">
        <f t="shared" ref="Y166:AH166" si="640">Y16</f>
        <v>0</v>
      </c>
      <c r="Z166" s="15">
        <f t="shared" si="640"/>
        <v>0</v>
      </c>
      <c r="AA166" s="15">
        <f t="shared" si="640"/>
        <v>0</v>
      </c>
      <c r="AB166" s="15">
        <f t="shared" si="640"/>
        <v>0</v>
      </c>
      <c r="AC166" s="15">
        <f t="shared" si="640"/>
        <v>0</v>
      </c>
      <c r="AD166" s="15">
        <f t="shared" si="640"/>
        <v>0</v>
      </c>
      <c r="AE166" s="15">
        <f t="shared" si="640"/>
        <v>0</v>
      </c>
      <c r="AF166" s="15">
        <f t="shared" si="640"/>
        <v>0</v>
      </c>
      <c r="AG166" s="15">
        <f t="shared" si="640"/>
        <v>0</v>
      </c>
      <c r="AH166" s="15">
        <f t="shared" si="640"/>
        <v>0</v>
      </c>
      <c r="AI166" s="101" t="e">
        <f t="shared" si="620"/>
        <v>#DIV/0!</v>
      </c>
      <c r="AJ166" s="21">
        <f t="shared" si="387"/>
        <v>0.01</v>
      </c>
      <c r="AK166" s="123" t="e">
        <f t="shared" si="536"/>
        <v>#DIV/0!</v>
      </c>
    </row>
    <row r="167" spans="2:37" x14ac:dyDescent="0.2">
      <c r="B167" s="10" t="s">
        <v>306</v>
      </c>
      <c r="C167" s="10"/>
      <c r="D167" s="10"/>
      <c r="E167" s="10"/>
      <c r="F167" s="102"/>
      <c r="G167" s="102">
        <f t="shared" ref="G167" si="641">G166*365/G25</f>
        <v>0</v>
      </c>
      <c r="H167" s="102" t="e">
        <f t="shared" ref="H167:I167" si="642">H166*365/H25</f>
        <v>#DIV/0!</v>
      </c>
      <c r="I167" s="102" t="e">
        <f t="shared" si="642"/>
        <v>#DIV/0!</v>
      </c>
      <c r="J167" s="102" t="e">
        <f t="shared" ref="J167:T167" si="643">J166*365/J25</f>
        <v>#DIV/0!</v>
      </c>
      <c r="K167" s="102" t="e">
        <f t="shared" si="643"/>
        <v>#DIV/0!</v>
      </c>
      <c r="L167" s="102" t="e">
        <f t="shared" si="643"/>
        <v>#DIV/0!</v>
      </c>
      <c r="M167" s="102" t="e">
        <f t="shared" si="643"/>
        <v>#DIV/0!</v>
      </c>
      <c r="N167" s="102" t="e">
        <f t="shared" si="643"/>
        <v>#DIV/0!</v>
      </c>
      <c r="O167" s="102" t="e">
        <f t="shared" si="643"/>
        <v>#DIV/0!</v>
      </c>
      <c r="P167" s="102" t="e">
        <f t="shared" si="643"/>
        <v>#DIV/0!</v>
      </c>
      <c r="Q167" s="102" t="e">
        <f t="shared" si="643"/>
        <v>#DIV/0!</v>
      </c>
      <c r="R167" s="102" t="e">
        <f t="shared" si="643"/>
        <v>#DIV/0!</v>
      </c>
      <c r="S167" s="102">
        <f t="shared" si="643"/>
        <v>0</v>
      </c>
      <c r="T167" s="102">
        <f t="shared" si="643"/>
        <v>0</v>
      </c>
      <c r="U167" s="102">
        <f t="shared" ref="U167:V167" si="644">U166*365/U25</f>
        <v>0</v>
      </c>
      <c r="V167" s="102">
        <f t="shared" si="644"/>
        <v>0</v>
      </c>
      <c r="W167" s="101" t="e">
        <f t="shared" si="514"/>
        <v>#DIV/0!</v>
      </c>
      <c r="X167" s="109"/>
      <c r="Y167" s="102">
        <f t="shared" ref="Y167:AH167" si="645">Y166*365/Y25</f>
        <v>0</v>
      </c>
      <c r="Z167" s="102">
        <f t="shared" si="645"/>
        <v>0</v>
      </c>
      <c r="AA167" s="102">
        <f t="shared" si="645"/>
        <v>0</v>
      </c>
      <c r="AB167" s="102">
        <f t="shared" si="645"/>
        <v>0</v>
      </c>
      <c r="AC167" s="102">
        <f t="shared" si="645"/>
        <v>0</v>
      </c>
      <c r="AD167" s="102">
        <f t="shared" si="645"/>
        <v>0</v>
      </c>
      <c r="AE167" s="102">
        <f t="shared" si="645"/>
        <v>0</v>
      </c>
      <c r="AF167" s="102">
        <f t="shared" si="645"/>
        <v>0</v>
      </c>
      <c r="AG167" s="102">
        <f t="shared" si="645"/>
        <v>0</v>
      </c>
      <c r="AH167" s="102">
        <f t="shared" si="645"/>
        <v>0</v>
      </c>
      <c r="AI167" s="101" t="e">
        <f t="shared" si="620"/>
        <v>#DIV/0!</v>
      </c>
      <c r="AJ167" s="21">
        <f t="shared" si="387"/>
        <v>0.01</v>
      </c>
      <c r="AK167" s="123" t="e">
        <f t="shared" si="536"/>
        <v>#DIV/0!</v>
      </c>
    </row>
    <row r="168" spans="2:37" x14ac:dyDescent="0.2">
      <c r="B168" s="10" t="s">
        <v>309</v>
      </c>
      <c r="C168" s="10"/>
      <c r="D168" s="10"/>
      <c r="E168" s="10"/>
      <c r="F168" s="111"/>
      <c r="G168" s="111">
        <f t="shared" ref="G168" si="646">G102/G29</f>
        <v>0</v>
      </c>
      <c r="H168" s="111" t="e">
        <f t="shared" ref="H168:I168" si="647">H102/H29</f>
        <v>#DIV/0!</v>
      </c>
      <c r="I168" s="111" t="e">
        <f t="shared" si="647"/>
        <v>#DIV/0!</v>
      </c>
      <c r="J168" s="111" t="e">
        <f t="shared" ref="J168:T168" si="648">J102/J29</f>
        <v>#DIV/0!</v>
      </c>
      <c r="K168" s="111" t="e">
        <f t="shared" si="648"/>
        <v>#DIV/0!</v>
      </c>
      <c r="L168" s="111" t="e">
        <f t="shared" si="648"/>
        <v>#DIV/0!</v>
      </c>
      <c r="M168" s="111" t="e">
        <f t="shared" si="648"/>
        <v>#DIV/0!</v>
      </c>
      <c r="N168" s="111" t="e">
        <f t="shared" si="648"/>
        <v>#DIV/0!</v>
      </c>
      <c r="O168" s="111" t="e">
        <f t="shared" si="648"/>
        <v>#DIV/0!</v>
      </c>
      <c r="P168" s="111" t="e">
        <f t="shared" si="648"/>
        <v>#DIV/0!</v>
      </c>
      <c r="Q168" s="111" t="e">
        <f t="shared" si="648"/>
        <v>#DIV/0!</v>
      </c>
      <c r="R168" s="111" t="e">
        <f t="shared" si="648"/>
        <v>#DIV/0!</v>
      </c>
      <c r="S168" s="111">
        <f t="shared" si="648"/>
        <v>0</v>
      </c>
      <c r="T168" s="111">
        <f t="shared" si="648"/>
        <v>0</v>
      </c>
      <c r="U168" s="111">
        <f t="shared" ref="U168:V168" si="649">U102/U29</f>
        <v>0</v>
      </c>
      <c r="V168" s="111">
        <f t="shared" si="649"/>
        <v>0</v>
      </c>
      <c r="W168" s="101" t="e">
        <f t="shared" si="514"/>
        <v>#DIV/0!</v>
      </c>
      <c r="X168" s="109"/>
      <c r="Y168" s="111">
        <f t="shared" ref="Y168:AH168" si="650">Y102/Y29</f>
        <v>0</v>
      </c>
      <c r="Z168" s="111">
        <f t="shared" si="650"/>
        <v>0</v>
      </c>
      <c r="AA168" s="111">
        <f t="shared" si="650"/>
        <v>0</v>
      </c>
      <c r="AB168" s="111">
        <f t="shared" si="650"/>
        <v>0</v>
      </c>
      <c r="AC168" s="111">
        <f t="shared" si="650"/>
        <v>0</v>
      </c>
      <c r="AD168" s="111">
        <f t="shared" si="650"/>
        <v>0</v>
      </c>
      <c r="AE168" s="111">
        <f t="shared" si="650"/>
        <v>0</v>
      </c>
      <c r="AF168" s="111">
        <f t="shared" si="650"/>
        <v>0</v>
      </c>
      <c r="AG168" s="111">
        <f t="shared" si="650"/>
        <v>0</v>
      </c>
      <c r="AH168" s="111">
        <f t="shared" si="650"/>
        <v>0</v>
      </c>
      <c r="AI168" s="101" t="e">
        <f t="shared" si="620"/>
        <v>#DIV/0!</v>
      </c>
      <c r="AJ168" s="21">
        <f t="shared" si="387"/>
        <v>0.01</v>
      </c>
      <c r="AK168" s="123" t="e">
        <f t="shared" si="536"/>
        <v>#DIV/0!</v>
      </c>
    </row>
    <row r="169" spans="2:37" x14ac:dyDescent="0.2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21"/>
      <c r="W169" s="101" t="e">
        <f t="shared" si="514"/>
        <v>#DIV/0!</v>
      </c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14"/>
      <c r="AJ169" s="123"/>
      <c r="AK169" s="123"/>
    </row>
    <row r="170" spans="2:37" x14ac:dyDescent="0.2">
      <c r="B170" s="10" t="s">
        <v>316</v>
      </c>
      <c r="C170" s="10"/>
      <c r="D170" s="10"/>
      <c r="E170" s="10"/>
      <c r="F170" s="153"/>
      <c r="G170" s="153" t="e">
        <f t="shared" ref="G170" si="651">G25/G14</f>
        <v>#DIV/0!</v>
      </c>
      <c r="H170" s="153" t="e">
        <f t="shared" ref="H170:I170" si="652">H25/H14</f>
        <v>#DIV/0!</v>
      </c>
      <c r="I170" s="153" t="e">
        <f t="shared" si="652"/>
        <v>#DIV/0!</v>
      </c>
      <c r="J170" s="153" t="e">
        <f t="shared" ref="J170:T170" si="653">J25/J14</f>
        <v>#DIV/0!</v>
      </c>
      <c r="K170" s="153" t="e">
        <f t="shared" si="653"/>
        <v>#DIV/0!</v>
      </c>
      <c r="L170" s="153" t="e">
        <f t="shared" si="653"/>
        <v>#DIV/0!</v>
      </c>
      <c r="M170" s="153" t="e">
        <f t="shared" si="653"/>
        <v>#DIV/0!</v>
      </c>
      <c r="N170" s="153" t="e">
        <f t="shared" si="653"/>
        <v>#DIV/0!</v>
      </c>
      <c r="O170" s="153" t="e">
        <f t="shared" si="653"/>
        <v>#DIV/0!</v>
      </c>
      <c r="P170" s="153" t="e">
        <f t="shared" si="653"/>
        <v>#DIV/0!</v>
      </c>
      <c r="Q170" s="153" t="e">
        <f t="shared" si="653"/>
        <v>#DIV/0!</v>
      </c>
      <c r="R170" s="153" t="e">
        <f t="shared" si="653"/>
        <v>#DIV/0!</v>
      </c>
      <c r="S170" s="153" t="e">
        <f t="shared" si="653"/>
        <v>#DIV/0!</v>
      </c>
      <c r="T170" s="153" t="e">
        <f t="shared" si="653"/>
        <v>#DIV/0!</v>
      </c>
      <c r="U170" s="153" t="e">
        <f t="shared" ref="U170:V170" si="654">U25/U14</f>
        <v>#DIV/0!</v>
      </c>
      <c r="V170" s="153" t="e">
        <f t="shared" si="654"/>
        <v>#DIV/0!</v>
      </c>
      <c r="W170" s="101" t="e">
        <f t="shared" si="514"/>
        <v>#DIV/0!</v>
      </c>
      <c r="X170" s="109"/>
      <c r="Y170" s="10" t="e">
        <f t="shared" ref="Y170:AH170" si="655">Y25/Y14</f>
        <v>#DIV/0!</v>
      </c>
      <c r="Z170" s="10" t="e">
        <f t="shared" si="655"/>
        <v>#DIV/0!</v>
      </c>
      <c r="AA170" s="10" t="e">
        <f t="shared" si="655"/>
        <v>#DIV/0!</v>
      </c>
      <c r="AB170" s="10" t="e">
        <f t="shared" si="655"/>
        <v>#DIV/0!</v>
      </c>
      <c r="AC170" s="10" t="e">
        <f t="shared" si="655"/>
        <v>#DIV/0!</v>
      </c>
      <c r="AD170" s="10" t="e">
        <f t="shared" si="655"/>
        <v>#DIV/0!</v>
      </c>
      <c r="AE170" s="10" t="e">
        <f t="shared" si="655"/>
        <v>#DIV/0!</v>
      </c>
      <c r="AF170" s="10" t="e">
        <f t="shared" si="655"/>
        <v>#DIV/0!</v>
      </c>
      <c r="AG170" s="10" t="e">
        <f t="shared" si="655"/>
        <v>#DIV/0!</v>
      </c>
      <c r="AH170" s="10" t="e">
        <f t="shared" si="655"/>
        <v>#DIV/0!</v>
      </c>
      <c r="AI170" s="101" t="e">
        <f t="shared" si="620"/>
        <v>#DIV/0!</v>
      </c>
      <c r="AJ170" s="21">
        <f t="shared" si="387"/>
        <v>0.01</v>
      </c>
      <c r="AK170" s="123" t="e">
        <f t="shared" si="536"/>
        <v>#DIV/0!</v>
      </c>
    </row>
    <row r="171" spans="2:37" x14ac:dyDescent="0.2">
      <c r="B171" s="10" t="s">
        <v>317</v>
      </c>
      <c r="C171" s="10"/>
      <c r="D171" s="10"/>
      <c r="E171" s="10"/>
      <c r="F171" s="153"/>
      <c r="G171" s="153" t="e">
        <f t="shared" ref="G171" si="656">G27/G14</f>
        <v>#DIV/0!</v>
      </c>
      <c r="H171" s="153" t="e">
        <f t="shared" ref="H171:I171" si="657">H27/H14</f>
        <v>#DIV/0!</v>
      </c>
      <c r="I171" s="153" t="e">
        <f t="shared" si="657"/>
        <v>#DIV/0!</v>
      </c>
      <c r="J171" s="153" t="e">
        <f t="shared" ref="J171:T171" si="658">J27/J14</f>
        <v>#DIV/0!</v>
      </c>
      <c r="K171" s="153" t="e">
        <f t="shared" si="658"/>
        <v>#DIV/0!</v>
      </c>
      <c r="L171" s="153" t="e">
        <f t="shared" si="658"/>
        <v>#DIV/0!</v>
      </c>
      <c r="M171" s="153" t="e">
        <f t="shared" si="658"/>
        <v>#DIV/0!</v>
      </c>
      <c r="N171" s="153" t="e">
        <f t="shared" si="658"/>
        <v>#DIV/0!</v>
      </c>
      <c r="O171" s="153" t="e">
        <f t="shared" si="658"/>
        <v>#DIV/0!</v>
      </c>
      <c r="P171" s="153" t="e">
        <f t="shared" si="658"/>
        <v>#DIV/0!</v>
      </c>
      <c r="Q171" s="153" t="e">
        <f t="shared" si="658"/>
        <v>#DIV/0!</v>
      </c>
      <c r="R171" s="153" t="e">
        <f t="shared" si="658"/>
        <v>#DIV/0!</v>
      </c>
      <c r="S171" s="153" t="e">
        <f t="shared" si="658"/>
        <v>#DIV/0!</v>
      </c>
      <c r="T171" s="153" t="e">
        <f t="shared" si="658"/>
        <v>#DIV/0!</v>
      </c>
      <c r="U171" s="153" t="e">
        <f t="shared" ref="U171:V171" si="659">U27/U14</f>
        <v>#DIV/0!</v>
      </c>
      <c r="V171" s="153" t="e">
        <f t="shared" si="659"/>
        <v>#DIV/0!</v>
      </c>
      <c r="W171" s="101" t="e">
        <f t="shared" si="514"/>
        <v>#DIV/0!</v>
      </c>
      <c r="X171" s="109"/>
      <c r="Y171" s="10" t="e">
        <f t="shared" ref="Y171:AH171" si="660">Y27/Y14</f>
        <v>#DIV/0!</v>
      </c>
      <c r="Z171" s="10" t="e">
        <f t="shared" si="660"/>
        <v>#DIV/0!</v>
      </c>
      <c r="AA171" s="10" t="e">
        <f t="shared" si="660"/>
        <v>#DIV/0!</v>
      </c>
      <c r="AB171" s="10" t="e">
        <f t="shared" si="660"/>
        <v>#DIV/0!</v>
      </c>
      <c r="AC171" s="10" t="e">
        <f t="shared" si="660"/>
        <v>#DIV/0!</v>
      </c>
      <c r="AD171" s="10" t="e">
        <f t="shared" si="660"/>
        <v>#DIV/0!</v>
      </c>
      <c r="AE171" s="10" t="e">
        <f t="shared" si="660"/>
        <v>#DIV/0!</v>
      </c>
      <c r="AF171" s="10" t="e">
        <f t="shared" si="660"/>
        <v>#DIV/0!</v>
      </c>
      <c r="AG171" s="10" t="e">
        <f t="shared" si="660"/>
        <v>#DIV/0!</v>
      </c>
      <c r="AH171" s="10" t="e">
        <f t="shared" si="660"/>
        <v>#DIV/0!</v>
      </c>
      <c r="AI171" s="101" t="e">
        <f t="shared" si="620"/>
        <v>#DIV/0!</v>
      </c>
      <c r="AJ171" s="21">
        <f t="shared" si="387"/>
        <v>0.01</v>
      </c>
      <c r="AK171" s="123" t="e">
        <f t="shared" si="536"/>
        <v>#DIV/0!</v>
      </c>
    </row>
    <row r="172" spans="2:37" x14ac:dyDescent="0.2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69" t="s">
        <v>508</v>
      </c>
      <c r="T172" s="169"/>
      <c r="U172" s="10"/>
      <c r="V172" s="10"/>
      <c r="W172" s="109"/>
      <c r="X172" s="109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14"/>
      <c r="AJ172" s="10"/>
      <c r="AK172" s="10"/>
    </row>
    <row r="173" spans="2:37" x14ac:dyDescent="0.2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507</v>
      </c>
      <c r="T173" s="13" t="s">
        <v>409</v>
      </c>
      <c r="U173" s="13" t="s">
        <v>409</v>
      </c>
      <c r="V173" s="13"/>
      <c r="W173" s="13" t="s">
        <v>501</v>
      </c>
      <c r="X173" s="10"/>
      <c r="Y173" s="105" t="s">
        <v>54</v>
      </c>
      <c r="Z173" s="10"/>
      <c r="AA173" s="10"/>
      <c r="AB173" s="10"/>
      <c r="AC173" s="10"/>
      <c r="AD173" s="10"/>
      <c r="AE173" s="10"/>
      <c r="AF173" s="10"/>
      <c r="AG173" s="10"/>
      <c r="AH173" s="10"/>
      <c r="AI173" s="114"/>
      <c r="AJ173" s="10"/>
      <c r="AK173" s="10"/>
    </row>
    <row r="174" spans="2:37" x14ac:dyDescent="0.2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AVERAGE(G106:V106)</f>
        <v>0.12068514644351463</v>
      </c>
      <c r="T174" s="111">
        <f>AVERAGE(R106:V106)</f>
        <v>0.19121338912133884</v>
      </c>
      <c r="U174" s="111" t="e">
        <f>AVERAGE(R76:V76)</f>
        <v>#DIV/0!</v>
      </c>
      <c r="V174" s="111"/>
      <c r="W174" s="111" t="e">
        <f>AVERAGE(M76:V76)</f>
        <v>#DIV/0!</v>
      </c>
      <c r="X174" s="10"/>
      <c r="Y174" s="167" t="s">
        <v>371</v>
      </c>
      <c r="Z174" s="168" t="s">
        <v>372</v>
      </c>
      <c r="AA174" s="10"/>
      <c r="AB174" s="10"/>
      <c r="AC174" s="10"/>
      <c r="AD174" s="10"/>
      <c r="AE174" s="10"/>
      <c r="AF174" s="10"/>
      <c r="AG174" s="10"/>
      <c r="AH174" s="10"/>
      <c r="AI174" s="114"/>
      <c r="AJ174" s="10"/>
      <c r="AK174" s="10"/>
    </row>
    <row r="175" spans="2:37" x14ac:dyDescent="0.2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17" t="e">
        <f>Y175+Z175</f>
        <v>#DIV/0!</v>
      </c>
      <c r="Y175" s="111">
        <f>PV($C$1, ($AH$3-$Y$3), 0, -AH76)</f>
        <v>1.437233682801885</v>
      </c>
      <c r="Z175" s="111" t="e">
        <f>PV($C$1, ($AH$3-$Y$3), 0, -AK76)</f>
        <v>#DIV/0!</v>
      </c>
      <c r="AA175" s="10"/>
      <c r="AB175" s="10"/>
      <c r="AC175" s="10"/>
      <c r="AD175" s="10"/>
      <c r="AE175" s="10"/>
      <c r="AF175" s="10"/>
      <c r="AG175" s="10"/>
      <c r="AH175" s="10"/>
      <c r="AI175" s="114"/>
      <c r="AJ175" s="10"/>
      <c r="AK175" s="10"/>
    </row>
    <row r="176" spans="2:37" x14ac:dyDescent="0.2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17" t="e">
        <f t="shared" ref="X176:X194" si="661">Y176+Z176</f>
        <v>#DIV/0!</v>
      </c>
      <c r="Y176" s="111">
        <f>PV($C$1, ($AH$3-$Y$3), 0, -AH78)</f>
        <v>24.97418347112173</v>
      </c>
      <c r="Z176" s="111" t="e">
        <f>PV($C$1, ($AH$3-$Y$3), 0, -AK78)</f>
        <v>#DIV/0!</v>
      </c>
      <c r="AA176" s="10"/>
      <c r="AB176" s="10"/>
      <c r="AC176" s="10"/>
      <c r="AD176" s="10"/>
      <c r="AE176" s="10"/>
      <c r="AF176" s="10"/>
      <c r="AG176" s="10"/>
      <c r="AH176" s="10"/>
      <c r="AI176" s="114"/>
      <c r="AJ176" s="10"/>
      <c r="AK176" s="10"/>
    </row>
    <row r="177" spans="2:37" x14ac:dyDescent="0.2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17" t="e">
        <f t="shared" si="661"/>
        <v>#DIV/0!</v>
      </c>
      <c r="Y177" s="111">
        <f>PV($C$1, ($AH$3-$Y$3), 0, -AH79)</f>
        <v>19.40837749130646</v>
      </c>
      <c r="Z177" s="111" t="e">
        <f>PV($C$1, ($AH$3-$Y$3), 0, -AK79)</f>
        <v>#DIV/0!</v>
      </c>
      <c r="AA177" s="10"/>
      <c r="AB177" s="10"/>
      <c r="AC177" s="10"/>
      <c r="AD177" s="10"/>
      <c r="AE177" s="10"/>
      <c r="AF177" s="10"/>
      <c r="AG177" s="10"/>
      <c r="AH177" s="10"/>
      <c r="AI177" s="114"/>
      <c r="AJ177" s="10"/>
      <c r="AK177" s="10"/>
    </row>
    <row r="178" spans="2:37" x14ac:dyDescent="0.2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17" t="e">
        <f t="shared" si="661"/>
        <v>#DIV/0!</v>
      </c>
      <c r="Y178" s="111">
        <f>PV($C$1, ($AH$3-$Y$3), 0, -AH80)</f>
        <v>172.2162399030619</v>
      </c>
      <c r="Z178" s="111" t="e">
        <f>PV($C$1, ($AH$3-$Y$3), 0, -AK80)</f>
        <v>#DIV/0!</v>
      </c>
      <c r="AA178" s="10"/>
      <c r="AB178" s="10"/>
      <c r="AC178" s="10"/>
      <c r="AD178" s="10"/>
      <c r="AE178" s="10"/>
      <c r="AF178" s="10"/>
      <c r="AG178" s="10"/>
      <c r="AH178" s="10"/>
      <c r="AI178" s="114"/>
      <c r="AJ178" s="10"/>
      <c r="AK178" s="10"/>
    </row>
    <row r="179" spans="2:37" x14ac:dyDescent="0.2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17" t="e">
        <f t="shared" si="661"/>
        <v>#DIV/0!</v>
      </c>
      <c r="Y179" s="111">
        <f>PV($C$1, ($AH$3-$Y$3), 0, -AH86)</f>
        <v>0</v>
      </c>
      <c r="Z179" s="111" t="e">
        <f>PV($C$1, ($AH$3-$Y$3), 0, -AK86)</f>
        <v>#DIV/0!</v>
      </c>
      <c r="AA179" s="10"/>
      <c r="AB179" s="10"/>
      <c r="AC179" s="10"/>
      <c r="AD179" s="10"/>
      <c r="AE179" s="10"/>
      <c r="AF179" s="10"/>
      <c r="AG179" s="10"/>
      <c r="AH179" s="10"/>
      <c r="AI179" s="114"/>
      <c r="AJ179" s="10"/>
      <c r="AK179" s="10"/>
    </row>
    <row r="180" spans="2:37" x14ac:dyDescent="0.2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17"/>
      <c r="Y180" s="111"/>
      <c r="Z180" s="10"/>
      <c r="AA180" s="10"/>
      <c r="AB180" s="10"/>
      <c r="AC180" s="10"/>
      <c r="AD180" s="10"/>
      <c r="AE180" s="10"/>
      <c r="AF180" s="10"/>
      <c r="AG180" s="10"/>
      <c r="AH180" s="10"/>
      <c r="AI180" s="114"/>
      <c r="AJ180" s="10"/>
      <c r="AK180" s="10"/>
    </row>
    <row r="181" spans="2:37" x14ac:dyDescent="0.2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17" t="e">
        <f t="shared" si="661"/>
        <v>#DIV/0!</v>
      </c>
      <c r="Y181" s="111">
        <f>PV($C$1, ($AH$3-$Y$3), 0, -AH82)</f>
        <v>-147.24205643194017</v>
      </c>
      <c r="Z181" s="111" t="e">
        <f>PV($C$1, ($AH$3-$Y$3), 0, -$AK$82)</f>
        <v>#DIV/0!</v>
      </c>
      <c r="AA181" s="10"/>
      <c r="AB181" s="10"/>
      <c r="AC181" s="10"/>
      <c r="AD181" s="10"/>
      <c r="AE181" s="10"/>
      <c r="AF181" s="10"/>
      <c r="AG181" s="10"/>
      <c r="AH181" s="10"/>
      <c r="AI181" s="114"/>
      <c r="AJ181" s="10"/>
      <c r="AK181" s="10"/>
    </row>
    <row r="182" spans="2:37" x14ac:dyDescent="0.2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17" t="e">
        <f t="shared" si="661"/>
        <v>#DIV/0!</v>
      </c>
      <c r="Y182" s="111">
        <f>PV($C$1, ($AH$3-$Y$3), 0, -AH83)</f>
        <v>-147.24205643194017</v>
      </c>
      <c r="Z182" s="111" t="e">
        <f>PV($C$1, ($AH$3-$Y$3), 0, -$AK$83)</f>
        <v>#DIV/0!</v>
      </c>
      <c r="AA182" s="10"/>
      <c r="AB182" s="10"/>
      <c r="AC182" s="10"/>
      <c r="AD182" s="10"/>
      <c r="AE182" s="10"/>
      <c r="AF182" s="10"/>
      <c r="AG182" s="10"/>
      <c r="AH182" s="10"/>
      <c r="AI182" s="114"/>
      <c r="AJ182" s="10"/>
      <c r="AK182" s="10"/>
    </row>
    <row r="183" spans="2:37" x14ac:dyDescent="0.2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17" t="e">
        <f t="shared" si="661"/>
        <v>#DIV/0!</v>
      </c>
      <c r="Y183" s="111">
        <f>PV($C$1, ($AH$3-$Y$3), 0, -AH84)</f>
        <v>-147.24205643194017</v>
      </c>
      <c r="Z183" s="111" t="e">
        <f>PV($C$1, ($AH$3-$Y$3), 0, -$AK$84)</f>
        <v>#DIV/0!</v>
      </c>
      <c r="AA183" s="10"/>
      <c r="AB183" s="10"/>
      <c r="AC183" s="10"/>
      <c r="AD183" s="10"/>
      <c r="AE183" s="10"/>
      <c r="AF183" s="10"/>
      <c r="AG183" s="10"/>
      <c r="AH183" s="10"/>
      <c r="AI183" s="114"/>
      <c r="AJ183" s="10"/>
      <c r="AK183" s="10"/>
    </row>
    <row r="184" spans="2:37" x14ac:dyDescent="0.2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17"/>
      <c r="Y184" s="111"/>
      <c r="Z184" s="10"/>
      <c r="AA184" s="10"/>
      <c r="AB184" s="10"/>
      <c r="AC184" s="10"/>
      <c r="AD184" s="10"/>
      <c r="AE184" s="10"/>
      <c r="AF184" s="10"/>
      <c r="AG184" s="10"/>
      <c r="AH184" s="10"/>
      <c r="AI184" s="114"/>
      <c r="AJ184" s="10"/>
      <c r="AK184" s="10"/>
    </row>
    <row r="185" spans="2:37" x14ac:dyDescent="0.2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17" t="e">
        <f t="shared" si="661"/>
        <v>#DIV/0!</v>
      </c>
      <c r="Y185" s="111">
        <f>PV($C$1, ($AH$3-$Y$3), 0, -AH89)</f>
        <v>0</v>
      </c>
      <c r="Z185" s="111" t="e">
        <f>PV($C$1, ($AH$3-$Y$3), 0, -AK89)</f>
        <v>#DIV/0!</v>
      </c>
      <c r="AA185" s="10"/>
      <c r="AB185" s="10"/>
      <c r="AC185" s="10"/>
      <c r="AD185" s="10"/>
      <c r="AE185" s="10"/>
      <c r="AF185" s="10"/>
      <c r="AG185" s="10"/>
      <c r="AH185" s="10"/>
      <c r="AI185" s="114"/>
      <c r="AJ185" s="10"/>
      <c r="AK185" s="10"/>
    </row>
    <row r="186" spans="2:37" x14ac:dyDescent="0.2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17" t="e">
        <f t="shared" si="661"/>
        <v>#DIV/0!</v>
      </c>
      <c r="Y186" s="111">
        <f>PV($C$1, ($AH$3-$Y$3), 0, -AH90)</f>
        <v>0</v>
      </c>
      <c r="Z186" s="111" t="e">
        <f>PV($C$1, ($AH$3-$Y$3), 0, -AK90)</f>
        <v>#DIV/0!</v>
      </c>
      <c r="AA186" s="10"/>
      <c r="AB186" s="10"/>
      <c r="AC186" s="10"/>
      <c r="AD186" s="10"/>
      <c r="AE186" s="10"/>
      <c r="AF186" s="10"/>
      <c r="AG186" s="10"/>
      <c r="AH186" s="10"/>
      <c r="AI186" s="114"/>
      <c r="AJ186" s="10"/>
      <c r="AK186" s="10"/>
    </row>
    <row r="187" spans="2:37" x14ac:dyDescent="0.2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17"/>
      <c r="Y187" s="111"/>
      <c r="Z187" s="111"/>
      <c r="AA187" s="10"/>
      <c r="AB187" s="10"/>
      <c r="AC187" s="10"/>
      <c r="AD187" s="10"/>
      <c r="AE187" s="10"/>
      <c r="AF187" s="10"/>
      <c r="AG187" s="10"/>
      <c r="AH187" s="10"/>
      <c r="AI187" s="114"/>
      <c r="AJ187" s="10"/>
      <c r="AK187" s="10"/>
    </row>
    <row r="188" spans="2:37" x14ac:dyDescent="0.2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17" t="e">
        <f t="shared" ref="X188" si="662">Y188+Z188</f>
        <v>#DIV/0!</v>
      </c>
      <c r="Y188" s="111">
        <f>PV($C$1, ($AH$3-$Y$3), 0, -AH12)</f>
        <v>0</v>
      </c>
      <c r="Z188" s="111" t="e">
        <f>PV($C$1, ($AH$3-$Y$3), 0, -AK12)</f>
        <v>#DIV/0!</v>
      </c>
      <c r="AA188" s="10"/>
      <c r="AB188" s="10"/>
      <c r="AC188" s="10"/>
      <c r="AD188" s="10"/>
      <c r="AE188" s="10"/>
      <c r="AF188" s="10"/>
      <c r="AG188" s="10"/>
      <c r="AH188" s="10"/>
      <c r="AI188" s="114"/>
      <c r="AJ188" s="10"/>
      <c r="AK188" s="10"/>
    </row>
    <row r="189" spans="2:37" x14ac:dyDescent="0.2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17" t="e">
        <f>Y189+Z189</f>
        <v>#DIV/0!</v>
      </c>
      <c r="Y189" s="117">
        <f>Y188/S61</f>
        <v>0</v>
      </c>
      <c r="Z189" s="117" t="e">
        <f>Z188/S61</f>
        <v>#DIV/0!</v>
      </c>
      <c r="AA189" s="10"/>
      <c r="AB189" s="10"/>
      <c r="AC189" s="10"/>
      <c r="AD189" s="10"/>
      <c r="AE189" s="10"/>
      <c r="AF189" s="10"/>
      <c r="AG189" s="10"/>
      <c r="AH189" s="10"/>
      <c r="AI189" s="114"/>
      <c r="AJ189" s="10"/>
      <c r="AK189" s="10"/>
    </row>
    <row r="190" spans="2:37" x14ac:dyDescent="0.2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17"/>
      <c r="Y190" s="117"/>
      <c r="Z190" s="117"/>
      <c r="AA190" s="10"/>
      <c r="AB190" s="10"/>
      <c r="AC190" s="10"/>
      <c r="AD190" s="10"/>
      <c r="AE190" s="10"/>
      <c r="AF190" s="10"/>
      <c r="AG190" s="10"/>
      <c r="AH190" s="10"/>
      <c r="AI190" s="114"/>
      <c r="AJ190" s="10"/>
      <c r="AK190" s="10"/>
    </row>
    <row r="191" spans="2:37" x14ac:dyDescent="0.2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17"/>
      <c r="Y191" s="111"/>
      <c r="Z191" s="111"/>
      <c r="AA191" s="10"/>
      <c r="AB191" s="10"/>
      <c r="AC191" s="10"/>
      <c r="AD191" s="10"/>
      <c r="AE191" s="10"/>
      <c r="AF191" s="10"/>
      <c r="AG191" s="10"/>
      <c r="AH191" s="10"/>
      <c r="AI191" s="114"/>
      <c r="AJ191" s="10"/>
      <c r="AK191" s="10"/>
    </row>
    <row r="192" spans="2:37" x14ac:dyDescent="0.2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17" t="e">
        <f t="shared" ref="X192" si="663">Y192+Z192</f>
        <v>#DIV/0!</v>
      </c>
      <c r="Y192" s="111">
        <f>PV($C$1, ($AH$3-$Y$3), 0, -AH92)+PV($C$1, ($AG$3-$Y$3), 0, -AH92)+PV($C$1, ($AF$3-$Y$3), 0, -AH92)+PV($C$1, ($AE$3-$Y$3), 0, -AH92)+PV($C$1, ($AD$3-$Y$3), 0, -AH92)+PV($C$1, ($AC$3-$Y$3), 0, -AH92)+PV($C$1, ($AB$3-$Y$3), 0, -AH92)+PV($C$1, ($AA$3-$Y$3), 0, -AH92)+PV($C$1, ($Z$3-$Y$3), 0, -AH92)+PV($C$1, ($Y$3-$Y$3), 0, -AH92)</f>
        <v>0</v>
      </c>
      <c r="Z192" s="111" t="e">
        <f>PV($C$1, ($AH$3-$Y$3), 0, -AK92)</f>
        <v>#DIV/0!</v>
      </c>
      <c r="AA192" s="10"/>
      <c r="AB192" s="10"/>
      <c r="AC192" s="10"/>
      <c r="AD192" s="10"/>
      <c r="AE192" s="10"/>
      <c r="AF192" s="10"/>
      <c r="AG192" s="10"/>
      <c r="AH192" s="10"/>
      <c r="AI192" s="114"/>
      <c r="AJ192" s="10"/>
      <c r="AK192" s="10"/>
    </row>
    <row r="193" spans="2:37" x14ac:dyDescent="0.2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17"/>
      <c r="Y193" s="111"/>
      <c r="Z193" s="111"/>
      <c r="AA193" s="10"/>
      <c r="AB193" s="10"/>
      <c r="AC193" s="10"/>
      <c r="AD193" s="10"/>
      <c r="AE193" s="10"/>
      <c r="AF193" s="10"/>
      <c r="AG193" s="10"/>
      <c r="AH193" s="10"/>
      <c r="AI193" s="114"/>
      <c r="AJ193" s="10"/>
      <c r="AK193" s="10"/>
    </row>
    <row r="194" spans="2:37" x14ac:dyDescent="0.2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17" t="e">
        <f t="shared" si="661"/>
        <v>#DIV/0!</v>
      </c>
      <c r="Y194" s="111">
        <f>PV($C$1, ($AH$3-$Y$3), 0, -AH94)+PV($C$1, ($AG$3-$Y$3), 0, -AH94)+PV($C$1, ($AF$3-$Y$3), 0, -AH94)+PV($C$1, ($AE$3-$Y$3), 0, -AH94)+PV($C$1, ($AD$3-$Y$3), 0, -AH94)+PV($C$1, ($AC$3-$Y$3), 0, -AH94)+PV($C$1, ($AB$3-$Y$3), 0, -AH94)+PV($C$1, ($AA$3-$Y$3), 0, -AH94)+PV($C$1, ($Z$3-$Y$3), 0, -AH94)+PV($C$1, ($Y$3-$Y$3), 0, -AH94)</f>
        <v>0</v>
      </c>
      <c r="Z194" s="111" t="e">
        <f>PV($C$1, ($AH$3-$Y$3), 0, -AK94)</f>
        <v>#DIV/0!</v>
      </c>
      <c r="AA194" s="10"/>
      <c r="AB194" s="10"/>
      <c r="AC194" s="10"/>
      <c r="AD194" s="10"/>
      <c r="AE194" s="10"/>
      <c r="AF194" s="10"/>
      <c r="AG194" s="10"/>
      <c r="AH194" s="10"/>
      <c r="AI194" s="114"/>
      <c r="AJ194" s="10"/>
      <c r="AK194" s="10"/>
    </row>
    <row r="195" spans="2:37" x14ac:dyDescent="0.2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17"/>
      <c r="Y195" s="111"/>
      <c r="Z195" s="111"/>
      <c r="AA195" s="10"/>
      <c r="AB195" s="10"/>
      <c r="AC195" s="10"/>
      <c r="AD195" s="10"/>
      <c r="AE195" s="10"/>
      <c r="AF195" s="10"/>
      <c r="AG195" s="10"/>
      <c r="AH195" s="10"/>
      <c r="AI195" s="114"/>
      <c r="AJ195" s="10"/>
      <c r="AK195" s="10"/>
    </row>
    <row r="196" spans="2:37" x14ac:dyDescent="0.2">
      <c r="B196" s="10" t="s">
        <v>400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17" t="e">
        <f t="shared" ref="X196:X199" si="664">Y196+Z196</f>
        <v>#DIV/0!</v>
      </c>
      <c r="Y196" s="111">
        <f>PV($C$1, ($AH$3-$Y$3), 0, -AH96)+PV($C$1, ($AG$3-$Y$3), 0, -AH96)+PV($C$1, ($AF$3-$Y$3), 0, -AH96)+PV($C$1, ($AE$3-$Y$3), 0, -AH96)+PV($C$1, ($AD$3-$Y$3), 0, -AH96)+PV($C$1, ($AC$3-$Y$3), 0, -AH96)+PV($C$1, ($AB$3-$Y$3), 0, -AH96)+PV($C$1, ($AA$3-$Y$3), 0, -AH96)+PV($C$1, ($Z$3-$Y$3), 0, -AH96)+PV($C$1, ($Y$3-$Y$3), 0, -AH96)</f>
        <v>0</v>
      </c>
      <c r="Z196" s="111" t="e">
        <f>PV($C$1, ($AH$3-$Y$3), 0, -AK96)</f>
        <v>#DIV/0!</v>
      </c>
      <c r="AA196" s="10"/>
      <c r="AB196" s="10"/>
      <c r="AC196" s="10"/>
      <c r="AD196" s="10"/>
      <c r="AE196" s="10"/>
      <c r="AF196" s="10"/>
      <c r="AG196" s="10"/>
      <c r="AH196" s="10"/>
      <c r="AI196" s="114"/>
      <c r="AJ196" s="10"/>
      <c r="AK196" s="10"/>
    </row>
    <row r="197" spans="2:37" x14ac:dyDescent="0.2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17" t="e">
        <f t="shared" si="664"/>
        <v>#DIV/0!</v>
      </c>
      <c r="Y197" s="111">
        <f>PV($C$1, ($AH$3-$Y$3), 0, -AH97)+PV($C$1, ($AG$3-$Y$3), 0, -AH97)+PV($C$1, ($AF$3-$Y$3), 0, -AH97)+PV($C$1, ($AE$3-$Y$3), 0, -AH97)+PV($C$1, ($AD$3-$Y$3), 0, -AH97)+PV($C$1, ($AC$3-$Y$3), 0, -AH97)+PV($C$1, ($AB$3-$Y$3), 0, -AH97)+PV($C$1, ($AA$3-$Y$3), 0, -AH97)+PV($C$1, ($Z$3-$Y$3), 0, -AH97)+PV($C$1, ($Y$3-$Y$3), 0, -AH97)</f>
        <v>0</v>
      </c>
      <c r="Z197" s="111" t="e">
        <f>PV($C$1, ($AH$3-$Y$3), 0, -AK97)</f>
        <v>#DIV/0!</v>
      </c>
      <c r="AA197" s="10"/>
      <c r="AB197" s="10"/>
      <c r="AC197" s="10"/>
      <c r="AD197" s="10"/>
      <c r="AE197" s="10"/>
      <c r="AF197" s="10"/>
      <c r="AG197" s="10"/>
      <c r="AH197" s="10"/>
      <c r="AI197" s="114"/>
      <c r="AJ197" s="10"/>
      <c r="AK197" s="10"/>
    </row>
    <row r="198" spans="2:37" x14ac:dyDescent="0.2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17" t="e">
        <f t="shared" si="664"/>
        <v>#DIV/0!</v>
      </c>
      <c r="Y198" s="111">
        <f>PV($C$1, ($AH$3-$Y$3), 0, -AH98)+PV($C$1, ($AG$3-$Y$3), 0, -AH98)+PV($C$1, ($AF$3-$Y$3), 0, -AH98)+PV($C$1, ($AE$3-$Y$3), 0, -AH98)+PV($C$1, ($AD$3-$Y$3), 0, -AH98)+PV($C$1, ($AC$3-$Y$3), 0, -AH98)+PV($C$1, ($AB$3-$Y$3), 0, -AH98)+PV($C$1, ($AA$3-$Y$3), 0, -AH98)+PV($C$1, ($Z$3-$Y$3), 0, -AH98)+PV($C$1, ($Y$3-$Y$3), 0, -AH98)</f>
        <v>0</v>
      </c>
      <c r="Z198" s="111" t="e">
        <f>PV($C$1, ($AH$3-$Y$3), 0, -AK98)</f>
        <v>#DIV/0!</v>
      </c>
      <c r="AA198" s="10"/>
      <c r="AB198" s="10"/>
      <c r="AC198" s="10"/>
      <c r="AD198" s="10"/>
      <c r="AE198" s="10"/>
      <c r="AF198" s="10"/>
      <c r="AG198" s="10"/>
      <c r="AH198" s="10"/>
      <c r="AI198" s="114"/>
      <c r="AJ198" s="10"/>
      <c r="AK198" s="10"/>
    </row>
    <row r="199" spans="2:37" x14ac:dyDescent="0.2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17" t="e">
        <f t="shared" si="664"/>
        <v>#DIV/0!</v>
      </c>
      <c r="Y199" s="111">
        <f>PV($C$1, ($AH$3-$Y$3), 0, -AH99)+PV($C$1, ($AG$3-$Y$3), 0, -AH99)+PV($C$1, ($AF$3-$Y$3), 0, -AH99)+PV($C$1, ($AE$3-$Y$3), 0, -AH99)+PV($C$1, ($AD$3-$Y$3), 0, -AH99)+PV($C$1, ($AC$3-$Y$3), 0, -AH99)+PV($C$1, ($AB$3-$Y$3), 0, -AH99)+PV($C$1, ($AA$3-$Y$3), 0, -AH99)+PV($C$1, ($Z$3-$Y$3), 0, -AH99)+PV($C$1, ($Y$3-$Y$3), 0, -AH99)</f>
        <v>0</v>
      </c>
      <c r="Z199" s="111" t="e">
        <f>PV($C$1, ($AH$3-$Y$3), 0, -AK99)</f>
        <v>#DIV/0!</v>
      </c>
      <c r="AA199" s="10"/>
      <c r="AB199" s="10"/>
      <c r="AC199" s="10"/>
      <c r="AD199" s="10"/>
      <c r="AE199" s="10"/>
      <c r="AF199" s="10"/>
      <c r="AG199" s="10"/>
      <c r="AH199" s="10"/>
      <c r="AI199" s="114"/>
      <c r="AJ199" s="10"/>
      <c r="AK199" s="10"/>
    </row>
    <row r="200" spans="2:37" x14ac:dyDescent="0.2">
      <c r="B200" s="10" t="s">
        <v>398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95" t="e">
        <f>X197+X198+X199</f>
        <v>#DIV/0!</v>
      </c>
      <c r="Y200" s="95">
        <f t="shared" ref="Y200:Z200" si="665">Y197+Y198+Y199</f>
        <v>0</v>
      </c>
      <c r="Z200" s="95" t="e">
        <f t="shared" si="665"/>
        <v>#DIV/0!</v>
      </c>
      <c r="AA200" s="10"/>
      <c r="AB200" s="10"/>
      <c r="AC200" s="10"/>
      <c r="AD200" s="10"/>
      <c r="AE200" s="10"/>
      <c r="AF200" s="10"/>
      <c r="AG200" s="10"/>
      <c r="AH200" s="10"/>
      <c r="AI200" s="114"/>
      <c r="AJ200" s="10"/>
      <c r="AK200" s="10"/>
    </row>
    <row r="201" spans="2:37" x14ac:dyDescent="0.2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17"/>
      <c r="Y201" s="111"/>
      <c r="Z201" s="111"/>
      <c r="AA201" s="10"/>
      <c r="AB201" s="10"/>
      <c r="AC201" s="10"/>
      <c r="AD201" s="10"/>
      <c r="AE201" s="10"/>
      <c r="AF201" s="10"/>
      <c r="AG201" s="10"/>
      <c r="AH201" s="10"/>
      <c r="AI201" s="114"/>
      <c r="AJ201" s="10"/>
      <c r="AK201" s="10"/>
    </row>
    <row r="202" spans="2:37" x14ac:dyDescent="0.2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17" t="e">
        <f>Y202+Z202</f>
        <v>#DIV/0!</v>
      </c>
      <c r="Y202" s="111">
        <f>PV($C$1, ($AH$3-$Y$3), 0, -AH100)+PV($C$1, ($AG$3-$Y$3), 0, -AH100)+PV($C$1, ($AF$3-$Y$3), 0, -AH100)+PV($C$1, ($AE$3-$Y$3), 0, -AH100)+PV($C$1, ($AD$3-$Y$3), 0, -AH100)+PV($C$1, ($AC$3-$Y$3), 0, -AH100)+PV($C$1, ($AB$3-$Y$3), 0, -AH100)+PV($C$1, ($AA$3-$Y$3), 0, -AH100)+PV($C$1, ($Z$3-$Y$3), 0, -AH100)+PV($C$1, ($Y$3-$Y$3), 0, -AH100)</f>
        <v>0</v>
      </c>
      <c r="Z202" s="111" t="e">
        <f>PV($C$1, ($AH$3-$Y$3), 0, -AK100)</f>
        <v>#DIV/0!</v>
      </c>
      <c r="AA202" s="10"/>
      <c r="AB202" s="10"/>
      <c r="AC202" s="10"/>
      <c r="AD202" s="10"/>
      <c r="AE202" s="10"/>
      <c r="AF202" s="10"/>
      <c r="AG202" s="10"/>
      <c r="AH202" s="10"/>
      <c r="AI202" s="114"/>
      <c r="AJ202" s="10"/>
      <c r="AK202" s="10"/>
    </row>
    <row r="203" spans="2:37" x14ac:dyDescent="0.2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6">
        <v>41729</v>
      </c>
      <c r="U203" s="10">
        <v>32</v>
      </c>
      <c r="V203" s="10"/>
      <c r="W203" s="10"/>
      <c r="X203" s="10"/>
      <c r="Y203" s="104"/>
      <c r="Z203" s="10"/>
      <c r="AA203" s="10"/>
      <c r="AB203" s="10"/>
      <c r="AC203" s="10"/>
      <c r="AD203" s="10"/>
      <c r="AE203" s="10"/>
      <c r="AF203" s="10"/>
      <c r="AG203" s="10"/>
      <c r="AH203" s="10"/>
      <c r="AI203" s="114"/>
      <c r="AJ203" s="10"/>
      <c r="AK203" s="10"/>
    </row>
    <row r="204" spans="2:37" x14ac:dyDescent="0.2">
      <c r="B204" s="93" t="s">
        <v>208</v>
      </c>
      <c r="C204" s="10"/>
      <c r="D204" s="10"/>
      <c r="E204" s="10"/>
      <c r="F204" s="174"/>
      <c r="G204" s="174"/>
      <c r="H204" s="169">
        <v>0</v>
      </c>
      <c r="I204" s="169">
        <v>0</v>
      </c>
      <c r="J204" s="169">
        <v>0</v>
      </c>
      <c r="K204" s="169">
        <v>0</v>
      </c>
      <c r="L204" s="169">
        <v>0</v>
      </c>
      <c r="M204" s="169">
        <v>0</v>
      </c>
      <c r="N204" s="169">
        <v>0</v>
      </c>
      <c r="O204" s="169">
        <v>0</v>
      </c>
      <c r="P204" s="169">
        <v>0</v>
      </c>
      <c r="Q204" s="169">
        <v>0</v>
      </c>
      <c r="R204" s="169">
        <v>0</v>
      </c>
      <c r="S204" s="169">
        <v>0</v>
      </c>
      <c r="T204" s="13" t="s">
        <v>332</v>
      </c>
      <c r="U204" s="10">
        <v>42.25</v>
      </c>
      <c r="V204" s="10" t="s">
        <v>500</v>
      </c>
      <c r="W204" s="13" t="s">
        <v>333</v>
      </c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14"/>
      <c r="AJ204" s="10"/>
      <c r="AK204" s="10"/>
    </row>
    <row r="205" spans="2:37" x14ac:dyDescent="0.2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f>R205</f>
        <v>68</v>
      </c>
      <c r="H205" s="12">
        <v>48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68</v>
      </c>
      <c r="S205" s="12">
        <v>48.25</v>
      </c>
      <c r="T205" s="12">
        <v>60</v>
      </c>
      <c r="U205" s="12">
        <v>53</v>
      </c>
      <c r="V205" s="12">
        <v>42</v>
      </c>
      <c r="W205" s="101">
        <f t="shared" ref="W205:W236" si="666">((U205/G205)^(1/($K$2-$K$1) ))-1</f>
        <v>-7.9715051755214317E-2</v>
      </c>
      <c r="X205" s="21">
        <v>0.02</v>
      </c>
      <c r="Y205" s="170">
        <v>50</v>
      </c>
      <c r="Z205" s="102">
        <f t="shared" ref="Z205:AH205" si="667">Y205*(1+$X205)</f>
        <v>51</v>
      </c>
      <c r="AA205" s="102">
        <f t="shared" si="667"/>
        <v>52.02</v>
      </c>
      <c r="AB205" s="102">
        <f t="shared" si="667"/>
        <v>53.060400000000001</v>
      </c>
      <c r="AC205" s="102">
        <f t="shared" si="667"/>
        <v>54.121608000000002</v>
      </c>
      <c r="AD205" s="102">
        <f t="shared" si="667"/>
        <v>55.204040160000005</v>
      </c>
      <c r="AE205" s="102">
        <f t="shared" si="667"/>
        <v>56.308120963200004</v>
      </c>
      <c r="AF205" s="102">
        <f t="shared" si="667"/>
        <v>57.434283382464002</v>
      </c>
      <c r="AG205" s="102">
        <f t="shared" si="667"/>
        <v>58.582969050113284</v>
      </c>
      <c r="AH205" s="102">
        <f t="shared" si="667"/>
        <v>59.754628431115549</v>
      </c>
      <c r="AI205" s="115" t="e">
        <f t="shared" ref="AI205:AI212" si="668">((AH205/J205)^(1/($AH$3-$K$1) ))-1</f>
        <v>#DIV/0!</v>
      </c>
      <c r="AJ205" s="21">
        <f t="shared" ref="AJ205:AJ212" si="669">$O$1</f>
        <v>0.01</v>
      </c>
      <c r="AK205" s="108" t="e">
        <f t="shared" ref="AK205:AK216" si="670">(AH205*(1+AI205))/($C$1-AJ205)</f>
        <v>#DIV/0!</v>
      </c>
    </row>
    <row r="206" spans="2:37" x14ac:dyDescent="0.2">
      <c r="B206" s="10" t="s">
        <v>303</v>
      </c>
      <c r="C206" s="15"/>
      <c r="D206" s="15"/>
      <c r="E206" s="15"/>
      <c r="F206" s="15"/>
      <c r="G206" s="15">
        <f t="shared" ref="G206" si="671">G205/G70</f>
        <v>5.6890424481737414</v>
      </c>
      <c r="H206" s="15" t="e">
        <f t="shared" ref="H206:I206" si="672">H205/H70</f>
        <v>#DIV/0!</v>
      </c>
      <c r="I206" s="15" t="e">
        <f t="shared" si="672"/>
        <v>#DIV/0!</v>
      </c>
      <c r="J206" s="15" t="e">
        <f t="shared" ref="J206:T206" si="673">J205/J70</f>
        <v>#DIV/0!</v>
      </c>
      <c r="K206" s="15" t="e">
        <f t="shared" si="673"/>
        <v>#DIV/0!</v>
      </c>
      <c r="L206" s="15" t="e">
        <f t="shared" si="673"/>
        <v>#DIV/0!</v>
      </c>
      <c r="M206" s="15" t="e">
        <f t="shared" si="673"/>
        <v>#DIV/0!</v>
      </c>
      <c r="N206" s="15" t="e">
        <f t="shared" si="673"/>
        <v>#DIV/0!</v>
      </c>
      <c r="O206" s="15" t="e">
        <f t="shared" si="673"/>
        <v>#DIV/0!</v>
      </c>
      <c r="P206" s="15" t="e">
        <f t="shared" si="673"/>
        <v>#DIV/0!</v>
      </c>
      <c r="Q206" s="15" t="e">
        <f t="shared" si="673"/>
        <v>#DIV/0!</v>
      </c>
      <c r="R206" s="15" t="e">
        <f t="shared" si="673"/>
        <v>#DIV/0!</v>
      </c>
      <c r="S206" s="15">
        <f t="shared" si="673"/>
        <v>4.0387037037037032</v>
      </c>
      <c r="T206" s="15">
        <f t="shared" si="673"/>
        <v>2.1194123163488592</v>
      </c>
      <c r="U206" s="15">
        <f t="shared" ref="U206:V206" si="674">U205/U70</f>
        <v>1.7583675866118613</v>
      </c>
      <c r="V206" s="15">
        <f t="shared" si="674"/>
        <v>1.527621366610866</v>
      </c>
      <c r="W206" s="101">
        <f t="shared" si="666"/>
        <v>-0.32388044273352479</v>
      </c>
      <c r="X206" s="109"/>
      <c r="Y206" s="15">
        <f t="shared" ref="Y206:AH206" si="675">Y205/Y70</f>
        <v>1.4713166024151756</v>
      </c>
      <c r="Z206" s="15">
        <f t="shared" si="675"/>
        <v>1.3310937331763031</v>
      </c>
      <c r="AA206" s="15">
        <f t="shared" si="675"/>
        <v>1.2042347130405444</v>
      </c>
      <c r="AB206" s="15">
        <f t="shared" si="675"/>
        <v>1.0894659090846803</v>
      </c>
      <c r="AC206" s="15">
        <f t="shared" si="675"/>
        <v>0.98563507114060989</v>
      </c>
      <c r="AD206" s="15">
        <f t="shared" si="675"/>
        <v>0.89169976349103552</v>
      </c>
      <c r="AE206" s="15">
        <f t="shared" si="675"/>
        <v>0.80671689907484656</v>
      </c>
      <c r="AF206" s="15">
        <f t="shared" si="675"/>
        <v>0.72983327112823504</v>
      </c>
      <c r="AG206" s="15">
        <f t="shared" si="675"/>
        <v>0.66027698720157901</v>
      </c>
      <c r="AH206" s="15">
        <f t="shared" si="675"/>
        <v>0.59734971955175897</v>
      </c>
      <c r="AI206" s="115" t="e">
        <f t="shared" ref="AI206" si="676">((AH206/J206)^(1/($AH$3-$K$1) ))-1</f>
        <v>#DIV/0!</v>
      </c>
      <c r="AJ206" s="21">
        <f t="shared" si="669"/>
        <v>0.01</v>
      </c>
      <c r="AK206" s="108" t="e">
        <f t="shared" ref="AK206" si="677">(AH206*(1+AI206))/($C$1-AJ206)</f>
        <v>#DIV/0!</v>
      </c>
    </row>
    <row r="207" spans="2:37" x14ac:dyDescent="0.2">
      <c r="B207" s="10" t="s">
        <v>331</v>
      </c>
      <c r="C207" s="15"/>
      <c r="D207" s="15"/>
      <c r="E207" s="15"/>
      <c r="F207" s="15"/>
      <c r="G207" s="15">
        <f t="shared" ref="G207" si="678">G205/G76</f>
        <v>49.467811158798284</v>
      </c>
      <c r="H207" s="15" t="e">
        <f t="shared" ref="H207:I207" si="679">H205/H76</f>
        <v>#DIV/0!</v>
      </c>
      <c r="I207" s="15" t="e">
        <f t="shared" si="679"/>
        <v>#DIV/0!</v>
      </c>
      <c r="J207" s="15" t="e">
        <f t="shared" ref="J207:T207" si="680">J205/J76</f>
        <v>#DIV/0!</v>
      </c>
      <c r="K207" s="15" t="e">
        <f t="shared" si="680"/>
        <v>#DIV/0!</v>
      </c>
      <c r="L207" s="15" t="e">
        <f t="shared" si="680"/>
        <v>#DIV/0!</v>
      </c>
      <c r="M207" s="15" t="e">
        <f t="shared" si="680"/>
        <v>#DIV/0!</v>
      </c>
      <c r="N207" s="15" t="e">
        <f t="shared" si="680"/>
        <v>#DIV/0!</v>
      </c>
      <c r="O207" s="15" t="e">
        <f t="shared" si="680"/>
        <v>#DIV/0!</v>
      </c>
      <c r="P207" s="15" t="e">
        <f t="shared" si="680"/>
        <v>#DIV/0!</v>
      </c>
      <c r="Q207" s="15" t="e">
        <f t="shared" si="680"/>
        <v>#DIV/0!</v>
      </c>
      <c r="R207" s="15" t="e">
        <f t="shared" si="680"/>
        <v>#DIV/0!</v>
      </c>
      <c r="S207" s="15">
        <f t="shared" si="680"/>
        <v>35.100321888412019</v>
      </c>
      <c r="T207" s="15">
        <f t="shared" si="680"/>
        <v>19.96074582924436</v>
      </c>
      <c r="U207" s="15">
        <f t="shared" ref="U207:V207" si="681">U205/U76</f>
        <v>20.440273037542664</v>
      </c>
      <c r="V207" s="15">
        <f t="shared" si="681"/>
        <v>-10.527530152071316</v>
      </c>
      <c r="W207" s="101">
        <f t="shared" si="666"/>
        <v>-0.25517427816732363</v>
      </c>
      <c r="X207" s="109"/>
      <c r="Y207" s="102">
        <f t="shared" ref="Y207:AH207" si="682">Y205/Y76</f>
        <v>17.103427808280163</v>
      </c>
      <c r="Z207" s="102">
        <f t="shared" si="682"/>
        <v>15.473396775421465</v>
      </c>
      <c r="AA207" s="102">
        <f t="shared" si="682"/>
        <v>13.998714787085648</v>
      </c>
      <c r="AB207" s="102">
        <f t="shared" si="682"/>
        <v>12.66457640389905</v>
      </c>
      <c r="AC207" s="102">
        <f t="shared" si="682"/>
        <v>11.457587209231804</v>
      </c>
      <c r="AD207" s="102">
        <f t="shared" si="682"/>
        <v>10.365629332595452</v>
      </c>
      <c r="AE207" s="102">
        <f t="shared" si="682"/>
        <v>9.377739789245485</v>
      </c>
      <c r="AF207" s="102">
        <f t="shared" si="682"/>
        <v>8.4840004145486994</v>
      </c>
      <c r="AG207" s="102">
        <f t="shared" si="682"/>
        <v>7.6754382880838854</v>
      </c>
      <c r="AH207" s="102">
        <f t="shared" si="682"/>
        <v>6.943935647758674</v>
      </c>
      <c r="AI207" s="115" t="e">
        <f t="shared" si="668"/>
        <v>#DIV/0!</v>
      </c>
      <c r="AJ207" s="21">
        <f t="shared" si="669"/>
        <v>0.01</v>
      </c>
      <c r="AK207" s="108" t="e">
        <f t="shared" si="670"/>
        <v>#DIV/0!</v>
      </c>
    </row>
    <row r="208" spans="2:37" x14ac:dyDescent="0.2">
      <c r="B208" s="10" t="s">
        <v>403</v>
      </c>
      <c r="C208" s="15"/>
      <c r="D208" s="15"/>
      <c r="E208" s="15"/>
      <c r="F208" s="15"/>
      <c r="G208" s="15" t="e">
        <f t="shared" ref="G208" si="683">G205/G74</f>
        <v>#DIV/0!</v>
      </c>
      <c r="H208" s="15" t="e">
        <f t="shared" ref="H208:I208" si="684">H205/H74</f>
        <v>#DIV/0!</v>
      </c>
      <c r="I208" s="15" t="e">
        <f t="shared" si="684"/>
        <v>#DIV/0!</v>
      </c>
      <c r="J208" s="15" t="e">
        <f t="shared" ref="J208:T208" si="685">J205/J74</f>
        <v>#DIV/0!</v>
      </c>
      <c r="K208" s="15" t="e">
        <f t="shared" si="685"/>
        <v>#DIV/0!</v>
      </c>
      <c r="L208" s="15" t="e">
        <f t="shared" si="685"/>
        <v>#DIV/0!</v>
      </c>
      <c r="M208" s="15" t="e">
        <f t="shared" si="685"/>
        <v>#DIV/0!</v>
      </c>
      <c r="N208" s="15" t="e">
        <f t="shared" si="685"/>
        <v>#DIV/0!</v>
      </c>
      <c r="O208" s="15" t="e">
        <f t="shared" si="685"/>
        <v>#DIV/0!</v>
      </c>
      <c r="P208" s="15" t="e">
        <f t="shared" si="685"/>
        <v>#DIV/0!</v>
      </c>
      <c r="Q208" s="15" t="e">
        <f t="shared" si="685"/>
        <v>#DIV/0!</v>
      </c>
      <c r="R208" s="15" t="e">
        <f t="shared" si="685"/>
        <v>#DIV/0!</v>
      </c>
      <c r="S208" s="15" t="e">
        <f t="shared" si="685"/>
        <v>#DIV/0!</v>
      </c>
      <c r="T208" s="15" t="e">
        <f t="shared" si="685"/>
        <v>#DIV/0!</v>
      </c>
      <c r="U208" s="15" t="e">
        <f t="shared" ref="U208:V208" si="686">U205/U74</f>
        <v>#DIV/0!</v>
      </c>
      <c r="V208" s="15" t="e">
        <f t="shared" si="686"/>
        <v>#DIV/0!</v>
      </c>
      <c r="W208" s="101" t="e">
        <f t="shared" si="666"/>
        <v>#DIV/0!</v>
      </c>
      <c r="X208" s="109"/>
      <c r="Y208" s="15" t="e">
        <f t="shared" ref="Y208:AH208" si="687">Y205/Y74</f>
        <v>#DIV/0!</v>
      </c>
      <c r="Z208" s="15" t="e">
        <f t="shared" si="687"/>
        <v>#DIV/0!</v>
      </c>
      <c r="AA208" s="15" t="e">
        <f t="shared" si="687"/>
        <v>#DIV/0!</v>
      </c>
      <c r="AB208" s="15" t="e">
        <f t="shared" si="687"/>
        <v>#DIV/0!</v>
      </c>
      <c r="AC208" s="15" t="e">
        <f t="shared" si="687"/>
        <v>#DIV/0!</v>
      </c>
      <c r="AD208" s="15" t="e">
        <f t="shared" si="687"/>
        <v>#DIV/0!</v>
      </c>
      <c r="AE208" s="15" t="e">
        <f t="shared" si="687"/>
        <v>#DIV/0!</v>
      </c>
      <c r="AF208" s="15" t="e">
        <f t="shared" si="687"/>
        <v>#DIV/0!</v>
      </c>
      <c r="AG208" s="15" t="e">
        <f t="shared" si="687"/>
        <v>#DIV/0!</v>
      </c>
      <c r="AH208" s="15" t="e">
        <f t="shared" si="687"/>
        <v>#DIV/0!</v>
      </c>
      <c r="AI208" s="115" t="e">
        <f t="shared" ref="AI208:AI209" si="688">((AH208/J208)^(1/($AH$3-$K$1) ))-1</f>
        <v>#DIV/0!</v>
      </c>
      <c r="AJ208" s="21">
        <f t="shared" si="669"/>
        <v>0.01</v>
      </c>
      <c r="AK208" s="108" t="e">
        <f t="shared" ref="AK208:AK209" si="689">(AH208*(1+AI208))/($C$1-AJ208)</f>
        <v>#DIV/0!</v>
      </c>
    </row>
    <row r="209" spans="2:37" x14ac:dyDescent="0.2">
      <c r="B209" s="10" t="s">
        <v>404</v>
      </c>
      <c r="C209" s="15"/>
      <c r="D209" s="15"/>
      <c r="E209" s="15"/>
      <c r="F209" s="15"/>
      <c r="G209" s="15" t="e">
        <f t="shared" ref="G209" si="690">G205/G75</f>
        <v>#DIV/0!</v>
      </c>
      <c r="H209" s="15" t="e">
        <f t="shared" ref="H209:I209" si="691">H205/H75</f>
        <v>#DIV/0!</v>
      </c>
      <c r="I209" s="15" t="e">
        <f t="shared" si="691"/>
        <v>#DIV/0!</v>
      </c>
      <c r="J209" s="15" t="e">
        <f t="shared" ref="J209:T209" si="692">J205/J75</f>
        <v>#DIV/0!</v>
      </c>
      <c r="K209" s="15" t="e">
        <f t="shared" si="692"/>
        <v>#DIV/0!</v>
      </c>
      <c r="L209" s="15" t="e">
        <f t="shared" si="692"/>
        <v>#DIV/0!</v>
      </c>
      <c r="M209" s="15" t="e">
        <f t="shared" si="692"/>
        <v>#DIV/0!</v>
      </c>
      <c r="N209" s="15" t="e">
        <f t="shared" si="692"/>
        <v>#DIV/0!</v>
      </c>
      <c r="O209" s="15" t="e">
        <f t="shared" si="692"/>
        <v>#DIV/0!</v>
      </c>
      <c r="P209" s="15" t="e">
        <f t="shared" si="692"/>
        <v>#DIV/0!</v>
      </c>
      <c r="Q209" s="15" t="e">
        <f t="shared" si="692"/>
        <v>#DIV/0!</v>
      </c>
      <c r="R209" s="15" t="e">
        <f t="shared" si="692"/>
        <v>#DIV/0!</v>
      </c>
      <c r="S209" s="15" t="e">
        <f t="shared" si="692"/>
        <v>#DIV/0!</v>
      </c>
      <c r="T209" s="15" t="e">
        <f t="shared" si="692"/>
        <v>#DIV/0!</v>
      </c>
      <c r="U209" s="15" t="e">
        <f t="shared" ref="U209:V209" si="693">U205/U75</f>
        <v>#DIV/0!</v>
      </c>
      <c r="V209" s="15" t="e">
        <f t="shared" si="693"/>
        <v>#DIV/0!</v>
      </c>
      <c r="W209" s="101" t="e">
        <f t="shared" si="666"/>
        <v>#DIV/0!</v>
      </c>
      <c r="X209" s="109"/>
      <c r="Y209" s="15" t="e">
        <f t="shared" ref="Y209:AH210" si="694">Y205/Y75</f>
        <v>#DIV/0!</v>
      </c>
      <c r="Z209" s="15" t="e">
        <f t="shared" si="694"/>
        <v>#DIV/0!</v>
      </c>
      <c r="AA209" s="15" t="e">
        <f t="shared" si="694"/>
        <v>#DIV/0!</v>
      </c>
      <c r="AB209" s="15" t="e">
        <f t="shared" si="694"/>
        <v>#DIV/0!</v>
      </c>
      <c r="AC209" s="15" t="e">
        <f t="shared" si="694"/>
        <v>#DIV/0!</v>
      </c>
      <c r="AD209" s="15" t="e">
        <f t="shared" si="694"/>
        <v>#DIV/0!</v>
      </c>
      <c r="AE209" s="15" t="e">
        <f t="shared" si="694"/>
        <v>#DIV/0!</v>
      </c>
      <c r="AF209" s="15" t="e">
        <f t="shared" si="694"/>
        <v>#DIV/0!</v>
      </c>
      <c r="AG209" s="15" t="e">
        <f t="shared" si="694"/>
        <v>#DIV/0!</v>
      </c>
      <c r="AH209" s="15" t="e">
        <f t="shared" si="694"/>
        <v>#DIV/0!</v>
      </c>
      <c r="AI209" s="115" t="e">
        <f t="shared" si="688"/>
        <v>#DIV/0!</v>
      </c>
      <c r="AJ209" s="21">
        <f t="shared" si="669"/>
        <v>0.01</v>
      </c>
      <c r="AK209" s="108" t="e">
        <f t="shared" si="689"/>
        <v>#DIV/0!</v>
      </c>
    </row>
    <row r="210" spans="2:37" x14ac:dyDescent="0.2">
      <c r="B210" s="10" t="s">
        <v>215</v>
      </c>
      <c r="C210" s="15"/>
      <c r="D210" s="15"/>
      <c r="E210" s="15"/>
      <c r="F210" s="15"/>
      <c r="G210" s="15">
        <f t="shared" ref="G210" si="695">G205/G79</f>
        <v>2.2519173828054404</v>
      </c>
      <c r="H210" s="15" t="e">
        <f t="shared" ref="H210:I210" si="696">H205/H79</f>
        <v>#DIV/0!</v>
      </c>
      <c r="I210" s="15" t="e">
        <f t="shared" si="696"/>
        <v>#DIV/0!</v>
      </c>
      <c r="J210" s="15" t="e">
        <f t="shared" ref="J210:T210" si="697">J205/J79</f>
        <v>#DIV/0!</v>
      </c>
      <c r="K210" s="15" t="e">
        <f t="shared" si="697"/>
        <v>#DIV/0!</v>
      </c>
      <c r="L210" s="15" t="e">
        <f t="shared" si="697"/>
        <v>#DIV/0!</v>
      </c>
      <c r="M210" s="15" t="e">
        <f t="shared" si="697"/>
        <v>#DIV/0!</v>
      </c>
      <c r="N210" s="15" t="e">
        <f t="shared" si="697"/>
        <v>#DIV/0!</v>
      </c>
      <c r="O210" s="15" t="e">
        <f t="shared" si="697"/>
        <v>#DIV/0!</v>
      </c>
      <c r="P210" s="15" t="e">
        <f t="shared" si="697"/>
        <v>#DIV/0!</v>
      </c>
      <c r="Q210" s="15" t="e">
        <f t="shared" si="697"/>
        <v>#DIV/0!</v>
      </c>
      <c r="R210" s="15" t="e">
        <f t="shared" si="697"/>
        <v>#DIV/0!</v>
      </c>
      <c r="S210" s="15">
        <f t="shared" si="697"/>
        <v>1.5978678488288602</v>
      </c>
      <c r="T210" s="15">
        <f t="shared" si="697"/>
        <v>1.8035160582977254</v>
      </c>
      <c r="U210" s="15">
        <f t="shared" ref="U210:V210" si="698">U205/U79</f>
        <v>1.5136478517270429</v>
      </c>
      <c r="V210" s="15">
        <f t="shared" si="698"/>
        <v>1.496310650667064</v>
      </c>
      <c r="W210" s="101">
        <f t="shared" si="666"/>
        <v>-0.12402684197933966</v>
      </c>
      <c r="X210" s="109"/>
      <c r="Y210" s="15">
        <f t="shared" si="694"/>
        <v>0.50329114585064005</v>
      </c>
      <c r="Z210" s="102">
        <f t="shared" ref="Z210:AH210" si="699">Z205/Z79</f>
        <v>1.1458395758715643</v>
      </c>
      <c r="AA210" s="102">
        <f t="shared" si="699"/>
        <v>1.0366360823798049</v>
      </c>
      <c r="AB210" s="102">
        <f t="shared" si="699"/>
        <v>0.93784015661560782</v>
      </c>
      <c r="AC210" s="102">
        <f t="shared" si="699"/>
        <v>0.8484599121242421</v>
      </c>
      <c r="AD210" s="102">
        <f t="shared" si="699"/>
        <v>0.76759799354266223</v>
      </c>
      <c r="AE210" s="102">
        <f t="shared" si="699"/>
        <v>0.69444256737546595</v>
      </c>
      <c r="AF210" s="102">
        <f t="shared" si="699"/>
        <v>0.62825917138907383</v>
      </c>
      <c r="AG210" s="102">
        <f t="shared" si="699"/>
        <v>0.56838334079408037</v>
      </c>
      <c r="AH210" s="102">
        <f t="shared" si="699"/>
        <v>0.51421393718448805</v>
      </c>
      <c r="AI210" s="115" t="e">
        <f t="shared" si="668"/>
        <v>#DIV/0!</v>
      </c>
      <c r="AJ210" s="21">
        <f t="shared" si="669"/>
        <v>0.01</v>
      </c>
      <c r="AK210" s="108" t="e">
        <f t="shared" si="670"/>
        <v>#DIV/0!</v>
      </c>
    </row>
    <row r="211" spans="2:37" x14ac:dyDescent="0.2">
      <c r="B211" s="10" t="s">
        <v>216</v>
      </c>
      <c r="C211" s="15"/>
      <c r="D211" s="15"/>
      <c r="E211" s="15"/>
      <c r="F211" s="15"/>
      <c r="G211" s="15">
        <f t="shared" ref="G211" si="700">G205/G88</f>
        <v>1.0482470101405119</v>
      </c>
      <c r="H211" s="15" t="e">
        <f t="shared" ref="H211:I211" si="701">H205/H88</f>
        <v>#DIV/0!</v>
      </c>
      <c r="I211" s="15" t="e">
        <f t="shared" si="701"/>
        <v>#DIV/0!</v>
      </c>
      <c r="J211" s="15" t="e">
        <f t="shared" ref="J211:T211" si="702">J205/J88</f>
        <v>#DIV/0!</v>
      </c>
      <c r="K211" s="15" t="e">
        <f t="shared" si="702"/>
        <v>#DIV/0!</v>
      </c>
      <c r="L211" s="15" t="e">
        <f t="shared" si="702"/>
        <v>#DIV/0!</v>
      </c>
      <c r="M211" s="15" t="e">
        <f t="shared" si="702"/>
        <v>#DIV/0!</v>
      </c>
      <c r="N211" s="15" t="e">
        <f t="shared" si="702"/>
        <v>#DIV/0!</v>
      </c>
      <c r="O211" s="15" t="e">
        <f t="shared" si="702"/>
        <v>#DIV/0!</v>
      </c>
      <c r="P211" s="15" t="e">
        <f t="shared" si="702"/>
        <v>#DIV/0!</v>
      </c>
      <c r="Q211" s="15" t="e">
        <f t="shared" si="702"/>
        <v>#DIV/0!</v>
      </c>
      <c r="R211" s="15" t="e">
        <f t="shared" si="702"/>
        <v>#DIV/0!</v>
      </c>
      <c r="S211" s="15">
        <f t="shared" si="702"/>
        <v>0.74379291528352498</v>
      </c>
      <c r="T211" s="15">
        <f t="shared" si="702"/>
        <v>0.38013717831311794</v>
      </c>
      <c r="U211" s="15">
        <f t="shared" ref="U211:V211" si="703">U205/U88</f>
        <v>0.29500525417049783</v>
      </c>
      <c r="V211" s="15">
        <f t="shared" si="703"/>
        <v>0.3446819469482359</v>
      </c>
      <c r="W211" s="101">
        <f t="shared" si="666"/>
        <v>-0.34467705712361307</v>
      </c>
      <c r="X211" s="109"/>
      <c r="Y211" s="102">
        <f t="shared" ref="Y211:AH211" si="704">Y205/Y88</f>
        <v>0.24684606993757821</v>
      </c>
      <c r="Z211" s="102">
        <f t="shared" si="704"/>
        <v>0.22332056622874472</v>
      </c>
      <c r="AA211" s="102">
        <f t="shared" si="704"/>
        <v>0.20203714530816175</v>
      </c>
      <c r="AB211" s="102">
        <f t="shared" si="704"/>
        <v>0.18278212693792303</v>
      </c>
      <c r="AC211" s="102">
        <f t="shared" si="704"/>
        <v>0.16536219553583928</v>
      </c>
      <c r="AD211" s="102">
        <f t="shared" si="704"/>
        <v>0.14960245933520627</v>
      </c>
      <c r="AE211" s="102">
        <f t="shared" si="704"/>
        <v>0.13534469451508579</v>
      </c>
      <c r="AF211" s="102">
        <f t="shared" si="704"/>
        <v>0.12244575667260457</v>
      </c>
      <c r="AG211" s="102">
        <f t="shared" si="704"/>
        <v>0.11077614368885025</v>
      </c>
      <c r="AH211" s="102">
        <f t="shared" si="704"/>
        <v>0.10021869555989549</v>
      </c>
      <c r="AI211" s="115" t="e">
        <f t="shared" si="668"/>
        <v>#DIV/0!</v>
      </c>
      <c r="AJ211" s="21">
        <f t="shared" si="669"/>
        <v>0.01</v>
      </c>
      <c r="AK211" s="108" t="e">
        <f t="shared" si="670"/>
        <v>#DIV/0!</v>
      </c>
    </row>
    <row r="212" spans="2:37" x14ac:dyDescent="0.2">
      <c r="B212" s="10" t="s">
        <v>217</v>
      </c>
      <c r="C212" s="15"/>
      <c r="D212" s="15"/>
      <c r="E212" s="15"/>
      <c r="F212" s="15"/>
      <c r="G212" s="15" t="e">
        <f t="shared" ref="G212" si="705">G205/G90</f>
        <v>#DIV/0!</v>
      </c>
      <c r="H212" s="15" t="e">
        <f t="shared" ref="H212:I212" si="706">H205/H90</f>
        <v>#DIV/0!</v>
      </c>
      <c r="I212" s="15" t="e">
        <f t="shared" si="706"/>
        <v>#DIV/0!</v>
      </c>
      <c r="J212" s="15" t="e">
        <f t="shared" ref="J212:T212" si="707">J205/J90</f>
        <v>#DIV/0!</v>
      </c>
      <c r="K212" s="15" t="e">
        <f t="shared" si="707"/>
        <v>#DIV/0!</v>
      </c>
      <c r="L212" s="15" t="e">
        <f t="shared" si="707"/>
        <v>#DIV/0!</v>
      </c>
      <c r="M212" s="15" t="e">
        <f t="shared" si="707"/>
        <v>#DIV/0!</v>
      </c>
      <c r="N212" s="15" t="e">
        <f t="shared" si="707"/>
        <v>#DIV/0!</v>
      </c>
      <c r="O212" s="15" t="e">
        <f t="shared" si="707"/>
        <v>#DIV/0!</v>
      </c>
      <c r="P212" s="15" t="e">
        <f t="shared" si="707"/>
        <v>#DIV/0!</v>
      </c>
      <c r="Q212" s="15" t="e">
        <f t="shared" si="707"/>
        <v>#DIV/0!</v>
      </c>
      <c r="R212" s="15" t="e">
        <f t="shared" si="707"/>
        <v>#DIV/0!</v>
      </c>
      <c r="S212" s="15" t="e">
        <f t="shared" si="707"/>
        <v>#DIV/0!</v>
      </c>
      <c r="T212" s="15" t="e">
        <f t="shared" si="707"/>
        <v>#DIV/0!</v>
      </c>
      <c r="U212" s="15" t="e">
        <f t="shared" ref="U212:V212" si="708">U205/U90</f>
        <v>#DIV/0!</v>
      </c>
      <c r="V212" s="15" t="e">
        <f t="shared" si="708"/>
        <v>#DIV/0!</v>
      </c>
      <c r="W212" s="101" t="e">
        <f t="shared" si="666"/>
        <v>#DIV/0!</v>
      </c>
      <c r="X212" s="109"/>
      <c r="Y212" s="102" t="e">
        <f t="shared" ref="Y212:AH212" si="709">Y205/Y90</f>
        <v>#DIV/0!</v>
      </c>
      <c r="Z212" s="102" t="e">
        <f t="shared" si="709"/>
        <v>#DIV/0!</v>
      </c>
      <c r="AA212" s="102" t="e">
        <f t="shared" si="709"/>
        <v>#DIV/0!</v>
      </c>
      <c r="AB212" s="102" t="e">
        <f t="shared" si="709"/>
        <v>#DIV/0!</v>
      </c>
      <c r="AC212" s="102" t="e">
        <f t="shared" si="709"/>
        <v>#DIV/0!</v>
      </c>
      <c r="AD212" s="102" t="e">
        <f t="shared" si="709"/>
        <v>#DIV/0!</v>
      </c>
      <c r="AE212" s="102" t="e">
        <f t="shared" si="709"/>
        <v>#DIV/0!</v>
      </c>
      <c r="AF212" s="102" t="e">
        <f t="shared" si="709"/>
        <v>#DIV/0!</v>
      </c>
      <c r="AG212" s="102" t="e">
        <f t="shared" si="709"/>
        <v>#DIV/0!</v>
      </c>
      <c r="AH212" s="102" t="e">
        <f t="shared" si="709"/>
        <v>#DIV/0!</v>
      </c>
      <c r="AI212" s="115" t="e">
        <f t="shared" si="668"/>
        <v>#DIV/0!</v>
      </c>
      <c r="AJ212" s="21">
        <f t="shared" si="669"/>
        <v>0.01</v>
      </c>
      <c r="AK212" s="108" t="e">
        <f t="shared" si="670"/>
        <v>#DIV/0!</v>
      </c>
    </row>
    <row r="213" spans="2:37" x14ac:dyDescent="0.2">
      <c r="B213" s="10" t="s">
        <v>231</v>
      </c>
      <c r="C213" s="15"/>
      <c r="D213" s="15"/>
      <c r="E213" s="15"/>
      <c r="F213" s="15"/>
      <c r="G213" s="155">
        <f t="shared" ref="G213" si="710">G205/G84</f>
        <v>-0.49357772982079223</v>
      </c>
      <c r="H213" s="155" t="e">
        <f t="shared" ref="H213:I213" si="711">H205/H84</f>
        <v>#DIV/0!</v>
      </c>
      <c r="I213" s="155" t="e">
        <f t="shared" si="711"/>
        <v>#DIV/0!</v>
      </c>
      <c r="J213" s="155" t="e">
        <f t="shared" ref="J213:T213" si="712">J205/J84</f>
        <v>#DIV/0!</v>
      </c>
      <c r="K213" s="155" t="e">
        <f t="shared" si="712"/>
        <v>#DIV/0!</v>
      </c>
      <c r="L213" s="155" t="e">
        <f t="shared" si="712"/>
        <v>#DIV/0!</v>
      </c>
      <c r="M213" s="155" t="e">
        <f t="shared" si="712"/>
        <v>#DIV/0!</v>
      </c>
      <c r="N213" s="155" t="e">
        <f t="shared" si="712"/>
        <v>#DIV/0!</v>
      </c>
      <c r="O213" s="155" t="e">
        <f t="shared" si="712"/>
        <v>#DIV/0!</v>
      </c>
      <c r="P213" s="155" t="e">
        <f t="shared" si="712"/>
        <v>#DIV/0!</v>
      </c>
      <c r="Q213" s="155" t="e">
        <f t="shared" si="712"/>
        <v>#DIV/0!</v>
      </c>
      <c r="R213" s="155" t="e">
        <f t="shared" si="712"/>
        <v>#DIV/0!</v>
      </c>
      <c r="S213" s="155">
        <f t="shared" si="712"/>
        <v>-0.35022243329195918</v>
      </c>
      <c r="T213" s="155">
        <f t="shared" si="712"/>
        <v>-0.24564327379442774</v>
      </c>
      <c r="U213" s="155">
        <f t="shared" ref="U213:V213" si="713">U205/U84</f>
        <v>-0.19951805623417579</v>
      </c>
      <c r="V213" s="155">
        <f t="shared" si="713"/>
        <v>-0.16437144868918763</v>
      </c>
      <c r="W213" s="101">
        <f t="shared" si="666"/>
        <v>-0.26060663401333206</v>
      </c>
      <c r="X213" s="109"/>
      <c r="Y213" s="112">
        <f t="shared" ref="Y213:AH213" si="714">Y205/Y84</f>
        <v>-0.1669470199826574</v>
      </c>
      <c r="Z213" s="112">
        <f t="shared" si="714"/>
        <v>-0.1510362431217015</v>
      </c>
      <c r="AA213" s="112">
        <f t="shared" si="714"/>
        <v>-0.13664183247288547</v>
      </c>
      <c r="AB213" s="112">
        <f t="shared" si="714"/>
        <v>-0.12361927174329568</v>
      </c>
      <c r="AC213" s="112">
        <f t="shared" si="714"/>
        <v>-0.11183781767106508</v>
      </c>
      <c r="AD213" s="112">
        <f t="shared" si="714"/>
        <v>-0.10117918739563142</v>
      </c>
      <c r="AE213" s="112">
        <f t="shared" si="714"/>
        <v>-9.1536370927317326E-2</v>
      </c>
      <c r="AF213" s="112">
        <f t="shared" si="714"/>
        <v>-8.2812556793722583E-2</v>
      </c>
      <c r="AG213" s="112">
        <f t="shared" si="714"/>
        <v>-7.492016007668606E-2</v>
      </c>
      <c r="AH213" s="112">
        <f t="shared" si="714"/>
        <v>-6.7779943081551469E-2</v>
      </c>
      <c r="AI213" s="115" t="e">
        <f t="shared" ref="AI213" si="715">((AH213/J213)^(1/($AH$3-$K$1) ))-1</f>
        <v>#DIV/0!</v>
      </c>
      <c r="AJ213" s="21">
        <f t="shared" ref="AJ213:AJ216" si="716">$O$1</f>
        <v>0.01</v>
      </c>
      <c r="AK213" s="108" t="e">
        <f t="shared" si="670"/>
        <v>#DIV/0!</v>
      </c>
    </row>
    <row r="214" spans="2:37" x14ac:dyDescent="0.2">
      <c r="B214" s="10"/>
      <c r="C214" s="15"/>
      <c r="D214" s="15"/>
      <c r="E214" s="15"/>
      <c r="F214" s="1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09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08"/>
    </row>
    <row r="215" spans="2:37" x14ac:dyDescent="0.2">
      <c r="B215" s="10" t="s">
        <v>264</v>
      </c>
      <c r="C215" s="128"/>
      <c r="D215" s="128"/>
      <c r="E215" s="128"/>
      <c r="F215" s="128"/>
      <c r="G215" s="128">
        <f t="shared" ref="G215" si="717">G63/G205</f>
        <v>0</v>
      </c>
      <c r="H215" s="128">
        <f t="shared" ref="H215:I215" si="718">H63/H205</f>
        <v>0</v>
      </c>
      <c r="I215" s="128" t="e">
        <f t="shared" si="718"/>
        <v>#DIV/0!</v>
      </c>
      <c r="J215" s="128" t="e">
        <f t="shared" ref="J215:T215" si="719">J63/J205</f>
        <v>#DIV/0!</v>
      </c>
      <c r="K215" s="128" t="e">
        <f t="shared" si="719"/>
        <v>#DIV/0!</v>
      </c>
      <c r="L215" s="128" t="e">
        <f t="shared" si="719"/>
        <v>#DIV/0!</v>
      </c>
      <c r="M215" s="128" t="e">
        <f t="shared" si="719"/>
        <v>#DIV/0!</v>
      </c>
      <c r="N215" s="128" t="e">
        <f t="shared" si="719"/>
        <v>#DIV/0!</v>
      </c>
      <c r="O215" s="128" t="e">
        <f t="shared" si="719"/>
        <v>#DIV/0!</v>
      </c>
      <c r="P215" s="128" t="e">
        <f t="shared" si="719"/>
        <v>#DIV/0!</v>
      </c>
      <c r="Q215" s="128" t="e">
        <f t="shared" si="719"/>
        <v>#DIV/0!</v>
      </c>
      <c r="R215" s="128">
        <f t="shared" si="719"/>
        <v>0</v>
      </c>
      <c r="S215" s="128">
        <f t="shared" si="719"/>
        <v>0</v>
      </c>
      <c r="T215" s="128">
        <f t="shared" si="719"/>
        <v>0</v>
      </c>
      <c r="U215" s="128">
        <f t="shared" ref="U215:V215" si="720">U63/U205</f>
        <v>0</v>
      </c>
      <c r="V215" s="128">
        <f t="shared" si="720"/>
        <v>0</v>
      </c>
      <c r="W215" s="101" t="e">
        <f t="shared" si="666"/>
        <v>#DIV/0!</v>
      </c>
      <c r="X215" s="109"/>
      <c r="Y215" s="128">
        <f t="shared" ref="Y215:AH215" si="721">Y63/Y205</f>
        <v>0</v>
      </c>
      <c r="Z215" s="128">
        <f t="shared" si="721"/>
        <v>0</v>
      </c>
      <c r="AA215" s="128">
        <f t="shared" si="721"/>
        <v>0</v>
      </c>
      <c r="AB215" s="128">
        <f t="shared" si="721"/>
        <v>0</v>
      </c>
      <c r="AC215" s="128">
        <f t="shared" si="721"/>
        <v>0</v>
      </c>
      <c r="AD215" s="128">
        <f t="shared" si="721"/>
        <v>0</v>
      </c>
      <c r="AE215" s="128">
        <f t="shared" si="721"/>
        <v>0</v>
      </c>
      <c r="AF215" s="128">
        <f t="shared" si="721"/>
        <v>0</v>
      </c>
      <c r="AG215" s="128">
        <f t="shared" si="721"/>
        <v>0</v>
      </c>
      <c r="AH215" s="128">
        <f t="shared" si="721"/>
        <v>0</v>
      </c>
      <c r="AI215" s="115" t="e">
        <f t="shared" ref="AI215:AI220" si="722">((AH215/J215)^(1/($AH$3-$K$1) ))-1</f>
        <v>#DIV/0!</v>
      </c>
      <c r="AJ215" s="21">
        <f t="shared" si="716"/>
        <v>0.01</v>
      </c>
      <c r="AK215" s="108" t="e">
        <f t="shared" si="670"/>
        <v>#DIV/0!</v>
      </c>
    </row>
    <row r="216" spans="2:37" x14ac:dyDescent="0.2">
      <c r="B216" s="10" t="s">
        <v>132</v>
      </c>
      <c r="C216" s="128"/>
      <c r="D216" s="128"/>
      <c r="E216" s="128"/>
      <c r="F216" s="128"/>
      <c r="G216" s="138">
        <f t="shared" ref="G216" si="723">G205*G61</f>
        <v>23052</v>
      </c>
      <c r="H216" s="138">
        <f t="shared" ref="H216:I216" si="724">H205*H61</f>
        <v>0</v>
      </c>
      <c r="I216" s="138">
        <f t="shared" si="724"/>
        <v>0</v>
      </c>
      <c r="J216" s="138">
        <f t="shared" ref="J216:T216" si="725">J205*J61</f>
        <v>0</v>
      </c>
      <c r="K216" s="138">
        <f t="shared" si="725"/>
        <v>0</v>
      </c>
      <c r="L216" s="138">
        <f t="shared" si="725"/>
        <v>0</v>
      </c>
      <c r="M216" s="138">
        <f t="shared" si="725"/>
        <v>0</v>
      </c>
      <c r="N216" s="138">
        <f t="shared" si="725"/>
        <v>0</v>
      </c>
      <c r="O216" s="138">
        <f t="shared" si="725"/>
        <v>0</v>
      </c>
      <c r="P216" s="138">
        <f t="shared" si="725"/>
        <v>0</v>
      </c>
      <c r="Q216" s="138">
        <f t="shared" si="725"/>
        <v>0</v>
      </c>
      <c r="R216" s="138">
        <f t="shared" si="725"/>
        <v>0</v>
      </c>
      <c r="S216" s="138">
        <f t="shared" si="725"/>
        <v>16356.75</v>
      </c>
      <c r="T216" s="138">
        <f t="shared" si="725"/>
        <v>20340</v>
      </c>
      <c r="U216" s="138">
        <f t="shared" ref="U216:V216" si="726">U205*U61</f>
        <v>17967</v>
      </c>
      <c r="V216" s="138">
        <f t="shared" si="726"/>
        <v>20076</v>
      </c>
      <c r="W216" s="101">
        <f t="shared" si="666"/>
        <v>-7.9715051755214317E-2</v>
      </c>
      <c r="X216" s="109"/>
      <c r="Y216" s="138">
        <f t="shared" ref="Y216:AH216" si="727">Y205*Y61</f>
        <v>17289</v>
      </c>
      <c r="Z216" s="138">
        <f t="shared" si="727"/>
        <v>17987.475600000002</v>
      </c>
      <c r="AA216" s="138">
        <f t="shared" si="727"/>
        <v>18714.169614240003</v>
      </c>
      <c r="AB216" s="138">
        <f t="shared" si="727"/>
        <v>19470.222066655297</v>
      </c>
      <c r="AC216" s="138">
        <f t="shared" si="727"/>
        <v>20256.819038148173</v>
      </c>
      <c r="AD216" s="138">
        <f t="shared" si="727"/>
        <v>21075.194527289361</v>
      </c>
      <c r="AE216" s="138">
        <f t="shared" si="727"/>
        <v>21926.63238619185</v>
      </c>
      <c r="AF216" s="138">
        <f t="shared" si="727"/>
        <v>22812.468334594003</v>
      </c>
      <c r="AG216" s="138">
        <f t="shared" si="727"/>
        <v>23734.092055311601</v>
      </c>
      <c r="AH216" s="138">
        <f t="shared" si="727"/>
        <v>24692.94937434619</v>
      </c>
      <c r="AI216" s="115" t="e">
        <f t="shared" si="722"/>
        <v>#DIV/0!</v>
      </c>
      <c r="AJ216" s="21">
        <f t="shared" si="716"/>
        <v>0.01</v>
      </c>
      <c r="AK216" s="108" t="e">
        <f t="shared" si="670"/>
        <v>#DIV/0!</v>
      </c>
    </row>
    <row r="217" spans="2:37" x14ac:dyDescent="0.2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5"/>
      <c r="V217" s="155"/>
      <c r="W217" s="155"/>
      <c r="X217" s="109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12"/>
      <c r="AI217" s="112"/>
      <c r="AJ217" s="112"/>
      <c r="AK217" s="108"/>
    </row>
    <row r="218" spans="2:37" x14ac:dyDescent="0.2">
      <c r="B218" s="10" t="s">
        <v>313</v>
      </c>
      <c r="C218" s="135"/>
      <c r="D218" s="135"/>
      <c r="E218" s="135"/>
      <c r="F218" s="135"/>
      <c r="G218" s="135">
        <f t="shared" ref="G218" si="728">G76/G205</f>
        <v>2.021516571230262E-2</v>
      </c>
      <c r="H218" s="135" t="e">
        <f t="shared" ref="H218:I218" si="729">H76/H205</f>
        <v>#DIV/0!</v>
      </c>
      <c r="I218" s="135" t="e">
        <f t="shared" si="729"/>
        <v>#DIV/0!</v>
      </c>
      <c r="J218" s="135" t="e">
        <f t="shared" ref="J218:T218" si="730">J76/J205</f>
        <v>#DIV/0!</v>
      </c>
      <c r="K218" s="135" t="e">
        <f t="shared" si="730"/>
        <v>#DIV/0!</v>
      </c>
      <c r="L218" s="135" t="e">
        <f t="shared" si="730"/>
        <v>#DIV/0!</v>
      </c>
      <c r="M218" s="135" t="e">
        <f t="shared" si="730"/>
        <v>#DIV/0!</v>
      </c>
      <c r="N218" s="135" t="e">
        <f t="shared" si="730"/>
        <v>#DIV/0!</v>
      </c>
      <c r="O218" s="135" t="e">
        <f t="shared" si="730"/>
        <v>#DIV/0!</v>
      </c>
      <c r="P218" s="135" t="e">
        <f t="shared" si="730"/>
        <v>#DIV/0!</v>
      </c>
      <c r="Q218" s="135" t="e">
        <f t="shared" si="730"/>
        <v>#DIV/0!</v>
      </c>
      <c r="R218" s="135" t="e">
        <f t="shared" si="730"/>
        <v>#DIV/0!</v>
      </c>
      <c r="S218" s="135">
        <f t="shared" si="730"/>
        <v>2.8489767221483487E-2</v>
      </c>
      <c r="T218" s="135">
        <f t="shared" si="730"/>
        <v>5.0098328416912488E-2</v>
      </c>
      <c r="U218" s="135">
        <f t="shared" ref="U218:V218" si="731">U76/U205</f>
        <v>4.8923025546835863E-2</v>
      </c>
      <c r="V218" s="135">
        <f t="shared" si="731"/>
        <v>-9.4989041641761307E-2</v>
      </c>
      <c r="W218" s="101">
        <f t="shared" si="666"/>
        <v>0.34259595323783421</v>
      </c>
      <c r="X218" s="109"/>
      <c r="Y218" s="135">
        <f t="shared" ref="Y218:AH218" si="732">Y76/Y205</f>
        <v>5.846781190352246E-2</v>
      </c>
      <c r="Z218" s="135">
        <f t="shared" si="732"/>
        <v>6.4627050835304511E-2</v>
      </c>
      <c r="AA218" s="135">
        <f t="shared" si="732"/>
        <v>7.1435129239331194E-2</v>
      </c>
      <c r="AB218" s="135">
        <f t="shared" si="732"/>
        <v>7.8960398524827835E-2</v>
      </c>
      <c r="AC218" s="135">
        <f t="shared" si="732"/>
        <v>8.7278410518600538E-2</v>
      </c>
      <c r="AD218" s="135">
        <f t="shared" si="732"/>
        <v>9.6472675986534612E-2</v>
      </c>
      <c r="AE218" s="135">
        <f t="shared" si="732"/>
        <v>0.1066355030608562</v>
      </c>
      <c r="AF218" s="135">
        <f t="shared" si="732"/>
        <v>0.117868923990758</v>
      </c>
      <c r="AG218" s="135">
        <f t="shared" si="732"/>
        <v>0.13028571952073403</v>
      </c>
      <c r="AH218" s="135">
        <f t="shared" si="732"/>
        <v>0.1440105511811266</v>
      </c>
      <c r="AI218" s="115" t="e">
        <f t="shared" ref="AI218" si="733">((AH218/J218)^(1/($AH$3-$K$1) ))-1</f>
        <v>#DIV/0!</v>
      </c>
      <c r="AJ218" s="21">
        <f t="shared" ref="AJ218" si="734">$O$1</f>
        <v>0.01</v>
      </c>
      <c r="AK218" s="108" t="e">
        <f t="shared" ref="AK218" si="735">(AH218*(1+AI218))/($C$1-AJ218)</f>
        <v>#DIV/0!</v>
      </c>
    </row>
    <row r="219" spans="2:37" x14ac:dyDescent="0.2">
      <c r="B219" s="10" t="str">
        <f>B207</f>
        <v>P/E (how many years it will take to recover invested amount)</v>
      </c>
      <c r="C219" s="128"/>
      <c r="D219" s="128"/>
      <c r="E219" s="128"/>
      <c r="F219" s="128"/>
      <c r="G219" s="154">
        <f t="shared" ref="G219" si="736">G207</f>
        <v>49.467811158798284</v>
      </c>
      <c r="H219" s="154" t="e">
        <f t="shared" ref="H219:I219" si="737">H207</f>
        <v>#DIV/0!</v>
      </c>
      <c r="I219" s="154" t="e">
        <f t="shared" si="737"/>
        <v>#DIV/0!</v>
      </c>
      <c r="J219" s="154" t="e">
        <f t="shared" ref="J219:T219" si="738">J207</f>
        <v>#DIV/0!</v>
      </c>
      <c r="K219" s="154" t="e">
        <f t="shared" si="738"/>
        <v>#DIV/0!</v>
      </c>
      <c r="L219" s="154" t="e">
        <f t="shared" si="738"/>
        <v>#DIV/0!</v>
      </c>
      <c r="M219" s="154" t="e">
        <f t="shared" si="738"/>
        <v>#DIV/0!</v>
      </c>
      <c r="N219" s="154" t="e">
        <f t="shared" si="738"/>
        <v>#DIV/0!</v>
      </c>
      <c r="O219" s="154" t="e">
        <f t="shared" si="738"/>
        <v>#DIV/0!</v>
      </c>
      <c r="P219" s="154" t="e">
        <f t="shared" si="738"/>
        <v>#DIV/0!</v>
      </c>
      <c r="Q219" s="154" t="e">
        <f t="shared" si="738"/>
        <v>#DIV/0!</v>
      </c>
      <c r="R219" s="154" t="e">
        <f t="shared" si="738"/>
        <v>#DIV/0!</v>
      </c>
      <c r="S219" s="154">
        <f t="shared" si="738"/>
        <v>35.100321888412019</v>
      </c>
      <c r="T219" s="154">
        <f t="shared" si="738"/>
        <v>19.96074582924436</v>
      </c>
      <c r="U219" s="154">
        <f t="shared" ref="U219:V219" si="739">U207</f>
        <v>20.440273037542664</v>
      </c>
      <c r="V219" s="154">
        <f t="shared" si="739"/>
        <v>-10.527530152071316</v>
      </c>
      <c r="W219" s="101">
        <f t="shared" si="666"/>
        <v>-0.25517427816732363</v>
      </c>
      <c r="X219" s="109"/>
      <c r="Y219" s="128">
        <f t="shared" ref="Y219:AH219" si="740">Y207</f>
        <v>17.103427808280163</v>
      </c>
      <c r="Z219" s="128">
        <f t="shared" si="740"/>
        <v>15.473396775421465</v>
      </c>
      <c r="AA219" s="128">
        <f t="shared" si="740"/>
        <v>13.998714787085648</v>
      </c>
      <c r="AB219" s="128">
        <f t="shared" si="740"/>
        <v>12.66457640389905</v>
      </c>
      <c r="AC219" s="128">
        <f t="shared" si="740"/>
        <v>11.457587209231804</v>
      </c>
      <c r="AD219" s="128">
        <f t="shared" si="740"/>
        <v>10.365629332595452</v>
      </c>
      <c r="AE219" s="128">
        <f t="shared" si="740"/>
        <v>9.377739789245485</v>
      </c>
      <c r="AF219" s="128">
        <f t="shared" si="740"/>
        <v>8.4840004145486994</v>
      </c>
      <c r="AG219" s="128">
        <f t="shared" si="740"/>
        <v>7.6754382880838854</v>
      </c>
      <c r="AH219" s="128">
        <f t="shared" si="740"/>
        <v>6.943935647758674</v>
      </c>
      <c r="AI219" s="115" t="e">
        <f t="shared" ref="AI219" si="741">((AH219/J219)^(1/($AH$3-$K$1) ))-1</f>
        <v>#DIV/0!</v>
      </c>
      <c r="AJ219" s="21">
        <f t="shared" ref="AJ219:AJ221" si="742">$O$1</f>
        <v>0.01</v>
      </c>
      <c r="AK219" s="154" t="e">
        <f>(AK206)/($O$2*100)</f>
        <v>#DIV/0!</v>
      </c>
    </row>
    <row r="220" spans="2:37" x14ac:dyDescent="0.2">
      <c r="B220" s="10" t="s">
        <v>431</v>
      </c>
      <c r="C220" s="154"/>
      <c r="D220" s="154"/>
      <c r="E220" s="154"/>
      <c r="F220" s="154"/>
      <c r="G220" s="154">
        <f t="shared" ref="G220" si="743">(G207)/($O$2*100)</f>
        <v>3.297854077253219</v>
      </c>
      <c r="H220" s="154" t="e">
        <f t="shared" ref="H220:I220" si="744">(H207)/($O$2*100)</f>
        <v>#DIV/0!</v>
      </c>
      <c r="I220" s="154" t="e">
        <f t="shared" si="744"/>
        <v>#DIV/0!</v>
      </c>
      <c r="J220" s="154" t="e">
        <f t="shared" ref="J220:T220" si="745">(J207)/($O$2*100)</f>
        <v>#DIV/0!</v>
      </c>
      <c r="K220" s="154" t="e">
        <f t="shared" si="745"/>
        <v>#DIV/0!</v>
      </c>
      <c r="L220" s="154" t="e">
        <f t="shared" si="745"/>
        <v>#DIV/0!</v>
      </c>
      <c r="M220" s="154" t="e">
        <f t="shared" si="745"/>
        <v>#DIV/0!</v>
      </c>
      <c r="N220" s="154" t="e">
        <f t="shared" si="745"/>
        <v>#DIV/0!</v>
      </c>
      <c r="O220" s="154" t="e">
        <f t="shared" si="745"/>
        <v>#DIV/0!</v>
      </c>
      <c r="P220" s="154" t="e">
        <f t="shared" si="745"/>
        <v>#DIV/0!</v>
      </c>
      <c r="Q220" s="154" t="e">
        <f t="shared" si="745"/>
        <v>#DIV/0!</v>
      </c>
      <c r="R220" s="154" t="e">
        <f t="shared" si="745"/>
        <v>#DIV/0!</v>
      </c>
      <c r="S220" s="154">
        <f t="shared" si="745"/>
        <v>2.3400214592274677</v>
      </c>
      <c r="T220" s="154">
        <f t="shared" si="745"/>
        <v>1.3307163886162907</v>
      </c>
      <c r="U220" s="154">
        <f t="shared" ref="U220:V220" si="746">(U207)/($O$2*100)</f>
        <v>1.3626848691695108</v>
      </c>
      <c r="V220" s="154">
        <f t="shared" si="746"/>
        <v>-0.70183534347142107</v>
      </c>
      <c r="W220" s="101">
        <f t="shared" si="666"/>
        <v>-0.25517427816732363</v>
      </c>
      <c r="X220" s="109"/>
      <c r="Y220" s="154">
        <f t="shared" ref="Y220:AH220" si="747">(Y207)/($O$2*100)</f>
        <v>1.1402285205520108</v>
      </c>
      <c r="Z220" s="154">
        <f t="shared" si="747"/>
        <v>1.0315597850280978</v>
      </c>
      <c r="AA220" s="154">
        <f t="shared" si="747"/>
        <v>0.93324765247237651</v>
      </c>
      <c r="AB220" s="154">
        <f t="shared" si="747"/>
        <v>0.84430509359327</v>
      </c>
      <c r="AC220" s="154">
        <f t="shared" si="747"/>
        <v>0.76383914728212021</v>
      </c>
      <c r="AD220" s="154">
        <f t="shared" si="747"/>
        <v>0.69104195550636349</v>
      </c>
      <c r="AE220" s="154">
        <f t="shared" si="747"/>
        <v>0.62518265261636563</v>
      </c>
      <c r="AF220" s="154">
        <f t="shared" si="747"/>
        <v>0.56560002763657991</v>
      </c>
      <c r="AG220" s="154">
        <f t="shared" si="747"/>
        <v>0.511695885872259</v>
      </c>
      <c r="AH220" s="154">
        <f t="shared" si="747"/>
        <v>0.46292904318391159</v>
      </c>
      <c r="AI220" s="115" t="e">
        <f t="shared" si="722"/>
        <v>#DIV/0!</v>
      </c>
      <c r="AJ220" s="21">
        <f t="shared" si="742"/>
        <v>0.01</v>
      </c>
      <c r="AK220" s="154" t="e">
        <f>(AK207)/($O$2*100)</f>
        <v>#DIV/0!</v>
      </c>
    </row>
    <row r="221" spans="2:37" x14ac:dyDescent="0.2">
      <c r="B221" s="10" t="s">
        <v>432</v>
      </c>
      <c r="C221" s="128"/>
      <c r="D221" s="128"/>
      <c r="E221" s="128"/>
      <c r="F221" s="128"/>
      <c r="G221" s="128">
        <f t="shared" ref="G221" si="748">G220-1</f>
        <v>2.297854077253219</v>
      </c>
      <c r="H221" s="128" t="e">
        <f t="shared" ref="H221:I221" si="749">H220-1</f>
        <v>#DIV/0!</v>
      </c>
      <c r="I221" s="128" t="e">
        <f t="shared" si="749"/>
        <v>#DIV/0!</v>
      </c>
      <c r="J221" s="128" t="e">
        <f t="shared" ref="J221:S221" si="750">J220-1</f>
        <v>#DIV/0!</v>
      </c>
      <c r="K221" s="128" t="e">
        <f t="shared" si="750"/>
        <v>#DIV/0!</v>
      </c>
      <c r="L221" s="128" t="e">
        <f t="shared" si="750"/>
        <v>#DIV/0!</v>
      </c>
      <c r="M221" s="128" t="e">
        <f t="shared" si="750"/>
        <v>#DIV/0!</v>
      </c>
      <c r="N221" s="128" t="e">
        <f t="shared" si="750"/>
        <v>#DIV/0!</v>
      </c>
      <c r="O221" s="128" t="e">
        <f t="shared" si="750"/>
        <v>#DIV/0!</v>
      </c>
      <c r="P221" s="128" t="e">
        <f t="shared" si="750"/>
        <v>#DIV/0!</v>
      </c>
      <c r="Q221" s="128" t="e">
        <f t="shared" si="750"/>
        <v>#DIV/0!</v>
      </c>
      <c r="R221" s="128" t="e">
        <f t="shared" si="750"/>
        <v>#DIV/0!</v>
      </c>
      <c r="S221" s="128">
        <f t="shared" si="750"/>
        <v>1.3400214592274677</v>
      </c>
      <c r="T221" s="128">
        <f>T220-1</f>
        <v>0.33071638861629071</v>
      </c>
      <c r="U221" s="128">
        <f>U220-1</f>
        <v>0.36268486916951082</v>
      </c>
      <c r="V221" s="128">
        <f>V220-1</f>
        <v>-1.7018353434714211</v>
      </c>
      <c r="W221" s="101">
        <f t="shared" si="666"/>
        <v>-0.45957471041779907</v>
      </c>
      <c r="X221" s="109"/>
      <c r="Y221" s="128">
        <f t="shared" ref="Y221:AH221" si="751">Y220-1</f>
        <v>0.14022852055201085</v>
      </c>
      <c r="Z221" s="128">
        <f t="shared" si="751"/>
        <v>3.1559785028097753E-2</v>
      </c>
      <c r="AA221" s="128">
        <f t="shared" si="751"/>
        <v>-6.675234752762349E-2</v>
      </c>
      <c r="AB221" s="128">
        <f t="shared" si="751"/>
        <v>-0.15569490640673</v>
      </c>
      <c r="AC221" s="128">
        <f t="shared" si="751"/>
        <v>-0.23616085271787979</v>
      </c>
      <c r="AD221" s="128">
        <f t="shared" si="751"/>
        <v>-0.30895804449363651</v>
      </c>
      <c r="AE221" s="128">
        <f t="shared" si="751"/>
        <v>-0.37481734738363437</v>
      </c>
      <c r="AF221" s="128">
        <f t="shared" si="751"/>
        <v>-0.43439997236342009</v>
      </c>
      <c r="AG221" s="128">
        <f t="shared" si="751"/>
        <v>-0.488304114127741</v>
      </c>
      <c r="AH221" s="128">
        <f t="shared" si="751"/>
        <v>-0.53707095681608841</v>
      </c>
      <c r="AI221" s="115" t="e">
        <f t="shared" ref="AI221" si="752">((AH221/J221)^(1/($AH$3-$K$1) ))-1</f>
        <v>#DIV/0!</v>
      </c>
      <c r="AJ221" s="21">
        <f t="shared" si="742"/>
        <v>0.01</v>
      </c>
      <c r="AK221" s="154" t="e">
        <f>(AK208)/($O$2*100)</f>
        <v>#DIV/0!</v>
      </c>
    </row>
    <row r="222" spans="2:37" x14ac:dyDescent="0.2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5"/>
      <c r="V222" s="155"/>
      <c r="W222" s="155"/>
      <c r="X222" s="109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12"/>
      <c r="AI222" s="114"/>
      <c r="AJ222" s="10"/>
      <c r="AK222" s="108"/>
    </row>
    <row r="223" spans="2:37" x14ac:dyDescent="0.2">
      <c r="B223" s="10" t="s">
        <v>502</v>
      </c>
      <c r="C223" s="128"/>
      <c r="D223" s="128"/>
      <c r="E223" s="128"/>
      <c r="F223" s="128"/>
      <c r="G223" s="128">
        <f t="shared" ref="G223:S223" si="753">1/G224</f>
        <v>1.7747815653458034E-3</v>
      </c>
      <c r="H223" s="128">
        <f t="shared" si="753"/>
        <v>2.5142738842398879E-3</v>
      </c>
      <c r="I223" s="128" t="e">
        <f t="shared" si="753"/>
        <v>#DIV/0!</v>
      </c>
      <c r="J223" s="128" t="e">
        <f t="shared" si="753"/>
        <v>#DIV/0!</v>
      </c>
      <c r="K223" s="128" t="e">
        <f t="shared" si="753"/>
        <v>#DIV/0!</v>
      </c>
      <c r="L223" s="128" t="e">
        <f t="shared" si="753"/>
        <v>#DIV/0!</v>
      </c>
      <c r="M223" s="128" t="e">
        <f t="shared" si="753"/>
        <v>#DIV/0!</v>
      </c>
      <c r="N223" s="128" t="e">
        <f t="shared" si="753"/>
        <v>#DIV/0!</v>
      </c>
      <c r="O223" s="128" t="e">
        <f t="shared" si="753"/>
        <v>#DIV/0!</v>
      </c>
      <c r="P223" s="128" t="e">
        <f t="shared" si="753"/>
        <v>#DIV/0!</v>
      </c>
      <c r="Q223" s="128" t="e">
        <f t="shared" si="753"/>
        <v>#DIV/0!</v>
      </c>
      <c r="R223" s="128">
        <f t="shared" si="753"/>
        <v>1.7747815653458034E-3</v>
      </c>
      <c r="S223" s="128">
        <f t="shared" si="753"/>
        <v>2.5012465584148109E-3</v>
      </c>
      <c r="T223" s="128">
        <f>1/T224</f>
        <v>2.0114191073919104E-3</v>
      </c>
      <c r="U223" s="128">
        <f>1/U224</f>
        <v>2.2770782347832949E-3</v>
      </c>
      <c r="V223" s="128">
        <f>1/V224</f>
        <v>2.8734558677027291E-3</v>
      </c>
      <c r="W223" s="101">
        <f t="shared" si="666"/>
        <v>8.6619966899655232E-2</v>
      </c>
      <c r="X223" s="109"/>
      <c r="Y223" s="128">
        <f t="shared" ref="Y223:AH223" si="754">1/Y224</f>
        <v>2.4137029288702925E-3</v>
      </c>
      <c r="Z223" s="128">
        <f t="shared" si="754"/>
        <v>2.3663754204610713E-3</v>
      </c>
      <c r="AA223" s="128">
        <f t="shared" si="754"/>
        <v>2.3199759024128148E-3</v>
      </c>
      <c r="AB223" s="128">
        <f t="shared" si="754"/>
        <v>2.2744861788360931E-3</v>
      </c>
      <c r="AC223" s="128">
        <f t="shared" si="754"/>
        <v>2.2298884106236208E-3</v>
      </c>
      <c r="AD223" s="128">
        <f t="shared" si="754"/>
        <v>2.1861651084545295E-3</v>
      </c>
      <c r="AE223" s="128">
        <f t="shared" si="754"/>
        <v>2.1432991259358138E-3</v>
      </c>
      <c r="AF223" s="128">
        <f t="shared" si="754"/>
        <v>2.1012736528782487E-3</v>
      </c>
      <c r="AG223" s="128">
        <f t="shared" si="754"/>
        <v>2.0600722087041655E-3</v>
      </c>
      <c r="AH223" s="128">
        <f t="shared" si="754"/>
        <v>2.019678635984476E-3</v>
      </c>
      <c r="AI223" s="115" t="e">
        <f t="shared" ref="AI223" si="755">((AH223/J223)^(1/($AH$3-$K$1) ))-1</f>
        <v>#DIV/0!</v>
      </c>
      <c r="AJ223" s="21">
        <f t="shared" ref="AJ223:AJ226" si="756">$O$1</f>
        <v>0.01</v>
      </c>
      <c r="AK223" s="154" t="e">
        <f>(AK210)/($O$2*100)</f>
        <v>#DIV/0!</v>
      </c>
    </row>
    <row r="224" spans="2:37" x14ac:dyDescent="0.2">
      <c r="B224" s="10" t="s">
        <v>509</v>
      </c>
      <c r="C224" s="110"/>
      <c r="D224" s="110"/>
      <c r="E224" s="110"/>
      <c r="F224" s="110"/>
      <c r="G224" s="112">
        <f t="shared" ref="G224:U224" si="757">G205/$S$174</f>
        <v>563.44962080173354</v>
      </c>
      <c r="H224" s="112">
        <f t="shared" si="757"/>
        <v>397.72914409534133</v>
      </c>
      <c r="I224" s="112">
        <f t="shared" si="757"/>
        <v>0</v>
      </c>
      <c r="J224" s="112">
        <f t="shared" si="757"/>
        <v>0</v>
      </c>
      <c r="K224" s="112">
        <f t="shared" si="757"/>
        <v>0</v>
      </c>
      <c r="L224" s="112">
        <f t="shared" si="757"/>
        <v>0</v>
      </c>
      <c r="M224" s="112">
        <f t="shared" si="757"/>
        <v>0</v>
      </c>
      <c r="N224" s="112">
        <f t="shared" si="757"/>
        <v>0</v>
      </c>
      <c r="O224" s="112">
        <f t="shared" si="757"/>
        <v>0</v>
      </c>
      <c r="P224" s="112">
        <f t="shared" si="757"/>
        <v>0</v>
      </c>
      <c r="Q224" s="112">
        <f t="shared" si="757"/>
        <v>0</v>
      </c>
      <c r="R224" s="112">
        <f t="shared" si="757"/>
        <v>563.44962080173354</v>
      </c>
      <c r="S224" s="112">
        <f t="shared" si="757"/>
        <v>399.80065005417123</v>
      </c>
      <c r="T224" s="112">
        <f t="shared" si="757"/>
        <v>497.16143011917666</v>
      </c>
      <c r="U224" s="112">
        <f t="shared" si="757"/>
        <v>439.15926327193938</v>
      </c>
      <c r="V224" s="112">
        <f>V205/$S$174</f>
        <v>348.01300108342366</v>
      </c>
      <c r="W224" s="101">
        <f t="shared" si="666"/>
        <v>-7.9715051755214317E-2</v>
      </c>
      <c r="X224" s="109"/>
      <c r="Y224" s="112">
        <f t="shared" ref="Y224:AH224" si="758">Y205/$S$174</f>
        <v>414.30119176598055</v>
      </c>
      <c r="Z224" s="112">
        <f t="shared" si="758"/>
        <v>422.58721560130016</v>
      </c>
      <c r="AA224" s="112">
        <f t="shared" si="758"/>
        <v>431.03895991332615</v>
      </c>
      <c r="AB224" s="112">
        <f t="shared" si="758"/>
        <v>439.65973911159267</v>
      </c>
      <c r="AC224" s="112">
        <f t="shared" si="758"/>
        <v>448.45293389382454</v>
      </c>
      <c r="AD224" s="112">
        <f t="shared" si="758"/>
        <v>457.42199257170108</v>
      </c>
      <c r="AE224" s="112">
        <f t="shared" si="758"/>
        <v>466.57043242313506</v>
      </c>
      <c r="AF224" s="112">
        <f t="shared" si="758"/>
        <v>475.90184107159774</v>
      </c>
      <c r="AG224" s="112">
        <f t="shared" si="758"/>
        <v>485.41987789302971</v>
      </c>
      <c r="AH224" s="112">
        <f t="shared" si="758"/>
        <v>495.12827545089033</v>
      </c>
      <c r="AI224" s="115" t="e">
        <f t="shared" ref="AI224:AI226" si="759">((AH224/J224)^(1/($AH$3-$K$1) ))-1</f>
        <v>#DIV/0!</v>
      </c>
      <c r="AJ224" s="21">
        <f t="shared" si="756"/>
        <v>0.01</v>
      </c>
      <c r="AK224" s="154" t="e">
        <f>(AK210)/($O$2*100)</f>
        <v>#DIV/0!</v>
      </c>
    </row>
    <row r="225" spans="2:37" x14ac:dyDescent="0.2">
      <c r="B225" s="10" t="s">
        <v>431</v>
      </c>
      <c r="C225" s="110"/>
      <c r="D225" s="110"/>
      <c r="E225" s="110"/>
      <c r="F225" s="110"/>
      <c r="G225" s="154">
        <f t="shared" ref="G225" si="760">(G224)/($O$2*100)</f>
        <v>37.5633080534489</v>
      </c>
      <c r="H225" s="154">
        <f t="shared" ref="H225:I225" si="761">(H224)/($O$2*100)</f>
        <v>26.515276273022756</v>
      </c>
      <c r="I225" s="154">
        <f t="shared" si="761"/>
        <v>0</v>
      </c>
      <c r="J225" s="154">
        <f t="shared" ref="J225:T225" si="762">(J224)/($O$2*100)</f>
        <v>0</v>
      </c>
      <c r="K225" s="154">
        <f t="shared" si="762"/>
        <v>0</v>
      </c>
      <c r="L225" s="154">
        <f t="shared" si="762"/>
        <v>0</v>
      </c>
      <c r="M225" s="154">
        <f t="shared" si="762"/>
        <v>0</v>
      </c>
      <c r="N225" s="154">
        <f t="shared" si="762"/>
        <v>0</v>
      </c>
      <c r="O225" s="154">
        <f t="shared" si="762"/>
        <v>0</v>
      </c>
      <c r="P225" s="154">
        <f t="shared" si="762"/>
        <v>0</v>
      </c>
      <c r="Q225" s="154">
        <f t="shared" si="762"/>
        <v>0</v>
      </c>
      <c r="R225" s="154">
        <f t="shared" si="762"/>
        <v>37.5633080534489</v>
      </c>
      <c r="S225" s="154">
        <f t="shared" si="762"/>
        <v>26.653376670278082</v>
      </c>
      <c r="T225" s="154">
        <f t="shared" si="762"/>
        <v>33.144095341278444</v>
      </c>
      <c r="U225" s="154">
        <f t="shared" ref="U225:V225" si="763">(U224)/($O$2*100)</f>
        <v>29.277284218129292</v>
      </c>
      <c r="V225" s="154">
        <f t="shared" si="763"/>
        <v>23.200866738894909</v>
      </c>
      <c r="W225" s="101">
        <f t="shared" si="666"/>
        <v>-7.9715051755214317E-2</v>
      </c>
      <c r="X225" s="109"/>
      <c r="Y225" s="154">
        <f t="shared" ref="Y225:AH225" si="764">(Y224)/($O$2*100)</f>
        <v>27.620079451065369</v>
      </c>
      <c r="Z225" s="154">
        <f t="shared" si="764"/>
        <v>28.172481040086677</v>
      </c>
      <c r="AA225" s="154">
        <f t="shared" si="764"/>
        <v>28.73593066088841</v>
      </c>
      <c r="AB225" s="154">
        <f t="shared" si="764"/>
        <v>29.310649274106179</v>
      </c>
      <c r="AC225" s="154">
        <f t="shared" si="764"/>
        <v>29.896862259588303</v>
      </c>
      <c r="AD225" s="154">
        <f t="shared" si="764"/>
        <v>30.494799504780072</v>
      </c>
      <c r="AE225" s="154">
        <f t="shared" si="764"/>
        <v>31.104695494875671</v>
      </c>
      <c r="AF225" s="154">
        <f t="shared" si="764"/>
        <v>31.726789404773182</v>
      </c>
      <c r="AG225" s="154">
        <f t="shared" si="764"/>
        <v>32.361325192868648</v>
      </c>
      <c r="AH225" s="154">
        <f t="shared" si="764"/>
        <v>33.008551696726023</v>
      </c>
      <c r="AI225" s="115" t="e">
        <f t="shared" si="759"/>
        <v>#DIV/0!</v>
      </c>
      <c r="AJ225" s="21">
        <f t="shared" si="756"/>
        <v>0.01</v>
      </c>
      <c r="AK225" s="154" t="e">
        <f>(AK211)/($O$2*100)</f>
        <v>#DIV/0!</v>
      </c>
    </row>
    <row r="226" spans="2:37" x14ac:dyDescent="0.2">
      <c r="B226" s="10" t="s">
        <v>433</v>
      </c>
      <c r="C226" s="110"/>
      <c r="D226" s="110"/>
      <c r="E226" s="110"/>
      <c r="F226" s="110"/>
      <c r="G226" s="128">
        <f t="shared" ref="G226" si="765">G225-1</f>
        <v>36.5633080534489</v>
      </c>
      <c r="H226" s="128">
        <f t="shared" ref="H226:I226" si="766">H225-1</f>
        <v>25.515276273022756</v>
      </c>
      <c r="I226" s="128">
        <f t="shared" si="766"/>
        <v>-1</v>
      </c>
      <c r="J226" s="128">
        <f t="shared" ref="J226:T226" si="767">J225-1</f>
        <v>-1</v>
      </c>
      <c r="K226" s="128">
        <f t="shared" si="767"/>
        <v>-1</v>
      </c>
      <c r="L226" s="128">
        <f t="shared" si="767"/>
        <v>-1</v>
      </c>
      <c r="M226" s="128">
        <f t="shared" si="767"/>
        <v>-1</v>
      </c>
      <c r="N226" s="128">
        <f t="shared" si="767"/>
        <v>-1</v>
      </c>
      <c r="O226" s="128">
        <f t="shared" si="767"/>
        <v>-1</v>
      </c>
      <c r="P226" s="128">
        <f t="shared" si="767"/>
        <v>-1</v>
      </c>
      <c r="Q226" s="128">
        <f t="shared" si="767"/>
        <v>-1</v>
      </c>
      <c r="R226" s="128">
        <f t="shared" si="767"/>
        <v>36.5633080534489</v>
      </c>
      <c r="S226" s="128">
        <f t="shared" si="767"/>
        <v>25.653376670278082</v>
      </c>
      <c r="T226" s="128">
        <f t="shared" si="767"/>
        <v>32.144095341278444</v>
      </c>
      <c r="U226" s="128">
        <f t="shared" ref="U226:V226" si="768">U225-1</f>
        <v>28.277284218129292</v>
      </c>
      <c r="V226" s="128">
        <f t="shared" si="768"/>
        <v>22.200866738894909</v>
      </c>
      <c r="W226" s="101">
        <f t="shared" si="666"/>
        <v>-8.209569826915708E-2</v>
      </c>
      <c r="X226" s="109"/>
      <c r="Y226" s="128">
        <f t="shared" ref="Y226:AH226" si="769">Y225-1</f>
        <v>26.620079451065369</v>
      </c>
      <c r="Z226" s="128">
        <f t="shared" si="769"/>
        <v>27.172481040086677</v>
      </c>
      <c r="AA226" s="128">
        <f t="shared" si="769"/>
        <v>27.73593066088841</v>
      </c>
      <c r="AB226" s="128">
        <f t="shared" si="769"/>
        <v>28.310649274106179</v>
      </c>
      <c r="AC226" s="128">
        <f t="shared" si="769"/>
        <v>28.896862259588303</v>
      </c>
      <c r="AD226" s="128">
        <f t="shared" si="769"/>
        <v>29.494799504780072</v>
      </c>
      <c r="AE226" s="128">
        <f t="shared" si="769"/>
        <v>30.104695494875671</v>
      </c>
      <c r="AF226" s="128">
        <f t="shared" si="769"/>
        <v>30.726789404773182</v>
      </c>
      <c r="AG226" s="128">
        <f t="shared" si="769"/>
        <v>31.361325192868648</v>
      </c>
      <c r="AH226" s="128">
        <f t="shared" si="769"/>
        <v>32.008551696726023</v>
      </c>
      <c r="AI226" s="115">
        <f t="shared" si="759"/>
        <v>-2.3055385317562456</v>
      </c>
      <c r="AJ226" s="21">
        <f t="shared" si="756"/>
        <v>0.01</v>
      </c>
      <c r="AK226" s="154" t="e">
        <f>(AK212)/($O$2*100)</f>
        <v>#DIV/0!</v>
      </c>
    </row>
    <row r="227" spans="2:37" x14ac:dyDescent="0.2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2"/>
      <c r="O227" s="173"/>
      <c r="P227" s="112"/>
      <c r="Q227" s="112"/>
      <c r="R227" s="112"/>
      <c r="S227" s="112"/>
      <c r="T227" s="112"/>
      <c r="U227" s="155"/>
      <c r="V227" s="155"/>
      <c r="W227" s="155"/>
      <c r="X227" s="109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4"/>
      <c r="AJ227" s="10"/>
      <c r="AK227" s="10"/>
    </row>
    <row r="228" spans="2:37" x14ac:dyDescent="0.2">
      <c r="B228" s="10" t="s">
        <v>502</v>
      </c>
      <c r="C228" s="110"/>
      <c r="D228" s="110"/>
      <c r="E228" s="110"/>
      <c r="F228" s="110"/>
      <c r="G228" s="128">
        <f t="shared" ref="G228:V228" si="770">1/G229</f>
        <v>2.8119616047255712E-3</v>
      </c>
      <c r="H228" s="128">
        <f t="shared" si="770"/>
        <v>3.9836122733612261E-3</v>
      </c>
      <c r="I228" s="128" t="e">
        <f t="shared" si="770"/>
        <v>#DIV/0!</v>
      </c>
      <c r="J228" s="128" t="e">
        <f t="shared" si="770"/>
        <v>#DIV/0!</v>
      </c>
      <c r="K228" s="128" t="e">
        <f t="shared" si="770"/>
        <v>#DIV/0!</v>
      </c>
      <c r="L228" s="128" t="e">
        <f t="shared" si="770"/>
        <v>#DIV/0!</v>
      </c>
      <c r="M228" s="128" t="e">
        <f t="shared" si="770"/>
        <v>#DIV/0!</v>
      </c>
      <c r="N228" s="128" t="e">
        <f t="shared" si="770"/>
        <v>#DIV/0!</v>
      </c>
      <c r="O228" s="128" t="e">
        <f t="shared" si="770"/>
        <v>#DIV/0!</v>
      </c>
      <c r="P228" s="128" t="e">
        <f t="shared" si="770"/>
        <v>#DIV/0!</v>
      </c>
      <c r="Q228" s="128" t="e">
        <f t="shared" si="770"/>
        <v>#DIV/0!</v>
      </c>
      <c r="R228" s="128">
        <f t="shared" si="770"/>
        <v>2.8119616047255712E-3</v>
      </c>
      <c r="S228" s="128">
        <f t="shared" si="770"/>
        <v>3.9629717952609084E-3</v>
      </c>
      <c r="T228" s="128">
        <f t="shared" si="770"/>
        <v>3.1868898186889804E-3</v>
      </c>
      <c r="U228" s="128">
        <f t="shared" si="770"/>
        <v>3.6077997947422417E-3</v>
      </c>
      <c r="V228" s="128">
        <f t="shared" si="770"/>
        <v>4.5526997409842578E-3</v>
      </c>
      <c r="W228" s="101">
        <f t="shared" si="666"/>
        <v>8.6619966899655232E-2</v>
      </c>
      <c r="X228" s="109"/>
      <c r="Y228" s="128">
        <f t="shared" ref="Y228:AH228" si="771">1/Y229</f>
        <v>3.8242677824267763E-3</v>
      </c>
      <c r="Z228" s="128">
        <f t="shared" si="771"/>
        <v>3.7492821396340947E-3</v>
      </c>
      <c r="AA228" s="128">
        <f t="shared" si="771"/>
        <v>3.6757668035628378E-3</v>
      </c>
      <c r="AB228" s="128">
        <f t="shared" si="771"/>
        <v>3.6036929446694494E-3</v>
      </c>
      <c r="AC228" s="128">
        <f t="shared" si="771"/>
        <v>3.5330322986955385E-3</v>
      </c>
      <c r="AD228" s="128">
        <f t="shared" si="771"/>
        <v>3.4637571555838609E-3</v>
      </c>
      <c r="AE228" s="128">
        <f t="shared" si="771"/>
        <v>3.3958403486116281E-3</v>
      </c>
      <c r="AF228" s="128">
        <f t="shared" si="771"/>
        <v>3.3292552437368906E-3</v>
      </c>
      <c r="AG228" s="128">
        <f t="shared" si="771"/>
        <v>3.2639757291538138E-3</v>
      </c>
      <c r="AH228" s="128">
        <f t="shared" si="771"/>
        <v>3.1999762050527593E-3</v>
      </c>
      <c r="AI228" s="115" t="e">
        <f t="shared" ref="AI228" si="772">((AH228/J228)^(1/($AH$3-$K$1) ))-1</f>
        <v>#DIV/0!</v>
      </c>
      <c r="AJ228" s="21">
        <f t="shared" ref="AJ228" si="773">$O$1</f>
        <v>0.01</v>
      </c>
      <c r="AK228" s="154">
        <f>(AK214)/($O$2*100)</f>
        <v>0</v>
      </c>
    </row>
    <row r="229" spans="2:37" x14ac:dyDescent="0.2">
      <c r="B229" s="10" t="s">
        <v>410</v>
      </c>
      <c r="C229" s="110"/>
      <c r="D229" s="110"/>
      <c r="E229" s="110"/>
      <c r="F229" s="110"/>
      <c r="G229" s="112">
        <f t="shared" ref="G229" si="774">G205/$T$174</f>
        <v>355.62363238512046</v>
      </c>
      <c r="H229" s="112">
        <f t="shared" ref="H229:I229" si="775">H205/$T$174</f>
        <v>251.02844638949682</v>
      </c>
      <c r="I229" s="112">
        <f t="shared" si="775"/>
        <v>0</v>
      </c>
      <c r="J229" s="112">
        <f t="shared" ref="J229:S229" si="776">J205/$T$174</f>
        <v>0</v>
      </c>
      <c r="K229" s="112">
        <f t="shared" si="776"/>
        <v>0</v>
      </c>
      <c r="L229" s="112">
        <f t="shared" si="776"/>
        <v>0</v>
      </c>
      <c r="M229" s="112">
        <f t="shared" si="776"/>
        <v>0</v>
      </c>
      <c r="N229" s="112">
        <f t="shared" si="776"/>
        <v>0</v>
      </c>
      <c r="O229" s="112">
        <f t="shared" si="776"/>
        <v>0</v>
      </c>
      <c r="P229" s="112">
        <f t="shared" si="776"/>
        <v>0</v>
      </c>
      <c r="Q229" s="112">
        <f t="shared" si="776"/>
        <v>0</v>
      </c>
      <c r="R229" s="112">
        <f t="shared" si="776"/>
        <v>355.62363238512046</v>
      </c>
      <c r="S229" s="112">
        <f t="shared" si="776"/>
        <v>252.3358862144421</v>
      </c>
      <c r="T229" s="112">
        <f>T205/$T$174</f>
        <v>313.78555798687103</v>
      </c>
      <c r="U229" s="112">
        <f>U205/$T$174</f>
        <v>277.17724288840276</v>
      </c>
      <c r="V229" s="112">
        <f>V205/$T$174</f>
        <v>219.64989059080972</v>
      </c>
      <c r="W229" s="101">
        <f t="shared" si="666"/>
        <v>-7.9715051755214317E-2</v>
      </c>
      <c r="X229" s="109"/>
      <c r="Y229" s="112">
        <f t="shared" ref="Y229:AH229" si="777">Y205/$T$174</f>
        <v>261.48796498905921</v>
      </c>
      <c r="Z229" s="112">
        <f t="shared" si="777"/>
        <v>266.71772428884037</v>
      </c>
      <c r="AA229" s="112">
        <f t="shared" si="777"/>
        <v>272.0520787746172</v>
      </c>
      <c r="AB229" s="112">
        <f t="shared" si="777"/>
        <v>277.49312035010951</v>
      </c>
      <c r="AC229" s="112">
        <f t="shared" si="777"/>
        <v>283.0429827571117</v>
      </c>
      <c r="AD229" s="112">
        <f t="shared" si="777"/>
        <v>288.70384241225395</v>
      </c>
      <c r="AE229" s="112">
        <f t="shared" si="777"/>
        <v>294.47791926049905</v>
      </c>
      <c r="AF229" s="112">
        <f t="shared" si="777"/>
        <v>300.36747764570902</v>
      </c>
      <c r="AG229" s="112">
        <f t="shared" si="777"/>
        <v>306.37482719862322</v>
      </c>
      <c r="AH229" s="112">
        <f t="shared" si="777"/>
        <v>312.50232374259565</v>
      </c>
      <c r="AI229" s="115" t="e">
        <f t="shared" ref="AI229:AI231" si="778">((AH229/J229)^(1/($AH$3-$K$1) ))-1</f>
        <v>#DIV/0!</v>
      </c>
      <c r="AJ229" s="21">
        <f t="shared" ref="AJ229:AJ231" si="779">$O$1</f>
        <v>0.01</v>
      </c>
      <c r="AK229" s="154">
        <f>(AK214)/($O$2*100)</f>
        <v>0</v>
      </c>
    </row>
    <row r="230" spans="2:37" x14ac:dyDescent="0.2">
      <c r="B230" s="10" t="s">
        <v>431</v>
      </c>
      <c r="C230" s="110"/>
      <c r="D230" s="110"/>
      <c r="E230" s="110"/>
      <c r="F230" s="110"/>
      <c r="G230" s="154">
        <f t="shared" ref="G230" si="780">(G229)/($O$2*100)</f>
        <v>23.70824215900803</v>
      </c>
      <c r="H230" s="154">
        <f t="shared" ref="H230:I230" si="781">(H229)/($O$2*100)</f>
        <v>16.735229759299788</v>
      </c>
      <c r="I230" s="154">
        <f t="shared" si="781"/>
        <v>0</v>
      </c>
      <c r="J230" s="154">
        <f t="shared" ref="J230:T230" si="782">(J229)/($O$2*100)</f>
        <v>0</v>
      </c>
      <c r="K230" s="154">
        <f t="shared" si="782"/>
        <v>0</v>
      </c>
      <c r="L230" s="154">
        <f t="shared" si="782"/>
        <v>0</v>
      </c>
      <c r="M230" s="154">
        <f t="shared" si="782"/>
        <v>0</v>
      </c>
      <c r="N230" s="154">
        <f t="shared" si="782"/>
        <v>0</v>
      </c>
      <c r="O230" s="154">
        <f t="shared" si="782"/>
        <v>0</v>
      </c>
      <c r="P230" s="154">
        <f t="shared" si="782"/>
        <v>0</v>
      </c>
      <c r="Q230" s="154">
        <f t="shared" si="782"/>
        <v>0</v>
      </c>
      <c r="R230" s="154">
        <f t="shared" si="782"/>
        <v>23.70824215900803</v>
      </c>
      <c r="S230" s="154">
        <f t="shared" si="782"/>
        <v>16.822392414296139</v>
      </c>
      <c r="T230" s="154">
        <f t="shared" si="782"/>
        <v>20.919037199124734</v>
      </c>
      <c r="U230" s="154">
        <f t="shared" ref="U230:V230" si="783">(U229)/($O$2*100)</f>
        <v>18.478482859226851</v>
      </c>
      <c r="V230" s="154">
        <f t="shared" si="783"/>
        <v>14.643326039387315</v>
      </c>
      <c r="W230" s="101">
        <f t="shared" si="666"/>
        <v>-7.9715051755214317E-2</v>
      </c>
      <c r="X230" s="109"/>
      <c r="Y230" s="154">
        <f t="shared" ref="Y230:AH230" si="784">(Y229)/($O$2*100)</f>
        <v>17.432530999270615</v>
      </c>
      <c r="Z230" s="154">
        <f t="shared" si="784"/>
        <v>17.781181619256024</v>
      </c>
      <c r="AA230" s="154">
        <f t="shared" si="784"/>
        <v>18.136805251641146</v>
      </c>
      <c r="AB230" s="154">
        <f t="shared" si="784"/>
        <v>18.499541356673966</v>
      </c>
      <c r="AC230" s="154">
        <f t="shared" si="784"/>
        <v>18.869532183807447</v>
      </c>
      <c r="AD230" s="154">
        <f t="shared" si="784"/>
        <v>19.246922827483598</v>
      </c>
      <c r="AE230" s="154">
        <f t="shared" si="784"/>
        <v>19.63186128403327</v>
      </c>
      <c r="AF230" s="154">
        <f t="shared" si="784"/>
        <v>20.024498509713933</v>
      </c>
      <c r="AG230" s="154">
        <f t="shared" si="784"/>
        <v>20.424988479908215</v>
      </c>
      <c r="AH230" s="154">
        <f t="shared" si="784"/>
        <v>20.833488249506377</v>
      </c>
      <c r="AI230" s="115" t="e">
        <f t="shared" si="778"/>
        <v>#DIV/0!</v>
      </c>
      <c r="AJ230" s="21">
        <f t="shared" si="779"/>
        <v>0.01</v>
      </c>
      <c r="AK230" s="154" t="e">
        <f>(AK215)/($O$2*100)</f>
        <v>#DIV/0!</v>
      </c>
    </row>
    <row r="231" spans="2:37" x14ac:dyDescent="0.2">
      <c r="B231" s="10" t="s">
        <v>433</v>
      </c>
      <c r="C231" s="110"/>
      <c r="D231" s="110"/>
      <c r="E231" s="110"/>
      <c r="F231" s="110"/>
      <c r="G231" s="128">
        <f t="shared" ref="G231" si="785">G230-1</f>
        <v>22.70824215900803</v>
      </c>
      <c r="H231" s="128">
        <f t="shared" ref="H231:I231" si="786">H230-1</f>
        <v>15.735229759299788</v>
      </c>
      <c r="I231" s="128">
        <f t="shared" si="786"/>
        <v>-1</v>
      </c>
      <c r="J231" s="128">
        <f t="shared" ref="J231:T231" si="787">J230-1</f>
        <v>-1</v>
      </c>
      <c r="K231" s="128">
        <f t="shared" si="787"/>
        <v>-1</v>
      </c>
      <c r="L231" s="128">
        <f t="shared" si="787"/>
        <v>-1</v>
      </c>
      <c r="M231" s="128">
        <f t="shared" si="787"/>
        <v>-1</v>
      </c>
      <c r="N231" s="128">
        <f t="shared" si="787"/>
        <v>-1</v>
      </c>
      <c r="O231" s="128">
        <f t="shared" si="787"/>
        <v>-1</v>
      </c>
      <c r="P231" s="128">
        <f t="shared" si="787"/>
        <v>-1</v>
      </c>
      <c r="Q231" s="128">
        <f t="shared" si="787"/>
        <v>-1</v>
      </c>
      <c r="R231" s="128">
        <f t="shared" si="787"/>
        <v>22.70824215900803</v>
      </c>
      <c r="S231" s="128">
        <f t="shared" si="787"/>
        <v>15.822392414296139</v>
      </c>
      <c r="T231" s="128">
        <f t="shared" si="787"/>
        <v>19.919037199124734</v>
      </c>
      <c r="U231" s="128">
        <f t="shared" ref="U231:V231" si="788">U230-1</f>
        <v>17.478482859226851</v>
      </c>
      <c r="V231" s="128">
        <f t="shared" si="788"/>
        <v>13.643326039387315</v>
      </c>
      <c r="W231" s="101">
        <f t="shared" si="666"/>
        <v>-8.3554298167298091E-2</v>
      </c>
      <c r="X231" s="109"/>
      <c r="Y231" s="128">
        <f t="shared" ref="Y231:AH231" si="789">Y230-1</f>
        <v>16.432530999270615</v>
      </c>
      <c r="Z231" s="128">
        <f t="shared" si="789"/>
        <v>16.781181619256024</v>
      </c>
      <c r="AA231" s="128">
        <f t="shared" si="789"/>
        <v>17.136805251641146</v>
      </c>
      <c r="AB231" s="128">
        <f t="shared" si="789"/>
        <v>17.499541356673966</v>
      </c>
      <c r="AC231" s="128">
        <f t="shared" si="789"/>
        <v>17.869532183807447</v>
      </c>
      <c r="AD231" s="128">
        <f t="shared" si="789"/>
        <v>18.246922827483598</v>
      </c>
      <c r="AE231" s="128">
        <f t="shared" si="789"/>
        <v>18.63186128403327</v>
      </c>
      <c r="AF231" s="128">
        <f t="shared" si="789"/>
        <v>19.024498509713933</v>
      </c>
      <c r="AG231" s="128">
        <f t="shared" si="789"/>
        <v>19.424988479908215</v>
      </c>
      <c r="AH231" s="128">
        <f t="shared" si="789"/>
        <v>19.833488249506377</v>
      </c>
      <c r="AI231" s="115">
        <f t="shared" si="778"/>
        <v>-2.2583455888167832</v>
      </c>
      <c r="AJ231" s="21">
        <f t="shared" si="779"/>
        <v>0.01</v>
      </c>
      <c r="AK231" s="154" t="e">
        <f>(AK216)/($O$2*100)</f>
        <v>#DIV/0!</v>
      </c>
    </row>
    <row r="232" spans="2:37" x14ac:dyDescent="0.2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2"/>
      <c r="O232" s="173"/>
      <c r="P232" s="112"/>
      <c r="Q232" s="112"/>
      <c r="R232" s="112"/>
      <c r="S232" s="112"/>
      <c r="T232" s="112"/>
      <c r="U232" s="155"/>
      <c r="V232" s="155"/>
      <c r="W232" s="155"/>
      <c r="X232" s="109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4"/>
      <c r="AJ232" s="10"/>
      <c r="AK232" s="10"/>
    </row>
    <row r="233" spans="2:37" x14ac:dyDescent="0.2">
      <c r="B233" s="10" t="s">
        <v>503</v>
      </c>
      <c r="C233" s="110"/>
      <c r="D233" s="110"/>
      <c r="E233" s="110"/>
      <c r="F233" s="110"/>
      <c r="G233" s="128">
        <f t="shared" ref="G233:S233" si="790">1/G234</f>
        <v>2.1135789452968897E-2</v>
      </c>
      <c r="H233" s="128">
        <f t="shared" si="790"/>
        <v>2.9942368391705942E-2</v>
      </c>
      <c r="I233" s="128" t="e">
        <f t="shared" si="790"/>
        <v>#DIV/0!</v>
      </c>
      <c r="J233" s="128" t="e">
        <f t="shared" si="790"/>
        <v>#DIV/0!</v>
      </c>
      <c r="K233" s="128" t="e">
        <f t="shared" si="790"/>
        <v>#DIV/0!</v>
      </c>
      <c r="L233" s="128" t="e">
        <f t="shared" si="790"/>
        <v>#DIV/0!</v>
      </c>
      <c r="M233" s="128" t="e">
        <f t="shared" si="790"/>
        <v>#DIV/0!</v>
      </c>
      <c r="N233" s="128" t="e">
        <f t="shared" si="790"/>
        <v>#DIV/0!</v>
      </c>
      <c r="O233" s="128" t="e">
        <f t="shared" si="790"/>
        <v>#DIV/0!</v>
      </c>
      <c r="P233" s="128" t="e">
        <f t="shared" si="790"/>
        <v>#DIV/0!</v>
      </c>
      <c r="Q233" s="128" t="e">
        <f t="shared" si="790"/>
        <v>#DIV/0!</v>
      </c>
      <c r="R233" s="128">
        <f t="shared" si="790"/>
        <v>2.1135789452968897E-2</v>
      </c>
      <c r="S233" s="128">
        <f t="shared" si="790"/>
        <v>2.9787226586567569E-2</v>
      </c>
      <c r="T233" s="128">
        <f>1/T234</f>
        <v>2.3953894713364749E-2</v>
      </c>
      <c r="U233" s="128">
        <f>1/U234</f>
        <v>2.7117616656639341E-2</v>
      </c>
      <c r="V233" s="128">
        <f>1/V234</f>
        <v>3.4219849590521073E-2</v>
      </c>
      <c r="W233" s="101">
        <f t="shared" si="666"/>
        <v>8.6619966899655454E-2</v>
      </c>
      <c r="X233" s="109"/>
      <c r="Y233" s="128">
        <f t="shared" ref="Y233:AH233" si="791">1/Y234</f>
        <v>0.37992599452183601</v>
      </c>
      <c r="Z233" s="128">
        <f t="shared" si="791"/>
        <v>0.16687623044953345</v>
      </c>
      <c r="AA233" s="128">
        <f t="shared" si="791"/>
        <v>0.18445565649458234</v>
      </c>
      <c r="AB233" s="128">
        <f t="shared" si="791"/>
        <v>0.20388697132715272</v>
      </c>
      <c r="AC233" s="128">
        <f t="shared" si="791"/>
        <v>0.22536526050194694</v>
      </c>
      <c r="AD233" s="128">
        <f t="shared" si="791"/>
        <v>0.24910616068554303</v>
      </c>
      <c r="AE233" s="128">
        <f t="shared" si="791"/>
        <v>0.27534802459474672</v>
      </c>
      <c r="AF233" s="128">
        <f t="shared" si="791"/>
        <v>0.30435431399842239</v>
      </c>
      <c r="AG233" s="128">
        <f t="shared" si="791"/>
        <v>0.33641624480794474</v>
      </c>
      <c r="AH233" s="128">
        <f t="shared" si="791"/>
        <v>0.37185571081231877</v>
      </c>
      <c r="AI233" s="115" t="e">
        <f t="shared" ref="AI233:AI236" si="792">((AH233/J233)^(1/($AH$3-$K$1) ))-1</f>
        <v>#DIV/0!</v>
      </c>
      <c r="AJ233" s="21">
        <f t="shared" ref="AJ233:AJ236" si="793">$O$1</f>
        <v>0.01</v>
      </c>
      <c r="AK233" s="154" t="e">
        <f>(AK218)/($O$2*100)</f>
        <v>#DIV/0!</v>
      </c>
    </row>
    <row r="234" spans="2:37" x14ac:dyDescent="0.2">
      <c r="B234" s="10" t="s">
        <v>499</v>
      </c>
      <c r="C234" s="110"/>
      <c r="D234" s="110"/>
      <c r="E234" s="110"/>
      <c r="F234" s="110"/>
      <c r="G234" s="112">
        <f t="shared" ref="G234" si="794">G205/$Y$175</f>
        <v>47.313113249220613</v>
      </c>
      <c r="H234" s="112">
        <f t="shared" ref="H234:S234" si="795">H205/$Y$175</f>
        <v>33.397491705332193</v>
      </c>
      <c r="I234" s="112">
        <f t="shared" si="795"/>
        <v>0</v>
      </c>
      <c r="J234" s="112">
        <f t="shared" si="795"/>
        <v>0</v>
      </c>
      <c r="K234" s="112">
        <f t="shared" si="795"/>
        <v>0</v>
      </c>
      <c r="L234" s="112">
        <f t="shared" si="795"/>
        <v>0</v>
      </c>
      <c r="M234" s="112">
        <f t="shared" si="795"/>
        <v>0</v>
      </c>
      <c r="N234" s="112">
        <f t="shared" si="795"/>
        <v>0</v>
      </c>
      <c r="O234" s="112">
        <f t="shared" si="795"/>
        <v>0</v>
      </c>
      <c r="P234" s="112">
        <f t="shared" si="795"/>
        <v>0</v>
      </c>
      <c r="Q234" s="112">
        <f t="shared" si="795"/>
        <v>0</v>
      </c>
      <c r="R234" s="112">
        <f t="shared" si="795"/>
        <v>47.313113249220613</v>
      </c>
      <c r="S234" s="112">
        <f t="shared" si="795"/>
        <v>33.571436974630799</v>
      </c>
      <c r="T234" s="112">
        <f>T205/$Y$175</f>
        <v>41.746864631665247</v>
      </c>
      <c r="U234" s="112">
        <f>U205/$Y$175</f>
        <v>36.876397091304298</v>
      </c>
      <c r="V234" s="112">
        <f>V205/$Y$175</f>
        <v>29.222805242165673</v>
      </c>
      <c r="W234" s="101">
        <f t="shared" si="666"/>
        <v>-7.9715051755214428E-2</v>
      </c>
      <c r="X234" s="109"/>
      <c r="Y234" s="112">
        <f t="shared" ref="Y234:AH234" si="796">Y210/$T$174</f>
        <v>2.6320915505099127</v>
      </c>
      <c r="Z234" s="112">
        <f t="shared" si="796"/>
        <v>5.9924651779716402</v>
      </c>
      <c r="AA234" s="112">
        <f t="shared" si="796"/>
        <v>5.4213571923145176</v>
      </c>
      <c r="AB234" s="112">
        <f t="shared" si="796"/>
        <v>4.9046782807687164</v>
      </c>
      <c r="AC234" s="112">
        <f t="shared" si="796"/>
        <v>4.437241115923281</v>
      </c>
      <c r="AD234" s="112">
        <f t="shared" si="796"/>
        <v>4.0143527452231149</v>
      </c>
      <c r="AE234" s="112">
        <f t="shared" si="796"/>
        <v>3.631767474895764</v>
      </c>
      <c r="AF234" s="112">
        <f t="shared" si="796"/>
        <v>3.2856442442448293</v>
      </c>
      <c r="AG234" s="112">
        <f t="shared" si="796"/>
        <v>2.9725080623585396</v>
      </c>
      <c r="AH234" s="112">
        <f t="shared" si="796"/>
        <v>2.6892151200676739</v>
      </c>
      <c r="AI234" s="115" t="e">
        <f t="shared" si="792"/>
        <v>#DIV/0!</v>
      </c>
      <c r="AJ234" s="21">
        <f t="shared" si="793"/>
        <v>0.01</v>
      </c>
      <c r="AK234" s="154" t="e">
        <f>(AK219)/($O$2*100)</f>
        <v>#DIV/0!</v>
      </c>
    </row>
    <row r="235" spans="2:37" x14ac:dyDescent="0.2">
      <c r="B235" s="10" t="s">
        <v>431</v>
      </c>
      <c r="C235" s="110"/>
      <c r="D235" s="110"/>
      <c r="E235" s="110"/>
      <c r="F235" s="110"/>
      <c r="G235" s="154">
        <f t="shared" ref="G235" si="797">(G234)/($O$2*100)</f>
        <v>3.1542075499480409</v>
      </c>
      <c r="H235" s="154">
        <f t="shared" ref="H235:T235" si="798">(H234)/($O$2*100)</f>
        <v>2.2264994470221464</v>
      </c>
      <c r="I235" s="154">
        <f t="shared" si="798"/>
        <v>0</v>
      </c>
      <c r="J235" s="154">
        <f t="shared" si="798"/>
        <v>0</v>
      </c>
      <c r="K235" s="154">
        <f t="shared" si="798"/>
        <v>0</v>
      </c>
      <c r="L235" s="154">
        <f t="shared" si="798"/>
        <v>0</v>
      </c>
      <c r="M235" s="154">
        <f t="shared" si="798"/>
        <v>0</v>
      </c>
      <c r="N235" s="154">
        <f t="shared" si="798"/>
        <v>0</v>
      </c>
      <c r="O235" s="154">
        <f t="shared" si="798"/>
        <v>0</v>
      </c>
      <c r="P235" s="154">
        <f t="shared" si="798"/>
        <v>0</v>
      </c>
      <c r="Q235" s="154">
        <f t="shared" si="798"/>
        <v>0</v>
      </c>
      <c r="R235" s="154">
        <f t="shared" si="798"/>
        <v>3.1542075499480409</v>
      </c>
      <c r="S235" s="154">
        <f t="shared" si="798"/>
        <v>2.23809579830872</v>
      </c>
      <c r="T235" s="154">
        <f t="shared" si="798"/>
        <v>2.7831243087776829</v>
      </c>
      <c r="U235" s="154">
        <f t="shared" ref="U235:V235" si="799">(U234)/($O$2*100)</f>
        <v>2.45842647275362</v>
      </c>
      <c r="V235" s="154">
        <f t="shared" si="799"/>
        <v>1.9481870161443782</v>
      </c>
      <c r="W235" s="101">
        <f t="shared" si="666"/>
        <v>-7.9715051755214317E-2</v>
      </c>
      <c r="X235" s="109"/>
      <c r="Y235" s="154">
        <f t="shared" ref="Y235:AH235" si="800">(Y234)/($O$2*100)</f>
        <v>0.17547277003399417</v>
      </c>
      <c r="Z235" s="154">
        <f t="shared" si="800"/>
        <v>0.39949767853144269</v>
      </c>
      <c r="AA235" s="154">
        <f t="shared" si="800"/>
        <v>0.36142381282096786</v>
      </c>
      <c r="AB235" s="154">
        <f t="shared" si="800"/>
        <v>0.32697855205124776</v>
      </c>
      <c r="AC235" s="154">
        <f t="shared" si="800"/>
        <v>0.29581607439488539</v>
      </c>
      <c r="AD235" s="154">
        <f t="shared" si="800"/>
        <v>0.26762351634820764</v>
      </c>
      <c r="AE235" s="154">
        <f t="shared" si="800"/>
        <v>0.24211783165971759</v>
      </c>
      <c r="AF235" s="154">
        <f t="shared" si="800"/>
        <v>0.21904294961632195</v>
      </c>
      <c r="AG235" s="154">
        <f t="shared" si="800"/>
        <v>0.19816720415723596</v>
      </c>
      <c r="AH235" s="154">
        <f t="shared" si="800"/>
        <v>0.17928100800451161</v>
      </c>
      <c r="AI235" s="115" t="e">
        <f t="shared" si="792"/>
        <v>#DIV/0!</v>
      </c>
      <c r="AJ235" s="21">
        <f t="shared" si="793"/>
        <v>0.01</v>
      </c>
      <c r="AK235" s="154" t="e">
        <f>(AK220)/($O$2*100)</f>
        <v>#DIV/0!</v>
      </c>
    </row>
    <row r="236" spans="2:37" x14ac:dyDescent="0.2">
      <c r="B236" s="10" t="s">
        <v>433</v>
      </c>
      <c r="C236" s="110"/>
      <c r="D236" s="110"/>
      <c r="E236" s="110"/>
      <c r="F236" s="110"/>
      <c r="G236" s="128">
        <f t="shared" ref="G236" si="801">G235-1</f>
        <v>2.1542075499480409</v>
      </c>
      <c r="H236" s="128">
        <f t="shared" ref="H236:T236" si="802">H235-1</f>
        <v>1.2264994470221464</v>
      </c>
      <c r="I236" s="128">
        <f t="shared" si="802"/>
        <v>-1</v>
      </c>
      <c r="J236" s="128">
        <f t="shared" si="802"/>
        <v>-1</v>
      </c>
      <c r="K236" s="128">
        <f t="shared" si="802"/>
        <v>-1</v>
      </c>
      <c r="L236" s="128">
        <f t="shared" si="802"/>
        <v>-1</v>
      </c>
      <c r="M236" s="128">
        <f t="shared" si="802"/>
        <v>-1</v>
      </c>
      <c r="N236" s="128">
        <f t="shared" si="802"/>
        <v>-1</v>
      </c>
      <c r="O236" s="128">
        <f t="shared" si="802"/>
        <v>-1</v>
      </c>
      <c r="P236" s="128">
        <f t="shared" si="802"/>
        <v>-1</v>
      </c>
      <c r="Q236" s="128">
        <f t="shared" si="802"/>
        <v>-1</v>
      </c>
      <c r="R236" s="128">
        <f t="shared" si="802"/>
        <v>2.1542075499480409</v>
      </c>
      <c r="S236" s="128">
        <f t="shared" si="802"/>
        <v>1.23809579830872</v>
      </c>
      <c r="T236" s="128">
        <f t="shared" si="802"/>
        <v>1.7831243087776829</v>
      </c>
      <c r="U236" s="128">
        <f t="shared" ref="U236:V236" si="803">U235-1</f>
        <v>1.45842647275362</v>
      </c>
      <c r="V236" s="128">
        <f t="shared" si="803"/>
        <v>0.94818701614437817</v>
      </c>
      <c r="W236" s="101">
        <f t="shared" si="666"/>
        <v>-0.1219235455564649</v>
      </c>
      <c r="X236" s="109"/>
      <c r="Y236" s="128">
        <f t="shared" ref="Y236:AH236" si="804">Y235-1</f>
        <v>-0.8245272299660058</v>
      </c>
      <c r="Z236" s="128">
        <f t="shared" si="804"/>
        <v>-0.60050232146855731</v>
      </c>
      <c r="AA236" s="128">
        <f t="shared" si="804"/>
        <v>-0.63857618717903208</v>
      </c>
      <c r="AB236" s="128">
        <f t="shared" si="804"/>
        <v>-0.67302144794875218</v>
      </c>
      <c r="AC236" s="128">
        <f t="shared" si="804"/>
        <v>-0.70418392560511456</v>
      </c>
      <c r="AD236" s="128">
        <f t="shared" si="804"/>
        <v>-0.73237648365179231</v>
      </c>
      <c r="AE236" s="128">
        <f t="shared" si="804"/>
        <v>-0.75788216834028244</v>
      </c>
      <c r="AF236" s="128">
        <f t="shared" si="804"/>
        <v>-0.78095705038367802</v>
      </c>
      <c r="AG236" s="128">
        <f t="shared" si="804"/>
        <v>-0.80183279584276401</v>
      </c>
      <c r="AH236" s="128">
        <f t="shared" si="804"/>
        <v>-0.82071899199548837</v>
      </c>
      <c r="AI236" s="115">
        <f t="shared" si="792"/>
        <v>-1.5083131391011362E-2</v>
      </c>
      <c r="AJ236" s="21">
        <f t="shared" si="793"/>
        <v>0.01</v>
      </c>
      <c r="AK236" s="154" t="e">
        <f>(AK221)/($O$2*100)</f>
        <v>#DIV/0!</v>
      </c>
    </row>
    <row r="237" spans="2:37" x14ac:dyDescent="0.2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2"/>
      <c r="O237" s="173"/>
      <c r="P237" s="112"/>
      <c r="Q237" s="112"/>
      <c r="R237" s="112"/>
      <c r="S237" s="112"/>
      <c r="T237" s="112"/>
      <c r="U237" s="155"/>
      <c r="V237" s="155"/>
      <c r="W237" s="155"/>
      <c r="X237" s="109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4"/>
      <c r="AJ237" s="10"/>
      <c r="AK237" s="10"/>
    </row>
    <row r="238" spans="2:37" x14ac:dyDescent="0.2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2"/>
      <c r="O238" s="173"/>
      <c r="P238" s="112"/>
      <c r="Q238" s="112"/>
      <c r="R238" s="112"/>
      <c r="S238" s="112"/>
      <c r="T238" s="112"/>
      <c r="U238" s="112"/>
      <c r="V238" s="112"/>
      <c r="W238" s="109"/>
      <c r="X238" s="109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2"/>
      <c r="AI238" s="114"/>
      <c r="AJ238" s="10"/>
      <c r="AK238" s="10"/>
    </row>
    <row r="239" spans="2:37" x14ac:dyDescent="0.2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2"/>
      <c r="O239" s="173"/>
      <c r="P239" s="112"/>
      <c r="Q239" s="112"/>
      <c r="R239" s="112"/>
      <c r="S239" s="112"/>
      <c r="T239" s="112"/>
      <c r="U239" s="112"/>
      <c r="V239" s="112"/>
      <c r="W239" s="109"/>
      <c r="X239" s="109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4"/>
      <c r="AJ239" s="10"/>
      <c r="AK239" s="10"/>
    </row>
    <row r="240" spans="2:37" x14ac:dyDescent="0.2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0" t="s">
        <v>293</v>
      </c>
      <c r="O240" s="311"/>
      <c r="P240" s="10"/>
      <c r="Q240" s="10"/>
      <c r="R240" s="10"/>
      <c r="S240" s="93" t="s">
        <v>372</v>
      </c>
      <c r="T240" s="167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14"/>
      <c r="AJ240" s="10"/>
      <c r="AK240" s="10"/>
    </row>
    <row r="241" spans="2:48" x14ac:dyDescent="0.2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 t="e">
        <f>(U205-Z192)/U205</f>
        <v>#DIV/0!</v>
      </c>
      <c r="T241" s="109">
        <f>(U205-Y192)/U205</f>
        <v>1</v>
      </c>
      <c r="U241" s="109"/>
      <c r="V241" s="109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14"/>
      <c r="AJ241" s="10"/>
      <c r="AK241" s="10"/>
    </row>
    <row r="242" spans="2:48" x14ac:dyDescent="0.2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5">
        <f>$O$241</f>
        <v>1</v>
      </c>
      <c r="O242" s="10"/>
      <c r="P242" s="109" t="e">
        <f>(S205-(N242*X183))/S205</f>
        <v>#DIV/0!</v>
      </c>
      <c r="Q242" s="10"/>
      <c r="R242" s="10"/>
      <c r="S242" s="109" t="e">
        <f>(U205-Z183)/U205</f>
        <v>#DIV/0!</v>
      </c>
      <c r="T242" s="109">
        <f>(U205-Y183)/U205</f>
        <v>3.7781520081498146</v>
      </c>
      <c r="U242" s="109"/>
      <c r="V242" s="109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14"/>
      <c r="AJ242" s="10"/>
      <c r="AK242" s="10"/>
    </row>
    <row r="243" spans="2:48" x14ac:dyDescent="0.2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5">
        <f>$O$241</f>
        <v>1</v>
      </c>
      <c r="O243" s="10"/>
      <c r="P243" s="109" t="e">
        <f>(S205-(N243*X176))/S205</f>
        <v>#DIV/0!</v>
      </c>
      <c r="Q243" s="10"/>
      <c r="R243" s="10"/>
      <c r="S243" s="109" t="e">
        <f>(U205-Z176)/U205</f>
        <v>#DIV/0!</v>
      </c>
      <c r="T243" s="109">
        <f>(U205-Y176)/U205</f>
        <v>0.52878899111091071</v>
      </c>
      <c r="U243" s="109"/>
      <c r="V243" s="109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14"/>
      <c r="AJ243" s="10"/>
      <c r="AK243" s="10"/>
    </row>
    <row r="244" spans="2:48" x14ac:dyDescent="0.2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5">
        <f>$O$241</f>
        <v>1</v>
      </c>
      <c r="O244" s="10"/>
      <c r="P244" s="109" t="e">
        <f>(S205-(N244*X189))/S205</f>
        <v>#DIV/0!</v>
      </c>
      <c r="Q244" s="10"/>
      <c r="R244" s="10"/>
      <c r="S244" s="109" t="e">
        <f>(U205-Z189)/U205</f>
        <v>#DIV/0!</v>
      </c>
      <c r="T244" s="109">
        <f>(U205-Y189)/U205</f>
        <v>1</v>
      </c>
      <c r="U244" s="109"/>
      <c r="V244" s="109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14"/>
      <c r="AJ244" s="10"/>
      <c r="AK244" s="10"/>
    </row>
    <row r="245" spans="2:48" x14ac:dyDescent="0.2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5">
        <f>$O$241</f>
        <v>1</v>
      </c>
      <c r="O245" s="10"/>
      <c r="P245" s="109" t="e">
        <f>(S205-(N245*X202))/S205</f>
        <v>#DIV/0!</v>
      </c>
      <c r="Q245" s="10"/>
      <c r="R245" s="10"/>
      <c r="S245" s="109" t="e">
        <f>(U205-Z202)/U205</f>
        <v>#DIV/0!</v>
      </c>
      <c r="T245" s="109">
        <f>(U205-Y202)/U205</f>
        <v>1</v>
      </c>
      <c r="U245" s="109"/>
      <c r="V245" s="109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14"/>
      <c r="AJ245" s="10"/>
      <c r="AK245" s="10"/>
    </row>
    <row r="246" spans="2:48" x14ac:dyDescent="0.2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 t="e">
        <f>U205/Z175</f>
        <v>#DIV/0!</v>
      </c>
      <c r="T246" s="15">
        <f>U205/Y175</f>
        <v>36.876397091304298</v>
      </c>
      <c r="U246" s="15"/>
      <c r="V246" s="98" t="s">
        <v>5</v>
      </c>
      <c r="W246" s="98" t="s">
        <v>6</v>
      </c>
      <c r="X246" s="98" t="s">
        <v>7</v>
      </c>
      <c r="Y246" s="98" t="s">
        <v>8</v>
      </c>
      <c r="Z246" s="98" t="s">
        <v>9</v>
      </c>
      <c r="AA246" s="98" t="s">
        <v>192</v>
      </c>
      <c r="AB246" s="98" t="s">
        <v>193</v>
      </c>
      <c r="AC246" s="98" t="s">
        <v>194</v>
      </c>
      <c r="AD246" s="98" t="s">
        <v>195</v>
      </c>
      <c r="AE246" s="98" t="s">
        <v>196</v>
      </c>
      <c r="AF246" s="98" t="s">
        <v>349</v>
      </c>
      <c r="AG246" s="98" t="s">
        <v>350</v>
      </c>
      <c r="AH246" s="98" t="s">
        <v>351</v>
      </c>
      <c r="AI246" s="98" t="s">
        <v>352</v>
      </c>
      <c r="AJ246" s="98" t="s">
        <v>353</v>
      </c>
      <c r="AK246" s="98" t="s">
        <v>354</v>
      </c>
      <c r="AL246" s="98" t="s">
        <v>355</v>
      </c>
      <c r="AM246" s="98" t="s">
        <v>356</v>
      </c>
      <c r="AN246" s="98" t="s">
        <v>357</v>
      </c>
      <c r="AO246" s="98" t="s">
        <v>358</v>
      </c>
      <c r="AP246" s="98" t="s">
        <v>359</v>
      </c>
      <c r="AQ246" s="98" t="s">
        <v>360</v>
      </c>
      <c r="AR246" s="98" t="s">
        <v>361</v>
      </c>
      <c r="AS246" s="98" t="s">
        <v>362</v>
      </c>
      <c r="AT246" s="98" t="s">
        <v>363</v>
      </c>
      <c r="AU246" s="98" t="s">
        <v>364</v>
      </c>
      <c r="AV246" s="98" t="s">
        <v>365</v>
      </c>
    </row>
    <row r="247" spans="2:48" x14ac:dyDescent="0.2">
      <c r="B247" s="10" t="s">
        <v>313</v>
      </c>
      <c r="C247" s="10"/>
      <c r="D247" s="10"/>
      <c r="E247" s="10"/>
      <c r="F247" s="10"/>
      <c r="G247" s="10"/>
      <c r="H247" s="10"/>
      <c r="I247" s="10"/>
      <c r="J247" s="162" t="s">
        <v>388</v>
      </c>
      <c r="K247" s="163"/>
      <c r="L247" s="162" t="s">
        <v>389</v>
      </c>
      <c r="M247" s="163"/>
      <c r="N247" s="10"/>
      <c r="O247" s="162" t="s">
        <v>390</v>
      </c>
      <c r="P247" s="163"/>
      <c r="Q247" s="162" t="s">
        <v>391</v>
      </c>
      <c r="R247" s="163"/>
      <c r="S247" s="128" t="e">
        <f>1/S246</f>
        <v>#DIV/0!</v>
      </c>
      <c r="T247" s="128">
        <f>1/T246</f>
        <v>2.7117616656639341E-2</v>
      </c>
      <c r="U247" s="128"/>
      <c r="V247" s="110" t="e">
        <f>U205-V248</f>
        <v>#DIV/0!</v>
      </c>
      <c r="W247" s="158" t="e">
        <f>V247-W248</f>
        <v>#DIV/0!</v>
      </c>
      <c r="X247" s="158" t="e">
        <f t="shared" ref="X247:Z247" si="805">W247-X248</f>
        <v>#DIV/0!</v>
      </c>
      <c r="Y247" s="158" t="e">
        <f t="shared" si="805"/>
        <v>#DIV/0!</v>
      </c>
      <c r="Z247" s="158" t="e">
        <f t="shared" si="805"/>
        <v>#DIV/0!</v>
      </c>
      <c r="AA247" s="158" t="e">
        <f>Z247-AA248</f>
        <v>#DIV/0!</v>
      </c>
      <c r="AB247" s="158" t="e">
        <f t="shared" ref="AB247:AE247" si="806">AA247-AB248</f>
        <v>#DIV/0!</v>
      </c>
      <c r="AC247" s="158" t="e">
        <f t="shared" si="806"/>
        <v>#DIV/0!</v>
      </c>
      <c r="AD247" s="158" t="e">
        <f t="shared" si="806"/>
        <v>#DIV/0!</v>
      </c>
      <c r="AE247" s="158" t="e">
        <f t="shared" si="806"/>
        <v>#DIV/0!</v>
      </c>
      <c r="AF247" s="158" t="e">
        <f t="shared" ref="AF247" si="807">AE247-AF248</f>
        <v>#DIV/0!</v>
      </c>
      <c r="AG247" s="158" t="e">
        <f t="shared" ref="AG247" si="808">AF247-AG248</f>
        <v>#DIV/0!</v>
      </c>
      <c r="AH247" s="158" t="e">
        <f t="shared" ref="AH247" si="809">AG247-AH248</f>
        <v>#DIV/0!</v>
      </c>
      <c r="AI247" s="158" t="e">
        <f t="shared" ref="AI247" si="810">AH247-AI248</f>
        <v>#DIV/0!</v>
      </c>
      <c r="AJ247" s="158" t="e">
        <f t="shared" ref="AJ247" si="811">AI247-AJ248</f>
        <v>#DIV/0!</v>
      </c>
      <c r="AK247" s="158" t="e">
        <f t="shared" ref="AK247" si="812">AJ247-AK248</f>
        <v>#DIV/0!</v>
      </c>
      <c r="AL247" s="158" t="e">
        <f t="shared" ref="AL247" si="813">AK247-AL248</f>
        <v>#DIV/0!</v>
      </c>
      <c r="AM247" s="158" t="e">
        <f t="shared" ref="AM247" si="814">AL247-AM248</f>
        <v>#DIV/0!</v>
      </c>
      <c r="AN247" s="158" t="e">
        <f t="shared" ref="AN247" si="815">AM247-AN248</f>
        <v>#DIV/0!</v>
      </c>
      <c r="AO247" s="158" t="e">
        <f t="shared" ref="AO247" si="816">AN247-AO248</f>
        <v>#DIV/0!</v>
      </c>
      <c r="AP247" s="158" t="e">
        <f t="shared" ref="AP247" si="817">AO247-AP248</f>
        <v>#DIV/0!</v>
      </c>
      <c r="AQ247" s="158" t="e">
        <f t="shared" ref="AQ247" si="818">AP247-AQ248</f>
        <v>#DIV/0!</v>
      </c>
      <c r="AR247" s="158" t="e">
        <f t="shared" ref="AR247" si="819">AQ247-AR248</f>
        <v>#DIV/0!</v>
      </c>
      <c r="AS247" s="158" t="e">
        <f t="shared" ref="AS247" si="820">AR247-AS248</f>
        <v>#DIV/0!</v>
      </c>
      <c r="AT247" s="158" t="e">
        <f t="shared" ref="AT247" si="821">AS247-AT248</f>
        <v>#DIV/0!</v>
      </c>
      <c r="AU247" s="158" t="e">
        <f t="shared" ref="AU247" si="822">AT247-AU248</f>
        <v>#DIV/0!</v>
      </c>
      <c r="AV247" s="158" t="e">
        <f t="shared" ref="AV247" si="823">AU247-AV248</f>
        <v>#DIV/0!</v>
      </c>
    </row>
    <row r="248" spans="2:48" x14ac:dyDescent="0.2">
      <c r="B248" s="10" t="s">
        <v>338</v>
      </c>
      <c r="C248" s="10"/>
      <c r="D248" s="10"/>
      <c r="E248" s="10"/>
      <c r="F248" s="10"/>
      <c r="G248" s="10"/>
      <c r="H248" s="10"/>
      <c r="I248" s="10"/>
      <c r="J248" s="164">
        <v>0</v>
      </c>
      <c r="K248" s="163"/>
      <c r="L248" s="164">
        <v>0.05</v>
      </c>
      <c r="M248" s="163"/>
      <c r="N248" s="157">
        <v>0.15</v>
      </c>
      <c r="O248" s="164">
        <v>0.12</v>
      </c>
      <c r="P248" s="163"/>
      <c r="Q248" s="164">
        <v>0.2</v>
      </c>
      <c r="R248" s="171" t="s">
        <v>230</v>
      </c>
      <c r="S248" s="154">
        <f>U205/S174</f>
        <v>439.15926327193938</v>
      </c>
      <c r="T248" s="154" t="s">
        <v>408</v>
      </c>
      <c r="U248" s="154"/>
      <c r="V248" s="159" t="e">
        <f>W174*(1+$N$248)</f>
        <v>#DIV/0!</v>
      </c>
      <c r="W248" s="159" t="e">
        <f>V248*(1+$N$248)</f>
        <v>#DIV/0!</v>
      </c>
      <c r="X248" s="159" t="e">
        <f t="shared" ref="X248:AE248" si="824">W248*(1+$N$248)</f>
        <v>#DIV/0!</v>
      </c>
      <c r="Y248" s="159" t="e">
        <f t="shared" si="824"/>
        <v>#DIV/0!</v>
      </c>
      <c r="Z248" s="159" t="e">
        <f t="shared" si="824"/>
        <v>#DIV/0!</v>
      </c>
      <c r="AA248" s="159" t="e">
        <f t="shared" si="824"/>
        <v>#DIV/0!</v>
      </c>
      <c r="AB248" s="159" t="e">
        <f t="shared" si="824"/>
        <v>#DIV/0!</v>
      </c>
      <c r="AC248" s="159" t="e">
        <f t="shared" si="824"/>
        <v>#DIV/0!</v>
      </c>
      <c r="AD248" s="159" t="e">
        <f t="shared" si="824"/>
        <v>#DIV/0!</v>
      </c>
      <c r="AE248" s="159" t="e">
        <f t="shared" si="824"/>
        <v>#DIV/0!</v>
      </c>
      <c r="AF248" s="159" t="e">
        <f t="shared" ref="AF248" si="825">AE248*(1+$N$248)</f>
        <v>#DIV/0!</v>
      </c>
      <c r="AG248" s="159" t="e">
        <f t="shared" ref="AG248" si="826">AF248*(1+$N$248)</f>
        <v>#DIV/0!</v>
      </c>
      <c r="AH248" s="159" t="e">
        <f t="shared" ref="AH248" si="827">AG248*(1+$N$248)</f>
        <v>#DIV/0!</v>
      </c>
      <c r="AI248" s="159" t="e">
        <f t="shared" ref="AI248" si="828">AH248*(1+$N$248)</f>
        <v>#DIV/0!</v>
      </c>
      <c r="AJ248" s="159" t="e">
        <f t="shared" ref="AJ248" si="829">AI248*(1+$N$248)</f>
        <v>#DIV/0!</v>
      </c>
      <c r="AK248" s="159" t="e">
        <f t="shared" ref="AK248" si="830">AJ248*(1+$N$248)</f>
        <v>#DIV/0!</v>
      </c>
      <c r="AL248" s="159" t="e">
        <f t="shared" ref="AL248" si="831">AK248*(1+$N$248)</f>
        <v>#DIV/0!</v>
      </c>
      <c r="AM248" s="159" t="e">
        <f t="shared" ref="AM248" si="832">AL248*(1+$N$248)</f>
        <v>#DIV/0!</v>
      </c>
      <c r="AN248" s="159" t="e">
        <f t="shared" ref="AN248" si="833">AM248*(1+$N$248)</f>
        <v>#DIV/0!</v>
      </c>
      <c r="AO248" s="159" t="e">
        <f t="shared" ref="AO248" si="834">AN248*(1+$N$248)</f>
        <v>#DIV/0!</v>
      </c>
      <c r="AP248" s="159" t="e">
        <f t="shared" ref="AP248" si="835">AO248*(1+$N$248)</f>
        <v>#DIV/0!</v>
      </c>
      <c r="AQ248" s="159" t="e">
        <f t="shared" ref="AQ248" si="836">AP248*(1+$N$248)</f>
        <v>#DIV/0!</v>
      </c>
      <c r="AR248" s="159" t="e">
        <f t="shared" ref="AR248" si="837">AQ248*(1+$N$248)</f>
        <v>#DIV/0!</v>
      </c>
      <c r="AS248" s="159" t="e">
        <f t="shared" ref="AS248" si="838">AR248*(1+$N$248)</f>
        <v>#DIV/0!</v>
      </c>
      <c r="AT248" s="159" t="e">
        <f t="shared" ref="AT248" si="839">AS248*(1+$N$248)</f>
        <v>#DIV/0!</v>
      </c>
      <c r="AU248" s="159" t="e">
        <f t="shared" ref="AU248" si="840">AT248*(1+$N$248)</f>
        <v>#DIV/0!</v>
      </c>
      <c r="AV248" s="159" t="e">
        <f t="shared" ref="AV248" si="841">AU248*(1+$N$248)</f>
        <v>#DIV/0!</v>
      </c>
    </row>
    <row r="249" spans="2:48" x14ac:dyDescent="0.2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4">
        <v>0</v>
      </c>
      <c r="K249" s="165">
        <f>T207</f>
        <v>19.96074582924436</v>
      </c>
      <c r="L249" s="164">
        <v>0.05</v>
      </c>
      <c r="M249" s="163"/>
      <c r="N249" s="157">
        <v>0.15</v>
      </c>
      <c r="O249" s="164">
        <v>0.12</v>
      </c>
      <c r="P249" s="163"/>
      <c r="Q249" s="164">
        <v>0.2</v>
      </c>
      <c r="R249" s="171" t="s">
        <v>407</v>
      </c>
      <c r="S249" s="154">
        <f>U205/U76</f>
        <v>20.440273037542664</v>
      </c>
      <c r="T249" s="154" t="s">
        <v>408</v>
      </c>
      <c r="U249" s="154"/>
      <c r="V249" s="159">
        <f>T76*(1+$N$249)</f>
        <v>3.456784660766961</v>
      </c>
      <c r="W249" s="159">
        <f>V249*(1+$N$249)</f>
        <v>3.9753023598820048</v>
      </c>
      <c r="X249" s="159">
        <f t="shared" ref="X249:AE249" si="842">W249*(1+$N$249)</f>
        <v>4.5715977138643051</v>
      </c>
      <c r="Y249" s="159">
        <f t="shared" si="842"/>
        <v>5.2573373709439508</v>
      </c>
      <c r="Z249" s="159">
        <f t="shared" si="842"/>
        <v>6.0459379765855426</v>
      </c>
      <c r="AA249" s="159">
        <f t="shared" si="842"/>
        <v>6.9528286730733733</v>
      </c>
      <c r="AB249" s="159">
        <f t="shared" si="842"/>
        <v>7.9957529740343789</v>
      </c>
      <c r="AC249" s="159">
        <f t="shared" si="842"/>
        <v>9.1951159201395356</v>
      </c>
      <c r="AD249" s="159">
        <f t="shared" si="842"/>
        <v>10.574383308160465</v>
      </c>
      <c r="AE249" s="159">
        <f t="shared" si="842"/>
        <v>12.160540804384533</v>
      </c>
      <c r="AF249" s="159">
        <f t="shared" ref="AF249" si="843">AE249*(1+$N$249)</f>
        <v>13.984621925042212</v>
      </c>
      <c r="AG249" s="159">
        <f t="shared" ref="AG249" si="844">AF249*(1+$N$249)</f>
        <v>16.082315213798545</v>
      </c>
      <c r="AH249" s="159">
        <f t="shared" ref="AH249" si="845">AG249*(1+$N$249)</f>
        <v>18.494662495868326</v>
      </c>
      <c r="AI249" s="159">
        <f t="shared" ref="AI249" si="846">AH249*(1+$N$249)</f>
        <v>21.268861870248575</v>
      </c>
      <c r="AJ249" s="159">
        <f t="shared" ref="AJ249" si="847">AI249*(1+$N$249)</f>
        <v>24.459191150785859</v>
      </c>
      <c r="AK249" s="159">
        <f t="shared" ref="AK249" si="848">AJ249*(1+$N$249)</f>
        <v>28.128069823403735</v>
      </c>
      <c r="AL249" s="159">
        <f t="shared" ref="AL249" si="849">AK249*(1+$N$249)</f>
        <v>32.347280296914292</v>
      </c>
      <c r="AM249" s="159">
        <f t="shared" ref="AM249" si="850">AL249*(1+$N$249)</f>
        <v>37.199372341451429</v>
      </c>
      <c r="AN249" s="159">
        <f t="shared" ref="AN249" si="851">AM249*(1+$N$249)</f>
        <v>42.779278192669139</v>
      </c>
      <c r="AO249" s="159">
        <f t="shared" ref="AO249" si="852">AN249*(1+$N$249)</f>
        <v>49.196169921569506</v>
      </c>
      <c r="AP249" s="159">
        <f t="shared" ref="AP249" si="853">AO249*(1+$N$249)</f>
        <v>56.575595409804926</v>
      </c>
      <c r="AQ249" s="159">
        <f t="shared" ref="AQ249" si="854">AP249*(1+$N$249)</f>
        <v>65.061934721275662</v>
      </c>
      <c r="AR249" s="159">
        <f t="shared" ref="AR249" si="855">AQ249*(1+$N$249)</f>
        <v>74.821224929467007</v>
      </c>
      <c r="AS249" s="159">
        <f t="shared" ref="AS249" si="856">AR249*(1+$N$249)</f>
        <v>86.044408668887058</v>
      </c>
      <c r="AT249" s="159">
        <f t="shared" ref="AT249" si="857">AS249*(1+$N$249)</f>
        <v>98.951069969220114</v>
      </c>
      <c r="AU249" s="159">
        <f t="shared" ref="AU249" si="858">AT249*(1+$N$249)</f>
        <v>113.79373046460313</v>
      </c>
      <c r="AV249" s="159">
        <f t="shared" ref="AV249" si="859">AU249*(1+$N$249)</f>
        <v>130.8627900342936</v>
      </c>
    </row>
    <row r="250" spans="2:48" x14ac:dyDescent="0.2">
      <c r="B250" s="10"/>
      <c r="C250" s="10"/>
      <c r="D250" s="10"/>
      <c r="E250" s="13" t="s">
        <v>393</v>
      </c>
      <c r="F250" s="13"/>
      <c r="G250" s="13"/>
      <c r="H250" s="13"/>
      <c r="I250" s="12"/>
      <c r="J250" s="164">
        <v>0</v>
      </c>
      <c r="K250" s="165"/>
      <c r="L250" s="164">
        <v>0.05</v>
      </c>
      <c r="M250" s="163"/>
      <c r="N250" s="163"/>
      <c r="O250" s="164">
        <v>0.12</v>
      </c>
      <c r="P250" s="163"/>
      <c r="Q250" s="164">
        <v>0.2</v>
      </c>
      <c r="R250" s="10"/>
      <c r="S250" s="10"/>
      <c r="T250" s="10"/>
      <c r="U250" s="10"/>
      <c r="V250" s="110">
        <f>U205-V249</f>
        <v>49.543215339233036</v>
      </c>
      <c r="W250" s="158">
        <f>V250-W249</f>
        <v>45.567912979351028</v>
      </c>
      <c r="X250" s="158">
        <f t="shared" ref="X250:AC250" si="860">W250-X249</f>
        <v>40.996315265486722</v>
      </c>
      <c r="Y250" s="158">
        <f t="shared" si="860"/>
        <v>35.738977894542771</v>
      </c>
      <c r="Z250" s="158">
        <f t="shared" si="860"/>
        <v>29.693039917957229</v>
      </c>
      <c r="AA250" s="158">
        <f t="shared" si="860"/>
        <v>22.740211244883856</v>
      </c>
      <c r="AB250" s="158">
        <f t="shared" si="860"/>
        <v>14.744458270849478</v>
      </c>
      <c r="AC250" s="158">
        <f t="shared" si="860"/>
        <v>5.5493423507099422</v>
      </c>
      <c r="AD250" s="158">
        <f>AC250-AD249</f>
        <v>-5.025040957450523</v>
      </c>
      <c r="AE250" s="158">
        <f t="shared" ref="AE250" si="861">AD250-AE249</f>
        <v>-17.185581761835056</v>
      </c>
      <c r="AF250" s="158">
        <f t="shared" ref="AF250" si="862">AE250-AF249</f>
        <v>-31.170203686877269</v>
      </c>
      <c r="AG250" s="158">
        <f t="shared" ref="AG250" si="863">AF250-AG249</f>
        <v>-47.25251890067581</v>
      </c>
      <c r="AH250" s="158">
        <f t="shared" ref="AH250" si="864">AG250-AH249</f>
        <v>-65.747181396544136</v>
      </c>
      <c r="AI250" s="158">
        <f t="shared" ref="AI250" si="865">AH250-AI249</f>
        <v>-87.016043266792707</v>
      </c>
      <c r="AJ250" s="158">
        <f t="shared" ref="AJ250" si="866">AI250-AJ249</f>
        <v>-111.47523441757856</v>
      </c>
      <c r="AK250" s="158">
        <f t="shared" ref="AK250" si="867">AJ250-AK249</f>
        <v>-139.60330424098231</v>
      </c>
      <c r="AL250" s="158">
        <f t="shared" ref="AL250" si="868">AK250-AL249</f>
        <v>-171.95058453789659</v>
      </c>
      <c r="AM250" s="158">
        <f t="shared" ref="AM250" si="869">AL250-AM249</f>
        <v>-209.14995687934803</v>
      </c>
      <c r="AN250" s="158">
        <f t="shared" ref="AN250" si="870">AM250-AN249</f>
        <v>-251.92923507201715</v>
      </c>
      <c r="AO250" s="158">
        <f t="shared" ref="AO250" si="871">AN250-AO249</f>
        <v>-301.12540499358664</v>
      </c>
      <c r="AP250" s="158">
        <f t="shared" ref="AP250" si="872">AO250-AP249</f>
        <v>-357.70100040339156</v>
      </c>
      <c r="AQ250" s="158">
        <f t="shared" ref="AQ250" si="873">AP250-AQ249</f>
        <v>-422.76293512466725</v>
      </c>
      <c r="AR250" s="158">
        <f t="shared" ref="AR250" si="874">AQ250-AR249</f>
        <v>-497.58416005413426</v>
      </c>
      <c r="AS250" s="158">
        <f t="shared" ref="AS250" si="875">AR250-AS249</f>
        <v>-583.62856872302132</v>
      </c>
      <c r="AT250" s="158">
        <f t="shared" ref="AT250" si="876">AS250-AT249</f>
        <v>-682.57963869224147</v>
      </c>
      <c r="AU250" s="158">
        <f t="shared" ref="AU250" si="877">AT250-AU249</f>
        <v>-796.37336915684455</v>
      </c>
      <c r="AV250" s="158">
        <f t="shared" ref="AV250" si="878">AU250-AV249</f>
        <v>-927.23615919113809</v>
      </c>
    </row>
    <row r="251" spans="2:48" x14ac:dyDescent="0.2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spans="2:48" x14ac:dyDescent="0.2">
      <c r="B252" s="10" t="s">
        <v>254</v>
      </c>
      <c r="C252" s="15"/>
      <c r="D252" s="15"/>
      <c r="E252" s="15"/>
      <c r="F252" s="15"/>
      <c r="G252" s="15"/>
      <c r="H252" s="15" t="e">
        <f t="shared" ref="H252:I252" si="879">H10/H7</f>
        <v>#DIV/0!</v>
      </c>
      <c r="I252" s="15" t="e">
        <f t="shared" si="879"/>
        <v>#DIV/0!</v>
      </c>
      <c r="J252" s="15" t="e">
        <f t="shared" ref="J252:T252" si="880">J10/J7</f>
        <v>#DIV/0!</v>
      </c>
      <c r="K252" s="15" t="e">
        <f t="shared" si="880"/>
        <v>#DIV/0!</v>
      </c>
      <c r="L252" s="15" t="e">
        <f t="shared" si="880"/>
        <v>#DIV/0!</v>
      </c>
      <c r="M252" s="15" t="e">
        <f t="shared" si="880"/>
        <v>#DIV/0!</v>
      </c>
      <c r="N252" s="15" t="e">
        <f t="shared" si="880"/>
        <v>#DIV/0!</v>
      </c>
      <c r="O252" s="15" t="e">
        <f t="shared" si="880"/>
        <v>#DIV/0!</v>
      </c>
      <c r="P252" s="15" t="e">
        <f t="shared" si="880"/>
        <v>#DIV/0!</v>
      </c>
      <c r="Q252" s="15" t="e">
        <f t="shared" si="880"/>
        <v>#DIV/0!</v>
      </c>
      <c r="R252" s="15" t="e">
        <f t="shared" si="880"/>
        <v>#DIV/0!</v>
      </c>
      <c r="S252" s="15">
        <f t="shared" si="880"/>
        <v>4.1174981936614943</v>
      </c>
      <c r="T252" s="15">
        <f t="shared" si="880"/>
        <v>6.1636462733342414</v>
      </c>
      <c r="U252" s="15">
        <f t="shared" ref="U252:V252" si="881">U10/U7</f>
        <v>6.895770590546026</v>
      </c>
      <c r="V252" s="15">
        <f t="shared" si="881"/>
        <v>7.7116166611715578</v>
      </c>
      <c r="W252" s="101" t="e">
        <f t="shared" ref="W252:W254" si="882">((U252/G252)^(1/($K$2-$K$1) ))-1</f>
        <v>#DIV/0!</v>
      </c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spans="2:48" x14ac:dyDescent="0.2">
      <c r="B253" s="10" t="s">
        <v>255</v>
      </c>
      <c r="C253" s="96"/>
      <c r="D253" s="96"/>
      <c r="E253" s="96"/>
      <c r="F253" s="96"/>
      <c r="G253" s="96"/>
      <c r="H253" s="96" t="e">
        <f t="shared" ref="H253:I253" si="883">H10/H12</f>
        <v>#DIV/0!</v>
      </c>
      <c r="I253" s="96" t="e">
        <f t="shared" si="883"/>
        <v>#DIV/0!</v>
      </c>
      <c r="J253" s="96" t="e">
        <f t="shared" ref="J253:T253" si="884">J10/J12</f>
        <v>#DIV/0!</v>
      </c>
      <c r="K253" s="96" t="e">
        <f t="shared" si="884"/>
        <v>#DIV/0!</v>
      </c>
      <c r="L253" s="96" t="e">
        <f t="shared" si="884"/>
        <v>#DIV/0!</v>
      </c>
      <c r="M253" s="96" t="e">
        <f t="shared" si="884"/>
        <v>#DIV/0!</v>
      </c>
      <c r="N253" s="96" t="e">
        <f t="shared" si="884"/>
        <v>#DIV/0!</v>
      </c>
      <c r="O253" s="96" t="e">
        <f t="shared" si="884"/>
        <v>#DIV/0!</v>
      </c>
      <c r="P253" s="96" t="e">
        <f t="shared" si="884"/>
        <v>#DIV/0!</v>
      </c>
      <c r="Q253" s="96" t="e">
        <f t="shared" si="884"/>
        <v>#DIV/0!</v>
      </c>
      <c r="R253" s="96" t="e">
        <f t="shared" si="884"/>
        <v>#DIV/0!</v>
      </c>
      <c r="S253" s="96">
        <f t="shared" si="884"/>
        <v>29.543157894736844</v>
      </c>
      <c r="T253" s="96">
        <f t="shared" si="884"/>
        <v>29.799077733860344</v>
      </c>
      <c r="U253" s="96" t="e">
        <f t="shared" ref="U253:V253" si="885">U10/U12</f>
        <v>#DIV/0!</v>
      </c>
      <c r="V253" s="96" t="e">
        <f t="shared" si="885"/>
        <v>#DIV/0!</v>
      </c>
      <c r="W253" s="101" t="e">
        <f t="shared" si="882"/>
        <v>#DIV/0!</v>
      </c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spans="2:48" x14ac:dyDescent="0.2">
      <c r="B254" s="10" t="s">
        <v>256</v>
      </c>
      <c r="C254" s="15"/>
      <c r="D254" s="15"/>
      <c r="E254" s="15"/>
      <c r="F254" s="15"/>
      <c r="G254" s="15"/>
      <c r="H254" s="15" t="e">
        <f t="shared" ref="H254:I254" si="886">H10/(H12+H13)</f>
        <v>#DIV/0!</v>
      </c>
      <c r="I254" s="15" t="e">
        <f t="shared" si="886"/>
        <v>#DIV/0!</v>
      </c>
      <c r="J254" s="15" t="e">
        <f t="shared" ref="J254:T254" si="887">J10/(J12+J13)</f>
        <v>#DIV/0!</v>
      </c>
      <c r="K254" s="15" t="e">
        <f t="shared" si="887"/>
        <v>#DIV/0!</v>
      </c>
      <c r="L254" s="15" t="e">
        <f t="shared" si="887"/>
        <v>#DIV/0!</v>
      </c>
      <c r="M254" s="15" t="e">
        <f t="shared" si="887"/>
        <v>#DIV/0!</v>
      </c>
      <c r="N254" s="15" t="e">
        <f t="shared" si="887"/>
        <v>#DIV/0!</v>
      </c>
      <c r="O254" s="15" t="e">
        <f t="shared" si="887"/>
        <v>#DIV/0!</v>
      </c>
      <c r="P254" s="15" t="e">
        <f t="shared" si="887"/>
        <v>#DIV/0!</v>
      </c>
      <c r="Q254" s="15" t="e">
        <f t="shared" si="887"/>
        <v>#DIV/0!</v>
      </c>
      <c r="R254" s="15" t="e">
        <f t="shared" si="887"/>
        <v>#DIV/0!</v>
      </c>
      <c r="S254" s="15">
        <f t="shared" si="887"/>
        <v>2.5524987494884273</v>
      </c>
      <c r="T254" s="15">
        <f t="shared" si="887"/>
        <v>1.6908068103238829</v>
      </c>
      <c r="U254" s="15">
        <f t="shared" ref="U254:V254" si="888">U10/(U12+U13)</f>
        <v>1.7293773807960069</v>
      </c>
      <c r="V254" s="15">
        <f t="shared" si="888"/>
        <v>2.4094085329212809</v>
      </c>
      <c r="W254" s="101" t="e">
        <f t="shared" si="882"/>
        <v>#DIV/0!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spans="2:48" x14ac:dyDescent="0.2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spans="2:48" x14ac:dyDescent="0.2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spans="2:37" ht="15" customHeight="1" x14ac:dyDescent="0.2">
      <c r="B257" s="10"/>
      <c r="C257" s="147" t="s">
        <v>319</v>
      </c>
      <c r="D257" s="148"/>
      <c r="E257" s="148"/>
      <c r="F257" s="148"/>
      <c r="G257" s="148"/>
      <c r="H257" s="148"/>
      <c r="I257" s="148"/>
      <c r="J257" s="148"/>
      <c r="K257" s="148"/>
      <c r="L257" s="148"/>
      <c r="M257" s="312" t="s">
        <v>281</v>
      </c>
      <c r="N257" s="312"/>
      <c r="O257" s="312"/>
      <c r="P257" s="313"/>
      <c r="Q257" s="10"/>
      <c r="R257" s="13"/>
      <c r="S257" s="140"/>
      <c r="T257" s="140"/>
      <c r="U257" s="140"/>
      <c r="V257" s="140"/>
      <c r="W257" s="141"/>
      <c r="X257" s="141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spans="2:37" x14ac:dyDescent="0.2">
      <c r="B258" s="10"/>
      <c r="C258" s="139" t="s">
        <v>282</v>
      </c>
      <c r="D258" s="139" t="s">
        <v>0</v>
      </c>
      <c r="E258" s="139" t="s">
        <v>320</v>
      </c>
      <c r="F258" s="139"/>
      <c r="G258" s="139" t="s">
        <v>321</v>
      </c>
      <c r="H258" s="139" t="s">
        <v>322</v>
      </c>
      <c r="I258" s="139" t="s">
        <v>323</v>
      </c>
      <c r="J258" s="139" t="s">
        <v>324</v>
      </c>
      <c r="K258" s="139" t="s">
        <v>325</v>
      </c>
      <c r="L258" s="10"/>
      <c r="M258" s="139" t="s">
        <v>282</v>
      </c>
      <c r="N258" s="139"/>
      <c r="O258" s="139" t="s">
        <v>0</v>
      </c>
      <c r="P258" s="139" t="s">
        <v>314</v>
      </c>
      <c r="Q258" s="10"/>
      <c r="R258" s="10"/>
      <c r="S258" s="142"/>
      <c r="T258" s="142"/>
      <c r="U258" s="142"/>
      <c r="V258" s="142"/>
      <c r="W258" s="143"/>
      <c r="X258" s="143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 spans="2:37" x14ac:dyDescent="0.2">
      <c r="B259" s="10"/>
      <c r="C259" s="140" t="s">
        <v>283</v>
      </c>
      <c r="D259" s="11"/>
      <c r="E259" s="149" t="s">
        <v>326</v>
      </c>
      <c r="F259" s="149"/>
      <c r="G259" s="12">
        <v>1</v>
      </c>
      <c r="H259" s="12">
        <v>1</v>
      </c>
      <c r="I259" s="140">
        <f>G259/H259</f>
        <v>1</v>
      </c>
      <c r="J259" s="140">
        <f>I259*D260</f>
        <v>0</v>
      </c>
      <c r="K259" s="150">
        <f>J259+D260</f>
        <v>0</v>
      </c>
      <c r="L259" s="10"/>
      <c r="M259" s="140" t="s">
        <v>283</v>
      </c>
      <c r="N259" s="140"/>
      <c r="O259" s="11">
        <v>1</v>
      </c>
      <c r="P259" s="146">
        <f>O259</f>
        <v>1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 spans="2:37" x14ac:dyDescent="0.2">
      <c r="B260" s="10"/>
      <c r="C260" s="140" t="s">
        <v>284</v>
      </c>
      <c r="D260" s="11"/>
      <c r="E260" s="149" t="s">
        <v>327</v>
      </c>
      <c r="F260" s="149"/>
      <c r="G260" s="12">
        <v>0</v>
      </c>
      <c r="H260" s="12">
        <v>1</v>
      </c>
      <c r="I260" s="140">
        <f>G260/H260</f>
        <v>0</v>
      </c>
      <c r="J260" s="140">
        <f>I260*K259</f>
        <v>0</v>
      </c>
      <c r="K260" s="140">
        <f>J260+K259</f>
        <v>0</v>
      </c>
      <c r="L260" s="10"/>
      <c r="M260" s="140" t="s">
        <v>284</v>
      </c>
      <c r="N260" s="140"/>
      <c r="O260" s="11">
        <v>1</v>
      </c>
      <c r="P260" s="146">
        <f>O260</f>
        <v>1</v>
      </c>
      <c r="Q260" s="10"/>
      <c r="R260" s="10"/>
      <c r="S260" s="140"/>
      <c r="T260" s="140"/>
      <c r="U260" s="140"/>
      <c r="V260" s="140"/>
      <c r="W260" s="141"/>
      <c r="X260" s="141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 spans="2:37" x14ac:dyDescent="0.2">
      <c r="B261" s="10"/>
      <c r="C261" s="140" t="s">
        <v>286</v>
      </c>
      <c r="D261" s="141">
        <f>D259*D260</f>
        <v>0</v>
      </c>
      <c r="E261" s="149" t="s">
        <v>339</v>
      </c>
      <c r="F261" s="149"/>
      <c r="G261" s="12">
        <v>0</v>
      </c>
      <c r="H261" s="12">
        <v>1</v>
      </c>
      <c r="I261" s="140">
        <f>G261/H261</f>
        <v>0</v>
      </c>
      <c r="J261" s="140">
        <f>I261*K260</f>
        <v>0</v>
      </c>
      <c r="K261" s="140">
        <f>J261+K260</f>
        <v>0</v>
      </c>
      <c r="L261" s="10"/>
      <c r="M261" s="140" t="s">
        <v>285</v>
      </c>
      <c r="N261" s="140"/>
      <c r="O261" s="141">
        <f>O259*O260</f>
        <v>1</v>
      </c>
      <c r="P261" s="146">
        <f>O261</f>
        <v>1</v>
      </c>
      <c r="Q261" s="10"/>
      <c r="R261" s="10"/>
      <c r="S261" s="142"/>
      <c r="T261" s="142"/>
      <c r="U261" s="142"/>
      <c r="V261" s="142"/>
      <c r="W261" s="143"/>
      <c r="X261" s="143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 spans="2:37" x14ac:dyDescent="0.2">
      <c r="B262" s="10"/>
      <c r="C262" s="140"/>
      <c r="D262" s="141"/>
      <c r="E262" s="149" t="s">
        <v>394</v>
      </c>
      <c r="F262" s="149"/>
      <c r="G262" s="12">
        <v>0</v>
      </c>
      <c r="H262" s="12">
        <v>1</v>
      </c>
      <c r="I262" s="140">
        <f t="shared" ref="I262:I265" si="889">G262/H262</f>
        <v>0</v>
      </c>
      <c r="J262" s="140">
        <f t="shared" ref="J262:J264" si="890">I262*K261</f>
        <v>0</v>
      </c>
      <c r="K262" s="140">
        <f t="shared" ref="K262:K264" si="891">J262+K261</f>
        <v>0</v>
      </c>
      <c r="L262" s="10"/>
      <c r="M262" s="140" t="s">
        <v>287</v>
      </c>
      <c r="N262" s="140"/>
      <c r="O262" s="11">
        <v>1</v>
      </c>
      <c r="P262" s="11">
        <v>1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 spans="2:37" x14ac:dyDescent="0.2">
      <c r="B263" s="10"/>
      <c r="C263" s="140"/>
      <c r="D263" s="141"/>
      <c r="E263" s="149" t="s">
        <v>395</v>
      </c>
      <c r="F263" s="149"/>
      <c r="G263" s="12">
        <v>0</v>
      </c>
      <c r="H263" s="12">
        <v>1</v>
      </c>
      <c r="I263" s="140">
        <f t="shared" si="889"/>
        <v>0</v>
      </c>
      <c r="J263" s="140">
        <f t="shared" si="890"/>
        <v>0</v>
      </c>
      <c r="K263" s="140">
        <f t="shared" si="891"/>
        <v>0</v>
      </c>
      <c r="L263" s="10"/>
      <c r="M263" s="140" t="s">
        <v>288</v>
      </c>
      <c r="N263" s="140"/>
      <c r="O263" s="141">
        <f>O262*O260</f>
        <v>1</v>
      </c>
      <c r="P263" s="141">
        <f>P262*P260</f>
        <v>1</v>
      </c>
      <c r="Q263" s="10"/>
      <c r="R263" s="10"/>
      <c r="S263" s="140"/>
      <c r="T263" s="140"/>
      <c r="U263" s="140"/>
      <c r="V263" s="140"/>
      <c r="W263" s="141"/>
      <c r="X263" s="141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 spans="2:37" x14ac:dyDescent="0.2">
      <c r="B264" s="10"/>
      <c r="C264" s="140"/>
      <c r="D264" s="141"/>
      <c r="E264" s="149" t="s">
        <v>396</v>
      </c>
      <c r="F264" s="149"/>
      <c r="G264" s="12">
        <v>0</v>
      </c>
      <c r="H264" s="12">
        <v>1</v>
      </c>
      <c r="I264" s="140">
        <f t="shared" si="889"/>
        <v>0</v>
      </c>
      <c r="J264" s="140">
        <f t="shared" si="890"/>
        <v>0</v>
      </c>
      <c r="K264" s="140">
        <f t="shared" si="891"/>
        <v>0</v>
      </c>
      <c r="L264" s="10"/>
      <c r="M264" s="140"/>
      <c r="N264" s="140"/>
      <c r="O264" s="141"/>
      <c r="P264" s="141"/>
      <c r="Q264" s="10"/>
      <c r="R264" s="10"/>
      <c r="S264" s="142"/>
      <c r="T264" s="142"/>
      <c r="U264" s="142"/>
      <c r="V264" s="142"/>
      <c r="W264" s="143"/>
      <c r="X264" s="143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 spans="2:37" x14ac:dyDescent="0.2">
      <c r="B265" s="10"/>
      <c r="C265" s="140"/>
      <c r="D265" s="141"/>
      <c r="E265" s="149" t="s">
        <v>328</v>
      </c>
      <c r="F265" s="149"/>
      <c r="G265" s="12">
        <v>10</v>
      </c>
      <c r="H265" s="12">
        <v>1</v>
      </c>
      <c r="I265" s="140">
        <f t="shared" si="889"/>
        <v>10</v>
      </c>
      <c r="J265" s="140">
        <f>I265*K264</f>
        <v>0</v>
      </c>
      <c r="K265" s="140">
        <f>J265</f>
        <v>0</v>
      </c>
      <c r="L265" s="10"/>
      <c r="M265" s="140"/>
      <c r="N265" s="140"/>
      <c r="O265" s="141"/>
      <c r="P265" s="141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 spans="2:37" x14ac:dyDescent="0.2">
      <c r="B266" s="10"/>
      <c r="C266" s="140"/>
      <c r="D266" s="141"/>
      <c r="E266" s="149" t="s">
        <v>397</v>
      </c>
      <c r="F266" s="149"/>
      <c r="G266" s="12">
        <v>0</v>
      </c>
      <c r="H266" s="12">
        <v>1</v>
      </c>
      <c r="I266" s="140">
        <f>G266/H266</f>
        <v>0</v>
      </c>
      <c r="J266" s="140">
        <f>I266*K265</f>
        <v>0</v>
      </c>
      <c r="K266" s="140">
        <f>J266</f>
        <v>0</v>
      </c>
      <c r="L266" s="10"/>
      <c r="M266" s="142" t="s">
        <v>289</v>
      </c>
      <c r="N266" s="142"/>
      <c r="O266" s="143">
        <f>O263/O261</f>
        <v>1</v>
      </c>
      <c r="P266" s="143">
        <f>P263/P261</f>
        <v>1</v>
      </c>
      <c r="Q266" s="10"/>
      <c r="R266" s="10"/>
      <c r="S266" s="142"/>
      <c r="T266" s="142"/>
      <c r="U266" s="142"/>
      <c r="V266" s="142"/>
      <c r="W266" s="143"/>
      <c r="X266" s="143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 spans="2:37" x14ac:dyDescent="0.2">
      <c r="B267" s="10"/>
      <c r="C267" s="140" t="s">
        <v>287</v>
      </c>
      <c r="D267" s="11"/>
      <c r="E267" s="149"/>
      <c r="F267" s="149"/>
      <c r="G267" s="140"/>
      <c r="H267" s="140"/>
      <c r="I267" s="142" t="s">
        <v>329</v>
      </c>
      <c r="J267" s="140"/>
      <c r="K267" s="140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 spans="2:37" x14ac:dyDescent="0.2">
      <c r="B268" s="10"/>
      <c r="C268" s="140" t="s">
        <v>284</v>
      </c>
      <c r="D268" s="11"/>
      <c r="E268" s="149" t="s">
        <v>328</v>
      </c>
      <c r="F268" s="149"/>
      <c r="G268" s="12">
        <v>10</v>
      </c>
      <c r="H268" s="12">
        <v>2</v>
      </c>
      <c r="I268" s="140">
        <f>G268/H268</f>
        <v>5</v>
      </c>
      <c r="J268" s="150">
        <f>I268*D260</f>
        <v>0</v>
      </c>
      <c r="K268" s="150">
        <f>J268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spans="2:37" x14ac:dyDescent="0.2">
      <c r="B269" s="10"/>
      <c r="C269" s="140" t="s">
        <v>286</v>
      </c>
      <c r="D269" s="141">
        <f>D268*D267</f>
        <v>0</v>
      </c>
      <c r="E269" s="140"/>
      <c r="F269" s="140"/>
      <c r="G269" s="140"/>
      <c r="H269" s="140"/>
      <c r="I269" s="142" t="s">
        <v>329</v>
      </c>
      <c r="J269" s="140"/>
      <c r="K269" s="140">
        <f>K268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spans="2:37" x14ac:dyDescent="0.2">
      <c r="B270" s="10"/>
      <c r="C270" s="140"/>
      <c r="D270" s="141"/>
      <c r="E270" s="149" t="s">
        <v>328</v>
      </c>
      <c r="F270" s="149"/>
      <c r="G270" s="12">
        <v>10</v>
      </c>
      <c r="H270" s="12">
        <v>2</v>
      </c>
      <c r="I270" s="140">
        <f>G270/H270</f>
        <v>5</v>
      </c>
      <c r="J270" s="140">
        <f>I270*K269</f>
        <v>0</v>
      </c>
      <c r="K270" s="140">
        <f>J270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 spans="2:37" x14ac:dyDescent="0.2">
      <c r="B271" s="10"/>
      <c r="C271" s="142" t="s">
        <v>289</v>
      </c>
      <c r="D271" s="143" t="e">
        <f>D269/D261</f>
        <v>#DIV/0!</v>
      </c>
      <c r="E271" s="149"/>
      <c r="F271" s="149"/>
      <c r="G271" s="140"/>
      <c r="H271" s="140"/>
      <c r="I271" s="142" t="s">
        <v>329</v>
      </c>
      <c r="J271" s="140"/>
      <c r="K271" s="140">
        <f>K270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 spans="2:37" x14ac:dyDescent="0.2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 spans="2:35" x14ac:dyDescent="0.2">
      <c r="B273" s="10"/>
      <c r="C273" s="10"/>
      <c r="D273" s="114"/>
      <c r="E273" s="151"/>
      <c r="F273" s="151"/>
      <c r="G273" s="151"/>
      <c r="H273" s="151"/>
      <c r="I273" s="151"/>
      <c r="J273" s="152"/>
      <c r="K273" s="10"/>
      <c r="L273" s="114"/>
      <c r="M273" s="151"/>
      <c r="N273" s="152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 spans="2:35" ht="14.25" x14ac:dyDescent="0.2">
      <c r="B274" s="10"/>
      <c r="C274" s="10"/>
      <c r="D274" s="303" t="s">
        <v>15</v>
      </c>
      <c r="E274" s="304"/>
      <c r="F274" s="304"/>
      <c r="G274" s="304"/>
      <c r="H274" s="304"/>
      <c r="I274" s="304"/>
      <c r="J274" s="305"/>
      <c r="K274" s="10"/>
      <c r="L274" s="303" t="s">
        <v>334</v>
      </c>
      <c r="M274" s="304"/>
      <c r="N274" s="305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 spans="2:35" x14ac:dyDescent="0.2">
      <c r="B275" s="10"/>
      <c r="C275" s="10"/>
      <c r="D275" s="10" t="s">
        <v>16</v>
      </c>
      <c r="E275" s="108"/>
      <c r="F275" s="108"/>
      <c r="G275" s="108">
        <f>D261</f>
        <v>0</v>
      </c>
      <c r="H275" s="11">
        <f>D261</f>
        <v>0</v>
      </c>
      <c r="I275" s="10"/>
      <c r="J275" s="10"/>
      <c r="K275" s="10"/>
      <c r="L275" s="10" t="s">
        <v>16</v>
      </c>
      <c r="M275" s="108"/>
      <c r="N275" s="11">
        <f>H275</f>
        <v>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 spans="2:35" x14ac:dyDescent="0.2">
      <c r="B276" s="10"/>
      <c r="C276" s="10"/>
      <c r="D276" s="10" t="s">
        <v>17</v>
      </c>
      <c r="E276" s="108"/>
      <c r="F276" s="108"/>
      <c r="G276" s="108">
        <f>D269</f>
        <v>0</v>
      </c>
      <c r="H276" s="11">
        <f>D269</f>
        <v>0</v>
      </c>
      <c r="I276" s="10"/>
      <c r="J276" s="10"/>
      <c r="K276" s="10"/>
      <c r="L276" s="10" t="s">
        <v>17</v>
      </c>
      <c r="M276" s="10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 spans="2:35" x14ac:dyDescent="0.2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 spans="2:35" x14ac:dyDescent="0.2">
      <c r="B278" s="10"/>
      <c r="C278" s="10"/>
      <c r="D278" s="13" t="s">
        <v>19</v>
      </c>
      <c r="E278" s="3"/>
      <c r="F278" s="3"/>
      <c r="G278" s="3" t="e">
        <f>((G276/G275)^(1/G277))-1</f>
        <v>#DIV/0!</v>
      </c>
      <c r="H278" s="3" t="e">
        <f>((H276/H275)^(1/H277))-1</f>
        <v>#DIV/0!</v>
      </c>
      <c r="I278" s="10"/>
      <c r="J278" s="10"/>
      <c r="K278" s="10"/>
      <c r="L278" s="13" t="s">
        <v>335</v>
      </c>
      <c r="M278" s="13"/>
      <c r="N278" s="166" t="e">
        <f>(N276-N275)/N275</f>
        <v>#DIV/0!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 spans="2:35" x14ac:dyDescent="0.2">
      <c r="B279" s="10"/>
      <c r="C279" s="10"/>
      <c r="D279" s="13" t="s">
        <v>20</v>
      </c>
      <c r="E279" s="138"/>
      <c r="F279" s="138"/>
      <c r="G279" s="138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7" t="e">
        <f>N276/N275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 spans="2:35" x14ac:dyDescent="0.2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 spans="2:35" x14ac:dyDescent="0.2">
      <c r="B281" s="10"/>
      <c r="C281" s="10"/>
      <c r="D281" s="13" t="s">
        <v>21</v>
      </c>
      <c r="E281" s="3"/>
      <c r="F281" s="3"/>
      <c r="G281" s="3" t="e">
        <f>((G276/G275)^(1/G280))-1</f>
        <v>#DIV/0!</v>
      </c>
      <c r="H281" s="3" t="e">
        <f>((H276/H275)^(1/H280))-1</f>
        <v>#DIV/0!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 spans="2:35" x14ac:dyDescent="0.2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 spans="2:35" x14ac:dyDescent="0.2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</sheetData>
  <mergeCells count="8">
    <mergeCell ref="A36:A45"/>
    <mergeCell ref="A128:A136"/>
    <mergeCell ref="D274:J274"/>
    <mergeCell ref="L274:N274"/>
    <mergeCell ref="AJ2:AK2"/>
    <mergeCell ref="AJ3:AK3"/>
    <mergeCell ref="N240:O240"/>
    <mergeCell ref="M257:P25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52</v>
      </c>
    </row>
    <row r="3" spans="2:14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89" t="s">
        <v>15</v>
      </c>
      <c r="K5" s="289"/>
      <c r="M5" s="289" t="s">
        <v>53</v>
      </c>
      <c r="N5" s="289"/>
    </row>
    <row r="6" spans="2:14" x14ac:dyDescent="0.3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3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3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3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3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3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3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3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89" t="s">
        <v>24</v>
      </c>
      <c r="K14" s="289"/>
      <c r="L14" s="289"/>
    </row>
    <row r="15" spans="2:14" x14ac:dyDescent="0.3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3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3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3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8" t="s">
        <v>34</v>
      </c>
      <c r="C23" s="1"/>
      <c r="D23" s="4">
        <v>0.1125</v>
      </c>
      <c r="E23" s="4"/>
      <c r="F23" s="1"/>
      <c r="G23" s="1"/>
    </row>
    <row r="27" spans="1:17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3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35</v>
      </c>
    </row>
    <row r="3" spans="2:20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8">
        <v>1</v>
      </c>
      <c r="C5" s="1">
        <v>2001</v>
      </c>
      <c r="D5" s="1"/>
      <c r="E5" s="1"/>
      <c r="F5" s="1"/>
      <c r="G5" s="1">
        <v>115.93</v>
      </c>
      <c r="R5" s="289" t="s">
        <v>15</v>
      </c>
      <c r="S5" s="289"/>
    </row>
    <row r="6" spans="2:20" x14ac:dyDescent="0.3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3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3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3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3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3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3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3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89" t="s">
        <v>24</v>
      </c>
      <c r="S14" s="289"/>
      <c r="T14" s="289"/>
    </row>
    <row r="15" spans="2:20" x14ac:dyDescent="0.3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3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3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3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8" t="s">
        <v>34</v>
      </c>
      <c r="C23" s="1"/>
      <c r="D23" s="4">
        <v>0.1125</v>
      </c>
      <c r="E23" s="4"/>
      <c r="F23" s="1"/>
      <c r="G23" s="1"/>
    </row>
    <row r="27" spans="1:20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3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 x14ac:dyDescent="0.25">
      <c r="B2" s="289" t="s">
        <v>15</v>
      </c>
      <c r="C2" s="289"/>
      <c r="E2" s="289" t="s">
        <v>53</v>
      </c>
      <c r="F2" s="289"/>
      <c r="H2" s="317" t="s">
        <v>24</v>
      </c>
      <c r="I2" s="318"/>
    </row>
    <row r="3" spans="2:12" x14ac:dyDescent="0.25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5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5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5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5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 x14ac:dyDescent="0.3"/>
    <row r="10" spans="2:12" ht="16.5" thickBot="1" x14ac:dyDescent="0.35">
      <c r="B10" s="76"/>
      <c r="C10" s="77"/>
      <c r="D10" s="314" t="s">
        <v>56</v>
      </c>
      <c r="E10" s="315"/>
      <c r="F10" s="315"/>
      <c r="G10" s="315"/>
      <c r="H10" s="316"/>
      <c r="I10" s="314" t="s">
        <v>60</v>
      </c>
      <c r="J10" s="315"/>
      <c r="K10" s="315"/>
      <c r="L10" s="316"/>
    </row>
    <row r="11" spans="2:12" ht="45" x14ac:dyDescent="0.2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 x14ac:dyDescent="0.3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 x14ac:dyDescent="0.3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 x14ac:dyDescent="0.3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 x14ac:dyDescent="0.3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 x14ac:dyDescent="0.3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 x14ac:dyDescent="0.3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 x14ac:dyDescent="0.3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 x14ac:dyDescent="0.3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 x14ac:dyDescent="0.3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 x14ac:dyDescent="0.3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 x14ac:dyDescent="0.3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 x14ac:dyDescent="0.3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 x14ac:dyDescent="0.3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 x14ac:dyDescent="0.3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 x14ac:dyDescent="0.3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 x14ac:dyDescent="0.3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 x14ac:dyDescent="0.3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 x14ac:dyDescent="0.3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 x14ac:dyDescent="0.3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 x14ac:dyDescent="0.3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 x14ac:dyDescent="0.3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 x14ac:dyDescent="0.3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 x14ac:dyDescent="0.3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 x14ac:dyDescent="0.3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 x14ac:dyDescent="0.3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 x14ac:dyDescent="0.3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 x14ac:dyDescent="0.3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 x14ac:dyDescent="0.3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5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5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5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5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5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5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5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5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 x14ac:dyDescent="0.3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60"/>
    <col min="2" max="2" width="16.5703125" style="160" customWidth="1"/>
    <col min="3" max="3" width="39.7109375" style="160" customWidth="1"/>
    <col min="4" max="5" width="9.140625" style="160"/>
    <col min="6" max="6" width="19" style="160" bestFit="1" customWidth="1"/>
    <col min="7" max="7" width="49" style="160" customWidth="1"/>
    <col min="8" max="16384" width="9.140625" style="160"/>
  </cols>
  <sheetData>
    <row r="3" spans="2:7" x14ac:dyDescent="0.2">
      <c r="B3" s="319" t="s">
        <v>373</v>
      </c>
      <c r="C3" s="320"/>
      <c r="F3" s="319" t="s">
        <v>374</v>
      </c>
      <c r="G3" s="320"/>
    </row>
    <row r="4" spans="2:7" x14ac:dyDescent="0.2">
      <c r="B4" s="161" t="s">
        <v>375</v>
      </c>
      <c r="C4" s="161"/>
      <c r="F4" s="161" t="s">
        <v>376</v>
      </c>
      <c r="G4" s="161"/>
    </row>
    <row r="5" spans="2:7" x14ac:dyDescent="0.2">
      <c r="B5" s="161" t="s">
        <v>377</v>
      </c>
      <c r="C5" s="161"/>
      <c r="F5" s="161" t="s">
        <v>241</v>
      </c>
      <c r="G5" s="161"/>
    </row>
    <row r="6" spans="2:7" x14ac:dyDescent="0.2">
      <c r="B6" s="161" t="s">
        <v>378</v>
      </c>
      <c r="C6" s="161"/>
      <c r="F6" s="161" t="s">
        <v>379</v>
      </c>
      <c r="G6" s="161"/>
    </row>
    <row r="7" spans="2:7" x14ac:dyDescent="0.2">
      <c r="B7" s="161" t="s">
        <v>380</v>
      </c>
      <c r="C7" s="161"/>
      <c r="F7" s="161" t="s">
        <v>381</v>
      </c>
      <c r="G7" s="161"/>
    </row>
    <row r="8" spans="2:7" x14ac:dyDescent="0.2">
      <c r="B8" s="161" t="s">
        <v>382</v>
      </c>
      <c r="C8" s="161"/>
      <c r="F8" s="161" t="s">
        <v>383</v>
      </c>
      <c r="G8" s="161"/>
    </row>
    <row r="9" spans="2:7" x14ac:dyDescent="0.2">
      <c r="B9" s="161" t="s">
        <v>384</v>
      </c>
      <c r="C9" s="161"/>
      <c r="F9" s="161" t="s">
        <v>385</v>
      </c>
      <c r="G9" s="161"/>
    </row>
    <row r="10" spans="2:7" x14ac:dyDescent="0.2">
      <c r="B10" s="161" t="s">
        <v>383</v>
      </c>
      <c r="C10" s="161"/>
      <c r="F10" s="161"/>
      <c r="G10" s="161"/>
    </row>
    <row r="11" spans="2:7" x14ac:dyDescent="0.2">
      <c r="B11" s="161" t="s">
        <v>386</v>
      </c>
      <c r="C11" s="161"/>
      <c r="F11" s="161"/>
      <c r="G11" s="161"/>
    </row>
    <row r="12" spans="2:7" x14ac:dyDescent="0.2">
      <c r="B12" s="161" t="s">
        <v>387</v>
      </c>
      <c r="C12" s="161"/>
      <c r="F12" s="161"/>
      <c r="G12" s="161"/>
    </row>
    <row r="13" spans="2:7" x14ac:dyDescent="0.2">
      <c r="B13" s="161"/>
      <c r="C13" s="161"/>
      <c r="F13" s="161"/>
      <c r="G13" s="161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2019-12-21T16:15:23Z</dcterms:modified>
</cp:coreProperties>
</file>
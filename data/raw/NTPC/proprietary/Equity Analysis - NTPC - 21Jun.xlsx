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filterPrivacy="1" defaultThemeVersion="124226"/>
  <bookViews>
    <workbookView xWindow="240" yWindow="105" windowWidth="14805" windowHeight="8010" activeTab="2"/>
  </bookViews>
  <sheets>
    <sheet name="1 - Eval Steps" sheetId="16" r:id="rId1"/>
    <sheet name="2 - Analysis" sheetId="15" r:id="rId2"/>
    <sheet name="3 - Forecast" sheetId="18" r:id="rId3"/>
    <sheet name="BV calc" sheetId="8" r:id="rId4"/>
    <sheet name="Sheet1" sheetId="11" state="hidden" r:id="rId5"/>
    <sheet name="IOB" sheetId="9" state="hidden" r:id="rId6"/>
    <sheet name="Template" sheetId="12" state="hidden" r:id="rId7"/>
  </sheets>
  <calcPr calcId="144525"/>
</workbook>
</file>

<file path=xl/calcChain.xml><?xml version="1.0" encoding="utf-8"?>
<calcChain xmlns="http://schemas.openxmlformats.org/spreadsheetml/2006/main">
  <c r="P15" i="18" l="1"/>
  <c r="P10" i="18"/>
  <c r="P26" i="18"/>
  <c r="P24" i="18"/>
  <c r="N12" i="18"/>
  <c r="M12" i="18"/>
  <c r="L12" i="18"/>
  <c r="K12" i="18"/>
  <c r="G12" i="18"/>
  <c r="J12" i="18"/>
  <c r="I12" i="18" l="1"/>
  <c r="H12" i="18"/>
  <c r="D59" i="18"/>
  <c r="E59" i="18"/>
  <c r="F59" i="18"/>
  <c r="G59" i="18"/>
  <c r="H59" i="18"/>
  <c r="I59" i="18"/>
  <c r="J59" i="18"/>
  <c r="K59" i="18"/>
  <c r="L59" i="18"/>
  <c r="M59" i="18"/>
  <c r="N59" i="18"/>
  <c r="O59" i="18"/>
  <c r="P59" i="18"/>
  <c r="C59" i="18"/>
  <c r="S38" i="18"/>
  <c r="S59" i="18" s="1"/>
  <c r="Q38" i="18"/>
  <c r="T38" i="18" l="1"/>
  <c r="U38" i="18" s="1"/>
  <c r="V38" i="18" s="1"/>
  <c r="W38" i="18" s="1"/>
  <c r="U59" i="18" l="1"/>
  <c r="X38" i="18"/>
  <c r="W59" i="18"/>
  <c r="V59" i="18"/>
  <c r="T59" i="18"/>
  <c r="U28" i="18"/>
  <c r="X28" i="18" s="1"/>
  <c r="AA28" i="18" s="1"/>
  <c r="S28" i="18"/>
  <c r="V28" i="18" s="1"/>
  <c r="Y28" i="18" s="1"/>
  <c r="AB28" i="18" s="1"/>
  <c r="AC28" i="18" s="1"/>
  <c r="C69" i="18"/>
  <c r="D69" i="18"/>
  <c r="E69" i="18"/>
  <c r="F69" i="18"/>
  <c r="G69" i="18"/>
  <c r="H69" i="18"/>
  <c r="I69" i="18"/>
  <c r="J69" i="18"/>
  <c r="K69" i="18"/>
  <c r="L69" i="18"/>
  <c r="M69" i="18"/>
  <c r="N69" i="18"/>
  <c r="O69" i="18"/>
  <c r="C70" i="18"/>
  <c r="D70" i="18"/>
  <c r="E70" i="18"/>
  <c r="F70" i="18"/>
  <c r="G70" i="18"/>
  <c r="H70" i="18"/>
  <c r="I70" i="18"/>
  <c r="J70" i="18"/>
  <c r="K70" i="18"/>
  <c r="L70" i="18"/>
  <c r="M70" i="18"/>
  <c r="N70" i="18"/>
  <c r="O70" i="18"/>
  <c r="C71" i="18"/>
  <c r="D71" i="18"/>
  <c r="E71" i="18"/>
  <c r="F71" i="18"/>
  <c r="G71" i="18"/>
  <c r="H71" i="18"/>
  <c r="I71" i="18"/>
  <c r="J71" i="18"/>
  <c r="K71" i="18"/>
  <c r="L71" i="18"/>
  <c r="M71" i="18"/>
  <c r="N71" i="18"/>
  <c r="O71" i="18"/>
  <c r="P71" i="18"/>
  <c r="P70" i="18"/>
  <c r="P69" i="18"/>
  <c r="C77" i="18"/>
  <c r="D77" i="18"/>
  <c r="E77" i="18"/>
  <c r="F77" i="18"/>
  <c r="G77" i="18"/>
  <c r="H77" i="18"/>
  <c r="I77" i="18"/>
  <c r="J77" i="18"/>
  <c r="K77" i="18"/>
  <c r="L77" i="18"/>
  <c r="M77" i="18"/>
  <c r="N77" i="18"/>
  <c r="O77" i="18"/>
  <c r="P77" i="18"/>
  <c r="C75" i="18"/>
  <c r="D75" i="18"/>
  <c r="E75" i="18"/>
  <c r="C76" i="18"/>
  <c r="D76" i="18"/>
  <c r="E76" i="18"/>
  <c r="F76" i="18"/>
  <c r="G76" i="18"/>
  <c r="H76" i="18"/>
  <c r="I76" i="18"/>
  <c r="J76" i="18"/>
  <c r="K76" i="18"/>
  <c r="L76" i="18"/>
  <c r="M76" i="18"/>
  <c r="N76" i="18"/>
  <c r="O76" i="18"/>
  <c r="F75" i="18"/>
  <c r="G75" i="18"/>
  <c r="H75" i="18"/>
  <c r="I75" i="18"/>
  <c r="J75" i="18"/>
  <c r="K75" i="18"/>
  <c r="L75" i="18"/>
  <c r="M75" i="18"/>
  <c r="N75" i="18"/>
  <c r="O75" i="18"/>
  <c r="P76" i="18"/>
  <c r="G35" i="18"/>
  <c r="G33" i="18"/>
  <c r="G27" i="18"/>
  <c r="G11" i="18"/>
  <c r="G8" i="18"/>
  <c r="G25" i="18"/>
  <c r="Q71" i="18" l="1"/>
  <c r="Y38" i="18"/>
  <c r="X59" i="18"/>
  <c r="Q69" i="18"/>
  <c r="Q70" i="18"/>
  <c r="Q76" i="18"/>
  <c r="Q77" i="18"/>
  <c r="AE28" i="18"/>
  <c r="P75" i="18"/>
  <c r="Q75" i="18" s="1"/>
  <c r="C124" i="18"/>
  <c r="D124" i="18"/>
  <c r="E124" i="18"/>
  <c r="F124" i="18"/>
  <c r="C125" i="18"/>
  <c r="D125" i="18"/>
  <c r="E125" i="18"/>
  <c r="F125" i="18"/>
  <c r="C126" i="18"/>
  <c r="D126" i="18"/>
  <c r="E126" i="18"/>
  <c r="F126" i="18"/>
  <c r="H126" i="18"/>
  <c r="I126" i="18"/>
  <c r="J126" i="18"/>
  <c r="K126" i="18"/>
  <c r="L126" i="18"/>
  <c r="M126" i="18"/>
  <c r="N126" i="18"/>
  <c r="O126" i="18"/>
  <c r="P126" i="18"/>
  <c r="G126" i="18"/>
  <c r="H125" i="18"/>
  <c r="I125" i="18"/>
  <c r="J125" i="18"/>
  <c r="K125" i="18"/>
  <c r="L125" i="18"/>
  <c r="M125" i="18"/>
  <c r="N125" i="18"/>
  <c r="O125" i="18"/>
  <c r="P125" i="18"/>
  <c r="G125" i="18"/>
  <c r="H124" i="18"/>
  <c r="I124" i="18"/>
  <c r="J124" i="18"/>
  <c r="K124" i="18"/>
  <c r="L124" i="18"/>
  <c r="M124" i="18"/>
  <c r="N124" i="18"/>
  <c r="O124" i="18"/>
  <c r="P124" i="18"/>
  <c r="G124" i="18"/>
  <c r="H42" i="18"/>
  <c r="I42" i="18"/>
  <c r="J42" i="18"/>
  <c r="K42" i="18"/>
  <c r="L42" i="18"/>
  <c r="M42" i="18"/>
  <c r="N42" i="18"/>
  <c r="O42" i="18"/>
  <c r="P42" i="18"/>
  <c r="C42" i="18"/>
  <c r="D42" i="18"/>
  <c r="E42" i="18"/>
  <c r="F42" i="18"/>
  <c r="G42" i="18"/>
  <c r="G44" i="18"/>
  <c r="H41" i="18"/>
  <c r="I41" i="18"/>
  <c r="J41" i="18"/>
  <c r="K41" i="18"/>
  <c r="L41" i="18"/>
  <c r="M41" i="18"/>
  <c r="N41" i="18"/>
  <c r="O41" i="18"/>
  <c r="P41" i="18"/>
  <c r="C41" i="18"/>
  <c r="D41" i="18"/>
  <c r="E41" i="18"/>
  <c r="F41" i="18"/>
  <c r="G41" i="18"/>
  <c r="P35" i="18"/>
  <c r="O35" i="18"/>
  <c r="N35" i="18"/>
  <c r="M35" i="18"/>
  <c r="L35" i="18"/>
  <c r="K35" i="18"/>
  <c r="J35" i="18"/>
  <c r="I35" i="18"/>
  <c r="H35" i="18"/>
  <c r="P33" i="18"/>
  <c r="O33" i="18"/>
  <c r="N33" i="18"/>
  <c r="M33" i="18"/>
  <c r="L33" i="18"/>
  <c r="K33" i="18"/>
  <c r="J33" i="18"/>
  <c r="I33" i="18"/>
  <c r="H33" i="18"/>
  <c r="P27" i="18"/>
  <c r="O27" i="18"/>
  <c r="N27" i="18"/>
  <c r="M27" i="18"/>
  <c r="L27" i="18"/>
  <c r="K27" i="18"/>
  <c r="J27" i="18"/>
  <c r="I27" i="18"/>
  <c r="H27" i="18"/>
  <c r="P25" i="18"/>
  <c r="O25" i="18"/>
  <c r="N25" i="18"/>
  <c r="M25" i="18"/>
  <c r="L25" i="18"/>
  <c r="K25" i="18"/>
  <c r="J25" i="18"/>
  <c r="I25" i="18"/>
  <c r="H25" i="18"/>
  <c r="P11" i="18"/>
  <c r="O11" i="18"/>
  <c r="N11" i="18"/>
  <c r="M11" i="18"/>
  <c r="L11" i="18"/>
  <c r="K11" i="18"/>
  <c r="J11" i="18"/>
  <c r="I11" i="18"/>
  <c r="H11" i="18"/>
  <c r="I8" i="18"/>
  <c r="J8" i="18"/>
  <c r="K8" i="18"/>
  <c r="L8" i="18"/>
  <c r="M8" i="18"/>
  <c r="N8" i="18"/>
  <c r="O8" i="18"/>
  <c r="P8" i="18"/>
  <c r="H8" i="18"/>
  <c r="Q36" i="18"/>
  <c r="S32" i="18"/>
  <c r="Q32" i="18"/>
  <c r="Z38" i="18" l="1"/>
  <c r="Y59" i="18"/>
  <c r="T32" i="18"/>
  <c r="Q126" i="18"/>
  <c r="Q42" i="18"/>
  <c r="Q41" i="18"/>
  <c r="Q125" i="18"/>
  <c r="Q124" i="18"/>
  <c r="Q28" i="18"/>
  <c r="T28" i="18" s="1"/>
  <c r="W28" i="18" s="1"/>
  <c r="Z28" i="18" s="1"/>
  <c r="Q30" i="18"/>
  <c r="AA38" i="18" l="1"/>
  <c r="Z59" i="18"/>
  <c r="U32" i="18"/>
  <c r="I66" i="18"/>
  <c r="J66" i="18"/>
  <c r="K66" i="18"/>
  <c r="L66" i="18"/>
  <c r="M66" i="18"/>
  <c r="N66" i="18"/>
  <c r="O66" i="18"/>
  <c r="P66" i="18"/>
  <c r="I67" i="18"/>
  <c r="J67" i="18"/>
  <c r="K67" i="18"/>
  <c r="L67" i="18"/>
  <c r="M67" i="18"/>
  <c r="N67" i="18"/>
  <c r="O67" i="18"/>
  <c r="P67" i="18"/>
  <c r="I61" i="18"/>
  <c r="I63" i="18" s="1"/>
  <c r="J61" i="18"/>
  <c r="J63" i="18" s="1"/>
  <c r="K61" i="18"/>
  <c r="K63" i="18" s="1"/>
  <c r="L61" i="18"/>
  <c r="L63" i="18" s="1"/>
  <c r="M61" i="18"/>
  <c r="M63" i="18" s="1"/>
  <c r="N61" i="18"/>
  <c r="N63" i="18" s="1"/>
  <c r="O61" i="18"/>
  <c r="O63" i="18" s="1"/>
  <c r="P61" i="18"/>
  <c r="P63" i="18" s="1"/>
  <c r="I64" i="18"/>
  <c r="J64" i="18"/>
  <c r="K64" i="18"/>
  <c r="L64" i="18"/>
  <c r="M64" i="18"/>
  <c r="N64" i="18"/>
  <c r="O64" i="18"/>
  <c r="P64" i="18"/>
  <c r="I65" i="18"/>
  <c r="J65" i="18"/>
  <c r="K65" i="18"/>
  <c r="L65" i="18"/>
  <c r="M65" i="18"/>
  <c r="N65" i="18"/>
  <c r="O65" i="18"/>
  <c r="P65" i="18"/>
  <c r="C64" i="18"/>
  <c r="D64" i="18"/>
  <c r="E64" i="18"/>
  <c r="F64" i="18"/>
  <c r="G64" i="18"/>
  <c r="C65" i="18"/>
  <c r="D65" i="18"/>
  <c r="E65" i="18"/>
  <c r="F65" i="18"/>
  <c r="G65" i="18"/>
  <c r="C66" i="18"/>
  <c r="D66" i="18"/>
  <c r="E66" i="18"/>
  <c r="F66" i="18"/>
  <c r="G66" i="18"/>
  <c r="C67" i="18"/>
  <c r="D67" i="18"/>
  <c r="E67" i="18"/>
  <c r="F67" i="18"/>
  <c r="G67" i="18"/>
  <c r="H67" i="18"/>
  <c r="H66" i="18"/>
  <c r="S22" i="18"/>
  <c r="T22" i="18" s="1"/>
  <c r="U22" i="18" s="1"/>
  <c r="V22" i="18" s="1"/>
  <c r="W22" i="18" s="1"/>
  <c r="X22" i="18" s="1"/>
  <c r="Y22" i="18" s="1"/>
  <c r="Z22" i="18" s="1"/>
  <c r="AA22" i="18" s="1"/>
  <c r="AB22" i="18" s="1"/>
  <c r="Q22" i="18"/>
  <c r="S21" i="18"/>
  <c r="T21" i="18" s="1"/>
  <c r="U21" i="18" s="1"/>
  <c r="V21" i="18" s="1"/>
  <c r="W21" i="18" s="1"/>
  <c r="X21" i="18" s="1"/>
  <c r="Y21" i="18" s="1"/>
  <c r="Z21" i="18" s="1"/>
  <c r="AA21" i="18" s="1"/>
  <c r="AB21" i="18" s="1"/>
  <c r="AC21" i="18" s="1"/>
  <c r="S20" i="18"/>
  <c r="Q19" i="18"/>
  <c r="C61" i="18"/>
  <c r="C63" i="18" s="1"/>
  <c r="D61" i="18"/>
  <c r="D63" i="18" s="1"/>
  <c r="E61" i="18"/>
  <c r="E63" i="18" s="1"/>
  <c r="F61" i="18"/>
  <c r="F63" i="18" s="1"/>
  <c r="G61" i="18"/>
  <c r="G63" i="18" s="1"/>
  <c r="H61" i="18"/>
  <c r="H63" i="18" s="1"/>
  <c r="H65" i="18"/>
  <c r="H64" i="18"/>
  <c r="AB38" i="18" l="1"/>
  <c r="AA59" i="18"/>
  <c r="V32" i="18"/>
  <c r="Q66" i="18"/>
  <c r="Q67" i="18"/>
  <c r="Q65" i="18"/>
  <c r="Q63" i="18"/>
  <c r="Q64" i="18"/>
  <c r="AC22" i="18"/>
  <c r="AE22" i="18" s="1"/>
  <c r="Q21" i="18"/>
  <c r="Q20" i="18"/>
  <c r="Q61" i="18"/>
  <c r="S19" i="18"/>
  <c r="T20" i="18"/>
  <c r="AE21" i="18"/>
  <c r="Q59" i="18"/>
  <c r="Q111" i="18"/>
  <c r="T19" i="18" l="1"/>
  <c r="T61" i="18" s="1"/>
  <c r="S61" i="18"/>
  <c r="AB59" i="18"/>
  <c r="S99" i="18" s="1"/>
  <c r="AC38" i="18"/>
  <c r="AE38" i="18" s="1"/>
  <c r="U20" i="18"/>
  <c r="C18" i="15"/>
  <c r="S9" i="18"/>
  <c r="T9" i="18" s="1"/>
  <c r="U9" i="18" s="1"/>
  <c r="V9" i="18" s="1"/>
  <c r="W9" i="18" s="1"/>
  <c r="X9" i="18" s="1"/>
  <c r="Y9" i="18" s="1"/>
  <c r="Z9" i="18" s="1"/>
  <c r="AA9" i="18" s="1"/>
  <c r="AB9" i="18" s="1"/>
  <c r="Q34" i="18"/>
  <c r="Q29" i="18"/>
  <c r="Q26" i="18"/>
  <c r="Q24" i="18"/>
  <c r="Q17" i="18"/>
  <c r="Q15" i="18"/>
  <c r="Q14" i="18"/>
  <c r="Q13" i="18"/>
  <c r="Q12" i="18"/>
  <c r="Q10" i="18"/>
  <c r="Q9" i="18"/>
  <c r="Q7" i="18"/>
  <c r="Q6" i="18"/>
  <c r="S17" i="18"/>
  <c r="T17" i="18" s="1"/>
  <c r="U17" i="18" s="1"/>
  <c r="V17" i="18" s="1"/>
  <c r="W17" i="18" s="1"/>
  <c r="X17" i="18" s="1"/>
  <c r="Y17" i="18" s="1"/>
  <c r="Z17" i="18" s="1"/>
  <c r="AA17" i="18" s="1"/>
  <c r="AB17" i="18" s="1"/>
  <c r="S24" i="18"/>
  <c r="S26" i="18"/>
  <c r="S29" i="18"/>
  <c r="T29" i="18" s="1"/>
  <c r="U29" i="18" s="1"/>
  <c r="V29" i="18" s="1"/>
  <c r="W29" i="18" s="1"/>
  <c r="X29" i="18" s="1"/>
  <c r="Y29" i="18" s="1"/>
  <c r="Z29" i="18" s="1"/>
  <c r="AA29" i="18" s="1"/>
  <c r="AB29" i="18" s="1"/>
  <c r="S30" i="18"/>
  <c r="T30" i="18" s="1"/>
  <c r="U30" i="18" s="1"/>
  <c r="V30" i="18" s="1"/>
  <c r="W30" i="18" s="1"/>
  <c r="X30" i="18" s="1"/>
  <c r="Y30" i="18" s="1"/>
  <c r="Z30" i="18" s="1"/>
  <c r="AA30" i="18" s="1"/>
  <c r="AB30" i="18" s="1"/>
  <c r="W32" i="18"/>
  <c r="O57" i="18"/>
  <c r="O115" i="18" s="1"/>
  <c r="O56" i="18"/>
  <c r="O54" i="18"/>
  <c r="O53" i="18"/>
  <c r="O51" i="18"/>
  <c r="O116" i="18" s="1"/>
  <c r="O50" i="18"/>
  <c r="O49" i="18"/>
  <c r="O47" i="18"/>
  <c r="O46" i="18"/>
  <c r="O113" i="18" s="1"/>
  <c r="O45" i="18"/>
  <c r="O44" i="18"/>
  <c r="O112" i="18" s="1"/>
  <c r="U19" i="18" l="1"/>
  <c r="AC59" i="18"/>
  <c r="AE59" i="18" s="1"/>
  <c r="T99" i="18" s="1"/>
  <c r="R99" i="18" s="1"/>
  <c r="P119" i="18" s="1"/>
  <c r="T26" i="18"/>
  <c r="X32" i="18"/>
  <c r="T24" i="18"/>
  <c r="S75" i="18"/>
  <c r="V20" i="18"/>
  <c r="AC29" i="18"/>
  <c r="AE29" i="18" s="1"/>
  <c r="AC30" i="18"/>
  <c r="AE30" i="18" s="1"/>
  <c r="AC17" i="18"/>
  <c r="AE17" i="18" s="1"/>
  <c r="AC9" i="18"/>
  <c r="AE9" i="18" s="1"/>
  <c r="O55" i="18"/>
  <c r="O114" i="18" s="1"/>
  <c r="D51" i="18"/>
  <c r="E51" i="18"/>
  <c r="F51" i="18"/>
  <c r="G51" i="18"/>
  <c r="G116" i="18" s="1"/>
  <c r="H51" i="18"/>
  <c r="H116" i="18" s="1"/>
  <c r="I51" i="18"/>
  <c r="I116" i="18" s="1"/>
  <c r="J51" i="18"/>
  <c r="J116" i="18" s="1"/>
  <c r="K51" i="18"/>
  <c r="K116" i="18" s="1"/>
  <c r="L51" i="18"/>
  <c r="L116" i="18" s="1"/>
  <c r="M51" i="18"/>
  <c r="M116" i="18" s="1"/>
  <c r="N51" i="18"/>
  <c r="N116" i="18" s="1"/>
  <c r="P51" i="18"/>
  <c r="C51" i="18"/>
  <c r="C50" i="18"/>
  <c r="V19" i="18" l="1"/>
  <c r="U61" i="18"/>
  <c r="U26" i="18"/>
  <c r="U24" i="18"/>
  <c r="T75" i="18"/>
  <c r="Y32" i="18"/>
  <c r="W20" i="18"/>
  <c r="P116" i="18"/>
  <c r="Q116" i="18" s="1"/>
  <c r="Q51" i="18"/>
  <c r="D50" i="18"/>
  <c r="E50" i="18"/>
  <c r="F50" i="18"/>
  <c r="G50" i="18"/>
  <c r="H50" i="18"/>
  <c r="I50" i="18"/>
  <c r="J50" i="18"/>
  <c r="K50" i="18"/>
  <c r="L50" i="18"/>
  <c r="M50" i="18"/>
  <c r="N50" i="18"/>
  <c r="P50" i="18"/>
  <c r="D49" i="18"/>
  <c r="E49" i="18"/>
  <c r="F49" i="18"/>
  <c r="G49" i="18"/>
  <c r="H49" i="18"/>
  <c r="I49" i="18"/>
  <c r="J49" i="18"/>
  <c r="K49" i="18"/>
  <c r="L49" i="18"/>
  <c r="M49" i="18"/>
  <c r="N49" i="18"/>
  <c r="P49" i="18"/>
  <c r="C49" i="18"/>
  <c r="W19" i="18" l="1"/>
  <c r="V61" i="18"/>
  <c r="V26" i="18"/>
  <c r="V24" i="18"/>
  <c r="U75" i="18"/>
  <c r="Z32" i="18"/>
  <c r="X20" i="18"/>
  <c r="Q49" i="18"/>
  <c r="Q50" i="18"/>
  <c r="C45" i="15"/>
  <c r="X19" i="18" l="1"/>
  <c r="W61" i="18"/>
  <c r="W26" i="18"/>
  <c r="W24" i="18"/>
  <c r="V75" i="18"/>
  <c r="AA32" i="18"/>
  <c r="Y20" i="18"/>
  <c r="S111" i="18"/>
  <c r="C44" i="18"/>
  <c r="C112" i="18" s="1"/>
  <c r="C116" i="18" s="1"/>
  <c r="D44" i="18"/>
  <c r="D112" i="18" s="1"/>
  <c r="D116" i="18" s="1"/>
  <c r="E44" i="18"/>
  <c r="E112" i="18" s="1"/>
  <c r="E116" i="18" s="1"/>
  <c r="F44" i="18"/>
  <c r="F112" i="18" s="1"/>
  <c r="F116" i="18" s="1"/>
  <c r="H44" i="18"/>
  <c r="I44" i="18"/>
  <c r="I112" i="18" s="1"/>
  <c r="J44" i="18"/>
  <c r="J112" i="18" s="1"/>
  <c r="K44" i="18"/>
  <c r="K112" i="18" s="1"/>
  <c r="L44" i="18"/>
  <c r="M44" i="18"/>
  <c r="M112" i="18" s="1"/>
  <c r="N44" i="18"/>
  <c r="P44" i="18"/>
  <c r="P112" i="18" s="1"/>
  <c r="D57" i="18"/>
  <c r="D115" i="18" s="1"/>
  <c r="E57" i="18"/>
  <c r="E115" i="18" s="1"/>
  <c r="F57" i="18"/>
  <c r="F115" i="18" s="1"/>
  <c r="G57" i="18"/>
  <c r="H57" i="18"/>
  <c r="H115" i="18" s="1"/>
  <c r="I57" i="18"/>
  <c r="I115" i="18" s="1"/>
  <c r="J57" i="18"/>
  <c r="J115" i="18" s="1"/>
  <c r="K57" i="18"/>
  <c r="K115" i="18" s="1"/>
  <c r="L57" i="18"/>
  <c r="L115" i="18" s="1"/>
  <c r="M57" i="18"/>
  <c r="M115" i="18" s="1"/>
  <c r="N57" i="18"/>
  <c r="P57" i="18"/>
  <c r="D56" i="18"/>
  <c r="E56" i="18"/>
  <c r="F56" i="18"/>
  <c r="G56" i="18"/>
  <c r="H56" i="18"/>
  <c r="I56" i="18"/>
  <c r="J56" i="18"/>
  <c r="K56" i="18"/>
  <c r="L56" i="18"/>
  <c r="M56" i="18"/>
  <c r="N56" i="18"/>
  <c r="P56" i="18"/>
  <c r="D54" i="18"/>
  <c r="E54" i="18"/>
  <c r="F54" i="18"/>
  <c r="G54" i="18"/>
  <c r="H54" i="18"/>
  <c r="I54" i="18"/>
  <c r="J54" i="18"/>
  <c r="K54" i="18"/>
  <c r="L54" i="18"/>
  <c r="M54" i="18"/>
  <c r="N54" i="18"/>
  <c r="P54" i="18"/>
  <c r="D53" i="18"/>
  <c r="D55" i="18" s="1"/>
  <c r="D114" i="18" s="1"/>
  <c r="E53" i="18"/>
  <c r="E55" i="18" s="1"/>
  <c r="E114" i="18" s="1"/>
  <c r="F53" i="18"/>
  <c r="G53" i="18"/>
  <c r="H53" i="18"/>
  <c r="I53" i="18"/>
  <c r="J53" i="18"/>
  <c r="K53" i="18"/>
  <c r="L53" i="18"/>
  <c r="M53" i="18"/>
  <c r="N53" i="18"/>
  <c r="P53" i="18"/>
  <c r="D47" i="18"/>
  <c r="E47" i="18"/>
  <c r="F47" i="18"/>
  <c r="G47" i="18"/>
  <c r="H47" i="18"/>
  <c r="I47" i="18"/>
  <c r="J47" i="18"/>
  <c r="K47" i="18"/>
  <c r="L47" i="18"/>
  <c r="M47" i="18"/>
  <c r="N47" i="18"/>
  <c r="P47" i="18"/>
  <c r="D46" i="18"/>
  <c r="D113" i="18" s="1"/>
  <c r="E46" i="18"/>
  <c r="E113" i="18" s="1"/>
  <c r="F46" i="18"/>
  <c r="F113" i="18" s="1"/>
  <c r="G46" i="18"/>
  <c r="H46" i="18"/>
  <c r="H113" i="18" s="1"/>
  <c r="I46" i="18"/>
  <c r="I113" i="18" s="1"/>
  <c r="J46" i="18"/>
  <c r="J113" i="18" s="1"/>
  <c r="K46" i="18"/>
  <c r="K113" i="18" s="1"/>
  <c r="L46" i="18"/>
  <c r="L113" i="18" s="1"/>
  <c r="M46" i="18"/>
  <c r="M113" i="18" s="1"/>
  <c r="N46" i="18"/>
  <c r="P46" i="18"/>
  <c r="C57" i="18"/>
  <c r="C115" i="18" s="1"/>
  <c r="C56" i="18"/>
  <c r="C54" i="18"/>
  <c r="C53" i="18"/>
  <c r="C47" i="18"/>
  <c r="C46" i="18"/>
  <c r="C113" i="18" s="1"/>
  <c r="D45" i="18"/>
  <c r="E45" i="18"/>
  <c r="F45" i="18"/>
  <c r="G45" i="18"/>
  <c r="H45" i="18"/>
  <c r="I45" i="18"/>
  <c r="J45" i="18"/>
  <c r="K45" i="18"/>
  <c r="L45" i="18"/>
  <c r="M45" i="18"/>
  <c r="N45" i="18"/>
  <c r="P45" i="18"/>
  <c r="C45" i="18"/>
  <c r="S14" i="18"/>
  <c r="S15" i="18"/>
  <c r="S34" i="18"/>
  <c r="S10" i="18"/>
  <c r="S12" i="18"/>
  <c r="S13" i="18"/>
  <c r="S7" i="18"/>
  <c r="S6" i="18"/>
  <c r="H112" i="18" l="1"/>
  <c r="Q81" i="18"/>
  <c r="Y19" i="18"/>
  <c r="X61" i="18"/>
  <c r="H55" i="18"/>
  <c r="H114" i="18" s="1"/>
  <c r="X26" i="18"/>
  <c r="T12" i="18"/>
  <c r="T14" i="18"/>
  <c r="T13" i="18"/>
  <c r="T10" i="18"/>
  <c r="T15" i="18"/>
  <c r="T6" i="18"/>
  <c r="T7" i="18"/>
  <c r="X24" i="18"/>
  <c r="W75" i="18"/>
  <c r="T34" i="18"/>
  <c r="S77" i="18"/>
  <c r="S76" i="18"/>
  <c r="AB32" i="18"/>
  <c r="F55" i="18"/>
  <c r="F114" i="18" s="1"/>
  <c r="L55" i="18"/>
  <c r="L114" i="18" s="1"/>
  <c r="K55" i="18"/>
  <c r="K114" i="18" s="1"/>
  <c r="J55" i="18"/>
  <c r="J114" i="18" s="1"/>
  <c r="Z20" i="18"/>
  <c r="C55" i="18"/>
  <c r="C114" i="18" s="1"/>
  <c r="T111" i="18"/>
  <c r="I55" i="18"/>
  <c r="I114" i="18" s="1"/>
  <c r="Q45" i="18"/>
  <c r="G113" i="18"/>
  <c r="Q46" i="18"/>
  <c r="Q47" i="18"/>
  <c r="Q54" i="18"/>
  <c r="Q56" i="18"/>
  <c r="G112" i="18"/>
  <c r="Q44" i="18"/>
  <c r="G115" i="18"/>
  <c r="Q57" i="18"/>
  <c r="G55" i="18"/>
  <c r="Q53" i="18"/>
  <c r="N113" i="18"/>
  <c r="N112" i="18"/>
  <c r="N115" i="18"/>
  <c r="P113" i="18"/>
  <c r="L112" i="18"/>
  <c r="N55" i="18"/>
  <c r="M55" i="18"/>
  <c r="M114" i="18" s="1"/>
  <c r="P115" i="18"/>
  <c r="P55" i="18"/>
  <c r="S36" i="18"/>
  <c r="S54" i="18" s="1"/>
  <c r="C6" i="12"/>
  <c r="C25" i="15"/>
  <c r="C57" i="15"/>
  <c r="C56" i="15"/>
  <c r="C53" i="15"/>
  <c r="C52" i="15"/>
  <c r="C49" i="15"/>
  <c r="C48" i="15"/>
  <c r="C44" i="15"/>
  <c r="Z19" i="18" l="1"/>
  <c r="Y61" i="18"/>
  <c r="S53" i="18"/>
  <c r="S70" i="18"/>
  <c r="S49" i="18"/>
  <c r="S51" i="18"/>
  <c r="S116" i="18" s="1"/>
  <c r="S57" i="18"/>
  <c r="S115" i="18" s="1"/>
  <c r="S67" i="18"/>
  <c r="S69" i="18"/>
  <c r="S42" i="18"/>
  <c r="S41" i="18"/>
  <c r="S50" i="18"/>
  <c r="S46" i="18"/>
  <c r="S47" i="18"/>
  <c r="S56" i="18"/>
  <c r="S45" i="18"/>
  <c r="S71" i="18"/>
  <c r="S44" i="18"/>
  <c r="Y26" i="18"/>
  <c r="U14" i="18"/>
  <c r="U13" i="18"/>
  <c r="U12" i="18"/>
  <c r="S55" i="18"/>
  <c r="U15" i="18"/>
  <c r="U10" i="18"/>
  <c r="U7" i="18"/>
  <c r="U6" i="18"/>
  <c r="AC32" i="18"/>
  <c r="AE32" i="18" s="1"/>
  <c r="Y24" i="18"/>
  <c r="X75" i="18"/>
  <c r="U34" i="18"/>
  <c r="T77" i="18"/>
  <c r="T76" i="18"/>
  <c r="T36" i="18"/>
  <c r="T53" i="18" s="1"/>
  <c r="S64" i="18"/>
  <c r="S65" i="18"/>
  <c r="S66" i="18"/>
  <c r="S63" i="18"/>
  <c r="AA20" i="18"/>
  <c r="U111" i="18"/>
  <c r="Q113" i="18"/>
  <c r="Q112" i="18"/>
  <c r="Q115" i="18"/>
  <c r="G114" i="18"/>
  <c r="Q55" i="18"/>
  <c r="N114" i="18"/>
  <c r="P114" i="18"/>
  <c r="C15" i="15"/>
  <c r="C20" i="15"/>
  <c r="C9" i="15"/>
  <c r="AA19" i="18" l="1"/>
  <c r="Z61" i="18"/>
  <c r="T51" i="18"/>
  <c r="T116" i="18" s="1"/>
  <c r="T57" i="18"/>
  <c r="T115" i="18" s="1"/>
  <c r="T67" i="18"/>
  <c r="T69" i="18"/>
  <c r="T41" i="18"/>
  <c r="T42" i="18"/>
  <c r="T46" i="18"/>
  <c r="T45" i="18"/>
  <c r="T56" i="18"/>
  <c r="T71" i="18"/>
  <c r="T50" i="18"/>
  <c r="T47" i="18"/>
  <c r="T44" i="18"/>
  <c r="T49" i="18"/>
  <c r="T54" i="18"/>
  <c r="T55" i="18" s="1"/>
  <c r="T70" i="18"/>
  <c r="Z26" i="18"/>
  <c r="V13" i="18"/>
  <c r="V12" i="18"/>
  <c r="V14" i="18"/>
  <c r="V10" i="18"/>
  <c r="V15" i="18"/>
  <c r="V6" i="18"/>
  <c r="V7" i="18"/>
  <c r="V34" i="18"/>
  <c r="U77" i="18"/>
  <c r="U76" i="18"/>
  <c r="Z24" i="18"/>
  <c r="Y75" i="18"/>
  <c r="U36" i="18"/>
  <c r="U53" i="18" s="1"/>
  <c r="T66" i="18"/>
  <c r="T65" i="18"/>
  <c r="T64" i="18"/>
  <c r="T63" i="18"/>
  <c r="AB20" i="18"/>
  <c r="S114" i="18"/>
  <c r="V111" i="18"/>
  <c r="S112" i="18"/>
  <c r="S113" i="18"/>
  <c r="Q114" i="18"/>
  <c r="D31" i="8"/>
  <c r="D29" i="8"/>
  <c r="D28" i="8"/>
  <c r="D13" i="8"/>
  <c r="D30" i="8" s="1"/>
  <c r="E14" i="8"/>
  <c r="F14" i="8" s="1"/>
  <c r="G14" i="8" s="1"/>
  <c r="H14" i="8" s="1"/>
  <c r="I14" i="8" s="1"/>
  <c r="AB19" i="18" l="1"/>
  <c r="AA61" i="18"/>
  <c r="U71" i="18"/>
  <c r="U70" i="18"/>
  <c r="U49" i="18"/>
  <c r="U57" i="18"/>
  <c r="U115" i="18" s="1"/>
  <c r="U56" i="18"/>
  <c r="U51" i="18"/>
  <c r="U116" i="18" s="1"/>
  <c r="U54" i="18"/>
  <c r="U55" i="18" s="1"/>
  <c r="U45" i="18"/>
  <c r="U67" i="18"/>
  <c r="U69" i="18"/>
  <c r="U42" i="18"/>
  <c r="U41" i="18"/>
  <c r="U50" i="18"/>
  <c r="U46" i="18"/>
  <c r="U47" i="18"/>
  <c r="U44" i="18"/>
  <c r="AA26" i="18"/>
  <c r="W12" i="18"/>
  <c r="W14" i="18"/>
  <c r="W13" i="18"/>
  <c r="W15" i="18"/>
  <c r="W10" i="18"/>
  <c r="W7" i="18"/>
  <c r="W6" i="18"/>
  <c r="AA24" i="18"/>
  <c r="Z75" i="18"/>
  <c r="W34" i="18"/>
  <c r="V76" i="18"/>
  <c r="V77" i="18"/>
  <c r="V36" i="18"/>
  <c r="V56" i="18" s="1"/>
  <c r="U66" i="18"/>
  <c r="U64" i="18"/>
  <c r="U65" i="18"/>
  <c r="U63" i="18"/>
  <c r="AC20" i="18"/>
  <c r="AE20" i="18" s="1"/>
  <c r="T114" i="18"/>
  <c r="W111" i="18"/>
  <c r="T112" i="18"/>
  <c r="T113" i="18"/>
  <c r="I7" i="12"/>
  <c r="F7" i="12"/>
  <c r="H39" i="12"/>
  <c r="L25" i="12"/>
  <c r="L26" i="12" s="1"/>
  <c r="L27" i="12" s="1"/>
  <c r="L28" i="12" s="1"/>
  <c r="L29" i="12" s="1"/>
  <c r="L30" i="12" s="1"/>
  <c r="L31" i="12" s="1"/>
  <c r="L32" i="12" s="1"/>
  <c r="L33" i="12" s="1"/>
  <c r="L34" i="12" s="1"/>
  <c r="L39" i="12" s="1"/>
  <c r="I25" i="12"/>
  <c r="I26" i="12" s="1"/>
  <c r="I27" i="12" s="1"/>
  <c r="I28" i="12" s="1"/>
  <c r="I29" i="12" s="1"/>
  <c r="I30" i="12" s="1"/>
  <c r="I31" i="12" s="1"/>
  <c r="I32" i="12" s="1"/>
  <c r="I33" i="12" s="1"/>
  <c r="I34" i="12" s="1"/>
  <c r="F24" i="12"/>
  <c r="G24" i="12" s="1"/>
  <c r="K25" i="12" s="1"/>
  <c r="K26" i="12" s="1"/>
  <c r="K27" i="12" s="1"/>
  <c r="K28" i="12" s="1"/>
  <c r="K29" i="12" s="1"/>
  <c r="K30" i="12" s="1"/>
  <c r="K31" i="12" s="1"/>
  <c r="K32" i="12" s="1"/>
  <c r="K33" i="12" s="1"/>
  <c r="K34" i="12" s="1"/>
  <c r="K40" i="12" s="1"/>
  <c r="F23" i="12"/>
  <c r="G23" i="12" s="1"/>
  <c r="F22" i="12"/>
  <c r="G22" i="12" s="1"/>
  <c r="F21" i="12"/>
  <c r="G21" i="12" s="1"/>
  <c r="F20" i="12"/>
  <c r="G20" i="12" s="1"/>
  <c r="F19" i="12"/>
  <c r="G19" i="12" s="1"/>
  <c r="F18" i="12"/>
  <c r="G18" i="12" s="1"/>
  <c r="F17" i="12"/>
  <c r="G17" i="12" s="1"/>
  <c r="F16" i="12"/>
  <c r="G16" i="12" s="1"/>
  <c r="F15" i="12"/>
  <c r="G15" i="12" s="1"/>
  <c r="F14" i="12"/>
  <c r="G14" i="12" s="1"/>
  <c r="F13" i="12"/>
  <c r="G13" i="12" s="1"/>
  <c r="V47" i="18" l="1"/>
  <c r="V71" i="18"/>
  <c r="V54" i="18"/>
  <c r="AC19" i="18"/>
  <c r="AE19" i="18" s="1"/>
  <c r="AB61" i="18"/>
  <c r="S101" i="18" s="1"/>
  <c r="V45" i="18"/>
  <c r="V53" i="18"/>
  <c r="V55" i="18" s="1"/>
  <c r="V50" i="18"/>
  <c r="V70" i="18"/>
  <c r="V46" i="18"/>
  <c r="V51" i="18"/>
  <c r="V116" i="18" s="1"/>
  <c r="V67" i="18"/>
  <c r="V69" i="18"/>
  <c r="V41" i="18"/>
  <c r="V42" i="18"/>
  <c r="V49" i="18"/>
  <c r="V57" i="18"/>
  <c r="V115" i="18" s="1"/>
  <c r="V44" i="18"/>
  <c r="AB26" i="18"/>
  <c r="X14" i="18"/>
  <c r="X13" i="18"/>
  <c r="X12" i="18"/>
  <c r="X10" i="18"/>
  <c r="X15" i="18"/>
  <c r="X6" i="18"/>
  <c r="X7" i="18"/>
  <c r="X34" i="18"/>
  <c r="W77" i="18"/>
  <c r="W76" i="18"/>
  <c r="AB24" i="18"/>
  <c r="AA75" i="18"/>
  <c r="W36" i="18"/>
  <c r="W54" i="18" s="1"/>
  <c r="V66" i="18"/>
  <c r="V64" i="18"/>
  <c r="V65" i="18"/>
  <c r="V63" i="18"/>
  <c r="U114" i="18"/>
  <c r="X111" i="18"/>
  <c r="U112" i="18"/>
  <c r="U113" i="18"/>
  <c r="G40" i="12"/>
  <c r="J25" i="12"/>
  <c r="J26" i="12" s="1"/>
  <c r="J27" i="12" s="1"/>
  <c r="J28" i="12" s="1"/>
  <c r="J29" i="12" s="1"/>
  <c r="J30" i="12" s="1"/>
  <c r="J31" i="12" s="1"/>
  <c r="J32" i="12" s="1"/>
  <c r="J33" i="12" s="1"/>
  <c r="J34" i="12" s="1"/>
  <c r="K37" i="12" s="1"/>
  <c r="N10" i="11"/>
  <c r="H44" i="11"/>
  <c r="I41" i="11"/>
  <c r="F41" i="11"/>
  <c r="G41" i="11" s="1"/>
  <c r="K41" i="11" s="1"/>
  <c r="I40" i="11"/>
  <c r="F40" i="11"/>
  <c r="G40" i="11" s="1"/>
  <c r="K40" i="11" s="1"/>
  <c r="I39" i="11"/>
  <c r="F39" i="11"/>
  <c r="G39" i="11" s="1"/>
  <c r="K39" i="11" s="1"/>
  <c r="I38" i="11"/>
  <c r="F38" i="11"/>
  <c r="G38" i="11" s="1"/>
  <c r="K38" i="11" s="1"/>
  <c r="I37" i="11"/>
  <c r="F37" i="11"/>
  <c r="G37" i="11" s="1"/>
  <c r="K37" i="11" s="1"/>
  <c r="I36" i="11"/>
  <c r="F36" i="11"/>
  <c r="G36" i="11" s="1"/>
  <c r="K36" i="11" s="1"/>
  <c r="I35" i="11"/>
  <c r="F35" i="11"/>
  <c r="G35" i="11" s="1"/>
  <c r="K35" i="11" s="1"/>
  <c r="I34" i="11"/>
  <c r="F34" i="11"/>
  <c r="G34" i="11" s="1"/>
  <c r="K34" i="11" s="1"/>
  <c r="I33" i="11"/>
  <c r="F33" i="11"/>
  <c r="G33" i="11" s="1"/>
  <c r="K33" i="11" s="1"/>
  <c r="I32" i="11"/>
  <c r="F32" i="11"/>
  <c r="G32" i="11" s="1"/>
  <c r="K32" i="11" s="1"/>
  <c r="N31" i="11"/>
  <c r="Q31" i="11" s="1"/>
  <c r="I31" i="11"/>
  <c r="F31" i="11"/>
  <c r="G31" i="11" s="1"/>
  <c r="I30" i="11"/>
  <c r="F30" i="11"/>
  <c r="G30" i="11" s="1"/>
  <c r="K30" i="11" s="1"/>
  <c r="I29" i="11"/>
  <c r="D22" i="11"/>
  <c r="L19" i="11"/>
  <c r="K11" i="11"/>
  <c r="K12" i="11" s="1"/>
  <c r="K9" i="11"/>
  <c r="H44" i="9"/>
  <c r="N32" i="9"/>
  <c r="N33" i="9" s="1"/>
  <c r="N34" i="9" s="1"/>
  <c r="N35" i="9" s="1"/>
  <c r="N36" i="9" s="1"/>
  <c r="N37" i="9" s="1"/>
  <c r="N38" i="9" s="1"/>
  <c r="N39" i="9" s="1"/>
  <c r="N40" i="9" s="1"/>
  <c r="N41" i="9" s="1"/>
  <c r="N42" i="9" s="1"/>
  <c r="N31" i="9"/>
  <c r="P31" i="9" s="1"/>
  <c r="M45" i="9"/>
  <c r="M32" i="9"/>
  <c r="M33" i="9" s="1"/>
  <c r="M34" i="9" s="1"/>
  <c r="M35" i="9" s="1"/>
  <c r="M36" i="9" s="1"/>
  <c r="M37" i="9" s="1"/>
  <c r="M38" i="9" s="1"/>
  <c r="M39" i="9" s="1"/>
  <c r="M40" i="9" s="1"/>
  <c r="M41" i="9" s="1"/>
  <c r="I29" i="9"/>
  <c r="I30" i="9"/>
  <c r="I32" i="9"/>
  <c r="I33" i="9"/>
  <c r="I34" i="9"/>
  <c r="I35" i="9"/>
  <c r="I36" i="9"/>
  <c r="I37" i="9"/>
  <c r="I38" i="9"/>
  <c r="I39" i="9"/>
  <c r="I40" i="9"/>
  <c r="I41" i="9"/>
  <c r="I31" i="9"/>
  <c r="F31" i="9"/>
  <c r="G31" i="9" s="1"/>
  <c r="K31" i="9" s="1"/>
  <c r="L31" i="9" s="1"/>
  <c r="F32" i="9"/>
  <c r="G32" i="9" s="1"/>
  <c r="K32" i="9" s="1"/>
  <c r="F33" i="9"/>
  <c r="G33" i="9" s="1"/>
  <c r="K33" i="9" s="1"/>
  <c r="F34" i="9"/>
  <c r="G34" i="9" s="1"/>
  <c r="K34" i="9" s="1"/>
  <c r="F35" i="9"/>
  <c r="G35" i="9" s="1"/>
  <c r="K35" i="9" s="1"/>
  <c r="F36" i="9"/>
  <c r="G36" i="9" s="1"/>
  <c r="K36" i="9" s="1"/>
  <c r="F37" i="9"/>
  <c r="G37" i="9" s="1"/>
  <c r="K37" i="9" s="1"/>
  <c r="F38" i="9"/>
  <c r="G38" i="9" s="1"/>
  <c r="K38" i="9" s="1"/>
  <c r="F39" i="9"/>
  <c r="G39" i="9" s="1"/>
  <c r="K39" i="9" s="1"/>
  <c r="F40" i="9"/>
  <c r="G40" i="9" s="1"/>
  <c r="K40" i="9" s="1"/>
  <c r="F41" i="9"/>
  <c r="G41" i="9" s="1"/>
  <c r="K41" i="9" s="1"/>
  <c r="F30" i="9"/>
  <c r="G30" i="9" s="1"/>
  <c r="K30" i="9" s="1"/>
  <c r="AC61" i="18" l="1"/>
  <c r="AE61" i="18" s="1"/>
  <c r="T101" i="18" s="1"/>
  <c r="R101" i="18" s="1"/>
  <c r="P32" i="9"/>
  <c r="W57" i="18"/>
  <c r="W115" i="18" s="1"/>
  <c r="W56" i="18"/>
  <c r="W51" i="18"/>
  <c r="W116" i="18" s="1"/>
  <c r="W53" i="18"/>
  <c r="W55" i="18" s="1"/>
  <c r="W50" i="18"/>
  <c r="W70" i="18"/>
  <c r="W49" i="18"/>
  <c r="W71" i="18"/>
  <c r="W67" i="18"/>
  <c r="W69" i="18"/>
  <c r="W42" i="18"/>
  <c r="W41" i="18"/>
  <c r="W45" i="18"/>
  <c r="W46" i="18"/>
  <c r="W47" i="18"/>
  <c r="W44" i="18"/>
  <c r="AC26" i="18"/>
  <c r="AE26" i="18" s="1"/>
  <c r="Y12" i="18"/>
  <c r="Y14" i="18"/>
  <c r="Y13" i="18"/>
  <c r="Y10" i="18"/>
  <c r="Y15" i="18"/>
  <c r="Y7" i="18"/>
  <c r="Y6" i="18"/>
  <c r="AC24" i="18"/>
  <c r="AE24" i="18" s="1"/>
  <c r="AB75" i="18"/>
  <c r="AC75" i="18" s="1"/>
  <c r="Y34" i="18"/>
  <c r="X77" i="18"/>
  <c r="X76" i="18"/>
  <c r="O31" i="9"/>
  <c r="O32" i="9" s="1"/>
  <c r="X36" i="18"/>
  <c r="X47" i="18" s="1"/>
  <c r="W66" i="18"/>
  <c r="W64" i="18"/>
  <c r="W65" i="18"/>
  <c r="W63" i="18"/>
  <c r="V114" i="18"/>
  <c r="Y111" i="18"/>
  <c r="V112" i="18"/>
  <c r="V113" i="18"/>
  <c r="P31" i="11"/>
  <c r="N32" i="11"/>
  <c r="T19" i="9"/>
  <c r="D22" i="9"/>
  <c r="X49" i="18" l="1"/>
  <c r="X56" i="18"/>
  <c r="X44" i="18"/>
  <c r="X51" i="18"/>
  <c r="X116" i="18" s="1"/>
  <c r="X46" i="18"/>
  <c r="X45" i="18"/>
  <c r="X67" i="18"/>
  <c r="X69" i="18"/>
  <c r="X42" i="18"/>
  <c r="X41" i="18"/>
  <c r="X71" i="18"/>
  <c r="X50" i="18"/>
  <c r="X57" i="18"/>
  <c r="X115" i="18" s="1"/>
  <c r="X54" i="18"/>
  <c r="X53" i="18"/>
  <c r="X70" i="18"/>
  <c r="Z13" i="18"/>
  <c r="Z12" i="18"/>
  <c r="Z14" i="18"/>
  <c r="Z10" i="18"/>
  <c r="Z15" i="18"/>
  <c r="Z6" i="18"/>
  <c r="Z7" i="18"/>
  <c r="Z34" i="18"/>
  <c r="Y77" i="18"/>
  <c r="Y76" i="18"/>
  <c r="Y36" i="18"/>
  <c r="X66" i="18"/>
  <c r="X64" i="18"/>
  <c r="X65" i="18"/>
  <c r="X63" i="18"/>
  <c r="W114" i="18"/>
  <c r="Z111" i="18"/>
  <c r="W112" i="18"/>
  <c r="W113" i="18"/>
  <c r="N33" i="11"/>
  <c r="O32" i="11"/>
  <c r="P32" i="11"/>
  <c r="M45" i="11"/>
  <c r="L31" i="11"/>
  <c r="M32" i="11" s="1"/>
  <c r="M33" i="11" s="1"/>
  <c r="M34" i="11" s="1"/>
  <c r="M35" i="11" s="1"/>
  <c r="M36" i="11" s="1"/>
  <c r="M37" i="11" s="1"/>
  <c r="M38" i="11" s="1"/>
  <c r="M39" i="11" s="1"/>
  <c r="M40" i="11" s="1"/>
  <c r="M41" i="11" s="1"/>
  <c r="Q32" i="11"/>
  <c r="S11" i="9"/>
  <c r="S12" i="9" s="1"/>
  <c r="S9" i="9"/>
  <c r="X55" i="18" l="1"/>
  <c r="X114" i="18" s="1"/>
  <c r="Y67" i="18"/>
  <c r="Y69" i="18"/>
  <c r="Y41" i="18"/>
  <c r="Y42" i="18"/>
  <c r="Y51" i="18"/>
  <c r="Y116" i="18" s="1"/>
  <c r="Y57" i="18"/>
  <c r="Y115" i="18" s="1"/>
  <c r="Y56" i="18"/>
  <c r="Y54" i="18"/>
  <c r="Y45" i="18"/>
  <c r="Y44" i="18"/>
  <c r="Y50" i="18"/>
  <c r="Y46" i="18"/>
  <c r="Y47" i="18"/>
  <c r="Y53" i="18"/>
  <c r="Y70" i="18"/>
  <c r="Y49" i="18"/>
  <c r="Y71" i="18"/>
  <c r="AA12" i="18"/>
  <c r="AA14" i="18"/>
  <c r="AA13" i="18"/>
  <c r="AA10" i="18"/>
  <c r="AA15" i="18"/>
  <c r="AA7" i="18"/>
  <c r="AA6" i="18"/>
  <c r="AA34" i="18"/>
  <c r="Z76" i="18"/>
  <c r="Z77" i="18"/>
  <c r="Z36" i="18"/>
  <c r="Y66" i="18"/>
  <c r="Y64" i="18"/>
  <c r="Y65" i="18"/>
  <c r="Y63" i="18"/>
  <c r="AA111" i="18"/>
  <c r="X112" i="18"/>
  <c r="X113" i="18"/>
  <c r="N34" i="11"/>
  <c r="O33" i="11"/>
  <c r="D25" i="8"/>
  <c r="D23" i="8"/>
  <c r="Y55" i="18" l="1"/>
  <c r="Y114" i="18" s="1"/>
  <c r="Z67" i="18"/>
  <c r="Z69" i="18"/>
  <c r="Z42" i="18"/>
  <c r="Z41" i="18"/>
  <c r="Z45" i="18"/>
  <c r="Z56" i="18"/>
  <c r="Z46" i="18"/>
  <c r="Z51" i="18"/>
  <c r="Z116" i="18" s="1"/>
  <c r="Z54" i="18"/>
  <c r="Z53" i="18"/>
  <c r="Z55" i="18" s="1"/>
  <c r="Z71" i="18"/>
  <c r="Z57" i="18"/>
  <c r="Z115" i="18" s="1"/>
  <c r="Z44" i="18"/>
  <c r="Z50" i="18"/>
  <c r="Z70" i="18"/>
  <c r="Z49" i="18"/>
  <c r="Z47" i="18"/>
  <c r="AB14" i="18"/>
  <c r="AB13" i="18"/>
  <c r="AB12" i="18"/>
  <c r="AB10" i="18"/>
  <c r="AB15" i="18"/>
  <c r="AB6" i="18"/>
  <c r="AB7" i="18"/>
  <c r="AB34" i="18"/>
  <c r="AA77" i="18"/>
  <c r="AA76" i="18"/>
  <c r="AA36" i="18"/>
  <c r="Z66" i="18"/>
  <c r="Z64" i="18"/>
  <c r="Z65" i="18"/>
  <c r="Z63" i="18"/>
  <c r="AB111" i="18"/>
  <c r="Y112" i="18"/>
  <c r="Y113" i="18"/>
  <c r="N35" i="11"/>
  <c r="O34" i="11"/>
  <c r="D35" i="8"/>
  <c r="E5" i="8"/>
  <c r="E18" i="8" s="1"/>
  <c r="D18" i="8"/>
  <c r="D19" i="8"/>
  <c r="D21" i="8"/>
  <c r="D20" i="8"/>
  <c r="AA67" i="18" l="1"/>
  <c r="AA69" i="18"/>
  <c r="AA41" i="18"/>
  <c r="AA42" i="18"/>
  <c r="AA49" i="18"/>
  <c r="AA57" i="18"/>
  <c r="AA115" i="18" s="1"/>
  <c r="AA44" i="18"/>
  <c r="AA51" i="18"/>
  <c r="AA116" i="18" s="1"/>
  <c r="AA54" i="18"/>
  <c r="AA70" i="18"/>
  <c r="AA45" i="18"/>
  <c r="AA46" i="18"/>
  <c r="AA47" i="18"/>
  <c r="AA50" i="18"/>
  <c r="AA71" i="18"/>
  <c r="AA53" i="18"/>
  <c r="AA56" i="18"/>
  <c r="AC14" i="18"/>
  <c r="AE14" i="18" s="1"/>
  <c r="AC13" i="18"/>
  <c r="AE13" i="18" s="1"/>
  <c r="S95" i="18"/>
  <c r="AC12" i="18"/>
  <c r="AE12" i="18" s="1"/>
  <c r="T95" i="18" s="1"/>
  <c r="T96" i="18" s="1"/>
  <c r="AC10" i="18"/>
  <c r="AE10" i="18" s="1"/>
  <c r="AC15" i="18"/>
  <c r="AE15" i="18" s="1"/>
  <c r="AC7" i="18"/>
  <c r="AE7" i="18" s="1"/>
  <c r="AC6" i="18"/>
  <c r="AE6" i="18" s="1"/>
  <c r="AB77" i="18"/>
  <c r="AC77" i="18" s="1"/>
  <c r="AB76" i="18"/>
  <c r="AC76" i="18" s="1"/>
  <c r="AC34" i="18"/>
  <c r="AE34" i="18" s="1"/>
  <c r="AB36" i="18"/>
  <c r="AA66" i="18"/>
  <c r="AA64" i="18"/>
  <c r="AA65" i="18"/>
  <c r="AA63" i="18"/>
  <c r="Z114" i="18"/>
  <c r="AC111" i="18"/>
  <c r="AE111" i="18" s="1"/>
  <c r="Z112" i="18"/>
  <c r="Z113" i="18"/>
  <c r="N36" i="11"/>
  <c r="O35" i="11"/>
  <c r="F5" i="8"/>
  <c r="G5" i="8" s="1"/>
  <c r="H5" i="8" s="1"/>
  <c r="I5" i="8" s="1"/>
  <c r="AA55" i="18" l="1"/>
  <c r="AA114" i="18" s="1"/>
  <c r="AB67" i="18"/>
  <c r="S108" i="18" s="1"/>
  <c r="AB69" i="18"/>
  <c r="AB41" i="18"/>
  <c r="AC41" i="18" s="1"/>
  <c r="AE41" i="18" s="1"/>
  <c r="AB42" i="18"/>
  <c r="AC42" i="18" s="1"/>
  <c r="AE42" i="18" s="1"/>
  <c r="AB49" i="18"/>
  <c r="S88" i="18" s="1"/>
  <c r="AB54" i="18"/>
  <c r="AC54" i="18" s="1"/>
  <c r="AE54" i="18" s="1"/>
  <c r="AB44" i="18"/>
  <c r="AB51" i="18"/>
  <c r="AB116" i="18" s="1"/>
  <c r="AC116" i="18" s="1"/>
  <c r="AE116" i="18" s="1"/>
  <c r="AB47" i="18"/>
  <c r="S85" i="18" s="1"/>
  <c r="AB70" i="18"/>
  <c r="AC70" i="18" s="1"/>
  <c r="AE70" i="18" s="1"/>
  <c r="AB46" i="18"/>
  <c r="AB45" i="18"/>
  <c r="S83" i="18" s="1"/>
  <c r="AB56" i="18"/>
  <c r="S92" i="18" s="1"/>
  <c r="AB71" i="18"/>
  <c r="AC71" i="18" s="1"/>
  <c r="AE71" i="18" s="1"/>
  <c r="AB50" i="18"/>
  <c r="AC50" i="18" s="1"/>
  <c r="AE50" i="18" s="1"/>
  <c r="T89" i="18" s="1"/>
  <c r="AB57" i="18"/>
  <c r="AB115" i="18" s="1"/>
  <c r="AC115" i="18" s="1"/>
  <c r="AE115" i="18" s="1"/>
  <c r="AB53" i="18"/>
  <c r="S86" i="18" s="1"/>
  <c r="S96" i="18"/>
  <c r="R96" i="18" s="1"/>
  <c r="R95" i="18"/>
  <c r="AB66" i="18"/>
  <c r="S106" i="18" s="1"/>
  <c r="AB64" i="18"/>
  <c r="S104" i="18" s="1"/>
  <c r="AC36" i="18"/>
  <c r="AE36" i="18" s="1"/>
  <c r="AB65" i="18"/>
  <c r="S105" i="18" s="1"/>
  <c r="AB63" i="18"/>
  <c r="S103" i="18" s="1"/>
  <c r="AA112" i="18"/>
  <c r="AA113" i="18"/>
  <c r="N37" i="11"/>
  <c r="O36" i="11"/>
  <c r="F18" i="8"/>
  <c r="G18" i="8"/>
  <c r="S89" i="18" l="1"/>
  <c r="R89" i="18" s="1"/>
  <c r="AC56" i="18"/>
  <c r="AE56" i="18" s="1"/>
  <c r="T92" i="18" s="1"/>
  <c r="R92" i="18" s="1"/>
  <c r="AC45" i="18"/>
  <c r="AE45" i="18" s="1"/>
  <c r="T83" i="18" s="1"/>
  <c r="R83" i="18" s="1"/>
  <c r="AC47" i="18"/>
  <c r="AE47" i="18" s="1"/>
  <c r="T85" i="18" s="1"/>
  <c r="R85" i="18" s="1"/>
  <c r="AC49" i="18"/>
  <c r="AE49" i="18" s="1"/>
  <c r="T88" i="18" s="1"/>
  <c r="R88" i="18" s="1"/>
  <c r="S90" i="18"/>
  <c r="AC67" i="18"/>
  <c r="AE67" i="18" s="1"/>
  <c r="T108" i="18" s="1"/>
  <c r="R108" i="18" s="1"/>
  <c r="AC53" i="18"/>
  <c r="AE53" i="18" s="1"/>
  <c r="T86" i="18" s="1"/>
  <c r="R86" i="18" s="1"/>
  <c r="S93" i="18"/>
  <c r="AB55" i="18"/>
  <c r="AC55" i="18" s="1"/>
  <c r="AE55" i="18" s="1"/>
  <c r="AC51" i="18"/>
  <c r="AE51" i="18" s="1"/>
  <c r="T90" i="18" s="1"/>
  <c r="AC57" i="18"/>
  <c r="AE57" i="18" s="1"/>
  <c r="T93" i="18" s="1"/>
  <c r="AC69" i="18"/>
  <c r="AE69" i="18" s="1"/>
  <c r="AC65" i="18"/>
  <c r="AE65" i="18" s="1"/>
  <c r="T105" i="18" s="1"/>
  <c r="AC64" i="18"/>
  <c r="AE64" i="18" s="1"/>
  <c r="AC63" i="18"/>
  <c r="AE63" i="18" s="1"/>
  <c r="T103" i="18" s="1"/>
  <c r="AC66" i="18"/>
  <c r="AE66" i="18" s="1"/>
  <c r="S82" i="18"/>
  <c r="AC44" i="18"/>
  <c r="AE44" i="18" s="1"/>
  <c r="T82" i="18" s="1"/>
  <c r="AB112" i="18"/>
  <c r="AC46" i="18"/>
  <c r="AE46" i="18" s="1"/>
  <c r="T84" i="18" s="1"/>
  <c r="AB113" i="18"/>
  <c r="S84" i="18"/>
  <c r="N38" i="11"/>
  <c r="O37" i="11"/>
  <c r="H18" i="8"/>
  <c r="R93" i="18" l="1"/>
  <c r="AB114" i="18"/>
  <c r="R90" i="18"/>
  <c r="P120" i="18" s="1"/>
  <c r="T106" i="18"/>
  <c r="R106" i="18" s="1"/>
  <c r="T104" i="18"/>
  <c r="R104" i="18" s="1"/>
  <c r="R105" i="18"/>
  <c r="R103" i="18"/>
  <c r="R82" i="18"/>
  <c r="P121" i="18" s="1"/>
  <c r="AC113" i="18"/>
  <c r="AE113" i="18" s="1"/>
  <c r="AC114" i="18"/>
  <c r="AE114" i="18" s="1"/>
  <c r="AC112" i="18"/>
  <c r="AE112" i="18" s="1"/>
  <c r="R84" i="18"/>
  <c r="N39" i="11"/>
  <c r="O38" i="11"/>
  <c r="I18" i="8"/>
  <c r="N40" i="11" l="1"/>
  <c r="O39" i="11"/>
  <c r="N41" i="11" l="1"/>
  <c r="O40" i="11"/>
  <c r="N42" i="11" l="1"/>
  <c r="O41" i="11"/>
</calcChain>
</file>

<file path=xl/sharedStrings.xml><?xml version="1.0" encoding="utf-8"?>
<sst xmlns="http://schemas.openxmlformats.org/spreadsheetml/2006/main" count="465" uniqueCount="321">
  <si>
    <t>#</t>
  </si>
  <si>
    <t>CAGR</t>
  </si>
  <si>
    <t>Cash and equivalents</t>
  </si>
  <si>
    <t>Total Number of outstanding shares</t>
  </si>
  <si>
    <t>Total Liabilities</t>
  </si>
  <si>
    <t>Current year</t>
  </si>
  <si>
    <t>in INR Cr</t>
  </si>
  <si>
    <t>INR Cr to INR</t>
  </si>
  <si>
    <t>Book Value (Networth based)</t>
  </si>
  <si>
    <t>Book Value (Total Liability)</t>
  </si>
  <si>
    <t>Book Value (Cash Based)</t>
  </si>
  <si>
    <t>Y1</t>
  </si>
  <si>
    <t>Y2</t>
  </si>
  <si>
    <t>Y3</t>
  </si>
  <si>
    <t>Y4</t>
  </si>
  <si>
    <t>Y5</t>
  </si>
  <si>
    <t>Networth (reserves only)</t>
  </si>
  <si>
    <t>Networth (includes reserves &amp; Share capital</t>
  </si>
  <si>
    <t>Book Value (reserves &amp; Surplus alone)</t>
  </si>
  <si>
    <t>Total Current Assets</t>
  </si>
  <si>
    <t>In Mn</t>
  </si>
  <si>
    <t>to INR Cr</t>
  </si>
  <si>
    <t>Book Value (Total C.A)</t>
  </si>
  <si>
    <t>Net Current Assets</t>
  </si>
  <si>
    <t>Book Value (on Net Current Assets)</t>
  </si>
  <si>
    <t>EPS</t>
  </si>
  <si>
    <t>Year</t>
  </si>
  <si>
    <t>CAGR Calculations</t>
  </si>
  <si>
    <t>Initial value</t>
  </si>
  <si>
    <t>Final Value</t>
  </si>
  <si>
    <t>Duration in years</t>
  </si>
  <si>
    <t>CAGR using years</t>
  </si>
  <si>
    <t>Duration in months</t>
  </si>
  <si>
    <t>CAGR using months</t>
  </si>
  <si>
    <t>Net profit</t>
  </si>
  <si>
    <t>ten years from now</t>
  </si>
  <si>
    <t>Future Value calculations</t>
  </si>
  <si>
    <t>Initial Value</t>
  </si>
  <si>
    <t>Rate</t>
  </si>
  <si>
    <t>period in years</t>
  </si>
  <si>
    <t>Amount added every SOY</t>
  </si>
  <si>
    <t>FV</t>
  </si>
  <si>
    <t>P/E</t>
  </si>
  <si>
    <t>PE</t>
  </si>
  <si>
    <t>current stock price</t>
  </si>
  <si>
    <t>Projected price</t>
  </si>
  <si>
    <t>projected CAGR</t>
  </si>
  <si>
    <t>IOB</t>
  </si>
  <si>
    <t>per share equity</t>
  </si>
  <si>
    <t>Projections</t>
  </si>
  <si>
    <t>Total SHE</t>
  </si>
  <si>
    <t>No. of shares</t>
  </si>
  <si>
    <t>No. of shares (inCr)</t>
  </si>
  <si>
    <t>bought</t>
  </si>
  <si>
    <t>Initial rate of return</t>
  </si>
  <si>
    <t>Dividends Payout</t>
  </si>
  <si>
    <t>ROE (RE)</t>
  </si>
  <si>
    <t>Proj EPS</t>
  </si>
  <si>
    <t>Proj Equity Val</t>
  </si>
  <si>
    <t>Proj Dividends</t>
  </si>
  <si>
    <t>Proj RE</t>
  </si>
  <si>
    <t>FY Year</t>
  </si>
  <si>
    <t>Net Worth</t>
  </si>
  <si>
    <t>RE Ratio</t>
  </si>
  <si>
    <t>Canara bank</t>
  </si>
  <si>
    <t>Present value Calculations</t>
  </si>
  <si>
    <t>PV</t>
  </si>
  <si>
    <t>Margin of Error</t>
  </si>
  <si>
    <t>Actuals</t>
  </si>
  <si>
    <t>-</t>
  </si>
  <si>
    <t>Net Worth per share</t>
  </si>
  <si>
    <t>FY</t>
  </si>
  <si>
    <t>Projected</t>
  </si>
  <si>
    <t>Avg P/BV</t>
  </si>
  <si>
    <t>Avg P/E</t>
  </si>
  <si>
    <t>Discount Rate</t>
  </si>
  <si>
    <t>Comparison</t>
  </si>
  <si>
    <t>Book Value</t>
  </si>
  <si>
    <t>Total Debt (For Banks)</t>
  </si>
  <si>
    <t>Total Advances (For Banks)</t>
  </si>
  <si>
    <t>Net (Advances - Debt)</t>
  </si>
  <si>
    <t>Ratio of Advances to Debt (for Banks)</t>
  </si>
  <si>
    <t>Debt per share</t>
  </si>
  <si>
    <t>For Banks Only</t>
  </si>
  <si>
    <t>Advances per share</t>
  </si>
  <si>
    <t>Net per share</t>
  </si>
  <si>
    <t>BOI</t>
  </si>
  <si>
    <t>Evaluation Types</t>
  </si>
  <si>
    <t>Financial Terms</t>
  </si>
  <si>
    <t>Earnings</t>
  </si>
  <si>
    <t>Factor</t>
  </si>
  <si>
    <t>high ROE</t>
  </si>
  <si>
    <t>high ROCE</t>
  </si>
  <si>
    <t>be consistent and erratic</t>
  </si>
  <si>
    <t>upward Trend</t>
  </si>
  <si>
    <t>Look For</t>
  </si>
  <si>
    <t>Deviations</t>
  </si>
  <si>
    <t>is blip a new trend or just a temp</t>
  </si>
  <si>
    <t>Initial Rate of Return</t>
  </si>
  <si>
    <t>Current Price</t>
  </si>
  <si>
    <t>Initial rate of return = (price/EPS)</t>
  </si>
  <si>
    <t>Business Perspective</t>
  </si>
  <si>
    <t>Equity per Share</t>
  </si>
  <si>
    <t>My Holdings i.e. no of shares</t>
  </si>
  <si>
    <t>My Earning = (no. of Share * EPS)</t>
  </si>
  <si>
    <t>CAGR for 5 years</t>
  </si>
  <si>
    <t>CAGR for 10 years</t>
  </si>
  <si>
    <t>For any Deviations</t>
  </si>
  <si>
    <t>Look for reasons</t>
  </si>
  <si>
    <t>EPS CAGR</t>
  </si>
  <si>
    <t>Retained Earnings</t>
  </si>
  <si>
    <t>% of Earnings retained</t>
  </si>
  <si>
    <t>Relative Stock Valuation</t>
  </si>
  <si>
    <t>(Intrinsic Value of Company)</t>
  </si>
  <si>
    <t>Current EPS</t>
  </si>
  <si>
    <t>Return on GOI Bonds - 8-9% in India</t>
  </si>
  <si>
    <t>Relative value = (EPS/8%)</t>
  </si>
  <si>
    <t>Relative value determines approx price of share</t>
  </si>
  <si>
    <t>how much actual and expected price per share</t>
  </si>
  <si>
    <t>Purchase criteria</t>
  </si>
  <si>
    <r>
      <t xml:space="preserve">stock relative value should be </t>
    </r>
    <r>
      <rPr>
        <b/>
        <sz val="10"/>
        <color theme="1"/>
        <rFont val="Cambria"/>
        <family val="1"/>
        <scheme val="major"/>
      </rPr>
      <t>lower</t>
    </r>
    <r>
      <rPr>
        <sz val="10"/>
        <color theme="1"/>
        <rFont val="Cambria"/>
        <family val="1"/>
        <scheme val="major"/>
      </rPr>
      <t xml:space="preserve"> GOI bonds</t>
    </r>
  </si>
  <si>
    <r>
      <t xml:space="preserve">EQ Initial rate of return </t>
    </r>
    <r>
      <rPr>
        <b/>
        <sz val="10"/>
        <color theme="1"/>
        <rFont val="Cambria"/>
        <family val="1"/>
        <scheme val="major"/>
      </rPr>
      <t>&gt;</t>
    </r>
    <r>
      <rPr>
        <sz val="10"/>
        <color theme="1"/>
        <rFont val="Cambria"/>
        <family val="1"/>
        <scheme val="major"/>
      </rPr>
      <t xml:space="preserve">  GOI bonds</t>
    </r>
  </si>
  <si>
    <t>Alternate Opportunity</t>
  </si>
  <si>
    <t>Projected CAGR should be compared with other investment avenues…</t>
  </si>
  <si>
    <t>Projected CAGR</t>
  </si>
  <si>
    <t>Higher Retention Ratio should give higher EPS.</t>
  </si>
  <si>
    <t>Business Reasons</t>
  </si>
  <si>
    <t>Long Term Competitiveness</t>
  </si>
  <si>
    <t>Through Product</t>
  </si>
  <si>
    <t>Through Service</t>
  </si>
  <si>
    <t>Low Cost</t>
  </si>
  <si>
    <t>High Turnover</t>
  </si>
  <si>
    <t>Technology Factor</t>
  </si>
  <si>
    <t>Look if durablity is due to Cost, taste, Tech factor or anything else</t>
  </si>
  <si>
    <t>Margin/Turnover</t>
  </si>
  <si>
    <r>
      <rPr>
        <b/>
        <sz val="10"/>
        <color theme="1"/>
        <rFont val="Cambria"/>
        <family val="1"/>
        <scheme val="major"/>
      </rPr>
      <t xml:space="preserve">No </t>
    </r>
    <r>
      <rPr>
        <sz val="10"/>
        <color theme="1"/>
        <rFont val="Cambria"/>
        <family val="1"/>
        <scheme val="major"/>
      </rPr>
      <t>for Price Competitive</t>
    </r>
  </si>
  <si>
    <t xml:space="preserve">High margin and Low Inventory Turn over </t>
  </si>
  <si>
    <t>Low Margin and high Inventory Turn over</t>
  </si>
  <si>
    <t>Higher the Profit Margin is better, over,</t>
  </si>
  <si>
    <t>Higher Inventory</t>
  </si>
  <si>
    <t>At-least either of above</t>
  </si>
  <si>
    <t>Company Structure</t>
  </si>
  <si>
    <t>No/less Unionised workforce</t>
  </si>
  <si>
    <t>No/less Debt(loan)</t>
  </si>
  <si>
    <t>Never invest in poor business</t>
  </si>
  <si>
    <t>less dependent on people or workforce</t>
  </si>
  <si>
    <t>Poor Business</t>
  </si>
  <si>
    <t>Airlines</t>
  </si>
  <si>
    <t>Power Distribution such as TNEB</t>
  </si>
  <si>
    <t>Impact of Inflation in business</t>
  </si>
  <si>
    <t>if allowed to increase price, then good, otherwise, Not good</t>
  </si>
  <si>
    <t>Evaluation Steps</t>
  </si>
  <si>
    <t>ROI based</t>
  </si>
  <si>
    <t>Market Cap</t>
  </si>
  <si>
    <t>Total Earning per year</t>
  </si>
  <si>
    <t>ROI = (Earnings / Market Cap)</t>
  </si>
  <si>
    <t>Purchase</t>
  </si>
  <si>
    <t>Is it worth purchasing whole Business</t>
  </si>
  <si>
    <t>Alternate biz oppr</t>
  </si>
  <si>
    <t>Investment in govt bond/PPF/tax free returns (assured returns)</t>
  </si>
  <si>
    <t>Market Sentiments</t>
  </si>
  <si>
    <t>Bull -&gt; To Sell</t>
  </si>
  <si>
    <t>Bear -&gt; To Buy</t>
  </si>
  <si>
    <t>Bubble -&gt; To Sell</t>
  </si>
  <si>
    <t>Panic Selling or corrections -&gt; To Buy</t>
  </si>
  <si>
    <t>Price is single most imp factor for purchase</t>
  </si>
  <si>
    <t>Bubble bursts, when value investors exit from stock market</t>
  </si>
  <si>
    <t>Look at stocks that are rejected by momentum pickers</t>
  </si>
  <si>
    <t>when Stock market analysts proclaim that - valuation no longer important, then bull market is in final phase and bubble started.</t>
  </si>
  <si>
    <t>Bad News</t>
  </si>
  <si>
    <t>Stock Market Panic</t>
  </si>
  <si>
    <t>Industry recession</t>
  </si>
  <si>
    <t>Individual Business</t>
  </si>
  <si>
    <t>Passing calamity - good reason to buy</t>
  </si>
  <si>
    <t>Ir-reversible - Stay out of it..</t>
  </si>
  <si>
    <t>structural changes and War</t>
  </si>
  <si>
    <t>Industry Type</t>
  </si>
  <si>
    <t>Repeat Customers such as Soap</t>
  </si>
  <si>
    <t>Advertising companies (typically Monopoly)</t>
  </si>
  <si>
    <t>ROE/ROCE</t>
  </si>
  <si>
    <t>Consistent and higher is better - preferred above 12-15% - yes</t>
  </si>
  <si>
    <t>No - for lower</t>
  </si>
  <si>
    <t>Bank/FI/Investment Banks</t>
  </si>
  <si>
    <t>ROA</t>
  </si>
  <si>
    <t>ROE</t>
  </si>
  <si>
    <t>ROA - &gt; greateer and consistent is better - &gt; 1% and 2% &amp;&amp;&amp;&amp;&amp;</t>
  </si>
  <si>
    <t>ROE &gt; 12%</t>
  </si>
  <si>
    <t>Attractiveness</t>
  </si>
  <si>
    <t>why sudden loss or decline in profit / earnings</t>
  </si>
  <si>
    <t>One time or indicator of future earnings</t>
  </si>
  <si>
    <t>Ability of paying loan from operational cashflow is essential compared to Assets backing it…</t>
  </si>
  <si>
    <t>Check for Gurrantor for any other subsidary....</t>
  </si>
  <si>
    <t>Amount of earnings retained by a business for certain period and measures its effect on the earning capacity of the company</t>
  </si>
  <si>
    <t>Share Repurchase</t>
  </si>
  <si>
    <t>Like RIL and Adani Enterprise on Adani Power</t>
  </si>
  <si>
    <t>Price and BV</t>
  </si>
  <si>
    <t>Time to Sell</t>
  </si>
  <si>
    <t>P/E above 50 , time to sell..</t>
  </si>
  <si>
    <t>Change in business economics</t>
  </si>
  <si>
    <t>Target price achieved</t>
  </si>
  <si>
    <t>Arbitrage</t>
  </si>
  <si>
    <t>M&amp;A tool</t>
  </si>
  <si>
    <t>Dividends</t>
  </si>
  <si>
    <t>Only if deal is announed and certain</t>
  </si>
  <si>
    <t>Price</t>
  </si>
  <si>
    <t>pay less, earn more</t>
  </si>
  <si>
    <t>Good business -&gt; increasing book value</t>
  </si>
  <si>
    <t>Good business -&gt; increasing price</t>
  </si>
  <si>
    <t>Keep looking for durable competitive company and buy when price is cheap</t>
  </si>
  <si>
    <t>Products/ Service</t>
  </si>
  <si>
    <t>how much time it would take to pay of Long term liability from Net profit</t>
  </si>
  <si>
    <t xml:space="preserve"> &lt; 3 years is preferred... (other than banks)</t>
  </si>
  <si>
    <t>Long Term Debt</t>
  </si>
  <si>
    <t>Secured Loan alone</t>
  </si>
  <si>
    <t>Un-secured Alone</t>
  </si>
  <si>
    <t>Total Free Reserves</t>
  </si>
  <si>
    <t>Total Shareholder Equity</t>
  </si>
  <si>
    <t>Cash &amp; Cash Equivalents</t>
  </si>
  <si>
    <t>Investments</t>
  </si>
  <si>
    <t>Current Liability</t>
  </si>
  <si>
    <t>How Much cash/Cash equivalent required</t>
  </si>
  <si>
    <t>How many years required to pay-off the LT Debt</t>
  </si>
  <si>
    <t>years required to pay-off</t>
  </si>
  <si>
    <t>Repayment capability of LT Debt with Net profit (in years)</t>
  </si>
  <si>
    <t>Repayment capability of Secured Loan with Net profit  (in years)</t>
  </si>
  <si>
    <t>Repayment capability of Un-Secured Loan with Net profit  (in years)</t>
  </si>
  <si>
    <t>Repayment capability of Current Liability with Net profit  (in years)</t>
  </si>
  <si>
    <t>Multiples</t>
  </si>
  <si>
    <t>P/E ratio</t>
  </si>
  <si>
    <t>RE - % earnings retained</t>
  </si>
  <si>
    <t>Return of Assets (ROA)</t>
  </si>
  <si>
    <t>Return of Equity (ROE)</t>
  </si>
  <si>
    <t>Return of Capital Employed (ROCE)</t>
  </si>
  <si>
    <t>Return of Investment (ROI)</t>
  </si>
  <si>
    <t>Y6</t>
  </si>
  <si>
    <t>Y7</t>
  </si>
  <si>
    <t>Y8</t>
  </si>
  <si>
    <t>Y9</t>
  </si>
  <si>
    <t>Y10</t>
  </si>
  <si>
    <t>Total Number of outstanding shares (in Cr)</t>
  </si>
  <si>
    <t>SHE (includes reserves &amp; Share capital)</t>
  </si>
  <si>
    <t>Required Rate of Return</t>
  </si>
  <si>
    <t>Asset &amp; Liabilities</t>
  </si>
  <si>
    <t>Per share details</t>
  </si>
  <si>
    <t>Discounted - Time Value of Money</t>
  </si>
  <si>
    <t>Book Value (reserves &amp; Surplus alone) per share</t>
  </si>
  <si>
    <t>Book Value (Networth based) per share</t>
  </si>
  <si>
    <t>Book Value (Total Liability) per share</t>
  </si>
  <si>
    <t>Book Value (Cash Based) per share</t>
  </si>
  <si>
    <t>Book Value (Total C.A) per share</t>
  </si>
  <si>
    <t>Book Value (on Net Current Assets) per share</t>
  </si>
  <si>
    <t>Price Movement</t>
  </si>
  <si>
    <t>Eval Start Year</t>
  </si>
  <si>
    <t>Eval End Year</t>
  </si>
  <si>
    <t>Proj  CAGR</t>
  </si>
  <si>
    <t>Book Value (Investment) per share</t>
  </si>
  <si>
    <t>Book Value (Cash + Investment) per share</t>
  </si>
  <si>
    <t>Net Earnings (Net Profit)</t>
  </si>
  <si>
    <t>EPS (Net Profit per share)</t>
  </si>
  <si>
    <t>P/BV (Share Holder Equity)</t>
  </si>
  <si>
    <t>P/BV (Cash + Investment Based)</t>
  </si>
  <si>
    <t>P/BV (On Net Current Assets)</t>
  </si>
  <si>
    <t>Expenses</t>
  </si>
  <si>
    <t>Repayment capability of LT Debt with Cash + Investment</t>
  </si>
  <si>
    <t>Repayment capability of Secured Loan with Cash + Investment</t>
  </si>
  <si>
    <t>Repayment capability of Un-Secured Loan with Cash + Investment</t>
  </si>
  <si>
    <t>Repayment capability of Current Liability with Cash + Investment</t>
  </si>
  <si>
    <t>Net Profit Margin</t>
  </si>
  <si>
    <t>Gross Profit Margin - Operating</t>
  </si>
  <si>
    <t>??</t>
  </si>
  <si>
    <t>Current Liabilities</t>
  </si>
  <si>
    <t>Book Value ( SHE - Total Liability) per share</t>
  </si>
  <si>
    <t>Book Value ( SHE - Total Liability - CL) per share</t>
  </si>
  <si>
    <t>Book Value (reserves &amp; Surplus alone) / share</t>
  </si>
  <si>
    <t>Book Value (Networth based) / Share</t>
  </si>
  <si>
    <t>Book Value (Total Liability) / Share</t>
  </si>
  <si>
    <t>Book Value (Cash Based) / Share</t>
  </si>
  <si>
    <t>Book Value ( SHE + CA - Total Liability - CL) per share</t>
  </si>
  <si>
    <t>Net Fixed Assets</t>
  </si>
  <si>
    <t>Operating Profit (EBITDA)</t>
  </si>
  <si>
    <t>Suzlon Energy</t>
  </si>
  <si>
    <t>Avg EPS</t>
  </si>
  <si>
    <t>P/BV ( SHE + CA - Total Liability - CL)</t>
  </si>
  <si>
    <t>Dividend (per share)</t>
  </si>
  <si>
    <t>Net Cash Flow from Operations</t>
  </si>
  <si>
    <t>Net Cash Flow from Investments</t>
  </si>
  <si>
    <t>Net Cash Flow from Financing</t>
  </si>
  <si>
    <t>Net Cash Flow (operations per share)</t>
  </si>
  <si>
    <t>Net Cash Flow (Capex per share)</t>
  </si>
  <si>
    <t>Net Cash Flow (Financing per share)</t>
  </si>
  <si>
    <t>Y11 onwards</t>
  </si>
  <si>
    <t>Future Growth Rate</t>
  </si>
  <si>
    <t>Cash and Cash Equivalent</t>
  </si>
  <si>
    <t>Cash and Cash Equivalent / per share</t>
  </si>
  <si>
    <t>Net Cash and Cash Equivalent</t>
  </si>
  <si>
    <t>Net Cash &amp; Cash Equivalent (at the end of yr) per share</t>
  </si>
  <si>
    <t>Cummulative Terms (NPV)</t>
  </si>
  <si>
    <t>Net Cash &amp; Cash Equivalent per share</t>
  </si>
  <si>
    <t>R&amp;D Expenses</t>
  </si>
  <si>
    <t>% Discount (Price/Dividend)</t>
  </si>
  <si>
    <t>% Discount (Price / B.V)</t>
  </si>
  <si>
    <t xml:space="preserve">P/E </t>
  </si>
  <si>
    <t>Cummulative Terms</t>
  </si>
  <si>
    <t>Key Ratios</t>
  </si>
  <si>
    <t>Sales (Rev per share)</t>
  </si>
  <si>
    <t>Expenses (Total Expense per share)</t>
  </si>
  <si>
    <t>Total Debt - LTL/SHE</t>
  </si>
  <si>
    <t>Total Debt - LTL/Cash &amp; Cash Eqv.</t>
  </si>
  <si>
    <t>Total Debt - LTL/( Cash &amp; Cash Eqv + Investments)</t>
  </si>
  <si>
    <t>2nd highest Expenses Comp. ( Empl )</t>
  </si>
  <si>
    <t>Operating Profit Margin</t>
  </si>
  <si>
    <t>RONW</t>
  </si>
  <si>
    <t>Profitability Ratios</t>
  </si>
  <si>
    <t>Operating profit per year</t>
  </si>
  <si>
    <t>Net Profit per year</t>
  </si>
  <si>
    <t>Reserves per share</t>
  </si>
  <si>
    <t>if NEGATIVE, then stock is in DISCOUNT, if POSITIVE, then stock is in PREMIUM</t>
  </si>
  <si>
    <t>Company Name</t>
  </si>
  <si>
    <t>Top Expenses ( Raw material )</t>
  </si>
  <si>
    <t>Net Cash Flow (Operations + Investments)</t>
  </si>
  <si>
    <t>Net Cash Flow (Operations + Investments) per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</si>
</sst>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5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_);_(* \(#,##0\);_(* &quot;-&quot;??_);_(@_)"/>
    <numFmt numFmtId="165" formatCode="_(* #,##0.0_);_(* \(#,##0.0\);_(* &quot;-&quot;??_);_(@_)"/>
    <numFmt numFmtId="166" formatCode="[$₹-861]#,##0.00;[Red]\-[$₹-861]#,##0.00"/>
    <numFmt numFmtId="167" formatCode="[$₹-861]#,##0;[Red]\-[$₹-861]#,##0"/>
    <numFmt numFmtId="168" formatCode="0.0%"/>
    <numFmt numFmtId="169" formatCode="_-[$₹-861]* #,##0.00_-;\-[$₹-861]* #,##0.00_-;_-[$₹-861]* &quot;-&quot;??_-;_-@_-"/>
    <numFmt numFmtId="170" formatCode="_-[$₹-861]* #,##0_-;\-[$₹-861]* #,##0_-;_-[$₹-861]* &quot;-&quot;??_-;_-@_-"/>
    <numFmt numFmtId="171" formatCode="0.000"/>
    <numFmt numFmtId="172" formatCode="0.0"/>
    <numFmt numFmtId="173" formatCode="_(&quot;$&quot;* #,##0_);_(&quot;$&quot;* \(#,##0\);_(&quot;$&quot;* &quot;-&quot;??_);_(@_)"/>
    <numFmt numFmtId="174" formatCode="#,##0.00_ ;[Red]\-#,##0.00\ "/>
    <numFmt numFmtId="175" formatCode="#,##0_ ;[Red]\-#,##0\ "/>
    <numFmt numFmtId="176" formatCode="#,##0.0_ ;[Red]\-#,##0.0\ "/>
  </numFmts>
  <fonts count="1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Gill Sans MT"/>
      <family val="2"/>
    </font>
    <font>
      <b/>
      <sz val="10"/>
      <color theme="1"/>
      <name val="Gill Sans MT"/>
      <family val="2"/>
    </font>
    <font>
      <sz val="10"/>
      <color theme="1"/>
      <name val="Cambria"/>
      <family val="1"/>
      <scheme val="major"/>
    </font>
    <font>
      <b/>
      <sz val="10"/>
      <color theme="1"/>
      <name val="Cambria"/>
      <family val="1"/>
      <scheme val="major"/>
    </font>
    <font>
      <b/>
      <sz val="11"/>
      <color theme="1"/>
      <name val="Calibri"/>
      <family val="2"/>
      <scheme val="minor"/>
    </font>
    <font>
      <b/>
      <sz val="14"/>
      <color theme="1"/>
      <name val="Cambria"/>
      <family val="1"/>
      <scheme val="major"/>
    </font>
    <font>
      <sz val="10"/>
      <color rgb="FF0070C0"/>
      <name val="Cambria"/>
      <family val="1"/>
      <scheme val="major"/>
    </font>
    <font>
      <b/>
      <sz val="10"/>
      <color theme="9" tint="-0.499984740745262"/>
      <name val="Cambria"/>
      <family val="1"/>
      <scheme val="major"/>
    </font>
    <font>
      <b/>
      <sz val="10"/>
      <color rgb="FF0070C0"/>
      <name val="Cambria"/>
      <family val="1"/>
      <scheme val="major"/>
    </font>
    <font>
      <sz val="10"/>
      <name val="Cambria"/>
      <family val="1"/>
      <scheme val="major"/>
    </font>
    <font>
      <sz val="10"/>
      <color rgb="FFFF9966"/>
      <name val="Cambria"/>
      <family val="1"/>
      <scheme val="major"/>
    </font>
  </fonts>
  <fills count="14">
    <fill>
      <patternFill patternType="none"/>
    </fill>
    <fill>
      <patternFill patternType="gray125"/>
    </fill>
    <fill>
      <patternFill patternType="solid">
        <fgColor theme="6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0.39997558519241921"/>
        <bgColor indexed="64"/>
      </patternFill>
    </fill>
  </fills>
  <borders count="1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175">
    <xf numFmtId="0" fontId="0" fillId="0" borderId="0" xfId="0"/>
    <xf numFmtId="0" fontId="2" fillId="5" borderId="1" xfId="0" applyFont="1" applyFill="1" applyBorder="1"/>
    <xf numFmtId="2" fontId="2" fillId="5" borderId="1" xfId="0" applyNumberFormat="1" applyFont="1" applyFill="1" applyBorder="1"/>
    <xf numFmtId="10" fontId="5" fillId="5" borderId="1" xfId="1" applyNumberFormat="1" applyFont="1" applyFill="1" applyBorder="1"/>
    <xf numFmtId="10" fontId="2" fillId="5" borderId="1" xfId="0" applyNumberFormat="1" applyFont="1" applyFill="1" applyBorder="1"/>
    <xf numFmtId="10" fontId="2" fillId="6" borderId="1" xfId="0" applyNumberFormat="1" applyFont="1" applyFill="1" applyBorder="1"/>
    <xf numFmtId="0" fontId="2" fillId="5" borderId="0" xfId="0" applyFont="1" applyFill="1"/>
    <xf numFmtId="9" fontId="2" fillId="6" borderId="0" xfId="0" applyNumberFormat="1" applyFont="1" applyFill="1"/>
    <xf numFmtId="164" fontId="2" fillId="6" borderId="0" xfId="2" applyNumberFormat="1" applyFont="1" applyFill="1"/>
    <xf numFmtId="164" fontId="2" fillId="5" borderId="0" xfId="2" applyNumberFormat="1" applyFont="1" applyFill="1"/>
    <xf numFmtId="1" fontId="2" fillId="5" borderId="0" xfId="2" applyNumberFormat="1" applyFont="1" applyFill="1"/>
    <xf numFmtId="164" fontId="2" fillId="6" borderId="1" xfId="2" applyNumberFormat="1" applyFont="1" applyFill="1" applyBorder="1"/>
    <xf numFmtId="165" fontId="2" fillId="5" borderId="1" xfId="0" applyNumberFormat="1" applyFont="1" applyFill="1" applyBorder="1"/>
    <xf numFmtId="43" fontId="2" fillId="5" borderId="0" xfId="0" applyNumberFormat="1" applyFont="1" applyFill="1"/>
    <xf numFmtId="43" fontId="2" fillId="5" borderId="0" xfId="2" applyNumberFormat="1" applyFont="1" applyFill="1"/>
    <xf numFmtId="38" fontId="2" fillId="6" borderId="0" xfId="2" applyNumberFormat="1" applyFont="1" applyFill="1"/>
    <xf numFmtId="40" fontId="2" fillId="5" borderId="0" xfId="2" applyNumberFormat="1" applyFont="1" applyFill="1"/>
    <xf numFmtId="0" fontId="3" fillId="8" borderId="1" xfId="0" applyFont="1" applyFill="1" applyBorder="1" applyAlignment="1">
      <alignment horizontal="center" vertical="center"/>
    </xf>
    <xf numFmtId="0" fontId="2" fillId="5" borderId="1" xfId="0" applyFont="1" applyFill="1" applyBorder="1" applyAlignment="1">
      <alignment horizontal="center"/>
    </xf>
    <xf numFmtId="0" fontId="2" fillId="5" borderId="0" xfId="0" applyFont="1" applyFill="1" applyAlignment="1">
      <alignment horizontal="center"/>
    </xf>
    <xf numFmtId="0" fontId="4" fillId="5" borderId="1" xfId="0" applyFont="1" applyFill="1" applyBorder="1"/>
    <xf numFmtId="164" fontId="4" fillId="6" borderId="1" xfId="2" applyNumberFormat="1" applyFont="1" applyFill="1" applyBorder="1"/>
    <xf numFmtId="0" fontId="4" fillId="6" borderId="1" xfId="0" applyFont="1" applyFill="1" applyBorder="1"/>
    <xf numFmtId="0" fontId="5" fillId="5" borderId="1" xfId="0" applyFont="1" applyFill="1" applyBorder="1"/>
    <xf numFmtId="1" fontId="4" fillId="6" borderId="1" xfId="1" applyNumberFormat="1" applyFont="1" applyFill="1" applyBorder="1"/>
    <xf numFmtId="2" fontId="4" fillId="5" borderId="1" xfId="0" applyNumberFormat="1" applyFont="1" applyFill="1" applyBorder="1"/>
    <xf numFmtId="0" fontId="2" fillId="8" borderId="0" xfId="0" applyFont="1" applyFill="1"/>
    <xf numFmtId="0" fontId="2" fillId="8" borderId="1" xfId="0" applyFont="1" applyFill="1" applyBorder="1"/>
    <xf numFmtId="0" fontId="3" fillId="3" borderId="1" xfId="0" applyFont="1" applyFill="1" applyBorder="1"/>
    <xf numFmtId="166" fontId="4" fillId="5" borderId="1" xfId="0" applyNumberFormat="1" applyFont="1" applyFill="1" applyBorder="1"/>
    <xf numFmtId="166" fontId="4" fillId="6" borderId="1" xfId="0" applyNumberFormat="1" applyFont="1" applyFill="1" applyBorder="1"/>
    <xf numFmtId="10" fontId="4" fillId="6" borderId="1" xfId="1" applyNumberFormat="1" applyFont="1" applyFill="1" applyBorder="1"/>
    <xf numFmtId="2" fontId="4" fillId="6" borderId="1" xfId="0" applyNumberFormat="1" applyFont="1" applyFill="1" applyBorder="1"/>
    <xf numFmtId="167" fontId="4" fillId="6" borderId="1" xfId="0" applyNumberFormat="1" applyFont="1" applyFill="1" applyBorder="1"/>
    <xf numFmtId="166" fontId="5" fillId="5" borderId="1" xfId="0" applyNumberFormat="1" applyFont="1" applyFill="1" applyBorder="1"/>
    <xf numFmtId="0" fontId="3" fillId="3" borderId="4" xfId="0" applyFont="1" applyFill="1" applyBorder="1" applyAlignment="1"/>
    <xf numFmtId="0" fontId="3" fillId="3" borderId="5" xfId="0" applyFont="1" applyFill="1" applyBorder="1" applyAlignment="1"/>
    <xf numFmtId="0" fontId="3" fillId="3" borderId="6" xfId="0" applyFont="1" applyFill="1" applyBorder="1" applyAlignment="1"/>
    <xf numFmtId="0" fontId="2" fillId="8" borderId="4" xfId="0" applyFont="1" applyFill="1" applyBorder="1"/>
    <xf numFmtId="2" fontId="2" fillId="8" borderId="1" xfId="0" applyNumberFormat="1" applyFont="1" applyFill="1" applyBorder="1"/>
    <xf numFmtId="2" fontId="2" fillId="8" borderId="1" xfId="2" applyNumberFormat="1" applyFont="1" applyFill="1" applyBorder="1" applyAlignment="1">
      <alignment horizontal="center"/>
    </xf>
    <xf numFmtId="9" fontId="2" fillId="8" borderId="1" xfId="1" applyFont="1" applyFill="1" applyBorder="1"/>
    <xf numFmtId="168" fontId="2" fillId="8" borderId="1" xfId="1" applyNumberFormat="1" applyFont="1" applyFill="1" applyBorder="1"/>
    <xf numFmtId="10" fontId="2" fillId="8" borderId="1" xfId="1" applyNumberFormat="1" applyFont="1" applyFill="1" applyBorder="1"/>
    <xf numFmtId="2" fontId="2" fillId="7" borderId="1" xfId="2" applyNumberFormat="1" applyFont="1" applyFill="1" applyBorder="1" applyAlignment="1">
      <alignment horizontal="center"/>
    </xf>
    <xf numFmtId="0" fontId="2" fillId="7" borderId="1" xfId="0" applyFont="1" applyFill="1" applyBorder="1"/>
    <xf numFmtId="168" fontId="2" fillId="8" borderId="1" xfId="0" applyNumberFormat="1" applyFont="1" applyFill="1" applyBorder="1"/>
    <xf numFmtId="2" fontId="2" fillId="8" borderId="1" xfId="1" applyNumberFormat="1" applyFont="1" applyFill="1" applyBorder="1"/>
    <xf numFmtId="168" fontId="2" fillId="7" borderId="1" xfId="0" applyNumberFormat="1" applyFont="1" applyFill="1" applyBorder="1"/>
    <xf numFmtId="2" fontId="2" fillId="7" borderId="1" xfId="1" applyNumberFormat="1" applyFont="1" applyFill="1" applyBorder="1"/>
    <xf numFmtId="2" fontId="2" fillId="7" borderId="1" xfId="0" applyNumberFormat="1" applyFont="1" applyFill="1" applyBorder="1"/>
    <xf numFmtId="10" fontId="3" fillId="7" borderId="1" xfId="1" applyNumberFormat="1" applyFont="1" applyFill="1" applyBorder="1"/>
    <xf numFmtId="0" fontId="3" fillId="8" borderId="1" xfId="0" applyFont="1" applyFill="1" applyBorder="1"/>
    <xf numFmtId="10" fontId="3" fillId="8" borderId="1" xfId="0" applyNumberFormat="1" applyFont="1" applyFill="1" applyBorder="1"/>
    <xf numFmtId="38" fontId="4" fillId="6" borderId="1" xfId="0" applyNumberFormat="1" applyFont="1" applyFill="1" applyBorder="1" applyAlignment="1">
      <alignment horizontal="right"/>
    </xf>
    <xf numFmtId="167" fontId="4" fillId="5" borderId="1" xfId="0" applyNumberFormat="1" applyFont="1" applyFill="1" applyBorder="1"/>
    <xf numFmtId="0" fontId="0" fillId="5" borderId="0" xfId="0" applyFill="1"/>
    <xf numFmtId="9" fontId="2" fillId="5" borderId="1" xfId="0" applyNumberFormat="1" applyFont="1" applyFill="1" applyBorder="1"/>
    <xf numFmtId="0" fontId="0" fillId="5" borderId="1" xfId="0" applyFill="1" applyBorder="1"/>
    <xf numFmtId="164" fontId="2" fillId="5" borderId="1" xfId="2" applyNumberFormat="1" applyFont="1" applyFill="1" applyBorder="1"/>
    <xf numFmtId="164" fontId="0" fillId="5" borderId="1" xfId="2" applyNumberFormat="1" applyFont="1" applyFill="1" applyBorder="1"/>
    <xf numFmtId="0" fontId="2" fillId="6" borderId="1" xfId="0" applyFont="1" applyFill="1" applyBorder="1" applyAlignment="1">
      <alignment horizontal="center"/>
    </xf>
    <xf numFmtId="170" fontId="2" fillId="5" borderId="1" xfId="2" applyNumberFormat="1" applyFont="1" applyFill="1" applyBorder="1" applyAlignment="1">
      <alignment horizontal="center"/>
    </xf>
    <xf numFmtId="169" fontId="0" fillId="5" borderId="1" xfId="2" applyNumberFormat="1" applyFont="1" applyFill="1" applyBorder="1"/>
    <xf numFmtId="169" fontId="0" fillId="5" borderId="1" xfId="0" applyNumberFormat="1" applyFill="1" applyBorder="1"/>
    <xf numFmtId="170" fontId="0" fillId="5" borderId="1" xfId="0" applyNumberFormat="1" applyFill="1" applyBorder="1"/>
    <xf numFmtId="164" fontId="2" fillId="5" borderId="10" xfId="2" applyNumberFormat="1" applyFont="1" applyFill="1" applyBorder="1"/>
    <xf numFmtId="164" fontId="2" fillId="5" borderId="11" xfId="2" applyNumberFormat="1" applyFont="1" applyFill="1" applyBorder="1"/>
    <xf numFmtId="170" fontId="2" fillId="5" borderId="11" xfId="2" applyNumberFormat="1" applyFont="1" applyFill="1" applyBorder="1"/>
    <xf numFmtId="0" fontId="2" fillId="6" borderId="10" xfId="0" applyFont="1" applyFill="1" applyBorder="1" applyAlignment="1">
      <alignment horizontal="center"/>
    </xf>
    <xf numFmtId="170" fontId="0" fillId="5" borderId="11" xfId="0" applyNumberFormat="1" applyFill="1" applyBorder="1"/>
    <xf numFmtId="0" fontId="0" fillId="6" borderId="10" xfId="0" applyFill="1" applyBorder="1" applyAlignment="1">
      <alignment horizontal="center"/>
    </xf>
    <xf numFmtId="0" fontId="0" fillId="5" borderId="10" xfId="0" applyFill="1" applyBorder="1"/>
    <xf numFmtId="0" fontId="0" fillId="5" borderId="11" xfId="0" applyFill="1" applyBorder="1"/>
    <xf numFmtId="0" fontId="0" fillId="5" borderId="12" xfId="0" applyFill="1" applyBorder="1"/>
    <xf numFmtId="0" fontId="0" fillId="5" borderId="13" xfId="0" applyFill="1" applyBorder="1"/>
    <xf numFmtId="0" fontId="0" fillId="5" borderId="14" xfId="0" applyFill="1" applyBorder="1"/>
    <xf numFmtId="164" fontId="0" fillId="5" borderId="10" xfId="2" applyNumberFormat="1" applyFont="1" applyFill="1" applyBorder="1"/>
    <xf numFmtId="164" fontId="0" fillId="5" borderId="11" xfId="2" applyNumberFormat="1" applyFont="1" applyFill="1" applyBorder="1"/>
    <xf numFmtId="169" fontId="0" fillId="5" borderId="11" xfId="2" applyNumberFormat="1" applyFont="1" applyFill="1" applyBorder="1"/>
    <xf numFmtId="169" fontId="0" fillId="5" borderId="11" xfId="0" applyNumberFormat="1" applyFill="1" applyBorder="1"/>
    <xf numFmtId="0" fontId="3" fillId="3" borderId="7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/>
    </xf>
    <xf numFmtId="0" fontId="3" fillId="3" borderId="8" xfId="0" applyFont="1" applyFill="1" applyBorder="1" applyAlignment="1">
      <alignment horizontal="center" vertical="center" wrapText="1"/>
    </xf>
    <xf numFmtId="0" fontId="3" fillId="3" borderId="9" xfId="0" applyFont="1" applyFill="1" applyBorder="1" applyAlignment="1">
      <alignment horizontal="center" vertical="center"/>
    </xf>
    <xf numFmtId="9" fontId="0" fillId="5" borderId="10" xfId="0" applyNumberFormat="1" applyFill="1" applyBorder="1"/>
    <xf numFmtId="0" fontId="2" fillId="8" borderId="3" xfId="0" applyFont="1" applyFill="1" applyBorder="1"/>
    <xf numFmtId="0" fontId="2" fillId="8" borderId="2" xfId="0" applyFont="1" applyFill="1" applyBorder="1"/>
    <xf numFmtId="0" fontId="3" fillId="8" borderId="7" xfId="0" applyFont="1" applyFill="1" applyBorder="1" applyAlignment="1">
      <alignment horizontal="center" vertical="center"/>
    </xf>
    <xf numFmtId="0" fontId="3" fillId="8" borderId="9" xfId="0" applyFont="1" applyFill="1" applyBorder="1" applyAlignment="1">
      <alignment horizontal="center" vertical="center"/>
    </xf>
    <xf numFmtId="0" fontId="2" fillId="5" borderId="10" xfId="0" applyFont="1" applyFill="1" applyBorder="1" applyAlignment="1">
      <alignment horizontal="center"/>
    </xf>
    <xf numFmtId="0" fontId="2" fillId="5" borderId="11" xfId="0" applyFont="1" applyFill="1" applyBorder="1"/>
    <xf numFmtId="0" fontId="3" fillId="5" borderId="11" xfId="0" applyFont="1" applyFill="1" applyBorder="1"/>
    <xf numFmtId="10" fontId="2" fillId="6" borderId="10" xfId="0" applyNumberFormat="1" applyFont="1" applyFill="1" applyBorder="1"/>
    <xf numFmtId="9" fontId="2" fillId="6" borderId="1" xfId="0" applyNumberFormat="1" applyFont="1" applyFill="1" applyBorder="1"/>
    <xf numFmtId="10" fontId="2" fillId="6" borderId="11" xfId="0" applyNumberFormat="1" applyFont="1" applyFill="1" applyBorder="1"/>
    <xf numFmtId="10" fontId="2" fillId="5" borderId="10" xfId="0" applyNumberFormat="1" applyFont="1" applyFill="1" applyBorder="1"/>
    <xf numFmtId="10" fontId="2" fillId="5" borderId="11" xfId="0" applyNumberFormat="1" applyFont="1" applyFill="1" applyBorder="1"/>
    <xf numFmtId="10" fontId="2" fillId="5" borderId="0" xfId="1" applyNumberFormat="1" applyFont="1" applyFill="1"/>
    <xf numFmtId="0" fontId="3" fillId="5" borderId="0" xfId="0" applyFont="1" applyFill="1"/>
    <xf numFmtId="164" fontId="2" fillId="5" borderId="0" xfId="0" applyNumberFormat="1" applyFont="1" applyFill="1"/>
    <xf numFmtId="9" fontId="2" fillId="5" borderId="0" xfId="0" applyNumberFormat="1" applyFont="1" applyFill="1"/>
    <xf numFmtId="38" fontId="2" fillId="5" borderId="0" xfId="2" applyNumberFormat="1" applyFont="1" applyFill="1"/>
    <xf numFmtId="0" fontId="4" fillId="5" borderId="1" xfId="0" applyFont="1" applyFill="1" applyBorder="1" applyAlignment="1">
      <alignment horizontal="center" vertical="center"/>
    </xf>
    <xf numFmtId="0" fontId="4" fillId="5" borderId="0" xfId="0" applyFont="1" applyFill="1"/>
    <xf numFmtId="0" fontId="4" fillId="5" borderId="0" xfId="0" applyFont="1" applyFill="1" applyAlignment="1">
      <alignment horizontal="center" vertical="center"/>
    </xf>
    <xf numFmtId="0" fontId="4" fillId="5" borderId="1" xfId="0" applyFont="1" applyFill="1" applyBorder="1" applyAlignment="1">
      <alignment wrapText="1"/>
    </xf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/>
    <xf numFmtId="0" fontId="5" fillId="5" borderId="1" xfId="0" applyFont="1" applyFill="1" applyBorder="1" applyAlignment="1">
      <alignment wrapText="1"/>
    </xf>
    <xf numFmtId="171" fontId="4" fillId="5" borderId="1" xfId="0" applyNumberFormat="1" applyFont="1" applyFill="1" applyBorder="1"/>
    <xf numFmtId="9" fontId="4" fillId="6" borderId="1" xfId="0" applyNumberFormat="1" applyFont="1" applyFill="1" applyBorder="1"/>
    <xf numFmtId="172" fontId="4" fillId="5" borderId="1" xfId="0" applyNumberFormat="1" applyFont="1" applyFill="1" applyBorder="1"/>
    <xf numFmtId="173" fontId="4" fillId="6" borderId="1" xfId="3" applyNumberFormat="1" applyFont="1" applyFill="1" applyBorder="1"/>
    <xf numFmtId="0" fontId="5" fillId="9" borderId="1" xfId="0" applyFont="1" applyFill="1" applyBorder="1"/>
    <xf numFmtId="0" fontId="5" fillId="10" borderId="1" xfId="0" applyFont="1" applyFill="1" applyBorder="1" applyAlignment="1">
      <alignment horizontal="center" vertical="center"/>
    </xf>
    <xf numFmtId="0" fontId="5" fillId="12" borderId="1" xfId="0" applyFont="1" applyFill="1" applyBorder="1" applyAlignment="1">
      <alignment horizontal="center" vertical="center"/>
    </xf>
    <xf numFmtId="9" fontId="4" fillId="5" borderId="1" xfId="0" applyNumberFormat="1" applyFont="1" applyFill="1" applyBorder="1"/>
    <xf numFmtId="10" fontId="4" fillId="11" borderId="1" xfId="1" applyNumberFormat="1" applyFont="1" applyFill="1" applyBorder="1"/>
    <xf numFmtId="1" fontId="4" fillId="5" borderId="1" xfId="0" applyNumberFormat="1" applyFont="1" applyFill="1" applyBorder="1"/>
    <xf numFmtId="9" fontId="4" fillId="5" borderId="0" xfId="0" applyNumberFormat="1" applyFont="1" applyFill="1"/>
    <xf numFmtId="169" fontId="4" fillId="5" borderId="1" xfId="0" applyNumberFormat="1" applyFont="1" applyFill="1" applyBorder="1"/>
    <xf numFmtId="0" fontId="5" fillId="4" borderId="1" xfId="0" applyFont="1" applyFill="1" applyBorder="1" applyAlignment="1">
      <alignment horizontal="center" vertical="center"/>
    </xf>
    <xf numFmtId="0" fontId="5" fillId="5" borderId="0" xfId="0" applyFont="1" applyFill="1"/>
    <xf numFmtId="9" fontId="5" fillId="6" borderId="0" xfId="0" applyNumberFormat="1" applyFont="1" applyFill="1"/>
    <xf numFmtId="0" fontId="7" fillId="13" borderId="0" xfId="0" applyFont="1" applyFill="1"/>
    <xf numFmtId="0" fontId="4" fillId="6" borderId="0" xfId="0" applyFont="1" applyFill="1"/>
    <xf numFmtId="164" fontId="4" fillId="5" borderId="1" xfId="2" applyNumberFormat="1" applyFont="1" applyFill="1" applyBorder="1"/>
    <xf numFmtId="10" fontId="4" fillId="5" borderId="1" xfId="1" applyNumberFormat="1" applyFont="1" applyFill="1" applyBorder="1"/>
    <xf numFmtId="0" fontId="4" fillId="5" borderId="1" xfId="0" applyNumberFormat="1" applyFont="1" applyFill="1" applyBorder="1"/>
    <xf numFmtId="170" fontId="4" fillId="6" borderId="1" xfId="3" applyNumberFormat="1" applyFont="1" applyFill="1" applyBorder="1"/>
    <xf numFmtId="9" fontId="4" fillId="6" borderId="1" xfId="1" applyFont="1" applyFill="1" applyBorder="1"/>
    <xf numFmtId="10" fontId="4" fillId="6" borderId="1" xfId="0" applyNumberFormat="1" applyFont="1" applyFill="1" applyBorder="1"/>
    <xf numFmtId="40" fontId="4" fillId="5" borderId="1" xfId="0" applyNumberFormat="1" applyFont="1" applyFill="1" applyBorder="1"/>
    <xf numFmtId="0" fontId="5" fillId="5" borderId="1" xfId="0" applyFont="1" applyFill="1" applyBorder="1" applyAlignment="1">
      <alignment horizontal="center" vertical="center"/>
    </xf>
    <xf numFmtId="43" fontId="4" fillId="5" borderId="1" xfId="0" applyNumberFormat="1" applyFont="1" applyFill="1" applyBorder="1"/>
    <xf numFmtId="0" fontId="5" fillId="12" borderId="4" xfId="0" applyFont="1" applyFill="1" applyBorder="1" applyAlignment="1">
      <alignment horizontal="center" vertical="center"/>
    </xf>
    <xf numFmtId="0" fontId="4" fillId="5" borderId="4" xfId="0" applyFont="1" applyFill="1" applyBorder="1"/>
    <xf numFmtId="10" fontId="4" fillId="11" borderId="4" xfId="1" applyNumberFormat="1" applyFont="1" applyFill="1" applyBorder="1"/>
    <xf numFmtId="10" fontId="4" fillId="5" borderId="4" xfId="1" applyNumberFormat="1" applyFont="1" applyFill="1" applyBorder="1"/>
    <xf numFmtId="174" fontId="4" fillId="5" borderId="1" xfId="0" applyNumberFormat="1" applyFont="1" applyFill="1" applyBorder="1"/>
    <xf numFmtId="0" fontId="8" fillId="5" borderId="1" xfId="0" applyFont="1" applyFill="1" applyBorder="1"/>
    <xf numFmtId="1" fontId="8" fillId="5" borderId="1" xfId="0" applyNumberFormat="1" applyFont="1" applyFill="1" applyBorder="1"/>
    <xf numFmtId="40" fontId="4" fillId="5" borderId="1" xfId="2" applyNumberFormat="1" applyFont="1" applyFill="1" applyBorder="1"/>
    <xf numFmtId="43" fontId="8" fillId="5" borderId="1" xfId="2" applyNumberFormat="1" applyFont="1" applyFill="1" applyBorder="1"/>
    <xf numFmtId="175" fontId="4" fillId="5" borderId="1" xfId="2" applyNumberFormat="1" applyFont="1" applyFill="1" applyBorder="1"/>
    <xf numFmtId="175" fontId="8" fillId="5" borderId="1" xfId="2" applyNumberFormat="1" applyFont="1" applyFill="1" applyBorder="1"/>
    <xf numFmtId="9" fontId="9" fillId="5" borderId="1" xfId="1" applyFont="1" applyFill="1" applyBorder="1"/>
    <xf numFmtId="0" fontId="10" fillId="5" borderId="1" xfId="0" applyFont="1" applyFill="1" applyBorder="1"/>
    <xf numFmtId="175" fontId="10" fillId="5" borderId="1" xfId="2" applyNumberFormat="1" applyFont="1" applyFill="1" applyBorder="1"/>
    <xf numFmtId="9" fontId="9" fillId="5" borderId="1" xfId="1" applyNumberFormat="1" applyFont="1" applyFill="1" applyBorder="1"/>
    <xf numFmtId="9" fontId="4" fillId="5" borderId="1" xfId="1" applyFont="1" applyFill="1" applyBorder="1"/>
    <xf numFmtId="0" fontId="5" fillId="10" borderId="0" xfId="0" applyFont="1" applyFill="1" applyAlignment="1">
      <alignment horizontal="center"/>
    </xf>
    <xf numFmtId="175" fontId="4" fillId="5" borderId="1" xfId="0" applyNumberFormat="1" applyFont="1" applyFill="1" applyBorder="1"/>
    <xf numFmtId="175" fontId="5" fillId="5" borderId="1" xfId="0" applyNumberFormat="1" applyFont="1" applyFill="1" applyBorder="1"/>
    <xf numFmtId="175" fontId="5" fillId="5" borderId="1" xfId="2" applyNumberFormat="1" applyFont="1" applyFill="1" applyBorder="1"/>
    <xf numFmtId="38" fontId="4" fillId="5" borderId="1" xfId="2" applyNumberFormat="1" applyFont="1" applyFill="1" applyBorder="1"/>
    <xf numFmtId="38" fontId="4" fillId="5" borderId="1" xfId="0" applyNumberFormat="1" applyFont="1" applyFill="1" applyBorder="1"/>
    <xf numFmtId="43" fontId="11" fillId="5" borderId="1" xfId="2" applyNumberFormat="1" applyFont="1" applyFill="1" applyBorder="1"/>
    <xf numFmtId="164" fontId="11" fillId="5" borderId="1" xfId="2" applyNumberFormat="1" applyFont="1" applyFill="1" applyBorder="1"/>
    <xf numFmtId="0" fontId="8" fillId="5" borderId="1" xfId="2" applyNumberFormat="1" applyFont="1" applyFill="1" applyBorder="1"/>
    <xf numFmtId="40" fontId="5" fillId="5" borderId="1" xfId="0" applyNumberFormat="1" applyFont="1" applyFill="1" applyBorder="1"/>
    <xf numFmtId="175" fontId="12" fillId="5" borderId="1" xfId="2" applyNumberFormat="1" applyFont="1" applyFill="1" applyBorder="1"/>
    <xf numFmtId="176" fontId="8" fillId="5" borderId="1" xfId="2" applyNumberFormat="1" applyFont="1" applyFill="1" applyBorder="1"/>
    <xf numFmtId="172" fontId="8" fillId="5" borderId="1" xfId="2" applyNumberFormat="1" applyFont="1" applyFill="1" applyBorder="1"/>
    <xf numFmtId="0" fontId="5" fillId="11" borderId="4" xfId="0" applyFont="1" applyFill="1" applyBorder="1" applyAlignment="1">
      <alignment horizontal="center"/>
    </xf>
    <xf numFmtId="0" fontId="5" fillId="11" borderId="6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5" fillId="5" borderId="6" xfId="0" applyFont="1" applyFill="1" applyBorder="1" applyAlignment="1">
      <alignment horizontal="center"/>
    </xf>
    <xf numFmtId="0" fontId="6" fillId="2" borderId="1" xfId="0" applyFont="1" applyFill="1" applyBorder="1" applyAlignment="1">
      <alignment horizontal="center"/>
    </xf>
    <xf numFmtId="0" fontId="3" fillId="9" borderId="15" xfId="0" applyFont="1" applyFill="1" applyBorder="1" applyAlignment="1">
      <alignment horizontal="center"/>
    </xf>
    <xf numFmtId="0" fontId="3" fillId="9" borderId="16" xfId="0" applyFont="1" applyFill="1" applyBorder="1" applyAlignment="1">
      <alignment horizontal="center"/>
    </xf>
    <xf numFmtId="0" fontId="3" fillId="9" borderId="17" xfId="0" applyFont="1" applyFill="1" applyBorder="1" applyAlignment="1">
      <alignment horizontal="center"/>
    </xf>
    <xf numFmtId="0" fontId="6" fillId="2" borderId="4" xfId="0" applyFont="1" applyFill="1" applyBorder="1" applyAlignment="1">
      <alignment horizontal="center"/>
    </xf>
    <xf numFmtId="0" fontId="6" fillId="2" borderId="5" xfId="0" applyFont="1" applyFill="1" applyBorder="1" applyAlignment="1">
      <alignment horizontal="center"/>
    </xf>
  </cellXfs>
  <cellStyles count="4">
    <cellStyle name="Comma" xfId="2" builtinId="3"/>
    <cellStyle name="Currency" xfId="3" builtinId="4"/>
    <cellStyle name="Normal" xfId="0" builtinId="0"/>
    <cellStyle name="Percent" xfId="1" builtinId="5"/>
  </cellStyles>
  <dxfs count="0"/>
  <tableStyles count="0" defaultTableStyle="TableStyleMedium9" defaultPivotStyle="PivotStyleLight16"/>
  <colors>
    <mruColors>
      <color rgb="FFFF9966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</c:title>
    <c:autoTitleDeleted val="0"/>
    <c:plotArea>
      <c:layout/>
      <c:lineChart>
        <c:grouping val="stacked"/>
        <c:varyColors val="0"/>
        <c:ser>
          <c:idx val="0"/>
          <c:order val="0"/>
          <c:tx>
            <c:strRef>
              <c:f>IOB!$D$3</c:f>
              <c:strCache>
                <c:ptCount val="1"/>
                <c:pt idx="0">
                  <c:v>EPS</c:v>
                </c:pt>
              </c:strCache>
            </c:strRef>
          </c:tx>
          <c:marker>
            <c:symbol val="none"/>
          </c:marker>
          <c:val>
            <c:numRef>
              <c:f>IOB!$D$4:$D$16</c:f>
              <c:numCache>
                <c:formatCode>General</c:formatCode>
                <c:ptCount val="13"/>
                <c:pt idx="0">
                  <c:v>0</c:v>
                </c:pt>
                <c:pt idx="2">
                  <c:v>26.5</c:v>
                </c:pt>
                <c:pt idx="3">
                  <c:v>31.74</c:v>
                </c:pt>
                <c:pt idx="4">
                  <c:v>45.28</c:v>
                </c:pt>
                <c:pt idx="5">
                  <c:v>42.52</c:v>
                </c:pt>
                <c:pt idx="6">
                  <c:v>46.71</c:v>
                </c:pt>
                <c:pt idx="7">
                  <c:v>49.38</c:v>
                </c:pt>
                <c:pt idx="8">
                  <c:v>67.56</c:v>
                </c:pt>
                <c:pt idx="9">
                  <c:v>99.32</c:v>
                </c:pt>
                <c:pt idx="10">
                  <c:v>123.39</c:v>
                </c:pt>
                <c:pt idx="11">
                  <c:v>142.53</c:v>
                </c:pt>
                <c:pt idx="12">
                  <c:v>146.66999999999999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1791360"/>
        <c:axId val="71792896"/>
      </c:lineChart>
      <c:catAx>
        <c:axId val="71791360"/>
        <c:scaling>
          <c:orientation val="minMax"/>
        </c:scaling>
        <c:delete val="0"/>
        <c:axPos val="b"/>
        <c:majorTickMark val="out"/>
        <c:minorTickMark val="none"/>
        <c:tickLblPos val="nextTo"/>
        <c:crossAx val="71792896"/>
        <c:crosses val="autoZero"/>
        <c:auto val="1"/>
        <c:lblAlgn val="ctr"/>
        <c:lblOffset val="100"/>
        <c:noMultiLvlLbl val="0"/>
      </c:catAx>
      <c:valAx>
        <c:axId val="71792896"/>
        <c:scaling>
          <c:orientation val="minMax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crossAx val="71791360"/>
        <c:crosses val="autoZero"/>
        <c:crossBetween val="between"/>
      </c:valAx>
    </c:plotArea>
    <c:legend>
      <c:legendPos val="r"/>
      <c:overlay val="0"/>
    </c:legend>
    <c:plotVisOnly val="1"/>
    <c:dispBlanksAs val="zero"/>
    <c:showDLblsOverMax val="0"/>
  </c:chart>
  <c:printSettings>
    <c:headerFooter/>
    <c:pageMargins b="0.75000000000000133" l="0.70000000000000062" r="0.70000000000000062" t="0.750000000000001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219075</xdr:colOff>
      <xdr:row>6</xdr:row>
      <xdr:rowOff>42862</xdr:rowOff>
    </xdr:from>
    <xdr:to>
      <xdr:col>15</xdr:col>
      <xdr:colOff>523875</xdr:colOff>
      <xdr:row>20</xdr:row>
      <xdr:rowOff>119062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3:F108"/>
  <sheetViews>
    <sheetView zoomScale="80" zoomScaleNormal="80" workbookViewId="0">
      <selection activeCell="D21" sqref="D21"/>
    </sheetView>
  </sheetViews>
  <sheetFormatPr defaultRowHeight="12.75" x14ac:dyDescent="0.2"/>
  <cols>
    <col min="1" max="1" width="9.140625" style="104"/>
    <col min="2" max="2" width="9.140625" style="105"/>
    <col min="3" max="3" width="24.28515625" style="104" bestFit="1" customWidth="1"/>
    <col min="4" max="4" width="39.28515625" style="104" bestFit="1" customWidth="1"/>
    <col min="5" max="5" width="39.42578125" style="104" customWidth="1"/>
    <col min="6" max="6" width="56" style="104" bestFit="1" customWidth="1"/>
    <col min="7" max="16384" width="9.140625" style="104"/>
  </cols>
  <sheetData>
    <row r="3" spans="2:6" x14ac:dyDescent="0.2">
      <c r="B3" s="103"/>
      <c r="C3" s="107" t="s">
        <v>87</v>
      </c>
      <c r="D3" s="107" t="s">
        <v>90</v>
      </c>
      <c r="E3" s="107" t="s">
        <v>95</v>
      </c>
      <c r="F3" s="107" t="s">
        <v>96</v>
      </c>
    </row>
    <row r="4" spans="2:6" x14ac:dyDescent="0.2">
      <c r="B4" s="103"/>
      <c r="C4" s="20"/>
      <c r="D4" s="20"/>
      <c r="E4" s="20"/>
      <c r="F4" s="20"/>
    </row>
    <row r="5" spans="2:6" x14ac:dyDescent="0.2">
      <c r="B5" s="103"/>
      <c r="C5" s="108" t="s">
        <v>126</v>
      </c>
      <c r="D5" s="20"/>
      <c r="E5" s="20"/>
      <c r="F5" s="20"/>
    </row>
    <row r="6" spans="2:6" x14ac:dyDescent="0.2">
      <c r="B6" s="103">
        <v>1</v>
      </c>
      <c r="C6" s="20" t="s">
        <v>127</v>
      </c>
      <c r="D6" s="20" t="s">
        <v>128</v>
      </c>
      <c r="E6" s="20" t="s">
        <v>208</v>
      </c>
      <c r="F6" s="20"/>
    </row>
    <row r="7" spans="2:6" x14ac:dyDescent="0.2">
      <c r="B7" s="103"/>
      <c r="C7" s="20"/>
      <c r="D7" s="20" t="s">
        <v>129</v>
      </c>
      <c r="E7" s="20"/>
      <c r="F7" s="20"/>
    </row>
    <row r="8" spans="2:6" x14ac:dyDescent="0.2">
      <c r="B8" s="103"/>
      <c r="C8" s="20"/>
      <c r="D8" s="20" t="s">
        <v>135</v>
      </c>
      <c r="E8" s="20"/>
      <c r="F8" s="20"/>
    </row>
    <row r="9" spans="2:6" x14ac:dyDescent="0.2">
      <c r="B9" s="103"/>
      <c r="C9" s="20"/>
      <c r="D9" s="20"/>
      <c r="E9" s="20"/>
      <c r="F9" s="20"/>
    </row>
    <row r="10" spans="2:6" x14ac:dyDescent="0.2">
      <c r="B10" s="103">
        <v>2</v>
      </c>
      <c r="C10" s="20" t="s">
        <v>209</v>
      </c>
      <c r="D10" s="20" t="s">
        <v>130</v>
      </c>
      <c r="E10" s="20" t="s">
        <v>132</v>
      </c>
      <c r="F10" s="20" t="s">
        <v>133</v>
      </c>
    </row>
    <row r="11" spans="2:6" x14ac:dyDescent="0.2">
      <c r="B11" s="103"/>
      <c r="C11" s="20"/>
      <c r="D11" s="20" t="s">
        <v>131</v>
      </c>
      <c r="E11" s="20"/>
      <c r="F11" s="20"/>
    </row>
    <row r="12" spans="2:6" x14ac:dyDescent="0.2">
      <c r="B12" s="103"/>
      <c r="C12" s="20"/>
      <c r="D12" s="20"/>
      <c r="E12" s="20"/>
      <c r="F12" s="20"/>
    </row>
    <row r="13" spans="2:6" x14ac:dyDescent="0.2">
      <c r="B13" s="103">
        <v>3</v>
      </c>
      <c r="C13" s="20" t="s">
        <v>134</v>
      </c>
      <c r="D13" s="20" t="s">
        <v>137</v>
      </c>
      <c r="E13" s="20" t="s">
        <v>138</v>
      </c>
      <c r="F13" s="20"/>
    </row>
    <row r="14" spans="2:6" x14ac:dyDescent="0.2">
      <c r="B14" s="103"/>
      <c r="C14" s="20"/>
      <c r="D14" s="20" t="s">
        <v>136</v>
      </c>
      <c r="E14" s="20" t="s">
        <v>139</v>
      </c>
      <c r="F14" s="20"/>
    </row>
    <row r="15" spans="2:6" x14ac:dyDescent="0.2">
      <c r="B15" s="103"/>
      <c r="C15" s="20"/>
      <c r="D15" s="20"/>
      <c r="E15" s="20" t="s">
        <v>140</v>
      </c>
      <c r="F15" s="20"/>
    </row>
    <row r="16" spans="2:6" x14ac:dyDescent="0.2">
      <c r="B16" s="103"/>
      <c r="C16" s="20"/>
      <c r="D16" s="20"/>
      <c r="E16" s="20"/>
      <c r="F16" s="20"/>
    </row>
    <row r="17" spans="2:6" x14ac:dyDescent="0.2">
      <c r="B17" s="103">
        <v>4</v>
      </c>
      <c r="C17" s="20" t="s">
        <v>141</v>
      </c>
      <c r="D17" s="20" t="s">
        <v>142</v>
      </c>
      <c r="E17" s="20"/>
      <c r="F17" s="20"/>
    </row>
    <row r="18" spans="2:6" x14ac:dyDescent="0.2">
      <c r="B18" s="103"/>
      <c r="C18" s="20"/>
      <c r="D18" s="20" t="s">
        <v>143</v>
      </c>
      <c r="E18" s="20"/>
      <c r="F18" s="20"/>
    </row>
    <row r="19" spans="2:6" x14ac:dyDescent="0.2">
      <c r="B19" s="103"/>
      <c r="C19" s="20"/>
      <c r="D19" s="20" t="s">
        <v>144</v>
      </c>
      <c r="E19" s="20"/>
      <c r="F19" s="20"/>
    </row>
    <row r="20" spans="2:6" x14ac:dyDescent="0.2">
      <c r="B20" s="103"/>
      <c r="C20" s="20"/>
      <c r="D20" s="20" t="s">
        <v>145</v>
      </c>
      <c r="E20" s="20"/>
      <c r="F20" s="20"/>
    </row>
    <row r="21" spans="2:6" x14ac:dyDescent="0.2">
      <c r="B21" s="103"/>
      <c r="C21" s="20"/>
      <c r="D21" s="20"/>
      <c r="E21" s="20"/>
      <c r="F21" s="20"/>
    </row>
    <row r="22" spans="2:6" x14ac:dyDescent="0.2">
      <c r="B22" s="103">
        <v>5</v>
      </c>
      <c r="C22" s="20" t="s">
        <v>146</v>
      </c>
      <c r="D22" s="20" t="s">
        <v>147</v>
      </c>
      <c r="E22" s="20"/>
      <c r="F22" s="20"/>
    </row>
    <row r="23" spans="2:6" x14ac:dyDescent="0.2">
      <c r="B23" s="103"/>
      <c r="C23" s="20"/>
      <c r="D23" s="20" t="s">
        <v>148</v>
      </c>
      <c r="E23" s="20"/>
      <c r="F23" s="20"/>
    </row>
    <row r="24" spans="2:6" ht="25.5" x14ac:dyDescent="0.2">
      <c r="B24" s="103"/>
      <c r="C24" s="20"/>
      <c r="D24" s="20" t="s">
        <v>149</v>
      </c>
      <c r="E24" s="106" t="s">
        <v>150</v>
      </c>
      <c r="F24" s="20"/>
    </row>
    <row r="25" spans="2:6" x14ac:dyDescent="0.2">
      <c r="B25" s="103"/>
      <c r="C25" s="20"/>
      <c r="D25" s="20"/>
      <c r="E25" s="20"/>
      <c r="F25" s="20"/>
    </row>
    <row r="26" spans="2:6" x14ac:dyDescent="0.2">
      <c r="B26" s="103"/>
      <c r="C26" s="20"/>
      <c r="D26" s="20"/>
      <c r="E26" s="20"/>
      <c r="F26" s="20"/>
    </row>
    <row r="27" spans="2:6" x14ac:dyDescent="0.2">
      <c r="B27" s="103"/>
      <c r="C27" s="108" t="s">
        <v>88</v>
      </c>
      <c r="D27" s="20"/>
      <c r="E27" s="20"/>
      <c r="F27" s="20"/>
    </row>
    <row r="28" spans="2:6" x14ac:dyDescent="0.2">
      <c r="B28" s="103">
        <v>1</v>
      </c>
      <c r="C28" s="20" t="s">
        <v>89</v>
      </c>
      <c r="D28" s="20" t="s">
        <v>91</v>
      </c>
      <c r="E28" s="20" t="s">
        <v>93</v>
      </c>
      <c r="F28" s="20" t="s">
        <v>97</v>
      </c>
    </row>
    <row r="29" spans="2:6" x14ac:dyDescent="0.2">
      <c r="B29" s="103"/>
      <c r="C29" s="20"/>
      <c r="D29" s="20" t="s">
        <v>92</v>
      </c>
      <c r="E29" s="20" t="s">
        <v>94</v>
      </c>
      <c r="F29" s="20"/>
    </row>
    <row r="30" spans="2:6" x14ac:dyDescent="0.2">
      <c r="B30" s="103"/>
      <c r="C30" s="20"/>
      <c r="D30" s="20"/>
      <c r="E30" s="20"/>
      <c r="F30" s="20"/>
    </row>
    <row r="31" spans="2:6" x14ac:dyDescent="0.2">
      <c r="B31" s="103">
        <v>2</v>
      </c>
      <c r="C31" s="20" t="s">
        <v>98</v>
      </c>
      <c r="D31" s="20" t="s">
        <v>99</v>
      </c>
      <c r="E31" s="20"/>
      <c r="F31" s="20"/>
    </row>
    <row r="32" spans="2:6" x14ac:dyDescent="0.2">
      <c r="B32" s="103"/>
      <c r="C32" s="20"/>
      <c r="D32" s="20" t="s">
        <v>25</v>
      </c>
      <c r="E32" s="20"/>
      <c r="F32" s="20"/>
    </row>
    <row r="33" spans="2:6" x14ac:dyDescent="0.2">
      <c r="B33" s="103"/>
      <c r="C33" s="20"/>
      <c r="D33" s="20" t="s">
        <v>100</v>
      </c>
      <c r="E33" s="20"/>
      <c r="F33" s="20"/>
    </row>
    <row r="34" spans="2:6" x14ac:dyDescent="0.2">
      <c r="B34" s="103"/>
      <c r="C34" s="20"/>
      <c r="D34" s="20"/>
      <c r="E34" s="20"/>
      <c r="F34" s="20"/>
    </row>
    <row r="35" spans="2:6" x14ac:dyDescent="0.2">
      <c r="B35" s="103">
        <v>3</v>
      </c>
      <c r="C35" s="20" t="s">
        <v>101</v>
      </c>
      <c r="D35" s="20" t="s">
        <v>25</v>
      </c>
      <c r="E35" s="20"/>
      <c r="F35" s="20"/>
    </row>
    <row r="36" spans="2:6" x14ac:dyDescent="0.2">
      <c r="B36" s="103"/>
      <c r="C36" s="20"/>
      <c r="D36" s="20" t="s">
        <v>102</v>
      </c>
      <c r="E36" s="20"/>
      <c r="F36" s="20"/>
    </row>
    <row r="37" spans="2:6" x14ac:dyDescent="0.2">
      <c r="B37" s="103"/>
      <c r="C37" s="20"/>
      <c r="D37" s="20" t="s">
        <v>103</v>
      </c>
      <c r="E37" s="20"/>
      <c r="F37" s="20"/>
    </row>
    <row r="38" spans="2:6" x14ac:dyDescent="0.2">
      <c r="B38" s="103"/>
      <c r="C38" s="20"/>
      <c r="D38" s="20" t="s">
        <v>104</v>
      </c>
      <c r="E38" s="20"/>
      <c r="F38" s="20"/>
    </row>
    <row r="39" spans="2:6" x14ac:dyDescent="0.2">
      <c r="B39" s="103"/>
      <c r="C39" s="20"/>
      <c r="D39" s="20"/>
      <c r="E39" s="20"/>
      <c r="F39" s="20"/>
    </row>
    <row r="40" spans="2:6" x14ac:dyDescent="0.2">
      <c r="B40" s="103">
        <v>4</v>
      </c>
      <c r="C40" s="20" t="s">
        <v>109</v>
      </c>
      <c r="D40" s="20" t="s">
        <v>105</v>
      </c>
      <c r="E40" s="20" t="s">
        <v>107</v>
      </c>
      <c r="F40" s="20" t="s">
        <v>108</v>
      </c>
    </row>
    <row r="41" spans="2:6" x14ac:dyDescent="0.2">
      <c r="B41" s="103"/>
      <c r="C41" s="20"/>
      <c r="D41" s="20" t="s">
        <v>106</v>
      </c>
      <c r="E41" s="20"/>
      <c r="F41" s="20"/>
    </row>
    <row r="42" spans="2:6" x14ac:dyDescent="0.2">
      <c r="B42" s="103"/>
      <c r="C42" s="20"/>
      <c r="D42" s="20" t="s">
        <v>110</v>
      </c>
      <c r="E42" s="20" t="s">
        <v>111</v>
      </c>
      <c r="F42" s="20" t="s">
        <v>108</v>
      </c>
    </row>
    <row r="43" spans="2:6" x14ac:dyDescent="0.2">
      <c r="B43" s="103"/>
      <c r="C43" s="20"/>
      <c r="D43" s="20"/>
      <c r="E43" s="106" t="s">
        <v>125</v>
      </c>
      <c r="F43" s="20"/>
    </row>
    <row r="44" spans="2:6" x14ac:dyDescent="0.2">
      <c r="B44" s="103"/>
      <c r="C44" s="20"/>
      <c r="D44" s="20"/>
      <c r="E44" s="20"/>
      <c r="F44" s="20"/>
    </row>
    <row r="45" spans="2:6" ht="25.5" x14ac:dyDescent="0.2">
      <c r="B45" s="103">
        <v>5</v>
      </c>
      <c r="C45" s="20" t="s">
        <v>112</v>
      </c>
      <c r="D45" s="20" t="s">
        <v>114</v>
      </c>
      <c r="E45" s="106" t="s">
        <v>117</v>
      </c>
      <c r="F45" s="20" t="s">
        <v>118</v>
      </c>
    </row>
    <row r="46" spans="2:6" x14ac:dyDescent="0.2">
      <c r="B46" s="103"/>
      <c r="C46" s="20" t="s">
        <v>113</v>
      </c>
      <c r="D46" s="20" t="s">
        <v>115</v>
      </c>
      <c r="E46" s="20"/>
      <c r="F46" s="20"/>
    </row>
    <row r="47" spans="2:6" x14ac:dyDescent="0.2">
      <c r="B47" s="103"/>
      <c r="C47" s="20"/>
      <c r="D47" s="20" t="s">
        <v>116</v>
      </c>
      <c r="E47" s="20"/>
      <c r="F47" s="20"/>
    </row>
    <row r="48" spans="2:6" x14ac:dyDescent="0.2">
      <c r="B48" s="103"/>
      <c r="C48" s="20"/>
      <c r="D48" s="20"/>
      <c r="E48" s="20"/>
      <c r="F48" s="20"/>
    </row>
    <row r="49" spans="2:6" x14ac:dyDescent="0.2">
      <c r="B49" s="103">
        <v>6</v>
      </c>
      <c r="C49" s="20" t="s">
        <v>119</v>
      </c>
      <c r="D49" s="20" t="s">
        <v>120</v>
      </c>
      <c r="E49" s="20"/>
      <c r="F49" s="20"/>
    </row>
    <row r="50" spans="2:6" x14ac:dyDescent="0.2">
      <c r="B50" s="103"/>
      <c r="C50" s="20"/>
      <c r="D50" s="20" t="s">
        <v>121</v>
      </c>
      <c r="E50" s="20"/>
      <c r="F50" s="20"/>
    </row>
    <row r="51" spans="2:6" x14ac:dyDescent="0.2">
      <c r="B51" s="103"/>
      <c r="C51" s="20"/>
      <c r="D51" s="20"/>
      <c r="E51" s="20"/>
      <c r="F51" s="20"/>
    </row>
    <row r="52" spans="2:6" x14ac:dyDescent="0.2">
      <c r="B52" s="103">
        <v>7</v>
      </c>
      <c r="C52" s="20" t="s">
        <v>122</v>
      </c>
      <c r="D52" s="20" t="s">
        <v>124</v>
      </c>
      <c r="E52" s="20"/>
      <c r="F52" s="20"/>
    </row>
    <row r="53" spans="2:6" ht="25.5" x14ac:dyDescent="0.2">
      <c r="B53" s="103"/>
      <c r="C53" s="20"/>
      <c r="D53" s="106" t="s">
        <v>123</v>
      </c>
      <c r="E53" s="20"/>
      <c r="F53" s="20"/>
    </row>
    <row r="54" spans="2:6" x14ac:dyDescent="0.2">
      <c r="B54" s="103"/>
      <c r="C54" s="20"/>
      <c r="D54" s="20"/>
      <c r="E54" s="20"/>
      <c r="F54" s="20"/>
    </row>
    <row r="55" spans="2:6" x14ac:dyDescent="0.2">
      <c r="B55" s="103"/>
      <c r="C55" s="20"/>
      <c r="D55" s="20"/>
      <c r="E55" s="20"/>
      <c r="F55" s="20"/>
    </row>
    <row r="56" spans="2:6" x14ac:dyDescent="0.2">
      <c r="B56" s="103"/>
      <c r="C56" s="108" t="s">
        <v>151</v>
      </c>
      <c r="D56" s="20"/>
      <c r="E56" s="20"/>
      <c r="F56" s="20"/>
    </row>
    <row r="57" spans="2:6" x14ac:dyDescent="0.2">
      <c r="B57" s="103">
        <v>1</v>
      </c>
      <c r="C57" s="20" t="s">
        <v>152</v>
      </c>
      <c r="D57" s="20" t="s">
        <v>153</v>
      </c>
      <c r="E57" s="20"/>
      <c r="F57" s="20"/>
    </row>
    <row r="58" spans="2:6" x14ac:dyDescent="0.2">
      <c r="B58" s="103"/>
      <c r="C58" s="20"/>
      <c r="D58" s="20" t="s">
        <v>154</v>
      </c>
      <c r="E58" s="20"/>
      <c r="F58" s="20"/>
    </row>
    <row r="59" spans="2:6" x14ac:dyDescent="0.2">
      <c r="B59" s="103"/>
      <c r="C59" s="20"/>
      <c r="D59" s="20" t="s">
        <v>155</v>
      </c>
      <c r="E59" s="20"/>
      <c r="F59" s="20"/>
    </row>
    <row r="60" spans="2:6" x14ac:dyDescent="0.2">
      <c r="B60" s="103"/>
      <c r="C60" s="20"/>
      <c r="D60" s="20"/>
      <c r="E60" s="20"/>
      <c r="F60" s="20"/>
    </row>
    <row r="61" spans="2:6" x14ac:dyDescent="0.2">
      <c r="B61" s="103">
        <v>2</v>
      </c>
      <c r="C61" s="20" t="s">
        <v>156</v>
      </c>
      <c r="D61" s="20" t="s">
        <v>157</v>
      </c>
      <c r="E61" s="20"/>
      <c r="F61" s="20"/>
    </row>
    <row r="62" spans="2:6" x14ac:dyDescent="0.2">
      <c r="B62" s="103"/>
      <c r="C62" s="20"/>
      <c r="D62" s="20"/>
      <c r="E62" s="20"/>
      <c r="F62" s="20"/>
    </row>
    <row r="63" spans="2:6" x14ac:dyDescent="0.2">
      <c r="B63" s="103">
        <v>3</v>
      </c>
      <c r="C63" s="20" t="s">
        <v>158</v>
      </c>
      <c r="D63" s="20" t="s">
        <v>159</v>
      </c>
      <c r="E63" s="20"/>
      <c r="F63" s="20"/>
    </row>
    <row r="64" spans="2:6" x14ac:dyDescent="0.2">
      <c r="B64" s="103"/>
      <c r="C64" s="20"/>
      <c r="D64" s="20"/>
      <c r="E64" s="20"/>
      <c r="F64" s="20"/>
    </row>
    <row r="65" spans="2:6" ht="25.5" x14ac:dyDescent="0.2">
      <c r="B65" s="103">
        <v>4</v>
      </c>
      <c r="C65" s="20" t="s">
        <v>160</v>
      </c>
      <c r="D65" s="20" t="s">
        <v>161</v>
      </c>
      <c r="E65" s="106" t="s">
        <v>166</v>
      </c>
      <c r="F65" s="20" t="s">
        <v>167</v>
      </c>
    </row>
    <row r="66" spans="2:6" x14ac:dyDescent="0.2">
      <c r="B66" s="103"/>
      <c r="C66" s="20"/>
      <c r="D66" s="20" t="s">
        <v>162</v>
      </c>
      <c r="E66" s="20" t="s">
        <v>168</v>
      </c>
      <c r="F66" s="20"/>
    </row>
    <row r="67" spans="2:6" x14ac:dyDescent="0.2">
      <c r="B67" s="103"/>
      <c r="C67" s="20"/>
      <c r="D67" s="20" t="s">
        <v>163</v>
      </c>
      <c r="E67" s="20"/>
      <c r="F67" s="20"/>
    </row>
    <row r="68" spans="2:6" x14ac:dyDescent="0.2">
      <c r="B68" s="103"/>
      <c r="C68" s="20"/>
      <c r="D68" s="20" t="s">
        <v>164</v>
      </c>
      <c r="E68" s="20"/>
      <c r="F68" s="20"/>
    </row>
    <row r="69" spans="2:6" x14ac:dyDescent="0.2">
      <c r="B69" s="103"/>
      <c r="C69" s="20"/>
      <c r="D69" s="20" t="s">
        <v>165</v>
      </c>
      <c r="E69" s="20"/>
      <c r="F69" s="20"/>
    </row>
    <row r="70" spans="2:6" x14ac:dyDescent="0.2">
      <c r="B70" s="103"/>
      <c r="C70" s="20"/>
      <c r="D70" s="20"/>
      <c r="E70" s="20"/>
      <c r="F70" s="20"/>
    </row>
    <row r="71" spans="2:6" x14ac:dyDescent="0.2">
      <c r="B71" s="103">
        <v>5</v>
      </c>
      <c r="C71" s="20" t="s">
        <v>169</v>
      </c>
      <c r="D71" s="20" t="s">
        <v>170</v>
      </c>
      <c r="E71" s="20"/>
      <c r="F71" s="20"/>
    </row>
    <row r="72" spans="2:6" x14ac:dyDescent="0.2">
      <c r="B72" s="103"/>
      <c r="C72" s="20"/>
      <c r="D72" s="20" t="s">
        <v>171</v>
      </c>
      <c r="E72" s="20"/>
      <c r="F72" s="20"/>
    </row>
    <row r="73" spans="2:6" x14ac:dyDescent="0.2">
      <c r="B73" s="103"/>
      <c r="C73" s="20"/>
      <c r="D73" s="20" t="s">
        <v>172</v>
      </c>
      <c r="E73" s="20" t="s">
        <v>173</v>
      </c>
      <c r="F73" s="20" t="s">
        <v>174</v>
      </c>
    </row>
    <row r="74" spans="2:6" x14ac:dyDescent="0.2">
      <c r="B74" s="103"/>
      <c r="C74" s="20"/>
      <c r="D74" s="20" t="s">
        <v>175</v>
      </c>
      <c r="E74" s="20"/>
      <c r="F74" s="20"/>
    </row>
    <row r="75" spans="2:6" x14ac:dyDescent="0.2">
      <c r="B75" s="103"/>
      <c r="C75" s="20"/>
      <c r="D75" s="20"/>
      <c r="E75" s="20"/>
      <c r="F75" s="20"/>
    </row>
    <row r="76" spans="2:6" x14ac:dyDescent="0.2">
      <c r="B76" s="103">
        <v>6</v>
      </c>
      <c r="C76" s="20" t="s">
        <v>176</v>
      </c>
      <c r="D76" s="20" t="s">
        <v>177</v>
      </c>
      <c r="E76" s="20"/>
      <c r="F76" s="20"/>
    </row>
    <row r="77" spans="2:6" x14ac:dyDescent="0.2">
      <c r="B77" s="103"/>
      <c r="C77" s="20"/>
      <c r="D77" s="20" t="s">
        <v>178</v>
      </c>
      <c r="E77" s="20"/>
      <c r="F77" s="20"/>
    </row>
    <row r="78" spans="2:6" x14ac:dyDescent="0.2">
      <c r="B78" s="103"/>
      <c r="C78" s="20"/>
      <c r="D78" s="20"/>
      <c r="E78" s="20"/>
      <c r="F78" s="20"/>
    </row>
    <row r="79" spans="2:6" x14ac:dyDescent="0.2">
      <c r="B79" s="103">
        <v>7</v>
      </c>
      <c r="C79" s="20" t="s">
        <v>179</v>
      </c>
      <c r="D79" s="20" t="s">
        <v>180</v>
      </c>
      <c r="E79" s="20"/>
      <c r="F79" s="20"/>
    </row>
    <row r="80" spans="2:6" x14ac:dyDescent="0.2">
      <c r="B80" s="103"/>
      <c r="C80" s="20"/>
      <c r="D80" s="20" t="s">
        <v>181</v>
      </c>
      <c r="E80" s="20"/>
      <c r="F80" s="20"/>
    </row>
    <row r="81" spans="2:6" x14ac:dyDescent="0.2">
      <c r="B81" s="103"/>
      <c r="C81" s="20"/>
      <c r="D81" s="20"/>
      <c r="E81" s="20"/>
      <c r="F81" s="20"/>
    </row>
    <row r="82" spans="2:6" x14ac:dyDescent="0.2">
      <c r="B82" s="103">
        <v>8</v>
      </c>
      <c r="C82" s="20" t="s">
        <v>182</v>
      </c>
      <c r="D82" s="20" t="s">
        <v>183</v>
      </c>
      <c r="E82" s="20" t="s">
        <v>185</v>
      </c>
      <c r="F82" s="20"/>
    </row>
    <row r="83" spans="2:6" x14ac:dyDescent="0.2">
      <c r="B83" s="103"/>
      <c r="C83" s="20"/>
      <c r="D83" s="20" t="s">
        <v>184</v>
      </c>
      <c r="E83" s="20" t="s">
        <v>186</v>
      </c>
      <c r="F83" s="20"/>
    </row>
    <row r="84" spans="2:6" x14ac:dyDescent="0.2">
      <c r="B84" s="103"/>
      <c r="C84" s="20"/>
      <c r="D84" s="20"/>
      <c r="E84" s="20"/>
      <c r="F84" s="20"/>
    </row>
    <row r="85" spans="2:6" x14ac:dyDescent="0.2">
      <c r="B85" s="103">
        <v>9</v>
      </c>
      <c r="C85" s="20" t="s">
        <v>187</v>
      </c>
      <c r="D85" s="20" t="s">
        <v>188</v>
      </c>
      <c r="E85" s="23"/>
      <c r="F85" s="20"/>
    </row>
    <row r="86" spans="2:6" x14ac:dyDescent="0.2">
      <c r="B86" s="103"/>
      <c r="C86" s="20"/>
      <c r="D86" s="20" t="s">
        <v>189</v>
      </c>
      <c r="E86" s="20"/>
      <c r="F86" s="20"/>
    </row>
    <row r="87" spans="2:6" x14ac:dyDescent="0.2">
      <c r="B87" s="103"/>
      <c r="C87" s="20"/>
      <c r="D87" s="20" t="s">
        <v>190</v>
      </c>
      <c r="E87" s="20"/>
      <c r="F87" s="20"/>
    </row>
    <row r="88" spans="2:6" ht="25.5" x14ac:dyDescent="0.2">
      <c r="B88" s="103"/>
      <c r="C88" s="20"/>
      <c r="D88" s="109" t="s">
        <v>210</v>
      </c>
      <c r="E88" s="23" t="s">
        <v>211</v>
      </c>
      <c r="F88" s="20"/>
    </row>
    <row r="89" spans="2:6" x14ac:dyDescent="0.2">
      <c r="B89" s="103"/>
      <c r="C89" s="20"/>
      <c r="D89" s="20" t="s">
        <v>191</v>
      </c>
      <c r="E89" s="20"/>
      <c r="F89" s="20"/>
    </row>
    <row r="90" spans="2:6" x14ac:dyDescent="0.2">
      <c r="B90" s="103"/>
      <c r="C90" s="20"/>
      <c r="D90" s="20"/>
      <c r="E90" s="20"/>
      <c r="F90" s="20"/>
    </row>
    <row r="91" spans="2:6" x14ac:dyDescent="0.2">
      <c r="B91" s="103">
        <v>10</v>
      </c>
      <c r="C91" s="20" t="s">
        <v>110</v>
      </c>
      <c r="D91" s="20" t="s">
        <v>192</v>
      </c>
      <c r="E91" s="20"/>
      <c r="F91" s="20"/>
    </row>
    <row r="92" spans="2:6" x14ac:dyDescent="0.2">
      <c r="B92" s="103"/>
      <c r="C92" s="20"/>
      <c r="D92" s="20"/>
      <c r="E92" s="20"/>
      <c r="F92" s="20"/>
    </row>
    <row r="93" spans="2:6" x14ac:dyDescent="0.2">
      <c r="B93" s="103">
        <v>11</v>
      </c>
      <c r="C93" s="20" t="s">
        <v>193</v>
      </c>
      <c r="D93" s="20" t="s">
        <v>194</v>
      </c>
      <c r="E93" s="20"/>
      <c r="F93" s="20"/>
    </row>
    <row r="94" spans="2:6" x14ac:dyDescent="0.2">
      <c r="B94" s="103"/>
      <c r="C94" s="20"/>
      <c r="D94" s="20"/>
      <c r="E94" s="20"/>
      <c r="F94" s="20"/>
    </row>
    <row r="95" spans="2:6" x14ac:dyDescent="0.2">
      <c r="B95" s="103">
        <v>12</v>
      </c>
      <c r="C95" s="20" t="s">
        <v>195</v>
      </c>
      <c r="D95" s="20" t="s">
        <v>77</v>
      </c>
      <c r="E95" s="20" t="s">
        <v>206</v>
      </c>
      <c r="F95" s="20"/>
    </row>
    <row r="96" spans="2:6" x14ac:dyDescent="0.2">
      <c r="B96" s="103"/>
      <c r="C96" s="20"/>
      <c r="D96" s="20" t="s">
        <v>204</v>
      </c>
      <c r="E96" s="20" t="s">
        <v>207</v>
      </c>
      <c r="F96" s="20"/>
    </row>
    <row r="97" spans="2:6" x14ac:dyDescent="0.2">
      <c r="B97" s="103"/>
      <c r="C97" s="20"/>
      <c r="D97" s="20"/>
      <c r="E97" s="20" t="s">
        <v>205</v>
      </c>
      <c r="F97" s="20"/>
    </row>
    <row r="98" spans="2:6" x14ac:dyDescent="0.2">
      <c r="B98" s="103"/>
      <c r="C98" s="20"/>
      <c r="D98" s="20"/>
      <c r="E98" s="20"/>
      <c r="F98" s="20"/>
    </row>
    <row r="99" spans="2:6" x14ac:dyDescent="0.2">
      <c r="B99" s="103">
        <v>13</v>
      </c>
      <c r="C99" s="20" t="s">
        <v>196</v>
      </c>
      <c r="D99" s="20" t="s">
        <v>197</v>
      </c>
      <c r="E99" s="20"/>
      <c r="F99" s="20"/>
    </row>
    <row r="100" spans="2:6" x14ac:dyDescent="0.2">
      <c r="B100" s="103"/>
      <c r="C100" s="20"/>
      <c r="D100" s="20" t="s">
        <v>198</v>
      </c>
      <c r="E100" s="20"/>
      <c r="F100" s="20"/>
    </row>
    <row r="101" spans="2:6" x14ac:dyDescent="0.2">
      <c r="B101" s="103"/>
      <c r="C101" s="20"/>
      <c r="D101" s="20" t="s">
        <v>199</v>
      </c>
      <c r="E101" s="20"/>
      <c r="F101" s="20"/>
    </row>
    <row r="102" spans="2:6" x14ac:dyDescent="0.2">
      <c r="B102" s="103"/>
      <c r="C102" s="20"/>
      <c r="D102" s="20"/>
      <c r="E102" s="20"/>
      <c r="F102" s="20"/>
    </row>
    <row r="103" spans="2:6" x14ac:dyDescent="0.2">
      <c r="B103" s="103">
        <v>14</v>
      </c>
      <c r="C103" s="20" t="s">
        <v>200</v>
      </c>
      <c r="D103" s="20" t="s">
        <v>201</v>
      </c>
      <c r="E103" s="20" t="s">
        <v>203</v>
      </c>
      <c r="F103" s="20"/>
    </row>
    <row r="104" spans="2:6" x14ac:dyDescent="0.2">
      <c r="B104" s="103"/>
      <c r="C104" s="20"/>
      <c r="D104" s="20" t="s">
        <v>202</v>
      </c>
      <c r="E104" s="20"/>
      <c r="F104" s="20"/>
    </row>
    <row r="105" spans="2:6" x14ac:dyDescent="0.2">
      <c r="B105" s="103"/>
      <c r="C105" s="20"/>
      <c r="D105" s="20"/>
      <c r="E105" s="20"/>
      <c r="F105" s="20"/>
    </row>
    <row r="106" spans="2:6" x14ac:dyDescent="0.2">
      <c r="B106" s="103"/>
      <c r="C106" s="20"/>
      <c r="D106" s="20"/>
      <c r="E106" s="20"/>
      <c r="F106" s="20"/>
    </row>
    <row r="107" spans="2:6" x14ac:dyDescent="0.2">
      <c r="B107" s="103"/>
      <c r="C107" s="20"/>
      <c r="D107" s="20"/>
      <c r="E107" s="20"/>
      <c r="F107" s="20"/>
    </row>
    <row r="108" spans="2:6" x14ac:dyDescent="0.2">
      <c r="B108" s="103"/>
      <c r="C108" s="20"/>
      <c r="D108" s="20"/>
      <c r="E108" s="20"/>
      <c r="F108" s="20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G63"/>
  <sheetViews>
    <sheetView topLeftCell="A13" zoomScale="80" zoomScaleNormal="80" workbookViewId="0">
      <selection activeCell="C28" sqref="C28"/>
    </sheetView>
  </sheetViews>
  <sheetFormatPr defaultRowHeight="12.75" x14ac:dyDescent="0.2"/>
  <cols>
    <col min="1" max="1" width="9.140625" style="104"/>
    <col min="2" max="2" width="59.42578125" style="104" bestFit="1" customWidth="1"/>
    <col min="3" max="3" width="12.28515625" style="104" bestFit="1" customWidth="1"/>
    <col min="4" max="4" width="40" style="104" bestFit="1" customWidth="1"/>
    <col min="5" max="16384" width="9.140625" style="104"/>
  </cols>
  <sheetData>
    <row r="2" spans="2:7" ht="18" x14ac:dyDescent="0.25">
      <c r="B2" s="125" t="s">
        <v>280</v>
      </c>
    </row>
    <row r="3" spans="2:7" x14ac:dyDescent="0.2">
      <c r="B3" s="20"/>
      <c r="C3" s="20"/>
      <c r="D3" s="20"/>
      <c r="E3" s="20"/>
      <c r="F3" s="20"/>
      <c r="G3" s="20"/>
    </row>
    <row r="4" spans="2:7" x14ac:dyDescent="0.2">
      <c r="B4" s="20" t="s">
        <v>114</v>
      </c>
      <c r="C4" s="113">
        <v>-2.66</v>
      </c>
      <c r="D4" s="20"/>
      <c r="E4" s="20"/>
      <c r="F4" s="20"/>
      <c r="G4" s="20"/>
    </row>
    <row r="5" spans="2:7" x14ac:dyDescent="0.2">
      <c r="B5" s="20"/>
      <c r="C5" s="20"/>
      <c r="D5" s="20"/>
      <c r="E5" s="20"/>
      <c r="F5" s="20"/>
      <c r="G5" s="20"/>
    </row>
    <row r="6" spans="2:7" x14ac:dyDescent="0.2">
      <c r="B6" s="108" t="s">
        <v>98</v>
      </c>
      <c r="C6" s="20"/>
      <c r="D6" s="20"/>
      <c r="E6" s="20"/>
      <c r="F6" s="20"/>
      <c r="G6" s="20"/>
    </row>
    <row r="7" spans="2:7" x14ac:dyDescent="0.2">
      <c r="B7" s="20" t="s">
        <v>99</v>
      </c>
      <c r="C7" s="130">
        <v>14</v>
      </c>
      <c r="D7" s="20"/>
      <c r="E7" s="20"/>
      <c r="F7" s="20"/>
      <c r="G7" s="20"/>
    </row>
    <row r="8" spans="2:7" x14ac:dyDescent="0.2">
      <c r="B8" s="20" t="s">
        <v>25</v>
      </c>
      <c r="C8" s="130">
        <v>-2.66</v>
      </c>
      <c r="D8" s="20"/>
      <c r="E8" s="20"/>
      <c r="F8" s="20"/>
      <c r="G8" s="20"/>
    </row>
    <row r="9" spans="2:7" x14ac:dyDescent="0.2">
      <c r="B9" s="20" t="s">
        <v>100</v>
      </c>
      <c r="C9" s="110">
        <f>C7/C8</f>
        <v>-5.2631578947368416</v>
      </c>
      <c r="D9" s="20" t="s">
        <v>269</v>
      </c>
      <c r="E9" s="20"/>
      <c r="F9" s="20"/>
      <c r="G9" s="20"/>
    </row>
    <row r="10" spans="2:7" x14ac:dyDescent="0.2">
      <c r="B10" s="20"/>
      <c r="C10" s="20"/>
      <c r="D10" s="20"/>
      <c r="E10" s="20"/>
      <c r="F10" s="20"/>
      <c r="G10" s="20"/>
    </row>
    <row r="11" spans="2:7" x14ac:dyDescent="0.2">
      <c r="B11" s="108" t="s">
        <v>101</v>
      </c>
      <c r="C11" s="20"/>
      <c r="D11" s="20"/>
      <c r="E11" s="20"/>
      <c r="F11" s="20"/>
      <c r="G11" s="20"/>
    </row>
    <row r="12" spans="2:7" x14ac:dyDescent="0.2">
      <c r="B12" s="20" t="s">
        <v>25</v>
      </c>
      <c r="C12" s="130">
        <v>-2.66</v>
      </c>
      <c r="D12" s="20"/>
      <c r="E12" s="20"/>
      <c r="F12" s="20"/>
      <c r="G12" s="20"/>
    </row>
    <row r="13" spans="2:7" x14ac:dyDescent="0.2">
      <c r="B13" s="20" t="s">
        <v>102</v>
      </c>
      <c r="C13" s="130">
        <v>28</v>
      </c>
      <c r="D13" s="20"/>
      <c r="E13" s="20"/>
      <c r="F13" s="20"/>
      <c r="G13" s="20"/>
    </row>
    <row r="14" spans="2:7" x14ac:dyDescent="0.2">
      <c r="B14" s="20" t="s">
        <v>103</v>
      </c>
      <c r="C14" s="130">
        <v>1000</v>
      </c>
      <c r="D14" s="20"/>
      <c r="E14" s="20"/>
      <c r="F14" s="20"/>
      <c r="G14" s="20"/>
    </row>
    <row r="15" spans="2:7" x14ac:dyDescent="0.2">
      <c r="B15" s="20" t="s">
        <v>104</v>
      </c>
      <c r="C15" s="20">
        <f>C14*C12</f>
        <v>-2660</v>
      </c>
      <c r="D15" s="20" t="s">
        <v>269</v>
      </c>
      <c r="E15" s="20"/>
      <c r="F15" s="20"/>
      <c r="G15" s="20"/>
    </row>
    <row r="16" spans="2:7" x14ac:dyDescent="0.2">
      <c r="B16" s="20"/>
      <c r="C16" s="20"/>
      <c r="D16" s="20"/>
      <c r="E16" s="20"/>
      <c r="F16" s="20"/>
      <c r="G16" s="20"/>
    </row>
    <row r="17" spans="2:7" x14ac:dyDescent="0.2">
      <c r="B17" s="108" t="s">
        <v>112</v>
      </c>
      <c r="C17" s="20"/>
      <c r="D17" s="20"/>
      <c r="E17" s="20"/>
      <c r="F17" s="20"/>
      <c r="G17" s="20"/>
    </row>
    <row r="18" spans="2:7" x14ac:dyDescent="0.2">
      <c r="B18" s="20" t="s">
        <v>114</v>
      </c>
      <c r="C18" s="130">
        <f>C4</f>
        <v>-2.66</v>
      </c>
      <c r="D18" s="20"/>
      <c r="E18" s="20"/>
      <c r="F18" s="20"/>
      <c r="G18" s="20"/>
    </row>
    <row r="19" spans="2:7" x14ac:dyDescent="0.2">
      <c r="B19" s="20" t="s">
        <v>115</v>
      </c>
      <c r="C19" s="111">
        <v>0.08</v>
      </c>
      <c r="D19" s="20"/>
      <c r="E19" s="20"/>
      <c r="F19" s="20"/>
      <c r="G19" s="20"/>
    </row>
    <row r="20" spans="2:7" x14ac:dyDescent="0.2">
      <c r="B20" s="20" t="s">
        <v>116</v>
      </c>
      <c r="C20" s="112">
        <f>C18/C19</f>
        <v>-33.25</v>
      </c>
      <c r="D20" s="20" t="s">
        <v>269</v>
      </c>
      <c r="E20" s="20"/>
      <c r="F20" s="20"/>
      <c r="G20" s="20"/>
    </row>
    <row r="21" spans="2:7" x14ac:dyDescent="0.2">
      <c r="B21" s="20"/>
      <c r="C21" s="20"/>
      <c r="D21" s="20"/>
      <c r="E21" s="20"/>
      <c r="F21" s="20"/>
      <c r="G21" s="20"/>
    </row>
    <row r="22" spans="2:7" x14ac:dyDescent="0.2">
      <c r="B22" s="108" t="s">
        <v>227</v>
      </c>
      <c r="C22" s="20"/>
      <c r="D22" s="20"/>
      <c r="E22" s="20"/>
      <c r="F22" s="20"/>
      <c r="G22" s="20"/>
    </row>
    <row r="23" spans="2:7" x14ac:dyDescent="0.2">
      <c r="B23" s="20" t="s">
        <v>99</v>
      </c>
      <c r="C23" s="130">
        <v>14</v>
      </c>
      <c r="D23" s="20"/>
      <c r="E23" s="20"/>
      <c r="F23" s="20"/>
      <c r="G23" s="20"/>
    </row>
    <row r="24" spans="2:7" x14ac:dyDescent="0.2">
      <c r="B24" s="20" t="s">
        <v>114</v>
      </c>
      <c r="C24" s="130">
        <v>-2.66</v>
      </c>
      <c r="D24" s="20"/>
      <c r="E24" s="20"/>
      <c r="F24" s="20"/>
      <c r="G24" s="20"/>
    </row>
    <row r="25" spans="2:7" x14ac:dyDescent="0.2">
      <c r="B25" s="20" t="s">
        <v>228</v>
      </c>
      <c r="C25" s="20">
        <f>C23/C24</f>
        <v>-5.2631578947368416</v>
      </c>
      <c r="D25" s="20"/>
      <c r="E25" s="20"/>
      <c r="F25" s="20"/>
      <c r="G25" s="20"/>
    </row>
    <row r="26" spans="2:7" x14ac:dyDescent="0.2">
      <c r="B26" s="20" t="s">
        <v>77</v>
      </c>
      <c r="C26" s="130">
        <v>15</v>
      </c>
      <c r="D26" s="20"/>
      <c r="E26" s="20"/>
      <c r="F26" s="20"/>
      <c r="G26" s="20"/>
    </row>
    <row r="27" spans="2:7" x14ac:dyDescent="0.2">
      <c r="B27" s="20" t="s">
        <v>229</v>
      </c>
      <c r="C27" s="131">
        <v>1</v>
      </c>
      <c r="D27" s="20"/>
      <c r="E27" s="20"/>
      <c r="F27" s="20"/>
      <c r="G27" s="20"/>
    </row>
    <row r="28" spans="2:7" x14ac:dyDescent="0.2">
      <c r="B28" s="20" t="s">
        <v>230</v>
      </c>
      <c r="C28" s="22">
        <v>139.13</v>
      </c>
      <c r="D28" s="20"/>
      <c r="E28" s="20"/>
      <c r="F28" s="20"/>
      <c r="G28" s="20"/>
    </row>
    <row r="29" spans="2:7" x14ac:dyDescent="0.2">
      <c r="B29" s="20" t="s">
        <v>231</v>
      </c>
      <c r="C29" s="132">
        <v>2.5499999999999998E-2</v>
      </c>
      <c r="D29" s="20"/>
      <c r="E29" s="20"/>
      <c r="F29" s="20"/>
      <c r="G29" s="20"/>
    </row>
    <row r="30" spans="2:7" x14ac:dyDescent="0.2">
      <c r="B30" s="20" t="s">
        <v>232</v>
      </c>
      <c r="C30" s="132">
        <v>3.1899999999999998E-2</v>
      </c>
      <c r="D30" s="20"/>
      <c r="E30" s="20"/>
      <c r="F30" s="20"/>
      <c r="G30" s="20"/>
    </row>
    <row r="31" spans="2:7" x14ac:dyDescent="0.2">
      <c r="B31" s="20" t="s">
        <v>233</v>
      </c>
      <c r="C31" s="132"/>
      <c r="D31" s="20"/>
      <c r="E31" s="20"/>
      <c r="F31" s="20"/>
      <c r="G31" s="20"/>
    </row>
    <row r="32" spans="2:7" x14ac:dyDescent="0.2">
      <c r="B32" s="20" t="s">
        <v>268</v>
      </c>
      <c r="C32" s="132">
        <v>3.44E-2</v>
      </c>
      <c r="D32" s="20"/>
      <c r="E32" s="20"/>
      <c r="F32" s="20"/>
      <c r="G32" s="20"/>
    </row>
    <row r="33" spans="2:7" x14ac:dyDescent="0.2">
      <c r="B33" s="20" t="s">
        <v>267</v>
      </c>
      <c r="C33" s="132">
        <v>0.1241</v>
      </c>
      <c r="D33" s="20"/>
      <c r="E33" s="20"/>
      <c r="F33" s="20"/>
      <c r="G33" s="20"/>
    </row>
    <row r="34" spans="2:7" x14ac:dyDescent="0.2">
      <c r="B34" s="20"/>
      <c r="C34" s="20"/>
      <c r="D34" s="20"/>
      <c r="E34" s="20"/>
      <c r="F34" s="20"/>
      <c r="G34" s="20"/>
    </row>
    <row r="35" spans="2:7" x14ac:dyDescent="0.2">
      <c r="B35" s="20"/>
      <c r="C35" s="20"/>
      <c r="D35" s="20"/>
      <c r="E35" s="20"/>
      <c r="F35" s="20"/>
      <c r="G35" s="20"/>
    </row>
    <row r="36" spans="2:7" x14ac:dyDescent="0.2">
      <c r="B36" s="108" t="s">
        <v>187</v>
      </c>
      <c r="C36" s="20"/>
      <c r="D36" s="20"/>
      <c r="E36" s="20"/>
      <c r="F36" s="20"/>
      <c r="G36" s="20"/>
    </row>
    <row r="37" spans="2:7" x14ac:dyDescent="0.2">
      <c r="B37" s="20" t="s">
        <v>215</v>
      </c>
      <c r="C37" s="130">
        <v>3141.2</v>
      </c>
      <c r="D37" s="20"/>
      <c r="E37" s="20"/>
      <c r="F37" s="20"/>
      <c r="G37" s="20"/>
    </row>
    <row r="38" spans="2:7" x14ac:dyDescent="0.2">
      <c r="B38" s="20" t="s">
        <v>216</v>
      </c>
      <c r="C38" s="130">
        <v>3384.26</v>
      </c>
      <c r="D38" s="20"/>
      <c r="E38" s="20"/>
      <c r="F38" s="20"/>
      <c r="G38" s="20"/>
    </row>
    <row r="39" spans="2:7" x14ac:dyDescent="0.2">
      <c r="B39" s="20" t="s">
        <v>34</v>
      </c>
      <c r="C39" s="130">
        <v>92.03</v>
      </c>
      <c r="D39" s="20"/>
      <c r="E39" s="20"/>
      <c r="F39" s="20"/>
      <c r="G39" s="20"/>
    </row>
    <row r="40" spans="2:7" x14ac:dyDescent="0.2">
      <c r="B40" s="20" t="s">
        <v>217</v>
      </c>
      <c r="C40" s="130">
        <v>31.09</v>
      </c>
      <c r="D40" s="20"/>
      <c r="E40" s="20"/>
      <c r="F40" s="20"/>
      <c r="G40" s="20"/>
    </row>
    <row r="41" spans="2:7" x14ac:dyDescent="0.2">
      <c r="B41" s="20" t="s">
        <v>218</v>
      </c>
      <c r="C41" s="130">
        <v>1005.03</v>
      </c>
      <c r="D41" s="20"/>
      <c r="E41" s="20"/>
      <c r="F41" s="20"/>
      <c r="G41" s="20"/>
    </row>
    <row r="42" spans="2:7" x14ac:dyDescent="0.2">
      <c r="B42" s="20"/>
      <c r="C42" s="20"/>
      <c r="D42" s="20"/>
      <c r="E42" s="20"/>
      <c r="F42" s="20"/>
      <c r="G42" s="20"/>
    </row>
    <row r="43" spans="2:7" x14ac:dyDescent="0.2">
      <c r="B43" s="23" t="s">
        <v>212</v>
      </c>
      <c r="C43" s="130">
        <v>281.95</v>
      </c>
      <c r="D43" s="20"/>
      <c r="E43" s="20"/>
      <c r="F43" s="20"/>
      <c r="G43" s="20"/>
    </row>
    <row r="44" spans="2:7" x14ac:dyDescent="0.2">
      <c r="B44" s="20" t="s">
        <v>263</v>
      </c>
      <c r="C44" s="25">
        <f>C43/(C40+C41)</f>
        <v>0.27212098984673594</v>
      </c>
      <c r="D44" s="20" t="s">
        <v>220</v>
      </c>
      <c r="E44" s="20"/>
      <c r="F44" s="20"/>
      <c r="G44" s="20"/>
    </row>
    <row r="45" spans="2:7" x14ac:dyDescent="0.2">
      <c r="B45" s="20" t="s">
        <v>223</v>
      </c>
      <c r="C45" s="25">
        <f>C43/C39</f>
        <v>3.0636748886232748</v>
      </c>
      <c r="D45" s="20" t="s">
        <v>221</v>
      </c>
      <c r="E45" s="20"/>
      <c r="F45" s="20"/>
      <c r="G45" s="20"/>
    </row>
    <row r="46" spans="2:7" x14ac:dyDescent="0.2">
      <c r="B46" s="20"/>
      <c r="C46" s="25"/>
      <c r="D46" s="20"/>
      <c r="E46" s="20"/>
      <c r="F46" s="20"/>
      <c r="G46" s="20"/>
    </row>
    <row r="47" spans="2:7" x14ac:dyDescent="0.2">
      <c r="B47" s="23" t="s">
        <v>213</v>
      </c>
      <c r="C47" s="130">
        <v>171.6</v>
      </c>
      <c r="D47" s="20"/>
      <c r="E47" s="20"/>
      <c r="F47" s="20"/>
      <c r="G47" s="20"/>
    </row>
    <row r="48" spans="2:7" x14ac:dyDescent="0.2">
      <c r="B48" s="20" t="s">
        <v>264</v>
      </c>
      <c r="C48" s="25">
        <f>C47/(C40+C41)</f>
        <v>0.16561788209859862</v>
      </c>
      <c r="D48" s="20" t="s">
        <v>220</v>
      </c>
      <c r="E48" s="20"/>
      <c r="F48" s="20"/>
      <c r="G48" s="20"/>
    </row>
    <row r="49" spans="2:7" x14ac:dyDescent="0.2">
      <c r="B49" s="20" t="s">
        <v>224</v>
      </c>
      <c r="C49" s="25">
        <f>C47/C39</f>
        <v>1.8646093665109202</v>
      </c>
      <c r="D49" s="20" t="s">
        <v>222</v>
      </c>
      <c r="E49" s="20"/>
      <c r="F49" s="20"/>
      <c r="G49" s="20"/>
    </row>
    <row r="50" spans="2:7" x14ac:dyDescent="0.2">
      <c r="B50" s="20"/>
      <c r="C50" s="25"/>
      <c r="D50" s="20"/>
      <c r="E50" s="20"/>
      <c r="F50" s="20"/>
      <c r="G50" s="20"/>
    </row>
    <row r="51" spans="2:7" x14ac:dyDescent="0.2">
      <c r="B51" s="23" t="s">
        <v>214</v>
      </c>
      <c r="C51" s="130">
        <v>110.33</v>
      </c>
      <c r="D51" s="20"/>
      <c r="E51" s="20"/>
      <c r="F51" s="20"/>
      <c r="G51" s="20"/>
    </row>
    <row r="52" spans="2:7" x14ac:dyDescent="0.2">
      <c r="B52" s="20" t="s">
        <v>265</v>
      </c>
      <c r="C52" s="25">
        <f>C51/(C40+C41)</f>
        <v>0.10648380496467591</v>
      </c>
      <c r="D52" s="20" t="s">
        <v>220</v>
      </c>
      <c r="E52" s="20"/>
      <c r="F52" s="20"/>
      <c r="G52" s="20"/>
    </row>
    <row r="53" spans="2:7" x14ac:dyDescent="0.2">
      <c r="B53" s="20" t="s">
        <v>225</v>
      </c>
      <c r="C53" s="25">
        <f>C51/C39</f>
        <v>1.1988482016733673</v>
      </c>
      <c r="D53" s="20" t="s">
        <v>222</v>
      </c>
      <c r="E53" s="20"/>
      <c r="F53" s="20"/>
      <c r="G53" s="20"/>
    </row>
    <row r="54" spans="2:7" x14ac:dyDescent="0.2">
      <c r="B54" s="20"/>
      <c r="C54" s="20"/>
      <c r="D54" s="20"/>
      <c r="E54" s="20"/>
      <c r="F54" s="20"/>
      <c r="G54" s="20"/>
    </row>
    <row r="55" spans="2:7" x14ac:dyDescent="0.2">
      <c r="B55" s="23" t="s">
        <v>219</v>
      </c>
      <c r="C55" s="130">
        <v>1320.99</v>
      </c>
      <c r="D55" s="20"/>
      <c r="E55" s="20"/>
      <c r="F55" s="20"/>
      <c r="G55" s="20"/>
    </row>
    <row r="56" spans="2:7" x14ac:dyDescent="0.2">
      <c r="B56" s="20" t="s">
        <v>266</v>
      </c>
      <c r="C56" s="25">
        <f>C55/(C40+C41)</f>
        <v>1.2749391962320968</v>
      </c>
      <c r="D56" s="20" t="s">
        <v>220</v>
      </c>
      <c r="E56" s="20"/>
      <c r="F56" s="20"/>
      <c r="G56" s="20"/>
    </row>
    <row r="57" spans="2:7" x14ac:dyDescent="0.2">
      <c r="B57" s="20" t="s">
        <v>226</v>
      </c>
      <c r="C57" s="25">
        <f>C55/C39</f>
        <v>14.353906334890796</v>
      </c>
      <c r="D57" s="20" t="s">
        <v>222</v>
      </c>
      <c r="E57" s="20"/>
      <c r="F57" s="20"/>
      <c r="G57" s="20"/>
    </row>
    <row r="58" spans="2:7" x14ac:dyDescent="0.2">
      <c r="B58" s="20"/>
      <c r="C58" s="20"/>
      <c r="D58" s="20"/>
      <c r="E58" s="20"/>
      <c r="F58" s="20"/>
      <c r="G58" s="20"/>
    </row>
    <row r="59" spans="2:7" x14ac:dyDescent="0.2">
      <c r="B59" s="20"/>
      <c r="C59" s="25"/>
      <c r="D59" s="20"/>
      <c r="E59" s="20"/>
      <c r="F59" s="20"/>
      <c r="G59" s="20"/>
    </row>
    <row r="60" spans="2:7" x14ac:dyDescent="0.2">
      <c r="B60" s="20"/>
      <c r="C60" s="25"/>
      <c r="D60" s="20"/>
      <c r="E60" s="20"/>
      <c r="F60" s="20"/>
      <c r="G60" s="20"/>
    </row>
    <row r="61" spans="2:7" x14ac:dyDescent="0.2">
      <c r="B61" s="20"/>
      <c r="C61" s="20"/>
      <c r="D61" s="20"/>
      <c r="E61" s="20"/>
      <c r="F61" s="20"/>
      <c r="G61" s="20"/>
    </row>
    <row r="62" spans="2:7" x14ac:dyDescent="0.2">
      <c r="B62" s="20"/>
      <c r="C62" s="20"/>
      <c r="D62" s="20"/>
      <c r="E62" s="20"/>
      <c r="F62" s="20"/>
      <c r="G62" s="20"/>
    </row>
    <row r="63" spans="2:7" x14ac:dyDescent="0.2">
      <c r="B63" s="20"/>
      <c r="C63" s="20"/>
      <c r="D63" s="20"/>
      <c r="E63" s="20"/>
      <c r="F63" s="20"/>
      <c r="G63" s="20"/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AE131"/>
  <sheetViews>
    <sheetView tabSelected="1" zoomScale="80" zoomScaleNormal="80" workbookViewId="0">
      <pane xSplit="2" ySplit="3" topLeftCell="C97" activePane="bottomRight" state="frozen"/>
      <selection pane="topRight" activeCell="C1" sqref="C1"/>
      <selection pane="bottomLeft" activeCell="A5" sqref="A5"/>
      <selection pane="bottomRight" activeCell="R130" sqref="R130"/>
    </sheetView>
  </sheetViews>
  <sheetFormatPr defaultRowHeight="12.75" x14ac:dyDescent="0.2"/>
  <cols>
    <col min="1" max="1" width="4.7109375" style="104" customWidth="1"/>
    <col min="2" max="2" width="46.7109375" style="104" bestFit="1" customWidth="1"/>
    <col min="3" max="3" width="7.85546875" style="104" customWidth="1"/>
    <col min="4" max="4" width="8.140625" style="104" customWidth="1"/>
    <col min="5" max="5" width="8.42578125" style="104" bestFit="1" customWidth="1"/>
    <col min="6" max="6" width="9" style="104" bestFit="1" customWidth="1"/>
    <col min="7" max="7" width="11.7109375" style="104" bestFit="1" customWidth="1"/>
    <col min="8" max="9" width="9" style="104" bestFit="1" customWidth="1"/>
    <col min="10" max="10" width="9.28515625" style="104" bestFit="1" customWidth="1"/>
    <col min="11" max="11" width="8.85546875" style="104" bestFit="1" customWidth="1"/>
    <col min="12" max="15" width="8.7109375" style="104" bestFit="1" customWidth="1"/>
    <col min="16" max="16" width="10.5703125" style="104" bestFit="1" customWidth="1"/>
    <col min="17" max="17" width="9.42578125" style="104" bestFit="1" customWidth="1"/>
    <col min="18" max="18" width="10.85546875" style="104" bestFit="1" customWidth="1"/>
    <col min="19" max="20" width="10.140625" style="104" bestFit="1" customWidth="1"/>
    <col min="21" max="28" width="8" style="104" bestFit="1" customWidth="1"/>
    <col min="29" max="29" width="9.28515625" style="104" bestFit="1" customWidth="1"/>
    <col min="30" max="30" width="9" style="104" customWidth="1"/>
    <col min="31" max="31" width="10.7109375" style="104" customWidth="1"/>
    <col min="32" max="16384" width="9.140625" style="104"/>
  </cols>
  <sheetData>
    <row r="1" spans="2:31" x14ac:dyDescent="0.2">
      <c r="B1" s="123" t="s">
        <v>241</v>
      </c>
      <c r="C1" s="124">
        <v>0.15</v>
      </c>
      <c r="F1" s="104" t="s">
        <v>252</v>
      </c>
      <c r="H1" s="126">
        <v>2004</v>
      </c>
    </row>
    <row r="2" spans="2:31" x14ac:dyDescent="0.2">
      <c r="B2" s="152" t="s">
        <v>317</v>
      </c>
      <c r="C2" s="120"/>
      <c r="F2" s="104" t="s">
        <v>253</v>
      </c>
      <c r="H2" s="126">
        <v>2013</v>
      </c>
      <c r="S2" s="115" t="s">
        <v>11</v>
      </c>
      <c r="T2" s="115" t="s">
        <v>12</v>
      </c>
      <c r="U2" s="115" t="s">
        <v>13</v>
      </c>
      <c r="V2" s="115" t="s">
        <v>14</v>
      </c>
      <c r="W2" s="115" t="s">
        <v>15</v>
      </c>
      <c r="X2" s="115" t="s">
        <v>234</v>
      </c>
      <c r="Y2" s="115" t="s">
        <v>235</v>
      </c>
      <c r="Z2" s="115" t="s">
        <v>236</v>
      </c>
      <c r="AA2" s="115" t="s">
        <v>237</v>
      </c>
      <c r="AB2" s="115" t="s">
        <v>238</v>
      </c>
      <c r="AD2" s="165" t="s">
        <v>290</v>
      </c>
      <c r="AE2" s="166"/>
    </row>
    <row r="3" spans="2:31" x14ac:dyDescent="0.2">
      <c r="B3" s="20"/>
      <c r="C3" s="114">
        <v>2000</v>
      </c>
      <c r="D3" s="114">
        <v>2001</v>
      </c>
      <c r="E3" s="114">
        <v>2002</v>
      </c>
      <c r="F3" s="114">
        <v>2003</v>
      </c>
      <c r="G3" s="114">
        <v>2004</v>
      </c>
      <c r="H3" s="114">
        <v>2005</v>
      </c>
      <c r="I3" s="114">
        <v>2006</v>
      </c>
      <c r="J3" s="114">
        <v>2007</v>
      </c>
      <c r="K3" s="114">
        <v>2008</v>
      </c>
      <c r="L3" s="114">
        <v>2009</v>
      </c>
      <c r="M3" s="114">
        <v>2010</v>
      </c>
      <c r="N3" s="114">
        <v>2011</v>
      </c>
      <c r="O3" s="114">
        <v>2012</v>
      </c>
      <c r="P3" s="114">
        <v>2013</v>
      </c>
      <c r="Q3" s="116" t="s">
        <v>1</v>
      </c>
      <c r="R3" s="116" t="s">
        <v>254</v>
      </c>
      <c r="S3" s="115">
        <v>2014</v>
      </c>
      <c r="T3" s="115">
        <v>2015</v>
      </c>
      <c r="U3" s="115">
        <v>2016</v>
      </c>
      <c r="V3" s="115">
        <v>2017</v>
      </c>
      <c r="W3" s="115">
        <v>2018</v>
      </c>
      <c r="X3" s="115">
        <v>2019</v>
      </c>
      <c r="Y3" s="115">
        <v>2020</v>
      </c>
      <c r="Z3" s="115">
        <v>2021</v>
      </c>
      <c r="AA3" s="115">
        <v>2022</v>
      </c>
      <c r="AB3" s="115">
        <v>2023</v>
      </c>
      <c r="AC3" s="136" t="s">
        <v>1</v>
      </c>
      <c r="AD3" s="167" t="s">
        <v>291</v>
      </c>
      <c r="AE3" s="168"/>
    </row>
    <row r="4" spans="2:31" x14ac:dyDescent="0.2">
      <c r="B4" s="20"/>
      <c r="C4" s="20"/>
      <c r="D4" s="20"/>
      <c r="E4" s="20"/>
      <c r="F4" s="20"/>
      <c r="G4" s="20"/>
      <c r="H4" s="20"/>
      <c r="I4" s="20"/>
      <c r="J4" s="20"/>
      <c r="K4" s="20"/>
      <c r="L4" s="20"/>
      <c r="M4" s="20"/>
      <c r="N4" s="20"/>
      <c r="O4" s="20"/>
      <c r="P4" s="20"/>
      <c r="Q4" s="20"/>
      <c r="R4" s="20"/>
      <c r="S4" s="117"/>
      <c r="T4" s="117"/>
      <c r="U4" s="117"/>
      <c r="V4" s="117"/>
      <c r="W4" s="117"/>
      <c r="X4" s="117"/>
      <c r="Y4" s="117"/>
      <c r="Z4" s="117"/>
      <c r="AA4" s="117"/>
      <c r="AB4" s="117"/>
      <c r="AC4" s="137"/>
      <c r="AD4" s="20"/>
      <c r="AE4" s="20"/>
    </row>
    <row r="5" spans="2:31" x14ac:dyDescent="0.2">
      <c r="B5" s="108" t="s">
        <v>242</v>
      </c>
      <c r="C5" s="20"/>
      <c r="D5" s="20"/>
      <c r="E5" s="145"/>
      <c r="F5" s="145"/>
      <c r="G5" s="145"/>
      <c r="H5" s="145"/>
      <c r="I5" s="145"/>
      <c r="J5" s="145"/>
      <c r="K5" s="145"/>
      <c r="L5" s="145"/>
      <c r="M5" s="145"/>
      <c r="N5" s="145"/>
      <c r="O5" s="145"/>
      <c r="P5" s="145"/>
      <c r="Q5" s="20"/>
      <c r="R5" s="20"/>
      <c r="S5" s="153"/>
      <c r="T5" s="153"/>
      <c r="U5" s="153"/>
      <c r="V5" s="153"/>
      <c r="W5" s="153"/>
      <c r="X5" s="153"/>
      <c r="Y5" s="153"/>
      <c r="Z5" s="153"/>
      <c r="AA5" s="153"/>
      <c r="AB5" s="153"/>
      <c r="AC5" s="137"/>
      <c r="AD5" s="20"/>
      <c r="AE5" s="153"/>
    </row>
    <row r="6" spans="2:31" x14ac:dyDescent="0.2">
      <c r="B6" s="20" t="s">
        <v>16</v>
      </c>
      <c r="C6" s="141"/>
      <c r="D6" s="141"/>
      <c r="E6" s="146"/>
      <c r="F6" s="146">
        <v>23700</v>
      </c>
      <c r="G6" s="146">
        <v>28116</v>
      </c>
      <c r="H6" s="146">
        <v>33562</v>
      </c>
      <c r="I6" s="146">
        <v>36755</v>
      </c>
      <c r="J6" s="146">
        <v>40467</v>
      </c>
      <c r="K6" s="146">
        <v>44617</v>
      </c>
      <c r="L6" s="146">
        <v>49162</v>
      </c>
      <c r="M6" s="146">
        <v>54058</v>
      </c>
      <c r="N6" s="146">
        <v>59835</v>
      </c>
      <c r="O6" s="146">
        <v>66157</v>
      </c>
      <c r="P6" s="146">
        <v>72995.490000000005</v>
      </c>
      <c r="Q6" s="118">
        <f>((P6/G6)^(1/($H$2-$H$1) ))-1</f>
        <v>0.11182914649936304</v>
      </c>
      <c r="R6" s="31">
        <v>0.1</v>
      </c>
      <c r="S6" s="153">
        <f>P6*(1+$R6)</f>
        <v>80295.039000000019</v>
      </c>
      <c r="T6" s="153">
        <f>S6*(1+$R6)</f>
        <v>88324.542900000029</v>
      </c>
      <c r="U6" s="153">
        <f t="shared" ref="U6:AB6" si="0">T6*(1+$R6)</f>
        <v>97156.997190000038</v>
      </c>
      <c r="V6" s="153">
        <f t="shared" si="0"/>
        <v>106872.69690900005</v>
      </c>
      <c r="W6" s="153">
        <f t="shared" si="0"/>
        <v>117559.96659990006</v>
      </c>
      <c r="X6" s="153">
        <f t="shared" si="0"/>
        <v>129315.96325989008</v>
      </c>
      <c r="Y6" s="153">
        <f t="shared" si="0"/>
        <v>142247.55958587909</v>
      </c>
      <c r="Z6" s="153">
        <f t="shared" si="0"/>
        <v>156472.31554446701</v>
      </c>
      <c r="AA6" s="153">
        <f t="shared" si="0"/>
        <v>172119.54709891372</v>
      </c>
      <c r="AB6" s="153">
        <f t="shared" si="0"/>
        <v>189331.5018088051</v>
      </c>
      <c r="AC6" s="138">
        <f>((AB6/G6)^(1/($AB$3-$H$1) ))-1</f>
        <v>0.10558750915034398</v>
      </c>
      <c r="AD6" s="31">
        <v>0.08</v>
      </c>
      <c r="AE6" s="145">
        <f>(AB6*(1+AC6))/($C$1-AD6)</f>
        <v>2990322.0498355813</v>
      </c>
    </row>
    <row r="7" spans="2:31" x14ac:dyDescent="0.2">
      <c r="B7" s="20" t="s">
        <v>240</v>
      </c>
      <c r="C7" s="141"/>
      <c r="D7" s="141"/>
      <c r="E7" s="146"/>
      <c r="F7" s="146">
        <v>31512</v>
      </c>
      <c r="G7" s="146">
        <v>35928</v>
      </c>
      <c r="H7" s="146">
        <v>41807</v>
      </c>
      <c r="I7" s="146">
        <v>45000</v>
      </c>
      <c r="J7" s="146">
        <v>48712</v>
      </c>
      <c r="K7" s="146">
        <v>52862</v>
      </c>
      <c r="L7" s="146">
        <v>57407</v>
      </c>
      <c r="M7" s="146">
        <v>62303</v>
      </c>
      <c r="N7" s="146">
        <v>68081</v>
      </c>
      <c r="O7" s="146">
        <v>74402</v>
      </c>
      <c r="P7" s="146">
        <v>81240.95</v>
      </c>
      <c r="Q7" s="118">
        <f>((P7/G7)^(1/($H$2-$H$1) ))-1</f>
        <v>9.4892114379777626E-2</v>
      </c>
      <c r="R7" s="31">
        <v>0.1</v>
      </c>
      <c r="S7" s="153">
        <f t="shared" ref="S7:S15" si="1">P7*(1+$R7)</f>
        <v>89365.044999999998</v>
      </c>
      <c r="T7" s="153">
        <f t="shared" ref="T7:AB7" si="2">S7*(1+$R7)</f>
        <v>98301.549500000008</v>
      </c>
      <c r="U7" s="153">
        <f t="shared" si="2"/>
        <v>108131.70445000002</v>
      </c>
      <c r="V7" s="153">
        <f t="shared" si="2"/>
        <v>118944.87489500003</v>
      </c>
      <c r="W7" s="153">
        <f t="shared" si="2"/>
        <v>130839.36238450004</v>
      </c>
      <c r="X7" s="153">
        <f t="shared" si="2"/>
        <v>143923.29862295007</v>
      </c>
      <c r="Y7" s="153">
        <f t="shared" si="2"/>
        <v>158315.62848524508</v>
      </c>
      <c r="Z7" s="153">
        <f t="shared" si="2"/>
        <v>174147.19133376959</v>
      </c>
      <c r="AA7" s="153">
        <f t="shared" si="2"/>
        <v>191561.91046714658</v>
      </c>
      <c r="AB7" s="153">
        <f t="shared" si="2"/>
        <v>210718.10151386124</v>
      </c>
      <c r="AC7" s="138">
        <f>((AB7/G7)^(1/($AB$3-$H$1) ))-1</f>
        <v>9.7577511610758672E-2</v>
      </c>
      <c r="AD7" s="31">
        <v>0.08</v>
      </c>
      <c r="AE7" s="145">
        <f>(AB7*(1+AC7))/($C$1-AD7)</f>
        <v>3303992.1358703868</v>
      </c>
    </row>
    <row r="8" spans="2:31" x14ac:dyDescent="0.2">
      <c r="B8" s="20"/>
      <c r="C8" s="141"/>
      <c r="D8" s="141"/>
      <c r="E8" s="146"/>
      <c r="F8" s="146"/>
      <c r="G8" s="147">
        <f>(G7-F7)/G7</f>
        <v>0.12291249164996659</v>
      </c>
      <c r="H8" s="150">
        <f>(H7-G7)/H7</f>
        <v>0.14062238381132347</v>
      </c>
      <c r="I8" s="150">
        <f t="shared" ref="I8:P8" si="3">(I7-H7)/I7</f>
        <v>7.0955555555555549E-2</v>
      </c>
      <c r="J8" s="150">
        <f t="shared" si="3"/>
        <v>7.620298899655116E-2</v>
      </c>
      <c r="K8" s="150">
        <f t="shared" si="3"/>
        <v>7.8506299421134268E-2</v>
      </c>
      <c r="L8" s="150">
        <f t="shared" si="3"/>
        <v>7.9171529604403643E-2</v>
      </c>
      <c r="M8" s="150">
        <f t="shared" si="3"/>
        <v>7.8583695809190571E-2</v>
      </c>
      <c r="N8" s="150">
        <f t="shared" si="3"/>
        <v>8.4869493691338255E-2</v>
      </c>
      <c r="O8" s="150">
        <f t="shared" si="3"/>
        <v>8.4957393618451116E-2</v>
      </c>
      <c r="P8" s="150">
        <f t="shared" si="3"/>
        <v>8.4181068783661411E-2</v>
      </c>
      <c r="Q8" s="128"/>
      <c r="R8" s="128"/>
      <c r="S8" s="153"/>
      <c r="T8" s="153"/>
      <c r="U8" s="153"/>
      <c r="V8" s="153"/>
      <c r="W8" s="153"/>
      <c r="X8" s="153"/>
      <c r="Y8" s="153"/>
      <c r="Z8" s="153"/>
      <c r="AA8" s="153"/>
      <c r="AB8" s="153"/>
      <c r="AC8" s="137"/>
      <c r="AD8" s="20"/>
      <c r="AE8" s="145"/>
    </row>
    <row r="9" spans="2:31" x14ac:dyDescent="0.2">
      <c r="B9" s="20" t="s">
        <v>270</v>
      </c>
      <c r="C9" s="141"/>
      <c r="D9" s="141"/>
      <c r="E9" s="146"/>
      <c r="F9" s="146">
        <v>3420</v>
      </c>
      <c r="G9" s="146">
        <v>7465</v>
      </c>
      <c r="H9" s="146">
        <v>5333</v>
      </c>
      <c r="I9" s="146">
        <v>5119</v>
      </c>
      <c r="J9" s="146">
        <v>5977</v>
      </c>
      <c r="K9" s="146">
        <v>6215</v>
      </c>
      <c r="L9" s="146">
        <v>8719</v>
      </c>
      <c r="M9" s="146">
        <v>9987</v>
      </c>
      <c r="N9" s="146">
        <v>13110</v>
      </c>
      <c r="O9" s="146">
        <v>19814</v>
      </c>
      <c r="P9" s="146">
        <v>26702.39</v>
      </c>
      <c r="Q9" s="118">
        <f t="shared" ref="Q9:Q15" si="4">((P9/G9)^(1/($H$2-$H$1) ))-1</f>
        <v>0.1521320501986263</v>
      </c>
      <c r="R9" s="31">
        <v>0.1</v>
      </c>
      <c r="S9" s="153">
        <f t="shared" ref="S9" si="5">P9*(1+$R9)</f>
        <v>29372.629000000001</v>
      </c>
      <c r="T9" s="153">
        <f t="shared" ref="T9" si="6">S9*(1+$R9)</f>
        <v>32309.891900000002</v>
      </c>
      <c r="U9" s="153">
        <f t="shared" ref="U9" si="7">T9*(1+$R9)</f>
        <v>35540.881090000003</v>
      </c>
      <c r="V9" s="153">
        <f t="shared" ref="V9" si="8">U9*(1+$R9)</f>
        <v>39094.969199000006</v>
      </c>
      <c r="W9" s="153">
        <f t="shared" ref="W9" si="9">V9*(1+$R9)</f>
        <v>43004.466118900011</v>
      </c>
      <c r="X9" s="153">
        <f t="shared" ref="X9" si="10">W9*(1+$R9)</f>
        <v>47304.912730790013</v>
      </c>
      <c r="Y9" s="153">
        <f t="shared" ref="Y9" si="11">X9*(1+$R9)</f>
        <v>52035.404003869015</v>
      </c>
      <c r="Z9" s="153">
        <f t="shared" ref="Z9" si="12">Y9*(1+$R9)</f>
        <v>57238.944404255919</v>
      </c>
      <c r="AA9" s="153">
        <f t="shared" ref="AA9" si="13">Z9*(1+$R9)</f>
        <v>62962.838844681515</v>
      </c>
      <c r="AB9" s="153">
        <f t="shared" ref="AB9" si="14">AA9*(1+$R9)</f>
        <v>69259.122729149676</v>
      </c>
      <c r="AC9" s="138">
        <f>((AB9/G9)^(1/($AB$3-$H$1) ))-1</f>
        <v>0.12439336017759017</v>
      </c>
      <c r="AD9" s="31">
        <v>0.08</v>
      </c>
      <c r="AE9" s="145">
        <f t="shared" ref="AE9:AE15" si="15">(AB9*(1+AC9))/($C$1-AD9)</f>
        <v>1112492.8246911531</v>
      </c>
    </row>
    <row r="10" spans="2:31" x14ac:dyDescent="0.2">
      <c r="B10" s="20" t="s">
        <v>4</v>
      </c>
      <c r="C10" s="141"/>
      <c r="D10" s="141"/>
      <c r="E10" s="146"/>
      <c r="F10" s="146">
        <v>13242</v>
      </c>
      <c r="G10" s="146">
        <v>15611</v>
      </c>
      <c r="H10" s="146">
        <v>17640</v>
      </c>
      <c r="I10" s="146">
        <v>22920</v>
      </c>
      <c r="J10" s="146">
        <v>27676</v>
      </c>
      <c r="K10" s="146">
        <v>31943</v>
      </c>
      <c r="L10" s="146">
        <v>40447</v>
      </c>
      <c r="M10" s="146">
        <v>45759</v>
      </c>
      <c r="N10" s="146">
        <v>51609</v>
      </c>
      <c r="O10" s="146">
        <v>56432</v>
      </c>
      <c r="P10" s="146">
        <f>68643.45-1080.72-761.2</f>
        <v>66801.53</v>
      </c>
      <c r="Q10" s="118">
        <f t="shared" si="4"/>
        <v>0.17530512994592429</v>
      </c>
      <c r="R10" s="31">
        <v>0.1</v>
      </c>
      <c r="S10" s="153">
        <f t="shared" si="1"/>
        <v>73481.683000000005</v>
      </c>
      <c r="T10" s="153">
        <f t="shared" ref="T10:AB10" si="16">S10*(1+$R10)</f>
        <v>80829.851300000009</v>
      </c>
      <c r="U10" s="153">
        <f t="shared" si="16"/>
        <v>88912.83643000001</v>
      </c>
      <c r="V10" s="153">
        <f t="shared" si="16"/>
        <v>97804.120073000013</v>
      </c>
      <c r="W10" s="153">
        <f t="shared" si="16"/>
        <v>107584.53208030002</v>
      </c>
      <c r="X10" s="153">
        <f t="shared" si="16"/>
        <v>118342.98528833003</v>
      </c>
      <c r="Y10" s="153">
        <f t="shared" si="16"/>
        <v>130177.28381716304</v>
      </c>
      <c r="Z10" s="153">
        <f t="shared" si="16"/>
        <v>143195.01219887935</v>
      </c>
      <c r="AA10" s="153">
        <f t="shared" si="16"/>
        <v>157514.51341876731</v>
      </c>
      <c r="AB10" s="153">
        <f t="shared" si="16"/>
        <v>173265.96476064404</v>
      </c>
      <c r="AC10" s="138">
        <f t="shared" ref="AC10:AC36" si="17">((AB10/G10)^(1/($AB$3-$H$1) ))-1</f>
        <v>0.13504967948803603</v>
      </c>
      <c r="AD10" s="31">
        <v>0.08</v>
      </c>
      <c r="AE10" s="145">
        <f t="shared" si="15"/>
        <v>2809506.8252536342</v>
      </c>
    </row>
    <row r="11" spans="2:31" x14ac:dyDescent="0.2">
      <c r="B11" s="20"/>
      <c r="C11" s="141"/>
      <c r="D11" s="141"/>
      <c r="E11" s="146"/>
      <c r="F11" s="146"/>
      <c r="G11" s="147">
        <f>(G10-F10)/G10</f>
        <v>0.15175196976490937</v>
      </c>
      <c r="H11" s="147">
        <f>(H10-G10)/H10</f>
        <v>0.11502267573696145</v>
      </c>
      <c r="I11" s="147">
        <f t="shared" ref="I11" si="18">(I10-H10)/I10</f>
        <v>0.23036649214659685</v>
      </c>
      <c r="J11" s="147">
        <f t="shared" ref="J11" si="19">(J10-I10)/J10</f>
        <v>0.17184564243387773</v>
      </c>
      <c r="K11" s="147">
        <f t="shared" ref="K11" si="20">(K10-J10)/K10</f>
        <v>0.13358169238956891</v>
      </c>
      <c r="L11" s="147">
        <f t="shared" ref="L11" si="21">(L10-K10)/L10</f>
        <v>0.21025045120775335</v>
      </c>
      <c r="M11" s="147">
        <f t="shared" ref="M11" si="22">(M10-L10)/M10</f>
        <v>0.1160864529382198</v>
      </c>
      <c r="N11" s="147">
        <f t="shared" ref="N11" si="23">(N10-M10)/N10</f>
        <v>0.11335232226937163</v>
      </c>
      <c r="O11" s="147">
        <f t="shared" ref="O11" si="24">(O10-N10)/O10</f>
        <v>8.5465693223702857E-2</v>
      </c>
      <c r="P11" s="147">
        <f t="shared" ref="P11" si="25">(P10-O10)/P10</f>
        <v>0.15522892963679125</v>
      </c>
      <c r="Q11" s="128"/>
      <c r="R11" s="128"/>
      <c r="S11" s="153"/>
      <c r="T11" s="153"/>
      <c r="U11" s="153"/>
      <c r="V11" s="153"/>
      <c r="W11" s="153"/>
      <c r="X11" s="153"/>
      <c r="Y11" s="153"/>
      <c r="Z11" s="153"/>
      <c r="AA11" s="153"/>
      <c r="AB11" s="153"/>
      <c r="AC11" s="119"/>
      <c r="AD11" s="119"/>
      <c r="AE11" s="153"/>
    </row>
    <row r="12" spans="2:31" x14ac:dyDescent="0.2">
      <c r="B12" s="20" t="s">
        <v>2</v>
      </c>
      <c r="C12" s="141"/>
      <c r="D12" s="141"/>
      <c r="E12" s="146"/>
      <c r="F12" s="146">
        <v>545</v>
      </c>
      <c r="G12" s="146">
        <f>602+7</f>
        <v>609</v>
      </c>
      <c r="H12" s="146">
        <f>438+5760</f>
        <v>6198</v>
      </c>
      <c r="I12" s="146">
        <f>192+8414</f>
        <v>8606</v>
      </c>
      <c r="J12" s="146">
        <f>767+12931</f>
        <v>13698</v>
      </c>
      <c r="K12" s="146">
        <f>489+14871</f>
        <v>15360</v>
      </c>
      <c r="L12" s="146">
        <f>323+16928</f>
        <v>17251</v>
      </c>
      <c r="M12" s="146">
        <f>702+15350</f>
        <v>16052</v>
      </c>
      <c r="N12" s="146">
        <f>393+17467</f>
        <v>17860</v>
      </c>
      <c r="O12" s="146">
        <v>18091</v>
      </c>
      <c r="P12" s="146">
        <v>18738.12</v>
      </c>
      <c r="Q12" s="118">
        <f t="shared" si="4"/>
        <v>0.46334057150333985</v>
      </c>
      <c r="R12" s="31">
        <v>0.1</v>
      </c>
      <c r="S12" s="153">
        <f t="shared" si="1"/>
        <v>20611.932000000001</v>
      </c>
      <c r="T12" s="153">
        <f t="shared" ref="T12:AB12" si="26">S12*(1+$R12)</f>
        <v>22673.125200000002</v>
      </c>
      <c r="U12" s="153">
        <f t="shared" si="26"/>
        <v>24940.437720000005</v>
      </c>
      <c r="V12" s="153">
        <f t="shared" si="26"/>
        <v>27434.48149200001</v>
      </c>
      <c r="W12" s="153">
        <f t="shared" si="26"/>
        <v>30177.929641200015</v>
      </c>
      <c r="X12" s="153">
        <f t="shared" si="26"/>
        <v>33195.722605320021</v>
      </c>
      <c r="Y12" s="153">
        <f t="shared" si="26"/>
        <v>36515.294865852025</v>
      </c>
      <c r="Z12" s="153">
        <f t="shared" si="26"/>
        <v>40166.82435243723</v>
      </c>
      <c r="AA12" s="153">
        <f t="shared" si="26"/>
        <v>44183.506787680955</v>
      </c>
      <c r="AB12" s="153">
        <f t="shared" si="26"/>
        <v>48601.857466449052</v>
      </c>
      <c r="AC12" s="138">
        <f t="shared" si="17"/>
        <v>0.25923601270604557</v>
      </c>
      <c r="AD12" s="31">
        <v>0.08</v>
      </c>
      <c r="AE12" s="145">
        <f t="shared" si="15"/>
        <v>874302.98865941237</v>
      </c>
    </row>
    <row r="13" spans="2:31" x14ac:dyDescent="0.2">
      <c r="B13" s="20" t="s">
        <v>218</v>
      </c>
      <c r="C13" s="141"/>
      <c r="D13" s="141"/>
      <c r="E13" s="146"/>
      <c r="F13" s="146">
        <v>3667</v>
      </c>
      <c r="G13" s="146">
        <v>17338</v>
      </c>
      <c r="H13" s="146">
        <v>20656</v>
      </c>
      <c r="I13" s="146">
        <v>18592</v>
      </c>
      <c r="J13" s="146">
        <v>15142</v>
      </c>
      <c r="K13" s="146">
        <v>13447</v>
      </c>
      <c r="L13" s="146">
        <v>11696</v>
      </c>
      <c r="M13" s="146">
        <v>11777</v>
      </c>
      <c r="N13" s="146">
        <v>8357</v>
      </c>
      <c r="O13" s="146">
        <v>6545</v>
      </c>
      <c r="P13" s="146">
        <v>7000</v>
      </c>
      <c r="Q13" s="118">
        <f t="shared" si="4"/>
        <v>-9.5865113949552216E-2</v>
      </c>
      <c r="R13" s="31">
        <v>0.1</v>
      </c>
      <c r="S13" s="153">
        <f t="shared" si="1"/>
        <v>7700.0000000000009</v>
      </c>
      <c r="T13" s="153">
        <f t="shared" ref="T13:AB13" si="27">S13*(1+$R13)</f>
        <v>8470.0000000000018</v>
      </c>
      <c r="U13" s="153">
        <f t="shared" si="27"/>
        <v>9317.0000000000036</v>
      </c>
      <c r="V13" s="153">
        <f t="shared" si="27"/>
        <v>10248.700000000004</v>
      </c>
      <c r="W13" s="153">
        <f t="shared" si="27"/>
        <v>11273.570000000005</v>
      </c>
      <c r="X13" s="153">
        <f t="shared" si="27"/>
        <v>12400.927000000007</v>
      </c>
      <c r="Y13" s="153">
        <f t="shared" si="27"/>
        <v>13641.019700000008</v>
      </c>
      <c r="Z13" s="153">
        <f t="shared" si="27"/>
        <v>15005.12167000001</v>
      </c>
      <c r="AA13" s="153">
        <f t="shared" si="27"/>
        <v>16505.633837000012</v>
      </c>
      <c r="AB13" s="153">
        <f t="shared" si="27"/>
        <v>18156.197220700014</v>
      </c>
      <c r="AC13" s="138">
        <f t="shared" si="17"/>
        <v>2.4298590526012909E-3</v>
      </c>
      <c r="AD13" s="31">
        <v>0.08</v>
      </c>
      <c r="AE13" s="145">
        <f t="shared" si="15"/>
        <v>260004.48886967925</v>
      </c>
    </row>
    <row r="14" spans="2:31" x14ac:dyDescent="0.2">
      <c r="B14" s="20" t="s">
        <v>19</v>
      </c>
      <c r="C14" s="141"/>
      <c r="D14" s="141"/>
      <c r="E14" s="146"/>
      <c r="F14" s="146">
        <v>19413</v>
      </c>
      <c r="G14" s="146">
        <v>14642</v>
      </c>
      <c r="H14" s="146">
        <v>13148</v>
      </c>
      <c r="I14" s="146">
        <v>16030</v>
      </c>
      <c r="J14" s="146">
        <v>22822</v>
      </c>
      <c r="K14" s="146">
        <v>26315</v>
      </c>
      <c r="L14" s="146">
        <v>32463</v>
      </c>
      <c r="M14" s="146">
        <v>33215</v>
      </c>
      <c r="N14" s="146">
        <v>38045</v>
      </c>
      <c r="O14" s="146">
        <v>47184</v>
      </c>
      <c r="P14" s="146">
        <v>44818.67</v>
      </c>
      <c r="Q14" s="118">
        <f t="shared" si="4"/>
        <v>0.13235938709597828</v>
      </c>
      <c r="R14" s="31">
        <v>0.1</v>
      </c>
      <c r="S14" s="153">
        <f t="shared" si="1"/>
        <v>49300.537000000004</v>
      </c>
      <c r="T14" s="153">
        <f t="shared" ref="T14:AB14" si="28">S14*(1+$R14)</f>
        <v>54230.590700000008</v>
      </c>
      <c r="U14" s="153">
        <f t="shared" si="28"/>
        <v>59653.649770000011</v>
      </c>
      <c r="V14" s="153">
        <f t="shared" si="28"/>
        <v>65619.014747000023</v>
      </c>
      <c r="W14" s="153">
        <f t="shared" si="28"/>
        <v>72180.916221700027</v>
      </c>
      <c r="X14" s="153">
        <f t="shared" si="28"/>
        <v>79399.007843870029</v>
      </c>
      <c r="Y14" s="153">
        <f t="shared" si="28"/>
        <v>87338.908628257035</v>
      </c>
      <c r="Z14" s="153">
        <f t="shared" si="28"/>
        <v>96072.79949108274</v>
      </c>
      <c r="AA14" s="153">
        <f t="shared" si="28"/>
        <v>105680.07944019102</v>
      </c>
      <c r="AB14" s="153">
        <f t="shared" si="28"/>
        <v>116248.08738421014</v>
      </c>
      <c r="AC14" s="138">
        <f t="shared" si="17"/>
        <v>0.11521121198605866</v>
      </c>
      <c r="AD14" s="31">
        <v>0.08</v>
      </c>
      <c r="AE14" s="145">
        <f t="shared" si="15"/>
        <v>1852016.7203258036</v>
      </c>
    </row>
    <row r="15" spans="2:31" x14ac:dyDescent="0.2">
      <c r="B15" s="20" t="s">
        <v>23</v>
      </c>
      <c r="C15" s="141"/>
      <c r="D15" s="141"/>
      <c r="E15" s="146"/>
      <c r="F15" s="146">
        <v>14828</v>
      </c>
      <c r="G15" s="146">
        <v>5452</v>
      </c>
      <c r="H15" s="146">
        <v>6283</v>
      </c>
      <c r="I15" s="146">
        <v>9669</v>
      </c>
      <c r="J15" s="146">
        <v>15128</v>
      </c>
      <c r="K15" s="146">
        <v>17693</v>
      </c>
      <c r="L15" s="146">
        <v>20429</v>
      </c>
      <c r="M15" s="146">
        <v>20077</v>
      </c>
      <c r="N15" s="146">
        <v>22099</v>
      </c>
      <c r="O15" s="146">
        <v>23353</v>
      </c>
      <c r="P15" s="146">
        <f>P14-P9</f>
        <v>18116.28</v>
      </c>
      <c r="Q15" s="118">
        <f t="shared" si="4"/>
        <v>0.14273599804917825</v>
      </c>
      <c r="R15" s="31">
        <v>0.1</v>
      </c>
      <c r="S15" s="153">
        <f t="shared" si="1"/>
        <v>19927.907999999999</v>
      </c>
      <c r="T15" s="153">
        <f t="shared" ref="T15:AB15" si="29">S15*(1+$R15)</f>
        <v>21920.698800000002</v>
      </c>
      <c r="U15" s="153">
        <f t="shared" si="29"/>
        <v>24112.768680000005</v>
      </c>
      <c r="V15" s="153">
        <f t="shared" si="29"/>
        <v>26524.045548000006</v>
      </c>
      <c r="W15" s="153">
        <f t="shared" si="29"/>
        <v>29176.450102800009</v>
      </c>
      <c r="X15" s="153">
        <f t="shared" si="29"/>
        <v>32094.095113080013</v>
      </c>
      <c r="Y15" s="153">
        <f t="shared" si="29"/>
        <v>35303.504624388021</v>
      </c>
      <c r="Z15" s="153">
        <f t="shared" si="29"/>
        <v>38833.855086826828</v>
      </c>
      <c r="AA15" s="153">
        <f t="shared" si="29"/>
        <v>42717.240595509516</v>
      </c>
      <c r="AB15" s="153">
        <f t="shared" si="29"/>
        <v>46988.964655060474</v>
      </c>
      <c r="AC15" s="138">
        <f t="shared" si="17"/>
        <v>0.12004039411204914</v>
      </c>
      <c r="AD15" s="31">
        <v>0.08</v>
      </c>
      <c r="AE15" s="145">
        <f t="shared" si="15"/>
        <v>751850.54987387266</v>
      </c>
    </row>
    <row r="16" spans="2:31" x14ac:dyDescent="0.2">
      <c r="B16" s="20"/>
      <c r="C16" s="141"/>
      <c r="D16" s="141"/>
      <c r="E16" s="146"/>
      <c r="F16" s="146"/>
      <c r="G16" s="146"/>
      <c r="H16" s="146"/>
      <c r="I16" s="146"/>
      <c r="J16" s="146"/>
      <c r="K16" s="146"/>
      <c r="L16" s="146"/>
      <c r="M16" s="146"/>
      <c r="N16" s="146"/>
      <c r="O16" s="146"/>
      <c r="P16" s="146"/>
      <c r="Q16" s="128"/>
      <c r="R16" s="128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39"/>
      <c r="AD16" s="20"/>
      <c r="AE16" s="153"/>
    </row>
    <row r="17" spans="2:31" x14ac:dyDescent="0.2">
      <c r="B17" s="20" t="s">
        <v>278</v>
      </c>
      <c r="C17" s="141"/>
      <c r="D17" s="141"/>
      <c r="E17" s="146"/>
      <c r="F17" s="146">
        <v>19865</v>
      </c>
      <c r="G17" s="146">
        <v>21160</v>
      </c>
      <c r="H17" s="146">
        <v>22388</v>
      </c>
      <c r="I17" s="146">
        <v>23256</v>
      </c>
      <c r="J17" s="146">
        <v>25754</v>
      </c>
      <c r="K17" s="146">
        <v>28025</v>
      </c>
      <c r="L17" s="146">
        <v>34286</v>
      </c>
      <c r="M17" s="146">
        <v>38608</v>
      </c>
      <c r="N17" s="146">
        <v>44653</v>
      </c>
      <c r="O17" s="146">
        <v>51134</v>
      </c>
      <c r="P17" s="146">
        <v>55000</v>
      </c>
      <c r="Q17" s="118">
        <f>((P17/G17)^(1/($H$2-$H$1) ))-1</f>
        <v>0.11197267179747561</v>
      </c>
      <c r="R17" s="31">
        <v>0.1</v>
      </c>
      <c r="S17" s="153">
        <f t="shared" ref="S17:S30" si="30">P17*(1+$R17)</f>
        <v>60500.000000000007</v>
      </c>
      <c r="T17" s="153">
        <f t="shared" ref="T17:T30" si="31">S17*(1+$R17)</f>
        <v>66550.000000000015</v>
      </c>
      <c r="U17" s="153">
        <f t="shared" ref="U17:U30" si="32">T17*(1+$R17)</f>
        <v>73205.000000000029</v>
      </c>
      <c r="V17" s="153">
        <f t="shared" ref="V17:V30" si="33">U17*(1+$R17)</f>
        <v>80525.500000000044</v>
      </c>
      <c r="W17" s="153">
        <f t="shared" ref="W17:W32" si="34">V17*(1+$R17)</f>
        <v>88578.050000000061</v>
      </c>
      <c r="X17" s="153">
        <f t="shared" ref="X17:X32" si="35">W17*(1+$R17)</f>
        <v>97435.855000000069</v>
      </c>
      <c r="Y17" s="153">
        <f t="shared" ref="Y17:Y32" si="36">X17*(1+$R17)</f>
        <v>107179.44050000008</v>
      </c>
      <c r="Z17" s="153">
        <f t="shared" ref="Z17:Z32" si="37">Y17*(1+$R17)</f>
        <v>117897.3845500001</v>
      </c>
      <c r="AA17" s="153">
        <f t="shared" ref="AA17:AA32" si="38">Z17*(1+$R17)</f>
        <v>129687.12300500013</v>
      </c>
      <c r="AB17" s="153">
        <f t="shared" ref="AB17:AB32" si="39">AA17*(1+$R17)</f>
        <v>142655.83530550016</v>
      </c>
      <c r="AC17" s="138">
        <f t="shared" si="17"/>
        <v>0.10565511086040225</v>
      </c>
      <c r="AD17" s="31">
        <v>0.08</v>
      </c>
      <c r="AE17" s="145">
        <f>(AB17*(1+AC17))/($C$1-AD17)</f>
        <v>2253259.3342798012</v>
      </c>
    </row>
    <row r="18" spans="2:31" x14ac:dyDescent="0.2">
      <c r="B18" s="20"/>
      <c r="C18" s="141"/>
      <c r="D18" s="141"/>
      <c r="E18" s="146"/>
      <c r="F18" s="146"/>
      <c r="G18" s="146"/>
      <c r="H18" s="146"/>
      <c r="I18" s="146"/>
      <c r="J18" s="146"/>
      <c r="K18" s="146"/>
      <c r="L18" s="146"/>
      <c r="M18" s="146"/>
      <c r="N18" s="146"/>
      <c r="O18" s="146"/>
      <c r="P18" s="146"/>
      <c r="Q18" s="128"/>
      <c r="R18" s="128"/>
      <c r="S18" s="153"/>
      <c r="T18" s="153"/>
      <c r="U18" s="153"/>
      <c r="V18" s="153"/>
      <c r="W18" s="153"/>
      <c r="X18" s="153"/>
      <c r="Y18" s="153"/>
      <c r="Z18" s="153"/>
      <c r="AA18" s="153"/>
      <c r="AB18" s="153"/>
      <c r="AC18" s="119"/>
      <c r="AD18" s="119"/>
      <c r="AE18" s="153"/>
    </row>
    <row r="19" spans="2:31" x14ac:dyDescent="0.2">
      <c r="B19" s="20" t="s">
        <v>284</v>
      </c>
      <c r="C19" s="141"/>
      <c r="D19" s="141"/>
      <c r="E19" s="146"/>
      <c r="F19" s="146">
        <v>4740</v>
      </c>
      <c r="G19" s="146">
        <v>5744</v>
      </c>
      <c r="H19" s="146">
        <v>5047</v>
      </c>
      <c r="I19" s="146">
        <v>6206</v>
      </c>
      <c r="J19" s="146">
        <v>8065</v>
      </c>
      <c r="K19" s="146">
        <v>10171</v>
      </c>
      <c r="L19" s="146">
        <v>9688</v>
      </c>
      <c r="M19" s="146">
        <v>10594</v>
      </c>
      <c r="N19" s="146">
        <v>11095</v>
      </c>
      <c r="O19" s="146">
        <v>13866</v>
      </c>
      <c r="P19" s="162">
        <v>14000</v>
      </c>
      <c r="Q19" s="118">
        <f>((P19/G19)^(1/($H$2-$H$1) ))-1</f>
        <v>0.10405421597135178</v>
      </c>
      <c r="R19" s="31">
        <v>0.1</v>
      </c>
      <c r="S19" s="153">
        <f t="shared" ref="S19:S21" si="40">P19*(1+$R19)</f>
        <v>15400.000000000002</v>
      </c>
      <c r="T19" s="153">
        <f t="shared" ref="T19:T21" si="41">S19*(1+$R19)</f>
        <v>16940.000000000004</v>
      </c>
      <c r="U19" s="153">
        <f t="shared" ref="U19:U21" si="42">T19*(1+$R19)</f>
        <v>18634.000000000007</v>
      </c>
      <c r="V19" s="153">
        <f t="shared" ref="V19:V21" si="43">U19*(1+$R19)</f>
        <v>20497.400000000009</v>
      </c>
      <c r="W19" s="153">
        <f t="shared" ref="W19:W21" si="44">V19*(1+$R19)</f>
        <v>22547.14000000001</v>
      </c>
      <c r="X19" s="153">
        <f t="shared" ref="X19:X21" si="45">W19*(1+$R19)</f>
        <v>24801.854000000014</v>
      </c>
      <c r="Y19" s="153">
        <f t="shared" ref="Y19:Y21" si="46">X19*(1+$R19)</f>
        <v>27282.039400000016</v>
      </c>
      <c r="Z19" s="153">
        <f t="shared" ref="Z19:Z21" si="47">Y19*(1+$R19)</f>
        <v>30010.243340000019</v>
      </c>
      <c r="AA19" s="153">
        <f t="shared" ref="AA19:AA21" si="48">Z19*(1+$R19)</f>
        <v>33011.267674000024</v>
      </c>
      <c r="AB19" s="153">
        <f t="shared" ref="AB19:AB21" si="49">AA19*(1+$R19)</f>
        <v>36312.394441400029</v>
      </c>
      <c r="AC19" s="138">
        <f t="shared" ref="AC19:AC21" si="50">((AB19/G19)^(1/($AB$3-$H$1) ))-1</f>
        <v>0.10191855894718893</v>
      </c>
      <c r="AD19" s="31">
        <v>0.05</v>
      </c>
      <c r="AE19" s="145">
        <f>(AB19*(1+AC19))/($C$1-AD19)</f>
        <v>400133.01354789443</v>
      </c>
    </row>
    <row r="20" spans="2:31" x14ac:dyDescent="0.2">
      <c r="B20" s="20" t="s">
        <v>285</v>
      </c>
      <c r="C20" s="141"/>
      <c r="D20" s="141"/>
      <c r="E20" s="146"/>
      <c r="F20" s="146">
        <v>-3188</v>
      </c>
      <c r="G20" s="146">
        <v>-2337</v>
      </c>
      <c r="H20" s="146">
        <v>-6417</v>
      </c>
      <c r="I20" s="146">
        <v>-2713</v>
      </c>
      <c r="J20" s="146">
        <v>-3145</v>
      </c>
      <c r="K20" s="146">
        <v>-6203</v>
      </c>
      <c r="L20" s="146">
        <v>-7500</v>
      </c>
      <c r="M20" s="146">
        <v>-10497</v>
      </c>
      <c r="N20" s="146">
        <v>-7658</v>
      </c>
      <c r="O20" s="146">
        <v>-11036</v>
      </c>
      <c r="P20" s="162">
        <v>-12000</v>
      </c>
      <c r="Q20" s="118">
        <f>((P20/G20)^(1/($H$2-$H$1) ))-1</f>
        <v>0.19935278567686554</v>
      </c>
      <c r="R20" s="31">
        <v>0.1</v>
      </c>
      <c r="S20" s="153">
        <f t="shared" si="40"/>
        <v>-13200.000000000002</v>
      </c>
      <c r="T20" s="153">
        <f t="shared" si="41"/>
        <v>-14520.000000000004</v>
      </c>
      <c r="U20" s="153">
        <f t="shared" si="42"/>
        <v>-15972.000000000005</v>
      </c>
      <c r="V20" s="153">
        <f t="shared" si="43"/>
        <v>-17569.200000000008</v>
      </c>
      <c r="W20" s="153">
        <f t="shared" si="44"/>
        <v>-19326.12000000001</v>
      </c>
      <c r="X20" s="153">
        <f t="shared" si="45"/>
        <v>-21258.732000000011</v>
      </c>
      <c r="Y20" s="153">
        <f t="shared" si="46"/>
        <v>-23384.605200000013</v>
      </c>
      <c r="Z20" s="153">
        <f t="shared" si="47"/>
        <v>-25723.065720000017</v>
      </c>
      <c r="AA20" s="153">
        <f t="shared" si="48"/>
        <v>-28295.372292000022</v>
      </c>
      <c r="AB20" s="153">
        <f t="shared" si="49"/>
        <v>-31124.909521200025</v>
      </c>
      <c r="AC20" s="138">
        <f t="shared" si="50"/>
        <v>0.14599189628363485</v>
      </c>
      <c r="AD20" s="31">
        <v>0.05</v>
      </c>
      <c r="AE20" s="145">
        <f>(AB20*(1+AC20))/($C$1-AD20)</f>
        <v>-356688.94083856582</v>
      </c>
    </row>
    <row r="21" spans="2:31" x14ac:dyDescent="0.2">
      <c r="B21" s="20" t="s">
        <v>286</v>
      </c>
      <c r="C21" s="141"/>
      <c r="D21" s="141"/>
      <c r="E21" s="146"/>
      <c r="F21" s="146">
        <v>-528</v>
      </c>
      <c r="G21" s="146">
        <v>838</v>
      </c>
      <c r="H21" s="146">
        <v>813</v>
      </c>
      <c r="I21" s="146">
        <v>-1099</v>
      </c>
      <c r="J21" s="146">
        <v>-76</v>
      </c>
      <c r="K21" s="146">
        <v>-2348</v>
      </c>
      <c r="L21" s="146">
        <v>-849</v>
      </c>
      <c r="M21" s="146">
        <v>-1908</v>
      </c>
      <c r="N21" s="146">
        <v>-1710</v>
      </c>
      <c r="O21" s="146">
        <v>-2861</v>
      </c>
      <c r="P21" s="162">
        <v>-2500</v>
      </c>
      <c r="Q21" s="118">
        <f>((P21/G21)^(1/($H$2-$H$1) ))-1</f>
        <v>-2.1291301365246809</v>
      </c>
      <c r="R21" s="31">
        <v>0.1</v>
      </c>
      <c r="S21" s="153">
        <f t="shared" si="40"/>
        <v>-2750</v>
      </c>
      <c r="T21" s="153">
        <f t="shared" si="41"/>
        <v>-3025.0000000000005</v>
      </c>
      <c r="U21" s="153">
        <f t="shared" si="42"/>
        <v>-3327.5000000000009</v>
      </c>
      <c r="V21" s="153">
        <f t="shared" si="43"/>
        <v>-3660.2500000000014</v>
      </c>
      <c r="W21" s="153">
        <f t="shared" si="44"/>
        <v>-4026.2750000000019</v>
      </c>
      <c r="X21" s="153">
        <f t="shared" si="45"/>
        <v>-4428.9025000000029</v>
      </c>
      <c r="Y21" s="153">
        <f t="shared" si="46"/>
        <v>-4871.7927500000033</v>
      </c>
      <c r="Z21" s="153">
        <f t="shared" si="47"/>
        <v>-5358.9720250000037</v>
      </c>
      <c r="AA21" s="153">
        <f t="shared" si="48"/>
        <v>-5894.8692275000049</v>
      </c>
      <c r="AB21" s="153">
        <f t="shared" si="49"/>
        <v>-6484.3561502500061</v>
      </c>
      <c r="AC21" s="138">
        <f t="shared" si="50"/>
        <v>-2.1137035993374438</v>
      </c>
      <c r="AD21" s="31">
        <v>0.05</v>
      </c>
      <c r="AE21" s="145">
        <f>(AB21*(1+AC21))/($C$1-AD21)</f>
        <v>72216.507839193218</v>
      </c>
    </row>
    <row r="22" spans="2:31" x14ac:dyDescent="0.2">
      <c r="B22" s="20" t="s">
        <v>294</v>
      </c>
      <c r="C22" s="141"/>
      <c r="D22" s="141"/>
      <c r="E22" s="146"/>
      <c r="F22" s="146">
        <v>2389</v>
      </c>
      <c r="G22" s="146">
        <v>6635</v>
      </c>
      <c r="H22" s="146">
        <v>6078</v>
      </c>
      <c r="I22" s="146">
        <v>8471</v>
      </c>
      <c r="J22" s="146">
        <v>13314</v>
      </c>
      <c r="K22" s="146">
        <v>14933</v>
      </c>
      <c r="L22" s="146">
        <v>16271</v>
      </c>
      <c r="M22" s="146">
        <v>14459</v>
      </c>
      <c r="N22" s="146">
        <v>16185</v>
      </c>
      <c r="O22" s="146">
        <v>16146</v>
      </c>
      <c r="P22" s="162">
        <v>17000</v>
      </c>
      <c r="Q22" s="118">
        <f>((P22/G22)^(1/($H$2-$H$1) ))-1</f>
        <v>0.11019914425900001</v>
      </c>
      <c r="R22" s="31">
        <v>0.1</v>
      </c>
      <c r="S22" s="153">
        <f t="shared" ref="S22" si="51">P22*(1+$R22)</f>
        <v>18700</v>
      </c>
      <c r="T22" s="153">
        <f t="shared" ref="T22" si="52">S22*(1+$R22)</f>
        <v>20570</v>
      </c>
      <c r="U22" s="153">
        <f t="shared" ref="U22" si="53">T22*(1+$R22)</f>
        <v>22627.000000000004</v>
      </c>
      <c r="V22" s="153">
        <f t="shared" ref="V22" si="54">U22*(1+$R22)</f>
        <v>24889.700000000004</v>
      </c>
      <c r="W22" s="153">
        <f t="shared" ref="W22" si="55">V22*(1+$R22)</f>
        <v>27378.670000000006</v>
      </c>
      <c r="X22" s="153">
        <f t="shared" ref="X22" si="56">W22*(1+$R22)</f>
        <v>30116.537000000008</v>
      </c>
      <c r="Y22" s="153">
        <f t="shared" ref="Y22" si="57">X22*(1+$R22)</f>
        <v>33128.190700000014</v>
      </c>
      <c r="Z22" s="153">
        <f t="shared" ref="Z22" si="58">Y22*(1+$R22)</f>
        <v>36441.009770000019</v>
      </c>
      <c r="AA22" s="153">
        <f t="shared" ref="AA22" si="59">Z22*(1+$R22)</f>
        <v>40085.110747000021</v>
      </c>
      <c r="AB22" s="153">
        <f t="shared" ref="AB22" si="60">AA22*(1+$R22)</f>
        <v>44093.621821700028</v>
      </c>
      <c r="AC22" s="138">
        <f t="shared" ref="AC22" si="61">((AB22/G22)^(1/($AB$3-$H$1) ))-1</f>
        <v>0.10481944088131345</v>
      </c>
      <c r="AD22" s="31">
        <v>0.05</v>
      </c>
      <c r="AE22" s="145">
        <f>(AB22*(1+AC22))/($C$1-AD22)</f>
        <v>487154.90607482713</v>
      </c>
    </row>
    <row r="23" spans="2:31" x14ac:dyDescent="0.2">
      <c r="B23" s="20"/>
      <c r="C23" s="141"/>
      <c r="D23" s="141"/>
      <c r="E23" s="146"/>
      <c r="F23" s="146"/>
      <c r="G23" s="146"/>
      <c r="H23" s="146"/>
      <c r="I23" s="146"/>
      <c r="J23" s="146"/>
      <c r="K23" s="146"/>
      <c r="L23" s="146"/>
      <c r="M23" s="146"/>
      <c r="N23" s="146"/>
      <c r="O23" s="146"/>
      <c r="P23" s="146"/>
      <c r="Q23" s="128"/>
      <c r="R23" s="128"/>
      <c r="S23" s="153"/>
      <c r="T23" s="153"/>
      <c r="U23" s="153"/>
      <c r="V23" s="153"/>
      <c r="W23" s="153"/>
      <c r="X23" s="153"/>
      <c r="Y23" s="153"/>
      <c r="Z23" s="153"/>
      <c r="AA23" s="153"/>
      <c r="AB23" s="153"/>
      <c r="AC23" s="119"/>
      <c r="AD23" s="119"/>
      <c r="AE23" s="153"/>
    </row>
    <row r="24" spans="2:31" x14ac:dyDescent="0.2">
      <c r="B24" s="20" t="s">
        <v>89</v>
      </c>
      <c r="C24" s="141"/>
      <c r="D24" s="141"/>
      <c r="E24" s="146"/>
      <c r="F24" s="146">
        <v>19451</v>
      </c>
      <c r="G24" s="146">
        <v>24978</v>
      </c>
      <c r="H24" s="146">
        <v>25867</v>
      </c>
      <c r="I24" s="146">
        <v>30177</v>
      </c>
      <c r="J24" s="146">
        <v>36630</v>
      </c>
      <c r="K24" s="146">
        <v>41567</v>
      </c>
      <c r="L24" s="146">
        <v>47525</v>
      </c>
      <c r="M24" s="146">
        <v>51211</v>
      </c>
      <c r="N24" s="146">
        <v>59821</v>
      </c>
      <c r="O24" s="146">
        <v>68831</v>
      </c>
      <c r="P24" s="146">
        <f>69376.82+3163.97</f>
        <v>72540.790000000008</v>
      </c>
      <c r="Q24" s="118">
        <f>((P24/G24)^(1/($H$2-$H$1) ))-1</f>
        <v>0.12576354224127129</v>
      </c>
      <c r="R24" s="31">
        <v>0.1</v>
      </c>
      <c r="S24" s="153">
        <f t="shared" si="30"/>
        <v>79794.869000000021</v>
      </c>
      <c r="T24" s="153">
        <f t="shared" si="31"/>
        <v>87774.355900000024</v>
      </c>
      <c r="U24" s="153">
        <f t="shared" si="32"/>
        <v>96551.791490000032</v>
      </c>
      <c r="V24" s="153">
        <f t="shared" si="33"/>
        <v>106206.97063900005</v>
      </c>
      <c r="W24" s="153">
        <f t="shared" si="34"/>
        <v>116827.66770290007</v>
      </c>
      <c r="X24" s="153">
        <f t="shared" si="35"/>
        <v>128510.43447319009</v>
      </c>
      <c r="Y24" s="153">
        <f t="shared" si="36"/>
        <v>141361.47792050912</v>
      </c>
      <c r="Z24" s="153">
        <f t="shared" si="37"/>
        <v>155497.62571256005</v>
      </c>
      <c r="AA24" s="153">
        <f t="shared" si="38"/>
        <v>171047.38828381608</v>
      </c>
      <c r="AB24" s="153">
        <f t="shared" si="39"/>
        <v>188152.12711219769</v>
      </c>
      <c r="AC24" s="138">
        <f t="shared" si="17"/>
        <v>0.11212944809143099</v>
      </c>
      <c r="AD24" s="31">
        <v>0.08</v>
      </c>
      <c r="AE24" s="145">
        <f>(AB24*(1+AC24))/($C$1-AD24)</f>
        <v>2989278.8754645316</v>
      </c>
    </row>
    <row r="25" spans="2:31" s="123" customFormat="1" x14ac:dyDescent="0.2">
      <c r="B25" s="23"/>
      <c r="C25" s="148"/>
      <c r="D25" s="148"/>
      <c r="E25" s="149"/>
      <c r="F25" s="149"/>
      <c r="G25" s="147">
        <f>(G24-F24)/G24</f>
        <v>0.22127472175514454</v>
      </c>
      <c r="H25" s="147">
        <f>(H24-G24)/H24</f>
        <v>3.4368113812966325E-2</v>
      </c>
      <c r="I25" s="147">
        <f t="shared" ref="I25" si="62">(I24-H24)/I24</f>
        <v>0.14282400503694867</v>
      </c>
      <c r="J25" s="147">
        <f t="shared" ref="J25" si="63">(J24-I24)/J24</f>
        <v>0.17616707616707616</v>
      </c>
      <c r="K25" s="147">
        <f t="shared" ref="K25" si="64">(K24-J24)/K24</f>
        <v>0.11877210287006519</v>
      </c>
      <c r="L25" s="147">
        <f t="shared" ref="L25" si="65">(L24-K24)/L24</f>
        <v>0.12536559705418202</v>
      </c>
      <c r="M25" s="147">
        <f t="shared" ref="M25" si="66">(M24-L24)/M24</f>
        <v>7.1976723750756672E-2</v>
      </c>
      <c r="N25" s="147">
        <f t="shared" ref="N25" si="67">(N24-M24)/N24</f>
        <v>0.14392938934487889</v>
      </c>
      <c r="O25" s="147">
        <f t="shared" ref="O25" si="68">(O24-N24)/O24</f>
        <v>0.13090032107625924</v>
      </c>
      <c r="P25" s="147">
        <f t="shared" ref="P25" si="69">(P24-O24)/P24</f>
        <v>5.1140744400495333E-2</v>
      </c>
      <c r="Q25" s="3"/>
      <c r="R25" s="3"/>
      <c r="S25" s="154"/>
      <c r="T25" s="154"/>
      <c r="U25" s="154"/>
      <c r="V25" s="154"/>
      <c r="W25" s="154"/>
      <c r="X25" s="154"/>
      <c r="Y25" s="154"/>
      <c r="Z25" s="154"/>
      <c r="AA25" s="154"/>
      <c r="AB25" s="154"/>
      <c r="AC25" s="119"/>
      <c r="AD25" s="119"/>
      <c r="AE25" s="153"/>
    </row>
    <row r="26" spans="2:31" x14ac:dyDescent="0.2">
      <c r="B26" s="20" t="s">
        <v>262</v>
      </c>
      <c r="C26" s="141"/>
      <c r="D26" s="141"/>
      <c r="E26" s="146"/>
      <c r="F26" s="146">
        <v>13494</v>
      </c>
      <c r="G26" s="146">
        <v>13642</v>
      </c>
      <c r="H26" s="146">
        <v>16058</v>
      </c>
      <c r="I26" s="146">
        <v>19436</v>
      </c>
      <c r="J26" s="146">
        <v>23621</v>
      </c>
      <c r="K26" s="146">
        <v>26915</v>
      </c>
      <c r="L26" s="146">
        <v>33533</v>
      </c>
      <c r="M26" s="146">
        <v>33529</v>
      </c>
      <c r="N26" s="146">
        <v>41876</v>
      </c>
      <c r="O26" s="146">
        <v>50768</v>
      </c>
      <c r="P26" s="146">
        <f>55017.59-3823.22</f>
        <v>51194.369999999995</v>
      </c>
      <c r="Q26" s="118">
        <f>((P26/G26)^(1/($H$2-$H$1) ))-1</f>
        <v>0.15828656112406647</v>
      </c>
      <c r="R26" s="31">
        <v>0.1</v>
      </c>
      <c r="S26" s="153">
        <f t="shared" si="30"/>
        <v>56313.807000000001</v>
      </c>
      <c r="T26" s="153">
        <f t="shared" si="31"/>
        <v>61945.187700000002</v>
      </c>
      <c r="U26" s="153">
        <f t="shared" si="32"/>
        <v>68139.706470000005</v>
      </c>
      <c r="V26" s="153">
        <f t="shared" si="33"/>
        <v>74953.677117000014</v>
      </c>
      <c r="W26" s="153">
        <f t="shared" si="34"/>
        <v>82449.044828700018</v>
      </c>
      <c r="X26" s="153">
        <f t="shared" si="35"/>
        <v>90693.949311570032</v>
      </c>
      <c r="Y26" s="153">
        <f t="shared" si="36"/>
        <v>99763.344242727049</v>
      </c>
      <c r="Z26" s="153">
        <f t="shared" si="37"/>
        <v>109739.67866699977</v>
      </c>
      <c r="AA26" s="153">
        <f t="shared" si="38"/>
        <v>120713.64653369975</v>
      </c>
      <c r="AB26" s="153">
        <f t="shared" si="39"/>
        <v>132785.01118706973</v>
      </c>
      <c r="AC26" s="138">
        <f t="shared" si="17"/>
        <v>0.12723447762581275</v>
      </c>
      <c r="AD26" s="31">
        <v>0.08</v>
      </c>
      <c r="AE26" s="145">
        <f>(AB26*(1+AC26))/($C$1-AD26)</f>
        <v>2138283.4674570607</v>
      </c>
    </row>
    <row r="27" spans="2:31" s="123" customFormat="1" x14ac:dyDescent="0.2">
      <c r="B27" s="23"/>
      <c r="C27" s="148"/>
      <c r="D27" s="148"/>
      <c r="E27" s="149"/>
      <c r="F27" s="149"/>
      <c r="G27" s="147">
        <f>(G26-F26)/G26</f>
        <v>1.0848849142354493E-2</v>
      </c>
      <c r="H27" s="147">
        <f>(H26-G26)/H26</f>
        <v>0.1504546020675053</v>
      </c>
      <c r="I27" s="147">
        <f t="shared" ref="I27" si="70">(I26-H26)/I26</f>
        <v>0.17380119366124716</v>
      </c>
      <c r="J27" s="147">
        <f t="shared" ref="J27" si="71">(J26-I26)/J26</f>
        <v>0.17717285466322341</v>
      </c>
      <c r="K27" s="147">
        <f t="shared" ref="K27" si="72">(K26-J26)/K26</f>
        <v>0.12238528701467583</v>
      </c>
      <c r="L27" s="147">
        <f t="shared" ref="L27" si="73">(L26-K26)/L26</f>
        <v>0.19735782661855486</v>
      </c>
      <c r="M27" s="147">
        <f t="shared" ref="M27" si="74">(M26-L26)/M26</f>
        <v>-1.1929971069820155E-4</v>
      </c>
      <c r="N27" s="147">
        <f t="shared" ref="N27" si="75">(N26-M26)/N26</f>
        <v>0.19932658324577324</v>
      </c>
      <c r="O27" s="147">
        <f t="shared" ref="O27" si="76">(O26-N26)/O26</f>
        <v>0.17514970059880239</v>
      </c>
      <c r="P27" s="147">
        <f t="shared" ref="P27" si="77">(P26-O26)/P26</f>
        <v>8.3284548672050342E-3</v>
      </c>
      <c r="Q27" s="3"/>
      <c r="R27" s="3"/>
      <c r="S27" s="154"/>
      <c r="T27" s="154"/>
      <c r="U27" s="154"/>
      <c r="V27" s="154"/>
      <c r="W27" s="154"/>
      <c r="X27" s="154"/>
      <c r="Y27" s="154"/>
      <c r="Z27" s="154"/>
      <c r="AA27" s="154"/>
      <c r="AB27" s="154"/>
      <c r="AC27" s="119"/>
      <c r="AD27" s="119"/>
      <c r="AE27" s="153"/>
    </row>
    <row r="28" spans="2:31" x14ac:dyDescent="0.2">
      <c r="B28" s="20" t="s">
        <v>298</v>
      </c>
      <c r="C28" s="141"/>
      <c r="D28" s="141"/>
      <c r="E28" s="146"/>
      <c r="F28" s="146">
        <v>0</v>
      </c>
      <c r="G28" s="146">
        <v>0</v>
      </c>
      <c r="H28" s="146">
        <v>0</v>
      </c>
      <c r="I28" s="146">
        <v>0</v>
      </c>
      <c r="J28" s="146">
        <v>0</v>
      </c>
      <c r="K28" s="146">
        <v>0</v>
      </c>
      <c r="L28" s="146">
        <v>0</v>
      </c>
      <c r="M28" s="146">
        <v>0</v>
      </c>
      <c r="N28" s="146">
        <v>0</v>
      </c>
      <c r="O28" s="146">
        <v>0</v>
      </c>
      <c r="P28" s="146">
        <v>0</v>
      </c>
      <c r="Q28" s="118" t="e">
        <f>((P28/G28)^(1/($H$2-$H$1) ))-1</f>
        <v>#DIV/0!</v>
      </c>
      <c r="R28" s="31">
        <v>0.1</v>
      </c>
      <c r="S28" s="153">
        <f t="shared" si="30"/>
        <v>0</v>
      </c>
      <c r="T28" s="153" t="e">
        <f t="shared" ref="T28" si="78">Q28*(1+$R28)</f>
        <v>#DIV/0!</v>
      </c>
      <c r="U28" s="153">
        <f t="shared" ref="U28" si="79">R28*(1+$R28)</f>
        <v>0.11000000000000001</v>
      </c>
      <c r="V28" s="153">
        <f t="shared" ref="V28" si="80">S28*(1+$R28)</f>
        <v>0</v>
      </c>
      <c r="W28" s="153" t="e">
        <f t="shared" ref="W28" si="81">T28*(1+$R28)</f>
        <v>#DIV/0!</v>
      </c>
      <c r="X28" s="153">
        <f t="shared" ref="X28" si="82">U28*(1+$R28)</f>
        <v>0.12100000000000002</v>
      </c>
      <c r="Y28" s="153">
        <f t="shared" ref="Y28" si="83">V28*(1+$R28)</f>
        <v>0</v>
      </c>
      <c r="Z28" s="153" t="e">
        <f t="shared" ref="Z28" si="84">W28*(1+$R28)</f>
        <v>#DIV/0!</v>
      </c>
      <c r="AA28" s="153">
        <f t="shared" ref="AA28" si="85">X28*(1+$R28)</f>
        <v>0.13310000000000002</v>
      </c>
      <c r="AB28" s="153">
        <f t="shared" ref="AB28" si="86">Y28*(1+$R28)</f>
        <v>0</v>
      </c>
      <c r="AC28" s="138" t="e">
        <f t="shared" ref="AC28" si="87">((AB28/G28)^(1/($AB$3-$H$1) ))-1</f>
        <v>#DIV/0!</v>
      </c>
      <c r="AD28" s="31">
        <v>0.08</v>
      </c>
      <c r="AE28" s="145" t="e">
        <f>(AB28*(1+AC28))/($C$1-AD28)</f>
        <v>#DIV/0!</v>
      </c>
    </row>
    <row r="29" spans="2:31" x14ac:dyDescent="0.2">
      <c r="B29" s="20" t="s">
        <v>318</v>
      </c>
      <c r="C29" s="141"/>
      <c r="D29" s="141"/>
      <c r="E29" s="146"/>
      <c r="F29" s="146">
        <v>11031</v>
      </c>
      <c r="G29" s="146">
        <v>11284</v>
      </c>
      <c r="H29" s="146">
        <v>14539</v>
      </c>
      <c r="I29" s="146">
        <v>17123</v>
      </c>
      <c r="J29" s="146">
        <v>20943</v>
      </c>
      <c r="K29" s="146">
        <v>23313</v>
      </c>
      <c r="L29" s="146">
        <v>29122</v>
      </c>
      <c r="M29" s="146">
        <v>30429</v>
      </c>
      <c r="N29" s="146">
        <v>36865</v>
      </c>
      <c r="O29" s="146">
        <v>43311</v>
      </c>
      <c r="P29" s="146">
        <v>42827.77</v>
      </c>
      <c r="Q29" s="118">
        <f>((P29/G29)^(1/($H$2-$H$1) ))-1</f>
        <v>0.15974494208045487</v>
      </c>
      <c r="R29" s="31">
        <v>0.1</v>
      </c>
      <c r="S29" s="153">
        <f t="shared" si="30"/>
        <v>47110.546999999999</v>
      </c>
      <c r="T29" s="153">
        <f t="shared" si="31"/>
        <v>51821.601699999999</v>
      </c>
      <c r="U29" s="153">
        <f t="shared" si="32"/>
        <v>57003.761870000002</v>
      </c>
      <c r="V29" s="153">
        <f t="shared" si="33"/>
        <v>62704.138057000004</v>
      </c>
      <c r="W29" s="153">
        <f t="shared" si="34"/>
        <v>68974.551862700013</v>
      </c>
      <c r="X29" s="153">
        <f t="shared" si="35"/>
        <v>75872.007048970016</v>
      </c>
      <c r="Y29" s="153">
        <f t="shared" si="36"/>
        <v>83459.207753867027</v>
      </c>
      <c r="Z29" s="153">
        <f t="shared" si="37"/>
        <v>91805.128529253736</v>
      </c>
      <c r="AA29" s="153">
        <f t="shared" si="38"/>
        <v>100985.64138217912</v>
      </c>
      <c r="AB29" s="153">
        <f t="shared" si="39"/>
        <v>111084.20552039704</v>
      </c>
      <c r="AC29" s="138">
        <f t="shared" si="17"/>
        <v>0.12790654731559115</v>
      </c>
      <c r="AD29" s="31">
        <v>0.08</v>
      </c>
      <c r="AE29" s="145">
        <f>(AB29*(1+AC29))/($C$1-AD29)</f>
        <v>1789894.3244258082</v>
      </c>
    </row>
    <row r="30" spans="2:31" x14ac:dyDescent="0.2">
      <c r="B30" s="20" t="s">
        <v>309</v>
      </c>
      <c r="C30" s="141"/>
      <c r="D30" s="141"/>
      <c r="E30" s="146"/>
      <c r="F30" s="146">
        <v>826</v>
      </c>
      <c r="G30" s="146">
        <v>961</v>
      </c>
      <c r="H30" s="146">
        <v>908</v>
      </c>
      <c r="I30" s="146">
        <v>996</v>
      </c>
      <c r="J30" s="146">
        <v>1195</v>
      </c>
      <c r="K30" s="146">
        <v>1953</v>
      </c>
      <c r="L30" s="146">
        <v>3009</v>
      </c>
      <c r="M30" s="146">
        <v>3119</v>
      </c>
      <c r="N30" s="146">
        <v>3605</v>
      </c>
      <c r="O30" s="146">
        <v>3249</v>
      </c>
      <c r="P30" s="146">
        <v>3551.38</v>
      </c>
      <c r="Q30" s="118">
        <f>((P30/G30)^(1/($H$2-$H$1) ))-1</f>
        <v>0.15631154519686952</v>
      </c>
      <c r="R30" s="31">
        <v>0.1</v>
      </c>
      <c r="S30" s="153">
        <f t="shared" si="30"/>
        <v>3906.5180000000005</v>
      </c>
      <c r="T30" s="153">
        <f t="shared" si="31"/>
        <v>4297.1698000000006</v>
      </c>
      <c r="U30" s="153">
        <f t="shared" si="32"/>
        <v>4726.8867800000007</v>
      </c>
      <c r="V30" s="153">
        <f t="shared" si="33"/>
        <v>5199.5754580000012</v>
      </c>
      <c r="W30" s="153">
        <f t="shared" si="34"/>
        <v>5719.533003800002</v>
      </c>
      <c r="X30" s="153">
        <f t="shared" si="35"/>
        <v>6291.4863041800027</v>
      </c>
      <c r="Y30" s="153">
        <f t="shared" si="36"/>
        <v>6920.6349345980034</v>
      </c>
      <c r="Z30" s="153">
        <f t="shared" si="37"/>
        <v>7612.6984280578044</v>
      </c>
      <c r="AA30" s="153">
        <f t="shared" si="38"/>
        <v>8373.9682708635864</v>
      </c>
      <c r="AB30" s="153">
        <f t="shared" si="39"/>
        <v>9211.3650979499453</v>
      </c>
      <c r="AC30" s="138">
        <f t="shared" si="17"/>
        <v>0.12632361526355051</v>
      </c>
      <c r="AD30" s="31">
        <v>0.08</v>
      </c>
      <c r="AE30" s="145">
        <f>(AB30*(1+AC30))/($C$1-AD30)</f>
        <v>148213.97198050676</v>
      </c>
    </row>
    <row r="31" spans="2:31" x14ac:dyDescent="0.2">
      <c r="B31" s="20"/>
      <c r="C31" s="141"/>
      <c r="D31" s="141"/>
      <c r="E31" s="146"/>
      <c r="F31" s="146"/>
      <c r="G31" s="146"/>
      <c r="H31" s="146"/>
      <c r="I31" s="146"/>
      <c r="J31" s="146"/>
      <c r="K31" s="146"/>
      <c r="L31" s="146"/>
      <c r="M31" s="146"/>
      <c r="N31" s="146"/>
      <c r="O31" s="146"/>
      <c r="P31" s="146"/>
      <c r="Q31" s="128"/>
      <c r="R31" s="128"/>
      <c r="S31" s="153"/>
      <c r="T31" s="153"/>
      <c r="U31" s="153"/>
      <c r="V31" s="153"/>
      <c r="W31" s="153"/>
      <c r="X31" s="153"/>
      <c r="Y31" s="153"/>
      <c r="Z31" s="153"/>
      <c r="AA31" s="153"/>
      <c r="AB31" s="153"/>
      <c r="AC31" s="139"/>
      <c r="AD31" s="20"/>
      <c r="AE31" s="153"/>
    </row>
    <row r="32" spans="2:31" x14ac:dyDescent="0.2">
      <c r="B32" s="20" t="s">
        <v>279</v>
      </c>
      <c r="C32" s="141"/>
      <c r="D32" s="141"/>
      <c r="E32" s="146"/>
      <c r="F32" s="146">
        <v>5552</v>
      </c>
      <c r="G32" s="146">
        <v>5226</v>
      </c>
      <c r="H32" s="146">
        <v>7457</v>
      </c>
      <c r="I32" s="146">
        <v>8138</v>
      </c>
      <c r="J32" s="146">
        <v>10253</v>
      </c>
      <c r="K32" s="146">
        <v>11760</v>
      </c>
      <c r="L32" s="146">
        <v>10763</v>
      </c>
      <c r="M32" s="146">
        <v>14781</v>
      </c>
      <c r="N32" s="146">
        <v>15635</v>
      </c>
      <c r="O32" s="146">
        <v>15125</v>
      </c>
      <c r="P32" s="146">
        <v>17523.2</v>
      </c>
      <c r="Q32" s="118">
        <f>((P32/G32)^(1/($H$2-$H$1) ))-1</f>
        <v>0.14388579808516222</v>
      </c>
      <c r="R32" s="31">
        <v>0.1</v>
      </c>
      <c r="S32" s="153">
        <f t="shared" ref="S32" si="88">P32*(1+$R32)</f>
        <v>19275.520000000004</v>
      </c>
      <c r="T32" s="153">
        <f t="shared" ref="T32" si="89">S32*(1+$R32)</f>
        <v>21203.072000000007</v>
      </c>
      <c r="U32" s="153">
        <f t="shared" ref="U32" si="90">T32*(1+$R32)</f>
        <v>23323.37920000001</v>
      </c>
      <c r="V32" s="153">
        <f t="shared" ref="V32" si="91">U32*(1+$R32)</f>
        <v>25655.717120000012</v>
      </c>
      <c r="W32" s="153">
        <f t="shared" si="34"/>
        <v>28221.288832000017</v>
      </c>
      <c r="X32" s="153">
        <f t="shared" si="35"/>
        <v>31043.417715200019</v>
      </c>
      <c r="Y32" s="153">
        <f t="shared" si="36"/>
        <v>34147.759486720024</v>
      </c>
      <c r="Z32" s="153">
        <f t="shared" si="37"/>
        <v>37562.535435392027</v>
      </c>
      <c r="AA32" s="153">
        <f t="shared" si="38"/>
        <v>41318.788978931232</v>
      </c>
      <c r="AB32" s="153">
        <f t="shared" si="39"/>
        <v>45450.667876824358</v>
      </c>
      <c r="AC32" s="138">
        <f t="shared" si="17"/>
        <v>0.12057407795219133</v>
      </c>
      <c r="AD32" s="31">
        <v>0.08</v>
      </c>
      <c r="AE32" s="145">
        <f>(AB32*(1+AC32))/($C$1-AD32)</f>
        <v>727583.43211976776</v>
      </c>
    </row>
    <row r="33" spans="2:31" s="123" customFormat="1" x14ac:dyDescent="0.2">
      <c r="B33" s="23"/>
      <c r="C33" s="148"/>
      <c r="D33" s="148"/>
      <c r="E33" s="149"/>
      <c r="F33" s="149"/>
      <c r="G33" s="147">
        <f>(G32-F32)/G32</f>
        <v>-6.2380405663987754E-2</v>
      </c>
      <c r="H33" s="147">
        <f>(H32-G32)/H32</f>
        <v>0.29918197666621965</v>
      </c>
      <c r="I33" s="147">
        <f t="shared" ref="I33" si="92">(I32-H32)/I32</f>
        <v>8.3681494224625216E-2</v>
      </c>
      <c r="J33" s="147">
        <f t="shared" ref="J33" si="93">(J32-I32)/J32</f>
        <v>0.20628108846191359</v>
      </c>
      <c r="K33" s="147">
        <f t="shared" ref="K33" si="94">(K32-J32)/K32</f>
        <v>0.12814625850340136</v>
      </c>
      <c r="L33" s="147">
        <f t="shared" ref="L33" si="95">(L32-K32)/L32</f>
        <v>-9.2632165753042839E-2</v>
      </c>
      <c r="M33" s="147">
        <f t="shared" ref="M33" si="96">(M32-L32)/M32</f>
        <v>0.27183546444760165</v>
      </c>
      <c r="N33" s="147">
        <f t="shared" ref="N33" si="97">(N32-M32)/N32</f>
        <v>5.4621042532779024E-2</v>
      </c>
      <c r="O33" s="147">
        <f t="shared" ref="O33" si="98">(O32-N32)/O32</f>
        <v>-3.3719008264462808E-2</v>
      </c>
      <c r="P33" s="147">
        <f t="shared" ref="P33" si="99">(P32-O32)/P32</f>
        <v>0.13685856464572685</v>
      </c>
      <c r="Q33" s="3"/>
      <c r="R33" s="3"/>
      <c r="S33" s="154"/>
      <c r="T33" s="154"/>
      <c r="U33" s="154"/>
      <c r="V33" s="154"/>
      <c r="W33" s="154"/>
      <c r="X33" s="154"/>
      <c r="Y33" s="154"/>
      <c r="Z33" s="154"/>
      <c r="AA33" s="154"/>
      <c r="AB33" s="154"/>
      <c r="AC33" s="139"/>
      <c r="AD33" s="20"/>
      <c r="AE33" s="155"/>
    </row>
    <row r="34" spans="2:31" x14ac:dyDescent="0.2">
      <c r="B34" s="20" t="s">
        <v>257</v>
      </c>
      <c r="C34" s="141"/>
      <c r="D34" s="141"/>
      <c r="E34" s="146"/>
      <c r="F34" s="146">
        <v>3607</v>
      </c>
      <c r="G34" s="146">
        <v>5260</v>
      </c>
      <c r="H34" s="146">
        <v>5828</v>
      </c>
      <c r="I34" s="146">
        <v>5840</v>
      </c>
      <c r="J34" s="146">
        <v>6898</v>
      </c>
      <c r="K34" s="146">
        <v>7469</v>
      </c>
      <c r="L34" s="146">
        <v>8092</v>
      </c>
      <c r="M34" s="146">
        <v>8837</v>
      </c>
      <c r="N34" s="146">
        <v>9348</v>
      </c>
      <c r="O34" s="146">
        <v>9814</v>
      </c>
      <c r="P34" s="146">
        <v>12586.22</v>
      </c>
      <c r="Q34" s="118">
        <f>((P34/G34)^(1/($H$2-$H$1) ))-1</f>
        <v>0.10179567647592269</v>
      </c>
      <c r="R34" s="31">
        <v>0.1</v>
      </c>
      <c r="S34" s="153">
        <f>P34*(1+$R34)</f>
        <v>13844.842000000001</v>
      </c>
      <c r="T34" s="153">
        <f t="shared" ref="T34:AB34" si="100">S34*(1+$R34)</f>
        <v>15229.326200000001</v>
      </c>
      <c r="U34" s="153">
        <f t="shared" si="100"/>
        <v>16752.258820000003</v>
      </c>
      <c r="V34" s="153">
        <f t="shared" si="100"/>
        <v>18427.484702000005</v>
      </c>
      <c r="W34" s="153">
        <f t="shared" si="100"/>
        <v>20270.233172200009</v>
      </c>
      <c r="X34" s="153">
        <f t="shared" si="100"/>
        <v>22297.256489420011</v>
      </c>
      <c r="Y34" s="153">
        <f t="shared" si="100"/>
        <v>24526.982138362015</v>
      </c>
      <c r="Z34" s="153">
        <f t="shared" si="100"/>
        <v>26979.680352198218</v>
      </c>
      <c r="AA34" s="153">
        <f t="shared" si="100"/>
        <v>29677.648387418041</v>
      </c>
      <c r="AB34" s="153">
        <f t="shared" si="100"/>
        <v>32645.41322615985</v>
      </c>
      <c r="AC34" s="138">
        <f t="shared" si="17"/>
        <v>0.10085021849679654</v>
      </c>
      <c r="AD34" s="31">
        <v>0.08</v>
      </c>
      <c r="AE34" s="145">
        <f>(AB34*(1+AC34))/($C$1-AD34)</f>
        <v>513395.86118480412</v>
      </c>
    </row>
    <row r="35" spans="2:31" s="123" customFormat="1" x14ac:dyDescent="0.2">
      <c r="B35" s="23"/>
      <c r="C35" s="148"/>
      <c r="D35" s="148"/>
      <c r="E35" s="149"/>
      <c r="F35" s="149"/>
      <c r="G35" s="147">
        <f>(G34-F34)/G34</f>
        <v>0.31425855513307988</v>
      </c>
      <c r="H35" s="147">
        <f>(H34-G34)/H34</f>
        <v>9.7460535346602609E-2</v>
      </c>
      <c r="I35" s="147">
        <f t="shared" ref="I35" si="101">(I34-H34)/I34</f>
        <v>2.054794520547945E-3</v>
      </c>
      <c r="J35" s="147">
        <f t="shared" ref="J35" si="102">(J34-I34)/J34</f>
        <v>0.15337779066396057</v>
      </c>
      <c r="K35" s="147">
        <f t="shared" ref="K35" si="103">(K34-J34)/K34</f>
        <v>7.6449323872004288E-2</v>
      </c>
      <c r="L35" s="147">
        <f t="shared" ref="L35" si="104">(L34-K34)/L34</f>
        <v>7.698961937716263E-2</v>
      </c>
      <c r="M35" s="147">
        <f t="shared" ref="M35" si="105">(M34-L34)/M34</f>
        <v>8.4304628267511603E-2</v>
      </c>
      <c r="N35" s="147">
        <f t="shared" ref="N35" si="106">(N34-M34)/N34</f>
        <v>5.4664099272571674E-2</v>
      </c>
      <c r="O35" s="147">
        <f t="shared" ref="O35" si="107">(O34-N34)/O34</f>
        <v>4.7483187283472589E-2</v>
      </c>
      <c r="P35" s="147">
        <f t="shared" ref="P35" si="108">(P34-O34)/P34</f>
        <v>0.22025834603240682</v>
      </c>
      <c r="Q35" s="3"/>
      <c r="R35" s="3"/>
      <c r="S35" s="154"/>
      <c r="T35" s="154"/>
      <c r="U35" s="154"/>
      <c r="V35" s="154"/>
      <c r="W35" s="154"/>
      <c r="X35" s="154"/>
      <c r="Y35" s="154"/>
      <c r="Z35" s="154"/>
      <c r="AA35" s="154"/>
      <c r="AB35" s="154"/>
      <c r="AC35" s="139"/>
      <c r="AD35" s="20"/>
      <c r="AE35" s="155"/>
    </row>
    <row r="36" spans="2:31" x14ac:dyDescent="0.2">
      <c r="B36" s="20" t="s">
        <v>239</v>
      </c>
      <c r="C36" s="142">
        <v>1</v>
      </c>
      <c r="D36" s="142">
        <v>1</v>
      </c>
      <c r="E36" s="146">
        <v>78.125</v>
      </c>
      <c r="F36" s="146">
        <v>78.125</v>
      </c>
      <c r="G36" s="146">
        <v>78.125</v>
      </c>
      <c r="H36" s="146">
        <v>824.54</v>
      </c>
      <c r="I36" s="146">
        <v>824.54</v>
      </c>
      <c r="J36" s="146">
        <v>824.54</v>
      </c>
      <c r="K36" s="146">
        <v>824.54</v>
      </c>
      <c r="L36" s="146">
        <v>824.54</v>
      </c>
      <c r="M36" s="146">
        <v>824.54</v>
      </c>
      <c r="N36" s="146">
        <v>824.54</v>
      </c>
      <c r="O36" s="146">
        <v>824.54</v>
      </c>
      <c r="P36" s="146">
        <v>824.54</v>
      </c>
      <c r="Q36" s="118">
        <f>((P36/G36)^(1/($H$2-$H$1) ))-1</f>
        <v>0.29931221721052759</v>
      </c>
      <c r="R36" s="31">
        <v>0.2</v>
      </c>
      <c r="S36" s="153">
        <f t="shared" ref="S36" si="109">P36*(1+$R36)</f>
        <v>989.44799999999987</v>
      </c>
      <c r="T36" s="153">
        <f t="shared" ref="T36:AB36" si="110">S36*(1+$R36)</f>
        <v>1187.3375999999998</v>
      </c>
      <c r="U36" s="153">
        <f t="shared" si="110"/>
        <v>1424.8051199999998</v>
      </c>
      <c r="V36" s="153">
        <f t="shared" si="110"/>
        <v>1709.7661439999997</v>
      </c>
      <c r="W36" s="153">
        <f t="shared" si="110"/>
        <v>2051.7193727999997</v>
      </c>
      <c r="X36" s="153">
        <f t="shared" si="110"/>
        <v>2462.0632473599994</v>
      </c>
      <c r="Y36" s="153">
        <f t="shared" si="110"/>
        <v>2954.4758968319993</v>
      </c>
      <c r="Z36" s="153">
        <f t="shared" si="110"/>
        <v>3545.3710761983989</v>
      </c>
      <c r="AA36" s="153">
        <f t="shared" si="110"/>
        <v>4254.4452914380781</v>
      </c>
      <c r="AB36" s="153">
        <f t="shared" si="110"/>
        <v>5105.3343497256938</v>
      </c>
      <c r="AC36" s="138">
        <f t="shared" si="17"/>
        <v>0.24605909642819124</v>
      </c>
      <c r="AD36" s="31">
        <v>0.08</v>
      </c>
      <c r="AE36" s="145">
        <f>(AB36*(1+AC36))/($C$1-AD36)</f>
        <v>90879.26152547152</v>
      </c>
    </row>
    <row r="37" spans="2:31" x14ac:dyDescent="0.2">
      <c r="B37" s="20"/>
      <c r="C37" s="20"/>
      <c r="D37" s="20"/>
      <c r="E37" s="127"/>
      <c r="F37" s="127"/>
      <c r="G37" s="127"/>
      <c r="H37" s="20"/>
      <c r="I37" s="20"/>
      <c r="J37" s="20"/>
      <c r="K37" s="20"/>
      <c r="L37" s="20"/>
      <c r="M37" s="20"/>
      <c r="N37" s="20"/>
      <c r="O37" s="20"/>
      <c r="P37" s="20"/>
      <c r="Q37" s="128"/>
      <c r="R37" s="128"/>
      <c r="S37" s="153"/>
      <c r="T37" s="153"/>
      <c r="U37" s="153"/>
      <c r="V37" s="153"/>
      <c r="W37" s="153"/>
      <c r="X37" s="153"/>
      <c r="Y37" s="153"/>
      <c r="Z37" s="153"/>
      <c r="AA37" s="153"/>
      <c r="AB37" s="153"/>
      <c r="AC37" s="139"/>
      <c r="AD37" s="20"/>
      <c r="AE37" s="153"/>
    </row>
    <row r="38" spans="2:31" x14ac:dyDescent="0.2">
      <c r="B38" s="20" t="s">
        <v>283</v>
      </c>
      <c r="C38" s="144">
        <v>1</v>
      </c>
      <c r="D38" s="144">
        <v>1</v>
      </c>
      <c r="E38" s="144">
        <v>1</v>
      </c>
      <c r="F38" s="163">
        <v>0.91</v>
      </c>
      <c r="G38" s="163">
        <v>1.39</v>
      </c>
      <c r="H38" s="163">
        <v>2.4</v>
      </c>
      <c r="I38" s="163">
        <v>2.8</v>
      </c>
      <c r="J38" s="163">
        <v>3.2</v>
      </c>
      <c r="K38" s="160">
        <v>3.5</v>
      </c>
      <c r="L38" s="160">
        <v>3.6</v>
      </c>
      <c r="M38" s="160">
        <v>3.8</v>
      </c>
      <c r="N38" s="160">
        <v>3.8</v>
      </c>
      <c r="O38" s="164">
        <v>4</v>
      </c>
      <c r="P38" s="164">
        <v>3.75</v>
      </c>
      <c r="Q38" s="118">
        <f>((P38/G38)^(1/($H$2-$H$1) ))-1</f>
        <v>0.1165822471679312</v>
      </c>
      <c r="R38" s="31">
        <v>0.02</v>
      </c>
      <c r="S38" s="153">
        <f t="shared" ref="S38" si="111">P38*(1+$R38)</f>
        <v>3.8250000000000002</v>
      </c>
      <c r="T38" s="153">
        <f t="shared" ref="T38" si="112">S38*(1+$R38)</f>
        <v>3.9015000000000004</v>
      </c>
      <c r="U38" s="153">
        <f t="shared" ref="U38" si="113">T38*(1+$R38)</f>
        <v>3.9795300000000005</v>
      </c>
      <c r="V38" s="153">
        <f t="shared" ref="V38" si="114">U38*(1+$R38)</f>
        <v>4.0591206000000009</v>
      </c>
      <c r="W38" s="153">
        <f t="shared" ref="W38" si="115">V38*(1+$R38)</f>
        <v>4.1403030120000013</v>
      </c>
      <c r="X38" s="153">
        <f t="shared" ref="X38" si="116">W38*(1+$R38)</f>
        <v>4.2231090722400015</v>
      </c>
      <c r="Y38" s="153">
        <f t="shared" ref="Y38" si="117">X38*(1+$R38)</f>
        <v>4.3075712536848014</v>
      </c>
      <c r="Z38" s="153">
        <f t="shared" ref="Z38" si="118">Y38*(1+$R38)</f>
        <v>4.3937226787584978</v>
      </c>
      <c r="AA38" s="153">
        <f t="shared" ref="AA38" si="119">Z38*(1+$R38)</f>
        <v>4.4815971323336674</v>
      </c>
      <c r="AB38" s="153">
        <f t="shared" ref="AB38" si="120">AA38*(1+$R38)</f>
        <v>4.5712290749803408</v>
      </c>
      <c r="AC38" s="138">
        <f t="shared" ref="AC38" si="121">((AB38/G38)^(1/($AB$3-$H$1) ))-1</f>
        <v>6.4661337991507528E-2</v>
      </c>
      <c r="AD38" s="31">
        <v>0.08</v>
      </c>
      <c r="AE38" s="145">
        <f>(AB38*(1+AC38))/($C$1-AD38)</f>
        <v>69.525869474775021</v>
      </c>
    </row>
    <row r="39" spans="2:31" x14ac:dyDescent="0.2">
      <c r="B39" s="20"/>
      <c r="C39" s="20"/>
      <c r="D39" s="20"/>
      <c r="E39" s="127"/>
      <c r="F39" s="127"/>
      <c r="G39" s="127"/>
      <c r="H39" s="20"/>
      <c r="I39" s="20"/>
      <c r="J39" s="20"/>
      <c r="K39" s="20"/>
      <c r="L39" s="20"/>
      <c r="M39" s="20"/>
      <c r="N39" s="20"/>
      <c r="O39" s="20"/>
      <c r="P39" s="20"/>
      <c r="Q39" s="128"/>
      <c r="R39" s="128"/>
      <c r="S39" s="153"/>
      <c r="T39" s="153"/>
      <c r="U39" s="153"/>
      <c r="V39" s="153"/>
      <c r="W39" s="153"/>
      <c r="X39" s="153"/>
      <c r="Y39" s="153"/>
      <c r="Z39" s="153"/>
      <c r="AA39" s="153"/>
      <c r="AB39" s="153"/>
      <c r="AC39" s="139"/>
      <c r="AD39" s="20"/>
      <c r="AE39" s="153"/>
    </row>
    <row r="40" spans="2:31" x14ac:dyDescent="0.2">
      <c r="B40" s="108" t="s">
        <v>243</v>
      </c>
      <c r="C40" s="20"/>
      <c r="D40" s="20"/>
      <c r="E40" s="127"/>
      <c r="F40" s="127"/>
      <c r="G40" s="127"/>
      <c r="H40" s="20"/>
      <c r="I40" s="20"/>
      <c r="J40" s="20"/>
      <c r="K40" s="20"/>
      <c r="L40" s="20"/>
      <c r="M40" s="20"/>
      <c r="N40" s="20"/>
      <c r="O40" s="20"/>
      <c r="P40" s="20"/>
      <c r="Q40" s="128"/>
      <c r="R40" s="128"/>
      <c r="S40" s="153"/>
      <c r="T40" s="153"/>
      <c r="U40" s="153"/>
      <c r="V40" s="153"/>
      <c r="W40" s="153"/>
      <c r="X40" s="153"/>
      <c r="Y40" s="153"/>
      <c r="Z40" s="153"/>
      <c r="AA40" s="153"/>
      <c r="AB40" s="153"/>
      <c r="AC40" s="139"/>
      <c r="AD40" s="20"/>
      <c r="AE40" s="153"/>
    </row>
    <row r="41" spans="2:31" x14ac:dyDescent="0.2">
      <c r="B41" s="20" t="s">
        <v>304</v>
      </c>
      <c r="C41" s="133">
        <f t="shared" ref="C41:F41" si="122">C24/C36</f>
        <v>0</v>
      </c>
      <c r="D41" s="133">
        <f t="shared" si="122"/>
        <v>0</v>
      </c>
      <c r="E41" s="133">
        <f t="shared" si="122"/>
        <v>0</v>
      </c>
      <c r="F41" s="133">
        <f t="shared" si="122"/>
        <v>248.97280000000001</v>
      </c>
      <c r="G41" s="133">
        <f>G24/G36</f>
        <v>319.71839999999997</v>
      </c>
      <c r="H41" s="133">
        <f t="shared" ref="H41:P41" si="123">H24/H36</f>
        <v>31.371431343537004</v>
      </c>
      <c r="I41" s="133">
        <f t="shared" si="123"/>
        <v>36.598588303781504</v>
      </c>
      <c r="J41" s="133">
        <f t="shared" si="123"/>
        <v>44.424770174885396</v>
      </c>
      <c r="K41" s="133">
        <f t="shared" si="123"/>
        <v>50.41235112911442</v>
      </c>
      <c r="L41" s="133">
        <f t="shared" si="123"/>
        <v>57.638198268125258</v>
      </c>
      <c r="M41" s="133">
        <f t="shared" si="123"/>
        <v>62.108569626700948</v>
      </c>
      <c r="N41" s="133">
        <f t="shared" si="123"/>
        <v>72.550755572804235</v>
      </c>
      <c r="O41" s="133">
        <f t="shared" si="123"/>
        <v>83.478060494336233</v>
      </c>
      <c r="P41" s="133">
        <f t="shared" si="123"/>
        <v>87.977284303975566</v>
      </c>
      <c r="Q41" s="118">
        <f>((P41/G41)^(1/($H$2-$H$1) ))-1</f>
        <v>-0.13356964759543721</v>
      </c>
      <c r="R41" s="128"/>
      <c r="S41" s="157">
        <f t="shared" ref="S41:AB41" si="124">S24/S36</f>
        <v>80.645843945310958</v>
      </c>
      <c r="T41" s="157">
        <f t="shared" si="124"/>
        <v>73.925356949868373</v>
      </c>
      <c r="U41" s="157">
        <f t="shared" si="124"/>
        <v>67.76491053737935</v>
      </c>
      <c r="V41" s="157">
        <f t="shared" si="124"/>
        <v>62.11783465926441</v>
      </c>
      <c r="W41" s="157">
        <f t="shared" si="124"/>
        <v>56.941348437659052</v>
      </c>
      <c r="X41" s="157">
        <f t="shared" si="124"/>
        <v>52.196236067854137</v>
      </c>
      <c r="Y41" s="157">
        <f t="shared" si="124"/>
        <v>47.8465497288663</v>
      </c>
      <c r="Z41" s="157">
        <f t="shared" si="124"/>
        <v>43.859337251460786</v>
      </c>
      <c r="AA41" s="157">
        <f t="shared" si="124"/>
        <v>40.204392480505732</v>
      </c>
      <c r="AB41" s="157">
        <f t="shared" si="124"/>
        <v>36.854026440463585</v>
      </c>
      <c r="AC41" s="138">
        <f t="shared" ref="AC41" si="125">((AB41/G41)^(1/($AB$3-$H$1) ))-1</f>
        <v>-0.10748258146075695</v>
      </c>
      <c r="AD41" s="31">
        <v>0.08</v>
      </c>
      <c r="AE41" s="145">
        <f>(AB41*(1+AC41))/($C$1-AD41)</f>
        <v>469.89800773456528</v>
      </c>
    </row>
    <row r="42" spans="2:31" x14ac:dyDescent="0.2">
      <c r="B42" s="20" t="s">
        <v>305</v>
      </c>
      <c r="C42" s="133">
        <f t="shared" ref="C42:F42" si="126">C26/C36</f>
        <v>0</v>
      </c>
      <c r="D42" s="133">
        <f t="shared" si="126"/>
        <v>0</v>
      </c>
      <c r="E42" s="133">
        <f t="shared" si="126"/>
        <v>0</v>
      </c>
      <c r="F42" s="133">
        <f t="shared" si="126"/>
        <v>172.72319999999999</v>
      </c>
      <c r="G42" s="133">
        <f>G26/G36</f>
        <v>174.61760000000001</v>
      </c>
      <c r="H42" s="133">
        <f t="shared" ref="H42:P42" si="127">H26/H36</f>
        <v>19.475101268586123</v>
      </c>
      <c r="I42" s="133">
        <f t="shared" si="127"/>
        <v>23.571931016081695</v>
      </c>
      <c r="J42" s="133">
        <f t="shared" si="127"/>
        <v>28.647488296504719</v>
      </c>
      <c r="K42" s="133">
        <f t="shared" si="127"/>
        <v>32.642443059160257</v>
      </c>
      <c r="L42" s="133">
        <f t="shared" si="127"/>
        <v>40.668736507628495</v>
      </c>
      <c r="M42" s="133">
        <f t="shared" si="127"/>
        <v>40.663885317874211</v>
      </c>
      <c r="N42" s="133">
        <f t="shared" si="127"/>
        <v>50.78710553763311</v>
      </c>
      <c r="O42" s="133">
        <f t="shared" si="127"/>
        <v>61.571300361413641</v>
      </c>
      <c r="P42" s="133">
        <f t="shared" si="127"/>
        <v>62.088400805297496</v>
      </c>
      <c r="Q42" s="118">
        <f>((P42/G42)^(1/($H$2-$H$1) ))-1</f>
        <v>-0.10853869779599779</v>
      </c>
      <c r="R42" s="128"/>
      <c r="S42" s="157">
        <f t="shared" ref="S42:AB42" si="128">S26/S36</f>
        <v>56.914367404856051</v>
      </c>
      <c r="T42" s="157">
        <f t="shared" si="128"/>
        <v>52.171503454451383</v>
      </c>
      <c r="U42" s="157">
        <f t="shared" si="128"/>
        <v>47.823878166580435</v>
      </c>
      <c r="V42" s="157">
        <f t="shared" si="128"/>
        <v>43.838554986032072</v>
      </c>
      <c r="W42" s="157">
        <f t="shared" si="128"/>
        <v>40.185342070529394</v>
      </c>
      <c r="X42" s="157">
        <f t="shared" si="128"/>
        <v>36.836563564651954</v>
      </c>
      <c r="Y42" s="157">
        <f t="shared" si="128"/>
        <v>33.7668499342643</v>
      </c>
      <c r="Z42" s="157">
        <f t="shared" si="128"/>
        <v>30.952945773075612</v>
      </c>
      <c r="AA42" s="157">
        <f t="shared" si="128"/>
        <v>28.373533625319318</v>
      </c>
      <c r="AB42" s="157">
        <f t="shared" si="128"/>
        <v>26.00907248987604</v>
      </c>
      <c r="AC42" s="138">
        <f t="shared" ref="AC42" si="129">((AB42/G42)^(1/($AB$3-$H$1) ))-1</f>
        <v>-9.5360339764773094E-2</v>
      </c>
      <c r="AD42" s="31">
        <v>0.08</v>
      </c>
      <c r="AE42" s="145">
        <f>(AB42*(1+AC42))/($C$1-AD42)</f>
        <v>336.12626428964074</v>
      </c>
    </row>
    <row r="43" spans="2:31" x14ac:dyDescent="0.2">
      <c r="B43" s="20"/>
      <c r="C43" s="133"/>
      <c r="D43" s="133"/>
      <c r="E43" s="133"/>
      <c r="F43" s="133"/>
      <c r="G43" s="133"/>
      <c r="H43" s="133"/>
      <c r="I43" s="133"/>
      <c r="J43" s="133"/>
      <c r="K43" s="133"/>
      <c r="L43" s="133"/>
      <c r="M43" s="133"/>
      <c r="N43" s="133"/>
      <c r="O43" s="133"/>
      <c r="P43" s="133"/>
      <c r="Q43" s="128"/>
      <c r="R43" s="128"/>
      <c r="S43" s="157"/>
      <c r="T43" s="157"/>
      <c r="U43" s="157"/>
      <c r="V43" s="157"/>
      <c r="W43" s="157"/>
      <c r="X43" s="157"/>
      <c r="Y43" s="157"/>
      <c r="Z43" s="157"/>
      <c r="AA43" s="157"/>
      <c r="AB43" s="157"/>
      <c r="AC43" s="119"/>
      <c r="AD43" s="119"/>
      <c r="AE43" s="145"/>
    </row>
    <row r="44" spans="2:31" x14ac:dyDescent="0.2">
      <c r="B44" s="20" t="s">
        <v>258</v>
      </c>
      <c r="C44" s="25">
        <f t="shared" ref="C44:P44" si="130">C34/C36</f>
        <v>0</v>
      </c>
      <c r="D44" s="25">
        <f t="shared" si="130"/>
        <v>0</v>
      </c>
      <c r="E44" s="25">
        <f t="shared" si="130"/>
        <v>0</v>
      </c>
      <c r="F44" s="133">
        <f t="shared" si="130"/>
        <v>46.169600000000003</v>
      </c>
      <c r="G44" s="133">
        <f t="shared" si="130"/>
        <v>67.328000000000003</v>
      </c>
      <c r="H44" s="133">
        <f t="shared" si="130"/>
        <v>7.0681834719965071</v>
      </c>
      <c r="I44" s="133">
        <f t="shared" si="130"/>
        <v>7.0827370412593691</v>
      </c>
      <c r="J44" s="133">
        <f t="shared" si="130"/>
        <v>8.3658767312683437</v>
      </c>
      <c r="K44" s="133">
        <f t="shared" si="130"/>
        <v>9.0583840686928472</v>
      </c>
      <c r="L44" s="133">
        <f t="shared" si="130"/>
        <v>9.8139568729230842</v>
      </c>
      <c r="M44" s="133">
        <f t="shared" si="130"/>
        <v>10.717490964659083</v>
      </c>
      <c r="N44" s="133">
        <f t="shared" si="130"/>
        <v>11.337230455769278</v>
      </c>
      <c r="O44" s="133">
        <f t="shared" si="130"/>
        <v>11.902394062143742</v>
      </c>
      <c r="P44" s="133">
        <f t="shared" si="130"/>
        <v>15.264535377301282</v>
      </c>
      <c r="Q44" s="118">
        <f>((P44/G44)^(1/($H$2-$H$1) ))-1</f>
        <v>-0.15201622683010707</v>
      </c>
      <c r="R44" s="128"/>
      <c r="S44" s="157">
        <f t="shared" ref="S44:AB44" si="131">S34/S36</f>
        <v>13.992490762526179</v>
      </c>
      <c r="T44" s="157">
        <f t="shared" si="131"/>
        <v>12.826449865648998</v>
      </c>
      <c r="U44" s="157">
        <f t="shared" si="131"/>
        <v>11.757579043511582</v>
      </c>
      <c r="V44" s="157">
        <f t="shared" si="131"/>
        <v>10.777780789885618</v>
      </c>
      <c r="W44" s="157">
        <f t="shared" si="131"/>
        <v>9.8796323907284851</v>
      </c>
      <c r="X44" s="157">
        <f t="shared" si="131"/>
        <v>9.0563296915011122</v>
      </c>
      <c r="Y44" s="157">
        <f t="shared" si="131"/>
        <v>8.301635550542688</v>
      </c>
      <c r="Z44" s="157">
        <f t="shared" si="131"/>
        <v>7.6098325879974649</v>
      </c>
      <c r="AA44" s="157">
        <f t="shared" si="131"/>
        <v>6.9756798723310105</v>
      </c>
      <c r="AB44" s="157">
        <f t="shared" si="131"/>
        <v>6.3943732163034275</v>
      </c>
      <c r="AC44" s="138">
        <f t="shared" ref="AC44:AC57" si="132">((AB44/G44)^(1/($AB$3-$H$1) ))-1</f>
        <v>-0.11653450333746906</v>
      </c>
      <c r="AD44" s="31">
        <v>0.08</v>
      </c>
      <c r="AE44" s="145">
        <f>(AB44*(1+AC44))/($C$1-AD44)</f>
        <v>80.702972991244195</v>
      </c>
    </row>
    <row r="45" spans="2:31" x14ac:dyDescent="0.2">
      <c r="B45" s="20" t="s">
        <v>245</v>
      </c>
      <c r="C45" s="25">
        <f t="shared" ref="C45:P45" si="133">C7/C36</f>
        <v>0</v>
      </c>
      <c r="D45" s="25">
        <f t="shared" si="133"/>
        <v>0</v>
      </c>
      <c r="E45" s="25">
        <f t="shared" si="133"/>
        <v>0</v>
      </c>
      <c r="F45" s="133">
        <f t="shared" si="133"/>
        <v>403.35359999999997</v>
      </c>
      <c r="G45" s="133">
        <f t="shared" si="133"/>
        <v>459.8784</v>
      </c>
      <c r="H45" s="133">
        <f t="shared" si="133"/>
        <v>50.703422514371653</v>
      </c>
      <c r="I45" s="133">
        <f t="shared" si="133"/>
        <v>54.575884735731442</v>
      </c>
      <c r="J45" s="133">
        <f t="shared" si="133"/>
        <v>59.077788827710002</v>
      </c>
      <c r="K45" s="133">
        <f t="shared" si="133"/>
        <v>64.110898197783015</v>
      </c>
      <c r="L45" s="133">
        <f t="shared" si="133"/>
        <v>69.623062556091881</v>
      </c>
      <c r="M45" s="133">
        <f t="shared" si="133"/>
        <v>75.560918815339463</v>
      </c>
      <c r="N45" s="133">
        <f t="shared" si="133"/>
        <v>82.568462415407382</v>
      </c>
      <c r="O45" s="133">
        <f t="shared" si="133"/>
        <v>90.234555024619794</v>
      </c>
      <c r="P45" s="133">
        <f t="shared" si="133"/>
        <v>98.528816067140468</v>
      </c>
      <c r="Q45" s="118">
        <f>((P45/G45)^(1/($H$2-$H$1) ))-1</f>
        <v>-0.15732947025589916</v>
      </c>
      <c r="R45" s="128"/>
      <c r="S45" s="157">
        <f t="shared" ref="S45:AB45" si="134">S7/S36</f>
        <v>90.318081394878774</v>
      </c>
      <c r="T45" s="157">
        <f t="shared" si="134"/>
        <v>82.791574611972209</v>
      </c>
      <c r="U45" s="157">
        <f t="shared" si="134"/>
        <v>75.892276727641203</v>
      </c>
      <c r="V45" s="157">
        <f t="shared" si="134"/>
        <v>69.567920333671111</v>
      </c>
      <c r="W45" s="157">
        <f t="shared" si="134"/>
        <v>63.770593639198516</v>
      </c>
      <c r="X45" s="157">
        <f t="shared" si="134"/>
        <v>58.456377502598656</v>
      </c>
      <c r="Y45" s="157">
        <f t="shared" si="134"/>
        <v>53.585012710715439</v>
      </c>
      <c r="Z45" s="157">
        <f t="shared" si="134"/>
        <v>49.119594984822491</v>
      </c>
      <c r="AA45" s="157">
        <f t="shared" si="134"/>
        <v>45.026295402753959</v>
      </c>
      <c r="AB45" s="157">
        <f t="shared" si="134"/>
        <v>41.274104119191136</v>
      </c>
      <c r="AC45" s="138">
        <f t="shared" si="132"/>
        <v>-0.11916094930252719</v>
      </c>
      <c r="AD45" s="31">
        <v>0.08</v>
      </c>
      <c r="AE45" s="145">
        <f>(AB45*(1+AC45))/($C$1-AD45)</f>
        <v>519.36918129624246</v>
      </c>
    </row>
    <row r="46" spans="2:31" x14ac:dyDescent="0.2">
      <c r="B46" s="20" t="s">
        <v>246</v>
      </c>
      <c r="C46" s="127">
        <f t="shared" ref="C46:P46" si="135">C6/C36</f>
        <v>0</v>
      </c>
      <c r="D46" s="127">
        <f t="shared" si="135"/>
        <v>0</v>
      </c>
      <c r="E46" s="127">
        <f t="shared" si="135"/>
        <v>0</v>
      </c>
      <c r="F46" s="143">
        <f t="shared" si="135"/>
        <v>303.36</v>
      </c>
      <c r="G46" s="143">
        <f t="shared" si="135"/>
        <v>359.88479999999998</v>
      </c>
      <c r="H46" s="143">
        <f t="shared" si="135"/>
        <v>40.703907633347079</v>
      </c>
      <c r="I46" s="143">
        <f t="shared" si="135"/>
        <v>44.576369854706869</v>
      </c>
      <c r="J46" s="143">
        <f t="shared" si="135"/>
        <v>49.078273946685428</v>
      </c>
      <c r="K46" s="143">
        <f t="shared" si="135"/>
        <v>54.111383316758435</v>
      </c>
      <c r="L46" s="143">
        <f t="shared" si="135"/>
        <v>59.623547675067314</v>
      </c>
      <c r="M46" s="143">
        <f t="shared" si="135"/>
        <v>65.561403934314896</v>
      </c>
      <c r="N46" s="143">
        <f t="shared" si="135"/>
        <v>72.567734736944246</v>
      </c>
      <c r="O46" s="143">
        <f t="shared" si="135"/>
        <v>80.235040143595214</v>
      </c>
      <c r="P46" s="143">
        <f t="shared" si="135"/>
        <v>88.528743299294163</v>
      </c>
      <c r="Q46" s="118">
        <f>((P46/G46)^(1/($H$2-$H$1) ))-1</f>
        <v>-0.14429408746241834</v>
      </c>
      <c r="R46" s="128"/>
      <c r="S46" s="156">
        <f t="shared" ref="S46:AB46" si="136">S6/S36</f>
        <v>81.151348024352998</v>
      </c>
      <c r="T46" s="156">
        <f t="shared" si="136"/>
        <v>74.388735688990266</v>
      </c>
      <c r="U46" s="156">
        <f t="shared" si="136"/>
        <v>68.189674381574406</v>
      </c>
      <c r="V46" s="156">
        <f t="shared" si="136"/>
        <v>62.507201516443217</v>
      </c>
      <c r="W46" s="156">
        <f t="shared" si="136"/>
        <v>57.298268056739609</v>
      </c>
      <c r="X46" s="156">
        <f t="shared" si="136"/>
        <v>52.523412385344656</v>
      </c>
      <c r="Y46" s="156">
        <f t="shared" si="136"/>
        <v>48.146461353232603</v>
      </c>
      <c r="Z46" s="156">
        <f t="shared" si="136"/>
        <v>44.134256240463223</v>
      </c>
      <c r="AA46" s="156">
        <f t="shared" si="136"/>
        <v>40.456401553757964</v>
      </c>
      <c r="AB46" s="156">
        <f t="shared" si="136"/>
        <v>37.085034757611467</v>
      </c>
      <c r="AC46" s="138">
        <f t="shared" si="132"/>
        <v>-0.11273268473422071</v>
      </c>
      <c r="AD46" s="31">
        <v>0.08</v>
      </c>
      <c r="AE46" s="145">
        <f>(AB46*(1+AC46))/($C$1-AD46)</f>
        <v>470.06198894177197</v>
      </c>
    </row>
    <row r="47" spans="2:31" x14ac:dyDescent="0.2">
      <c r="B47" s="20" t="s">
        <v>247</v>
      </c>
      <c r="C47" s="127">
        <f t="shared" ref="C47:P47" si="137">C10/C36</f>
        <v>0</v>
      </c>
      <c r="D47" s="127">
        <f t="shared" si="137"/>
        <v>0</v>
      </c>
      <c r="E47" s="127">
        <f t="shared" si="137"/>
        <v>0</v>
      </c>
      <c r="F47" s="143">
        <f t="shared" si="137"/>
        <v>169.49760000000001</v>
      </c>
      <c r="G47" s="143">
        <f t="shared" si="137"/>
        <v>199.82079999999999</v>
      </c>
      <c r="H47" s="143">
        <f t="shared" si="137"/>
        <v>21.393746816406725</v>
      </c>
      <c r="I47" s="143">
        <f t="shared" si="137"/>
        <v>27.79731729206588</v>
      </c>
      <c r="J47" s="143">
        <f t="shared" si="137"/>
        <v>33.565381909913405</v>
      </c>
      <c r="K47" s="143">
        <f t="shared" si="137"/>
        <v>38.740388580299317</v>
      </c>
      <c r="L47" s="143">
        <f t="shared" si="137"/>
        <v>49.054017997913988</v>
      </c>
      <c r="M47" s="143">
        <f t="shared" si="137"/>
        <v>55.496397991607445</v>
      </c>
      <c r="N47" s="143">
        <f t="shared" si="137"/>
        <v>62.591263007252529</v>
      </c>
      <c r="O47" s="143">
        <f t="shared" si="137"/>
        <v>68.440585053484369</v>
      </c>
      <c r="P47" s="143">
        <f t="shared" si="137"/>
        <v>81.016724476677908</v>
      </c>
      <c r="Q47" s="118">
        <f>((P47/G47)^(1/($H$2-$H$1) ))-1</f>
        <v>-9.5440561261581958E-2</v>
      </c>
      <c r="R47" s="128"/>
      <c r="S47" s="156">
        <f t="shared" ref="S47:AB47" si="138">S10/S36</f>
        <v>74.265330770288088</v>
      </c>
      <c r="T47" s="156">
        <f t="shared" si="138"/>
        <v>68.076553206097429</v>
      </c>
      <c r="U47" s="156">
        <f t="shared" si="138"/>
        <v>62.403507105589306</v>
      </c>
      <c r="V47" s="156">
        <f t="shared" si="138"/>
        <v>57.203214846790196</v>
      </c>
      <c r="W47" s="156">
        <f t="shared" si="138"/>
        <v>52.436280276224352</v>
      </c>
      <c r="X47" s="156">
        <f t="shared" si="138"/>
        <v>48.066590253205661</v>
      </c>
      <c r="Y47" s="156">
        <f t="shared" si="138"/>
        <v>44.06104106543853</v>
      </c>
      <c r="Z47" s="156">
        <f t="shared" si="138"/>
        <v>40.389287643318653</v>
      </c>
      <c r="AA47" s="156">
        <f t="shared" si="138"/>
        <v>37.02351367304211</v>
      </c>
      <c r="AB47" s="156">
        <f t="shared" si="138"/>
        <v>33.93822086695527</v>
      </c>
      <c r="AC47" s="138">
        <f t="shared" si="132"/>
        <v>-8.9088404601645244E-2</v>
      </c>
      <c r="AD47" s="31">
        <v>0.08</v>
      </c>
      <c r="AE47" s="145">
        <f>(AB47*(1+AC47))/($C$1-AD47)</f>
        <v>441.63884164142803</v>
      </c>
    </row>
    <row r="48" spans="2:31" x14ac:dyDescent="0.2">
      <c r="B48" s="20"/>
      <c r="C48" s="127"/>
      <c r="D48" s="127"/>
      <c r="E48" s="127"/>
      <c r="F48" s="143"/>
      <c r="G48" s="143"/>
      <c r="H48" s="143"/>
      <c r="I48" s="143"/>
      <c r="J48" s="143"/>
      <c r="K48" s="143"/>
      <c r="L48" s="143"/>
      <c r="M48" s="143"/>
      <c r="N48" s="143"/>
      <c r="O48" s="143"/>
      <c r="P48" s="143"/>
      <c r="Q48" s="128"/>
      <c r="R48" s="128"/>
      <c r="S48" s="156"/>
      <c r="T48" s="156"/>
      <c r="U48" s="156"/>
      <c r="V48" s="156"/>
      <c r="W48" s="156"/>
      <c r="X48" s="156"/>
      <c r="Y48" s="156"/>
      <c r="Z48" s="156"/>
      <c r="AA48" s="156"/>
      <c r="AB48" s="156"/>
      <c r="AC48" s="139"/>
      <c r="AD48" s="20"/>
      <c r="AE48" s="153"/>
    </row>
    <row r="49" spans="2:31" x14ac:dyDescent="0.2">
      <c r="B49" s="20" t="s">
        <v>271</v>
      </c>
      <c r="C49" s="127">
        <f t="shared" ref="C49:P49" si="139">(C7-C10)/C36</f>
        <v>0</v>
      </c>
      <c r="D49" s="127">
        <f t="shared" si="139"/>
        <v>0</v>
      </c>
      <c r="E49" s="127">
        <f t="shared" si="139"/>
        <v>0</v>
      </c>
      <c r="F49" s="143">
        <f t="shared" si="139"/>
        <v>233.85599999999999</v>
      </c>
      <c r="G49" s="143">
        <f t="shared" si="139"/>
        <v>260.05759999999998</v>
      </c>
      <c r="H49" s="143">
        <f t="shared" si="139"/>
        <v>29.309675697964927</v>
      </c>
      <c r="I49" s="143">
        <f t="shared" si="139"/>
        <v>26.778567443665562</v>
      </c>
      <c r="J49" s="143">
        <f t="shared" si="139"/>
        <v>25.512406917796589</v>
      </c>
      <c r="K49" s="143">
        <f t="shared" si="139"/>
        <v>25.370509617483687</v>
      </c>
      <c r="L49" s="143">
        <f t="shared" si="139"/>
        <v>20.569044558177893</v>
      </c>
      <c r="M49" s="143">
        <f t="shared" si="139"/>
        <v>20.064520823732021</v>
      </c>
      <c r="N49" s="143">
        <f t="shared" si="139"/>
        <v>19.977199408154849</v>
      </c>
      <c r="O49" s="143">
        <f t="shared" si="139"/>
        <v>21.793969971135422</v>
      </c>
      <c r="P49" s="143">
        <f t="shared" si="139"/>
        <v>17.51209159046256</v>
      </c>
      <c r="Q49" s="118">
        <f>((P49/G49)^(1/($H$2-$H$1) ))-1</f>
        <v>-0.25901808605832066</v>
      </c>
      <c r="R49" s="128"/>
      <c r="S49" s="156">
        <f t="shared" ref="S49:AB49" si="140">(S7-S10)/S36</f>
        <v>16.052750624590676</v>
      </c>
      <c r="T49" s="156">
        <f t="shared" si="140"/>
        <v>14.715021405874792</v>
      </c>
      <c r="U49" s="156">
        <f t="shared" si="140"/>
        <v>13.488769622051899</v>
      </c>
      <c r="V49" s="156">
        <f t="shared" si="140"/>
        <v>12.364705486880913</v>
      </c>
      <c r="W49" s="156">
        <f t="shared" si="140"/>
        <v>11.33431336297417</v>
      </c>
      <c r="X49" s="156">
        <f t="shared" si="140"/>
        <v>10.389787249392995</v>
      </c>
      <c r="Y49" s="156">
        <f t="shared" si="140"/>
        <v>9.5239716452769105</v>
      </c>
      <c r="Z49" s="156">
        <f t="shared" si="140"/>
        <v>8.7303073415038348</v>
      </c>
      <c r="AA49" s="156">
        <f t="shared" si="140"/>
        <v>8.0027817297118524</v>
      </c>
      <c r="AB49" s="156">
        <f t="shared" si="140"/>
        <v>7.3358832522358659</v>
      </c>
      <c r="AC49" s="138">
        <f t="shared" si="132"/>
        <v>-0.17121629589796561</v>
      </c>
      <c r="AD49" s="31">
        <v>0.08</v>
      </c>
      <c r="AE49" s="145">
        <f>(AB49*(1+AC49))/($C$1-AD49)</f>
        <v>86.855149923544573</v>
      </c>
    </row>
    <row r="50" spans="2:31" x14ac:dyDescent="0.2">
      <c r="B50" s="20" t="s">
        <v>272</v>
      </c>
      <c r="C50" s="127">
        <f t="shared" ref="C50:P50" si="141">(C7-C10-C9)/C36</f>
        <v>0</v>
      </c>
      <c r="D50" s="127">
        <f t="shared" si="141"/>
        <v>0</v>
      </c>
      <c r="E50" s="127">
        <f t="shared" si="141"/>
        <v>0</v>
      </c>
      <c r="F50" s="143">
        <f t="shared" si="141"/>
        <v>190.08</v>
      </c>
      <c r="G50" s="143">
        <f t="shared" si="141"/>
        <v>164.50559999999999</v>
      </c>
      <c r="H50" s="143">
        <f t="shared" si="141"/>
        <v>22.841826958061464</v>
      </c>
      <c r="I50" s="143">
        <f t="shared" si="141"/>
        <v>20.570257355616466</v>
      </c>
      <c r="J50" s="143">
        <f t="shared" si="141"/>
        <v>18.263516627452884</v>
      </c>
      <c r="K50" s="143">
        <f t="shared" si="141"/>
        <v>17.832973536759891</v>
      </c>
      <c r="L50" s="143">
        <f t="shared" si="141"/>
        <v>9.9946636912702846</v>
      </c>
      <c r="M50" s="143">
        <f t="shared" si="141"/>
        <v>7.9523128047153566</v>
      </c>
      <c r="N50" s="143">
        <f t="shared" si="141"/>
        <v>4.0774249884784242</v>
      </c>
      <c r="O50" s="143">
        <f t="shared" si="141"/>
        <v>-2.2363984767264173</v>
      </c>
      <c r="P50" s="143">
        <f t="shared" si="141"/>
        <v>-14.872498605282948</v>
      </c>
      <c r="Q50" s="118">
        <f>((P50/G50)^(1/($H$2-$H$1) ))-1</f>
        <v>-1.7656364190727083</v>
      </c>
      <c r="R50" s="128"/>
      <c r="S50" s="156">
        <f t="shared" ref="S50:AB50" si="142">(S7-S10-S9)/S36</f>
        <v>-13.633123721509376</v>
      </c>
      <c r="T50" s="156">
        <f t="shared" si="142"/>
        <v>-12.497030078050258</v>
      </c>
      <c r="U50" s="156">
        <f t="shared" si="142"/>
        <v>-11.455610904879396</v>
      </c>
      <c r="V50" s="156">
        <f t="shared" si="142"/>
        <v>-10.50097666280611</v>
      </c>
      <c r="W50" s="156">
        <f t="shared" si="142"/>
        <v>-9.6258952742389354</v>
      </c>
      <c r="X50" s="156">
        <f t="shared" si="142"/>
        <v>-8.82373733471902</v>
      </c>
      <c r="Y50" s="156">
        <f t="shared" si="142"/>
        <v>-8.0884258901591028</v>
      </c>
      <c r="Z50" s="156">
        <f t="shared" si="142"/>
        <v>-7.4143903993125146</v>
      </c>
      <c r="AA50" s="156">
        <f t="shared" si="142"/>
        <v>-6.7965245327031383</v>
      </c>
      <c r="AB50" s="156">
        <f t="shared" si="142"/>
        <v>-6.2301474883112098</v>
      </c>
      <c r="AC50" s="138">
        <f t="shared" si="132"/>
        <v>-1.8417335015118887</v>
      </c>
      <c r="AD50" s="31">
        <v>0.08</v>
      </c>
      <c r="AE50" s="145">
        <f>(AB50*(1+AC50))/($C$1-AD50)</f>
        <v>74.916055146738486</v>
      </c>
    </row>
    <row r="51" spans="2:31" x14ac:dyDescent="0.2">
      <c r="B51" s="20" t="s">
        <v>277</v>
      </c>
      <c r="C51" s="127">
        <f t="shared" ref="C51:P51" si="143">(C7+C14-C10-C9)/C36</f>
        <v>0</v>
      </c>
      <c r="D51" s="127">
        <f t="shared" si="143"/>
        <v>0</v>
      </c>
      <c r="E51" s="127">
        <f t="shared" si="143"/>
        <v>0</v>
      </c>
      <c r="F51" s="143">
        <f t="shared" si="143"/>
        <v>438.56639999999999</v>
      </c>
      <c r="G51" s="143">
        <f t="shared" si="143"/>
        <v>351.92320000000001</v>
      </c>
      <c r="H51" s="143">
        <f t="shared" si="143"/>
        <v>38.787687680403621</v>
      </c>
      <c r="I51" s="143">
        <f t="shared" si="143"/>
        <v>40.011400295922577</v>
      </c>
      <c r="J51" s="143">
        <f t="shared" si="143"/>
        <v>45.94197977053873</v>
      </c>
      <c r="K51" s="143">
        <f t="shared" si="143"/>
        <v>49.747738132777066</v>
      </c>
      <c r="L51" s="143">
        <f t="shared" si="143"/>
        <v>49.365706939626946</v>
      </c>
      <c r="M51" s="143">
        <f t="shared" si="143"/>
        <v>48.235379726878016</v>
      </c>
      <c r="N51" s="143">
        <f t="shared" si="143"/>
        <v>50.218303538942926</v>
      </c>
      <c r="O51" s="143">
        <f t="shared" si="143"/>
        <v>54.988235864845855</v>
      </c>
      <c r="P51" s="143">
        <f t="shared" si="143"/>
        <v>39.483469570912263</v>
      </c>
      <c r="Q51" s="118">
        <f>((P51/G51)^(1/($H$2-$H$1) ))-1</f>
        <v>-0.21577474621167692</v>
      </c>
      <c r="R51" s="128"/>
      <c r="S51" s="156">
        <f t="shared" ref="S51:AB51" si="144">(S7+S14-S10-S9)/S36</f>
        <v>36.193180440002905</v>
      </c>
      <c r="T51" s="156">
        <f t="shared" si="144"/>
        <v>33.177082070002683</v>
      </c>
      <c r="U51" s="156">
        <f t="shared" si="144"/>
        <v>30.412325230835801</v>
      </c>
      <c r="V51" s="156">
        <f t="shared" si="144"/>
        <v>27.877964794932822</v>
      </c>
      <c r="W51" s="156">
        <f t="shared" si="144"/>
        <v>25.554801062021753</v>
      </c>
      <c r="X51" s="156">
        <f t="shared" si="144"/>
        <v>23.42523430685328</v>
      </c>
      <c r="Y51" s="156">
        <f t="shared" si="144"/>
        <v>21.473131447948834</v>
      </c>
      <c r="Z51" s="156">
        <f t="shared" si="144"/>
        <v>19.683703827286433</v>
      </c>
      <c r="AA51" s="156">
        <f t="shared" si="144"/>
        <v>18.04339517501257</v>
      </c>
      <c r="AB51" s="156">
        <f t="shared" si="144"/>
        <v>16.5397789104282</v>
      </c>
      <c r="AC51" s="138">
        <f t="shared" si="132"/>
        <v>-0.14864720036397305</v>
      </c>
      <c r="AD51" s="31">
        <v>0.08</v>
      </c>
      <c r="AE51" s="145">
        <f>(AB51*(1+AC51))/($C$1-AD51)</f>
        <v>201.15981543934237</v>
      </c>
    </row>
    <row r="52" spans="2:31" x14ac:dyDescent="0.2">
      <c r="B52" s="20"/>
      <c r="C52" s="127"/>
      <c r="D52" s="127"/>
      <c r="E52" s="127"/>
      <c r="F52" s="143"/>
      <c r="G52" s="143"/>
      <c r="H52" s="143"/>
      <c r="I52" s="143"/>
      <c r="J52" s="143"/>
      <c r="K52" s="143"/>
      <c r="L52" s="143"/>
      <c r="M52" s="143"/>
      <c r="N52" s="143"/>
      <c r="O52" s="143"/>
      <c r="P52" s="143"/>
      <c r="Q52" s="128"/>
      <c r="R52" s="128"/>
      <c r="S52" s="153"/>
      <c r="T52" s="153"/>
      <c r="U52" s="153"/>
      <c r="V52" s="153"/>
      <c r="W52" s="153"/>
      <c r="X52" s="153"/>
      <c r="Y52" s="153"/>
      <c r="Z52" s="153"/>
      <c r="AA52" s="153"/>
      <c r="AB52" s="153"/>
      <c r="AC52" s="139"/>
      <c r="AD52" s="20"/>
      <c r="AE52" s="153"/>
    </row>
    <row r="53" spans="2:31" x14ac:dyDescent="0.2">
      <c r="B53" s="20" t="s">
        <v>248</v>
      </c>
      <c r="C53" s="127">
        <f t="shared" ref="C53:P53" si="145">C12/C36</f>
        <v>0</v>
      </c>
      <c r="D53" s="127">
        <f t="shared" si="145"/>
        <v>0</v>
      </c>
      <c r="E53" s="127">
        <f t="shared" si="145"/>
        <v>0</v>
      </c>
      <c r="F53" s="143">
        <f t="shared" si="145"/>
        <v>6.976</v>
      </c>
      <c r="G53" s="143">
        <f t="shared" si="145"/>
        <v>7.7952000000000004</v>
      </c>
      <c r="H53" s="143">
        <f t="shared" si="145"/>
        <v>7.5169185242680774</v>
      </c>
      <c r="I53" s="143">
        <f t="shared" si="145"/>
        <v>10.437334756348996</v>
      </c>
      <c r="J53" s="143">
        <f t="shared" si="145"/>
        <v>16.61289931355665</v>
      </c>
      <c r="K53" s="143">
        <f t="shared" si="145"/>
        <v>18.628568656462999</v>
      </c>
      <c r="L53" s="143">
        <f t="shared" si="145"/>
        <v>20.921968612802292</v>
      </c>
      <c r="M53" s="143">
        <f t="shared" si="145"/>
        <v>19.46782448395469</v>
      </c>
      <c r="N53" s="143">
        <f t="shared" si="145"/>
        <v>21.660562252892522</v>
      </c>
      <c r="O53" s="143">
        <f t="shared" si="145"/>
        <v>21.940718461202611</v>
      </c>
      <c r="P53" s="143">
        <f t="shared" si="145"/>
        <v>22.7255439396512</v>
      </c>
      <c r="Q53" s="118">
        <f>((P53/G53)^(1/($H$2-$H$1) ))-1</f>
        <v>0.12624244744266466</v>
      </c>
      <c r="R53" s="128"/>
      <c r="S53" s="156">
        <f t="shared" ref="S53:AB53" si="146">S12/S36</f>
        <v>20.831748611346935</v>
      </c>
      <c r="T53" s="156">
        <f t="shared" si="146"/>
        <v>19.095769560401358</v>
      </c>
      <c r="U53" s="156">
        <f t="shared" si="146"/>
        <v>17.504455430367916</v>
      </c>
      <c r="V53" s="156">
        <f t="shared" si="146"/>
        <v>16.045750811170592</v>
      </c>
      <c r="W53" s="156">
        <f t="shared" si="146"/>
        <v>14.708604910239711</v>
      </c>
      <c r="X53" s="156">
        <f t="shared" si="146"/>
        <v>13.482887834386405</v>
      </c>
      <c r="Y53" s="156">
        <f t="shared" si="146"/>
        <v>12.359313848187538</v>
      </c>
      <c r="Z53" s="156">
        <f t="shared" si="146"/>
        <v>11.329371027505244</v>
      </c>
      <c r="AA53" s="156">
        <f t="shared" si="146"/>
        <v>10.385256775213143</v>
      </c>
      <c r="AB53" s="156">
        <f t="shared" si="146"/>
        <v>9.5198187106120482</v>
      </c>
      <c r="AC53" s="138">
        <f t="shared" si="132"/>
        <v>1.0574872665049195E-2</v>
      </c>
      <c r="AD53" s="31">
        <v>0.08</v>
      </c>
      <c r="AE53" s="145">
        <f>(AB53*(1+AC53))/($C$1-AD53)</f>
        <v>137.43556544673035</v>
      </c>
    </row>
    <row r="54" spans="2:31" x14ac:dyDescent="0.2">
      <c r="B54" s="20" t="s">
        <v>255</v>
      </c>
      <c r="C54" s="127">
        <f t="shared" ref="C54:P54" si="147">C13/C36</f>
        <v>0</v>
      </c>
      <c r="D54" s="127">
        <f t="shared" si="147"/>
        <v>0</v>
      </c>
      <c r="E54" s="127">
        <f t="shared" si="147"/>
        <v>0</v>
      </c>
      <c r="F54" s="143">
        <f t="shared" si="147"/>
        <v>46.937600000000003</v>
      </c>
      <c r="G54" s="143">
        <f t="shared" si="147"/>
        <v>221.9264</v>
      </c>
      <c r="H54" s="143">
        <f t="shared" si="147"/>
        <v>25.051543891139303</v>
      </c>
      <c r="I54" s="143">
        <f t="shared" si="147"/>
        <v>22.548329977927089</v>
      </c>
      <c r="J54" s="143">
        <f t="shared" si="147"/>
        <v>18.364178814854345</v>
      </c>
      <c r="K54" s="143">
        <f t="shared" si="147"/>
        <v>16.308487156475127</v>
      </c>
      <c r="L54" s="143">
        <f t="shared" si="147"/>
        <v>14.184878841535888</v>
      </c>
      <c r="M54" s="143">
        <f t="shared" si="147"/>
        <v>14.283115434060203</v>
      </c>
      <c r="N54" s="143">
        <f t="shared" si="147"/>
        <v>10.135348194144614</v>
      </c>
      <c r="O54" s="143">
        <f t="shared" si="147"/>
        <v>7.9377592354524955</v>
      </c>
      <c r="P54" s="143">
        <f t="shared" si="147"/>
        <v>8.489582070002669</v>
      </c>
      <c r="Q54" s="118">
        <f>((P54/G54)^(1/($H$2-$H$1) ))-1</f>
        <v>-0.30414347369755335</v>
      </c>
      <c r="R54" s="128"/>
      <c r="S54" s="156">
        <f t="shared" ref="S54:AB54" si="148">S13/S36</f>
        <v>7.7821168975024477</v>
      </c>
      <c r="T54" s="156">
        <f t="shared" si="148"/>
        <v>7.1336071560439116</v>
      </c>
      <c r="U54" s="156">
        <f t="shared" si="148"/>
        <v>6.5391398930402529</v>
      </c>
      <c r="V54" s="156">
        <f t="shared" si="148"/>
        <v>5.9942115686202326</v>
      </c>
      <c r="W54" s="156">
        <f t="shared" si="148"/>
        <v>5.4946939379018795</v>
      </c>
      <c r="X54" s="156">
        <f t="shared" si="148"/>
        <v>5.0368027764100578</v>
      </c>
      <c r="Y54" s="156">
        <f t="shared" si="148"/>
        <v>4.6170692117092198</v>
      </c>
      <c r="Z54" s="156">
        <f t="shared" si="148"/>
        <v>4.2323134440667847</v>
      </c>
      <c r="AA54" s="156">
        <f t="shared" si="148"/>
        <v>3.8796206570612206</v>
      </c>
      <c r="AB54" s="156">
        <f t="shared" si="148"/>
        <v>3.5563189356394522</v>
      </c>
      <c r="AC54" s="138">
        <f t="shared" si="132"/>
        <v>-0.19551980967351323</v>
      </c>
      <c r="AD54" s="31">
        <v>0.08</v>
      </c>
      <c r="AE54" s="145">
        <f>(AB54*(1+AC54))/($C$1-AD54)</f>
        <v>40.871259060070223</v>
      </c>
    </row>
    <row r="55" spans="2:31" x14ac:dyDescent="0.2">
      <c r="B55" s="20" t="s">
        <v>256</v>
      </c>
      <c r="C55" s="127">
        <f>(C53+C54)</f>
        <v>0</v>
      </c>
      <c r="D55" s="127">
        <f t="shared" ref="D55:P55" si="149">(D53+D54)</f>
        <v>0</v>
      </c>
      <c r="E55" s="127">
        <f t="shared" si="149"/>
        <v>0</v>
      </c>
      <c r="F55" s="143">
        <f t="shared" si="149"/>
        <v>53.913600000000002</v>
      </c>
      <c r="G55" s="143">
        <f t="shared" si="149"/>
        <v>229.7216</v>
      </c>
      <c r="H55" s="143">
        <f t="shared" si="149"/>
        <v>32.568462415407382</v>
      </c>
      <c r="I55" s="143">
        <f t="shared" si="149"/>
        <v>32.985664734276085</v>
      </c>
      <c r="J55" s="143">
        <f t="shared" si="149"/>
        <v>34.977078128410994</v>
      </c>
      <c r="K55" s="143">
        <f t="shared" si="149"/>
        <v>34.937055812938127</v>
      </c>
      <c r="L55" s="143">
        <f t="shared" si="149"/>
        <v>35.10684745433818</v>
      </c>
      <c r="M55" s="143">
        <f t="shared" si="149"/>
        <v>33.750939918014893</v>
      </c>
      <c r="N55" s="143">
        <f t="shared" si="149"/>
        <v>31.795910447037137</v>
      </c>
      <c r="O55" s="143">
        <f t="shared" ref="O55" si="150">(O53+O54)</f>
        <v>29.878477696655107</v>
      </c>
      <c r="P55" s="143">
        <f t="shared" si="149"/>
        <v>31.215126009653869</v>
      </c>
      <c r="Q55" s="118">
        <f>((P55/G55)^(1/($H$2-$H$1) ))-1</f>
        <v>-0.19890355098247137</v>
      </c>
      <c r="R55" s="128"/>
      <c r="S55" s="156">
        <f t="shared" ref="S55:AB55" si="151">(S53+S54)</f>
        <v>28.613865508849383</v>
      </c>
      <c r="T55" s="156">
        <f t="shared" si="151"/>
        <v>26.22937671644527</v>
      </c>
      <c r="U55" s="156">
        <f t="shared" si="151"/>
        <v>24.043595323408169</v>
      </c>
      <c r="V55" s="156">
        <f t="shared" si="151"/>
        <v>22.039962379790826</v>
      </c>
      <c r="W55" s="156">
        <f t="shared" si="151"/>
        <v>20.203298848141589</v>
      </c>
      <c r="X55" s="156">
        <f t="shared" si="151"/>
        <v>18.519690610796463</v>
      </c>
      <c r="Y55" s="156">
        <f t="shared" si="151"/>
        <v>16.976383059896758</v>
      </c>
      <c r="Z55" s="156">
        <f t="shared" si="151"/>
        <v>15.561684471572029</v>
      </c>
      <c r="AA55" s="156">
        <f t="shared" si="151"/>
        <v>14.264877432274364</v>
      </c>
      <c r="AB55" s="156">
        <f t="shared" si="151"/>
        <v>13.0761376462515</v>
      </c>
      <c r="AC55" s="138">
        <f t="shared" si="132"/>
        <v>-0.1400201065910327</v>
      </c>
      <c r="AD55" s="31">
        <v>0.08</v>
      </c>
      <c r="AE55" s="145">
        <f>(AB55*(1+AC55))/($C$1-AD55)</f>
        <v>160.64593513177644</v>
      </c>
    </row>
    <row r="56" spans="2:31" x14ac:dyDescent="0.2">
      <c r="B56" s="20" t="s">
        <v>249</v>
      </c>
      <c r="C56" s="127">
        <f t="shared" ref="C56:P56" si="152">C14/C36</f>
        <v>0</v>
      </c>
      <c r="D56" s="127">
        <f t="shared" si="152"/>
        <v>0</v>
      </c>
      <c r="E56" s="127">
        <f t="shared" si="152"/>
        <v>0</v>
      </c>
      <c r="F56" s="143">
        <f t="shared" si="152"/>
        <v>248.4864</v>
      </c>
      <c r="G56" s="143">
        <f t="shared" si="152"/>
        <v>187.41759999999999</v>
      </c>
      <c r="H56" s="143">
        <f t="shared" si="152"/>
        <v>15.945860722342156</v>
      </c>
      <c r="I56" s="143">
        <f t="shared" si="152"/>
        <v>19.441142940306111</v>
      </c>
      <c r="J56" s="143">
        <f t="shared" si="152"/>
        <v>27.678463143085843</v>
      </c>
      <c r="K56" s="143">
        <f t="shared" si="152"/>
        <v>31.914764596017175</v>
      </c>
      <c r="L56" s="143">
        <f t="shared" si="152"/>
        <v>39.371043248356663</v>
      </c>
      <c r="M56" s="143">
        <f t="shared" si="152"/>
        <v>40.283066922162661</v>
      </c>
      <c r="N56" s="143">
        <f t="shared" si="152"/>
        <v>46.140878550464507</v>
      </c>
      <c r="O56" s="143">
        <f t="shared" si="152"/>
        <v>57.224634341572276</v>
      </c>
      <c r="P56" s="143">
        <f t="shared" si="152"/>
        <v>54.355968176195212</v>
      </c>
      <c r="Q56" s="118">
        <f>((P56/G56)^(1/($H$2-$H$1) ))-1</f>
        <v>-0.12849323503859422</v>
      </c>
      <c r="R56" s="128"/>
      <c r="S56" s="156">
        <f t="shared" ref="S56:AB56" si="153">S14/S36</f>
        <v>49.82630416151229</v>
      </c>
      <c r="T56" s="156">
        <f t="shared" si="153"/>
        <v>45.674112148052934</v>
      </c>
      <c r="U56" s="156">
        <f t="shared" si="153"/>
        <v>41.86793613571519</v>
      </c>
      <c r="V56" s="156">
        <f t="shared" si="153"/>
        <v>38.378941457738932</v>
      </c>
      <c r="W56" s="156">
        <f t="shared" si="153"/>
        <v>35.180696336260688</v>
      </c>
      <c r="X56" s="156">
        <f t="shared" si="153"/>
        <v>32.248971641572304</v>
      </c>
      <c r="Y56" s="156">
        <f t="shared" si="153"/>
        <v>29.561557338107942</v>
      </c>
      <c r="Z56" s="156">
        <f t="shared" si="153"/>
        <v>27.098094226598949</v>
      </c>
      <c r="AA56" s="156">
        <f t="shared" si="153"/>
        <v>24.839919707715708</v>
      </c>
      <c r="AB56" s="156">
        <f t="shared" si="153"/>
        <v>22.769926398739404</v>
      </c>
      <c r="AC56" s="138">
        <f t="shared" si="132"/>
        <v>-0.10500937300422264</v>
      </c>
      <c r="AD56" s="31">
        <v>0.08</v>
      </c>
      <c r="AE56" s="145">
        <f>(AB56*(1+AC56))/($C$1-AD56)</f>
        <v>291.12672434650693</v>
      </c>
    </row>
    <row r="57" spans="2:31" x14ac:dyDescent="0.2">
      <c r="B57" s="20" t="s">
        <v>250</v>
      </c>
      <c r="C57" s="127">
        <f t="shared" ref="C57:P57" si="154">C15/C36</f>
        <v>0</v>
      </c>
      <c r="D57" s="127">
        <f t="shared" si="154"/>
        <v>0</v>
      </c>
      <c r="E57" s="127">
        <f t="shared" si="154"/>
        <v>0</v>
      </c>
      <c r="F57" s="143">
        <f t="shared" si="154"/>
        <v>189.79839999999999</v>
      </c>
      <c r="G57" s="143">
        <f t="shared" si="154"/>
        <v>69.785600000000002</v>
      </c>
      <c r="H57" s="143">
        <f t="shared" si="154"/>
        <v>7.6200063065466805</v>
      </c>
      <c r="I57" s="143">
        <f t="shared" si="154"/>
        <v>11.726538433550829</v>
      </c>
      <c r="J57" s="143">
        <f t="shared" si="154"/>
        <v>18.347199650714337</v>
      </c>
      <c r="K57" s="143">
        <f t="shared" si="154"/>
        <v>21.45802508065103</v>
      </c>
      <c r="L57" s="143">
        <f t="shared" si="154"/>
        <v>24.776238872583502</v>
      </c>
      <c r="M57" s="143">
        <f t="shared" si="154"/>
        <v>24.349334174206223</v>
      </c>
      <c r="N57" s="143">
        <f t="shared" si="154"/>
        <v>26.801610594998426</v>
      </c>
      <c r="O57" s="143">
        <f t="shared" si="154"/>
        <v>28.322458582967474</v>
      </c>
      <c r="P57" s="143">
        <f t="shared" si="154"/>
        <v>21.971377980449706</v>
      </c>
      <c r="Q57" s="118">
        <f>((P57/G57)^(1/($H$2-$H$1) ))-1</f>
        <v>-0.1205070013868571</v>
      </c>
      <c r="R57" s="128"/>
      <c r="S57" s="156">
        <f t="shared" ref="S57:AB57" si="155">S15/S36</f>
        <v>20.140429815412233</v>
      </c>
      <c r="T57" s="156">
        <f t="shared" si="155"/>
        <v>18.462060664127883</v>
      </c>
      <c r="U57" s="156">
        <f t="shared" si="155"/>
        <v>16.923555608783893</v>
      </c>
      <c r="V57" s="156">
        <f t="shared" si="155"/>
        <v>15.513259308051902</v>
      </c>
      <c r="W57" s="156">
        <f t="shared" si="155"/>
        <v>14.220487699047577</v>
      </c>
      <c r="X57" s="156">
        <f t="shared" si="155"/>
        <v>13.035447057460283</v>
      </c>
      <c r="Y57" s="156">
        <f t="shared" si="155"/>
        <v>11.949159802671929</v>
      </c>
      <c r="Z57" s="156">
        <f t="shared" si="155"/>
        <v>10.953396485782603</v>
      </c>
      <c r="AA57" s="156">
        <f t="shared" si="155"/>
        <v>10.040613445300723</v>
      </c>
      <c r="AB57" s="156">
        <f t="shared" si="155"/>
        <v>9.2038956581923301</v>
      </c>
      <c r="AC57" s="138">
        <f t="shared" si="132"/>
        <v>-0.10113380872333644</v>
      </c>
      <c r="AD57" s="31">
        <v>0.08</v>
      </c>
      <c r="AE57" s="145">
        <f>(AB57*(1+AC57))/($C$1-AD57)</f>
        <v>118.18672335981658</v>
      </c>
    </row>
    <row r="58" spans="2:31" x14ac:dyDescent="0.2">
      <c r="B58" s="20"/>
      <c r="C58" s="127"/>
      <c r="D58" s="127"/>
      <c r="E58" s="127"/>
      <c r="F58" s="143"/>
      <c r="G58" s="143"/>
      <c r="H58" s="143"/>
      <c r="I58" s="143"/>
      <c r="J58" s="143"/>
      <c r="K58" s="143"/>
      <c r="L58" s="143"/>
      <c r="M58" s="143"/>
      <c r="N58" s="143"/>
      <c r="O58" s="143"/>
      <c r="P58" s="143"/>
      <c r="Q58" s="128"/>
      <c r="R58" s="128"/>
      <c r="S58" s="153"/>
      <c r="T58" s="153"/>
      <c r="U58" s="153"/>
      <c r="V58" s="153"/>
      <c r="W58" s="153"/>
      <c r="X58" s="153"/>
      <c r="Y58" s="153"/>
      <c r="Z58" s="153"/>
      <c r="AA58" s="153"/>
      <c r="AB58" s="153"/>
      <c r="AC58" s="139"/>
      <c r="AD58" s="20"/>
      <c r="AE58" s="153"/>
    </row>
    <row r="59" spans="2:31" x14ac:dyDescent="0.2">
      <c r="B59" s="20" t="s">
        <v>283</v>
      </c>
      <c r="C59" s="158">
        <f>C38</f>
        <v>1</v>
      </c>
      <c r="D59" s="158">
        <f t="shared" ref="D59:P59" si="156">D38</f>
        <v>1</v>
      </c>
      <c r="E59" s="158">
        <f t="shared" si="156"/>
        <v>1</v>
      </c>
      <c r="F59" s="158">
        <f t="shared" si="156"/>
        <v>0.91</v>
      </c>
      <c r="G59" s="158">
        <f t="shared" si="156"/>
        <v>1.39</v>
      </c>
      <c r="H59" s="158">
        <f t="shared" si="156"/>
        <v>2.4</v>
      </c>
      <c r="I59" s="158">
        <f t="shared" si="156"/>
        <v>2.8</v>
      </c>
      <c r="J59" s="158">
        <f t="shared" si="156"/>
        <v>3.2</v>
      </c>
      <c r="K59" s="158">
        <f t="shared" si="156"/>
        <v>3.5</v>
      </c>
      <c r="L59" s="158">
        <f t="shared" si="156"/>
        <v>3.6</v>
      </c>
      <c r="M59" s="158">
        <f t="shared" si="156"/>
        <v>3.8</v>
      </c>
      <c r="N59" s="158">
        <f t="shared" si="156"/>
        <v>3.8</v>
      </c>
      <c r="O59" s="158">
        <f t="shared" si="156"/>
        <v>4</v>
      </c>
      <c r="P59" s="158">
        <f t="shared" si="156"/>
        <v>3.75</v>
      </c>
      <c r="Q59" s="118">
        <f>((P59/G59)^(1/($H$2-$H$1) ))-1</f>
        <v>0.1165822471679312</v>
      </c>
      <c r="R59" s="128"/>
      <c r="S59" s="159">
        <f t="shared" ref="S59:AB59" si="157">S38</f>
        <v>3.8250000000000002</v>
      </c>
      <c r="T59" s="159">
        <f t="shared" si="157"/>
        <v>3.9015000000000004</v>
      </c>
      <c r="U59" s="159">
        <f t="shared" si="157"/>
        <v>3.9795300000000005</v>
      </c>
      <c r="V59" s="159">
        <f t="shared" si="157"/>
        <v>4.0591206000000009</v>
      </c>
      <c r="W59" s="159">
        <f t="shared" si="157"/>
        <v>4.1403030120000013</v>
      </c>
      <c r="X59" s="159">
        <f t="shared" si="157"/>
        <v>4.2231090722400015</v>
      </c>
      <c r="Y59" s="159">
        <f t="shared" si="157"/>
        <v>4.3075712536848014</v>
      </c>
      <c r="Z59" s="159">
        <f t="shared" si="157"/>
        <v>4.3937226787584978</v>
      </c>
      <c r="AA59" s="159">
        <f t="shared" si="157"/>
        <v>4.4815971323336674</v>
      </c>
      <c r="AB59" s="159">
        <f t="shared" si="157"/>
        <v>4.5712290749803408</v>
      </c>
      <c r="AC59" s="138">
        <f t="shared" ref="AC59" si="158">((AB59/G59)^(1/($AB$3-$H$1) ))-1</f>
        <v>6.4661337991507528E-2</v>
      </c>
      <c r="AD59" s="31">
        <v>0.08</v>
      </c>
      <c r="AE59" s="145">
        <f>(AB59*(1+AC59))/($C$1-AD59)</f>
        <v>69.525869474775021</v>
      </c>
    </row>
    <row r="60" spans="2:31" x14ac:dyDescent="0.2">
      <c r="B60" s="20"/>
      <c r="C60" s="127"/>
      <c r="D60" s="127"/>
      <c r="E60" s="127"/>
      <c r="F60" s="143"/>
      <c r="G60" s="143"/>
      <c r="H60" s="143"/>
      <c r="I60" s="143"/>
      <c r="J60" s="143"/>
      <c r="K60" s="143"/>
      <c r="L60" s="143"/>
      <c r="M60" s="143"/>
      <c r="N60" s="143"/>
      <c r="O60" s="143"/>
      <c r="P60" s="143"/>
      <c r="Q60" s="128"/>
      <c r="R60" s="128"/>
      <c r="S60" s="153"/>
      <c r="T60" s="153"/>
      <c r="U60" s="153"/>
      <c r="V60" s="153"/>
      <c r="W60" s="153"/>
      <c r="X60" s="153"/>
      <c r="Y60" s="153"/>
      <c r="Z60" s="153"/>
      <c r="AA60" s="153"/>
      <c r="AB60" s="153"/>
      <c r="AC60" s="139"/>
      <c r="AD60" s="20"/>
      <c r="AE60" s="153"/>
    </row>
    <row r="61" spans="2:31" x14ac:dyDescent="0.2">
      <c r="B61" s="20" t="s">
        <v>319</v>
      </c>
      <c r="C61" s="127">
        <f t="shared" ref="C61:G61" si="159">C19+C20</f>
        <v>0</v>
      </c>
      <c r="D61" s="127">
        <f t="shared" si="159"/>
        <v>0</v>
      </c>
      <c r="E61" s="127">
        <f t="shared" si="159"/>
        <v>0</v>
      </c>
      <c r="F61" s="143">
        <f t="shared" si="159"/>
        <v>1552</v>
      </c>
      <c r="G61" s="143">
        <f t="shared" si="159"/>
        <v>3407</v>
      </c>
      <c r="H61" s="143">
        <f>H19+H20</f>
        <v>-1370</v>
      </c>
      <c r="I61" s="143">
        <f t="shared" ref="I61:P61" si="160">I19+I20</f>
        <v>3493</v>
      </c>
      <c r="J61" s="143">
        <f t="shared" si="160"/>
        <v>4920</v>
      </c>
      <c r="K61" s="143">
        <f t="shared" si="160"/>
        <v>3968</v>
      </c>
      <c r="L61" s="143">
        <f t="shared" si="160"/>
        <v>2188</v>
      </c>
      <c r="M61" s="143">
        <f t="shared" si="160"/>
        <v>97</v>
      </c>
      <c r="N61" s="143">
        <f t="shared" si="160"/>
        <v>3437</v>
      </c>
      <c r="O61" s="143">
        <f t="shared" si="160"/>
        <v>2830</v>
      </c>
      <c r="P61" s="143">
        <f t="shared" si="160"/>
        <v>2000</v>
      </c>
      <c r="Q61" s="118">
        <f>((P61/G61)^(1/($H$2-$H$1) ))-1</f>
        <v>-5.74697055921779E-2</v>
      </c>
      <c r="R61" s="128"/>
      <c r="S61" s="143">
        <f t="shared" ref="S61:AB61" si="161">S19+S20</f>
        <v>2200</v>
      </c>
      <c r="T61" s="143">
        <f t="shared" si="161"/>
        <v>2420</v>
      </c>
      <c r="U61" s="143">
        <f t="shared" si="161"/>
        <v>2662.0000000000018</v>
      </c>
      <c r="V61" s="143">
        <f t="shared" si="161"/>
        <v>2928.2000000000007</v>
      </c>
      <c r="W61" s="143">
        <f t="shared" si="161"/>
        <v>3221.0200000000004</v>
      </c>
      <c r="X61" s="143">
        <f t="shared" si="161"/>
        <v>3543.122000000003</v>
      </c>
      <c r="Y61" s="143">
        <f t="shared" si="161"/>
        <v>3897.4342000000033</v>
      </c>
      <c r="Z61" s="143">
        <f t="shared" si="161"/>
        <v>4287.1776200000022</v>
      </c>
      <c r="AA61" s="143">
        <f t="shared" si="161"/>
        <v>4715.8953820000024</v>
      </c>
      <c r="AB61" s="143">
        <f t="shared" si="161"/>
        <v>5187.4849202000041</v>
      </c>
      <c r="AC61" s="138">
        <f t="shared" ref="AC61:AC66" si="162">((AB61/G61)^(1/($AB$3-$H$1) ))-1</f>
        <v>2.2373824298340006E-2</v>
      </c>
      <c r="AD61" s="31">
        <v>0.08</v>
      </c>
      <c r="AE61" s="145">
        <f>(AB61*(1+AC61))/($C$1-AD61)</f>
        <v>75764.982805069259</v>
      </c>
    </row>
    <row r="62" spans="2:31" x14ac:dyDescent="0.2">
      <c r="B62" s="20"/>
      <c r="C62" s="127"/>
      <c r="D62" s="127"/>
      <c r="E62" s="127"/>
      <c r="F62" s="143"/>
      <c r="G62" s="143"/>
      <c r="H62" s="143"/>
      <c r="I62" s="143"/>
      <c r="J62" s="143"/>
      <c r="K62" s="143"/>
      <c r="L62" s="143"/>
      <c r="M62" s="143"/>
      <c r="N62" s="143"/>
      <c r="O62" s="143"/>
      <c r="P62" s="143"/>
      <c r="Q62" s="128"/>
      <c r="R62" s="128"/>
      <c r="S62" s="145"/>
      <c r="T62" s="145"/>
      <c r="U62" s="145"/>
      <c r="V62" s="145"/>
      <c r="W62" s="145"/>
      <c r="X62" s="145"/>
      <c r="Y62" s="145"/>
      <c r="Z62" s="145"/>
      <c r="AA62" s="145"/>
      <c r="AB62" s="145"/>
      <c r="AC62" s="138"/>
      <c r="AD62" s="31"/>
      <c r="AE62" s="145"/>
    </row>
    <row r="63" spans="2:31" x14ac:dyDescent="0.2">
      <c r="B63" s="20" t="s">
        <v>320</v>
      </c>
      <c r="C63" s="127">
        <f t="shared" ref="C63:G63" si="163">C61/C36</f>
        <v>0</v>
      </c>
      <c r="D63" s="127">
        <f t="shared" si="163"/>
        <v>0</v>
      </c>
      <c r="E63" s="127">
        <f t="shared" si="163"/>
        <v>0</v>
      </c>
      <c r="F63" s="143">
        <f t="shared" si="163"/>
        <v>19.865600000000001</v>
      </c>
      <c r="G63" s="143">
        <f t="shared" si="163"/>
        <v>43.6096</v>
      </c>
      <c r="H63" s="143">
        <f t="shared" ref="H63" si="164">H61/H36</f>
        <v>-1.6615324908433795</v>
      </c>
      <c r="I63" s="143">
        <f t="shared" ref="I63:P63" si="165">I61/I36</f>
        <v>4.2363014529313316</v>
      </c>
      <c r="J63" s="143">
        <f t="shared" si="165"/>
        <v>5.9669633977733039</v>
      </c>
      <c r="K63" s="143">
        <f t="shared" si="165"/>
        <v>4.8123802362529409</v>
      </c>
      <c r="L63" s="143">
        <f t="shared" si="165"/>
        <v>2.65360079559512</v>
      </c>
      <c r="M63" s="143">
        <f t="shared" si="165"/>
        <v>0.11764135154146554</v>
      </c>
      <c r="N63" s="143">
        <f t="shared" si="165"/>
        <v>4.1683847963713099</v>
      </c>
      <c r="O63" s="143">
        <f t="shared" si="165"/>
        <v>3.4322167511582218</v>
      </c>
      <c r="P63" s="143">
        <f t="shared" si="165"/>
        <v>2.4255948771436198</v>
      </c>
      <c r="Q63" s="118">
        <f>((P63/G63)^(1/($H$2-$H$1) ))-1</f>
        <v>-0.27459291006181319</v>
      </c>
      <c r="R63" s="128"/>
      <c r="S63" s="145">
        <f t="shared" ref="S63:AB63" si="166">S61/S36</f>
        <v>2.2234619707149847</v>
      </c>
      <c r="T63" s="145">
        <f t="shared" si="166"/>
        <v>2.0381734731554029</v>
      </c>
      <c r="U63" s="145">
        <f t="shared" si="166"/>
        <v>1.8683256837257871</v>
      </c>
      <c r="V63" s="145">
        <f t="shared" si="166"/>
        <v>1.7126318767486375</v>
      </c>
      <c r="W63" s="145">
        <f t="shared" si="166"/>
        <v>1.5699125536862508</v>
      </c>
      <c r="X63" s="145">
        <f t="shared" si="166"/>
        <v>1.4390865075457311</v>
      </c>
      <c r="Y63" s="145">
        <f t="shared" si="166"/>
        <v>1.3191626319169201</v>
      </c>
      <c r="Z63" s="145">
        <f t="shared" si="166"/>
        <v>1.2092324125905098</v>
      </c>
      <c r="AA63" s="145">
        <f t="shared" si="166"/>
        <v>1.1084630448746342</v>
      </c>
      <c r="AB63" s="145">
        <f t="shared" si="166"/>
        <v>1.016091124468415</v>
      </c>
      <c r="AC63" s="138">
        <f t="shared" si="162"/>
        <v>-0.17951417615026566</v>
      </c>
      <c r="AD63" s="31">
        <v>0.08</v>
      </c>
      <c r="AE63" s="145">
        <f>(AB63*(1+AC63))/($C$1-AD63)</f>
        <v>11.909833762369578</v>
      </c>
    </row>
    <row r="64" spans="2:31" x14ac:dyDescent="0.2">
      <c r="B64" s="20" t="s">
        <v>287</v>
      </c>
      <c r="C64" s="127">
        <f t="shared" ref="C64:P64" si="167">C19/C36</f>
        <v>0</v>
      </c>
      <c r="D64" s="127">
        <f t="shared" si="167"/>
        <v>0</v>
      </c>
      <c r="E64" s="127">
        <f t="shared" si="167"/>
        <v>0</v>
      </c>
      <c r="F64" s="143">
        <f t="shared" si="167"/>
        <v>60.671999999999997</v>
      </c>
      <c r="G64" s="143">
        <f t="shared" si="167"/>
        <v>73.523200000000003</v>
      </c>
      <c r="H64" s="143">
        <f t="shared" si="167"/>
        <v>6.120988672471924</v>
      </c>
      <c r="I64" s="143">
        <f t="shared" si="167"/>
        <v>7.5266209037766512</v>
      </c>
      <c r="J64" s="143">
        <f t="shared" si="167"/>
        <v>9.7812113420816456</v>
      </c>
      <c r="K64" s="143">
        <f t="shared" si="167"/>
        <v>12.335362747713877</v>
      </c>
      <c r="L64" s="143">
        <f t="shared" si="167"/>
        <v>11.749581584883693</v>
      </c>
      <c r="M64" s="143">
        <f t="shared" si="167"/>
        <v>12.848376064229752</v>
      </c>
      <c r="N64" s="143">
        <f t="shared" si="167"/>
        <v>13.455987580954229</v>
      </c>
      <c r="O64" s="143">
        <f t="shared" si="167"/>
        <v>16.816649283236714</v>
      </c>
      <c r="P64" s="143">
        <f t="shared" si="167"/>
        <v>16.979164140005338</v>
      </c>
      <c r="Q64" s="118">
        <f>((P64/G64)^(1/($H$2-$H$1) ))-1</f>
        <v>-0.15027796910766533</v>
      </c>
      <c r="R64" s="128"/>
      <c r="S64" s="145">
        <f t="shared" ref="S64:AB64" si="168">S19/S36</f>
        <v>15.564233795004895</v>
      </c>
      <c r="T64" s="145">
        <f t="shared" si="168"/>
        <v>14.267214312087823</v>
      </c>
      <c r="U64" s="145">
        <f t="shared" si="168"/>
        <v>13.078279786080506</v>
      </c>
      <c r="V64" s="145">
        <f t="shared" si="168"/>
        <v>11.988423137240465</v>
      </c>
      <c r="W64" s="145">
        <f t="shared" si="168"/>
        <v>10.989387875803759</v>
      </c>
      <c r="X64" s="145">
        <f t="shared" si="168"/>
        <v>10.073605552820116</v>
      </c>
      <c r="Y64" s="145">
        <f t="shared" si="168"/>
        <v>9.2341384234184396</v>
      </c>
      <c r="Z64" s="145">
        <f t="shared" si="168"/>
        <v>8.4646268881335693</v>
      </c>
      <c r="AA64" s="145">
        <f t="shared" si="168"/>
        <v>7.7592413141224412</v>
      </c>
      <c r="AB64" s="145">
        <f t="shared" si="168"/>
        <v>7.1126378712789045</v>
      </c>
      <c r="AC64" s="138">
        <f t="shared" si="162"/>
        <v>-0.11567712791004769</v>
      </c>
      <c r="AD64" s="31">
        <v>0.08</v>
      </c>
      <c r="AE64" s="145">
        <f>(AB64*(1+AC64))/($C$1-AD64)</f>
        <v>89.855262149501797</v>
      </c>
    </row>
    <row r="65" spans="2:31" x14ac:dyDescent="0.2">
      <c r="B65" s="20" t="s">
        <v>288</v>
      </c>
      <c r="C65" s="127">
        <f t="shared" ref="C65:P65" si="169">C20/C36</f>
        <v>0</v>
      </c>
      <c r="D65" s="127">
        <f t="shared" si="169"/>
        <v>0</v>
      </c>
      <c r="E65" s="127">
        <f t="shared" si="169"/>
        <v>0</v>
      </c>
      <c r="F65" s="143">
        <f t="shared" si="169"/>
        <v>-40.806399999999996</v>
      </c>
      <c r="G65" s="143">
        <f t="shared" si="169"/>
        <v>-29.913599999999999</v>
      </c>
      <c r="H65" s="143">
        <f t="shared" si="169"/>
        <v>-7.7825211633153035</v>
      </c>
      <c r="I65" s="143">
        <f t="shared" si="169"/>
        <v>-3.29031945084532</v>
      </c>
      <c r="J65" s="143">
        <f t="shared" si="169"/>
        <v>-3.8142479443083417</v>
      </c>
      <c r="K65" s="143">
        <f t="shared" si="169"/>
        <v>-7.5229825114609365</v>
      </c>
      <c r="L65" s="143">
        <f t="shared" si="169"/>
        <v>-9.0959807892885731</v>
      </c>
      <c r="M65" s="143">
        <f t="shared" si="169"/>
        <v>-12.730734712688287</v>
      </c>
      <c r="N65" s="143">
        <f t="shared" si="169"/>
        <v>-9.2876027845829192</v>
      </c>
      <c r="O65" s="143">
        <f t="shared" si="169"/>
        <v>-13.384432532078494</v>
      </c>
      <c r="P65" s="143">
        <f t="shared" si="169"/>
        <v>-14.553569262861718</v>
      </c>
      <c r="Q65" s="118">
        <f>((P65/G65)^(1/($H$2-$H$1) ))-1</f>
        <v>-7.6932572640826424E-2</v>
      </c>
      <c r="R65" s="128"/>
      <c r="S65" s="145">
        <f t="shared" ref="S65:AB65" si="170">S20/S36</f>
        <v>-13.340771824289911</v>
      </c>
      <c r="T65" s="145">
        <f t="shared" si="170"/>
        <v>-12.22904083893242</v>
      </c>
      <c r="U65" s="145">
        <f t="shared" si="170"/>
        <v>-11.20995410235472</v>
      </c>
      <c r="V65" s="145">
        <f t="shared" si="170"/>
        <v>-10.275791260491827</v>
      </c>
      <c r="W65" s="145">
        <f t="shared" si="170"/>
        <v>-9.419475322117508</v>
      </c>
      <c r="X65" s="145">
        <f t="shared" si="170"/>
        <v>-8.6345190452743843</v>
      </c>
      <c r="Y65" s="145">
        <f t="shared" si="170"/>
        <v>-7.9149757915015186</v>
      </c>
      <c r="Z65" s="145">
        <f t="shared" si="170"/>
        <v>-7.2553944755430599</v>
      </c>
      <c r="AA65" s="145">
        <f t="shared" si="170"/>
        <v>-6.650778269247807</v>
      </c>
      <c r="AB65" s="145">
        <f t="shared" si="170"/>
        <v>-6.0965467468104899</v>
      </c>
      <c r="AC65" s="138">
        <f t="shared" si="162"/>
        <v>-8.0306945658835449E-2</v>
      </c>
      <c r="AD65" s="31">
        <v>0.08</v>
      </c>
      <c r="AE65" s="145">
        <f>(AB65*(1+AC65))/($C$1-AD65)</f>
        <v>-80.099309978683294</v>
      </c>
    </row>
    <row r="66" spans="2:31" x14ac:dyDescent="0.2">
      <c r="B66" s="20" t="s">
        <v>289</v>
      </c>
      <c r="C66" s="127">
        <f t="shared" ref="C66:P66" si="171">C21/C36</f>
        <v>0</v>
      </c>
      <c r="D66" s="127">
        <f t="shared" si="171"/>
        <v>0</v>
      </c>
      <c r="E66" s="127">
        <f t="shared" si="171"/>
        <v>0</v>
      </c>
      <c r="F66" s="143">
        <f t="shared" si="171"/>
        <v>-6.7584</v>
      </c>
      <c r="G66" s="143">
        <f t="shared" si="171"/>
        <v>10.7264</v>
      </c>
      <c r="H66" s="143">
        <f t="shared" si="171"/>
        <v>0.9860043175588814</v>
      </c>
      <c r="I66" s="143">
        <f t="shared" si="171"/>
        <v>-1.3328643849904189</v>
      </c>
      <c r="J66" s="143">
        <f t="shared" si="171"/>
        <v>-9.2172605331457547E-2</v>
      </c>
      <c r="K66" s="143">
        <f t="shared" si="171"/>
        <v>-2.8476483857666093</v>
      </c>
      <c r="L66" s="143">
        <f t="shared" si="171"/>
        <v>-1.0296650253474664</v>
      </c>
      <c r="M66" s="143">
        <f t="shared" si="171"/>
        <v>-2.3140175127950129</v>
      </c>
      <c r="N66" s="143">
        <f t="shared" si="171"/>
        <v>-2.0738836199577948</v>
      </c>
      <c r="O66" s="143">
        <f t="shared" si="171"/>
        <v>-3.4698134717539477</v>
      </c>
      <c r="P66" s="143">
        <f t="shared" si="171"/>
        <v>-3.0319935964295244</v>
      </c>
      <c r="Q66" s="118">
        <f>((P66/G66)^(1/($H$2-$H$1) ))-1</f>
        <v>-1.8690214111499635</v>
      </c>
      <c r="R66" s="128"/>
      <c r="S66" s="145">
        <f t="shared" ref="S66:AB66" si="172">S21/S36</f>
        <v>-2.7793274633937308</v>
      </c>
      <c r="T66" s="145">
        <f t="shared" si="172"/>
        <v>-2.5477168414442537</v>
      </c>
      <c r="U66" s="145">
        <f t="shared" si="172"/>
        <v>-2.3354071046572331</v>
      </c>
      <c r="V66" s="145">
        <f t="shared" si="172"/>
        <v>-2.1407898459357972</v>
      </c>
      <c r="W66" s="145">
        <f t="shared" si="172"/>
        <v>-1.9623906921078142</v>
      </c>
      <c r="X66" s="145">
        <f t="shared" si="172"/>
        <v>-1.7988581344321635</v>
      </c>
      <c r="Y66" s="145">
        <f t="shared" si="172"/>
        <v>-1.6489532898961499</v>
      </c>
      <c r="Z66" s="145">
        <f t="shared" si="172"/>
        <v>-1.5115405157381376</v>
      </c>
      <c r="AA66" s="145">
        <f t="shared" si="172"/>
        <v>-1.3855788060932932</v>
      </c>
      <c r="AB66" s="145">
        <f t="shared" si="172"/>
        <v>-1.2701139055855188</v>
      </c>
      <c r="AC66" s="138">
        <f t="shared" si="162"/>
        <v>-1.8937807223829575</v>
      </c>
      <c r="AD66" s="31">
        <v>0.08</v>
      </c>
      <c r="AE66" s="145">
        <f>(AB66*(1+AC66))/($C$1-AD66)</f>
        <v>16.217190343469493</v>
      </c>
    </row>
    <row r="67" spans="2:31" x14ac:dyDescent="0.2">
      <c r="B67" s="20" t="s">
        <v>295</v>
      </c>
      <c r="C67" s="127">
        <f t="shared" ref="C67:P67" si="173">C22/C36</f>
        <v>0</v>
      </c>
      <c r="D67" s="127">
        <f t="shared" si="173"/>
        <v>0</v>
      </c>
      <c r="E67" s="127">
        <f t="shared" si="173"/>
        <v>0</v>
      </c>
      <c r="F67" s="143">
        <f t="shared" si="173"/>
        <v>30.5792</v>
      </c>
      <c r="G67" s="143">
        <f t="shared" si="173"/>
        <v>84.927999999999997</v>
      </c>
      <c r="H67" s="143">
        <f t="shared" si="173"/>
        <v>7.3713828316394601</v>
      </c>
      <c r="I67" s="143">
        <f t="shared" si="173"/>
        <v>10.273607102141801</v>
      </c>
      <c r="J67" s="143">
        <f t="shared" si="173"/>
        <v>16.147185097145076</v>
      </c>
      <c r="K67" s="143">
        <f t="shared" si="173"/>
        <v>18.110704150192834</v>
      </c>
      <c r="L67" s="143">
        <f t="shared" si="173"/>
        <v>19.733427123001917</v>
      </c>
      <c r="M67" s="143">
        <f t="shared" si="173"/>
        <v>17.535838164309798</v>
      </c>
      <c r="N67" s="143">
        <f t="shared" si="173"/>
        <v>19.629126543284741</v>
      </c>
      <c r="O67" s="143">
        <f t="shared" si="173"/>
        <v>19.58182744318044</v>
      </c>
      <c r="P67" s="143">
        <f t="shared" si="173"/>
        <v>20.617556455720766</v>
      </c>
      <c r="Q67" s="118">
        <f>((P67/G67)^(1/($H$2-$H$1) ))-1</f>
        <v>-0.14554859905614637</v>
      </c>
      <c r="R67" s="128"/>
      <c r="S67" s="145">
        <f t="shared" ref="S67:AB67" si="174">S22/S36</f>
        <v>18.899426751077371</v>
      </c>
      <c r="T67" s="145">
        <f t="shared" si="174"/>
        <v>17.324474521820925</v>
      </c>
      <c r="U67" s="145">
        <f t="shared" si="174"/>
        <v>15.880768311669183</v>
      </c>
      <c r="V67" s="145">
        <f t="shared" si="174"/>
        <v>14.557370952363417</v>
      </c>
      <c r="W67" s="145">
        <f t="shared" si="174"/>
        <v>13.344256706333132</v>
      </c>
      <c r="X67" s="145">
        <f t="shared" si="174"/>
        <v>12.232235314138707</v>
      </c>
      <c r="Y67" s="145">
        <f t="shared" si="174"/>
        <v>11.212882371293816</v>
      </c>
      <c r="Z67" s="145">
        <f t="shared" si="174"/>
        <v>10.278475507019333</v>
      </c>
      <c r="AA67" s="145">
        <f t="shared" si="174"/>
        <v>9.4219358814343899</v>
      </c>
      <c r="AB67" s="145">
        <f t="shared" si="174"/>
        <v>8.6367745579815249</v>
      </c>
      <c r="AC67" s="138">
        <f t="shared" ref="AC67" si="175">((AB67/G67)^(1/($AB$3-$H$1) ))-1</f>
        <v>-0.11334908268134236</v>
      </c>
      <c r="AD67" s="31">
        <v>0.08</v>
      </c>
      <c r="AE67" s="145">
        <f>(AB67*(1+AC67))/($C$1-AD67)</f>
        <v>109.39720120726805</v>
      </c>
    </row>
    <row r="68" spans="2:31" x14ac:dyDescent="0.2">
      <c r="B68" s="20"/>
      <c r="C68" s="127"/>
      <c r="D68" s="127"/>
      <c r="E68" s="127"/>
      <c r="F68" s="143"/>
      <c r="G68" s="143"/>
      <c r="H68" s="143"/>
      <c r="I68" s="143"/>
      <c r="J68" s="143"/>
      <c r="K68" s="143"/>
      <c r="L68" s="143"/>
      <c r="M68" s="143"/>
      <c r="N68" s="143"/>
      <c r="O68" s="143"/>
      <c r="P68" s="143"/>
      <c r="Q68" s="128"/>
      <c r="R68" s="128"/>
      <c r="S68" s="119"/>
      <c r="T68" s="119"/>
      <c r="U68" s="119"/>
      <c r="V68" s="119"/>
      <c r="W68" s="119"/>
      <c r="X68" s="119"/>
      <c r="Y68" s="119"/>
      <c r="Z68" s="119"/>
      <c r="AA68" s="119"/>
      <c r="AB68" s="119"/>
      <c r="AC68" s="139"/>
      <c r="AD68" s="20"/>
      <c r="AE68" s="153"/>
    </row>
    <row r="69" spans="2:31" x14ac:dyDescent="0.2">
      <c r="B69" s="20" t="s">
        <v>313</v>
      </c>
      <c r="C69" s="143">
        <f t="shared" ref="C69:O69" si="176">C32/C36</f>
        <v>0</v>
      </c>
      <c r="D69" s="143">
        <f t="shared" si="176"/>
        <v>0</v>
      </c>
      <c r="E69" s="143">
        <f t="shared" si="176"/>
        <v>0</v>
      </c>
      <c r="F69" s="143">
        <f t="shared" si="176"/>
        <v>71.065600000000003</v>
      </c>
      <c r="G69" s="143">
        <f t="shared" si="176"/>
        <v>66.892799999999994</v>
      </c>
      <c r="H69" s="143">
        <f t="shared" si="176"/>
        <v>9.0438304994299852</v>
      </c>
      <c r="I69" s="143">
        <f t="shared" si="176"/>
        <v>9.8697455550973885</v>
      </c>
      <c r="J69" s="143">
        <f t="shared" si="176"/>
        <v>12.434812137676765</v>
      </c>
      <c r="K69" s="143">
        <f t="shared" si="176"/>
        <v>14.262497877604483</v>
      </c>
      <c r="L69" s="143">
        <f t="shared" si="176"/>
        <v>13.053338831348389</v>
      </c>
      <c r="M69" s="143">
        <f t="shared" si="176"/>
        <v>17.926358939529919</v>
      </c>
      <c r="N69" s="143">
        <f t="shared" si="176"/>
        <v>18.962087952070245</v>
      </c>
      <c r="O69" s="143">
        <f t="shared" si="176"/>
        <v>18.343561258398623</v>
      </c>
      <c r="P69" s="143">
        <f>P32/P36</f>
        <v>21.252092075581537</v>
      </c>
      <c r="Q69" s="118">
        <f>((P69/G69)^(1/($H$2-$H$1) ))-1</f>
        <v>-0.11962207163652161</v>
      </c>
      <c r="R69" s="128"/>
      <c r="S69" s="143">
        <f>S32/S36</f>
        <v>19.481084402616414</v>
      </c>
      <c r="T69" s="143">
        <f t="shared" ref="T69:AB69" si="177">T32/T36</f>
        <v>17.857660702398384</v>
      </c>
      <c r="U69" s="143">
        <f t="shared" si="177"/>
        <v>16.369522310531853</v>
      </c>
      <c r="V69" s="143">
        <f t="shared" si="177"/>
        <v>15.005395451320865</v>
      </c>
      <c r="W69" s="143">
        <f t="shared" si="177"/>
        <v>13.754945830377462</v>
      </c>
      <c r="X69" s="143">
        <f t="shared" si="177"/>
        <v>12.608700344512675</v>
      </c>
      <c r="Y69" s="143">
        <f t="shared" si="177"/>
        <v>11.557975315803287</v>
      </c>
      <c r="Z69" s="143">
        <f t="shared" si="177"/>
        <v>10.594810706153012</v>
      </c>
      <c r="AA69" s="143">
        <f t="shared" si="177"/>
        <v>9.7119098139735964</v>
      </c>
      <c r="AB69" s="143">
        <f t="shared" si="177"/>
        <v>8.9025839961424644</v>
      </c>
      <c r="AC69" s="138">
        <f t="shared" ref="AC69:AC71" si="178">((AB69/G69)^(1/($AB$3-$H$1) ))-1</f>
        <v>-0.10070551134829853</v>
      </c>
      <c r="AD69" s="31">
        <v>0.08</v>
      </c>
      <c r="AE69" s="145">
        <f>(AB69*(1+AC69))/($C$1-AD69)</f>
        <v>114.37206746413941</v>
      </c>
    </row>
    <row r="70" spans="2:31" x14ac:dyDescent="0.2">
      <c r="B70" s="20" t="s">
        <v>314</v>
      </c>
      <c r="C70" s="143">
        <f t="shared" ref="C70:O70" si="179">C34/C36</f>
        <v>0</v>
      </c>
      <c r="D70" s="143">
        <f t="shared" si="179"/>
        <v>0</v>
      </c>
      <c r="E70" s="143">
        <f t="shared" si="179"/>
        <v>0</v>
      </c>
      <c r="F70" s="143">
        <f t="shared" si="179"/>
        <v>46.169600000000003</v>
      </c>
      <c r="G70" s="143">
        <f t="shared" si="179"/>
        <v>67.328000000000003</v>
      </c>
      <c r="H70" s="143">
        <f t="shared" si="179"/>
        <v>7.0681834719965071</v>
      </c>
      <c r="I70" s="143">
        <f t="shared" si="179"/>
        <v>7.0827370412593691</v>
      </c>
      <c r="J70" s="143">
        <f t="shared" si="179"/>
        <v>8.3658767312683437</v>
      </c>
      <c r="K70" s="143">
        <f t="shared" si="179"/>
        <v>9.0583840686928472</v>
      </c>
      <c r="L70" s="143">
        <f t="shared" si="179"/>
        <v>9.8139568729230842</v>
      </c>
      <c r="M70" s="143">
        <f t="shared" si="179"/>
        <v>10.717490964659083</v>
      </c>
      <c r="N70" s="143">
        <f t="shared" si="179"/>
        <v>11.337230455769278</v>
      </c>
      <c r="O70" s="143">
        <f t="shared" si="179"/>
        <v>11.902394062143742</v>
      </c>
      <c r="P70" s="143">
        <f>P34/P36</f>
        <v>15.264535377301282</v>
      </c>
      <c r="Q70" s="118">
        <f>((P70/G70)^(1/($H$2-$H$1) ))-1</f>
        <v>-0.15201622683010707</v>
      </c>
      <c r="R70" s="128"/>
      <c r="S70" s="143">
        <f>S34/S36</f>
        <v>13.992490762526179</v>
      </c>
      <c r="T70" s="143">
        <f t="shared" ref="T70:AB70" si="180">T34/T36</f>
        <v>12.826449865648998</v>
      </c>
      <c r="U70" s="143">
        <f t="shared" si="180"/>
        <v>11.757579043511582</v>
      </c>
      <c r="V70" s="143">
        <f t="shared" si="180"/>
        <v>10.777780789885618</v>
      </c>
      <c r="W70" s="143">
        <f t="shared" si="180"/>
        <v>9.8796323907284851</v>
      </c>
      <c r="X70" s="143">
        <f t="shared" si="180"/>
        <v>9.0563296915011122</v>
      </c>
      <c r="Y70" s="143">
        <f t="shared" si="180"/>
        <v>8.301635550542688</v>
      </c>
      <c r="Z70" s="143">
        <f t="shared" si="180"/>
        <v>7.6098325879974649</v>
      </c>
      <c r="AA70" s="143">
        <f t="shared" si="180"/>
        <v>6.9756798723310105</v>
      </c>
      <c r="AB70" s="143">
        <f t="shared" si="180"/>
        <v>6.3943732163034275</v>
      </c>
      <c r="AC70" s="138">
        <f t="shared" si="178"/>
        <v>-0.11653450333746906</v>
      </c>
      <c r="AD70" s="31">
        <v>0.08</v>
      </c>
      <c r="AE70" s="145">
        <f>(AB70*(1+AC70))/($C$1-AD70)</f>
        <v>80.702972991244195</v>
      </c>
    </row>
    <row r="71" spans="2:31" x14ac:dyDescent="0.2">
      <c r="B71" s="20" t="s">
        <v>315</v>
      </c>
      <c r="C71" s="143">
        <f t="shared" ref="C71:O71" si="181">C6/C36</f>
        <v>0</v>
      </c>
      <c r="D71" s="143">
        <f t="shared" si="181"/>
        <v>0</v>
      </c>
      <c r="E71" s="143">
        <f t="shared" si="181"/>
        <v>0</v>
      </c>
      <c r="F71" s="143">
        <f t="shared" si="181"/>
        <v>303.36</v>
      </c>
      <c r="G71" s="143">
        <f t="shared" si="181"/>
        <v>359.88479999999998</v>
      </c>
      <c r="H71" s="143">
        <f t="shared" si="181"/>
        <v>40.703907633347079</v>
      </c>
      <c r="I71" s="143">
        <f t="shared" si="181"/>
        <v>44.576369854706869</v>
      </c>
      <c r="J71" s="143">
        <f t="shared" si="181"/>
        <v>49.078273946685428</v>
      </c>
      <c r="K71" s="143">
        <f t="shared" si="181"/>
        <v>54.111383316758435</v>
      </c>
      <c r="L71" s="143">
        <f t="shared" si="181"/>
        <v>59.623547675067314</v>
      </c>
      <c r="M71" s="143">
        <f t="shared" si="181"/>
        <v>65.561403934314896</v>
      </c>
      <c r="N71" s="143">
        <f t="shared" si="181"/>
        <v>72.567734736944246</v>
      </c>
      <c r="O71" s="143">
        <f t="shared" si="181"/>
        <v>80.235040143595214</v>
      </c>
      <c r="P71" s="143">
        <f>P6/P36</f>
        <v>88.528743299294163</v>
      </c>
      <c r="Q71" s="118">
        <f>((P71/G71)^(1/($H$2-$H$1) ))-1</f>
        <v>-0.14429408746241834</v>
      </c>
      <c r="R71" s="128"/>
      <c r="S71" s="143">
        <f>S6/S36</f>
        <v>81.151348024352998</v>
      </c>
      <c r="T71" s="143">
        <f t="shared" ref="T71:AB71" si="182">T6/T36</f>
        <v>74.388735688990266</v>
      </c>
      <c r="U71" s="143">
        <f t="shared" si="182"/>
        <v>68.189674381574406</v>
      </c>
      <c r="V71" s="143">
        <f t="shared" si="182"/>
        <v>62.507201516443217</v>
      </c>
      <c r="W71" s="143">
        <f t="shared" si="182"/>
        <v>57.298268056739609</v>
      </c>
      <c r="X71" s="143">
        <f t="shared" si="182"/>
        <v>52.523412385344656</v>
      </c>
      <c r="Y71" s="143">
        <f t="shared" si="182"/>
        <v>48.146461353232603</v>
      </c>
      <c r="Z71" s="143">
        <f t="shared" si="182"/>
        <v>44.134256240463223</v>
      </c>
      <c r="AA71" s="143">
        <f t="shared" si="182"/>
        <v>40.456401553757964</v>
      </c>
      <c r="AB71" s="143">
        <f t="shared" si="182"/>
        <v>37.085034757611467</v>
      </c>
      <c r="AC71" s="138">
        <f t="shared" si="178"/>
        <v>-0.11273268473422071</v>
      </c>
      <c r="AD71" s="31">
        <v>0.08</v>
      </c>
      <c r="AE71" s="145">
        <f>(AB71*(1+AC71))/($C$1-AD71)</f>
        <v>470.06198894177197</v>
      </c>
    </row>
    <row r="72" spans="2:31" x14ac:dyDescent="0.2">
      <c r="B72" s="20"/>
      <c r="C72" s="127"/>
      <c r="D72" s="127"/>
      <c r="E72" s="127"/>
      <c r="F72" s="143"/>
      <c r="G72" s="143"/>
      <c r="H72" s="143"/>
      <c r="I72" s="143"/>
      <c r="J72" s="143"/>
      <c r="K72" s="143"/>
      <c r="L72" s="143"/>
      <c r="M72" s="143"/>
      <c r="N72" s="143"/>
      <c r="O72" s="143"/>
      <c r="P72" s="143"/>
      <c r="Q72" s="128"/>
      <c r="R72" s="128"/>
      <c r="S72" s="119"/>
      <c r="T72" s="119"/>
      <c r="U72" s="119"/>
      <c r="V72" s="119"/>
      <c r="W72" s="119"/>
      <c r="X72" s="119"/>
      <c r="Y72" s="119"/>
      <c r="Z72" s="119"/>
      <c r="AA72" s="119"/>
      <c r="AB72" s="119"/>
      <c r="AC72" s="139"/>
      <c r="AD72" s="20"/>
      <c r="AE72" s="153"/>
    </row>
    <row r="73" spans="2:31" x14ac:dyDescent="0.2">
      <c r="B73" s="20"/>
      <c r="C73" s="127"/>
      <c r="D73" s="127"/>
      <c r="E73" s="127"/>
      <c r="F73" s="143"/>
      <c r="G73" s="143"/>
      <c r="H73" s="143"/>
      <c r="I73" s="143"/>
      <c r="J73" s="143"/>
      <c r="K73" s="143"/>
      <c r="L73" s="143"/>
      <c r="M73" s="143"/>
      <c r="N73" s="143"/>
      <c r="O73" s="143"/>
      <c r="P73" s="143"/>
      <c r="Q73" s="128"/>
      <c r="R73" s="128"/>
      <c r="S73" s="119"/>
      <c r="T73" s="119"/>
      <c r="U73" s="119"/>
      <c r="V73" s="119"/>
      <c r="W73" s="119"/>
      <c r="X73" s="119"/>
      <c r="Y73" s="119"/>
      <c r="Z73" s="119"/>
      <c r="AA73" s="119"/>
      <c r="AB73" s="119"/>
      <c r="AC73" s="139"/>
      <c r="AD73" s="20"/>
      <c r="AE73" s="153"/>
    </row>
    <row r="74" spans="2:31" x14ac:dyDescent="0.2">
      <c r="B74" s="108" t="s">
        <v>312</v>
      </c>
      <c r="C74" s="20"/>
      <c r="D74" s="20"/>
      <c r="E74" s="20"/>
      <c r="F74" s="20"/>
      <c r="G74" s="20"/>
      <c r="H74" s="20"/>
      <c r="I74" s="20"/>
      <c r="J74" s="20"/>
      <c r="K74" s="20"/>
      <c r="L74" s="20"/>
      <c r="M74" s="20"/>
      <c r="N74" s="20"/>
      <c r="O74" s="20"/>
      <c r="P74" s="20"/>
      <c r="Q74" s="20"/>
      <c r="R74" s="20"/>
      <c r="S74" s="20"/>
      <c r="T74" s="20"/>
      <c r="U74" s="20"/>
      <c r="V74" s="20"/>
      <c r="W74" s="20"/>
      <c r="X74" s="20"/>
      <c r="Y74" s="20"/>
      <c r="Z74" s="20"/>
      <c r="AA74" s="20"/>
      <c r="AB74" s="20"/>
      <c r="AC74" s="20"/>
      <c r="AD74" s="20"/>
      <c r="AE74" s="20"/>
    </row>
    <row r="75" spans="2:31" x14ac:dyDescent="0.2">
      <c r="B75" s="20" t="s">
        <v>310</v>
      </c>
      <c r="C75" s="151" t="e">
        <f t="shared" ref="C75:O75" si="183">C32/C24</f>
        <v>#DIV/0!</v>
      </c>
      <c r="D75" s="151" t="e">
        <f t="shared" si="183"/>
        <v>#DIV/0!</v>
      </c>
      <c r="E75" s="151" t="e">
        <f t="shared" si="183"/>
        <v>#DIV/0!</v>
      </c>
      <c r="F75" s="151">
        <f t="shared" si="183"/>
        <v>0.28543519613387486</v>
      </c>
      <c r="G75" s="151">
        <f t="shared" si="183"/>
        <v>0.20922411722315637</v>
      </c>
      <c r="H75" s="151">
        <f t="shared" si="183"/>
        <v>0.28828236749526426</v>
      </c>
      <c r="I75" s="151">
        <f t="shared" si="183"/>
        <v>0.2696755807402989</v>
      </c>
      <c r="J75" s="151">
        <f t="shared" si="183"/>
        <v>0.27990717990717989</v>
      </c>
      <c r="K75" s="151">
        <f t="shared" si="183"/>
        <v>0.28291673683450813</v>
      </c>
      <c r="L75" s="151">
        <f t="shared" si="183"/>
        <v>0.22647027880063125</v>
      </c>
      <c r="M75" s="151">
        <f t="shared" si="183"/>
        <v>0.28862939602819709</v>
      </c>
      <c r="N75" s="151">
        <f t="shared" si="183"/>
        <v>0.26136306648167029</v>
      </c>
      <c r="O75" s="151">
        <f t="shared" si="183"/>
        <v>0.21974110502535196</v>
      </c>
      <c r="P75" s="151">
        <f>P32/P24</f>
        <v>0.24156340177712426</v>
      </c>
      <c r="Q75" s="118">
        <f>((P75/G75)^(1/($H$2-$H$1) ))-1</f>
        <v>1.6097746253011191E-2</v>
      </c>
      <c r="R75" s="151"/>
      <c r="S75" s="151">
        <f>S32/S24</f>
        <v>0.24156340177712429</v>
      </c>
      <c r="T75" s="151">
        <f t="shared" ref="T75:AB75" si="184">T32/T24</f>
        <v>0.24156340177712432</v>
      </c>
      <c r="U75" s="151">
        <f t="shared" si="184"/>
        <v>0.24156340177712432</v>
      </c>
      <c r="V75" s="151">
        <f t="shared" si="184"/>
        <v>0.24156340177712429</v>
      </c>
      <c r="W75" s="151">
        <f t="shared" si="184"/>
        <v>0.24156340177712429</v>
      </c>
      <c r="X75" s="151">
        <f t="shared" si="184"/>
        <v>0.24156340177712426</v>
      </c>
      <c r="Y75" s="151">
        <f t="shared" si="184"/>
        <v>0.24156340177712426</v>
      </c>
      <c r="Z75" s="151">
        <f t="shared" si="184"/>
        <v>0.24156340177712424</v>
      </c>
      <c r="AA75" s="151">
        <f t="shared" si="184"/>
        <v>0.24156340177712421</v>
      </c>
      <c r="AB75" s="151">
        <f t="shared" si="184"/>
        <v>0.24156340177712424</v>
      </c>
      <c r="AC75" s="138">
        <f t="shared" ref="AC75:AC77" si="185">((AB75/G75)^(1/($AB$3-$H$1) ))-1</f>
        <v>7.5932076749272159E-3</v>
      </c>
      <c r="AD75" s="145"/>
      <c r="AE75" s="145"/>
    </row>
    <row r="76" spans="2:31" x14ac:dyDescent="0.2">
      <c r="B76" s="20" t="s">
        <v>267</v>
      </c>
      <c r="C76" s="151" t="e">
        <f t="shared" ref="C76:O76" si="186">C34/C24</f>
        <v>#DIV/0!</v>
      </c>
      <c r="D76" s="151" t="e">
        <f t="shared" si="186"/>
        <v>#DIV/0!</v>
      </c>
      <c r="E76" s="151" t="e">
        <f t="shared" si="186"/>
        <v>#DIV/0!</v>
      </c>
      <c r="F76" s="151">
        <f t="shared" si="186"/>
        <v>0.18544033725772455</v>
      </c>
      <c r="G76" s="151">
        <f t="shared" si="186"/>
        <v>0.21058531507726799</v>
      </c>
      <c r="H76" s="151">
        <f t="shared" si="186"/>
        <v>0.22530637491784899</v>
      </c>
      <c r="I76" s="151">
        <f t="shared" si="186"/>
        <v>0.19352486993405574</v>
      </c>
      <c r="J76" s="151">
        <f t="shared" si="186"/>
        <v>0.18831558831558831</v>
      </c>
      <c r="K76" s="151">
        <f t="shared" si="186"/>
        <v>0.17968580845382154</v>
      </c>
      <c r="L76" s="151">
        <f t="shared" si="186"/>
        <v>0.17026827985270909</v>
      </c>
      <c r="M76" s="151">
        <f t="shared" si="186"/>
        <v>0.17256058268731328</v>
      </c>
      <c r="N76" s="151">
        <f t="shared" si="186"/>
        <v>0.15626619414586851</v>
      </c>
      <c r="O76" s="151">
        <f t="shared" si="186"/>
        <v>0.14258110444421845</v>
      </c>
      <c r="P76" s="151">
        <f>P34/P24</f>
        <v>0.17350541674553033</v>
      </c>
      <c r="Q76" s="118">
        <f>((P76/G76)^(1/($H$2-$H$1) ))-1</f>
        <v>-2.129031973946427E-2</v>
      </c>
      <c r="R76" s="151"/>
      <c r="S76" s="151">
        <f>S34/S24</f>
        <v>0.1735054167455303</v>
      </c>
      <c r="T76" s="151">
        <f t="shared" ref="T76:AB76" si="187">T34/T24</f>
        <v>0.1735054167455303</v>
      </c>
      <c r="U76" s="151">
        <f t="shared" si="187"/>
        <v>0.1735054167455303</v>
      </c>
      <c r="V76" s="151">
        <f t="shared" si="187"/>
        <v>0.1735054167455303</v>
      </c>
      <c r="W76" s="151">
        <f t="shared" si="187"/>
        <v>0.1735054167455303</v>
      </c>
      <c r="X76" s="151">
        <f t="shared" si="187"/>
        <v>0.1735054167455303</v>
      </c>
      <c r="Y76" s="151">
        <f t="shared" si="187"/>
        <v>0.1735054167455303</v>
      </c>
      <c r="Z76" s="151">
        <f t="shared" si="187"/>
        <v>0.1735054167455303</v>
      </c>
      <c r="AA76" s="151">
        <f t="shared" si="187"/>
        <v>0.17350541674553027</v>
      </c>
      <c r="AB76" s="151">
        <f t="shared" si="187"/>
        <v>0.1735054167455303</v>
      </c>
      <c r="AC76" s="138">
        <f t="shared" si="185"/>
        <v>-1.0142011448389554E-2</v>
      </c>
      <c r="AD76" s="145"/>
      <c r="AE76" s="145"/>
    </row>
    <row r="77" spans="2:31" x14ac:dyDescent="0.2">
      <c r="B77" s="20" t="s">
        <v>311</v>
      </c>
      <c r="C77" s="151" t="e">
        <f t="shared" ref="C77:O77" si="188">C34/C7</f>
        <v>#DIV/0!</v>
      </c>
      <c r="D77" s="151" t="e">
        <f t="shared" si="188"/>
        <v>#DIV/0!</v>
      </c>
      <c r="E77" s="151" t="e">
        <f t="shared" si="188"/>
        <v>#DIV/0!</v>
      </c>
      <c r="F77" s="151">
        <f t="shared" si="188"/>
        <v>0.11446433104848946</v>
      </c>
      <c r="G77" s="151">
        <f t="shared" si="188"/>
        <v>0.14640391894900914</v>
      </c>
      <c r="H77" s="151">
        <f t="shared" si="188"/>
        <v>0.139402492405578</v>
      </c>
      <c r="I77" s="151">
        <f t="shared" si="188"/>
        <v>0.12977777777777777</v>
      </c>
      <c r="J77" s="151">
        <f t="shared" si="188"/>
        <v>0.14160781737559533</v>
      </c>
      <c r="K77" s="151">
        <f t="shared" si="188"/>
        <v>0.14129242177745829</v>
      </c>
      <c r="L77" s="151">
        <f t="shared" si="188"/>
        <v>0.14095841970491405</v>
      </c>
      <c r="M77" s="151">
        <f t="shared" si="188"/>
        <v>0.14183907676997898</v>
      </c>
      <c r="N77" s="151">
        <f t="shared" si="188"/>
        <v>0.13730703133032712</v>
      </c>
      <c r="O77" s="151">
        <f t="shared" si="188"/>
        <v>0.13190505631569044</v>
      </c>
      <c r="P77" s="151">
        <f>P34/P7</f>
        <v>0.15492457929160108</v>
      </c>
      <c r="Q77" s="118">
        <f>((P77/G77)^(1/($H$2-$H$1) ))-1</f>
        <v>6.3052441473248066E-3</v>
      </c>
      <c r="R77" s="20"/>
      <c r="S77" s="151">
        <f>S34/S7</f>
        <v>0.15492457929160111</v>
      </c>
      <c r="T77" s="151">
        <f t="shared" ref="T77:AB77" si="189">T34/T7</f>
        <v>0.15492457929160108</v>
      </c>
      <c r="U77" s="151">
        <f t="shared" si="189"/>
        <v>0.15492457929160108</v>
      </c>
      <c r="V77" s="151">
        <f t="shared" si="189"/>
        <v>0.15492457929160111</v>
      </c>
      <c r="W77" s="151">
        <f t="shared" si="189"/>
        <v>0.15492457929160111</v>
      </c>
      <c r="X77" s="151">
        <f t="shared" si="189"/>
        <v>0.15492457929160111</v>
      </c>
      <c r="Y77" s="151">
        <f t="shared" si="189"/>
        <v>0.15492457929160111</v>
      </c>
      <c r="Z77" s="151">
        <f t="shared" si="189"/>
        <v>0.15492457929160111</v>
      </c>
      <c r="AA77" s="151">
        <f t="shared" si="189"/>
        <v>0.15492457929160111</v>
      </c>
      <c r="AB77" s="151">
        <f t="shared" si="189"/>
        <v>0.15492457929160111</v>
      </c>
      <c r="AC77" s="138">
        <f t="shared" si="185"/>
        <v>2.9817546837624942E-3</v>
      </c>
      <c r="AD77" s="145"/>
      <c r="AE77" s="145"/>
    </row>
    <row r="78" spans="2:31" x14ac:dyDescent="0.2">
      <c r="B78" s="20"/>
      <c r="C78" s="20"/>
      <c r="D78" s="20"/>
      <c r="E78" s="20"/>
      <c r="F78" s="20"/>
      <c r="G78" s="20"/>
      <c r="H78" s="20"/>
      <c r="I78" s="20"/>
      <c r="J78" s="20"/>
      <c r="K78" s="20"/>
      <c r="L78" s="20"/>
      <c r="M78" s="20"/>
      <c r="N78" s="20"/>
      <c r="O78" s="20"/>
      <c r="P78" s="20"/>
      <c r="Q78" s="20"/>
      <c r="R78" s="20"/>
      <c r="S78" s="20"/>
      <c r="T78" s="20"/>
      <c r="U78" s="20"/>
      <c r="V78" s="20"/>
      <c r="W78" s="20"/>
      <c r="X78" s="20"/>
      <c r="Y78" s="20"/>
      <c r="Z78" s="20"/>
      <c r="AA78" s="20"/>
      <c r="AB78" s="20"/>
      <c r="AC78" s="20"/>
      <c r="AD78" s="20"/>
      <c r="AE78" s="20"/>
    </row>
    <row r="79" spans="2:31" x14ac:dyDescent="0.2">
      <c r="B79" s="20"/>
      <c r="C79" s="20"/>
      <c r="D79" s="20"/>
      <c r="E79" s="20"/>
      <c r="F79" s="20"/>
      <c r="G79" s="20"/>
      <c r="H79" s="20"/>
      <c r="I79" s="20"/>
      <c r="J79" s="20"/>
      <c r="K79" s="20"/>
      <c r="L79" s="20"/>
      <c r="M79" s="20"/>
      <c r="N79" s="20"/>
      <c r="O79" s="20"/>
      <c r="P79" s="20"/>
      <c r="Q79" s="128"/>
      <c r="R79" s="128"/>
      <c r="S79" s="119"/>
      <c r="T79" s="119"/>
      <c r="U79" s="119"/>
      <c r="V79" s="119"/>
      <c r="W79" s="119"/>
      <c r="X79" s="119"/>
      <c r="Y79" s="119"/>
      <c r="Z79" s="119"/>
      <c r="AA79" s="119"/>
      <c r="AB79" s="119"/>
      <c r="AC79" s="139"/>
      <c r="AD79" s="20"/>
      <c r="AE79" s="20"/>
    </row>
    <row r="80" spans="2:31" x14ac:dyDescent="0.2">
      <c r="B80" s="108" t="s">
        <v>244</v>
      </c>
      <c r="C80" s="20"/>
      <c r="D80" s="20"/>
      <c r="E80" s="20"/>
      <c r="F80" s="20"/>
      <c r="G80" s="20"/>
      <c r="H80" s="20"/>
      <c r="I80" s="20"/>
      <c r="J80" s="20"/>
      <c r="K80" s="20"/>
      <c r="L80" s="20"/>
      <c r="M80" s="20"/>
      <c r="N80" s="20"/>
      <c r="O80" s="20"/>
      <c r="P80" s="20"/>
      <c r="Q80" s="23"/>
      <c r="R80" s="23"/>
      <c r="S80" s="122" t="s">
        <v>66</v>
      </c>
      <c r="T80" s="20"/>
      <c r="U80" s="20"/>
      <c r="V80" s="20"/>
      <c r="W80" s="20"/>
      <c r="X80" s="20"/>
      <c r="Y80" s="20"/>
      <c r="Z80" s="20"/>
      <c r="AA80" s="20"/>
      <c r="AB80" s="20"/>
      <c r="AC80" s="137"/>
      <c r="AD80" s="20"/>
      <c r="AE80" s="20"/>
    </row>
    <row r="81" spans="2:31" x14ac:dyDescent="0.2">
      <c r="B81" s="23" t="s">
        <v>281</v>
      </c>
      <c r="C81" s="20"/>
      <c r="D81" s="20"/>
      <c r="E81" s="20"/>
      <c r="F81" s="20"/>
      <c r="G81" s="20"/>
      <c r="H81" s="20"/>
      <c r="I81" s="20"/>
      <c r="J81" s="20"/>
      <c r="K81" s="20"/>
      <c r="L81" s="20"/>
      <c r="M81" s="20"/>
      <c r="N81" s="20"/>
      <c r="O81" s="20"/>
      <c r="P81" s="25"/>
      <c r="Q81" s="161">
        <f>AVERAGE(G44:P44)</f>
        <v>15.793878904601353</v>
      </c>
      <c r="R81" s="23"/>
      <c r="S81" s="134"/>
      <c r="T81" s="20"/>
      <c r="U81" s="20"/>
      <c r="V81" s="20"/>
      <c r="W81" s="20"/>
      <c r="X81" s="20"/>
      <c r="Y81" s="20"/>
      <c r="Z81" s="20"/>
      <c r="AA81" s="20"/>
      <c r="AB81" s="20"/>
      <c r="AC81" s="137"/>
      <c r="AD81" s="20"/>
      <c r="AE81" s="20"/>
    </row>
    <row r="82" spans="2:31" x14ac:dyDescent="0.2">
      <c r="B82" s="20" t="s">
        <v>25</v>
      </c>
      <c r="C82" s="20"/>
      <c r="D82" s="20"/>
      <c r="E82" s="20"/>
      <c r="F82" s="20"/>
      <c r="G82" s="20"/>
      <c r="H82" s="20"/>
      <c r="I82" s="20"/>
      <c r="J82" s="20"/>
      <c r="K82" s="20"/>
      <c r="L82" s="20"/>
      <c r="M82" s="20"/>
      <c r="N82" s="20"/>
      <c r="O82" s="20"/>
      <c r="P82" s="20"/>
      <c r="Q82" s="20"/>
      <c r="R82" s="140">
        <f>S82+T82</f>
        <v>24.758501715253125</v>
      </c>
      <c r="S82" s="133">
        <f>PV($C$1, ($AB$3-$S$3), 0, -AB44)</f>
        <v>1.8176799539513167</v>
      </c>
      <c r="T82" s="133">
        <f>PV($C$1, ($AB$3-$S$3), 0, -AE44)</f>
        <v>22.940821761301809</v>
      </c>
      <c r="U82" s="20"/>
      <c r="V82" s="20"/>
      <c r="W82" s="20"/>
      <c r="X82" s="20"/>
      <c r="Y82" s="20"/>
      <c r="Z82" s="20"/>
      <c r="AA82" s="20"/>
      <c r="AB82" s="20"/>
      <c r="AC82" s="137"/>
      <c r="AD82" s="20"/>
      <c r="AE82" s="20"/>
    </row>
    <row r="83" spans="2:31" x14ac:dyDescent="0.2">
      <c r="B83" s="20" t="s">
        <v>273</v>
      </c>
      <c r="C83" s="20"/>
      <c r="D83" s="20"/>
      <c r="E83" s="20"/>
      <c r="F83" s="20"/>
      <c r="G83" s="20"/>
      <c r="H83" s="20"/>
      <c r="I83" s="20"/>
      <c r="J83" s="20"/>
      <c r="K83" s="20"/>
      <c r="L83" s="20"/>
      <c r="M83" s="20"/>
      <c r="N83" s="20"/>
      <c r="O83" s="20"/>
      <c r="P83" s="20"/>
      <c r="Q83" s="20"/>
      <c r="R83" s="140">
        <f t="shared" ref="R83:R101" si="190">S83+T83</f>
        <v>159.36981260630299</v>
      </c>
      <c r="S83" s="133">
        <f>PV($C$1, ($AB$3-$S$3), 0, -AB45)</f>
        <v>11.732676391717387</v>
      </c>
      <c r="T83" s="133">
        <f>PV($C$1, ($AB$3-$S$3), 0, -AE45)</f>
        <v>147.63713621458561</v>
      </c>
      <c r="U83" s="20"/>
      <c r="V83" s="20"/>
      <c r="W83" s="20"/>
      <c r="X83" s="20"/>
      <c r="Y83" s="20"/>
      <c r="Z83" s="20"/>
      <c r="AA83" s="20"/>
      <c r="AB83" s="20"/>
      <c r="AC83" s="137"/>
      <c r="AD83" s="20"/>
      <c r="AE83" s="20"/>
    </row>
    <row r="84" spans="2:31" x14ac:dyDescent="0.2">
      <c r="B84" s="20" t="s">
        <v>274</v>
      </c>
      <c r="C84" s="20"/>
      <c r="D84" s="20"/>
      <c r="E84" s="20"/>
      <c r="F84" s="20"/>
      <c r="G84" s="20"/>
      <c r="H84" s="20"/>
      <c r="I84" s="20"/>
      <c r="J84" s="20"/>
      <c r="K84" s="20"/>
      <c r="L84" s="20"/>
      <c r="M84" s="20"/>
      <c r="N84" s="20"/>
      <c r="O84" s="20"/>
      <c r="P84" s="20"/>
      <c r="Q84" s="20"/>
      <c r="R84" s="140">
        <f t="shared" si="190"/>
        <v>144.1628362157677</v>
      </c>
      <c r="S84" s="133">
        <f>PV($C$1, ($AB$3-$S$3), 0, -AB46)</f>
        <v>10.541881430791276</v>
      </c>
      <c r="T84" s="133">
        <f>PV($C$1, ($AB$3-$S$3), 0, -AE46)</f>
        <v>133.62095478497642</v>
      </c>
      <c r="U84" s="20"/>
      <c r="V84" s="20"/>
      <c r="W84" s="20"/>
      <c r="X84" s="20"/>
      <c r="Y84" s="20"/>
      <c r="Z84" s="20"/>
      <c r="AA84" s="20"/>
      <c r="AB84" s="20"/>
      <c r="AC84" s="137"/>
      <c r="AD84" s="20"/>
      <c r="AE84" s="20"/>
    </row>
    <row r="85" spans="2:31" x14ac:dyDescent="0.2">
      <c r="B85" s="20" t="s">
        <v>275</v>
      </c>
      <c r="C85" s="20"/>
      <c r="D85" s="20"/>
      <c r="E85" s="20"/>
      <c r="F85" s="20"/>
      <c r="G85" s="20"/>
      <c r="H85" s="20"/>
      <c r="I85" s="20"/>
      <c r="J85" s="20"/>
      <c r="K85" s="20"/>
      <c r="L85" s="20"/>
      <c r="M85" s="20"/>
      <c r="N85" s="20"/>
      <c r="O85" s="20"/>
      <c r="P85" s="20"/>
      <c r="Q85" s="20"/>
      <c r="R85" s="140">
        <f t="shared" si="190"/>
        <v>135.1886828996002</v>
      </c>
      <c r="S85" s="133">
        <f>PV($C$1, ($AB$3-$S$3), 0, -AB47)</f>
        <v>9.6473605239919102</v>
      </c>
      <c r="T85" s="133">
        <f>PV($C$1, ($AB$3-$S$3), 0, -AE47)</f>
        <v>125.54132237560827</v>
      </c>
      <c r="U85" s="20"/>
      <c r="V85" s="20"/>
      <c r="W85" s="20"/>
      <c r="X85" s="20"/>
      <c r="Y85" s="20"/>
      <c r="Z85" s="20"/>
      <c r="AA85" s="20"/>
      <c r="AB85" s="20"/>
      <c r="AC85" s="137"/>
      <c r="AD85" s="20"/>
      <c r="AE85" s="20"/>
    </row>
    <row r="86" spans="2:31" x14ac:dyDescent="0.2">
      <c r="B86" s="20" t="s">
        <v>276</v>
      </c>
      <c r="C86" s="20"/>
      <c r="D86" s="20"/>
      <c r="E86" s="20"/>
      <c r="F86" s="20"/>
      <c r="G86" s="20"/>
      <c r="H86" s="20"/>
      <c r="I86" s="20"/>
      <c r="J86" s="20"/>
      <c r="K86" s="20"/>
      <c r="L86" s="20"/>
      <c r="M86" s="20"/>
      <c r="N86" s="20"/>
      <c r="O86" s="20"/>
      <c r="P86" s="20"/>
      <c r="Q86" s="20"/>
      <c r="R86" s="140">
        <f t="shared" si="190"/>
        <v>41.773891962852367</v>
      </c>
      <c r="S86" s="133">
        <f>PV($C$1, ($AB$3-$S$3), 0, -AB53)</f>
        <v>2.7061266288634909</v>
      </c>
      <c r="T86" s="133">
        <f>PV($C$1, ($AB$3-$S$3), 0, -AE53)</f>
        <v>39.067765333988874</v>
      </c>
      <c r="U86" s="20"/>
      <c r="V86" s="20"/>
      <c r="W86" s="20"/>
      <c r="X86" s="20"/>
      <c r="Y86" s="20"/>
      <c r="Z86" s="20"/>
      <c r="AA86" s="20"/>
      <c r="AB86" s="20"/>
      <c r="AC86" s="137"/>
      <c r="AD86" s="20"/>
      <c r="AE86" s="20"/>
    </row>
    <row r="87" spans="2:31" x14ac:dyDescent="0.2">
      <c r="B87" s="20"/>
      <c r="C87" s="20"/>
      <c r="D87" s="20"/>
      <c r="E87" s="20"/>
      <c r="F87" s="20"/>
      <c r="G87" s="20"/>
      <c r="H87" s="20"/>
      <c r="I87" s="20"/>
      <c r="J87" s="20"/>
      <c r="K87" s="20"/>
      <c r="L87" s="20"/>
      <c r="M87" s="20"/>
      <c r="N87" s="20"/>
      <c r="O87" s="20"/>
      <c r="P87" s="20"/>
      <c r="Q87" s="20"/>
      <c r="R87" s="140"/>
      <c r="S87" s="133"/>
      <c r="T87" s="20"/>
      <c r="U87" s="20"/>
      <c r="V87" s="20"/>
      <c r="W87" s="20"/>
      <c r="X87" s="20"/>
      <c r="Y87" s="20"/>
      <c r="Z87" s="20"/>
      <c r="AA87" s="20"/>
      <c r="AB87" s="20"/>
      <c r="AC87" s="137"/>
      <c r="AD87" s="20"/>
      <c r="AE87" s="20"/>
    </row>
    <row r="88" spans="2:31" x14ac:dyDescent="0.2">
      <c r="B88" s="20" t="s">
        <v>271</v>
      </c>
      <c r="C88" s="20"/>
      <c r="D88" s="20"/>
      <c r="E88" s="20"/>
      <c r="F88" s="20"/>
      <c r="G88" s="20"/>
      <c r="H88" s="20"/>
      <c r="I88" s="20"/>
      <c r="J88" s="20"/>
      <c r="K88" s="20"/>
      <c r="L88" s="20"/>
      <c r="M88" s="20"/>
      <c r="N88" s="20"/>
      <c r="O88" s="20"/>
      <c r="P88" s="20"/>
      <c r="Q88" s="20"/>
      <c r="R88" s="140">
        <f t="shared" si="190"/>
        <v>26.774970283100735</v>
      </c>
      <c r="S88" s="133">
        <f>PV($C$1, ($AB$3-$S$3), 0, -AB49)</f>
        <v>2.0853158677254759</v>
      </c>
      <c r="T88" s="133">
        <f>PV($C$1, ($AB$3-$S$3), 0, -$AE$49)</f>
        <v>24.689654415375259</v>
      </c>
      <c r="U88" s="20"/>
      <c r="V88" s="20"/>
      <c r="W88" s="20"/>
      <c r="X88" s="20"/>
      <c r="Y88" s="20"/>
      <c r="Z88" s="20"/>
      <c r="AA88" s="20"/>
      <c r="AB88" s="20"/>
      <c r="AC88" s="137"/>
      <c r="AD88" s="20"/>
      <c r="AE88" s="20"/>
    </row>
    <row r="89" spans="2:31" x14ac:dyDescent="0.2">
      <c r="B89" s="20" t="s">
        <v>272</v>
      </c>
      <c r="C89" s="20"/>
      <c r="D89" s="20"/>
      <c r="E89" s="20"/>
      <c r="F89" s="20"/>
      <c r="G89" s="20"/>
      <c r="H89" s="20"/>
      <c r="I89" s="20"/>
      <c r="J89" s="20"/>
      <c r="K89" s="20"/>
      <c r="L89" s="20"/>
      <c r="M89" s="20"/>
      <c r="N89" s="20"/>
      <c r="O89" s="20"/>
      <c r="P89" s="20"/>
      <c r="Q89" s="20"/>
      <c r="R89" s="140">
        <f t="shared" si="190"/>
        <v>19.524821784151257</v>
      </c>
      <c r="S89" s="133">
        <f>PV($C$1, ($AB$3-$S$3), 0, -AB50)</f>
        <v>-1.7709967523932</v>
      </c>
      <c r="T89" s="133">
        <f>PV($C$1, ($AB$3-$S$3), 0, -$AE$50)</f>
        <v>21.295818536544456</v>
      </c>
      <c r="U89" s="20"/>
      <c r="V89" s="20"/>
      <c r="W89" s="20"/>
      <c r="X89" s="20"/>
      <c r="Y89" s="20"/>
      <c r="Z89" s="20"/>
      <c r="AA89" s="20"/>
      <c r="AB89" s="20"/>
      <c r="AC89" s="137"/>
      <c r="AD89" s="20"/>
      <c r="AE89" s="20"/>
    </row>
    <row r="90" spans="2:31" x14ac:dyDescent="0.2">
      <c r="B90" s="20" t="s">
        <v>277</v>
      </c>
      <c r="C90" s="20"/>
      <c r="D90" s="20"/>
      <c r="E90" s="20"/>
      <c r="F90" s="20"/>
      <c r="G90" s="20"/>
      <c r="H90" s="20"/>
      <c r="I90" s="20"/>
      <c r="J90" s="20"/>
      <c r="K90" s="20"/>
      <c r="L90" s="20"/>
      <c r="M90" s="20"/>
      <c r="N90" s="20"/>
      <c r="O90" s="20"/>
      <c r="P90" s="20"/>
      <c r="Q90" s="20"/>
      <c r="R90" s="140">
        <f t="shared" si="190"/>
        <v>61.88381179002706</v>
      </c>
      <c r="S90" s="133">
        <f>PV($C$1, ($AB$3-$S$3), 0, -AB51)</f>
        <v>4.7016374476890537</v>
      </c>
      <c r="T90" s="133">
        <f>PV($C$1, ($AB$3-$S$3), 0, -$AE$51)</f>
        <v>57.182174342338008</v>
      </c>
      <c r="U90" s="20"/>
      <c r="V90" s="20"/>
      <c r="W90" s="20"/>
      <c r="X90" s="20"/>
      <c r="Y90" s="20"/>
      <c r="Z90" s="20"/>
      <c r="AA90" s="20"/>
      <c r="AB90" s="20"/>
      <c r="AC90" s="137"/>
      <c r="AD90" s="20"/>
      <c r="AE90" s="20"/>
    </row>
    <row r="91" spans="2:31" x14ac:dyDescent="0.2">
      <c r="B91" s="20"/>
      <c r="C91" s="20"/>
      <c r="D91" s="20"/>
      <c r="E91" s="20"/>
      <c r="F91" s="20"/>
      <c r="G91" s="20"/>
      <c r="H91" s="20"/>
      <c r="I91" s="20"/>
      <c r="J91" s="20"/>
      <c r="K91" s="20"/>
      <c r="L91" s="20"/>
      <c r="M91" s="20"/>
      <c r="N91" s="20"/>
      <c r="O91" s="20"/>
      <c r="P91" s="20"/>
      <c r="Q91" s="20"/>
      <c r="R91" s="140"/>
      <c r="S91" s="133"/>
      <c r="T91" s="20"/>
      <c r="U91" s="20"/>
      <c r="V91" s="20"/>
      <c r="W91" s="20"/>
      <c r="X91" s="20"/>
      <c r="Y91" s="20"/>
      <c r="Z91" s="20"/>
      <c r="AA91" s="20"/>
      <c r="AB91" s="20"/>
      <c r="AC91" s="137"/>
      <c r="AD91" s="20"/>
      <c r="AE91" s="20"/>
    </row>
    <row r="92" spans="2:31" x14ac:dyDescent="0.2">
      <c r="B92" s="20" t="s">
        <v>249</v>
      </c>
      <c r="C92" s="20"/>
      <c r="D92" s="20"/>
      <c r="E92" s="20"/>
      <c r="F92" s="20"/>
      <c r="G92" s="20"/>
      <c r="H92" s="20"/>
      <c r="I92" s="20"/>
      <c r="J92" s="20"/>
      <c r="K92" s="20"/>
      <c r="L92" s="20"/>
      <c r="M92" s="20"/>
      <c r="N92" s="20"/>
      <c r="O92" s="20"/>
      <c r="P92" s="20"/>
      <c r="Q92" s="20"/>
      <c r="R92" s="140">
        <f t="shared" si="190"/>
        <v>89.229019072166935</v>
      </c>
      <c r="S92" s="133">
        <f>PV($C$1, ($AB$3-$S$3), 0, -AB56)</f>
        <v>6.4726342000822514</v>
      </c>
      <c r="T92" s="133">
        <f>PV($C$1, ($AB$3-$S$3), 0, -AE56)</f>
        <v>82.756384872084681</v>
      </c>
      <c r="U92" s="20"/>
      <c r="V92" s="20"/>
      <c r="W92" s="20"/>
      <c r="X92" s="20"/>
      <c r="Y92" s="20"/>
      <c r="Z92" s="20"/>
      <c r="AA92" s="20"/>
      <c r="AB92" s="20"/>
      <c r="AC92" s="137"/>
      <c r="AD92" s="20"/>
      <c r="AE92" s="20"/>
    </row>
    <row r="93" spans="2:31" x14ac:dyDescent="0.2">
      <c r="B93" s="20" t="s">
        <v>250</v>
      </c>
      <c r="C93" s="20"/>
      <c r="D93" s="20"/>
      <c r="E93" s="20"/>
      <c r="F93" s="20"/>
      <c r="G93" s="20"/>
      <c r="H93" s="20"/>
      <c r="I93" s="20"/>
      <c r="J93" s="20"/>
      <c r="K93" s="20"/>
      <c r="L93" s="20"/>
      <c r="M93" s="20"/>
      <c r="N93" s="20"/>
      <c r="O93" s="20"/>
      <c r="P93" s="20"/>
      <c r="Q93" s="20"/>
      <c r="R93" s="140">
        <f t="shared" si="190"/>
        <v>36.212364633346475</v>
      </c>
      <c r="S93" s="133">
        <f>PV($C$1, ($AB$3-$S$3), 0, -AB57)</f>
        <v>2.6163215799635764</v>
      </c>
      <c r="T93" s="133">
        <f>PV($C$1, ($AB$3-$S$3), 0, -AE57)</f>
        <v>33.5960430533829</v>
      </c>
      <c r="U93" s="20"/>
      <c r="V93" s="20"/>
      <c r="W93" s="20"/>
      <c r="X93" s="20"/>
      <c r="Y93" s="20"/>
      <c r="Z93" s="20"/>
      <c r="AA93" s="20"/>
      <c r="AB93" s="20"/>
      <c r="AC93" s="137"/>
      <c r="AD93" s="20"/>
      <c r="AE93" s="20"/>
    </row>
    <row r="94" spans="2:31" x14ac:dyDescent="0.2">
      <c r="B94" s="20"/>
      <c r="C94" s="20"/>
      <c r="D94" s="20"/>
      <c r="E94" s="20"/>
      <c r="F94" s="20"/>
      <c r="G94" s="20"/>
      <c r="H94" s="20"/>
      <c r="I94" s="20"/>
      <c r="J94" s="20"/>
      <c r="K94" s="20"/>
      <c r="L94" s="20"/>
      <c r="M94" s="20"/>
      <c r="N94" s="20"/>
      <c r="O94" s="20"/>
      <c r="P94" s="20"/>
      <c r="Q94" s="20"/>
      <c r="R94" s="140"/>
      <c r="S94" s="133"/>
      <c r="T94" s="133"/>
      <c r="U94" s="20"/>
      <c r="V94" s="20"/>
      <c r="W94" s="20"/>
      <c r="X94" s="20"/>
      <c r="Y94" s="20"/>
      <c r="Z94" s="20"/>
      <c r="AA94" s="20"/>
      <c r="AB94" s="20"/>
      <c r="AC94" s="137"/>
      <c r="AD94" s="20"/>
      <c r="AE94" s="20"/>
    </row>
    <row r="95" spans="2:31" x14ac:dyDescent="0.2">
      <c r="B95" s="20" t="s">
        <v>292</v>
      </c>
      <c r="C95" s="20"/>
      <c r="D95" s="20"/>
      <c r="E95" s="20"/>
      <c r="F95" s="20"/>
      <c r="G95" s="20"/>
      <c r="H95" s="20"/>
      <c r="I95" s="20"/>
      <c r="J95" s="20"/>
      <c r="K95" s="20"/>
      <c r="L95" s="20"/>
      <c r="M95" s="20"/>
      <c r="N95" s="20"/>
      <c r="O95" s="20"/>
      <c r="P95" s="20"/>
      <c r="Q95" s="20"/>
      <c r="R95" s="140">
        <f t="shared" ref="R95" si="191">S95+T95</f>
        <v>262347.15764327691</v>
      </c>
      <c r="S95" s="133">
        <f>PV($C$1, ($AB$3-$S$3), 0, -AB12)</f>
        <v>13815.681233044173</v>
      </c>
      <c r="T95" s="133">
        <f>PV($C$1, ($AB$3-$S$3), 0, -AE12)</f>
        <v>248531.47641023272</v>
      </c>
      <c r="U95" s="20"/>
      <c r="V95" s="20"/>
      <c r="W95" s="20"/>
      <c r="X95" s="20"/>
      <c r="Y95" s="20"/>
      <c r="Z95" s="20"/>
      <c r="AA95" s="20"/>
      <c r="AB95" s="20"/>
      <c r="AC95" s="137"/>
      <c r="AD95" s="20"/>
      <c r="AE95" s="20"/>
    </row>
    <row r="96" spans="2:31" x14ac:dyDescent="0.2">
      <c r="B96" s="20" t="s">
        <v>293</v>
      </c>
      <c r="C96" s="20"/>
      <c r="D96" s="20"/>
      <c r="E96" s="20"/>
      <c r="F96" s="20"/>
      <c r="G96" s="20"/>
      <c r="H96" s="20"/>
      <c r="I96" s="20"/>
      <c r="J96" s="20"/>
      <c r="K96" s="20"/>
      <c r="L96" s="20"/>
      <c r="M96" s="20"/>
      <c r="N96" s="20"/>
      <c r="O96" s="20"/>
      <c r="P96" s="20"/>
      <c r="Q96" s="20"/>
      <c r="R96" s="140">
        <f>S96+T96</f>
        <v>318.17396080636104</v>
      </c>
      <c r="S96" s="140">
        <f>S95/P36</f>
        <v>16.755622811560595</v>
      </c>
      <c r="T96" s="140">
        <f>T95/P36</f>
        <v>301.41833799480042</v>
      </c>
      <c r="U96" s="20"/>
      <c r="V96" s="20"/>
      <c r="W96" s="20"/>
      <c r="X96" s="20"/>
      <c r="Y96" s="20"/>
      <c r="Z96" s="20"/>
      <c r="AA96" s="20"/>
      <c r="AB96" s="20"/>
      <c r="AC96" s="137"/>
      <c r="AD96" s="20"/>
      <c r="AE96" s="20"/>
    </row>
    <row r="97" spans="2:31" x14ac:dyDescent="0.2">
      <c r="B97" s="20"/>
      <c r="C97" s="20"/>
      <c r="D97" s="20"/>
      <c r="E97" s="20"/>
      <c r="F97" s="20"/>
      <c r="G97" s="20"/>
      <c r="H97" s="20"/>
      <c r="I97" s="20"/>
      <c r="J97" s="20"/>
      <c r="K97" s="20"/>
      <c r="L97" s="20"/>
      <c r="M97" s="20"/>
      <c r="N97" s="20"/>
      <c r="O97" s="20"/>
      <c r="P97" s="20"/>
      <c r="Q97" s="20"/>
      <c r="R97" s="140"/>
      <c r="S97" s="140"/>
      <c r="T97" s="140"/>
      <c r="U97" s="20"/>
      <c r="V97" s="20"/>
      <c r="W97" s="20"/>
      <c r="X97" s="20"/>
      <c r="Y97" s="20"/>
      <c r="Z97" s="20"/>
      <c r="AA97" s="20"/>
      <c r="AB97" s="20"/>
      <c r="AC97" s="137"/>
      <c r="AD97" s="20"/>
      <c r="AE97" s="20"/>
    </row>
    <row r="98" spans="2:31" x14ac:dyDescent="0.2">
      <c r="B98" s="108" t="s">
        <v>296</v>
      </c>
      <c r="C98" s="20"/>
      <c r="D98" s="20"/>
      <c r="E98" s="20"/>
      <c r="F98" s="20"/>
      <c r="G98" s="20"/>
      <c r="H98" s="20"/>
      <c r="I98" s="20"/>
      <c r="J98" s="20"/>
      <c r="K98" s="20"/>
      <c r="L98" s="20"/>
      <c r="M98" s="20"/>
      <c r="N98" s="20"/>
      <c r="O98" s="20"/>
      <c r="P98" s="20"/>
      <c r="Q98" s="20"/>
      <c r="R98" s="140"/>
      <c r="S98" s="133"/>
      <c r="T98" s="133"/>
      <c r="U98" s="20"/>
      <c r="V98" s="20"/>
      <c r="W98" s="20"/>
      <c r="X98" s="20"/>
      <c r="Y98" s="20"/>
      <c r="Z98" s="20"/>
      <c r="AA98" s="20"/>
      <c r="AB98" s="20"/>
      <c r="AC98" s="137"/>
      <c r="AD98" s="20"/>
      <c r="AE98" s="20"/>
    </row>
    <row r="99" spans="2:31" x14ac:dyDescent="0.2">
      <c r="B99" s="20" t="s">
        <v>283</v>
      </c>
      <c r="C99" s="20"/>
      <c r="D99" s="20"/>
      <c r="E99" s="20"/>
      <c r="F99" s="20"/>
      <c r="G99" s="20"/>
      <c r="H99" s="20"/>
      <c r="I99" s="20"/>
      <c r="J99" s="20"/>
      <c r="K99" s="20"/>
      <c r="L99" s="20"/>
      <c r="M99" s="20"/>
      <c r="N99" s="20"/>
      <c r="O99" s="20"/>
      <c r="P99" s="20"/>
      <c r="Q99" s="20"/>
      <c r="R99" s="140">
        <f t="shared" ref="R99" si="192">S99+T99</f>
        <v>46.146823578657475</v>
      </c>
      <c r="S99" s="133">
        <f>PV($C$1, ($AB$3-$S$3), 0, -AB59)+PV($C$1, ($AA$3-$S$3), 0, -AB59)+PV($C$1, ($Z$3-$S$3), 0, -AB59)+PV($C$1, ($Y$3-$S$3), 0, -AB59)+PV($C$1, ($X$3-$S$3), 0, -AB59)+PV($C$1, ($W$3-$S$3), 0, -AB59)+PV($C$1, ($V$3-$S$3), 0, -AB59)+PV($C$1, ($U$3-$S$3), 0, -AB59)+PV($C$1, ($T$3-$S$3), 0, -AB59)+PV($C$1, ($S$3-$S$3), 0, -AB59)</f>
        <v>26.383232222569585</v>
      </c>
      <c r="T99" s="133">
        <f>PV($C$1, ($AB$3-$S$3), 0, -AE59)</f>
        <v>19.763591356087886</v>
      </c>
      <c r="U99" s="20"/>
      <c r="V99" s="20"/>
      <c r="W99" s="20"/>
      <c r="X99" s="20"/>
      <c r="Y99" s="20"/>
      <c r="Z99" s="20"/>
      <c r="AA99" s="20"/>
      <c r="AB99" s="20"/>
      <c r="AC99" s="137"/>
      <c r="AD99" s="20"/>
      <c r="AE99" s="20"/>
    </row>
    <row r="100" spans="2:31" x14ac:dyDescent="0.2">
      <c r="B100" s="23"/>
      <c r="C100" s="20"/>
      <c r="D100" s="20"/>
      <c r="E100" s="20"/>
      <c r="F100" s="20"/>
      <c r="G100" s="20"/>
      <c r="H100" s="20"/>
      <c r="I100" s="20"/>
      <c r="J100" s="20"/>
      <c r="K100" s="20"/>
      <c r="L100" s="20"/>
      <c r="M100" s="20"/>
      <c r="N100" s="20"/>
      <c r="O100" s="20"/>
      <c r="P100" s="20"/>
      <c r="Q100" s="20"/>
      <c r="R100" s="140"/>
      <c r="S100" s="133"/>
      <c r="T100" s="133"/>
      <c r="U100" s="20"/>
      <c r="V100" s="20"/>
      <c r="W100" s="20"/>
      <c r="X100" s="20"/>
      <c r="Y100" s="20"/>
      <c r="Z100" s="20"/>
      <c r="AA100" s="20"/>
      <c r="AB100" s="20"/>
      <c r="AC100" s="137"/>
      <c r="AD100" s="20"/>
      <c r="AE100" s="20"/>
    </row>
    <row r="101" spans="2:31" x14ac:dyDescent="0.2">
      <c r="B101" s="20" t="s">
        <v>319</v>
      </c>
      <c r="C101" s="20"/>
      <c r="D101" s="20"/>
      <c r="E101" s="20"/>
      <c r="F101" s="20"/>
      <c r="G101" s="20"/>
      <c r="H101" s="20"/>
      <c r="I101" s="20"/>
      <c r="J101" s="20"/>
      <c r="K101" s="20"/>
      <c r="L101" s="20"/>
      <c r="M101" s="20"/>
      <c r="N101" s="20"/>
      <c r="O101" s="20"/>
      <c r="P101" s="20"/>
      <c r="Q101" s="20"/>
      <c r="R101" s="140">
        <f t="shared" si="190"/>
        <v>51477.141309629631</v>
      </c>
      <c r="S101" s="133">
        <f>PV($C$1, ($AB$3-$S$3), 0, -AB61)+PV($C$1, ($AA$3-$S$3), 0, -AB61)+PV($C$1, ($Z$3-$S$3), 0, -AB61)+PV($C$1, ($Y$3-$S$3), 0, -AB61)+PV($C$1, ($X$3-$S$3), 0, -AB61)+PV($C$1, ($W$3-$S$3), 0, -AB61)+PV($C$1, ($V$3-$S$3), 0, -AB61)+PV($C$1, ($U$3-$S$3), 0, -AB61)+PV($C$1, ($T$3-$S$3), 0, -AB61)+PV($C$1, ($S$3-$S$3), 0, -AB61)</f>
        <v>29940.004549280475</v>
      </c>
      <c r="T101" s="133">
        <f>PV($C$1, ($AB$3-$S$3), 0, -AE61)</f>
        <v>21537.136760349153</v>
      </c>
      <c r="U101" s="20"/>
      <c r="V101" s="20"/>
      <c r="W101" s="20"/>
      <c r="X101" s="20"/>
      <c r="Y101" s="20"/>
      <c r="Z101" s="20"/>
      <c r="AA101" s="20"/>
      <c r="AB101" s="20"/>
      <c r="AC101" s="137"/>
      <c r="AD101" s="20"/>
      <c r="AE101" s="20"/>
    </row>
    <row r="102" spans="2:31" x14ac:dyDescent="0.2">
      <c r="B102" s="20"/>
      <c r="C102" s="20"/>
      <c r="D102" s="20"/>
      <c r="E102" s="20"/>
      <c r="F102" s="20"/>
      <c r="G102" s="20"/>
      <c r="H102" s="20"/>
      <c r="I102" s="20"/>
      <c r="J102" s="20"/>
      <c r="K102" s="20"/>
      <c r="L102" s="20"/>
      <c r="M102" s="20"/>
      <c r="N102" s="20"/>
      <c r="O102" s="20"/>
      <c r="P102" s="20"/>
      <c r="Q102" s="20"/>
      <c r="R102" s="140"/>
      <c r="S102" s="133"/>
      <c r="T102" s="133"/>
      <c r="U102" s="20"/>
      <c r="V102" s="20"/>
      <c r="W102" s="20"/>
      <c r="X102" s="20"/>
      <c r="Y102" s="20"/>
      <c r="Z102" s="20"/>
      <c r="AA102" s="20"/>
      <c r="AB102" s="20"/>
      <c r="AC102" s="137"/>
      <c r="AD102" s="20"/>
      <c r="AE102" s="20"/>
    </row>
    <row r="103" spans="2:31" x14ac:dyDescent="0.2">
      <c r="B103" s="20" t="s">
        <v>320</v>
      </c>
      <c r="C103" s="20"/>
      <c r="D103" s="20"/>
      <c r="E103" s="20"/>
      <c r="F103" s="20"/>
      <c r="G103" s="20"/>
      <c r="H103" s="20"/>
      <c r="I103" s="20"/>
      <c r="J103" s="20"/>
      <c r="K103" s="20"/>
      <c r="L103" s="20"/>
      <c r="M103" s="20"/>
      <c r="N103" s="20"/>
      <c r="O103" s="20"/>
      <c r="P103" s="20"/>
      <c r="Q103" s="20"/>
      <c r="R103" s="140">
        <f t="shared" ref="R103:R106" si="193">S103+T103</f>
        <v>9.2499732672530204</v>
      </c>
      <c r="S103" s="133">
        <f>PV($C$1, ($AB$3-$S$3), 0, -AB63)+PV($C$1, ($AA$3-$S$3), 0, -AB63)+PV($C$1, ($Z$3-$S$3), 0, -AB63)+PV($C$1, ($Y$3-$S$3), 0, -AB63)+PV($C$1, ($X$3-$S$3), 0, -AB63)+PV($C$1, ($W$3-$S$3), 0, -AB63)+PV($C$1, ($V$3-$S$3), 0, -AB63)+PV($C$1, ($U$3-$S$3), 0, -AB63)+PV($C$1, ($T$3-$S$3), 0, -AB63)+PV($C$1, ($S$3-$S$3), 0, -AB63)</f>
        <v>5.8644551949646804</v>
      </c>
      <c r="T103" s="133">
        <f>PV($C$1, ($AB$3-$S$3), 0, -AE63)</f>
        <v>3.38551807228834</v>
      </c>
      <c r="U103" s="20"/>
      <c r="V103" s="20"/>
      <c r="W103" s="20"/>
      <c r="X103" s="20"/>
      <c r="Y103" s="20"/>
      <c r="Z103" s="20"/>
      <c r="AA103" s="20"/>
      <c r="AB103" s="20"/>
      <c r="AC103" s="137"/>
      <c r="AD103" s="20"/>
      <c r="AE103" s="20"/>
    </row>
    <row r="104" spans="2:31" x14ac:dyDescent="0.2">
      <c r="B104" s="20" t="s">
        <v>287</v>
      </c>
      <c r="C104" s="20"/>
      <c r="D104" s="20"/>
      <c r="E104" s="20"/>
      <c r="F104" s="20"/>
      <c r="G104" s="20"/>
      <c r="H104" s="20"/>
      <c r="I104" s="20"/>
      <c r="J104" s="20"/>
      <c r="K104" s="20"/>
      <c r="L104" s="20"/>
      <c r="M104" s="20"/>
      <c r="N104" s="20"/>
      <c r="O104" s="20"/>
      <c r="P104" s="20"/>
      <c r="Q104" s="20"/>
      <c r="R104" s="140">
        <f t="shared" si="193"/>
        <v>66.593659917869758</v>
      </c>
      <c r="S104" s="133">
        <f>PV($C$1, ($AB$3-$S$3), 0, -AB64)+PV($C$1, ($AA$3-$S$3), 0, -AB64)+PV($C$1, ($Z$3-$S$3), 0, -AB64)+PV($C$1, ($Y$3-$S$3), 0, -AB64)+PV($C$1, ($X$3-$S$3), 0, -AB64)+PV($C$1, ($W$3-$S$3), 0, -AB64)+PV($C$1, ($V$3-$S$3), 0, -AB64)+PV($C$1, ($U$3-$S$3), 0, -AB64)+PV($C$1, ($T$3-$S$3), 0, -AB64)+PV($C$1, ($S$3-$S$3), 0, -AB64)</f>
        <v>41.051186364752766</v>
      </c>
      <c r="T104" s="133">
        <f>PV($C$1, ($AB$3-$S$3), 0, -AE64)</f>
        <v>25.542473553116988</v>
      </c>
      <c r="U104" s="20"/>
      <c r="V104" s="20"/>
      <c r="W104" s="20"/>
      <c r="X104" s="20"/>
      <c r="Y104" s="20"/>
      <c r="Z104" s="20"/>
      <c r="AA104" s="20"/>
      <c r="AB104" s="20"/>
      <c r="AC104" s="137"/>
      <c r="AD104" s="20"/>
      <c r="AE104" s="20"/>
    </row>
    <row r="105" spans="2:31" x14ac:dyDescent="0.2">
      <c r="B105" s="20" t="s">
        <v>288</v>
      </c>
      <c r="C105" s="20"/>
      <c r="D105" s="20"/>
      <c r="E105" s="20"/>
      <c r="F105" s="20"/>
      <c r="G105" s="20"/>
      <c r="H105" s="20"/>
      <c r="I105" s="20"/>
      <c r="J105" s="20"/>
      <c r="K105" s="20"/>
      <c r="L105" s="20"/>
      <c r="M105" s="20"/>
      <c r="N105" s="20"/>
      <c r="O105" s="20"/>
      <c r="P105" s="20"/>
      <c r="Q105" s="20"/>
      <c r="R105" s="140">
        <f t="shared" si="193"/>
        <v>-57.955954227079914</v>
      </c>
      <c r="S105" s="133">
        <f>PV($C$1, ($AB$3-$S$3), 0, -AB65)+PV($C$1, ($AA$3-$S$3), 0, -AB65)+PV($C$1, ($Z$3-$S$3), 0, -AB65)+PV($C$1, ($Y$3-$S$3), 0, -AB65)+PV($C$1, ($X$3-$S$3), 0, -AB65)+PV($C$1, ($W$3-$S$3), 0, -AB65)+PV($C$1, ($V$3-$S$3), 0, -AB65)+PV($C$1, ($U$3-$S$3), 0, -AB65)+PV($C$1, ($T$3-$S$3), 0, -AB65)+PV($C$1, ($S$3-$S$3), 0, -AB65)</f>
        <v>-35.186731169788089</v>
      </c>
      <c r="T105" s="133">
        <f>PV($C$1, ($AB$3-$S$3), 0, -AE65)</f>
        <v>-22.769223057291825</v>
      </c>
      <c r="U105" s="20"/>
      <c r="V105" s="20"/>
      <c r="W105" s="20"/>
      <c r="X105" s="20"/>
      <c r="Y105" s="20"/>
      <c r="Z105" s="20"/>
      <c r="AA105" s="20"/>
      <c r="AB105" s="20"/>
      <c r="AC105" s="137"/>
      <c r="AD105" s="20"/>
      <c r="AE105" s="20"/>
    </row>
    <row r="106" spans="2:31" x14ac:dyDescent="0.2">
      <c r="B106" s="20" t="s">
        <v>289</v>
      </c>
      <c r="C106" s="20"/>
      <c r="D106" s="20"/>
      <c r="E106" s="20"/>
      <c r="F106" s="20"/>
      <c r="G106" s="20"/>
      <c r="H106" s="20"/>
      <c r="I106" s="20"/>
      <c r="J106" s="20"/>
      <c r="K106" s="20"/>
      <c r="L106" s="20"/>
      <c r="M106" s="20"/>
      <c r="N106" s="20"/>
      <c r="O106" s="20"/>
      <c r="P106" s="20"/>
      <c r="Q106" s="20"/>
      <c r="R106" s="140">
        <f t="shared" si="193"/>
        <v>-2.7206313501570545</v>
      </c>
      <c r="S106" s="133">
        <f>PV($C$1, ($AB$3-$S$3), 0, -AB66)+PV($C$1, ($AA$3-$S$3), 0, -AB66)+PV($C$1, ($Z$3-$S$3), 0, -AB66)+PV($C$1, ($Y$3-$S$3), 0, -AB66)+PV($C$1, ($X$3-$S$3), 0, -AB66)+PV($C$1, ($W$3-$S$3), 0, -AB66)+PV($C$1, ($V$3-$S$3), 0, -AB66)+PV($C$1, ($U$3-$S$3), 0, -AB66)+PV($C$1, ($T$3-$S$3), 0, -AB66)+PV($C$1, ($S$3-$S$3), 0, -AB66)</f>
        <v>-7.3305689937058522</v>
      </c>
      <c r="T106" s="133">
        <f>PV($C$1, ($AB$3-$S$3), 0, -AE66)</f>
        <v>4.6099376435487978</v>
      </c>
      <c r="U106" s="20"/>
      <c r="V106" s="20"/>
      <c r="W106" s="20"/>
      <c r="X106" s="20"/>
      <c r="Y106" s="20"/>
      <c r="Z106" s="20"/>
      <c r="AA106" s="20"/>
      <c r="AB106" s="20"/>
      <c r="AC106" s="137"/>
      <c r="AD106" s="20"/>
      <c r="AE106" s="20"/>
    </row>
    <row r="107" spans="2:31" x14ac:dyDescent="0.2">
      <c r="B107" s="20"/>
      <c r="C107" s="20"/>
      <c r="D107" s="20"/>
      <c r="E107" s="20"/>
      <c r="F107" s="20"/>
      <c r="G107" s="20"/>
      <c r="H107" s="20"/>
      <c r="I107" s="20"/>
      <c r="J107" s="20"/>
      <c r="K107" s="20"/>
      <c r="L107" s="20"/>
      <c r="M107" s="20"/>
      <c r="N107" s="20"/>
      <c r="O107" s="20"/>
      <c r="P107" s="20"/>
      <c r="Q107" s="20"/>
      <c r="R107" s="140"/>
      <c r="S107" s="133"/>
      <c r="T107" s="133"/>
      <c r="U107" s="20"/>
      <c r="V107" s="20"/>
      <c r="W107" s="20"/>
      <c r="X107" s="20"/>
      <c r="Y107" s="20"/>
      <c r="Z107" s="20"/>
      <c r="AA107" s="20"/>
      <c r="AB107" s="20"/>
      <c r="AC107" s="137"/>
      <c r="AD107" s="20"/>
      <c r="AE107" s="20"/>
    </row>
    <row r="108" spans="2:31" x14ac:dyDescent="0.2">
      <c r="B108" s="20" t="s">
        <v>297</v>
      </c>
      <c r="C108" s="20"/>
      <c r="D108" s="20"/>
      <c r="E108" s="20"/>
      <c r="F108" s="20"/>
      <c r="G108" s="20"/>
      <c r="H108" s="20"/>
      <c r="I108" s="20"/>
      <c r="J108" s="20"/>
      <c r="K108" s="20"/>
      <c r="L108" s="20"/>
      <c r="M108" s="20"/>
      <c r="N108" s="20"/>
      <c r="O108" s="20"/>
      <c r="P108" s="20"/>
      <c r="Q108" s="20"/>
      <c r="R108" s="140">
        <f>S108+T108</f>
        <v>80.945381442818928</v>
      </c>
      <c r="S108" s="133">
        <f>PV($C$1, ($AB$3-$S$3), 0, -AB67)+PV($C$1, ($AA$3-$S$3), 0, -AB67)+PV($C$1, ($Z$3-$S$3), 0, -AB67)+PV($C$1, ($Y$3-$S$3), 0, -AB67)+PV($C$1, ($X$3-$S$3), 0, -AB67)+PV($C$1, ($W$3-$S$3), 0, -AB67)+PV($C$1, ($V$3-$S$3), 0, -AB67)+PV($C$1, ($U$3-$S$3), 0, -AB67)+PV($C$1, ($T$3-$S$3), 0, -AB67)+PV($C$1, ($S$3-$S$3), 0, -AB67)</f>
        <v>49.847869157199774</v>
      </c>
      <c r="T108" s="133">
        <f>PV($C$1, ($AB$3-$S$3), 0, -AE67)</f>
        <v>31.097512285619157</v>
      </c>
      <c r="U108" s="20"/>
      <c r="V108" s="20"/>
      <c r="W108" s="20"/>
      <c r="X108" s="20"/>
      <c r="Y108" s="20"/>
      <c r="Z108" s="20"/>
      <c r="AA108" s="20"/>
      <c r="AB108" s="20"/>
      <c r="AC108" s="137"/>
      <c r="AD108" s="20"/>
      <c r="AE108" s="20"/>
    </row>
    <row r="109" spans="2:31" x14ac:dyDescent="0.2">
      <c r="B109" s="20"/>
      <c r="C109" s="20"/>
      <c r="D109" s="20"/>
      <c r="E109" s="20"/>
      <c r="F109" s="20"/>
      <c r="G109" s="20"/>
      <c r="H109" s="20"/>
      <c r="I109" s="20"/>
      <c r="J109" s="20"/>
      <c r="K109" s="20"/>
      <c r="L109" s="20"/>
      <c r="M109" s="20"/>
      <c r="N109" s="20"/>
      <c r="O109" s="20"/>
      <c r="P109" s="20"/>
      <c r="Q109" s="20"/>
      <c r="R109" s="20"/>
      <c r="S109" s="121"/>
      <c r="T109" s="20"/>
      <c r="U109" s="20"/>
      <c r="V109" s="20"/>
      <c r="W109" s="20"/>
      <c r="X109" s="20"/>
      <c r="Y109" s="20"/>
      <c r="Z109" s="20"/>
      <c r="AA109" s="20"/>
      <c r="AB109" s="20"/>
      <c r="AC109" s="137"/>
      <c r="AD109" s="20"/>
      <c r="AE109" s="20"/>
    </row>
    <row r="110" spans="2:31" x14ac:dyDescent="0.2">
      <c r="B110" s="108" t="s">
        <v>251</v>
      </c>
      <c r="C110" s="20"/>
      <c r="D110" s="20"/>
      <c r="E110" s="20"/>
      <c r="F110" s="20"/>
      <c r="G110" s="20"/>
      <c r="H110" s="20"/>
      <c r="I110" s="20"/>
      <c r="J110" s="20"/>
      <c r="K110" s="20"/>
      <c r="L110" s="20"/>
      <c r="M110" s="20"/>
      <c r="N110" s="20"/>
      <c r="O110" s="20"/>
      <c r="P110" s="20"/>
      <c r="Q110" s="20"/>
      <c r="R110" s="20"/>
      <c r="S110" s="20"/>
      <c r="T110" s="20"/>
      <c r="U110" s="20"/>
      <c r="V110" s="20"/>
      <c r="W110" s="20"/>
      <c r="X110" s="20"/>
      <c r="Y110" s="20"/>
      <c r="Z110" s="20"/>
      <c r="AA110" s="20"/>
      <c r="AB110" s="20"/>
      <c r="AC110" s="137"/>
      <c r="AD110" s="20"/>
      <c r="AE110" s="20"/>
    </row>
    <row r="111" spans="2:31" x14ac:dyDescent="0.2">
      <c r="B111" s="20" t="s">
        <v>204</v>
      </c>
      <c r="C111" s="22">
        <v>14</v>
      </c>
      <c r="D111" s="22">
        <v>14</v>
      </c>
      <c r="E111" s="22">
        <v>14</v>
      </c>
      <c r="F111" s="22">
        <v>14</v>
      </c>
      <c r="G111" s="22">
        <v>14</v>
      </c>
      <c r="H111" s="22">
        <v>14250</v>
      </c>
      <c r="I111" s="22">
        <v>14</v>
      </c>
      <c r="J111" s="22">
        <v>14</v>
      </c>
      <c r="K111" s="22">
        <v>130</v>
      </c>
      <c r="L111" s="22">
        <v>130</v>
      </c>
      <c r="M111" s="22">
        <v>130</v>
      </c>
      <c r="N111" s="22">
        <v>130</v>
      </c>
      <c r="O111" s="22">
        <v>130</v>
      </c>
      <c r="P111" s="22">
        <v>130</v>
      </c>
      <c r="Q111" s="118">
        <f t="shared" ref="Q111:Q115" si="194">((P111/G111)^(1/($H$2-$H$1) ))-1</f>
        <v>0.28095842718727804</v>
      </c>
      <c r="R111" s="31">
        <v>0.1</v>
      </c>
      <c r="S111" s="119">
        <f t="shared" ref="S111" si="195">P111*(1+$R111)</f>
        <v>143</v>
      </c>
      <c r="T111" s="119">
        <f t="shared" ref="T111:AB111" si="196">S111*(1+$R111)</f>
        <v>157.30000000000001</v>
      </c>
      <c r="U111" s="119">
        <f t="shared" si="196"/>
        <v>173.03000000000003</v>
      </c>
      <c r="V111" s="119">
        <f t="shared" si="196"/>
        <v>190.33300000000006</v>
      </c>
      <c r="W111" s="119">
        <f t="shared" si="196"/>
        <v>209.36630000000008</v>
      </c>
      <c r="X111" s="119">
        <f t="shared" si="196"/>
        <v>230.30293000000012</v>
      </c>
      <c r="Y111" s="119">
        <f t="shared" si="196"/>
        <v>253.33322300000015</v>
      </c>
      <c r="Z111" s="119">
        <f t="shared" si="196"/>
        <v>278.66654530000017</v>
      </c>
      <c r="AA111" s="119">
        <f t="shared" si="196"/>
        <v>306.53319983000023</v>
      </c>
      <c r="AB111" s="119">
        <f t="shared" si="196"/>
        <v>337.1865198130003</v>
      </c>
      <c r="AC111" s="138">
        <f t="shared" ref="AC111:AC115" si="197">((AB111/G111)^(1/($AB$3-$H$1) ))-1</f>
        <v>0.18228797389422735</v>
      </c>
      <c r="AD111" s="31">
        <v>0.08</v>
      </c>
      <c r="AE111" s="127">
        <f t="shared" ref="AE111:AE116" si="198">(AB111*(1+AC111))/($C$1-AD111)</f>
        <v>5695.0223904879704</v>
      </c>
    </row>
    <row r="112" spans="2:31" x14ac:dyDescent="0.2">
      <c r="B112" s="20" t="s">
        <v>42</v>
      </c>
      <c r="C112" s="25" t="e">
        <f t="shared" ref="C112:P112" si="199">C111/C44</f>
        <v>#DIV/0!</v>
      </c>
      <c r="D112" s="25" t="e">
        <f t="shared" si="199"/>
        <v>#DIV/0!</v>
      </c>
      <c r="E112" s="25" t="e">
        <f t="shared" si="199"/>
        <v>#DIV/0!</v>
      </c>
      <c r="F112" s="25">
        <f t="shared" si="199"/>
        <v>0.30322983088439143</v>
      </c>
      <c r="G112" s="25">
        <f t="shared" si="199"/>
        <v>0.20793726235741444</v>
      </c>
      <c r="H112" s="25">
        <f t="shared" si="199"/>
        <v>2016.0766986959507</v>
      </c>
      <c r="I112" s="25">
        <f t="shared" si="199"/>
        <v>1.9766369863013697</v>
      </c>
      <c r="J112" s="25">
        <f t="shared" si="199"/>
        <v>1.6734647723977965</v>
      </c>
      <c r="K112" s="25">
        <f t="shared" si="199"/>
        <v>14.35134556165484</v>
      </c>
      <c r="L112" s="25">
        <f t="shared" si="199"/>
        <v>13.246440929312902</v>
      </c>
      <c r="M112" s="25">
        <f t="shared" si="199"/>
        <v>12.129704650899626</v>
      </c>
      <c r="N112" s="25">
        <f t="shared" si="199"/>
        <v>11.466645271715874</v>
      </c>
      <c r="O112" s="25">
        <f t="shared" si="199"/>
        <v>10.922172406765844</v>
      </c>
      <c r="P112" s="25">
        <f t="shared" si="199"/>
        <v>8.516472777370808</v>
      </c>
      <c r="Q112" s="118">
        <f t="shared" si="194"/>
        <v>0.51059308882628685</v>
      </c>
      <c r="R112" s="128"/>
      <c r="S112" s="119">
        <f t="shared" ref="S112:AB112" si="200">S111/S44</f>
        <v>10.219767332844967</v>
      </c>
      <c r="T112" s="119">
        <f t="shared" si="200"/>
        <v>12.26372079941396</v>
      </c>
      <c r="U112" s="119">
        <f t="shared" si="200"/>
        <v>14.716464959296754</v>
      </c>
      <c r="V112" s="119">
        <f t="shared" si="200"/>
        <v>17.659757951156102</v>
      </c>
      <c r="W112" s="119">
        <f t="shared" si="200"/>
        <v>21.191709541387322</v>
      </c>
      <c r="X112" s="119">
        <f t="shared" si="200"/>
        <v>25.430051449664788</v>
      </c>
      <c r="Y112" s="119">
        <f t="shared" si="200"/>
        <v>30.516061739597742</v>
      </c>
      <c r="Z112" s="119">
        <f t="shared" si="200"/>
        <v>36.619274087517283</v>
      </c>
      <c r="AA112" s="119">
        <f t="shared" si="200"/>
        <v>43.943128905020743</v>
      </c>
      <c r="AB112" s="119">
        <f t="shared" si="200"/>
        <v>52.731754686024885</v>
      </c>
      <c r="AC112" s="138">
        <f t="shared" si="197"/>
        <v>0.33823898993289325</v>
      </c>
      <c r="AD112" s="31">
        <v>0.08</v>
      </c>
      <c r="AE112" s="127">
        <f t="shared" si="198"/>
        <v>1008.1098589773579</v>
      </c>
    </row>
    <row r="113" spans="2:31" x14ac:dyDescent="0.2">
      <c r="B113" s="20" t="s">
        <v>259</v>
      </c>
      <c r="C113" s="25" t="e">
        <f t="shared" ref="C113:P113" si="201">C111/C46</f>
        <v>#DIV/0!</v>
      </c>
      <c r="D113" s="25" t="e">
        <f t="shared" si="201"/>
        <v>#DIV/0!</v>
      </c>
      <c r="E113" s="25" t="e">
        <f t="shared" si="201"/>
        <v>#DIV/0!</v>
      </c>
      <c r="F113" s="25">
        <f t="shared" si="201"/>
        <v>4.6149789029535863E-2</v>
      </c>
      <c r="G113" s="25">
        <f t="shared" si="201"/>
        <v>3.8901337316830278E-2</v>
      </c>
      <c r="H113" s="25">
        <f t="shared" si="201"/>
        <v>350.08923782849649</v>
      </c>
      <c r="I113" s="25">
        <f t="shared" si="201"/>
        <v>0.3140677458849136</v>
      </c>
      <c r="J113" s="25">
        <f t="shared" si="201"/>
        <v>0.28525860577754714</v>
      </c>
      <c r="K113" s="25">
        <f t="shared" si="201"/>
        <v>2.4024519801869242</v>
      </c>
      <c r="L113" s="25">
        <f t="shared" si="201"/>
        <v>2.1803466091696837</v>
      </c>
      <c r="M113" s="25">
        <f t="shared" si="201"/>
        <v>1.982873950201635</v>
      </c>
      <c r="N113" s="25">
        <f t="shared" si="201"/>
        <v>1.791429765187599</v>
      </c>
      <c r="O113" s="25">
        <f t="shared" si="201"/>
        <v>1.6202397327569267</v>
      </c>
      <c r="P113" s="25">
        <f t="shared" si="201"/>
        <v>1.4684496261344364</v>
      </c>
      <c r="Q113" s="118">
        <f t="shared" si="194"/>
        <v>0.4969610568526015</v>
      </c>
      <c r="R113" s="128"/>
      <c r="S113" s="119">
        <f t="shared" ref="S113:AB113" si="202">S111/S46</f>
        <v>1.7621395513613232</v>
      </c>
      <c r="T113" s="119">
        <f t="shared" si="202"/>
        <v>2.1145674616335874</v>
      </c>
      <c r="U113" s="119">
        <f t="shared" si="202"/>
        <v>2.5374809539603054</v>
      </c>
      <c r="V113" s="119">
        <f t="shared" si="202"/>
        <v>3.0449771447523664</v>
      </c>
      <c r="W113" s="119">
        <f t="shared" si="202"/>
        <v>3.6539725737028403</v>
      </c>
      <c r="X113" s="119">
        <f t="shared" si="202"/>
        <v>4.3847670884434082</v>
      </c>
      <c r="Y113" s="119">
        <f t="shared" si="202"/>
        <v>5.2617205061320895</v>
      </c>
      <c r="Z113" s="119">
        <f t="shared" si="202"/>
        <v>6.3140646073585067</v>
      </c>
      <c r="AA113" s="119">
        <f t="shared" si="202"/>
        <v>7.5768775288302077</v>
      </c>
      <c r="AB113" s="119">
        <f t="shared" si="202"/>
        <v>9.0922530345962507</v>
      </c>
      <c r="AC113" s="138">
        <f t="shared" si="197"/>
        <v>0.33250481963271139</v>
      </c>
      <c r="AD113" s="31">
        <v>0.08</v>
      </c>
      <c r="AE113" s="127">
        <f t="shared" si="198"/>
        <v>173.07815699885217</v>
      </c>
    </row>
    <row r="114" spans="2:31" x14ac:dyDescent="0.2">
      <c r="B114" s="20" t="s">
        <v>260</v>
      </c>
      <c r="C114" s="25" t="e">
        <f t="shared" ref="C114:P114" si="203">C111/C55</f>
        <v>#DIV/0!</v>
      </c>
      <c r="D114" s="25" t="e">
        <f t="shared" si="203"/>
        <v>#DIV/0!</v>
      </c>
      <c r="E114" s="25" t="e">
        <f t="shared" si="203"/>
        <v>#DIV/0!</v>
      </c>
      <c r="F114" s="25">
        <f t="shared" si="203"/>
        <v>0.25967473884140552</v>
      </c>
      <c r="G114" s="25">
        <f t="shared" si="203"/>
        <v>6.0943333147601274E-2</v>
      </c>
      <c r="H114" s="25">
        <f t="shared" si="203"/>
        <v>437.53984508825499</v>
      </c>
      <c r="I114" s="25">
        <f t="shared" si="203"/>
        <v>0.42442679608794759</v>
      </c>
      <c r="J114" s="25">
        <f t="shared" si="203"/>
        <v>0.40026213592233006</v>
      </c>
      <c r="K114" s="25">
        <f t="shared" si="203"/>
        <v>3.7209775401812055</v>
      </c>
      <c r="L114" s="25">
        <f t="shared" si="203"/>
        <v>3.7029813106712264</v>
      </c>
      <c r="M114" s="25">
        <f t="shared" si="203"/>
        <v>3.8517445829889683</v>
      </c>
      <c r="N114" s="25">
        <f t="shared" si="203"/>
        <v>4.0885761147347139</v>
      </c>
      <c r="O114" s="25">
        <f t="shared" si="203"/>
        <v>4.3509579477187854</v>
      </c>
      <c r="P114" s="25">
        <f t="shared" si="203"/>
        <v>4.1646476121799108</v>
      </c>
      <c r="Q114" s="118">
        <f t="shared" si="194"/>
        <v>0.59900649760494651</v>
      </c>
      <c r="R114" s="128"/>
      <c r="S114" s="119">
        <f t="shared" ref="S114:AB114" si="204">S111/S55</f>
        <v>4.9975771346158924</v>
      </c>
      <c r="T114" s="119">
        <f t="shared" si="204"/>
        <v>5.9970925615390707</v>
      </c>
      <c r="U114" s="119">
        <f t="shared" si="204"/>
        <v>7.1965110738468834</v>
      </c>
      <c r="V114" s="119">
        <f t="shared" si="204"/>
        <v>8.6358132886162604</v>
      </c>
      <c r="W114" s="119">
        <f t="shared" si="204"/>
        <v>10.362975946339514</v>
      </c>
      <c r="X114" s="119">
        <f t="shared" si="204"/>
        <v>12.435571135607413</v>
      </c>
      <c r="Y114" s="119">
        <f t="shared" si="204"/>
        <v>14.922685362728897</v>
      </c>
      <c r="Z114" s="119">
        <f t="shared" si="204"/>
        <v>17.907222435274676</v>
      </c>
      <c r="AA114" s="119">
        <f t="shared" si="204"/>
        <v>21.488666922329607</v>
      </c>
      <c r="AB114" s="119">
        <f t="shared" si="204"/>
        <v>25.786400306795535</v>
      </c>
      <c r="AC114" s="138">
        <f t="shared" si="197"/>
        <v>0.37478560016982265</v>
      </c>
      <c r="AD114" s="31">
        <v>0.08</v>
      </c>
      <c r="AE114" s="127">
        <f t="shared" si="198"/>
        <v>506.43959745710293</v>
      </c>
    </row>
    <row r="115" spans="2:31" x14ac:dyDescent="0.2">
      <c r="B115" s="20" t="s">
        <v>261</v>
      </c>
      <c r="C115" s="25" t="e">
        <f t="shared" ref="C115:P115" si="205">C111/C57</f>
        <v>#DIV/0!</v>
      </c>
      <c r="D115" s="25" t="e">
        <f t="shared" si="205"/>
        <v>#DIV/0!</v>
      </c>
      <c r="E115" s="25" t="e">
        <f t="shared" si="205"/>
        <v>#DIV/0!</v>
      </c>
      <c r="F115" s="25">
        <f t="shared" si="205"/>
        <v>7.3762476396007554E-2</v>
      </c>
      <c r="G115" s="25">
        <f t="shared" si="205"/>
        <v>0.20061445341159206</v>
      </c>
      <c r="H115" s="25">
        <f t="shared" si="205"/>
        <v>1870.0771924240012</v>
      </c>
      <c r="I115" s="25">
        <f t="shared" si="205"/>
        <v>1.1938732030199606</v>
      </c>
      <c r="J115" s="25">
        <f t="shared" si="205"/>
        <v>0.76305922792173453</v>
      </c>
      <c r="K115" s="25">
        <f t="shared" si="205"/>
        <v>6.0583394562821455</v>
      </c>
      <c r="L115" s="25">
        <f t="shared" si="205"/>
        <v>5.2469626511331926</v>
      </c>
      <c r="M115" s="25">
        <f t="shared" si="205"/>
        <v>5.3389550231608309</v>
      </c>
      <c r="N115" s="25">
        <f t="shared" si="205"/>
        <v>4.8504547717091269</v>
      </c>
      <c r="O115" s="25">
        <f t="shared" si="205"/>
        <v>4.5899970025264416</v>
      </c>
      <c r="P115" s="25">
        <f t="shared" si="205"/>
        <v>5.9167886563908265</v>
      </c>
      <c r="Q115" s="118">
        <f t="shared" si="194"/>
        <v>0.45647370610931404</v>
      </c>
      <c r="R115" s="128"/>
      <c r="S115" s="119">
        <f t="shared" ref="S115:AB115" si="206">S111/S57</f>
        <v>7.1001463876689908</v>
      </c>
      <c r="T115" s="119">
        <f t="shared" si="206"/>
        <v>8.5201756652027889</v>
      </c>
      <c r="U115" s="119">
        <f t="shared" si="206"/>
        <v>10.224210798243346</v>
      </c>
      <c r="V115" s="119">
        <f t="shared" si="206"/>
        <v>12.269052957892017</v>
      </c>
      <c r="W115" s="119">
        <f t="shared" si="206"/>
        <v>14.722863549470421</v>
      </c>
      <c r="X115" s="119">
        <f t="shared" si="206"/>
        <v>17.667436259364504</v>
      </c>
      <c r="Y115" s="119">
        <f t="shared" si="206"/>
        <v>21.200923511237399</v>
      </c>
      <c r="Z115" s="119">
        <f t="shared" si="206"/>
        <v>25.441108213484878</v>
      </c>
      <c r="AA115" s="119">
        <f t="shared" si="206"/>
        <v>30.529329856181846</v>
      </c>
      <c r="AB115" s="119">
        <f t="shared" si="206"/>
        <v>36.635195827418215</v>
      </c>
      <c r="AC115" s="138">
        <f t="shared" si="197"/>
        <v>0.31531031578239532</v>
      </c>
      <c r="AD115" s="31">
        <v>0.08</v>
      </c>
      <c r="AE115" s="127">
        <f t="shared" si="198"/>
        <v>688.38072846444788</v>
      </c>
    </row>
    <row r="116" spans="2:31" x14ac:dyDescent="0.2">
      <c r="B116" s="20" t="s">
        <v>282</v>
      </c>
      <c r="C116" s="25" t="e">
        <f>C112/C79</f>
        <v>#DIV/0!</v>
      </c>
      <c r="D116" s="25" t="e">
        <f>D112/D79</f>
        <v>#DIV/0!</v>
      </c>
      <c r="E116" s="25" t="e">
        <f>E112/E79</f>
        <v>#DIV/0!</v>
      </c>
      <c r="F116" s="25" t="e">
        <f>F112/F79</f>
        <v>#DIV/0!</v>
      </c>
      <c r="G116" s="25">
        <f t="shared" ref="G116:P116" si="207">G111/G51</f>
        <v>3.9781406852404159E-2</v>
      </c>
      <c r="H116" s="25">
        <f t="shared" si="207"/>
        <v>367.38462260021259</v>
      </c>
      <c r="I116" s="25">
        <f t="shared" si="207"/>
        <v>0.34990027583280287</v>
      </c>
      <c r="J116" s="25">
        <f t="shared" si="207"/>
        <v>0.30473218764024179</v>
      </c>
      <c r="K116" s="25">
        <f t="shared" si="207"/>
        <v>2.6131841341817204</v>
      </c>
      <c r="L116" s="25">
        <f t="shared" si="207"/>
        <v>2.633407036163522</v>
      </c>
      <c r="M116" s="25">
        <f t="shared" si="207"/>
        <v>2.6951171678567838</v>
      </c>
      <c r="N116" s="25">
        <f t="shared" si="207"/>
        <v>2.5886975632139495</v>
      </c>
      <c r="O116" s="25">
        <f t="shared" si="207"/>
        <v>2.3641420379355975</v>
      </c>
      <c r="P116" s="25">
        <f t="shared" si="207"/>
        <v>3.2925171321765467</v>
      </c>
      <c r="Q116" s="118">
        <f t="shared" ref="Q116" si="208">((P116/G116)^(1/($H$2-$H$1) ))-1</f>
        <v>0.63340624520749311</v>
      </c>
      <c r="R116" s="128"/>
      <c r="S116" s="135">
        <f t="shared" ref="S116:AB116" si="209">S111/S51</f>
        <v>3.9510205586118565</v>
      </c>
      <c r="T116" s="135">
        <f t="shared" si="209"/>
        <v>4.7412246703342253</v>
      </c>
      <c r="U116" s="135">
        <f t="shared" si="209"/>
        <v>5.6894696044010695</v>
      </c>
      <c r="V116" s="135">
        <f t="shared" si="209"/>
        <v>6.8273635252812834</v>
      </c>
      <c r="W116" s="135">
        <f t="shared" si="209"/>
        <v>8.1928362303375408</v>
      </c>
      <c r="X116" s="135">
        <f t="shared" si="209"/>
        <v>9.8314034764050469</v>
      </c>
      <c r="Y116" s="135">
        <f t="shared" si="209"/>
        <v>11.797684171686061</v>
      </c>
      <c r="Z116" s="135">
        <f t="shared" si="209"/>
        <v>14.157221006023272</v>
      </c>
      <c r="AA116" s="135">
        <f t="shared" si="209"/>
        <v>16.988665207227921</v>
      </c>
      <c r="AB116" s="135">
        <f t="shared" si="209"/>
        <v>20.386398248673498</v>
      </c>
      <c r="AC116" s="138">
        <f t="shared" ref="AC116" si="210">((AB116/G116)^(1/($AB$3-$H$1) ))-1</f>
        <v>0.38871684500207526</v>
      </c>
      <c r="AD116" s="31">
        <v>0.08</v>
      </c>
      <c r="AE116" s="127">
        <f t="shared" si="198"/>
        <v>404.44192366933851</v>
      </c>
    </row>
    <row r="117" spans="2:31" x14ac:dyDescent="0.2">
      <c r="B117" s="20"/>
      <c r="C117" s="129"/>
      <c r="D117" s="129"/>
      <c r="E117" s="129"/>
      <c r="F117" s="129"/>
      <c r="G117" s="135"/>
      <c r="H117" s="135"/>
      <c r="I117" s="135"/>
      <c r="J117" s="135"/>
      <c r="K117" s="135"/>
      <c r="L117" s="135"/>
      <c r="M117" s="135"/>
      <c r="N117" s="135"/>
      <c r="O117" s="135"/>
      <c r="P117" s="135"/>
      <c r="Q117" s="128"/>
      <c r="R117" s="128"/>
      <c r="S117" s="135"/>
      <c r="T117" s="135"/>
      <c r="U117" s="135"/>
      <c r="V117" s="135"/>
      <c r="W117" s="135"/>
      <c r="X117" s="135"/>
      <c r="Y117" s="135"/>
      <c r="Z117" s="135"/>
      <c r="AA117" s="135"/>
      <c r="AB117" s="135"/>
      <c r="AC117" s="137"/>
      <c r="AD117" s="20"/>
      <c r="AE117" s="127"/>
    </row>
    <row r="118" spans="2:31" x14ac:dyDescent="0.2">
      <c r="B118" s="108" t="s">
        <v>302</v>
      </c>
      <c r="C118" s="20"/>
      <c r="D118" s="20"/>
      <c r="E118" s="20"/>
      <c r="F118" s="20"/>
      <c r="G118" s="20"/>
      <c r="H118" s="20"/>
      <c r="I118" s="20"/>
      <c r="J118" s="20"/>
      <c r="K118" s="20"/>
      <c r="L118" s="20"/>
      <c r="M118" s="20"/>
      <c r="N118" s="20"/>
      <c r="O118" s="20"/>
      <c r="P118" s="20"/>
      <c r="Q118" s="20"/>
      <c r="R118" s="20"/>
      <c r="S118" s="20"/>
      <c r="T118" s="20"/>
      <c r="U118" s="20"/>
      <c r="V118" s="20"/>
      <c r="W118" s="20"/>
      <c r="X118" s="20"/>
      <c r="Y118" s="20"/>
      <c r="Z118" s="20"/>
      <c r="AA118" s="20"/>
      <c r="AB118" s="20"/>
      <c r="AC118" s="137"/>
      <c r="AD118" s="20"/>
      <c r="AE118" s="20"/>
    </row>
    <row r="119" spans="2:31" x14ac:dyDescent="0.2">
      <c r="B119" s="20" t="s">
        <v>299</v>
      </c>
      <c r="C119" s="20" t="s">
        <v>316</v>
      </c>
      <c r="D119" s="20"/>
      <c r="E119" s="20"/>
      <c r="F119" s="20"/>
      <c r="G119" s="20"/>
      <c r="H119" s="20"/>
      <c r="I119" s="20"/>
      <c r="J119" s="20"/>
      <c r="K119" s="20"/>
      <c r="L119" s="20"/>
      <c r="M119" s="20"/>
      <c r="N119" s="20"/>
      <c r="O119" s="20"/>
      <c r="P119" s="128">
        <f>(P111-R99)/P111</f>
        <v>0.64502443401032716</v>
      </c>
      <c r="Q119" s="20"/>
      <c r="R119" s="20"/>
      <c r="S119" s="20"/>
      <c r="T119" s="20"/>
      <c r="U119" s="20"/>
      <c r="V119" s="20"/>
      <c r="W119" s="20"/>
      <c r="X119" s="20"/>
      <c r="Y119" s="20"/>
      <c r="Z119" s="20"/>
      <c r="AA119" s="20"/>
      <c r="AB119" s="20"/>
      <c r="AC119" s="137"/>
      <c r="AD119" s="20"/>
      <c r="AE119" s="20"/>
    </row>
    <row r="120" spans="2:31" x14ac:dyDescent="0.2">
      <c r="B120" s="20" t="s">
        <v>300</v>
      </c>
      <c r="C120" s="20" t="s">
        <v>316</v>
      </c>
      <c r="D120" s="20"/>
      <c r="E120" s="20"/>
      <c r="F120" s="20"/>
      <c r="G120" s="20"/>
      <c r="H120" s="20"/>
      <c r="I120" s="20"/>
      <c r="J120" s="20"/>
      <c r="K120" s="20"/>
      <c r="L120" s="20"/>
      <c r="M120" s="20"/>
      <c r="N120" s="20"/>
      <c r="O120" s="20"/>
      <c r="P120" s="128">
        <f>(P111-R90)/P111</f>
        <v>0.5239706785382533</v>
      </c>
      <c r="Q120" s="20"/>
      <c r="R120" s="20"/>
      <c r="S120" s="20"/>
      <c r="T120" s="20"/>
      <c r="U120" s="20"/>
      <c r="V120" s="20"/>
      <c r="W120" s="20"/>
      <c r="X120" s="20"/>
      <c r="Y120" s="20"/>
      <c r="Z120" s="20"/>
      <c r="AA120" s="20"/>
      <c r="AB120" s="20"/>
      <c r="AC120" s="137"/>
      <c r="AD120" s="20"/>
      <c r="AE120" s="20"/>
    </row>
    <row r="121" spans="2:31" x14ac:dyDescent="0.2">
      <c r="B121" s="20" t="s">
        <v>301</v>
      </c>
      <c r="C121" s="20"/>
      <c r="D121" s="20"/>
      <c r="E121" s="20"/>
      <c r="F121" s="20"/>
      <c r="G121" s="20"/>
      <c r="H121" s="20"/>
      <c r="I121" s="20"/>
      <c r="J121" s="20"/>
      <c r="K121" s="20"/>
      <c r="L121" s="20"/>
      <c r="M121" s="20"/>
      <c r="N121" s="20"/>
      <c r="O121" s="20"/>
      <c r="P121" s="25">
        <f>P111/R82</f>
        <v>5.2507216105048107</v>
      </c>
      <c r="Q121" s="20"/>
      <c r="R121" s="20"/>
      <c r="S121" s="20"/>
      <c r="T121" s="20"/>
      <c r="U121" s="20"/>
      <c r="V121" s="20"/>
      <c r="W121" s="20"/>
      <c r="X121" s="20"/>
      <c r="Y121" s="20"/>
      <c r="Z121" s="20"/>
      <c r="AA121" s="20"/>
      <c r="AB121" s="20"/>
      <c r="AC121" s="137"/>
      <c r="AD121" s="20"/>
      <c r="AE121" s="20"/>
    </row>
    <row r="122" spans="2:31" x14ac:dyDescent="0.2">
      <c r="B122" s="20"/>
      <c r="C122" s="20"/>
      <c r="D122" s="20"/>
      <c r="E122" s="20"/>
      <c r="F122" s="20"/>
      <c r="G122" s="20"/>
      <c r="H122" s="20"/>
      <c r="I122" s="20"/>
      <c r="J122" s="20"/>
      <c r="K122" s="20"/>
      <c r="L122" s="20"/>
      <c r="M122" s="20"/>
      <c r="N122" s="20"/>
      <c r="O122" s="20"/>
      <c r="P122" s="20"/>
      <c r="Q122" s="20"/>
      <c r="R122" s="20"/>
      <c r="S122" s="20"/>
      <c r="T122" s="20"/>
      <c r="U122" s="20"/>
      <c r="V122" s="20"/>
      <c r="W122" s="20"/>
      <c r="X122" s="20"/>
      <c r="Y122" s="20"/>
      <c r="Z122" s="20"/>
      <c r="AA122" s="20"/>
      <c r="AB122" s="20"/>
      <c r="AC122" s="20"/>
      <c r="AD122" s="20"/>
      <c r="AE122" s="20"/>
    </row>
    <row r="123" spans="2:31" x14ac:dyDescent="0.2">
      <c r="B123" s="108" t="s">
        <v>303</v>
      </c>
      <c r="C123" s="20"/>
      <c r="D123" s="20"/>
      <c r="E123" s="20"/>
      <c r="F123" s="20"/>
      <c r="G123" s="20"/>
      <c r="H123" s="20"/>
      <c r="I123" s="20"/>
      <c r="J123" s="20"/>
      <c r="K123" s="20"/>
      <c r="L123" s="20"/>
      <c r="M123" s="20"/>
      <c r="N123" s="20"/>
      <c r="O123" s="20"/>
      <c r="P123" s="20"/>
      <c r="Q123" s="20"/>
      <c r="R123" s="20"/>
      <c r="S123" s="20"/>
      <c r="T123" s="20"/>
      <c r="U123" s="20"/>
      <c r="V123" s="20"/>
      <c r="W123" s="20"/>
      <c r="X123" s="20"/>
      <c r="Y123" s="20"/>
      <c r="Z123" s="20"/>
      <c r="AA123" s="20"/>
      <c r="AB123" s="20"/>
      <c r="AC123" s="20"/>
      <c r="AD123" s="20"/>
      <c r="AE123" s="20"/>
    </row>
    <row r="124" spans="2:31" x14ac:dyDescent="0.2">
      <c r="B124" s="20" t="s">
        <v>306</v>
      </c>
      <c r="C124" s="25" t="e">
        <f>C10/C7</f>
        <v>#DIV/0!</v>
      </c>
      <c r="D124" s="25" t="e">
        <f>D10/D7</f>
        <v>#DIV/0!</v>
      </c>
      <c r="E124" s="25" t="e">
        <f>E10/E7</f>
        <v>#DIV/0!</v>
      </c>
      <c r="F124" s="25">
        <f>F10/F7</f>
        <v>0.42022086824067023</v>
      </c>
      <c r="G124" s="25">
        <f>G10/G7</f>
        <v>0.43450790469828549</v>
      </c>
      <c r="H124" s="25">
        <f t="shared" ref="H124:P124" si="211">H10/H7</f>
        <v>0.42193890975195542</v>
      </c>
      <c r="I124" s="25">
        <f t="shared" si="211"/>
        <v>0.5093333333333333</v>
      </c>
      <c r="J124" s="25">
        <f t="shared" si="211"/>
        <v>0.56815569058958781</v>
      </c>
      <c r="K124" s="25">
        <f t="shared" si="211"/>
        <v>0.60427149937573299</v>
      </c>
      <c r="L124" s="25">
        <f t="shared" si="211"/>
        <v>0.70456564530457955</v>
      </c>
      <c r="M124" s="25">
        <f t="shared" si="211"/>
        <v>0.73445901481469589</v>
      </c>
      <c r="N124" s="25">
        <f t="shared" si="211"/>
        <v>0.75805290756598753</v>
      </c>
      <c r="O124" s="25">
        <f t="shared" si="211"/>
        <v>0.75847423456358698</v>
      </c>
      <c r="P124" s="25">
        <f t="shared" si="211"/>
        <v>0.82226426451192414</v>
      </c>
      <c r="Q124" s="118">
        <f t="shared" ref="Q124:Q126" si="212">((P124/G124)^(1/($H$2-$H$1) ))-1</f>
        <v>7.3443779994431857E-2</v>
      </c>
      <c r="R124" s="20"/>
      <c r="S124" s="20"/>
      <c r="T124" s="20"/>
      <c r="U124" s="20"/>
      <c r="V124" s="20"/>
      <c r="W124" s="20"/>
      <c r="X124" s="20"/>
      <c r="Y124" s="20"/>
      <c r="Z124" s="20"/>
      <c r="AA124" s="20"/>
      <c r="AB124" s="20"/>
      <c r="AC124" s="20"/>
      <c r="AD124" s="20"/>
      <c r="AE124" s="20"/>
    </row>
    <row r="125" spans="2:31" x14ac:dyDescent="0.2">
      <c r="B125" s="20" t="s">
        <v>307</v>
      </c>
      <c r="C125" s="112" t="e">
        <f>C10/C12</f>
        <v>#DIV/0!</v>
      </c>
      <c r="D125" s="112" t="e">
        <f>D10/D12</f>
        <v>#DIV/0!</v>
      </c>
      <c r="E125" s="112" t="e">
        <f>E10/E12</f>
        <v>#DIV/0!</v>
      </c>
      <c r="F125" s="112">
        <f>F10/F12</f>
        <v>24.29724770642202</v>
      </c>
      <c r="G125" s="112">
        <f>G10/G12</f>
        <v>25.633825944170773</v>
      </c>
      <c r="H125" s="112">
        <f t="shared" ref="H125:P125" si="213">H10/H12</f>
        <v>2.8460793804453051</v>
      </c>
      <c r="I125" s="112">
        <f t="shared" si="213"/>
        <v>2.6632581919590983</v>
      </c>
      <c r="J125" s="112">
        <f t="shared" si="213"/>
        <v>2.0204409402832528</v>
      </c>
      <c r="K125" s="112">
        <f t="shared" si="213"/>
        <v>2.0796223958333333</v>
      </c>
      <c r="L125" s="112">
        <f t="shared" si="213"/>
        <v>2.3446177033215467</v>
      </c>
      <c r="M125" s="112">
        <f t="shared" si="213"/>
        <v>2.8506728133565913</v>
      </c>
      <c r="N125" s="112">
        <f t="shared" si="213"/>
        <v>2.8896416573348263</v>
      </c>
      <c r="O125" s="112">
        <f t="shared" si="213"/>
        <v>3.1193411088386491</v>
      </c>
      <c r="P125" s="112">
        <f t="shared" si="213"/>
        <v>3.5650070551368014</v>
      </c>
      <c r="Q125" s="118">
        <f t="shared" si="212"/>
        <v>-0.19683418007163356</v>
      </c>
      <c r="R125" s="20"/>
      <c r="S125" s="20"/>
      <c r="T125" s="20"/>
      <c r="U125" s="20"/>
      <c r="V125" s="20"/>
      <c r="W125" s="20"/>
      <c r="X125" s="20"/>
      <c r="Y125" s="20"/>
      <c r="Z125" s="20"/>
      <c r="AA125" s="20"/>
      <c r="AB125" s="20"/>
      <c r="AC125" s="20"/>
      <c r="AD125" s="20"/>
      <c r="AE125" s="20"/>
    </row>
    <row r="126" spans="2:31" x14ac:dyDescent="0.2">
      <c r="B126" s="20" t="s">
        <v>308</v>
      </c>
      <c r="C126" s="25" t="e">
        <f>C10/(C12+C13)</f>
        <v>#DIV/0!</v>
      </c>
      <c r="D126" s="25" t="e">
        <f>D10/(D12+D13)</f>
        <v>#DIV/0!</v>
      </c>
      <c r="E126" s="25" t="e">
        <f>E10/(E12+E13)</f>
        <v>#DIV/0!</v>
      </c>
      <c r="F126" s="25">
        <f>F10/(F12+F13)</f>
        <v>3.1438746438746437</v>
      </c>
      <c r="G126" s="25">
        <f>G10/(G12+G13)</f>
        <v>0.86983897030144319</v>
      </c>
      <c r="H126" s="25">
        <f t="shared" ref="H126:P126" si="214">H10/(H12+H13)</f>
        <v>0.65688538020406639</v>
      </c>
      <c r="I126" s="25">
        <f t="shared" si="214"/>
        <v>0.842709022722259</v>
      </c>
      <c r="J126" s="25">
        <f t="shared" si="214"/>
        <v>0.95963938973647711</v>
      </c>
      <c r="K126" s="25">
        <f t="shared" si="214"/>
        <v>1.1088624292706635</v>
      </c>
      <c r="L126" s="25">
        <f t="shared" si="214"/>
        <v>1.3972777835354269</v>
      </c>
      <c r="M126" s="25">
        <f t="shared" si="214"/>
        <v>1.6442919256890294</v>
      </c>
      <c r="N126" s="25">
        <f t="shared" si="214"/>
        <v>1.9685318686348552</v>
      </c>
      <c r="O126" s="25">
        <f t="shared" si="214"/>
        <v>2.2906315960383181</v>
      </c>
      <c r="P126" s="25">
        <f t="shared" si="214"/>
        <v>2.5954316010648797</v>
      </c>
      <c r="Q126" s="118">
        <f t="shared" si="212"/>
        <v>0.1291517267961646</v>
      </c>
      <c r="R126" s="20"/>
      <c r="S126" s="20"/>
      <c r="T126" s="20"/>
      <c r="U126" s="20"/>
      <c r="V126" s="20"/>
      <c r="W126" s="20"/>
      <c r="X126" s="20"/>
      <c r="Y126" s="20"/>
      <c r="Z126" s="20"/>
      <c r="AA126" s="20"/>
      <c r="AB126" s="20"/>
      <c r="AC126" s="20"/>
      <c r="AD126" s="20"/>
      <c r="AE126" s="20"/>
    </row>
    <row r="127" spans="2:31" x14ac:dyDescent="0.2">
      <c r="B127" s="20"/>
      <c r="C127" s="20"/>
      <c r="D127" s="20"/>
      <c r="E127" s="20"/>
      <c r="F127" s="20"/>
      <c r="G127" s="20"/>
      <c r="H127" s="20"/>
      <c r="I127" s="20"/>
      <c r="J127" s="20"/>
      <c r="K127" s="20"/>
      <c r="L127" s="20"/>
      <c r="M127" s="20"/>
      <c r="N127" s="20"/>
      <c r="O127" s="20"/>
      <c r="P127" s="20"/>
      <c r="Q127" s="20"/>
      <c r="R127" s="20"/>
      <c r="S127" s="20"/>
      <c r="T127" s="20"/>
      <c r="U127" s="20"/>
      <c r="V127" s="20"/>
      <c r="W127" s="20"/>
      <c r="X127" s="20"/>
      <c r="Y127" s="20"/>
      <c r="Z127" s="20"/>
      <c r="AA127" s="20"/>
      <c r="AB127" s="20"/>
      <c r="AC127" s="20"/>
      <c r="AD127" s="20"/>
      <c r="AE127" s="20"/>
    </row>
    <row r="128" spans="2:31" x14ac:dyDescent="0.2">
      <c r="B128" s="20"/>
      <c r="C128" s="20"/>
      <c r="D128" s="20"/>
      <c r="E128" s="20"/>
      <c r="F128" s="20"/>
      <c r="G128" s="20"/>
      <c r="H128" s="20"/>
      <c r="I128" s="20"/>
      <c r="J128" s="20"/>
      <c r="K128" s="20"/>
      <c r="L128" s="20"/>
      <c r="M128" s="20"/>
      <c r="N128" s="20"/>
      <c r="O128" s="20"/>
      <c r="P128" s="20"/>
      <c r="Q128" s="20"/>
      <c r="R128" s="20"/>
      <c r="S128" s="20"/>
      <c r="T128" s="20"/>
      <c r="U128" s="20"/>
      <c r="V128" s="20"/>
      <c r="W128" s="20"/>
      <c r="X128" s="20"/>
      <c r="Y128" s="20"/>
      <c r="Z128" s="20"/>
      <c r="AA128" s="20"/>
      <c r="AB128" s="20"/>
      <c r="AC128" s="20"/>
      <c r="AD128" s="20"/>
      <c r="AE128" s="20"/>
    </row>
    <row r="129" spans="2:31" x14ac:dyDescent="0.2">
      <c r="B129" s="20"/>
      <c r="C129" s="20"/>
      <c r="D129" s="20"/>
      <c r="E129" s="20"/>
      <c r="F129" s="20"/>
      <c r="G129" s="20"/>
      <c r="H129" s="20"/>
      <c r="I129" s="20"/>
      <c r="J129" s="20"/>
      <c r="K129" s="20"/>
      <c r="L129" s="20"/>
      <c r="M129" s="20"/>
      <c r="N129" s="20"/>
      <c r="O129" s="20"/>
      <c r="P129" s="20"/>
      <c r="Q129" s="20"/>
      <c r="R129" s="20"/>
      <c r="S129" s="20"/>
      <c r="T129" s="20"/>
      <c r="U129" s="20"/>
      <c r="V129" s="20"/>
      <c r="W129" s="20"/>
      <c r="X129" s="20"/>
      <c r="Y129" s="20"/>
      <c r="Z129" s="20"/>
      <c r="AA129" s="20"/>
      <c r="AB129" s="20"/>
      <c r="AC129" s="20"/>
      <c r="AD129" s="20"/>
      <c r="AE129" s="20"/>
    </row>
    <row r="130" spans="2:31" x14ac:dyDescent="0.2"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  <c r="M130" s="20"/>
      <c r="N130" s="20"/>
      <c r="O130" s="20"/>
      <c r="P130" s="20"/>
      <c r="Q130" s="20"/>
      <c r="R130" s="20"/>
      <c r="S130" s="20"/>
      <c r="T130" s="20"/>
      <c r="U130" s="20"/>
      <c r="V130" s="20"/>
      <c r="W130" s="20"/>
      <c r="X130" s="20"/>
      <c r="Y130" s="20"/>
      <c r="Z130" s="20"/>
      <c r="AA130" s="20"/>
      <c r="AB130" s="20"/>
      <c r="AC130" s="20"/>
      <c r="AD130" s="20"/>
      <c r="AE130" s="20"/>
    </row>
    <row r="131" spans="2:31" x14ac:dyDescent="0.2">
      <c r="B131" s="20"/>
      <c r="C131" s="20"/>
      <c r="D131" s="20"/>
      <c r="E131" s="20"/>
      <c r="F131" s="20"/>
      <c r="G131" s="20"/>
      <c r="H131" s="20"/>
      <c r="I131" s="20"/>
      <c r="J131" s="20"/>
      <c r="K131" s="20"/>
      <c r="L131" s="20"/>
      <c r="M131" s="20"/>
      <c r="N131" s="20"/>
      <c r="O131" s="20"/>
      <c r="P131" s="20"/>
      <c r="Q131" s="20"/>
      <c r="R131" s="20"/>
      <c r="S131" s="20"/>
      <c r="T131" s="20"/>
      <c r="U131" s="20"/>
      <c r="V131" s="20"/>
      <c r="W131" s="20"/>
      <c r="X131" s="20"/>
      <c r="Y131" s="20"/>
      <c r="Z131" s="20"/>
      <c r="AA131" s="20"/>
      <c r="AB131" s="20"/>
      <c r="AC131" s="20"/>
      <c r="AD131" s="20"/>
      <c r="AE131" s="20"/>
    </row>
  </sheetData>
  <mergeCells count="2">
    <mergeCell ref="AD2:AE2"/>
    <mergeCell ref="AD3:AE3"/>
  </mergeCells>
  <pageMargins left="0.7" right="0.7" top="0.75" bottom="0.75" header="0.3" footer="0.3"/>
  <pageSetup orientation="portrait" r:id="rId1"/>
  <ignoredErrors>
    <ignoredError sqref="C112" evalError="1"/>
    <ignoredError sqref="P26" formula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3:J36"/>
  <sheetViews>
    <sheetView topLeftCell="D1" zoomScale="80" zoomScaleNormal="80" workbookViewId="0">
      <selection activeCell="F33" sqref="F33"/>
    </sheetView>
  </sheetViews>
  <sheetFormatPr defaultRowHeight="15" x14ac:dyDescent="0.3"/>
  <cols>
    <col min="1" max="2" width="9.140625" style="6"/>
    <col min="3" max="3" width="37.7109375" style="6" bestFit="1" customWidth="1"/>
    <col min="4" max="9" width="16" style="6" bestFit="1" customWidth="1"/>
    <col min="10" max="16384" width="9.140625" style="6"/>
  </cols>
  <sheetData>
    <row r="3" spans="3:9" x14ac:dyDescent="0.3">
      <c r="D3" s="6" t="s">
        <v>6</v>
      </c>
      <c r="E3" s="6" t="s">
        <v>11</v>
      </c>
      <c r="F3" s="6" t="s">
        <v>12</v>
      </c>
      <c r="G3" s="6" t="s">
        <v>13</v>
      </c>
      <c r="H3" s="6" t="s">
        <v>14</v>
      </c>
      <c r="I3" s="6" t="s">
        <v>15</v>
      </c>
    </row>
    <row r="4" spans="3:9" x14ac:dyDescent="0.3">
      <c r="D4" s="6" t="s">
        <v>5</v>
      </c>
      <c r="E4" s="7">
        <v>0.05</v>
      </c>
      <c r="F4" s="7">
        <v>0.05</v>
      </c>
      <c r="G4" s="7">
        <v>0.05</v>
      </c>
      <c r="H4" s="7">
        <v>0.05</v>
      </c>
      <c r="I4" s="7">
        <v>0.05</v>
      </c>
    </row>
    <row r="5" spans="3:9" x14ac:dyDescent="0.3">
      <c r="C5" s="6" t="s">
        <v>16</v>
      </c>
      <c r="D5" s="8">
        <v>8916.5400000000009</v>
      </c>
      <c r="E5" s="10">
        <f>D5*(1+E4)</f>
        <v>9362.367000000002</v>
      </c>
      <c r="F5" s="10">
        <f t="shared" ref="F5:I5" si="0">E5*(1+F4)</f>
        <v>9830.4853500000027</v>
      </c>
      <c r="G5" s="10">
        <f t="shared" si="0"/>
        <v>10322.009617500004</v>
      </c>
      <c r="H5" s="10">
        <f t="shared" si="0"/>
        <v>10838.110098375004</v>
      </c>
      <c r="I5" s="10">
        <f t="shared" si="0"/>
        <v>11380.015603293754</v>
      </c>
    </row>
    <row r="6" spans="3:9" x14ac:dyDescent="0.3">
      <c r="C6" s="6" t="s">
        <v>17</v>
      </c>
      <c r="D6" s="8">
        <v>10910.34</v>
      </c>
      <c r="E6" s="9"/>
      <c r="F6" s="9"/>
      <c r="G6" s="9"/>
      <c r="H6" s="9"/>
      <c r="I6" s="9"/>
    </row>
    <row r="7" spans="3:9" x14ac:dyDescent="0.3">
      <c r="C7" s="6" t="s">
        <v>4</v>
      </c>
      <c r="D7" s="8">
        <v>141489.62</v>
      </c>
      <c r="E7" s="9"/>
      <c r="F7" s="9"/>
      <c r="G7" s="9"/>
      <c r="H7" s="9"/>
      <c r="I7" s="9"/>
    </row>
    <row r="8" spans="3:9" x14ac:dyDescent="0.3">
      <c r="C8" s="6" t="s">
        <v>2</v>
      </c>
      <c r="D8" s="8">
        <v>0</v>
      </c>
      <c r="E8" s="9"/>
      <c r="F8" s="9"/>
      <c r="G8" s="9"/>
      <c r="H8" s="9"/>
      <c r="I8" s="9"/>
    </row>
    <row r="9" spans="3:9" x14ac:dyDescent="0.3">
      <c r="C9" s="6" t="s">
        <v>19</v>
      </c>
      <c r="D9" s="8">
        <v>0</v>
      </c>
      <c r="E9" s="9"/>
      <c r="F9" s="9"/>
      <c r="G9" s="9"/>
      <c r="H9" s="9"/>
      <c r="I9" s="9"/>
    </row>
    <row r="10" spans="3:9" x14ac:dyDescent="0.3">
      <c r="C10" s="6" t="s">
        <v>23</v>
      </c>
      <c r="D10" s="15">
        <v>0</v>
      </c>
      <c r="E10" s="9"/>
      <c r="F10" s="9"/>
      <c r="G10" s="9"/>
      <c r="H10" s="9"/>
      <c r="I10" s="9"/>
    </row>
    <row r="11" spans="3:9" x14ac:dyDescent="0.3">
      <c r="C11" s="6" t="s">
        <v>78</v>
      </c>
      <c r="D11" s="15">
        <v>125588.57</v>
      </c>
      <c r="E11" s="9"/>
      <c r="F11" s="9"/>
      <c r="G11" s="9"/>
      <c r="H11" s="9"/>
      <c r="I11" s="9"/>
    </row>
    <row r="12" spans="3:9" x14ac:dyDescent="0.3">
      <c r="C12" s="6" t="s">
        <v>79</v>
      </c>
      <c r="D12" s="15">
        <v>90330.39</v>
      </c>
      <c r="E12" s="9"/>
      <c r="F12" s="9"/>
      <c r="G12" s="9"/>
      <c r="H12" s="9"/>
      <c r="I12" s="9"/>
    </row>
    <row r="13" spans="3:9" x14ac:dyDescent="0.3">
      <c r="C13" s="6" t="s">
        <v>80</v>
      </c>
      <c r="D13" s="102">
        <f>D12-D11</f>
        <v>-35258.180000000008</v>
      </c>
      <c r="E13" s="9"/>
      <c r="F13" s="9"/>
      <c r="G13" s="9"/>
      <c r="H13" s="9"/>
      <c r="I13" s="9"/>
    </row>
    <row r="14" spans="3:9" x14ac:dyDescent="0.3">
      <c r="C14" s="6" t="s">
        <v>3</v>
      </c>
      <c r="D14" s="8">
        <v>429770000</v>
      </c>
      <c r="E14" s="8">
        <f>D14</f>
        <v>429770000</v>
      </c>
      <c r="F14" s="8">
        <f t="shared" ref="F14:I14" si="1">E14</f>
        <v>429770000</v>
      </c>
      <c r="G14" s="8">
        <f t="shared" si="1"/>
        <v>429770000</v>
      </c>
      <c r="H14" s="8">
        <f t="shared" si="1"/>
        <v>429770000</v>
      </c>
      <c r="I14" s="8">
        <f t="shared" si="1"/>
        <v>429770000</v>
      </c>
    </row>
    <row r="15" spans="3:9" x14ac:dyDescent="0.3">
      <c r="D15" s="9"/>
      <c r="E15" s="9"/>
      <c r="F15" s="9"/>
      <c r="G15" s="9"/>
      <c r="H15" s="9"/>
      <c r="I15" s="9"/>
    </row>
    <row r="16" spans="3:9" x14ac:dyDescent="0.3">
      <c r="C16" s="6" t="s">
        <v>7</v>
      </c>
      <c r="D16" s="9">
        <v>10000000</v>
      </c>
      <c r="E16" s="9">
        <v>10000000</v>
      </c>
      <c r="F16" s="9">
        <v>10000000</v>
      </c>
      <c r="G16" s="9">
        <v>10000000</v>
      </c>
      <c r="H16" s="9">
        <v>10000000</v>
      </c>
      <c r="I16" s="9">
        <v>10000000</v>
      </c>
    </row>
    <row r="17" spans="3:10" x14ac:dyDescent="0.3">
      <c r="D17" s="9"/>
      <c r="E17" s="9"/>
      <c r="F17" s="9"/>
      <c r="G17" s="9"/>
      <c r="H17" s="9"/>
      <c r="I17" s="9"/>
    </row>
    <row r="18" spans="3:10" x14ac:dyDescent="0.3">
      <c r="C18" s="6" t="s">
        <v>18</v>
      </c>
      <c r="D18" s="9">
        <f t="shared" ref="D18:I18" si="2">(D5*D16)/D14</f>
        <v>207.4723689415269</v>
      </c>
      <c r="E18" s="14">
        <f t="shared" si="2"/>
        <v>217.84598738860325</v>
      </c>
      <c r="F18" s="14">
        <f t="shared" si="2"/>
        <v>228.73828675803344</v>
      </c>
      <c r="G18" s="14">
        <f t="shared" si="2"/>
        <v>240.17520109593511</v>
      </c>
      <c r="H18" s="14">
        <f t="shared" si="2"/>
        <v>252.1839611507319</v>
      </c>
      <c r="I18" s="14">
        <f t="shared" si="2"/>
        <v>264.79315920826849</v>
      </c>
    </row>
    <row r="19" spans="3:10" x14ac:dyDescent="0.3">
      <c r="C19" s="6" t="s">
        <v>8</v>
      </c>
      <c r="D19" s="9">
        <f>(D6*D16)/D14</f>
        <v>253.86462526467645</v>
      </c>
      <c r="E19" s="9"/>
      <c r="F19" s="9"/>
      <c r="G19" s="9"/>
      <c r="H19" s="9"/>
      <c r="I19" s="9"/>
    </row>
    <row r="20" spans="3:10" x14ac:dyDescent="0.3">
      <c r="C20" s="6" t="s">
        <v>9</v>
      </c>
      <c r="D20" s="9">
        <f>(D7*D16)/D14</f>
        <v>3292.2172324731832</v>
      </c>
      <c r="E20" s="9"/>
      <c r="F20" s="9"/>
      <c r="G20" s="9"/>
      <c r="H20" s="9"/>
      <c r="I20" s="9"/>
    </row>
    <row r="21" spans="3:10" x14ac:dyDescent="0.3">
      <c r="C21" s="6" t="s">
        <v>10</v>
      </c>
      <c r="D21" s="9">
        <f>(D8*D16)/D14</f>
        <v>0</v>
      </c>
      <c r="E21" s="9"/>
      <c r="F21" s="9"/>
      <c r="G21" s="9"/>
      <c r="H21" s="9"/>
      <c r="I21" s="9"/>
    </row>
    <row r="23" spans="3:10" x14ac:dyDescent="0.3">
      <c r="C23" s="6" t="s">
        <v>22</v>
      </c>
      <c r="D23" s="13">
        <f>(D9*D16)/D14</f>
        <v>0</v>
      </c>
    </row>
    <row r="25" spans="3:10" x14ac:dyDescent="0.3">
      <c r="C25" s="6" t="s">
        <v>24</v>
      </c>
      <c r="D25" s="16">
        <f>(D10*D16)/D14</f>
        <v>0</v>
      </c>
    </row>
    <row r="27" spans="3:10" x14ac:dyDescent="0.3">
      <c r="C27" s="99" t="s">
        <v>83</v>
      </c>
    </row>
    <row r="28" spans="3:10" x14ac:dyDescent="0.3">
      <c r="C28" s="6" t="s">
        <v>82</v>
      </c>
      <c r="D28" s="100">
        <f>(D11*D16)/D14</f>
        <v>2922.2274705074806</v>
      </c>
    </row>
    <row r="29" spans="3:10" x14ac:dyDescent="0.3">
      <c r="C29" s="6" t="s">
        <v>84</v>
      </c>
      <c r="D29" s="100">
        <f>(D12*D16)/D14</f>
        <v>2101.8309793610538</v>
      </c>
    </row>
    <row r="30" spans="3:10" x14ac:dyDescent="0.3">
      <c r="C30" s="6" t="s">
        <v>85</v>
      </c>
      <c r="D30" s="13">
        <f>(D13*D16)/D14</f>
        <v>-820.39649114642725</v>
      </c>
      <c r="I30" s="6" t="s">
        <v>86</v>
      </c>
      <c r="J30" s="101">
        <v>0.71</v>
      </c>
    </row>
    <row r="31" spans="3:10" x14ac:dyDescent="0.3">
      <c r="C31" s="6" t="s">
        <v>81</v>
      </c>
      <c r="D31" s="98">
        <f>D12/D11</f>
        <v>0.71925645781299996</v>
      </c>
    </row>
    <row r="34" spans="3:4" x14ac:dyDescent="0.3">
      <c r="C34" s="1" t="s">
        <v>20</v>
      </c>
      <c r="D34" s="1" t="s">
        <v>21</v>
      </c>
    </row>
    <row r="35" spans="3:4" x14ac:dyDescent="0.3">
      <c r="C35" s="11">
        <v>1</v>
      </c>
      <c r="D35" s="12">
        <f>C35/10</f>
        <v>0.1</v>
      </c>
    </row>
    <row r="36" spans="3:4" x14ac:dyDescent="0.3">
      <c r="C36" s="1"/>
      <c r="D36" s="1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Q45"/>
  <sheetViews>
    <sheetView topLeftCell="A25" zoomScale="80" zoomScaleNormal="80" workbookViewId="0">
      <selection activeCell="M5" sqref="M5:N10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2851562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11.5703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14" x14ac:dyDescent="0.3">
      <c r="D2" s="6" t="s">
        <v>64</v>
      </c>
    </row>
    <row r="3" spans="2:14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14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14" ht="15.75" x14ac:dyDescent="0.3">
      <c r="B5" s="18">
        <v>1</v>
      </c>
      <c r="C5" s="1">
        <v>2001</v>
      </c>
      <c r="D5" s="1">
        <v>2.61</v>
      </c>
      <c r="E5" s="1"/>
      <c r="F5" s="1"/>
      <c r="G5" s="1">
        <v>115.93</v>
      </c>
      <c r="J5" s="169" t="s">
        <v>27</v>
      </c>
      <c r="K5" s="169"/>
      <c r="M5" s="169" t="s">
        <v>65</v>
      </c>
      <c r="N5" s="169"/>
    </row>
    <row r="6" spans="2:14" x14ac:dyDescent="0.3">
      <c r="B6" s="18">
        <v>2</v>
      </c>
      <c r="C6" s="1">
        <v>2002</v>
      </c>
      <c r="D6" s="1">
        <v>5.18</v>
      </c>
      <c r="E6" s="1"/>
      <c r="F6" s="1"/>
      <c r="G6" s="1">
        <v>230.21</v>
      </c>
      <c r="J6" s="20" t="s">
        <v>28</v>
      </c>
      <c r="K6" s="21">
        <v>2.61</v>
      </c>
      <c r="M6" s="29" t="s">
        <v>41</v>
      </c>
      <c r="N6" s="54">
        <v>38911</v>
      </c>
    </row>
    <row r="7" spans="2:14" x14ac:dyDescent="0.3">
      <c r="B7" s="18">
        <v>3</v>
      </c>
      <c r="C7" s="1">
        <v>2003</v>
      </c>
      <c r="D7" s="1">
        <v>9.35</v>
      </c>
      <c r="E7" s="1"/>
      <c r="F7" s="1"/>
      <c r="G7" s="1">
        <v>416.1</v>
      </c>
      <c r="J7" s="20" t="s">
        <v>29</v>
      </c>
      <c r="K7" s="21">
        <v>203.28</v>
      </c>
      <c r="M7" s="29" t="s">
        <v>38</v>
      </c>
      <c r="N7" s="31">
        <v>0.15</v>
      </c>
    </row>
    <row r="8" spans="2:14" x14ac:dyDescent="0.3">
      <c r="B8" s="18">
        <v>4</v>
      </c>
      <c r="C8" s="1">
        <v>2004</v>
      </c>
      <c r="D8" s="1">
        <v>9.41</v>
      </c>
      <c r="E8" s="1"/>
      <c r="F8" s="1"/>
      <c r="G8" s="1">
        <v>512.76</v>
      </c>
      <c r="J8" s="20" t="s">
        <v>30</v>
      </c>
      <c r="K8" s="22">
        <v>20</v>
      </c>
      <c r="M8" s="29" t="s">
        <v>39</v>
      </c>
      <c r="N8" s="32">
        <v>14</v>
      </c>
    </row>
    <row r="9" spans="2:14" x14ac:dyDescent="0.3">
      <c r="B9" s="18">
        <v>5</v>
      </c>
      <c r="C9" s="1">
        <v>2005</v>
      </c>
      <c r="D9" s="1">
        <v>11.96</v>
      </c>
      <c r="E9" s="1"/>
      <c r="F9" s="1"/>
      <c r="G9" s="1">
        <v>651.36</v>
      </c>
      <c r="J9" s="23" t="s">
        <v>31</v>
      </c>
      <c r="K9" s="3">
        <f>((K7/K6)^(1/K8))-1</f>
        <v>0.24329076344312006</v>
      </c>
      <c r="M9" s="29" t="s">
        <v>40</v>
      </c>
      <c r="N9" s="30">
        <v>0</v>
      </c>
    </row>
    <row r="10" spans="2:14" x14ac:dyDescent="0.3">
      <c r="B10" s="18">
        <v>6</v>
      </c>
      <c r="C10" s="1">
        <v>2006</v>
      </c>
      <c r="D10" s="1">
        <v>14.38</v>
      </c>
      <c r="E10" s="1"/>
      <c r="F10" s="1"/>
      <c r="G10" s="1">
        <v>783.34</v>
      </c>
      <c r="J10" s="23" t="s">
        <v>32</v>
      </c>
      <c r="K10" s="24">
        <v>140</v>
      </c>
      <c r="M10" s="34" t="s">
        <v>66</v>
      </c>
      <c r="N10" s="55">
        <f>PV(N7,N8,N9,-N6)</f>
        <v>5499.2394108985745</v>
      </c>
    </row>
    <row r="11" spans="2:14" x14ac:dyDescent="0.3">
      <c r="B11" s="18">
        <v>7</v>
      </c>
      <c r="C11" s="1">
        <v>2007</v>
      </c>
      <c r="D11" s="1">
        <v>18.510000000000002</v>
      </c>
      <c r="E11" s="1"/>
      <c r="F11" s="1"/>
      <c r="G11" s="1">
        <v>1008.43</v>
      </c>
      <c r="J11" s="20" t="s">
        <v>30</v>
      </c>
      <c r="K11" s="25">
        <f>K10/12</f>
        <v>11.666666666666666</v>
      </c>
    </row>
    <row r="12" spans="2:14" x14ac:dyDescent="0.3">
      <c r="B12" s="18">
        <v>8</v>
      </c>
      <c r="C12" s="1">
        <v>2008</v>
      </c>
      <c r="D12" s="1">
        <v>22.07</v>
      </c>
      <c r="E12" s="1"/>
      <c r="F12" s="1"/>
      <c r="G12" s="1">
        <v>1202.3399999999999</v>
      </c>
      <c r="J12" s="23" t="s">
        <v>33</v>
      </c>
      <c r="K12" s="3">
        <f>((K7/K6)^(1/K11))-1</f>
        <v>0.45252842827596251</v>
      </c>
    </row>
    <row r="13" spans="2:14" x14ac:dyDescent="0.3">
      <c r="B13" s="18">
        <v>9</v>
      </c>
      <c r="C13" s="1">
        <v>2009</v>
      </c>
      <c r="D13" s="1">
        <v>24.34</v>
      </c>
      <c r="E13" s="1"/>
      <c r="F13" s="1"/>
      <c r="G13" s="1">
        <v>1325.79</v>
      </c>
    </row>
    <row r="14" spans="2:14" ht="15.75" x14ac:dyDescent="0.3">
      <c r="B14" s="18">
        <v>10</v>
      </c>
      <c r="C14" s="1">
        <v>2010</v>
      </c>
      <c r="D14" s="1">
        <v>12.98</v>
      </c>
      <c r="E14" s="1"/>
      <c r="F14" s="1"/>
      <c r="G14" s="1">
        <v>706.96</v>
      </c>
      <c r="J14" s="169" t="s">
        <v>36</v>
      </c>
      <c r="K14" s="169"/>
      <c r="L14" s="169"/>
    </row>
    <row r="15" spans="2:14" x14ac:dyDescent="0.3">
      <c r="B15" s="18">
        <v>11</v>
      </c>
      <c r="C15" s="1">
        <v>2011</v>
      </c>
      <c r="D15" s="1">
        <v>17.329999999999998</v>
      </c>
      <c r="E15" s="1"/>
      <c r="F15" s="1"/>
      <c r="G15" s="1">
        <v>1072.1300000000001</v>
      </c>
      <c r="J15" s="29" t="s">
        <v>37</v>
      </c>
      <c r="K15" s="29"/>
      <c r="L15" s="30">
        <v>100000</v>
      </c>
    </row>
    <row r="16" spans="2:14" x14ac:dyDescent="0.3">
      <c r="B16" s="18">
        <v>12</v>
      </c>
      <c r="C16" s="1">
        <v>2012</v>
      </c>
      <c r="D16" s="1">
        <v>13.18</v>
      </c>
      <c r="E16" s="1"/>
      <c r="F16" s="1"/>
      <c r="G16" s="1">
        <v>1050.1300000000001</v>
      </c>
      <c r="J16" s="29" t="s">
        <v>38</v>
      </c>
      <c r="K16" s="29"/>
      <c r="L16" s="31">
        <v>0.15</v>
      </c>
    </row>
    <row r="17" spans="1:17" x14ac:dyDescent="0.3">
      <c r="B17" s="18"/>
      <c r="C17" s="1"/>
      <c r="D17" s="1"/>
      <c r="E17" s="1"/>
      <c r="F17" s="1"/>
      <c r="G17" s="1"/>
      <c r="J17" s="29" t="s">
        <v>39</v>
      </c>
      <c r="K17" s="29"/>
      <c r="L17" s="32">
        <v>10</v>
      </c>
    </row>
    <row r="18" spans="1:17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J18" s="29" t="s">
        <v>40</v>
      </c>
      <c r="K18" s="29"/>
      <c r="L18" s="33">
        <v>0</v>
      </c>
    </row>
    <row r="19" spans="1:17" x14ac:dyDescent="0.3">
      <c r="B19" s="18"/>
      <c r="C19" s="1" t="s">
        <v>43</v>
      </c>
      <c r="D19" s="1"/>
      <c r="E19" s="1"/>
      <c r="F19" s="1">
        <v>4</v>
      </c>
      <c r="G19" s="1"/>
      <c r="J19" s="34" t="s">
        <v>41</v>
      </c>
      <c r="K19" s="34"/>
      <c r="L19" s="29">
        <f>FV(L16,L17,L18,-L15)</f>
        <v>404555.77357079065</v>
      </c>
    </row>
    <row r="20" spans="1:17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17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17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17" x14ac:dyDescent="0.3">
      <c r="B23" s="18" t="s">
        <v>46</v>
      </c>
      <c r="C23" s="1"/>
      <c r="D23" s="4">
        <v>0.1125</v>
      </c>
      <c r="E23" s="4"/>
      <c r="F23" s="1"/>
      <c r="G23" s="1"/>
    </row>
    <row r="27" spans="1:17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17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67</v>
      </c>
      <c r="P28" s="28" t="s">
        <v>59</v>
      </c>
      <c r="Q28" s="28" t="s">
        <v>60</v>
      </c>
    </row>
    <row r="29" spans="1:17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27"/>
      <c r="P29" s="1"/>
      <c r="Q29" s="1"/>
    </row>
    <row r="30" spans="1:17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>H30/G30</f>
        <v>0.12446159783867232</v>
      </c>
      <c r="L30" s="27"/>
      <c r="M30" s="47"/>
      <c r="N30" s="27"/>
      <c r="O30" s="27"/>
      <c r="P30" s="1"/>
      <c r="Q30" s="1"/>
    </row>
    <row r="31" spans="1:17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0">E31/10000000</f>
        <v>44.48</v>
      </c>
      <c r="G31" s="44">
        <f t="shared" ref="G31:G41" si="1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v>0.09</v>
      </c>
      <c r="L31" s="48">
        <f>K31*J31</f>
        <v>6.9074999999999998E-2</v>
      </c>
      <c r="M31" s="49">
        <v>25.46</v>
      </c>
      <c r="N31" s="45">
        <f>H31</f>
        <v>5.18</v>
      </c>
      <c r="O31" s="45"/>
      <c r="P31" s="50">
        <f>N31*I31</f>
        <v>1.20435</v>
      </c>
      <c r="Q31" s="50">
        <f>N31*J31</f>
        <v>3.9756499999999995</v>
      </c>
    </row>
    <row r="32" spans="1:17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0"/>
        <v>44.48</v>
      </c>
      <c r="G32" s="40">
        <f t="shared" si="1"/>
        <v>32.814523381294961</v>
      </c>
      <c r="H32" s="27">
        <v>9.35</v>
      </c>
      <c r="I32" s="46">
        <f t="shared" ref="I32:I41" si="2">100%-J32</f>
        <v>0.19359999999999999</v>
      </c>
      <c r="J32" s="43">
        <v>0.80640000000000001</v>
      </c>
      <c r="K32" s="43">
        <f t="shared" ref="K32:K41" si="3">H32/G32</f>
        <v>0.28493481046047181</v>
      </c>
      <c r="L32" s="27"/>
      <c r="M32" s="47">
        <f>G31*(1+$L$31)</f>
        <v>27.222716215152882</v>
      </c>
      <c r="N32" s="39">
        <f>N31*(1+$K$31)</f>
        <v>5.6462000000000003</v>
      </c>
      <c r="O32" s="42">
        <f>(N32-H32)/H32</f>
        <v>-0.39612834224598925</v>
      </c>
      <c r="P32" s="2">
        <f>P31*(1+$K$31)</f>
        <v>1.3127415000000002</v>
      </c>
      <c r="Q32" s="2">
        <f>Q31*(1+$K$31)</f>
        <v>4.3334584999999999</v>
      </c>
    </row>
    <row r="33" spans="2:17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0"/>
        <v>44.48</v>
      </c>
      <c r="G33" s="40">
        <f t="shared" si="1"/>
        <v>46.787095323741013</v>
      </c>
      <c r="H33" s="27">
        <v>9.41</v>
      </c>
      <c r="I33" s="46">
        <f t="shared" si="2"/>
        <v>0.24050000000000005</v>
      </c>
      <c r="J33" s="43">
        <v>0.75949999999999995</v>
      </c>
      <c r="K33" s="43">
        <f t="shared" si="3"/>
        <v>0.20112383414460688</v>
      </c>
      <c r="L33" s="27"/>
      <c r="M33" s="47">
        <f>M32*(1+$L$31)</f>
        <v>29.103125337714566</v>
      </c>
      <c r="N33" s="39">
        <f t="shared" ref="N33:N41" si="4">N32*(1+$K$31)</f>
        <v>6.1543580000000011</v>
      </c>
      <c r="O33" s="42">
        <f t="shared" ref="O33:O41" si="5">(N33-H33)/H33</f>
        <v>-0.34597683315621669</v>
      </c>
      <c r="P33" s="1"/>
      <c r="Q33" s="1"/>
    </row>
    <row r="34" spans="2:17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0"/>
        <v>54.48</v>
      </c>
      <c r="G34" s="40">
        <f t="shared" si="1"/>
        <v>47.268538913362704</v>
      </c>
      <c r="H34" s="27">
        <v>11.96</v>
      </c>
      <c r="I34" s="46">
        <f t="shared" si="2"/>
        <v>0.22970000000000002</v>
      </c>
      <c r="J34" s="43">
        <v>0.77029999999999998</v>
      </c>
      <c r="K34" s="43">
        <f t="shared" si="3"/>
        <v>0.25302241776334949</v>
      </c>
      <c r="L34" s="27"/>
      <c r="M34" s="47">
        <f t="shared" ref="M34:M41" si="6">M33*(1+$L$31)</f>
        <v>31.113423720417199</v>
      </c>
      <c r="N34" s="39">
        <f t="shared" si="4"/>
        <v>6.7082502200000018</v>
      </c>
      <c r="O34" s="42">
        <f t="shared" si="5"/>
        <v>-0.43910951337792631</v>
      </c>
      <c r="P34" s="1"/>
      <c r="Q34" s="1"/>
    </row>
    <row r="35" spans="2:17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0"/>
        <v>54.48</v>
      </c>
      <c r="G35" s="40">
        <f t="shared" si="1"/>
        <v>583.17621145374449</v>
      </c>
      <c r="H35" s="27">
        <v>14.38</v>
      </c>
      <c r="I35" s="46">
        <f t="shared" si="2"/>
        <v>0.21830000000000005</v>
      </c>
      <c r="J35" s="43">
        <v>0.78169999999999995</v>
      </c>
      <c r="K35" s="43">
        <f t="shared" si="3"/>
        <v>2.4658070266881202E-2</v>
      </c>
      <c r="L35" s="27"/>
      <c r="M35" s="47">
        <f t="shared" si="6"/>
        <v>33.262583463905017</v>
      </c>
      <c r="N35" s="39">
        <f t="shared" si="4"/>
        <v>7.3119927398000026</v>
      </c>
      <c r="O35" s="42">
        <f t="shared" si="5"/>
        <v>-0.49151649931849778</v>
      </c>
      <c r="P35" s="1"/>
      <c r="Q35" s="1"/>
    </row>
    <row r="36" spans="2:17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0"/>
        <v>54.48</v>
      </c>
      <c r="G36" s="40">
        <f t="shared" si="1"/>
        <v>73.244493392070495</v>
      </c>
      <c r="H36" s="27">
        <v>18.510000000000002</v>
      </c>
      <c r="I36" s="46">
        <f t="shared" si="2"/>
        <v>0.18999999999999995</v>
      </c>
      <c r="J36" s="43">
        <v>0.81</v>
      </c>
      <c r="K36" s="43">
        <f t="shared" si="3"/>
        <v>0.25271524373740711</v>
      </c>
      <c r="L36" s="27"/>
      <c r="M36" s="47">
        <f t="shared" si="6"/>
        <v>35.560196416674259</v>
      </c>
      <c r="N36" s="39">
        <f t="shared" si="4"/>
        <v>7.9700720863820038</v>
      </c>
      <c r="O36" s="42">
        <f t="shared" si="5"/>
        <v>-0.56941803963360327</v>
      </c>
      <c r="P36" s="1"/>
      <c r="Q36" s="1"/>
    </row>
    <row r="37" spans="2:17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0"/>
        <v>54.48</v>
      </c>
      <c r="G37" s="40">
        <f t="shared" si="1"/>
        <v>89.145925110132168</v>
      </c>
      <c r="H37" s="27">
        <v>22.07</v>
      </c>
      <c r="I37" s="46">
        <f t="shared" si="2"/>
        <v>0.16979999999999995</v>
      </c>
      <c r="J37" s="43">
        <v>0.83020000000000005</v>
      </c>
      <c r="K37" s="43">
        <f t="shared" si="3"/>
        <v>0.24757160770651493</v>
      </c>
      <c r="L37" s="27"/>
      <c r="M37" s="47">
        <f t="shared" si="6"/>
        <v>38.016516984156034</v>
      </c>
      <c r="N37" s="39">
        <f t="shared" si="4"/>
        <v>8.6873785741563854</v>
      </c>
      <c r="O37" s="42">
        <f t="shared" si="5"/>
        <v>-0.60637160968933457</v>
      </c>
      <c r="P37" s="1"/>
      <c r="Q37" s="1"/>
    </row>
    <row r="38" spans="2:17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0"/>
        <v>54.48</v>
      </c>
      <c r="G38" s="40">
        <f t="shared" si="1"/>
        <v>131.25844346549192</v>
      </c>
      <c r="H38" s="27">
        <v>24.34</v>
      </c>
      <c r="I38" s="46">
        <f t="shared" si="2"/>
        <v>0.22809999999999997</v>
      </c>
      <c r="J38" s="43">
        <v>0.77190000000000003</v>
      </c>
      <c r="K38" s="43">
        <f t="shared" si="3"/>
        <v>0.18543568975354358</v>
      </c>
      <c r="L38" s="27"/>
      <c r="M38" s="47">
        <f t="shared" si="6"/>
        <v>40.642507894836612</v>
      </c>
      <c r="N38" s="39">
        <f t="shared" si="4"/>
        <v>9.4692426458304606</v>
      </c>
      <c r="O38" s="42">
        <f t="shared" si="5"/>
        <v>-0.61095962835536322</v>
      </c>
      <c r="P38" s="1"/>
      <c r="Q38" s="1"/>
    </row>
    <row r="39" spans="2:17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0"/>
        <v>54.48</v>
      </c>
      <c r="G39" s="40">
        <f t="shared" si="1"/>
        <v>138.11637298091043</v>
      </c>
      <c r="H39" s="27">
        <v>12.98</v>
      </c>
      <c r="I39" s="46">
        <f t="shared" si="2"/>
        <v>0.31620000000000004</v>
      </c>
      <c r="J39" s="43">
        <v>0.68379999999999996</v>
      </c>
      <c r="K39" s="43">
        <f t="shared" si="3"/>
        <v>9.3978720406986169E-2</v>
      </c>
      <c r="L39" s="27"/>
      <c r="M39" s="47">
        <f t="shared" si="6"/>
        <v>43.449889127672449</v>
      </c>
      <c r="N39" s="39">
        <f t="shared" si="4"/>
        <v>10.321474483955203</v>
      </c>
      <c r="O39" s="42">
        <f t="shared" si="5"/>
        <v>-0.20481706595106294</v>
      </c>
      <c r="P39" s="1"/>
      <c r="Q39" s="1"/>
    </row>
    <row r="40" spans="2:17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0"/>
        <v>61.8749343</v>
      </c>
      <c r="G40" s="40">
        <f t="shared" si="1"/>
        <v>150.70609941641587</v>
      </c>
      <c r="H40" s="27">
        <v>17.329999999999998</v>
      </c>
      <c r="I40" s="46">
        <f t="shared" si="2"/>
        <v>0.33550000000000002</v>
      </c>
      <c r="J40" s="43">
        <v>0.66449999999999998</v>
      </c>
      <c r="K40" s="43">
        <f t="shared" si="3"/>
        <v>0.11499202797436547</v>
      </c>
      <c r="L40" s="27"/>
      <c r="M40" s="47">
        <f t="shared" si="6"/>
        <v>46.451190219166421</v>
      </c>
      <c r="N40" s="39">
        <f t="shared" si="4"/>
        <v>11.250407187511172</v>
      </c>
      <c r="O40" s="42">
        <f t="shared" si="5"/>
        <v>-0.35081320325959764</v>
      </c>
      <c r="P40" s="1"/>
      <c r="Q40" s="1"/>
    </row>
    <row r="41" spans="2:17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0"/>
        <v>79.6998198</v>
      </c>
      <c r="G41" s="40">
        <f t="shared" si="1"/>
        <v>149.65730198551842</v>
      </c>
      <c r="H41" s="27">
        <v>13.18</v>
      </c>
      <c r="I41" s="46">
        <f t="shared" si="2"/>
        <v>0.39780000000000004</v>
      </c>
      <c r="J41" s="43">
        <v>0.60219999999999996</v>
      </c>
      <c r="K41" s="43">
        <f t="shared" si="3"/>
        <v>8.806787123073595E-2</v>
      </c>
      <c r="L41" s="27"/>
      <c r="M41" s="47">
        <f t="shared" si="6"/>
        <v>49.659806183555339</v>
      </c>
      <c r="N41" s="39">
        <f t="shared" si="4"/>
        <v>12.262943834387178</v>
      </c>
      <c r="O41" s="42">
        <f t="shared" si="5"/>
        <v>-6.9579375236177674E-2</v>
      </c>
      <c r="P41" s="1"/>
      <c r="Q41" s="1"/>
    </row>
    <row r="42" spans="2:17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61.314719171935891</v>
      </c>
      <c r="O42" s="27"/>
      <c r="P42" s="1"/>
      <c r="Q42" s="1"/>
    </row>
    <row r="43" spans="2:17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P43" s="1"/>
      <c r="Q43" s="1"/>
    </row>
    <row r="44" spans="2:17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27"/>
      <c r="P44" s="1"/>
      <c r="Q44" s="1"/>
    </row>
    <row r="45" spans="2:17" x14ac:dyDescent="0.3">
      <c r="L45" s="47">
        <v>103</v>
      </c>
      <c r="M45" s="27">
        <f>L45*K31</f>
        <v>9.27</v>
      </c>
    </row>
  </sheetData>
  <mergeCells count="3">
    <mergeCell ref="J5:K5"/>
    <mergeCell ref="J14:L14"/>
    <mergeCell ref="M5:N5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T45"/>
  <sheetViews>
    <sheetView zoomScale="80" zoomScaleNormal="80" workbookViewId="0">
      <selection activeCell="B17" sqref="B17"/>
    </sheetView>
  </sheetViews>
  <sheetFormatPr defaultRowHeight="15" x14ac:dyDescent="0.3"/>
  <cols>
    <col min="1" max="1" width="9.140625" style="6"/>
    <col min="2" max="2" width="16.140625" style="19" bestFit="1" customWidth="1"/>
    <col min="3" max="3" width="11.7109375" style="6" bestFit="1" customWidth="1"/>
    <col min="4" max="4" width="13.42578125" style="6" bestFit="1" customWidth="1"/>
    <col min="5" max="5" width="16" style="6" bestFit="1" customWidth="1"/>
    <col min="6" max="6" width="8.7109375" style="6" customWidth="1"/>
    <col min="7" max="7" width="17.7109375" style="6" bestFit="1" customWidth="1"/>
    <col min="8" max="8" width="9.140625" style="6"/>
    <col min="9" max="9" width="16.7109375" style="6" bestFit="1" customWidth="1"/>
    <col min="10" max="10" width="9.140625" style="6" bestFit="1" customWidth="1"/>
    <col min="11" max="11" width="19.5703125" style="6" bestFit="1" customWidth="1"/>
    <col min="12" max="12" width="9.42578125" style="6" bestFit="1" customWidth="1"/>
    <col min="13" max="13" width="17.7109375" style="6" bestFit="1" customWidth="1"/>
    <col min="14" max="14" width="9.140625" style="6"/>
    <col min="15" max="15" width="13" style="6" bestFit="1" customWidth="1"/>
    <col min="16" max="16" width="11.28515625" style="6" bestFit="1" customWidth="1"/>
    <col min="17" max="17" width="9.140625" style="6"/>
    <col min="18" max="18" width="18.140625" style="6" bestFit="1" customWidth="1"/>
    <col min="19" max="19" width="12.5703125" style="6" customWidth="1"/>
    <col min="20" max="20" width="12.28515625" style="6" bestFit="1" customWidth="1"/>
    <col min="21" max="16384" width="9.140625" style="6"/>
  </cols>
  <sheetData>
    <row r="2" spans="2:20" x14ac:dyDescent="0.3">
      <c r="D2" s="6" t="s">
        <v>47</v>
      </c>
    </row>
    <row r="3" spans="2:20" x14ac:dyDescent="0.3">
      <c r="B3" s="17" t="s">
        <v>0</v>
      </c>
      <c r="C3" s="17" t="s">
        <v>26</v>
      </c>
      <c r="D3" s="17" t="s">
        <v>25</v>
      </c>
      <c r="E3" s="17" t="s">
        <v>48</v>
      </c>
      <c r="F3" s="17" t="s">
        <v>42</v>
      </c>
      <c r="G3" s="17" t="s">
        <v>34</v>
      </c>
    </row>
    <row r="4" spans="2:20" x14ac:dyDescent="0.3">
      <c r="B4" s="18">
        <v>0</v>
      </c>
      <c r="C4" s="1">
        <v>2000</v>
      </c>
      <c r="D4" s="1">
        <v>0</v>
      </c>
      <c r="E4" s="1"/>
      <c r="F4" s="1"/>
      <c r="G4" s="1">
        <v>40.340000000000003</v>
      </c>
    </row>
    <row r="5" spans="2:20" ht="15.75" x14ac:dyDescent="0.3">
      <c r="B5" s="18">
        <v>1</v>
      </c>
      <c r="C5" s="1">
        <v>2001</v>
      </c>
      <c r="D5" s="1"/>
      <c r="E5" s="1"/>
      <c r="F5" s="1"/>
      <c r="G5" s="1">
        <v>115.93</v>
      </c>
      <c r="R5" s="169" t="s">
        <v>27</v>
      </c>
      <c r="S5" s="169"/>
    </row>
    <row r="6" spans="2:20" x14ac:dyDescent="0.3">
      <c r="B6" s="18">
        <v>2</v>
      </c>
      <c r="C6" s="1">
        <v>2002</v>
      </c>
      <c r="D6" s="1">
        <v>26.5</v>
      </c>
      <c r="E6" s="1"/>
      <c r="F6" s="1"/>
      <c r="G6" s="1">
        <v>230.21</v>
      </c>
      <c r="R6" s="20" t="s">
        <v>28</v>
      </c>
      <c r="S6" s="21">
        <v>2.61</v>
      </c>
    </row>
    <row r="7" spans="2:20" x14ac:dyDescent="0.3">
      <c r="B7" s="18">
        <v>3</v>
      </c>
      <c r="C7" s="1">
        <v>2003</v>
      </c>
      <c r="D7" s="1">
        <v>31.74</v>
      </c>
      <c r="E7" s="1"/>
      <c r="F7" s="1"/>
      <c r="G7" s="1">
        <v>416.1</v>
      </c>
      <c r="R7" s="20" t="s">
        <v>29</v>
      </c>
      <c r="S7" s="21">
        <v>203.28</v>
      </c>
    </row>
    <row r="8" spans="2:20" x14ac:dyDescent="0.3">
      <c r="B8" s="18">
        <v>4</v>
      </c>
      <c r="C8" s="1">
        <v>2004</v>
      </c>
      <c r="D8" s="1">
        <v>45.28</v>
      </c>
      <c r="E8" s="1"/>
      <c r="F8" s="1"/>
      <c r="G8" s="1">
        <v>512.76</v>
      </c>
      <c r="R8" s="20" t="s">
        <v>30</v>
      </c>
      <c r="S8" s="22">
        <v>20</v>
      </c>
    </row>
    <row r="9" spans="2:20" x14ac:dyDescent="0.3">
      <c r="B9" s="18">
        <v>5</v>
      </c>
      <c r="C9" s="1">
        <v>2005</v>
      </c>
      <c r="D9" s="1">
        <v>42.52</v>
      </c>
      <c r="E9" s="1"/>
      <c r="F9" s="1"/>
      <c r="G9" s="1">
        <v>651.36</v>
      </c>
      <c r="R9" s="23" t="s">
        <v>31</v>
      </c>
      <c r="S9" s="3">
        <f>((S7/S6)^(1/S8))-1</f>
        <v>0.24329076344312006</v>
      </c>
    </row>
    <row r="10" spans="2:20" x14ac:dyDescent="0.3">
      <c r="B10" s="18">
        <v>6</v>
      </c>
      <c r="C10" s="1">
        <v>2006</v>
      </c>
      <c r="D10" s="1">
        <v>46.71</v>
      </c>
      <c r="E10" s="1"/>
      <c r="F10" s="1"/>
      <c r="G10" s="1">
        <v>783.34</v>
      </c>
      <c r="R10" s="23" t="s">
        <v>32</v>
      </c>
      <c r="S10" s="24">
        <v>140</v>
      </c>
    </row>
    <row r="11" spans="2:20" x14ac:dyDescent="0.3">
      <c r="B11" s="18">
        <v>7</v>
      </c>
      <c r="C11" s="1">
        <v>2007</v>
      </c>
      <c r="D11" s="1">
        <v>49.38</v>
      </c>
      <c r="E11" s="1"/>
      <c r="F11" s="1"/>
      <c r="G11" s="1">
        <v>1008.43</v>
      </c>
      <c r="R11" s="20" t="s">
        <v>30</v>
      </c>
      <c r="S11" s="25">
        <f>S10/12</f>
        <v>11.666666666666666</v>
      </c>
    </row>
    <row r="12" spans="2:20" x14ac:dyDescent="0.3">
      <c r="B12" s="18">
        <v>8</v>
      </c>
      <c r="C12" s="1">
        <v>2008</v>
      </c>
      <c r="D12" s="1">
        <v>67.56</v>
      </c>
      <c r="E12" s="1"/>
      <c r="F12" s="1"/>
      <c r="G12" s="1">
        <v>1202.3399999999999</v>
      </c>
      <c r="R12" s="23" t="s">
        <v>33</v>
      </c>
      <c r="S12" s="3">
        <f>((S7/S6)^(1/S11))-1</f>
        <v>0.45252842827596251</v>
      </c>
    </row>
    <row r="13" spans="2:20" x14ac:dyDescent="0.3">
      <c r="B13" s="18">
        <v>9</v>
      </c>
      <c r="C13" s="1">
        <v>2009</v>
      </c>
      <c r="D13" s="1">
        <v>99.32</v>
      </c>
      <c r="E13" s="1"/>
      <c r="F13" s="1"/>
      <c r="G13" s="1">
        <v>1325.79</v>
      </c>
    </row>
    <row r="14" spans="2:20" ht="15.75" x14ac:dyDescent="0.3">
      <c r="B14" s="18">
        <v>10</v>
      </c>
      <c r="C14" s="1">
        <v>2010</v>
      </c>
      <c r="D14" s="1">
        <v>123.39</v>
      </c>
      <c r="E14" s="1"/>
      <c r="F14" s="1"/>
      <c r="G14" s="1">
        <v>706.96</v>
      </c>
      <c r="R14" s="169" t="s">
        <v>36</v>
      </c>
      <c r="S14" s="169"/>
      <c r="T14" s="169"/>
    </row>
    <row r="15" spans="2:20" x14ac:dyDescent="0.3">
      <c r="B15" s="18">
        <v>11</v>
      </c>
      <c r="C15" s="1">
        <v>2011</v>
      </c>
      <c r="D15" s="1">
        <v>142.53</v>
      </c>
      <c r="E15" s="1"/>
      <c r="F15" s="1"/>
      <c r="G15" s="1">
        <v>1072.1300000000001</v>
      </c>
      <c r="R15" s="29" t="s">
        <v>37</v>
      </c>
      <c r="S15" s="29"/>
      <c r="T15" s="30">
        <v>100000</v>
      </c>
    </row>
    <row r="16" spans="2:20" x14ac:dyDescent="0.3">
      <c r="B16" s="18">
        <v>12</v>
      </c>
      <c r="C16" s="1">
        <v>2012</v>
      </c>
      <c r="D16" s="1">
        <v>146.66999999999999</v>
      </c>
      <c r="E16" s="1"/>
      <c r="F16" s="1"/>
      <c r="G16" s="1">
        <v>1050.1300000000001</v>
      </c>
      <c r="R16" s="29" t="s">
        <v>38</v>
      </c>
      <c r="S16" s="29"/>
      <c r="T16" s="31">
        <v>0.15</v>
      </c>
    </row>
    <row r="17" spans="1:20" x14ac:dyDescent="0.3">
      <c r="B17" s="18"/>
      <c r="C17" s="1"/>
      <c r="D17" s="1"/>
      <c r="E17" s="1"/>
      <c r="F17" s="1"/>
      <c r="G17" s="1"/>
      <c r="R17" s="29" t="s">
        <v>39</v>
      </c>
      <c r="S17" s="29"/>
      <c r="T17" s="32">
        <v>10</v>
      </c>
    </row>
    <row r="18" spans="1:20" x14ac:dyDescent="0.3">
      <c r="B18" s="18"/>
      <c r="C18" s="1" t="s">
        <v>1</v>
      </c>
      <c r="D18" s="4">
        <v>0.14449999999999999</v>
      </c>
      <c r="E18" s="4"/>
      <c r="F18" s="4"/>
      <c r="G18" s="4">
        <v>0.2016</v>
      </c>
      <c r="R18" s="29" t="s">
        <v>40</v>
      </c>
      <c r="S18" s="29"/>
      <c r="T18" s="33">
        <v>0</v>
      </c>
    </row>
    <row r="19" spans="1:20" x14ac:dyDescent="0.3">
      <c r="B19" s="18"/>
      <c r="C19" s="1" t="s">
        <v>43</v>
      </c>
      <c r="D19" s="1"/>
      <c r="E19" s="1"/>
      <c r="F19" s="1">
        <v>4</v>
      </c>
      <c r="G19" s="1"/>
      <c r="R19" s="34" t="s">
        <v>41</v>
      </c>
      <c r="S19" s="34"/>
      <c r="T19" s="29">
        <f>FV(T16,T17,T18,-T15)</f>
        <v>404555.77357079065</v>
      </c>
    </row>
    <row r="20" spans="1:20" x14ac:dyDescent="0.3">
      <c r="B20" s="18" t="s">
        <v>35</v>
      </c>
      <c r="C20" s="1">
        <v>2022</v>
      </c>
      <c r="D20" s="1">
        <v>50.82</v>
      </c>
      <c r="E20" s="1"/>
      <c r="F20" s="1"/>
      <c r="G20" s="1"/>
    </row>
    <row r="21" spans="1:20" x14ac:dyDescent="0.3">
      <c r="B21" s="18" t="s">
        <v>44</v>
      </c>
      <c r="C21" s="1">
        <v>2012</v>
      </c>
      <c r="D21" s="1">
        <v>70</v>
      </c>
      <c r="E21" s="1"/>
      <c r="F21" s="1"/>
      <c r="G21" s="1"/>
    </row>
    <row r="22" spans="1:20" x14ac:dyDescent="0.3">
      <c r="B22" s="18" t="s">
        <v>45</v>
      </c>
      <c r="C22" s="1">
        <v>2022</v>
      </c>
      <c r="D22" s="1">
        <f>D20*F19</f>
        <v>203.28</v>
      </c>
      <c r="E22" s="1"/>
      <c r="F22" s="1"/>
      <c r="G22" s="1"/>
    </row>
    <row r="23" spans="1:20" x14ac:dyDescent="0.3">
      <c r="B23" s="18" t="s">
        <v>46</v>
      </c>
      <c r="C23" s="1"/>
      <c r="D23" s="4">
        <v>0.1125</v>
      </c>
      <c r="E23" s="4"/>
      <c r="F23" s="1"/>
      <c r="G23" s="1"/>
    </row>
    <row r="27" spans="1:20" x14ac:dyDescent="0.3">
      <c r="B27" s="27"/>
      <c r="C27" s="38"/>
      <c r="D27" s="35" t="s">
        <v>49</v>
      </c>
      <c r="E27" s="36"/>
      <c r="F27" s="36"/>
      <c r="G27" s="36"/>
      <c r="H27" s="36"/>
      <c r="I27" s="37"/>
      <c r="J27" s="26"/>
      <c r="K27" s="26"/>
      <c r="L27" s="26"/>
      <c r="M27" s="26"/>
    </row>
    <row r="28" spans="1:20" x14ac:dyDescent="0.3">
      <c r="B28" s="17" t="s">
        <v>0</v>
      </c>
      <c r="C28" s="17" t="s">
        <v>61</v>
      </c>
      <c r="D28" s="28" t="s">
        <v>50</v>
      </c>
      <c r="E28" s="28" t="s">
        <v>51</v>
      </c>
      <c r="F28" s="28" t="s">
        <v>52</v>
      </c>
      <c r="G28" s="28" t="s">
        <v>62</v>
      </c>
      <c r="H28" s="28" t="s">
        <v>25</v>
      </c>
      <c r="I28" s="28" t="s">
        <v>55</v>
      </c>
      <c r="J28" s="28" t="s">
        <v>63</v>
      </c>
      <c r="K28" s="28" t="s">
        <v>54</v>
      </c>
      <c r="L28" s="28" t="s">
        <v>56</v>
      </c>
      <c r="M28" s="28" t="s">
        <v>58</v>
      </c>
      <c r="N28" s="28" t="s">
        <v>57</v>
      </c>
      <c r="O28" s="28" t="s">
        <v>59</v>
      </c>
      <c r="P28" s="28" t="s">
        <v>60</v>
      </c>
    </row>
    <row r="29" spans="1:20" x14ac:dyDescent="0.3">
      <c r="B29" s="18">
        <v>0</v>
      </c>
      <c r="C29" s="1">
        <v>2000</v>
      </c>
      <c r="D29" s="27">
        <v>749.84</v>
      </c>
      <c r="E29" s="27"/>
      <c r="F29" s="27"/>
      <c r="G29" s="27"/>
      <c r="H29" s="27">
        <v>0</v>
      </c>
      <c r="I29" s="46">
        <f>100%-J29</f>
        <v>0</v>
      </c>
      <c r="J29" s="41">
        <v>1</v>
      </c>
      <c r="K29" s="43"/>
      <c r="L29" s="27"/>
      <c r="M29" s="47"/>
      <c r="N29" s="27"/>
      <c r="O29" s="1"/>
      <c r="P29" s="1"/>
    </row>
    <row r="30" spans="1:20" x14ac:dyDescent="0.3">
      <c r="B30" s="18">
        <v>1</v>
      </c>
      <c r="C30" s="1">
        <v>2001</v>
      </c>
      <c r="D30" s="27">
        <v>932.76</v>
      </c>
      <c r="E30" s="27">
        <v>444800000</v>
      </c>
      <c r="F30" s="27">
        <f>E30/10000000</f>
        <v>44.48</v>
      </c>
      <c r="G30" s="40">
        <f>D30/F30</f>
        <v>20.970323741007196</v>
      </c>
      <c r="H30" s="27">
        <v>2.61</v>
      </c>
      <c r="I30" s="46">
        <f>100%-J30</f>
        <v>0.36419999999999997</v>
      </c>
      <c r="J30" s="43">
        <v>0.63580000000000003</v>
      </c>
      <c r="K30" s="43">
        <f t="shared" ref="K30:K41" si="0">H30/G30</f>
        <v>0.12446159783867232</v>
      </c>
      <c r="L30" s="27"/>
      <c r="M30" s="47"/>
      <c r="N30" s="27"/>
      <c r="O30" s="1"/>
      <c r="P30" s="1"/>
    </row>
    <row r="31" spans="1:20" x14ac:dyDescent="0.3">
      <c r="A31" s="6" t="s">
        <v>53</v>
      </c>
      <c r="B31" s="18">
        <v>2</v>
      </c>
      <c r="C31" s="1">
        <v>2002</v>
      </c>
      <c r="D31" s="27">
        <v>1132.6300000000001</v>
      </c>
      <c r="E31" s="27">
        <v>444800000</v>
      </c>
      <c r="F31" s="27">
        <f t="shared" ref="F31:F41" si="1">E31/10000000</f>
        <v>44.48</v>
      </c>
      <c r="G31" s="44">
        <f t="shared" ref="G31:G41" si="2">D31/F31</f>
        <v>25.463803956834536</v>
      </c>
      <c r="H31" s="45">
        <v>5.18</v>
      </c>
      <c r="I31" s="46">
        <f>100%-J31</f>
        <v>0.23250000000000004</v>
      </c>
      <c r="J31" s="43">
        <v>0.76749999999999996</v>
      </c>
      <c r="K31" s="51">
        <f t="shared" si="0"/>
        <v>0.20342600849350623</v>
      </c>
      <c r="L31" s="48">
        <f>K31*J31</f>
        <v>0.15612946151876603</v>
      </c>
      <c r="M31" s="49">
        <v>25.46</v>
      </c>
      <c r="N31" s="45">
        <f>H31</f>
        <v>5.18</v>
      </c>
      <c r="O31" s="50">
        <f>N31*I31</f>
        <v>1.20435</v>
      </c>
      <c r="P31" s="50">
        <f>N31*J31</f>
        <v>3.9756499999999995</v>
      </c>
    </row>
    <row r="32" spans="1:20" x14ac:dyDescent="0.3">
      <c r="B32" s="18">
        <v>3</v>
      </c>
      <c r="C32" s="1">
        <v>2003</v>
      </c>
      <c r="D32" s="27">
        <v>1459.59</v>
      </c>
      <c r="E32" s="27">
        <v>444800000</v>
      </c>
      <c r="F32" s="27">
        <f t="shared" si="1"/>
        <v>44.48</v>
      </c>
      <c r="G32" s="40">
        <f t="shared" si="2"/>
        <v>32.814523381294961</v>
      </c>
      <c r="H32" s="27">
        <v>9.35</v>
      </c>
      <c r="I32" s="46">
        <f t="shared" ref="I32:I41" si="3">100%-J32</f>
        <v>0.19359999999999999</v>
      </c>
      <c r="J32" s="43">
        <v>0.80640000000000001</v>
      </c>
      <c r="K32" s="43">
        <f t="shared" si="0"/>
        <v>0.28493481046047181</v>
      </c>
      <c r="L32" s="27"/>
      <c r="M32" s="47">
        <f>G31*(1+$L$31)</f>
        <v>29.439453956834537</v>
      </c>
      <c r="N32" s="39">
        <f>N31*(1+$K$31)</f>
        <v>6.2337467239963615</v>
      </c>
      <c r="O32" s="2">
        <f>O31*(1+$K$31)</f>
        <v>1.4493461133291543</v>
      </c>
      <c r="P32" s="2">
        <f>P31*(1+$K$31)</f>
        <v>4.7844006106672072</v>
      </c>
    </row>
    <row r="33" spans="2:16" x14ac:dyDescent="0.3">
      <c r="B33" s="18">
        <v>4</v>
      </c>
      <c r="C33" s="1">
        <v>2004</v>
      </c>
      <c r="D33" s="27">
        <v>2081.09</v>
      </c>
      <c r="E33" s="27">
        <v>444800000</v>
      </c>
      <c r="F33" s="27">
        <f t="shared" si="1"/>
        <v>44.48</v>
      </c>
      <c r="G33" s="40">
        <f t="shared" si="2"/>
        <v>46.787095323741013</v>
      </c>
      <c r="H33" s="27">
        <v>9.41</v>
      </c>
      <c r="I33" s="46">
        <f t="shared" si="3"/>
        <v>0.24050000000000005</v>
      </c>
      <c r="J33" s="43">
        <v>0.75949999999999995</v>
      </c>
      <c r="K33" s="43">
        <f t="shared" si="0"/>
        <v>0.20112383414460688</v>
      </c>
      <c r="L33" s="27"/>
      <c r="M33" s="47">
        <f>M32*(1+$L$31)</f>
        <v>34.035820050521622</v>
      </c>
      <c r="N33" s="39">
        <f t="shared" ref="N33:N41" si="4">N32*(1+$K$31)</f>
        <v>7.5018529380184118</v>
      </c>
      <c r="O33" s="1"/>
      <c r="P33" s="1"/>
    </row>
    <row r="34" spans="2:16" x14ac:dyDescent="0.3">
      <c r="B34" s="18">
        <v>5</v>
      </c>
      <c r="C34" s="1">
        <v>2005</v>
      </c>
      <c r="D34" s="27">
        <v>2575.19</v>
      </c>
      <c r="E34" s="27">
        <v>544800000</v>
      </c>
      <c r="F34" s="27">
        <f t="shared" si="1"/>
        <v>54.48</v>
      </c>
      <c r="G34" s="40">
        <f t="shared" si="2"/>
        <v>47.268538913362704</v>
      </c>
      <c r="H34" s="27">
        <v>11.96</v>
      </c>
      <c r="I34" s="46">
        <f t="shared" si="3"/>
        <v>0.22970000000000002</v>
      </c>
      <c r="J34" s="43">
        <v>0.77029999999999998</v>
      </c>
      <c r="K34" s="43">
        <f t="shared" si="0"/>
        <v>0.25302241776334949</v>
      </c>
      <c r="L34" s="27"/>
      <c r="M34" s="47">
        <f t="shared" ref="M34:M41" si="5">M33*(1+$L$31)</f>
        <v>39.349814307359182</v>
      </c>
      <c r="N34" s="39">
        <f t="shared" si="4"/>
        <v>9.0279249375047801</v>
      </c>
      <c r="O34" s="1"/>
      <c r="P34" s="1"/>
    </row>
    <row r="35" spans="2:16" x14ac:dyDescent="0.3">
      <c r="B35" s="18">
        <v>6</v>
      </c>
      <c r="C35" s="1">
        <v>2006</v>
      </c>
      <c r="D35" s="27">
        <v>31771.439999999999</v>
      </c>
      <c r="E35" s="27">
        <v>544800000</v>
      </c>
      <c r="F35" s="27">
        <f t="shared" si="1"/>
        <v>54.48</v>
      </c>
      <c r="G35" s="40">
        <f t="shared" si="2"/>
        <v>583.17621145374449</v>
      </c>
      <c r="H35" s="27">
        <v>14.38</v>
      </c>
      <c r="I35" s="46">
        <f t="shared" si="3"/>
        <v>0.21830000000000005</v>
      </c>
      <c r="J35" s="43">
        <v>0.78169999999999995</v>
      </c>
      <c r="K35" s="43">
        <f t="shared" si="0"/>
        <v>2.4658070266881202E-2</v>
      </c>
      <c r="L35" s="27"/>
      <c r="M35" s="47">
        <f t="shared" si="5"/>
        <v>45.493479626030606</v>
      </c>
      <c r="N35" s="39">
        <f t="shared" si="4"/>
        <v>10.864439672520364</v>
      </c>
      <c r="O35" s="1"/>
      <c r="P35" s="1"/>
    </row>
    <row r="36" spans="2:16" x14ac:dyDescent="0.3">
      <c r="B36" s="18">
        <v>7</v>
      </c>
      <c r="C36" s="1">
        <v>2007</v>
      </c>
      <c r="D36" s="27">
        <v>3990.36</v>
      </c>
      <c r="E36" s="27">
        <v>544800000</v>
      </c>
      <c r="F36" s="27">
        <f t="shared" si="1"/>
        <v>54.48</v>
      </c>
      <c r="G36" s="40">
        <f t="shared" si="2"/>
        <v>73.244493392070495</v>
      </c>
      <c r="H36" s="27">
        <v>18.510000000000002</v>
      </c>
      <c r="I36" s="46">
        <f t="shared" si="3"/>
        <v>0.18999999999999995</v>
      </c>
      <c r="J36" s="43">
        <v>0.81</v>
      </c>
      <c r="K36" s="43">
        <f t="shared" si="0"/>
        <v>0.25271524373740711</v>
      </c>
      <c r="L36" s="27"/>
      <c r="M36" s="47">
        <f t="shared" si="5"/>
        <v>52.596352102657718</v>
      </c>
      <c r="N36" s="39">
        <f t="shared" si="4"/>
        <v>13.074549269619677</v>
      </c>
      <c r="O36" s="1"/>
      <c r="P36" s="1"/>
    </row>
    <row r="37" spans="2:16" x14ac:dyDescent="0.3">
      <c r="B37" s="18">
        <v>8</v>
      </c>
      <c r="C37" s="1">
        <v>2008</v>
      </c>
      <c r="D37" s="27">
        <v>4856.67</v>
      </c>
      <c r="E37" s="27">
        <v>544800000</v>
      </c>
      <c r="F37" s="27">
        <f t="shared" si="1"/>
        <v>54.48</v>
      </c>
      <c r="G37" s="40">
        <f t="shared" si="2"/>
        <v>89.145925110132168</v>
      </c>
      <c r="H37" s="27">
        <v>22.07</v>
      </c>
      <c r="I37" s="46">
        <f t="shared" si="3"/>
        <v>0.16979999999999995</v>
      </c>
      <c r="J37" s="43">
        <v>0.83020000000000005</v>
      </c>
      <c r="K37" s="43">
        <f t="shared" si="0"/>
        <v>0.24757160770651493</v>
      </c>
      <c r="L37" s="27"/>
      <c r="M37" s="47">
        <f t="shared" si="5"/>
        <v>60.808192234297088</v>
      </c>
      <c r="N37" s="39">
        <f t="shared" si="4"/>
        <v>15.734252640390094</v>
      </c>
      <c r="O37" s="1"/>
      <c r="P37" s="1"/>
    </row>
    <row r="38" spans="2:16" x14ac:dyDescent="0.3">
      <c r="B38" s="18">
        <v>9</v>
      </c>
      <c r="C38" s="1">
        <v>2009</v>
      </c>
      <c r="D38" s="27">
        <v>7150.96</v>
      </c>
      <c r="E38" s="27">
        <v>544800000</v>
      </c>
      <c r="F38" s="27">
        <f t="shared" si="1"/>
        <v>54.48</v>
      </c>
      <c r="G38" s="40">
        <f t="shared" si="2"/>
        <v>131.25844346549192</v>
      </c>
      <c r="H38" s="27">
        <v>24.34</v>
      </c>
      <c r="I38" s="46">
        <f t="shared" si="3"/>
        <v>0.22809999999999997</v>
      </c>
      <c r="J38" s="43">
        <v>0.77190000000000003</v>
      </c>
      <c r="K38" s="43">
        <f t="shared" si="0"/>
        <v>0.18543568975354358</v>
      </c>
      <c r="L38" s="27"/>
      <c r="M38" s="47">
        <f t="shared" si="5"/>
        <v>70.302142543767502</v>
      </c>
      <c r="N38" s="39">
        <f t="shared" si="4"/>
        <v>18.935008851653063</v>
      </c>
      <c r="O38" s="1"/>
      <c r="P38" s="1"/>
    </row>
    <row r="39" spans="2:16" x14ac:dyDescent="0.3">
      <c r="B39" s="18">
        <v>10</v>
      </c>
      <c r="C39" s="1">
        <v>2010</v>
      </c>
      <c r="D39" s="27">
        <v>7524.58</v>
      </c>
      <c r="E39" s="27">
        <v>544800000</v>
      </c>
      <c r="F39" s="27">
        <f t="shared" si="1"/>
        <v>54.48</v>
      </c>
      <c r="G39" s="40">
        <f t="shared" si="2"/>
        <v>138.11637298091043</v>
      </c>
      <c r="H39" s="27">
        <v>12.98</v>
      </c>
      <c r="I39" s="46">
        <f t="shared" si="3"/>
        <v>0.31620000000000004</v>
      </c>
      <c r="J39" s="43">
        <v>0.68379999999999996</v>
      </c>
      <c r="K39" s="43">
        <f t="shared" si="0"/>
        <v>9.3978720406986169E-2</v>
      </c>
      <c r="L39" s="27"/>
      <c r="M39" s="47">
        <f t="shared" si="5"/>
        <v>81.27837820274145</v>
      </c>
      <c r="N39" s="39">
        <f t="shared" si="4"/>
        <v>22.786882123134053</v>
      </c>
      <c r="O39" s="1"/>
      <c r="P39" s="1"/>
    </row>
    <row r="40" spans="2:16" x14ac:dyDescent="0.3">
      <c r="B40" s="18">
        <v>11</v>
      </c>
      <c r="C40" s="1">
        <v>2011</v>
      </c>
      <c r="D40" s="27">
        <v>9324.93</v>
      </c>
      <c r="E40" s="27">
        <v>618749343</v>
      </c>
      <c r="F40" s="39">
        <f t="shared" si="1"/>
        <v>61.8749343</v>
      </c>
      <c r="G40" s="40">
        <f t="shared" si="2"/>
        <v>150.70609941641587</v>
      </c>
      <c r="H40" s="27">
        <v>17.329999999999998</v>
      </c>
      <c r="I40" s="46">
        <f t="shared" si="3"/>
        <v>0.33550000000000002</v>
      </c>
      <c r="J40" s="43">
        <v>0.66449999999999998</v>
      </c>
      <c r="K40" s="43">
        <f t="shared" si="0"/>
        <v>0.11499202797436547</v>
      </c>
      <c r="L40" s="27"/>
      <c r="M40" s="47">
        <f t="shared" si="5"/>
        <v>93.96832762465408</v>
      </c>
      <c r="N40" s="39">
        <f t="shared" si="4"/>
        <v>27.422326599455246</v>
      </c>
      <c r="O40" s="1"/>
      <c r="P40" s="1"/>
    </row>
    <row r="41" spans="2:16" x14ac:dyDescent="0.3">
      <c r="B41" s="18">
        <v>12</v>
      </c>
      <c r="C41" s="1">
        <v>2012</v>
      </c>
      <c r="D41" s="27">
        <v>11927.66</v>
      </c>
      <c r="E41" s="27">
        <v>796998198</v>
      </c>
      <c r="F41" s="39">
        <f t="shared" si="1"/>
        <v>79.6998198</v>
      </c>
      <c r="G41" s="40">
        <f t="shared" si="2"/>
        <v>149.65730198551842</v>
      </c>
      <c r="H41" s="27">
        <v>13.18</v>
      </c>
      <c r="I41" s="46">
        <f t="shared" si="3"/>
        <v>0.39780000000000004</v>
      </c>
      <c r="J41" s="43">
        <v>0.60219999999999996</v>
      </c>
      <c r="K41" s="43">
        <f t="shared" si="0"/>
        <v>8.806787123073595E-2</v>
      </c>
      <c r="L41" s="27"/>
      <c r="M41" s="47">
        <f t="shared" si="5"/>
        <v>108.63955201651031</v>
      </c>
      <c r="N41" s="39">
        <f t="shared" si="4"/>
        <v>33.00074104318773</v>
      </c>
      <c r="O41" s="1"/>
      <c r="P41" s="1"/>
    </row>
    <row r="42" spans="2:16" x14ac:dyDescent="0.3">
      <c r="B42" s="18"/>
      <c r="C42" s="1"/>
      <c r="D42" s="27"/>
      <c r="E42" s="27"/>
      <c r="F42" s="27"/>
      <c r="G42" s="27"/>
      <c r="H42" s="27"/>
      <c r="I42" s="27"/>
      <c r="J42" s="27"/>
      <c r="K42" s="27"/>
      <c r="L42" s="27"/>
      <c r="M42" s="39"/>
      <c r="N42" s="27">
        <f>N41*5</f>
        <v>165.00370521593865</v>
      </c>
      <c r="O42" s="1"/>
      <c r="P42" s="1"/>
    </row>
    <row r="43" spans="2:16" x14ac:dyDescent="0.3">
      <c r="B43" s="18"/>
      <c r="C43" s="1"/>
      <c r="D43" s="27"/>
      <c r="E43" s="27"/>
      <c r="F43" s="52" t="s">
        <v>1</v>
      </c>
      <c r="G43" s="53">
        <v>0.1938</v>
      </c>
      <c r="H43" s="53">
        <v>9.7900000000000001E-2</v>
      </c>
      <c r="I43" s="27"/>
      <c r="J43" s="27"/>
      <c r="K43" s="27"/>
      <c r="L43" s="27"/>
      <c r="O43" s="1"/>
      <c r="P43" s="1"/>
    </row>
    <row r="44" spans="2:16" x14ac:dyDescent="0.3">
      <c r="B44" s="18"/>
      <c r="C44" s="1"/>
      <c r="D44" s="27"/>
      <c r="E44" s="27"/>
      <c r="F44" s="27" t="s">
        <v>43</v>
      </c>
      <c r="G44" s="27"/>
      <c r="H44" s="27">
        <f>H41*6</f>
        <v>79.08</v>
      </c>
      <c r="I44" s="27"/>
      <c r="J44" s="27"/>
      <c r="K44" s="27"/>
      <c r="L44" s="27"/>
      <c r="M44" s="39"/>
      <c r="N44" s="27"/>
      <c r="O44" s="1"/>
      <c r="P44" s="1"/>
    </row>
    <row r="45" spans="2:16" x14ac:dyDescent="0.3">
      <c r="L45" s="47">
        <v>103</v>
      </c>
      <c r="M45" s="27">
        <f>L45*K31</f>
        <v>20.952878874831143</v>
      </c>
    </row>
  </sheetData>
  <mergeCells count="2">
    <mergeCell ref="R5:S5"/>
    <mergeCell ref="R14:T14"/>
  </mergeCells>
  <pageMargins left="0.7" right="0.7" top="0.75" bottom="0.75" header="0.3" footer="0.3"/>
  <pageSetup orientation="portrait" r:id="rId1"/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L48"/>
  <sheetViews>
    <sheetView topLeftCell="A25" zoomScale="90" zoomScaleNormal="90" workbookViewId="0">
      <selection activeCell="G25" sqref="G25"/>
    </sheetView>
  </sheetViews>
  <sheetFormatPr defaultRowHeight="15" x14ac:dyDescent="0.25"/>
  <cols>
    <col min="1" max="1" width="9.140625" style="56"/>
    <col min="2" max="2" width="16.7109375" style="56" bestFit="1" customWidth="1"/>
    <col min="3" max="3" width="11.5703125" style="56" customWidth="1"/>
    <col min="4" max="4" width="12.85546875" style="56" customWidth="1"/>
    <col min="5" max="5" width="12.85546875" style="56" bestFit="1" customWidth="1"/>
    <col min="6" max="6" width="13" style="56" customWidth="1"/>
    <col min="7" max="7" width="11.7109375" style="56" customWidth="1"/>
    <col min="8" max="8" width="12.28515625" style="56" customWidth="1"/>
    <col min="9" max="9" width="12.140625" style="56" bestFit="1" customWidth="1"/>
    <col min="10" max="10" width="11.5703125" style="56" bestFit="1" customWidth="1"/>
    <col min="11" max="11" width="11.28515625" style="56" customWidth="1"/>
    <col min="12" max="16384" width="9.140625" style="56"/>
  </cols>
  <sheetData>
    <row r="2" spans="2:12" x14ac:dyDescent="0.25">
      <c r="B2" s="169" t="s">
        <v>27</v>
      </c>
      <c r="C2" s="169"/>
      <c r="E2" s="169" t="s">
        <v>65</v>
      </c>
      <c r="F2" s="169"/>
      <c r="H2" s="173" t="s">
        <v>36</v>
      </c>
      <c r="I2" s="174"/>
    </row>
    <row r="3" spans="2:12" x14ac:dyDescent="0.25">
      <c r="B3" s="20" t="s">
        <v>28</v>
      </c>
      <c r="C3" s="21">
        <v>2.61</v>
      </c>
      <c r="E3" s="29" t="s">
        <v>41</v>
      </c>
      <c r="F3" s="54">
        <v>399</v>
      </c>
      <c r="H3" s="29" t="s">
        <v>37</v>
      </c>
      <c r="I3" s="30">
        <v>100000</v>
      </c>
    </row>
    <row r="4" spans="2:12" x14ac:dyDescent="0.25">
      <c r="B4" s="20" t="s">
        <v>29</v>
      </c>
      <c r="C4" s="21">
        <v>17</v>
      </c>
      <c r="E4" s="29" t="s">
        <v>38</v>
      </c>
      <c r="F4" s="31">
        <v>0.2</v>
      </c>
      <c r="H4" s="29" t="s">
        <v>38</v>
      </c>
      <c r="I4" s="31">
        <v>0.15</v>
      </c>
    </row>
    <row r="5" spans="2:12" x14ac:dyDescent="0.25">
      <c r="B5" s="20" t="s">
        <v>30</v>
      </c>
      <c r="C5" s="22">
        <v>9</v>
      </c>
      <c r="E5" s="29" t="s">
        <v>39</v>
      </c>
      <c r="F5" s="32">
        <v>10</v>
      </c>
      <c r="H5" s="29" t="s">
        <v>39</v>
      </c>
      <c r="I5" s="32">
        <v>10</v>
      </c>
    </row>
    <row r="6" spans="2:12" x14ac:dyDescent="0.25">
      <c r="B6" s="23" t="s">
        <v>31</v>
      </c>
      <c r="C6" s="3">
        <f>((C4/C3)^(1/C5))-1</f>
        <v>0.23146807384688306</v>
      </c>
      <c r="E6" s="29" t="s">
        <v>40</v>
      </c>
      <c r="F6" s="30">
        <v>0</v>
      </c>
      <c r="H6" s="29" t="s">
        <v>40</v>
      </c>
      <c r="I6" s="33">
        <v>0</v>
      </c>
    </row>
    <row r="7" spans="2:12" x14ac:dyDescent="0.25">
      <c r="E7" s="34" t="s">
        <v>66</v>
      </c>
      <c r="F7" s="55">
        <f>PV(F4,F5,F6,-F3)</f>
        <v>64.440727573048449</v>
      </c>
      <c r="H7" s="34" t="s">
        <v>41</v>
      </c>
      <c r="I7" s="29">
        <f>FV(I4,I5,I6,-I3)</f>
        <v>404555.77357079065</v>
      </c>
    </row>
    <row r="9" spans="2:12" ht="15.75" thickBot="1" x14ac:dyDescent="0.3"/>
    <row r="10" spans="2:12" ht="16.5" thickBot="1" x14ac:dyDescent="0.35">
      <c r="B10" s="86"/>
      <c r="C10" s="87"/>
      <c r="D10" s="170" t="s">
        <v>68</v>
      </c>
      <c r="E10" s="171"/>
      <c r="F10" s="171"/>
      <c r="G10" s="171"/>
      <c r="H10" s="172"/>
      <c r="I10" s="170" t="s">
        <v>72</v>
      </c>
      <c r="J10" s="171"/>
      <c r="K10" s="171"/>
      <c r="L10" s="172"/>
    </row>
    <row r="11" spans="2:12" ht="45" x14ac:dyDescent="0.25">
      <c r="B11" s="88" t="s">
        <v>0</v>
      </c>
      <c r="C11" s="89" t="s">
        <v>71</v>
      </c>
      <c r="D11" s="81" t="s">
        <v>50</v>
      </c>
      <c r="E11" s="82" t="s">
        <v>51</v>
      </c>
      <c r="F11" s="83" t="s">
        <v>52</v>
      </c>
      <c r="G11" s="83" t="s">
        <v>70</v>
      </c>
      <c r="H11" s="84" t="s">
        <v>25</v>
      </c>
      <c r="I11" s="81" t="s">
        <v>50</v>
      </c>
      <c r="J11" s="83" t="s">
        <v>52</v>
      </c>
      <c r="K11" s="83" t="s">
        <v>70</v>
      </c>
      <c r="L11" s="84" t="s">
        <v>25</v>
      </c>
    </row>
    <row r="12" spans="2:12" ht="15.75" x14ac:dyDescent="0.3">
      <c r="B12" s="90">
        <v>0</v>
      </c>
      <c r="C12" s="91">
        <v>2000</v>
      </c>
      <c r="D12" s="66">
        <v>749.84</v>
      </c>
      <c r="E12" s="59"/>
      <c r="F12" s="59"/>
      <c r="G12" s="59"/>
      <c r="H12" s="67"/>
      <c r="I12" s="77"/>
      <c r="J12" s="60"/>
      <c r="K12" s="60"/>
      <c r="L12" s="78"/>
    </row>
    <row r="13" spans="2:12" ht="15.75" x14ac:dyDescent="0.3">
      <c r="B13" s="90">
        <v>1</v>
      </c>
      <c r="C13" s="91">
        <v>2001</v>
      </c>
      <c r="D13" s="66">
        <v>932.76</v>
      </c>
      <c r="E13" s="59">
        <v>444800000</v>
      </c>
      <c r="F13" s="59">
        <f>E13/10000000</f>
        <v>44.48</v>
      </c>
      <c r="G13" s="62">
        <f>D13/F13</f>
        <v>20.970323741007196</v>
      </c>
      <c r="H13" s="68">
        <v>2.61</v>
      </c>
      <c r="I13" s="77"/>
      <c r="J13" s="60"/>
      <c r="K13" s="60"/>
      <c r="L13" s="78"/>
    </row>
    <row r="14" spans="2:12" ht="15.75" x14ac:dyDescent="0.3">
      <c r="B14" s="90">
        <v>2</v>
      </c>
      <c r="C14" s="91">
        <v>2002</v>
      </c>
      <c r="D14" s="66">
        <v>1132.6300000000001</v>
      </c>
      <c r="E14" s="59">
        <v>444800000</v>
      </c>
      <c r="F14" s="59">
        <f t="shared" ref="F14:F24" si="0">E14/10000000</f>
        <v>44.48</v>
      </c>
      <c r="G14" s="62">
        <f t="shared" ref="G14:G24" si="1">D14/F14</f>
        <v>25.463803956834536</v>
      </c>
      <c r="H14" s="68">
        <v>5.18</v>
      </c>
      <c r="I14" s="77"/>
      <c r="J14" s="60"/>
      <c r="K14" s="60"/>
      <c r="L14" s="78"/>
    </row>
    <row r="15" spans="2:12" ht="15.75" x14ac:dyDescent="0.3">
      <c r="B15" s="90">
        <v>3</v>
      </c>
      <c r="C15" s="91">
        <v>2003</v>
      </c>
      <c r="D15" s="66">
        <v>1459.59</v>
      </c>
      <c r="E15" s="59">
        <v>444800000</v>
      </c>
      <c r="F15" s="59">
        <f t="shared" si="0"/>
        <v>44.48</v>
      </c>
      <c r="G15" s="62">
        <f t="shared" si="1"/>
        <v>32.814523381294961</v>
      </c>
      <c r="H15" s="68">
        <v>9.35</v>
      </c>
      <c r="I15" s="77"/>
      <c r="J15" s="60"/>
      <c r="K15" s="60"/>
      <c r="L15" s="78"/>
    </row>
    <row r="16" spans="2:12" ht="15.75" x14ac:dyDescent="0.3">
      <c r="B16" s="90">
        <v>4</v>
      </c>
      <c r="C16" s="91">
        <v>2004</v>
      </c>
      <c r="D16" s="66">
        <v>2081.09</v>
      </c>
      <c r="E16" s="59">
        <v>444800000</v>
      </c>
      <c r="F16" s="59">
        <f t="shared" si="0"/>
        <v>44.48</v>
      </c>
      <c r="G16" s="62">
        <f t="shared" si="1"/>
        <v>46.787095323741013</v>
      </c>
      <c r="H16" s="68">
        <v>9.41</v>
      </c>
      <c r="I16" s="77"/>
      <c r="J16" s="60"/>
      <c r="K16" s="60"/>
      <c r="L16" s="78"/>
    </row>
    <row r="17" spans="2:12" ht="15.75" x14ac:dyDescent="0.3">
      <c r="B17" s="90">
        <v>5</v>
      </c>
      <c r="C17" s="91">
        <v>2005</v>
      </c>
      <c r="D17" s="66">
        <v>2575.19</v>
      </c>
      <c r="E17" s="59">
        <v>544800000</v>
      </c>
      <c r="F17" s="59">
        <f t="shared" si="0"/>
        <v>54.48</v>
      </c>
      <c r="G17" s="62">
        <f t="shared" si="1"/>
        <v>47.268538913362704</v>
      </c>
      <c r="H17" s="68">
        <v>11.96</v>
      </c>
      <c r="I17" s="77"/>
      <c r="J17" s="60"/>
      <c r="K17" s="60"/>
      <c r="L17" s="78"/>
    </row>
    <row r="18" spans="2:12" ht="15.75" x14ac:dyDescent="0.3">
      <c r="B18" s="90">
        <v>6</v>
      </c>
      <c r="C18" s="91">
        <v>2006</v>
      </c>
      <c r="D18" s="66">
        <v>31771.439999999999</v>
      </c>
      <c r="E18" s="59">
        <v>544800000</v>
      </c>
      <c r="F18" s="59">
        <f t="shared" si="0"/>
        <v>54.48</v>
      </c>
      <c r="G18" s="62">
        <f t="shared" si="1"/>
        <v>583.17621145374449</v>
      </c>
      <c r="H18" s="68">
        <v>14.38</v>
      </c>
      <c r="I18" s="77"/>
      <c r="J18" s="60"/>
      <c r="K18" s="60"/>
      <c r="L18" s="78"/>
    </row>
    <row r="19" spans="2:12" ht="15.75" x14ac:dyDescent="0.3">
      <c r="B19" s="90">
        <v>7</v>
      </c>
      <c r="C19" s="91">
        <v>2007</v>
      </c>
      <c r="D19" s="66">
        <v>3990.36</v>
      </c>
      <c r="E19" s="59">
        <v>544800000</v>
      </c>
      <c r="F19" s="59">
        <f t="shared" si="0"/>
        <v>54.48</v>
      </c>
      <c r="G19" s="62">
        <f t="shared" si="1"/>
        <v>73.244493392070495</v>
      </c>
      <c r="H19" s="68">
        <v>18.510000000000002</v>
      </c>
      <c r="I19" s="77"/>
      <c r="J19" s="60"/>
      <c r="K19" s="60"/>
      <c r="L19" s="78"/>
    </row>
    <row r="20" spans="2:12" ht="15.75" x14ac:dyDescent="0.3">
      <c r="B20" s="90">
        <v>8</v>
      </c>
      <c r="C20" s="91">
        <v>2008</v>
      </c>
      <c r="D20" s="66">
        <v>4856.67</v>
      </c>
      <c r="E20" s="59">
        <v>544800000</v>
      </c>
      <c r="F20" s="59">
        <f t="shared" si="0"/>
        <v>54.48</v>
      </c>
      <c r="G20" s="62">
        <f t="shared" si="1"/>
        <v>89.145925110132168</v>
      </c>
      <c r="H20" s="68">
        <v>22.07</v>
      </c>
      <c r="I20" s="77"/>
      <c r="J20" s="60"/>
      <c r="K20" s="60"/>
      <c r="L20" s="78"/>
    </row>
    <row r="21" spans="2:12" ht="15.75" x14ac:dyDescent="0.3">
      <c r="B21" s="90">
        <v>9</v>
      </c>
      <c r="C21" s="91">
        <v>2009</v>
      </c>
      <c r="D21" s="66">
        <v>7150.96</v>
      </c>
      <c r="E21" s="59">
        <v>544800000</v>
      </c>
      <c r="F21" s="59">
        <f t="shared" si="0"/>
        <v>54.48</v>
      </c>
      <c r="G21" s="62">
        <f t="shared" si="1"/>
        <v>131.25844346549192</v>
      </c>
      <c r="H21" s="68">
        <v>24.34</v>
      </c>
      <c r="I21" s="77"/>
      <c r="J21" s="60"/>
      <c r="K21" s="60"/>
      <c r="L21" s="78"/>
    </row>
    <row r="22" spans="2:12" ht="15.75" x14ac:dyDescent="0.3">
      <c r="B22" s="90">
        <v>10</v>
      </c>
      <c r="C22" s="91">
        <v>2010</v>
      </c>
      <c r="D22" s="66">
        <v>7524.58</v>
      </c>
      <c r="E22" s="59">
        <v>544800000</v>
      </c>
      <c r="F22" s="59">
        <f t="shared" si="0"/>
        <v>54.48</v>
      </c>
      <c r="G22" s="62">
        <f t="shared" si="1"/>
        <v>138.11637298091043</v>
      </c>
      <c r="H22" s="68">
        <v>12.98</v>
      </c>
      <c r="I22" s="77"/>
      <c r="J22" s="60"/>
      <c r="K22" s="60"/>
      <c r="L22" s="78"/>
    </row>
    <row r="23" spans="2:12" ht="15.75" x14ac:dyDescent="0.3">
      <c r="B23" s="90">
        <v>11</v>
      </c>
      <c r="C23" s="91">
        <v>2011</v>
      </c>
      <c r="D23" s="66">
        <v>9324.93</v>
      </c>
      <c r="E23" s="59">
        <v>618749343</v>
      </c>
      <c r="F23" s="59">
        <f t="shared" si="0"/>
        <v>61.8749343</v>
      </c>
      <c r="G23" s="62">
        <f t="shared" si="1"/>
        <v>150.70609941641587</v>
      </c>
      <c r="H23" s="68">
        <v>17.329999999999998</v>
      </c>
      <c r="I23" s="77"/>
      <c r="J23" s="60"/>
      <c r="K23" s="60"/>
      <c r="L23" s="78"/>
    </row>
    <row r="24" spans="2:12" ht="15.75" x14ac:dyDescent="0.3">
      <c r="B24" s="90">
        <v>12</v>
      </c>
      <c r="C24" s="91">
        <v>2012</v>
      </c>
      <c r="D24" s="66">
        <v>11927.66</v>
      </c>
      <c r="E24" s="59">
        <v>796998198</v>
      </c>
      <c r="F24" s="59">
        <f t="shared" si="0"/>
        <v>79.6998198</v>
      </c>
      <c r="G24" s="62">
        <f t="shared" si="1"/>
        <v>149.65730198551842</v>
      </c>
      <c r="H24" s="68">
        <v>13.18</v>
      </c>
      <c r="I24" s="77"/>
      <c r="J24" s="60"/>
      <c r="K24" s="60"/>
      <c r="L24" s="78"/>
    </row>
    <row r="25" spans="2:12" ht="15.75" x14ac:dyDescent="0.3">
      <c r="B25" s="90">
        <v>13</v>
      </c>
      <c r="C25" s="91">
        <v>2013</v>
      </c>
      <c r="D25" s="66"/>
      <c r="E25" s="59"/>
      <c r="F25" s="59"/>
      <c r="G25" s="62"/>
      <c r="H25" s="68"/>
      <c r="I25" s="77">
        <f>D24*(1+$D$36)</f>
        <v>15390.259698</v>
      </c>
      <c r="J25" s="60">
        <f>F24*(1+$F$36)</f>
        <v>84.481808987999997</v>
      </c>
      <c r="K25" s="63">
        <f>G24*(1+$G$36)</f>
        <v>182.16286797677301</v>
      </c>
      <c r="L25" s="79">
        <f>H24*(1+$H$36)</f>
        <v>15.497043999999999</v>
      </c>
    </row>
    <row r="26" spans="2:12" ht="15.75" x14ac:dyDescent="0.3">
      <c r="B26" s="90">
        <v>14</v>
      </c>
      <c r="C26" s="91">
        <v>2014</v>
      </c>
      <c r="D26" s="66"/>
      <c r="E26" s="59"/>
      <c r="F26" s="59"/>
      <c r="G26" s="62"/>
      <c r="H26" s="68"/>
      <c r="I26" s="77">
        <f>I25*(1+$D$36)</f>
        <v>19858.052088329401</v>
      </c>
      <c r="J26" s="60">
        <f>J25*(1+$F$36)</f>
        <v>89.55071752728</v>
      </c>
      <c r="K26" s="63">
        <f>K25*(1+$G$36)</f>
        <v>221.72864290132813</v>
      </c>
      <c r="L26" s="79">
        <f>L25*(1+$H$36)</f>
        <v>18.221424335199998</v>
      </c>
    </row>
    <row r="27" spans="2:12" ht="15.75" x14ac:dyDescent="0.3">
      <c r="B27" s="90">
        <v>15</v>
      </c>
      <c r="C27" s="91">
        <v>2015</v>
      </c>
      <c r="D27" s="66"/>
      <c r="E27" s="59"/>
      <c r="F27" s="59"/>
      <c r="G27" s="62"/>
      <c r="H27" s="68"/>
      <c r="I27" s="77">
        <f t="shared" ref="I27:I34" si="2">I26*(1+$D$36)</f>
        <v>25622.844609571428</v>
      </c>
      <c r="J27" s="60">
        <f t="shared" ref="J27:J34" si="3">J26*(1+$F$36)</f>
        <v>94.923760578916799</v>
      </c>
      <c r="K27" s="63">
        <f t="shared" ref="K27:K34" si="4">K26*(1+$G$36)</f>
        <v>269.88810413949659</v>
      </c>
      <c r="L27" s="79">
        <f t="shared" ref="L27:L34" si="5">L26*(1+$H$36)</f>
        <v>21.424750733328157</v>
      </c>
    </row>
    <row r="28" spans="2:12" ht="15.75" x14ac:dyDescent="0.3">
      <c r="B28" s="90">
        <v>16</v>
      </c>
      <c r="C28" s="91">
        <v>2016</v>
      </c>
      <c r="D28" s="66"/>
      <c r="E28" s="59"/>
      <c r="F28" s="59"/>
      <c r="G28" s="62"/>
      <c r="H28" s="68"/>
      <c r="I28" s="77">
        <f t="shared" si="2"/>
        <v>33061.156399730011</v>
      </c>
      <c r="J28" s="60">
        <f t="shared" si="3"/>
        <v>100.61918621365182</v>
      </c>
      <c r="K28" s="63">
        <f t="shared" si="4"/>
        <v>328.50780035859526</v>
      </c>
      <c r="L28" s="79">
        <f t="shared" si="5"/>
        <v>25.191221912247247</v>
      </c>
    </row>
    <row r="29" spans="2:12" ht="15.75" x14ac:dyDescent="0.3">
      <c r="B29" s="90">
        <v>17</v>
      </c>
      <c r="C29" s="91">
        <v>2017</v>
      </c>
      <c r="D29" s="66"/>
      <c r="E29" s="59"/>
      <c r="F29" s="59"/>
      <c r="G29" s="62"/>
      <c r="H29" s="68"/>
      <c r="I29" s="77">
        <f t="shared" si="2"/>
        <v>42658.810102571631</v>
      </c>
      <c r="J29" s="60">
        <f t="shared" si="3"/>
        <v>106.65633738647092</v>
      </c>
      <c r="K29" s="63">
        <f t="shared" si="4"/>
        <v>399.8596945964822</v>
      </c>
      <c r="L29" s="79">
        <f t="shared" si="5"/>
        <v>29.619838724420312</v>
      </c>
    </row>
    <row r="30" spans="2:12" ht="15.75" x14ac:dyDescent="0.3">
      <c r="B30" s="90">
        <v>18</v>
      </c>
      <c r="C30" s="91">
        <v>2018</v>
      </c>
      <c r="D30" s="66"/>
      <c r="E30" s="59"/>
      <c r="F30" s="59"/>
      <c r="G30" s="62"/>
      <c r="H30" s="68"/>
      <c r="I30" s="77">
        <f t="shared" si="2"/>
        <v>55042.662675348176</v>
      </c>
      <c r="J30" s="60">
        <f t="shared" si="3"/>
        <v>113.05571762965918</v>
      </c>
      <c r="K30" s="63">
        <f t="shared" si="4"/>
        <v>486.70922026283813</v>
      </c>
      <c r="L30" s="79">
        <f t="shared" si="5"/>
        <v>34.8270063721734</v>
      </c>
    </row>
    <row r="31" spans="2:12" ht="15.75" x14ac:dyDescent="0.3">
      <c r="B31" s="90">
        <v>19</v>
      </c>
      <c r="C31" s="91">
        <v>2019</v>
      </c>
      <c r="D31" s="66"/>
      <c r="E31" s="59"/>
      <c r="F31" s="59"/>
      <c r="G31" s="62"/>
      <c r="H31" s="68"/>
      <c r="I31" s="77">
        <f t="shared" si="2"/>
        <v>71021.547650001754</v>
      </c>
      <c r="J31" s="60">
        <f t="shared" si="3"/>
        <v>119.83906068743875</v>
      </c>
      <c r="K31" s="63">
        <f t="shared" si="4"/>
        <v>592.42246290392666</v>
      </c>
      <c r="L31" s="79">
        <f t="shared" si="5"/>
        <v>40.949594092401483</v>
      </c>
    </row>
    <row r="32" spans="2:12" ht="15.75" x14ac:dyDescent="0.3">
      <c r="B32" s="90">
        <v>20</v>
      </c>
      <c r="C32" s="91">
        <v>2020</v>
      </c>
      <c r="D32" s="66"/>
      <c r="E32" s="59"/>
      <c r="F32" s="59"/>
      <c r="G32" s="62"/>
      <c r="H32" s="68"/>
      <c r="I32" s="77">
        <f t="shared" si="2"/>
        <v>91639.102932797265</v>
      </c>
      <c r="J32" s="60">
        <f t="shared" si="3"/>
        <v>127.02940432868508</v>
      </c>
      <c r="K32" s="63">
        <f t="shared" si="4"/>
        <v>721.09662184665956</v>
      </c>
      <c r="L32" s="79">
        <f t="shared" si="5"/>
        <v>48.148532733845663</v>
      </c>
    </row>
    <row r="33" spans="2:12" ht="15.75" x14ac:dyDescent="0.3">
      <c r="B33" s="90">
        <v>21</v>
      </c>
      <c r="C33" s="91">
        <v>2021</v>
      </c>
      <c r="D33" s="66"/>
      <c r="E33" s="59"/>
      <c r="F33" s="59"/>
      <c r="G33" s="62"/>
      <c r="H33" s="68"/>
      <c r="I33" s="77">
        <f t="shared" si="2"/>
        <v>118241.93451418831</v>
      </c>
      <c r="J33" s="60">
        <f t="shared" si="3"/>
        <v>134.65116858840619</v>
      </c>
      <c r="K33" s="63">
        <f t="shared" si="4"/>
        <v>877.71880811175402</v>
      </c>
      <c r="L33" s="79">
        <f t="shared" si="5"/>
        <v>56.613044788455731</v>
      </c>
    </row>
    <row r="34" spans="2:12" ht="15.75" x14ac:dyDescent="0.3">
      <c r="B34" s="90">
        <v>22</v>
      </c>
      <c r="C34" s="91">
        <v>2022</v>
      </c>
      <c r="D34" s="66"/>
      <c r="E34" s="59"/>
      <c r="F34" s="59"/>
      <c r="G34" s="62"/>
      <c r="H34" s="68"/>
      <c r="I34" s="77">
        <f t="shared" si="2"/>
        <v>152567.56810365716</v>
      </c>
      <c r="J34" s="60">
        <f t="shared" si="3"/>
        <v>142.73023870371057</v>
      </c>
      <c r="K34" s="63">
        <f t="shared" si="4"/>
        <v>1068.359333233627</v>
      </c>
      <c r="L34" s="79">
        <f t="shared" si="5"/>
        <v>66.565618062266253</v>
      </c>
    </row>
    <row r="35" spans="2:12" ht="15.75" x14ac:dyDescent="0.3">
      <c r="B35" s="90"/>
      <c r="C35" s="91"/>
      <c r="D35" s="66"/>
      <c r="E35" s="59"/>
      <c r="F35" s="59"/>
      <c r="G35" s="62"/>
      <c r="H35" s="68"/>
      <c r="I35" s="77"/>
      <c r="J35" s="60"/>
      <c r="K35" s="63"/>
      <c r="L35" s="79"/>
    </row>
    <row r="36" spans="2:12" ht="15.75" x14ac:dyDescent="0.3">
      <c r="B36" s="90"/>
      <c r="C36" s="92" t="s">
        <v>1</v>
      </c>
      <c r="D36" s="93">
        <v>0.2903</v>
      </c>
      <c r="E36" s="61" t="s">
        <v>69</v>
      </c>
      <c r="F36" s="94">
        <v>0.06</v>
      </c>
      <c r="G36" s="5">
        <v>0.2172</v>
      </c>
      <c r="H36" s="95">
        <v>0.17580000000000001</v>
      </c>
      <c r="I36" s="96"/>
      <c r="J36" s="57"/>
      <c r="K36" s="4"/>
      <c r="L36" s="97"/>
    </row>
    <row r="37" spans="2:12" ht="15.75" x14ac:dyDescent="0.3">
      <c r="B37" s="90"/>
      <c r="C37" s="92" t="s">
        <v>76</v>
      </c>
      <c r="D37" s="96"/>
      <c r="E37" s="18"/>
      <c r="F37" s="57"/>
      <c r="G37" s="4"/>
      <c r="H37" s="97"/>
      <c r="I37" s="96"/>
      <c r="J37" s="57"/>
      <c r="K37" s="63">
        <f>I34/J34</f>
        <v>1068.9225316883803</v>
      </c>
      <c r="L37" s="97"/>
    </row>
    <row r="38" spans="2:12" ht="15.75" x14ac:dyDescent="0.3">
      <c r="B38" s="90"/>
      <c r="C38" s="92"/>
      <c r="D38" s="96"/>
      <c r="E38" s="18"/>
      <c r="F38" s="57"/>
      <c r="G38" s="4"/>
      <c r="H38" s="97"/>
      <c r="I38" s="96"/>
      <c r="J38" s="57"/>
      <c r="K38" s="4"/>
      <c r="L38" s="97"/>
    </row>
    <row r="39" spans="2:12" ht="15.75" x14ac:dyDescent="0.3">
      <c r="B39" s="90"/>
      <c r="C39" s="91" t="s">
        <v>74</v>
      </c>
      <c r="D39" s="69">
        <v>6</v>
      </c>
      <c r="E39" s="1"/>
      <c r="F39" s="1"/>
      <c r="G39" s="65"/>
      <c r="H39" s="70">
        <f>H24*D39</f>
        <v>79.08</v>
      </c>
      <c r="I39" s="72"/>
      <c r="J39" s="58"/>
      <c r="K39" s="64"/>
      <c r="L39" s="80">
        <f>L34*D39</f>
        <v>399.39370837359752</v>
      </c>
    </row>
    <row r="40" spans="2:12" x14ac:dyDescent="0.25">
      <c r="B40" s="72"/>
      <c r="C40" s="73" t="s">
        <v>73</v>
      </c>
      <c r="D40" s="71">
        <v>1</v>
      </c>
      <c r="E40" s="58"/>
      <c r="F40" s="58"/>
      <c r="G40" s="65">
        <f>G24*D40</f>
        <v>149.65730198551842</v>
      </c>
      <c r="H40" s="70"/>
      <c r="I40" s="72"/>
      <c r="J40" s="58"/>
      <c r="K40" s="64">
        <f>K34*D40</f>
        <v>1068.359333233627</v>
      </c>
      <c r="L40" s="80"/>
    </row>
    <row r="41" spans="2:12" x14ac:dyDescent="0.25">
      <c r="B41" s="72"/>
      <c r="C41" s="73"/>
      <c r="D41" s="72"/>
      <c r="E41" s="58"/>
      <c r="F41" s="58"/>
      <c r="G41" s="58"/>
      <c r="H41" s="73"/>
      <c r="I41" s="72"/>
      <c r="J41" s="58"/>
      <c r="K41" s="64"/>
      <c r="L41" s="80"/>
    </row>
    <row r="42" spans="2:12" x14ac:dyDescent="0.25">
      <c r="B42" s="72"/>
      <c r="C42" s="73" t="s">
        <v>75</v>
      </c>
      <c r="D42" s="85">
        <v>0.2</v>
      </c>
      <c r="E42" s="58"/>
      <c r="F42" s="58"/>
      <c r="G42" s="58"/>
      <c r="H42" s="73"/>
      <c r="I42" s="72"/>
      <c r="J42" s="58"/>
      <c r="K42" s="64"/>
      <c r="L42" s="80"/>
    </row>
    <row r="43" spans="2:12" x14ac:dyDescent="0.25">
      <c r="B43" s="72"/>
      <c r="C43" s="73" t="s">
        <v>66</v>
      </c>
      <c r="D43" s="72"/>
      <c r="E43" s="58"/>
      <c r="F43" s="58"/>
      <c r="G43" s="58"/>
      <c r="H43" s="73"/>
      <c r="I43" s="72"/>
      <c r="J43" s="58"/>
      <c r="K43" s="58">
        <v>172</v>
      </c>
      <c r="L43" s="73">
        <v>64</v>
      </c>
    </row>
    <row r="44" spans="2:12" x14ac:dyDescent="0.25">
      <c r="B44" s="72"/>
      <c r="C44" s="73"/>
      <c r="D44" s="72"/>
      <c r="E44" s="58"/>
      <c r="F44" s="58"/>
      <c r="G44" s="58"/>
      <c r="H44" s="73"/>
      <c r="I44" s="72"/>
      <c r="J44" s="58"/>
      <c r="K44" s="58"/>
      <c r="L44" s="73"/>
    </row>
    <row r="45" spans="2:12" x14ac:dyDescent="0.25">
      <c r="B45" s="72"/>
      <c r="C45" s="73"/>
      <c r="D45" s="72"/>
      <c r="E45" s="58"/>
      <c r="F45" s="58"/>
      <c r="G45" s="58"/>
      <c r="H45" s="73"/>
      <c r="I45" s="72"/>
      <c r="J45" s="58"/>
      <c r="K45" s="58"/>
      <c r="L45" s="73"/>
    </row>
    <row r="46" spans="2:12" x14ac:dyDescent="0.25">
      <c r="B46" s="72"/>
      <c r="C46" s="73"/>
      <c r="D46" s="72"/>
      <c r="E46" s="58"/>
      <c r="F46" s="58"/>
      <c r="G46" s="58"/>
      <c r="H46" s="73"/>
      <c r="I46" s="72"/>
      <c r="J46" s="58"/>
      <c r="K46" s="58"/>
      <c r="L46" s="73"/>
    </row>
    <row r="47" spans="2:12" x14ac:dyDescent="0.25">
      <c r="B47" s="72"/>
      <c r="C47" s="73"/>
      <c r="D47" s="72"/>
      <c r="E47" s="58"/>
      <c r="F47" s="58"/>
      <c r="G47" s="58"/>
      <c r="H47" s="73"/>
      <c r="I47" s="72"/>
      <c r="J47" s="58"/>
      <c r="K47" s="58"/>
      <c r="L47" s="73"/>
    </row>
    <row r="48" spans="2:12" ht="15.75" thickBot="1" x14ac:dyDescent="0.3">
      <c r="B48" s="74"/>
      <c r="C48" s="76"/>
      <c r="D48" s="74"/>
      <c r="E48" s="75"/>
      <c r="F48" s="75"/>
      <c r="G48" s="75"/>
      <c r="H48" s="76"/>
      <c r="I48" s="74"/>
      <c r="J48" s="75"/>
      <c r="K48" s="75"/>
      <c r="L48" s="76"/>
    </row>
  </sheetData>
  <mergeCells count="5">
    <mergeCell ref="D10:H10"/>
    <mergeCell ref="B2:C2"/>
    <mergeCell ref="I10:L10"/>
    <mergeCell ref="E2:F2"/>
    <mergeCell ref="H2:I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1 - Eval Steps</vt:lpstr>
      <vt:lpstr>2 - Analysis</vt:lpstr>
      <vt:lpstr>3 - Forecast</vt:lpstr>
      <vt:lpstr>BV calc</vt:lpstr>
      <vt:lpstr>Sheet1</vt:lpstr>
      <vt:lpstr>IOB</vt:lpstr>
      <vt:lpstr>Template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2013-06-21T17:10:58Z</dcterms:modified>
</cp:coreProperties>
</file>
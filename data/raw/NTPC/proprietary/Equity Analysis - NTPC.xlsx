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S40" i="18" l="1"/>
  <c r="G37" i="18"/>
  <c r="H37" i="18"/>
  <c r="I37" i="18"/>
  <c r="J37" i="18"/>
  <c r="K37" i="18"/>
  <c r="L37" i="18"/>
  <c r="M37" i="18"/>
  <c r="N37" i="18"/>
  <c r="O37" i="18"/>
  <c r="P37" i="18"/>
  <c r="P27" i="18"/>
  <c r="P25" i="18"/>
  <c r="P16" i="18"/>
  <c r="N12" i="18"/>
  <c r="M12" i="18"/>
  <c r="L12" i="18"/>
  <c r="K12" i="18"/>
  <c r="J12" i="18"/>
  <c r="I12" i="18"/>
  <c r="H12" i="18"/>
  <c r="G12" i="18"/>
  <c r="P10" i="18"/>
  <c r="Q6" i="18"/>
  <c r="Q7" i="18"/>
  <c r="T190" i="18" l="1"/>
  <c r="T189" i="18"/>
  <c r="D187" i="18"/>
  <c r="H187" i="18"/>
  <c r="L26" i="18"/>
  <c r="L91" i="18"/>
  <c r="J91" i="18"/>
  <c r="H91" i="18"/>
  <c r="F91" i="18"/>
  <c r="G91" i="18"/>
  <c r="I91" i="18"/>
  <c r="K91" i="18"/>
  <c r="M91" i="18"/>
  <c r="N91" i="18"/>
  <c r="O91" i="18"/>
  <c r="P91" i="18"/>
  <c r="H122" i="18"/>
  <c r="I122" i="18"/>
  <c r="J122" i="18"/>
  <c r="K122" i="18"/>
  <c r="L122" i="18"/>
  <c r="M122" i="18"/>
  <c r="N122" i="18"/>
  <c r="O122" i="18"/>
  <c r="P122" i="18"/>
  <c r="H121" i="18"/>
  <c r="I121" i="18"/>
  <c r="J121" i="18"/>
  <c r="K121" i="18"/>
  <c r="L121" i="18"/>
  <c r="M121" i="18"/>
  <c r="N121" i="18"/>
  <c r="O121" i="18"/>
  <c r="P121" i="18"/>
  <c r="G201" i="18"/>
  <c r="G202" i="18" s="1"/>
  <c r="G203" i="18" s="1"/>
  <c r="G200" i="18"/>
  <c r="K198" i="18"/>
  <c r="K197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H192" i="18"/>
  <c r="D191" i="18"/>
  <c r="H190" i="18"/>
  <c r="I190" i="18" s="1"/>
  <c r="J190" i="18" s="1"/>
  <c r="J191" i="18" s="1"/>
  <c r="H188" i="18"/>
  <c r="H186" i="18"/>
  <c r="H185" i="18"/>
  <c r="I185" i="18" s="1"/>
  <c r="J185" i="18" s="1"/>
  <c r="D193" i="18" l="1"/>
  <c r="K201" i="18"/>
  <c r="Q48" i="18"/>
  <c r="K200" i="18"/>
  <c r="I186" i="18"/>
  <c r="J186" i="18" s="1"/>
  <c r="I192" i="18"/>
  <c r="J192" i="18" s="1"/>
  <c r="J193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22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6" i="18"/>
  <c r="T185" i="18"/>
  <c r="O186" i="18"/>
  <c r="O189" i="18" s="1"/>
  <c r="O185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I187" i="18" l="1"/>
  <c r="J187" i="18" s="1"/>
  <c r="I188" i="18" s="1"/>
  <c r="J188" i="18" s="1"/>
  <c r="J189" i="18" s="1"/>
  <c r="Q121" i="18"/>
  <c r="Q122" i="18"/>
  <c r="Q83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90" i="18"/>
  <c r="N189" i="18"/>
  <c r="S187" i="18"/>
  <c r="T187" i="18" s="1"/>
  <c r="T192" i="18" s="1"/>
  <c r="N187" i="18"/>
  <c r="O187" i="18" s="1"/>
  <c r="O192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92" i="18"/>
  <c r="S192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S38" i="18" s="1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V41" i="18" l="1"/>
  <c r="U63" i="18"/>
  <c r="Q119" i="18"/>
  <c r="Y29" i="18"/>
  <c r="Q75" i="18"/>
  <c r="Q73" i="18"/>
  <c r="Q74" i="18"/>
  <c r="Q80" i="18"/>
  <c r="Q81" i="18"/>
  <c r="P79" i="18"/>
  <c r="Q79" i="18" s="1"/>
  <c r="C178" i="18"/>
  <c r="D178" i="18"/>
  <c r="E178" i="18"/>
  <c r="F178" i="18"/>
  <c r="C179" i="18"/>
  <c r="D179" i="18"/>
  <c r="E179" i="18"/>
  <c r="F179" i="18"/>
  <c r="C180" i="18"/>
  <c r="D180" i="18"/>
  <c r="E180" i="18"/>
  <c r="F180" i="18"/>
  <c r="H180" i="18"/>
  <c r="I180" i="18"/>
  <c r="J180" i="18"/>
  <c r="K180" i="18"/>
  <c r="L180" i="18"/>
  <c r="M180" i="18"/>
  <c r="N180" i="18"/>
  <c r="O180" i="18"/>
  <c r="P180" i="18"/>
  <c r="G180" i="18"/>
  <c r="H179" i="18"/>
  <c r="I179" i="18"/>
  <c r="J179" i="18"/>
  <c r="K179" i="18"/>
  <c r="L179" i="18"/>
  <c r="M179" i="18"/>
  <c r="N179" i="18"/>
  <c r="O179" i="18"/>
  <c r="P179" i="18"/>
  <c r="G179" i="18"/>
  <c r="H178" i="18"/>
  <c r="I178" i="18"/>
  <c r="J178" i="18"/>
  <c r="K178" i="18"/>
  <c r="L178" i="18"/>
  <c r="M178" i="18"/>
  <c r="N178" i="18"/>
  <c r="O178" i="18"/>
  <c r="P178" i="18"/>
  <c r="G178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M171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W41" i="18" l="1"/>
  <c r="V63" i="18"/>
  <c r="Q156" i="18"/>
  <c r="Z29" i="18"/>
  <c r="T36" i="18"/>
  <c r="T86" i="18" s="1"/>
  <c r="Q180" i="18"/>
  <c r="Q45" i="18"/>
  <c r="Q44" i="18"/>
  <c r="Q179" i="18"/>
  <c r="Q178" i="18"/>
  <c r="Q31" i="18"/>
  <c r="Q34" i="18"/>
  <c r="X41" i="18" l="1"/>
  <c r="W63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Y41" i="18" l="1"/>
  <c r="X63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Y63" i="18" l="1"/>
  <c r="Z41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Z63" i="18" l="1"/>
  <c r="AA41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B41" i="18" l="1"/>
  <c r="AA63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B63" i="18"/>
  <c r="AC41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S143" i="18" l="1"/>
  <c r="AE63" i="18"/>
  <c r="T143" i="18" s="1"/>
  <c r="AC6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87" i="18"/>
  <c r="S10" i="18"/>
  <c r="S12" i="18"/>
  <c r="S13" i="18"/>
  <c r="S7" i="18"/>
  <c r="S6" i="18"/>
  <c r="P175" i="18" l="1"/>
  <c r="M175" i="18"/>
  <c r="S175" i="18"/>
  <c r="S91" i="18"/>
  <c r="R143" i="18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P174" i="18" l="1"/>
  <c r="M174" i="18"/>
  <c r="S174" i="18"/>
  <c r="T175" i="18"/>
  <c r="U175" i="18" s="1"/>
  <c r="V175" i="18" s="1"/>
  <c r="W175" i="18" s="1"/>
  <c r="X175" i="18" s="1"/>
  <c r="Y175" i="18" s="1"/>
  <c r="Z175" i="18" s="1"/>
  <c r="AA175" i="18" s="1"/>
  <c r="AB175" i="18" s="1"/>
  <c r="S176" i="18"/>
  <c r="T91" i="18"/>
  <c r="X111" i="18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2" i="18"/>
  <c r="T93" i="18"/>
  <c r="Y18" i="18"/>
  <c r="Z20" i="18"/>
  <c r="Y65" i="18"/>
  <c r="S57" i="18"/>
  <c r="S59" i="18" s="1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T176" i="18" l="1"/>
  <c r="U176" i="18" s="1"/>
  <c r="V176" i="18" s="1"/>
  <c r="W176" i="18" s="1"/>
  <c r="X176" i="18" s="1"/>
  <c r="Y176" i="18" s="1"/>
  <c r="Z176" i="18" s="1"/>
  <c r="AA176" i="18" s="1"/>
  <c r="AB176" i="18" s="1"/>
  <c r="S173" i="18"/>
  <c r="T174" i="18"/>
  <c r="U174" i="18" s="1"/>
  <c r="V174" i="18" s="1"/>
  <c r="W174" i="18" s="1"/>
  <c r="X174" i="18" s="1"/>
  <c r="Y174" i="18" s="1"/>
  <c r="Z174" i="18" s="1"/>
  <c r="AA174" i="18" s="1"/>
  <c r="AB174" i="18" s="1"/>
  <c r="U91" i="18"/>
  <c r="T96" i="18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T173" i="18" l="1"/>
  <c r="U173" i="18" s="1"/>
  <c r="V173" i="18" s="1"/>
  <c r="W173" i="18" s="1"/>
  <c r="X173" i="18" s="1"/>
  <c r="Y173" i="18" s="1"/>
  <c r="Z173" i="18" s="1"/>
  <c r="AA173" i="18" s="1"/>
  <c r="AB173" i="18" s="1"/>
  <c r="V91" i="18"/>
  <c r="U96" i="18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1" i="18" l="1"/>
  <c r="V96" i="18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91" i="18" l="1"/>
  <c r="W96" i="18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Y91" i="18" l="1"/>
  <c r="X96" i="18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91" i="18" l="1"/>
  <c r="Y96" i="18"/>
  <c r="Y97" i="18" s="1"/>
  <c r="Y98" i="18" s="1"/>
  <c r="Y99" i="18" s="1"/>
  <c r="Y48" i="18"/>
  <c r="Z88" i="18"/>
  <c r="Z110" i="18"/>
  <c r="Z114" i="18"/>
  <c r="Z115" i="18"/>
  <c r="Z82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AA91" i="18" l="1"/>
  <c r="Z96" i="18"/>
  <c r="Z97" i="18" s="1"/>
  <c r="Z98" i="18" s="1"/>
  <c r="Z99" i="18" s="1"/>
  <c r="Z48" i="18"/>
  <c r="AA82" i="18"/>
  <c r="AA114" i="18"/>
  <c r="AA115" i="18"/>
  <c r="AA88" i="18"/>
  <c r="AA110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Y157" i="18"/>
  <c r="Y158" i="18"/>
  <c r="N35" i="11"/>
  <c r="O34" i="11"/>
  <c r="D35" i="8"/>
  <c r="E5" i="8"/>
  <c r="E18" i="8" s="1"/>
  <c r="D18" i="8"/>
  <c r="D19" i="8"/>
  <c r="D21" i="8"/>
  <c r="D20" i="8"/>
  <c r="AB91" i="18" l="1"/>
  <c r="AC163" i="18"/>
  <c r="AE163" i="18" s="1"/>
  <c r="AA96" i="18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C91" i="18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E48" i="18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AB157" i="18"/>
  <c r="AC50" i="18"/>
  <c r="T128" i="18" s="1"/>
  <c r="AB158" i="18"/>
  <c r="S128" i="18"/>
  <c r="N38" i="11"/>
  <c r="O37" i="11"/>
  <c r="H18" i="8"/>
  <c r="AC162" i="18" l="1"/>
  <c r="AE162" i="18" s="1"/>
  <c r="T126" i="18"/>
  <c r="R126" i="18" s="1"/>
  <c r="P172" i="18" s="1"/>
  <c r="P173" i="18" s="1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P171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<sst xmlns="http://schemas.openxmlformats.org/spreadsheetml/2006/main" count="580" uniqueCount="401">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</sst>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rgb="FFFF9966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5" fontId="15" fillId="5" borderId="1" xfId="2" applyNumberFormat="1" applyFont="1" applyFill="1" applyBorder="1"/>
    <xf numFmtId="178" fontId="8" fillId="5" borderId="1" xfId="2" applyNumberFormat="1" applyFont="1" applyFill="1" applyBorder="1"/>
    <xf numFmtId="0" fontId="8" fillId="5" borderId="1" xfId="2" applyNumberFormat="1" applyFont="1" applyFill="1" applyBorder="1"/>
    <xf numFmtId="172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61312"/>
        <c:axId val="94062848"/>
      </c:lineChart>
      <c:catAx>
        <c:axId val="9406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94062848"/>
        <c:crosses val="autoZero"/>
        <c:auto val="1"/>
        <c:lblAlgn val="ctr"/>
        <c:lblOffset val="100"/>
        <c:noMultiLvlLbl val="0"/>
      </c:catAx>
      <c:valAx>
        <c:axId val="9406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0613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04"/>
  <sheetViews>
    <sheetView tabSelected="1" zoomScale="80" zoomScaleNormal="80" workbookViewId="0">
      <pane xSplit="2" ySplit="3" topLeftCell="C38" activePane="bottomRight" state="frozen"/>
      <selection pane="topRight" activeCell="C1" sqref="C1"/>
      <selection pane="bottomLeft" activeCell="A5" sqref="A5"/>
      <selection pane="bottomRight" activeCell="G54" sqref="G5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4" width="10.140625" style="104" bestFit="1" customWidth="1"/>
    <col min="15" max="15" width="11.28515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0.08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4" t="s">
        <v>292</v>
      </c>
      <c r="AE2" s="195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6" t="s">
        <v>293</v>
      </c>
      <c r="AE3" s="197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>
        <v>23700</v>
      </c>
      <c r="G6" s="147">
        <v>28116</v>
      </c>
      <c r="H6" s="147">
        <v>33562</v>
      </c>
      <c r="I6" s="147">
        <v>36755</v>
      </c>
      <c r="J6" s="147">
        <v>40467</v>
      </c>
      <c r="K6" s="147">
        <v>44617</v>
      </c>
      <c r="L6" s="147">
        <v>49162</v>
      </c>
      <c r="M6" s="147">
        <v>54058</v>
      </c>
      <c r="N6" s="147">
        <v>59835</v>
      </c>
      <c r="O6" s="147">
        <v>66157</v>
      </c>
      <c r="P6" s="147">
        <v>72995.490000000005</v>
      </c>
      <c r="Q6" s="118">
        <f>((P6/G6)^(1/($H$2-$H$1) ))-1</f>
        <v>0.11182914649936304</v>
      </c>
      <c r="R6" s="31">
        <f>$L$2</f>
        <v>0.08</v>
      </c>
      <c r="S6" s="154">
        <f>P6*(1+$R6)</f>
        <v>78835.12920000001</v>
      </c>
      <c r="T6" s="154">
        <f>S6*(1+$R6)</f>
        <v>85141.93953600002</v>
      </c>
      <c r="U6" s="154">
        <f t="shared" ref="U6:AB6" si="0">T6*(1+$R6)</f>
        <v>91953.294698880025</v>
      </c>
      <c r="V6" s="154">
        <f t="shared" si="0"/>
        <v>99309.558274790426</v>
      </c>
      <c r="W6" s="154">
        <f t="shared" si="0"/>
        <v>107254.32293677366</v>
      </c>
      <c r="X6" s="154">
        <f t="shared" si="0"/>
        <v>115834.66877171556</v>
      </c>
      <c r="Y6" s="154">
        <f t="shared" si="0"/>
        <v>125101.44227345281</v>
      </c>
      <c r="Z6" s="154">
        <f t="shared" si="0"/>
        <v>135109.55765532903</v>
      </c>
      <c r="AA6" s="154">
        <f t="shared" si="0"/>
        <v>145918.32226775537</v>
      </c>
      <c r="AB6" s="154">
        <f t="shared" si="0"/>
        <v>157591.78804917581</v>
      </c>
      <c r="AC6" s="138">
        <f>((AB6/G6)^(1/($AB$3-$H$1) ))-1</f>
        <v>9.4961753952648831E-2</v>
      </c>
      <c r="AD6" s="31">
        <f>$L$1</f>
        <v>0.05</v>
      </c>
      <c r="AE6" s="146">
        <f t="shared" ref="AE6:AE41" si="1">(AB6*(1+AD6))/($C$1-AD6)</f>
        <v>973361.04383314494</v>
      </c>
    </row>
    <row r="7" spans="2:31" x14ac:dyDescent="0.2">
      <c r="B7" s="20" t="s">
        <v>240</v>
      </c>
      <c r="C7" s="141"/>
      <c r="D7" s="141"/>
      <c r="E7" s="147"/>
      <c r="F7" s="147">
        <v>31512</v>
      </c>
      <c r="G7" s="147">
        <v>35928</v>
      </c>
      <c r="H7" s="147">
        <v>41807</v>
      </c>
      <c r="I7" s="147">
        <v>45000</v>
      </c>
      <c r="J7" s="147">
        <v>48712</v>
      </c>
      <c r="K7" s="147">
        <v>52862</v>
      </c>
      <c r="L7" s="147">
        <v>57407</v>
      </c>
      <c r="M7" s="147">
        <v>62303</v>
      </c>
      <c r="N7" s="147">
        <v>68081</v>
      </c>
      <c r="O7" s="147">
        <v>74402</v>
      </c>
      <c r="P7" s="147">
        <v>81240.95</v>
      </c>
      <c r="Q7" s="118">
        <f>((P7/G7)^(1/($H$2-$H$1) ))-1</f>
        <v>9.4892114379777626E-2</v>
      </c>
      <c r="R7" s="31">
        <f>$L$2</f>
        <v>0.08</v>
      </c>
      <c r="S7" s="154">
        <f t="shared" ref="S7:S16" si="2">P7*(1+$R7)</f>
        <v>87740.22600000001</v>
      </c>
      <c r="T7" s="154">
        <f t="shared" ref="T7:AB7" si="3">S7*(1+$R7)</f>
        <v>94759.444080000016</v>
      </c>
      <c r="U7" s="154">
        <f t="shared" si="3"/>
        <v>102340.19960640003</v>
      </c>
      <c r="V7" s="154">
        <f t="shared" si="3"/>
        <v>110527.41557491204</v>
      </c>
      <c r="W7" s="154">
        <f t="shared" si="3"/>
        <v>119369.60882090501</v>
      </c>
      <c r="X7" s="154">
        <f t="shared" si="3"/>
        <v>128919.17752657742</v>
      </c>
      <c r="Y7" s="154">
        <f t="shared" si="3"/>
        <v>139232.71172870361</v>
      </c>
      <c r="Z7" s="154">
        <f t="shared" si="3"/>
        <v>150371.32866699991</v>
      </c>
      <c r="AA7" s="154">
        <f t="shared" si="3"/>
        <v>162401.03496035992</v>
      </c>
      <c r="AB7" s="154">
        <f t="shared" si="3"/>
        <v>175393.11775718871</v>
      </c>
      <c r="AC7" s="138">
        <f>((AB7/G7)^(1/($AB$3-$H$1) ))-1</f>
        <v>8.7028740163590079E-2</v>
      </c>
      <c r="AD7" s="31">
        <f>$L$1</f>
        <v>0.05</v>
      </c>
      <c r="AE7" s="146">
        <f t="shared" si="1"/>
        <v>1083310.4332061657</v>
      </c>
    </row>
    <row r="8" spans="2:31" x14ac:dyDescent="0.2">
      <c r="B8" s="20"/>
      <c r="C8" s="141"/>
      <c r="D8" s="141"/>
      <c r="E8" s="147"/>
      <c r="F8" s="147"/>
      <c r="G8" s="148">
        <f>(G7-F7)/G7</f>
        <v>0.12291249164996659</v>
      </c>
      <c r="H8" s="151">
        <f>(H7-G7)/H7</f>
        <v>0.14062238381132347</v>
      </c>
      <c r="I8" s="151">
        <f t="shared" ref="I8:P8" si="4">(I7-H7)/I7</f>
        <v>7.0955555555555549E-2</v>
      </c>
      <c r="J8" s="151">
        <f t="shared" si="4"/>
        <v>7.620298899655116E-2</v>
      </c>
      <c r="K8" s="151">
        <f t="shared" si="4"/>
        <v>7.8506299421134268E-2</v>
      </c>
      <c r="L8" s="151">
        <f t="shared" si="4"/>
        <v>7.9171529604403643E-2</v>
      </c>
      <c r="M8" s="151">
        <f t="shared" si="4"/>
        <v>7.8583695809190571E-2</v>
      </c>
      <c r="N8" s="151">
        <f t="shared" si="4"/>
        <v>8.4869493691338255E-2</v>
      </c>
      <c r="O8" s="151">
        <f t="shared" si="4"/>
        <v>8.4957393618451116E-2</v>
      </c>
      <c r="P8" s="151">
        <f t="shared" si="4"/>
        <v>8.4181068783661411E-2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3420</v>
      </c>
      <c r="G9" s="147">
        <v>7465</v>
      </c>
      <c r="H9" s="147">
        <v>5333</v>
      </c>
      <c r="I9" s="147">
        <v>5119</v>
      </c>
      <c r="J9" s="147">
        <v>5977</v>
      </c>
      <c r="K9" s="147">
        <v>6215</v>
      </c>
      <c r="L9" s="147">
        <v>8719</v>
      </c>
      <c r="M9" s="147">
        <v>9987</v>
      </c>
      <c r="N9" s="147">
        <v>13110</v>
      </c>
      <c r="O9" s="147">
        <v>19814</v>
      </c>
      <c r="P9" s="147">
        <v>26702.39</v>
      </c>
      <c r="Q9" s="118">
        <f t="shared" ref="Q9:Q16" si="5">((P9/G9)^(1/($H$2-$H$1) ))-1</f>
        <v>0.1521320501986263</v>
      </c>
      <c r="R9" s="31">
        <f t="shared" ref="R9:R38" si="6">$L$2</f>
        <v>0.08</v>
      </c>
      <c r="S9" s="154">
        <f t="shared" ref="S9" si="7">P9*(1+$R9)</f>
        <v>28838.581200000001</v>
      </c>
      <c r="T9" s="154">
        <f t="shared" ref="T9" si="8">S9*(1+$R9)</f>
        <v>31145.667696000004</v>
      </c>
      <c r="U9" s="154">
        <f t="shared" ref="U9" si="9">T9*(1+$R9)</f>
        <v>33637.321111680008</v>
      </c>
      <c r="V9" s="154">
        <f t="shared" ref="V9" si="10">U9*(1+$R9)</f>
        <v>36328.306800614409</v>
      </c>
      <c r="W9" s="154">
        <f t="shared" ref="W9" si="11">V9*(1+$R9)</f>
        <v>39234.571344663564</v>
      </c>
      <c r="X9" s="154">
        <f t="shared" ref="X9" si="12">W9*(1+$R9)</f>
        <v>42373.337052236653</v>
      </c>
      <c r="Y9" s="154">
        <f t="shared" ref="Y9" si="13">X9*(1+$R9)</f>
        <v>45763.204016415591</v>
      </c>
      <c r="Z9" s="154">
        <f t="shared" ref="Z9" si="14">Y9*(1+$R9)</f>
        <v>49424.26033772884</v>
      </c>
      <c r="AA9" s="154">
        <f t="shared" ref="AA9" si="15">Z9*(1+$R9)</f>
        <v>53378.201164747152</v>
      </c>
      <c r="AB9" s="154">
        <f t="shared" ref="AB9" si="16">AA9*(1+$R9)</f>
        <v>57648.45725792693</v>
      </c>
      <c r="AC9" s="138">
        <f>((AB9/G9)^(1/($AB$3-$H$1) ))-1</f>
        <v>0.11358686273412433</v>
      </c>
      <c r="AD9" s="31">
        <f t="shared" ref="AD9:AD74" si="17">$L$1</f>
        <v>0.05</v>
      </c>
      <c r="AE9" s="146">
        <f t="shared" si="1"/>
        <v>356064.0007107252</v>
      </c>
    </row>
    <row r="10" spans="2:31" x14ac:dyDescent="0.2">
      <c r="B10" s="20" t="s">
        <v>4</v>
      </c>
      <c r="C10" s="141"/>
      <c r="D10" s="141"/>
      <c r="E10" s="147"/>
      <c r="F10" s="147">
        <v>13242</v>
      </c>
      <c r="G10" s="147">
        <v>15611</v>
      </c>
      <c r="H10" s="147">
        <v>17640</v>
      </c>
      <c r="I10" s="147">
        <v>22920</v>
      </c>
      <c r="J10" s="147">
        <v>27676</v>
      </c>
      <c r="K10" s="147">
        <v>31943</v>
      </c>
      <c r="L10" s="147">
        <v>40447</v>
      </c>
      <c r="M10" s="147">
        <v>45759</v>
      </c>
      <c r="N10" s="147">
        <v>51609</v>
      </c>
      <c r="O10" s="147">
        <v>56432</v>
      </c>
      <c r="P10" s="147">
        <f>68643.45-1080.72-761.2</f>
        <v>66801.53</v>
      </c>
      <c r="Q10" s="118">
        <f t="shared" si="5"/>
        <v>0.17530512994592429</v>
      </c>
      <c r="R10" s="31">
        <f t="shared" si="6"/>
        <v>0.08</v>
      </c>
      <c r="S10" s="154">
        <f t="shared" si="2"/>
        <v>72145.652400000006</v>
      </c>
      <c r="T10" s="154">
        <f t="shared" ref="T10:AB10" si="18">S10*(1+$R10)</f>
        <v>77917.304592000015</v>
      </c>
      <c r="U10" s="154">
        <f t="shared" si="18"/>
        <v>84150.688959360021</v>
      </c>
      <c r="V10" s="154">
        <f t="shared" si="18"/>
        <v>90882.744076108822</v>
      </c>
      <c r="W10" s="154">
        <f t="shared" si="18"/>
        <v>98153.36360219754</v>
      </c>
      <c r="X10" s="154">
        <f t="shared" si="18"/>
        <v>106005.63269037336</v>
      </c>
      <c r="Y10" s="154">
        <f t="shared" si="18"/>
        <v>114486.08330560323</v>
      </c>
      <c r="Z10" s="154">
        <f t="shared" si="18"/>
        <v>123644.96997005149</v>
      </c>
      <c r="AA10" s="154">
        <f t="shared" si="18"/>
        <v>133536.56756765561</v>
      </c>
      <c r="AB10" s="154">
        <f t="shared" si="18"/>
        <v>144219.49297306806</v>
      </c>
      <c r="AC10" s="138">
        <f t="shared" ref="AC10:AC40" si="19">((AB10/G10)^(1/($AB$3-$H$1) ))-1</f>
        <v>0.12414076460645318</v>
      </c>
      <c r="AD10" s="31">
        <f t="shared" si="17"/>
        <v>0.05</v>
      </c>
      <c r="AE10" s="146">
        <f t="shared" si="1"/>
        <v>890767.45659836172</v>
      </c>
    </row>
    <row r="11" spans="2:31" x14ac:dyDescent="0.2">
      <c r="B11" s="20"/>
      <c r="C11" s="141"/>
      <c r="D11" s="141"/>
      <c r="E11" s="147"/>
      <c r="F11" s="147"/>
      <c r="G11" s="148">
        <f>(G10-F10)/G10</f>
        <v>0.15175196976490937</v>
      </c>
      <c r="H11" s="148">
        <f t="shared" ref="H11:P11" si="20">(H10-G10)/H10</f>
        <v>0.11502267573696145</v>
      </c>
      <c r="I11" s="148">
        <f t="shared" si="20"/>
        <v>0.23036649214659685</v>
      </c>
      <c r="J11" s="148">
        <f t="shared" si="20"/>
        <v>0.17184564243387773</v>
      </c>
      <c r="K11" s="148">
        <f t="shared" si="20"/>
        <v>0.13358169238956891</v>
      </c>
      <c r="L11" s="148">
        <f t="shared" si="20"/>
        <v>0.21025045120775335</v>
      </c>
      <c r="M11" s="148">
        <f t="shared" si="20"/>
        <v>0.1160864529382198</v>
      </c>
      <c r="N11" s="148">
        <f t="shared" si="20"/>
        <v>0.11335232226937163</v>
      </c>
      <c r="O11" s="148">
        <f t="shared" si="20"/>
        <v>8.5465693223702857E-2</v>
      </c>
      <c r="P11" s="148">
        <f t="shared" si="20"/>
        <v>0.15522892963679125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>
        <v>545</v>
      </c>
      <c r="G12" s="147">
        <f>602+7</f>
        <v>609</v>
      </c>
      <c r="H12" s="147">
        <f>438+5760</f>
        <v>6198</v>
      </c>
      <c r="I12" s="147">
        <f>192+8414</f>
        <v>8606</v>
      </c>
      <c r="J12" s="147">
        <f>767+12931</f>
        <v>13698</v>
      </c>
      <c r="K12" s="147">
        <f>489+14871</f>
        <v>15360</v>
      </c>
      <c r="L12" s="147">
        <f>323+16928</f>
        <v>17251</v>
      </c>
      <c r="M12" s="147">
        <f>702+15350</f>
        <v>16052</v>
      </c>
      <c r="N12" s="147">
        <f>393+17467</f>
        <v>17860</v>
      </c>
      <c r="O12" s="147">
        <v>18091</v>
      </c>
      <c r="P12" s="147">
        <v>18738.12</v>
      </c>
      <c r="Q12" s="118">
        <f t="shared" si="5"/>
        <v>0.46334057150333985</v>
      </c>
      <c r="R12" s="31">
        <f t="shared" si="6"/>
        <v>0.08</v>
      </c>
      <c r="S12" s="154">
        <f t="shared" si="2"/>
        <v>20237.169600000001</v>
      </c>
      <c r="T12" s="154">
        <f t="shared" ref="T12:AB12" si="21">S12*(1+$R12)</f>
        <v>21856.143168000002</v>
      </c>
      <c r="U12" s="154">
        <f t="shared" si="21"/>
        <v>23604.634621440004</v>
      </c>
      <c r="V12" s="154">
        <f t="shared" si="21"/>
        <v>25493.005391155206</v>
      </c>
      <c r="W12" s="154">
        <f t="shared" si="21"/>
        <v>27532.445822447626</v>
      </c>
      <c r="X12" s="154">
        <f t="shared" si="21"/>
        <v>29735.041488243438</v>
      </c>
      <c r="Y12" s="154">
        <f t="shared" si="21"/>
        <v>32113.844807302914</v>
      </c>
      <c r="Z12" s="154">
        <f t="shared" si="21"/>
        <v>34682.952391887149</v>
      </c>
      <c r="AA12" s="154">
        <f t="shared" si="21"/>
        <v>37457.588583238125</v>
      </c>
      <c r="AB12" s="154">
        <f t="shared" si="21"/>
        <v>40454.195669897177</v>
      </c>
      <c r="AC12" s="138">
        <f t="shared" si="19"/>
        <v>0.24713354818252786</v>
      </c>
      <c r="AD12" s="31">
        <f t="shared" si="17"/>
        <v>0.05</v>
      </c>
      <c r="AE12" s="146">
        <f t="shared" si="1"/>
        <v>249864.14972583554</v>
      </c>
    </row>
    <row r="13" spans="2:31" x14ac:dyDescent="0.2">
      <c r="B13" s="20" t="s">
        <v>218</v>
      </c>
      <c r="C13" s="141"/>
      <c r="D13" s="141"/>
      <c r="E13" s="147"/>
      <c r="F13" s="147">
        <v>3667</v>
      </c>
      <c r="G13" s="147">
        <v>17338</v>
      </c>
      <c r="H13" s="147">
        <v>20656</v>
      </c>
      <c r="I13" s="147">
        <v>18592</v>
      </c>
      <c r="J13" s="147">
        <v>15142</v>
      </c>
      <c r="K13" s="147">
        <v>13447</v>
      </c>
      <c r="L13" s="147">
        <v>11696</v>
      </c>
      <c r="M13" s="147">
        <v>11777</v>
      </c>
      <c r="N13" s="147">
        <v>8357</v>
      </c>
      <c r="O13" s="147">
        <v>6545</v>
      </c>
      <c r="P13" s="147">
        <v>7000</v>
      </c>
      <c r="Q13" s="118">
        <f t="shared" si="5"/>
        <v>-9.5865113949552216E-2</v>
      </c>
      <c r="R13" s="31">
        <f t="shared" si="6"/>
        <v>0.08</v>
      </c>
      <c r="S13" s="154">
        <f t="shared" si="2"/>
        <v>7560.0000000000009</v>
      </c>
      <c r="T13" s="154">
        <f t="shared" ref="T13:AB13" si="22">S13*(1+$R13)</f>
        <v>8164.8000000000011</v>
      </c>
      <c r="U13" s="154">
        <f t="shared" si="22"/>
        <v>8817.9840000000022</v>
      </c>
      <c r="V13" s="154">
        <f t="shared" si="22"/>
        <v>9523.4227200000023</v>
      </c>
      <c r="W13" s="154">
        <f t="shared" si="22"/>
        <v>10285.296537600003</v>
      </c>
      <c r="X13" s="154">
        <f t="shared" si="22"/>
        <v>11108.120260608004</v>
      </c>
      <c r="Y13" s="154">
        <f t="shared" si="22"/>
        <v>11996.769881456645</v>
      </c>
      <c r="Z13" s="154">
        <f t="shared" si="22"/>
        <v>12956.511471973177</v>
      </c>
      <c r="AA13" s="154">
        <f t="shared" si="22"/>
        <v>13993.032389731032</v>
      </c>
      <c r="AB13" s="154">
        <f t="shared" si="22"/>
        <v>15112.474980909516</v>
      </c>
      <c r="AC13" s="138">
        <f t="shared" si="19"/>
        <v>-7.204452294981567E-3</v>
      </c>
      <c r="AD13" s="31">
        <f t="shared" si="17"/>
        <v>0.05</v>
      </c>
      <c r="AE13" s="146">
        <f t="shared" si="1"/>
        <v>93341.757235029378</v>
      </c>
    </row>
    <row r="14" spans="2:31" x14ac:dyDescent="0.2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0.08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>
        <v>19413</v>
      </c>
      <c r="G15" s="147">
        <v>14642</v>
      </c>
      <c r="H15" s="147">
        <v>13148</v>
      </c>
      <c r="I15" s="147">
        <v>16030</v>
      </c>
      <c r="J15" s="147">
        <v>22822</v>
      </c>
      <c r="K15" s="147">
        <v>26315</v>
      </c>
      <c r="L15" s="147">
        <v>32463</v>
      </c>
      <c r="M15" s="147">
        <v>33215</v>
      </c>
      <c r="N15" s="147">
        <v>38045</v>
      </c>
      <c r="O15" s="147">
        <v>47184</v>
      </c>
      <c r="P15" s="147">
        <v>44818.67</v>
      </c>
      <c r="Q15" s="118">
        <f t="shared" si="5"/>
        <v>0.13235938709597828</v>
      </c>
      <c r="R15" s="31">
        <f t="shared" si="6"/>
        <v>0.08</v>
      </c>
      <c r="S15" s="154">
        <f t="shared" si="2"/>
        <v>48404.1636</v>
      </c>
      <c r="T15" s="154">
        <f t="shared" ref="T15:AB15" si="36">S15*(1+$R15)</f>
        <v>52276.496688000007</v>
      </c>
      <c r="U15" s="154">
        <f t="shared" si="36"/>
        <v>56458.61642304001</v>
      </c>
      <c r="V15" s="154">
        <f t="shared" si="36"/>
        <v>60975.305736883216</v>
      </c>
      <c r="W15" s="154">
        <f t="shared" si="36"/>
        <v>65853.330195833871</v>
      </c>
      <c r="X15" s="154">
        <f t="shared" si="36"/>
        <v>71121.596611500587</v>
      </c>
      <c r="Y15" s="154">
        <f t="shared" si="36"/>
        <v>76811.324340420644</v>
      </c>
      <c r="Z15" s="154">
        <f t="shared" si="36"/>
        <v>82956.230287654296</v>
      </c>
      <c r="AA15" s="154">
        <f t="shared" si="36"/>
        <v>89592.728710666648</v>
      </c>
      <c r="AB15" s="154">
        <f t="shared" si="36"/>
        <v>96760.14700751999</v>
      </c>
      <c r="AC15" s="138">
        <f t="shared" si="19"/>
        <v>0.10449296378389161</v>
      </c>
      <c r="AD15" s="31">
        <f t="shared" si="17"/>
        <v>0.05</v>
      </c>
      <c r="AE15" s="146">
        <f t="shared" si="1"/>
        <v>597636.20210527058</v>
      </c>
    </row>
    <row r="16" spans="2:31" x14ac:dyDescent="0.2">
      <c r="B16" s="20" t="s">
        <v>23</v>
      </c>
      <c r="C16" s="141"/>
      <c r="D16" s="141"/>
      <c r="E16" s="147"/>
      <c r="F16" s="147">
        <v>14828</v>
      </c>
      <c r="G16" s="147">
        <v>5452</v>
      </c>
      <c r="H16" s="147">
        <v>6283</v>
      </c>
      <c r="I16" s="147">
        <v>9669</v>
      </c>
      <c r="J16" s="147">
        <v>15128</v>
      </c>
      <c r="K16" s="147">
        <v>17693</v>
      </c>
      <c r="L16" s="147">
        <v>20429</v>
      </c>
      <c r="M16" s="147">
        <v>20077</v>
      </c>
      <c r="N16" s="147">
        <v>22099</v>
      </c>
      <c r="O16" s="147">
        <v>23353</v>
      </c>
      <c r="P16" s="147">
        <f>P15-P10</f>
        <v>-21982.86</v>
      </c>
      <c r="Q16" s="118">
        <f t="shared" si="5"/>
        <v>-2.1675646229027401</v>
      </c>
      <c r="R16" s="31">
        <f t="shared" si="6"/>
        <v>0.08</v>
      </c>
      <c r="S16" s="154">
        <f t="shared" si="2"/>
        <v>-23741.488800000003</v>
      </c>
      <c r="T16" s="154">
        <f t="shared" ref="T16:AB16" si="37">S16*(1+$R16)</f>
        <v>-25640.807904000005</v>
      </c>
      <c r="U16" s="154">
        <f t="shared" si="37"/>
        <v>-27692.072536320007</v>
      </c>
      <c r="V16" s="154">
        <f t="shared" si="37"/>
        <v>-29907.43833922561</v>
      </c>
      <c r="W16" s="154">
        <f t="shared" si="37"/>
        <v>-32300.033406363662</v>
      </c>
      <c r="X16" s="154">
        <f t="shared" si="37"/>
        <v>-34884.036078872756</v>
      </c>
      <c r="Y16" s="154">
        <f t="shared" si="37"/>
        <v>-37674.758965182577</v>
      </c>
      <c r="Z16" s="154">
        <f t="shared" si="37"/>
        <v>-40688.739682397187</v>
      </c>
      <c r="AA16" s="154">
        <f t="shared" si="37"/>
        <v>-43943.838856988965</v>
      </c>
      <c r="AB16" s="154">
        <f t="shared" si="37"/>
        <v>-47459.345965548084</v>
      </c>
      <c r="AC16" s="138">
        <f t="shared" si="19"/>
        <v>-2.120627725726588</v>
      </c>
      <c r="AD16" s="31">
        <f t="shared" si="17"/>
        <v>0.05</v>
      </c>
      <c r="AE16" s="146">
        <f t="shared" si="1"/>
        <v>-293131.25449309114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>
        <v>19865</v>
      </c>
      <c r="G18" s="147">
        <v>21160</v>
      </c>
      <c r="H18" s="147">
        <v>22388</v>
      </c>
      <c r="I18" s="147">
        <v>23256</v>
      </c>
      <c r="J18" s="147">
        <v>25754</v>
      </c>
      <c r="K18" s="147">
        <v>28025</v>
      </c>
      <c r="L18" s="147">
        <v>34286</v>
      </c>
      <c r="M18" s="147">
        <v>38608</v>
      </c>
      <c r="N18" s="147">
        <v>44653</v>
      </c>
      <c r="O18" s="147">
        <v>51134</v>
      </c>
      <c r="P18" s="147">
        <v>55000</v>
      </c>
      <c r="Q18" s="118">
        <f>((P18/G18)^(1/($H$2-$H$1) ))-1</f>
        <v>0.11197267179747561</v>
      </c>
      <c r="R18" s="31">
        <f t="shared" si="6"/>
        <v>0.08</v>
      </c>
      <c r="S18" s="154">
        <f t="shared" ref="S18:S34" si="38">P18*(1+$R18)</f>
        <v>59400.000000000007</v>
      </c>
      <c r="T18" s="154">
        <f t="shared" ref="T18:T34" si="39">S18*(1+$R18)</f>
        <v>64152.000000000015</v>
      </c>
      <c r="U18" s="154">
        <f t="shared" ref="U18:U34" si="40">T18*(1+$R18)</f>
        <v>69284.160000000018</v>
      </c>
      <c r="V18" s="154">
        <f t="shared" ref="V18:V34" si="41">U18*(1+$R18)</f>
        <v>74826.892800000031</v>
      </c>
      <c r="W18" s="154">
        <f t="shared" ref="W18:W36" si="42">V18*(1+$R18)</f>
        <v>80813.044224000041</v>
      </c>
      <c r="X18" s="154">
        <f t="shared" ref="X18:X36" si="43">W18*(1+$R18)</f>
        <v>87278.087761920047</v>
      </c>
      <c r="Y18" s="154">
        <f t="shared" ref="Y18:Y36" si="44">X18*(1+$R18)</f>
        <v>94260.334782873659</v>
      </c>
      <c r="Z18" s="154">
        <f t="shared" ref="Z18:Z36" si="45">Y18*(1+$R18)</f>
        <v>101801.16156550356</v>
      </c>
      <c r="AA18" s="154">
        <f t="shared" ref="AA18:AA36" si="46">Z18*(1+$R18)</f>
        <v>109945.25449074384</v>
      </c>
      <c r="AB18" s="154">
        <f t="shared" ref="AB18:AB36" si="47">AA18*(1+$R18)</f>
        <v>118740.87485000335</v>
      </c>
      <c r="AC18" s="138">
        <f t="shared" si="19"/>
        <v>9.5028705945505942E-2</v>
      </c>
      <c r="AD18" s="31">
        <f t="shared" si="17"/>
        <v>0.05</v>
      </c>
      <c r="AE18" s="146">
        <f t="shared" si="1"/>
        <v>733399.52113237372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>
        <v>4740</v>
      </c>
      <c r="G20" s="147">
        <v>5744</v>
      </c>
      <c r="H20" s="147">
        <v>5047</v>
      </c>
      <c r="I20" s="147">
        <v>6206</v>
      </c>
      <c r="J20" s="147">
        <v>8065</v>
      </c>
      <c r="K20" s="147">
        <v>10171</v>
      </c>
      <c r="L20" s="147">
        <v>9688</v>
      </c>
      <c r="M20" s="147">
        <v>10594</v>
      </c>
      <c r="N20" s="147">
        <v>11095</v>
      </c>
      <c r="O20" s="147">
        <v>13866</v>
      </c>
      <c r="P20" s="187">
        <v>14000</v>
      </c>
      <c r="Q20" s="118">
        <f>((P20/G20)^(1/($H$2-$H$1) ))-1</f>
        <v>0.10405421597135178</v>
      </c>
      <c r="R20" s="31">
        <f t="shared" si="6"/>
        <v>0.08</v>
      </c>
      <c r="S20" s="154">
        <f t="shared" ref="S20:S22" si="48">P20*(1+$R20)</f>
        <v>15120.000000000002</v>
      </c>
      <c r="T20" s="154">
        <f t="shared" ref="T20:T22" si="49">S20*(1+$R20)</f>
        <v>16329.600000000002</v>
      </c>
      <c r="U20" s="154">
        <f t="shared" ref="U20:U22" si="50">T20*(1+$R20)</f>
        <v>17635.968000000004</v>
      </c>
      <c r="V20" s="154">
        <f t="shared" ref="V20:V22" si="51">U20*(1+$R20)</f>
        <v>19046.845440000005</v>
      </c>
      <c r="W20" s="154">
        <f t="shared" ref="W20:W22" si="52">V20*(1+$R20)</f>
        <v>20570.593075200006</v>
      </c>
      <c r="X20" s="154">
        <f t="shared" ref="X20:X22" si="53">W20*(1+$R20)</f>
        <v>22216.240521216008</v>
      </c>
      <c r="Y20" s="154">
        <f t="shared" ref="Y20:Y22" si="54">X20*(1+$R20)</f>
        <v>23993.539762913289</v>
      </c>
      <c r="Z20" s="154">
        <f t="shared" ref="Z20:Z22" si="55">Y20*(1+$R20)</f>
        <v>25913.022943946355</v>
      </c>
      <c r="AA20" s="154">
        <f t="shared" ref="AA20:AA22" si="56">Z20*(1+$R20)</f>
        <v>27986.064779462064</v>
      </c>
      <c r="AB20" s="154">
        <f t="shared" ref="AB20:AB22" si="57">AA20*(1+$R20)</f>
        <v>30224.949961819031</v>
      </c>
      <c r="AC20" s="138">
        <f t="shared" ref="AC20:AC22" si="58">((AB20/G20)^(1/($AB$3-$H$1) ))-1</f>
        <v>9.1328065876072007E-2</v>
      </c>
      <c r="AD20" s="31">
        <f t="shared" si="17"/>
        <v>0.05</v>
      </c>
      <c r="AE20" s="146">
        <f t="shared" si="1"/>
        <v>186683.51447005876</v>
      </c>
    </row>
    <row r="21" spans="2:31" x14ac:dyDescent="0.2">
      <c r="B21" s="20" t="s">
        <v>285</v>
      </c>
      <c r="C21" s="141"/>
      <c r="D21" s="141"/>
      <c r="E21" s="147"/>
      <c r="F21" s="147">
        <v>-3188</v>
      </c>
      <c r="G21" s="147">
        <v>-2337</v>
      </c>
      <c r="H21" s="147">
        <v>-6417</v>
      </c>
      <c r="I21" s="147">
        <v>-2713</v>
      </c>
      <c r="J21" s="147">
        <v>-3145</v>
      </c>
      <c r="K21" s="147">
        <v>-6203</v>
      </c>
      <c r="L21" s="147">
        <v>-7500</v>
      </c>
      <c r="M21" s="147">
        <v>-10497</v>
      </c>
      <c r="N21" s="147">
        <v>-7658</v>
      </c>
      <c r="O21" s="147">
        <v>-11036</v>
      </c>
      <c r="P21" s="187">
        <v>-12000</v>
      </c>
      <c r="Q21" s="118">
        <f>((P21/G21)^(1/($H$2-$H$1) ))-1</f>
        <v>0.19935278567686554</v>
      </c>
      <c r="R21" s="31">
        <f t="shared" si="6"/>
        <v>0.08</v>
      </c>
      <c r="S21" s="154">
        <f t="shared" si="48"/>
        <v>-12960</v>
      </c>
      <c r="T21" s="154">
        <f t="shared" si="49"/>
        <v>-13996.800000000001</v>
      </c>
      <c r="U21" s="154">
        <f t="shared" si="50"/>
        <v>-15116.544000000002</v>
      </c>
      <c r="V21" s="154">
        <f t="shared" si="51"/>
        <v>-16325.867520000003</v>
      </c>
      <c r="W21" s="154">
        <f t="shared" si="52"/>
        <v>-17631.936921600005</v>
      </c>
      <c r="X21" s="154">
        <f t="shared" si="53"/>
        <v>-19042.491875328007</v>
      </c>
      <c r="Y21" s="154">
        <f t="shared" si="54"/>
        <v>-20565.891225354248</v>
      </c>
      <c r="Z21" s="154">
        <f t="shared" si="55"/>
        <v>-22211.162523382587</v>
      </c>
      <c r="AA21" s="154">
        <f t="shared" si="56"/>
        <v>-23988.055525253196</v>
      </c>
      <c r="AB21" s="154">
        <f t="shared" si="57"/>
        <v>-25907.099967273454</v>
      </c>
      <c r="AC21" s="138">
        <f t="shared" si="58"/>
        <v>0.13497781621519178</v>
      </c>
      <c r="AD21" s="31">
        <f t="shared" si="17"/>
        <v>0.05</v>
      </c>
      <c r="AE21" s="146">
        <f t="shared" si="1"/>
        <v>-160014.44097433606</v>
      </c>
    </row>
    <row r="22" spans="2:31" x14ac:dyDescent="0.2">
      <c r="B22" s="20" t="s">
        <v>286</v>
      </c>
      <c r="C22" s="141"/>
      <c r="D22" s="141"/>
      <c r="E22" s="147"/>
      <c r="F22" s="147">
        <v>-528</v>
      </c>
      <c r="G22" s="147">
        <v>838</v>
      </c>
      <c r="H22" s="147">
        <v>813</v>
      </c>
      <c r="I22" s="147">
        <v>-1099</v>
      </c>
      <c r="J22" s="147">
        <v>-76</v>
      </c>
      <c r="K22" s="147">
        <v>-2348</v>
      </c>
      <c r="L22" s="147">
        <v>-849</v>
      </c>
      <c r="M22" s="147">
        <v>-1908</v>
      </c>
      <c r="N22" s="147">
        <v>-1710</v>
      </c>
      <c r="O22" s="147">
        <v>-2861</v>
      </c>
      <c r="P22" s="187">
        <v>-2500</v>
      </c>
      <c r="Q22" s="118">
        <f>((P22/G22)^(1/($H$2-$H$1) ))-1</f>
        <v>-2.1291301365246809</v>
      </c>
      <c r="R22" s="31">
        <f t="shared" si="6"/>
        <v>0.08</v>
      </c>
      <c r="S22" s="154">
        <f t="shared" si="48"/>
        <v>-2700</v>
      </c>
      <c r="T22" s="154">
        <f t="shared" si="49"/>
        <v>-2916</v>
      </c>
      <c r="U22" s="154">
        <f t="shared" si="50"/>
        <v>-3149.28</v>
      </c>
      <c r="V22" s="154">
        <f t="shared" si="51"/>
        <v>-3401.2224000000006</v>
      </c>
      <c r="W22" s="154">
        <f t="shared" si="52"/>
        <v>-3673.320192000001</v>
      </c>
      <c r="X22" s="154">
        <f t="shared" si="53"/>
        <v>-3967.1858073600015</v>
      </c>
      <c r="Y22" s="154">
        <f t="shared" si="54"/>
        <v>-4284.5606719488023</v>
      </c>
      <c r="Z22" s="154">
        <f t="shared" si="55"/>
        <v>-4627.3255257047067</v>
      </c>
      <c r="AA22" s="154">
        <f t="shared" si="56"/>
        <v>-4997.5115677610838</v>
      </c>
      <c r="AB22" s="154">
        <f t="shared" si="57"/>
        <v>-5397.3124931819711</v>
      </c>
      <c r="AC22" s="138">
        <f t="shared" si="58"/>
        <v>-2.102999840737235</v>
      </c>
      <c r="AD22" s="31">
        <f t="shared" si="17"/>
        <v>0.05</v>
      </c>
      <c r="AE22" s="146">
        <f t="shared" si="1"/>
        <v>-33336.341869653355</v>
      </c>
    </row>
    <row r="23" spans="2:31" x14ac:dyDescent="0.2">
      <c r="B23" s="20" t="s">
        <v>296</v>
      </c>
      <c r="C23" s="141"/>
      <c r="D23" s="141"/>
      <c r="E23" s="147"/>
      <c r="F23" s="147">
        <v>2389</v>
      </c>
      <c r="G23" s="147">
        <v>6635</v>
      </c>
      <c r="H23" s="147">
        <v>6078</v>
      </c>
      <c r="I23" s="147">
        <v>8471</v>
      </c>
      <c r="J23" s="147">
        <v>13314</v>
      </c>
      <c r="K23" s="147">
        <v>14933</v>
      </c>
      <c r="L23" s="147">
        <v>16271</v>
      </c>
      <c r="M23" s="147">
        <v>14459</v>
      </c>
      <c r="N23" s="147">
        <v>16185</v>
      </c>
      <c r="O23" s="147">
        <v>16146</v>
      </c>
      <c r="P23" s="187">
        <v>17000</v>
      </c>
      <c r="Q23" s="118">
        <f>((P23/G23)^(1/($H$2-$H$1) ))-1</f>
        <v>0.11019914425900001</v>
      </c>
      <c r="R23" s="31">
        <f t="shared" si="6"/>
        <v>0.08</v>
      </c>
      <c r="S23" s="154">
        <f t="shared" ref="S23" si="59">P23*(1+$R23)</f>
        <v>18360</v>
      </c>
      <c r="T23" s="154">
        <f t="shared" ref="T23" si="60">S23*(1+$R23)</f>
        <v>19828.800000000003</v>
      </c>
      <c r="U23" s="154">
        <f t="shared" ref="U23" si="61">T23*(1+$R23)</f>
        <v>21415.104000000003</v>
      </c>
      <c r="V23" s="154">
        <f t="shared" ref="V23" si="62">U23*(1+$R23)</f>
        <v>23128.312320000005</v>
      </c>
      <c r="W23" s="154">
        <f t="shared" ref="W23" si="63">V23*(1+$R23)</f>
        <v>24978.577305600007</v>
      </c>
      <c r="X23" s="154">
        <f t="shared" ref="X23" si="64">W23*(1+$R23)</f>
        <v>26976.86349004801</v>
      </c>
      <c r="Y23" s="154">
        <f t="shared" ref="Y23" si="65">X23*(1+$R23)</f>
        <v>29135.012569251852</v>
      </c>
      <c r="Z23" s="154">
        <f t="shared" ref="Z23" si="66">Y23*(1+$R23)</f>
        <v>31465.813574792002</v>
      </c>
      <c r="AA23" s="154">
        <f t="shared" ref="AA23" si="67">Z23*(1+$R23)</f>
        <v>33983.078660775362</v>
      </c>
      <c r="AB23" s="154">
        <f t="shared" ref="AB23" si="68">AA23*(1+$R23)</f>
        <v>36701.724953637393</v>
      </c>
      <c r="AC23" s="138">
        <f t="shared" ref="AC23" si="69">((AB23/G23)^(1/($AB$3-$H$1) ))-1</f>
        <v>9.42010675555498E-2</v>
      </c>
      <c r="AD23" s="31">
        <f t="shared" si="17"/>
        <v>0.05</v>
      </c>
      <c r="AE23" s="146">
        <f t="shared" si="1"/>
        <v>226687.12471364276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>
        <v>19451</v>
      </c>
      <c r="G25" s="147">
        <v>24978</v>
      </c>
      <c r="H25" s="147">
        <v>25867</v>
      </c>
      <c r="I25" s="147">
        <v>30177</v>
      </c>
      <c r="J25" s="147">
        <v>36630</v>
      </c>
      <c r="K25" s="147">
        <v>41567</v>
      </c>
      <c r="L25" s="147">
        <v>47525</v>
      </c>
      <c r="M25" s="147">
        <v>51211</v>
      </c>
      <c r="N25" s="147">
        <v>59821</v>
      </c>
      <c r="O25" s="147">
        <v>68831</v>
      </c>
      <c r="P25" s="147">
        <f>69376.82+3163.97</f>
        <v>72540.790000000008</v>
      </c>
      <c r="Q25" s="118">
        <f>((P25/G25)^(1/($H$2-$H$1) ))-1</f>
        <v>0.12576354224127129</v>
      </c>
      <c r="R25" s="31">
        <f t="shared" si="6"/>
        <v>0.08</v>
      </c>
      <c r="S25" s="154">
        <f t="shared" si="38"/>
        <v>78344.053200000009</v>
      </c>
      <c r="T25" s="154">
        <f t="shared" si="39"/>
        <v>84611.577456000014</v>
      </c>
      <c r="U25" s="154">
        <f t="shared" si="40"/>
        <v>91380.503652480023</v>
      </c>
      <c r="V25" s="154">
        <f t="shared" si="41"/>
        <v>98690.943944678438</v>
      </c>
      <c r="W25" s="154">
        <f t="shared" si="42"/>
        <v>106586.21946025272</v>
      </c>
      <c r="X25" s="154">
        <f t="shared" si="43"/>
        <v>115113.11701707295</v>
      </c>
      <c r="Y25" s="154">
        <f t="shared" si="44"/>
        <v>124322.16637843879</v>
      </c>
      <c r="Z25" s="154">
        <f t="shared" si="45"/>
        <v>134267.9396887139</v>
      </c>
      <c r="AA25" s="154">
        <f t="shared" si="46"/>
        <v>145009.37486381101</v>
      </c>
      <c r="AB25" s="154">
        <f t="shared" si="47"/>
        <v>156610.12485291591</v>
      </c>
      <c r="AC25" s="138">
        <f t="shared" si="19"/>
        <v>0.10144081859284948</v>
      </c>
      <c r="AD25" s="31">
        <f t="shared" si="17"/>
        <v>0.05</v>
      </c>
      <c r="AE25" s="146">
        <f t="shared" si="1"/>
        <v>967297.82997389243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0.22127472175514454</v>
      </c>
      <c r="H26" s="148">
        <f>(H25-G25)/H25</f>
        <v>3.4368113812966325E-2</v>
      </c>
      <c r="I26" s="148">
        <f t="shared" ref="I26" si="70">(I25-H25)/I25</f>
        <v>0.14282400503694867</v>
      </c>
      <c r="J26" s="148">
        <f t="shared" ref="J26" si="71">(J25-I25)/J25</f>
        <v>0.17616707616707616</v>
      </c>
      <c r="K26" s="148">
        <f t="shared" ref="K26" si="72">(K25-J25)/K25</f>
        <v>0.11877210287006519</v>
      </c>
      <c r="L26" s="148">
        <f t="shared" ref="L26" si="73">(L25-K25)/L25</f>
        <v>0.12536559705418202</v>
      </c>
      <c r="M26" s="148">
        <f t="shared" ref="M26" si="74">(M25-L25)/M25</f>
        <v>7.1976723750756672E-2</v>
      </c>
      <c r="N26" s="148">
        <f t="shared" ref="N26" si="75">(N25-M25)/N25</f>
        <v>0.14392938934487889</v>
      </c>
      <c r="O26" s="148">
        <f t="shared" ref="O26" si="76">(O25-N25)/O25</f>
        <v>0.13090032107625924</v>
      </c>
      <c r="P26" s="148">
        <f t="shared" ref="P26" si="77">(P25-O25)/P25</f>
        <v>5.1140744400495333E-2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>
        <v>13494</v>
      </c>
      <c r="G27" s="147">
        <v>13642</v>
      </c>
      <c r="H27" s="147">
        <v>16058</v>
      </c>
      <c r="I27" s="147">
        <v>19436</v>
      </c>
      <c r="J27" s="147">
        <v>23621</v>
      </c>
      <c r="K27" s="147">
        <v>26915</v>
      </c>
      <c r="L27" s="147">
        <v>33533</v>
      </c>
      <c r="M27" s="147">
        <v>33529</v>
      </c>
      <c r="N27" s="147">
        <v>41876</v>
      </c>
      <c r="O27" s="147">
        <v>50768</v>
      </c>
      <c r="P27" s="147">
        <f>55017.59-3823.22</f>
        <v>51194.369999999995</v>
      </c>
      <c r="Q27" s="118">
        <f>((P27/G27)^(1/($H$2-$H$1) ))-1</f>
        <v>0.15828656112406647</v>
      </c>
      <c r="R27" s="31">
        <f t="shared" si="6"/>
        <v>0.08</v>
      </c>
      <c r="S27" s="154">
        <f t="shared" si="38"/>
        <v>55289.919600000001</v>
      </c>
      <c r="T27" s="154">
        <f t="shared" si="39"/>
        <v>59713.113168000003</v>
      </c>
      <c r="U27" s="154">
        <f t="shared" si="40"/>
        <v>64490.162221440005</v>
      </c>
      <c r="V27" s="154">
        <f t="shared" si="41"/>
        <v>69649.375199155213</v>
      </c>
      <c r="W27" s="154">
        <f t="shared" si="42"/>
        <v>75221.325215087636</v>
      </c>
      <c r="X27" s="154">
        <f t="shared" si="43"/>
        <v>81239.031232294656</v>
      </c>
      <c r="Y27" s="154">
        <f t="shared" si="44"/>
        <v>87738.153730878228</v>
      </c>
      <c r="Z27" s="154">
        <f t="shared" si="45"/>
        <v>94757.206029348497</v>
      </c>
      <c r="AA27" s="154">
        <f t="shared" si="46"/>
        <v>102337.78251169638</v>
      </c>
      <c r="AB27" s="154">
        <f t="shared" si="47"/>
        <v>110524.80511263209</v>
      </c>
      <c r="AC27" s="138">
        <f t="shared" si="19"/>
        <v>0.11640067432166834</v>
      </c>
      <c r="AD27" s="31">
        <f t="shared" si="17"/>
        <v>0.05</v>
      </c>
      <c r="AE27" s="146">
        <f t="shared" si="1"/>
        <v>682653.20804861002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1.0848849142354493E-2</v>
      </c>
      <c r="H28" s="148">
        <f t="shared" si="78"/>
        <v>0.1504546020675053</v>
      </c>
      <c r="I28" s="148">
        <f t="shared" si="78"/>
        <v>0.17380119366124716</v>
      </c>
      <c r="J28" s="148">
        <f t="shared" si="78"/>
        <v>0.17717285466322341</v>
      </c>
      <c r="K28" s="148">
        <f t="shared" si="78"/>
        <v>0.12238528701467583</v>
      </c>
      <c r="L28" s="148">
        <f t="shared" si="78"/>
        <v>0.19735782661855486</v>
      </c>
      <c r="M28" s="148">
        <f t="shared" si="78"/>
        <v>-1.1929971069820155E-4</v>
      </c>
      <c r="N28" s="148">
        <f t="shared" ref="N28" si="79">(N27-M27)/N27</f>
        <v>0.19932658324577324</v>
      </c>
      <c r="O28" s="148">
        <f t="shared" ref="O28" si="80">(O27-N27)/O27</f>
        <v>0.17514970059880239</v>
      </c>
      <c r="P28" s="148">
        <f t="shared" ref="P28" si="81">(P27-O27)/P27</f>
        <v>8.3284548672050342E-3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0.08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0.05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0.08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>
        <v>0</v>
      </c>
      <c r="G32" s="147">
        <v>0</v>
      </c>
      <c r="H32" s="147">
        <v>0</v>
      </c>
      <c r="I32" s="147">
        <v>0</v>
      </c>
      <c r="J32" s="147">
        <v>0</v>
      </c>
      <c r="K32" s="147">
        <v>0</v>
      </c>
      <c r="L32" s="147">
        <v>0</v>
      </c>
      <c r="M32" s="147">
        <v>0</v>
      </c>
      <c r="N32" s="147">
        <v>0</v>
      </c>
      <c r="O32" s="147">
        <v>0</v>
      </c>
      <c r="P32" s="147">
        <v>0</v>
      </c>
      <c r="Q32" s="118" t="e">
        <f>((P32/G32)^(1/($H$2-$H$1) ))-1</f>
        <v>#DIV/0!</v>
      </c>
      <c r="R32" s="31">
        <f t="shared" si="6"/>
        <v>0.08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>
        <v>11031</v>
      </c>
      <c r="G33" s="147">
        <v>11284</v>
      </c>
      <c r="H33" s="147">
        <v>14539</v>
      </c>
      <c r="I33" s="147">
        <v>17123</v>
      </c>
      <c r="J33" s="147">
        <v>20943</v>
      </c>
      <c r="K33" s="147">
        <v>23313</v>
      </c>
      <c r="L33" s="147">
        <v>29122</v>
      </c>
      <c r="M33" s="147">
        <v>30429</v>
      </c>
      <c r="N33" s="147">
        <v>36865</v>
      </c>
      <c r="O33" s="147">
        <v>43311</v>
      </c>
      <c r="P33" s="147">
        <v>42827.77</v>
      </c>
      <c r="Q33" s="118">
        <f>((P33/G33)^(1/($H$2-$H$1) ))-1</f>
        <v>0.15974494208045487</v>
      </c>
      <c r="R33" s="31">
        <f t="shared" si="6"/>
        <v>0.08</v>
      </c>
      <c r="S33" s="154">
        <f t="shared" si="38"/>
        <v>46253.991600000001</v>
      </c>
      <c r="T33" s="154">
        <f t="shared" si="39"/>
        <v>49954.310928000006</v>
      </c>
      <c r="U33" s="154">
        <f t="shared" si="40"/>
        <v>53950.655802240013</v>
      </c>
      <c r="V33" s="154">
        <f t="shared" si="41"/>
        <v>58266.70826641922</v>
      </c>
      <c r="W33" s="154">
        <f t="shared" si="42"/>
        <v>62928.044927732764</v>
      </c>
      <c r="X33" s="154">
        <f t="shared" si="43"/>
        <v>67962.288521951385</v>
      </c>
      <c r="Y33" s="154">
        <f t="shared" si="44"/>
        <v>73399.271603707501</v>
      </c>
      <c r="Z33" s="154">
        <f t="shared" si="45"/>
        <v>79271.213332004103</v>
      </c>
      <c r="AA33" s="154">
        <f t="shared" si="46"/>
        <v>85612.910398564432</v>
      </c>
      <c r="AB33" s="154">
        <f t="shared" si="47"/>
        <v>92461.943230449586</v>
      </c>
      <c r="AC33" s="138">
        <f t="shared" si="19"/>
        <v>0.11706628477783543</v>
      </c>
      <c r="AD33" s="31">
        <f t="shared" si="17"/>
        <v>0.05</v>
      </c>
      <c r="AE33" s="146">
        <f t="shared" si="1"/>
        <v>571088.47289395344</v>
      </c>
    </row>
    <row r="34" spans="2:31" x14ac:dyDescent="0.2">
      <c r="B34" s="20" t="s">
        <v>309</v>
      </c>
      <c r="C34" s="141"/>
      <c r="D34" s="141"/>
      <c r="E34" s="147"/>
      <c r="F34" s="147">
        <v>826</v>
      </c>
      <c r="G34" s="147">
        <v>961</v>
      </c>
      <c r="H34" s="147">
        <v>908</v>
      </c>
      <c r="I34" s="147">
        <v>996</v>
      </c>
      <c r="J34" s="147">
        <v>1195</v>
      </c>
      <c r="K34" s="147">
        <v>1953</v>
      </c>
      <c r="L34" s="147">
        <v>3009</v>
      </c>
      <c r="M34" s="147">
        <v>3119</v>
      </c>
      <c r="N34" s="147">
        <v>3605</v>
      </c>
      <c r="O34" s="147">
        <v>3249</v>
      </c>
      <c r="P34" s="147">
        <v>3551.38</v>
      </c>
      <c r="Q34" s="118">
        <f>((P34/G34)^(1/($H$2-$H$1) ))-1</f>
        <v>0.15631154519686952</v>
      </c>
      <c r="R34" s="31">
        <f t="shared" si="6"/>
        <v>0.08</v>
      </c>
      <c r="S34" s="154">
        <f t="shared" si="38"/>
        <v>3835.4904000000006</v>
      </c>
      <c r="T34" s="154">
        <f t="shared" si="39"/>
        <v>4142.3296320000009</v>
      </c>
      <c r="U34" s="154">
        <f t="shared" si="40"/>
        <v>4473.7160025600015</v>
      </c>
      <c r="V34" s="154">
        <f t="shared" si="41"/>
        <v>4831.6132827648016</v>
      </c>
      <c r="W34" s="154">
        <f t="shared" si="42"/>
        <v>5218.1423453859861</v>
      </c>
      <c r="X34" s="154">
        <f t="shared" si="43"/>
        <v>5635.5937330168654</v>
      </c>
      <c r="Y34" s="154">
        <f t="shared" si="44"/>
        <v>6086.4412316582147</v>
      </c>
      <c r="Z34" s="154">
        <f t="shared" si="45"/>
        <v>6573.356530190872</v>
      </c>
      <c r="AA34" s="154">
        <f t="shared" si="46"/>
        <v>7099.2250526061425</v>
      </c>
      <c r="AB34" s="154">
        <f t="shared" si="47"/>
        <v>7667.1630568146347</v>
      </c>
      <c r="AC34" s="138">
        <f t="shared" si="19"/>
        <v>0.11549856621938126</v>
      </c>
      <c r="AD34" s="31">
        <f t="shared" si="17"/>
        <v>0.05</v>
      </c>
      <c r="AE34" s="146">
        <f t="shared" si="1"/>
        <v>47356.00711561981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>
        <v>5552</v>
      </c>
      <c r="G36" s="147">
        <v>5226</v>
      </c>
      <c r="H36" s="147">
        <v>7457</v>
      </c>
      <c r="I36" s="147">
        <v>8138</v>
      </c>
      <c r="J36" s="147">
        <v>10253</v>
      </c>
      <c r="K36" s="147">
        <v>11760</v>
      </c>
      <c r="L36" s="147">
        <v>10763</v>
      </c>
      <c r="M36" s="147">
        <v>14781</v>
      </c>
      <c r="N36" s="147">
        <v>15635</v>
      </c>
      <c r="O36" s="147">
        <v>15125</v>
      </c>
      <c r="P36" s="147">
        <v>17523.2</v>
      </c>
      <c r="Q36" s="118">
        <f>((P36/G36)^(1/($H$2-$H$1) ))-1</f>
        <v>0.14388579808516222</v>
      </c>
      <c r="R36" s="31">
        <f t="shared" si="6"/>
        <v>0.08</v>
      </c>
      <c r="S36" s="154">
        <f t="shared" ref="S36" si="102">P36*(1+$R36)</f>
        <v>18925.056</v>
      </c>
      <c r="T36" s="154">
        <f t="shared" ref="T36" si="103">S36*(1+$R36)</f>
        <v>20439.06048</v>
      </c>
      <c r="U36" s="154">
        <f t="shared" ref="U36" si="104">T36*(1+$R36)</f>
        <v>22074.185318400003</v>
      </c>
      <c r="V36" s="154">
        <f t="shared" ref="V36" si="105">U36*(1+$R36)</f>
        <v>23840.120143872005</v>
      </c>
      <c r="W36" s="154">
        <f t="shared" si="42"/>
        <v>25747.329755381768</v>
      </c>
      <c r="X36" s="154">
        <f t="shared" si="43"/>
        <v>27807.11613581231</v>
      </c>
      <c r="Y36" s="154">
        <f t="shared" si="44"/>
        <v>30031.685426677297</v>
      </c>
      <c r="Z36" s="154">
        <f t="shared" si="45"/>
        <v>32434.220260811482</v>
      </c>
      <c r="AA36" s="154">
        <f t="shared" si="46"/>
        <v>35028.957881676404</v>
      </c>
      <c r="AB36" s="154">
        <f t="shared" si="47"/>
        <v>37831.274512210519</v>
      </c>
      <c r="AC36" s="138">
        <f t="shared" si="19"/>
        <v>0.10980428747006687</v>
      </c>
      <c r="AD36" s="31">
        <f t="shared" si="17"/>
        <v>0.05</v>
      </c>
      <c r="AE36" s="146">
        <f t="shared" si="1"/>
        <v>233663.75434012382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-6.2380405663987754E-2</v>
      </c>
      <c r="H37" s="148">
        <f t="shared" ref="H37" si="107">(H36-G36)/H36</f>
        <v>0.29918197666621965</v>
      </c>
      <c r="I37" s="148">
        <f t="shared" ref="I37" si="108">(I36-H36)/I36</f>
        <v>8.3681494224625216E-2</v>
      </c>
      <c r="J37" s="148">
        <f t="shared" ref="J37" si="109">(J36-I36)/J36</f>
        <v>0.20628108846191359</v>
      </c>
      <c r="K37" s="148">
        <f t="shared" ref="K37" si="110">(K36-J36)/K36</f>
        <v>0.12814625850340136</v>
      </c>
      <c r="L37" s="148">
        <f t="shared" ref="L37" si="111">(L36-K36)/L36</f>
        <v>-9.2632165753042839E-2</v>
      </c>
      <c r="M37" s="148">
        <f t="shared" ref="M37" si="112">(M36-L36)/M36</f>
        <v>0.27183546444760165</v>
      </c>
      <c r="N37" s="148">
        <f t="shared" ref="N37" si="113">(N36-M36)/N36</f>
        <v>5.4621042532779024E-2</v>
      </c>
      <c r="O37" s="148">
        <f t="shared" ref="O37" si="114">(O36-N36)/O36</f>
        <v>-3.3719008264462808E-2</v>
      </c>
      <c r="P37" s="148">
        <f t="shared" ref="P37" si="115">(P36-O36)/P36</f>
        <v>0.13685856464572685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>
        <v>3607</v>
      </c>
      <c r="G38" s="147">
        <v>5260</v>
      </c>
      <c r="H38" s="147">
        <v>5828</v>
      </c>
      <c r="I38" s="147">
        <v>5840</v>
      </c>
      <c r="J38" s="147">
        <v>6898</v>
      </c>
      <c r="K38" s="147">
        <v>7469</v>
      </c>
      <c r="L38" s="147">
        <v>8092</v>
      </c>
      <c r="M38" s="147">
        <v>8837</v>
      </c>
      <c r="N38" s="147">
        <v>9348</v>
      </c>
      <c r="O38" s="147">
        <v>9814</v>
      </c>
      <c r="P38" s="147">
        <v>12586.22</v>
      </c>
      <c r="Q38" s="118">
        <f>((P38/G38)^(1/($H$2-$H$1) ))-1</f>
        <v>0.10179567647592269</v>
      </c>
      <c r="R38" s="31">
        <f t="shared" si="6"/>
        <v>0.08</v>
      </c>
      <c r="S38" s="154">
        <f>P38*(1+$R38)</f>
        <v>13593.1176</v>
      </c>
      <c r="T38" s="154">
        <f t="shared" ref="T38:AB38" si="116">S38*(1+$R38)</f>
        <v>14680.567008</v>
      </c>
      <c r="U38" s="154">
        <f t="shared" si="116"/>
        <v>15855.01236864</v>
      </c>
      <c r="V38" s="154">
        <f t="shared" si="116"/>
        <v>17123.413358131202</v>
      </c>
      <c r="W38" s="154">
        <f t="shared" si="116"/>
        <v>18493.286426781699</v>
      </c>
      <c r="X38" s="154">
        <f t="shared" si="116"/>
        <v>19972.749340924234</v>
      </c>
      <c r="Y38" s="154">
        <f t="shared" si="116"/>
        <v>21570.569288198174</v>
      </c>
      <c r="Z38" s="154">
        <f t="shared" si="116"/>
        <v>23296.21483125403</v>
      </c>
      <c r="AA38" s="154">
        <f t="shared" si="116"/>
        <v>25159.912017754355</v>
      </c>
      <c r="AB38" s="154">
        <f t="shared" si="116"/>
        <v>27172.704979174705</v>
      </c>
      <c r="AC38" s="138">
        <f t="shared" si="19"/>
        <v>9.0269993200957188E-2</v>
      </c>
      <c r="AD38" s="31">
        <f t="shared" si="17"/>
        <v>0.05</v>
      </c>
      <c r="AE38" s="146">
        <f t="shared" si="1"/>
        <v>167831.41310666731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0.31425855513307988</v>
      </c>
      <c r="H39" s="148">
        <f t="shared" ref="H39:P39" si="117">(H38-G38)/H38</f>
        <v>9.7460535346602609E-2</v>
      </c>
      <c r="I39" s="148">
        <f t="shared" si="117"/>
        <v>2.054794520547945E-3</v>
      </c>
      <c r="J39" s="148">
        <f t="shared" si="117"/>
        <v>0.15337779066396057</v>
      </c>
      <c r="K39" s="148">
        <f t="shared" si="117"/>
        <v>7.6449323872004288E-2</v>
      </c>
      <c r="L39" s="148">
        <f t="shared" si="117"/>
        <v>7.698961937716263E-2</v>
      </c>
      <c r="M39" s="148">
        <f t="shared" si="117"/>
        <v>8.4304628267511603E-2</v>
      </c>
      <c r="N39" s="148">
        <f t="shared" si="117"/>
        <v>5.4664099272571674E-2</v>
      </c>
      <c r="O39" s="148">
        <f t="shared" si="117"/>
        <v>4.7483187283472589E-2</v>
      </c>
      <c r="P39" s="148">
        <f t="shared" si="117"/>
        <v>0.22025834603240682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>
        <v>781</v>
      </c>
      <c r="G40" s="147">
        <v>781</v>
      </c>
      <c r="H40" s="147">
        <v>824.54</v>
      </c>
      <c r="I40" s="147">
        <v>824.54</v>
      </c>
      <c r="J40" s="147">
        <v>824.54</v>
      </c>
      <c r="K40" s="147">
        <v>824.54</v>
      </c>
      <c r="L40" s="147">
        <v>824.54</v>
      </c>
      <c r="M40" s="147">
        <v>824.54</v>
      </c>
      <c r="N40" s="147">
        <v>824.54</v>
      </c>
      <c r="O40" s="147">
        <v>824.54</v>
      </c>
      <c r="P40" s="147">
        <v>824.54</v>
      </c>
      <c r="Q40" s="118">
        <f>((P40/G40)^(1/($H$2-$H$1) ))-1</f>
        <v>6.0460378641833401E-3</v>
      </c>
      <c r="R40" s="31">
        <v>0</v>
      </c>
      <c r="S40" s="154">
        <f>P40*(1+$R40)</f>
        <v>824.54</v>
      </c>
      <c r="T40" s="154">
        <f t="shared" ref="T40:AB40" si="118">S40*(1+$R40)</f>
        <v>824.54</v>
      </c>
      <c r="U40" s="154">
        <f t="shared" si="118"/>
        <v>824.54</v>
      </c>
      <c r="V40" s="154">
        <f t="shared" si="118"/>
        <v>824.54</v>
      </c>
      <c r="W40" s="154">
        <f t="shared" si="118"/>
        <v>824.54</v>
      </c>
      <c r="X40" s="154">
        <f t="shared" si="118"/>
        <v>824.54</v>
      </c>
      <c r="Y40" s="154">
        <f t="shared" si="118"/>
        <v>824.54</v>
      </c>
      <c r="Z40" s="154">
        <f t="shared" si="118"/>
        <v>824.54</v>
      </c>
      <c r="AA40" s="154">
        <f t="shared" si="118"/>
        <v>824.54</v>
      </c>
      <c r="AB40" s="154">
        <f t="shared" si="118"/>
        <v>824.54</v>
      </c>
      <c r="AC40" s="138">
        <f t="shared" si="19"/>
        <v>2.8593699714283272E-3</v>
      </c>
      <c r="AD40" s="31">
        <f t="shared" si="17"/>
        <v>0.05</v>
      </c>
      <c r="AE40" s="146">
        <f t="shared" si="1"/>
        <v>5092.7470588235301</v>
      </c>
    </row>
    <row r="41" spans="2:31" x14ac:dyDescent="0.2">
      <c r="B41" s="20" t="s">
        <v>283</v>
      </c>
      <c r="C41" s="145"/>
      <c r="D41" s="145"/>
      <c r="E41" s="145"/>
      <c r="F41" s="188">
        <v>0.91</v>
      </c>
      <c r="G41" s="188">
        <v>1.39</v>
      </c>
      <c r="H41" s="188">
        <v>2.4</v>
      </c>
      <c r="I41" s="188">
        <v>2.8</v>
      </c>
      <c r="J41" s="188">
        <v>3.2</v>
      </c>
      <c r="K41" s="189">
        <v>3.5</v>
      </c>
      <c r="L41" s="189">
        <v>3.6</v>
      </c>
      <c r="M41" s="189">
        <v>3.8</v>
      </c>
      <c r="N41" s="189">
        <v>3.8</v>
      </c>
      <c r="O41" s="190">
        <v>4</v>
      </c>
      <c r="P41" s="190">
        <v>3.75</v>
      </c>
      <c r="Q41" s="118">
        <f>((P41/G41)^(1/($H$2-$H$1) ))-1</f>
        <v>0.1165822471679312</v>
      </c>
      <c r="R41" s="31">
        <v>0.05</v>
      </c>
      <c r="S41" s="154">
        <f t="shared" ref="S41" si="119">P41*(1+$R41)</f>
        <v>3.9375</v>
      </c>
      <c r="T41" s="154">
        <f t="shared" ref="T41" si="120">S41*(1+$R41)</f>
        <v>4.1343750000000004</v>
      </c>
      <c r="U41" s="154">
        <f t="shared" ref="U41" si="121">T41*(1+$R41)</f>
        <v>4.3410937500000006</v>
      </c>
      <c r="V41" s="154">
        <f t="shared" ref="V41" si="122">U41*(1+$R41)</f>
        <v>4.5581484375000008</v>
      </c>
      <c r="W41" s="154">
        <f t="shared" ref="W41" si="123">V41*(1+$R41)</f>
        <v>4.7860558593750007</v>
      </c>
      <c r="X41" s="154">
        <f t="shared" ref="X41" si="124">W41*(1+$R41)</f>
        <v>5.0253586523437512</v>
      </c>
      <c r="Y41" s="154">
        <f t="shared" ref="Y41" si="125">X41*(1+$R41)</f>
        <v>5.2766265849609386</v>
      </c>
      <c r="Z41" s="154">
        <f t="shared" ref="Z41" si="126">Y41*(1+$R41)</f>
        <v>5.5404579142089858</v>
      </c>
      <c r="AA41" s="154">
        <f t="shared" ref="AA41" si="127">Z41*(1+$R41)</f>
        <v>5.8174808099194353</v>
      </c>
      <c r="AB41" s="154">
        <f t="shared" ref="AB41" si="128">AA41*(1+$R41)</f>
        <v>6.1083548504154077</v>
      </c>
      <c r="AC41" s="138">
        <f t="shared" ref="AC41" si="129">((AB41/G41)^(1/($AB$3-$H$1) ))-1</f>
        <v>8.1028988259917778E-2</v>
      </c>
      <c r="AD41" s="31">
        <f t="shared" si="17"/>
        <v>0.05</v>
      </c>
      <c r="AE41" s="146">
        <f t="shared" si="1"/>
        <v>37.728074076095169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24.905249679897569</v>
      </c>
      <c r="G44" s="133">
        <f t="shared" si="130"/>
        <v>31.982074263764403</v>
      </c>
      <c r="H44" s="133">
        <f t="shared" si="130"/>
        <v>31.371431343537004</v>
      </c>
      <c r="I44" s="133">
        <f t="shared" si="130"/>
        <v>36.598588303781504</v>
      </c>
      <c r="J44" s="133">
        <f t="shared" si="130"/>
        <v>44.424770174885396</v>
      </c>
      <c r="K44" s="133">
        <f t="shared" si="130"/>
        <v>50.41235112911442</v>
      </c>
      <c r="L44" s="133">
        <f t="shared" si="130"/>
        <v>57.638198268125258</v>
      </c>
      <c r="M44" s="133">
        <f t="shared" si="130"/>
        <v>62.108569626700948</v>
      </c>
      <c r="N44" s="133">
        <f t="shared" si="130"/>
        <v>72.550755572804235</v>
      </c>
      <c r="O44" s="133">
        <f t="shared" si="130"/>
        <v>83.478060494336233</v>
      </c>
      <c r="P44" s="133">
        <f t="shared" si="130"/>
        <v>87.977284303975566</v>
      </c>
      <c r="Q44" s="118">
        <f>((P44/G44)^(1/($H$2-$H$1) ))-1</f>
        <v>0.11899803773517759</v>
      </c>
      <c r="R44" s="128"/>
      <c r="S44" s="158">
        <f t="shared" ref="S44:AB44" si="131">S25/S40</f>
        <v>95.015467048293615</v>
      </c>
      <c r="T44" s="158">
        <f t="shared" si="131"/>
        <v>102.61670441215711</v>
      </c>
      <c r="U44" s="158">
        <f t="shared" si="131"/>
        <v>110.82604076512968</v>
      </c>
      <c r="V44" s="158">
        <f t="shared" si="131"/>
        <v>119.69212402634007</v>
      </c>
      <c r="W44" s="158">
        <f t="shared" si="131"/>
        <v>129.26749394844728</v>
      </c>
      <c r="X44" s="158">
        <f t="shared" si="131"/>
        <v>139.60889346432307</v>
      </c>
      <c r="Y44" s="158">
        <f t="shared" si="131"/>
        <v>150.77760494146895</v>
      </c>
      <c r="Z44" s="158">
        <f t="shared" si="131"/>
        <v>162.83981333678645</v>
      </c>
      <c r="AA44" s="158">
        <f t="shared" si="131"/>
        <v>175.86699840372938</v>
      </c>
      <c r="AB44" s="158">
        <f t="shared" si="131"/>
        <v>189.93635827602773</v>
      </c>
      <c r="AC44" s="138">
        <f t="shared" ref="AC44" si="132">((AB44/G44)^(1/($AB$3-$H$1) ))-1</f>
        <v>9.8300371490999572E-2</v>
      </c>
      <c r="AD44" s="31">
        <f t="shared" si="17"/>
        <v>0.05</v>
      </c>
      <c r="AE44" s="146">
        <f t="shared" ref="AE44:AE45" si="133">(AB44*(1+AD44))/($C$1-AD44)</f>
        <v>1173.1363305284069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17.277848911651727</v>
      </c>
      <c r="G45" s="133">
        <f t="shared" si="134"/>
        <v>17.467349551856593</v>
      </c>
      <c r="H45" s="133">
        <f t="shared" si="134"/>
        <v>19.475101268586123</v>
      </c>
      <c r="I45" s="133">
        <f t="shared" si="134"/>
        <v>23.571931016081695</v>
      </c>
      <c r="J45" s="133">
        <f t="shared" si="134"/>
        <v>28.647488296504719</v>
      </c>
      <c r="K45" s="133">
        <f t="shared" si="134"/>
        <v>32.642443059160257</v>
      </c>
      <c r="L45" s="133">
        <f t="shared" si="134"/>
        <v>40.668736507628495</v>
      </c>
      <c r="M45" s="133">
        <f t="shared" si="134"/>
        <v>40.663885317874211</v>
      </c>
      <c r="N45" s="133">
        <f t="shared" si="134"/>
        <v>50.78710553763311</v>
      </c>
      <c r="O45" s="133">
        <f t="shared" si="134"/>
        <v>61.571300361413641</v>
      </c>
      <c r="P45" s="133">
        <f t="shared" si="134"/>
        <v>62.088400805297496</v>
      </c>
      <c r="Q45" s="118">
        <f>((P45/G45)^(1/($H$2-$H$1) ))-1</f>
        <v>0.15132560293471942</v>
      </c>
      <c r="R45" s="128"/>
      <c r="S45" s="158">
        <f t="shared" ref="S45:AB45" si="135">S27/S40</f>
        <v>67.055472869721299</v>
      </c>
      <c r="T45" s="158">
        <f t="shared" si="135"/>
        <v>72.41991069929901</v>
      </c>
      <c r="U45" s="158">
        <f t="shared" si="135"/>
        <v>78.213503555242937</v>
      </c>
      <c r="V45" s="158">
        <f t="shared" si="135"/>
        <v>84.470583839662382</v>
      </c>
      <c r="W45" s="158">
        <f t="shared" si="135"/>
        <v>91.228230546835377</v>
      </c>
      <c r="X45" s="158">
        <f t="shared" si="135"/>
        <v>98.526488990582209</v>
      </c>
      <c r="Y45" s="158">
        <f t="shared" si="135"/>
        <v>106.40860810982879</v>
      </c>
      <c r="Z45" s="158">
        <f t="shared" si="135"/>
        <v>114.92129675861511</v>
      </c>
      <c r="AA45" s="158">
        <f t="shared" si="135"/>
        <v>124.11500049930432</v>
      </c>
      <c r="AB45" s="158">
        <f t="shared" si="135"/>
        <v>134.04420053924866</v>
      </c>
      <c r="AC45" s="138">
        <f t="shared" ref="AC45" si="136">((AB45/G45)^(1/($AB$3-$H$1) ))-1</f>
        <v>0.11321757342056316</v>
      </c>
      <c r="AD45" s="31">
        <f t="shared" si="17"/>
        <v>0.05</v>
      </c>
      <c r="AE45" s="146">
        <f t="shared" si="133"/>
        <v>827.92006215418303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4.6184379001280407</v>
      </c>
      <c r="G47" s="133">
        <f t="shared" si="137"/>
        <v>6.7349551856594108</v>
      </c>
      <c r="H47" s="133">
        <f t="shared" si="137"/>
        <v>7.0681834719965071</v>
      </c>
      <c r="I47" s="133">
        <f t="shared" si="137"/>
        <v>7.0827370412593691</v>
      </c>
      <c r="J47" s="133">
        <f t="shared" si="137"/>
        <v>8.3658767312683437</v>
      </c>
      <c r="K47" s="133">
        <f t="shared" si="137"/>
        <v>9.0583840686928472</v>
      </c>
      <c r="L47" s="133">
        <f t="shared" si="137"/>
        <v>9.8139568729230842</v>
      </c>
      <c r="M47" s="133">
        <f t="shared" si="137"/>
        <v>10.717490964659083</v>
      </c>
      <c r="N47" s="133">
        <f t="shared" si="137"/>
        <v>11.337230455769278</v>
      </c>
      <c r="O47" s="133">
        <f t="shared" si="137"/>
        <v>11.902394062143742</v>
      </c>
      <c r="P47" s="133">
        <f t="shared" si="137"/>
        <v>15.264535377301282</v>
      </c>
      <c r="Q47" s="118">
        <f>((P47/G47)^(1/($H$2-$H$1) ))-1</f>
        <v>9.5174211723962676E-2</v>
      </c>
      <c r="R47" s="128"/>
      <c r="S47" s="158">
        <f t="shared" ref="S47:AB47" si="138">S38/S40</f>
        <v>16.485698207485385</v>
      </c>
      <c r="T47" s="158">
        <f t="shared" si="138"/>
        <v>17.804554064084218</v>
      </c>
      <c r="U47" s="158">
        <f t="shared" si="138"/>
        <v>19.228918389210953</v>
      </c>
      <c r="V47" s="158">
        <f t="shared" si="138"/>
        <v>20.767231860347835</v>
      </c>
      <c r="W47" s="158">
        <f t="shared" si="138"/>
        <v>22.428610409175661</v>
      </c>
      <c r="X47" s="158">
        <f t="shared" si="138"/>
        <v>24.222899241909712</v>
      </c>
      <c r="Y47" s="158">
        <f t="shared" si="138"/>
        <v>26.160731181262491</v>
      </c>
      <c r="Z47" s="158">
        <f t="shared" si="138"/>
        <v>28.253589675763493</v>
      </c>
      <c r="AA47" s="158">
        <f t="shared" si="138"/>
        <v>30.513876849824577</v>
      </c>
      <c r="AB47" s="158">
        <f t="shared" si="138"/>
        <v>32.954986997810543</v>
      </c>
      <c r="AC47" s="138">
        <f t="shared" ref="AC47:AC61" si="139">((AB47/G47)^(1/($AB$3-$H$1) ))-1</f>
        <v>8.7161396549567227E-2</v>
      </c>
      <c r="AD47" s="31">
        <f t="shared" si="17"/>
        <v>0.05</v>
      </c>
      <c r="AE47" s="146">
        <f t="shared" ref="AE47:AE75" si="140">(AB47*(1+AD47))/($C$1-AD47)</f>
        <v>203.5455079276534</v>
      </c>
    </row>
    <row r="48" spans="2:31" x14ac:dyDescent="0.2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6.0691421254801536</v>
      </c>
      <c r="G48" s="133">
        <f>G20/G40</f>
        <v>7.3546734955185658</v>
      </c>
      <c r="H48" s="133">
        <f t="shared" ref="H48:P48" si="142">H20/H40</f>
        <v>6.120988672471924</v>
      </c>
      <c r="I48" s="133">
        <f t="shared" si="142"/>
        <v>7.5266209037766512</v>
      </c>
      <c r="J48" s="133">
        <f t="shared" si="142"/>
        <v>9.7812113420816456</v>
      </c>
      <c r="K48" s="133">
        <f t="shared" si="142"/>
        <v>12.335362747713877</v>
      </c>
      <c r="L48" s="133">
        <f t="shared" si="142"/>
        <v>11.749581584883693</v>
      </c>
      <c r="M48" s="133">
        <f t="shared" si="142"/>
        <v>12.848376064229752</v>
      </c>
      <c r="N48" s="133">
        <f t="shared" si="142"/>
        <v>13.455987580954229</v>
      </c>
      <c r="O48" s="133">
        <f t="shared" si="142"/>
        <v>16.816649283236714</v>
      </c>
      <c r="P48" s="133">
        <f t="shared" si="142"/>
        <v>16.979164140005338</v>
      </c>
      <c r="Q48" s="118">
        <f>((P48/G48)^(1/($H$2-$H$1) ))-1</f>
        <v>9.7419178067872592E-2</v>
      </c>
      <c r="R48" s="128"/>
      <c r="S48" s="133">
        <f t="shared" ref="S48:AB48" si="143">S20/S40</f>
        <v>18.337497271205766</v>
      </c>
      <c r="T48" s="133">
        <f t="shared" si="143"/>
        <v>19.804497052902228</v>
      </c>
      <c r="U48" s="133">
        <f t="shared" si="143"/>
        <v>21.388856817134407</v>
      </c>
      <c r="V48" s="133">
        <f t="shared" si="143"/>
        <v>23.099965362505159</v>
      </c>
      <c r="W48" s="133">
        <f t="shared" si="143"/>
        <v>24.947962591505576</v>
      </c>
      <c r="X48" s="133">
        <f t="shared" si="143"/>
        <v>26.943799598826022</v>
      </c>
      <c r="Y48" s="133">
        <f t="shared" si="143"/>
        <v>29.099303566732107</v>
      </c>
      <c r="Z48" s="133">
        <f t="shared" si="143"/>
        <v>31.427247852070678</v>
      </c>
      <c r="AA48" s="133">
        <f t="shared" si="143"/>
        <v>33.94142768023633</v>
      </c>
      <c r="AB48" s="133">
        <f t="shared" si="143"/>
        <v>36.656741894655241</v>
      </c>
      <c r="AC48" s="138">
        <f t="shared" ref="AC48" si="144">((AB48/G48)^(1/($AB$3-$H$1) ))-1</f>
        <v>8.8216452429580761E-2</v>
      </c>
      <c r="AD48" s="31">
        <f t="shared" si="17"/>
        <v>0.05</v>
      </c>
      <c r="AE48" s="146">
        <f t="shared" si="140"/>
        <v>226.40928817287065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40.348271446862995</v>
      </c>
      <c r="G49" s="133">
        <f t="shared" si="145"/>
        <v>46.002560819462225</v>
      </c>
      <c r="H49" s="133">
        <f t="shared" si="145"/>
        <v>50.703422514371653</v>
      </c>
      <c r="I49" s="133">
        <f t="shared" si="145"/>
        <v>54.575884735731442</v>
      </c>
      <c r="J49" s="133">
        <f t="shared" si="145"/>
        <v>59.077788827710002</v>
      </c>
      <c r="K49" s="133">
        <f t="shared" si="145"/>
        <v>64.110898197783015</v>
      </c>
      <c r="L49" s="133">
        <f t="shared" si="145"/>
        <v>69.623062556091881</v>
      </c>
      <c r="M49" s="133">
        <f t="shared" si="145"/>
        <v>75.560918815339463</v>
      </c>
      <c r="N49" s="133">
        <f t="shared" si="145"/>
        <v>82.568462415407382</v>
      </c>
      <c r="O49" s="133">
        <f t="shared" si="145"/>
        <v>90.234555024619794</v>
      </c>
      <c r="P49" s="133">
        <f t="shared" si="145"/>
        <v>98.528816067140468</v>
      </c>
      <c r="Q49" s="118">
        <f>((P49/G49)^(1/($H$2-$H$1) ))-1</f>
        <v>8.8312137985467221E-2</v>
      </c>
      <c r="R49" s="128"/>
      <c r="S49" s="158">
        <f t="shared" ref="S49:AB49" si="146">S7/S40</f>
        <v>106.41112135251171</v>
      </c>
      <c r="T49" s="158">
        <f t="shared" si="146"/>
        <v>114.92401106071266</v>
      </c>
      <c r="U49" s="158">
        <f t="shared" si="146"/>
        <v>124.11793194556969</v>
      </c>
      <c r="V49" s="158">
        <f t="shared" si="146"/>
        <v>134.04736650121527</v>
      </c>
      <c r="W49" s="158">
        <f t="shared" si="146"/>
        <v>144.7711558213125</v>
      </c>
      <c r="X49" s="158">
        <f t="shared" si="146"/>
        <v>156.35284828701751</v>
      </c>
      <c r="Y49" s="158">
        <f t="shared" si="146"/>
        <v>168.86107614997891</v>
      </c>
      <c r="Z49" s="158">
        <f t="shared" si="146"/>
        <v>182.36996224197725</v>
      </c>
      <c r="AA49" s="158">
        <f t="shared" si="146"/>
        <v>196.95955922133544</v>
      </c>
      <c r="AB49" s="158">
        <f t="shared" si="146"/>
        <v>212.71632395904228</v>
      </c>
      <c r="AC49" s="138">
        <f t="shared" si="139"/>
        <v>8.392938502888958E-2</v>
      </c>
      <c r="AD49" s="31">
        <f t="shared" si="17"/>
        <v>0.05</v>
      </c>
      <c r="AE49" s="146">
        <f t="shared" si="140"/>
        <v>1313.8361185705555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30.34571062740077</v>
      </c>
      <c r="G50" s="144">
        <f t="shared" si="147"/>
        <v>36</v>
      </c>
      <c r="H50" s="144">
        <f t="shared" si="147"/>
        <v>40.703907633347079</v>
      </c>
      <c r="I50" s="144">
        <f t="shared" si="147"/>
        <v>44.576369854706869</v>
      </c>
      <c r="J50" s="144">
        <f t="shared" si="147"/>
        <v>49.078273946685428</v>
      </c>
      <c r="K50" s="144">
        <f t="shared" si="147"/>
        <v>54.111383316758435</v>
      </c>
      <c r="L50" s="144">
        <f t="shared" si="147"/>
        <v>59.623547675067314</v>
      </c>
      <c r="M50" s="144">
        <f t="shared" si="147"/>
        <v>65.561403934314896</v>
      </c>
      <c r="N50" s="144">
        <f t="shared" si="147"/>
        <v>72.567734736944246</v>
      </c>
      <c r="O50" s="144">
        <f t="shared" si="147"/>
        <v>80.235040143595214</v>
      </c>
      <c r="P50" s="144">
        <f t="shared" si="147"/>
        <v>88.528743299294163</v>
      </c>
      <c r="Q50" s="118">
        <f>((P50/G50)^(1/($H$2-$H$1) ))-1</f>
        <v>0.10514738357277897</v>
      </c>
      <c r="R50" s="128"/>
      <c r="S50" s="157">
        <f t="shared" ref="S50:AB50" si="148">S6/S40</f>
        <v>95.611042763237705</v>
      </c>
      <c r="T50" s="157">
        <f t="shared" si="148"/>
        <v>103.25992618429673</v>
      </c>
      <c r="U50" s="157">
        <f t="shared" si="148"/>
        <v>111.52072027904048</v>
      </c>
      <c r="V50" s="157">
        <f t="shared" si="148"/>
        <v>120.44237790136371</v>
      </c>
      <c r="W50" s="157">
        <f t="shared" si="148"/>
        <v>130.0777681334728</v>
      </c>
      <c r="X50" s="157">
        <f t="shared" si="148"/>
        <v>140.48398958415063</v>
      </c>
      <c r="Y50" s="157">
        <f t="shared" si="148"/>
        <v>151.72270875088267</v>
      </c>
      <c r="Z50" s="157">
        <f t="shared" si="148"/>
        <v>163.8605254509533</v>
      </c>
      <c r="AA50" s="157">
        <f t="shared" si="148"/>
        <v>176.96936748702959</v>
      </c>
      <c r="AB50" s="157">
        <f t="shared" si="148"/>
        <v>191.12691688599196</v>
      </c>
      <c r="AC50" s="138">
        <f t="shared" si="139"/>
        <v>9.183978007190019E-2</v>
      </c>
      <c r="AD50" s="31">
        <f t="shared" si="17"/>
        <v>0.05</v>
      </c>
      <c r="AE50" s="146">
        <f t="shared" si="140"/>
        <v>1180.4897807664211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16.955185659411011</v>
      </c>
      <c r="G51" s="144">
        <f t="shared" si="149"/>
        <v>19.988476312419973</v>
      </c>
      <c r="H51" s="144">
        <f t="shared" si="149"/>
        <v>21.393746816406725</v>
      </c>
      <c r="I51" s="144">
        <f t="shared" si="149"/>
        <v>27.79731729206588</v>
      </c>
      <c r="J51" s="144">
        <f t="shared" si="149"/>
        <v>33.565381909913405</v>
      </c>
      <c r="K51" s="144">
        <f t="shared" si="149"/>
        <v>38.740388580299317</v>
      </c>
      <c r="L51" s="144">
        <f t="shared" si="149"/>
        <v>49.054017997913988</v>
      </c>
      <c r="M51" s="144">
        <f t="shared" si="149"/>
        <v>55.496397991607445</v>
      </c>
      <c r="N51" s="144">
        <f t="shared" si="149"/>
        <v>62.591263007252529</v>
      </c>
      <c r="O51" s="144">
        <f t="shared" si="149"/>
        <v>68.440585053484369</v>
      </c>
      <c r="P51" s="144">
        <f t="shared" si="149"/>
        <v>81.016724476677908</v>
      </c>
      <c r="Q51" s="118">
        <f>((P51/G51)^(1/($H$2-$H$1) ))-1</f>
        <v>0.16824189521294164</v>
      </c>
      <c r="R51" s="128"/>
      <c r="S51" s="157">
        <f t="shared" ref="S51:AB51" si="150">S10/S40</f>
        <v>87.498062434812155</v>
      </c>
      <c r="T51" s="157">
        <f t="shared" si="150"/>
        <v>94.497907429597134</v>
      </c>
      <c r="U51" s="157">
        <f t="shared" si="150"/>
        <v>102.05774002396491</v>
      </c>
      <c r="V51" s="157">
        <f t="shared" si="150"/>
        <v>110.2223592258821</v>
      </c>
      <c r="W51" s="157">
        <f t="shared" si="150"/>
        <v>119.04014796395268</v>
      </c>
      <c r="X51" s="157">
        <f t="shared" si="150"/>
        <v>128.56335980106891</v>
      </c>
      <c r="Y51" s="157">
        <f t="shared" si="150"/>
        <v>138.84842858515444</v>
      </c>
      <c r="Z51" s="157">
        <f t="shared" si="150"/>
        <v>149.95630287196678</v>
      </c>
      <c r="AA51" s="157">
        <f t="shared" si="150"/>
        <v>161.95280710172415</v>
      </c>
      <c r="AB51" s="157">
        <f t="shared" si="150"/>
        <v>174.90903166986206</v>
      </c>
      <c r="AC51" s="138">
        <f t="shared" si="139"/>
        <v>0.12093559502613038</v>
      </c>
      <c r="AD51" s="31">
        <f t="shared" si="17"/>
        <v>0.05</v>
      </c>
      <c r="AE51" s="146">
        <f t="shared" si="140"/>
        <v>1080.3204897256187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23.393085787451984</v>
      </c>
      <c r="G53" s="144">
        <f t="shared" si="151"/>
        <v>26.014084507042252</v>
      </c>
      <c r="H53" s="144">
        <f t="shared" si="151"/>
        <v>29.309675697964927</v>
      </c>
      <c r="I53" s="144">
        <f t="shared" si="151"/>
        <v>26.778567443665562</v>
      </c>
      <c r="J53" s="144">
        <f t="shared" si="151"/>
        <v>25.512406917796589</v>
      </c>
      <c r="K53" s="144">
        <f t="shared" si="151"/>
        <v>25.370509617483687</v>
      </c>
      <c r="L53" s="144">
        <f t="shared" si="151"/>
        <v>20.569044558177893</v>
      </c>
      <c r="M53" s="144">
        <f t="shared" si="151"/>
        <v>20.064520823732021</v>
      </c>
      <c r="N53" s="144">
        <f t="shared" si="151"/>
        <v>19.977199408154849</v>
      </c>
      <c r="O53" s="144">
        <f t="shared" si="151"/>
        <v>21.793969971135422</v>
      </c>
      <c r="P53" s="144">
        <f t="shared" si="151"/>
        <v>17.51209159046256</v>
      </c>
      <c r="Q53" s="118">
        <f>((P53/G53)^(1/($H$2-$H$1) ))-1</f>
        <v>-4.3019089304899283E-2</v>
      </c>
      <c r="R53" s="128"/>
      <c r="S53" s="157">
        <f t="shared" ref="S53:AB53" si="152">(S7-S10)/S40</f>
        <v>18.913058917699569</v>
      </c>
      <c r="T53" s="157">
        <f t="shared" si="152"/>
        <v>20.426103631115534</v>
      </c>
      <c r="U53" s="157">
        <f t="shared" si="152"/>
        <v>22.060191921604783</v>
      </c>
      <c r="V53" s="157">
        <f t="shared" si="152"/>
        <v>23.825007275333178</v>
      </c>
      <c r="W53" s="157">
        <f t="shared" si="152"/>
        <v>25.73100785735982</v>
      </c>
      <c r="X53" s="157">
        <f t="shared" si="152"/>
        <v>27.789488485948606</v>
      </c>
      <c r="Y53" s="157">
        <f t="shared" si="152"/>
        <v>30.012647564824487</v>
      </c>
      <c r="Z53" s="157">
        <f t="shared" si="152"/>
        <v>32.41365937001045</v>
      </c>
      <c r="AA53" s="157">
        <f t="shared" si="152"/>
        <v>35.006752119611306</v>
      </c>
      <c r="AB53" s="157">
        <f t="shared" si="152"/>
        <v>37.807292289180211</v>
      </c>
      <c r="AC53" s="138">
        <f t="shared" si="139"/>
        <v>1.9871916439161641E-2</v>
      </c>
      <c r="AD53" s="31">
        <f t="shared" si="17"/>
        <v>0.05</v>
      </c>
      <c r="AE53" s="146">
        <f t="shared" si="140"/>
        <v>233.5156288449366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19.014084507042252</v>
      </c>
      <c r="G54" s="144">
        <f t="shared" si="153"/>
        <v>16.455825864276569</v>
      </c>
      <c r="H54" s="144">
        <f t="shared" si="153"/>
        <v>22.841826958061464</v>
      </c>
      <c r="I54" s="144">
        <f t="shared" si="153"/>
        <v>20.570257355616466</v>
      </c>
      <c r="J54" s="144">
        <f t="shared" si="153"/>
        <v>18.263516627452884</v>
      </c>
      <c r="K54" s="144">
        <f t="shared" si="153"/>
        <v>17.832973536759891</v>
      </c>
      <c r="L54" s="144">
        <f t="shared" si="153"/>
        <v>9.9946636912702846</v>
      </c>
      <c r="M54" s="144">
        <f t="shared" si="153"/>
        <v>7.9523128047153566</v>
      </c>
      <c r="N54" s="144">
        <f t="shared" si="153"/>
        <v>4.0774249884784242</v>
      </c>
      <c r="O54" s="144">
        <f t="shared" si="153"/>
        <v>-2.2363984767264173</v>
      </c>
      <c r="P54" s="144">
        <f t="shared" si="153"/>
        <v>-14.872498605282948</v>
      </c>
      <c r="Q54" s="118">
        <f>((P54/G54)^(1/($H$2-$H$1) ))-1</f>
        <v>-1.9888222961987234</v>
      </c>
      <c r="R54" s="128"/>
      <c r="S54" s="157">
        <f t="shared" ref="S54:AB54" si="154">(S7-S10-S9)/S40</f>
        <v>-16.06229849370558</v>
      </c>
      <c r="T54" s="157">
        <f t="shared" si="154"/>
        <v>-17.347282373202031</v>
      </c>
      <c r="U54" s="157">
        <f t="shared" si="154"/>
        <v>-18.735064963058193</v>
      </c>
      <c r="V54" s="157">
        <f t="shared" si="154"/>
        <v>-20.233870160102835</v>
      </c>
      <c r="W54" s="157">
        <f t="shared" si="154"/>
        <v>-21.852579772911074</v>
      </c>
      <c r="X54" s="157">
        <f t="shared" si="154"/>
        <v>-23.600786154743968</v>
      </c>
      <c r="Y54" s="157">
        <f t="shared" si="154"/>
        <v>-25.488849047123502</v>
      </c>
      <c r="Z54" s="157">
        <f t="shared" si="154"/>
        <v>-27.527956970893374</v>
      </c>
      <c r="AA54" s="157">
        <f t="shared" si="154"/>
        <v>-29.730193528564836</v>
      </c>
      <c r="AB54" s="157">
        <f t="shared" si="154"/>
        <v>-32.108609010850024</v>
      </c>
      <c r="AC54" s="138">
        <f t="shared" si="139"/>
        <v>-2.0358074791638132</v>
      </c>
      <c r="AD54" s="31">
        <f t="shared" si="17"/>
        <v>0.05</v>
      </c>
      <c r="AE54" s="146">
        <f t="shared" si="140"/>
        <v>-198.31787918466193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43.870678617157488</v>
      </c>
      <c r="G55" s="144">
        <f t="shared" si="155"/>
        <v>35.203585147247118</v>
      </c>
      <c r="H55" s="144">
        <f t="shared" si="155"/>
        <v>38.787687680403621</v>
      </c>
      <c r="I55" s="144">
        <f t="shared" si="155"/>
        <v>40.011400295922577</v>
      </c>
      <c r="J55" s="144">
        <f t="shared" si="155"/>
        <v>45.94197977053873</v>
      </c>
      <c r="K55" s="144">
        <f t="shared" si="155"/>
        <v>49.747738132777066</v>
      </c>
      <c r="L55" s="144">
        <f t="shared" si="155"/>
        <v>49.365706939626946</v>
      </c>
      <c r="M55" s="144">
        <f t="shared" si="155"/>
        <v>48.235379726878016</v>
      </c>
      <c r="N55" s="144">
        <f t="shared" si="155"/>
        <v>50.218303538942926</v>
      </c>
      <c r="O55" s="144">
        <f t="shared" si="155"/>
        <v>54.988235864845855</v>
      </c>
      <c r="P55" s="144">
        <f t="shared" si="155"/>
        <v>39.483469570912263</v>
      </c>
      <c r="Q55" s="118">
        <f>((P55/G55)^(1/($H$2-$H$1) ))-1</f>
        <v>1.2829845695147002E-2</v>
      </c>
      <c r="R55" s="128"/>
      <c r="S55" s="157">
        <f t="shared" ref="S55:AB55" si="156">(S7+S15-S10-S9)/S40</f>
        <v>42.642147136585237</v>
      </c>
      <c r="T55" s="157">
        <f t="shared" si="156"/>
        <v>46.053518907512085</v>
      </c>
      <c r="U55" s="157">
        <f t="shared" si="156"/>
        <v>49.737800420113032</v>
      </c>
      <c r="V55" s="157">
        <f t="shared" si="156"/>
        <v>53.716824453722118</v>
      </c>
      <c r="W55" s="157">
        <f t="shared" si="156"/>
        <v>58.014170410019858</v>
      </c>
      <c r="X55" s="157">
        <f t="shared" si="156"/>
        <v>62.655304042821449</v>
      </c>
      <c r="Y55" s="157">
        <f t="shared" si="156"/>
        <v>67.667728366247147</v>
      </c>
      <c r="Z55" s="157">
        <f t="shared" si="156"/>
        <v>73.081146635546943</v>
      </c>
      <c r="AA55" s="157">
        <f t="shared" si="156"/>
        <v>78.927638366390724</v>
      </c>
      <c r="AB55" s="157">
        <f t="shared" si="156"/>
        <v>85.24184943570198</v>
      </c>
      <c r="AC55" s="138">
        <f t="shared" si="139"/>
        <v>4.7644647250139949E-2</v>
      </c>
      <c r="AD55" s="31">
        <f t="shared" si="17"/>
        <v>0.05</v>
      </c>
      <c r="AE55" s="146">
        <f t="shared" si="140"/>
        <v>526.49377592639473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0.6978233034571063</v>
      </c>
      <c r="G57" s="144">
        <f t="shared" si="157"/>
        <v>0.77976952624839946</v>
      </c>
      <c r="H57" s="144">
        <f t="shared" si="157"/>
        <v>7.5169185242680774</v>
      </c>
      <c r="I57" s="144">
        <f t="shared" si="157"/>
        <v>10.437334756348996</v>
      </c>
      <c r="J57" s="144">
        <f t="shared" si="157"/>
        <v>16.61289931355665</v>
      </c>
      <c r="K57" s="144">
        <f t="shared" si="157"/>
        <v>18.628568656462999</v>
      </c>
      <c r="L57" s="144">
        <f t="shared" si="157"/>
        <v>20.921968612802292</v>
      </c>
      <c r="M57" s="144">
        <f t="shared" si="157"/>
        <v>19.46782448395469</v>
      </c>
      <c r="N57" s="144">
        <f t="shared" si="157"/>
        <v>21.660562252892522</v>
      </c>
      <c r="O57" s="144">
        <f t="shared" si="157"/>
        <v>21.940718461202611</v>
      </c>
      <c r="P57" s="144">
        <f t="shared" si="157"/>
        <v>22.7255439396512</v>
      </c>
      <c r="Q57" s="118">
        <f>((P57/G57)^(1/($H$2-$H$1) ))-1</f>
        <v>0.4545463293210561</v>
      </c>
      <c r="R57" s="128"/>
      <c r="S57" s="157">
        <f t="shared" ref="S57:AB57" si="158">S12/S40</f>
        <v>24.5435874548233</v>
      </c>
      <c r="T57" s="157">
        <f t="shared" si="158"/>
        <v>26.507074451209164</v>
      </c>
      <c r="U57" s="157">
        <f t="shared" si="158"/>
        <v>28.627640407305897</v>
      </c>
      <c r="V57" s="157">
        <f t="shared" si="158"/>
        <v>30.917851639890372</v>
      </c>
      <c r="W57" s="157">
        <f t="shared" si="158"/>
        <v>33.391279771081606</v>
      </c>
      <c r="X57" s="157">
        <f t="shared" si="158"/>
        <v>36.062582152768137</v>
      </c>
      <c r="Y57" s="157">
        <f t="shared" si="158"/>
        <v>38.947588724989586</v>
      </c>
      <c r="Z57" s="157">
        <f t="shared" si="158"/>
        <v>42.06339582298876</v>
      </c>
      <c r="AA57" s="157">
        <f t="shared" si="158"/>
        <v>45.428467488827863</v>
      </c>
      <c r="AB57" s="157">
        <f t="shared" si="158"/>
        <v>49.062744887934095</v>
      </c>
      <c r="AC57" s="138">
        <f t="shared" si="139"/>
        <v>0.24357769945157792</v>
      </c>
      <c r="AD57" s="31">
        <f t="shared" si="17"/>
        <v>0.05</v>
      </c>
      <c r="AE57" s="146">
        <f t="shared" si="140"/>
        <v>303.03460077841652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4.6952624839948784</v>
      </c>
      <c r="G58" s="144">
        <f t="shared" si="159"/>
        <v>22.199743918053777</v>
      </c>
      <c r="H58" s="144">
        <f t="shared" si="159"/>
        <v>25.051543891139303</v>
      </c>
      <c r="I58" s="144">
        <f t="shared" si="159"/>
        <v>22.548329977927089</v>
      </c>
      <c r="J58" s="144">
        <f t="shared" si="159"/>
        <v>18.364178814854345</v>
      </c>
      <c r="K58" s="144">
        <f t="shared" si="159"/>
        <v>16.308487156475127</v>
      </c>
      <c r="L58" s="144">
        <f t="shared" si="159"/>
        <v>14.184878841535888</v>
      </c>
      <c r="M58" s="144">
        <f t="shared" si="159"/>
        <v>14.283115434060203</v>
      </c>
      <c r="N58" s="144">
        <f t="shared" si="159"/>
        <v>10.135348194144614</v>
      </c>
      <c r="O58" s="144">
        <f t="shared" si="159"/>
        <v>7.9377592354524955</v>
      </c>
      <c r="P58" s="144">
        <f t="shared" si="159"/>
        <v>8.489582070002669</v>
      </c>
      <c r="Q58" s="118">
        <f>((P58/G58)^(1/($H$2-$H$1) ))-1</f>
        <v>-0.10129869606175379</v>
      </c>
      <c r="R58" s="128"/>
      <c r="S58" s="157">
        <f t="shared" ref="S58:AB58" si="160">S13/S40</f>
        <v>9.1687486356028831</v>
      </c>
      <c r="T58" s="157">
        <f t="shared" si="160"/>
        <v>9.902248526451114</v>
      </c>
      <c r="U58" s="157">
        <f t="shared" si="160"/>
        <v>10.694428408567203</v>
      </c>
      <c r="V58" s="157">
        <f t="shared" si="160"/>
        <v>11.54998268125258</v>
      </c>
      <c r="W58" s="157">
        <f t="shared" si="160"/>
        <v>12.473981295752788</v>
      </c>
      <c r="X58" s="157">
        <f t="shared" si="160"/>
        <v>13.471899799413011</v>
      </c>
      <c r="Y58" s="157">
        <f t="shared" si="160"/>
        <v>14.549651783366054</v>
      </c>
      <c r="Z58" s="157">
        <f t="shared" si="160"/>
        <v>15.713623926035339</v>
      </c>
      <c r="AA58" s="157">
        <f t="shared" si="160"/>
        <v>16.970713840118165</v>
      </c>
      <c r="AB58" s="157">
        <f t="shared" si="160"/>
        <v>18.32837094732762</v>
      </c>
      <c r="AC58" s="138">
        <f t="shared" si="139"/>
        <v>-1.0035128122397263E-2</v>
      </c>
      <c r="AD58" s="31">
        <f t="shared" si="17"/>
        <v>0.05</v>
      </c>
      <c r="AE58" s="146">
        <f t="shared" si="140"/>
        <v>113.20464408643532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5.3930857874519846</v>
      </c>
      <c r="G59" s="144">
        <f t="shared" si="161"/>
        <v>22.979513444302178</v>
      </c>
      <c r="H59" s="144">
        <f t="shared" si="161"/>
        <v>32.568462415407382</v>
      </c>
      <c r="I59" s="144">
        <f t="shared" si="161"/>
        <v>32.985664734276085</v>
      </c>
      <c r="J59" s="144">
        <f t="shared" si="161"/>
        <v>34.977078128410994</v>
      </c>
      <c r="K59" s="144">
        <f t="shared" si="161"/>
        <v>34.937055812938127</v>
      </c>
      <c r="L59" s="144">
        <f t="shared" si="161"/>
        <v>35.10684745433818</v>
      </c>
      <c r="M59" s="144">
        <f t="shared" si="161"/>
        <v>33.750939918014893</v>
      </c>
      <c r="N59" s="144">
        <f t="shared" si="161"/>
        <v>31.795910447037137</v>
      </c>
      <c r="O59" s="144">
        <f t="shared" ref="O59" si="162">(O57+O58)</f>
        <v>29.878477696655107</v>
      </c>
      <c r="P59" s="144">
        <f t="shared" si="161"/>
        <v>31.215126009653869</v>
      </c>
      <c r="Q59" s="118">
        <f>((P59/G59)^(1/($H$2-$H$1) ))-1</f>
        <v>3.4619057376541251E-2</v>
      </c>
      <c r="R59" s="128"/>
      <c r="S59" s="157">
        <f t="shared" ref="S59:AB59" si="163">(S57+S58)</f>
        <v>33.712336090426184</v>
      </c>
      <c r="T59" s="157">
        <f t="shared" si="163"/>
        <v>36.409322977660281</v>
      </c>
      <c r="U59" s="157">
        <f t="shared" si="163"/>
        <v>39.322068815873102</v>
      </c>
      <c r="V59" s="157">
        <f t="shared" si="163"/>
        <v>42.467834321142952</v>
      </c>
      <c r="W59" s="157">
        <f t="shared" si="163"/>
        <v>45.865261066834393</v>
      </c>
      <c r="X59" s="157">
        <f t="shared" si="163"/>
        <v>49.534481952181146</v>
      </c>
      <c r="Y59" s="157">
        <f t="shared" si="163"/>
        <v>53.497240508355638</v>
      </c>
      <c r="Z59" s="157">
        <f t="shared" si="163"/>
        <v>57.777019749024099</v>
      </c>
      <c r="AA59" s="157">
        <f t="shared" si="163"/>
        <v>62.399181328946028</v>
      </c>
      <c r="AB59" s="157">
        <f t="shared" si="163"/>
        <v>67.391115835261715</v>
      </c>
      <c r="AC59" s="138">
        <f t="shared" si="139"/>
        <v>5.8260843751061886E-2</v>
      </c>
      <c r="AD59" s="31">
        <f t="shared" si="17"/>
        <v>0.05</v>
      </c>
      <c r="AE59" s="146">
        <f t="shared" si="140"/>
        <v>416.23924486485186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24.856594110115235</v>
      </c>
      <c r="G60" s="144">
        <f t="shared" si="164"/>
        <v>18.747759282970552</v>
      </c>
      <c r="H60" s="144">
        <f t="shared" si="164"/>
        <v>15.945860722342156</v>
      </c>
      <c r="I60" s="144">
        <f t="shared" si="164"/>
        <v>19.441142940306111</v>
      </c>
      <c r="J60" s="144">
        <f t="shared" si="164"/>
        <v>27.678463143085843</v>
      </c>
      <c r="K60" s="144">
        <f t="shared" si="164"/>
        <v>31.914764596017175</v>
      </c>
      <c r="L60" s="144">
        <f t="shared" si="164"/>
        <v>39.371043248356663</v>
      </c>
      <c r="M60" s="144">
        <f t="shared" si="164"/>
        <v>40.283066922162661</v>
      </c>
      <c r="N60" s="144">
        <f t="shared" si="164"/>
        <v>46.140878550464507</v>
      </c>
      <c r="O60" s="144">
        <f t="shared" si="164"/>
        <v>57.224634341572276</v>
      </c>
      <c r="P60" s="144">
        <f t="shared" si="164"/>
        <v>54.355968176195212</v>
      </c>
      <c r="Q60" s="118">
        <f>((P60/G60)^(1/($H$2-$H$1) ))-1</f>
        <v>0.12555424352145539</v>
      </c>
      <c r="R60" s="128"/>
      <c r="S60" s="157">
        <f t="shared" ref="S60:AB60" si="165">S15/S40</f>
        <v>58.704445630290834</v>
      </c>
      <c r="T60" s="157">
        <f t="shared" si="165"/>
        <v>63.400801280714106</v>
      </c>
      <c r="U60" s="157">
        <f t="shared" si="165"/>
        <v>68.472865383171239</v>
      </c>
      <c r="V60" s="157">
        <f t="shared" si="165"/>
        <v>73.950694613824936</v>
      </c>
      <c r="W60" s="157">
        <f t="shared" si="165"/>
        <v>79.866750182930929</v>
      </c>
      <c r="X60" s="157">
        <f t="shared" si="165"/>
        <v>86.256090197565413</v>
      </c>
      <c r="Y60" s="157">
        <f t="shared" si="165"/>
        <v>93.15657741337067</v>
      </c>
      <c r="Z60" s="157">
        <f t="shared" si="165"/>
        <v>100.60910360644031</v>
      </c>
      <c r="AA60" s="157">
        <f t="shared" si="165"/>
        <v>108.65783189495555</v>
      </c>
      <c r="AB60" s="157">
        <f t="shared" si="165"/>
        <v>117.35045844655201</v>
      </c>
      <c r="AC60" s="138">
        <f t="shared" si="139"/>
        <v>0.10134381435291262</v>
      </c>
      <c r="AD60" s="31">
        <f t="shared" si="17"/>
        <v>0.05</v>
      </c>
      <c r="AE60" s="146">
        <f t="shared" si="140"/>
        <v>724.81165511105667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18.985915492957748</v>
      </c>
      <c r="G61" s="144">
        <f t="shared" si="166"/>
        <v>6.9807938540332906</v>
      </c>
      <c r="H61" s="144">
        <f t="shared" si="166"/>
        <v>7.6200063065466805</v>
      </c>
      <c r="I61" s="144">
        <f t="shared" si="166"/>
        <v>11.726538433550829</v>
      </c>
      <c r="J61" s="144">
        <f t="shared" si="166"/>
        <v>18.347199650714337</v>
      </c>
      <c r="K61" s="144">
        <f t="shared" si="166"/>
        <v>21.45802508065103</v>
      </c>
      <c r="L61" s="144">
        <f t="shared" si="166"/>
        <v>24.776238872583502</v>
      </c>
      <c r="M61" s="144">
        <f t="shared" si="166"/>
        <v>24.349334174206223</v>
      </c>
      <c r="N61" s="144">
        <f t="shared" si="166"/>
        <v>26.801610594998426</v>
      </c>
      <c r="O61" s="144">
        <f t="shared" si="166"/>
        <v>28.322458582967474</v>
      </c>
      <c r="P61" s="144">
        <f t="shared" si="166"/>
        <v>-26.660756300482696</v>
      </c>
      <c r="Q61" s="118">
        <f>((P61/G61)^(1/($H$2-$H$1) ))-1</f>
        <v>-2.1605479063179431</v>
      </c>
      <c r="R61" s="128"/>
      <c r="S61" s="157">
        <f t="shared" ref="S61:AB61" si="167">S16/S40</f>
        <v>-28.793616804521314</v>
      </c>
      <c r="T61" s="157">
        <f t="shared" si="167"/>
        <v>-31.097106148883022</v>
      </c>
      <c r="U61" s="157">
        <f t="shared" si="167"/>
        <v>-33.584874640793664</v>
      </c>
      <c r="V61" s="157">
        <f t="shared" si="167"/>
        <v>-36.271664612057158</v>
      </c>
      <c r="W61" s="157">
        <f t="shared" si="167"/>
        <v>-39.173397781021734</v>
      </c>
      <c r="X61" s="157">
        <f t="shared" si="167"/>
        <v>-42.307269603503478</v>
      </c>
      <c r="Y61" s="157">
        <f t="shared" si="167"/>
        <v>-45.691851171783753</v>
      </c>
      <c r="Z61" s="157">
        <f t="shared" si="167"/>
        <v>-49.347199265526463</v>
      </c>
      <c r="AA61" s="157">
        <f t="shared" si="167"/>
        <v>-53.294975206768584</v>
      </c>
      <c r="AB61" s="157">
        <f t="shared" si="167"/>
        <v>-57.55857322331007</v>
      </c>
      <c r="AC61" s="138">
        <f t="shared" si="139"/>
        <v>-2.1174325725834473</v>
      </c>
      <c r="AD61" s="137"/>
      <c r="AE61" s="146">
        <f t="shared" si="140"/>
        <v>-261.62987828777307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0.05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0.91</v>
      </c>
      <c r="G63" s="159">
        <f t="shared" si="168"/>
        <v>1.39</v>
      </c>
      <c r="H63" s="159">
        <f t="shared" si="168"/>
        <v>2.4</v>
      </c>
      <c r="I63" s="159">
        <f t="shared" si="168"/>
        <v>2.8</v>
      </c>
      <c r="J63" s="159">
        <f t="shared" si="168"/>
        <v>3.2</v>
      </c>
      <c r="K63" s="159">
        <f t="shared" si="168"/>
        <v>3.5</v>
      </c>
      <c r="L63" s="159">
        <f t="shared" si="168"/>
        <v>3.6</v>
      </c>
      <c r="M63" s="159">
        <f t="shared" si="168"/>
        <v>3.8</v>
      </c>
      <c r="N63" s="159">
        <f t="shared" si="168"/>
        <v>3.8</v>
      </c>
      <c r="O63" s="159">
        <f t="shared" si="168"/>
        <v>4</v>
      </c>
      <c r="P63" s="159">
        <f t="shared" si="168"/>
        <v>3.75</v>
      </c>
      <c r="Q63" s="118">
        <f>((P63/G63)^(1/($H$2-$H$1) ))-1</f>
        <v>0.1165822471679312</v>
      </c>
      <c r="R63" s="128"/>
      <c r="S63" s="159">
        <f t="shared" ref="S63:AB63" si="169">S41</f>
        <v>3.9375</v>
      </c>
      <c r="T63" s="159">
        <f t="shared" si="169"/>
        <v>4.1343750000000004</v>
      </c>
      <c r="U63" s="159">
        <f t="shared" si="169"/>
        <v>4.3410937500000006</v>
      </c>
      <c r="V63" s="159">
        <f t="shared" si="169"/>
        <v>4.5581484375000008</v>
      </c>
      <c r="W63" s="159">
        <f t="shared" si="169"/>
        <v>4.7860558593750007</v>
      </c>
      <c r="X63" s="159">
        <f t="shared" si="169"/>
        <v>5.0253586523437512</v>
      </c>
      <c r="Y63" s="159">
        <f t="shared" si="169"/>
        <v>5.2766265849609386</v>
      </c>
      <c r="Z63" s="159">
        <f t="shared" si="169"/>
        <v>5.5404579142089858</v>
      </c>
      <c r="AA63" s="159">
        <f t="shared" si="169"/>
        <v>5.8174808099194353</v>
      </c>
      <c r="AB63" s="159">
        <f t="shared" si="169"/>
        <v>6.1083548504154077</v>
      </c>
      <c r="AC63" s="138">
        <f t="shared" ref="AC63" si="170">((AB63/G63)^(1/($AB$3-$H$1) ))-1</f>
        <v>8.1028988259917778E-2</v>
      </c>
      <c r="AD63" s="31">
        <f t="shared" si="17"/>
        <v>0.05</v>
      </c>
      <c r="AE63" s="146">
        <f t="shared" si="140"/>
        <v>37.728074076095169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1552</v>
      </c>
      <c r="G65" s="144">
        <f t="shared" si="171"/>
        <v>3407</v>
      </c>
      <c r="H65" s="144">
        <f t="shared" si="171"/>
        <v>-1370</v>
      </c>
      <c r="I65" s="144">
        <f t="shared" si="171"/>
        <v>3493</v>
      </c>
      <c r="J65" s="144">
        <f t="shared" si="171"/>
        <v>4920</v>
      </c>
      <c r="K65" s="144">
        <f t="shared" si="171"/>
        <v>3968</v>
      </c>
      <c r="L65" s="144">
        <f t="shared" si="171"/>
        <v>2188</v>
      </c>
      <c r="M65" s="144">
        <f t="shared" si="171"/>
        <v>97</v>
      </c>
      <c r="N65" s="144">
        <f t="shared" si="171"/>
        <v>3437</v>
      </c>
      <c r="O65" s="144">
        <f t="shared" si="171"/>
        <v>2830</v>
      </c>
      <c r="P65" s="144">
        <f t="shared" si="171"/>
        <v>2000</v>
      </c>
      <c r="Q65" s="118">
        <f>((P65/G65)^(1/($H$2-$H$1) ))-1</f>
        <v>-5.74697055921779E-2</v>
      </c>
      <c r="R65" s="128"/>
      <c r="S65" s="144">
        <f t="shared" ref="S65:AB65" si="172">S20+S21</f>
        <v>2160.0000000000018</v>
      </c>
      <c r="T65" s="144">
        <f t="shared" si="172"/>
        <v>2332.8000000000011</v>
      </c>
      <c r="U65" s="144">
        <f t="shared" si="172"/>
        <v>2519.4240000000027</v>
      </c>
      <c r="V65" s="144">
        <f t="shared" si="172"/>
        <v>2720.9779200000012</v>
      </c>
      <c r="W65" s="144">
        <f t="shared" si="172"/>
        <v>2938.6561536000008</v>
      </c>
      <c r="X65" s="144">
        <f t="shared" si="172"/>
        <v>3173.7486458880012</v>
      </c>
      <c r="Y65" s="144">
        <f t="shared" si="172"/>
        <v>3427.6485375590419</v>
      </c>
      <c r="Z65" s="144">
        <f t="shared" si="172"/>
        <v>3701.8604205637675</v>
      </c>
      <c r="AA65" s="144">
        <f t="shared" si="172"/>
        <v>3998.0092542088678</v>
      </c>
      <c r="AB65" s="144">
        <f t="shared" si="172"/>
        <v>4317.8499945455769</v>
      </c>
      <c r="AC65" s="138">
        <f t="shared" ref="AC65:AC70" si="173">((AB65/G65)^(1/($AB$3-$H$1) ))-1</f>
        <v>1.2547832336949005E-2</v>
      </c>
      <c r="AD65" s="31">
        <f t="shared" si="17"/>
        <v>0.05</v>
      </c>
      <c r="AE65" s="146">
        <f t="shared" si="140"/>
        <v>26669.073495722685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1.9871959026888604</v>
      </c>
      <c r="G67" s="144">
        <f t="shared" si="174"/>
        <v>4.3623559539052499</v>
      </c>
      <c r="H67" s="144">
        <f t="shared" si="174"/>
        <v>-1.6615324908433795</v>
      </c>
      <c r="I67" s="144">
        <f t="shared" si="174"/>
        <v>4.2363014529313316</v>
      </c>
      <c r="J67" s="144">
        <f t="shared" si="174"/>
        <v>5.9669633977733039</v>
      </c>
      <c r="K67" s="144">
        <f t="shared" si="174"/>
        <v>4.8123802362529409</v>
      </c>
      <c r="L67" s="144">
        <f t="shared" si="174"/>
        <v>2.65360079559512</v>
      </c>
      <c r="M67" s="144">
        <f t="shared" si="174"/>
        <v>0.11764135154146554</v>
      </c>
      <c r="N67" s="144">
        <f t="shared" si="174"/>
        <v>4.1683847963713099</v>
      </c>
      <c r="O67" s="144">
        <f t="shared" si="174"/>
        <v>3.4322167511582218</v>
      </c>
      <c r="P67" s="144">
        <f t="shared" si="174"/>
        <v>2.4255948771436198</v>
      </c>
      <c r="Q67" s="118">
        <f>((P67/G67)^(1/($H$2-$H$1) ))-1</f>
        <v>-6.3134032704113441E-2</v>
      </c>
      <c r="R67" s="128"/>
      <c r="S67" s="146">
        <f t="shared" ref="S67:AB67" si="175">S65/S40</f>
        <v>2.6196424673151113</v>
      </c>
      <c r="T67" s="146">
        <f t="shared" si="175"/>
        <v>2.8292138647003191</v>
      </c>
      <c r="U67" s="146">
        <f t="shared" si="175"/>
        <v>3.0555509738763464</v>
      </c>
      <c r="V67" s="146">
        <f t="shared" si="175"/>
        <v>3.299995051786452</v>
      </c>
      <c r="W67" s="146">
        <f t="shared" si="175"/>
        <v>3.5639946559293678</v>
      </c>
      <c r="X67" s="146">
        <f t="shared" si="175"/>
        <v>3.8491142284037174</v>
      </c>
      <c r="Y67" s="146">
        <f t="shared" si="175"/>
        <v>4.1570433666760156</v>
      </c>
      <c r="Z67" s="146">
        <f t="shared" si="175"/>
        <v>4.4896068360100996</v>
      </c>
      <c r="AA67" s="146">
        <f t="shared" si="175"/>
        <v>4.8487753828909064</v>
      </c>
      <c r="AB67" s="146">
        <f t="shared" si="175"/>
        <v>5.2366774135221785</v>
      </c>
      <c r="AC67" s="138">
        <f t="shared" si="173"/>
        <v>9.6608384541461145E-3</v>
      </c>
      <c r="AD67" s="31">
        <f t="shared" si="17"/>
        <v>0.05</v>
      </c>
      <c r="AE67" s="146">
        <f t="shared" si="140"/>
        <v>32.344184024695814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6.0691421254801536</v>
      </c>
      <c r="G68" s="144">
        <f t="shared" si="176"/>
        <v>7.3546734955185658</v>
      </c>
      <c r="H68" s="144">
        <f t="shared" si="176"/>
        <v>6.120988672471924</v>
      </c>
      <c r="I68" s="144">
        <f t="shared" si="176"/>
        <v>7.5266209037766512</v>
      </c>
      <c r="J68" s="144">
        <f t="shared" si="176"/>
        <v>9.7812113420816456</v>
      </c>
      <c r="K68" s="144">
        <f t="shared" si="176"/>
        <v>12.335362747713877</v>
      </c>
      <c r="L68" s="144">
        <f t="shared" si="176"/>
        <v>11.749581584883693</v>
      </c>
      <c r="M68" s="144">
        <f t="shared" si="176"/>
        <v>12.848376064229752</v>
      </c>
      <c r="N68" s="144">
        <f t="shared" si="176"/>
        <v>13.455987580954229</v>
      </c>
      <c r="O68" s="144">
        <f t="shared" si="176"/>
        <v>16.816649283236714</v>
      </c>
      <c r="P68" s="144">
        <f t="shared" si="176"/>
        <v>16.979164140005338</v>
      </c>
      <c r="Q68" s="118">
        <f>((P68/G68)^(1/($H$2-$H$1) ))-1</f>
        <v>9.7419178067872592E-2</v>
      </c>
      <c r="R68" s="128"/>
      <c r="S68" s="146">
        <f t="shared" ref="S68:AB68" si="177">S20/S40</f>
        <v>18.337497271205766</v>
      </c>
      <c r="T68" s="146">
        <f t="shared" si="177"/>
        <v>19.804497052902228</v>
      </c>
      <c r="U68" s="146">
        <f t="shared" si="177"/>
        <v>21.388856817134407</v>
      </c>
      <c r="V68" s="146">
        <f t="shared" si="177"/>
        <v>23.099965362505159</v>
      </c>
      <c r="W68" s="146">
        <f t="shared" si="177"/>
        <v>24.947962591505576</v>
      </c>
      <c r="X68" s="146">
        <f t="shared" si="177"/>
        <v>26.943799598826022</v>
      </c>
      <c r="Y68" s="146">
        <f t="shared" si="177"/>
        <v>29.099303566732107</v>
      </c>
      <c r="Z68" s="146">
        <f t="shared" si="177"/>
        <v>31.427247852070678</v>
      </c>
      <c r="AA68" s="146">
        <f t="shared" si="177"/>
        <v>33.94142768023633</v>
      </c>
      <c r="AB68" s="146">
        <f t="shared" si="177"/>
        <v>36.656741894655241</v>
      </c>
      <c r="AC68" s="138">
        <f t="shared" si="173"/>
        <v>8.8216452429580761E-2</v>
      </c>
      <c r="AD68" s="31">
        <f t="shared" si="17"/>
        <v>0.05</v>
      </c>
      <c r="AE68" s="146">
        <f t="shared" si="140"/>
        <v>226.40928817287065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-4.0819462227912933</v>
      </c>
      <c r="G69" s="144">
        <f t="shared" si="178"/>
        <v>-2.9923175416133163</v>
      </c>
      <c r="H69" s="144">
        <f t="shared" si="178"/>
        <v>-7.7825211633153035</v>
      </c>
      <c r="I69" s="144">
        <f t="shared" si="178"/>
        <v>-3.29031945084532</v>
      </c>
      <c r="J69" s="144">
        <f t="shared" si="178"/>
        <v>-3.8142479443083417</v>
      </c>
      <c r="K69" s="144">
        <f t="shared" si="178"/>
        <v>-7.5229825114609365</v>
      </c>
      <c r="L69" s="144">
        <f t="shared" si="178"/>
        <v>-9.0959807892885731</v>
      </c>
      <c r="M69" s="144">
        <f t="shared" si="178"/>
        <v>-12.730734712688287</v>
      </c>
      <c r="N69" s="144">
        <f t="shared" si="178"/>
        <v>-9.2876027845829192</v>
      </c>
      <c r="O69" s="144">
        <f t="shared" si="178"/>
        <v>-13.384432532078494</v>
      </c>
      <c r="P69" s="144">
        <f t="shared" si="178"/>
        <v>-14.553569262861718</v>
      </c>
      <c r="Q69" s="118">
        <f>((P69/G69)^(1/($H$2-$H$1) ))-1</f>
        <v>0.19214503167575603</v>
      </c>
      <c r="R69" s="128"/>
      <c r="S69" s="146">
        <f t="shared" ref="S69:AB69" si="179">S21/S40</f>
        <v>-15.717854803890654</v>
      </c>
      <c r="T69" s="146">
        <f t="shared" si="179"/>
        <v>-16.97528318820191</v>
      </c>
      <c r="U69" s="146">
        <f t="shared" si="179"/>
        <v>-18.333305843258064</v>
      </c>
      <c r="V69" s="146">
        <f t="shared" si="179"/>
        <v>-19.799970310718709</v>
      </c>
      <c r="W69" s="146">
        <f t="shared" si="179"/>
        <v>-21.383967935576209</v>
      </c>
      <c r="X69" s="146">
        <f t="shared" si="179"/>
        <v>-23.094685370422305</v>
      </c>
      <c r="Y69" s="146">
        <f t="shared" si="179"/>
        <v>-24.94226020005609</v>
      </c>
      <c r="Z69" s="146">
        <f t="shared" si="179"/>
        <v>-26.937641016060578</v>
      </c>
      <c r="AA69" s="146">
        <f t="shared" si="179"/>
        <v>-29.092652297345424</v>
      </c>
      <c r="AB69" s="146">
        <f t="shared" si="179"/>
        <v>-31.420064481133064</v>
      </c>
      <c r="AC69" s="138">
        <f t="shared" si="173"/>
        <v>0.13174174784598902</v>
      </c>
      <c r="AD69" s="31">
        <f t="shared" si="17"/>
        <v>0.05</v>
      </c>
      <c r="AE69" s="146">
        <f t="shared" si="140"/>
        <v>-194.06510414817484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-0.676056338028169</v>
      </c>
      <c r="G70" s="144">
        <f t="shared" si="180"/>
        <v>1.0729833546734955</v>
      </c>
      <c r="H70" s="144">
        <f t="shared" si="180"/>
        <v>0.9860043175588814</v>
      </c>
      <c r="I70" s="144">
        <f t="shared" si="180"/>
        <v>-1.3328643849904189</v>
      </c>
      <c r="J70" s="144">
        <f t="shared" si="180"/>
        <v>-9.2172605331457547E-2</v>
      </c>
      <c r="K70" s="144">
        <f t="shared" si="180"/>
        <v>-2.8476483857666093</v>
      </c>
      <c r="L70" s="144">
        <f t="shared" si="180"/>
        <v>-1.0296650253474664</v>
      </c>
      <c r="M70" s="144">
        <f t="shared" si="180"/>
        <v>-2.3140175127950129</v>
      </c>
      <c r="N70" s="144">
        <f t="shared" si="180"/>
        <v>-2.0738836199577948</v>
      </c>
      <c r="O70" s="144">
        <f t="shared" si="180"/>
        <v>-3.4698134717539477</v>
      </c>
      <c r="P70" s="144">
        <f t="shared" si="180"/>
        <v>-3.0319935964295244</v>
      </c>
      <c r="Q70" s="118">
        <f>((P70/G70)^(1/($H$2-$H$1) ))-1</f>
        <v>-2.1223443997869151</v>
      </c>
      <c r="R70" s="128"/>
      <c r="S70" s="146">
        <f t="shared" ref="S70:AB70" si="181">S22/S40</f>
        <v>-3.2745530841438866</v>
      </c>
      <c r="T70" s="146">
        <f t="shared" si="181"/>
        <v>-3.5365173308753972</v>
      </c>
      <c r="U70" s="146">
        <f t="shared" si="181"/>
        <v>-3.8194387173454292</v>
      </c>
      <c r="V70" s="146">
        <f t="shared" si="181"/>
        <v>-4.124993814733064</v>
      </c>
      <c r="W70" s="146">
        <f t="shared" si="181"/>
        <v>-4.4549933199117095</v>
      </c>
      <c r="X70" s="146">
        <f t="shared" si="181"/>
        <v>-4.8113927855046468</v>
      </c>
      <c r="Y70" s="146">
        <f t="shared" si="181"/>
        <v>-5.1963042083450199</v>
      </c>
      <c r="Z70" s="146">
        <f t="shared" si="181"/>
        <v>-5.6120085450126211</v>
      </c>
      <c r="AA70" s="146">
        <f t="shared" si="181"/>
        <v>-6.0609692286136321</v>
      </c>
      <c r="AB70" s="146">
        <f t="shared" si="181"/>
        <v>-6.5458467669027236</v>
      </c>
      <c r="AC70" s="138">
        <f t="shared" si="173"/>
        <v>-2.0998549485244968</v>
      </c>
      <c r="AD70" s="31">
        <f t="shared" si="17"/>
        <v>0.05</v>
      </c>
      <c r="AE70" s="146">
        <f t="shared" si="140"/>
        <v>-40.430230030869772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3.0588988476312422</v>
      </c>
      <c r="G71" s="144">
        <f t="shared" si="182"/>
        <v>8.4955185659411008</v>
      </c>
      <c r="H71" s="144">
        <f t="shared" si="182"/>
        <v>7.3713828316394601</v>
      </c>
      <c r="I71" s="144">
        <f t="shared" si="182"/>
        <v>10.273607102141801</v>
      </c>
      <c r="J71" s="144">
        <f t="shared" si="182"/>
        <v>16.147185097145076</v>
      </c>
      <c r="K71" s="144">
        <f t="shared" si="182"/>
        <v>18.110704150192834</v>
      </c>
      <c r="L71" s="144">
        <f t="shared" si="182"/>
        <v>19.733427123001917</v>
      </c>
      <c r="M71" s="144">
        <f t="shared" si="182"/>
        <v>17.535838164309798</v>
      </c>
      <c r="N71" s="144">
        <f t="shared" si="182"/>
        <v>19.629126543284741</v>
      </c>
      <c r="O71" s="144">
        <f t="shared" si="182"/>
        <v>19.58182744318044</v>
      </c>
      <c r="P71" s="144">
        <f t="shared" si="182"/>
        <v>20.617556455720766</v>
      </c>
      <c r="Q71" s="118">
        <f>((P71/G71)^(1/($H$2-$H$1) ))-1</f>
        <v>0.10352717716172499</v>
      </c>
      <c r="R71" s="128"/>
      <c r="S71" s="146">
        <f t="shared" ref="S71:AB71" si="183">S23/S40</f>
        <v>22.266960972178428</v>
      </c>
      <c r="T71" s="146">
        <f t="shared" si="183"/>
        <v>24.048317849952706</v>
      </c>
      <c r="U71" s="146">
        <f t="shared" si="183"/>
        <v>25.972183277948922</v>
      </c>
      <c r="V71" s="146">
        <f t="shared" si="183"/>
        <v>28.049957940184836</v>
      </c>
      <c r="W71" s="146">
        <f t="shared" si="183"/>
        <v>30.293954575399628</v>
      </c>
      <c r="X71" s="146">
        <f t="shared" si="183"/>
        <v>32.7174709414316</v>
      </c>
      <c r="Y71" s="146">
        <f t="shared" si="183"/>
        <v>35.334868616746128</v>
      </c>
      <c r="Z71" s="146">
        <f t="shared" si="183"/>
        <v>38.161658106085824</v>
      </c>
      <c r="AA71" s="146">
        <f t="shared" si="183"/>
        <v>41.21459075457269</v>
      </c>
      <c r="AB71" s="146">
        <f t="shared" si="183"/>
        <v>44.511758014938508</v>
      </c>
      <c r="AC71" s="138">
        <f t="shared" ref="AC71" si="184">((AB71/G71)^(1/($AB$3-$H$1) ))-1</f>
        <v>9.1081262557006326E-2</v>
      </c>
      <c r="AD71" s="31">
        <f t="shared" si="17"/>
        <v>0.05</v>
      </c>
      <c r="AE71" s="146">
        <f t="shared" si="140"/>
        <v>274.92556420991434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7.108834827144686</v>
      </c>
      <c r="G73" s="144">
        <f t="shared" si="185"/>
        <v>6.6914212548015364</v>
      </c>
      <c r="H73" s="144">
        <f t="shared" si="185"/>
        <v>9.0438304994299852</v>
      </c>
      <c r="I73" s="144">
        <f t="shared" si="185"/>
        <v>9.8697455550973885</v>
      </c>
      <c r="J73" s="144">
        <f t="shared" si="185"/>
        <v>12.434812137676765</v>
      </c>
      <c r="K73" s="144">
        <f t="shared" si="185"/>
        <v>14.262497877604483</v>
      </c>
      <c r="L73" s="144">
        <f t="shared" si="185"/>
        <v>13.053338831348389</v>
      </c>
      <c r="M73" s="144">
        <f t="shared" si="185"/>
        <v>17.926358939529919</v>
      </c>
      <c r="N73" s="144">
        <f t="shared" si="185"/>
        <v>18.962087952070245</v>
      </c>
      <c r="O73" s="144">
        <f t="shared" si="185"/>
        <v>18.343561258398623</v>
      </c>
      <c r="P73" s="144">
        <f t="shared" si="185"/>
        <v>21.252092075581537</v>
      </c>
      <c r="Q73" s="118">
        <f>((P73/G73)^(1/($H$2-$H$1) ))-1</f>
        <v>0.13701138420425596</v>
      </c>
      <c r="R73" s="128"/>
      <c r="S73" s="144">
        <f t="shared" ref="S73:AB73" si="186">S36/S40</f>
        <v>22.952259441628062</v>
      </c>
      <c r="T73" s="144">
        <f t="shared" si="186"/>
        <v>24.788440196958305</v>
      </c>
      <c r="U73" s="144">
        <f t="shared" si="186"/>
        <v>26.771515412714972</v>
      </c>
      <c r="V73" s="144">
        <f t="shared" si="186"/>
        <v>28.913236645732173</v>
      </c>
      <c r="W73" s="144">
        <f t="shared" si="186"/>
        <v>31.226295577390751</v>
      </c>
      <c r="X73" s="144">
        <f t="shared" si="186"/>
        <v>33.724399223582012</v>
      </c>
      <c r="Y73" s="144">
        <f t="shared" si="186"/>
        <v>36.422351161468576</v>
      </c>
      <c r="Z73" s="144">
        <f t="shared" si="186"/>
        <v>39.336139254386062</v>
      </c>
      <c r="AA73" s="144">
        <f t="shared" si="186"/>
        <v>42.48303039473695</v>
      </c>
      <c r="AB73" s="144">
        <f t="shared" si="186"/>
        <v>45.881672826315913</v>
      </c>
      <c r="AC73" s="138">
        <f t="shared" ref="AC73:AC75" si="187">((AB73/G73)^(1/($AB$3-$H$1) ))-1</f>
        <v>0.10663999430118043</v>
      </c>
      <c r="AD73" s="31">
        <f t="shared" si="17"/>
        <v>0.05</v>
      </c>
      <c r="AE73" s="146">
        <f t="shared" si="140"/>
        <v>283.38680275077479</v>
      </c>
    </row>
    <row r="74" spans="2:31" x14ac:dyDescent="0.2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4.6184379001280407</v>
      </c>
      <c r="G74" s="144">
        <f t="shared" si="188"/>
        <v>6.7349551856594108</v>
      </c>
      <c r="H74" s="144">
        <f t="shared" si="188"/>
        <v>7.0681834719965071</v>
      </c>
      <c r="I74" s="144">
        <f t="shared" si="188"/>
        <v>7.0827370412593691</v>
      </c>
      <c r="J74" s="144">
        <f t="shared" si="188"/>
        <v>8.3658767312683437</v>
      </c>
      <c r="K74" s="144">
        <f t="shared" si="188"/>
        <v>9.0583840686928472</v>
      </c>
      <c r="L74" s="144">
        <f t="shared" si="188"/>
        <v>9.8139568729230842</v>
      </c>
      <c r="M74" s="144">
        <f t="shared" si="188"/>
        <v>10.717490964659083</v>
      </c>
      <c r="N74" s="144">
        <f t="shared" si="188"/>
        <v>11.337230455769278</v>
      </c>
      <c r="O74" s="144">
        <f t="shared" si="188"/>
        <v>11.902394062143742</v>
      </c>
      <c r="P74" s="144">
        <f t="shared" si="188"/>
        <v>15.264535377301282</v>
      </c>
      <c r="Q74" s="118">
        <f>((P74/G74)^(1/($H$2-$H$1) ))-1</f>
        <v>9.5174211723962676E-2</v>
      </c>
      <c r="R74" s="128"/>
      <c r="S74" s="144">
        <f t="shared" ref="S74:AB74" si="189">S38/S40</f>
        <v>16.485698207485385</v>
      </c>
      <c r="T74" s="144">
        <f t="shared" si="189"/>
        <v>17.804554064084218</v>
      </c>
      <c r="U74" s="144">
        <f t="shared" si="189"/>
        <v>19.228918389210953</v>
      </c>
      <c r="V74" s="144">
        <f t="shared" si="189"/>
        <v>20.767231860347835</v>
      </c>
      <c r="W74" s="144">
        <f t="shared" si="189"/>
        <v>22.428610409175661</v>
      </c>
      <c r="X74" s="144">
        <f t="shared" si="189"/>
        <v>24.222899241909712</v>
      </c>
      <c r="Y74" s="144">
        <f t="shared" si="189"/>
        <v>26.160731181262491</v>
      </c>
      <c r="Z74" s="144">
        <f t="shared" si="189"/>
        <v>28.253589675763493</v>
      </c>
      <c r="AA74" s="144">
        <f t="shared" si="189"/>
        <v>30.513876849824577</v>
      </c>
      <c r="AB74" s="144">
        <f t="shared" si="189"/>
        <v>32.954986997810543</v>
      </c>
      <c r="AC74" s="138">
        <f t="shared" si="187"/>
        <v>8.7161396549567227E-2</v>
      </c>
      <c r="AD74" s="31">
        <f t="shared" si="17"/>
        <v>0.05</v>
      </c>
      <c r="AE74" s="146">
        <f t="shared" si="140"/>
        <v>203.5455079276534</v>
      </c>
    </row>
    <row r="75" spans="2:31" x14ac:dyDescent="0.2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30.34571062740077</v>
      </c>
      <c r="G75" s="144">
        <f t="shared" si="190"/>
        <v>36</v>
      </c>
      <c r="H75" s="144">
        <f t="shared" si="190"/>
        <v>40.703907633347079</v>
      </c>
      <c r="I75" s="144">
        <f t="shared" si="190"/>
        <v>44.576369854706869</v>
      </c>
      <c r="J75" s="144">
        <f t="shared" si="190"/>
        <v>49.078273946685428</v>
      </c>
      <c r="K75" s="144">
        <f t="shared" si="190"/>
        <v>54.111383316758435</v>
      </c>
      <c r="L75" s="144">
        <f t="shared" si="190"/>
        <v>59.623547675067314</v>
      </c>
      <c r="M75" s="144">
        <f t="shared" si="190"/>
        <v>65.561403934314896</v>
      </c>
      <c r="N75" s="144">
        <f t="shared" si="190"/>
        <v>72.567734736944246</v>
      </c>
      <c r="O75" s="144">
        <f t="shared" si="190"/>
        <v>80.235040143595214</v>
      </c>
      <c r="P75" s="144">
        <f t="shared" si="190"/>
        <v>88.528743299294163</v>
      </c>
      <c r="Q75" s="118">
        <f>((P75/G75)^(1/($H$2-$H$1) ))-1</f>
        <v>0.10514738357277897</v>
      </c>
      <c r="R75" s="128"/>
      <c r="S75" s="144">
        <f t="shared" ref="S75:AB75" si="191">S6/S40</f>
        <v>95.611042763237705</v>
      </c>
      <c r="T75" s="144">
        <f t="shared" si="191"/>
        <v>103.25992618429673</v>
      </c>
      <c r="U75" s="144">
        <f t="shared" si="191"/>
        <v>111.52072027904048</v>
      </c>
      <c r="V75" s="144">
        <f t="shared" si="191"/>
        <v>120.44237790136371</v>
      </c>
      <c r="W75" s="144">
        <f t="shared" si="191"/>
        <v>130.0777681334728</v>
      </c>
      <c r="X75" s="144">
        <f t="shared" si="191"/>
        <v>140.48398958415063</v>
      </c>
      <c r="Y75" s="144">
        <f t="shared" si="191"/>
        <v>151.72270875088267</v>
      </c>
      <c r="Z75" s="144">
        <f t="shared" si="191"/>
        <v>163.8605254509533</v>
      </c>
      <c r="AA75" s="144">
        <f t="shared" si="191"/>
        <v>176.96936748702959</v>
      </c>
      <c r="AB75" s="144">
        <f t="shared" si="191"/>
        <v>191.12691688599196</v>
      </c>
      <c r="AC75" s="138">
        <f t="shared" si="187"/>
        <v>9.183978007190019E-2</v>
      </c>
      <c r="AD75" s="31">
        <f t="shared" ref="AD75" si="192">$L$1</f>
        <v>0.05</v>
      </c>
      <c r="AE75" s="146">
        <f t="shared" si="140"/>
        <v>1180.4897807664211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93">E36/E25</f>
        <v>#DIV/0!</v>
      </c>
      <c r="F79" s="152">
        <f t="shared" si="193"/>
        <v>0.28543519613387486</v>
      </c>
      <c r="G79" s="152">
        <f t="shared" si="193"/>
        <v>0.20922411722315637</v>
      </c>
      <c r="H79" s="152">
        <f t="shared" si="193"/>
        <v>0.28828236749526426</v>
      </c>
      <c r="I79" s="152">
        <f t="shared" si="193"/>
        <v>0.2696755807402989</v>
      </c>
      <c r="J79" s="152">
        <f t="shared" si="193"/>
        <v>0.27990717990717989</v>
      </c>
      <c r="K79" s="152">
        <f t="shared" si="193"/>
        <v>0.28291673683450813</v>
      </c>
      <c r="L79" s="152">
        <f t="shared" si="193"/>
        <v>0.22647027880063125</v>
      </c>
      <c r="M79" s="152">
        <f t="shared" si="193"/>
        <v>0.28862939602819709</v>
      </c>
      <c r="N79" s="152">
        <f t="shared" si="193"/>
        <v>0.26136306648167029</v>
      </c>
      <c r="O79" s="152">
        <f t="shared" si="193"/>
        <v>0.21974110502535196</v>
      </c>
      <c r="P79" s="152">
        <f t="shared" si="193"/>
        <v>0.24156340177712426</v>
      </c>
      <c r="Q79" s="118">
        <f t="shared" ref="Q79:Q122" si="194">((P79/G79)^(1/($H$2-$H$1) ))-1</f>
        <v>1.6097746253011191E-2</v>
      </c>
      <c r="R79" s="152"/>
      <c r="S79" s="152">
        <f t="shared" ref="S79:AB79" si="195">S36/S25</f>
        <v>0.24156340177712426</v>
      </c>
      <c r="T79" s="152">
        <f t="shared" si="195"/>
        <v>0.24156340177712426</v>
      </c>
      <c r="U79" s="152">
        <f t="shared" si="195"/>
        <v>0.24156340177712426</v>
      </c>
      <c r="V79" s="152">
        <f t="shared" si="195"/>
        <v>0.24156340177712426</v>
      </c>
      <c r="W79" s="152">
        <f t="shared" si="195"/>
        <v>0.24156340177712426</v>
      </c>
      <c r="X79" s="152">
        <f t="shared" si="195"/>
        <v>0.24156340177712424</v>
      </c>
      <c r="Y79" s="152">
        <f t="shared" si="195"/>
        <v>0.24156340177712424</v>
      </c>
      <c r="Z79" s="152">
        <f t="shared" si="195"/>
        <v>0.24156340177712424</v>
      </c>
      <c r="AA79" s="152">
        <f t="shared" si="195"/>
        <v>0.24156340177712426</v>
      </c>
      <c r="AB79" s="152">
        <f t="shared" si="195"/>
        <v>0.24156340177712426</v>
      </c>
      <c r="AC79" s="138">
        <f t="shared" ref="AC79:AC109" si="196">((AB79/G79)^(1/($AB$3-$H$1) ))-1</f>
        <v>7.5932076749272159E-3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7">E38/E25</f>
        <v>#DIV/0!</v>
      </c>
      <c r="F80" s="152">
        <f t="shared" si="197"/>
        <v>0.18544033725772455</v>
      </c>
      <c r="G80" s="152">
        <f t="shared" si="197"/>
        <v>0.21058531507726799</v>
      </c>
      <c r="H80" s="152">
        <f t="shared" si="197"/>
        <v>0.22530637491784899</v>
      </c>
      <c r="I80" s="152">
        <f t="shared" si="197"/>
        <v>0.19352486993405574</v>
      </c>
      <c r="J80" s="152">
        <f t="shared" si="197"/>
        <v>0.18831558831558831</v>
      </c>
      <c r="K80" s="152">
        <f t="shared" si="197"/>
        <v>0.17968580845382154</v>
      </c>
      <c r="L80" s="152">
        <f t="shared" si="197"/>
        <v>0.17026827985270909</v>
      </c>
      <c r="M80" s="152">
        <f t="shared" si="197"/>
        <v>0.17256058268731328</v>
      </c>
      <c r="N80" s="152">
        <f t="shared" si="197"/>
        <v>0.15626619414586851</v>
      </c>
      <c r="O80" s="152">
        <f t="shared" si="197"/>
        <v>0.14258110444421845</v>
      </c>
      <c r="P80" s="152">
        <f t="shared" si="197"/>
        <v>0.17350541674553033</v>
      </c>
      <c r="Q80" s="118">
        <f t="shared" si="194"/>
        <v>-2.129031973946427E-2</v>
      </c>
      <c r="R80" s="152"/>
      <c r="S80" s="152">
        <f t="shared" ref="S80:AB80" si="198">S38/S25</f>
        <v>0.17350541674553033</v>
      </c>
      <c r="T80" s="152">
        <f t="shared" si="198"/>
        <v>0.17350541674553033</v>
      </c>
      <c r="U80" s="152">
        <f t="shared" si="198"/>
        <v>0.1735054167455303</v>
      </c>
      <c r="V80" s="152">
        <f t="shared" si="198"/>
        <v>0.1735054167455303</v>
      </c>
      <c r="W80" s="152">
        <f t="shared" si="198"/>
        <v>0.1735054167455303</v>
      </c>
      <c r="X80" s="152">
        <f t="shared" si="198"/>
        <v>0.17350541674553027</v>
      </c>
      <c r="Y80" s="152">
        <f t="shared" si="198"/>
        <v>0.17350541674553027</v>
      </c>
      <c r="Z80" s="152">
        <f t="shared" si="198"/>
        <v>0.17350541674553027</v>
      </c>
      <c r="AA80" s="152">
        <f t="shared" si="198"/>
        <v>0.1735054167455303</v>
      </c>
      <c r="AB80" s="152">
        <f t="shared" si="198"/>
        <v>0.1735054167455303</v>
      </c>
      <c r="AC80" s="138">
        <f t="shared" si="196"/>
        <v>-1.0142011448389554E-2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199">E38/E7</f>
        <v>#DIV/0!</v>
      </c>
      <c r="F81" s="152">
        <f t="shared" si="199"/>
        <v>0.11446433104848946</v>
      </c>
      <c r="G81" s="152">
        <f>G38/G7</f>
        <v>0.14640391894900914</v>
      </c>
      <c r="H81" s="152">
        <f t="shared" si="199"/>
        <v>0.139402492405578</v>
      </c>
      <c r="I81" s="152">
        <f t="shared" si="199"/>
        <v>0.12977777777777777</v>
      </c>
      <c r="J81" s="152">
        <f t="shared" si="199"/>
        <v>0.14160781737559533</v>
      </c>
      <c r="K81" s="152">
        <f t="shared" si="199"/>
        <v>0.14129242177745829</v>
      </c>
      <c r="L81" s="152">
        <f t="shared" si="199"/>
        <v>0.14095841970491405</v>
      </c>
      <c r="M81" s="152">
        <f t="shared" si="199"/>
        <v>0.14183907676997898</v>
      </c>
      <c r="N81" s="152">
        <f t="shared" si="199"/>
        <v>0.13730703133032712</v>
      </c>
      <c r="O81" s="152">
        <f t="shared" si="199"/>
        <v>0.13190505631569044</v>
      </c>
      <c r="P81" s="152">
        <f t="shared" ref="P81" si="200">P38/P7</f>
        <v>0.15492457929160108</v>
      </c>
      <c r="Q81" s="118">
        <f t="shared" si="194"/>
        <v>6.3052441473248066E-3</v>
      </c>
      <c r="R81" s="20"/>
      <c r="S81" s="152">
        <f t="shared" ref="S81" si="201">S38/S7</f>
        <v>0.15492457929160108</v>
      </c>
      <c r="T81" s="152">
        <f t="shared" ref="T81:AB81" si="202">T38/T7</f>
        <v>0.15492457929160108</v>
      </c>
      <c r="U81" s="152">
        <f t="shared" si="202"/>
        <v>0.15492457929160106</v>
      </c>
      <c r="V81" s="152">
        <f t="shared" si="202"/>
        <v>0.15492457929160106</v>
      </c>
      <c r="W81" s="152">
        <f t="shared" si="202"/>
        <v>0.15492457929160106</v>
      </c>
      <c r="X81" s="152">
        <f t="shared" si="202"/>
        <v>0.15492457929160103</v>
      </c>
      <c r="Y81" s="152">
        <f t="shared" si="202"/>
        <v>0.15492457929160106</v>
      </c>
      <c r="Z81" s="152">
        <f t="shared" si="202"/>
        <v>0.15492457929160106</v>
      </c>
      <c r="AA81" s="152">
        <f t="shared" si="202"/>
        <v>0.15492457929160106</v>
      </c>
      <c r="AB81" s="152">
        <f t="shared" si="202"/>
        <v>0.15492457929160106</v>
      </c>
      <c r="AC81" s="138">
        <f t="shared" si="196"/>
        <v>2.9817546837624942E-3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203">(E38)/(E7+E10)</f>
        <v>#DIV/0!</v>
      </c>
      <c r="F82" s="152">
        <f t="shared" si="203"/>
        <v>8.0596147830361536E-2</v>
      </c>
      <c r="G82" s="152">
        <f>(G38)/(G7+G10)</f>
        <v>0.10205863520828887</v>
      </c>
      <c r="H82" s="152">
        <f t="shared" ref="H82:O82" si="204">(H38)/(H7+H10)</f>
        <v>9.8036906824566422E-2</v>
      </c>
      <c r="I82" s="152">
        <f t="shared" si="204"/>
        <v>8.5983510011778563E-2</v>
      </c>
      <c r="J82" s="152">
        <f t="shared" si="204"/>
        <v>9.0302141697648844E-2</v>
      </c>
      <c r="K82" s="152">
        <f t="shared" si="204"/>
        <v>8.8072637226578626E-2</v>
      </c>
      <c r="L82" s="152">
        <f t="shared" si="204"/>
        <v>8.2694626688740364E-2</v>
      </c>
      <c r="M82" s="152">
        <f t="shared" si="204"/>
        <v>8.177712794506857E-2</v>
      </c>
      <c r="N82" s="152">
        <f t="shared" si="204"/>
        <v>7.8101762887459264E-2</v>
      </c>
      <c r="O82" s="152">
        <f t="shared" si="204"/>
        <v>7.5011082746075181E-2</v>
      </c>
      <c r="P82" s="152">
        <f t="shared" ref="P82" si="205">(P38)/(P7+P10)</f>
        <v>8.5017624670972819E-2</v>
      </c>
      <c r="Q82" s="118">
        <f t="shared" si="194"/>
        <v>-2.0094135713376593E-2</v>
      </c>
      <c r="R82" s="20"/>
      <c r="S82" s="152">
        <f t="shared" ref="S82:AB82" si="206">(S38)/(S7+S10)</f>
        <v>8.5017624670972805E-2</v>
      </c>
      <c r="T82" s="152">
        <f t="shared" si="206"/>
        <v>8.5017624670972805E-2</v>
      </c>
      <c r="U82" s="152">
        <f t="shared" si="206"/>
        <v>8.5017624670972791E-2</v>
      </c>
      <c r="V82" s="152">
        <f t="shared" si="206"/>
        <v>8.5017624670972805E-2</v>
      </c>
      <c r="W82" s="152">
        <f t="shared" si="206"/>
        <v>8.5017624670972805E-2</v>
      </c>
      <c r="X82" s="152">
        <f t="shared" si="206"/>
        <v>8.5017624670972791E-2</v>
      </c>
      <c r="Y82" s="152">
        <f t="shared" si="206"/>
        <v>8.5017624670972791E-2</v>
      </c>
      <c r="Z82" s="152">
        <f t="shared" si="206"/>
        <v>8.5017624670972805E-2</v>
      </c>
      <c r="AA82" s="152">
        <f t="shared" si="206"/>
        <v>8.5017624670972805E-2</v>
      </c>
      <c r="AB82" s="152">
        <f t="shared" si="206"/>
        <v>8.5017624670972805E-2</v>
      </c>
      <c r="AC82" s="138">
        <f t="shared" si="196"/>
        <v>-9.569127971593927E-3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0.22996236688285693</v>
      </c>
      <c r="H83" s="152">
        <f t="shared" ref="H83:P83" si="207">H20/H25</f>
        <v>0.1951134650326671</v>
      </c>
      <c r="I83" s="152">
        <f t="shared" si="207"/>
        <v>0.20565331212512841</v>
      </c>
      <c r="J83" s="152">
        <f t="shared" si="207"/>
        <v>0.22017472017472017</v>
      </c>
      <c r="K83" s="152">
        <f t="shared" si="207"/>
        <v>0.24468929679794069</v>
      </c>
      <c r="L83" s="152">
        <f t="shared" si="207"/>
        <v>0.20385060494476592</v>
      </c>
      <c r="M83" s="152">
        <f t="shared" si="207"/>
        <v>0.20686961785553884</v>
      </c>
      <c r="N83" s="152">
        <f t="shared" si="207"/>
        <v>0.18546998545661222</v>
      </c>
      <c r="O83" s="152">
        <f t="shared" si="207"/>
        <v>0.20144992808472925</v>
      </c>
      <c r="P83" s="152">
        <f t="shared" si="207"/>
        <v>0.19299486537160676</v>
      </c>
      <c r="Q83" s="118">
        <f t="shared" si="194"/>
        <v>-1.9284090712956115E-2</v>
      </c>
      <c r="R83" s="20"/>
      <c r="S83" s="152">
        <f t="shared" ref="S83:AB83" si="208">S20/S25</f>
        <v>0.19299486537160679</v>
      </c>
      <c r="T83" s="152">
        <f t="shared" si="208"/>
        <v>0.19299486537160679</v>
      </c>
      <c r="U83" s="152">
        <f t="shared" si="208"/>
        <v>0.19299486537160679</v>
      </c>
      <c r="V83" s="152">
        <f t="shared" si="208"/>
        <v>0.19299486537160676</v>
      </c>
      <c r="W83" s="152">
        <f t="shared" si="208"/>
        <v>0.19299486537160676</v>
      </c>
      <c r="X83" s="152">
        <f t="shared" si="208"/>
        <v>0.19299486537160676</v>
      </c>
      <c r="Y83" s="152">
        <f t="shared" si="208"/>
        <v>0.19299486537160673</v>
      </c>
      <c r="Z83" s="152">
        <f t="shared" si="208"/>
        <v>0.19299486537160676</v>
      </c>
      <c r="AA83" s="152">
        <f t="shared" si="208"/>
        <v>0.19299486537160676</v>
      </c>
      <c r="AB83" s="152">
        <f t="shared" si="208"/>
        <v>0.19299486537160676</v>
      </c>
      <c r="AC83" s="138">
        <f t="shared" si="196"/>
        <v>-9.1813854599078759E-3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0</v>
      </c>
      <c r="H85" s="152">
        <f t="shared" ref="H85:P85" si="209">H29/H25</f>
        <v>0</v>
      </c>
      <c r="I85" s="152">
        <f t="shared" si="209"/>
        <v>0</v>
      </c>
      <c r="J85" s="152">
        <f t="shared" si="209"/>
        <v>0</v>
      </c>
      <c r="K85" s="152">
        <f t="shared" si="209"/>
        <v>0</v>
      </c>
      <c r="L85" s="152">
        <f t="shared" si="209"/>
        <v>0</v>
      </c>
      <c r="M85" s="152">
        <f t="shared" si="209"/>
        <v>0</v>
      </c>
      <c r="N85" s="152">
        <f t="shared" si="209"/>
        <v>0</v>
      </c>
      <c r="O85" s="152">
        <f t="shared" si="209"/>
        <v>0</v>
      </c>
      <c r="P85" s="152">
        <f t="shared" si="209"/>
        <v>0</v>
      </c>
      <c r="Q85" s="118" t="e">
        <f t="shared" si="194"/>
        <v>#DIV/0!</v>
      </c>
      <c r="R85" s="20"/>
      <c r="S85" s="152">
        <f t="shared" ref="S85:AB85" si="210">S29/S25</f>
        <v>0</v>
      </c>
      <c r="T85" s="152">
        <f t="shared" si="210"/>
        <v>0</v>
      </c>
      <c r="U85" s="152">
        <f t="shared" si="210"/>
        <v>0</v>
      </c>
      <c r="V85" s="152">
        <f t="shared" si="210"/>
        <v>0</v>
      </c>
      <c r="W85" s="152">
        <f t="shared" si="210"/>
        <v>0</v>
      </c>
      <c r="X85" s="152">
        <f t="shared" si="210"/>
        <v>0</v>
      </c>
      <c r="Y85" s="152">
        <f t="shared" si="210"/>
        <v>0</v>
      </c>
      <c r="Z85" s="152">
        <f t="shared" si="210"/>
        <v>0</v>
      </c>
      <c r="AA85" s="152">
        <f t="shared" si="210"/>
        <v>0</v>
      </c>
      <c r="AB85" s="152">
        <f t="shared" si="210"/>
        <v>0</v>
      </c>
      <c r="AC85" s="138" t="e">
        <f t="shared" si="196"/>
        <v>#DIV/0!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0</v>
      </c>
      <c r="H86" s="152">
        <f t="shared" ref="H86:P86" si="211">H29/H36</f>
        <v>0</v>
      </c>
      <c r="I86" s="152">
        <f t="shared" si="211"/>
        <v>0</v>
      </c>
      <c r="J86" s="152">
        <f t="shared" si="211"/>
        <v>0</v>
      </c>
      <c r="K86" s="152">
        <f t="shared" si="211"/>
        <v>0</v>
      </c>
      <c r="L86" s="152">
        <f t="shared" si="211"/>
        <v>0</v>
      </c>
      <c r="M86" s="152">
        <f t="shared" si="211"/>
        <v>0</v>
      </c>
      <c r="N86" s="152">
        <f t="shared" si="211"/>
        <v>0</v>
      </c>
      <c r="O86" s="152">
        <f t="shared" si="211"/>
        <v>0</v>
      </c>
      <c r="P86" s="152">
        <f t="shared" si="211"/>
        <v>0</v>
      </c>
      <c r="Q86" s="118" t="e">
        <f t="shared" ref="Q86" si="212">((P86/G86)^(1/($H$2-$H$1) ))-1</f>
        <v>#DIV/0!</v>
      </c>
      <c r="R86" s="20"/>
      <c r="S86" s="152">
        <f t="shared" ref="S86:AB86" si="213">S29/S36</f>
        <v>0</v>
      </c>
      <c r="T86" s="152">
        <f t="shared" si="213"/>
        <v>0</v>
      </c>
      <c r="U86" s="152">
        <f t="shared" si="213"/>
        <v>0</v>
      </c>
      <c r="V86" s="152">
        <f t="shared" si="213"/>
        <v>0</v>
      </c>
      <c r="W86" s="152">
        <f t="shared" si="213"/>
        <v>0</v>
      </c>
      <c r="X86" s="152">
        <f t="shared" si="213"/>
        <v>0</v>
      </c>
      <c r="Y86" s="152">
        <f t="shared" si="213"/>
        <v>0</v>
      </c>
      <c r="Z86" s="152">
        <f t="shared" si="213"/>
        <v>0</v>
      </c>
      <c r="AA86" s="152">
        <f t="shared" si="213"/>
        <v>0</v>
      </c>
      <c r="AB86" s="152">
        <f t="shared" si="213"/>
        <v>0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5">G29/G38</f>
        <v>0</v>
      </c>
      <c r="H87" s="171">
        <f t="shared" si="215"/>
        <v>0</v>
      </c>
      <c r="I87" s="171">
        <f t="shared" si="215"/>
        <v>0</v>
      </c>
      <c r="J87" s="171">
        <f t="shared" si="215"/>
        <v>0</v>
      </c>
      <c r="K87" s="171">
        <f t="shared" si="215"/>
        <v>0</v>
      </c>
      <c r="L87" s="171">
        <f t="shared" si="215"/>
        <v>0</v>
      </c>
      <c r="M87" s="171">
        <f t="shared" si="215"/>
        <v>0</v>
      </c>
      <c r="N87" s="171">
        <f t="shared" si="215"/>
        <v>0</v>
      </c>
      <c r="O87" s="171">
        <f t="shared" si="215"/>
        <v>0</v>
      </c>
      <c r="P87" s="171">
        <f t="shared" si="215"/>
        <v>0</v>
      </c>
      <c r="Q87" s="118" t="e">
        <f t="shared" ref="Q87" si="216">((P87/G87)^(1/($H$2-$H$1) ))-1</f>
        <v>#DIV/0!</v>
      </c>
      <c r="R87" s="20"/>
      <c r="S87" s="171">
        <f t="shared" ref="S87:AB87" si="217">S29/S38</f>
        <v>0</v>
      </c>
      <c r="T87" s="171">
        <f t="shared" si="217"/>
        <v>0</v>
      </c>
      <c r="U87" s="171">
        <f t="shared" si="217"/>
        <v>0</v>
      </c>
      <c r="V87" s="171">
        <f t="shared" si="217"/>
        <v>0</v>
      </c>
      <c r="W87" s="171">
        <f t="shared" si="217"/>
        <v>0</v>
      </c>
      <c r="X87" s="171">
        <f t="shared" si="217"/>
        <v>0</v>
      </c>
      <c r="Y87" s="171">
        <f t="shared" si="217"/>
        <v>0</v>
      </c>
      <c r="Z87" s="171">
        <f t="shared" si="217"/>
        <v>0</v>
      </c>
      <c r="AA87" s="171">
        <f t="shared" si="217"/>
        <v>0</v>
      </c>
      <c r="AB87" s="171">
        <f t="shared" si="217"/>
        <v>0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19">G29/G12</f>
        <v>0</v>
      </c>
      <c r="H88" s="171">
        <f t="shared" si="219"/>
        <v>0</v>
      </c>
      <c r="I88" s="171">
        <f t="shared" si="219"/>
        <v>0</v>
      </c>
      <c r="J88" s="171">
        <f t="shared" si="219"/>
        <v>0</v>
      </c>
      <c r="K88" s="171">
        <f t="shared" si="219"/>
        <v>0</v>
      </c>
      <c r="L88" s="171">
        <f t="shared" si="219"/>
        <v>0</v>
      </c>
      <c r="M88" s="171">
        <f t="shared" si="219"/>
        <v>0</v>
      </c>
      <c r="N88" s="171">
        <f t="shared" si="219"/>
        <v>0</v>
      </c>
      <c r="O88" s="171">
        <f t="shared" si="219"/>
        <v>0</v>
      </c>
      <c r="P88" s="171">
        <f t="shared" si="219"/>
        <v>0</v>
      </c>
      <c r="Q88" s="118" t="e">
        <f t="shared" si="194"/>
        <v>#DIV/0!</v>
      </c>
      <c r="R88" s="20"/>
      <c r="S88" s="152">
        <f t="shared" ref="S88:AB88" si="220">S29/S12</f>
        <v>0</v>
      </c>
      <c r="T88" s="152">
        <f t="shared" si="220"/>
        <v>0</v>
      </c>
      <c r="U88" s="152">
        <f t="shared" si="220"/>
        <v>0</v>
      </c>
      <c r="V88" s="152">
        <f t="shared" si="220"/>
        <v>0</v>
      </c>
      <c r="W88" s="152">
        <f t="shared" si="220"/>
        <v>0</v>
      </c>
      <c r="X88" s="152">
        <f t="shared" si="220"/>
        <v>0</v>
      </c>
      <c r="Y88" s="152">
        <f t="shared" si="220"/>
        <v>0</v>
      </c>
      <c r="Z88" s="152">
        <f t="shared" si="220"/>
        <v>0</v>
      </c>
      <c r="AA88" s="152">
        <f t="shared" si="220"/>
        <v>0</v>
      </c>
      <c r="AB88" s="152">
        <f t="shared" si="220"/>
        <v>0</v>
      </c>
      <c r="AC88" s="138" t="e">
        <f t="shared" si="196"/>
        <v>#DIV/0!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0</v>
      </c>
      <c r="H89" s="171">
        <f t="shared" ref="H89:P89" si="221">H29/H23</f>
        <v>0</v>
      </c>
      <c r="I89" s="171">
        <f t="shared" si="221"/>
        <v>0</v>
      </c>
      <c r="J89" s="171">
        <f t="shared" si="221"/>
        <v>0</v>
      </c>
      <c r="K89" s="171">
        <f t="shared" si="221"/>
        <v>0</v>
      </c>
      <c r="L89" s="171">
        <f t="shared" si="221"/>
        <v>0</v>
      </c>
      <c r="M89" s="171">
        <f t="shared" si="221"/>
        <v>0</v>
      </c>
      <c r="N89" s="171">
        <f t="shared" si="221"/>
        <v>0</v>
      </c>
      <c r="O89" s="171">
        <f t="shared" si="221"/>
        <v>0</v>
      </c>
      <c r="P89" s="171">
        <f t="shared" si="221"/>
        <v>0</v>
      </c>
      <c r="Q89" s="118" t="e">
        <f t="shared" ref="Q89" si="222">((P89/G89)^(1/($H$2-$H$1) ))-1</f>
        <v>#DIV/0!</v>
      </c>
      <c r="R89" s="20"/>
      <c r="S89" s="171">
        <f t="shared" ref="S89:AB89" si="223">S29/S23</f>
        <v>0</v>
      </c>
      <c r="T89" s="171">
        <f t="shared" si="223"/>
        <v>0</v>
      </c>
      <c r="U89" s="171">
        <f t="shared" si="223"/>
        <v>0</v>
      </c>
      <c r="V89" s="171">
        <f t="shared" si="223"/>
        <v>0</v>
      </c>
      <c r="W89" s="171">
        <f t="shared" si="223"/>
        <v>0</v>
      </c>
      <c r="X89" s="171">
        <f t="shared" si="223"/>
        <v>0</v>
      </c>
      <c r="Y89" s="171">
        <f t="shared" si="223"/>
        <v>0</v>
      </c>
      <c r="Z89" s="171">
        <f t="shared" si="223"/>
        <v>0</v>
      </c>
      <c r="AA89" s="171">
        <f t="shared" si="223"/>
        <v>0</v>
      </c>
      <c r="AB89" s="171">
        <f t="shared" si="223"/>
        <v>0</v>
      </c>
      <c r="AC89" s="138" t="e">
        <f t="shared" ref="AC89" si="224">((AB89/G89)^(1/($AB$3-$H$1) ))-1</f>
        <v>#DIV/0!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 t="shared" ref="F91:O91" si="225">F10-(F12+F13)</f>
        <v>9030</v>
      </c>
      <c r="G91" s="163">
        <f t="shared" si="225"/>
        <v>-2336</v>
      </c>
      <c r="H91" s="163">
        <f t="shared" si="225"/>
        <v>-9214</v>
      </c>
      <c r="I91" s="163">
        <f t="shared" si="225"/>
        <v>-4278</v>
      </c>
      <c r="J91" s="163">
        <f t="shared" si="225"/>
        <v>-1164</v>
      </c>
      <c r="K91" s="163">
        <f t="shared" si="225"/>
        <v>3136</v>
      </c>
      <c r="L91" s="163">
        <f t="shared" si="225"/>
        <v>11500</v>
      </c>
      <c r="M91" s="163">
        <f t="shared" si="225"/>
        <v>17930</v>
      </c>
      <c r="N91" s="163">
        <f t="shared" si="225"/>
        <v>25392</v>
      </c>
      <c r="O91" s="163">
        <f t="shared" si="225"/>
        <v>31796</v>
      </c>
      <c r="P91" s="163">
        <f>P10-(P12+P13)</f>
        <v>41063.410000000003</v>
      </c>
      <c r="Q91" s="118">
        <f t="shared" si="194"/>
        <v>-2.375090724317436</v>
      </c>
      <c r="R91" s="20"/>
      <c r="S91" s="163">
        <f>S10-(S12+S13)</f>
        <v>44348.482800000005</v>
      </c>
      <c r="T91" s="163">
        <f t="shared" ref="T91:AB91" si="226">T10-(T12+T13)</f>
        <v>47896.36142400001</v>
      </c>
      <c r="U91" s="163">
        <f t="shared" si="226"/>
        <v>51728.070337920013</v>
      </c>
      <c r="V91" s="163">
        <f t="shared" si="226"/>
        <v>55866.31596495361</v>
      </c>
      <c r="W91" s="163">
        <f t="shared" si="226"/>
        <v>60335.621242149908</v>
      </c>
      <c r="X91" s="163">
        <f t="shared" si="226"/>
        <v>65162.470941521911</v>
      </c>
      <c r="Y91" s="163">
        <f t="shared" si="226"/>
        <v>70375.46861684366</v>
      </c>
      <c r="Z91" s="163">
        <f t="shared" si="226"/>
        <v>76005.506106191169</v>
      </c>
      <c r="AA91" s="163">
        <f t="shared" si="226"/>
        <v>82085.946594686451</v>
      </c>
      <c r="AB91" s="163">
        <f t="shared" si="226"/>
        <v>88652.822322261374</v>
      </c>
      <c r="AC91" s="138">
        <f t="shared" si="196"/>
        <v>-2.2109238353957088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7">G38/G18</f>
        <v>0.24858223062381851</v>
      </c>
      <c r="H92" s="152">
        <f t="shared" si="227"/>
        <v>0.26031802751474004</v>
      </c>
      <c r="I92" s="152">
        <f t="shared" si="227"/>
        <v>0.25111799105607158</v>
      </c>
      <c r="J92" s="152">
        <f t="shared" si="227"/>
        <v>0.2678418886386581</v>
      </c>
      <c r="K92" s="152">
        <f t="shared" si="227"/>
        <v>0.26651204281891167</v>
      </c>
      <c r="L92" s="152">
        <f t="shared" si="227"/>
        <v>0.23601469987750101</v>
      </c>
      <c r="M92" s="152">
        <f t="shared" si="227"/>
        <v>0.22889038541234977</v>
      </c>
      <c r="N92" s="152">
        <f t="shared" si="227"/>
        <v>0.20934763621705149</v>
      </c>
      <c r="O92" s="152">
        <f t="shared" si="227"/>
        <v>0.19192709351898932</v>
      </c>
      <c r="P92" s="152">
        <f t="shared" si="227"/>
        <v>0.22884036363636362</v>
      </c>
      <c r="Q92" s="118">
        <f t="shared" si="194"/>
        <v>-9.1521991319282181E-3</v>
      </c>
      <c r="R92" s="20"/>
      <c r="S92" s="152">
        <f t="shared" ref="S92:AB92" si="228">S38/S18</f>
        <v>0.22884036363636359</v>
      </c>
      <c r="T92" s="152">
        <f t="shared" si="228"/>
        <v>0.22884036363636359</v>
      </c>
      <c r="U92" s="152">
        <f t="shared" si="228"/>
        <v>0.22884036363636359</v>
      </c>
      <c r="V92" s="152">
        <f t="shared" si="228"/>
        <v>0.22884036363636356</v>
      </c>
      <c r="W92" s="152">
        <f t="shared" si="228"/>
        <v>0.22884036363636356</v>
      </c>
      <c r="X92" s="152">
        <f t="shared" si="228"/>
        <v>0.22884036363636354</v>
      </c>
      <c r="Y92" s="152">
        <f t="shared" si="228"/>
        <v>0.22884036363636354</v>
      </c>
      <c r="Z92" s="152">
        <f t="shared" si="228"/>
        <v>0.22884036363636354</v>
      </c>
      <c r="AA92" s="152">
        <f t="shared" si="228"/>
        <v>0.22884036363636356</v>
      </c>
      <c r="AB92" s="152">
        <f t="shared" si="228"/>
        <v>0.22884036363636356</v>
      </c>
      <c r="AC92" s="138">
        <f t="shared" si="196"/>
        <v>-4.3457424620112484E-3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29">G38/G25</f>
        <v>0.21058531507726799</v>
      </c>
      <c r="H93" s="152">
        <f t="shared" si="229"/>
        <v>0.22530637491784899</v>
      </c>
      <c r="I93" s="152">
        <f t="shared" si="229"/>
        <v>0.19352486993405574</v>
      </c>
      <c r="J93" s="152">
        <f t="shared" si="229"/>
        <v>0.18831558831558831</v>
      </c>
      <c r="K93" s="152">
        <f t="shared" si="229"/>
        <v>0.17968580845382154</v>
      </c>
      <c r="L93" s="152">
        <f t="shared" si="229"/>
        <v>0.17026827985270909</v>
      </c>
      <c r="M93" s="152">
        <f t="shared" si="229"/>
        <v>0.17256058268731328</v>
      </c>
      <c r="N93" s="152">
        <f t="shared" si="229"/>
        <v>0.15626619414586851</v>
      </c>
      <c r="O93" s="152">
        <f t="shared" si="229"/>
        <v>0.14258110444421845</v>
      </c>
      <c r="P93" s="152">
        <f t="shared" si="229"/>
        <v>0.17350541674553033</v>
      </c>
      <c r="Q93" s="118">
        <f t="shared" si="194"/>
        <v>-2.129031973946427E-2</v>
      </c>
      <c r="R93" s="20"/>
      <c r="S93" s="152">
        <f t="shared" ref="S93:AB93" si="230">S38/S25</f>
        <v>0.17350541674553033</v>
      </c>
      <c r="T93" s="152">
        <f t="shared" si="230"/>
        <v>0.17350541674553033</v>
      </c>
      <c r="U93" s="152">
        <f t="shared" si="230"/>
        <v>0.1735054167455303</v>
      </c>
      <c r="V93" s="152">
        <f t="shared" si="230"/>
        <v>0.1735054167455303</v>
      </c>
      <c r="W93" s="152">
        <f t="shared" si="230"/>
        <v>0.1735054167455303</v>
      </c>
      <c r="X93" s="152">
        <f t="shared" si="230"/>
        <v>0.17350541674553027</v>
      </c>
      <c r="Y93" s="152">
        <f t="shared" si="230"/>
        <v>0.17350541674553027</v>
      </c>
      <c r="Z93" s="152">
        <f t="shared" si="230"/>
        <v>0.17350541674553027</v>
      </c>
      <c r="AA93" s="152">
        <f t="shared" si="230"/>
        <v>0.1735054167455303</v>
      </c>
      <c r="AB93" s="152">
        <f t="shared" si="230"/>
        <v>0.1735054167455303</v>
      </c>
      <c r="AC93" s="138">
        <f t="shared" si="196"/>
        <v>-1.0142011448389554E-2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1">G25/G18</f>
        <v>1.1804347826086956</v>
      </c>
      <c r="H94" s="152">
        <f t="shared" si="231"/>
        <v>1.1553957477219938</v>
      </c>
      <c r="I94" s="152">
        <f t="shared" si="231"/>
        <v>1.2976006191950464</v>
      </c>
      <c r="J94" s="152">
        <f t="shared" si="231"/>
        <v>1.4223033315213172</v>
      </c>
      <c r="K94" s="152">
        <f t="shared" si="231"/>
        <v>1.4832114183764495</v>
      </c>
      <c r="L94" s="152">
        <f t="shared" si="231"/>
        <v>1.3861342822143148</v>
      </c>
      <c r="M94" s="152">
        <f t="shared" si="231"/>
        <v>1.3264349357646084</v>
      </c>
      <c r="N94" s="152">
        <f t="shared" si="231"/>
        <v>1.3396860233354981</v>
      </c>
      <c r="O94" s="152">
        <f t="shared" si="231"/>
        <v>1.3460906637462353</v>
      </c>
      <c r="P94" s="152">
        <f>P25/P18</f>
        <v>1.3189234545454547</v>
      </c>
      <c r="Q94" s="118">
        <f t="shared" si="194"/>
        <v>1.2402166702085493E-2</v>
      </c>
      <c r="R94" s="20"/>
      <c r="S94" s="152">
        <f>S25/S18</f>
        <v>1.3189234545454545</v>
      </c>
      <c r="T94" s="152">
        <f t="shared" ref="T94:AB94" si="232">T25/T18</f>
        <v>1.3189234545454545</v>
      </c>
      <c r="U94" s="152">
        <f t="shared" si="232"/>
        <v>1.3189234545454545</v>
      </c>
      <c r="V94" s="152">
        <f t="shared" si="232"/>
        <v>1.3189234545454545</v>
      </c>
      <c r="W94" s="152">
        <f t="shared" si="232"/>
        <v>1.3189234545454545</v>
      </c>
      <c r="X94" s="152">
        <f t="shared" si="232"/>
        <v>1.3189234545454545</v>
      </c>
      <c r="Y94" s="152">
        <f t="shared" si="232"/>
        <v>1.3189234545454545</v>
      </c>
      <c r="Z94" s="152">
        <f t="shared" si="232"/>
        <v>1.3189234545454545</v>
      </c>
      <c r="AA94" s="152">
        <f t="shared" si="232"/>
        <v>1.3189234545454545</v>
      </c>
      <c r="AB94" s="152">
        <f t="shared" si="232"/>
        <v>1.3189234545454545</v>
      </c>
      <c r="AC94" s="138">
        <f t="shared" si="196"/>
        <v>5.8556571280083958E-3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710.71</v>
      </c>
      <c r="G96" s="165">
        <f>G63*G40</f>
        <v>1085.5899999999999</v>
      </c>
      <c r="H96" s="165">
        <f t="shared" ref="H96:P96" si="234">H63*H40</f>
        <v>1978.8959999999997</v>
      </c>
      <c r="I96" s="165">
        <f t="shared" si="234"/>
        <v>2308.7119999999995</v>
      </c>
      <c r="J96" s="165">
        <f t="shared" si="234"/>
        <v>2638.5280000000002</v>
      </c>
      <c r="K96" s="165">
        <f t="shared" si="234"/>
        <v>2885.89</v>
      </c>
      <c r="L96" s="165">
        <f t="shared" si="234"/>
        <v>2968.3440000000001</v>
      </c>
      <c r="M96" s="165">
        <f t="shared" si="234"/>
        <v>3133.2519999999995</v>
      </c>
      <c r="N96" s="165">
        <f t="shared" si="234"/>
        <v>3133.2519999999995</v>
      </c>
      <c r="O96" s="165">
        <f t="shared" si="234"/>
        <v>3298.16</v>
      </c>
      <c r="P96" s="165">
        <f t="shared" si="234"/>
        <v>3092.0249999999996</v>
      </c>
      <c r="Q96" s="118">
        <f t="shared" si="194"/>
        <v>0.12333314571278331</v>
      </c>
      <c r="R96" s="20"/>
      <c r="S96" s="165">
        <f t="shared" ref="S96:AB96" si="235">S63*S40</f>
        <v>3246.6262499999998</v>
      </c>
      <c r="T96" s="165">
        <f t="shared" si="235"/>
        <v>3408.9575625000002</v>
      </c>
      <c r="U96" s="165">
        <f t="shared" si="235"/>
        <v>3579.4054406250002</v>
      </c>
      <c r="V96" s="165">
        <f t="shared" si="235"/>
        <v>3758.3757126562505</v>
      </c>
      <c r="W96" s="165">
        <f t="shared" si="235"/>
        <v>3946.2944982890631</v>
      </c>
      <c r="X96" s="165">
        <f t="shared" si="235"/>
        <v>4143.6092232035162</v>
      </c>
      <c r="Y96" s="165">
        <f t="shared" si="235"/>
        <v>4350.7896843636918</v>
      </c>
      <c r="Z96" s="165">
        <f t="shared" si="235"/>
        <v>4568.3291685818767</v>
      </c>
      <c r="AA96" s="165">
        <f t="shared" si="235"/>
        <v>4796.7456270109706</v>
      </c>
      <c r="AB96" s="165">
        <f t="shared" si="235"/>
        <v>5036.5829083615199</v>
      </c>
      <c r="AC96" s="138">
        <f t="shared" si="196"/>
        <v>8.41200500871917E-2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831.53070000000002</v>
      </c>
      <c r="G97" s="165">
        <f t="shared" ref="G97:P97" si="236">(G96*0.17)+G96</f>
        <v>1270.1403</v>
      </c>
      <c r="H97" s="165">
        <f t="shared" si="236"/>
        <v>2315.3083199999996</v>
      </c>
      <c r="I97" s="165">
        <f t="shared" si="236"/>
        <v>2701.1930399999997</v>
      </c>
      <c r="J97" s="165">
        <f t="shared" si="236"/>
        <v>3087.0777600000001</v>
      </c>
      <c r="K97" s="165">
        <f t="shared" si="236"/>
        <v>3376.4912999999997</v>
      </c>
      <c r="L97" s="165">
        <f t="shared" si="236"/>
        <v>3472.9624800000001</v>
      </c>
      <c r="M97" s="165">
        <f t="shared" si="236"/>
        <v>3665.9048399999992</v>
      </c>
      <c r="N97" s="165">
        <f t="shared" si="236"/>
        <v>3665.9048399999992</v>
      </c>
      <c r="O97" s="165">
        <f t="shared" si="236"/>
        <v>3858.8471999999997</v>
      </c>
      <c r="P97" s="165">
        <f t="shared" si="236"/>
        <v>3617.6692499999995</v>
      </c>
      <c r="Q97" s="118">
        <f t="shared" si="194"/>
        <v>0.12333314571278331</v>
      </c>
      <c r="R97" s="20"/>
      <c r="S97" s="165">
        <f t="shared" ref="S97:AB97" si="237">(S96*0.17)+S96</f>
        <v>3798.5527124999999</v>
      </c>
      <c r="T97" s="165">
        <f t="shared" si="237"/>
        <v>3988.4803481250001</v>
      </c>
      <c r="U97" s="165">
        <f t="shared" si="237"/>
        <v>4187.9043655312507</v>
      </c>
      <c r="V97" s="165">
        <f t="shared" si="237"/>
        <v>4397.2995838078132</v>
      </c>
      <c r="W97" s="165">
        <f t="shared" si="237"/>
        <v>4617.164562998204</v>
      </c>
      <c r="X97" s="165">
        <f t="shared" si="237"/>
        <v>4848.0227911481143</v>
      </c>
      <c r="Y97" s="165">
        <f t="shared" si="237"/>
        <v>5090.4239307055195</v>
      </c>
      <c r="Z97" s="165">
        <f t="shared" si="237"/>
        <v>5344.945127240796</v>
      </c>
      <c r="AA97" s="165">
        <f t="shared" si="237"/>
        <v>5612.1923836028354</v>
      </c>
      <c r="AB97" s="165">
        <f t="shared" si="237"/>
        <v>5892.802002782978</v>
      </c>
      <c r="AC97" s="138">
        <f t="shared" si="196"/>
        <v>8.41200500871917E-2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>
        <f t="shared" ref="F98:P98" si="238">F97/F38</f>
        <v>0.23053249237593568</v>
      </c>
      <c r="G98" s="152">
        <f t="shared" si="238"/>
        <v>0.24147153992395437</v>
      </c>
      <c r="H98" s="152">
        <f t="shared" si="238"/>
        <v>0.39727321894303358</v>
      </c>
      <c r="I98" s="152">
        <f t="shared" si="238"/>
        <v>0.4625330547945205</v>
      </c>
      <c r="J98" s="152">
        <f t="shared" si="238"/>
        <v>0.44753229341838213</v>
      </c>
      <c r="K98" s="152">
        <f t="shared" si="238"/>
        <v>0.45206738519212741</v>
      </c>
      <c r="L98" s="152">
        <f t="shared" si="238"/>
        <v>0.42918468610973803</v>
      </c>
      <c r="M98" s="152">
        <f t="shared" si="238"/>
        <v>0.41483589906076712</v>
      </c>
      <c r="N98" s="152">
        <f t="shared" si="238"/>
        <v>0.39215926829268283</v>
      </c>
      <c r="O98" s="152">
        <f t="shared" si="238"/>
        <v>0.39319820664357036</v>
      </c>
      <c r="P98" s="152">
        <f t="shared" si="238"/>
        <v>0.28743095623626469</v>
      </c>
      <c r="Q98" s="118">
        <f t="shared" si="194"/>
        <v>1.95476073256593E-2</v>
      </c>
      <c r="R98" s="20"/>
      <c r="S98" s="152">
        <f t="shared" ref="S98:AB98" si="239">S97/S38</f>
        <v>0.27944676300747961</v>
      </c>
      <c r="T98" s="152">
        <f t="shared" si="239"/>
        <v>0.2716843529239385</v>
      </c>
      <c r="U98" s="152">
        <f t="shared" si="239"/>
        <v>0.26413756534271804</v>
      </c>
      <c r="V98" s="152">
        <f t="shared" si="239"/>
        <v>0.2568004107498647</v>
      </c>
      <c r="W98" s="152">
        <f t="shared" si="239"/>
        <v>0.24966706600681293</v>
      </c>
      <c r="X98" s="152">
        <f t="shared" si="239"/>
        <v>0.24273186972884592</v>
      </c>
      <c r="Y98" s="152">
        <f t="shared" si="239"/>
        <v>0.2359893177919335</v>
      </c>
      <c r="Z98" s="152">
        <f t="shared" si="239"/>
        <v>0.22943405896437979</v>
      </c>
      <c r="AA98" s="152">
        <f t="shared" si="239"/>
        <v>0.22306089065981363</v>
      </c>
      <c r="AB98" s="152">
        <f t="shared" si="239"/>
        <v>0.21686475480815218</v>
      </c>
      <c r="AC98" s="138">
        <f t="shared" si="196"/>
        <v>-5.6407524302395373E-3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>
        <f>1-F98</f>
        <v>0.76946750762406435</v>
      </c>
      <c r="G99" s="152">
        <f>1-G98</f>
        <v>0.75852846007604557</v>
      </c>
      <c r="H99" s="152">
        <f t="shared" ref="H99:P99" si="240">1-H98</f>
        <v>0.60272678105696642</v>
      </c>
      <c r="I99" s="152">
        <f t="shared" si="240"/>
        <v>0.53746694520547944</v>
      </c>
      <c r="J99" s="152">
        <f t="shared" si="240"/>
        <v>0.55246770658161792</v>
      </c>
      <c r="K99" s="152">
        <f t="shared" si="240"/>
        <v>0.54793261480787259</v>
      </c>
      <c r="L99" s="152">
        <f t="shared" si="240"/>
        <v>0.57081531389026197</v>
      </c>
      <c r="M99" s="152">
        <f t="shared" si="240"/>
        <v>0.58516410093923288</v>
      </c>
      <c r="N99" s="152">
        <f t="shared" si="240"/>
        <v>0.60784073170731712</v>
      </c>
      <c r="O99" s="152">
        <f t="shared" si="240"/>
        <v>0.60680179335642959</v>
      </c>
      <c r="P99" s="152">
        <f t="shared" si="240"/>
        <v>0.71256904376373531</v>
      </c>
      <c r="Q99" s="118">
        <f t="shared" si="194"/>
        <v>-6.9207746597954589E-3</v>
      </c>
      <c r="R99" s="20"/>
      <c r="S99" s="152">
        <f t="shared" ref="S99:AB99" si="241">1-S98</f>
        <v>0.72055323699252039</v>
      </c>
      <c r="T99" s="152">
        <f t="shared" si="241"/>
        <v>0.72831564707606145</v>
      </c>
      <c r="U99" s="152">
        <f t="shared" si="241"/>
        <v>0.73586243465728196</v>
      </c>
      <c r="V99" s="152">
        <f t="shared" si="241"/>
        <v>0.7431995892501353</v>
      </c>
      <c r="W99" s="152">
        <f t="shared" si="241"/>
        <v>0.75033293399318701</v>
      </c>
      <c r="X99" s="152">
        <f t="shared" si="241"/>
        <v>0.75726813027115414</v>
      </c>
      <c r="Y99" s="152">
        <f t="shared" si="241"/>
        <v>0.76401068220806656</v>
      </c>
      <c r="Z99" s="152">
        <f t="shared" si="241"/>
        <v>0.77056594103562026</v>
      </c>
      <c r="AA99" s="152">
        <f t="shared" si="241"/>
        <v>0.7769391093401864</v>
      </c>
      <c r="AB99" s="152">
        <f t="shared" si="241"/>
        <v>0.78313524519184785</v>
      </c>
      <c r="AC99" s="138">
        <f t="shared" si="196"/>
        <v>1.6816802516588236E-3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>
        <f>F31/F25</f>
        <v>0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>
        <f>F32/F25</f>
        <v>0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0.54616062134678522</v>
      </c>
      <c r="H104" s="152">
        <f t="shared" ref="H104:P104" si="246">H27/H25</f>
        <v>0.62079096918854137</v>
      </c>
      <c r="I104" s="152">
        <f t="shared" si="246"/>
        <v>0.64406667329423073</v>
      </c>
      <c r="J104" s="152">
        <f t="shared" si="246"/>
        <v>0.64485394485394487</v>
      </c>
      <c r="K104" s="152">
        <f t="shared" si="246"/>
        <v>0.64750884114802609</v>
      </c>
      <c r="L104" s="152">
        <f t="shared" si="246"/>
        <v>0.70558653340347188</v>
      </c>
      <c r="M104" s="152">
        <f t="shared" si="246"/>
        <v>0.65472261818749877</v>
      </c>
      <c r="N104" s="152">
        <f t="shared" si="246"/>
        <v>0.70002173149897196</v>
      </c>
      <c r="O104" s="152">
        <f t="shared" si="246"/>
        <v>0.73757463933402101</v>
      </c>
      <c r="P104" s="152">
        <f t="shared" si="246"/>
        <v>0.70573218185244457</v>
      </c>
      <c r="Q104" s="118">
        <f t="shared" si="194"/>
        <v>2.8889742528031448E-2</v>
      </c>
      <c r="R104" s="20"/>
      <c r="S104" s="152">
        <f t="shared" ref="S104:AB104" si="247">S27/S25</f>
        <v>0.70573218185244457</v>
      </c>
      <c r="T104" s="152">
        <f t="shared" si="247"/>
        <v>0.70573218185244457</v>
      </c>
      <c r="U104" s="152">
        <f t="shared" si="247"/>
        <v>0.70573218185244457</v>
      </c>
      <c r="V104" s="152">
        <f t="shared" si="247"/>
        <v>0.70573218185244457</v>
      </c>
      <c r="W104" s="152">
        <f t="shared" si="247"/>
        <v>0.70573218185244457</v>
      </c>
      <c r="X104" s="152">
        <f t="shared" si="247"/>
        <v>0.70573218185244457</v>
      </c>
      <c r="Y104" s="152">
        <f t="shared" si="247"/>
        <v>0.70573218185244446</v>
      </c>
      <c r="Z104" s="152">
        <f t="shared" si="247"/>
        <v>0.70573218185244457</v>
      </c>
      <c r="AA104" s="152">
        <f t="shared" si="247"/>
        <v>0.70573218185244457</v>
      </c>
      <c r="AB104" s="152">
        <f t="shared" si="247"/>
        <v>0.70573218185244457</v>
      </c>
      <c r="AC104" s="138">
        <f t="shared" si="196"/>
        <v>1.3582078561361843E-2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0.45175754664104412</v>
      </c>
      <c r="H105" s="152">
        <f t="shared" ref="H105:P105" si="248">H33/H25</f>
        <v>0.56206749913016585</v>
      </c>
      <c r="I105" s="152">
        <f t="shared" si="248"/>
        <v>0.56741889518507471</v>
      </c>
      <c r="J105" s="152">
        <f t="shared" si="248"/>
        <v>0.57174447174447174</v>
      </c>
      <c r="K105" s="152">
        <f t="shared" si="248"/>
        <v>0.56085356171963341</v>
      </c>
      <c r="L105" s="152">
        <f t="shared" si="248"/>
        <v>0.61277222514466068</v>
      </c>
      <c r="M105" s="152">
        <f t="shared" si="248"/>
        <v>0.59418874851106207</v>
      </c>
      <c r="N105" s="152">
        <f t="shared" si="248"/>
        <v>0.61625516123100588</v>
      </c>
      <c r="O105" s="152">
        <f t="shared" si="248"/>
        <v>0.6292368264299516</v>
      </c>
      <c r="P105" s="152">
        <f t="shared" si="248"/>
        <v>0.59039569323686703</v>
      </c>
      <c r="Q105" s="118">
        <f t="shared" si="194"/>
        <v>3.0185201922181992E-2</v>
      </c>
      <c r="R105" s="20"/>
      <c r="S105" s="152">
        <f t="shared" ref="S105:AB105" si="249">S33/S25</f>
        <v>0.59039569323686714</v>
      </c>
      <c r="T105" s="152">
        <f t="shared" si="249"/>
        <v>0.59039569323686714</v>
      </c>
      <c r="U105" s="152">
        <f t="shared" si="249"/>
        <v>0.59039569323686714</v>
      </c>
      <c r="V105" s="152">
        <f t="shared" si="249"/>
        <v>0.59039569323686714</v>
      </c>
      <c r="W105" s="152">
        <f t="shared" si="249"/>
        <v>0.59039569323686714</v>
      </c>
      <c r="X105" s="152">
        <f t="shared" si="249"/>
        <v>0.59039569323686714</v>
      </c>
      <c r="Y105" s="152">
        <f t="shared" si="249"/>
        <v>0.59039569323686714</v>
      </c>
      <c r="Z105" s="152">
        <f t="shared" si="249"/>
        <v>0.59039569323686714</v>
      </c>
      <c r="AA105" s="152">
        <f t="shared" si="249"/>
        <v>0.59039569323686714</v>
      </c>
      <c r="AB105" s="152">
        <f t="shared" si="249"/>
        <v>0.59039569323686703</v>
      </c>
      <c r="AC105" s="138">
        <f t="shared" si="196"/>
        <v>1.4186387431099678E-2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3.8473856994154856E-2</v>
      </c>
      <c r="H106" s="152">
        <f t="shared" ref="H106:P106" si="250">H34/H25</f>
        <v>3.510264042989137E-2</v>
      </c>
      <c r="I106" s="152">
        <f t="shared" si="250"/>
        <v>3.3005268913410879E-2</v>
      </c>
      <c r="J106" s="152">
        <f t="shared" si="250"/>
        <v>3.2623532623532625E-2</v>
      </c>
      <c r="K106" s="152">
        <f t="shared" si="250"/>
        <v>4.6984386652873675E-2</v>
      </c>
      <c r="L106" s="152">
        <f t="shared" si="250"/>
        <v>6.3314045239347708E-2</v>
      </c>
      <c r="M106" s="152">
        <f t="shared" si="250"/>
        <v>6.0904883716389059E-2</v>
      </c>
      <c r="N106" s="152">
        <f t="shared" si="250"/>
        <v>6.0263118302937096E-2</v>
      </c>
      <c r="O106" s="152">
        <f t="shared" si="250"/>
        <v>4.720256861007395E-2</v>
      </c>
      <c r="P106" s="152">
        <f t="shared" si="250"/>
        <v>4.8957007498815493E-2</v>
      </c>
      <c r="Q106" s="118">
        <f t="shared" si="194"/>
        <v>2.7135363519394495E-2</v>
      </c>
      <c r="R106" s="20"/>
      <c r="S106" s="152">
        <f t="shared" ref="S106:AB106" si="251">S34/S25</f>
        <v>4.8957007498815493E-2</v>
      </c>
      <c r="T106" s="152">
        <f t="shared" si="251"/>
        <v>4.89570074988155E-2</v>
      </c>
      <c r="U106" s="152">
        <f t="shared" si="251"/>
        <v>4.89570074988155E-2</v>
      </c>
      <c r="V106" s="152">
        <f t="shared" si="251"/>
        <v>4.8957007498815493E-2</v>
      </c>
      <c r="W106" s="152">
        <f t="shared" si="251"/>
        <v>4.8957007498815493E-2</v>
      </c>
      <c r="X106" s="152">
        <f t="shared" si="251"/>
        <v>4.8957007498815493E-2</v>
      </c>
      <c r="Y106" s="152">
        <f t="shared" si="251"/>
        <v>4.8957007498815486E-2</v>
      </c>
      <c r="Z106" s="152">
        <f t="shared" si="251"/>
        <v>4.8957007498815486E-2</v>
      </c>
      <c r="AA106" s="152">
        <f t="shared" si="251"/>
        <v>4.8957007498815493E-2</v>
      </c>
      <c r="AB106" s="152">
        <f t="shared" si="251"/>
        <v>4.8957007498815493E-2</v>
      </c>
      <c r="AC106" s="138">
        <f t="shared" si="196"/>
        <v>1.2763053074872577E-2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1.9614199598124582</v>
      </c>
      <c r="H109" s="25">
        <f t="shared" ref="H109:AB109" si="252">H15/H9</f>
        <v>2.4654040877554846</v>
      </c>
      <c r="I109" s="25">
        <f t="shared" si="252"/>
        <v>3.1314709904278177</v>
      </c>
      <c r="J109" s="25">
        <f t="shared" si="252"/>
        <v>3.8183034967374936</v>
      </c>
      <c r="K109" s="25">
        <f t="shared" si="252"/>
        <v>4.2341110217216409</v>
      </c>
      <c r="L109" s="25">
        <f t="shared" si="252"/>
        <v>3.7232480789081315</v>
      </c>
      <c r="M109" s="25">
        <f t="shared" si="252"/>
        <v>3.3258235706418344</v>
      </c>
      <c r="N109" s="25">
        <f t="shared" si="252"/>
        <v>2.9019832189168575</v>
      </c>
      <c r="O109" s="25">
        <f t="shared" si="252"/>
        <v>2.3813465226607451</v>
      </c>
      <c r="P109" s="25">
        <f t="shared" si="252"/>
        <v>1.6784516292361844</v>
      </c>
      <c r="Q109" s="118">
        <f t="shared" si="194"/>
        <v>-1.7161802849976482E-2</v>
      </c>
      <c r="R109" s="20"/>
      <c r="S109" s="20">
        <f t="shared" si="252"/>
        <v>1.6784516292361844</v>
      </c>
      <c r="T109" s="20">
        <f t="shared" si="252"/>
        <v>1.6784516292361844</v>
      </c>
      <c r="U109" s="20">
        <f t="shared" si="252"/>
        <v>1.6784516292361844</v>
      </c>
      <c r="V109" s="20">
        <f t="shared" si="252"/>
        <v>1.6784516292361844</v>
      </c>
      <c r="W109" s="20">
        <f t="shared" si="252"/>
        <v>1.6784516292361844</v>
      </c>
      <c r="X109" s="20">
        <f t="shared" si="252"/>
        <v>1.6784516292361844</v>
      </c>
      <c r="Y109" s="20">
        <f t="shared" si="252"/>
        <v>1.6784516292361844</v>
      </c>
      <c r="Z109" s="20">
        <f t="shared" si="252"/>
        <v>1.6784516292361844</v>
      </c>
      <c r="AA109" s="20">
        <f t="shared" si="252"/>
        <v>1.6784516292361844</v>
      </c>
      <c r="AB109" s="20">
        <f t="shared" si="252"/>
        <v>1.6784516292361844</v>
      </c>
      <c r="AC109" s="138">
        <f t="shared" si="196"/>
        <v>-8.1663130686590035E-3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8.1580709979906227E-2</v>
      </c>
      <c r="H110" s="25">
        <f t="shared" ref="H110:P110" si="253">H12/H9</f>
        <v>1.1621976373523346</v>
      </c>
      <c r="I110" s="25">
        <f t="shared" si="253"/>
        <v>1.6811877319789021</v>
      </c>
      <c r="J110" s="25">
        <f t="shared" si="253"/>
        <v>2.2917851765099546</v>
      </c>
      <c r="K110" s="25">
        <f t="shared" si="253"/>
        <v>2.4714400643604182</v>
      </c>
      <c r="L110" s="25">
        <f t="shared" si="253"/>
        <v>1.9785525863057689</v>
      </c>
      <c r="M110" s="25">
        <f t="shared" si="253"/>
        <v>1.6072894763192149</v>
      </c>
      <c r="N110" s="25">
        <f t="shared" si="253"/>
        <v>1.3623188405797102</v>
      </c>
      <c r="O110" s="25">
        <f t="shared" si="253"/>
        <v>0.91304128394064799</v>
      </c>
      <c r="P110" s="25">
        <f t="shared" si="253"/>
        <v>0.70173943231298774</v>
      </c>
      <c r="Q110" s="118">
        <f t="shared" si="194"/>
        <v>0.27011532337032174</v>
      </c>
      <c r="R110" s="128"/>
      <c r="S110" s="20">
        <f t="shared" ref="S110:AB110" si="254">S12/S9</f>
        <v>0.70173943231298774</v>
      </c>
      <c r="T110" s="20">
        <f t="shared" si="254"/>
        <v>0.70173943231298774</v>
      </c>
      <c r="U110" s="20">
        <f t="shared" si="254"/>
        <v>0.70173943231298763</v>
      </c>
      <c r="V110" s="20">
        <f t="shared" si="254"/>
        <v>0.70173943231298774</v>
      </c>
      <c r="W110" s="20">
        <f t="shared" si="254"/>
        <v>0.70173943231298774</v>
      </c>
      <c r="X110" s="20">
        <f t="shared" si="254"/>
        <v>0.70173943231298774</v>
      </c>
      <c r="Y110" s="20">
        <f t="shared" si="254"/>
        <v>0.70173943231298763</v>
      </c>
      <c r="Z110" s="20">
        <f t="shared" si="254"/>
        <v>0.70173943231298774</v>
      </c>
      <c r="AA110" s="20">
        <f t="shared" si="254"/>
        <v>0.70173943231298774</v>
      </c>
      <c r="AB110" s="20">
        <f t="shared" si="254"/>
        <v>0.70173943231298763</v>
      </c>
      <c r="AC110" s="118">
        <f t="shared" ref="AC110" si="255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69.38333333333334</v>
      </c>
      <c r="H111" s="25">
        <f t="shared" ref="H111:P111" si="256">H25/360</f>
        <v>71.852777777777774</v>
      </c>
      <c r="I111" s="25">
        <f t="shared" si="256"/>
        <v>83.825000000000003</v>
      </c>
      <c r="J111" s="25">
        <f t="shared" si="256"/>
        <v>101.75</v>
      </c>
      <c r="K111" s="25">
        <f t="shared" si="256"/>
        <v>115.46388888888889</v>
      </c>
      <c r="L111" s="25">
        <f t="shared" si="256"/>
        <v>132.01388888888889</v>
      </c>
      <c r="M111" s="25">
        <f t="shared" si="256"/>
        <v>142.25277777777777</v>
      </c>
      <c r="N111" s="25">
        <f t="shared" si="256"/>
        <v>166.16944444444445</v>
      </c>
      <c r="O111" s="25">
        <f t="shared" si="256"/>
        <v>191.19722222222222</v>
      </c>
      <c r="P111" s="25">
        <f t="shared" si="256"/>
        <v>201.50219444444446</v>
      </c>
      <c r="Q111" s="118">
        <f t="shared" si="194"/>
        <v>0.12576354224127129</v>
      </c>
      <c r="R111" s="128"/>
      <c r="S111" s="25">
        <f t="shared" ref="S111:AB111" si="257">S25/360</f>
        <v>217.62237000000002</v>
      </c>
      <c r="T111" s="25">
        <f t="shared" si="257"/>
        <v>235.03215960000003</v>
      </c>
      <c r="U111" s="25">
        <f t="shared" si="257"/>
        <v>253.83473236800006</v>
      </c>
      <c r="V111" s="25">
        <f t="shared" si="257"/>
        <v>274.14151095744012</v>
      </c>
      <c r="W111" s="25">
        <f t="shared" si="257"/>
        <v>296.0728318340353</v>
      </c>
      <c r="X111" s="25">
        <f t="shared" si="257"/>
        <v>319.75865838075816</v>
      </c>
      <c r="Y111" s="25">
        <f t="shared" si="257"/>
        <v>345.33935105121884</v>
      </c>
      <c r="Z111" s="25">
        <f t="shared" si="257"/>
        <v>372.96649913531638</v>
      </c>
      <c r="AA111" s="25">
        <f t="shared" si="257"/>
        <v>402.80381906614173</v>
      </c>
      <c r="AB111" s="25">
        <f t="shared" si="257"/>
        <v>435.02812459143308</v>
      </c>
      <c r="AC111" s="118">
        <f t="shared" ref="AC111:AC122" si="258">((AB111/S111)^(1/($H$2-$H$1) ))-1</f>
        <v>8.0000000000000071E-2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37.894444444444446</v>
      </c>
      <c r="H112" s="25">
        <f t="shared" ref="H112:P112" si="259">H27/360</f>
        <v>44.605555555555554</v>
      </c>
      <c r="I112" s="25">
        <f t="shared" si="259"/>
        <v>53.988888888888887</v>
      </c>
      <c r="J112" s="25">
        <f t="shared" si="259"/>
        <v>65.613888888888894</v>
      </c>
      <c r="K112" s="25">
        <f t="shared" si="259"/>
        <v>74.763888888888886</v>
      </c>
      <c r="L112" s="25">
        <f t="shared" si="259"/>
        <v>93.147222222222226</v>
      </c>
      <c r="M112" s="25">
        <f t="shared" si="259"/>
        <v>93.136111111111106</v>
      </c>
      <c r="N112" s="25">
        <f t="shared" si="259"/>
        <v>116.32222222222222</v>
      </c>
      <c r="O112" s="25">
        <f t="shared" si="259"/>
        <v>141.02222222222221</v>
      </c>
      <c r="P112" s="25">
        <f t="shared" si="259"/>
        <v>142.20658333333333</v>
      </c>
      <c r="Q112" s="118">
        <f t="shared" si="194"/>
        <v>0.15828656112406647</v>
      </c>
      <c r="R112" s="128"/>
      <c r="S112" s="25">
        <f t="shared" ref="S112:AB112" si="260">S27/360</f>
        <v>153.58311</v>
      </c>
      <c r="T112" s="25">
        <f t="shared" si="260"/>
        <v>165.8697588</v>
      </c>
      <c r="U112" s="25">
        <f t="shared" si="260"/>
        <v>179.13933950400002</v>
      </c>
      <c r="V112" s="25">
        <f t="shared" si="260"/>
        <v>193.47048666432005</v>
      </c>
      <c r="W112" s="25">
        <f t="shared" si="260"/>
        <v>208.94812559746566</v>
      </c>
      <c r="X112" s="25">
        <f t="shared" si="260"/>
        <v>225.66397564526292</v>
      </c>
      <c r="Y112" s="25">
        <f t="shared" si="260"/>
        <v>243.71709369688398</v>
      </c>
      <c r="Z112" s="25">
        <f t="shared" si="260"/>
        <v>263.2144611926347</v>
      </c>
      <c r="AA112" s="25">
        <f t="shared" si="260"/>
        <v>284.2716180880455</v>
      </c>
      <c r="AB112" s="25">
        <f t="shared" si="260"/>
        <v>307.01334753508917</v>
      </c>
      <c r="AC112" s="118">
        <f t="shared" si="258"/>
        <v>8.0000000000000071E-2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0.43450790469828549</v>
      </c>
      <c r="H114" s="25">
        <f t="shared" ref="H114:P114" si="261">H10/H7</f>
        <v>0.42193890975195542</v>
      </c>
      <c r="I114" s="25">
        <f t="shared" si="261"/>
        <v>0.5093333333333333</v>
      </c>
      <c r="J114" s="25">
        <f t="shared" si="261"/>
        <v>0.56815569058958781</v>
      </c>
      <c r="K114" s="25">
        <f t="shared" si="261"/>
        <v>0.60427149937573299</v>
      </c>
      <c r="L114" s="25">
        <f t="shared" si="261"/>
        <v>0.70456564530457955</v>
      </c>
      <c r="M114" s="25">
        <f t="shared" si="261"/>
        <v>0.73445901481469589</v>
      </c>
      <c r="N114" s="25">
        <f t="shared" si="261"/>
        <v>0.75805290756598753</v>
      </c>
      <c r="O114" s="25">
        <f t="shared" si="261"/>
        <v>0.75847423456358698</v>
      </c>
      <c r="P114" s="25">
        <f t="shared" si="261"/>
        <v>0.82226426451192414</v>
      </c>
      <c r="Q114" s="118">
        <f t="shared" si="194"/>
        <v>7.3443779994431857E-2</v>
      </c>
      <c r="R114" s="128"/>
      <c r="S114" s="25">
        <f t="shared" ref="S114:AB114" si="262">S10/S7</f>
        <v>0.82226426451192403</v>
      </c>
      <c r="T114" s="25">
        <f t="shared" si="262"/>
        <v>0.82226426451192414</v>
      </c>
      <c r="U114" s="25">
        <f t="shared" si="262"/>
        <v>0.82226426451192414</v>
      </c>
      <c r="V114" s="25">
        <f t="shared" si="262"/>
        <v>0.82226426451192403</v>
      </c>
      <c r="W114" s="25">
        <f t="shared" si="262"/>
        <v>0.82226426451192403</v>
      </c>
      <c r="X114" s="25">
        <f t="shared" si="262"/>
        <v>0.82226426451192414</v>
      </c>
      <c r="Y114" s="25">
        <f t="shared" si="262"/>
        <v>0.82226426451192414</v>
      </c>
      <c r="Z114" s="25">
        <f t="shared" si="262"/>
        <v>0.82226426451192414</v>
      </c>
      <c r="AA114" s="25">
        <f t="shared" si="262"/>
        <v>0.82226426451192403</v>
      </c>
      <c r="AB114" s="25">
        <f t="shared" si="262"/>
        <v>0.82226426451192403</v>
      </c>
      <c r="AC114" s="118">
        <f t="shared" si="258"/>
        <v>0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0.30289683540619727</v>
      </c>
      <c r="H115" s="25">
        <f t="shared" ref="H115:P115" si="263">H10/(H10+H7)</f>
        <v>0.29673490672363617</v>
      </c>
      <c r="I115" s="25">
        <f t="shared" si="263"/>
        <v>0.33745583038869259</v>
      </c>
      <c r="J115" s="25">
        <f t="shared" si="263"/>
        <v>0.36230821595014923</v>
      </c>
      <c r="K115" s="25">
        <f t="shared" si="263"/>
        <v>0.37666411178586168</v>
      </c>
      <c r="L115" s="25">
        <f t="shared" si="263"/>
        <v>0.41334028246162652</v>
      </c>
      <c r="M115" s="25">
        <f t="shared" si="263"/>
        <v>0.4234513520016287</v>
      </c>
      <c r="N115" s="25">
        <f t="shared" si="263"/>
        <v>0.43118890467039855</v>
      </c>
      <c r="O115" s="25">
        <f t="shared" si="263"/>
        <v>0.43132519069966524</v>
      </c>
      <c r="P115" s="25">
        <f t="shared" si="263"/>
        <v>0.45123217335997079</v>
      </c>
      <c r="Q115" s="118">
        <f t="shared" si="194"/>
        <v>4.5283089913568775E-2</v>
      </c>
      <c r="R115" s="128"/>
      <c r="S115" s="25">
        <f t="shared" ref="S115:AB115" si="264">S10/(S10+S7)</f>
        <v>0.45123217335997073</v>
      </c>
      <c r="T115" s="25">
        <f t="shared" si="264"/>
        <v>0.45123217335997079</v>
      </c>
      <c r="U115" s="25">
        <f t="shared" si="264"/>
        <v>0.45123217335997073</v>
      </c>
      <c r="V115" s="25">
        <f t="shared" si="264"/>
        <v>0.45123217335997068</v>
      </c>
      <c r="W115" s="25">
        <f t="shared" si="264"/>
        <v>0.45123217335997073</v>
      </c>
      <c r="X115" s="25">
        <f t="shared" si="264"/>
        <v>0.45123217335997073</v>
      </c>
      <c r="Y115" s="25">
        <f t="shared" si="264"/>
        <v>0.45123217335997079</v>
      </c>
      <c r="Z115" s="25">
        <f t="shared" si="264"/>
        <v>0.45123217335997079</v>
      </c>
      <c r="AA115" s="25">
        <f t="shared" si="264"/>
        <v>0.45123217335997079</v>
      </c>
      <c r="AB115" s="25">
        <f t="shared" si="264"/>
        <v>0.45123217335997073</v>
      </c>
      <c r="AC115" s="118">
        <f t="shared" si="258"/>
        <v>0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5452</v>
      </c>
      <c r="H117" s="25">
        <f t="shared" ref="H117:P117" si="265">H16</f>
        <v>6283</v>
      </c>
      <c r="I117" s="25">
        <f t="shared" si="265"/>
        <v>9669</v>
      </c>
      <c r="J117" s="25">
        <f t="shared" si="265"/>
        <v>15128</v>
      </c>
      <c r="K117" s="25">
        <f t="shared" si="265"/>
        <v>17693</v>
      </c>
      <c r="L117" s="25">
        <f t="shared" si="265"/>
        <v>20429</v>
      </c>
      <c r="M117" s="25">
        <f t="shared" si="265"/>
        <v>20077</v>
      </c>
      <c r="N117" s="25">
        <f t="shared" si="265"/>
        <v>22099</v>
      </c>
      <c r="O117" s="25">
        <f t="shared" si="265"/>
        <v>23353</v>
      </c>
      <c r="P117" s="25">
        <f t="shared" si="265"/>
        <v>-21982.86</v>
      </c>
      <c r="Q117" s="118">
        <f t="shared" si="194"/>
        <v>-2.1675646229027401</v>
      </c>
      <c r="R117" s="128"/>
      <c r="S117" s="25">
        <f t="shared" ref="S117:AB117" si="266">S16</f>
        <v>-23741.488800000003</v>
      </c>
      <c r="T117" s="25">
        <f t="shared" si="266"/>
        <v>-25640.807904000005</v>
      </c>
      <c r="U117" s="25">
        <f t="shared" si="266"/>
        <v>-27692.072536320007</v>
      </c>
      <c r="V117" s="25">
        <f t="shared" si="266"/>
        <v>-29907.43833922561</v>
      </c>
      <c r="W117" s="25">
        <f t="shared" si="266"/>
        <v>-32300.033406363662</v>
      </c>
      <c r="X117" s="25">
        <f t="shared" si="266"/>
        <v>-34884.036078872756</v>
      </c>
      <c r="Y117" s="25">
        <f t="shared" si="266"/>
        <v>-37674.758965182577</v>
      </c>
      <c r="Z117" s="25">
        <f t="shared" si="266"/>
        <v>-40688.739682397187</v>
      </c>
      <c r="AA117" s="25">
        <f t="shared" si="266"/>
        <v>-43943.838856988965</v>
      </c>
      <c r="AB117" s="25">
        <f t="shared" si="266"/>
        <v>-47459.345965548084</v>
      </c>
      <c r="AC117" s="118">
        <f t="shared" si="258"/>
        <v>8.0000000000000071E-2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67">G117*365/G25</f>
        <v>79.669308991912885</v>
      </c>
      <c r="H118" s="119">
        <f t="shared" si="267"/>
        <v>88.657169366374148</v>
      </c>
      <c r="I118" s="119">
        <f t="shared" si="267"/>
        <v>116.94949796202405</v>
      </c>
      <c r="J118" s="119">
        <f t="shared" si="267"/>
        <v>150.74310674310675</v>
      </c>
      <c r="K118" s="119">
        <f t="shared" si="267"/>
        <v>155.36230663747685</v>
      </c>
      <c r="L118" s="119">
        <f t="shared" si="267"/>
        <v>156.89815886375592</v>
      </c>
      <c r="M118" s="119">
        <f t="shared" si="267"/>
        <v>143.09630743394973</v>
      </c>
      <c r="N118" s="119">
        <f t="shared" si="267"/>
        <v>134.83784958459404</v>
      </c>
      <c r="O118" s="119">
        <f t="shared" si="267"/>
        <v>123.83729714808734</v>
      </c>
      <c r="P118" s="119">
        <f t="shared" si="267"/>
        <v>-110.61009812548222</v>
      </c>
      <c r="Q118" s="118">
        <f t="shared" si="194"/>
        <v>-2.0371313149635735</v>
      </c>
      <c r="R118" s="128"/>
      <c r="S118" s="119">
        <f t="shared" ref="S118:AB118" si="268">S117*365/S25</f>
        <v>-110.61009812548222</v>
      </c>
      <c r="T118" s="119">
        <f t="shared" si="268"/>
        <v>-110.61009812548222</v>
      </c>
      <c r="U118" s="119">
        <f t="shared" si="268"/>
        <v>-110.61009812548224</v>
      </c>
      <c r="V118" s="119">
        <f t="shared" si="268"/>
        <v>-110.61009812548222</v>
      </c>
      <c r="W118" s="119">
        <f t="shared" si="268"/>
        <v>-110.61009812548224</v>
      </c>
      <c r="X118" s="119">
        <f t="shared" si="268"/>
        <v>-110.61009812548222</v>
      </c>
      <c r="Y118" s="119">
        <f t="shared" si="268"/>
        <v>-110.61009812548221</v>
      </c>
      <c r="Z118" s="119">
        <f t="shared" si="268"/>
        <v>-110.61009812548221</v>
      </c>
      <c r="AA118" s="119">
        <f t="shared" si="268"/>
        <v>-110.61009812548224</v>
      </c>
      <c r="AB118" s="119">
        <f t="shared" si="268"/>
        <v>-110.61009812548222</v>
      </c>
      <c r="AC118" s="118">
        <f t="shared" si="258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 t="e">
        <f>G73/G29</f>
        <v>#DIV/0!</v>
      </c>
      <c r="H119" s="133" t="e">
        <f t="shared" ref="H119:P119" si="269">H73/H29</f>
        <v>#DIV/0!</v>
      </c>
      <c r="I119" s="133" t="e">
        <f t="shared" si="269"/>
        <v>#DIV/0!</v>
      </c>
      <c r="J119" s="133" t="e">
        <f t="shared" si="269"/>
        <v>#DIV/0!</v>
      </c>
      <c r="K119" s="133" t="e">
        <f t="shared" si="269"/>
        <v>#DIV/0!</v>
      </c>
      <c r="L119" s="133" t="e">
        <f t="shared" si="269"/>
        <v>#DIV/0!</v>
      </c>
      <c r="M119" s="133" t="e">
        <f t="shared" si="269"/>
        <v>#DIV/0!</v>
      </c>
      <c r="N119" s="133" t="e">
        <f t="shared" si="269"/>
        <v>#DIV/0!</v>
      </c>
      <c r="O119" s="133" t="e">
        <f t="shared" si="269"/>
        <v>#DIV/0!</v>
      </c>
      <c r="P119" s="133" t="e">
        <f t="shared" si="269"/>
        <v>#DIV/0!</v>
      </c>
      <c r="Q119" s="118" t="e">
        <f t="shared" si="194"/>
        <v>#DIV/0!</v>
      </c>
      <c r="R119" s="128"/>
      <c r="S119" s="133" t="e">
        <f t="shared" ref="S119:AB119" si="270">S73/S29</f>
        <v>#DIV/0!</v>
      </c>
      <c r="T119" s="133" t="e">
        <f t="shared" si="270"/>
        <v>#DIV/0!</v>
      </c>
      <c r="U119" s="133" t="e">
        <f t="shared" si="270"/>
        <v>#DIV/0!</v>
      </c>
      <c r="V119" s="133" t="e">
        <f t="shared" si="270"/>
        <v>#DIV/0!</v>
      </c>
      <c r="W119" s="133" t="e">
        <f t="shared" si="270"/>
        <v>#DIV/0!</v>
      </c>
      <c r="X119" s="133" t="e">
        <f t="shared" si="270"/>
        <v>#DIV/0!</v>
      </c>
      <c r="Y119" s="133" t="e">
        <f t="shared" si="270"/>
        <v>#DIV/0!</v>
      </c>
      <c r="Z119" s="133" t="e">
        <f t="shared" si="270"/>
        <v>#DIV/0!</v>
      </c>
      <c r="AA119" s="133" t="e">
        <f t="shared" si="270"/>
        <v>#DIV/0!</v>
      </c>
      <c r="AB119" s="133" t="e">
        <f t="shared" si="270"/>
        <v>#DIV/0!</v>
      </c>
      <c r="AC119" s="118" t="e">
        <f t="shared" si="258"/>
        <v>#DIV/0!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180" t="e">
        <f>G25/G14</f>
        <v>#DIV/0!</v>
      </c>
      <c r="H121" s="180" t="e">
        <f t="shared" ref="H121:P121" si="271">H25/H14</f>
        <v>#DIV/0!</v>
      </c>
      <c r="I121" s="180" t="e">
        <f t="shared" si="271"/>
        <v>#DIV/0!</v>
      </c>
      <c r="J121" s="180" t="e">
        <f t="shared" si="271"/>
        <v>#DIV/0!</v>
      </c>
      <c r="K121" s="180" t="e">
        <f t="shared" si="271"/>
        <v>#DIV/0!</v>
      </c>
      <c r="L121" s="180" t="e">
        <f t="shared" si="271"/>
        <v>#DIV/0!</v>
      </c>
      <c r="M121" s="180" t="e">
        <f t="shared" si="271"/>
        <v>#DIV/0!</v>
      </c>
      <c r="N121" s="180" t="e">
        <f t="shared" si="271"/>
        <v>#DIV/0!</v>
      </c>
      <c r="O121" s="180" t="e">
        <f t="shared" si="271"/>
        <v>#DIV/0!</v>
      </c>
      <c r="P121" s="180" t="e">
        <f t="shared" si="271"/>
        <v>#DIV/0!</v>
      </c>
      <c r="Q121" s="118" t="e">
        <f t="shared" si="194"/>
        <v>#DIV/0!</v>
      </c>
      <c r="R121" s="128"/>
      <c r="S121" s="20" t="e">
        <f t="shared" ref="S121" si="272">S25/S14</f>
        <v>#DIV/0!</v>
      </c>
      <c r="T121" s="20" t="e">
        <f t="shared" ref="T121:AB121" si="273">T25/T14</f>
        <v>#DIV/0!</v>
      </c>
      <c r="U121" s="20" t="e">
        <f t="shared" si="273"/>
        <v>#DIV/0!</v>
      </c>
      <c r="V121" s="20" t="e">
        <f t="shared" si="273"/>
        <v>#DIV/0!</v>
      </c>
      <c r="W121" s="20" t="e">
        <f t="shared" si="273"/>
        <v>#DIV/0!</v>
      </c>
      <c r="X121" s="20" t="e">
        <f t="shared" si="273"/>
        <v>#DIV/0!</v>
      </c>
      <c r="Y121" s="20" t="e">
        <f t="shared" si="273"/>
        <v>#DIV/0!</v>
      </c>
      <c r="Z121" s="20" t="e">
        <f t="shared" si="273"/>
        <v>#DIV/0!</v>
      </c>
      <c r="AA121" s="20" t="e">
        <f t="shared" si="273"/>
        <v>#DIV/0!</v>
      </c>
      <c r="AB121" s="20" t="e">
        <f t="shared" si="273"/>
        <v>#DIV/0!</v>
      </c>
      <c r="AC121" s="118" t="e">
        <f t="shared" si="258"/>
        <v>#DIV/0!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180" t="e">
        <f>G27/G14</f>
        <v>#DIV/0!</v>
      </c>
      <c r="H122" s="180" t="e">
        <f t="shared" ref="H122:P122" si="274">H27/H14</f>
        <v>#DIV/0!</v>
      </c>
      <c r="I122" s="180" t="e">
        <f t="shared" si="274"/>
        <v>#DIV/0!</v>
      </c>
      <c r="J122" s="180" t="e">
        <f t="shared" si="274"/>
        <v>#DIV/0!</v>
      </c>
      <c r="K122" s="180" t="e">
        <f t="shared" si="274"/>
        <v>#DIV/0!</v>
      </c>
      <c r="L122" s="180" t="e">
        <f t="shared" si="274"/>
        <v>#DIV/0!</v>
      </c>
      <c r="M122" s="180" t="e">
        <f t="shared" si="274"/>
        <v>#DIV/0!</v>
      </c>
      <c r="N122" s="180" t="e">
        <f t="shared" si="274"/>
        <v>#DIV/0!</v>
      </c>
      <c r="O122" s="180" t="e">
        <f t="shared" si="274"/>
        <v>#DIV/0!</v>
      </c>
      <c r="P122" s="180" t="e">
        <f t="shared" si="274"/>
        <v>#DIV/0!</v>
      </c>
      <c r="Q122" s="118" t="e">
        <f t="shared" si="194"/>
        <v>#DIV/0!</v>
      </c>
      <c r="R122" s="128"/>
      <c r="S122" s="20" t="e">
        <f t="shared" ref="S122:AB122" si="275">S27/S14</f>
        <v>#DIV/0!</v>
      </c>
      <c r="T122" s="20" t="e">
        <f t="shared" si="275"/>
        <v>#DIV/0!</v>
      </c>
      <c r="U122" s="20" t="e">
        <f t="shared" si="275"/>
        <v>#DIV/0!</v>
      </c>
      <c r="V122" s="20" t="e">
        <f t="shared" si="275"/>
        <v>#DIV/0!</v>
      </c>
      <c r="W122" s="20" t="e">
        <f t="shared" si="275"/>
        <v>#DIV/0!</v>
      </c>
      <c r="X122" s="20" t="e">
        <f t="shared" si="275"/>
        <v>#DIV/0!</v>
      </c>
      <c r="Y122" s="20" t="e">
        <f t="shared" si="275"/>
        <v>#DIV/0!</v>
      </c>
      <c r="Z122" s="20" t="e">
        <f t="shared" si="275"/>
        <v>#DIV/0!</v>
      </c>
      <c r="AA122" s="20" t="e">
        <f t="shared" si="275"/>
        <v>#DIV/0!</v>
      </c>
      <c r="AB122" s="20" t="e">
        <f t="shared" si="275"/>
        <v>#DIV/0!</v>
      </c>
      <c r="AC122" s="118" t="e">
        <f t="shared" si="258"/>
        <v>#DIV/0!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9.7345744231672953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39.49968005225675</v>
      </c>
      <c r="S126" s="133">
        <f>PV($C$1, ($AB$3-$S$3), 0, -AB47)</f>
        <v>5.5040537777734801</v>
      </c>
      <c r="T126" s="133">
        <f>PV($C$1, ($AB$3-$S$3), 0, -AE47)</f>
        <v>33.995626274483271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254.96070560830725</v>
      </c>
      <c r="S127" s="133">
        <f>PV($C$1, ($AB$3-$S$3), 0, -AB49)</f>
        <v>35.527311437223133</v>
      </c>
      <c r="T127" s="133">
        <f>PV($C$1, ($AB$3-$S$3), 0, -AE49)</f>
        <v>219.4333941710841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229.08375193328158</v>
      </c>
      <c r="S128" s="133">
        <f>PV($C$1, ($AB$3-$S$3), 0, -AB50)</f>
        <v>31.921506416932672</v>
      </c>
      <c r="T128" s="133">
        <f>PV($C$1, ($AB$3-$S$3), 0, -AE50)</f>
        <v>197.16224551634889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209.64507707645589</v>
      </c>
      <c r="S129" s="133">
        <f>PV($C$1, ($AB$3-$S$3), 0, -AB51)</f>
        <v>29.212838609014344</v>
      </c>
      <c r="T129" s="133">
        <f>PV($C$1, ($AB$3-$S$3), 0, -AE51)</f>
        <v>180.43223846744155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58.806356855417548</v>
      </c>
      <c r="S130" s="133">
        <f>PV($C$1, ($AB$3-$S$3), 0, -AB57)</f>
        <v>8.194328414279493</v>
      </c>
      <c r="T130" s="133">
        <f>PV($C$1, ($AB$3-$S$3), 0, -AE57)</f>
        <v>50.612028441138051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45.315628531851289</v>
      </c>
      <c r="S132" s="133">
        <f>PV($C$1, ($AB$3-$S$3), 0, -AB53)</f>
        <v>6.3144728282087863</v>
      </c>
      <c r="T132" s="133">
        <f>PV($C$1, ($AB$3-$S$3), 0, -$AE$53)</f>
        <v>39.001155703642503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-38.485215695452879</v>
      </c>
      <c r="S133" s="133">
        <f>PV($C$1, ($AB$3-$S$3), 0, -AB54)</f>
        <v>-5.3626939903499906</v>
      </c>
      <c r="T133" s="133">
        <f>PV($C$1, ($AB$3-$S$3), 0, -$AE$54)</f>
        <v>-33.122521705102891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102.17044782923351</v>
      </c>
      <c r="S134" s="133">
        <f>PV($C$1, ($AB$3-$S$3), 0, -AB55)</f>
        <v>14.236865681122699</v>
      </c>
      <c r="T134" s="133">
        <f>PV($C$1, ($AB$3-$S$3), 0, -$AE$55)</f>
        <v>87.933582148110816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140.65566352468639</v>
      </c>
      <c r="S136" s="133">
        <f>PV($C$1, ($AB$3-$S$3), 0, -AB60)</f>
        <v>19.59955967147269</v>
      </c>
      <c r="T136" s="133">
        <f>PV($C$1, ($AB$3-$S$3), 0, -AE60)</f>
        <v>121.0561038532137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-53.31000138091283</v>
      </c>
      <c r="S137" s="133">
        <f>PV($C$1, ($AB$3-$S$3), 0, -AB61)</f>
        <v>-9.6132789375416579</v>
      </c>
      <c r="T137" s="133">
        <f>PV($C$1, ($AB$3-$S$3), 0, -AE61)</f>
        <v>-43.696722443371172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48488.193481565977</v>
      </c>
      <c r="S139" s="133">
        <f>PV($C$1, ($AB$3-$S$3), 0, -AB12)</f>
        <v>6756.5515507100126</v>
      </c>
      <c r="T139" s="133">
        <f>PV($C$1, ($AB$3-$S$3), 0, -AE12)</f>
        <v>41731.641930855963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58.806356855417533</v>
      </c>
      <c r="S140" s="140">
        <f>S139/P40</f>
        <v>8.194328414279493</v>
      </c>
      <c r="T140" s="140">
        <f>T139/P40</f>
        <v>50.612028441138044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35.537568511886597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29.236326497728143</v>
      </c>
      <c r="T143" s="133">
        <f>PV($C$1, ($AB$3-$S$3), 0, -AE63)</f>
        <v>6.3012420141584524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25120.65748681534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20666.460168102902</v>
      </c>
      <c r="T145" s="133">
        <f>PV($C$1, ($AB$3-$S$3), 0, -AE65)</f>
        <v>4454.1973187124404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30.466269055249402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25.064229956221531</v>
      </c>
      <c r="T147" s="133">
        <f>PV($C$1, ($AB$3-$S$3), 0, -AE67)</f>
        <v>5.4020390990278706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213.26388338674573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175.44960969355066</v>
      </c>
      <c r="T148" s="133">
        <f>PV($C$1, ($AB$3-$S$3), 0, -AE68)</f>
        <v>37.814273693195084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-182.79761433149636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-150.38537973732915</v>
      </c>
      <c r="T149" s="133">
        <f>PV($C$1, ($AB$3-$S$3), 0, -AE69)</f>
        <v>-32.412234594167217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-38.082836319061755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-31.33028744527692</v>
      </c>
      <c r="T150" s="133">
        <f>PV($C$1, ($AB$3-$S$3), 0, -AE70)</f>
        <v>-6.7525488737848391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258.96328696961984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213.04595462788296</v>
      </c>
      <c r="T152" s="133">
        <f>PV($C$1, ($AB$3-$S$3), 0, -AE71)</f>
        <v>45.917332341736888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83">
        <v>41729</v>
      </c>
      <c r="P153" s="20">
        <v>190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0">
        <v>115</v>
      </c>
      <c r="Q154" s="20">
        <v>125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40</v>
      </c>
      <c r="H155" s="22">
        <v>95</v>
      </c>
      <c r="I155" s="22">
        <v>127</v>
      </c>
      <c r="J155" s="22">
        <v>140</v>
      </c>
      <c r="K155" s="22">
        <v>180</v>
      </c>
      <c r="L155" s="22">
        <v>167</v>
      </c>
      <c r="M155" s="22">
        <v>198</v>
      </c>
      <c r="N155" s="22">
        <v>172</v>
      </c>
      <c r="O155" s="22">
        <v>110</v>
      </c>
      <c r="P155" s="22">
        <v>116</v>
      </c>
      <c r="Q155" s="118">
        <f t="shared" ref="Q155:Q160" si="280">((P155/G155)^(1/($H$2-$H$1) ))-1</f>
        <v>0.12558307806066571</v>
      </c>
      <c r="R155" s="31">
        <f>L2-3%</f>
        <v>0.05</v>
      </c>
      <c r="S155" s="119">
        <f t="shared" ref="S155" si="281">P155*(1+$R155)</f>
        <v>121.80000000000001</v>
      </c>
      <c r="T155" s="119">
        <f t="shared" ref="T155:AB155" si="282">S155*(1+$R155)</f>
        <v>127.89000000000001</v>
      </c>
      <c r="U155" s="119">
        <f t="shared" si="282"/>
        <v>134.28450000000001</v>
      </c>
      <c r="V155" s="119">
        <f t="shared" si="282"/>
        <v>140.99872500000001</v>
      </c>
      <c r="W155" s="119">
        <f t="shared" si="282"/>
        <v>148.04866125000001</v>
      </c>
      <c r="X155" s="119">
        <f t="shared" si="282"/>
        <v>155.4510943125</v>
      </c>
      <c r="Y155" s="119">
        <f t="shared" si="282"/>
        <v>163.22364902812501</v>
      </c>
      <c r="Z155" s="119">
        <f t="shared" si="282"/>
        <v>171.38483147953127</v>
      </c>
      <c r="AA155" s="119">
        <f t="shared" si="282"/>
        <v>179.95407305350784</v>
      </c>
      <c r="AB155" s="119">
        <f t="shared" si="282"/>
        <v>188.95177670618324</v>
      </c>
      <c r="AC155" s="138">
        <f t="shared" ref="AC155:AC160" si="283">((AB155/G155)^(1/($AB$3-$H$1) ))-1</f>
        <v>8.5148062681975167E-2</v>
      </c>
      <c r="AD155" s="31">
        <v>0.08</v>
      </c>
      <c r="AE155" s="127">
        <f t="shared" ref="AE155:AE163" si="284">(AB155*(1+AC155))/($C$1-AD155)</f>
        <v>1464.5761030930848</v>
      </c>
    </row>
    <row r="156" spans="2:31" x14ac:dyDescent="0.2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>
        <f t="shared" si="285"/>
        <v>0</v>
      </c>
      <c r="G156" s="25">
        <f t="shared" si="285"/>
        <v>1.2507006165425576</v>
      </c>
      <c r="H156" s="25">
        <f t="shared" si="285"/>
        <v>3.0282328835968606</v>
      </c>
      <c r="I156" s="25">
        <f t="shared" si="285"/>
        <v>3.470079199390264</v>
      </c>
      <c r="J156" s="25">
        <f t="shared" si="285"/>
        <v>3.151395031395031</v>
      </c>
      <c r="K156" s="25">
        <f t="shared" si="285"/>
        <v>3.5705535641253876</v>
      </c>
      <c r="L156" s="25">
        <f t="shared" si="285"/>
        <v>2.8973841136244083</v>
      </c>
      <c r="M156" s="25">
        <f t="shared" si="285"/>
        <v>3.1879658667083244</v>
      </c>
      <c r="N156" s="25">
        <f t="shared" si="285"/>
        <v>2.3707540830143259</v>
      </c>
      <c r="O156" s="25">
        <f t="shared" si="285"/>
        <v>1.3177114962734815</v>
      </c>
      <c r="P156" s="25">
        <f t="shared" si="285"/>
        <v>1.3185221721461813</v>
      </c>
      <c r="Q156" s="118">
        <f t="shared" ref="Q156" si="286">((P156/G156)^(1/($H$2-$H$1) ))-1</f>
        <v>5.8847648551876297E-3</v>
      </c>
      <c r="R156" s="128"/>
      <c r="S156" s="25">
        <f t="shared" ref="S156:AB156" si="287">S155/S44</f>
        <v>1.2818965562532318</v>
      </c>
      <c r="T156" s="25">
        <f t="shared" si="287"/>
        <v>1.246288318579531</v>
      </c>
      <c r="U156" s="25">
        <f t="shared" si="287"/>
        <v>1.2116691986189883</v>
      </c>
      <c r="V156" s="25">
        <f t="shared" si="287"/>
        <v>1.1780117208795717</v>
      </c>
      <c r="W156" s="25">
        <f t="shared" si="287"/>
        <v>1.1452891730773613</v>
      </c>
      <c r="X156" s="25">
        <f t="shared" si="287"/>
        <v>1.1134755849363236</v>
      </c>
      <c r="Y156" s="25">
        <f t="shared" si="287"/>
        <v>1.0825457075769809</v>
      </c>
      <c r="Z156" s="25">
        <f t="shared" si="287"/>
        <v>1.0524749934776205</v>
      </c>
      <c r="AA156" s="25">
        <f t="shared" si="287"/>
        <v>1.023239576992131</v>
      </c>
      <c r="AB156" s="25">
        <f t="shared" si="287"/>
        <v>0.9948162554090163</v>
      </c>
      <c r="AC156" s="138">
        <f t="shared" ref="AC156" si="288">((AB156/G156)^(1/($AB$3-$H$1) ))-1</f>
        <v>-1.1975147373545547E-2</v>
      </c>
      <c r="AD156" s="31">
        <v>0.08</v>
      </c>
      <c r="AE156" s="127">
        <f t="shared" ref="AE156" si="289">(AB156*(1+AC156))/($C$1-AD156)</f>
        <v>7.020737029577818</v>
      </c>
    </row>
    <row r="157" spans="2:31" x14ac:dyDescent="0.2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>
        <f t="shared" si="290"/>
        <v>0</v>
      </c>
      <c r="G157" s="25">
        <f t="shared" si="290"/>
        <v>5.9391634980988597</v>
      </c>
      <c r="H157" s="25">
        <f t="shared" si="290"/>
        <v>13.440511324639671</v>
      </c>
      <c r="I157" s="25">
        <f t="shared" si="290"/>
        <v>17.930921232876713</v>
      </c>
      <c r="J157" s="25">
        <f t="shared" si="290"/>
        <v>16.734647723977965</v>
      </c>
      <c r="K157" s="25">
        <f t="shared" si="290"/>
        <v>19.87109385459901</v>
      </c>
      <c r="L157" s="25">
        <f t="shared" si="290"/>
        <v>17.016581809194268</v>
      </c>
      <c r="M157" s="25">
        <f t="shared" si="290"/>
        <v>18.474473237524045</v>
      </c>
      <c r="N157" s="25">
        <f t="shared" si="290"/>
        <v>15.171253744116388</v>
      </c>
      <c r="O157" s="25">
        <f t="shared" si="290"/>
        <v>9.2418381903403297</v>
      </c>
      <c r="P157" s="25">
        <f t="shared" si="290"/>
        <v>7.5993141705770286</v>
      </c>
      <c r="Q157" s="118">
        <f t="shared" si="280"/>
        <v>2.7766236650911491E-2</v>
      </c>
      <c r="R157" s="128"/>
      <c r="S157" s="119">
        <f t="shared" ref="S157:AB157" si="291">S155/S47</f>
        <v>7.3882221102832224</v>
      </c>
      <c r="T157" s="119">
        <f t="shared" si="291"/>
        <v>7.18299371833091</v>
      </c>
      <c r="U157" s="119">
        <f t="shared" si="291"/>
        <v>6.9834661150439405</v>
      </c>
      <c r="V157" s="119">
        <f t="shared" si="291"/>
        <v>6.7894809451816078</v>
      </c>
      <c r="W157" s="119">
        <f t="shared" si="291"/>
        <v>6.6008842522598963</v>
      </c>
      <c r="X157" s="119">
        <f t="shared" si="291"/>
        <v>6.4175263563637888</v>
      </c>
      <c r="Y157" s="119">
        <f t="shared" si="291"/>
        <v>6.2392617353536828</v>
      </c>
      <c r="Z157" s="119">
        <f t="shared" si="291"/>
        <v>6.0659489093716354</v>
      </c>
      <c r="AA157" s="119">
        <f t="shared" si="291"/>
        <v>5.8974503285557569</v>
      </c>
      <c r="AB157" s="119">
        <f t="shared" si="291"/>
        <v>5.7336322638736519</v>
      </c>
      <c r="AC157" s="138">
        <f t="shared" si="283"/>
        <v>-1.8519180997248474E-3</v>
      </c>
      <c r="AD157" s="31">
        <v>0.08</v>
      </c>
      <c r="AE157" s="127">
        <f t="shared" si="284"/>
        <v>40.878671760764412</v>
      </c>
    </row>
    <row r="158" spans="2:31" x14ac:dyDescent="0.2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>
        <f t="shared" si="292"/>
        <v>0</v>
      </c>
      <c r="G158" s="25">
        <f t="shared" si="292"/>
        <v>1.1111111111111112</v>
      </c>
      <c r="H158" s="25">
        <f t="shared" si="292"/>
        <v>2.3339282521899767</v>
      </c>
      <c r="I158" s="25">
        <f t="shared" si="292"/>
        <v>2.8490431233845732</v>
      </c>
      <c r="J158" s="25">
        <f t="shared" si="292"/>
        <v>2.8525860577754711</v>
      </c>
      <c r="K158" s="25">
        <f t="shared" si="292"/>
        <v>3.3264719725665106</v>
      </c>
      <c r="L158" s="25">
        <f t="shared" si="292"/>
        <v>2.8009067979333628</v>
      </c>
      <c r="M158" s="25">
        <f t="shared" si="292"/>
        <v>3.0200695549224905</v>
      </c>
      <c r="N158" s="25">
        <f t="shared" si="292"/>
        <v>2.3701993816328231</v>
      </c>
      <c r="O158" s="25">
        <f t="shared" si="292"/>
        <v>1.3709720815635533</v>
      </c>
      <c r="P158" s="25">
        <f t="shared" si="292"/>
        <v>1.3103088971661123</v>
      </c>
      <c r="Q158" s="118">
        <f t="shared" si="280"/>
        <v>1.8491374808146555E-2</v>
      </c>
      <c r="R158" s="128"/>
      <c r="S158" s="119">
        <f t="shared" ref="S158:AB158" si="293">S155/S50</f>
        <v>1.2739114278003871</v>
      </c>
      <c r="T158" s="119">
        <f t="shared" si="293"/>
        <v>1.2385249992503762</v>
      </c>
      <c r="U158" s="119">
        <f t="shared" si="293"/>
        <v>1.2041215270489767</v>
      </c>
      <c r="V158" s="119">
        <f t="shared" si="293"/>
        <v>1.1706737068531718</v>
      </c>
      <c r="W158" s="119">
        <f t="shared" si="293"/>
        <v>1.1381549927739172</v>
      </c>
      <c r="X158" s="119">
        <f t="shared" si="293"/>
        <v>1.1065395763079748</v>
      </c>
      <c r="Y158" s="119">
        <f t="shared" si="293"/>
        <v>1.0758023658549758</v>
      </c>
      <c r="Z158" s="119">
        <f t="shared" si="293"/>
        <v>1.0459189668034485</v>
      </c>
      <c r="AA158" s="119">
        <f t="shared" si="293"/>
        <v>1.0168656621700194</v>
      </c>
      <c r="AB158" s="119">
        <f t="shared" si="293"/>
        <v>0.98861939377640773</v>
      </c>
      <c r="AC158" s="138">
        <f t="shared" si="283"/>
        <v>-6.1288455614655346E-3</v>
      </c>
      <c r="AD158" s="31">
        <v>0.08</v>
      </c>
      <c r="AE158" s="127">
        <f t="shared" si="284"/>
        <v>7.018287844234874</v>
      </c>
    </row>
    <row r="159" spans="2:31" x14ac:dyDescent="0.2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>
        <f t="shared" si="294"/>
        <v>0</v>
      </c>
      <c r="G159" s="25">
        <f t="shared" si="294"/>
        <v>1.7406808937426868</v>
      </c>
      <c r="H159" s="25">
        <f t="shared" si="294"/>
        <v>2.9169323005883663</v>
      </c>
      <c r="I159" s="25">
        <f t="shared" si="294"/>
        <v>3.8501573645120959</v>
      </c>
      <c r="J159" s="25">
        <f t="shared" si="294"/>
        <v>4.0026213592233004</v>
      </c>
      <c r="K159" s="25">
        <f t="shared" si="294"/>
        <v>5.1521227479432081</v>
      </c>
      <c r="L159" s="25">
        <f t="shared" si="294"/>
        <v>4.7569067606314981</v>
      </c>
      <c r="M159" s="25">
        <f t="shared" si="294"/>
        <v>5.8665032879370438</v>
      </c>
      <c r="N159" s="25">
        <f t="shared" si="294"/>
        <v>5.4095007056490063</v>
      </c>
      <c r="O159" s="25">
        <f t="shared" si="294"/>
        <v>3.6815798019158952</v>
      </c>
      <c r="P159" s="25">
        <f t="shared" si="294"/>
        <v>3.716147100098997</v>
      </c>
      <c r="Q159" s="118">
        <f t="shared" si="280"/>
        <v>8.7920302681046225E-2</v>
      </c>
      <c r="R159" s="128"/>
      <c r="S159" s="119">
        <f t="shared" ref="S159:AB159" si="295">S155/S59</f>
        <v>3.6129207917629134</v>
      </c>
      <c r="T159" s="119">
        <f t="shared" si="295"/>
        <v>3.5125618808806101</v>
      </c>
      <c r="U159" s="119">
        <f t="shared" si="295"/>
        <v>3.4149907175228154</v>
      </c>
      <c r="V159" s="119">
        <f t="shared" si="295"/>
        <v>3.3201298642582926</v>
      </c>
      <c r="W159" s="119">
        <f t="shared" si="295"/>
        <v>3.2279040346955621</v>
      </c>
      <c r="X159" s="119">
        <f t="shared" si="295"/>
        <v>3.1382400337317962</v>
      </c>
      <c r="Y159" s="119">
        <f t="shared" si="295"/>
        <v>3.0510666994614684</v>
      </c>
      <c r="Z159" s="119">
        <f t="shared" si="295"/>
        <v>2.9663148466986495</v>
      </c>
      <c r="AA159" s="119">
        <f t="shared" si="295"/>
        <v>2.8839172120681318</v>
      </c>
      <c r="AB159" s="119">
        <f t="shared" si="295"/>
        <v>2.8038084006217945</v>
      </c>
      <c r="AC159" s="138">
        <f t="shared" si="283"/>
        <v>2.5406986462439551E-2</v>
      </c>
      <c r="AD159" s="31">
        <v>0.08</v>
      </c>
      <c r="AE159" s="127">
        <f t="shared" si="284"/>
        <v>20.536033733569045</v>
      </c>
    </row>
    <row r="160" spans="2:31" x14ac:dyDescent="0.2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>
        <f t="shared" si="296"/>
        <v>0</v>
      </c>
      <c r="G160" s="25">
        <f t="shared" si="296"/>
        <v>5.7300073367571533</v>
      </c>
      <c r="H160" s="25">
        <f t="shared" si="296"/>
        <v>12.467181282826676</v>
      </c>
      <c r="I160" s="25">
        <f t="shared" si="296"/>
        <v>10.830135484538214</v>
      </c>
      <c r="J160" s="25">
        <f t="shared" si="296"/>
        <v>7.6305922792173453</v>
      </c>
      <c r="K160" s="25">
        <f t="shared" si="296"/>
        <v>8.3884700163906629</v>
      </c>
      <c r="L160" s="25">
        <f t="shared" si="296"/>
        <v>6.7403289441480245</v>
      </c>
      <c r="M160" s="25">
        <f t="shared" si="296"/>
        <v>8.1316391891218807</v>
      </c>
      <c r="N160" s="25">
        <f t="shared" si="296"/>
        <v>6.417524774876691</v>
      </c>
      <c r="O160" s="25">
        <f t="shared" si="296"/>
        <v>3.8838436175223738</v>
      </c>
      <c r="P160" s="25">
        <f t="shared" si="296"/>
        <v>-4.3509643422193465</v>
      </c>
      <c r="Q160" s="118">
        <f t="shared" si="280"/>
        <v>-1.9698721370596326</v>
      </c>
      <c r="R160" s="128"/>
      <c r="S160" s="119">
        <f t="shared" ref="S160:AB160" si="297">S155/S61</f>
        <v>-4.2301042216021427</v>
      </c>
      <c r="T160" s="119">
        <f t="shared" si="297"/>
        <v>-4.1126013265576384</v>
      </c>
      <c r="U160" s="119">
        <f t="shared" si="297"/>
        <v>-3.9983624008199259</v>
      </c>
      <c r="V160" s="119">
        <f t="shared" si="297"/>
        <v>-3.8872967785749282</v>
      </c>
      <c r="W160" s="119">
        <f t="shared" si="297"/>
        <v>-3.7793163125034019</v>
      </c>
      <c r="X160" s="119">
        <f t="shared" si="297"/>
        <v>-3.6743353038227515</v>
      </c>
      <c r="Y160" s="119">
        <f t="shared" si="297"/>
        <v>-3.5722704342721197</v>
      </c>
      <c r="Z160" s="119">
        <f t="shared" si="297"/>
        <v>-3.4730406999867824</v>
      </c>
      <c r="AA160" s="119">
        <f t="shared" si="297"/>
        <v>-3.376567347209372</v>
      </c>
      <c r="AB160" s="119">
        <f t="shared" si="297"/>
        <v>-3.2827738097868893</v>
      </c>
      <c r="AC160" s="138">
        <f t="shared" si="283"/>
        <v>-1.9711083149949427</v>
      </c>
      <c r="AD160" s="31">
        <v>0.08</v>
      </c>
      <c r="AE160" s="127">
        <f t="shared" si="284"/>
        <v>22.770921020940531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182">
        <f t="shared" ref="G161:P161" si="298">G155/G55</f>
        <v>1.1362479086346111</v>
      </c>
      <c r="H161" s="182">
        <f t="shared" si="298"/>
        <v>2.4492308173347506</v>
      </c>
      <c r="I161" s="182">
        <f t="shared" si="298"/>
        <v>3.1740953593404262</v>
      </c>
      <c r="J161" s="182">
        <f t="shared" si="298"/>
        <v>3.0473218764024179</v>
      </c>
      <c r="K161" s="182">
        <f t="shared" si="298"/>
        <v>3.618254955020844</v>
      </c>
      <c r="L161" s="182">
        <f t="shared" si="298"/>
        <v>3.3829151926100627</v>
      </c>
      <c r="M161" s="182">
        <f t="shared" si="298"/>
        <v>4.1048707633511015</v>
      </c>
      <c r="N161" s="182">
        <f t="shared" si="298"/>
        <v>3.4250460067138406</v>
      </c>
      <c r="O161" s="182">
        <f t="shared" si="298"/>
        <v>2.0004278782531979</v>
      </c>
      <c r="P161" s="182">
        <f t="shared" si="298"/>
        <v>2.937938364095996</v>
      </c>
      <c r="Q161" s="118">
        <f t="shared" ref="Q161:Q163" si="299">((P161/G161)^(1/($H$2-$H$1) ))-1</f>
        <v>0.11132495042948842</v>
      </c>
      <c r="R161" s="128"/>
      <c r="S161" s="135">
        <f t="shared" ref="S161:AB161" si="300">S155/S55</f>
        <v>2.8563289650933301</v>
      </c>
      <c r="T161" s="135">
        <f t="shared" si="300"/>
        <v>2.7769864938407358</v>
      </c>
      <c r="U161" s="135">
        <f t="shared" si="300"/>
        <v>2.6998479801229385</v>
      </c>
      <c r="V161" s="135">
        <f t="shared" si="300"/>
        <v>2.6248522028972991</v>
      </c>
      <c r="W161" s="135">
        <f t="shared" si="300"/>
        <v>2.551939641705709</v>
      </c>
      <c r="X161" s="135">
        <f t="shared" si="300"/>
        <v>2.4810524294361054</v>
      </c>
      <c r="Y161" s="135">
        <f t="shared" si="300"/>
        <v>2.4121343063962146</v>
      </c>
      <c r="Z161" s="135">
        <f t="shared" si="300"/>
        <v>2.3451305756629859</v>
      </c>
      <c r="AA161" s="135">
        <f t="shared" si="300"/>
        <v>2.2799880596723465</v>
      </c>
      <c r="AB161" s="135">
        <f t="shared" si="300"/>
        <v>2.2166550580147817</v>
      </c>
      <c r="AC161" s="138">
        <f t="shared" ref="AC161" si="301">((AB161/G161)^(1/($AB$3-$H$1) ))-1</f>
        <v>3.5797839973958911E-2</v>
      </c>
      <c r="AD161" s="31">
        <v>0.08</v>
      </c>
      <c r="AE161" s="127">
        <f t="shared" si="284"/>
        <v>16.400046578993294</v>
      </c>
    </row>
    <row r="162" spans="2:31" x14ac:dyDescent="0.2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>
        <f t="shared" si="302"/>
        <v>0.16837387964148526</v>
      </c>
      <c r="H162" s="161">
        <f t="shared" si="302"/>
        <v>7.4401931284173758E-2</v>
      </c>
      <c r="I162" s="161">
        <f t="shared" si="302"/>
        <v>5.5769583002042274E-2</v>
      </c>
      <c r="J162" s="161">
        <f t="shared" si="302"/>
        <v>5.9756262366202455E-2</v>
      </c>
      <c r="K162" s="161">
        <f t="shared" si="302"/>
        <v>5.0324355937182486E-2</v>
      </c>
      <c r="L162" s="161">
        <f t="shared" si="302"/>
        <v>5.8766208819898705E-2</v>
      </c>
      <c r="M162" s="161">
        <f t="shared" si="302"/>
        <v>5.4128742245752946E-2</v>
      </c>
      <c r="N162" s="161">
        <f t="shared" si="302"/>
        <v>6.5914130556798123E-2</v>
      </c>
      <c r="O162" s="161">
        <f t="shared" si="302"/>
        <v>0.10820358238312493</v>
      </c>
      <c r="P162" s="161">
        <f t="shared" si="302"/>
        <v>0.13159082221811449</v>
      </c>
      <c r="Q162" s="118">
        <f t="shared" si="299"/>
        <v>-2.7016101191834063E-2</v>
      </c>
      <c r="R162" s="128"/>
      <c r="S162" s="161">
        <f t="shared" ref="S162:AB162" si="303">S47/S155</f>
        <v>0.13535055999577489</v>
      </c>
      <c r="T162" s="161">
        <f t="shared" si="303"/>
        <v>0.13921771885279707</v>
      </c>
      <c r="U162" s="161">
        <f t="shared" si="303"/>
        <v>0.14319536796287696</v>
      </c>
      <c r="V162" s="161">
        <f t="shared" si="303"/>
        <v>0.14728666419038777</v>
      </c>
      <c r="W162" s="161">
        <f t="shared" si="303"/>
        <v>0.15149485459582743</v>
      </c>
      <c r="X162" s="161">
        <f t="shared" si="303"/>
        <v>0.15582327901285106</v>
      </c>
      <c r="Y162" s="161">
        <f t="shared" si="303"/>
        <v>0.16027537269893252</v>
      </c>
      <c r="Z162" s="161">
        <f t="shared" si="303"/>
        <v>0.16485466906175916</v>
      </c>
      <c r="AA162" s="161">
        <f t="shared" si="303"/>
        <v>0.16956480246352373</v>
      </c>
      <c r="AB162" s="161">
        <f t="shared" si="303"/>
        <v>0.1744095111053387</v>
      </c>
      <c r="AC162" s="138">
        <f t="shared" ref="AC162:AC163" si="304">((AB162/G162)^(1/($AB$3-$H$1) ))-1</f>
        <v>1.8553540634964616E-3</v>
      </c>
      <c r="AD162" s="31">
        <v>0.08</v>
      </c>
      <c r="AE162" s="127">
        <f t="shared" si="284"/>
        <v>1.2480935892891456</v>
      </c>
    </row>
    <row r="163" spans="2:31" x14ac:dyDescent="0.2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>
        <f t="shared" si="305"/>
        <v>3.4749999999999996E-2</v>
      </c>
      <c r="H163" s="152">
        <f t="shared" si="305"/>
        <v>2.5263157894736842E-2</v>
      </c>
      <c r="I163" s="152">
        <f t="shared" si="305"/>
        <v>2.2047244094488189E-2</v>
      </c>
      <c r="J163" s="152">
        <f t="shared" si="305"/>
        <v>2.2857142857142857E-2</v>
      </c>
      <c r="K163" s="152">
        <f t="shared" si="305"/>
        <v>1.9444444444444445E-2</v>
      </c>
      <c r="L163" s="152">
        <f t="shared" si="305"/>
        <v>2.1556886227544911E-2</v>
      </c>
      <c r="M163" s="152">
        <f t="shared" si="305"/>
        <v>1.9191919191919191E-2</v>
      </c>
      <c r="N163" s="152">
        <f t="shared" si="305"/>
        <v>2.2093023255813953E-2</v>
      </c>
      <c r="O163" s="152">
        <f t="shared" si="305"/>
        <v>3.6363636363636362E-2</v>
      </c>
      <c r="P163" s="152">
        <f t="shared" si="305"/>
        <v>3.2327586206896554E-2</v>
      </c>
      <c r="Q163" s="118">
        <f t="shared" si="299"/>
        <v>-7.9965940037430849E-3</v>
      </c>
      <c r="R163" s="128"/>
      <c r="S163" s="152">
        <f t="shared" ref="S163:AB163" si="306">S41/S155</f>
        <v>3.2327586206896547E-2</v>
      </c>
      <c r="T163" s="152">
        <f t="shared" si="306"/>
        <v>3.2327586206896554E-2</v>
      </c>
      <c r="U163" s="152">
        <f t="shared" si="306"/>
        <v>3.2327586206896554E-2</v>
      </c>
      <c r="V163" s="152">
        <f t="shared" si="306"/>
        <v>3.2327586206896554E-2</v>
      </c>
      <c r="W163" s="152">
        <f t="shared" si="306"/>
        <v>3.2327586206896554E-2</v>
      </c>
      <c r="X163" s="152">
        <f t="shared" si="306"/>
        <v>3.2327586206896561E-2</v>
      </c>
      <c r="Y163" s="152">
        <f t="shared" si="306"/>
        <v>3.2327586206896554E-2</v>
      </c>
      <c r="Z163" s="152">
        <f t="shared" si="306"/>
        <v>3.2327586206896554E-2</v>
      </c>
      <c r="AA163" s="152">
        <f t="shared" si="306"/>
        <v>3.2327586206896554E-2</v>
      </c>
      <c r="AB163" s="152">
        <f t="shared" si="306"/>
        <v>3.2327586206896561E-2</v>
      </c>
      <c r="AC163" s="138">
        <f t="shared" si="304"/>
        <v>-3.7958639596856747E-3</v>
      </c>
      <c r="AD163" s="31">
        <v>0.08</v>
      </c>
      <c r="AE163" s="127">
        <f t="shared" si="284"/>
        <v>0.23003482205364406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201" t="s">
        <v>352</v>
      </c>
      <c r="L166" s="202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0.69364165075959827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0.11922027733419388</v>
      </c>
      <c r="N168" s="20"/>
      <c r="O168" s="20"/>
      <c r="P168" s="128">
        <f>(P155-R134)/P155</f>
        <v>0.11922027733419388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-1.1979371173129936</v>
      </c>
      <c r="N169" s="20"/>
      <c r="O169" s="20"/>
      <c r="P169" s="128">
        <f>(P155-R127)/P155</f>
        <v>-1.1979371173129936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0.49304864779812474</v>
      </c>
      <c r="N170" s="20"/>
      <c r="O170" s="20"/>
      <c r="P170" s="128">
        <f>(P155-R140)/P155</f>
        <v>0.49304864779812474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400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v>1</v>
      </c>
      <c r="L171" s="20"/>
      <c r="M171" s="128">
        <f>(P156-(K169*R141))/P156</f>
        <v>1</v>
      </c>
      <c r="N171" s="20"/>
      <c r="O171" s="20"/>
      <c r="P171" s="128">
        <f>(P155-R152)/P155</f>
        <v>-1.2324421290484469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P155/R126</f>
        <v>2.9367326481261595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0.34051448320910987</v>
      </c>
      <c r="Q173" s="20"/>
      <c r="R173" s="20"/>
      <c r="S173" s="185">
        <f>P155-S174</f>
        <v>105.48665962297932</v>
      </c>
      <c r="T173" s="185">
        <f>S173-T174</f>
        <v>94.132252015796979</v>
      </c>
      <c r="U173" s="185">
        <f t="shared" ref="U173:W173" si="307">T173-U174</f>
        <v>81.869491800040052</v>
      </c>
      <c r="V173" s="185">
        <f t="shared" si="307"/>
        <v>68.625710767022582</v>
      </c>
      <c r="W173" s="185">
        <f t="shared" si="307"/>
        <v>54.322427251363706</v>
      </c>
      <c r="X173" s="185">
        <f>W173-X174</f>
        <v>38.874881054452118</v>
      </c>
      <c r="Y173" s="185">
        <f t="shared" ref="Y173:AB173" si="308">X173-Y174</f>
        <v>22.191531161787601</v>
      </c>
      <c r="Z173" s="185">
        <f t="shared" si="308"/>
        <v>4.1735132777099224</v>
      </c>
      <c r="AA173" s="185">
        <f t="shared" si="308"/>
        <v>-15.285946037093971</v>
      </c>
      <c r="AB173" s="185">
        <f t="shared" si="308"/>
        <v>-36.302162097082174</v>
      </c>
      <c r="AC173" s="137"/>
      <c r="AD173" s="20"/>
      <c r="AE173" s="20"/>
    </row>
    <row r="174" spans="2:31" x14ac:dyDescent="0.2">
      <c r="B174" s="20" t="s">
        <v>397</v>
      </c>
      <c r="C174" s="20"/>
      <c r="D174" s="20"/>
      <c r="E174" s="20"/>
      <c r="F174" s="20"/>
      <c r="G174" s="20"/>
      <c r="H174" s="20"/>
      <c r="I174" s="20"/>
      <c r="J174" s="20"/>
      <c r="K174" s="184">
        <v>0.08</v>
      </c>
      <c r="L174" s="20"/>
      <c r="M174" s="181">
        <f>P155/(Q125*(1+K174)^L174)</f>
        <v>11.916288782376743</v>
      </c>
      <c r="N174" s="20"/>
      <c r="O174" s="20"/>
      <c r="P174" s="181">
        <f>P155/Q125</f>
        <v>11.916288782376743</v>
      </c>
      <c r="Q174" s="20"/>
      <c r="R174" s="20"/>
      <c r="S174" s="186">
        <f>Q125*(1+$K$174)</f>
        <v>10.513340377020679</v>
      </c>
      <c r="T174" s="186">
        <f>S174*(1+$K$174)</f>
        <v>11.354407607182335</v>
      </c>
      <c r="U174" s="186">
        <f t="shared" ref="U174:AB174" si="309">T174*(1+$K$174)</f>
        <v>12.262760215756922</v>
      </c>
      <c r="V174" s="186">
        <f t="shared" si="309"/>
        <v>13.243781033017477</v>
      </c>
      <c r="W174" s="186">
        <f t="shared" si="309"/>
        <v>14.303283515658876</v>
      </c>
      <c r="X174" s="186">
        <f t="shared" si="309"/>
        <v>15.447546196911587</v>
      </c>
      <c r="Y174" s="186">
        <f t="shared" si="309"/>
        <v>16.683349892664516</v>
      </c>
      <c r="Z174" s="186">
        <f t="shared" si="309"/>
        <v>18.018017884077679</v>
      </c>
      <c r="AA174" s="186">
        <f t="shared" si="309"/>
        <v>19.459459314803894</v>
      </c>
      <c r="AB174" s="186">
        <f t="shared" si="309"/>
        <v>21.016216059988206</v>
      </c>
      <c r="AC174" s="137"/>
      <c r="AD174" s="20"/>
      <c r="AE174" s="20"/>
    </row>
    <row r="175" spans="2:31" x14ac:dyDescent="0.2">
      <c r="B175" s="20" t="s">
        <v>396</v>
      </c>
      <c r="C175" s="20"/>
      <c r="D175" s="20"/>
      <c r="E175" s="20"/>
      <c r="F175" s="20"/>
      <c r="G175" s="20"/>
      <c r="H175" s="20"/>
      <c r="I175" s="20"/>
      <c r="J175" s="20"/>
      <c r="K175" s="184">
        <v>0.08</v>
      </c>
      <c r="L175" s="20"/>
      <c r="M175" s="181">
        <f>P155/(P47*(1+K175)^L175)</f>
        <v>7.5993141705770286</v>
      </c>
      <c r="N175" s="20"/>
      <c r="O175" s="20"/>
      <c r="P175" s="181">
        <f>P155/P47</f>
        <v>7.5993141705770286</v>
      </c>
      <c r="Q175" s="20"/>
      <c r="R175" s="20"/>
      <c r="S175" s="186">
        <f>P47*(1+$K$175)</f>
        <v>16.485698207485385</v>
      </c>
      <c r="T175" s="186">
        <f>S175*(1+$K$175)</f>
        <v>17.804554064084215</v>
      </c>
      <c r="U175" s="186">
        <f t="shared" ref="U175:AB175" si="310">T175*(1+$K$175)</f>
        <v>19.228918389210953</v>
      </c>
      <c r="V175" s="186">
        <f t="shared" si="310"/>
        <v>20.767231860347831</v>
      </c>
      <c r="W175" s="186">
        <f t="shared" si="310"/>
        <v>22.428610409175658</v>
      </c>
      <c r="X175" s="186">
        <f t="shared" si="310"/>
        <v>24.222899241909712</v>
      </c>
      <c r="Y175" s="186">
        <f t="shared" si="310"/>
        <v>26.160731181262491</v>
      </c>
      <c r="Z175" s="186">
        <f t="shared" si="310"/>
        <v>28.253589675763493</v>
      </c>
      <c r="AA175" s="186">
        <f t="shared" si="310"/>
        <v>30.513876849824573</v>
      </c>
      <c r="AB175" s="186">
        <f t="shared" si="310"/>
        <v>32.954986997810543</v>
      </c>
      <c r="AC175" s="137"/>
      <c r="AD175" s="20"/>
      <c r="AE175" s="20"/>
    </row>
    <row r="176" spans="2:31" x14ac:dyDescent="0.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85">
        <f>P155-S175</f>
        <v>99.514301792514615</v>
      </c>
      <c r="T176" s="185">
        <f>S176-T175</f>
        <v>81.709747728430401</v>
      </c>
      <c r="U176" s="185">
        <f t="shared" ref="U176:Z176" si="311">T176-U175</f>
        <v>62.480829339219447</v>
      </c>
      <c r="V176" s="185">
        <f t="shared" si="311"/>
        <v>41.71359747887162</v>
      </c>
      <c r="W176" s="185">
        <f t="shared" si="311"/>
        <v>19.284987069695962</v>
      </c>
      <c r="X176" s="185">
        <f t="shared" si="311"/>
        <v>-4.9379121722137498</v>
      </c>
      <c r="Y176" s="185">
        <f t="shared" si="311"/>
        <v>-31.098643353476241</v>
      </c>
      <c r="Z176" s="185">
        <f t="shared" si="311"/>
        <v>-59.352233029239734</v>
      </c>
      <c r="AA176" s="185">
        <f>Z176-AA175</f>
        <v>-89.866109879064311</v>
      </c>
      <c r="AB176" s="185">
        <f t="shared" ref="AB176" si="312">AA176-AB175</f>
        <v>-122.82109687687486</v>
      </c>
      <c r="AC176" s="20"/>
      <c r="AD176" s="20"/>
      <c r="AE176" s="20"/>
    </row>
    <row r="177" spans="2:31" x14ac:dyDescent="0.2">
      <c r="B177" s="108" t="s">
        <v>303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 t="s">
        <v>306</v>
      </c>
      <c r="C178" s="25" t="e">
        <f t="shared" ref="C178:P178" si="313">C10/C7</f>
        <v>#DIV/0!</v>
      </c>
      <c r="D178" s="25" t="e">
        <f t="shared" si="313"/>
        <v>#DIV/0!</v>
      </c>
      <c r="E178" s="25" t="e">
        <f t="shared" si="313"/>
        <v>#DIV/0!</v>
      </c>
      <c r="F178" s="25">
        <f t="shared" si="313"/>
        <v>0.42022086824067023</v>
      </c>
      <c r="G178" s="25">
        <f t="shared" si="313"/>
        <v>0.43450790469828549</v>
      </c>
      <c r="H178" s="25">
        <f t="shared" si="313"/>
        <v>0.42193890975195542</v>
      </c>
      <c r="I178" s="25">
        <f t="shared" si="313"/>
        <v>0.5093333333333333</v>
      </c>
      <c r="J178" s="25">
        <f t="shared" si="313"/>
        <v>0.56815569058958781</v>
      </c>
      <c r="K178" s="25">
        <f t="shared" si="313"/>
        <v>0.60427149937573299</v>
      </c>
      <c r="L178" s="25">
        <f t="shared" si="313"/>
        <v>0.70456564530457955</v>
      </c>
      <c r="M178" s="25">
        <f t="shared" si="313"/>
        <v>0.73445901481469589</v>
      </c>
      <c r="N178" s="25">
        <f t="shared" si="313"/>
        <v>0.75805290756598753</v>
      </c>
      <c r="O178" s="25">
        <f t="shared" si="313"/>
        <v>0.75847423456358698</v>
      </c>
      <c r="P178" s="25">
        <f t="shared" si="313"/>
        <v>0.82226426451192414</v>
      </c>
      <c r="Q178" s="118">
        <f t="shared" ref="Q178:Q180" si="314">((P178/G178)^(1/($H$2-$H$1) ))-1</f>
        <v>7.3443779994431857E-2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 t="s">
        <v>307</v>
      </c>
      <c r="C179" s="112" t="e">
        <f>C10/C12</f>
        <v>#DIV/0!</v>
      </c>
      <c r="D179" s="112" t="e">
        <f>D10/D12</f>
        <v>#DIV/0!</v>
      </c>
      <c r="E179" s="112" t="e">
        <f>E10/E12</f>
        <v>#DIV/0!</v>
      </c>
      <c r="F179" s="112">
        <f>F10/F12</f>
        <v>24.29724770642202</v>
      </c>
      <c r="G179" s="112">
        <f>G10/G12</f>
        <v>25.633825944170773</v>
      </c>
      <c r="H179" s="112">
        <f t="shared" ref="H179:P179" si="315">H10/H12</f>
        <v>2.8460793804453051</v>
      </c>
      <c r="I179" s="112">
        <f t="shared" si="315"/>
        <v>2.6632581919590983</v>
      </c>
      <c r="J179" s="112">
        <f t="shared" si="315"/>
        <v>2.0204409402832528</v>
      </c>
      <c r="K179" s="112">
        <f t="shared" si="315"/>
        <v>2.0796223958333333</v>
      </c>
      <c r="L179" s="112">
        <f t="shared" si="315"/>
        <v>2.3446177033215467</v>
      </c>
      <c r="M179" s="112">
        <f t="shared" si="315"/>
        <v>2.8506728133565913</v>
      </c>
      <c r="N179" s="112">
        <f t="shared" si="315"/>
        <v>2.8896416573348263</v>
      </c>
      <c r="O179" s="112">
        <f t="shared" si="315"/>
        <v>3.1193411088386491</v>
      </c>
      <c r="P179" s="112">
        <f t="shared" si="315"/>
        <v>3.5650070551368014</v>
      </c>
      <c r="Q179" s="118">
        <f t="shared" si="314"/>
        <v>-0.19683418007163356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 t="s">
        <v>308</v>
      </c>
      <c r="C180" s="25" t="e">
        <f>C10/(C12+C13)</f>
        <v>#DIV/0!</v>
      </c>
      <c r="D180" s="25" t="e">
        <f>D10/(D12+D13)</f>
        <v>#DIV/0!</v>
      </c>
      <c r="E180" s="25" t="e">
        <f>E10/(E12+E13)</f>
        <v>#DIV/0!</v>
      </c>
      <c r="F180" s="25">
        <f>F10/(F12+F13)</f>
        <v>3.1438746438746437</v>
      </c>
      <c r="G180" s="25">
        <f>G10/(G12+G13)</f>
        <v>0.86983897030144319</v>
      </c>
      <c r="H180" s="25">
        <f t="shared" ref="H180:P180" si="316">H10/(H12+H13)</f>
        <v>0.65688538020406639</v>
      </c>
      <c r="I180" s="25">
        <f t="shared" si="316"/>
        <v>0.842709022722259</v>
      </c>
      <c r="J180" s="25">
        <f t="shared" si="316"/>
        <v>0.95963938973647711</v>
      </c>
      <c r="K180" s="25">
        <f t="shared" si="316"/>
        <v>1.1088624292706635</v>
      </c>
      <c r="L180" s="25">
        <f t="shared" si="316"/>
        <v>1.3972777835354269</v>
      </c>
      <c r="M180" s="25">
        <f t="shared" si="316"/>
        <v>1.6442919256890294</v>
      </c>
      <c r="N180" s="25">
        <f t="shared" si="316"/>
        <v>1.9685318686348552</v>
      </c>
      <c r="O180" s="25">
        <f t="shared" si="316"/>
        <v>2.2906315960383181</v>
      </c>
      <c r="P180" s="25">
        <f t="shared" si="316"/>
        <v>2.5954316010648797</v>
      </c>
      <c r="Q180" s="118">
        <f t="shared" si="314"/>
        <v>0.1291517267961646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174" t="s">
        <v>378</v>
      </c>
      <c r="D183" s="175"/>
      <c r="E183" s="175"/>
      <c r="F183" s="175"/>
      <c r="G183" s="175"/>
      <c r="H183" s="175"/>
      <c r="I183" s="175"/>
      <c r="J183" s="175"/>
      <c r="K183" s="20"/>
      <c r="L183" s="198" t="s">
        <v>338</v>
      </c>
      <c r="M183" s="199"/>
      <c r="N183" s="200"/>
      <c r="O183" s="23" t="s">
        <v>341</v>
      </c>
      <c r="P183" s="20"/>
      <c r="Q183" s="198" t="s">
        <v>339</v>
      </c>
      <c r="R183" s="199"/>
      <c r="S183" s="200"/>
      <c r="T183" s="23" t="s">
        <v>341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166" t="s">
        <v>340</v>
      </c>
      <c r="D184" s="166" t="s">
        <v>0</v>
      </c>
      <c r="E184" s="166" t="s">
        <v>379</v>
      </c>
      <c r="F184" s="166" t="s">
        <v>380</v>
      </c>
      <c r="G184" s="166" t="s">
        <v>381</v>
      </c>
      <c r="H184" s="166" t="s">
        <v>382</v>
      </c>
      <c r="I184" s="166" t="s">
        <v>383</v>
      </c>
      <c r="J184" s="166" t="s">
        <v>384</v>
      </c>
      <c r="K184" s="20"/>
      <c r="L184" s="166" t="s">
        <v>340</v>
      </c>
      <c r="M184" s="166"/>
      <c r="N184" s="166" t="s">
        <v>0</v>
      </c>
      <c r="O184" s="166" t="s">
        <v>373</v>
      </c>
      <c r="P184" s="20"/>
      <c r="Q184" s="166" t="s">
        <v>340</v>
      </c>
      <c r="R184" s="166"/>
      <c r="S184" s="166" t="s">
        <v>0</v>
      </c>
      <c r="T184" s="166" t="s">
        <v>373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167" t="s">
        <v>342</v>
      </c>
      <c r="D185" s="21">
        <v>1</v>
      </c>
      <c r="E185" s="176" t="s">
        <v>385</v>
      </c>
      <c r="F185" s="22">
        <v>1</v>
      </c>
      <c r="G185" s="22">
        <v>1</v>
      </c>
      <c r="H185" s="167">
        <f>F185/G185</f>
        <v>1</v>
      </c>
      <c r="I185" s="167">
        <f>H185*D186</f>
        <v>1</v>
      </c>
      <c r="J185" s="177">
        <f>I185+D186</f>
        <v>2</v>
      </c>
      <c r="K185" s="20"/>
      <c r="L185" s="167" t="s">
        <v>342</v>
      </c>
      <c r="M185" s="167"/>
      <c r="N185" s="21">
        <v>40</v>
      </c>
      <c r="O185" s="173">
        <f>N185</f>
        <v>40</v>
      </c>
      <c r="P185" s="20"/>
      <c r="Q185" s="167" t="s">
        <v>342</v>
      </c>
      <c r="R185" s="167"/>
      <c r="S185" s="21">
        <v>1</v>
      </c>
      <c r="T185" s="173">
        <f>S185</f>
        <v>1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167" t="s">
        <v>343</v>
      </c>
      <c r="D186" s="21">
        <v>1</v>
      </c>
      <c r="E186" s="176" t="s">
        <v>386</v>
      </c>
      <c r="F186" s="22">
        <v>1</v>
      </c>
      <c r="G186" s="22">
        <v>1</v>
      </c>
      <c r="H186" s="167">
        <f>F186/G186</f>
        <v>1</v>
      </c>
      <c r="I186" s="167">
        <f>H186*J185</f>
        <v>2</v>
      </c>
      <c r="J186" s="167">
        <f>I186+J185</f>
        <v>4</v>
      </c>
      <c r="K186" s="20"/>
      <c r="L186" s="167" t="s">
        <v>343</v>
      </c>
      <c r="M186" s="167"/>
      <c r="N186" s="21">
        <v>1</v>
      </c>
      <c r="O186" s="173">
        <f>N186</f>
        <v>1</v>
      </c>
      <c r="P186" s="20"/>
      <c r="Q186" s="167" t="s">
        <v>343</v>
      </c>
      <c r="R186" s="167"/>
      <c r="S186" s="21">
        <v>1</v>
      </c>
      <c r="T186" s="173">
        <f>S186</f>
        <v>1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167" t="s">
        <v>345</v>
      </c>
      <c r="D187" s="168">
        <f>D185*D186</f>
        <v>1</v>
      </c>
      <c r="E187" s="176" t="s">
        <v>398</v>
      </c>
      <c r="F187" s="22">
        <v>0</v>
      </c>
      <c r="G187" s="22">
        <v>2</v>
      </c>
      <c r="H187" s="167">
        <f>F187/G187</f>
        <v>0</v>
      </c>
      <c r="I187" s="167">
        <f>H187*J186</f>
        <v>0</v>
      </c>
      <c r="J187" s="167">
        <f>I187+J186</f>
        <v>4</v>
      </c>
      <c r="K187" s="20"/>
      <c r="L187" s="167" t="s">
        <v>344</v>
      </c>
      <c r="M187" s="167"/>
      <c r="N187" s="168">
        <f>N185*N186</f>
        <v>40</v>
      </c>
      <c r="O187" s="173">
        <f>N187</f>
        <v>40</v>
      </c>
      <c r="P187" s="20"/>
      <c r="Q187" s="167" t="s">
        <v>345</v>
      </c>
      <c r="R187" s="167"/>
      <c r="S187" s="168">
        <f>S185*S186</f>
        <v>1</v>
      </c>
      <c r="T187" s="173">
        <f>S187</f>
        <v>1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167"/>
      <c r="D188" s="168"/>
      <c r="E188" s="176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20</v>
      </c>
      <c r="J188" s="167">
        <f>I188</f>
        <v>20</v>
      </c>
      <c r="K188" s="20"/>
      <c r="L188" s="167" t="s">
        <v>346</v>
      </c>
      <c r="M188" s="167"/>
      <c r="N188" s="21">
        <v>116</v>
      </c>
      <c r="O188" s="21">
        <v>291</v>
      </c>
      <c r="P188" s="20"/>
      <c r="Q188" s="167" t="s">
        <v>346</v>
      </c>
      <c r="R188" s="167"/>
      <c r="S188" s="21">
        <v>1</v>
      </c>
      <c r="T188" s="21">
        <v>1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167" t="s">
        <v>346</v>
      </c>
      <c r="D189" s="21">
        <v>1</v>
      </c>
      <c r="E189" s="176"/>
      <c r="F189" s="167"/>
      <c r="G189" s="167"/>
      <c r="H189" s="169" t="s">
        <v>388</v>
      </c>
      <c r="I189" s="167"/>
      <c r="J189" s="167">
        <f>J188</f>
        <v>20</v>
      </c>
      <c r="K189" s="20"/>
      <c r="L189" s="167" t="s">
        <v>347</v>
      </c>
      <c r="M189" s="167"/>
      <c r="N189" s="168">
        <f>N188*N186</f>
        <v>116</v>
      </c>
      <c r="O189" s="168">
        <f>O188*O186</f>
        <v>291</v>
      </c>
      <c r="P189" s="20"/>
      <c r="Q189" s="167" t="s">
        <v>343</v>
      </c>
      <c r="R189" s="167"/>
      <c r="S189" s="21">
        <v>1</v>
      </c>
      <c r="T189" s="127">
        <f>S189</f>
        <v>1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 x14ac:dyDescent="0.2">
      <c r="B190" s="20"/>
      <c r="C190" s="167" t="s">
        <v>343</v>
      </c>
      <c r="D190" s="21">
        <v>1</v>
      </c>
      <c r="E190" s="176" t="s">
        <v>387</v>
      </c>
      <c r="F190" s="22">
        <v>10</v>
      </c>
      <c r="G190" s="22">
        <v>2</v>
      </c>
      <c r="H190" s="167">
        <f>F190/G190</f>
        <v>5</v>
      </c>
      <c r="I190" s="177">
        <f>H190*D186</f>
        <v>5</v>
      </c>
      <c r="J190" s="177">
        <f>I190</f>
        <v>5</v>
      </c>
      <c r="K190" s="20"/>
      <c r="L190" s="167"/>
      <c r="M190" s="167"/>
      <c r="N190" s="168"/>
      <c r="O190" s="168"/>
      <c r="P190" s="20"/>
      <c r="Q190" s="167" t="s">
        <v>345</v>
      </c>
      <c r="R190" s="167"/>
      <c r="S190" s="168">
        <f>S189*S188</f>
        <v>1</v>
      </c>
      <c r="T190" s="168">
        <f>T189*T188</f>
        <v>1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 x14ac:dyDescent="0.2">
      <c r="B191" s="20"/>
      <c r="C191" s="167" t="s">
        <v>345</v>
      </c>
      <c r="D191" s="168">
        <f>D190*D189</f>
        <v>1</v>
      </c>
      <c r="E191" s="167"/>
      <c r="F191" s="167"/>
      <c r="G191" s="167"/>
      <c r="H191" s="169" t="s">
        <v>388</v>
      </c>
      <c r="I191" s="167"/>
      <c r="J191" s="167">
        <f>J190</f>
        <v>5</v>
      </c>
      <c r="K191" s="20"/>
      <c r="L191" s="167"/>
      <c r="M191" s="167"/>
      <c r="N191" s="168"/>
      <c r="O191" s="168"/>
      <c r="P191" s="20"/>
      <c r="Q191" s="167"/>
      <c r="R191" s="167"/>
      <c r="S191" s="168"/>
      <c r="T191" s="16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 x14ac:dyDescent="0.2">
      <c r="B192" s="20"/>
      <c r="C192" s="167"/>
      <c r="D192" s="168"/>
      <c r="E192" s="176" t="s">
        <v>387</v>
      </c>
      <c r="F192" s="22">
        <v>10</v>
      </c>
      <c r="G192" s="22">
        <v>2</v>
      </c>
      <c r="H192" s="167">
        <f>F192/G192</f>
        <v>5</v>
      </c>
      <c r="I192" s="167">
        <f>H192*J191</f>
        <v>25</v>
      </c>
      <c r="J192" s="167">
        <f>I192</f>
        <v>25</v>
      </c>
      <c r="K192" s="20"/>
      <c r="L192" s="169" t="s">
        <v>348</v>
      </c>
      <c r="M192" s="169"/>
      <c r="N192" s="170">
        <f>N189/N187</f>
        <v>2.9</v>
      </c>
      <c r="O192" s="170">
        <f>O189/O187</f>
        <v>7.2750000000000004</v>
      </c>
      <c r="P192" s="20"/>
      <c r="Q192" s="169" t="s">
        <v>348</v>
      </c>
      <c r="R192" s="169"/>
      <c r="S192" s="170">
        <f>S190/S187</f>
        <v>1</v>
      </c>
      <c r="T192" s="170">
        <f>T190/T187</f>
        <v>1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169" t="s">
        <v>348</v>
      </c>
      <c r="D193" s="170">
        <f>D191/D187</f>
        <v>1</v>
      </c>
      <c r="E193" s="176"/>
      <c r="F193" s="167"/>
      <c r="G193" s="167"/>
      <c r="H193" s="169" t="s">
        <v>388</v>
      </c>
      <c r="I193" s="167"/>
      <c r="J193" s="167">
        <f>J192</f>
        <v>25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137"/>
      <c r="E195" s="178"/>
      <c r="F195" s="178"/>
      <c r="G195" s="179"/>
      <c r="H195" s="20"/>
      <c r="I195" s="137"/>
      <c r="J195" s="178"/>
      <c r="K195" s="179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ht="14.25" x14ac:dyDescent="0.2">
      <c r="B196" s="20"/>
      <c r="C196" s="20"/>
      <c r="D196" s="191" t="s">
        <v>27</v>
      </c>
      <c r="E196" s="192"/>
      <c r="F196" s="192"/>
      <c r="G196" s="193"/>
      <c r="H196" s="20"/>
      <c r="I196" s="191" t="s">
        <v>393</v>
      </c>
      <c r="J196" s="192"/>
      <c r="K196" s="193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 t="s">
        <v>28</v>
      </c>
      <c r="E197" s="127"/>
      <c r="F197" s="127"/>
      <c r="G197" s="21">
        <v>1</v>
      </c>
      <c r="H197" s="20"/>
      <c r="I197" s="20" t="s">
        <v>28</v>
      </c>
      <c r="J197" s="127"/>
      <c r="K197" s="21">
        <f>G197</f>
        <v>1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0" t="s">
        <v>29</v>
      </c>
      <c r="E198" s="127"/>
      <c r="F198" s="127"/>
      <c r="G198" s="21">
        <v>1</v>
      </c>
      <c r="H198" s="20"/>
      <c r="I198" s="20" t="s">
        <v>29</v>
      </c>
      <c r="J198" s="20"/>
      <c r="K198" s="21">
        <f>G198</f>
        <v>1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0" t="s">
        <v>30</v>
      </c>
      <c r="E199" s="20"/>
      <c r="F199" s="20"/>
      <c r="G199" s="22">
        <v>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3" t="s">
        <v>31</v>
      </c>
      <c r="E200" s="3"/>
      <c r="F200" s="3"/>
      <c r="G200" s="3">
        <f>((G198/G197)^(1/G199))-1</f>
        <v>0</v>
      </c>
      <c r="H200" s="20"/>
      <c r="I200" s="23" t="s">
        <v>394</v>
      </c>
      <c r="J200" s="23"/>
      <c r="K200" s="23">
        <f>(K198-K197)/K197</f>
        <v>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20"/>
      <c r="D201" s="23" t="s">
        <v>32</v>
      </c>
      <c r="E201" s="165"/>
      <c r="F201" s="165"/>
      <c r="G201" s="24">
        <f>G199*12</f>
        <v>12</v>
      </c>
      <c r="H201" s="20"/>
      <c r="I201" s="23" t="s">
        <v>395</v>
      </c>
      <c r="J201" s="23"/>
      <c r="K201" s="23">
        <f>K198/K197</f>
        <v>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20"/>
      <c r="D202" s="20" t="s">
        <v>30</v>
      </c>
      <c r="E202" s="25"/>
      <c r="F202" s="25"/>
      <c r="G202" s="25">
        <f>G201/12</f>
        <v>1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20"/>
      <c r="D203" s="23" t="s">
        <v>33</v>
      </c>
      <c r="E203" s="3"/>
      <c r="F203" s="3"/>
      <c r="G203" s="3">
        <f>((G198/G197)^(1/G202))-1</f>
        <v>0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</sheetData>
  <mergeCells count="7">
    <mergeCell ref="D196:G196"/>
    <mergeCell ref="I196:K196"/>
    <mergeCell ref="AD2:AE2"/>
    <mergeCell ref="AD3:AE3"/>
    <mergeCell ref="L183:N183"/>
    <mergeCell ref="Q183:S183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3" t="s">
        <v>27</v>
      </c>
      <c r="K5" s="203"/>
      <c r="M5" s="203" t="s">
        <v>65</v>
      </c>
      <c r="N5" s="20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3" t="s">
        <v>36</v>
      </c>
      <c r="K14" s="203"/>
      <c r="L14" s="20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3" t="s">
        <v>27</v>
      </c>
      <c r="S5" s="20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3" t="s">
        <v>36</v>
      </c>
      <c r="S14" s="203"/>
      <c r="T14" s="20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3" t="s">
        <v>27</v>
      </c>
      <c r="C2" s="203"/>
      <c r="E2" s="203" t="s">
        <v>65</v>
      </c>
      <c r="F2" s="203"/>
      <c r="H2" s="207" t="s">
        <v>36</v>
      </c>
      <c r="I2" s="20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4" t="s">
        <v>68</v>
      </c>
      <c r="E10" s="205"/>
      <c r="F10" s="205"/>
      <c r="G10" s="205"/>
      <c r="H10" s="206"/>
      <c r="I10" s="204" t="s">
        <v>72</v>
      </c>
      <c r="J10" s="205"/>
      <c r="K10" s="205"/>
      <c r="L10" s="20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2014-05-11T11:12:53Z</dcterms:modified>
</cp:coreProperties>
</file>
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240" yWindow="105" windowWidth="14805" windowHeight="8010" activeTab="2"/>
  </bookViews>
  <sheets>
    <sheet name="1 - Eval Steps" sheetId="16" r:id="rId1"/>
    <sheet name="2 - Analysis" sheetId="15" r:id="rId2"/>
    <sheet name="3 - Forecast" sheetId="18" r:id="rId3"/>
    <sheet name="BV calc" sheetId="8" r:id="rId4"/>
    <sheet name="Sheet1" sheetId="11" state="hidden" r:id="rId5"/>
    <sheet name="IOB" sheetId="9" state="hidden" r:id="rId6"/>
    <sheet name="Template" sheetId="12" state="hidden" r:id="rId7"/>
  </sheets>
  <calcPr calcId="125725"/>
</workbook>
</file>

<file path=xl/calcChain.xml><?xml version="1.0" encoding="utf-8"?>
<calcChain xmlns="http://schemas.openxmlformats.org/spreadsheetml/2006/main">
  <c r="G209" i="18"/>
  <c r="G210"/>
  <c r="H42"/>
  <c r="H38"/>
  <c r="H36"/>
  <c r="H34"/>
  <c r="H33"/>
  <c r="H29"/>
  <c r="H27"/>
  <c r="H25"/>
  <c r="H13"/>
  <c r="H14"/>
  <c r="H15"/>
  <c r="H16"/>
  <c r="H18"/>
  <c r="H12"/>
  <c r="H10"/>
  <c r="H9"/>
  <c r="H7"/>
  <c r="H6"/>
  <c r="Q23"/>
  <c r="N12"/>
  <c r="M12"/>
  <c r="L12"/>
  <c r="K12"/>
  <c r="J12"/>
  <c r="I12"/>
  <c r="G212" l="1"/>
  <c r="K183" l="1"/>
  <c r="K182"/>
  <c r="K181"/>
  <c r="K180"/>
  <c r="AD38" l="1"/>
  <c r="R38"/>
  <c r="S38" s="1"/>
  <c r="T38" s="1"/>
  <c r="U38" s="1"/>
  <c r="V38" s="1"/>
  <c r="W38" s="1"/>
  <c r="X38" s="1"/>
  <c r="Y38" s="1"/>
  <c r="Z38" s="1"/>
  <c r="AA38" s="1"/>
  <c r="AB38" s="1"/>
  <c r="Q38"/>
  <c r="P39"/>
  <c r="O39"/>
  <c r="N39"/>
  <c r="M39"/>
  <c r="L39"/>
  <c r="K39"/>
  <c r="J39"/>
  <c r="I39"/>
  <c r="H39"/>
  <c r="G39"/>
  <c r="AE38" l="1"/>
  <c r="AC38"/>
  <c r="T201" l="1"/>
  <c r="T202" s="1"/>
  <c r="D199"/>
  <c r="H199"/>
  <c r="L26"/>
  <c r="L103"/>
  <c r="J103"/>
  <c r="H103"/>
  <c r="F103"/>
  <c r="G103"/>
  <c r="I103"/>
  <c r="K103"/>
  <c r="M103"/>
  <c r="N103"/>
  <c r="O103"/>
  <c r="P103"/>
  <c r="H134"/>
  <c r="I134"/>
  <c r="J134"/>
  <c r="K134"/>
  <c r="L134"/>
  <c r="M134"/>
  <c r="N134"/>
  <c r="O134"/>
  <c r="P134"/>
  <c r="H133"/>
  <c r="I133"/>
  <c r="J133"/>
  <c r="K133"/>
  <c r="L133"/>
  <c r="M133"/>
  <c r="N133"/>
  <c r="O133"/>
  <c r="P133"/>
  <c r="S42"/>
  <c r="G213"/>
  <c r="G214" s="1"/>
  <c r="G215" s="1"/>
  <c r="K210"/>
  <c r="K209"/>
  <c r="AD53"/>
  <c r="C53"/>
  <c r="D53"/>
  <c r="E53"/>
  <c r="F53"/>
  <c r="H53"/>
  <c r="I53"/>
  <c r="J53"/>
  <c r="K53"/>
  <c r="L53"/>
  <c r="M53"/>
  <c r="N53"/>
  <c r="O53"/>
  <c r="P53"/>
  <c r="G53"/>
  <c r="H204"/>
  <c r="D203"/>
  <c r="H202"/>
  <c r="I202" s="1"/>
  <c r="J202" s="1"/>
  <c r="J203" s="1"/>
  <c r="H200"/>
  <c r="H198"/>
  <c r="H197"/>
  <c r="I197" s="1"/>
  <c r="J197" s="1"/>
  <c r="D205" l="1"/>
  <c r="K213"/>
  <c r="Q53"/>
  <c r="K212"/>
  <c r="I198"/>
  <c r="J198" s="1"/>
  <c r="I204"/>
  <c r="J204" s="1"/>
  <c r="J205" s="1"/>
  <c r="H88"/>
  <c r="I88"/>
  <c r="J88"/>
  <c r="K88"/>
  <c r="L88"/>
  <c r="M88"/>
  <c r="N88"/>
  <c r="O88"/>
  <c r="P88"/>
  <c r="G88"/>
  <c r="H41"/>
  <c r="I41"/>
  <c r="J41"/>
  <c r="K41"/>
  <c r="L41"/>
  <c r="M41"/>
  <c r="N41"/>
  <c r="O41"/>
  <c r="P41"/>
  <c r="K37"/>
  <c r="L37"/>
  <c r="M37"/>
  <c r="J37"/>
  <c r="I37"/>
  <c r="H37"/>
  <c r="G37"/>
  <c r="P37"/>
  <c r="O37"/>
  <c r="N37"/>
  <c r="P30"/>
  <c r="O30"/>
  <c r="N30"/>
  <c r="M30"/>
  <c r="N28"/>
  <c r="O28"/>
  <c r="P28"/>
  <c r="N26"/>
  <c r="O26"/>
  <c r="P26"/>
  <c r="H11"/>
  <c r="I11"/>
  <c r="J11"/>
  <c r="K11"/>
  <c r="L11"/>
  <c r="M11"/>
  <c r="N11"/>
  <c r="O11"/>
  <c r="P11"/>
  <c r="G134"/>
  <c r="G133"/>
  <c r="AD14"/>
  <c r="R14"/>
  <c r="S14" s="1"/>
  <c r="T14" s="1"/>
  <c r="U14" s="1"/>
  <c r="V14" s="1"/>
  <c r="W14" s="1"/>
  <c r="X14" s="1"/>
  <c r="Y14" s="1"/>
  <c r="Z14" s="1"/>
  <c r="AA14" s="1"/>
  <c r="AB14" s="1"/>
  <c r="Q14"/>
  <c r="T198"/>
  <c r="T197"/>
  <c r="O198"/>
  <c r="O201" s="1"/>
  <c r="O197"/>
  <c r="H94"/>
  <c r="H100" s="1"/>
  <c r="I94"/>
  <c r="I100" s="1"/>
  <c r="J94"/>
  <c r="J100" s="1"/>
  <c r="K94"/>
  <c r="K100" s="1"/>
  <c r="L94"/>
  <c r="L100" s="1"/>
  <c r="M94"/>
  <c r="M100" s="1"/>
  <c r="N94"/>
  <c r="N100" s="1"/>
  <c r="O94"/>
  <c r="O100" s="1"/>
  <c r="P94"/>
  <c r="P100" s="1"/>
  <c r="G94"/>
  <c r="G100" s="1"/>
  <c r="H91"/>
  <c r="H97" s="1"/>
  <c r="I91"/>
  <c r="I97" s="1"/>
  <c r="J91"/>
  <c r="J97" s="1"/>
  <c r="K91"/>
  <c r="K97" s="1"/>
  <c r="L91"/>
  <c r="L97" s="1"/>
  <c r="M91"/>
  <c r="M97" s="1"/>
  <c r="N91"/>
  <c r="N97" s="1"/>
  <c r="O91"/>
  <c r="O97" s="1"/>
  <c r="P91"/>
  <c r="P97" s="1"/>
  <c r="G91"/>
  <c r="G97" s="1"/>
  <c r="H92"/>
  <c r="H98" s="1"/>
  <c r="I92"/>
  <c r="I98" s="1"/>
  <c r="J92"/>
  <c r="J98" s="1"/>
  <c r="K92"/>
  <c r="K98" s="1"/>
  <c r="L92"/>
  <c r="L98" s="1"/>
  <c r="M92"/>
  <c r="M98" s="1"/>
  <c r="N92"/>
  <c r="N98" s="1"/>
  <c r="O92"/>
  <c r="O98" s="1"/>
  <c r="P92"/>
  <c r="P98" s="1"/>
  <c r="G92"/>
  <c r="G98" s="1"/>
  <c r="H129"/>
  <c r="H130" s="1"/>
  <c r="I129"/>
  <c r="I130" s="1"/>
  <c r="J129"/>
  <c r="J130" s="1"/>
  <c r="K129"/>
  <c r="K130" s="1"/>
  <c r="L129"/>
  <c r="L130" s="1"/>
  <c r="M129"/>
  <c r="M130" s="1"/>
  <c r="N129"/>
  <c r="N130" s="1"/>
  <c r="O129"/>
  <c r="O130" s="1"/>
  <c r="P129"/>
  <c r="P130" s="1"/>
  <c r="G129"/>
  <c r="G130" s="1"/>
  <c r="Q97" l="1"/>
  <c r="Q98"/>
  <c r="Q100"/>
  <c r="I199"/>
  <c r="J199" s="1"/>
  <c r="I200" s="1"/>
  <c r="J200" s="1"/>
  <c r="J201" s="1"/>
  <c r="Q133"/>
  <c r="Q134"/>
  <c r="Q88"/>
  <c r="Q94"/>
  <c r="AC14"/>
  <c r="AE14"/>
  <c r="Q91"/>
  <c r="Q130"/>
  <c r="Q129"/>
  <c r="Q92"/>
  <c r="P87"/>
  <c r="P86"/>
  <c r="E87"/>
  <c r="F87"/>
  <c r="H87"/>
  <c r="I87"/>
  <c r="J87"/>
  <c r="K87"/>
  <c r="L87"/>
  <c r="M87"/>
  <c r="N87"/>
  <c r="O87"/>
  <c r="G87"/>
  <c r="G86"/>
  <c r="H127"/>
  <c r="I127"/>
  <c r="J127"/>
  <c r="K127"/>
  <c r="L127"/>
  <c r="M127"/>
  <c r="N127"/>
  <c r="O127"/>
  <c r="P127"/>
  <c r="G127"/>
  <c r="H126"/>
  <c r="I126"/>
  <c r="J126"/>
  <c r="K126"/>
  <c r="L126"/>
  <c r="M126"/>
  <c r="N126"/>
  <c r="O126"/>
  <c r="P126"/>
  <c r="G126"/>
  <c r="H123"/>
  <c r="I123"/>
  <c r="J123"/>
  <c r="K123"/>
  <c r="L123"/>
  <c r="M123"/>
  <c r="N123"/>
  <c r="O123"/>
  <c r="P123"/>
  <c r="G123"/>
  <c r="H124"/>
  <c r="I124"/>
  <c r="J124"/>
  <c r="K124"/>
  <c r="L124"/>
  <c r="M124"/>
  <c r="N124"/>
  <c r="O124"/>
  <c r="P124"/>
  <c r="G124"/>
  <c r="H122"/>
  <c r="I122"/>
  <c r="J122"/>
  <c r="K122"/>
  <c r="L122"/>
  <c r="M122"/>
  <c r="N122"/>
  <c r="O122"/>
  <c r="P122"/>
  <c r="G122"/>
  <c r="H121"/>
  <c r="I121"/>
  <c r="J121"/>
  <c r="K121"/>
  <c r="L121"/>
  <c r="M121"/>
  <c r="N121"/>
  <c r="O121"/>
  <c r="P121"/>
  <c r="G121"/>
  <c r="R167"/>
  <c r="H118"/>
  <c r="I118"/>
  <c r="J118"/>
  <c r="K118"/>
  <c r="L118"/>
  <c r="M118"/>
  <c r="N118"/>
  <c r="O118"/>
  <c r="P118"/>
  <c r="G118"/>
  <c r="H117"/>
  <c r="I117"/>
  <c r="J117"/>
  <c r="K117"/>
  <c r="L117"/>
  <c r="M117"/>
  <c r="N117"/>
  <c r="O117"/>
  <c r="P117"/>
  <c r="G117"/>
  <c r="H116"/>
  <c r="I116"/>
  <c r="J116"/>
  <c r="K116"/>
  <c r="L116"/>
  <c r="M116"/>
  <c r="N116"/>
  <c r="O116"/>
  <c r="P116"/>
  <c r="G116"/>
  <c r="B118"/>
  <c r="B117"/>
  <c r="AD32"/>
  <c r="R32"/>
  <c r="S32" s="1"/>
  <c r="T32" s="1"/>
  <c r="U32" s="1"/>
  <c r="V32" s="1"/>
  <c r="W32" s="1"/>
  <c r="X32" s="1"/>
  <c r="Y32" s="1"/>
  <c r="Z32" s="1"/>
  <c r="AA32" s="1"/>
  <c r="AB32" s="1"/>
  <c r="Q32"/>
  <c r="G106"/>
  <c r="H106"/>
  <c r="I106"/>
  <c r="J106"/>
  <c r="K106"/>
  <c r="L106"/>
  <c r="M106"/>
  <c r="N106"/>
  <c r="O106"/>
  <c r="P106"/>
  <c r="S202"/>
  <c r="N201"/>
  <c r="S199"/>
  <c r="T199" s="1"/>
  <c r="T204" s="1"/>
  <c r="N199"/>
  <c r="O199" s="1"/>
  <c r="O204" s="1"/>
  <c r="F114"/>
  <c r="H114"/>
  <c r="I114"/>
  <c r="J114"/>
  <c r="K114"/>
  <c r="L114"/>
  <c r="M114"/>
  <c r="N114"/>
  <c r="O114"/>
  <c r="P114"/>
  <c r="G114"/>
  <c r="F113"/>
  <c r="H113"/>
  <c r="I113"/>
  <c r="J113"/>
  <c r="K113"/>
  <c r="L113"/>
  <c r="M113"/>
  <c r="N113"/>
  <c r="O113"/>
  <c r="P113"/>
  <c r="G113"/>
  <c r="Q124" l="1"/>
  <c r="Q87"/>
  <c r="Q121"/>
  <c r="Q127"/>
  <c r="Q126"/>
  <c r="Q122"/>
  <c r="Q123"/>
  <c r="Q116"/>
  <c r="Q117"/>
  <c r="Q118"/>
  <c r="Q106"/>
  <c r="AC32"/>
  <c r="AE32"/>
  <c r="N204"/>
  <c r="S204"/>
  <c r="Q114"/>
  <c r="Q113"/>
  <c r="R9"/>
  <c r="R10"/>
  <c r="R12"/>
  <c r="R13"/>
  <c r="R15"/>
  <c r="R16"/>
  <c r="R18"/>
  <c r="R20"/>
  <c r="R21"/>
  <c r="R22"/>
  <c r="R23"/>
  <c r="R25"/>
  <c r="R27"/>
  <c r="R29"/>
  <c r="R31"/>
  <c r="S31" s="1"/>
  <c r="T31" s="1"/>
  <c r="U31" s="1"/>
  <c r="V31" s="1"/>
  <c r="W31" s="1"/>
  <c r="X31" s="1"/>
  <c r="Y31" s="1"/>
  <c r="Z31" s="1"/>
  <c r="AA31" s="1"/>
  <c r="AB31" s="1"/>
  <c r="R33"/>
  <c r="R34"/>
  <c r="R36"/>
  <c r="R40"/>
  <c r="R7"/>
  <c r="R6"/>
  <c r="AD9"/>
  <c r="AD10"/>
  <c r="AD11"/>
  <c r="AD12"/>
  <c r="AD13"/>
  <c r="AD15"/>
  <c r="AD16"/>
  <c r="AD18"/>
  <c r="AD20"/>
  <c r="AD21"/>
  <c r="AD22"/>
  <c r="AD23"/>
  <c r="AD25"/>
  <c r="AD27"/>
  <c r="AD29"/>
  <c r="AD31"/>
  <c r="AD33"/>
  <c r="AD34"/>
  <c r="AD36"/>
  <c r="AD40"/>
  <c r="AD42"/>
  <c r="AD43"/>
  <c r="AD49"/>
  <c r="AD50"/>
  <c r="AD52"/>
  <c r="AD54"/>
  <c r="AD55"/>
  <c r="AD56"/>
  <c r="AD58"/>
  <c r="AD59"/>
  <c r="AD60"/>
  <c r="AD62"/>
  <c r="AD63"/>
  <c r="AD64"/>
  <c r="AD65"/>
  <c r="AD67"/>
  <c r="AD68"/>
  <c r="AD70"/>
  <c r="AD72"/>
  <c r="AD73"/>
  <c r="AD74"/>
  <c r="AD75"/>
  <c r="AD76"/>
  <c r="AD78"/>
  <c r="AD79"/>
  <c r="AD80"/>
  <c r="AD7"/>
  <c r="AD6"/>
  <c r="Q103" l="1"/>
  <c r="H90"/>
  <c r="H96" s="1"/>
  <c r="I90"/>
  <c r="I96" s="1"/>
  <c r="J90"/>
  <c r="J96" s="1"/>
  <c r="K90"/>
  <c r="K96" s="1"/>
  <c r="L90"/>
  <c r="L96" s="1"/>
  <c r="M90"/>
  <c r="M96" s="1"/>
  <c r="N90"/>
  <c r="N96" s="1"/>
  <c r="O90"/>
  <c r="O96" s="1"/>
  <c r="P90"/>
  <c r="P96" s="1"/>
  <c r="H93"/>
  <c r="H99" s="1"/>
  <c r="I93"/>
  <c r="I99" s="1"/>
  <c r="J93"/>
  <c r="J99" s="1"/>
  <c r="K93"/>
  <c r="K99" s="1"/>
  <c r="L93"/>
  <c r="L99" s="1"/>
  <c r="M93"/>
  <c r="M99" s="1"/>
  <c r="N93"/>
  <c r="N99" s="1"/>
  <c r="O93"/>
  <c r="O99" s="1"/>
  <c r="P93"/>
  <c r="P99" s="1"/>
  <c r="G93"/>
  <c r="G99" s="1"/>
  <c r="G90"/>
  <c r="G96" s="1"/>
  <c r="S29"/>
  <c r="Q29"/>
  <c r="L30"/>
  <c r="K30"/>
  <c r="J30"/>
  <c r="I30"/>
  <c r="H30"/>
  <c r="G30"/>
  <c r="Q96" l="1"/>
  <c r="Q99"/>
  <c r="T29"/>
  <c r="Q93"/>
  <c r="Q90"/>
  <c r="H105"/>
  <c r="I105"/>
  <c r="J105"/>
  <c r="K105"/>
  <c r="L105"/>
  <c r="M105"/>
  <c r="N105"/>
  <c r="O105"/>
  <c r="P105"/>
  <c r="G105"/>
  <c r="H104"/>
  <c r="I104"/>
  <c r="J104"/>
  <c r="K104"/>
  <c r="L104"/>
  <c r="M104"/>
  <c r="N104"/>
  <c r="O104"/>
  <c r="P104"/>
  <c r="G104"/>
  <c r="U29" l="1"/>
  <c r="Q104"/>
  <c r="Q105"/>
  <c r="AE67"/>
  <c r="V29" l="1"/>
  <c r="C175"/>
  <c r="D175"/>
  <c r="E175"/>
  <c r="F175"/>
  <c r="G175"/>
  <c r="H175"/>
  <c r="I175"/>
  <c r="J175"/>
  <c r="K175"/>
  <c r="L175"/>
  <c r="M175"/>
  <c r="N175"/>
  <c r="O175"/>
  <c r="P175"/>
  <c r="C9" i="15"/>
  <c r="D68" i="18"/>
  <c r="E68"/>
  <c r="E108" s="1"/>
  <c r="E109" s="1"/>
  <c r="F68"/>
  <c r="F108" s="1"/>
  <c r="F109" s="1"/>
  <c r="G68"/>
  <c r="G108" s="1"/>
  <c r="G109" s="1"/>
  <c r="H68"/>
  <c r="H108" s="1"/>
  <c r="H109" s="1"/>
  <c r="I68"/>
  <c r="I108" s="1"/>
  <c r="I109" s="1"/>
  <c r="J68"/>
  <c r="J108" s="1"/>
  <c r="J109" s="1"/>
  <c r="K68"/>
  <c r="K108" s="1"/>
  <c r="K109" s="1"/>
  <c r="L68"/>
  <c r="L108" s="1"/>
  <c r="L109" s="1"/>
  <c r="M68"/>
  <c r="M108" s="1"/>
  <c r="M109" s="1"/>
  <c r="N68"/>
  <c r="N108" s="1"/>
  <c r="N109" s="1"/>
  <c r="O68"/>
  <c r="O108" s="1"/>
  <c r="O109" s="1"/>
  <c r="P68"/>
  <c r="P108" s="1"/>
  <c r="C68"/>
  <c r="S43"/>
  <c r="Q43"/>
  <c r="S68" l="1"/>
  <c r="S108" s="1"/>
  <c r="S109" s="1"/>
  <c r="W29"/>
  <c r="Q175"/>
  <c r="N110"/>
  <c r="N111" s="1"/>
  <c r="J110"/>
  <c r="J111" s="1"/>
  <c r="L110"/>
  <c r="L111" s="1"/>
  <c r="H110"/>
  <c r="H111" s="1"/>
  <c r="M110"/>
  <c r="M111" s="1"/>
  <c r="I110"/>
  <c r="I111" s="1"/>
  <c r="F110"/>
  <c r="F111" s="1"/>
  <c r="O110"/>
  <c r="O111" s="1"/>
  <c r="K110"/>
  <c r="K111" s="1"/>
  <c r="G110"/>
  <c r="G111" s="1"/>
  <c r="P109"/>
  <c r="Q108"/>
  <c r="T43"/>
  <c r="U43" l="1"/>
  <c r="X29"/>
  <c r="P110"/>
  <c r="Q109"/>
  <c r="T68"/>
  <c r="C78"/>
  <c r="D78"/>
  <c r="E78"/>
  <c r="F78"/>
  <c r="G78"/>
  <c r="G131" s="1"/>
  <c r="H78"/>
  <c r="H131" s="1"/>
  <c r="I78"/>
  <c r="I131" s="1"/>
  <c r="J78"/>
  <c r="J131" s="1"/>
  <c r="K78"/>
  <c r="K131" s="1"/>
  <c r="L78"/>
  <c r="L131" s="1"/>
  <c r="M78"/>
  <c r="M131" s="1"/>
  <c r="N78"/>
  <c r="N131" s="1"/>
  <c r="O78"/>
  <c r="O131" s="1"/>
  <c r="C79"/>
  <c r="D79"/>
  <c r="E79"/>
  <c r="F79"/>
  <c r="G79"/>
  <c r="H79"/>
  <c r="I79"/>
  <c r="J79"/>
  <c r="K79"/>
  <c r="L79"/>
  <c r="M79"/>
  <c r="N79"/>
  <c r="O79"/>
  <c r="C80"/>
  <c r="D80"/>
  <c r="E80"/>
  <c r="F80"/>
  <c r="G80"/>
  <c r="H80"/>
  <c r="I80"/>
  <c r="J80"/>
  <c r="K80"/>
  <c r="L80"/>
  <c r="M80"/>
  <c r="N80"/>
  <c r="O80"/>
  <c r="P80"/>
  <c r="P79"/>
  <c r="P78"/>
  <c r="P131" s="1"/>
  <c r="E86"/>
  <c r="F86"/>
  <c r="H86"/>
  <c r="I86"/>
  <c r="J86"/>
  <c r="K86"/>
  <c r="L86"/>
  <c r="M86"/>
  <c r="N86"/>
  <c r="O86"/>
  <c r="E84"/>
  <c r="E85"/>
  <c r="F85"/>
  <c r="G85"/>
  <c r="H85"/>
  <c r="I85"/>
  <c r="J85"/>
  <c r="K85"/>
  <c r="L85"/>
  <c r="M85"/>
  <c r="N85"/>
  <c r="O85"/>
  <c r="F84"/>
  <c r="G84"/>
  <c r="H84"/>
  <c r="I84"/>
  <c r="J84"/>
  <c r="K84"/>
  <c r="L84"/>
  <c r="M84"/>
  <c r="N84"/>
  <c r="O84"/>
  <c r="P85"/>
  <c r="G41"/>
  <c r="G28"/>
  <c r="G11"/>
  <c r="G8"/>
  <c r="G26"/>
  <c r="V43" l="1"/>
  <c r="U68"/>
  <c r="Q131"/>
  <c r="Y29"/>
  <c r="Q80"/>
  <c r="Q78"/>
  <c r="Q79"/>
  <c r="Q85"/>
  <c r="Q86"/>
  <c r="P84"/>
  <c r="Q84" s="1"/>
  <c r="C190"/>
  <c r="D190"/>
  <c r="E190"/>
  <c r="F190"/>
  <c r="C191"/>
  <c r="D191"/>
  <c r="E191"/>
  <c r="F191"/>
  <c r="C192"/>
  <c r="D192"/>
  <c r="E192"/>
  <c r="F192"/>
  <c r="H192"/>
  <c r="I192"/>
  <c r="J192"/>
  <c r="K192"/>
  <c r="L192"/>
  <c r="M192"/>
  <c r="N192"/>
  <c r="O192"/>
  <c r="P192"/>
  <c r="G192"/>
  <c r="H191"/>
  <c r="I191"/>
  <c r="J191"/>
  <c r="K191"/>
  <c r="L191"/>
  <c r="M191"/>
  <c r="N191"/>
  <c r="O191"/>
  <c r="P191"/>
  <c r="G191"/>
  <c r="H190"/>
  <c r="I190"/>
  <c r="J190"/>
  <c r="K190"/>
  <c r="L190"/>
  <c r="M190"/>
  <c r="N190"/>
  <c r="O190"/>
  <c r="P190"/>
  <c r="G190"/>
  <c r="H50"/>
  <c r="I50"/>
  <c r="J50"/>
  <c r="K50"/>
  <c r="L50"/>
  <c r="M50"/>
  <c r="N50"/>
  <c r="O50"/>
  <c r="P50"/>
  <c r="C50"/>
  <c r="D50"/>
  <c r="E50"/>
  <c r="F50"/>
  <c r="G50"/>
  <c r="G52"/>
  <c r="G174" s="1"/>
  <c r="H49"/>
  <c r="H168" s="1"/>
  <c r="I49"/>
  <c r="I168" s="1"/>
  <c r="J49"/>
  <c r="J168" s="1"/>
  <c r="K49"/>
  <c r="K168" s="1"/>
  <c r="L49"/>
  <c r="L168" s="1"/>
  <c r="M49"/>
  <c r="M168" s="1"/>
  <c r="N49"/>
  <c r="N168" s="1"/>
  <c r="O49"/>
  <c r="O168" s="1"/>
  <c r="P49"/>
  <c r="P168" s="1"/>
  <c r="C49"/>
  <c r="C168" s="1"/>
  <c r="D49"/>
  <c r="D168" s="1"/>
  <c r="E49"/>
  <c r="E168" s="1"/>
  <c r="F49"/>
  <c r="F168" s="1"/>
  <c r="G49"/>
  <c r="G168" s="1"/>
  <c r="M28"/>
  <c r="L28"/>
  <c r="K28"/>
  <c r="J28"/>
  <c r="I28"/>
  <c r="H28"/>
  <c r="M26"/>
  <c r="K26"/>
  <c r="J26"/>
  <c r="I26"/>
  <c r="H26"/>
  <c r="I8"/>
  <c r="J8"/>
  <c r="K8"/>
  <c r="L8"/>
  <c r="M8"/>
  <c r="N8"/>
  <c r="O8"/>
  <c r="P8"/>
  <c r="H8"/>
  <c r="Q42"/>
  <c r="S36"/>
  <c r="S91" s="1"/>
  <c r="S97" s="1"/>
  <c r="Q36"/>
  <c r="W43" l="1"/>
  <c r="V68"/>
  <c r="Q168"/>
  <c r="Z29"/>
  <c r="T36"/>
  <c r="T91" s="1"/>
  <c r="T97" s="1"/>
  <c r="Q192"/>
  <c r="Q50"/>
  <c r="Q49"/>
  <c r="Q191"/>
  <c r="Q190"/>
  <c r="Q31"/>
  <c r="Q34"/>
  <c r="X43" l="1"/>
  <c r="W68"/>
  <c r="AA29"/>
  <c r="U36"/>
  <c r="U91" s="1"/>
  <c r="U97" s="1"/>
  <c r="I75"/>
  <c r="J75"/>
  <c r="K75"/>
  <c r="L75"/>
  <c r="M75"/>
  <c r="N75"/>
  <c r="O75"/>
  <c r="P75"/>
  <c r="I76"/>
  <c r="J76"/>
  <c r="K76"/>
  <c r="L76"/>
  <c r="M76"/>
  <c r="N76"/>
  <c r="O76"/>
  <c r="P76"/>
  <c r="I70"/>
  <c r="I72" s="1"/>
  <c r="J70"/>
  <c r="J72" s="1"/>
  <c r="K70"/>
  <c r="K72" s="1"/>
  <c r="L70"/>
  <c r="L72" s="1"/>
  <c r="M70"/>
  <c r="M72" s="1"/>
  <c r="N70"/>
  <c r="N72" s="1"/>
  <c r="O70"/>
  <c r="O72" s="1"/>
  <c r="P70"/>
  <c r="P72" s="1"/>
  <c r="I73"/>
  <c r="J73"/>
  <c r="K73"/>
  <c r="L73"/>
  <c r="M73"/>
  <c r="N73"/>
  <c r="O73"/>
  <c r="P73"/>
  <c r="I74"/>
  <c r="J74"/>
  <c r="K74"/>
  <c r="L74"/>
  <c r="M74"/>
  <c r="N74"/>
  <c r="O74"/>
  <c r="P74"/>
  <c r="C73"/>
  <c r="D73"/>
  <c r="E73"/>
  <c r="F73"/>
  <c r="G73"/>
  <c r="C74"/>
  <c r="D74"/>
  <c r="E74"/>
  <c r="F74"/>
  <c r="G74"/>
  <c r="C75"/>
  <c r="D75"/>
  <c r="E75"/>
  <c r="F75"/>
  <c r="G75"/>
  <c r="C76"/>
  <c r="D76"/>
  <c r="E76"/>
  <c r="F76"/>
  <c r="G76"/>
  <c r="H76"/>
  <c r="H75"/>
  <c r="S23"/>
  <c r="S22"/>
  <c r="T22" s="1"/>
  <c r="U22" s="1"/>
  <c r="V22" s="1"/>
  <c r="W22" s="1"/>
  <c r="X22" s="1"/>
  <c r="Y22" s="1"/>
  <c r="Z22" s="1"/>
  <c r="AA22" s="1"/>
  <c r="AB22" s="1"/>
  <c r="S21"/>
  <c r="Q20"/>
  <c r="C70"/>
  <c r="C72" s="1"/>
  <c r="D70"/>
  <c r="D72" s="1"/>
  <c r="E70"/>
  <c r="E72" s="1"/>
  <c r="F70"/>
  <c r="F72" s="1"/>
  <c r="G70"/>
  <c r="G72" s="1"/>
  <c r="H70"/>
  <c r="H72" s="1"/>
  <c r="H74"/>
  <c r="H73"/>
  <c r="Y43" l="1"/>
  <c r="X68"/>
  <c r="T23"/>
  <c r="S94"/>
  <c r="S100" s="1"/>
  <c r="AB29"/>
  <c r="AE31"/>
  <c r="AC31"/>
  <c r="AC22"/>
  <c r="AE22"/>
  <c r="V36"/>
  <c r="V91" s="1"/>
  <c r="V97" s="1"/>
  <c r="Q75"/>
  <c r="Q76"/>
  <c r="Q74"/>
  <c r="Q72"/>
  <c r="Q73"/>
  <c r="Q22"/>
  <c r="Q21"/>
  <c r="Q70"/>
  <c r="S20"/>
  <c r="S53" s="1"/>
  <c r="T21"/>
  <c r="Q68"/>
  <c r="Q167"/>
  <c r="Y68" l="1"/>
  <c r="Z43"/>
  <c r="U23"/>
  <c r="T94"/>
  <c r="T100" s="1"/>
  <c r="AE29"/>
  <c r="AC29"/>
  <c r="T20"/>
  <c r="S70"/>
  <c r="U21"/>
  <c r="C19" i="15"/>
  <c r="S9" i="18"/>
  <c r="T9" s="1"/>
  <c r="U9" s="1"/>
  <c r="V9" s="1"/>
  <c r="W9" s="1"/>
  <c r="X9" s="1"/>
  <c r="Y9" s="1"/>
  <c r="Z9" s="1"/>
  <c r="AA9" s="1"/>
  <c r="AB9" s="1"/>
  <c r="AE9" s="1"/>
  <c r="Q40"/>
  <c r="Q33"/>
  <c r="Q27"/>
  <c r="Q25"/>
  <c r="Q18"/>
  <c r="Q16"/>
  <c r="Q15"/>
  <c r="Q13"/>
  <c r="Q12"/>
  <c r="Q10"/>
  <c r="Q9"/>
  <c r="Q7"/>
  <c r="Q6"/>
  <c r="S18"/>
  <c r="S25"/>
  <c r="S88" s="1"/>
  <c r="S27"/>
  <c r="S33"/>
  <c r="T33" s="1"/>
  <c r="U33" s="1"/>
  <c r="V33" s="1"/>
  <c r="W33" s="1"/>
  <c r="X33" s="1"/>
  <c r="Y33" s="1"/>
  <c r="Z33" s="1"/>
  <c r="AA33" s="1"/>
  <c r="AB33" s="1"/>
  <c r="AE33" s="1"/>
  <c r="S34"/>
  <c r="T34" s="1"/>
  <c r="U34" s="1"/>
  <c r="V34" s="1"/>
  <c r="W34" s="1"/>
  <c r="X34" s="1"/>
  <c r="Y34" s="1"/>
  <c r="Z34" s="1"/>
  <c r="AA34" s="1"/>
  <c r="AB34" s="1"/>
  <c r="AE34" s="1"/>
  <c r="W36"/>
  <c r="W91" s="1"/>
  <c r="W97" s="1"/>
  <c r="O66"/>
  <c r="O172" s="1"/>
  <c r="O65"/>
  <c r="O63"/>
  <c r="O62"/>
  <c r="O60"/>
  <c r="O173" s="1"/>
  <c r="O59"/>
  <c r="O58"/>
  <c r="O56"/>
  <c r="O55"/>
  <c r="O170" s="1"/>
  <c r="O54"/>
  <c r="O52"/>
  <c r="Z68" l="1"/>
  <c r="AA43"/>
  <c r="T70"/>
  <c r="S123"/>
  <c r="S133"/>
  <c r="S124"/>
  <c r="S134"/>
  <c r="V23"/>
  <c r="U94"/>
  <c r="U100" s="1"/>
  <c r="S117"/>
  <c r="S118"/>
  <c r="S116"/>
  <c r="S106"/>
  <c r="P111"/>
  <c r="Q111" s="1"/>
  <c r="Q110"/>
  <c r="S90"/>
  <c r="S96" s="1"/>
  <c r="S114"/>
  <c r="S113"/>
  <c r="T18"/>
  <c r="O169"/>
  <c r="O174"/>
  <c r="U20"/>
  <c r="T27"/>
  <c r="X36"/>
  <c r="X91" s="1"/>
  <c r="X97" s="1"/>
  <c r="T25"/>
  <c r="T88" s="1"/>
  <c r="S84"/>
  <c r="V21"/>
  <c r="AC33"/>
  <c r="AC34"/>
  <c r="AC9"/>
  <c r="O64"/>
  <c r="O171" s="1"/>
  <c r="D60"/>
  <c r="E60"/>
  <c r="F60"/>
  <c r="G60"/>
  <c r="G173" s="1"/>
  <c r="H60"/>
  <c r="H173" s="1"/>
  <c r="I60"/>
  <c r="I173" s="1"/>
  <c r="J60"/>
  <c r="J173" s="1"/>
  <c r="K60"/>
  <c r="K173" s="1"/>
  <c r="L60"/>
  <c r="L173" s="1"/>
  <c r="M60"/>
  <c r="M173" s="1"/>
  <c r="N60"/>
  <c r="N173" s="1"/>
  <c r="P60"/>
  <c r="C60"/>
  <c r="C59"/>
  <c r="AB43" l="1"/>
  <c r="AA68"/>
  <c r="T124"/>
  <c r="T134"/>
  <c r="T123"/>
  <c r="T133"/>
  <c r="W23"/>
  <c r="V94"/>
  <c r="V100" s="1"/>
  <c r="T116"/>
  <c r="T118"/>
  <c r="T117"/>
  <c r="T106"/>
  <c r="T90"/>
  <c r="T96" s="1"/>
  <c r="T114"/>
  <c r="T113"/>
  <c r="U18"/>
  <c r="V20"/>
  <c r="U70"/>
  <c r="U27"/>
  <c r="U25"/>
  <c r="T84"/>
  <c r="Y36"/>
  <c r="Y91" s="1"/>
  <c r="Y97" s="1"/>
  <c r="W21"/>
  <c r="P173"/>
  <c r="Q173" s="1"/>
  <c r="Q60"/>
  <c r="D59"/>
  <c r="E59"/>
  <c r="F59"/>
  <c r="G59"/>
  <c r="H59"/>
  <c r="I59"/>
  <c r="J59"/>
  <c r="K59"/>
  <c r="L59"/>
  <c r="M59"/>
  <c r="N59"/>
  <c r="P59"/>
  <c r="D58"/>
  <c r="E58"/>
  <c r="F58"/>
  <c r="G58"/>
  <c r="H58"/>
  <c r="I58"/>
  <c r="J58"/>
  <c r="K58"/>
  <c r="L58"/>
  <c r="M58"/>
  <c r="N58"/>
  <c r="P58"/>
  <c r="C58"/>
  <c r="AE43" l="1"/>
  <c r="AB68"/>
  <c r="AC43"/>
  <c r="U123"/>
  <c r="U133"/>
  <c r="U124"/>
  <c r="U134"/>
  <c r="U88"/>
  <c r="X23"/>
  <c r="W94"/>
  <c r="W100" s="1"/>
  <c r="U118"/>
  <c r="U117"/>
  <c r="U116"/>
  <c r="U106"/>
  <c r="U90"/>
  <c r="U96" s="1"/>
  <c r="U114"/>
  <c r="U113"/>
  <c r="V18"/>
  <c r="W20"/>
  <c r="V70"/>
  <c r="V27"/>
  <c r="V25"/>
  <c r="V88" s="1"/>
  <c r="U84"/>
  <c r="Z36"/>
  <c r="Z91" s="1"/>
  <c r="Z97" s="1"/>
  <c r="X21"/>
  <c r="Q58"/>
  <c r="Q59"/>
  <c r="C46" i="15"/>
  <c r="S155" i="18" l="1"/>
  <c r="AE68"/>
  <c r="T155" s="1"/>
  <c r="AC68"/>
  <c r="V124"/>
  <c r="V134"/>
  <c r="V123"/>
  <c r="V133"/>
  <c r="Y23"/>
  <c r="X94"/>
  <c r="X100" s="1"/>
  <c r="V106"/>
  <c r="V118"/>
  <c r="V117"/>
  <c r="V116"/>
  <c r="V90"/>
  <c r="V96" s="1"/>
  <c r="V114"/>
  <c r="V113"/>
  <c r="W18"/>
  <c r="X20"/>
  <c r="W70"/>
  <c r="W27"/>
  <c r="W25"/>
  <c r="V84"/>
  <c r="AA36"/>
  <c r="AA91" s="1"/>
  <c r="AA97" s="1"/>
  <c r="Y21"/>
  <c r="S167"/>
  <c r="S175" s="1"/>
  <c r="C52"/>
  <c r="D52"/>
  <c r="E52"/>
  <c r="F52"/>
  <c r="H52"/>
  <c r="I52"/>
  <c r="J52"/>
  <c r="K52"/>
  <c r="L52"/>
  <c r="L174" s="1"/>
  <c r="M52"/>
  <c r="N52"/>
  <c r="N174" s="1"/>
  <c r="P52"/>
  <c r="D66"/>
  <c r="D172" s="1"/>
  <c r="E66"/>
  <c r="E172" s="1"/>
  <c r="F66"/>
  <c r="F172" s="1"/>
  <c r="G66"/>
  <c r="H66"/>
  <c r="H172" s="1"/>
  <c r="I66"/>
  <c r="I172" s="1"/>
  <c r="J66"/>
  <c r="J172" s="1"/>
  <c r="K66"/>
  <c r="K172" s="1"/>
  <c r="L66"/>
  <c r="L172" s="1"/>
  <c r="M66"/>
  <c r="M172" s="1"/>
  <c r="N66"/>
  <c r="P66"/>
  <c r="D65"/>
  <c r="E65"/>
  <c r="F65"/>
  <c r="G65"/>
  <c r="H65"/>
  <c r="I65"/>
  <c r="J65"/>
  <c r="K65"/>
  <c r="L65"/>
  <c r="M65"/>
  <c r="N65"/>
  <c r="P65"/>
  <c r="D63"/>
  <c r="E63"/>
  <c r="F63"/>
  <c r="G63"/>
  <c r="H63"/>
  <c r="I63"/>
  <c r="J63"/>
  <c r="K63"/>
  <c r="L63"/>
  <c r="M63"/>
  <c r="N63"/>
  <c r="P63"/>
  <c r="D62"/>
  <c r="D64" s="1"/>
  <c r="D171" s="1"/>
  <c r="E62"/>
  <c r="E64" s="1"/>
  <c r="E171" s="1"/>
  <c r="F62"/>
  <c r="G62"/>
  <c r="H62"/>
  <c r="I62"/>
  <c r="J62"/>
  <c r="K62"/>
  <c r="L62"/>
  <c r="M62"/>
  <c r="N62"/>
  <c r="P62"/>
  <c r="D56"/>
  <c r="E56"/>
  <c r="F56"/>
  <c r="G56"/>
  <c r="H56"/>
  <c r="I56"/>
  <c r="J56"/>
  <c r="K56"/>
  <c r="L56"/>
  <c r="M56"/>
  <c r="N56"/>
  <c r="P56"/>
  <c r="D55"/>
  <c r="D170" s="1"/>
  <c r="E55"/>
  <c r="E170" s="1"/>
  <c r="F55"/>
  <c r="F170" s="1"/>
  <c r="G55"/>
  <c r="H55"/>
  <c r="H170" s="1"/>
  <c r="I55"/>
  <c r="I170" s="1"/>
  <c r="J55"/>
  <c r="J170" s="1"/>
  <c r="K55"/>
  <c r="K170" s="1"/>
  <c r="L55"/>
  <c r="L170" s="1"/>
  <c r="M55"/>
  <c r="M170" s="1"/>
  <c r="N55"/>
  <c r="P55"/>
  <c r="C66"/>
  <c r="C172" s="1"/>
  <c r="C65"/>
  <c r="C63"/>
  <c r="C62"/>
  <c r="C56"/>
  <c r="C55"/>
  <c r="C170" s="1"/>
  <c r="D54"/>
  <c r="E54"/>
  <c r="F54"/>
  <c r="G54"/>
  <c r="H54"/>
  <c r="I54"/>
  <c r="J54"/>
  <c r="K54"/>
  <c r="L54"/>
  <c r="M54"/>
  <c r="N54"/>
  <c r="P54"/>
  <c r="C54"/>
  <c r="S15"/>
  <c r="S121" s="1"/>
  <c r="S16"/>
  <c r="S129" s="1"/>
  <c r="S130" s="1"/>
  <c r="S40"/>
  <c r="S92" s="1"/>
  <c r="S98" s="1"/>
  <c r="S10"/>
  <c r="S12"/>
  <c r="S13"/>
  <c r="S7"/>
  <c r="S6"/>
  <c r="P187" l="1"/>
  <c r="M187"/>
  <c r="S187"/>
  <c r="S103"/>
  <c r="R155"/>
  <c r="P179" s="1"/>
  <c r="W123"/>
  <c r="W133"/>
  <c r="W88"/>
  <c r="W124"/>
  <c r="W134"/>
  <c r="Z23"/>
  <c r="Y94"/>
  <c r="Y100" s="1"/>
  <c r="S86"/>
  <c r="S87"/>
  <c r="S127"/>
  <c r="S126"/>
  <c r="S93"/>
  <c r="S99" s="1"/>
  <c r="S122"/>
  <c r="H174"/>
  <c r="H169"/>
  <c r="W106"/>
  <c r="W117"/>
  <c r="W116"/>
  <c r="W118"/>
  <c r="S105"/>
  <c r="S110"/>
  <c r="S111" s="1"/>
  <c r="W90"/>
  <c r="W96" s="1"/>
  <c r="W114"/>
  <c r="W113"/>
  <c r="S104"/>
  <c r="X18"/>
  <c r="D169"/>
  <c r="D173" s="1"/>
  <c r="D174"/>
  <c r="E169"/>
  <c r="E173" s="1"/>
  <c r="E174"/>
  <c r="C169"/>
  <c r="C173" s="1"/>
  <c r="C174"/>
  <c r="P169"/>
  <c r="P174"/>
  <c r="Q174" s="1"/>
  <c r="K169"/>
  <c r="K174"/>
  <c r="F169"/>
  <c r="F173" s="1"/>
  <c r="F174"/>
  <c r="J169"/>
  <c r="J174"/>
  <c r="M169"/>
  <c r="M174"/>
  <c r="I169"/>
  <c r="I174"/>
  <c r="Q137"/>
  <c r="Y20"/>
  <c r="X70"/>
  <c r="H64"/>
  <c r="H171" s="1"/>
  <c r="X27"/>
  <c r="T12"/>
  <c r="T15"/>
  <c r="T121" s="1"/>
  <c r="T13"/>
  <c r="T10"/>
  <c r="T16"/>
  <c r="T129" s="1"/>
  <c r="T130" s="1"/>
  <c r="T6"/>
  <c r="T7"/>
  <c r="X25"/>
  <c r="X88" s="1"/>
  <c r="W84"/>
  <c r="T40"/>
  <c r="T92" s="1"/>
  <c r="T98" s="1"/>
  <c r="S85"/>
  <c r="AB36"/>
  <c r="F64"/>
  <c r="F171" s="1"/>
  <c r="L64"/>
  <c r="L171" s="1"/>
  <c r="K64"/>
  <c r="K171" s="1"/>
  <c r="J64"/>
  <c r="J171" s="1"/>
  <c r="Z21"/>
  <c r="C64"/>
  <c r="C171" s="1"/>
  <c r="T167"/>
  <c r="T175" s="1"/>
  <c r="I64"/>
  <c r="I171" s="1"/>
  <c r="Q54"/>
  <c r="G170"/>
  <c r="Q55"/>
  <c r="Q56"/>
  <c r="Q63"/>
  <c r="Q65"/>
  <c r="G169"/>
  <c r="Q52"/>
  <c r="G172"/>
  <c r="Q66"/>
  <c r="G64"/>
  <c r="Q62"/>
  <c r="N170"/>
  <c r="N169"/>
  <c r="N172"/>
  <c r="P170"/>
  <c r="L169"/>
  <c r="N64"/>
  <c r="M64"/>
  <c r="M171" s="1"/>
  <c r="P172"/>
  <c r="P64"/>
  <c r="S63"/>
  <c r="C6" i="12"/>
  <c r="C26" i="15"/>
  <c r="C58"/>
  <c r="C57"/>
  <c r="C54"/>
  <c r="C53"/>
  <c r="C50"/>
  <c r="C49"/>
  <c r="C45"/>
  <c r="T187" i="18" l="1"/>
  <c r="U187" s="1"/>
  <c r="V187" s="1"/>
  <c r="W187" s="1"/>
  <c r="X187" s="1"/>
  <c r="Y187" s="1"/>
  <c r="Z187" s="1"/>
  <c r="AA187" s="1"/>
  <c r="AB187" s="1"/>
  <c r="AC187" s="1"/>
  <c r="AD187" s="1"/>
  <c r="AE187" s="1"/>
  <c r="AF187" s="1"/>
  <c r="AG187" s="1"/>
  <c r="AH187" s="1"/>
  <c r="AI187" s="1"/>
  <c r="AJ187" s="1"/>
  <c r="AK187" s="1"/>
  <c r="AL187" s="1"/>
  <c r="AM187" s="1"/>
  <c r="AN187" s="1"/>
  <c r="AO187" s="1"/>
  <c r="AP187" s="1"/>
  <c r="AQ187" s="1"/>
  <c r="AR187" s="1"/>
  <c r="AS187" s="1"/>
  <c r="S188"/>
  <c r="P186"/>
  <c r="S186"/>
  <c r="M186"/>
  <c r="T103"/>
  <c r="X123"/>
  <c r="X133"/>
  <c r="X124"/>
  <c r="X134"/>
  <c r="AE36"/>
  <c r="AB91"/>
  <c r="AA23"/>
  <c r="Z94"/>
  <c r="Z100" s="1"/>
  <c r="T127"/>
  <c r="T126"/>
  <c r="T93"/>
  <c r="T99" s="1"/>
  <c r="T122"/>
  <c r="T87"/>
  <c r="X116"/>
  <c r="X117"/>
  <c r="X118"/>
  <c r="X106"/>
  <c r="X90"/>
  <c r="X96" s="1"/>
  <c r="X114"/>
  <c r="X113"/>
  <c r="T104"/>
  <c r="T105"/>
  <c r="Y18"/>
  <c r="Z20"/>
  <c r="Y70"/>
  <c r="S62"/>
  <c r="S79"/>
  <c r="S58"/>
  <c r="S60"/>
  <c r="S173" s="1"/>
  <c r="S66"/>
  <c r="S172" s="1"/>
  <c r="S76"/>
  <c r="S78"/>
  <c r="S131" s="1"/>
  <c r="S50"/>
  <c r="S49"/>
  <c r="S168" s="1"/>
  <c r="S59"/>
  <c r="S55"/>
  <c r="S56"/>
  <c r="S65"/>
  <c r="S54"/>
  <c r="S80"/>
  <c r="S52"/>
  <c r="S174" s="1"/>
  <c r="Y27"/>
  <c r="U15"/>
  <c r="U121" s="1"/>
  <c r="U13"/>
  <c r="U12"/>
  <c r="S64"/>
  <c r="U16"/>
  <c r="U129" s="1"/>
  <c r="U130" s="1"/>
  <c r="U10"/>
  <c r="U7"/>
  <c r="U6"/>
  <c r="AC36"/>
  <c r="Y25"/>
  <c r="Y88" s="1"/>
  <c r="X84"/>
  <c r="U40"/>
  <c r="U92" s="1"/>
  <c r="U98" s="1"/>
  <c r="T86"/>
  <c r="T85"/>
  <c r="T42"/>
  <c r="S73"/>
  <c r="S74"/>
  <c r="S75"/>
  <c r="S72"/>
  <c r="AA21"/>
  <c r="U167"/>
  <c r="U175" s="1"/>
  <c r="Q170"/>
  <c r="Q169"/>
  <c r="Q172"/>
  <c r="G171"/>
  <c r="Q64"/>
  <c r="N171"/>
  <c r="P171"/>
  <c r="C16" i="15"/>
  <c r="C21"/>
  <c r="C10"/>
  <c r="T188" i="18" l="1"/>
  <c r="U188" s="1"/>
  <c r="V188" s="1"/>
  <c r="W188" s="1"/>
  <c r="X188" s="1"/>
  <c r="Y188" s="1"/>
  <c r="Z188" s="1"/>
  <c r="AA188" s="1"/>
  <c r="AB188" s="1"/>
  <c r="AC188" s="1"/>
  <c r="AD188" s="1"/>
  <c r="AE188" s="1"/>
  <c r="AF188" s="1"/>
  <c r="AG188" s="1"/>
  <c r="AH188" s="1"/>
  <c r="AI188" s="1"/>
  <c r="AJ188" s="1"/>
  <c r="AK188" s="1"/>
  <c r="AL188" s="1"/>
  <c r="AM188" s="1"/>
  <c r="AN188" s="1"/>
  <c r="AO188" s="1"/>
  <c r="AP188" s="1"/>
  <c r="AQ188" s="1"/>
  <c r="AR188" s="1"/>
  <c r="AS188" s="1"/>
  <c r="AC91"/>
  <c r="AB97"/>
  <c r="AC97" s="1"/>
  <c r="T186"/>
  <c r="U186" s="1"/>
  <c r="V186" s="1"/>
  <c r="W186" s="1"/>
  <c r="X186" s="1"/>
  <c r="Y186" s="1"/>
  <c r="Z186" s="1"/>
  <c r="AA186" s="1"/>
  <c r="AB186" s="1"/>
  <c r="AC186" s="1"/>
  <c r="S185"/>
  <c r="U103"/>
  <c r="T108"/>
  <c r="T109" s="1"/>
  <c r="T110" s="1"/>
  <c r="T111" s="1"/>
  <c r="T53"/>
  <c r="Y123"/>
  <c r="Y133"/>
  <c r="Y124"/>
  <c r="Y134"/>
  <c r="AB23"/>
  <c r="AA94"/>
  <c r="AA100" s="1"/>
  <c r="U93"/>
  <c r="U99" s="1"/>
  <c r="U122"/>
  <c r="U127"/>
  <c r="U126"/>
  <c r="U87"/>
  <c r="Y118"/>
  <c r="Y117"/>
  <c r="Y116"/>
  <c r="Y106"/>
  <c r="T62"/>
  <c r="Y90"/>
  <c r="Y96" s="1"/>
  <c r="Y114"/>
  <c r="Y113"/>
  <c r="U104"/>
  <c r="U105"/>
  <c r="T58"/>
  <c r="Z18"/>
  <c r="AA20"/>
  <c r="Z70"/>
  <c r="T60"/>
  <c r="T173" s="1"/>
  <c r="T66"/>
  <c r="T172" s="1"/>
  <c r="T76"/>
  <c r="T78"/>
  <c r="T131" s="1"/>
  <c r="T49"/>
  <c r="T168" s="1"/>
  <c r="T50"/>
  <c r="T55"/>
  <c r="T54"/>
  <c r="T65"/>
  <c r="T80"/>
  <c r="T59"/>
  <c r="T56"/>
  <c r="T52"/>
  <c r="T174" s="1"/>
  <c r="T63"/>
  <c r="T79"/>
  <c r="Z27"/>
  <c r="V13"/>
  <c r="V12"/>
  <c r="V15"/>
  <c r="V121" s="1"/>
  <c r="V10"/>
  <c r="V16"/>
  <c r="V129" s="1"/>
  <c r="V130" s="1"/>
  <c r="V6"/>
  <c r="V7"/>
  <c r="V40"/>
  <c r="V92" s="1"/>
  <c r="V98" s="1"/>
  <c r="U86"/>
  <c r="U85"/>
  <c r="Z25"/>
  <c r="Z88" s="1"/>
  <c r="Y84"/>
  <c r="U42"/>
  <c r="T75"/>
  <c r="T74"/>
  <c r="T73"/>
  <c r="T72"/>
  <c r="AB21"/>
  <c r="AE21" s="1"/>
  <c r="S171"/>
  <c r="V167"/>
  <c r="V175" s="1"/>
  <c r="S169"/>
  <c r="S170"/>
  <c r="Q171"/>
  <c r="D31" i="8"/>
  <c r="D29"/>
  <c r="D28"/>
  <c r="D13"/>
  <c r="D30" s="1"/>
  <c r="E14"/>
  <c r="F14" s="1"/>
  <c r="G14" s="1"/>
  <c r="H14" s="1"/>
  <c r="I14" s="1"/>
  <c r="T185" i="18" l="1"/>
  <c r="U185" s="1"/>
  <c r="V185" s="1"/>
  <c r="W185" s="1"/>
  <c r="X185" s="1"/>
  <c r="Y185" s="1"/>
  <c r="Z185" s="1"/>
  <c r="AA185" s="1"/>
  <c r="AB185" s="1"/>
  <c r="AC185" s="1"/>
  <c r="AD186"/>
  <c r="AE186" s="1"/>
  <c r="AF186" s="1"/>
  <c r="AG186" s="1"/>
  <c r="AH186" s="1"/>
  <c r="AI186" s="1"/>
  <c r="AJ186" s="1"/>
  <c r="AK186" s="1"/>
  <c r="AL186" s="1"/>
  <c r="AM186" s="1"/>
  <c r="AN186" s="1"/>
  <c r="AO186" s="1"/>
  <c r="AP186" s="1"/>
  <c r="AQ186" s="1"/>
  <c r="AR186" s="1"/>
  <c r="AS186" s="1"/>
  <c r="V103"/>
  <c r="U108"/>
  <c r="U109" s="1"/>
  <c r="U110" s="1"/>
  <c r="U111" s="1"/>
  <c r="U53"/>
  <c r="Z123"/>
  <c r="Z133"/>
  <c r="Z124"/>
  <c r="Z134"/>
  <c r="AE23"/>
  <c r="AB94"/>
  <c r="AC23"/>
  <c r="V87"/>
  <c r="V126"/>
  <c r="V127"/>
  <c r="V93"/>
  <c r="V99" s="1"/>
  <c r="V122"/>
  <c r="Z118"/>
  <c r="Z117"/>
  <c r="Z116"/>
  <c r="Z106"/>
  <c r="U62"/>
  <c r="T64"/>
  <c r="T171" s="1"/>
  <c r="Z90"/>
  <c r="Z96" s="1"/>
  <c r="Z114"/>
  <c r="Z113"/>
  <c r="V105"/>
  <c r="V104"/>
  <c r="AA18"/>
  <c r="AB20"/>
  <c r="AA70"/>
  <c r="U80"/>
  <c r="U79"/>
  <c r="U58"/>
  <c r="U66"/>
  <c r="U172" s="1"/>
  <c r="U65"/>
  <c r="U60"/>
  <c r="U173" s="1"/>
  <c r="U63"/>
  <c r="U54"/>
  <c r="U76"/>
  <c r="U78"/>
  <c r="U131" s="1"/>
  <c r="U50"/>
  <c r="U49"/>
  <c r="U168" s="1"/>
  <c r="U59"/>
  <c r="U55"/>
  <c r="U56"/>
  <c r="U52"/>
  <c r="U174" s="1"/>
  <c r="AA27"/>
  <c r="W12"/>
  <c r="W15"/>
  <c r="W121" s="1"/>
  <c r="W13"/>
  <c r="W16"/>
  <c r="W129" s="1"/>
  <c r="W130" s="1"/>
  <c r="W10"/>
  <c r="W7"/>
  <c r="W6"/>
  <c r="AA25"/>
  <c r="Z84"/>
  <c r="W40"/>
  <c r="W92" s="1"/>
  <c r="W98" s="1"/>
  <c r="V85"/>
  <c r="V86"/>
  <c r="V42"/>
  <c r="U75"/>
  <c r="U73"/>
  <c r="U74"/>
  <c r="U72"/>
  <c r="AC21"/>
  <c r="W167"/>
  <c r="W175" s="1"/>
  <c r="T169"/>
  <c r="T170"/>
  <c r="I7" i="12"/>
  <c r="F7"/>
  <c r="H39"/>
  <c r="L25"/>
  <c r="L26" s="1"/>
  <c r="L27" s="1"/>
  <c r="L28" s="1"/>
  <c r="L29" s="1"/>
  <c r="L30" s="1"/>
  <c r="L31" s="1"/>
  <c r="L32" s="1"/>
  <c r="L33" s="1"/>
  <c r="L34" s="1"/>
  <c r="L39" s="1"/>
  <c r="I25"/>
  <c r="I26" s="1"/>
  <c r="I27" s="1"/>
  <c r="I28" s="1"/>
  <c r="I29" s="1"/>
  <c r="I30" s="1"/>
  <c r="I31" s="1"/>
  <c r="I32" s="1"/>
  <c r="I33" s="1"/>
  <c r="I34" s="1"/>
  <c r="F24"/>
  <c r="G24" s="1"/>
  <c r="K25" s="1"/>
  <c r="K26" s="1"/>
  <c r="K27" s="1"/>
  <c r="K28" s="1"/>
  <c r="K29" s="1"/>
  <c r="K30" s="1"/>
  <c r="K31" s="1"/>
  <c r="K32" s="1"/>
  <c r="K33" s="1"/>
  <c r="K34" s="1"/>
  <c r="K40" s="1"/>
  <c r="F23"/>
  <c r="G23" s="1"/>
  <c r="F22"/>
  <c r="G22" s="1"/>
  <c r="F21"/>
  <c r="G21" s="1"/>
  <c r="F20"/>
  <c r="G20" s="1"/>
  <c r="F19"/>
  <c r="G19" s="1"/>
  <c r="F18"/>
  <c r="G18" s="1"/>
  <c r="F17"/>
  <c r="G17" s="1"/>
  <c r="F16"/>
  <c r="G16" s="1"/>
  <c r="F15"/>
  <c r="G15" s="1"/>
  <c r="F14"/>
  <c r="G14" s="1"/>
  <c r="F13"/>
  <c r="G13" s="1"/>
  <c r="AD185" i="18" l="1"/>
  <c r="AE185" s="1"/>
  <c r="AF185" s="1"/>
  <c r="AG185" s="1"/>
  <c r="AH185" s="1"/>
  <c r="AI185" s="1"/>
  <c r="AJ185" s="1"/>
  <c r="AK185" s="1"/>
  <c r="AL185" s="1"/>
  <c r="AM185" s="1"/>
  <c r="AN185" s="1"/>
  <c r="AO185" s="1"/>
  <c r="AP185" s="1"/>
  <c r="AQ185" s="1"/>
  <c r="AR185" s="1"/>
  <c r="AS185" s="1"/>
  <c r="AC94"/>
  <c r="AB100"/>
  <c r="AC100" s="1"/>
  <c r="W103"/>
  <c r="V108"/>
  <c r="V109" s="1"/>
  <c r="V110" s="1"/>
  <c r="V111" s="1"/>
  <c r="V53"/>
  <c r="AA123"/>
  <c r="AA133"/>
  <c r="AA124"/>
  <c r="AA134"/>
  <c r="AE20"/>
  <c r="AA88"/>
  <c r="W127"/>
  <c r="W126"/>
  <c r="W93"/>
  <c r="W99" s="1"/>
  <c r="W122"/>
  <c r="W87"/>
  <c r="AA117"/>
  <c r="AA116"/>
  <c r="AA118"/>
  <c r="AA106"/>
  <c r="U64"/>
  <c r="U171" s="1"/>
  <c r="AA90"/>
  <c r="AA96" s="1"/>
  <c r="AA114"/>
  <c r="AA113"/>
  <c r="V65"/>
  <c r="W105"/>
  <c r="W104"/>
  <c r="AB18"/>
  <c r="V80"/>
  <c r="V56"/>
  <c r="V63"/>
  <c r="AC20"/>
  <c r="AB70"/>
  <c r="V54"/>
  <c r="V62"/>
  <c r="V59"/>
  <c r="V79"/>
  <c r="V55"/>
  <c r="V60"/>
  <c r="V173" s="1"/>
  <c r="V76"/>
  <c r="V78"/>
  <c r="V131" s="1"/>
  <c r="V49"/>
  <c r="V168" s="1"/>
  <c r="V50"/>
  <c r="V58"/>
  <c r="V66"/>
  <c r="V172" s="1"/>
  <c r="V52"/>
  <c r="V174" s="1"/>
  <c r="AB27"/>
  <c r="AB134" s="1"/>
  <c r="AC134" s="1"/>
  <c r="X15"/>
  <c r="X121" s="1"/>
  <c r="X13"/>
  <c r="X12"/>
  <c r="X10"/>
  <c r="X16"/>
  <c r="X129" s="1"/>
  <c r="X130" s="1"/>
  <c r="X6"/>
  <c r="X7"/>
  <c r="X40"/>
  <c r="X92" s="1"/>
  <c r="X98" s="1"/>
  <c r="W86"/>
  <c r="W85"/>
  <c r="AB25"/>
  <c r="AB88" s="1"/>
  <c r="AC88" s="1"/>
  <c r="AA84"/>
  <c r="W42"/>
  <c r="V75"/>
  <c r="V73"/>
  <c r="V74"/>
  <c r="V72"/>
  <c r="X167"/>
  <c r="X175" s="1"/>
  <c r="U169"/>
  <c r="U170"/>
  <c r="G40" i="12"/>
  <c r="J25"/>
  <c r="J26" s="1"/>
  <c r="J27" s="1"/>
  <c r="J28" s="1"/>
  <c r="J29" s="1"/>
  <c r="J30" s="1"/>
  <c r="J31" s="1"/>
  <c r="J32" s="1"/>
  <c r="J33" s="1"/>
  <c r="J34" s="1"/>
  <c r="K37" s="1"/>
  <c r="N10" i="11"/>
  <c r="H44"/>
  <c r="I41"/>
  <c r="F41"/>
  <c r="G41" s="1"/>
  <c r="K41" s="1"/>
  <c r="I40"/>
  <c r="F40"/>
  <c r="G40" s="1"/>
  <c r="K40" s="1"/>
  <c r="I39"/>
  <c r="F39"/>
  <c r="G39" s="1"/>
  <c r="K39" s="1"/>
  <c r="I38"/>
  <c r="F38"/>
  <c r="G38" s="1"/>
  <c r="K38" s="1"/>
  <c r="I37"/>
  <c r="F37"/>
  <c r="G37" s="1"/>
  <c r="K37" s="1"/>
  <c r="I36"/>
  <c r="F36"/>
  <c r="G36" s="1"/>
  <c r="K36" s="1"/>
  <c r="I35"/>
  <c r="F35"/>
  <c r="G35" s="1"/>
  <c r="K35" s="1"/>
  <c r="I34"/>
  <c r="F34"/>
  <c r="G34" s="1"/>
  <c r="K34" s="1"/>
  <c r="I33"/>
  <c r="F33"/>
  <c r="G33" s="1"/>
  <c r="K33" s="1"/>
  <c r="I32"/>
  <c r="F32"/>
  <c r="G32" s="1"/>
  <c r="K32" s="1"/>
  <c r="N31"/>
  <c r="Q31" s="1"/>
  <c r="I31"/>
  <c r="F31"/>
  <c r="G31" s="1"/>
  <c r="I30"/>
  <c r="F30"/>
  <c r="G30" s="1"/>
  <c r="K30" s="1"/>
  <c r="I29"/>
  <c r="D22"/>
  <c r="L19"/>
  <c r="K11"/>
  <c r="K12" s="1"/>
  <c r="K9"/>
  <c r="H44" i="9"/>
  <c r="N31"/>
  <c r="P31" s="1"/>
  <c r="I29"/>
  <c r="I30"/>
  <c r="I32"/>
  <c r="I33"/>
  <c r="I34"/>
  <c r="I35"/>
  <c r="I36"/>
  <c r="I37"/>
  <c r="I38"/>
  <c r="I39"/>
  <c r="I40"/>
  <c r="I41"/>
  <c r="I31"/>
  <c r="F31"/>
  <c r="G31" s="1"/>
  <c r="K31" s="1"/>
  <c r="L31" s="1"/>
  <c r="F32"/>
  <c r="G32" s="1"/>
  <c r="K32" s="1"/>
  <c r="F33"/>
  <c r="G33" s="1"/>
  <c r="K33" s="1"/>
  <c r="F34"/>
  <c r="G34" s="1"/>
  <c r="K34" s="1"/>
  <c r="F35"/>
  <c r="G35" s="1"/>
  <c r="K35" s="1"/>
  <c r="F36"/>
  <c r="G36" s="1"/>
  <c r="K36" s="1"/>
  <c r="F37"/>
  <c r="G37" s="1"/>
  <c r="K37" s="1"/>
  <c r="F38"/>
  <c r="G38" s="1"/>
  <c r="K38" s="1"/>
  <c r="F39"/>
  <c r="G39" s="1"/>
  <c r="K39" s="1"/>
  <c r="F40"/>
  <c r="G40" s="1"/>
  <c r="K40" s="1"/>
  <c r="F41"/>
  <c r="G41" s="1"/>
  <c r="K41" s="1"/>
  <c r="F30"/>
  <c r="G30" s="1"/>
  <c r="K30" s="1"/>
  <c r="X103" i="18" l="1"/>
  <c r="W108"/>
  <c r="W109" s="1"/>
  <c r="W110" s="1"/>
  <c r="W111" s="1"/>
  <c r="W53"/>
  <c r="AB123"/>
  <c r="AC123" s="1"/>
  <c r="AB133"/>
  <c r="AC133" s="1"/>
  <c r="X93"/>
  <c r="X99" s="1"/>
  <c r="X122"/>
  <c r="X127"/>
  <c r="X126"/>
  <c r="AE27"/>
  <c r="AB124"/>
  <c r="AC124" s="1"/>
  <c r="X87"/>
  <c r="AB116"/>
  <c r="AC116" s="1"/>
  <c r="AB118"/>
  <c r="AC118" s="1"/>
  <c r="AB117"/>
  <c r="AC117" s="1"/>
  <c r="N32" i="9"/>
  <c r="N33" s="1"/>
  <c r="N34" s="1"/>
  <c r="N35" s="1"/>
  <c r="N36" s="1"/>
  <c r="N37" s="1"/>
  <c r="N38" s="1"/>
  <c r="N39" s="1"/>
  <c r="N40" s="1"/>
  <c r="N41" s="1"/>
  <c r="N42" s="1"/>
  <c r="M45"/>
  <c r="AB106" i="18"/>
  <c r="AC106" s="1"/>
  <c r="V64"/>
  <c r="V171" s="1"/>
  <c r="W63"/>
  <c r="AB90"/>
  <c r="AB114"/>
  <c r="AC114" s="1"/>
  <c r="AB113"/>
  <c r="AC113" s="1"/>
  <c r="X105"/>
  <c r="X104"/>
  <c r="AE25"/>
  <c r="AE18"/>
  <c r="AC18"/>
  <c r="S157"/>
  <c r="AE70"/>
  <c r="AC70"/>
  <c r="M32" i="9"/>
  <c r="M33" s="1"/>
  <c r="M34" s="1"/>
  <c r="M35" s="1"/>
  <c r="M36" s="1"/>
  <c r="M37" s="1"/>
  <c r="M38" s="1"/>
  <c r="M39" s="1"/>
  <c r="M40" s="1"/>
  <c r="M41" s="1"/>
  <c r="P32"/>
  <c r="W66" i="18"/>
  <c r="W172" s="1"/>
  <c r="W65"/>
  <c r="W60"/>
  <c r="W173" s="1"/>
  <c r="W62"/>
  <c r="W59"/>
  <c r="W79"/>
  <c r="W58"/>
  <c r="W80"/>
  <c r="W76"/>
  <c r="W78"/>
  <c r="W131" s="1"/>
  <c r="W50"/>
  <c r="W49"/>
  <c r="W168" s="1"/>
  <c r="W54"/>
  <c r="W55"/>
  <c r="W56"/>
  <c r="W52"/>
  <c r="W174" s="1"/>
  <c r="AC27"/>
  <c r="Y12"/>
  <c r="Y15"/>
  <c r="Y121" s="1"/>
  <c r="Y13"/>
  <c r="Y10"/>
  <c r="Y16"/>
  <c r="Y129" s="1"/>
  <c r="Y130" s="1"/>
  <c r="Y7"/>
  <c r="Y6"/>
  <c r="AC25"/>
  <c r="AB84"/>
  <c r="AC84" s="1"/>
  <c r="Y40"/>
  <c r="Y92" s="1"/>
  <c r="Y98" s="1"/>
  <c r="X86"/>
  <c r="X85"/>
  <c r="O31" i="9"/>
  <c r="O32" s="1"/>
  <c r="X42" i="18"/>
  <c r="W75"/>
  <c r="W73"/>
  <c r="W74"/>
  <c r="W72"/>
  <c r="Y167"/>
  <c r="Y175" s="1"/>
  <c r="V169"/>
  <c r="V170"/>
  <c r="P31" i="11"/>
  <c r="N32"/>
  <c r="T19" i="9"/>
  <c r="D22"/>
  <c r="AC90" i="18" l="1"/>
  <c r="AB96"/>
  <c r="AC96" s="1"/>
  <c r="Y103"/>
  <c r="X108"/>
  <c r="X109" s="1"/>
  <c r="X110" s="1"/>
  <c r="X111" s="1"/>
  <c r="X53"/>
  <c r="Y127"/>
  <c r="Y126"/>
  <c r="Y93"/>
  <c r="Y99" s="1"/>
  <c r="Y122"/>
  <c r="Y87"/>
  <c r="W64"/>
  <c r="W171" s="1"/>
  <c r="X56"/>
  <c r="Y104"/>
  <c r="Y105"/>
  <c r="T157"/>
  <c r="R157" s="1"/>
  <c r="X58"/>
  <c r="X65"/>
  <c r="X52"/>
  <c r="X174" s="1"/>
  <c r="X60"/>
  <c r="X173" s="1"/>
  <c r="X55"/>
  <c r="X54"/>
  <c r="X76"/>
  <c r="X78"/>
  <c r="X131" s="1"/>
  <c r="X50"/>
  <c r="X49"/>
  <c r="X168" s="1"/>
  <c r="X80"/>
  <c r="X59"/>
  <c r="X66"/>
  <c r="X172" s="1"/>
  <c r="X63"/>
  <c r="X62"/>
  <c r="X79"/>
  <c r="Z13"/>
  <c r="Z12"/>
  <c r="Z15"/>
  <c r="Z121" s="1"/>
  <c r="Z10"/>
  <c r="Z16"/>
  <c r="Z129" s="1"/>
  <c r="Z130" s="1"/>
  <c r="Z6"/>
  <c r="Z7"/>
  <c r="Z40"/>
  <c r="Z92" s="1"/>
  <c r="Z98" s="1"/>
  <c r="Y86"/>
  <c r="Y85"/>
  <c r="Y42"/>
  <c r="X75"/>
  <c r="X73"/>
  <c r="X74"/>
  <c r="X72"/>
  <c r="Z167"/>
  <c r="Z175" s="1"/>
  <c r="W169"/>
  <c r="W170"/>
  <c r="N33" i="11"/>
  <c r="O32"/>
  <c r="P32"/>
  <c r="M45"/>
  <c r="L31"/>
  <c r="M32" s="1"/>
  <c r="M33" s="1"/>
  <c r="M34" s="1"/>
  <c r="M35" s="1"/>
  <c r="M36" s="1"/>
  <c r="M37" s="1"/>
  <c r="M38" s="1"/>
  <c r="M39" s="1"/>
  <c r="M40" s="1"/>
  <c r="M41" s="1"/>
  <c r="Q32"/>
  <c r="S11" i="9"/>
  <c r="S12" s="1"/>
  <c r="S9"/>
  <c r="Z103" i="18" l="1"/>
  <c r="Y108"/>
  <c r="Y109" s="1"/>
  <c r="Y110" s="1"/>
  <c r="Y111" s="1"/>
  <c r="Y53"/>
  <c r="Z93"/>
  <c r="Z99" s="1"/>
  <c r="Z122"/>
  <c r="Z126"/>
  <c r="Z127"/>
  <c r="Z87"/>
  <c r="Z104"/>
  <c r="Z105"/>
  <c r="X64"/>
  <c r="X171" s="1"/>
  <c r="Y76"/>
  <c r="Y78"/>
  <c r="Y131" s="1"/>
  <c r="Y49"/>
  <c r="Y168" s="1"/>
  <c r="Y50"/>
  <c r="Y60"/>
  <c r="Y173" s="1"/>
  <c r="Y66"/>
  <c r="Y172" s="1"/>
  <c r="Y65"/>
  <c r="Y63"/>
  <c r="Y54"/>
  <c r="Y52"/>
  <c r="Y174" s="1"/>
  <c r="Y59"/>
  <c r="Y55"/>
  <c r="Y56"/>
  <c r="Y62"/>
  <c r="Y79"/>
  <c r="Y58"/>
  <c r="Y80"/>
  <c r="AA12"/>
  <c r="AA15"/>
  <c r="AA121" s="1"/>
  <c r="AA13"/>
  <c r="AA10"/>
  <c r="AA16"/>
  <c r="AA129" s="1"/>
  <c r="AA130" s="1"/>
  <c r="AA7"/>
  <c r="AA6"/>
  <c r="AA40"/>
  <c r="AA92" s="1"/>
  <c r="AA98" s="1"/>
  <c r="Z85"/>
  <c r="Z86"/>
  <c r="Z42"/>
  <c r="Y75"/>
  <c r="Y73"/>
  <c r="Y74"/>
  <c r="Y72"/>
  <c r="AA167"/>
  <c r="AA175" s="1"/>
  <c r="X169"/>
  <c r="X170"/>
  <c r="N34" i="11"/>
  <c r="O33"/>
  <c r="D25" i="8"/>
  <c r="D23"/>
  <c r="AA103" i="18" l="1"/>
  <c r="Z108"/>
  <c r="Z109" s="1"/>
  <c r="Z110" s="1"/>
  <c r="Z111" s="1"/>
  <c r="Z53"/>
  <c r="AA87"/>
  <c r="AA126"/>
  <c r="AA127"/>
  <c r="AA93"/>
  <c r="AA99" s="1"/>
  <c r="AA122"/>
  <c r="AA104"/>
  <c r="AA105"/>
  <c r="Y64"/>
  <c r="Y171" s="1"/>
  <c r="Z76"/>
  <c r="Z78"/>
  <c r="Z131" s="1"/>
  <c r="Z50"/>
  <c r="Z49"/>
  <c r="Z168" s="1"/>
  <c r="Z54"/>
  <c r="Z65"/>
  <c r="Z55"/>
  <c r="Z60"/>
  <c r="Z173" s="1"/>
  <c r="Z63"/>
  <c r="Z62"/>
  <c r="Z80"/>
  <c r="Z66"/>
  <c r="Z172" s="1"/>
  <c r="Z52"/>
  <c r="Z174" s="1"/>
  <c r="Z59"/>
  <c r="Z79"/>
  <c r="Z58"/>
  <c r="Z56"/>
  <c r="AB15"/>
  <c r="AB13"/>
  <c r="AE13" s="1"/>
  <c r="AB12"/>
  <c r="AB122" s="1"/>
  <c r="AC122" s="1"/>
  <c r="AB10"/>
  <c r="AB16"/>
  <c r="AB6"/>
  <c r="AE6" s="1"/>
  <c r="AB7"/>
  <c r="AE7" s="1"/>
  <c r="AB40"/>
  <c r="AB92" s="1"/>
  <c r="AA86"/>
  <c r="AA85"/>
  <c r="AA42"/>
  <c r="Z75"/>
  <c r="Z73"/>
  <c r="Z74"/>
  <c r="Z72"/>
  <c r="AB167"/>
  <c r="AB175" s="1"/>
  <c r="Y169"/>
  <c r="Y170"/>
  <c r="N35" i="11"/>
  <c r="O34"/>
  <c r="D35" i="8"/>
  <c r="E5"/>
  <c r="E18" s="1"/>
  <c r="D18"/>
  <c r="D19"/>
  <c r="D21"/>
  <c r="D20"/>
  <c r="AC92" i="18" l="1"/>
  <c r="AB98"/>
  <c r="AC98" s="1"/>
  <c r="AB103"/>
  <c r="AC175"/>
  <c r="AE175" s="1"/>
  <c r="AA108"/>
  <c r="AA109" s="1"/>
  <c r="AA110" s="1"/>
  <c r="AA111" s="1"/>
  <c r="AA53"/>
  <c r="AE16"/>
  <c r="AB129"/>
  <c r="AB127"/>
  <c r="AC127" s="1"/>
  <c r="AB126"/>
  <c r="AC126" s="1"/>
  <c r="AE15"/>
  <c r="AB121"/>
  <c r="AC121" s="1"/>
  <c r="AB87"/>
  <c r="AC87" s="1"/>
  <c r="AE10"/>
  <c r="AC103"/>
  <c r="AE12"/>
  <c r="AB93"/>
  <c r="AE40"/>
  <c r="AB104"/>
  <c r="AC104" s="1"/>
  <c r="AB105"/>
  <c r="AC105" s="1"/>
  <c r="Z64"/>
  <c r="Z171" s="1"/>
  <c r="AA76"/>
  <c r="AA78"/>
  <c r="AA131" s="1"/>
  <c r="AA49"/>
  <c r="AA168" s="1"/>
  <c r="AA50"/>
  <c r="AA58"/>
  <c r="AA66"/>
  <c r="AA172" s="1"/>
  <c r="AA52"/>
  <c r="AA174" s="1"/>
  <c r="AA60"/>
  <c r="AA173" s="1"/>
  <c r="AA63"/>
  <c r="AA79"/>
  <c r="AA54"/>
  <c r="AA55"/>
  <c r="AA56"/>
  <c r="AA59"/>
  <c r="AA80"/>
  <c r="AA62"/>
  <c r="AA65"/>
  <c r="AC15"/>
  <c r="AC13"/>
  <c r="S151"/>
  <c r="AC12"/>
  <c r="AC10"/>
  <c r="AC16"/>
  <c r="AC7"/>
  <c r="AC6"/>
  <c r="AB86"/>
  <c r="AC86" s="1"/>
  <c r="AB85"/>
  <c r="AC85" s="1"/>
  <c r="AC40"/>
  <c r="AB42"/>
  <c r="AA75"/>
  <c r="AA73"/>
  <c r="AA74"/>
  <c r="AA72"/>
  <c r="AC167"/>
  <c r="AE167" s="1"/>
  <c r="Z169"/>
  <c r="Z170"/>
  <c r="N36" i="11"/>
  <c r="O35"/>
  <c r="F5" i="8"/>
  <c r="G5" s="1"/>
  <c r="H5" s="1"/>
  <c r="I5" s="1"/>
  <c r="AC93" i="18" l="1"/>
  <c r="AB99"/>
  <c r="AC99" s="1"/>
  <c r="AB108"/>
  <c r="AB109" s="1"/>
  <c r="AB110" s="1"/>
  <c r="AB111" s="1"/>
  <c r="AB53"/>
  <c r="AC129"/>
  <c r="AB130"/>
  <c r="AC130" s="1"/>
  <c r="AE42"/>
  <c r="T151"/>
  <c r="T152" s="1"/>
  <c r="AA64"/>
  <c r="AA171" s="1"/>
  <c r="AB76"/>
  <c r="AB78"/>
  <c r="AB49"/>
  <c r="AB168" s="1"/>
  <c r="AC168" s="1"/>
  <c r="AE168" s="1"/>
  <c r="AB50"/>
  <c r="AB58"/>
  <c r="AB63"/>
  <c r="AB52"/>
  <c r="AB60"/>
  <c r="AB56"/>
  <c r="AB79"/>
  <c r="AB55"/>
  <c r="AE55" s="1"/>
  <c r="AB54"/>
  <c r="AB65"/>
  <c r="AB80"/>
  <c r="AB59"/>
  <c r="AB66"/>
  <c r="AB62"/>
  <c r="S152"/>
  <c r="AB75"/>
  <c r="AB73"/>
  <c r="AC42"/>
  <c r="AB74"/>
  <c r="AB72"/>
  <c r="AA169"/>
  <c r="AA170"/>
  <c r="N37" i="11"/>
  <c r="O36"/>
  <c r="F18" i="8"/>
  <c r="G18"/>
  <c r="AE52" i="18" l="1"/>
  <c r="AB174"/>
  <c r="AE53"/>
  <c r="AC53"/>
  <c r="AE78"/>
  <c r="AB131"/>
  <c r="AC131" s="1"/>
  <c r="AC108"/>
  <c r="R151"/>
  <c r="R152"/>
  <c r="M182" s="1"/>
  <c r="AC79"/>
  <c r="AE79"/>
  <c r="AC50"/>
  <c r="AE50"/>
  <c r="S148"/>
  <c r="AE65"/>
  <c r="AB172"/>
  <c r="AC172" s="1"/>
  <c r="AE172" s="1"/>
  <c r="AE66"/>
  <c r="AC49"/>
  <c r="AE49"/>
  <c r="AC63"/>
  <c r="AE63"/>
  <c r="S142"/>
  <c r="AE62"/>
  <c r="S141"/>
  <c r="AE56"/>
  <c r="AB173"/>
  <c r="AC173" s="1"/>
  <c r="AE173" s="1"/>
  <c r="AE60"/>
  <c r="AC59"/>
  <c r="AE59"/>
  <c r="S139"/>
  <c r="AE54"/>
  <c r="S144"/>
  <c r="AE58"/>
  <c r="AC80"/>
  <c r="AE80"/>
  <c r="S164"/>
  <c r="AE76"/>
  <c r="S162"/>
  <c r="AE75"/>
  <c r="S161"/>
  <c r="AE74"/>
  <c r="S159"/>
  <c r="AE72"/>
  <c r="S160"/>
  <c r="AE73"/>
  <c r="AC65"/>
  <c r="S145"/>
  <c r="AC54"/>
  <c r="AC56"/>
  <c r="T141" s="1"/>
  <c r="AC58"/>
  <c r="S146"/>
  <c r="AC76"/>
  <c r="AC62"/>
  <c r="S149"/>
  <c r="AB64"/>
  <c r="AC60"/>
  <c r="AC66"/>
  <c r="AC78"/>
  <c r="AC74"/>
  <c r="AC73"/>
  <c r="AC72"/>
  <c r="AC75"/>
  <c r="S138"/>
  <c r="AC52"/>
  <c r="AB169"/>
  <c r="AC55"/>
  <c r="T140" s="1"/>
  <c r="AB170"/>
  <c r="S140"/>
  <c r="N38" i="11"/>
  <c r="O37"/>
  <c r="H18" i="8"/>
  <c r="AC174" i="18" l="1"/>
  <c r="AE174" s="1"/>
  <c r="T138"/>
  <c r="R138" s="1"/>
  <c r="P184" s="1"/>
  <c r="P185" s="1"/>
  <c r="P182"/>
  <c r="AC109"/>
  <c r="T149"/>
  <c r="R149" s="1"/>
  <c r="T139"/>
  <c r="R139" s="1"/>
  <c r="M181" s="1"/>
  <c r="T148"/>
  <c r="R148" s="1"/>
  <c r="T144"/>
  <c r="R144" s="1"/>
  <c r="T146"/>
  <c r="R146" s="1"/>
  <c r="T164"/>
  <c r="R164" s="1"/>
  <c r="T161"/>
  <c r="R161" s="1"/>
  <c r="AC64"/>
  <c r="AE64"/>
  <c r="T142"/>
  <c r="R142" s="1"/>
  <c r="R141"/>
  <c r="T145"/>
  <c r="R145" s="1"/>
  <c r="T159"/>
  <c r="R159" s="1"/>
  <c r="AB171"/>
  <c r="AC171" s="1"/>
  <c r="AE171" s="1"/>
  <c r="T162"/>
  <c r="R162" s="1"/>
  <c r="T160"/>
  <c r="R160" s="1"/>
  <c r="AC170"/>
  <c r="AE170" s="1"/>
  <c r="AC169"/>
  <c r="AE169" s="1"/>
  <c r="R140"/>
  <c r="N39" i="11"/>
  <c r="O38"/>
  <c r="I18" i="8"/>
  <c r="P183" i="18" l="1"/>
  <c r="M183"/>
  <c r="P181"/>
  <c r="P180"/>
  <c r="M180"/>
  <c r="AC111"/>
  <c r="AC110"/>
  <c r="N40" i="11"/>
  <c r="O39"/>
  <c r="N41" l="1"/>
  <c r="O40"/>
  <c r="N42" l="1"/>
  <c r="O41"/>
</calcChain>
</file>

<file path=xl/comments1.xml><?xml version="1.0" encoding="utf-8"?>
<comments xmlns="http://schemas.openxmlformats.org/spreadsheetml/2006/main">
  <authors>
    <author>Author</author>
  </authors>
  <commentList>
    <comment ref="B131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ability for company to pay interest on outstanding debt.
Lesser ratio is risky...</t>
        </r>
      </text>
    </comment>
    <comment ref="B169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payback period</t>
        </r>
      </text>
    </comment>
  </commentList>
</comments>
</file>

<file path=xl/sharedStrings.xml><?xml version="1.0" encoding="utf-8"?>
<sst xmlns="http://schemas.openxmlformats.org/spreadsheetml/2006/main" count="618" uniqueCount="429">
  <si>
    <t>#</t>
  </si>
  <si>
    <t>CAGR</t>
  </si>
  <si>
    <t>Cash and equivalents</t>
  </si>
  <si>
    <t>Total Number of outstanding shares</t>
  </si>
  <si>
    <t>Total Liabilities</t>
  </si>
  <si>
    <t>Current year</t>
  </si>
  <si>
    <t>in INR Cr</t>
  </si>
  <si>
    <t>INR Cr to INR</t>
  </si>
  <si>
    <t>Book Value (Networth based)</t>
  </si>
  <si>
    <t>Book Value (Total Liability)</t>
  </si>
  <si>
    <t>Book Value (Cash Based)</t>
  </si>
  <si>
    <t>Y1</t>
  </si>
  <si>
    <t>Y2</t>
  </si>
  <si>
    <t>Y3</t>
  </si>
  <si>
    <t>Y4</t>
  </si>
  <si>
    <t>Y5</t>
  </si>
  <si>
    <t>Networth (reserves only)</t>
  </si>
  <si>
    <t>Networth (includes reserves &amp; Share capital</t>
  </si>
  <si>
    <t>Book Value (reserves &amp; Surplus alone)</t>
  </si>
  <si>
    <t>Total Current Assets</t>
  </si>
  <si>
    <t>In Mn</t>
  </si>
  <si>
    <t>to INR Cr</t>
  </si>
  <si>
    <t>Book Value (Total C.A)</t>
  </si>
  <si>
    <t>Net Current Assets</t>
  </si>
  <si>
    <t>Book Value (on Net Current Assets)</t>
  </si>
  <si>
    <t>EPS</t>
  </si>
  <si>
    <t>Year</t>
  </si>
  <si>
    <t>CAGR Calculations</t>
  </si>
  <si>
    <t>Initial value</t>
  </si>
  <si>
    <t>Final Value</t>
  </si>
  <si>
    <t>Duration in years</t>
  </si>
  <si>
    <t>CAGR using years</t>
  </si>
  <si>
    <t>Duration in months</t>
  </si>
  <si>
    <t>CAGR using months</t>
  </si>
  <si>
    <t>Net profit</t>
  </si>
  <si>
    <t>ten years from now</t>
  </si>
  <si>
    <t>Future Value calculations</t>
  </si>
  <si>
    <t>Initial Value</t>
  </si>
  <si>
    <t>Rate</t>
  </si>
  <si>
    <t>period in years</t>
  </si>
  <si>
    <t>Amount added every SOY</t>
  </si>
  <si>
    <t>FV</t>
  </si>
  <si>
    <t>P/E</t>
  </si>
  <si>
    <t>PE</t>
  </si>
  <si>
    <t>current stock price</t>
  </si>
  <si>
    <t>Projected price</t>
  </si>
  <si>
    <t>projected CAGR</t>
  </si>
  <si>
    <t>IOB</t>
  </si>
  <si>
    <t>per share equity</t>
  </si>
  <si>
    <t>Projections</t>
  </si>
  <si>
    <t>Total SHE</t>
  </si>
  <si>
    <t>No. of shares</t>
  </si>
  <si>
    <t>No. of shares (inCr)</t>
  </si>
  <si>
    <t>bought</t>
  </si>
  <si>
    <t>Initial rate of return</t>
  </si>
  <si>
    <t>Dividends Payout</t>
  </si>
  <si>
    <t>ROE (RE)</t>
  </si>
  <si>
    <t>Proj EPS</t>
  </si>
  <si>
    <t>Proj Equity Val</t>
  </si>
  <si>
    <t>Proj Dividends</t>
  </si>
  <si>
    <t>Proj RE</t>
  </si>
  <si>
    <t>FY Year</t>
  </si>
  <si>
    <t>Net Worth</t>
  </si>
  <si>
    <t>RE Ratio</t>
  </si>
  <si>
    <t>Canara bank</t>
  </si>
  <si>
    <t>Present value Calculations</t>
  </si>
  <si>
    <t>PV</t>
  </si>
  <si>
    <t>Margin of Error</t>
  </si>
  <si>
    <t>Actuals</t>
  </si>
  <si>
    <t>-</t>
  </si>
  <si>
    <t>Net Worth per share</t>
  </si>
  <si>
    <t>FY</t>
  </si>
  <si>
    <t>Projected</t>
  </si>
  <si>
    <t>Avg P/BV</t>
  </si>
  <si>
    <t>Avg P/E</t>
  </si>
  <si>
    <t>Discount Rate</t>
  </si>
  <si>
    <t>Comparison</t>
  </si>
  <si>
    <t>Book Value</t>
  </si>
  <si>
    <t>Total Debt (For Banks)</t>
  </si>
  <si>
    <t>Total Advances (For Banks)</t>
  </si>
  <si>
    <t>Net (Advances - Debt)</t>
  </si>
  <si>
    <t>Ratio of Advances to Debt (for Banks)</t>
  </si>
  <si>
    <t>Debt per share</t>
  </si>
  <si>
    <t>For Banks Only</t>
  </si>
  <si>
    <t>Advances per share</t>
  </si>
  <si>
    <t>Net per share</t>
  </si>
  <si>
    <t>BOI</t>
  </si>
  <si>
    <t>Evaluation Types</t>
  </si>
  <si>
    <t>Financial Terms</t>
  </si>
  <si>
    <t>Earnings</t>
  </si>
  <si>
    <t>Factor</t>
  </si>
  <si>
    <t>high ROE</t>
  </si>
  <si>
    <t>high ROCE</t>
  </si>
  <si>
    <t>be consistent and erratic</t>
  </si>
  <si>
    <t>upward Trend</t>
  </si>
  <si>
    <t>Look For</t>
  </si>
  <si>
    <t>Deviations</t>
  </si>
  <si>
    <t>is blip a new trend or just a temp</t>
  </si>
  <si>
    <t>Initial Rate of Return</t>
  </si>
  <si>
    <t>Current Price</t>
  </si>
  <si>
    <t>Initial rate of return = (price/EPS)</t>
  </si>
  <si>
    <t>Business Perspective</t>
  </si>
  <si>
    <t>Equity per Share</t>
  </si>
  <si>
    <t>My Holdings i.e. no of shares</t>
  </si>
  <si>
    <t>My Earning = (no. of Share * EPS)</t>
  </si>
  <si>
    <t>CAGR for 5 years</t>
  </si>
  <si>
    <t>CAGR for 10 years</t>
  </si>
  <si>
    <t>For any Deviations</t>
  </si>
  <si>
    <t>Look for reasons</t>
  </si>
  <si>
    <t>EPS CAGR</t>
  </si>
  <si>
    <t>Retained Earnings</t>
  </si>
  <si>
    <t>% of Earnings retained</t>
  </si>
  <si>
    <t>Relative Stock Valuation</t>
  </si>
  <si>
    <t>(Intrinsic Value of Company)</t>
  </si>
  <si>
    <t>Current EPS</t>
  </si>
  <si>
    <t>Return on GOI Bonds - 8-9% in India</t>
  </si>
  <si>
    <t>Relative value = (EPS/8%)</t>
  </si>
  <si>
    <t>Relative value determines approx price of share</t>
  </si>
  <si>
    <t>how much actual and expected price per share</t>
  </si>
  <si>
    <t>Purchase criteria</t>
  </si>
  <si>
    <r>
      <t xml:space="preserve">stock relative value should be </t>
    </r>
    <r>
      <rPr>
        <b/>
        <sz val="10"/>
        <color theme="1"/>
        <rFont val="Cambria"/>
        <family val="1"/>
        <scheme val="major"/>
      </rPr>
      <t>lower</t>
    </r>
    <r>
      <rPr>
        <sz val="10"/>
        <color theme="1"/>
        <rFont val="Cambria"/>
        <family val="1"/>
        <scheme val="major"/>
      </rPr>
      <t xml:space="preserve"> GOI bonds</t>
    </r>
  </si>
  <si>
    <r>
      <t xml:space="preserve">EQ Initial rate of return </t>
    </r>
    <r>
      <rPr>
        <b/>
        <sz val="10"/>
        <color theme="1"/>
        <rFont val="Cambria"/>
        <family val="1"/>
        <scheme val="major"/>
      </rPr>
      <t>&gt;</t>
    </r>
    <r>
      <rPr>
        <sz val="10"/>
        <color theme="1"/>
        <rFont val="Cambria"/>
        <family val="1"/>
        <scheme val="major"/>
      </rPr>
      <t xml:space="preserve">  GOI bonds</t>
    </r>
  </si>
  <si>
    <t>Alternate Opportunity</t>
  </si>
  <si>
    <t>Projected CAGR should be compared with other investment avenues…</t>
  </si>
  <si>
    <t>Projected CAGR</t>
  </si>
  <si>
    <t>Higher Retention Ratio should give higher EPS.</t>
  </si>
  <si>
    <t>Business Reasons</t>
  </si>
  <si>
    <t>Long Term Competitiveness</t>
  </si>
  <si>
    <t>Through Product</t>
  </si>
  <si>
    <t>Through Service</t>
  </si>
  <si>
    <t>Low Cost</t>
  </si>
  <si>
    <t>High Turnover</t>
  </si>
  <si>
    <t>Technology Factor</t>
  </si>
  <si>
    <t>Look if durablity is due to Cost, taste, Tech factor or anything else</t>
  </si>
  <si>
    <t>Margin/Turnover</t>
  </si>
  <si>
    <r>
      <rPr>
        <b/>
        <sz val="10"/>
        <color theme="1"/>
        <rFont val="Cambria"/>
        <family val="1"/>
        <scheme val="major"/>
      </rPr>
      <t xml:space="preserve">No </t>
    </r>
    <r>
      <rPr>
        <sz val="10"/>
        <color theme="1"/>
        <rFont val="Cambria"/>
        <family val="1"/>
        <scheme val="major"/>
      </rPr>
      <t>for Price Competitive</t>
    </r>
  </si>
  <si>
    <t xml:space="preserve">High margin and Low Inventory Turn over </t>
  </si>
  <si>
    <t>Low Margin and high Inventory Turn over</t>
  </si>
  <si>
    <t>Higher the Profit Margin is better, over,</t>
  </si>
  <si>
    <t>Higher Inventory</t>
  </si>
  <si>
    <t>At-least either of above</t>
  </si>
  <si>
    <t>Company Structure</t>
  </si>
  <si>
    <t>No/less Unionised workforce</t>
  </si>
  <si>
    <t>No/less Debt(loan)</t>
  </si>
  <si>
    <t>Never invest in poor business</t>
  </si>
  <si>
    <t>less dependent on people or workforce</t>
  </si>
  <si>
    <t>Poor Business</t>
  </si>
  <si>
    <t>Airlines</t>
  </si>
  <si>
    <t>Power Distribution such as TNEB</t>
  </si>
  <si>
    <t>Impact of Inflation in business</t>
  </si>
  <si>
    <t>if allowed to increase price, then good, otherwise, Not good</t>
  </si>
  <si>
    <t>Evaluation Steps</t>
  </si>
  <si>
    <t>ROI based</t>
  </si>
  <si>
    <t>Market Cap</t>
  </si>
  <si>
    <t>Total Earning per year</t>
  </si>
  <si>
    <t>ROI = (Earnings / Market Cap)</t>
  </si>
  <si>
    <t>Purchase</t>
  </si>
  <si>
    <t>Is it worth purchasing whole Business</t>
  </si>
  <si>
    <t>Alternate biz oppr</t>
  </si>
  <si>
    <t>Investment in govt bond/PPF/tax free returns (assured returns)</t>
  </si>
  <si>
    <t>Market Sentiments</t>
  </si>
  <si>
    <t>Bull -&gt; To Sell</t>
  </si>
  <si>
    <t>Bear -&gt; To Buy</t>
  </si>
  <si>
    <t>Bubble -&gt; To Sell</t>
  </si>
  <si>
    <t>Panic Selling or corrections -&gt; To Buy</t>
  </si>
  <si>
    <t>Price is single most imp factor for purchase</t>
  </si>
  <si>
    <t>Bubble bursts, when value investors exit from stock market</t>
  </si>
  <si>
    <t>Look at stocks that are rejected by momentum pickers</t>
  </si>
  <si>
    <t>when Stock market analysts proclaim that - valuation no longer important, then bull market is in final phase and bubble started.</t>
  </si>
  <si>
    <t>Bad News</t>
  </si>
  <si>
    <t>Stock Market Panic</t>
  </si>
  <si>
    <t>Industry recession</t>
  </si>
  <si>
    <t>Individual Business</t>
  </si>
  <si>
    <t>Passing calamity - good reason to buy</t>
  </si>
  <si>
    <t>Ir-reversible - Stay out of it..</t>
  </si>
  <si>
    <t>structural changes and War</t>
  </si>
  <si>
    <t>Industry Type</t>
  </si>
  <si>
    <t>Repeat Customers such as Soap</t>
  </si>
  <si>
    <t>Advertising companies (typically Monopoly)</t>
  </si>
  <si>
    <t>ROE/ROCE</t>
  </si>
  <si>
    <t>Consistent and higher is better - preferred above 12-15% - yes</t>
  </si>
  <si>
    <t>No - for lower</t>
  </si>
  <si>
    <t>Bank/FI/Investment Banks</t>
  </si>
  <si>
    <t>ROA</t>
  </si>
  <si>
    <t>ROE</t>
  </si>
  <si>
    <t>ROA - &gt; greateer and consistent is better - &gt; 1% and 2% &amp;&amp;&amp;&amp;&amp;</t>
  </si>
  <si>
    <t>ROE &gt; 12%</t>
  </si>
  <si>
    <t>Attractiveness</t>
  </si>
  <si>
    <t>why sudden loss or decline in profit / earnings</t>
  </si>
  <si>
    <t>One time or indicator of future earnings</t>
  </si>
  <si>
    <t>Ability of paying loan from operational cashflow is essential compared to Assets backing it…</t>
  </si>
  <si>
    <t>Check for Gurrantor for any other subsidary....</t>
  </si>
  <si>
    <t>Amount of earnings retained by a business for certain period and measures its effect on the earning capacity of the company</t>
  </si>
  <si>
    <t>Share Repurchase</t>
  </si>
  <si>
    <t>Like RIL and Adani Enterprise on Adani Power</t>
  </si>
  <si>
    <t>Price and BV</t>
  </si>
  <si>
    <t>Time to Sell</t>
  </si>
  <si>
    <t>P/E above 50 , time to sell..</t>
  </si>
  <si>
    <t>Change in business economics</t>
  </si>
  <si>
    <t>Target price achieved</t>
  </si>
  <si>
    <t>Arbitrage</t>
  </si>
  <si>
    <t>M&amp;A tool</t>
  </si>
  <si>
    <t>Dividends</t>
  </si>
  <si>
    <t>Only if deal is announed and certain</t>
  </si>
  <si>
    <t>Price</t>
  </si>
  <si>
    <t>pay less, earn more</t>
  </si>
  <si>
    <t>Good business -&gt; increasing book value</t>
  </si>
  <si>
    <t>Good business -&gt; increasing price</t>
  </si>
  <si>
    <t>Keep looking for durable competitive company and buy when price is cheap</t>
  </si>
  <si>
    <t>Products/ Service</t>
  </si>
  <si>
    <t>how much time it would take to pay of Long term liability from Net profit</t>
  </si>
  <si>
    <t xml:space="preserve"> &lt; 3 years is preferred... (other than banks)</t>
  </si>
  <si>
    <t>Long Term Debt</t>
  </si>
  <si>
    <t>Secured Loan alone</t>
  </si>
  <si>
    <t>Un-secured Alone</t>
  </si>
  <si>
    <t>Total Free Reserves</t>
  </si>
  <si>
    <t>Total Shareholder Equity</t>
  </si>
  <si>
    <t>Cash &amp; Cash Equivalents</t>
  </si>
  <si>
    <t>Investments</t>
  </si>
  <si>
    <t>Current Liability</t>
  </si>
  <si>
    <t>How Much cash/Cash equivalent required</t>
  </si>
  <si>
    <t>How many years required to pay-off the LT Debt</t>
  </si>
  <si>
    <t>years required to pay-off</t>
  </si>
  <si>
    <t>Repayment capability of LT Debt with Net profit (in years)</t>
  </si>
  <si>
    <t>Repayment capability of Secured Loan with Net profit  (in years)</t>
  </si>
  <si>
    <t>Repayment capability of Un-Secured Loan with Net profit  (in years)</t>
  </si>
  <si>
    <t>Repayment capability of Current Liability with Net profit  (in years)</t>
  </si>
  <si>
    <t>Multiples</t>
  </si>
  <si>
    <t>P/E ratio</t>
  </si>
  <si>
    <t>RE - % earnings retained</t>
  </si>
  <si>
    <t>Return of Assets (ROA)</t>
  </si>
  <si>
    <t>Return of Equity (ROE)</t>
  </si>
  <si>
    <t>Return of Capital Employed (ROCE)</t>
  </si>
  <si>
    <t>Return of Investment (ROI)</t>
  </si>
  <si>
    <t>Y6</t>
  </si>
  <si>
    <t>Y7</t>
  </si>
  <si>
    <t>Y8</t>
  </si>
  <si>
    <t>Y9</t>
  </si>
  <si>
    <t>Y10</t>
  </si>
  <si>
    <t>Total Number of outstanding shares (in Cr)</t>
  </si>
  <si>
    <t>SHE (includes reserves &amp; Share capital)</t>
  </si>
  <si>
    <t>Required Rate of Return</t>
  </si>
  <si>
    <t>Asset &amp; Liabilities</t>
  </si>
  <si>
    <t>Per share details</t>
  </si>
  <si>
    <t>Discounted - Time Value of Money</t>
  </si>
  <si>
    <t>Book Value (reserves &amp; Surplus alone) per share</t>
  </si>
  <si>
    <t>Book Value (Networth based) per share</t>
  </si>
  <si>
    <t>Book Value (Total Liability) per share</t>
  </si>
  <si>
    <t>Book Value (Cash Based) per share</t>
  </si>
  <si>
    <t>Book Value (Total C.A) per share</t>
  </si>
  <si>
    <t>Book Value (on Net Current Assets) per share</t>
  </si>
  <si>
    <t>Price Movement</t>
  </si>
  <si>
    <t>Eval Start Year</t>
  </si>
  <si>
    <t>Eval End Year</t>
  </si>
  <si>
    <t>Proj  CAGR</t>
  </si>
  <si>
    <t>Book Value (Investment) per share</t>
  </si>
  <si>
    <t>Book Value (Cash + Investment) per share</t>
  </si>
  <si>
    <t>EPS (Net Profit per share)</t>
  </si>
  <si>
    <t>P/BV (Share Holder Equity)</t>
  </si>
  <si>
    <t>P/BV (Cash + Investment Based)</t>
  </si>
  <si>
    <t>P/BV (On Net Current Assets)</t>
  </si>
  <si>
    <t>Expenses</t>
  </si>
  <si>
    <t>Repayment capability of LT Debt with Cash + Investment</t>
  </si>
  <si>
    <t>Repayment capability of Secured Loan with Cash + Investment</t>
  </si>
  <si>
    <t>Repayment capability of Un-Secured Loan with Cash + Investment</t>
  </si>
  <si>
    <t>Repayment capability of Current Liability with Cash + Investment</t>
  </si>
  <si>
    <t>Net Profit Margin</t>
  </si>
  <si>
    <t>Gross Profit Margin - Operating</t>
  </si>
  <si>
    <t>??</t>
  </si>
  <si>
    <t>Current Liabilities</t>
  </si>
  <si>
    <t>Book Value ( SHE - Total Liability) per share</t>
  </si>
  <si>
    <t>Book Value ( SHE - Total Liability - CL) per share</t>
  </si>
  <si>
    <t>Book Value (reserves &amp; Surplus alone) / share</t>
  </si>
  <si>
    <t>Book Value (Networth based) / Share</t>
  </si>
  <si>
    <t>Book Value (Total Liability) / Share</t>
  </si>
  <si>
    <t>Book Value (Cash Based) / Share</t>
  </si>
  <si>
    <t>Book Value ( SHE + CA - Total Liability - CL) per share</t>
  </si>
  <si>
    <t>Net Fixed Assets</t>
  </si>
  <si>
    <t>Operating Profit (EBITDA)</t>
  </si>
  <si>
    <t>Suzlon Energy</t>
  </si>
  <si>
    <t>Avg EPS</t>
  </si>
  <si>
    <t>P/BV ( SHE + CA - Total Liability - CL)</t>
  </si>
  <si>
    <t>Dividend (per share)</t>
  </si>
  <si>
    <t>Net Cash Flow from Operations</t>
  </si>
  <si>
    <t>Net Cash Flow from Investments</t>
  </si>
  <si>
    <t>Net Cash Flow from Financing</t>
  </si>
  <si>
    <t>Net Cash Flow (Operations - Investments) per share</t>
  </si>
  <si>
    <t>Net Cash Flow (operations per share)</t>
  </si>
  <si>
    <t>Net Cash Flow (Capex per share)</t>
  </si>
  <si>
    <t>Net Cash Flow (Financing per share)</t>
  </si>
  <si>
    <t>Net Cash Flow (Operations - Investments)</t>
  </si>
  <si>
    <t>Y11 onwards</t>
  </si>
  <si>
    <t>Future Growth Rate</t>
  </si>
  <si>
    <t>Cash and Cash Equivalent</t>
  </si>
  <si>
    <t>Cash and Cash Equivalent / per share</t>
  </si>
  <si>
    <t>Net Cash and Cash Equivalent</t>
  </si>
  <si>
    <t>Net Cash &amp; Cash Equivalent (at the end of yr) per share</t>
  </si>
  <si>
    <t>Cummulative Terms (NPV)</t>
  </si>
  <si>
    <t>Net Cash &amp; Cash Equivalent per share</t>
  </si>
  <si>
    <t>% Discount (Price/Dividend)</t>
  </si>
  <si>
    <t xml:space="preserve">P/E </t>
  </si>
  <si>
    <t>Cummulative Terms</t>
  </si>
  <si>
    <t>Key Ratios</t>
  </si>
  <si>
    <t>Sales (Rev per share)</t>
  </si>
  <si>
    <t>Expenses (Total Expense per share)</t>
  </si>
  <si>
    <t>Total Debt - LTL/SHE</t>
  </si>
  <si>
    <t>Total Debt - LTL/Cash &amp; Cash Eqv.</t>
  </si>
  <si>
    <t>Total Debt - LTL/( Cash &amp; Cash Eqv + Investments)</t>
  </si>
  <si>
    <t>Operating Profit Margin</t>
  </si>
  <si>
    <t>Profitability Ratios</t>
  </si>
  <si>
    <t>Operating profit per year</t>
  </si>
  <si>
    <t>Net Profit per year</t>
  </si>
  <si>
    <t>Reserves per share</t>
  </si>
  <si>
    <t>if NEGATIVE, then stock is in DISCOUNT, if POSITIVE, then stock is in PREMIUM</t>
  </si>
  <si>
    <t>Company Name</t>
  </si>
  <si>
    <t>Top Expenses ( Raw material )</t>
  </si>
  <si>
    <t>Net Cash Flow (Operations + Investments)</t>
  </si>
  <si>
    <t>Net Cash Flow (Operations + Investments) per share</t>
  </si>
  <si>
    <t>Earnings yield</t>
  </si>
  <si>
    <t>Dividend Yield</t>
  </si>
  <si>
    <t>Net Profit / Total Assets</t>
  </si>
  <si>
    <t>Net profit / Total Sales</t>
  </si>
  <si>
    <t>Interest Out go/Earnings</t>
  </si>
  <si>
    <t>Interest Out-go</t>
  </si>
  <si>
    <t>Interest Out go/Cash Only (ratio)</t>
  </si>
  <si>
    <t>Net Debt = Total Liability - Cash Equivalent</t>
  </si>
  <si>
    <t>Future Growth rate</t>
  </si>
  <si>
    <t>Proj Growth rate</t>
  </si>
  <si>
    <t>Retention Ratio</t>
  </si>
  <si>
    <t>R&amp;D - Opex / Sales</t>
  </si>
  <si>
    <t>R&amp;D Expenses -  Opex</t>
  </si>
  <si>
    <t>R&amp;D Expenses - Capex / Total</t>
  </si>
  <si>
    <t>R&amp;D - Capex or Total/Sales</t>
  </si>
  <si>
    <t>Dividend out-go</t>
  </si>
  <si>
    <t>Dividend out go + DDT @ 17%</t>
  </si>
  <si>
    <t>Dividend/Net Earnings ratio</t>
  </si>
  <si>
    <t>MoneyControl</t>
  </si>
  <si>
    <t>Investment calc</t>
  </si>
  <si>
    <t>Desc</t>
  </si>
  <si>
    <t>10 yr</t>
  </si>
  <si>
    <t>Purch Price</t>
  </si>
  <si>
    <t>Qty</t>
  </si>
  <si>
    <t>Purchase Value</t>
  </si>
  <si>
    <t>Value</t>
  </si>
  <si>
    <t>Curr Price</t>
  </si>
  <si>
    <t>Current Value</t>
  </si>
  <si>
    <t>Returns</t>
  </si>
  <si>
    <t>Total Sales/Total Net Fixed Assets</t>
  </si>
  <si>
    <t>% Discount (Price / B.V) BV means - (SHE + CA - Total Liability - CL)</t>
  </si>
  <si>
    <t>% Discount (Price / B.V) BV means - (reserves &amp; Surplus alone)</t>
  </si>
  <si>
    <t>For FMCG/Growth</t>
  </si>
  <si>
    <t>multipler</t>
  </si>
  <si>
    <t>% Discount (Price / Cash) Cash means cash &amp; cash eqv</t>
  </si>
  <si>
    <t>Total Exp/Total sales</t>
  </si>
  <si>
    <t>Quick ratio (CA/CL) - preferred is 1</t>
  </si>
  <si>
    <t>COGS per day in Cr</t>
  </si>
  <si>
    <t>Avg per day sales in Cr</t>
  </si>
  <si>
    <t>Debt to capitalization ratio (l.T.L + SHE)</t>
  </si>
  <si>
    <t>RONW or ROE</t>
  </si>
  <si>
    <t>ROI i.e ROCE</t>
  </si>
  <si>
    <t>P/Sales per share</t>
  </si>
  <si>
    <t>Other Ratio's</t>
  </si>
  <si>
    <t>Avg Working Capital (CA-CL) i.e. Net Current Assets</t>
  </si>
  <si>
    <t>Days Working Capital (W.C*365/Sales)</t>
  </si>
  <si>
    <t>Cuurent Ratio (CA/CL) - preferred &gt;=1.25-1.33</t>
  </si>
  <si>
    <t>Debt to Equity Ratio &lt; 1/1 (For heaving ind &lt; 4/1)</t>
  </si>
  <si>
    <t>Interest Coverage ratio - EBITDA/Interest &gt; 1.5 to 2</t>
  </si>
  <si>
    <t>Interest Out go/ Net Profit</t>
  </si>
  <si>
    <t>Interest Out go/Operating Profit</t>
  </si>
  <si>
    <t>Interest Out go/Net cash and cash eqv</t>
  </si>
  <si>
    <t>Earnings yield/ratio (to compare with other investment options)</t>
  </si>
  <si>
    <t>Peak</t>
  </si>
  <si>
    <t>Inventories</t>
  </si>
  <si>
    <t>Inventory Turnover (Sales/inventory) - higher better</t>
  </si>
  <si>
    <t>Inventory Turnover (COGS/inventory) - higher better</t>
  </si>
  <si>
    <t>Cash Profit Margin (Net cash from ops/Rev), higher better</t>
  </si>
  <si>
    <t>Bonus + Stock Split Calculator</t>
  </si>
  <si>
    <t>Bonus Cal</t>
  </si>
  <si>
    <t>X</t>
  </si>
  <si>
    <t>Y</t>
  </si>
  <si>
    <t>Multiple</t>
  </si>
  <si>
    <t>Addition</t>
  </si>
  <si>
    <t>Held</t>
  </si>
  <si>
    <t>B-1</t>
  </si>
  <si>
    <t>B-2</t>
  </si>
  <si>
    <t>S-1</t>
  </si>
  <si>
    <t>Result Quantity</t>
  </si>
  <si>
    <t>Cash EPS (Net Profit per share)</t>
  </si>
  <si>
    <t>P/E (how many years it will take to recover invested amount)</t>
  </si>
  <si>
    <t>Current</t>
  </si>
  <si>
    <t>Preferred</t>
  </si>
  <si>
    <t>Overall gains</t>
  </si>
  <si>
    <t>Total Gain</t>
  </si>
  <si>
    <t>Multiplication - x</t>
  </si>
  <si>
    <t>Payback Period - with Last EPS i.e. P/EPSlast</t>
  </si>
  <si>
    <t>Payback Period -in years  with Avg EPS i.e. P/EPSavg</t>
  </si>
  <si>
    <t>B-3</t>
  </si>
  <si>
    <t>Avg growth rate</t>
  </si>
  <si>
    <t>% Discount (Price / Cash) Cash means Net Cash &amp; Cash Equivalent per share</t>
  </si>
  <si>
    <t>Profit before Tax (PBT)</t>
  </si>
  <si>
    <t>Net Earnings (Net Profit or PAT)</t>
  </si>
  <si>
    <t>Interest Coverage ratio (Earnings/Interest Outgo)</t>
  </si>
  <si>
    <t>Interest Coverage ratio (Operating Profit /Interest Outgo)</t>
  </si>
  <si>
    <t>Interest Coverage ratio (Net Profit /Interest Outgo)</t>
  </si>
  <si>
    <t>Interest Coverage ratio (Cash Only /Interest Outgo)</t>
  </si>
  <si>
    <t>Interest Coverage ratio (Net-cash and cash equivalent /Interest Outgo)</t>
  </si>
  <si>
    <t>Y11</t>
  </si>
  <si>
    <t>Y12</t>
  </si>
  <si>
    <t>Y13</t>
  </si>
  <si>
    <t>Y14</t>
  </si>
  <si>
    <t>Y15</t>
  </si>
  <si>
    <t>Y16</t>
  </si>
  <si>
    <t>Y17</t>
  </si>
  <si>
    <t>Y18</t>
  </si>
  <si>
    <t>Y19</t>
  </si>
  <si>
    <t>Y20</t>
  </si>
  <si>
    <t>Y21</t>
  </si>
  <si>
    <t>Y22</t>
  </si>
  <si>
    <t>Y23</t>
  </si>
  <si>
    <t>Y24</t>
  </si>
  <si>
    <t>Y25</t>
  </si>
  <si>
    <t>Y26</t>
  </si>
  <si>
    <t>Y27</t>
  </si>
  <si>
    <t>Bonus issue</t>
  </si>
  <si>
    <t>Rights issue</t>
  </si>
  <si>
    <t>Stock Split - FV</t>
  </si>
  <si>
    <t>1x2</t>
  </si>
  <si>
    <t>10x2</t>
  </si>
  <si>
    <t>2nd highest Expenses Comp. ( Power )</t>
  </si>
</sst>
</file>

<file path=xl/styles.xml><?xml version="1.0" encoding="utf-8"?>
<styleSheet xmlns="http://schemas.openxmlformats.org/spreadsheetml/2006/main">
  <numFmts count="18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* #,##0.0_);_(* \(#,##0.0\);_(* &quot;-&quot;??_);_(@_)"/>
    <numFmt numFmtId="166" formatCode="[$₹-861]#,##0.00;[Red]\-[$₹-861]#,##0.00"/>
    <numFmt numFmtId="167" formatCode="[$₹-861]#,##0;[Red]\-[$₹-861]#,##0"/>
    <numFmt numFmtId="168" formatCode="0.0%"/>
    <numFmt numFmtId="169" formatCode="_-[$₹-861]* #,##0.00_-;\-[$₹-861]* #,##0.00_-;_-[$₹-861]* &quot;-&quot;??_-;_-@_-"/>
    <numFmt numFmtId="170" formatCode="_-[$₹-861]* #,##0_-;\-[$₹-861]* #,##0_-;_-[$₹-861]* &quot;-&quot;??_-;_-@_-"/>
    <numFmt numFmtId="171" formatCode="0.000"/>
    <numFmt numFmtId="172" formatCode="0.0"/>
    <numFmt numFmtId="173" formatCode="_(&quot;$&quot;* #,##0_);_(&quot;$&quot;* \(#,##0\);_(&quot;$&quot;* &quot;-&quot;??_);_(@_)"/>
    <numFmt numFmtId="174" formatCode="#,##0.00_ ;[Red]\-#,##0.00\ "/>
    <numFmt numFmtId="175" formatCode="#,##0_ ;[Red]\-#,##0\ "/>
    <numFmt numFmtId="176" formatCode="0_);[Red]\(0\)"/>
    <numFmt numFmtId="177" formatCode="0.00_);[Red]\(0.00\)"/>
    <numFmt numFmtId="178" formatCode="#,##0.0_ ;[Red]\-#,##0.0\ "/>
    <numFmt numFmtId="179" formatCode="#,##0.0;[Red]\-#,##0.0"/>
  </numFmts>
  <fonts count="1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Gill Sans MT"/>
      <family val="2"/>
    </font>
    <font>
      <b/>
      <sz val="10"/>
      <color theme="1"/>
      <name val="Gill Sans MT"/>
      <family val="2"/>
    </font>
    <font>
      <sz val="10"/>
      <color theme="1"/>
      <name val="Cambria"/>
      <family val="1"/>
      <scheme val="major"/>
    </font>
    <font>
      <b/>
      <sz val="10"/>
      <color theme="1"/>
      <name val="Cambria"/>
      <family val="1"/>
      <scheme val="major"/>
    </font>
    <font>
      <b/>
      <sz val="11"/>
      <color theme="1"/>
      <name val="Calibri"/>
      <family val="2"/>
      <scheme val="minor"/>
    </font>
    <font>
      <b/>
      <sz val="14"/>
      <color theme="1"/>
      <name val="Cambria"/>
      <family val="1"/>
      <scheme val="major"/>
    </font>
    <font>
      <sz val="10"/>
      <color rgb="FF0070C0"/>
      <name val="Cambria"/>
      <family val="1"/>
      <scheme val="major"/>
    </font>
    <font>
      <b/>
      <sz val="10"/>
      <color theme="9" tint="-0.499984740745262"/>
      <name val="Cambria"/>
      <family val="1"/>
      <scheme val="major"/>
    </font>
    <font>
      <b/>
      <sz val="10"/>
      <color rgb="FF0070C0"/>
      <name val="Cambria"/>
      <family val="1"/>
      <scheme val="major"/>
    </font>
    <font>
      <sz val="10"/>
      <name val="Cambria"/>
      <family val="1"/>
      <scheme val="maj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theme="1"/>
      <name val="Cambria"/>
      <family val="1"/>
      <scheme val="major"/>
    </font>
    <font>
      <sz val="10"/>
      <color rgb="FFFF0000"/>
      <name val="Cambria"/>
      <family val="1"/>
      <scheme val="major"/>
    </font>
    <font>
      <b/>
      <sz val="10"/>
      <color rgb="FFFF0000"/>
      <name val="Cambria"/>
      <family val="1"/>
      <scheme val="major"/>
    </font>
  </fonts>
  <fills count="15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59999389629810485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212">
    <xf numFmtId="0" fontId="0" fillId="0" borderId="0" xfId="0"/>
    <xf numFmtId="0" fontId="2" fillId="5" borderId="1" xfId="0" applyFont="1" applyFill="1" applyBorder="1"/>
    <xf numFmtId="2" fontId="2" fillId="5" borderId="1" xfId="0" applyNumberFormat="1" applyFont="1" applyFill="1" applyBorder="1"/>
    <xf numFmtId="10" fontId="5" fillId="5" borderId="1" xfId="1" applyNumberFormat="1" applyFont="1" applyFill="1" applyBorder="1"/>
    <xf numFmtId="10" fontId="2" fillId="5" borderId="1" xfId="0" applyNumberFormat="1" applyFont="1" applyFill="1" applyBorder="1"/>
    <xf numFmtId="10" fontId="2" fillId="6" borderId="1" xfId="0" applyNumberFormat="1" applyFont="1" applyFill="1" applyBorder="1"/>
    <xf numFmtId="0" fontId="2" fillId="5" borderId="0" xfId="0" applyFont="1" applyFill="1"/>
    <xf numFmtId="9" fontId="2" fillId="6" borderId="0" xfId="0" applyNumberFormat="1" applyFont="1" applyFill="1"/>
    <xf numFmtId="164" fontId="2" fillId="6" borderId="0" xfId="2" applyNumberFormat="1" applyFont="1" applyFill="1"/>
    <xf numFmtId="164" fontId="2" fillId="5" borderId="0" xfId="2" applyNumberFormat="1" applyFont="1" applyFill="1"/>
    <xf numFmtId="1" fontId="2" fillId="5" borderId="0" xfId="2" applyNumberFormat="1" applyFont="1" applyFill="1"/>
    <xf numFmtId="164" fontId="2" fillId="6" borderId="1" xfId="2" applyNumberFormat="1" applyFont="1" applyFill="1" applyBorder="1"/>
    <xf numFmtId="165" fontId="2" fillId="5" borderId="1" xfId="0" applyNumberFormat="1" applyFont="1" applyFill="1" applyBorder="1"/>
    <xf numFmtId="43" fontId="2" fillId="5" borderId="0" xfId="0" applyNumberFormat="1" applyFont="1" applyFill="1"/>
    <xf numFmtId="43" fontId="2" fillId="5" borderId="0" xfId="2" applyNumberFormat="1" applyFont="1" applyFill="1"/>
    <xf numFmtId="38" fontId="2" fillId="6" borderId="0" xfId="2" applyNumberFormat="1" applyFont="1" applyFill="1"/>
    <xf numFmtId="40" fontId="2" fillId="5" borderId="0" xfId="2" applyNumberFormat="1" applyFont="1" applyFill="1"/>
    <xf numFmtId="0" fontId="3" fillId="8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/>
    </xf>
    <xf numFmtId="0" fontId="2" fillId="5" borderId="0" xfId="0" applyFont="1" applyFill="1" applyAlignment="1">
      <alignment horizontal="center"/>
    </xf>
    <xf numFmtId="0" fontId="4" fillId="5" borderId="1" xfId="0" applyFont="1" applyFill="1" applyBorder="1"/>
    <xf numFmtId="164" fontId="4" fillId="6" borderId="1" xfId="2" applyNumberFormat="1" applyFont="1" applyFill="1" applyBorder="1"/>
    <xf numFmtId="0" fontId="4" fillId="6" borderId="1" xfId="0" applyFont="1" applyFill="1" applyBorder="1"/>
    <xf numFmtId="0" fontId="5" fillId="5" borderId="1" xfId="0" applyFont="1" applyFill="1" applyBorder="1"/>
    <xf numFmtId="1" fontId="4" fillId="6" borderId="1" xfId="1" applyNumberFormat="1" applyFont="1" applyFill="1" applyBorder="1"/>
    <xf numFmtId="2" fontId="4" fillId="5" borderId="1" xfId="0" applyNumberFormat="1" applyFont="1" applyFill="1" applyBorder="1"/>
    <xf numFmtId="0" fontId="2" fillId="8" borderId="0" xfId="0" applyFont="1" applyFill="1"/>
    <xf numFmtId="0" fontId="2" fillId="8" borderId="1" xfId="0" applyFont="1" applyFill="1" applyBorder="1"/>
    <xf numFmtId="0" fontId="3" fillId="3" borderId="1" xfId="0" applyFont="1" applyFill="1" applyBorder="1"/>
    <xf numFmtId="166" fontId="4" fillId="5" borderId="1" xfId="0" applyNumberFormat="1" applyFont="1" applyFill="1" applyBorder="1"/>
    <xf numFmtId="166" fontId="4" fillId="6" borderId="1" xfId="0" applyNumberFormat="1" applyFont="1" applyFill="1" applyBorder="1"/>
    <xf numFmtId="10" fontId="4" fillId="6" borderId="1" xfId="1" applyNumberFormat="1" applyFont="1" applyFill="1" applyBorder="1"/>
    <xf numFmtId="2" fontId="4" fillId="6" borderId="1" xfId="0" applyNumberFormat="1" applyFont="1" applyFill="1" applyBorder="1"/>
    <xf numFmtId="167" fontId="4" fillId="6" borderId="1" xfId="0" applyNumberFormat="1" applyFont="1" applyFill="1" applyBorder="1"/>
    <xf numFmtId="166" fontId="5" fillId="5" borderId="1" xfId="0" applyNumberFormat="1" applyFont="1" applyFill="1" applyBorder="1"/>
    <xf numFmtId="0" fontId="3" fillId="3" borderId="4" xfId="0" applyFont="1" applyFill="1" applyBorder="1" applyAlignment="1"/>
    <xf numFmtId="0" fontId="3" fillId="3" borderId="5" xfId="0" applyFont="1" applyFill="1" applyBorder="1" applyAlignment="1"/>
    <xf numFmtId="0" fontId="3" fillId="3" borderId="6" xfId="0" applyFont="1" applyFill="1" applyBorder="1" applyAlignment="1"/>
    <xf numFmtId="0" fontId="2" fillId="8" borderId="4" xfId="0" applyFont="1" applyFill="1" applyBorder="1"/>
    <xf numFmtId="2" fontId="2" fillId="8" borderId="1" xfId="0" applyNumberFormat="1" applyFont="1" applyFill="1" applyBorder="1"/>
    <xf numFmtId="2" fontId="2" fillId="8" borderId="1" xfId="2" applyNumberFormat="1" applyFont="1" applyFill="1" applyBorder="1" applyAlignment="1">
      <alignment horizontal="center"/>
    </xf>
    <xf numFmtId="9" fontId="2" fillId="8" borderId="1" xfId="1" applyFont="1" applyFill="1" applyBorder="1"/>
    <xf numFmtId="168" fontId="2" fillId="8" borderId="1" xfId="1" applyNumberFormat="1" applyFont="1" applyFill="1" applyBorder="1"/>
    <xf numFmtId="10" fontId="2" fillId="8" borderId="1" xfId="1" applyNumberFormat="1" applyFont="1" applyFill="1" applyBorder="1"/>
    <xf numFmtId="2" fontId="2" fillId="7" borderId="1" xfId="2" applyNumberFormat="1" applyFont="1" applyFill="1" applyBorder="1" applyAlignment="1">
      <alignment horizontal="center"/>
    </xf>
    <xf numFmtId="0" fontId="2" fillId="7" borderId="1" xfId="0" applyFont="1" applyFill="1" applyBorder="1"/>
    <xf numFmtId="168" fontId="2" fillId="8" borderId="1" xfId="0" applyNumberFormat="1" applyFont="1" applyFill="1" applyBorder="1"/>
    <xf numFmtId="2" fontId="2" fillId="8" borderId="1" xfId="1" applyNumberFormat="1" applyFont="1" applyFill="1" applyBorder="1"/>
    <xf numFmtId="168" fontId="2" fillId="7" borderId="1" xfId="0" applyNumberFormat="1" applyFont="1" applyFill="1" applyBorder="1"/>
    <xf numFmtId="2" fontId="2" fillId="7" borderId="1" xfId="1" applyNumberFormat="1" applyFont="1" applyFill="1" applyBorder="1"/>
    <xf numFmtId="2" fontId="2" fillId="7" borderId="1" xfId="0" applyNumberFormat="1" applyFont="1" applyFill="1" applyBorder="1"/>
    <xf numFmtId="10" fontId="3" fillId="7" borderId="1" xfId="1" applyNumberFormat="1" applyFont="1" applyFill="1" applyBorder="1"/>
    <xf numFmtId="0" fontId="3" fillId="8" borderId="1" xfId="0" applyFont="1" applyFill="1" applyBorder="1"/>
    <xf numFmtId="10" fontId="3" fillId="8" borderId="1" xfId="0" applyNumberFormat="1" applyFont="1" applyFill="1" applyBorder="1"/>
    <xf numFmtId="38" fontId="4" fillId="6" borderId="1" xfId="0" applyNumberFormat="1" applyFont="1" applyFill="1" applyBorder="1" applyAlignment="1">
      <alignment horizontal="right"/>
    </xf>
    <xf numFmtId="167" fontId="4" fillId="5" borderId="1" xfId="0" applyNumberFormat="1" applyFont="1" applyFill="1" applyBorder="1"/>
    <xf numFmtId="0" fontId="0" fillId="5" borderId="0" xfId="0" applyFill="1"/>
    <xf numFmtId="9" fontId="2" fillId="5" borderId="1" xfId="0" applyNumberFormat="1" applyFont="1" applyFill="1" applyBorder="1"/>
    <xf numFmtId="0" fontId="0" fillId="5" borderId="1" xfId="0" applyFill="1" applyBorder="1"/>
    <xf numFmtId="164" fontId="2" fillId="5" borderId="1" xfId="2" applyNumberFormat="1" applyFont="1" applyFill="1" applyBorder="1"/>
    <xf numFmtId="164" fontId="0" fillId="5" borderId="1" xfId="2" applyNumberFormat="1" applyFont="1" applyFill="1" applyBorder="1"/>
    <xf numFmtId="0" fontId="2" fillId="6" borderId="1" xfId="0" applyFont="1" applyFill="1" applyBorder="1" applyAlignment="1">
      <alignment horizontal="center"/>
    </xf>
    <xf numFmtId="170" fontId="2" fillId="5" borderId="1" xfId="2" applyNumberFormat="1" applyFont="1" applyFill="1" applyBorder="1" applyAlignment="1">
      <alignment horizontal="center"/>
    </xf>
    <xf numFmtId="169" fontId="0" fillId="5" borderId="1" xfId="2" applyNumberFormat="1" applyFont="1" applyFill="1" applyBorder="1"/>
    <xf numFmtId="169" fontId="0" fillId="5" borderId="1" xfId="0" applyNumberFormat="1" applyFill="1" applyBorder="1"/>
    <xf numFmtId="170" fontId="0" fillId="5" borderId="1" xfId="0" applyNumberFormat="1" applyFill="1" applyBorder="1"/>
    <xf numFmtId="164" fontId="2" fillId="5" borderId="10" xfId="2" applyNumberFormat="1" applyFont="1" applyFill="1" applyBorder="1"/>
    <xf numFmtId="164" fontId="2" fillId="5" borderId="11" xfId="2" applyNumberFormat="1" applyFont="1" applyFill="1" applyBorder="1"/>
    <xf numFmtId="170" fontId="2" fillId="5" borderId="11" xfId="2" applyNumberFormat="1" applyFont="1" applyFill="1" applyBorder="1"/>
    <xf numFmtId="0" fontId="2" fillId="6" borderId="10" xfId="0" applyFont="1" applyFill="1" applyBorder="1" applyAlignment="1">
      <alignment horizontal="center"/>
    </xf>
    <xf numFmtId="170" fontId="0" fillId="5" borderId="11" xfId="0" applyNumberFormat="1" applyFill="1" applyBorder="1"/>
    <xf numFmtId="0" fontId="0" fillId="6" borderId="10" xfId="0" applyFill="1" applyBorder="1" applyAlignment="1">
      <alignment horizontal="center"/>
    </xf>
    <xf numFmtId="0" fontId="0" fillId="5" borderId="10" xfId="0" applyFill="1" applyBorder="1"/>
    <xf numFmtId="0" fontId="0" fillId="5" borderId="11" xfId="0" applyFill="1" applyBorder="1"/>
    <xf numFmtId="0" fontId="0" fillId="5" borderId="12" xfId="0" applyFill="1" applyBorder="1"/>
    <xf numFmtId="0" fontId="0" fillId="5" borderId="13" xfId="0" applyFill="1" applyBorder="1"/>
    <xf numFmtId="0" fontId="0" fillId="5" borderId="14" xfId="0" applyFill="1" applyBorder="1"/>
    <xf numFmtId="164" fontId="0" fillId="5" borderId="10" xfId="2" applyNumberFormat="1" applyFont="1" applyFill="1" applyBorder="1"/>
    <xf numFmtId="164" fontId="0" fillId="5" borderId="11" xfId="2" applyNumberFormat="1" applyFont="1" applyFill="1" applyBorder="1"/>
    <xf numFmtId="169" fontId="0" fillId="5" borderId="11" xfId="2" applyNumberFormat="1" applyFont="1" applyFill="1" applyBorder="1"/>
    <xf numFmtId="169" fontId="0" fillId="5" borderId="11" xfId="0" applyNumberFormat="1" applyFill="1" applyBorder="1"/>
    <xf numFmtId="0" fontId="3" fillId="3" borderId="7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 wrapText="1"/>
    </xf>
    <xf numFmtId="0" fontId="3" fillId="3" borderId="9" xfId="0" applyFont="1" applyFill="1" applyBorder="1" applyAlignment="1">
      <alignment horizontal="center" vertical="center"/>
    </xf>
    <xf numFmtId="9" fontId="0" fillId="5" borderId="10" xfId="0" applyNumberFormat="1" applyFill="1" applyBorder="1"/>
    <xf numFmtId="0" fontId="2" fillId="8" borderId="3" xfId="0" applyFont="1" applyFill="1" applyBorder="1"/>
    <xf numFmtId="0" fontId="2" fillId="8" borderId="2" xfId="0" applyFont="1" applyFill="1" applyBorder="1"/>
    <xf numFmtId="0" fontId="3" fillId="8" borderId="7" xfId="0" applyFont="1" applyFill="1" applyBorder="1" applyAlignment="1">
      <alignment horizontal="center" vertical="center"/>
    </xf>
    <xf numFmtId="0" fontId="3" fillId="8" borderId="9" xfId="0" applyFont="1" applyFill="1" applyBorder="1" applyAlignment="1">
      <alignment horizontal="center" vertical="center"/>
    </xf>
    <xf numFmtId="0" fontId="2" fillId="5" borderId="10" xfId="0" applyFont="1" applyFill="1" applyBorder="1" applyAlignment="1">
      <alignment horizontal="center"/>
    </xf>
    <xf numFmtId="0" fontId="2" fillId="5" borderId="11" xfId="0" applyFont="1" applyFill="1" applyBorder="1"/>
    <xf numFmtId="0" fontId="3" fillId="5" borderId="11" xfId="0" applyFont="1" applyFill="1" applyBorder="1"/>
    <xf numFmtId="10" fontId="2" fillId="6" borderId="10" xfId="0" applyNumberFormat="1" applyFont="1" applyFill="1" applyBorder="1"/>
    <xf numFmtId="9" fontId="2" fillId="6" borderId="1" xfId="0" applyNumberFormat="1" applyFont="1" applyFill="1" applyBorder="1"/>
    <xf numFmtId="10" fontId="2" fillId="6" borderId="11" xfId="0" applyNumberFormat="1" applyFont="1" applyFill="1" applyBorder="1"/>
    <xf numFmtId="10" fontId="2" fillId="5" borderId="10" xfId="0" applyNumberFormat="1" applyFont="1" applyFill="1" applyBorder="1"/>
    <xf numFmtId="10" fontId="2" fillId="5" borderId="11" xfId="0" applyNumberFormat="1" applyFont="1" applyFill="1" applyBorder="1"/>
    <xf numFmtId="10" fontId="2" fillId="5" borderId="0" xfId="1" applyNumberFormat="1" applyFont="1" applyFill="1"/>
    <xf numFmtId="0" fontId="3" fillId="5" borderId="0" xfId="0" applyFont="1" applyFill="1"/>
    <xf numFmtId="164" fontId="2" fillId="5" borderId="0" xfId="0" applyNumberFormat="1" applyFont="1" applyFill="1"/>
    <xf numFmtId="9" fontId="2" fillId="5" borderId="0" xfId="0" applyNumberFormat="1" applyFont="1" applyFill="1"/>
    <xf numFmtId="38" fontId="2" fillId="5" borderId="0" xfId="2" applyNumberFormat="1" applyFont="1" applyFill="1"/>
    <xf numFmtId="0" fontId="4" fillId="5" borderId="1" xfId="0" applyFont="1" applyFill="1" applyBorder="1" applyAlignment="1">
      <alignment horizontal="center" vertical="center"/>
    </xf>
    <xf numFmtId="0" fontId="4" fillId="5" borderId="0" xfId="0" applyFont="1" applyFill="1"/>
    <xf numFmtId="0" fontId="4" fillId="5" borderId="0" xfId="0" applyFont="1" applyFill="1" applyAlignment="1">
      <alignment horizontal="center" vertical="center"/>
    </xf>
    <xf numFmtId="0" fontId="4" fillId="5" borderId="1" xfId="0" applyFont="1" applyFill="1" applyBorder="1" applyAlignment="1">
      <alignment wrapText="1"/>
    </xf>
    <xf numFmtId="0" fontId="5" fillId="3" borderId="1" xfId="0" applyFont="1" applyFill="1" applyBorder="1" applyAlignment="1">
      <alignment horizontal="center"/>
    </xf>
    <xf numFmtId="0" fontId="5" fillId="4" borderId="1" xfId="0" applyFont="1" applyFill="1" applyBorder="1"/>
    <xf numFmtId="0" fontId="5" fillId="5" borderId="1" xfId="0" applyFont="1" applyFill="1" applyBorder="1" applyAlignment="1">
      <alignment wrapText="1"/>
    </xf>
    <xf numFmtId="171" fontId="4" fillId="5" borderId="1" xfId="0" applyNumberFormat="1" applyFont="1" applyFill="1" applyBorder="1"/>
    <xf numFmtId="9" fontId="4" fillId="6" borderId="1" xfId="0" applyNumberFormat="1" applyFont="1" applyFill="1" applyBorder="1"/>
    <xf numFmtId="172" fontId="4" fillId="5" borderId="1" xfId="0" applyNumberFormat="1" applyFont="1" applyFill="1" applyBorder="1"/>
    <xf numFmtId="173" fontId="4" fillId="6" borderId="1" xfId="3" applyNumberFormat="1" applyFont="1" applyFill="1" applyBorder="1"/>
    <xf numFmtId="0" fontId="5" fillId="9" borderId="1" xfId="0" applyFont="1" applyFill="1" applyBorder="1"/>
    <xf numFmtId="0" fontId="5" fillId="10" borderId="1" xfId="0" applyFont="1" applyFill="1" applyBorder="1" applyAlignment="1">
      <alignment horizontal="center" vertical="center"/>
    </xf>
    <xf numFmtId="0" fontId="5" fillId="12" borderId="1" xfId="0" applyFont="1" applyFill="1" applyBorder="1" applyAlignment="1">
      <alignment horizontal="center" vertical="center"/>
    </xf>
    <xf numFmtId="9" fontId="4" fillId="5" borderId="1" xfId="0" applyNumberFormat="1" applyFont="1" applyFill="1" applyBorder="1"/>
    <xf numFmtId="10" fontId="4" fillId="11" borderId="1" xfId="1" applyNumberFormat="1" applyFont="1" applyFill="1" applyBorder="1"/>
    <xf numFmtId="1" fontId="4" fillId="5" borderId="1" xfId="0" applyNumberFormat="1" applyFont="1" applyFill="1" applyBorder="1"/>
    <xf numFmtId="9" fontId="4" fillId="5" borderId="0" xfId="0" applyNumberFormat="1" applyFont="1" applyFill="1"/>
    <xf numFmtId="169" fontId="4" fillId="5" borderId="1" xfId="0" applyNumberFormat="1" applyFont="1" applyFill="1" applyBorder="1"/>
    <xf numFmtId="0" fontId="5" fillId="4" borderId="1" xfId="0" applyFont="1" applyFill="1" applyBorder="1" applyAlignment="1">
      <alignment horizontal="center" vertical="center"/>
    </xf>
    <xf numFmtId="0" fontId="5" fillId="5" borderId="0" xfId="0" applyFont="1" applyFill="1"/>
    <xf numFmtId="9" fontId="5" fillId="6" borderId="0" xfId="0" applyNumberFormat="1" applyFont="1" applyFill="1"/>
    <xf numFmtId="0" fontId="7" fillId="13" borderId="0" xfId="0" applyFont="1" applyFill="1"/>
    <xf numFmtId="0" fontId="4" fillId="6" borderId="0" xfId="0" applyFont="1" applyFill="1"/>
    <xf numFmtId="164" fontId="4" fillId="5" borderId="1" xfId="2" applyNumberFormat="1" applyFont="1" applyFill="1" applyBorder="1"/>
    <xf numFmtId="10" fontId="4" fillId="5" borderId="1" xfId="1" applyNumberFormat="1" applyFont="1" applyFill="1" applyBorder="1"/>
    <xf numFmtId="0" fontId="4" fillId="5" borderId="1" xfId="0" applyNumberFormat="1" applyFont="1" applyFill="1" applyBorder="1"/>
    <xf numFmtId="170" fontId="4" fillId="6" borderId="1" xfId="3" applyNumberFormat="1" applyFont="1" applyFill="1" applyBorder="1"/>
    <xf numFmtId="9" fontId="4" fillId="6" borderId="1" xfId="1" applyFont="1" applyFill="1" applyBorder="1"/>
    <xf numFmtId="10" fontId="4" fillId="6" borderId="1" xfId="0" applyNumberFormat="1" applyFont="1" applyFill="1" applyBorder="1"/>
    <xf numFmtId="40" fontId="4" fillId="5" borderId="1" xfId="0" applyNumberFormat="1" applyFont="1" applyFill="1" applyBorder="1"/>
    <xf numFmtId="0" fontId="5" fillId="5" borderId="1" xfId="0" applyFont="1" applyFill="1" applyBorder="1" applyAlignment="1">
      <alignment horizontal="center" vertical="center"/>
    </xf>
    <xf numFmtId="43" fontId="4" fillId="5" borderId="1" xfId="0" applyNumberFormat="1" applyFont="1" applyFill="1" applyBorder="1"/>
    <xf numFmtId="0" fontId="5" fillId="12" borderId="4" xfId="0" applyFont="1" applyFill="1" applyBorder="1" applyAlignment="1">
      <alignment horizontal="center" vertical="center"/>
    </xf>
    <xf numFmtId="0" fontId="4" fillId="5" borderId="4" xfId="0" applyFont="1" applyFill="1" applyBorder="1"/>
    <xf numFmtId="10" fontId="4" fillId="11" borderId="4" xfId="1" applyNumberFormat="1" applyFont="1" applyFill="1" applyBorder="1"/>
    <xf numFmtId="10" fontId="4" fillId="5" borderId="4" xfId="1" applyNumberFormat="1" applyFont="1" applyFill="1" applyBorder="1"/>
    <xf numFmtId="174" fontId="4" fillId="5" borderId="1" xfId="0" applyNumberFormat="1" applyFont="1" applyFill="1" applyBorder="1"/>
    <xf numFmtId="0" fontId="8" fillId="5" borderId="1" xfId="0" applyFont="1" applyFill="1" applyBorder="1"/>
    <xf numFmtId="1" fontId="8" fillId="5" borderId="1" xfId="0" applyNumberFormat="1" applyFont="1" applyFill="1" applyBorder="1"/>
    <xf numFmtId="1" fontId="8" fillId="5" borderId="1" xfId="2" applyNumberFormat="1" applyFont="1" applyFill="1" applyBorder="1"/>
    <xf numFmtId="40" fontId="4" fillId="5" borderId="1" xfId="2" applyNumberFormat="1" applyFont="1" applyFill="1" applyBorder="1"/>
    <xf numFmtId="43" fontId="8" fillId="5" borderId="1" xfId="2" applyNumberFormat="1" applyFont="1" applyFill="1" applyBorder="1"/>
    <xf numFmtId="175" fontId="4" fillId="5" borderId="1" xfId="2" applyNumberFormat="1" applyFont="1" applyFill="1" applyBorder="1"/>
    <xf numFmtId="175" fontId="8" fillId="5" borderId="1" xfId="2" applyNumberFormat="1" applyFont="1" applyFill="1" applyBorder="1"/>
    <xf numFmtId="9" fontId="9" fillId="5" borderId="1" xfId="1" applyFont="1" applyFill="1" applyBorder="1"/>
    <xf numFmtId="0" fontId="10" fillId="5" borderId="1" xfId="0" applyFont="1" applyFill="1" applyBorder="1"/>
    <xf numFmtId="175" fontId="10" fillId="5" borderId="1" xfId="2" applyNumberFormat="1" applyFont="1" applyFill="1" applyBorder="1"/>
    <xf numFmtId="9" fontId="9" fillId="5" borderId="1" xfId="1" applyNumberFormat="1" applyFont="1" applyFill="1" applyBorder="1"/>
    <xf numFmtId="9" fontId="4" fillId="5" borderId="1" xfId="1" applyFont="1" applyFill="1" applyBorder="1"/>
    <xf numFmtId="0" fontId="5" fillId="10" borderId="0" xfId="0" applyFont="1" applyFill="1" applyAlignment="1">
      <alignment horizontal="center"/>
    </xf>
    <xf numFmtId="175" fontId="4" fillId="5" borderId="1" xfId="0" applyNumberFormat="1" applyFont="1" applyFill="1" applyBorder="1"/>
    <xf numFmtId="175" fontId="5" fillId="5" borderId="1" xfId="0" applyNumberFormat="1" applyFont="1" applyFill="1" applyBorder="1"/>
    <xf numFmtId="175" fontId="5" fillId="5" borderId="1" xfId="2" applyNumberFormat="1" applyFont="1" applyFill="1" applyBorder="1"/>
    <xf numFmtId="38" fontId="4" fillId="5" borderId="1" xfId="2" applyNumberFormat="1" applyFont="1" applyFill="1" applyBorder="1"/>
    <xf numFmtId="38" fontId="4" fillId="5" borderId="1" xfId="0" applyNumberFormat="1" applyFont="1" applyFill="1" applyBorder="1"/>
    <xf numFmtId="43" fontId="11" fillId="5" borderId="1" xfId="2" applyNumberFormat="1" applyFont="1" applyFill="1" applyBorder="1"/>
    <xf numFmtId="40" fontId="5" fillId="5" borderId="1" xfId="0" applyNumberFormat="1" applyFont="1" applyFill="1" applyBorder="1"/>
    <xf numFmtId="168" fontId="4" fillId="5" borderId="1" xfId="1" applyNumberFormat="1" applyFont="1" applyFill="1" applyBorder="1"/>
    <xf numFmtId="1" fontId="4" fillId="5" borderId="4" xfId="0" applyNumberFormat="1" applyFont="1" applyFill="1" applyBorder="1"/>
    <xf numFmtId="176" fontId="4" fillId="5" borderId="1" xfId="1" applyNumberFormat="1" applyFont="1" applyFill="1" applyBorder="1"/>
    <xf numFmtId="9" fontId="4" fillId="6" borderId="0" xfId="0" applyNumberFormat="1" applyFont="1" applyFill="1"/>
    <xf numFmtId="1" fontId="4" fillId="5" borderId="1" xfId="1" applyNumberFormat="1" applyFont="1" applyFill="1" applyBorder="1"/>
    <xf numFmtId="0" fontId="5" fillId="2" borderId="1" xfId="0" applyFont="1" applyFill="1" applyBorder="1" applyAlignment="1">
      <alignment horizontal="center"/>
    </xf>
    <xf numFmtId="0" fontId="4" fillId="0" borderId="1" xfId="0" applyFont="1" applyBorder="1"/>
    <xf numFmtId="164" fontId="4" fillId="0" borderId="1" xfId="2" applyNumberFormat="1" applyFont="1" applyBorder="1"/>
    <xf numFmtId="0" fontId="5" fillId="0" borderId="1" xfId="0" applyFont="1" applyBorder="1"/>
    <xf numFmtId="43" fontId="5" fillId="0" borderId="1" xfId="2" applyNumberFormat="1" applyFont="1" applyBorder="1"/>
    <xf numFmtId="9" fontId="4" fillId="5" borderId="1" xfId="1" applyNumberFormat="1" applyFont="1" applyFill="1" applyBorder="1"/>
    <xf numFmtId="0" fontId="4" fillId="6" borderId="1" xfId="0" applyFont="1" applyFill="1" applyBorder="1" applyAlignment="1">
      <alignment horizontal="center"/>
    </xf>
    <xf numFmtId="164" fontId="4" fillId="5" borderId="1" xfId="0" applyNumberFormat="1" applyFont="1" applyFill="1" applyBorder="1"/>
    <xf numFmtId="0" fontId="5" fillId="0" borderId="0" xfId="0" applyFont="1"/>
    <xf numFmtId="0" fontId="4" fillId="0" borderId="0" xfId="0" applyFont="1"/>
    <xf numFmtId="0" fontId="4" fillId="0" borderId="1" xfId="0" applyFont="1" applyBorder="1" applyAlignment="1">
      <alignment horizontal="center" vertical="center"/>
    </xf>
    <xf numFmtId="164" fontId="4" fillId="0" borderId="1" xfId="0" applyNumberFormat="1" applyFont="1" applyBorder="1"/>
    <xf numFmtId="0" fontId="4" fillId="5" borderId="5" xfId="0" applyFont="1" applyFill="1" applyBorder="1"/>
    <xf numFmtId="0" fontId="4" fillId="5" borderId="6" xfId="0" applyFont="1" applyFill="1" applyBorder="1"/>
    <xf numFmtId="43" fontId="4" fillId="5" borderId="1" xfId="2" applyFont="1" applyFill="1" applyBorder="1"/>
    <xf numFmtId="2" fontId="4" fillId="5" borderId="1" xfId="1" applyNumberFormat="1" applyFont="1" applyFill="1" applyBorder="1"/>
    <xf numFmtId="177" fontId="4" fillId="5" borderId="1" xfId="0" applyNumberFormat="1" applyFont="1" applyFill="1" applyBorder="1"/>
    <xf numFmtId="16" fontId="5" fillId="5" borderId="1" xfId="0" applyNumberFormat="1" applyFont="1" applyFill="1" applyBorder="1"/>
    <xf numFmtId="9" fontId="4" fillId="6" borderId="1" xfId="0" applyNumberFormat="1" applyFont="1" applyFill="1" applyBorder="1" applyAlignment="1">
      <alignment horizontal="center"/>
    </xf>
    <xf numFmtId="178" fontId="4" fillId="5" borderId="1" xfId="0" applyNumberFormat="1" applyFont="1" applyFill="1" applyBorder="1"/>
    <xf numFmtId="179" fontId="4" fillId="5" borderId="1" xfId="0" applyNumberFormat="1" applyFont="1" applyFill="1" applyBorder="1"/>
    <xf numFmtId="172" fontId="8" fillId="5" borderId="1" xfId="2" applyNumberFormat="1" applyFont="1" applyFill="1" applyBorder="1"/>
    <xf numFmtId="175" fontId="15" fillId="5" borderId="1" xfId="2" applyNumberFormat="1" applyFont="1" applyFill="1" applyBorder="1"/>
    <xf numFmtId="9" fontId="16" fillId="5" borderId="1" xfId="1" applyNumberFormat="1" applyFont="1" applyFill="1" applyBorder="1"/>
    <xf numFmtId="9" fontId="16" fillId="5" borderId="1" xfId="1" applyFont="1" applyFill="1" applyBorder="1"/>
    <xf numFmtId="172" fontId="15" fillId="5" borderId="1" xfId="2" applyNumberFormat="1" applyFont="1" applyFill="1" applyBorder="1"/>
    <xf numFmtId="1" fontId="15" fillId="5" borderId="1" xfId="2" applyNumberFormat="1" applyFont="1" applyFill="1" applyBorder="1"/>
    <xf numFmtId="175" fontId="8" fillId="14" borderId="1" xfId="2" applyNumberFormat="1" applyFont="1" applyFill="1" applyBorder="1"/>
    <xf numFmtId="0" fontId="14" fillId="2" borderId="4" xfId="0" applyFont="1" applyFill="1" applyBorder="1" applyAlignment="1">
      <alignment horizontal="center"/>
    </xf>
    <xf numFmtId="0" fontId="14" fillId="2" borderId="5" xfId="0" applyFont="1" applyFill="1" applyBorder="1" applyAlignment="1">
      <alignment horizontal="center"/>
    </xf>
    <xf numFmtId="0" fontId="14" fillId="2" borderId="6" xfId="0" applyFont="1" applyFill="1" applyBorder="1" applyAlignment="1">
      <alignment horizontal="center"/>
    </xf>
    <xf numFmtId="0" fontId="5" fillId="11" borderId="4" xfId="0" applyFont="1" applyFill="1" applyBorder="1" applyAlignment="1">
      <alignment horizontal="center"/>
    </xf>
    <xf numFmtId="0" fontId="5" fillId="11" borderId="6" xfId="0" applyFont="1" applyFill="1" applyBorder="1" applyAlignment="1">
      <alignment horizontal="center"/>
    </xf>
    <xf numFmtId="0" fontId="5" fillId="5" borderId="4" xfId="0" applyFont="1" applyFill="1" applyBorder="1" applyAlignment="1">
      <alignment horizontal="center"/>
    </xf>
    <xf numFmtId="0" fontId="5" fillId="5" borderId="6" xfId="0" applyFont="1" applyFill="1" applyBorder="1" applyAlignment="1">
      <alignment horizontal="center"/>
    </xf>
    <xf numFmtId="0" fontId="5" fillId="9" borderId="4" xfId="0" applyFont="1" applyFill="1" applyBorder="1" applyAlignment="1">
      <alignment horizontal="center"/>
    </xf>
    <xf numFmtId="0" fontId="5" fillId="9" borderId="5" xfId="0" applyFont="1" applyFill="1" applyBorder="1" applyAlignment="1">
      <alignment horizontal="center"/>
    </xf>
    <xf numFmtId="0" fontId="5" fillId="9" borderId="6" xfId="0" applyFont="1" applyFill="1" applyBorder="1" applyAlignment="1">
      <alignment horizontal="center"/>
    </xf>
    <xf numFmtId="0" fontId="5" fillId="6" borderId="4" xfId="0" applyFont="1" applyFill="1" applyBorder="1" applyAlignment="1">
      <alignment horizontal="center"/>
    </xf>
    <xf numFmtId="0" fontId="5" fillId="6" borderId="6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3" fillId="9" borderId="15" xfId="0" applyFont="1" applyFill="1" applyBorder="1" applyAlignment="1">
      <alignment horizontal="center"/>
    </xf>
    <xf numFmtId="0" fontId="3" fillId="9" borderId="16" xfId="0" applyFont="1" applyFill="1" applyBorder="1" applyAlignment="1">
      <alignment horizontal="center"/>
    </xf>
    <xf numFmtId="0" fontId="3" fillId="9" borderId="17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6" fillId="2" borderId="5" xfId="0" applyFont="1" applyFill="1" applyBorder="1" applyAlignment="1">
      <alignment horizontal="center"/>
    </xf>
  </cellXfs>
  <cellStyles count="4">
    <cellStyle name="Comma" xfId="2" builtinId="3"/>
    <cellStyle name="Currency" xfId="3" builtinId="4"/>
    <cellStyle name="Normal" xfId="0" builtinId="0"/>
    <cellStyle name="Percent" xfId="1" builtinId="5"/>
  </cellStyles>
  <dxfs count="0"/>
  <tableStyles count="0" defaultTableStyle="TableStyleMedium9" defaultPivotStyle="PivotStyleLight16"/>
  <colors>
    <mruColors>
      <color rgb="FFFF9966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/>
    <c:plotArea>
      <c:layout/>
      <c:lineChart>
        <c:grouping val="stacked"/>
        <c:ser>
          <c:idx val="0"/>
          <c:order val="0"/>
          <c:tx>
            <c:strRef>
              <c:f>IOB!$D$3</c:f>
              <c:strCache>
                <c:ptCount val="1"/>
                <c:pt idx="0">
                  <c:v>EPS</c:v>
                </c:pt>
              </c:strCache>
            </c:strRef>
          </c:tx>
          <c:marker>
            <c:symbol val="none"/>
          </c:marker>
          <c:val>
            <c:numRef>
              <c:f>IOB!$D$4:$D$16</c:f>
              <c:numCache>
                <c:formatCode>General</c:formatCode>
                <c:ptCount val="13"/>
                <c:pt idx="0">
                  <c:v>0</c:v>
                </c:pt>
                <c:pt idx="2">
                  <c:v>26.5</c:v>
                </c:pt>
                <c:pt idx="3">
                  <c:v>31.74</c:v>
                </c:pt>
                <c:pt idx="4">
                  <c:v>45.28</c:v>
                </c:pt>
                <c:pt idx="5">
                  <c:v>42.52</c:v>
                </c:pt>
                <c:pt idx="6">
                  <c:v>46.71</c:v>
                </c:pt>
                <c:pt idx="7">
                  <c:v>49.38</c:v>
                </c:pt>
                <c:pt idx="8">
                  <c:v>67.56</c:v>
                </c:pt>
                <c:pt idx="9">
                  <c:v>99.32</c:v>
                </c:pt>
                <c:pt idx="10">
                  <c:v>123.39</c:v>
                </c:pt>
                <c:pt idx="11">
                  <c:v>142.53</c:v>
                </c:pt>
                <c:pt idx="12">
                  <c:v>146.66999999999999</c:v>
                </c:pt>
              </c:numCache>
            </c:numRef>
          </c:val>
        </c:ser>
        <c:dLbls/>
        <c:marker val="1"/>
        <c:axId val="86907904"/>
        <c:axId val="87225088"/>
      </c:lineChart>
      <c:catAx>
        <c:axId val="86907904"/>
        <c:scaling>
          <c:orientation val="minMax"/>
        </c:scaling>
        <c:axPos val="b"/>
        <c:tickLblPos val="nextTo"/>
        <c:crossAx val="87225088"/>
        <c:crosses val="autoZero"/>
        <c:auto val="1"/>
        <c:lblAlgn val="ctr"/>
        <c:lblOffset val="100"/>
      </c:catAx>
      <c:valAx>
        <c:axId val="87225088"/>
        <c:scaling>
          <c:orientation val="minMax"/>
        </c:scaling>
        <c:axPos val="l"/>
        <c:majorGridlines/>
        <c:numFmt formatCode="General" sourceLinked="1"/>
        <c:tickLblPos val="nextTo"/>
        <c:crossAx val="86907904"/>
        <c:crosses val="autoZero"/>
        <c:crossBetween val="between"/>
      </c:valAx>
    </c:plotArea>
    <c:legend>
      <c:legendPos val="r"/>
    </c:legend>
    <c:plotVisOnly val="1"/>
    <c:dispBlanksAs val="zero"/>
  </c:chart>
  <c:printSettings>
    <c:headerFooter/>
    <c:pageMargins b="0.75000000000000466" l="0.70000000000000062" r="0.70000000000000062" t="0.75000000000000466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219075</xdr:colOff>
      <xdr:row>6</xdr:row>
      <xdr:rowOff>42862</xdr:rowOff>
    </xdr:from>
    <xdr:to>
      <xdr:col>15</xdr:col>
      <xdr:colOff>523875</xdr:colOff>
      <xdr:row>20</xdr:row>
      <xdr:rowOff>119062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3:F108"/>
  <sheetViews>
    <sheetView zoomScale="80" zoomScaleNormal="80" workbookViewId="0">
      <selection activeCell="D21" sqref="D21"/>
    </sheetView>
  </sheetViews>
  <sheetFormatPr defaultRowHeight="12.75"/>
  <cols>
    <col min="1" max="1" width="9.140625" style="104"/>
    <col min="2" max="2" width="9.140625" style="105"/>
    <col min="3" max="3" width="24.28515625" style="104" bestFit="1" customWidth="1"/>
    <col min="4" max="4" width="39.28515625" style="104" bestFit="1" customWidth="1"/>
    <col min="5" max="5" width="39.42578125" style="104" customWidth="1"/>
    <col min="6" max="6" width="56" style="104" bestFit="1" customWidth="1"/>
    <col min="7" max="16384" width="9.140625" style="104"/>
  </cols>
  <sheetData>
    <row r="3" spans="2:6">
      <c r="B3" s="103"/>
      <c r="C3" s="107" t="s">
        <v>87</v>
      </c>
      <c r="D3" s="107" t="s">
        <v>90</v>
      </c>
      <c r="E3" s="107" t="s">
        <v>95</v>
      </c>
      <c r="F3" s="107" t="s">
        <v>96</v>
      </c>
    </row>
    <row r="4" spans="2:6">
      <c r="B4" s="103"/>
      <c r="C4" s="20"/>
      <c r="D4" s="20"/>
      <c r="E4" s="20"/>
      <c r="F4" s="20"/>
    </row>
    <row r="5" spans="2:6">
      <c r="B5" s="103"/>
      <c r="C5" s="108" t="s">
        <v>126</v>
      </c>
      <c r="D5" s="20"/>
      <c r="E5" s="20"/>
      <c r="F5" s="20"/>
    </row>
    <row r="6" spans="2:6">
      <c r="B6" s="103">
        <v>1</v>
      </c>
      <c r="C6" s="20" t="s">
        <v>127</v>
      </c>
      <c r="D6" s="20" t="s">
        <v>128</v>
      </c>
      <c r="E6" s="20" t="s">
        <v>208</v>
      </c>
      <c r="F6" s="20"/>
    </row>
    <row r="7" spans="2:6">
      <c r="B7" s="103"/>
      <c r="C7" s="20"/>
      <c r="D7" s="20" t="s">
        <v>129</v>
      </c>
      <c r="E7" s="20"/>
      <c r="F7" s="20"/>
    </row>
    <row r="8" spans="2:6">
      <c r="B8" s="103"/>
      <c r="C8" s="20"/>
      <c r="D8" s="20" t="s">
        <v>135</v>
      </c>
      <c r="E8" s="20"/>
      <c r="F8" s="20"/>
    </row>
    <row r="9" spans="2:6">
      <c r="B9" s="103"/>
      <c r="C9" s="20"/>
      <c r="D9" s="20"/>
      <c r="E9" s="20"/>
      <c r="F9" s="20"/>
    </row>
    <row r="10" spans="2:6">
      <c r="B10" s="103">
        <v>2</v>
      </c>
      <c r="C10" s="20" t="s">
        <v>209</v>
      </c>
      <c r="D10" s="20" t="s">
        <v>130</v>
      </c>
      <c r="E10" s="20" t="s">
        <v>132</v>
      </c>
      <c r="F10" s="20" t="s">
        <v>133</v>
      </c>
    </row>
    <row r="11" spans="2:6">
      <c r="B11" s="103"/>
      <c r="C11" s="20"/>
      <c r="D11" s="20" t="s">
        <v>131</v>
      </c>
      <c r="E11" s="20"/>
      <c r="F11" s="20"/>
    </row>
    <row r="12" spans="2:6">
      <c r="B12" s="103"/>
      <c r="C12" s="20"/>
      <c r="D12" s="20"/>
      <c r="E12" s="20"/>
      <c r="F12" s="20"/>
    </row>
    <row r="13" spans="2:6">
      <c r="B13" s="103">
        <v>3</v>
      </c>
      <c r="C13" s="20" t="s">
        <v>134</v>
      </c>
      <c r="D13" s="20" t="s">
        <v>137</v>
      </c>
      <c r="E13" s="20" t="s">
        <v>138</v>
      </c>
      <c r="F13" s="20"/>
    </row>
    <row r="14" spans="2:6">
      <c r="B14" s="103"/>
      <c r="C14" s="20"/>
      <c r="D14" s="20" t="s">
        <v>136</v>
      </c>
      <c r="E14" s="20" t="s">
        <v>139</v>
      </c>
      <c r="F14" s="20"/>
    </row>
    <row r="15" spans="2:6">
      <c r="B15" s="103"/>
      <c r="C15" s="20"/>
      <c r="D15" s="20"/>
      <c r="E15" s="20" t="s">
        <v>140</v>
      </c>
      <c r="F15" s="20"/>
    </row>
    <row r="16" spans="2:6">
      <c r="B16" s="103"/>
      <c r="C16" s="20"/>
      <c r="D16" s="20"/>
      <c r="E16" s="20"/>
      <c r="F16" s="20"/>
    </row>
    <row r="17" spans="2:6">
      <c r="B17" s="103">
        <v>4</v>
      </c>
      <c r="C17" s="20" t="s">
        <v>141</v>
      </c>
      <c r="D17" s="20" t="s">
        <v>142</v>
      </c>
      <c r="E17" s="20"/>
      <c r="F17" s="20"/>
    </row>
    <row r="18" spans="2:6">
      <c r="B18" s="103"/>
      <c r="C18" s="20"/>
      <c r="D18" s="20" t="s">
        <v>143</v>
      </c>
      <c r="E18" s="20"/>
      <c r="F18" s="20"/>
    </row>
    <row r="19" spans="2:6">
      <c r="B19" s="103"/>
      <c r="C19" s="20"/>
      <c r="D19" s="20" t="s">
        <v>144</v>
      </c>
      <c r="E19" s="20"/>
      <c r="F19" s="20"/>
    </row>
    <row r="20" spans="2:6">
      <c r="B20" s="103"/>
      <c r="C20" s="20"/>
      <c r="D20" s="20" t="s">
        <v>145</v>
      </c>
      <c r="E20" s="20"/>
      <c r="F20" s="20"/>
    </row>
    <row r="21" spans="2:6">
      <c r="B21" s="103"/>
      <c r="C21" s="20"/>
      <c r="D21" s="20"/>
      <c r="E21" s="20"/>
      <c r="F21" s="20"/>
    </row>
    <row r="22" spans="2:6">
      <c r="B22" s="103">
        <v>5</v>
      </c>
      <c r="C22" s="20" t="s">
        <v>146</v>
      </c>
      <c r="D22" s="20" t="s">
        <v>147</v>
      </c>
      <c r="E22" s="20"/>
      <c r="F22" s="20"/>
    </row>
    <row r="23" spans="2:6">
      <c r="B23" s="103"/>
      <c r="C23" s="20"/>
      <c r="D23" s="20" t="s">
        <v>148</v>
      </c>
      <c r="E23" s="20"/>
      <c r="F23" s="20"/>
    </row>
    <row r="24" spans="2:6" ht="25.5">
      <c r="B24" s="103"/>
      <c r="C24" s="20"/>
      <c r="D24" s="20" t="s">
        <v>149</v>
      </c>
      <c r="E24" s="106" t="s">
        <v>150</v>
      </c>
      <c r="F24" s="20"/>
    </row>
    <row r="25" spans="2:6">
      <c r="B25" s="103"/>
      <c r="C25" s="20"/>
      <c r="D25" s="20"/>
      <c r="E25" s="20"/>
      <c r="F25" s="20"/>
    </row>
    <row r="26" spans="2:6">
      <c r="B26" s="103"/>
      <c r="C26" s="20"/>
      <c r="D26" s="20"/>
      <c r="E26" s="20"/>
      <c r="F26" s="20"/>
    </row>
    <row r="27" spans="2:6">
      <c r="B27" s="103"/>
      <c r="C27" s="108" t="s">
        <v>88</v>
      </c>
      <c r="D27" s="20"/>
      <c r="E27" s="20"/>
      <c r="F27" s="20"/>
    </row>
    <row r="28" spans="2:6">
      <c r="B28" s="103">
        <v>1</v>
      </c>
      <c r="C28" s="20" t="s">
        <v>89</v>
      </c>
      <c r="D28" s="20" t="s">
        <v>91</v>
      </c>
      <c r="E28" s="20" t="s">
        <v>93</v>
      </c>
      <c r="F28" s="20" t="s">
        <v>97</v>
      </c>
    </row>
    <row r="29" spans="2:6">
      <c r="B29" s="103"/>
      <c r="C29" s="20"/>
      <c r="D29" s="20" t="s">
        <v>92</v>
      </c>
      <c r="E29" s="20" t="s">
        <v>94</v>
      </c>
      <c r="F29" s="20"/>
    </row>
    <row r="30" spans="2:6">
      <c r="B30" s="103"/>
      <c r="C30" s="20"/>
      <c r="D30" s="20"/>
      <c r="E30" s="20"/>
      <c r="F30" s="20"/>
    </row>
    <row r="31" spans="2:6">
      <c r="B31" s="103">
        <v>2</v>
      </c>
      <c r="C31" s="20" t="s">
        <v>98</v>
      </c>
      <c r="D31" s="20" t="s">
        <v>99</v>
      </c>
      <c r="E31" s="20"/>
      <c r="F31" s="20"/>
    </row>
    <row r="32" spans="2:6">
      <c r="B32" s="103"/>
      <c r="C32" s="20"/>
      <c r="D32" s="20" t="s">
        <v>25</v>
      </c>
      <c r="E32" s="20"/>
      <c r="F32" s="20"/>
    </row>
    <row r="33" spans="2:6">
      <c r="B33" s="103"/>
      <c r="C33" s="20"/>
      <c r="D33" s="20" t="s">
        <v>100</v>
      </c>
      <c r="E33" s="20"/>
      <c r="F33" s="20"/>
    </row>
    <row r="34" spans="2:6">
      <c r="B34" s="103"/>
      <c r="C34" s="20"/>
      <c r="D34" s="20"/>
      <c r="E34" s="20"/>
      <c r="F34" s="20"/>
    </row>
    <row r="35" spans="2:6">
      <c r="B35" s="103">
        <v>3</v>
      </c>
      <c r="C35" s="20" t="s">
        <v>101</v>
      </c>
      <c r="D35" s="20" t="s">
        <v>25</v>
      </c>
      <c r="E35" s="20"/>
      <c r="F35" s="20"/>
    </row>
    <row r="36" spans="2:6">
      <c r="B36" s="103"/>
      <c r="C36" s="20"/>
      <c r="D36" s="20" t="s">
        <v>102</v>
      </c>
      <c r="E36" s="20"/>
      <c r="F36" s="20"/>
    </row>
    <row r="37" spans="2:6">
      <c r="B37" s="103"/>
      <c r="C37" s="20"/>
      <c r="D37" s="20" t="s">
        <v>103</v>
      </c>
      <c r="E37" s="20"/>
      <c r="F37" s="20"/>
    </row>
    <row r="38" spans="2:6">
      <c r="B38" s="103"/>
      <c r="C38" s="20"/>
      <c r="D38" s="20" t="s">
        <v>104</v>
      </c>
      <c r="E38" s="20"/>
      <c r="F38" s="20"/>
    </row>
    <row r="39" spans="2:6">
      <c r="B39" s="103"/>
      <c r="C39" s="20"/>
      <c r="D39" s="20"/>
      <c r="E39" s="20"/>
      <c r="F39" s="20"/>
    </row>
    <row r="40" spans="2:6">
      <c r="B40" s="103">
        <v>4</v>
      </c>
      <c r="C40" s="20" t="s">
        <v>109</v>
      </c>
      <c r="D40" s="20" t="s">
        <v>105</v>
      </c>
      <c r="E40" s="20" t="s">
        <v>107</v>
      </c>
      <c r="F40" s="20" t="s">
        <v>108</v>
      </c>
    </row>
    <row r="41" spans="2:6">
      <c r="B41" s="103"/>
      <c r="C41" s="20"/>
      <c r="D41" s="20" t="s">
        <v>106</v>
      </c>
      <c r="E41" s="20"/>
      <c r="F41" s="20"/>
    </row>
    <row r="42" spans="2:6">
      <c r="B42" s="103"/>
      <c r="C42" s="20"/>
      <c r="D42" s="20" t="s">
        <v>110</v>
      </c>
      <c r="E42" s="20" t="s">
        <v>111</v>
      </c>
      <c r="F42" s="20" t="s">
        <v>108</v>
      </c>
    </row>
    <row r="43" spans="2:6">
      <c r="B43" s="103"/>
      <c r="C43" s="20"/>
      <c r="D43" s="20"/>
      <c r="E43" s="106" t="s">
        <v>125</v>
      </c>
      <c r="F43" s="20"/>
    </row>
    <row r="44" spans="2:6">
      <c r="B44" s="103"/>
      <c r="C44" s="20"/>
      <c r="D44" s="20"/>
      <c r="E44" s="20"/>
      <c r="F44" s="20"/>
    </row>
    <row r="45" spans="2:6">
      <c r="B45" s="103">
        <v>5</v>
      </c>
      <c r="C45" s="20" t="s">
        <v>112</v>
      </c>
      <c r="D45" s="20" t="s">
        <v>114</v>
      </c>
      <c r="E45" s="106" t="s">
        <v>117</v>
      </c>
      <c r="F45" s="20" t="s">
        <v>118</v>
      </c>
    </row>
    <row r="46" spans="2:6">
      <c r="B46" s="103"/>
      <c r="C46" s="20" t="s">
        <v>113</v>
      </c>
      <c r="D46" s="20" t="s">
        <v>115</v>
      </c>
      <c r="E46" s="20"/>
      <c r="F46" s="20"/>
    </row>
    <row r="47" spans="2:6">
      <c r="B47" s="103"/>
      <c r="C47" s="20"/>
      <c r="D47" s="20" t="s">
        <v>116</v>
      </c>
      <c r="E47" s="20"/>
      <c r="F47" s="20"/>
    </row>
    <row r="48" spans="2:6">
      <c r="B48" s="103"/>
      <c r="C48" s="20"/>
      <c r="D48" s="20"/>
      <c r="E48" s="20"/>
      <c r="F48" s="20"/>
    </row>
    <row r="49" spans="2:6">
      <c r="B49" s="103">
        <v>6</v>
      </c>
      <c r="C49" s="20" t="s">
        <v>119</v>
      </c>
      <c r="D49" s="20" t="s">
        <v>120</v>
      </c>
      <c r="E49" s="20"/>
      <c r="F49" s="20"/>
    </row>
    <row r="50" spans="2:6">
      <c r="B50" s="103"/>
      <c r="C50" s="20"/>
      <c r="D50" s="20" t="s">
        <v>121</v>
      </c>
      <c r="E50" s="20"/>
      <c r="F50" s="20"/>
    </row>
    <row r="51" spans="2:6">
      <c r="B51" s="103"/>
      <c r="C51" s="20"/>
      <c r="D51" s="20"/>
      <c r="E51" s="20"/>
      <c r="F51" s="20"/>
    </row>
    <row r="52" spans="2:6">
      <c r="B52" s="103">
        <v>7</v>
      </c>
      <c r="C52" s="20" t="s">
        <v>122</v>
      </c>
      <c r="D52" s="20" t="s">
        <v>124</v>
      </c>
      <c r="E52" s="20"/>
      <c r="F52" s="20"/>
    </row>
    <row r="53" spans="2:6" ht="25.5">
      <c r="B53" s="103"/>
      <c r="C53" s="20"/>
      <c r="D53" s="106" t="s">
        <v>123</v>
      </c>
      <c r="E53" s="20"/>
      <c r="F53" s="20"/>
    </row>
    <row r="54" spans="2:6">
      <c r="B54" s="103"/>
      <c r="C54" s="20"/>
      <c r="D54" s="20"/>
      <c r="E54" s="20"/>
      <c r="F54" s="20"/>
    </row>
    <row r="55" spans="2:6">
      <c r="B55" s="103"/>
      <c r="C55" s="20"/>
      <c r="D55" s="20"/>
      <c r="E55" s="20"/>
      <c r="F55" s="20"/>
    </row>
    <row r="56" spans="2:6">
      <c r="B56" s="103"/>
      <c r="C56" s="108" t="s">
        <v>151</v>
      </c>
      <c r="D56" s="20"/>
      <c r="E56" s="20"/>
      <c r="F56" s="20"/>
    </row>
    <row r="57" spans="2:6">
      <c r="B57" s="103">
        <v>1</v>
      </c>
      <c r="C57" s="20" t="s">
        <v>152</v>
      </c>
      <c r="D57" s="20" t="s">
        <v>153</v>
      </c>
      <c r="E57" s="20"/>
      <c r="F57" s="20"/>
    </row>
    <row r="58" spans="2:6">
      <c r="B58" s="103"/>
      <c r="C58" s="20"/>
      <c r="D58" s="20" t="s">
        <v>154</v>
      </c>
      <c r="E58" s="20"/>
      <c r="F58" s="20"/>
    </row>
    <row r="59" spans="2:6">
      <c r="B59" s="103"/>
      <c r="C59" s="20"/>
      <c r="D59" s="20" t="s">
        <v>155</v>
      </c>
      <c r="E59" s="20"/>
      <c r="F59" s="20"/>
    </row>
    <row r="60" spans="2:6">
      <c r="B60" s="103"/>
      <c r="C60" s="20"/>
      <c r="D60" s="20"/>
      <c r="E60" s="20"/>
      <c r="F60" s="20"/>
    </row>
    <row r="61" spans="2:6">
      <c r="B61" s="103">
        <v>2</v>
      </c>
      <c r="C61" s="20" t="s">
        <v>156</v>
      </c>
      <c r="D61" s="20" t="s">
        <v>157</v>
      </c>
      <c r="E61" s="20"/>
      <c r="F61" s="20"/>
    </row>
    <row r="62" spans="2:6">
      <c r="B62" s="103"/>
      <c r="C62" s="20"/>
      <c r="D62" s="20"/>
      <c r="E62" s="20"/>
      <c r="F62" s="20"/>
    </row>
    <row r="63" spans="2:6">
      <c r="B63" s="103">
        <v>3</v>
      </c>
      <c r="C63" s="20" t="s">
        <v>158</v>
      </c>
      <c r="D63" s="20" t="s">
        <v>159</v>
      </c>
      <c r="E63" s="20"/>
      <c r="F63" s="20"/>
    </row>
    <row r="64" spans="2:6">
      <c r="B64" s="103"/>
      <c r="C64" s="20"/>
      <c r="D64" s="20"/>
      <c r="E64" s="20"/>
      <c r="F64" s="20"/>
    </row>
    <row r="65" spans="2:6" ht="25.5">
      <c r="B65" s="103">
        <v>4</v>
      </c>
      <c r="C65" s="20" t="s">
        <v>160</v>
      </c>
      <c r="D65" s="20" t="s">
        <v>161</v>
      </c>
      <c r="E65" s="106" t="s">
        <v>166</v>
      </c>
      <c r="F65" s="20" t="s">
        <v>167</v>
      </c>
    </row>
    <row r="66" spans="2:6">
      <c r="B66" s="103"/>
      <c r="C66" s="20"/>
      <c r="D66" s="20" t="s">
        <v>162</v>
      </c>
      <c r="E66" s="20" t="s">
        <v>168</v>
      </c>
      <c r="F66" s="20"/>
    </row>
    <row r="67" spans="2:6">
      <c r="B67" s="103"/>
      <c r="C67" s="20"/>
      <c r="D67" s="20" t="s">
        <v>163</v>
      </c>
      <c r="E67" s="20"/>
      <c r="F67" s="20"/>
    </row>
    <row r="68" spans="2:6">
      <c r="B68" s="103"/>
      <c r="C68" s="20"/>
      <c r="D68" s="20" t="s">
        <v>164</v>
      </c>
      <c r="E68" s="20"/>
      <c r="F68" s="20"/>
    </row>
    <row r="69" spans="2:6">
      <c r="B69" s="103"/>
      <c r="C69" s="20"/>
      <c r="D69" s="20" t="s">
        <v>165</v>
      </c>
      <c r="E69" s="20"/>
      <c r="F69" s="20"/>
    </row>
    <row r="70" spans="2:6">
      <c r="B70" s="103"/>
      <c r="C70" s="20"/>
      <c r="D70" s="20"/>
      <c r="E70" s="20"/>
      <c r="F70" s="20"/>
    </row>
    <row r="71" spans="2:6">
      <c r="B71" s="103">
        <v>5</v>
      </c>
      <c r="C71" s="20" t="s">
        <v>169</v>
      </c>
      <c r="D71" s="20" t="s">
        <v>170</v>
      </c>
      <c r="E71" s="20"/>
      <c r="F71" s="20"/>
    </row>
    <row r="72" spans="2:6">
      <c r="B72" s="103"/>
      <c r="C72" s="20"/>
      <c r="D72" s="20" t="s">
        <v>171</v>
      </c>
      <c r="E72" s="20"/>
      <c r="F72" s="20"/>
    </row>
    <row r="73" spans="2:6">
      <c r="B73" s="103"/>
      <c r="C73" s="20"/>
      <c r="D73" s="20" t="s">
        <v>172</v>
      </c>
      <c r="E73" s="20" t="s">
        <v>173</v>
      </c>
      <c r="F73" s="20" t="s">
        <v>174</v>
      </c>
    </row>
    <row r="74" spans="2:6">
      <c r="B74" s="103"/>
      <c r="C74" s="20"/>
      <c r="D74" s="20" t="s">
        <v>175</v>
      </c>
      <c r="E74" s="20"/>
      <c r="F74" s="20"/>
    </row>
    <row r="75" spans="2:6">
      <c r="B75" s="103"/>
      <c r="C75" s="20"/>
      <c r="D75" s="20"/>
      <c r="E75" s="20"/>
      <c r="F75" s="20"/>
    </row>
    <row r="76" spans="2:6">
      <c r="B76" s="103">
        <v>6</v>
      </c>
      <c r="C76" s="20" t="s">
        <v>176</v>
      </c>
      <c r="D76" s="20" t="s">
        <v>177</v>
      </c>
      <c r="E76" s="20"/>
      <c r="F76" s="20"/>
    </row>
    <row r="77" spans="2:6">
      <c r="B77" s="103"/>
      <c r="C77" s="20"/>
      <c r="D77" s="20" t="s">
        <v>178</v>
      </c>
      <c r="E77" s="20"/>
      <c r="F77" s="20"/>
    </row>
    <row r="78" spans="2:6">
      <c r="B78" s="103"/>
      <c r="C78" s="20"/>
      <c r="D78" s="20"/>
      <c r="E78" s="20"/>
      <c r="F78" s="20"/>
    </row>
    <row r="79" spans="2:6">
      <c r="B79" s="103">
        <v>7</v>
      </c>
      <c r="C79" s="20" t="s">
        <v>179</v>
      </c>
      <c r="D79" s="20" t="s">
        <v>180</v>
      </c>
      <c r="E79" s="20"/>
      <c r="F79" s="20"/>
    </row>
    <row r="80" spans="2:6">
      <c r="B80" s="103"/>
      <c r="C80" s="20"/>
      <c r="D80" s="20" t="s">
        <v>181</v>
      </c>
      <c r="E80" s="20"/>
      <c r="F80" s="20"/>
    </row>
    <row r="81" spans="2:6">
      <c r="B81" s="103"/>
      <c r="C81" s="20"/>
      <c r="D81" s="20"/>
      <c r="E81" s="20"/>
      <c r="F81" s="20"/>
    </row>
    <row r="82" spans="2:6">
      <c r="B82" s="103">
        <v>8</v>
      </c>
      <c r="C82" s="20" t="s">
        <v>182</v>
      </c>
      <c r="D82" s="20" t="s">
        <v>183</v>
      </c>
      <c r="E82" s="20" t="s">
        <v>185</v>
      </c>
      <c r="F82" s="20"/>
    </row>
    <row r="83" spans="2:6">
      <c r="B83" s="103"/>
      <c r="C83" s="20"/>
      <c r="D83" s="20" t="s">
        <v>184</v>
      </c>
      <c r="E83" s="20" t="s">
        <v>186</v>
      </c>
      <c r="F83" s="20"/>
    </row>
    <row r="84" spans="2:6">
      <c r="B84" s="103"/>
      <c r="C84" s="20"/>
      <c r="D84" s="20"/>
      <c r="E84" s="20"/>
      <c r="F84" s="20"/>
    </row>
    <row r="85" spans="2:6">
      <c r="B85" s="103">
        <v>9</v>
      </c>
      <c r="C85" s="20" t="s">
        <v>187</v>
      </c>
      <c r="D85" s="20" t="s">
        <v>188</v>
      </c>
      <c r="E85" s="23"/>
      <c r="F85" s="20"/>
    </row>
    <row r="86" spans="2:6">
      <c r="B86" s="103"/>
      <c r="C86" s="20"/>
      <c r="D86" s="20" t="s">
        <v>189</v>
      </c>
      <c r="E86" s="20"/>
      <c r="F86" s="20"/>
    </row>
    <row r="87" spans="2:6">
      <c r="B87" s="103"/>
      <c r="C87" s="20"/>
      <c r="D87" s="20" t="s">
        <v>190</v>
      </c>
      <c r="E87" s="20"/>
      <c r="F87" s="20"/>
    </row>
    <row r="88" spans="2:6" ht="25.5">
      <c r="B88" s="103"/>
      <c r="C88" s="20"/>
      <c r="D88" s="109" t="s">
        <v>210</v>
      </c>
      <c r="E88" s="23" t="s">
        <v>211</v>
      </c>
      <c r="F88" s="20"/>
    </row>
    <row r="89" spans="2:6">
      <c r="B89" s="103"/>
      <c r="C89" s="20"/>
      <c r="D89" s="20" t="s">
        <v>191</v>
      </c>
      <c r="E89" s="20"/>
      <c r="F89" s="20"/>
    </row>
    <row r="90" spans="2:6">
      <c r="B90" s="103"/>
      <c r="C90" s="20"/>
      <c r="D90" s="20"/>
      <c r="E90" s="20"/>
      <c r="F90" s="20"/>
    </row>
    <row r="91" spans="2:6">
      <c r="B91" s="103">
        <v>10</v>
      </c>
      <c r="C91" s="20" t="s">
        <v>110</v>
      </c>
      <c r="D91" s="20" t="s">
        <v>192</v>
      </c>
      <c r="E91" s="20"/>
      <c r="F91" s="20"/>
    </row>
    <row r="92" spans="2:6">
      <c r="B92" s="103"/>
      <c r="C92" s="20"/>
      <c r="D92" s="20"/>
      <c r="E92" s="20"/>
      <c r="F92" s="20"/>
    </row>
    <row r="93" spans="2:6">
      <c r="B93" s="103">
        <v>11</v>
      </c>
      <c r="C93" s="20" t="s">
        <v>193</v>
      </c>
      <c r="D93" s="20" t="s">
        <v>194</v>
      </c>
      <c r="E93" s="20"/>
      <c r="F93" s="20"/>
    </row>
    <row r="94" spans="2:6">
      <c r="B94" s="103"/>
      <c r="C94" s="20"/>
      <c r="D94" s="20"/>
      <c r="E94" s="20"/>
      <c r="F94" s="20"/>
    </row>
    <row r="95" spans="2:6">
      <c r="B95" s="103">
        <v>12</v>
      </c>
      <c r="C95" s="20" t="s">
        <v>195</v>
      </c>
      <c r="D95" s="20" t="s">
        <v>77</v>
      </c>
      <c r="E95" s="20" t="s">
        <v>206</v>
      </c>
      <c r="F95" s="20"/>
    </row>
    <row r="96" spans="2:6">
      <c r="B96" s="103"/>
      <c r="C96" s="20"/>
      <c r="D96" s="20" t="s">
        <v>204</v>
      </c>
      <c r="E96" s="20" t="s">
        <v>207</v>
      </c>
      <c r="F96" s="20"/>
    </row>
    <row r="97" spans="2:6">
      <c r="B97" s="103"/>
      <c r="C97" s="20"/>
      <c r="D97" s="20"/>
      <c r="E97" s="20" t="s">
        <v>205</v>
      </c>
      <c r="F97" s="20"/>
    </row>
    <row r="98" spans="2:6">
      <c r="B98" s="103"/>
      <c r="C98" s="20"/>
      <c r="D98" s="20"/>
      <c r="E98" s="20"/>
      <c r="F98" s="20"/>
    </row>
    <row r="99" spans="2:6">
      <c r="B99" s="103">
        <v>13</v>
      </c>
      <c r="C99" s="20" t="s">
        <v>196</v>
      </c>
      <c r="D99" s="20" t="s">
        <v>197</v>
      </c>
      <c r="E99" s="20"/>
      <c r="F99" s="20"/>
    </row>
    <row r="100" spans="2:6">
      <c r="B100" s="103"/>
      <c r="C100" s="20"/>
      <c r="D100" s="20" t="s">
        <v>198</v>
      </c>
      <c r="E100" s="20"/>
      <c r="F100" s="20"/>
    </row>
    <row r="101" spans="2:6">
      <c r="B101" s="103"/>
      <c r="C101" s="20"/>
      <c r="D101" s="20" t="s">
        <v>199</v>
      </c>
      <c r="E101" s="20"/>
      <c r="F101" s="20"/>
    </row>
    <row r="102" spans="2:6">
      <c r="B102" s="103"/>
      <c r="C102" s="20"/>
      <c r="D102" s="20"/>
      <c r="E102" s="20"/>
      <c r="F102" s="20"/>
    </row>
    <row r="103" spans="2:6">
      <c r="B103" s="103">
        <v>14</v>
      </c>
      <c r="C103" s="20" t="s">
        <v>200</v>
      </c>
      <c r="D103" s="20" t="s">
        <v>201</v>
      </c>
      <c r="E103" s="20" t="s">
        <v>203</v>
      </c>
      <c r="F103" s="20"/>
    </row>
    <row r="104" spans="2:6">
      <c r="B104" s="103"/>
      <c r="C104" s="20"/>
      <c r="D104" s="20" t="s">
        <v>202</v>
      </c>
      <c r="E104" s="20"/>
      <c r="F104" s="20"/>
    </row>
    <row r="105" spans="2:6">
      <c r="B105" s="103"/>
      <c r="C105" s="20"/>
      <c r="D105" s="20"/>
      <c r="E105" s="20"/>
      <c r="F105" s="20"/>
    </row>
    <row r="106" spans="2:6">
      <c r="B106" s="103"/>
      <c r="C106" s="20"/>
      <c r="D106" s="20"/>
      <c r="E106" s="20"/>
      <c r="F106" s="20"/>
    </row>
    <row r="107" spans="2:6">
      <c r="B107" s="103"/>
      <c r="C107" s="20"/>
      <c r="D107" s="20"/>
      <c r="E107" s="20"/>
      <c r="F107" s="20"/>
    </row>
    <row r="108" spans="2:6">
      <c r="B108" s="103"/>
      <c r="C108" s="20"/>
      <c r="D108" s="20"/>
      <c r="E108" s="20"/>
      <c r="F108" s="2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B2:G64"/>
  <sheetViews>
    <sheetView zoomScale="80" zoomScaleNormal="80" workbookViewId="0">
      <selection activeCell="C9" sqref="C9"/>
    </sheetView>
  </sheetViews>
  <sheetFormatPr defaultRowHeight="12.75"/>
  <cols>
    <col min="1" max="1" width="9.140625" style="104"/>
    <col min="2" max="2" width="59.42578125" style="104" bestFit="1" customWidth="1"/>
    <col min="3" max="3" width="12.28515625" style="104" bestFit="1" customWidth="1"/>
    <col min="4" max="4" width="40" style="104" bestFit="1" customWidth="1"/>
    <col min="5" max="16384" width="9.140625" style="104"/>
  </cols>
  <sheetData>
    <row r="2" spans="2:7" ht="18">
      <c r="B2" s="125" t="s">
        <v>279</v>
      </c>
    </row>
    <row r="3" spans="2:7">
      <c r="B3" s="20"/>
      <c r="C3" s="20"/>
      <c r="D3" s="20"/>
      <c r="E3" s="20"/>
      <c r="F3" s="20"/>
      <c r="G3" s="20"/>
    </row>
    <row r="4" spans="2:7">
      <c r="B4" s="20" t="s">
        <v>114</v>
      </c>
      <c r="C4" s="113">
        <v>5</v>
      </c>
      <c r="D4" s="20"/>
      <c r="E4" s="20"/>
      <c r="F4" s="20"/>
      <c r="G4" s="20"/>
    </row>
    <row r="5" spans="2:7">
      <c r="B5" s="20"/>
      <c r="C5" s="20"/>
      <c r="D5" s="20"/>
      <c r="E5" s="20"/>
      <c r="F5" s="20"/>
      <c r="G5" s="20"/>
    </row>
    <row r="6" spans="2:7">
      <c r="B6" s="108" t="s">
        <v>98</v>
      </c>
      <c r="C6" s="20"/>
      <c r="D6" s="20"/>
      <c r="E6" s="20"/>
      <c r="F6" s="20"/>
      <c r="G6" s="20"/>
    </row>
    <row r="7" spans="2:7">
      <c r="B7" s="20" t="s">
        <v>99</v>
      </c>
      <c r="C7" s="130">
        <v>14</v>
      </c>
      <c r="D7" s="20"/>
      <c r="E7" s="20"/>
      <c r="F7" s="20"/>
      <c r="G7" s="20"/>
    </row>
    <row r="8" spans="2:7">
      <c r="B8" s="20" t="s">
        <v>25</v>
      </c>
      <c r="C8" s="130">
        <v>5</v>
      </c>
      <c r="D8" s="20"/>
      <c r="E8" s="20"/>
      <c r="F8" s="20"/>
      <c r="G8" s="20"/>
    </row>
    <row r="9" spans="2:7">
      <c r="B9" s="20" t="s">
        <v>318</v>
      </c>
      <c r="C9" s="152">
        <f>C8/C7</f>
        <v>0.35714285714285715</v>
      </c>
      <c r="D9" s="20"/>
      <c r="E9" s="20"/>
      <c r="F9" s="20"/>
      <c r="G9" s="20"/>
    </row>
    <row r="10" spans="2:7">
      <c r="B10" s="20" t="s">
        <v>100</v>
      </c>
      <c r="C10" s="110">
        <f>C7/C8</f>
        <v>2.8</v>
      </c>
      <c r="D10" s="20" t="s">
        <v>268</v>
      </c>
      <c r="E10" s="20"/>
      <c r="F10" s="20"/>
      <c r="G10" s="20"/>
    </row>
    <row r="11" spans="2:7">
      <c r="B11" s="20"/>
      <c r="C11" s="20"/>
      <c r="D11" s="20"/>
      <c r="E11" s="20"/>
      <c r="F11" s="20"/>
      <c r="G11" s="20"/>
    </row>
    <row r="12" spans="2:7">
      <c r="B12" s="108" t="s">
        <v>101</v>
      </c>
      <c r="C12" s="20"/>
      <c r="D12" s="20"/>
      <c r="E12" s="20"/>
      <c r="F12" s="20"/>
      <c r="G12" s="20"/>
    </row>
    <row r="13" spans="2:7">
      <c r="B13" s="20" t="s">
        <v>25</v>
      </c>
      <c r="C13" s="130">
        <v>-2.66</v>
      </c>
      <c r="D13" s="20"/>
      <c r="E13" s="20"/>
      <c r="F13" s="20"/>
      <c r="G13" s="20"/>
    </row>
    <row r="14" spans="2:7">
      <c r="B14" s="20" t="s">
        <v>102</v>
      </c>
      <c r="C14" s="130">
        <v>28</v>
      </c>
      <c r="D14" s="20"/>
      <c r="E14" s="20"/>
      <c r="F14" s="20"/>
      <c r="G14" s="20"/>
    </row>
    <row r="15" spans="2:7">
      <c r="B15" s="20" t="s">
        <v>103</v>
      </c>
      <c r="C15" s="130">
        <v>1000</v>
      </c>
      <c r="D15" s="20"/>
      <c r="E15" s="20"/>
      <c r="F15" s="20"/>
      <c r="G15" s="20"/>
    </row>
    <row r="16" spans="2:7">
      <c r="B16" s="20" t="s">
        <v>104</v>
      </c>
      <c r="C16" s="20">
        <f>C15*C13</f>
        <v>-2660</v>
      </c>
      <c r="D16" s="20" t="s">
        <v>268</v>
      </c>
      <c r="E16" s="20"/>
      <c r="F16" s="20"/>
      <c r="G16" s="20"/>
    </row>
    <row r="17" spans="2:7">
      <c r="B17" s="20"/>
      <c r="C17" s="20"/>
      <c r="D17" s="20"/>
      <c r="E17" s="20"/>
      <c r="F17" s="20"/>
      <c r="G17" s="20"/>
    </row>
    <row r="18" spans="2:7">
      <c r="B18" s="108" t="s">
        <v>112</v>
      </c>
      <c r="C18" s="20"/>
      <c r="D18" s="20"/>
      <c r="E18" s="20"/>
      <c r="F18" s="20"/>
      <c r="G18" s="20"/>
    </row>
    <row r="19" spans="2:7">
      <c r="B19" s="20" t="s">
        <v>114</v>
      </c>
      <c r="C19" s="130">
        <f>C4</f>
        <v>5</v>
      </c>
      <c r="D19" s="20"/>
      <c r="E19" s="20"/>
      <c r="F19" s="20"/>
      <c r="G19" s="20"/>
    </row>
    <row r="20" spans="2:7">
      <c r="B20" s="20" t="s">
        <v>115</v>
      </c>
      <c r="C20" s="111">
        <v>0.08</v>
      </c>
      <c r="D20" s="20"/>
      <c r="E20" s="20"/>
      <c r="F20" s="20"/>
      <c r="G20" s="20"/>
    </row>
    <row r="21" spans="2:7">
      <c r="B21" s="20" t="s">
        <v>116</v>
      </c>
      <c r="C21" s="112">
        <f>C19/C20</f>
        <v>62.5</v>
      </c>
      <c r="D21" s="20" t="s">
        <v>268</v>
      </c>
      <c r="E21" s="20"/>
      <c r="F21" s="20"/>
      <c r="G21" s="20"/>
    </row>
    <row r="22" spans="2:7">
      <c r="B22" s="20"/>
      <c r="C22" s="20"/>
      <c r="D22" s="20"/>
      <c r="E22" s="20"/>
      <c r="F22" s="20"/>
      <c r="G22" s="20"/>
    </row>
    <row r="23" spans="2:7">
      <c r="B23" s="108" t="s">
        <v>227</v>
      </c>
      <c r="C23" s="20"/>
      <c r="D23" s="20"/>
      <c r="E23" s="20"/>
      <c r="F23" s="20"/>
      <c r="G23" s="20"/>
    </row>
    <row r="24" spans="2:7">
      <c r="B24" s="20" t="s">
        <v>99</v>
      </c>
      <c r="C24" s="130">
        <v>14</v>
      </c>
      <c r="D24" s="20"/>
      <c r="E24" s="20"/>
      <c r="F24" s="20"/>
      <c r="G24" s="20"/>
    </row>
    <row r="25" spans="2:7">
      <c r="B25" s="20" t="s">
        <v>114</v>
      </c>
      <c r="C25" s="130">
        <v>-2.66</v>
      </c>
      <c r="D25" s="20"/>
      <c r="E25" s="20"/>
      <c r="F25" s="20"/>
      <c r="G25" s="20"/>
    </row>
    <row r="26" spans="2:7">
      <c r="B26" s="20" t="s">
        <v>228</v>
      </c>
      <c r="C26" s="20">
        <f>C24/C25</f>
        <v>-5.2631578947368416</v>
      </c>
      <c r="D26" s="20"/>
      <c r="E26" s="20"/>
      <c r="F26" s="20"/>
      <c r="G26" s="20"/>
    </row>
    <row r="27" spans="2:7">
      <c r="B27" s="20" t="s">
        <v>77</v>
      </c>
      <c r="C27" s="130">
        <v>15</v>
      </c>
      <c r="D27" s="20"/>
      <c r="E27" s="20"/>
      <c r="F27" s="20"/>
      <c r="G27" s="20"/>
    </row>
    <row r="28" spans="2:7">
      <c r="B28" s="20" t="s">
        <v>229</v>
      </c>
      <c r="C28" s="131">
        <v>1</v>
      </c>
      <c r="D28" s="20"/>
      <c r="E28" s="20"/>
      <c r="F28" s="20"/>
      <c r="G28" s="20"/>
    </row>
    <row r="29" spans="2:7">
      <c r="B29" s="20" t="s">
        <v>230</v>
      </c>
      <c r="C29" s="22">
        <v>139.13</v>
      </c>
      <c r="D29" s="20"/>
      <c r="E29" s="20"/>
      <c r="F29" s="20"/>
      <c r="G29" s="20"/>
    </row>
    <row r="30" spans="2:7">
      <c r="B30" s="20" t="s">
        <v>231</v>
      </c>
      <c r="C30" s="132">
        <v>2.5499999999999998E-2</v>
      </c>
      <c r="D30" s="20"/>
      <c r="E30" s="20"/>
      <c r="F30" s="20"/>
      <c r="G30" s="20"/>
    </row>
    <row r="31" spans="2:7">
      <c r="B31" s="20" t="s">
        <v>232</v>
      </c>
      <c r="C31" s="132">
        <v>3.1899999999999998E-2</v>
      </c>
      <c r="D31" s="20"/>
      <c r="E31" s="20"/>
      <c r="F31" s="20"/>
      <c r="G31" s="20"/>
    </row>
    <row r="32" spans="2:7">
      <c r="B32" s="20" t="s">
        <v>233</v>
      </c>
      <c r="C32" s="132"/>
      <c r="D32" s="20"/>
      <c r="E32" s="20"/>
      <c r="F32" s="20"/>
      <c r="G32" s="20"/>
    </row>
    <row r="33" spans="2:7">
      <c r="B33" s="20" t="s">
        <v>267</v>
      </c>
      <c r="C33" s="132">
        <v>3.44E-2</v>
      </c>
      <c r="D33" s="20"/>
      <c r="E33" s="20"/>
      <c r="F33" s="20"/>
      <c r="G33" s="20"/>
    </row>
    <row r="34" spans="2:7">
      <c r="B34" s="20" t="s">
        <v>266</v>
      </c>
      <c r="C34" s="132">
        <v>0.1241</v>
      </c>
      <c r="D34" s="20"/>
      <c r="E34" s="20"/>
      <c r="F34" s="20"/>
      <c r="G34" s="20"/>
    </row>
    <row r="35" spans="2:7">
      <c r="B35" s="20"/>
      <c r="C35" s="20"/>
      <c r="D35" s="20"/>
      <c r="E35" s="20"/>
      <c r="F35" s="20"/>
      <c r="G35" s="20"/>
    </row>
    <row r="36" spans="2:7">
      <c r="B36" s="20"/>
      <c r="C36" s="20"/>
      <c r="D36" s="20"/>
      <c r="E36" s="20"/>
      <c r="F36" s="20"/>
      <c r="G36" s="20"/>
    </row>
    <row r="37" spans="2:7">
      <c r="B37" s="108" t="s">
        <v>187</v>
      </c>
      <c r="C37" s="20"/>
      <c r="D37" s="20"/>
      <c r="E37" s="20"/>
      <c r="F37" s="20"/>
      <c r="G37" s="20"/>
    </row>
    <row r="38" spans="2:7">
      <c r="B38" s="20" t="s">
        <v>215</v>
      </c>
      <c r="C38" s="130">
        <v>3141.2</v>
      </c>
      <c r="D38" s="20"/>
      <c r="E38" s="20"/>
      <c r="F38" s="20"/>
      <c r="G38" s="20"/>
    </row>
    <row r="39" spans="2:7">
      <c r="B39" s="20" t="s">
        <v>216</v>
      </c>
      <c r="C39" s="130">
        <v>3384.26</v>
      </c>
      <c r="D39" s="20"/>
      <c r="E39" s="20"/>
      <c r="F39" s="20"/>
      <c r="G39" s="20"/>
    </row>
    <row r="40" spans="2:7">
      <c r="B40" s="20" t="s">
        <v>34</v>
      </c>
      <c r="C40" s="130">
        <v>92.03</v>
      </c>
      <c r="D40" s="20"/>
      <c r="E40" s="20"/>
      <c r="F40" s="20"/>
      <c r="G40" s="20"/>
    </row>
    <row r="41" spans="2:7">
      <c r="B41" s="20" t="s">
        <v>217</v>
      </c>
      <c r="C41" s="130">
        <v>31.09</v>
      </c>
      <c r="D41" s="20"/>
      <c r="E41" s="20"/>
      <c r="F41" s="20"/>
      <c r="G41" s="20"/>
    </row>
    <row r="42" spans="2:7">
      <c r="B42" s="20" t="s">
        <v>218</v>
      </c>
      <c r="C42" s="130">
        <v>1005.03</v>
      </c>
      <c r="D42" s="20"/>
      <c r="E42" s="20"/>
      <c r="F42" s="20"/>
      <c r="G42" s="20"/>
    </row>
    <row r="43" spans="2:7">
      <c r="B43" s="20"/>
      <c r="C43" s="20"/>
      <c r="D43" s="20"/>
      <c r="E43" s="20"/>
      <c r="F43" s="20"/>
      <c r="G43" s="20"/>
    </row>
    <row r="44" spans="2:7">
      <c r="B44" s="23" t="s">
        <v>212</v>
      </c>
      <c r="C44" s="130">
        <v>281.95</v>
      </c>
      <c r="D44" s="20"/>
      <c r="E44" s="20"/>
      <c r="F44" s="20"/>
      <c r="G44" s="20"/>
    </row>
    <row r="45" spans="2:7">
      <c r="B45" s="20" t="s">
        <v>262</v>
      </c>
      <c r="C45" s="25">
        <f>C44/(C41+C42)</f>
        <v>0.27212098984673594</v>
      </c>
      <c r="D45" s="20" t="s">
        <v>220</v>
      </c>
      <c r="E45" s="20"/>
      <c r="F45" s="20"/>
      <c r="G45" s="20"/>
    </row>
    <row r="46" spans="2:7">
      <c r="B46" s="20" t="s">
        <v>223</v>
      </c>
      <c r="C46" s="25">
        <f>C44/C40</f>
        <v>3.0636748886232748</v>
      </c>
      <c r="D46" s="20" t="s">
        <v>221</v>
      </c>
      <c r="E46" s="20"/>
      <c r="F46" s="20"/>
      <c r="G46" s="20"/>
    </row>
    <row r="47" spans="2:7">
      <c r="B47" s="20"/>
      <c r="C47" s="25"/>
      <c r="D47" s="20"/>
      <c r="E47" s="20"/>
      <c r="F47" s="20"/>
      <c r="G47" s="20"/>
    </row>
    <row r="48" spans="2:7">
      <c r="B48" s="23" t="s">
        <v>213</v>
      </c>
      <c r="C48" s="130">
        <v>171.6</v>
      </c>
      <c r="D48" s="20"/>
      <c r="E48" s="20"/>
      <c r="F48" s="20"/>
      <c r="G48" s="20"/>
    </row>
    <row r="49" spans="2:7">
      <c r="B49" s="20" t="s">
        <v>263</v>
      </c>
      <c r="C49" s="25">
        <f>C48/(C41+C42)</f>
        <v>0.16561788209859862</v>
      </c>
      <c r="D49" s="20" t="s">
        <v>220</v>
      </c>
      <c r="E49" s="20"/>
      <c r="F49" s="20"/>
      <c r="G49" s="20"/>
    </row>
    <row r="50" spans="2:7">
      <c r="B50" s="20" t="s">
        <v>224</v>
      </c>
      <c r="C50" s="25">
        <f>C48/C40</f>
        <v>1.8646093665109202</v>
      </c>
      <c r="D50" s="20" t="s">
        <v>222</v>
      </c>
      <c r="E50" s="20"/>
      <c r="F50" s="20"/>
      <c r="G50" s="20"/>
    </row>
    <row r="51" spans="2:7">
      <c r="B51" s="20"/>
      <c r="C51" s="25"/>
      <c r="D51" s="20"/>
      <c r="E51" s="20"/>
      <c r="F51" s="20"/>
      <c r="G51" s="20"/>
    </row>
    <row r="52" spans="2:7">
      <c r="B52" s="23" t="s">
        <v>214</v>
      </c>
      <c r="C52" s="130">
        <v>110.33</v>
      </c>
      <c r="D52" s="20"/>
      <c r="E52" s="20"/>
      <c r="F52" s="20"/>
      <c r="G52" s="20"/>
    </row>
    <row r="53" spans="2:7">
      <c r="B53" s="20" t="s">
        <v>264</v>
      </c>
      <c r="C53" s="25">
        <f>C52/(C41+C42)</f>
        <v>0.10648380496467591</v>
      </c>
      <c r="D53" s="20" t="s">
        <v>220</v>
      </c>
      <c r="E53" s="20"/>
      <c r="F53" s="20"/>
      <c r="G53" s="20"/>
    </row>
    <row r="54" spans="2:7">
      <c r="B54" s="20" t="s">
        <v>225</v>
      </c>
      <c r="C54" s="25">
        <f>C52/C40</f>
        <v>1.1988482016733673</v>
      </c>
      <c r="D54" s="20" t="s">
        <v>222</v>
      </c>
      <c r="E54" s="20"/>
      <c r="F54" s="20"/>
      <c r="G54" s="20"/>
    </row>
    <row r="55" spans="2:7">
      <c r="B55" s="20"/>
      <c r="C55" s="20"/>
      <c r="D55" s="20"/>
      <c r="E55" s="20"/>
      <c r="F55" s="20"/>
      <c r="G55" s="20"/>
    </row>
    <row r="56" spans="2:7">
      <c r="B56" s="23" t="s">
        <v>219</v>
      </c>
      <c r="C56" s="130">
        <v>1320.99</v>
      </c>
      <c r="D56" s="20"/>
      <c r="E56" s="20"/>
      <c r="F56" s="20"/>
      <c r="G56" s="20"/>
    </row>
    <row r="57" spans="2:7">
      <c r="B57" s="20" t="s">
        <v>265</v>
      </c>
      <c r="C57" s="25">
        <f>C56/(C41+C42)</f>
        <v>1.2749391962320968</v>
      </c>
      <c r="D57" s="20" t="s">
        <v>220</v>
      </c>
      <c r="E57" s="20"/>
      <c r="F57" s="20"/>
      <c r="G57" s="20"/>
    </row>
    <row r="58" spans="2:7">
      <c r="B58" s="20" t="s">
        <v>226</v>
      </c>
      <c r="C58" s="25">
        <f>C56/C40</f>
        <v>14.353906334890796</v>
      </c>
      <c r="D58" s="20" t="s">
        <v>222</v>
      </c>
      <c r="E58" s="20"/>
      <c r="F58" s="20"/>
      <c r="G58" s="20"/>
    </row>
    <row r="59" spans="2:7">
      <c r="B59" s="20"/>
      <c r="C59" s="20"/>
      <c r="D59" s="20"/>
      <c r="E59" s="20"/>
      <c r="F59" s="20"/>
      <c r="G59" s="20"/>
    </row>
    <row r="60" spans="2:7">
      <c r="B60" s="20"/>
      <c r="C60" s="25"/>
      <c r="D60" s="20"/>
      <c r="E60" s="20"/>
      <c r="F60" s="20"/>
      <c r="G60" s="20"/>
    </row>
    <row r="61" spans="2:7">
      <c r="B61" s="20"/>
      <c r="C61" s="25"/>
      <c r="D61" s="20"/>
      <c r="E61" s="20"/>
      <c r="F61" s="20"/>
      <c r="G61" s="20"/>
    </row>
    <row r="62" spans="2:7">
      <c r="B62" s="20"/>
      <c r="C62" s="20"/>
      <c r="D62" s="20"/>
      <c r="E62" s="20"/>
      <c r="F62" s="20"/>
      <c r="G62" s="20"/>
    </row>
    <row r="63" spans="2:7">
      <c r="B63" s="20"/>
      <c r="C63" s="20"/>
      <c r="D63" s="20"/>
      <c r="E63" s="20"/>
      <c r="F63" s="20"/>
      <c r="G63" s="20"/>
    </row>
    <row r="64" spans="2:7">
      <c r="B64" s="20"/>
      <c r="C64" s="20"/>
      <c r="D64" s="20"/>
      <c r="E64" s="20"/>
      <c r="F64" s="20"/>
      <c r="G64" s="20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B1:AS217"/>
  <sheetViews>
    <sheetView tabSelected="1" zoomScale="80" zoomScaleNormal="80" workbookViewId="0">
      <pane xSplit="2" ySplit="3" topLeftCell="C184" activePane="bottomRight" state="frozen"/>
      <selection pane="topRight" activeCell="C1" sqref="C1"/>
      <selection pane="bottomLeft" activeCell="A5" sqref="A5"/>
      <selection pane="bottomRight" activeCell="A209" sqref="A209"/>
    </sheetView>
  </sheetViews>
  <sheetFormatPr defaultRowHeight="12.75"/>
  <cols>
    <col min="1" max="1" width="4.7109375" style="104" customWidth="1"/>
    <col min="2" max="2" width="34.5703125" style="104" customWidth="1"/>
    <col min="3" max="3" width="7.85546875" style="104" customWidth="1"/>
    <col min="4" max="4" width="8.140625" style="104" customWidth="1"/>
    <col min="5" max="5" width="8.42578125" style="104" bestFit="1" customWidth="1"/>
    <col min="6" max="6" width="9" style="104" bestFit="1" customWidth="1"/>
    <col min="7" max="7" width="13.42578125" style="104" bestFit="1" customWidth="1"/>
    <col min="8" max="15" width="10.140625" style="104" bestFit="1" customWidth="1"/>
    <col min="16" max="16" width="10.7109375" style="104" bestFit="1" customWidth="1"/>
    <col min="17" max="17" width="9.42578125" style="104" bestFit="1" customWidth="1"/>
    <col min="18" max="18" width="10.85546875" style="104" bestFit="1" customWidth="1"/>
    <col min="19" max="20" width="9.7109375" style="104" bestFit="1" customWidth="1"/>
    <col min="21" max="27" width="8" style="104" bestFit="1" customWidth="1"/>
    <col min="28" max="28" width="11.28515625" style="104" bestFit="1" customWidth="1"/>
    <col min="29" max="29" width="9.28515625" style="104" bestFit="1" customWidth="1"/>
    <col min="30" max="30" width="9" style="104" customWidth="1"/>
    <col min="31" max="31" width="10.7109375" style="104" customWidth="1"/>
    <col min="32" max="16384" width="9.140625" style="104"/>
  </cols>
  <sheetData>
    <row r="1" spans="2:31">
      <c r="B1" s="123" t="s">
        <v>241</v>
      </c>
      <c r="C1" s="124">
        <v>0.17</v>
      </c>
      <c r="F1" s="104" t="s">
        <v>252</v>
      </c>
      <c r="H1" s="126">
        <v>2004</v>
      </c>
      <c r="J1" s="104" t="s">
        <v>326</v>
      </c>
      <c r="L1" s="164">
        <v>0.05</v>
      </c>
      <c r="N1" s="104" t="s">
        <v>397</v>
      </c>
      <c r="P1" s="164">
        <v>0.05</v>
      </c>
    </row>
    <row r="2" spans="2:31">
      <c r="B2" s="153" t="s">
        <v>314</v>
      </c>
      <c r="C2" s="120"/>
      <c r="F2" s="104" t="s">
        <v>253</v>
      </c>
      <c r="H2" s="126">
        <v>2013</v>
      </c>
      <c r="J2" s="104" t="s">
        <v>327</v>
      </c>
      <c r="L2" s="164">
        <v>0.1</v>
      </c>
      <c r="S2" s="115" t="s">
        <v>11</v>
      </c>
      <c r="T2" s="115" t="s">
        <v>12</v>
      </c>
      <c r="U2" s="115" t="s">
        <v>13</v>
      </c>
      <c r="V2" s="115" t="s">
        <v>14</v>
      </c>
      <c r="W2" s="115" t="s">
        <v>15</v>
      </c>
      <c r="X2" s="115" t="s">
        <v>234</v>
      </c>
      <c r="Y2" s="115" t="s">
        <v>235</v>
      </c>
      <c r="Z2" s="115" t="s">
        <v>236</v>
      </c>
      <c r="AA2" s="115" t="s">
        <v>237</v>
      </c>
      <c r="AB2" s="115" t="s">
        <v>238</v>
      </c>
      <c r="AD2" s="197" t="s">
        <v>291</v>
      </c>
      <c r="AE2" s="198"/>
    </row>
    <row r="3" spans="2:31">
      <c r="B3" s="20"/>
      <c r="C3" s="114">
        <v>2000</v>
      </c>
      <c r="D3" s="114">
        <v>2001</v>
      </c>
      <c r="E3" s="114">
        <v>2002</v>
      </c>
      <c r="F3" s="114">
        <v>2003</v>
      </c>
      <c r="G3" s="114">
        <v>2004</v>
      </c>
      <c r="H3" s="114">
        <v>2005</v>
      </c>
      <c r="I3" s="114">
        <v>2006</v>
      </c>
      <c r="J3" s="114">
        <v>2007</v>
      </c>
      <c r="K3" s="114">
        <v>2008</v>
      </c>
      <c r="L3" s="114">
        <v>2009</v>
      </c>
      <c r="M3" s="114">
        <v>2010</v>
      </c>
      <c r="N3" s="114">
        <v>2011</v>
      </c>
      <c r="O3" s="114">
        <v>2012</v>
      </c>
      <c r="P3" s="114">
        <v>2013</v>
      </c>
      <c r="Q3" s="116" t="s">
        <v>1</v>
      </c>
      <c r="R3" s="116" t="s">
        <v>254</v>
      </c>
      <c r="S3" s="115">
        <v>2014</v>
      </c>
      <c r="T3" s="115">
        <v>2015</v>
      </c>
      <c r="U3" s="115">
        <v>2016</v>
      </c>
      <c r="V3" s="115">
        <v>2017</v>
      </c>
      <c r="W3" s="115">
        <v>2018</v>
      </c>
      <c r="X3" s="115">
        <v>2019</v>
      </c>
      <c r="Y3" s="115">
        <v>2020</v>
      </c>
      <c r="Z3" s="115">
        <v>2021</v>
      </c>
      <c r="AA3" s="115">
        <v>2022</v>
      </c>
      <c r="AB3" s="115">
        <v>2023</v>
      </c>
      <c r="AC3" s="136" t="s">
        <v>1</v>
      </c>
      <c r="AD3" s="199" t="s">
        <v>292</v>
      </c>
      <c r="AE3" s="200"/>
    </row>
    <row r="4" spans="2:31"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117"/>
      <c r="T4" s="117"/>
      <c r="U4" s="117"/>
      <c r="V4" s="117"/>
      <c r="W4" s="117"/>
      <c r="X4" s="117"/>
      <c r="Y4" s="117"/>
      <c r="Z4" s="117"/>
      <c r="AA4" s="117"/>
      <c r="AB4" s="117"/>
      <c r="AC4" s="137"/>
      <c r="AD4" s="20"/>
      <c r="AE4" s="20"/>
    </row>
    <row r="5" spans="2:31">
      <c r="B5" s="108" t="s">
        <v>242</v>
      </c>
      <c r="C5" s="20"/>
      <c r="D5" s="20"/>
      <c r="E5" s="146"/>
      <c r="F5" s="146"/>
      <c r="G5" s="146"/>
      <c r="H5" s="146"/>
      <c r="I5" s="146"/>
      <c r="J5" s="146"/>
      <c r="K5" s="146"/>
      <c r="L5" s="146"/>
      <c r="M5" s="146"/>
      <c r="N5" s="146"/>
      <c r="O5" s="146"/>
      <c r="P5" s="146"/>
      <c r="Q5" s="20"/>
      <c r="R5" s="20"/>
      <c r="S5" s="154"/>
      <c r="T5" s="154"/>
      <c r="U5" s="154"/>
      <c r="V5" s="154"/>
      <c r="W5" s="154"/>
      <c r="X5" s="154"/>
      <c r="Y5" s="154"/>
      <c r="Z5" s="154"/>
      <c r="AA5" s="154"/>
      <c r="AB5" s="154"/>
      <c r="AC5" s="137"/>
      <c r="AD5" s="20"/>
      <c r="AE5" s="154"/>
    </row>
    <row r="6" spans="2:31">
      <c r="B6" s="20" t="s">
        <v>16</v>
      </c>
      <c r="C6" s="141"/>
      <c r="D6" s="141"/>
      <c r="E6" s="147"/>
      <c r="F6" s="147"/>
      <c r="G6" s="147">
        <v>1563</v>
      </c>
      <c r="H6" s="147">
        <f>G6</f>
        <v>1563</v>
      </c>
      <c r="I6" s="147">
        <v>3595</v>
      </c>
      <c r="J6" s="147">
        <v>4554</v>
      </c>
      <c r="K6" s="147">
        <v>5366</v>
      </c>
      <c r="L6" s="147">
        <v>6162</v>
      </c>
      <c r="M6" s="147">
        <v>7019</v>
      </c>
      <c r="N6" s="147">
        <v>7757</v>
      </c>
      <c r="O6" s="147">
        <v>8488</v>
      </c>
      <c r="P6" s="188">
        <v>9495</v>
      </c>
      <c r="Q6" s="118">
        <f>((P6/G6)^(1/($H$2-$H$1) ))-1</f>
        <v>0.22196721636310945</v>
      </c>
      <c r="R6" s="31">
        <f>$L$2</f>
        <v>0.1</v>
      </c>
      <c r="S6" s="154">
        <f>P6*(1+$R6)</f>
        <v>10444.5</v>
      </c>
      <c r="T6" s="154">
        <f>S6*(1+$R6)</f>
        <v>11488.95</v>
      </c>
      <c r="U6" s="154">
        <f t="shared" ref="U6:AB6" si="0">T6*(1+$R6)</f>
        <v>12637.845000000001</v>
      </c>
      <c r="V6" s="154">
        <f t="shared" si="0"/>
        <v>13901.629500000003</v>
      </c>
      <c r="W6" s="154">
        <f t="shared" si="0"/>
        <v>15291.792450000004</v>
      </c>
      <c r="X6" s="154">
        <f t="shared" si="0"/>
        <v>16820.971695000007</v>
      </c>
      <c r="Y6" s="154">
        <f t="shared" si="0"/>
        <v>18503.068864500008</v>
      </c>
      <c r="Z6" s="154">
        <f t="shared" si="0"/>
        <v>20353.37575095001</v>
      </c>
      <c r="AA6" s="154">
        <f t="shared" si="0"/>
        <v>22388.713326045014</v>
      </c>
      <c r="AB6" s="154">
        <f t="shared" si="0"/>
        <v>24627.584658649517</v>
      </c>
      <c r="AC6" s="138">
        <f>((AB6/G6)^(1/($AB$3-$H$1) ))-1</f>
        <v>0.15617709184057627</v>
      </c>
      <c r="AD6" s="31">
        <f>$L$1</f>
        <v>0.05</v>
      </c>
      <c r="AE6" s="146">
        <f t="shared" ref="AE6:AE43" si="1">(AB6*(1+AD6))/($C$1-AD6)</f>
        <v>215491.36576318328</v>
      </c>
    </row>
    <row r="7" spans="2:31">
      <c r="B7" s="20" t="s">
        <v>240</v>
      </c>
      <c r="C7" s="141"/>
      <c r="D7" s="141"/>
      <c r="E7" s="147"/>
      <c r="F7" s="147"/>
      <c r="G7" s="147">
        <v>1742</v>
      </c>
      <c r="H7" s="147">
        <f>G7</f>
        <v>1742</v>
      </c>
      <c r="I7" s="147">
        <v>3900</v>
      </c>
      <c r="J7" s="147">
        <v>4859</v>
      </c>
      <c r="K7" s="147">
        <v>5671</v>
      </c>
      <c r="L7" s="147">
        <v>6467</v>
      </c>
      <c r="M7" s="147">
        <v>7326</v>
      </c>
      <c r="N7" s="147">
        <v>8064</v>
      </c>
      <c r="O7" s="147">
        <v>8797</v>
      </c>
      <c r="P7" s="188">
        <v>9515</v>
      </c>
      <c r="Q7" s="118">
        <f>((P7/G7)^(1/($H$2-$H$1) ))-1</f>
        <v>0.20761628294040912</v>
      </c>
      <c r="R7" s="31">
        <f>$L$2</f>
        <v>0.1</v>
      </c>
      <c r="S7" s="154">
        <f t="shared" ref="S7:S16" si="2">P7*(1+$R7)</f>
        <v>10466.5</v>
      </c>
      <c r="T7" s="154">
        <f t="shared" ref="T7:AB7" si="3">S7*(1+$R7)</f>
        <v>11513.150000000001</v>
      </c>
      <c r="U7" s="154">
        <f t="shared" si="3"/>
        <v>12664.465000000002</v>
      </c>
      <c r="V7" s="154">
        <f t="shared" si="3"/>
        <v>13930.911500000004</v>
      </c>
      <c r="W7" s="154">
        <f t="shared" si="3"/>
        <v>15324.002650000006</v>
      </c>
      <c r="X7" s="154">
        <f t="shared" si="3"/>
        <v>16856.402915000006</v>
      </c>
      <c r="Y7" s="154">
        <f t="shared" si="3"/>
        <v>18542.04320650001</v>
      </c>
      <c r="Z7" s="154">
        <f t="shared" si="3"/>
        <v>20396.247527150012</v>
      </c>
      <c r="AA7" s="154">
        <f t="shared" si="3"/>
        <v>22435.872279865016</v>
      </c>
      <c r="AB7" s="154">
        <f t="shared" si="3"/>
        <v>24679.459507851519</v>
      </c>
      <c r="AC7" s="138">
        <f>((AB7/G7)^(1/($AB$3-$H$1) ))-1</f>
        <v>0.14972527453151896</v>
      </c>
      <c r="AD7" s="31">
        <f>$L$1</f>
        <v>0.05</v>
      </c>
      <c r="AE7" s="146">
        <f t="shared" si="1"/>
        <v>215945.27069370079</v>
      </c>
    </row>
    <row r="8" spans="2:31">
      <c r="B8" s="20"/>
      <c r="C8" s="141"/>
      <c r="D8" s="141"/>
      <c r="E8" s="147"/>
      <c r="F8" s="147"/>
      <c r="G8" s="148">
        <f>(G7-F7)/G7</f>
        <v>1</v>
      </c>
      <c r="H8" s="151">
        <f>(H7-G7)/H7</f>
        <v>0</v>
      </c>
      <c r="I8" s="151">
        <f t="shared" ref="I8:P8" si="4">(I7-H7)/I7</f>
        <v>0.55333333333333334</v>
      </c>
      <c r="J8" s="151">
        <f t="shared" si="4"/>
        <v>0.19736571310969336</v>
      </c>
      <c r="K8" s="151">
        <f t="shared" si="4"/>
        <v>0.14318462352318814</v>
      </c>
      <c r="L8" s="151">
        <f t="shared" si="4"/>
        <v>0.12308643884335858</v>
      </c>
      <c r="M8" s="151">
        <f t="shared" si="4"/>
        <v>0.11725361725361726</v>
      </c>
      <c r="N8" s="151">
        <f t="shared" si="4"/>
        <v>9.1517857142857137E-2</v>
      </c>
      <c r="O8" s="151">
        <f t="shared" si="4"/>
        <v>8.3323860406956912E-2</v>
      </c>
      <c r="P8" s="189">
        <f t="shared" si="4"/>
        <v>7.5459800315291647E-2</v>
      </c>
      <c r="Q8" s="128"/>
      <c r="R8" s="20"/>
      <c r="S8" s="154"/>
      <c r="T8" s="154"/>
      <c r="U8" s="154"/>
      <c r="V8" s="154"/>
      <c r="W8" s="154"/>
      <c r="X8" s="154"/>
      <c r="Y8" s="154"/>
      <c r="Z8" s="154"/>
      <c r="AA8" s="154"/>
      <c r="AB8" s="154"/>
      <c r="AC8" s="137"/>
      <c r="AD8" s="137"/>
      <c r="AE8" s="146"/>
    </row>
    <row r="9" spans="2:31">
      <c r="B9" s="20" t="s">
        <v>269</v>
      </c>
      <c r="C9" s="141"/>
      <c r="D9" s="141"/>
      <c r="E9" s="147"/>
      <c r="F9" s="147"/>
      <c r="G9" s="147">
        <v>774</v>
      </c>
      <c r="H9" s="147">
        <f>G9</f>
        <v>774</v>
      </c>
      <c r="I9" s="147">
        <v>919</v>
      </c>
      <c r="J9" s="147">
        <v>1056</v>
      </c>
      <c r="K9" s="147">
        <v>144</v>
      </c>
      <c r="L9" s="147">
        <v>1584</v>
      </c>
      <c r="M9" s="147">
        <v>1896</v>
      </c>
      <c r="N9" s="147">
        <v>2259</v>
      </c>
      <c r="O9" s="147">
        <v>2166</v>
      </c>
      <c r="P9" s="188">
        <v>2348</v>
      </c>
      <c r="Q9" s="118">
        <f t="shared" ref="Q9:Q16" si="5">((P9/G9)^(1/($H$2-$H$1) ))-1</f>
        <v>0.13122968331835683</v>
      </c>
      <c r="R9" s="31">
        <f t="shared" ref="R9:R40" si="6">$L$2</f>
        <v>0.1</v>
      </c>
      <c r="S9" s="154">
        <f t="shared" ref="S9" si="7">P9*(1+$R9)</f>
        <v>2582.8000000000002</v>
      </c>
      <c r="T9" s="154">
        <f t="shared" ref="T9" si="8">S9*(1+$R9)</f>
        <v>2841.0800000000004</v>
      </c>
      <c r="U9" s="154">
        <f t="shared" ref="U9" si="9">T9*(1+$R9)</f>
        <v>3125.1880000000006</v>
      </c>
      <c r="V9" s="154">
        <f t="shared" ref="V9" si="10">U9*(1+$R9)</f>
        <v>3437.7068000000008</v>
      </c>
      <c r="W9" s="154">
        <f t="shared" ref="W9" si="11">V9*(1+$R9)</f>
        <v>3781.4774800000014</v>
      </c>
      <c r="X9" s="154">
        <f t="shared" ref="X9" si="12">W9*(1+$R9)</f>
        <v>4159.6252280000017</v>
      </c>
      <c r="Y9" s="154">
        <f t="shared" ref="Y9" si="13">X9*(1+$R9)</f>
        <v>4575.5877508000021</v>
      </c>
      <c r="Z9" s="154">
        <f t="shared" ref="Z9" si="14">Y9*(1+$R9)</f>
        <v>5033.1465258800026</v>
      </c>
      <c r="AA9" s="154">
        <f t="shared" ref="AA9" si="15">Z9*(1+$R9)</f>
        <v>5536.4611784680037</v>
      </c>
      <c r="AB9" s="154">
        <f t="shared" ref="AB9" si="16">AA9*(1+$R9)</f>
        <v>6090.1072963148044</v>
      </c>
      <c r="AC9" s="138">
        <f>((AB9/G9)^(1/($AB$3-$H$1) ))-1</f>
        <v>0.11468405447992724</v>
      </c>
      <c r="AD9" s="31">
        <f t="shared" ref="AD9:AD79" si="17">$L$1</f>
        <v>0.05</v>
      </c>
      <c r="AE9" s="146">
        <f t="shared" si="1"/>
        <v>53288.438842754542</v>
      </c>
    </row>
    <row r="10" spans="2:31">
      <c r="B10" s="20" t="s">
        <v>4</v>
      </c>
      <c r="C10" s="141"/>
      <c r="D10" s="141"/>
      <c r="E10" s="147"/>
      <c r="F10" s="147"/>
      <c r="G10" s="147">
        <v>1440</v>
      </c>
      <c r="H10" s="147">
        <f>G10</f>
        <v>1440</v>
      </c>
      <c r="I10" s="147">
        <v>865</v>
      </c>
      <c r="J10" s="147">
        <v>338</v>
      </c>
      <c r="K10" s="147">
        <v>287</v>
      </c>
      <c r="L10" s="147">
        <v>166</v>
      </c>
      <c r="M10" s="147">
        <v>65</v>
      </c>
      <c r="N10" s="147">
        <v>58</v>
      </c>
      <c r="O10" s="147">
        <v>49</v>
      </c>
      <c r="P10" s="188">
        <v>29</v>
      </c>
      <c r="Q10" s="118">
        <f t="shared" si="5"/>
        <v>-0.35202313454888789</v>
      </c>
      <c r="R10" s="31">
        <f t="shared" si="6"/>
        <v>0.1</v>
      </c>
      <c r="S10" s="154">
        <f t="shared" si="2"/>
        <v>31.900000000000002</v>
      </c>
      <c r="T10" s="154">
        <f t="shared" ref="T10:AB10" si="18">S10*(1+$R10)</f>
        <v>35.090000000000003</v>
      </c>
      <c r="U10" s="154">
        <f t="shared" si="18"/>
        <v>38.599000000000004</v>
      </c>
      <c r="V10" s="154">
        <f t="shared" si="18"/>
        <v>42.458900000000007</v>
      </c>
      <c r="W10" s="154">
        <f t="shared" si="18"/>
        <v>46.70479000000001</v>
      </c>
      <c r="X10" s="154">
        <f t="shared" si="18"/>
        <v>51.375269000000017</v>
      </c>
      <c r="Y10" s="154">
        <f t="shared" si="18"/>
        <v>56.512795900000022</v>
      </c>
      <c r="Z10" s="154">
        <f t="shared" si="18"/>
        <v>62.16407549000003</v>
      </c>
      <c r="AA10" s="154">
        <f t="shared" si="18"/>
        <v>68.38048303900004</v>
      </c>
      <c r="AB10" s="154">
        <f t="shared" si="18"/>
        <v>75.21853134290005</v>
      </c>
      <c r="AC10" s="138">
        <f t="shared" ref="AC10:AC42" si="19">((AB10/G10)^(1/($AB$3-$H$1) ))-1</f>
        <v>-0.14390032023090726</v>
      </c>
      <c r="AD10" s="31">
        <f t="shared" si="17"/>
        <v>0.05</v>
      </c>
      <c r="AE10" s="146">
        <f t="shared" si="1"/>
        <v>658.16214925037536</v>
      </c>
    </row>
    <row r="11" spans="2:31">
      <c r="B11" s="20"/>
      <c r="C11" s="141"/>
      <c r="D11" s="141"/>
      <c r="E11" s="147"/>
      <c r="F11" s="147"/>
      <c r="G11" s="148">
        <f>(G10-F10)/G10</f>
        <v>1</v>
      </c>
      <c r="H11" s="148">
        <f t="shared" ref="H11:P11" si="20">(H10-G10)/H10</f>
        <v>0</v>
      </c>
      <c r="I11" s="148">
        <f t="shared" si="20"/>
        <v>-0.66473988439306353</v>
      </c>
      <c r="J11" s="148">
        <f t="shared" si="20"/>
        <v>-1.5591715976331362</v>
      </c>
      <c r="K11" s="148">
        <f t="shared" si="20"/>
        <v>-0.17770034843205576</v>
      </c>
      <c r="L11" s="148">
        <f t="shared" si="20"/>
        <v>-0.72891566265060237</v>
      </c>
      <c r="M11" s="148">
        <f t="shared" si="20"/>
        <v>-1.5538461538461539</v>
      </c>
      <c r="N11" s="148">
        <f t="shared" si="20"/>
        <v>-0.1206896551724138</v>
      </c>
      <c r="O11" s="148">
        <f t="shared" si="20"/>
        <v>-0.18367346938775511</v>
      </c>
      <c r="P11" s="190">
        <f t="shared" si="20"/>
        <v>-0.68965517241379315</v>
      </c>
      <c r="Q11" s="128"/>
      <c r="R11" s="20"/>
      <c r="S11" s="154"/>
      <c r="T11" s="154"/>
      <c r="U11" s="154"/>
      <c r="V11" s="154"/>
      <c r="W11" s="154"/>
      <c r="X11" s="154"/>
      <c r="Y11" s="154"/>
      <c r="Z11" s="154"/>
      <c r="AA11" s="154"/>
      <c r="AB11" s="154"/>
      <c r="AC11" s="119"/>
      <c r="AD11" s="31">
        <f t="shared" si="17"/>
        <v>0.05</v>
      </c>
      <c r="AE11" s="154"/>
    </row>
    <row r="12" spans="2:31">
      <c r="B12" s="20" t="s">
        <v>2</v>
      </c>
      <c r="C12" s="141"/>
      <c r="D12" s="141"/>
      <c r="E12" s="147"/>
      <c r="F12" s="147"/>
      <c r="G12" s="147">
        <v>134</v>
      </c>
      <c r="H12" s="147">
        <f>G12</f>
        <v>134</v>
      </c>
      <c r="I12" s="147">
        <f>205+174</f>
        <v>379</v>
      </c>
      <c r="J12" s="147">
        <f>536+116</f>
        <v>652</v>
      </c>
      <c r="K12" s="147">
        <f>124+728</f>
        <v>852</v>
      </c>
      <c r="L12" s="147">
        <f>117+764</f>
        <v>881</v>
      </c>
      <c r="M12" s="147">
        <f>198+1549</f>
        <v>1747</v>
      </c>
      <c r="N12" s="147">
        <f>2073</f>
        <v>2073</v>
      </c>
      <c r="O12" s="147">
        <v>2260</v>
      </c>
      <c r="P12" s="188">
        <v>2341</v>
      </c>
      <c r="Q12" s="118">
        <f t="shared" si="5"/>
        <v>0.37414625074605201</v>
      </c>
      <c r="R12" s="31">
        <f t="shared" si="6"/>
        <v>0.1</v>
      </c>
      <c r="S12" s="154">
        <f t="shared" si="2"/>
        <v>2575.1000000000004</v>
      </c>
      <c r="T12" s="154">
        <f t="shared" ref="T12:AB12" si="21">S12*(1+$R12)</f>
        <v>2832.6100000000006</v>
      </c>
      <c r="U12" s="154">
        <f t="shared" si="21"/>
        <v>3115.871000000001</v>
      </c>
      <c r="V12" s="154">
        <f t="shared" si="21"/>
        <v>3427.4581000000012</v>
      </c>
      <c r="W12" s="154">
        <f t="shared" si="21"/>
        <v>3770.2039100000015</v>
      </c>
      <c r="X12" s="154">
        <f t="shared" si="21"/>
        <v>4147.224301000002</v>
      </c>
      <c r="Y12" s="154">
        <f t="shared" si="21"/>
        <v>4561.9467311000026</v>
      </c>
      <c r="Z12" s="154">
        <f t="shared" si="21"/>
        <v>5018.1414042100032</v>
      </c>
      <c r="AA12" s="154">
        <f t="shared" si="21"/>
        <v>5519.9555446310042</v>
      </c>
      <c r="AB12" s="154">
        <f t="shared" si="21"/>
        <v>6071.9510990941053</v>
      </c>
      <c r="AC12" s="138">
        <f t="shared" si="19"/>
        <v>0.22227704666715553</v>
      </c>
      <c r="AD12" s="31">
        <f t="shared" si="17"/>
        <v>0.05</v>
      </c>
      <c r="AE12" s="146">
        <f t="shared" si="1"/>
        <v>53129.572117073418</v>
      </c>
    </row>
    <row r="13" spans="2:31">
      <c r="B13" s="20" t="s">
        <v>218</v>
      </c>
      <c r="C13" s="141"/>
      <c r="D13" s="141"/>
      <c r="E13" s="147"/>
      <c r="F13" s="147"/>
      <c r="G13" s="147">
        <v>1085</v>
      </c>
      <c r="H13" s="147">
        <f t="shared" ref="H13:H18" si="22">G13</f>
        <v>1085</v>
      </c>
      <c r="I13" s="147">
        <v>1530</v>
      </c>
      <c r="J13" s="147">
        <v>1480</v>
      </c>
      <c r="K13" s="147">
        <v>327</v>
      </c>
      <c r="L13" s="147">
        <v>722</v>
      </c>
      <c r="M13" s="147">
        <v>621</v>
      </c>
      <c r="N13" s="147">
        <v>806</v>
      </c>
      <c r="O13" s="147">
        <v>1580</v>
      </c>
      <c r="P13" s="188">
        <v>1788</v>
      </c>
      <c r="Q13" s="118">
        <f t="shared" si="5"/>
        <v>5.7071094774026054E-2</v>
      </c>
      <c r="R13" s="31">
        <f t="shared" si="6"/>
        <v>0.1</v>
      </c>
      <c r="S13" s="154">
        <f t="shared" si="2"/>
        <v>1966.8000000000002</v>
      </c>
      <c r="T13" s="154">
        <f t="shared" ref="T13:AB13" si="23">S13*(1+$R13)</f>
        <v>2163.4800000000005</v>
      </c>
      <c r="U13" s="154">
        <f t="shared" si="23"/>
        <v>2379.8280000000009</v>
      </c>
      <c r="V13" s="154">
        <f t="shared" si="23"/>
        <v>2617.8108000000011</v>
      </c>
      <c r="W13" s="154">
        <f t="shared" si="23"/>
        <v>2879.5918800000013</v>
      </c>
      <c r="X13" s="154">
        <f t="shared" si="23"/>
        <v>3167.5510680000016</v>
      </c>
      <c r="Y13" s="154">
        <f t="shared" si="23"/>
        <v>3484.3061748000018</v>
      </c>
      <c r="Z13" s="154">
        <f t="shared" si="23"/>
        <v>3832.7367922800022</v>
      </c>
      <c r="AA13" s="154">
        <f t="shared" si="23"/>
        <v>4216.0104715080024</v>
      </c>
      <c r="AB13" s="154">
        <f t="shared" si="23"/>
        <v>4637.6115186588031</v>
      </c>
      <c r="AC13" s="138">
        <f t="shared" si="19"/>
        <v>7.9452164399175684E-2</v>
      </c>
      <c r="AD13" s="31">
        <f t="shared" si="17"/>
        <v>0.05</v>
      </c>
      <c r="AE13" s="146">
        <f t="shared" si="1"/>
        <v>40579.100788264528</v>
      </c>
    </row>
    <row r="14" spans="2:31">
      <c r="B14" s="20" t="s">
        <v>372</v>
      </c>
      <c r="C14" s="141"/>
      <c r="D14" s="141"/>
      <c r="E14" s="147"/>
      <c r="F14" s="147"/>
      <c r="G14" s="147">
        <v>385</v>
      </c>
      <c r="H14" s="147">
        <f t="shared" si="22"/>
        <v>385</v>
      </c>
      <c r="I14" s="147">
        <v>416</v>
      </c>
      <c r="J14" s="147">
        <v>586</v>
      </c>
      <c r="K14" s="147">
        <v>939</v>
      </c>
      <c r="L14" s="147">
        <v>683</v>
      </c>
      <c r="M14" s="147">
        <v>902</v>
      </c>
      <c r="N14" s="147">
        <v>927</v>
      </c>
      <c r="O14" s="147">
        <v>987</v>
      </c>
      <c r="P14" s="188">
        <v>934</v>
      </c>
      <c r="Q14" s="118">
        <f t="shared" ref="Q14" si="24">((P14/G14)^(1/($H$2-$H$1) ))-1</f>
        <v>0.10348168003011415</v>
      </c>
      <c r="R14" s="31">
        <f t="shared" si="6"/>
        <v>0.1</v>
      </c>
      <c r="S14" s="154">
        <f t="shared" ref="S14" si="25">P14*(1+$R14)</f>
        <v>1027.4000000000001</v>
      </c>
      <c r="T14" s="154">
        <f t="shared" ref="T14" si="26">S14*(1+$R14)</f>
        <v>1130.1400000000001</v>
      </c>
      <c r="U14" s="154">
        <f t="shared" ref="U14" si="27">T14*(1+$R14)</f>
        <v>1243.1540000000002</v>
      </c>
      <c r="V14" s="154">
        <f t="shared" ref="V14" si="28">U14*(1+$R14)</f>
        <v>1367.4694000000004</v>
      </c>
      <c r="W14" s="154">
        <f t="shared" ref="W14" si="29">V14*(1+$R14)</f>
        <v>1504.2163400000006</v>
      </c>
      <c r="X14" s="154">
        <f t="shared" ref="X14" si="30">W14*(1+$R14)</f>
        <v>1654.6379740000009</v>
      </c>
      <c r="Y14" s="154">
        <f t="shared" ref="Y14" si="31">X14*(1+$R14)</f>
        <v>1820.1017714000011</v>
      </c>
      <c r="Z14" s="154">
        <f t="shared" ref="Z14" si="32">Y14*(1+$R14)</f>
        <v>2002.1119485400013</v>
      </c>
      <c r="AA14" s="154">
        <f t="shared" ref="AA14" si="33">Z14*(1+$R14)</f>
        <v>2202.3231433940018</v>
      </c>
      <c r="AB14" s="154">
        <f t="shared" ref="AB14" si="34">AA14*(1+$R14)</f>
        <v>2422.5554577334024</v>
      </c>
      <c r="AC14" s="138">
        <f t="shared" ref="AC14" si="35">((AB14/G14)^(1/($AB$3-$H$1) ))-1</f>
        <v>0.10164784536901217</v>
      </c>
      <c r="AD14" s="31">
        <f t="shared" si="17"/>
        <v>0.05</v>
      </c>
      <c r="AE14" s="146">
        <f t="shared" ref="AE14" si="36">(AB14*(1+AD14))/($C$1-AD14)</f>
        <v>21197.36025516727</v>
      </c>
    </row>
    <row r="15" spans="2:31">
      <c r="B15" s="20" t="s">
        <v>19</v>
      </c>
      <c r="C15" s="141"/>
      <c r="D15" s="141"/>
      <c r="E15" s="147"/>
      <c r="F15" s="147"/>
      <c r="G15" s="147">
        <v>588</v>
      </c>
      <c r="H15" s="147">
        <f t="shared" si="22"/>
        <v>588</v>
      </c>
      <c r="I15" s="147">
        <v>672</v>
      </c>
      <c r="J15" s="147">
        <v>837</v>
      </c>
      <c r="K15" s="147">
        <v>1288</v>
      </c>
      <c r="L15" s="147">
        <v>952</v>
      </c>
      <c r="M15" s="147">
        <v>1228</v>
      </c>
      <c r="N15" s="147">
        <v>3248</v>
      </c>
      <c r="O15" s="147">
        <v>3467</v>
      </c>
      <c r="P15" s="188">
        <v>3506</v>
      </c>
      <c r="Q15" s="118">
        <f t="shared" si="5"/>
        <v>0.21943708484267255</v>
      </c>
      <c r="R15" s="31">
        <f t="shared" si="6"/>
        <v>0.1</v>
      </c>
      <c r="S15" s="154">
        <f t="shared" si="2"/>
        <v>3856.6000000000004</v>
      </c>
      <c r="T15" s="154">
        <f t="shared" ref="T15:AB15" si="37">S15*(1+$R15)</f>
        <v>4242.2600000000011</v>
      </c>
      <c r="U15" s="154">
        <f t="shared" si="37"/>
        <v>4666.4860000000017</v>
      </c>
      <c r="V15" s="154">
        <f t="shared" si="37"/>
        <v>5133.1346000000021</v>
      </c>
      <c r="W15" s="154">
        <f t="shared" si="37"/>
        <v>5646.4480600000024</v>
      </c>
      <c r="X15" s="154">
        <f t="shared" si="37"/>
        <v>6211.0928660000036</v>
      </c>
      <c r="Y15" s="154">
        <f t="shared" si="37"/>
        <v>6832.2021526000044</v>
      </c>
      <c r="Z15" s="154">
        <f t="shared" si="37"/>
        <v>7515.4223678600056</v>
      </c>
      <c r="AA15" s="154">
        <f t="shared" si="37"/>
        <v>8266.9646046460075</v>
      </c>
      <c r="AB15" s="154">
        <f t="shared" si="37"/>
        <v>9093.6610651106093</v>
      </c>
      <c r="AC15" s="138">
        <f t="shared" si="19"/>
        <v>0.15504251573215511</v>
      </c>
      <c r="AD15" s="31">
        <f t="shared" si="17"/>
        <v>0.05</v>
      </c>
      <c r="AE15" s="146">
        <f t="shared" si="1"/>
        <v>79569.53431971783</v>
      </c>
    </row>
    <row r="16" spans="2:31">
      <c r="B16" s="20" t="s">
        <v>23</v>
      </c>
      <c r="C16" s="141"/>
      <c r="D16" s="141"/>
      <c r="E16" s="147"/>
      <c r="F16" s="147"/>
      <c r="G16" s="147">
        <v>-119</v>
      </c>
      <c r="H16" s="147">
        <f t="shared" si="22"/>
        <v>-119</v>
      </c>
      <c r="I16" s="147">
        <v>90</v>
      </c>
      <c r="J16" s="147">
        <v>37</v>
      </c>
      <c r="K16" s="147">
        <v>483</v>
      </c>
      <c r="L16" s="147">
        <v>-250</v>
      </c>
      <c r="M16" s="147">
        <v>207</v>
      </c>
      <c r="N16" s="147">
        <v>566</v>
      </c>
      <c r="O16" s="147">
        <v>792</v>
      </c>
      <c r="P16" s="188">
        <v>969</v>
      </c>
      <c r="Q16" s="118">
        <f t="shared" si="5"/>
        <v>-2.2624012734528116</v>
      </c>
      <c r="R16" s="31">
        <f t="shared" si="6"/>
        <v>0.1</v>
      </c>
      <c r="S16" s="154">
        <f t="shared" si="2"/>
        <v>1065.9000000000001</v>
      </c>
      <c r="T16" s="154">
        <f t="shared" ref="T16:AB16" si="38">S16*(1+$R16)</f>
        <v>1172.4900000000002</v>
      </c>
      <c r="U16" s="154">
        <f t="shared" si="38"/>
        <v>1289.7390000000003</v>
      </c>
      <c r="V16" s="154">
        <f t="shared" si="38"/>
        <v>1418.7129000000004</v>
      </c>
      <c r="W16" s="154">
        <f t="shared" si="38"/>
        <v>1560.5841900000007</v>
      </c>
      <c r="X16" s="154">
        <f t="shared" si="38"/>
        <v>1716.6426090000009</v>
      </c>
      <c r="Y16" s="154">
        <f t="shared" si="38"/>
        <v>1888.3068699000012</v>
      </c>
      <c r="Z16" s="154">
        <f t="shared" si="38"/>
        <v>2077.1375568900016</v>
      </c>
      <c r="AA16" s="154">
        <f t="shared" si="38"/>
        <v>2284.8513125790018</v>
      </c>
      <c r="AB16" s="154">
        <f t="shared" si="38"/>
        <v>2513.3364438369022</v>
      </c>
      <c r="AC16" s="138">
        <f t="shared" si="19"/>
        <v>-2.1741436823006239</v>
      </c>
      <c r="AD16" s="31">
        <f t="shared" si="17"/>
        <v>0.05</v>
      </c>
      <c r="AE16" s="146">
        <f t="shared" si="1"/>
        <v>21991.693883572894</v>
      </c>
    </row>
    <row r="17" spans="2:31">
      <c r="B17" s="20"/>
      <c r="C17" s="141"/>
      <c r="D17" s="141"/>
      <c r="E17" s="147"/>
      <c r="F17" s="147"/>
      <c r="G17" s="147"/>
      <c r="H17" s="147"/>
      <c r="I17" s="147"/>
      <c r="J17" s="147"/>
      <c r="K17" s="147"/>
      <c r="L17" s="147"/>
      <c r="M17" s="147"/>
      <c r="N17" s="147"/>
      <c r="O17" s="147"/>
      <c r="P17" s="188"/>
      <c r="Q17" s="128"/>
      <c r="R17" s="20"/>
      <c r="S17" s="154"/>
      <c r="T17" s="154"/>
      <c r="U17" s="154"/>
      <c r="V17" s="154"/>
      <c r="W17" s="154"/>
      <c r="X17" s="154"/>
      <c r="Y17" s="154"/>
      <c r="Z17" s="154"/>
      <c r="AA17" s="154"/>
      <c r="AB17" s="154"/>
      <c r="AC17" s="139"/>
      <c r="AD17" s="137"/>
      <c r="AE17" s="154"/>
    </row>
    <row r="18" spans="2:31">
      <c r="B18" s="20" t="s">
        <v>277</v>
      </c>
      <c r="C18" s="141"/>
      <c r="D18" s="141"/>
      <c r="E18" s="147"/>
      <c r="F18" s="147"/>
      <c r="G18" s="147">
        <v>2692</v>
      </c>
      <c r="H18" s="147">
        <f t="shared" si="22"/>
        <v>2692</v>
      </c>
      <c r="I18" s="147">
        <v>2504</v>
      </c>
      <c r="J18" s="147">
        <v>2977</v>
      </c>
      <c r="K18" s="147">
        <v>3197</v>
      </c>
      <c r="L18" s="147">
        <v>3444</v>
      </c>
      <c r="M18" s="147">
        <v>5631</v>
      </c>
      <c r="N18" s="147">
        <v>6265</v>
      </c>
      <c r="O18" s="147">
        <v>5950</v>
      </c>
      <c r="P18" s="188">
        <v>6062</v>
      </c>
      <c r="Q18" s="118">
        <f>((P18/G18)^(1/($H$2-$H$1) ))-1</f>
        <v>9.4387713103712523E-2</v>
      </c>
      <c r="R18" s="31">
        <f t="shared" si="6"/>
        <v>0.1</v>
      </c>
      <c r="S18" s="154">
        <f t="shared" ref="S18:S34" si="39">P18*(1+$R18)</f>
        <v>6668.2000000000007</v>
      </c>
      <c r="T18" s="154">
        <f t="shared" ref="T18:T34" si="40">S18*(1+$R18)</f>
        <v>7335.0200000000013</v>
      </c>
      <c r="U18" s="154">
        <f t="shared" ref="U18:U34" si="41">T18*(1+$R18)</f>
        <v>8068.5220000000018</v>
      </c>
      <c r="V18" s="154">
        <f t="shared" ref="V18:V34" si="42">U18*(1+$R18)</f>
        <v>8875.374200000002</v>
      </c>
      <c r="W18" s="154">
        <f t="shared" ref="W18:W36" si="43">V18*(1+$R18)</f>
        <v>9762.9116200000026</v>
      </c>
      <c r="X18" s="154">
        <f t="shared" ref="X18:X36" si="44">W18*(1+$R18)</f>
        <v>10739.202782000004</v>
      </c>
      <c r="Y18" s="154">
        <f t="shared" ref="Y18:Y36" si="45">X18*(1+$R18)</f>
        <v>11813.123060200005</v>
      </c>
      <c r="Z18" s="154">
        <f t="shared" ref="Z18:Z36" si="46">Y18*(1+$R18)</f>
        <v>12994.435366220006</v>
      </c>
      <c r="AA18" s="154">
        <f t="shared" ref="AA18:AA36" si="47">Z18*(1+$R18)</f>
        <v>14293.878902842009</v>
      </c>
      <c r="AB18" s="154">
        <f t="shared" ref="AB18:AB36" si="48">AA18*(1+$R18)</f>
        <v>15723.266793126211</v>
      </c>
      <c r="AC18" s="138">
        <f t="shared" si="19"/>
        <v>9.7337969640500122E-2</v>
      </c>
      <c r="AD18" s="31">
        <f t="shared" si="17"/>
        <v>0.05</v>
      </c>
      <c r="AE18" s="146">
        <f t="shared" si="1"/>
        <v>137578.58443985434</v>
      </c>
    </row>
    <row r="19" spans="2:31">
      <c r="B19" s="20"/>
      <c r="C19" s="141"/>
      <c r="D19" s="141"/>
      <c r="E19" s="147"/>
      <c r="F19" s="147"/>
      <c r="G19" s="147"/>
      <c r="H19" s="147"/>
      <c r="I19" s="147"/>
      <c r="J19" s="147"/>
      <c r="K19" s="147"/>
      <c r="L19" s="147"/>
      <c r="M19" s="147"/>
      <c r="N19" s="147"/>
      <c r="O19" s="147"/>
      <c r="P19" s="147"/>
      <c r="Q19" s="128"/>
      <c r="R19" s="20"/>
      <c r="S19" s="154"/>
      <c r="T19" s="154"/>
      <c r="U19" s="154"/>
      <c r="V19" s="154"/>
      <c r="W19" s="154"/>
      <c r="X19" s="154"/>
      <c r="Y19" s="154"/>
      <c r="Z19" s="154"/>
      <c r="AA19" s="154"/>
      <c r="AB19" s="154"/>
      <c r="AC19" s="139"/>
      <c r="AD19" s="137"/>
      <c r="AE19" s="154"/>
    </row>
    <row r="20" spans="2:31">
      <c r="B20" s="20" t="s">
        <v>283</v>
      </c>
      <c r="C20" s="141"/>
      <c r="D20" s="141"/>
      <c r="E20" s="147"/>
      <c r="F20" s="147"/>
      <c r="G20" s="147">
        <v>474</v>
      </c>
      <c r="H20" s="147">
        <v>548</v>
      </c>
      <c r="I20" s="147">
        <v>1796</v>
      </c>
      <c r="J20" s="147">
        <v>1558</v>
      </c>
      <c r="K20" s="147">
        <v>966</v>
      </c>
      <c r="L20" s="147">
        <v>2129</v>
      </c>
      <c r="M20" s="147">
        <v>1874</v>
      </c>
      <c r="N20" s="147">
        <v>1533</v>
      </c>
      <c r="O20" s="147">
        <v>1857</v>
      </c>
      <c r="P20" s="147">
        <v>1200</v>
      </c>
      <c r="Q20" s="118">
        <f>((P20/G20)^(1/($H$2-$H$1) ))-1</f>
        <v>0.10872169302601198</v>
      </c>
      <c r="R20" s="31">
        <f t="shared" si="6"/>
        <v>0.1</v>
      </c>
      <c r="S20" s="154">
        <f t="shared" ref="S20:S22" si="49">P20*(1+$R20)</f>
        <v>1320</v>
      </c>
      <c r="T20" s="154">
        <f t="shared" ref="T20:T22" si="50">S20*(1+$R20)</f>
        <v>1452.0000000000002</v>
      </c>
      <c r="U20" s="154">
        <f t="shared" ref="U20:U22" si="51">T20*(1+$R20)</f>
        <v>1597.2000000000003</v>
      </c>
      <c r="V20" s="154">
        <f t="shared" ref="V20:V22" si="52">U20*(1+$R20)</f>
        <v>1756.9200000000005</v>
      </c>
      <c r="W20" s="154">
        <f t="shared" ref="W20:W22" si="53">V20*(1+$R20)</f>
        <v>1932.6120000000008</v>
      </c>
      <c r="X20" s="154">
        <f t="shared" ref="X20:X22" si="54">W20*(1+$R20)</f>
        <v>2125.8732000000009</v>
      </c>
      <c r="Y20" s="154">
        <f t="shared" ref="Y20:Y22" si="55">X20*(1+$R20)</f>
        <v>2338.460520000001</v>
      </c>
      <c r="Z20" s="154">
        <f t="shared" ref="Z20:Z22" si="56">Y20*(1+$R20)</f>
        <v>2572.3065720000013</v>
      </c>
      <c r="AA20" s="154">
        <f t="shared" ref="AA20:AA22" si="57">Z20*(1+$R20)</f>
        <v>2829.5372292000015</v>
      </c>
      <c r="AB20" s="154">
        <f t="shared" ref="AB20:AB22" si="58">AA20*(1+$R20)</f>
        <v>3112.490952120002</v>
      </c>
      <c r="AC20" s="138">
        <f t="shared" ref="AC20:AC22" si="59">((AB20/G20)^(1/($AB$3-$H$1) ))-1</f>
        <v>0.1041227427375393</v>
      </c>
      <c r="AD20" s="31">
        <f t="shared" si="17"/>
        <v>0.05</v>
      </c>
      <c r="AE20" s="146">
        <f t="shared" si="1"/>
        <v>27234.295831050018</v>
      </c>
    </row>
    <row r="21" spans="2:31">
      <c r="B21" s="20" t="s">
        <v>284</v>
      </c>
      <c r="C21" s="141"/>
      <c r="D21" s="141"/>
      <c r="E21" s="147"/>
      <c r="F21" s="147"/>
      <c r="G21" s="147">
        <v>-242</v>
      </c>
      <c r="H21" s="147">
        <v>-253</v>
      </c>
      <c r="I21" s="147">
        <v>-627</v>
      </c>
      <c r="J21" s="147">
        <v>-162</v>
      </c>
      <c r="K21" s="147">
        <v>-275</v>
      </c>
      <c r="L21" s="147">
        <v>-1196</v>
      </c>
      <c r="M21" s="147">
        <v>-527</v>
      </c>
      <c r="N21" s="147">
        <v>-448</v>
      </c>
      <c r="O21" s="147">
        <v>-392</v>
      </c>
      <c r="P21" s="147">
        <v>-473</v>
      </c>
      <c r="Q21" s="118">
        <f>((P21/G21)^(1/($H$2-$H$1) ))-1</f>
        <v>7.730436475839908E-2</v>
      </c>
      <c r="R21" s="31">
        <f t="shared" si="6"/>
        <v>0.1</v>
      </c>
      <c r="S21" s="154">
        <f t="shared" si="49"/>
        <v>-520.30000000000007</v>
      </c>
      <c r="T21" s="154">
        <f t="shared" si="50"/>
        <v>-572.33000000000015</v>
      </c>
      <c r="U21" s="154">
        <f t="shared" si="51"/>
        <v>-629.56300000000022</v>
      </c>
      <c r="V21" s="154">
        <f t="shared" si="52"/>
        <v>-692.51930000000027</v>
      </c>
      <c r="W21" s="154">
        <f t="shared" si="53"/>
        <v>-761.7712300000004</v>
      </c>
      <c r="X21" s="154">
        <f t="shared" si="54"/>
        <v>-837.94835300000045</v>
      </c>
      <c r="Y21" s="154">
        <f t="shared" si="55"/>
        <v>-921.74318830000061</v>
      </c>
      <c r="Z21" s="154">
        <f t="shared" si="56"/>
        <v>-1013.9175071300008</v>
      </c>
      <c r="AA21" s="154">
        <f t="shared" si="57"/>
        <v>-1115.309257843001</v>
      </c>
      <c r="AB21" s="154">
        <f t="shared" si="58"/>
        <v>-1226.8401836273013</v>
      </c>
      <c r="AC21" s="138">
        <f t="shared" si="59"/>
        <v>8.9190444080241571E-2</v>
      </c>
      <c r="AD21" s="31">
        <f t="shared" si="17"/>
        <v>0.05</v>
      </c>
      <c r="AE21" s="146">
        <f t="shared" si="1"/>
        <v>-10734.851606738885</v>
      </c>
    </row>
    <row r="22" spans="2:31">
      <c r="B22" s="20" t="s">
        <v>285</v>
      </c>
      <c r="C22" s="141"/>
      <c r="D22" s="141"/>
      <c r="E22" s="147"/>
      <c r="F22" s="147"/>
      <c r="G22" s="147">
        <v>-211</v>
      </c>
      <c r="H22" s="147">
        <v>-277</v>
      </c>
      <c r="I22" s="147">
        <v>-888</v>
      </c>
      <c r="J22" s="147">
        <v>-1124</v>
      </c>
      <c r="K22" s="147">
        <v>-482</v>
      </c>
      <c r="L22" s="147">
        <v>-467</v>
      </c>
      <c r="M22" s="147">
        <v>-473</v>
      </c>
      <c r="N22" s="147">
        <v>-475</v>
      </c>
      <c r="O22" s="147">
        <v>-504</v>
      </c>
      <c r="P22" s="147">
        <v>-625</v>
      </c>
      <c r="Q22" s="118">
        <f>((P22/G22)^(1/($H$2-$H$1) ))-1</f>
        <v>0.12823541793127946</v>
      </c>
      <c r="R22" s="31">
        <f t="shared" si="6"/>
        <v>0.1</v>
      </c>
      <c r="S22" s="154">
        <f t="shared" si="49"/>
        <v>-687.5</v>
      </c>
      <c r="T22" s="154">
        <f t="shared" si="50"/>
        <v>-756.25000000000011</v>
      </c>
      <c r="U22" s="154">
        <f t="shared" si="51"/>
        <v>-831.87500000000023</v>
      </c>
      <c r="V22" s="154">
        <f t="shared" si="52"/>
        <v>-915.06250000000034</v>
      </c>
      <c r="W22" s="154">
        <f t="shared" si="53"/>
        <v>-1006.5687500000005</v>
      </c>
      <c r="X22" s="154">
        <f t="shared" si="54"/>
        <v>-1107.2256250000007</v>
      </c>
      <c r="Y22" s="154">
        <f t="shared" si="55"/>
        <v>-1217.9481875000008</v>
      </c>
      <c r="Z22" s="154">
        <f t="shared" si="56"/>
        <v>-1339.7430062500009</v>
      </c>
      <c r="AA22" s="154">
        <f t="shared" si="57"/>
        <v>-1473.7173068750012</v>
      </c>
      <c r="AB22" s="154">
        <f t="shared" si="58"/>
        <v>-1621.0890375625015</v>
      </c>
      <c r="AC22" s="138">
        <f t="shared" si="59"/>
        <v>0.11328548834659768</v>
      </c>
      <c r="AD22" s="31">
        <f t="shared" si="17"/>
        <v>0.05</v>
      </c>
      <c r="AE22" s="146">
        <f t="shared" si="1"/>
        <v>-14184.529078671887</v>
      </c>
    </row>
    <row r="23" spans="2:31">
      <c r="B23" s="20" t="s">
        <v>295</v>
      </c>
      <c r="C23" s="141"/>
      <c r="D23" s="141"/>
      <c r="E23" s="147"/>
      <c r="F23" s="147"/>
      <c r="G23" s="147">
        <v>69</v>
      </c>
      <c r="H23" s="147">
        <v>86</v>
      </c>
      <c r="I23" s="147">
        <v>378</v>
      </c>
      <c r="J23" s="147">
        <v>651</v>
      </c>
      <c r="K23" s="147">
        <v>852</v>
      </c>
      <c r="L23" s="147">
        <v>1415</v>
      </c>
      <c r="M23" s="147">
        <v>2288</v>
      </c>
      <c r="N23" s="147">
        <v>2899</v>
      </c>
      <c r="O23" s="147">
        <v>3859</v>
      </c>
      <c r="P23" s="193">
        <v>400</v>
      </c>
      <c r="Q23" s="118">
        <f>((P23/G23)^(1/($H$2-$H$1) ))-1</f>
        <v>0.21562944542565843</v>
      </c>
      <c r="R23" s="31">
        <f t="shared" si="6"/>
        <v>0.1</v>
      </c>
      <c r="S23" s="154">
        <f t="shared" ref="S23" si="60">P23*(1+$R23)</f>
        <v>440.00000000000006</v>
      </c>
      <c r="T23" s="154">
        <f t="shared" ref="T23" si="61">S23*(1+$R23)</f>
        <v>484.00000000000011</v>
      </c>
      <c r="U23" s="154">
        <f t="shared" ref="U23" si="62">T23*(1+$R23)</f>
        <v>532.4000000000002</v>
      </c>
      <c r="V23" s="154">
        <f t="shared" ref="V23" si="63">U23*(1+$R23)</f>
        <v>585.64000000000033</v>
      </c>
      <c r="W23" s="154">
        <f t="shared" ref="W23" si="64">V23*(1+$R23)</f>
        <v>644.20400000000041</v>
      </c>
      <c r="X23" s="154">
        <f t="shared" ref="X23" si="65">W23*(1+$R23)</f>
        <v>708.62440000000049</v>
      </c>
      <c r="Y23" s="154">
        <f t="shared" ref="Y23" si="66">X23*(1+$R23)</f>
        <v>779.4868400000006</v>
      </c>
      <c r="Z23" s="154">
        <f t="shared" ref="Z23" si="67">Y23*(1+$R23)</f>
        <v>857.43552400000078</v>
      </c>
      <c r="AA23" s="154">
        <f t="shared" ref="AA23" si="68">Z23*(1+$R23)</f>
        <v>943.17907640000089</v>
      </c>
      <c r="AB23" s="154">
        <f t="shared" ref="AB23" si="69">AA23*(1+$R23)</f>
        <v>1037.4969840400011</v>
      </c>
      <c r="AC23" s="138">
        <f t="shared" ref="AC23" si="70">((AB23/G23)^(1/($AB$3-$H$1) ))-1</f>
        <v>0.1533327343847275</v>
      </c>
      <c r="AD23" s="31">
        <f t="shared" si="17"/>
        <v>0.05</v>
      </c>
      <c r="AE23" s="146">
        <f t="shared" si="1"/>
        <v>9078.098610350009</v>
      </c>
    </row>
    <row r="24" spans="2:31">
      <c r="B24" s="20"/>
      <c r="C24" s="141"/>
      <c r="D24" s="141"/>
      <c r="E24" s="147"/>
      <c r="F24" s="147"/>
      <c r="G24" s="147"/>
      <c r="H24" s="147"/>
      <c r="I24" s="147"/>
      <c r="J24" s="147"/>
      <c r="K24" s="147"/>
      <c r="L24" s="147"/>
      <c r="M24" s="147"/>
      <c r="N24" s="147"/>
      <c r="O24" s="147"/>
      <c r="P24" s="147">
        <v>3960</v>
      </c>
      <c r="Q24" s="128"/>
      <c r="R24" s="20"/>
      <c r="S24" s="154"/>
      <c r="T24" s="154"/>
      <c r="U24" s="154"/>
      <c r="V24" s="154"/>
      <c r="W24" s="154"/>
      <c r="X24" s="154"/>
      <c r="Y24" s="154"/>
      <c r="Z24" s="154"/>
      <c r="AA24" s="154"/>
      <c r="AB24" s="154"/>
      <c r="AC24" s="119"/>
      <c r="AD24" s="137"/>
      <c r="AE24" s="154"/>
    </row>
    <row r="25" spans="2:31">
      <c r="B25" s="20" t="s">
        <v>89</v>
      </c>
      <c r="C25" s="141"/>
      <c r="D25" s="141"/>
      <c r="E25" s="147"/>
      <c r="F25" s="147"/>
      <c r="G25" s="147">
        <v>2489</v>
      </c>
      <c r="H25" s="147">
        <f t="shared" ref="H25" si="71">G25</f>
        <v>2489</v>
      </c>
      <c r="I25" s="147">
        <v>6448</v>
      </c>
      <c r="J25" s="147">
        <v>6793</v>
      </c>
      <c r="K25" s="147">
        <v>6737</v>
      </c>
      <c r="L25" s="147">
        <v>7214</v>
      </c>
      <c r="M25" s="147">
        <v>7686</v>
      </c>
      <c r="N25" s="147">
        <v>8737</v>
      </c>
      <c r="O25" s="147">
        <v>10065</v>
      </c>
      <c r="P25" s="188">
        <v>9460</v>
      </c>
      <c r="Q25" s="118">
        <f>((P25/G25)^(1/($H$2-$H$1) ))-1</f>
        <v>0.15992412734721495</v>
      </c>
      <c r="R25" s="31">
        <f t="shared" si="6"/>
        <v>0.1</v>
      </c>
      <c r="S25" s="154">
        <f t="shared" si="39"/>
        <v>10406</v>
      </c>
      <c r="T25" s="154">
        <f t="shared" si="40"/>
        <v>11446.6</v>
      </c>
      <c r="U25" s="154">
        <f t="shared" si="41"/>
        <v>12591.260000000002</v>
      </c>
      <c r="V25" s="154">
        <f t="shared" si="42"/>
        <v>13850.386000000004</v>
      </c>
      <c r="W25" s="154">
        <f t="shared" si="43"/>
        <v>15235.424600000006</v>
      </c>
      <c r="X25" s="154">
        <f t="shared" si="44"/>
        <v>16758.967060000006</v>
      </c>
      <c r="Y25" s="154">
        <f t="shared" si="45"/>
        <v>18434.863766000009</v>
      </c>
      <c r="Z25" s="154">
        <f t="shared" si="46"/>
        <v>20278.350142600011</v>
      </c>
      <c r="AA25" s="154">
        <f t="shared" si="47"/>
        <v>22306.185156860014</v>
      </c>
      <c r="AB25" s="154">
        <f t="shared" si="48"/>
        <v>24536.803672546019</v>
      </c>
      <c r="AC25" s="138">
        <f t="shared" si="19"/>
        <v>0.12798909106264333</v>
      </c>
      <c r="AD25" s="31">
        <f t="shared" si="17"/>
        <v>0.05</v>
      </c>
      <c r="AE25" s="146">
        <f t="shared" si="1"/>
        <v>214697.03213477763</v>
      </c>
    </row>
    <row r="26" spans="2:31" s="123" customFormat="1">
      <c r="B26" s="23"/>
      <c r="C26" s="149"/>
      <c r="D26" s="149"/>
      <c r="E26" s="150"/>
      <c r="F26" s="150"/>
      <c r="G26" s="148">
        <f>(G25-F25)/G25</f>
        <v>1</v>
      </c>
      <c r="H26" s="148">
        <f>(H25-G25)/H25</f>
        <v>0</v>
      </c>
      <c r="I26" s="148">
        <f t="shared" ref="I26" si="72">(I25-H25)/I25</f>
        <v>0.61398883374689828</v>
      </c>
      <c r="J26" s="148">
        <f t="shared" ref="J26" si="73">(J25-I25)/J25</f>
        <v>5.0787575445311352E-2</v>
      </c>
      <c r="K26" s="148">
        <f t="shared" ref="K26" si="74">(K25-J25)/K25</f>
        <v>-8.312305180347335E-3</v>
      </c>
      <c r="L26" s="148">
        <f t="shared" ref="L26" si="75">(L25-K25)/L25</f>
        <v>6.6121430551705024E-2</v>
      </c>
      <c r="M26" s="148">
        <f t="shared" ref="M26" si="76">(M25-L25)/M25</f>
        <v>6.1410356492323709E-2</v>
      </c>
      <c r="N26" s="148">
        <f t="shared" ref="N26" si="77">(N25-M25)/N25</f>
        <v>0.12029300675289001</v>
      </c>
      <c r="O26" s="148">
        <f t="shared" ref="O26" si="78">(O25-N25)/O25</f>
        <v>0.1319423745653254</v>
      </c>
      <c r="P26" s="190">
        <f t="shared" ref="P26" si="79">(P25-O25)/P25</f>
        <v>-6.3953488372093026E-2</v>
      </c>
      <c r="Q26" s="128"/>
      <c r="R26" s="20"/>
      <c r="S26" s="155"/>
      <c r="T26" s="155"/>
      <c r="U26" s="155"/>
      <c r="V26" s="155"/>
      <c r="W26" s="155"/>
      <c r="X26" s="155"/>
      <c r="Y26" s="155"/>
      <c r="Z26" s="155"/>
      <c r="AA26" s="155"/>
      <c r="AB26" s="155"/>
      <c r="AC26" s="119"/>
      <c r="AD26" s="137"/>
      <c r="AE26" s="154"/>
    </row>
    <row r="27" spans="2:31">
      <c r="B27" s="20" t="s">
        <v>261</v>
      </c>
      <c r="C27" s="141"/>
      <c r="D27" s="141"/>
      <c r="E27" s="147"/>
      <c r="F27" s="147"/>
      <c r="G27" s="147">
        <v>1779</v>
      </c>
      <c r="H27" s="147">
        <f t="shared" ref="H27" si="80">G27</f>
        <v>1779</v>
      </c>
      <c r="I27" s="147">
        <v>4190</v>
      </c>
      <c r="J27" s="147">
        <v>2775</v>
      </c>
      <c r="K27" s="147">
        <v>4497</v>
      </c>
      <c r="L27" s="147">
        <v>5117</v>
      </c>
      <c r="M27" s="147">
        <v>5615</v>
      </c>
      <c r="N27" s="147">
        <v>6536</v>
      </c>
      <c r="O27" s="147">
        <v>7522</v>
      </c>
      <c r="P27" s="188">
        <v>7391</v>
      </c>
      <c r="Q27" s="118">
        <f>((P27/G27)^(1/($H$2-$H$1) ))-1</f>
        <v>0.17145402921498931</v>
      </c>
      <c r="R27" s="31">
        <f t="shared" si="6"/>
        <v>0.1</v>
      </c>
      <c r="S27" s="154">
        <f t="shared" si="39"/>
        <v>8130.1</v>
      </c>
      <c r="T27" s="154">
        <f t="shared" si="40"/>
        <v>8943.11</v>
      </c>
      <c r="U27" s="154">
        <f t="shared" si="41"/>
        <v>9837.4210000000021</v>
      </c>
      <c r="V27" s="154">
        <f t="shared" si="42"/>
        <v>10821.163100000003</v>
      </c>
      <c r="W27" s="154">
        <f t="shared" si="43"/>
        <v>11903.279410000005</v>
      </c>
      <c r="X27" s="154">
        <f t="shared" si="44"/>
        <v>13093.607351000006</v>
      </c>
      <c r="Y27" s="154">
        <f t="shared" si="45"/>
        <v>14402.968086100007</v>
      </c>
      <c r="Z27" s="154">
        <f t="shared" si="46"/>
        <v>15843.26489471001</v>
      </c>
      <c r="AA27" s="154">
        <f t="shared" si="47"/>
        <v>17427.591384181011</v>
      </c>
      <c r="AB27" s="154">
        <f t="shared" si="48"/>
        <v>19170.350522599114</v>
      </c>
      <c r="AC27" s="138">
        <f t="shared" si="19"/>
        <v>0.13328643321471167</v>
      </c>
      <c r="AD27" s="31">
        <f t="shared" si="17"/>
        <v>0.05</v>
      </c>
      <c r="AE27" s="146">
        <f t="shared" si="1"/>
        <v>167740.56707274224</v>
      </c>
    </row>
    <row r="28" spans="2:31" s="123" customFormat="1">
      <c r="B28" s="23"/>
      <c r="C28" s="149"/>
      <c r="D28" s="149"/>
      <c r="E28" s="150"/>
      <c r="F28" s="150"/>
      <c r="G28" s="148">
        <f t="shared" ref="G28:M28" si="81">(G27-F27)/G27</f>
        <v>1</v>
      </c>
      <c r="H28" s="148">
        <f t="shared" si="81"/>
        <v>0</v>
      </c>
      <c r="I28" s="148">
        <f t="shared" si="81"/>
        <v>0.57541766109785197</v>
      </c>
      <c r="J28" s="148">
        <f t="shared" si="81"/>
        <v>-0.50990990990990992</v>
      </c>
      <c r="K28" s="148">
        <f t="shared" si="81"/>
        <v>0.38292194796531021</v>
      </c>
      <c r="L28" s="148">
        <f t="shared" si="81"/>
        <v>0.12116474496775455</v>
      </c>
      <c r="M28" s="148">
        <f t="shared" si="81"/>
        <v>8.8691006233303657E-2</v>
      </c>
      <c r="N28" s="148">
        <f t="shared" ref="N28" si="82">(N27-M27)/N27</f>
        <v>0.14091187270501837</v>
      </c>
      <c r="O28" s="148">
        <f t="shared" ref="O28" si="83">(O27-N27)/O27</f>
        <v>0.13108215900026587</v>
      </c>
      <c r="P28" s="190">
        <f t="shared" ref="P28" si="84">(P27-O27)/P27</f>
        <v>-1.772425923420376E-2</v>
      </c>
      <c r="Q28" s="128"/>
      <c r="R28" s="20"/>
      <c r="S28" s="155"/>
      <c r="T28" s="155"/>
      <c r="U28" s="155"/>
      <c r="V28" s="155"/>
      <c r="W28" s="155"/>
      <c r="X28" s="155"/>
      <c r="Y28" s="155"/>
      <c r="Z28" s="155"/>
      <c r="AA28" s="155"/>
      <c r="AB28" s="155"/>
      <c r="AC28" s="119"/>
      <c r="AD28" s="137"/>
      <c r="AE28" s="154"/>
    </row>
    <row r="29" spans="2:31" s="123" customFormat="1">
      <c r="B29" s="20" t="s">
        <v>323</v>
      </c>
      <c r="C29" s="149"/>
      <c r="D29" s="149"/>
      <c r="E29" s="150"/>
      <c r="F29" s="147"/>
      <c r="G29" s="147">
        <v>90</v>
      </c>
      <c r="H29" s="147">
        <f t="shared" ref="H29" si="85">G29</f>
        <v>90</v>
      </c>
      <c r="I29" s="147">
        <v>116</v>
      </c>
      <c r="J29" s="147">
        <v>77</v>
      </c>
      <c r="K29" s="147">
        <v>1792</v>
      </c>
      <c r="L29" s="147">
        <v>1916</v>
      </c>
      <c r="M29" s="147">
        <v>1810</v>
      </c>
      <c r="N29" s="147">
        <v>1977</v>
      </c>
      <c r="O29" s="147">
        <v>2473</v>
      </c>
      <c r="P29" s="188">
        <v>65</v>
      </c>
      <c r="Q29" s="118">
        <f>((P29/G29)^(1/($H$2-$H$1) ))-1</f>
        <v>-3.5512150555945921E-2</v>
      </c>
      <c r="R29" s="31">
        <f t="shared" si="6"/>
        <v>0.1</v>
      </c>
      <c r="S29" s="154">
        <f t="shared" ref="S29" si="86">P29*(1+$R29)</f>
        <v>71.5</v>
      </c>
      <c r="T29" s="154">
        <f t="shared" ref="T29" si="87">S29*(1+$R29)</f>
        <v>78.650000000000006</v>
      </c>
      <c r="U29" s="154">
        <f t="shared" ref="U29" si="88">T29*(1+$R29)</f>
        <v>86.515000000000015</v>
      </c>
      <c r="V29" s="154">
        <f t="shared" ref="V29" si="89">U29*(1+$R29)</f>
        <v>95.166500000000028</v>
      </c>
      <c r="W29" s="154">
        <f t="shared" ref="W29" si="90">V29*(1+$R29)</f>
        <v>104.68315000000004</v>
      </c>
      <c r="X29" s="154">
        <f t="shared" ref="X29" si="91">W29*(1+$R29)</f>
        <v>115.15146500000006</v>
      </c>
      <c r="Y29" s="154">
        <f t="shared" ref="Y29" si="92">X29*(1+$R29)</f>
        <v>126.66661150000007</v>
      </c>
      <c r="Z29" s="154">
        <f t="shared" ref="Z29" si="93">Y29*(1+$R29)</f>
        <v>139.33327265000008</v>
      </c>
      <c r="AA29" s="154">
        <f t="shared" ref="AA29" si="94">Z29*(1+$R29)</f>
        <v>153.26659991500011</v>
      </c>
      <c r="AB29" s="154">
        <f t="shared" ref="AB29" si="95">AA29*(1+$R29)</f>
        <v>168.59325990650015</v>
      </c>
      <c r="AC29" s="138">
        <f t="shared" ref="AC29" si="96">((AB29/G29)^(1/($AB$3-$H$1) ))-1</f>
        <v>3.3587497363374075E-2</v>
      </c>
      <c r="AD29" s="31">
        <f t="shared" si="17"/>
        <v>0.05</v>
      </c>
      <c r="AE29" s="146">
        <f t="shared" ref="AE29" si="97">(AB29*(1+AD29))/($C$1-AD29)</f>
        <v>1475.1910241818762</v>
      </c>
    </row>
    <row r="30" spans="2:31" s="123" customFormat="1">
      <c r="B30" s="23"/>
      <c r="C30" s="149"/>
      <c r="D30" s="149"/>
      <c r="E30" s="150"/>
      <c r="F30" s="150"/>
      <c r="G30" s="148">
        <f t="shared" ref="G30:L30" si="98">(G29-F29)/G29</f>
        <v>1</v>
      </c>
      <c r="H30" s="148">
        <f t="shared" si="98"/>
        <v>0</v>
      </c>
      <c r="I30" s="148">
        <f t="shared" si="98"/>
        <v>0.22413793103448276</v>
      </c>
      <c r="J30" s="148">
        <f t="shared" si="98"/>
        <v>-0.50649350649350644</v>
      </c>
      <c r="K30" s="148">
        <f t="shared" si="98"/>
        <v>0.95703125</v>
      </c>
      <c r="L30" s="148">
        <f t="shared" si="98"/>
        <v>6.471816283924843E-2</v>
      </c>
      <c r="M30" s="148">
        <f t="shared" ref="M30" si="99">(M29-L29)/M29</f>
        <v>-5.856353591160221E-2</v>
      </c>
      <c r="N30" s="148">
        <f t="shared" ref="N30" si="100">(N29-M29)/N29</f>
        <v>8.4471421345472933E-2</v>
      </c>
      <c r="O30" s="148">
        <f t="shared" ref="O30" si="101">(O29-N29)/O29</f>
        <v>0.20056611403154065</v>
      </c>
      <c r="P30" s="190">
        <f t="shared" ref="P30" si="102">(P29-O29)/P29</f>
        <v>-37.04615384615385</v>
      </c>
      <c r="Q30" s="128"/>
      <c r="R30" s="20"/>
      <c r="S30" s="155"/>
      <c r="T30" s="155"/>
      <c r="U30" s="155"/>
      <c r="V30" s="155"/>
      <c r="W30" s="155"/>
      <c r="X30" s="155"/>
      <c r="Y30" s="155"/>
      <c r="Z30" s="155"/>
      <c r="AA30" s="155"/>
      <c r="AB30" s="155"/>
      <c r="AC30" s="162"/>
      <c r="AD30" s="137"/>
      <c r="AE30" s="154"/>
    </row>
    <row r="31" spans="2:31">
      <c r="B31" s="20" t="s">
        <v>331</v>
      </c>
      <c r="C31" s="141"/>
      <c r="D31" s="141"/>
      <c r="E31" s="147"/>
      <c r="F31" s="147"/>
      <c r="G31" s="147"/>
      <c r="H31" s="147"/>
      <c r="I31" s="147"/>
      <c r="J31" s="147"/>
      <c r="K31" s="147"/>
      <c r="L31" s="147"/>
      <c r="M31" s="147"/>
      <c r="N31" s="147"/>
      <c r="O31" s="147"/>
      <c r="P31" s="188"/>
      <c r="Q31" s="118" t="e">
        <f>((P31/G31)^(1/($H$2-$H$1) ))-1</f>
        <v>#DIV/0!</v>
      </c>
      <c r="R31" s="31">
        <f t="shared" si="6"/>
        <v>0.1</v>
      </c>
      <c r="S31" s="154">
        <f>P31*(1+$R31)</f>
        <v>0</v>
      </c>
      <c r="T31" s="154">
        <f>S31*(1+$R31)</f>
        <v>0</v>
      </c>
      <c r="U31" s="154">
        <f t="shared" ref="U31:AB32" si="103">T31*(1+$R31)</f>
        <v>0</v>
      </c>
      <c r="V31" s="154">
        <f t="shared" si="103"/>
        <v>0</v>
      </c>
      <c r="W31" s="154">
        <f t="shared" si="103"/>
        <v>0</v>
      </c>
      <c r="X31" s="154">
        <f t="shared" si="103"/>
        <v>0</v>
      </c>
      <c r="Y31" s="154">
        <f t="shared" si="103"/>
        <v>0</v>
      </c>
      <c r="Z31" s="154">
        <f t="shared" si="103"/>
        <v>0</v>
      </c>
      <c r="AA31" s="154">
        <f t="shared" si="103"/>
        <v>0</v>
      </c>
      <c r="AB31" s="154">
        <f t="shared" si="103"/>
        <v>0</v>
      </c>
      <c r="AC31" s="138" t="e">
        <f t="shared" ref="AC31" si="104">((AB31/G31)^(1/($AB$3-$H$1) ))-1</f>
        <v>#DIV/0!</v>
      </c>
      <c r="AD31" s="31">
        <f t="shared" si="17"/>
        <v>0.05</v>
      </c>
      <c r="AE31" s="146">
        <f t="shared" si="1"/>
        <v>0</v>
      </c>
    </row>
    <row r="32" spans="2:31">
      <c r="B32" s="20" t="s">
        <v>330</v>
      </c>
      <c r="C32" s="141"/>
      <c r="D32" s="141"/>
      <c r="E32" s="147"/>
      <c r="F32" s="147"/>
      <c r="G32" s="147"/>
      <c r="H32" s="147"/>
      <c r="I32" s="147"/>
      <c r="J32" s="147"/>
      <c r="K32" s="147"/>
      <c r="L32" s="147"/>
      <c r="M32" s="147"/>
      <c r="N32" s="147"/>
      <c r="O32" s="147"/>
      <c r="P32" s="188"/>
      <c r="Q32" s="118" t="e">
        <f>((P32/G32)^(1/($H$2-$H$1) ))-1</f>
        <v>#DIV/0!</v>
      </c>
      <c r="R32" s="31">
        <f t="shared" si="6"/>
        <v>0.1</v>
      </c>
      <c r="S32" s="154">
        <f>P32*(1+$R32)</f>
        <v>0</v>
      </c>
      <c r="T32" s="154">
        <f>S32*(1+$R32)</f>
        <v>0</v>
      </c>
      <c r="U32" s="154">
        <f t="shared" si="103"/>
        <v>0</v>
      </c>
      <c r="V32" s="154">
        <f t="shared" si="103"/>
        <v>0</v>
      </c>
      <c r="W32" s="154">
        <f t="shared" si="103"/>
        <v>0</v>
      </c>
      <c r="X32" s="154">
        <f t="shared" si="103"/>
        <v>0</v>
      </c>
      <c r="Y32" s="154">
        <f t="shared" si="103"/>
        <v>0</v>
      </c>
      <c r="Z32" s="154">
        <f t="shared" si="103"/>
        <v>0</v>
      </c>
      <c r="AA32" s="154">
        <f t="shared" si="103"/>
        <v>0</v>
      </c>
      <c r="AB32" s="154">
        <f t="shared" si="103"/>
        <v>0</v>
      </c>
      <c r="AC32" s="138" t="e">
        <f t="shared" ref="AC32" si="105">((AB32/G32)^(1/($AB$3-$H$1) ))-1</f>
        <v>#DIV/0!</v>
      </c>
      <c r="AD32" s="31">
        <f t="shared" si="17"/>
        <v>0.05</v>
      </c>
      <c r="AE32" s="146">
        <f t="shared" si="1"/>
        <v>0</v>
      </c>
    </row>
    <row r="33" spans="2:31">
      <c r="B33" s="20" t="s">
        <v>315</v>
      </c>
      <c r="C33" s="141"/>
      <c r="D33" s="141"/>
      <c r="E33" s="147"/>
      <c r="F33" s="147"/>
      <c r="G33" s="147">
        <v>339</v>
      </c>
      <c r="H33" s="147">
        <f t="shared" ref="H33:H34" si="106">G33</f>
        <v>339</v>
      </c>
      <c r="I33" s="147">
        <v>1016</v>
      </c>
      <c r="J33" s="147">
        <v>986</v>
      </c>
      <c r="K33" s="147">
        <v>1263</v>
      </c>
      <c r="L33" s="147">
        <v>1642</v>
      </c>
      <c r="M33" s="147">
        <v>1475</v>
      </c>
      <c r="N33" s="147">
        <v>1173</v>
      </c>
      <c r="O33" s="147">
        <v>1174</v>
      </c>
      <c r="P33" s="188">
        <v>1361</v>
      </c>
      <c r="Q33" s="118">
        <f>((P33/G33)^(1/($H$2-$H$1) ))-1</f>
        <v>0.16700618713028614</v>
      </c>
      <c r="R33" s="31">
        <f t="shared" si="6"/>
        <v>0.1</v>
      </c>
      <c r="S33" s="154">
        <f t="shared" si="39"/>
        <v>1497.1000000000001</v>
      </c>
      <c r="T33" s="154">
        <f t="shared" si="40"/>
        <v>1646.8100000000002</v>
      </c>
      <c r="U33" s="154">
        <f t="shared" si="41"/>
        <v>1811.4910000000004</v>
      </c>
      <c r="V33" s="154">
        <f t="shared" si="42"/>
        <v>1992.6401000000008</v>
      </c>
      <c r="W33" s="154">
        <f t="shared" si="43"/>
        <v>2191.9041100000009</v>
      </c>
      <c r="X33" s="154">
        <f t="shared" si="44"/>
        <v>2411.0945210000014</v>
      </c>
      <c r="Y33" s="154">
        <f t="shared" si="45"/>
        <v>2652.2039731000018</v>
      </c>
      <c r="Z33" s="154">
        <f t="shared" si="46"/>
        <v>2917.4243704100022</v>
      </c>
      <c r="AA33" s="154">
        <f t="shared" si="47"/>
        <v>3209.1668074510026</v>
      </c>
      <c r="AB33" s="154">
        <f t="shared" si="48"/>
        <v>3530.0834881961032</v>
      </c>
      <c r="AC33" s="138">
        <f t="shared" si="19"/>
        <v>0.13124616499197361</v>
      </c>
      <c r="AD33" s="31">
        <f t="shared" si="17"/>
        <v>0.05</v>
      </c>
      <c r="AE33" s="146">
        <f t="shared" si="1"/>
        <v>30888.230521715901</v>
      </c>
    </row>
    <row r="34" spans="2:31">
      <c r="B34" s="20" t="s">
        <v>428</v>
      </c>
      <c r="C34" s="141"/>
      <c r="D34" s="141"/>
      <c r="E34" s="147"/>
      <c r="F34" s="147"/>
      <c r="G34" s="147">
        <v>550</v>
      </c>
      <c r="H34" s="147">
        <f t="shared" si="106"/>
        <v>550</v>
      </c>
      <c r="I34" s="147">
        <v>1241</v>
      </c>
      <c r="J34" s="147">
        <v>1005</v>
      </c>
      <c r="K34" s="147">
        <v>1325</v>
      </c>
      <c r="L34" s="147">
        <v>1422</v>
      </c>
      <c r="M34" s="147">
        <v>1698</v>
      </c>
      <c r="N34" s="147">
        <v>2003</v>
      </c>
      <c r="O34" s="147">
        <v>2334</v>
      </c>
      <c r="P34" s="188">
        <v>2062</v>
      </c>
      <c r="Q34" s="118">
        <f>((P34/G34)^(1/($H$2-$H$1) ))-1</f>
        <v>0.15816264274108516</v>
      </c>
      <c r="R34" s="31">
        <f t="shared" si="6"/>
        <v>0.1</v>
      </c>
      <c r="S34" s="154">
        <f t="shared" si="39"/>
        <v>2268.2000000000003</v>
      </c>
      <c r="T34" s="154">
        <f t="shared" si="40"/>
        <v>2495.0200000000004</v>
      </c>
      <c r="U34" s="154">
        <f t="shared" si="41"/>
        <v>2744.5220000000008</v>
      </c>
      <c r="V34" s="154">
        <f t="shared" si="42"/>
        <v>3018.974200000001</v>
      </c>
      <c r="W34" s="154">
        <f t="shared" si="43"/>
        <v>3320.8716200000013</v>
      </c>
      <c r="X34" s="154">
        <f t="shared" si="44"/>
        <v>3652.9587820000015</v>
      </c>
      <c r="Y34" s="154">
        <f t="shared" si="45"/>
        <v>4018.254660200002</v>
      </c>
      <c r="Z34" s="154">
        <f t="shared" si="46"/>
        <v>4420.080126220003</v>
      </c>
      <c r="AA34" s="154">
        <f t="shared" si="47"/>
        <v>4862.0881388420039</v>
      </c>
      <c r="AB34" s="154">
        <f t="shared" si="48"/>
        <v>5348.2969527262048</v>
      </c>
      <c r="AC34" s="138">
        <f t="shared" si="19"/>
        <v>0.12717735145425757</v>
      </c>
      <c r="AD34" s="31">
        <f t="shared" si="17"/>
        <v>0.05</v>
      </c>
      <c r="AE34" s="146">
        <f t="shared" si="1"/>
        <v>46797.598336354291</v>
      </c>
    </row>
    <row r="35" spans="2:31">
      <c r="B35" s="20"/>
      <c r="C35" s="141"/>
      <c r="D35" s="141"/>
      <c r="E35" s="147"/>
      <c r="F35" s="147"/>
      <c r="G35" s="147"/>
      <c r="H35" s="147"/>
      <c r="I35" s="147"/>
      <c r="J35" s="147"/>
      <c r="K35" s="147"/>
      <c r="L35" s="147"/>
      <c r="M35" s="147"/>
      <c r="N35" s="147"/>
      <c r="O35" s="147"/>
      <c r="P35" s="188"/>
      <c r="Q35" s="128"/>
      <c r="R35" s="20"/>
      <c r="S35" s="154"/>
      <c r="T35" s="154"/>
      <c r="U35" s="154"/>
      <c r="V35" s="154"/>
      <c r="W35" s="154"/>
      <c r="X35" s="154"/>
      <c r="Y35" s="154"/>
      <c r="Z35" s="154"/>
      <c r="AA35" s="154"/>
      <c r="AB35" s="154"/>
      <c r="AC35" s="139"/>
      <c r="AD35" s="137"/>
      <c r="AE35" s="154"/>
    </row>
    <row r="36" spans="2:31">
      <c r="B36" s="20" t="s">
        <v>278</v>
      </c>
      <c r="C36" s="141"/>
      <c r="D36" s="141"/>
      <c r="E36" s="147"/>
      <c r="F36" s="147"/>
      <c r="G36" s="147">
        <v>650</v>
      </c>
      <c r="H36" s="147">
        <f t="shared" ref="H36" si="107">G36</f>
        <v>650</v>
      </c>
      <c r="I36" s="147">
        <v>2162</v>
      </c>
      <c r="J36" s="147">
        <v>2047</v>
      </c>
      <c r="K36" s="147">
        <v>1792</v>
      </c>
      <c r="L36" s="147">
        <v>1916</v>
      </c>
      <c r="M36" s="147">
        <v>1810</v>
      </c>
      <c r="N36" s="147">
        <v>1977</v>
      </c>
      <c r="O36" s="147">
        <v>2473</v>
      </c>
      <c r="P36" s="188">
        <v>1650</v>
      </c>
      <c r="Q36" s="118">
        <f>((P36/G36)^(1/($H$2-$H$1) ))-1</f>
        <v>0.10905296571124223</v>
      </c>
      <c r="R36" s="31">
        <f t="shared" si="6"/>
        <v>0.1</v>
      </c>
      <c r="S36" s="154">
        <f t="shared" ref="S36" si="108">P36*(1+$R36)</f>
        <v>1815.0000000000002</v>
      </c>
      <c r="T36" s="154">
        <f t="shared" ref="T36" si="109">S36*(1+$R36)</f>
        <v>1996.5000000000005</v>
      </c>
      <c r="U36" s="154">
        <f t="shared" ref="U36" si="110">T36*(1+$R36)</f>
        <v>2196.1500000000005</v>
      </c>
      <c r="V36" s="154">
        <f t="shared" ref="V36" si="111">U36*(1+$R36)</f>
        <v>2415.7650000000008</v>
      </c>
      <c r="W36" s="154">
        <f t="shared" si="43"/>
        <v>2657.3415000000009</v>
      </c>
      <c r="X36" s="154">
        <f t="shared" si="44"/>
        <v>2923.0756500000011</v>
      </c>
      <c r="Y36" s="154">
        <f t="shared" si="45"/>
        <v>3215.3832150000017</v>
      </c>
      <c r="Z36" s="154">
        <f t="shared" si="46"/>
        <v>3536.9215365000023</v>
      </c>
      <c r="AA36" s="154">
        <f t="shared" si="47"/>
        <v>3890.6136901500026</v>
      </c>
      <c r="AB36" s="154">
        <f t="shared" si="48"/>
        <v>4279.6750591650034</v>
      </c>
      <c r="AC36" s="138">
        <f t="shared" si="19"/>
        <v>0.10427899819803743</v>
      </c>
      <c r="AD36" s="31">
        <f t="shared" si="17"/>
        <v>0.05</v>
      </c>
      <c r="AE36" s="146">
        <f t="shared" si="1"/>
        <v>37447.156767693778</v>
      </c>
    </row>
    <row r="37" spans="2:31" s="123" customFormat="1">
      <c r="B37" s="23"/>
      <c r="C37" s="149"/>
      <c r="D37" s="149"/>
      <c r="E37" s="150"/>
      <c r="F37" s="150"/>
      <c r="G37" s="148">
        <f t="shared" ref="G37" si="112">(G36-F36)/G36</f>
        <v>1</v>
      </c>
      <c r="H37" s="148">
        <f t="shared" ref="H37" si="113">(H36-G36)/H36</f>
        <v>0</v>
      </c>
      <c r="I37" s="148">
        <f t="shared" ref="I37" si="114">(I36-H36)/I36</f>
        <v>0.69935245143385749</v>
      </c>
      <c r="J37" s="148">
        <f t="shared" ref="J37" si="115">(J36-I36)/J36</f>
        <v>-5.6179775280898875E-2</v>
      </c>
      <c r="K37" s="148">
        <f t="shared" ref="K37" si="116">(K36-J36)/K36</f>
        <v>-0.14229910714285715</v>
      </c>
      <c r="L37" s="148">
        <f t="shared" ref="L37" si="117">(L36-K36)/L36</f>
        <v>6.471816283924843E-2</v>
      </c>
      <c r="M37" s="148">
        <f t="shared" ref="M37" si="118">(M36-L36)/M36</f>
        <v>-5.856353591160221E-2</v>
      </c>
      <c r="N37" s="148">
        <f t="shared" ref="N37" si="119">(N36-M36)/N36</f>
        <v>8.4471421345472933E-2</v>
      </c>
      <c r="O37" s="148">
        <f t="shared" ref="O37" si="120">(O36-N36)/O36</f>
        <v>0.20056611403154065</v>
      </c>
      <c r="P37" s="190">
        <f t="shared" ref="P37" si="121">(P36-O36)/P36</f>
        <v>-0.49878787878787878</v>
      </c>
      <c r="Q37" s="128"/>
      <c r="R37" s="20"/>
      <c r="S37" s="155"/>
      <c r="T37" s="155"/>
      <c r="U37" s="155"/>
      <c r="V37" s="155"/>
      <c r="W37" s="155"/>
      <c r="X37" s="155"/>
      <c r="Y37" s="155"/>
      <c r="Z37" s="155"/>
      <c r="AA37" s="155"/>
      <c r="AB37" s="155"/>
      <c r="AC37" s="139"/>
      <c r="AD37" s="137"/>
      <c r="AE37" s="156"/>
    </row>
    <row r="38" spans="2:31" s="123" customFormat="1">
      <c r="B38" s="20" t="s">
        <v>399</v>
      </c>
      <c r="C38" s="149"/>
      <c r="D38" s="149"/>
      <c r="E38" s="150"/>
      <c r="F38" s="150"/>
      <c r="G38" s="147">
        <v>454</v>
      </c>
      <c r="H38" s="147">
        <f t="shared" ref="H38" si="122">G38</f>
        <v>454</v>
      </c>
      <c r="I38" s="147">
        <v>1822</v>
      </c>
      <c r="J38" s="147">
        <v>2710</v>
      </c>
      <c r="K38" s="147">
        <v>1946</v>
      </c>
      <c r="L38" s="147">
        <v>1775</v>
      </c>
      <c r="M38" s="147">
        <v>1634</v>
      </c>
      <c r="N38" s="147">
        <v>1701</v>
      </c>
      <c r="O38" s="147">
        <v>1895</v>
      </c>
      <c r="P38" s="188">
        <v>1514</v>
      </c>
      <c r="Q38" s="118">
        <f>((P38/G38)^(1/($H$2-$H$1) ))-1</f>
        <v>0.14319124912384673</v>
      </c>
      <c r="R38" s="31">
        <f t="shared" si="6"/>
        <v>0.1</v>
      </c>
      <c r="S38" s="154">
        <f t="shared" ref="S38" si="123">P38*(1+$R38)</f>
        <v>1665.4</v>
      </c>
      <c r="T38" s="154">
        <f t="shared" ref="T38" si="124">S38*(1+$R38)</f>
        <v>1831.9400000000003</v>
      </c>
      <c r="U38" s="154">
        <f t="shared" ref="U38" si="125">T38*(1+$R38)</f>
        <v>2015.1340000000005</v>
      </c>
      <c r="V38" s="154">
        <f t="shared" ref="V38" si="126">U38*(1+$R38)</f>
        <v>2216.6474000000007</v>
      </c>
      <c r="W38" s="154">
        <f t="shared" ref="W38" si="127">V38*(1+$R38)</f>
        <v>2438.3121400000009</v>
      </c>
      <c r="X38" s="154">
        <f t="shared" ref="X38" si="128">W38*(1+$R38)</f>
        <v>2682.1433540000012</v>
      </c>
      <c r="Y38" s="154">
        <f t="shared" ref="Y38" si="129">X38*(1+$R38)</f>
        <v>2950.3576894000016</v>
      </c>
      <c r="Z38" s="154">
        <f t="shared" ref="Z38" si="130">Y38*(1+$R38)</f>
        <v>3245.3934583400019</v>
      </c>
      <c r="AA38" s="154">
        <f t="shared" ref="AA38" si="131">Z38*(1+$R38)</f>
        <v>3569.9328041740023</v>
      </c>
      <c r="AB38" s="154">
        <f t="shared" ref="AB38" si="132">AA38*(1+$R38)</f>
        <v>3926.9260845914027</v>
      </c>
      <c r="AC38" s="138">
        <f t="shared" ref="AC38" si="133">((AB38/G38)^(1/($AB$3-$H$1) ))-1</f>
        <v>0.12025173432528913</v>
      </c>
      <c r="AD38" s="31">
        <f t="shared" si="17"/>
        <v>0.05</v>
      </c>
      <c r="AE38" s="146">
        <f t="shared" ref="AE38" si="134">(AB38*(1+AD38))/($C$1-AD38)</f>
        <v>34360.603240174773</v>
      </c>
    </row>
    <row r="39" spans="2:31" s="123" customFormat="1">
      <c r="B39" s="23"/>
      <c r="C39" s="149"/>
      <c r="D39" s="149"/>
      <c r="E39" s="150"/>
      <c r="F39" s="150"/>
      <c r="G39" s="148">
        <f t="shared" ref="G39" si="135">(G38-F38)/G38</f>
        <v>1</v>
      </c>
      <c r="H39" s="148">
        <f t="shared" ref="H39" si="136">(H38-G38)/H38</f>
        <v>0</v>
      </c>
      <c r="I39" s="148">
        <f t="shared" ref="I39" si="137">(I38-H38)/I38</f>
        <v>0.75082327113062564</v>
      </c>
      <c r="J39" s="148">
        <f t="shared" ref="J39" si="138">(J38-I38)/J38</f>
        <v>0.32767527675276753</v>
      </c>
      <c r="K39" s="148">
        <f t="shared" ref="K39" si="139">(K38-J38)/K38</f>
        <v>-0.39260020554984582</v>
      </c>
      <c r="L39" s="148">
        <f t="shared" ref="L39" si="140">(L38-K38)/L38</f>
        <v>-9.6338028169014087E-2</v>
      </c>
      <c r="M39" s="148">
        <f t="shared" ref="M39" si="141">(M38-L38)/M38</f>
        <v>-8.6291309669522642E-2</v>
      </c>
      <c r="N39" s="148">
        <f t="shared" ref="N39" si="142">(N38-M38)/N38</f>
        <v>3.93885949441505E-2</v>
      </c>
      <c r="O39" s="148">
        <f t="shared" ref="O39" si="143">(O38-N38)/O38</f>
        <v>0.10237467018469656</v>
      </c>
      <c r="P39" s="190">
        <f t="shared" ref="P39" si="144">(P38-O38)/P38</f>
        <v>-0.25165125495376484</v>
      </c>
      <c r="Q39" s="128"/>
      <c r="R39" s="20"/>
      <c r="S39" s="155"/>
      <c r="T39" s="155"/>
      <c r="U39" s="155"/>
      <c r="V39" s="155"/>
      <c r="W39" s="155"/>
      <c r="X39" s="155"/>
      <c r="Y39" s="155"/>
      <c r="Z39" s="155"/>
      <c r="AA39" s="155"/>
      <c r="AB39" s="155"/>
      <c r="AC39" s="139"/>
      <c r="AD39" s="137"/>
      <c r="AE39" s="156"/>
    </row>
    <row r="40" spans="2:31">
      <c r="B40" s="20" t="s">
        <v>400</v>
      </c>
      <c r="C40" s="141"/>
      <c r="D40" s="141"/>
      <c r="E40" s="147"/>
      <c r="F40" s="147"/>
      <c r="G40" s="147">
        <v>385</v>
      </c>
      <c r="H40" s="147"/>
      <c r="I40" s="147">
        <v>1483</v>
      </c>
      <c r="J40" s="147">
        <v>1767</v>
      </c>
      <c r="K40" s="147">
        <v>1389</v>
      </c>
      <c r="L40" s="147">
        <v>1216</v>
      </c>
      <c r="M40" s="147">
        <v>1262</v>
      </c>
      <c r="N40" s="147">
        <v>1227</v>
      </c>
      <c r="O40" s="147">
        <v>1291</v>
      </c>
      <c r="P40" s="188">
        <v>1294</v>
      </c>
      <c r="Q40" s="118">
        <f>((P40/G40)^(1/($H$2-$H$1) ))-1</f>
        <v>0.14418713609900324</v>
      </c>
      <c r="R40" s="31">
        <f t="shared" si="6"/>
        <v>0.1</v>
      </c>
      <c r="S40" s="154">
        <f>P40*(1+$R40)</f>
        <v>1423.4</v>
      </c>
      <c r="T40" s="154">
        <f t="shared" ref="T40:AB40" si="145">S40*(1+$R40)</f>
        <v>1565.7400000000002</v>
      </c>
      <c r="U40" s="154">
        <f t="shared" si="145"/>
        <v>1722.3140000000003</v>
      </c>
      <c r="V40" s="154">
        <f t="shared" si="145"/>
        <v>1894.5454000000004</v>
      </c>
      <c r="W40" s="154">
        <f t="shared" si="145"/>
        <v>2083.9999400000006</v>
      </c>
      <c r="X40" s="154">
        <f t="shared" si="145"/>
        <v>2292.3999340000009</v>
      </c>
      <c r="Y40" s="154">
        <f t="shared" si="145"/>
        <v>2521.6399274000014</v>
      </c>
      <c r="Z40" s="154">
        <f t="shared" si="145"/>
        <v>2773.8039201400015</v>
      </c>
      <c r="AA40" s="154">
        <f t="shared" si="145"/>
        <v>3051.1843121540019</v>
      </c>
      <c r="AB40" s="154">
        <f t="shared" si="145"/>
        <v>3356.3027433694024</v>
      </c>
      <c r="AC40" s="138">
        <f t="shared" si="19"/>
        <v>0.12071389838088731</v>
      </c>
      <c r="AD40" s="31">
        <f t="shared" si="17"/>
        <v>0.05</v>
      </c>
      <c r="AE40" s="146">
        <f t="shared" si="1"/>
        <v>29367.649004482271</v>
      </c>
    </row>
    <row r="41" spans="2:31" s="123" customFormat="1">
      <c r="B41" s="23"/>
      <c r="C41" s="149"/>
      <c r="D41" s="149"/>
      <c r="E41" s="150"/>
      <c r="F41" s="150"/>
      <c r="G41" s="148">
        <f>(G40-F40)/G40</f>
        <v>1</v>
      </c>
      <c r="H41" s="148" t="e">
        <f t="shared" ref="H41:P41" si="146">(H40-G40)/H40</f>
        <v>#DIV/0!</v>
      </c>
      <c r="I41" s="148">
        <f t="shared" si="146"/>
        <v>1</v>
      </c>
      <c r="J41" s="148">
        <f t="shared" si="146"/>
        <v>0.16072439162422184</v>
      </c>
      <c r="K41" s="148">
        <f t="shared" si="146"/>
        <v>-0.27213822894168466</v>
      </c>
      <c r="L41" s="148">
        <f t="shared" si="146"/>
        <v>-0.14226973684210525</v>
      </c>
      <c r="M41" s="148">
        <f t="shared" si="146"/>
        <v>3.6450079239302692E-2</v>
      </c>
      <c r="N41" s="148">
        <f t="shared" si="146"/>
        <v>-2.8524857375713121E-2</v>
      </c>
      <c r="O41" s="148">
        <f t="shared" si="146"/>
        <v>4.9573973663826494E-2</v>
      </c>
      <c r="P41" s="190">
        <f t="shared" si="146"/>
        <v>2.3183925811437402E-3</v>
      </c>
      <c r="Q41" s="128"/>
      <c r="R41" s="20"/>
      <c r="S41" s="155"/>
      <c r="T41" s="155"/>
      <c r="U41" s="155"/>
      <c r="V41" s="155"/>
      <c r="W41" s="155"/>
      <c r="X41" s="155"/>
      <c r="Y41" s="155"/>
      <c r="Z41" s="155"/>
      <c r="AA41" s="155"/>
      <c r="AB41" s="155"/>
      <c r="AC41" s="139"/>
      <c r="AD41" s="137"/>
      <c r="AE41" s="156"/>
    </row>
    <row r="42" spans="2:31">
      <c r="B42" s="20" t="s">
        <v>239</v>
      </c>
      <c r="C42" s="142">
        <v>1</v>
      </c>
      <c r="D42" s="142">
        <v>1</v>
      </c>
      <c r="E42" s="143">
        <v>1</v>
      </c>
      <c r="F42" s="147">
        <v>1</v>
      </c>
      <c r="G42" s="147">
        <v>17.940000000000001</v>
      </c>
      <c r="H42" s="147">
        <f t="shared" ref="H42" si="147">G42</f>
        <v>17.940000000000001</v>
      </c>
      <c r="I42" s="147">
        <v>151.68</v>
      </c>
      <c r="J42" s="147">
        <v>152.22</v>
      </c>
      <c r="K42" s="147">
        <v>152.25</v>
      </c>
      <c r="L42" s="147">
        <v>152.37</v>
      </c>
      <c r="M42" s="147">
        <v>152.97999999999999</v>
      </c>
      <c r="N42" s="147">
        <v>153.43</v>
      </c>
      <c r="O42" s="147">
        <v>154.21</v>
      </c>
      <c r="P42" s="188">
        <v>154.21</v>
      </c>
      <c r="Q42" s="118">
        <f>((P42/G42)^(1/($H$2-$H$1) ))-1</f>
        <v>0.27001839382604587</v>
      </c>
      <c r="R42" s="31">
        <v>0</v>
      </c>
      <c r="S42" s="154">
        <f t="shared" ref="S42:S43" si="148">P42*(1+$R42)</f>
        <v>154.21</v>
      </c>
      <c r="T42" s="154">
        <f t="shared" ref="T42:AB42" si="149">S42*(1+$R42)</f>
        <v>154.21</v>
      </c>
      <c r="U42" s="154">
        <f t="shared" si="149"/>
        <v>154.21</v>
      </c>
      <c r="V42" s="154">
        <f t="shared" si="149"/>
        <v>154.21</v>
      </c>
      <c r="W42" s="154">
        <f t="shared" si="149"/>
        <v>154.21</v>
      </c>
      <c r="X42" s="154">
        <f t="shared" si="149"/>
        <v>154.21</v>
      </c>
      <c r="Y42" s="154">
        <f t="shared" si="149"/>
        <v>154.21</v>
      </c>
      <c r="Z42" s="154">
        <f t="shared" si="149"/>
        <v>154.21</v>
      </c>
      <c r="AA42" s="154">
        <f t="shared" si="149"/>
        <v>154.21</v>
      </c>
      <c r="AB42" s="154">
        <f t="shared" si="149"/>
        <v>154.21</v>
      </c>
      <c r="AC42" s="138">
        <f t="shared" si="19"/>
        <v>0.11988431777966313</v>
      </c>
      <c r="AD42" s="31">
        <f t="shared" si="17"/>
        <v>0.05</v>
      </c>
      <c r="AE42" s="146">
        <f t="shared" si="1"/>
        <v>1349.3374999999999</v>
      </c>
    </row>
    <row r="43" spans="2:31">
      <c r="B43" s="20" t="s">
        <v>282</v>
      </c>
      <c r="C43" s="145"/>
      <c r="D43" s="145"/>
      <c r="E43" s="143"/>
      <c r="F43" s="143"/>
      <c r="G43" s="143">
        <v>8</v>
      </c>
      <c r="H43" s="143">
        <v>1.8</v>
      </c>
      <c r="I43" s="143">
        <v>3.3</v>
      </c>
      <c r="J43" s="143">
        <v>3.5</v>
      </c>
      <c r="K43" s="143">
        <v>2.2000000000000002</v>
      </c>
      <c r="L43" s="187">
        <v>2.4</v>
      </c>
      <c r="M43" s="187">
        <v>2.6</v>
      </c>
      <c r="N43" s="187">
        <v>3.2</v>
      </c>
      <c r="O43" s="187">
        <v>3.6</v>
      </c>
      <c r="P43" s="191">
        <v>3.6</v>
      </c>
      <c r="Q43" s="118">
        <f>((P43/G43)^(1/($H$2-$H$1) ))-1</f>
        <v>-8.4901049890631297E-2</v>
      </c>
      <c r="R43" s="31">
        <v>0.05</v>
      </c>
      <c r="S43" s="154">
        <f t="shared" si="148"/>
        <v>3.7800000000000002</v>
      </c>
      <c r="T43" s="154">
        <f t="shared" ref="T43" si="150">S43*(1+$R43)</f>
        <v>3.9690000000000003</v>
      </c>
      <c r="U43" s="154">
        <f t="shared" ref="U43" si="151">T43*(1+$R43)</f>
        <v>4.1674500000000005</v>
      </c>
      <c r="V43" s="154">
        <f t="shared" ref="V43" si="152">U43*(1+$R43)</f>
        <v>4.3758225000000008</v>
      </c>
      <c r="W43" s="154">
        <f t="shared" ref="W43" si="153">V43*(1+$R43)</f>
        <v>4.5946136250000009</v>
      </c>
      <c r="X43" s="154">
        <f t="shared" ref="X43" si="154">W43*(1+$R43)</f>
        <v>4.8243443062500013</v>
      </c>
      <c r="Y43" s="154">
        <f t="shared" ref="Y43" si="155">X43*(1+$R43)</f>
        <v>5.0655615215625014</v>
      </c>
      <c r="Z43" s="154">
        <f t="shared" ref="Z43" si="156">Y43*(1+$R43)</f>
        <v>5.3188395976406264</v>
      </c>
      <c r="AA43" s="154">
        <f t="shared" ref="AA43" si="157">Z43*(1+$R43)</f>
        <v>5.5847815775226577</v>
      </c>
      <c r="AB43" s="154">
        <f t="shared" ref="AB43" si="158">AA43*(1+$R43)</f>
        <v>5.8640206563987904</v>
      </c>
      <c r="AC43" s="138">
        <f t="shared" ref="AC43" si="159">((AB43/G43)^(1/($AB$3-$H$1) ))-1</f>
        <v>-1.6214788822287218E-2</v>
      </c>
      <c r="AD43" s="31">
        <f t="shared" si="17"/>
        <v>0.05</v>
      </c>
      <c r="AE43" s="146">
        <f t="shared" si="1"/>
        <v>51.310180743489411</v>
      </c>
    </row>
    <row r="44" spans="2:31">
      <c r="B44" s="20" t="s">
        <v>425</v>
      </c>
      <c r="C44" s="20"/>
      <c r="D44" s="20"/>
      <c r="E44" s="143"/>
      <c r="F44" s="143"/>
      <c r="G44" s="143">
        <v>0</v>
      </c>
      <c r="H44" s="143" t="s">
        <v>426</v>
      </c>
      <c r="I44" s="143">
        <v>0</v>
      </c>
      <c r="J44" s="143">
        <v>0</v>
      </c>
      <c r="K44" s="143">
        <v>0</v>
      </c>
      <c r="L44" s="143">
        <v>0</v>
      </c>
      <c r="M44" s="143">
        <v>0</v>
      </c>
      <c r="N44" s="143">
        <v>0</v>
      </c>
      <c r="O44" s="143">
        <v>0</v>
      </c>
      <c r="P44" s="192">
        <v>0</v>
      </c>
      <c r="Q44" s="128"/>
      <c r="R44" s="128"/>
      <c r="S44" s="154"/>
      <c r="T44" s="154"/>
      <c r="U44" s="154"/>
      <c r="V44" s="154"/>
      <c r="W44" s="154"/>
      <c r="X44" s="154"/>
      <c r="Y44" s="154"/>
      <c r="Z44" s="154"/>
      <c r="AA44" s="154"/>
      <c r="AB44" s="154"/>
      <c r="AC44" s="139"/>
      <c r="AD44" s="137"/>
      <c r="AE44" s="154"/>
    </row>
    <row r="45" spans="2:31">
      <c r="B45" s="20" t="s">
        <v>423</v>
      </c>
      <c r="C45" s="20"/>
      <c r="D45" s="20"/>
      <c r="E45" s="143"/>
      <c r="F45" s="143"/>
      <c r="G45" s="143">
        <v>0</v>
      </c>
      <c r="H45" s="143" t="s">
        <v>427</v>
      </c>
      <c r="I45" s="143">
        <v>0</v>
      </c>
      <c r="J45" s="143">
        <v>0</v>
      </c>
      <c r="K45" s="143">
        <v>0</v>
      </c>
      <c r="L45" s="143">
        <v>0</v>
      </c>
      <c r="M45" s="143">
        <v>0</v>
      </c>
      <c r="N45" s="143">
        <v>0</v>
      </c>
      <c r="O45" s="143">
        <v>0</v>
      </c>
      <c r="P45" s="192">
        <v>0</v>
      </c>
      <c r="Q45" s="128"/>
      <c r="R45" s="128"/>
      <c r="S45" s="154"/>
      <c r="T45" s="154"/>
      <c r="U45" s="154"/>
      <c r="V45" s="154"/>
      <c r="W45" s="154"/>
      <c r="X45" s="154"/>
      <c r="Y45" s="154"/>
      <c r="Z45" s="154"/>
      <c r="AA45" s="154"/>
      <c r="AB45" s="154"/>
      <c r="AC45" s="139"/>
      <c r="AD45" s="137"/>
      <c r="AE45" s="154"/>
    </row>
    <row r="46" spans="2:31">
      <c r="B46" s="20" t="s">
        <v>424</v>
      </c>
      <c r="C46" s="20"/>
      <c r="D46" s="20"/>
      <c r="E46" s="143"/>
      <c r="F46" s="143"/>
      <c r="G46" s="143"/>
      <c r="H46" s="143"/>
      <c r="I46" s="143"/>
      <c r="J46" s="143"/>
      <c r="K46" s="143"/>
      <c r="L46" s="143"/>
      <c r="M46" s="143"/>
      <c r="N46" s="143"/>
      <c r="O46" s="143"/>
      <c r="P46" s="143"/>
      <c r="Q46" s="128"/>
      <c r="R46" s="128"/>
      <c r="S46" s="154"/>
      <c r="T46" s="154"/>
      <c r="U46" s="154"/>
      <c r="V46" s="154"/>
      <c r="W46" s="154"/>
      <c r="X46" s="154"/>
      <c r="Y46" s="154"/>
      <c r="Z46" s="154"/>
      <c r="AA46" s="154"/>
      <c r="AB46" s="154"/>
      <c r="AC46" s="139"/>
      <c r="AD46" s="137"/>
      <c r="AE46" s="154"/>
    </row>
    <row r="47" spans="2:31">
      <c r="B47" s="20"/>
      <c r="C47" s="20"/>
      <c r="D47" s="20"/>
      <c r="E47" s="127"/>
      <c r="F47" s="127"/>
      <c r="G47" s="127"/>
      <c r="H47" s="20"/>
      <c r="I47" s="20"/>
      <c r="J47" s="20"/>
      <c r="K47" s="20"/>
      <c r="L47" s="20"/>
      <c r="M47" s="20"/>
      <c r="N47" s="20"/>
      <c r="O47" s="20"/>
      <c r="P47" s="20"/>
      <c r="Q47" s="128"/>
      <c r="R47" s="128"/>
      <c r="S47" s="154"/>
      <c r="T47" s="154"/>
      <c r="U47" s="154"/>
      <c r="V47" s="154"/>
      <c r="W47" s="154"/>
      <c r="X47" s="154"/>
      <c r="Y47" s="154"/>
      <c r="Z47" s="154"/>
      <c r="AA47" s="154"/>
      <c r="AB47" s="154"/>
      <c r="AC47" s="139"/>
      <c r="AD47" s="137"/>
      <c r="AE47" s="154"/>
    </row>
    <row r="48" spans="2:31">
      <c r="B48" s="108" t="s">
        <v>243</v>
      </c>
      <c r="C48" s="20"/>
      <c r="D48" s="20"/>
      <c r="E48" s="127"/>
      <c r="F48" s="127"/>
      <c r="G48" s="127"/>
      <c r="H48" s="20"/>
      <c r="I48" s="20"/>
      <c r="J48" s="20"/>
      <c r="K48" s="20"/>
      <c r="L48" s="20"/>
      <c r="M48" s="20"/>
      <c r="N48" s="20"/>
      <c r="O48" s="20"/>
      <c r="P48" s="20"/>
      <c r="Q48" s="128"/>
      <c r="R48" s="128"/>
      <c r="S48" s="154"/>
      <c r="T48" s="154"/>
      <c r="U48" s="154"/>
      <c r="V48" s="154"/>
      <c r="W48" s="154"/>
      <c r="X48" s="154"/>
      <c r="Y48" s="154"/>
      <c r="Z48" s="154"/>
      <c r="AA48" s="154"/>
      <c r="AB48" s="154"/>
      <c r="AC48" s="139"/>
      <c r="AD48" s="137"/>
      <c r="AE48" s="154"/>
    </row>
    <row r="49" spans="2:31">
      <c r="B49" s="20" t="s">
        <v>303</v>
      </c>
      <c r="C49" s="133">
        <f t="shared" ref="C49:P49" si="160">C25/C42</f>
        <v>0</v>
      </c>
      <c r="D49" s="133">
        <f t="shared" si="160"/>
        <v>0</v>
      </c>
      <c r="E49" s="133">
        <f t="shared" si="160"/>
        <v>0</v>
      </c>
      <c r="F49" s="133">
        <f t="shared" si="160"/>
        <v>0</v>
      </c>
      <c r="G49" s="133">
        <f t="shared" si="160"/>
        <v>138.74024526198437</v>
      </c>
      <c r="H49" s="133">
        <f t="shared" si="160"/>
        <v>138.74024526198437</v>
      </c>
      <c r="I49" s="133">
        <f t="shared" si="160"/>
        <v>42.510548523206751</v>
      </c>
      <c r="J49" s="133">
        <f t="shared" si="160"/>
        <v>44.626198922612012</v>
      </c>
      <c r="K49" s="133">
        <f t="shared" si="160"/>
        <v>44.249589490968802</v>
      </c>
      <c r="L49" s="133">
        <f t="shared" si="160"/>
        <v>47.345277941852068</v>
      </c>
      <c r="M49" s="133">
        <f t="shared" si="160"/>
        <v>50.241861681265526</v>
      </c>
      <c r="N49" s="133">
        <f t="shared" si="160"/>
        <v>56.944534967085964</v>
      </c>
      <c r="O49" s="133">
        <f t="shared" si="160"/>
        <v>65.268140846897083</v>
      </c>
      <c r="P49" s="133">
        <f t="shared" si="160"/>
        <v>61.344919265936056</v>
      </c>
      <c r="Q49" s="118">
        <f>((P49/G49)^(1/($H$2-$H$1) ))-1</f>
        <v>-8.6687143283934676E-2</v>
      </c>
      <c r="R49" s="128"/>
      <c r="S49" s="158">
        <f t="shared" ref="S49:AB49" si="161">S25/S42</f>
        <v>67.479411192529668</v>
      </c>
      <c r="T49" s="158">
        <f t="shared" si="161"/>
        <v>74.227352311782639</v>
      </c>
      <c r="U49" s="158">
        <f t="shared" si="161"/>
        <v>81.650087542960904</v>
      </c>
      <c r="V49" s="158">
        <f t="shared" si="161"/>
        <v>89.815096297257014</v>
      </c>
      <c r="W49" s="158">
        <f t="shared" si="161"/>
        <v>98.796605926982721</v>
      </c>
      <c r="X49" s="158">
        <f t="shared" si="161"/>
        <v>108.67626651968099</v>
      </c>
      <c r="Y49" s="158">
        <f t="shared" si="161"/>
        <v>119.5438931716491</v>
      </c>
      <c r="Z49" s="158">
        <f t="shared" si="161"/>
        <v>131.49828248881403</v>
      </c>
      <c r="AA49" s="158">
        <f t="shared" si="161"/>
        <v>144.64811073769545</v>
      </c>
      <c r="AB49" s="158">
        <f t="shared" si="161"/>
        <v>159.11292181146499</v>
      </c>
      <c r="AC49" s="138">
        <f t="shared" ref="AC49" si="162">((AB49/G49)^(1/($AB$3-$H$1) ))-1</f>
        <v>7.2371522257308474E-3</v>
      </c>
      <c r="AD49" s="31">
        <f t="shared" si="17"/>
        <v>0.05</v>
      </c>
      <c r="AE49" s="146">
        <f t="shared" ref="AE49:AE50" si="163">(AB49*(1+AD49))/($C$1-AD49)</f>
        <v>1392.2380658503187</v>
      </c>
    </row>
    <row r="50" spans="2:31">
      <c r="B50" s="20" t="s">
        <v>304</v>
      </c>
      <c r="C50" s="133">
        <f t="shared" ref="C50:P50" si="164">C27/C42</f>
        <v>0</v>
      </c>
      <c r="D50" s="133">
        <f t="shared" si="164"/>
        <v>0</v>
      </c>
      <c r="E50" s="133">
        <f t="shared" si="164"/>
        <v>0</v>
      </c>
      <c r="F50" s="133">
        <f t="shared" si="164"/>
        <v>0</v>
      </c>
      <c r="G50" s="133">
        <f t="shared" si="164"/>
        <v>99.163879598662206</v>
      </c>
      <c r="H50" s="133">
        <f t="shared" si="164"/>
        <v>99.163879598662206</v>
      </c>
      <c r="I50" s="133">
        <f t="shared" si="164"/>
        <v>27.623945147679322</v>
      </c>
      <c r="J50" s="133">
        <f t="shared" si="164"/>
        <v>18.230193141505715</v>
      </c>
      <c r="K50" s="133">
        <f t="shared" si="164"/>
        <v>29.536945812807883</v>
      </c>
      <c r="L50" s="133">
        <f t="shared" si="164"/>
        <v>33.582726258449824</v>
      </c>
      <c r="M50" s="133">
        <f t="shared" si="164"/>
        <v>36.704144332592499</v>
      </c>
      <c r="N50" s="133">
        <f t="shared" si="164"/>
        <v>42.59923091963762</v>
      </c>
      <c r="O50" s="133">
        <f t="shared" si="164"/>
        <v>48.777640879320401</v>
      </c>
      <c r="P50" s="133">
        <f t="shared" si="164"/>
        <v>47.928149925426361</v>
      </c>
      <c r="Q50" s="118">
        <f>((P50/G50)^(1/($H$2-$H$1) ))-1</f>
        <v>-7.7608611883267842E-2</v>
      </c>
      <c r="R50" s="128"/>
      <c r="S50" s="158">
        <f t="shared" ref="S50:AB50" si="165">S27/S42</f>
        <v>52.720964917969006</v>
      </c>
      <c r="T50" s="158">
        <f t="shared" si="165"/>
        <v>57.993061409765907</v>
      </c>
      <c r="U50" s="158">
        <f t="shared" si="165"/>
        <v>63.792367550742505</v>
      </c>
      <c r="V50" s="158">
        <f t="shared" si="165"/>
        <v>70.171604305816757</v>
      </c>
      <c r="W50" s="158">
        <f t="shared" si="165"/>
        <v>77.18876473639844</v>
      </c>
      <c r="X50" s="158">
        <f t="shared" si="165"/>
        <v>84.907641210038292</v>
      </c>
      <c r="Y50" s="158">
        <f t="shared" si="165"/>
        <v>93.398405331042127</v>
      </c>
      <c r="Z50" s="158">
        <f t="shared" si="165"/>
        <v>102.73824586414635</v>
      </c>
      <c r="AA50" s="158">
        <f t="shared" si="165"/>
        <v>113.01207045056098</v>
      </c>
      <c r="AB50" s="158">
        <f t="shared" si="165"/>
        <v>124.3132774956171</v>
      </c>
      <c r="AC50" s="138">
        <f t="shared" ref="AC50" si="166">((AB50/G50)^(1/($AB$3-$H$1) ))-1</f>
        <v>1.196741058185391E-2</v>
      </c>
      <c r="AD50" s="31">
        <f t="shared" si="17"/>
        <v>0.05</v>
      </c>
      <c r="AE50" s="146">
        <f t="shared" si="163"/>
        <v>1087.7411780866496</v>
      </c>
    </row>
    <row r="51" spans="2:31">
      <c r="B51" s="20"/>
      <c r="C51" s="133"/>
      <c r="D51" s="133"/>
      <c r="E51" s="133"/>
      <c r="F51" s="133"/>
      <c r="G51" s="133"/>
      <c r="H51" s="133"/>
      <c r="I51" s="133"/>
      <c r="J51" s="133"/>
      <c r="K51" s="133"/>
      <c r="L51" s="133"/>
      <c r="M51" s="133"/>
      <c r="N51" s="133"/>
      <c r="O51" s="133"/>
      <c r="P51" s="133"/>
      <c r="Q51" s="128"/>
      <c r="R51" s="128"/>
      <c r="S51" s="158"/>
      <c r="T51" s="158"/>
      <c r="U51" s="158"/>
      <c r="V51" s="158"/>
      <c r="W51" s="158"/>
      <c r="X51" s="158"/>
      <c r="Y51" s="158"/>
      <c r="Z51" s="158"/>
      <c r="AA51" s="158"/>
      <c r="AB51" s="158"/>
      <c r="AC51" s="119"/>
      <c r="AD51" s="137"/>
      <c r="AE51" s="146"/>
    </row>
    <row r="52" spans="2:31">
      <c r="B52" s="20" t="s">
        <v>257</v>
      </c>
      <c r="C52" s="25">
        <f t="shared" ref="C52:P52" si="167">C40/C42</f>
        <v>0</v>
      </c>
      <c r="D52" s="25">
        <f t="shared" si="167"/>
        <v>0</v>
      </c>
      <c r="E52" s="25">
        <f t="shared" si="167"/>
        <v>0</v>
      </c>
      <c r="F52" s="133">
        <f t="shared" si="167"/>
        <v>0</v>
      </c>
      <c r="G52" s="133">
        <f t="shared" si="167"/>
        <v>21.460423634336678</v>
      </c>
      <c r="H52" s="133">
        <f t="shared" si="167"/>
        <v>0</v>
      </c>
      <c r="I52" s="133">
        <f t="shared" si="167"/>
        <v>9.7771624472573837</v>
      </c>
      <c r="J52" s="133">
        <f t="shared" si="167"/>
        <v>11.60819865983445</v>
      </c>
      <c r="K52" s="133">
        <f t="shared" si="167"/>
        <v>9.1231527093596068</v>
      </c>
      <c r="L52" s="133">
        <f t="shared" si="167"/>
        <v>7.9805736037277679</v>
      </c>
      <c r="M52" s="133">
        <f t="shared" si="167"/>
        <v>8.2494443718133095</v>
      </c>
      <c r="N52" s="133">
        <f t="shared" si="167"/>
        <v>7.9971322427165479</v>
      </c>
      <c r="O52" s="133">
        <f t="shared" si="167"/>
        <v>8.3717009273069181</v>
      </c>
      <c r="P52" s="133">
        <f t="shared" si="167"/>
        <v>8.3911549186174685</v>
      </c>
      <c r="Q52" s="118">
        <f>((P52/G52)^(1/($H$2-$H$1) ))-1</f>
        <v>-9.9078295510322989E-2</v>
      </c>
      <c r="R52" s="128"/>
      <c r="S52" s="158">
        <f t="shared" ref="S52:AB52" si="168">S40/S42</f>
        <v>9.2302704104792159</v>
      </c>
      <c r="T52" s="158">
        <f t="shared" si="168"/>
        <v>10.153297451527139</v>
      </c>
      <c r="U52" s="158">
        <f t="shared" si="168"/>
        <v>11.168627196679854</v>
      </c>
      <c r="V52" s="158">
        <f t="shared" si="168"/>
        <v>12.28548991634784</v>
      </c>
      <c r="W52" s="158">
        <f t="shared" si="168"/>
        <v>13.514038907982624</v>
      </c>
      <c r="X52" s="158">
        <f t="shared" si="168"/>
        <v>14.865442798780888</v>
      </c>
      <c r="Y52" s="158">
        <f t="shared" si="168"/>
        <v>16.351987078658979</v>
      </c>
      <c r="Z52" s="158">
        <f t="shared" si="168"/>
        <v>17.987185786524879</v>
      </c>
      <c r="AA52" s="158">
        <f t="shared" si="168"/>
        <v>19.785904365177366</v>
      </c>
      <c r="AB52" s="158">
        <f t="shared" si="168"/>
        <v>21.764494801695104</v>
      </c>
      <c r="AC52" s="138">
        <f t="shared" ref="AC52:AC66" si="169">((AB52/G52)^(1/($AB$3-$H$1) ))-1</f>
        <v>7.4077347816503547E-4</v>
      </c>
      <c r="AD52" s="31">
        <f t="shared" si="17"/>
        <v>0.05</v>
      </c>
      <c r="AE52" s="146">
        <f t="shared" ref="AE52:AE80" si="170">(AB52*(1+AD52))/($C$1-AD52)</f>
        <v>190.43932951483214</v>
      </c>
    </row>
    <row r="53" spans="2:31">
      <c r="B53" s="20" t="s">
        <v>387</v>
      </c>
      <c r="C53" s="133">
        <f t="shared" ref="C53:F53" si="171">C20/C42</f>
        <v>0</v>
      </c>
      <c r="D53" s="133">
        <f t="shared" si="171"/>
        <v>0</v>
      </c>
      <c r="E53" s="133">
        <f t="shared" si="171"/>
        <v>0</v>
      </c>
      <c r="F53" s="133">
        <f t="shared" si="171"/>
        <v>0</v>
      </c>
      <c r="G53" s="133">
        <f>G20/G42</f>
        <v>26.421404682274247</v>
      </c>
      <c r="H53" s="133">
        <f t="shared" ref="H53:P53" si="172">H20/H42</f>
        <v>30.546265328874021</v>
      </c>
      <c r="I53" s="133">
        <f t="shared" si="172"/>
        <v>11.840717299578058</v>
      </c>
      <c r="J53" s="133">
        <f t="shared" si="172"/>
        <v>10.235185915122848</v>
      </c>
      <c r="K53" s="133">
        <f t="shared" si="172"/>
        <v>6.3448275862068968</v>
      </c>
      <c r="L53" s="133">
        <f t="shared" si="172"/>
        <v>13.972566778237185</v>
      </c>
      <c r="M53" s="133">
        <f t="shared" si="172"/>
        <v>12.24996731598902</v>
      </c>
      <c r="N53" s="133">
        <f t="shared" si="172"/>
        <v>9.9915270807534373</v>
      </c>
      <c r="O53" s="133">
        <f t="shared" si="172"/>
        <v>12.042020621230789</v>
      </c>
      <c r="P53" s="133">
        <f t="shared" si="172"/>
        <v>7.7815965242202187</v>
      </c>
      <c r="Q53" s="118">
        <f>((P53/G53)^(1/($H$2-$H$1) ))-1</f>
        <v>-0.12700343678811843</v>
      </c>
      <c r="R53" s="128"/>
      <c r="S53" s="133">
        <f t="shared" ref="S53:AB53" si="173">S20/S42</f>
        <v>8.5597561766422405</v>
      </c>
      <c r="T53" s="133">
        <f t="shared" si="173"/>
        <v>9.4157317943064669</v>
      </c>
      <c r="U53" s="133">
        <f t="shared" si="173"/>
        <v>10.357304973737113</v>
      </c>
      <c r="V53" s="133">
        <f t="shared" si="173"/>
        <v>11.393035471110826</v>
      </c>
      <c r="W53" s="133">
        <f t="shared" si="173"/>
        <v>12.53233901822191</v>
      </c>
      <c r="X53" s="133">
        <f t="shared" si="173"/>
        <v>13.785572920044102</v>
      </c>
      <c r="Y53" s="133">
        <f t="shared" si="173"/>
        <v>15.16413021204851</v>
      </c>
      <c r="Z53" s="133">
        <f t="shared" si="173"/>
        <v>16.680543233253363</v>
      </c>
      <c r="AA53" s="133">
        <f t="shared" si="173"/>
        <v>18.348597556578699</v>
      </c>
      <c r="AB53" s="133">
        <f t="shared" si="173"/>
        <v>20.183457312236573</v>
      </c>
      <c r="AC53" s="138">
        <f t="shared" ref="AC53" si="174">((AB53/G53)^(1/($AB$3-$H$1) ))-1</f>
        <v>-1.4074288559887571E-2</v>
      </c>
      <c r="AD53" s="31">
        <f t="shared" si="17"/>
        <v>0.05</v>
      </c>
      <c r="AE53" s="146">
        <f t="shared" si="170"/>
        <v>176.60525148207003</v>
      </c>
    </row>
    <row r="54" spans="2:31">
      <c r="B54" s="20" t="s">
        <v>245</v>
      </c>
      <c r="C54" s="25">
        <f t="shared" ref="C54:P54" si="175">C7/C42</f>
        <v>0</v>
      </c>
      <c r="D54" s="25">
        <f t="shared" si="175"/>
        <v>0</v>
      </c>
      <c r="E54" s="25">
        <f t="shared" si="175"/>
        <v>0</v>
      </c>
      <c r="F54" s="133">
        <f t="shared" si="175"/>
        <v>0</v>
      </c>
      <c r="G54" s="133">
        <f t="shared" si="175"/>
        <v>97.101449275362313</v>
      </c>
      <c r="H54" s="133">
        <f t="shared" si="175"/>
        <v>97.101449275362313</v>
      </c>
      <c r="I54" s="133">
        <f t="shared" si="175"/>
        <v>25.712025316455694</v>
      </c>
      <c r="J54" s="133">
        <f t="shared" si="175"/>
        <v>31.92090395480226</v>
      </c>
      <c r="K54" s="133">
        <f t="shared" si="175"/>
        <v>37.247947454844009</v>
      </c>
      <c r="L54" s="133">
        <f t="shared" si="175"/>
        <v>42.442738071798907</v>
      </c>
      <c r="M54" s="133">
        <f t="shared" si="175"/>
        <v>47.888612890573931</v>
      </c>
      <c r="N54" s="133">
        <f t="shared" si="175"/>
        <v>52.558169849442741</v>
      </c>
      <c r="O54" s="133">
        <f t="shared" si="175"/>
        <v>57.045587186304388</v>
      </c>
      <c r="P54" s="133">
        <f t="shared" si="175"/>
        <v>61.701575773296149</v>
      </c>
      <c r="Q54" s="118">
        <f>((P54/G54)^(1/($H$2-$H$1) ))-1</f>
        <v>-4.9134808746859715E-2</v>
      </c>
      <c r="R54" s="128"/>
      <c r="S54" s="158">
        <f t="shared" ref="S54:AB54" si="176">S7/S42</f>
        <v>67.87173335062576</v>
      </c>
      <c r="T54" s="158">
        <f t="shared" si="176"/>
        <v>74.658906685688351</v>
      </c>
      <c r="U54" s="158">
        <f t="shared" si="176"/>
        <v>82.124797354257197</v>
      </c>
      <c r="V54" s="158">
        <f t="shared" si="176"/>
        <v>90.337277089682914</v>
      </c>
      <c r="W54" s="158">
        <f t="shared" si="176"/>
        <v>99.371004798651228</v>
      </c>
      <c r="X54" s="158">
        <f t="shared" si="176"/>
        <v>109.30810527851634</v>
      </c>
      <c r="Y54" s="158">
        <f t="shared" si="176"/>
        <v>120.238915806368</v>
      </c>
      <c r="Z54" s="158">
        <f t="shared" si="176"/>
        <v>132.26280738700481</v>
      </c>
      <c r="AA54" s="158">
        <f t="shared" si="176"/>
        <v>145.48908812570531</v>
      </c>
      <c r="AB54" s="158">
        <f t="shared" si="176"/>
        <v>160.03799693827585</v>
      </c>
      <c r="AC54" s="138">
        <f t="shared" si="169"/>
        <v>2.6646463637440609E-2</v>
      </c>
      <c r="AD54" s="31">
        <f t="shared" si="17"/>
        <v>0.05</v>
      </c>
      <c r="AE54" s="146">
        <f t="shared" si="170"/>
        <v>1400.3324732099136</v>
      </c>
    </row>
    <row r="55" spans="2:31">
      <c r="B55" s="20" t="s">
        <v>246</v>
      </c>
      <c r="C55" s="127">
        <f t="shared" ref="C55:P55" si="177">C6/C42</f>
        <v>0</v>
      </c>
      <c r="D55" s="127">
        <f t="shared" si="177"/>
        <v>0</v>
      </c>
      <c r="E55" s="127">
        <f t="shared" si="177"/>
        <v>0</v>
      </c>
      <c r="F55" s="144">
        <f t="shared" si="177"/>
        <v>0</v>
      </c>
      <c r="G55" s="144">
        <f t="shared" si="177"/>
        <v>87.123745819397982</v>
      </c>
      <c r="H55" s="144">
        <f t="shared" si="177"/>
        <v>87.123745819397982</v>
      </c>
      <c r="I55" s="144">
        <f t="shared" si="177"/>
        <v>23.701213080168774</v>
      </c>
      <c r="J55" s="144">
        <f t="shared" si="177"/>
        <v>29.917225068979111</v>
      </c>
      <c r="K55" s="144">
        <f t="shared" si="177"/>
        <v>35.244663382594418</v>
      </c>
      <c r="L55" s="144">
        <f t="shared" si="177"/>
        <v>40.441031699153378</v>
      </c>
      <c r="M55" s="144">
        <f t="shared" si="177"/>
        <v>45.881814616289716</v>
      </c>
      <c r="N55" s="144">
        <f t="shared" si="177"/>
        <v>50.557257381216189</v>
      </c>
      <c r="O55" s="144">
        <f t="shared" si="177"/>
        <v>55.04182608131768</v>
      </c>
      <c r="P55" s="144">
        <f t="shared" si="177"/>
        <v>61.571882497892481</v>
      </c>
      <c r="Q55" s="118">
        <f>((P55/G55)^(1/($H$2-$H$1) ))-1</f>
        <v>-3.7835024828402619E-2</v>
      </c>
      <c r="R55" s="128"/>
      <c r="S55" s="157">
        <f t="shared" ref="S55:AB55" si="178">S6/S42</f>
        <v>67.729070747681732</v>
      </c>
      <c r="T55" s="157">
        <f t="shared" si="178"/>
        <v>74.501977822449902</v>
      </c>
      <c r="U55" s="157">
        <f t="shared" si="178"/>
        <v>81.952175604694901</v>
      </c>
      <c r="V55" s="157">
        <f t="shared" si="178"/>
        <v>90.147393165164402</v>
      </c>
      <c r="W55" s="157">
        <f t="shared" si="178"/>
        <v>99.162132481680842</v>
      </c>
      <c r="X55" s="157">
        <f t="shared" si="178"/>
        <v>109.07834572984895</v>
      </c>
      <c r="Y55" s="157">
        <f t="shared" si="178"/>
        <v>119.98618030283384</v>
      </c>
      <c r="Z55" s="157">
        <f t="shared" si="178"/>
        <v>131.98479833311723</v>
      </c>
      <c r="AA55" s="157">
        <f t="shared" si="178"/>
        <v>145.18327816642898</v>
      </c>
      <c r="AB55" s="157">
        <f t="shared" si="178"/>
        <v>159.70160598307189</v>
      </c>
      <c r="AC55" s="138">
        <f t="shared" si="169"/>
        <v>3.2407609861765829E-2</v>
      </c>
      <c r="AD55" s="31">
        <f t="shared" si="17"/>
        <v>0.05</v>
      </c>
      <c r="AE55" s="146">
        <f t="shared" si="170"/>
        <v>1397.3890523518789</v>
      </c>
    </row>
    <row r="56" spans="2:31">
      <c r="B56" s="20" t="s">
        <v>247</v>
      </c>
      <c r="C56" s="127">
        <f t="shared" ref="C56:P56" si="179">C10/C42</f>
        <v>0</v>
      </c>
      <c r="D56" s="127">
        <f t="shared" si="179"/>
        <v>0</v>
      </c>
      <c r="E56" s="127">
        <f t="shared" si="179"/>
        <v>0</v>
      </c>
      <c r="F56" s="144">
        <f t="shared" si="179"/>
        <v>0</v>
      </c>
      <c r="G56" s="144">
        <f t="shared" si="179"/>
        <v>80.267558528428083</v>
      </c>
      <c r="H56" s="144">
        <f t="shared" si="179"/>
        <v>80.267558528428083</v>
      </c>
      <c r="I56" s="144">
        <f t="shared" si="179"/>
        <v>5.702795358649789</v>
      </c>
      <c r="J56" s="144">
        <f t="shared" si="179"/>
        <v>2.2204703718302459</v>
      </c>
      <c r="K56" s="144">
        <f t="shared" si="179"/>
        <v>1.8850574712643677</v>
      </c>
      <c r="L56" s="144">
        <f t="shared" si="179"/>
        <v>1.0894533044562578</v>
      </c>
      <c r="M56" s="144">
        <f t="shared" si="179"/>
        <v>0.42489214276375997</v>
      </c>
      <c r="N56" s="144">
        <f t="shared" si="179"/>
        <v>0.37802255100045623</v>
      </c>
      <c r="O56" s="144">
        <f t="shared" si="179"/>
        <v>0.31774852473899229</v>
      </c>
      <c r="P56" s="144">
        <f t="shared" si="179"/>
        <v>0.18805524933532194</v>
      </c>
      <c r="Q56" s="118">
        <f>((P56/G56)^(1/($H$2-$H$1) ))-1</f>
        <v>-0.48978938525526161</v>
      </c>
      <c r="R56" s="128"/>
      <c r="S56" s="157">
        <f t="shared" ref="S56:AB56" si="180">S10/S42</f>
        <v>0.20686077426885416</v>
      </c>
      <c r="T56" s="157">
        <f t="shared" si="180"/>
        <v>0.2275468516957396</v>
      </c>
      <c r="U56" s="157">
        <f t="shared" si="180"/>
        <v>0.25030153686531353</v>
      </c>
      <c r="V56" s="157">
        <f t="shared" si="180"/>
        <v>0.27533169055184492</v>
      </c>
      <c r="W56" s="157">
        <f t="shared" si="180"/>
        <v>0.30286485960702941</v>
      </c>
      <c r="X56" s="157">
        <f t="shared" si="180"/>
        <v>0.3331513455677324</v>
      </c>
      <c r="Y56" s="157">
        <f t="shared" si="180"/>
        <v>0.36646648012450567</v>
      </c>
      <c r="Z56" s="157">
        <f t="shared" si="180"/>
        <v>0.40311312813695627</v>
      </c>
      <c r="AA56" s="157">
        <f t="shared" si="180"/>
        <v>0.44342444095065192</v>
      </c>
      <c r="AB56" s="157">
        <f t="shared" si="180"/>
        <v>0.48776688504571719</v>
      </c>
      <c r="AC56" s="138">
        <f t="shared" si="169"/>
        <v>-0.23554632726133951</v>
      </c>
      <c r="AD56" s="31">
        <f t="shared" si="17"/>
        <v>0.05</v>
      </c>
      <c r="AE56" s="146">
        <f t="shared" si="170"/>
        <v>4.2679602441500251</v>
      </c>
    </row>
    <row r="57" spans="2:31">
      <c r="B57" s="20"/>
      <c r="C57" s="127"/>
      <c r="D57" s="127"/>
      <c r="E57" s="127"/>
      <c r="F57" s="144"/>
      <c r="G57" s="144"/>
      <c r="H57" s="144"/>
      <c r="I57" s="144"/>
      <c r="J57" s="144"/>
      <c r="K57" s="144"/>
      <c r="L57" s="144"/>
      <c r="M57" s="144"/>
      <c r="N57" s="144"/>
      <c r="O57" s="144"/>
      <c r="P57" s="144"/>
      <c r="Q57" s="128"/>
      <c r="R57" s="128"/>
      <c r="S57" s="157"/>
      <c r="T57" s="157"/>
      <c r="U57" s="157"/>
      <c r="V57" s="157"/>
      <c r="W57" s="157"/>
      <c r="X57" s="157"/>
      <c r="Y57" s="157"/>
      <c r="Z57" s="157"/>
      <c r="AA57" s="157"/>
      <c r="AB57" s="157"/>
      <c r="AC57" s="139"/>
      <c r="AD57" s="137"/>
      <c r="AE57" s="146"/>
    </row>
    <row r="58" spans="2:31">
      <c r="B58" s="20" t="s">
        <v>270</v>
      </c>
      <c r="C58" s="127">
        <f t="shared" ref="C58:P58" si="181">(C7-C10)/C42</f>
        <v>0</v>
      </c>
      <c r="D58" s="127">
        <f t="shared" si="181"/>
        <v>0</v>
      </c>
      <c r="E58" s="127">
        <f t="shared" si="181"/>
        <v>0</v>
      </c>
      <c r="F58" s="144">
        <f t="shared" si="181"/>
        <v>0</v>
      </c>
      <c r="G58" s="144">
        <f t="shared" si="181"/>
        <v>16.833890746934223</v>
      </c>
      <c r="H58" s="144">
        <f t="shared" si="181"/>
        <v>16.833890746934223</v>
      </c>
      <c r="I58" s="144">
        <f t="shared" si="181"/>
        <v>20.009229957805907</v>
      </c>
      <c r="J58" s="144">
        <f t="shared" si="181"/>
        <v>29.700433582972014</v>
      </c>
      <c r="K58" s="144">
        <f t="shared" si="181"/>
        <v>35.362889983579642</v>
      </c>
      <c r="L58" s="144">
        <f t="shared" si="181"/>
        <v>41.35328476734265</v>
      </c>
      <c r="M58" s="144">
        <f t="shared" si="181"/>
        <v>47.463720747810171</v>
      </c>
      <c r="N58" s="144">
        <f t="shared" si="181"/>
        <v>52.180147298442286</v>
      </c>
      <c r="O58" s="144">
        <f t="shared" si="181"/>
        <v>56.727838661565393</v>
      </c>
      <c r="P58" s="144">
        <f t="shared" si="181"/>
        <v>61.513520523960828</v>
      </c>
      <c r="Q58" s="118">
        <f>((P58/G58)^(1/($H$2-$H$1) ))-1</f>
        <v>0.1548665076893232</v>
      </c>
      <c r="R58" s="128"/>
      <c r="S58" s="157">
        <f t="shared" ref="S58:AB58" si="182">(S7-S10)/S42</f>
        <v>67.664872576356913</v>
      </c>
      <c r="T58" s="157">
        <f t="shared" si="182"/>
        <v>74.431359833992616</v>
      </c>
      <c r="U58" s="157">
        <f t="shared" si="182"/>
        <v>81.874495817391875</v>
      </c>
      <c r="V58" s="157">
        <f t="shared" si="182"/>
        <v>90.061945399131076</v>
      </c>
      <c r="W58" s="157">
        <f t="shared" si="182"/>
        <v>99.068139939044201</v>
      </c>
      <c r="X58" s="157">
        <f t="shared" si="182"/>
        <v>108.97495393294861</v>
      </c>
      <c r="Y58" s="157">
        <f t="shared" si="182"/>
        <v>119.8724493262435</v>
      </c>
      <c r="Z58" s="157">
        <f t="shared" si="182"/>
        <v>131.85969425886785</v>
      </c>
      <c r="AA58" s="157">
        <f t="shared" si="182"/>
        <v>145.04566368475466</v>
      </c>
      <c r="AB58" s="157">
        <f t="shared" si="182"/>
        <v>159.55023005323014</v>
      </c>
      <c r="AC58" s="138">
        <f t="shared" si="169"/>
        <v>0.12565665609209886</v>
      </c>
      <c r="AD58" s="31">
        <f t="shared" si="17"/>
        <v>0.05</v>
      </c>
      <c r="AE58" s="146">
        <f t="shared" si="170"/>
        <v>1396.0645129657637</v>
      </c>
    </row>
    <row r="59" spans="2:31">
      <c r="B59" s="20" t="s">
        <v>271</v>
      </c>
      <c r="C59" s="127">
        <f t="shared" ref="C59:P59" si="183">(C7-C10-C9)/C42</f>
        <v>0</v>
      </c>
      <c r="D59" s="127">
        <f t="shared" si="183"/>
        <v>0</v>
      </c>
      <c r="E59" s="127">
        <f t="shared" si="183"/>
        <v>0</v>
      </c>
      <c r="F59" s="144">
        <f t="shared" si="183"/>
        <v>0</v>
      </c>
      <c r="G59" s="144">
        <f t="shared" si="183"/>
        <v>-26.309921962095874</v>
      </c>
      <c r="H59" s="144">
        <f t="shared" si="183"/>
        <v>-26.309921962095874</v>
      </c>
      <c r="I59" s="144">
        <f t="shared" si="183"/>
        <v>13.950421940928269</v>
      </c>
      <c r="J59" s="144">
        <f t="shared" si="183"/>
        <v>22.763106030744975</v>
      </c>
      <c r="K59" s="144">
        <f t="shared" si="183"/>
        <v>34.417077175697862</v>
      </c>
      <c r="L59" s="144">
        <f t="shared" si="183"/>
        <v>30.95753757301306</v>
      </c>
      <c r="M59" s="144">
        <f t="shared" si="183"/>
        <v>35.069943783501117</v>
      </c>
      <c r="N59" s="144">
        <f t="shared" si="183"/>
        <v>37.456820699993479</v>
      </c>
      <c r="O59" s="144">
        <f t="shared" si="183"/>
        <v>42.682056935347902</v>
      </c>
      <c r="P59" s="144">
        <f t="shared" si="183"/>
        <v>46.287529991569933</v>
      </c>
      <c r="Q59" s="118">
        <f>((P59/G59)^(1/($H$2-$H$1) ))-1</f>
        <v>-2.0647814930301864</v>
      </c>
      <c r="R59" s="128"/>
      <c r="S59" s="157">
        <f t="shared" ref="S59:AB59" si="184">(S7-S10-S9)/S42</f>
        <v>50.916282990726927</v>
      </c>
      <c r="T59" s="157">
        <f t="shared" si="184"/>
        <v>56.00791128979963</v>
      </c>
      <c r="U59" s="157">
        <f t="shared" si="184"/>
        <v>61.608702418779593</v>
      </c>
      <c r="V59" s="157">
        <f t="shared" si="184"/>
        <v>67.769572660657573</v>
      </c>
      <c r="W59" s="157">
        <f t="shared" si="184"/>
        <v>74.546529926723323</v>
      </c>
      <c r="X59" s="157">
        <f t="shared" si="184"/>
        <v>82.00118291939566</v>
      </c>
      <c r="Y59" s="157">
        <f t="shared" si="184"/>
        <v>90.201301211335249</v>
      </c>
      <c r="Z59" s="157">
        <f t="shared" si="184"/>
        <v>99.221431332468768</v>
      </c>
      <c r="AA59" s="157">
        <f t="shared" si="184"/>
        <v>109.14357446571564</v>
      </c>
      <c r="AB59" s="157">
        <f t="shared" si="184"/>
        <v>120.05793191228724</v>
      </c>
      <c r="AC59" s="138">
        <f t="shared" si="169"/>
        <v>-2.0831746547236225</v>
      </c>
      <c r="AD59" s="31">
        <f t="shared" si="17"/>
        <v>0.05</v>
      </c>
      <c r="AE59" s="146">
        <f t="shared" si="170"/>
        <v>1050.5069042325133</v>
      </c>
    </row>
    <row r="60" spans="2:31">
      <c r="B60" s="20" t="s">
        <v>276</v>
      </c>
      <c r="C60" s="127">
        <f t="shared" ref="C60:P60" si="185">(C7+C15-C10-C9)/C42</f>
        <v>0</v>
      </c>
      <c r="D60" s="127">
        <f t="shared" si="185"/>
        <v>0</v>
      </c>
      <c r="E60" s="127">
        <f t="shared" si="185"/>
        <v>0</v>
      </c>
      <c r="F60" s="144">
        <f t="shared" si="185"/>
        <v>0</v>
      </c>
      <c r="G60" s="144">
        <f t="shared" si="185"/>
        <v>6.465997770345596</v>
      </c>
      <c r="H60" s="144">
        <f t="shared" si="185"/>
        <v>6.465997770345596</v>
      </c>
      <c r="I60" s="144">
        <f t="shared" si="185"/>
        <v>18.380801687763711</v>
      </c>
      <c r="J60" s="144">
        <f t="shared" si="185"/>
        <v>28.261726448561294</v>
      </c>
      <c r="K60" s="144">
        <f t="shared" si="185"/>
        <v>42.876847290640391</v>
      </c>
      <c r="L60" s="144">
        <f t="shared" si="185"/>
        <v>37.205486644352561</v>
      </c>
      <c r="M60" s="144">
        <f t="shared" si="185"/>
        <v>43.097136880637997</v>
      </c>
      <c r="N60" s="144">
        <f t="shared" si="185"/>
        <v>58.626083556019026</v>
      </c>
      <c r="O60" s="144">
        <f t="shared" si="185"/>
        <v>65.164386226574152</v>
      </c>
      <c r="P60" s="144">
        <f t="shared" si="185"/>
        <v>69.022761169833345</v>
      </c>
      <c r="Q60" s="118">
        <f>((P60/G60)^(1/($H$2-$H$1) ))-1</f>
        <v>0.30095377079521546</v>
      </c>
      <c r="R60" s="128"/>
      <c r="S60" s="157">
        <f t="shared" ref="S60:AB60" si="186">(S7+S15-S10-S9)/S42</f>
        <v>75.925037286816689</v>
      </c>
      <c r="T60" s="157">
        <f t="shared" si="186"/>
        <v>83.517541015498367</v>
      </c>
      <c r="U60" s="157">
        <f t="shared" si="186"/>
        <v>91.86929511704821</v>
      </c>
      <c r="V60" s="157">
        <f t="shared" si="186"/>
        <v>101.05622462875303</v>
      </c>
      <c r="W60" s="157">
        <f t="shared" si="186"/>
        <v>111.16184709162835</v>
      </c>
      <c r="X60" s="157">
        <f t="shared" si="186"/>
        <v>122.27803180079117</v>
      </c>
      <c r="Y60" s="157">
        <f t="shared" si="186"/>
        <v>134.50583498087033</v>
      </c>
      <c r="Z60" s="157">
        <f t="shared" si="186"/>
        <v>147.95641847895737</v>
      </c>
      <c r="AA60" s="157">
        <f t="shared" si="186"/>
        <v>162.75206032685313</v>
      </c>
      <c r="AB60" s="157">
        <f t="shared" si="186"/>
        <v>179.02726635953846</v>
      </c>
      <c r="AC60" s="138">
        <f t="shared" si="169"/>
        <v>0.19099424991010139</v>
      </c>
      <c r="AD60" s="31">
        <f t="shared" si="17"/>
        <v>0.05</v>
      </c>
      <c r="AE60" s="146">
        <f t="shared" si="170"/>
        <v>1566.4885806459615</v>
      </c>
    </row>
    <row r="61" spans="2:31">
      <c r="B61" s="20"/>
      <c r="C61" s="127"/>
      <c r="D61" s="127"/>
      <c r="E61" s="127"/>
      <c r="F61" s="144"/>
      <c r="G61" s="144"/>
      <c r="H61" s="144"/>
      <c r="I61" s="144"/>
      <c r="J61" s="144"/>
      <c r="K61" s="144"/>
      <c r="L61" s="144"/>
      <c r="M61" s="144"/>
      <c r="N61" s="144"/>
      <c r="O61" s="144"/>
      <c r="P61" s="144"/>
      <c r="Q61" s="128"/>
      <c r="R61" s="128"/>
      <c r="S61" s="154"/>
      <c r="T61" s="154"/>
      <c r="U61" s="154"/>
      <c r="V61" s="154"/>
      <c r="W61" s="154"/>
      <c r="X61" s="154"/>
      <c r="Y61" s="154"/>
      <c r="Z61" s="154"/>
      <c r="AA61" s="154"/>
      <c r="AB61" s="154"/>
      <c r="AC61" s="139"/>
      <c r="AD61" s="137"/>
      <c r="AE61" s="154"/>
    </row>
    <row r="62" spans="2:31">
      <c r="B62" s="20" t="s">
        <v>248</v>
      </c>
      <c r="C62" s="127">
        <f t="shared" ref="C62:P62" si="187">C12/C42</f>
        <v>0</v>
      </c>
      <c r="D62" s="127">
        <f t="shared" si="187"/>
        <v>0</v>
      </c>
      <c r="E62" s="127">
        <f t="shared" si="187"/>
        <v>0</v>
      </c>
      <c r="F62" s="144">
        <f t="shared" si="187"/>
        <v>0</v>
      </c>
      <c r="G62" s="144">
        <f t="shared" si="187"/>
        <v>7.4693422519509474</v>
      </c>
      <c r="H62" s="144">
        <f t="shared" si="187"/>
        <v>7.4693422519509474</v>
      </c>
      <c r="I62" s="144">
        <f t="shared" si="187"/>
        <v>2.4986814345991561</v>
      </c>
      <c r="J62" s="144">
        <f t="shared" si="187"/>
        <v>4.2832742083826041</v>
      </c>
      <c r="K62" s="144">
        <f t="shared" si="187"/>
        <v>5.5960591133004929</v>
      </c>
      <c r="L62" s="144">
        <f t="shared" si="187"/>
        <v>5.7819780796744764</v>
      </c>
      <c r="M62" s="144">
        <f t="shared" si="187"/>
        <v>11.419793437050595</v>
      </c>
      <c r="N62" s="144">
        <f t="shared" si="187"/>
        <v>13.511047383171478</v>
      </c>
      <c r="O62" s="144">
        <f t="shared" si="187"/>
        <v>14.655340120614746</v>
      </c>
      <c r="P62" s="144">
        <f t="shared" si="187"/>
        <v>15.18059788599961</v>
      </c>
      <c r="Q62" s="118">
        <f>((P62/G62)^(1/($H$2-$H$1) ))-1</f>
        <v>8.198925104250776E-2</v>
      </c>
      <c r="R62" s="128"/>
      <c r="S62" s="157">
        <f t="shared" ref="S62:AB62" si="188">S12/S42</f>
        <v>16.698657674599573</v>
      </c>
      <c r="T62" s="157">
        <f t="shared" si="188"/>
        <v>18.368523442059534</v>
      </c>
      <c r="U62" s="157">
        <f t="shared" si="188"/>
        <v>20.205375786265488</v>
      </c>
      <c r="V62" s="157">
        <f t="shared" si="188"/>
        <v>22.225913364892037</v>
      </c>
      <c r="W62" s="157">
        <f t="shared" si="188"/>
        <v>24.448504701381243</v>
      </c>
      <c r="X62" s="157">
        <f t="shared" si="188"/>
        <v>26.893355171519367</v>
      </c>
      <c r="Y62" s="157">
        <f t="shared" si="188"/>
        <v>29.582690688671306</v>
      </c>
      <c r="Z62" s="157">
        <f t="shared" si="188"/>
        <v>32.540959757538438</v>
      </c>
      <c r="AA62" s="157">
        <f t="shared" si="188"/>
        <v>35.795055733292287</v>
      </c>
      <c r="AB62" s="157">
        <f t="shared" si="188"/>
        <v>39.374561306621523</v>
      </c>
      <c r="AC62" s="138">
        <f t="shared" si="169"/>
        <v>9.1431523115263591E-2</v>
      </c>
      <c r="AD62" s="31">
        <f t="shared" si="17"/>
        <v>0.05</v>
      </c>
      <c r="AE62" s="146">
        <f t="shared" si="170"/>
        <v>344.52741143293832</v>
      </c>
    </row>
    <row r="63" spans="2:31">
      <c r="B63" s="20" t="s">
        <v>255</v>
      </c>
      <c r="C63" s="127">
        <f t="shared" ref="C63:P63" si="189">C13/C42</f>
        <v>0</v>
      </c>
      <c r="D63" s="127">
        <f t="shared" si="189"/>
        <v>0</v>
      </c>
      <c r="E63" s="127">
        <f t="shared" si="189"/>
        <v>0</v>
      </c>
      <c r="F63" s="144">
        <f t="shared" si="189"/>
        <v>0</v>
      </c>
      <c r="G63" s="144">
        <f t="shared" si="189"/>
        <v>60.479375696766994</v>
      </c>
      <c r="H63" s="144">
        <f t="shared" si="189"/>
        <v>60.479375696766994</v>
      </c>
      <c r="I63" s="144">
        <f t="shared" si="189"/>
        <v>10.087025316455696</v>
      </c>
      <c r="J63" s="144">
        <f t="shared" si="189"/>
        <v>9.7227696754697153</v>
      </c>
      <c r="K63" s="144">
        <f t="shared" si="189"/>
        <v>2.1477832512315271</v>
      </c>
      <c r="L63" s="144">
        <f t="shared" si="189"/>
        <v>4.7384655772133621</v>
      </c>
      <c r="M63" s="144">
        <f t="shared" si="189"/>
        <v>4.0593541639429995</v>
      </c>
      <c r="N63" s="144">
        <f t="shared" si="189"/>
        <v>5.2532099328684092</v>
      </c>
      <c r="O63" s="144">
        <f t="shared" si="189"/>
        <v>10.245768756889955</v>
      </c>
      <c r="P63" s="144">
        <f t="shared" si="189"/>
        <v>11.594578821088126</v>
      </c>
      <c r="Q63" s="118">
        <f>((P63/G63)^(1/($H$2-$H$1) ))-1</f>
        <v>-0.16767261016629587</v>
      </c>
      <c r="R63" s="128"/>
      <c r="S63" s="157">
        <f t="shared" ref="S63:AB63" si="190">S13/S42</f>
        <v>12.75403670319694</v>
      </c>
      <c r="T63" s="157">
        <f t="shared" si="190"/>
        <v>14.029440373516636</v>
      </c>
      <c r="U63" s="157">
        <f t="shared" si="190"/>
        <v>15.432384410868302</v>
      </c>
      <c r="V63" s="157">
        <f t="shared" si="190"/>
        <v>16.975622851955134</v>
      </c>
      <c r="W63" s="157">
        <f t="shared" si="190"/>
        <v>18.673185137150647</v>
      </c>
      <c r="X63" s="157">
        <f t="shared" si="190"/>
        <v>20.540503650865713</v>
      </c>
      <c r="Y63" s="157">
        <f t="shared" si="190"/>
        <v>22.594554015952284</v>
      </c>
      <c r="Z63" s="157">
        <f t="shared" si="190"/>
        <v>24.854009417547513</v>
      </c>
      <c r="AA63" s="157">
        <f t="shared" si="190"/>
        <v>27.339410359302263</v>
      </c>
      <c r="AB63" s="157">
        <f t="shared" si="190"/>
        <v>30.073351395232493</v>
      </c>
      <c r="AC63" s="138">
        <f t="shared" si="169"/>
        <v>-3.6103866032029197E-2</v>
      </c>
      <c r="AD63" s="31">
        <f t="shared" si="17"/>
        <v>0.05</v>
      </c>
      <c r="AE63" s="146">
        <f t="shared" si="170"/>
        <v>263.14182470828428</v>
      </c>
    </row>
    <row r="64" spans="2:31">
      <c r="B64" s="20" t="s">
        <v>256</v>
      </c>
      <c r="C64" s="127">
        <f>(C62+C63)</f>
        <v>0</v>
      </c>
      <c r="D64" s="127">
        <f t="shared" ref="D64:P64" si="191">(D62+D63)</f>
        <v>0</v>
      </c>
      <c r="E64" s="127">
        <f t="shared" si="191"/>
        <v>0</v>
      </c>
      <c r="F64" s="144">
        <f t="shared" si="191"/>
        <v>0</v>
      </c>
      <c r="G64" s="144">
        <f t="shared" si="191"/>
        <v>67.948717948717942</v>
      </c>
      <c r="H64" s="144">
        <f t="shared" si="191"/>
        <v>67.948717948717942</v>
      </c>
      <c r="I64" s="144">
        <f t="shared" si="191"/>
        <v>12.585706751054852</v>
      </c>
      <c r="J64" s="144">
        <f t="shared" si="191"/>
        <v>14.006043883852319</v>
      </c>
      <c r="K64" s="144">
        <f t="shared" si="191"/>
        <v>7.7438423645320196</v>
      </c>
      <c r="L64" s="144">
        <f t="shared" si="191"/>
        <v>10.520443656887839</v>
      </c>
      <c r="M64" s="144">
        <f t="shared" si="191"/>
        <v>15.479147600993596</v>
      </c>
      <c r="N64" s="144">
        <f t="shared" si="191"/>
        <v>18.764257316039888</v>
      </c>
      <c r="O64" s="144">
        <f t="shared" ref="O64" si="192">(O62+O63)</f>
        <v>24.901108877504701</v>
      </c>
      <c r="P64" s="144">
        <f t="shared" si="191"/>
        <v>26.775176707087738</v>
      </c>
      <c r="Q64" s="118">
        <f>((P64/G64)^(1/($H$2-$H$1) ))-1</f>
        <v>-9.8301741336072057E-2</v>
      </c>
      <c r="R64" s="128"/>
      <c r="S64" s="157">
        <f t="shared" ref="S64:AB64" si="193">(S62+S63)</f>
        <v>29.452694377796512</v>
      </c>
      <c r="T64" s="157">
        <f t="shared" si="193"/>
        <v>32.397963815576169</v>
      </c>
      <c r="U64" s="157">
        <f t="shared" si="193"/>
        <v>35.637760197133787</v>
      </c>
      <c r="V64" s="157">
        <f t="shared" si="193"/>
        <v>39.201536216847174</v>
      </c>
      <c r="W64" s="157">
        <f t="shared" si="193"/>
        <v>43.121689838531893</v>
      </c>
      <c r="X64" s="157">
        <f t="shared" si="193"/>
        <v>47.433858822385076</v>
      </c>
      <c r="Y64" s="157">
        <f t="shared" si="193"/>
        <v>52.17724470462359</v>
      </c>
      <c r="Z64" s="157">
        <f t="shared" si="193"/>
        <v>57.394969175085947</v>
      </c>
      <c r="AA64" s="157">
        <f t="shared" si="193"/>
        <v>63.13446609259455</v>
      </c>
      <c r="AB64" s="157">
        <f t="shared" si="193"/>
        <v>69.447912701854023</v>
      </c>
      <c r="AC64" s="138">
        <f t="shared" si="169"/>
        <v>1.1492778726225339E-3</v>
      </c>
      <c r="AD64" s="31">
        <f t="shared" si="17"/>
        <v>0.05</v>
      </c>
      <c r="AE64" s="146">
        <f t="shared" si="170"/>
        <v>607.66923614122277</v>
      </c>
    </row>
    <row r="65" spans="2:31">
      <c r="B65" s="20" t="s">
        <v>249</v>
      </c>
      <c r="C65" s="127">
        <f t="shared" ref="C65:P65" si="194">C15/C42</f>
        <v>0</v>
      </c>
      <c r="D65" s="127">
        <f t="shared" si="194"/>
        <v>0</v>
      </c>
      <c r="E65" s="127">
        <f t="shared" si="194"/>
        <v>0</v>
      </c>
      <c r="F65" s="144">
        <f t="shared" si="194"/>
        <v>0</v>
      </c>
      <c r="G65" s="144">
        <f t="shared" si="194"/>
        <v>32.775919732441466</v>
      </c>
      <c r="H65" s="144">
        <f t="shared" si="194"/>
        <v>32.775919732441466</v>
      </c>
      <c r="I65" s="144">
        <f t="shared" si="194"/>
        <v>4.4303797468354427</v>
      </c>
      <c r="J65" s="144">
        <f t="shared" si="194"/>
        <v>5.4986204178163183</v>
      </c>
      <c r="K65" s="144">
        <f t="shared" si="194"/>
        <v>8.4597701149425291</v>
      </c>
      <c r="L65" s="144">
        <f t="shared" si="194"/>
        <v>6.2479490713395025</v>
      </c>
      <c r="M65" s="144">
        <f t="shared" si="194"/>
        <v>8.0271930971368803</v>
      </c>
      <c r="N65" s="144">
        <f t="shared" si="194"/>
        <v>21.169262856025547</v>
      </c>
      <c r="O65" s="144">
        <f t="shared" si="194"/>
        <v>22.48232929122625</v>
      </c>
      <c r="P65" s="144">
        <f t="shared" si="194"/>
        <v>22.735231178263405</v>
      </c>
      <c r="Q65" s="118">
        <f>((P65/G65)^(1/($H$2-$H$1) ))-1</f>
        <v>-3.9827225518358489E-2</v>
      </c>
      <c r="R65" s="128"/>
      <c r="S65" s="157">
        <f t="shared" ref="S65:AB65" si="195">S15/S42</f>
        <v>25.008754296089748</v>
      </c>
      <c r="T65" s="157">
        <f t="shared" si="195"/>
        <v>27.50962972569873</v>
      </c>
      <c r="U65" s="157">
        <f t="shared" si="195"/>
        <v>30.260592698268603</v>
      </c>
      <c r="V65" s="157">
        <f t="shared" si="195"/>
        <v>33.28665196809547</v>
      </c>
      <c r="W65" s="157">
        <f t="shared" si="195"/>
        <v>36.615317164905015</v>
      </c>
      <c r="X65" s="157">
        <f t="shared" si="195"/>
        <v>40.276848881395523</v>
      </c>
      <c r="Y65" s="157">
        <f t="shared" si="195"/>
        <v>44.304533769535077</v>
      </c>
      <c r="Z65" s="157">
        <f t="shared" si="195"/>
        <v>48.734987146488585</v>
      </c>
      <c r="AA65" s="157">
        <f t="shared" si="195"/>
        <v>53.608485861137453</v>
      </c>
      <c r="AB65" s="157">
        <f t="shared" si="195"/>
        <v>58.969334447251207</v>
      </c>
      <c r="AC65" s="138">
        <f t="shared" si="169"/>
        <v>3.1394490836516242E-2</v>
      </c>
      <c r="AD65" s="31">
        <f t="shared" si="17"/>
        <v>0.05</v>
      </c>
      <c r="AE65" s="146">
        <f t="shared" si="170"/>
        <v>515.98167641344799</v>
      </c>
    </row>
    <row r="66" spans="2:31">
      <c r="B66" s="20" t="s">
        <v>250</v>
      </c>
      <c r="C66" s="127">
        <f t="shared" ref="C66:P66" si="196">C16/C42</f>
        <v>0</v>
      </c>
      <c r="D66" s="127">
        <f t="shared" si="196"/>
        <v>0</v>
      </c>
      <c r="E66" s="127">
        <f t="shared" si="196"/>
        <v>0</v>
      </c>
      <c r="F66" s="144">
        <f t="shared" si="196"/>
        <v>0</v>
      </c>
      <c r="G66" s="144">
        <f t="shared" si="196"/>
        <v>-6.6332218506131548</v>
      </c>
      <c r="H66" s="144">
        <f t="shared" si="196"/>
        <v>-6.6332218506131548</v>
      </c>
      <c r="I66" s="144">
        <f t="shared" si="196"/>
        <v>0.59335443037974678</v>
      </c>
      <c r="J66" s="144">
        <f t="shared" si="196"/>
        <v>0.24306924188674287</v>
      </c>
      <c r="K66" s="144">
        <f t="shared" si="196"/>
        <v>3.1724137931034484</v>
      </c>
      <c r="L66" s="144">
        <f t="shared" si="196"/>
        <v>-1.6407429283979786</v>
      </c>
      <c r="M66" s="144">
        <f t="shared" si="196"/>
        <v>1.3531180546476664</v>
      </c>
      <c r="N66" s="144">
        <f t="shared" si="196"/>
        <v>3.6889786873492798</v>
      </c>
      <c r="O66" s="144">
        <f t="shared" si="196"/>
        <v>5.135853705985344</v>
      </c>
      <c r="P66" s="144">
        <f t="shared" si="196"/>
        <v>6.2836391933078266</v>
      </c>
      <c r="Q66" s="118">
        <f>((P66/G66)^(1/($H$2-$H$1) ))-1</f>
        <v>-1.9940023542885177</v>
      </c>
      <c r="R66" s="128"/>
      <c r="S66" s="157">
        <f t="shared" ref="S66:AB66" si="197">S16/S42</f>
        <v>6.9120031126386099</v>
      </c>
      <c r="T66" s="157">
        <f t="shared" si="197"/>
        <v>7.6032034239024719</v>
      </c>
      <c r="U66" s="157">
        <f t="shared" si="197"/>
        <v>8.3635237662927189</v>
      </c>
      <c r="V66" s="157">
        <f t="shared" si="197"/>
        <v>9.1998761429219922</v>
      </c>
      <c r="W66" s="157">
        <f t="shared" si="197"/>
        <v>10.119863757214192</v>
      </c>
      <c r="X66" s="157">
        <f t="shared" si="197"/>
        <v>11.131850132935613</v>
      </c>
      <c r="Y66" s="157">
        <f t="shared" si="197"/>
        <v>12.245035146229174</v>
      </c>
      <c r="Z66" s="157">
        <f t="shared" si="197"/>
        <v>13.469538660852095</v>
      </c>
      <c r="AA66" s="157">
        <f t="shared" si="197"/>
        <v>14.816492526937305</v>
      </c>
      <c r="AB66" s="157">
        <f t="shared" si="197"/>
        <v>16.298141779631035</v>
      </c>
      <c r="AC66" s="138">
        <f t="shared" si="169"/>
        <v>-2.0484508655577374</v>
      </c>
      <c r="AD66" s="137"/>
      <c r="AE66" s="146">
        <f t="shared" si="170"/>
        <v>95.871422233123724</v>
      </c>
    </row>
    <row r="67" spans="2:31">
      <c r="B67" s="20"/>
      <c r="C67" s="127"/>
      <c r="D67" s="127"/>
      <c r="E67" s="127"/>
      <c r="F67" s="144"/>
      <c r="G67" s="144"/>
      <c r="H67" s="144"/>
      <c r="I67" s="144"/>
      <c r="J67" s="144"/>
      <c r="K67" s="144"/>
      <c r="L67" s="144"/>
      <c r="M67" s="144"/>
      <c r="N67" s="144"/>
      <c r="O67" s="144"/>
      <c r="P67" s="144"/>
      <c r="Q67" s="128"/>
      <c r="R67" s="128"/>
      <c r="S67" s="154"/>
      <c r="T67" s="154"/>
      <c r="U67" s="154"/>
      <c r="V67" s="154"/>
      <c r="W67" s="154"/>
      <c r="X67" s="154"/>
      <c r="Y67" s="154"/>
      <c r="Z67" s="154"/>
      <c r="AA67" s="154"/>
      <c r="AB67" s="154"/>
      <c r="AC67" s="139"/>
      <c r="AD67" s="31">
        <f t="shared" si="17"/>
        <v>0.05</v>
      </c>
      <c r="AE67" s="146">
        <f t="shared" si="170"/>
        <v>0</v>
      </c>
    </row>
    <row r="68" spans="2:31">
      <c r="B68" s="20" t="s">
        <v>282</v>
      </c>
      <c r="C68" s="159">
        <f>C43</f>
        <v>0</v>
      </c>
      <c r="D68" s="159">
        <f t="shared" ref="D68:P68" si="198">D43</f>
        <v>0</v>
      </c>
      <c r="E68" s="159">
        <f t="shared" si="198"/>
        <v>0</v>
      </c>
      <c r="F68" s="159">
        <f t="shared" si="198"/>
        <v>0</v>
      </c>
      <c r="G68" s="159">
        <f t="shared" si="198"/>
        <v>8</v>
      </c>
      <c r="H68" s="159">
        <f t="shared" si="198"/>
        <v>1.8</v>
      </c>
      <c r="I68" s="159">
        <f t="shared" si="198"/>
        <v>3.3</v>
      </c>
      <c r="J68" s="159">
        <f t="shared" si="198"/>
        <v>3.5</v>
      </c>
      <c r="K68" s="159">
        <f t="shared" si="198"/>
        <v>2.2000000000000002</v>
      </c>
      <c r="L68" s="159">
        <f t="shared" si="198"/>
        <v>2.4</v>
      </c>
      <c r="M68" s="159">
        <f t="shared" si="198"/>
        <v>2.6</v>
      </c>
      <c r="N68" s="159">
        <f t="shared" si="198"/>
        <v>3.2</v>
      </c>
      <c r="O68" s="159">
        <f t="shared" si="198"/>
        <v>3.6</v>
      </c>
      <c r="P68" s="159">
        <f t="shared" si="198"/>
        <v>3.6</v>
      </c>
      <c r="Q68" s="118">
        <f>((P68/G68)^(1/($H$2-$H$1) ))-1</f>
        <v>-8.4901049890631297E-2</v>
      </c>
      <c r="R68" s="128"/>
      <c r="S68" s="159">
        <f t="shared" ref="S68:AB68" si="199">S43</f>
        <v>3.7800000000000002</v>
      </c>
      <c r="T68" s="159">
        <f t="shared" si="199"/>
        <v>3.9690000000000003</v>
      </c>
      <c r="U68" s="159">
        <f t="shared" si="199"/>
        <v>4.1674500000000005</v>
      </c>
      <c r="V68" s="159">
        <f t="shared" si="199"/>
        <v>4.3758225000000008</v>
      </c>
      <c r="W68" s="159">
        <f t="shared" si="199"/>
        <v>4.5946136250000009</v>
      </c>
      <c r="X68" s="159">
        <f t="shared" si="199"/>
        <v>4.8243443062500013</v>
      </c>
      <c r="Y68" s="159">
        <f t="shared" si="199"/>
        <v>5.0655615215625014</v>
      </c>
      <c r="Z68" s="159">
        <f t="shared" si="199"/>
        <v>5.3188395976406264</v>
      </c>
      <c r="AA68" s="159">
        <f t="shared" si="199"/>
        <v>5.5847815775226577</v>
      </c>
      <c r="AB68" s="159">
        <f t="shared" si="199"/>
        <v>5.8640206563987904</v>
      </c>
      <c r="AC68" s="138">
        <f t="shared" ref="AC68" si="200">((AB68/G68)^(1/($AB$3-$H$1) ))-1</f>
        <v>-1.6214788822287218E-2</v>
      </c>
      <c r="AD68" s="31">
        <f t="shared" si="17"/>
        <v>0.05</v>
      </c>
      <c r="AE68" s="146">
        <f t="shared" si="170"/>
        <v>51.310180743489411</v>
      </c>
    </row>
    <row r="69" spans="2:31">
      <c r="B69" s="20"/>
      <c r="C69" s="127"/>
      <c r="D69" s="127"/>
      <c r="E69" s="127"/>
      <c r="F69" s="144"/>
      <c r="G69" s="144"/>
      <c r="H69" s="144"/>
      <c r="I69" s="144"/>
      <c r="J69" s="144"/>
      <c r="K69" s="144"/>
      <c r="L69" s="144"/>
      <c r="M69" s="144"/>
      <c r="N69" s="144"/>
      <c r="O69" s="144"/>
      <c r="P69" s="144"/>
      <c r="Q69" s="128"/>
      <c r="R69" s="128"/>
      <c r="S69" s="154"/>
      <c r="T69" s="154"/>
      <c r="U69" s="154"/>
      <c r="V69" s="154"/>
      <c r="W69" s="154"/>
      <c r="X69" s="154"/>
      <c r="Y69" s="154"/>
      <c r="Z69" s="154"/>
      <c r="AA69" s="154"/>
      <c r="AB69" s="154"/>
      <c r="AC69" s="139"/>
      <c r="AD69" s="137"/>
      <c r="AE69" s="154"/>
    </row>
    <row r="70" spans="2:31">
      <c r="B70" s="20" t="s">
        <v>316</v>
      </c>
      <c r="C70" s="127">
        <f t="shared" ref="C70:P70" si="201">C20+C21</f>
        <v>0</v>
      </c>
      <c r="D70" s="127">
        <f t="shared" si="201"/>
        <v>0</v>
      </c>
      <c r="E70" s="127">
        <f t="shared" si="201"/>
        <v>0</v>
      </c>
      <c r="F70" s="144">
        <f t="shared" si="201"/>
        <v>0</v>
      </c>
      <c r="G70" s="144">
        <f t="shared" si="201"/>
        <v>232</v>
      </c>
      <c r="H70" s="144">
        <f t="shared" si="201"/>
        <v>295</v>
      </c>
      <c r="I70" s="144">
        <f t="shared" si="201"/>
        <v>1169</v>
      </c>
      <c r="J70" s="144">
        <f t="shared" si="201"/>
        <v>1396</v>
      </c>
      <c r="K70" s="144">
        <f t="shared" si="201"/>
        <v>691</v>
      </c>
      <c r="L70" s="144">
        <f t="shared" si="201"/>
        <v>933</v>
      </c>
      <c r="M70" s="144">
        <f t="shared" si="201"/>
        <v>1347</v>
      </c>
      <c r="N70" s="144">
        <f t="shared" si="201"/>
        <v>1085</v>
      </c>
      <c r="O70" s="144">
        <f t="shared" si="201"/>
        <v>1465</v>
      </c>
      <c r="P70" s="144">
        <f t="shared" si="201"/>
        <v>727</v>
      </c>
      <c r="Q70" s="118">
        <f>((P70/G70)^(1/($H$2-$H$1) ))-1</f>
        <v>0.1353147220568347</v>
      </c>
      <c r="R70" s="128"/>
      <c r="S70" s="144">
        <f t="shared" ref="S70:AB70" si="202">S20+S21</f>
        <v>799.69999999999993</v>
      </c>
      <c r="T70" s="144">
        <f t="shared" si="202"/>
        <v>879.67000000000007</v>
      </c>
      <c r="U70" s="144">
        <f t="shared" si="202"/>
        <v>967.63700000000006</v>
      </c>
      <c r="V70" s="144">
        <f t="shared" si="202"/>
        <v>1064.4007000000001</v>
      </c>
      <c r="W70" s="144">
        <f t="shared" si="202"/>
        <v>1170.8407700000002</v>
      </c>
      <c r="X70" s="144">
        <f t="shared" si="202"/>
        <v>1287.9248470000005</v>
      </c>
      <c r="Y70" s="144">
        <f t="shared" si="202"/>
        <v>1416.7173317000004</v>
      </c>
      <c r="Z70" s="144">
        <f t="shared" si="202"/>
        <v>1558.3890648700005</v>
      </c>
      <c r="AA70" s="144">
        <f t="shared" si="202"/>
        <v>1714.2279713570006</v>
      </c>
      <c r="AB70" s="144">
        <f t="shared" si="202"/>
        <v>1885.6507684927008</v>
      </c>
      <c r="AC70" s="138">
        <f t="shared" ref="AC70:AC75" si="203">((AB70/G70)^(1/($AB$3-$H$1) ))-1</f>
        <v>0.11658896216513703</v>
      </c>
      <c r="AD70" s="31">
        <f t="shared" si="17"/>
        <v>0.05</v>
      </c>
      <c r="AE70" s="146">
        <f t="shared" si="170"/>
        <v>16499.44422431113</v>
      </c>
    </row>
    <row r="71" spans="2:31">
      <c r="B71" s="20"/>
      <c r="C71" s="127"/>
      <c r="D71" s="127"/>
      <c r="E71" s="127"/>
      <c r="F71" s="144"/>
      <c r="G71" s="144"/>
      <c r="H71" s="144"/>
      <c r="I71" s="144"/>
      <c r="J71" s="144"/>
      <c r="K71" s="144"/>
      <c r="L71" s="144"/>
      <c r="M71" s="144"/>
      <c r="N71" s="144"/>
      <c r="O71" s="144"/>
      <c r="P71" s="144"/>
      <c r="Q71" s="128"/>
      <c r="R71" s="128"/>
      <c r="S71" s="146"/>
      <c r="T71" s="146"/>
      <c r="U71" s="146"/>
      <c r="V71" s="146"/>
      <c r="W71" s="146"/>
      <c r="X71" s="146"/>
      <c r="Y71" s="146"/>
      <c r="Z71" s="146"/>
      <c r="AA71" s="146"/>
      <c r="AB71" s="146"/>
      <c r="AC71" s="139"/>
      <c r="AD71" s="137"/>
      <c r="AE71" s="146"/>
    </row>
    <row r="72" spans="2:31">
      <c r="B72" s="20" t="s">
        <v>317</v>
      </c>
      <c r="C72" s="127">
        <f t="shared" ref="C72:P72" si="204">C70/C42</f>
        <v>0</v>
      </c>
      <c r="D72" s="127">
        <f t="shared" si="204"/>
        <v>0</v>
      </c>
      <c r="E72" s="127">
        <f t="shared" si="204"/>
        <v>0</v>
      </c>
      <c r="F72" s="144">
        <f t="shared" si="204"/>
        <v>0</v>
      </c>
      <c r="G72" s="144">
        <f t="shared" si="204"/>
        <v>12.931995540691192</v>
      </c>
      <c r="H72" s="144">
        <f t="shared" si="204"/>
        <v>16.443701226309919</v>
      </c>
      <c r="I72" s="144">
        <f t="shared" si="204"/>
        <v>7.7070147679324892</v>
      </c>
      <c r="J72" s="144">
        <f t="shared" si="204"/>
        <v>9.1709368019971098</v>
      </c>
      <c r="K72" s="144">
        <f t="shared" si="204"/>
        <v>4.5385878489326767</v>
      </c>
      <c r="L72" s="144">
        <f t="shared" si="204"/>
        <v>6.1232526087812555</v>
      </c>
      <c r="M72" s="144">
        <f t="shared" si="204"/>
        <v>8.8050725585043796</v>
      </c>
      <c r="N72" s="144">
        <f t="shared" si="204"/>
        <v>7.0716287557843964</v>
      </c>
      <c r="O72" s="144">
        <f t="shared" si="204"/>
        <v>9.5000324233188511</v>
      </c>
      <c r="P72" s="144">
        <f t="shared" si="204"/>
        <v>4.7143505609234158</v>
      </c>
      <c r="Q72" s="118">
        <f>((P72/G72)^(1/($H$2-$H$1) ))-1</f>
        <v>-0.10606434711815804</v>
      </c>
      <c r="R72" s="128"/>
      <c r="S72" s="146">
        <f t="shared" ref="S72:AB72" si="205">S70/S42</f>
        <v>5.1857856170157568</v>
      </c>
      <c r="T72" s="146">
        <f t="shared" si="205"/>
        <v>5.7043641787173334</v>
      </c>
      <c r="U72" s="146">
        <f t="shared" si="205"/>
        <v>6.274800596589067</v>
      </c>
      <c r="V72" s="146">
        <f t="shared" si="205"/>
        <v>6.9022806562479744</v>
      </c>
      <c r="W72" s="146">
        <f t="shared" si="205"/>
        <v>7.5925087218727718</v>
      </c>
      <c r="X72" s="146">
        <f t="shared" si="205"/>
        <v>8.3517595940600504</v>
      </c>
      <c r="Y72" s="146">
        <f t="shared" si="205"/>
        <v>9.1869355534660553</v>
      </c>
      <c r="Z72" s="146">
        <f t="shared" si="205"/>
        <v>10.105629108812661</v>
      </c>
      <c r="AA72" s="146">
        <f t="shared" si="205"/>
        <v>11.116192019693926</v>
      </c>
      <c r="AB72" s="146">
        <f t="shared" si="205"/>
        <v>12.227811221663321</v>
      </c>
      <c r="AC72" s="138">
        <f t="shared" si="203"/>
        <v>-2.9425857315865667E-3</v>
      </c>
      <c r="AD72" s="31">
        <f t="shared" si="17"/>
        <v>0.05</v>
      </c>
      <c r="AE72" s="146">
        <f t="shared" si="170"/>
        <v>106.99334818955406</v>
      </c>
    </row>
    <row r="73" spans="2:31">
      <c r="B73" s="20" t="s">
        <v>287</v>
      </c>
      <c r="C73" s="127">
        <f t="shared" ref="C73:P73" si="206">C20/C42</f>
        <v>0</v>
      </c>
      <c r="D73" s="127">
        <f t="shared" si="206"/>
        <v>0</v>
      </c>
      <c r="E73" s="127">
        <f t="shared" si="206"/>
        <v>0</v>
      </c>
      <c r="F73" s="144">
        <f t="shared" si="206"/>
        <v>0</v>
      </c>
      <c r="G73" s="144">
        <f t="shared" si="206"/>
        <v>26.421404682274247</v>
      </c>
      <c r="H73" s="144">
        <f t="shared" si="206"/>
        <v>30.546265328874021</v>
      </c>
      <c r="I73" s="144">
        <f t="shared" si="206"/>
        <v>11.840717299578058</v>
      </c>
      <c r="J73" s="144">
        <f t="shared" si="206"/>
        <v>10.235185915122848</v>
      </c>
      <c r="K73" s="144">
        <f t="shared" si="206"/>
        <v>6.3448275862068968</v>
      </c>
      <c r="L73" s="144">
        <f t="shared" si="206"/>
        <v>13.972566778237185</v>
      </c>
      <c r="M73" s="144">
        <f t="shared" si="206"/>
        <v>12.24996731598902</v>
      </c>
      <c r="N73" s="144">
        <f t="shared" si="206"/>
        <v>9.9915270807534373</v>
      </c>
      <c r="O73" s="144">
        <f t="shared" si="206"/>
        <v>12.042020621230789</v>
      </c>
      <c r="P73" s="144">
        <f t="shared" si="206"/>
        <v>7.7815965242202187</v>
      </c>
      <c r="Q73" s="118">
        <f>((P73/G73)^(1/($H$2-$H$1) ))-1</f>
        <v>-0.12700343678811843</v>
      </c>
      <c r="R73" s="128"/>
      <c r="S73" s="146">
        <f t="shared" ref="S73:AB73" si="207">S20/S42</f>
        <v>8.5597561766422405</v>
      </c>
      <c r="T73" s="146">
        <f t="shared" si="207"/>
        <v>9.4157317943064669</v>
      </c>
      <c r="U73" s="146">
        <f t="shared" si="207"/>
        <v>10.357304973737113</v>
      </c>
      <c r="V73" s="146">
        <f t="shared" si="207"/>
        <v>11.393035471110826</v>
      </c>
      <c r="W73" s="146">
        <f t="shared" si="207"/>
        <v>12.53233901822191</v>
      </c>
      <c r="X73" s="146">
        <f t="shared" si="207"/>
        <v>13.785572920044102</v>
      </c>
      <c r="Y73" s="146">
        <f t="shared" si="207"/>
        <v>15.16413021204851</v>
      </c>
      <c r="Z73" s="146">
        <f t="shared" si="207"/>
        <v>16.680543233253363</v>
      </c>
      <c r="AA73" s="146">
        <f t="shared" si="207"/>
        <v>18.348597556578699</v>
      </c>
      <c r="AB73" s="146">
        <f t="shared" si="207"/>
        <v>20.183457312236573</v>
      </c>
      <c r="AC73" s="138">
        <f t="shared" si="203"/>
        <v>-1.4074288559887571E-2</v>
      </c>
      <c r="AD73" s="31">
        <f t="shared" si="17"/>
        <v>0.05</v>
      </c>
      <c r="AE73" s="146">
        <f t="shared" si="170"/>
        <v>176.60525148207003</v>
      </c>
    </row>
    <row r="74" spans="2:31">
      <c r="B74" s="20" t="s">
        <v>288</v>
      </c>
      <c r="C74" s="127">
        <f t="shared" ref="C74:P74" si="208">C21/C42</f>
        <v>0</v>
      </c>
      <c r="D74" s="127">
        <f t="shared" si="208"/>
        <v>0</v>
      </c>
      <c r="E74" s="127">
        <f t="shared" si="208"/>
        <v>0</v>
      </c>
      <c r="F74" s="144">
        <f t="shared" si="208"/>
        <v>0</v>
      </c>
      <c r="G74" s="144">
        <f t="shared" si="208"/>
        <v>-13.489409141583053</v>
      </c>
      <c r="H74" s="144">
        <f t="shared" si="208"/>
        <v>-14.102564102564102</v>
      </c>
      <c r="I74" s="144">
        <f t="shared" si="208"/>
        <v>-4.1337025316455698</v>
      </c>
      <c r="J74" s="144">
        <f t="shared" si="208"/>
        <v>-1.064249113125739</v>
      </c>
      <c r="K74" s="144">
        <f t="shared" si="208"/>
        <v>-1.80623973727422</v>
      </c>
      <c r="L74" s="144">
        <f t="shared" si="208"/>
        <v>-7.849314169455929</v>
      </c>
      <c r="M74" s="144">
        <f t="shared" si="208"/>
        <v>-3.4448947574846387</v>
      </c>
      <c r="N74" s="144">
        <f t="shared" si="208"/>
        <v>-2.9198983249690413</v>
      </c>
      <c r="O74" s="144">
        <f t="shared" si="208"/>
        <v>-2.5419881979119383</v>
      </c>
      <c r="P74" s="144">
        <f t="shared" si="208"/>
        <v>-3.067245963296803</v>
      </c>
      <c r="Q74" s="118">
        <f>((P74/G74)^(1/($H$2-$H$1) ))-1</f>
        <v>-0.1517411322579969</v>
      </c>
      <c r="R74" s="128"/>
      <c r="S74" s="146">
        <f t="shared" ref="S74:AB74" si="209">S21/S42</f>
        <v>-3.3739705596264837</v>
      </c>
      <c r="T74" s="146">
        <f t="shared" si="209"/>
        <v>-3.7113676155891326</v>
      </c>
      <c r="U74" s="146">
        <f t="shared" si="209"/>
        <v>-4.0825043771480463</v>
      </c>
      <c r="V74" s="146">
        <f t="shared" si="209"/>
        <v>-4.4907548148628509</v>
      </c>
      <c r="W74" s="146">
        <f t="shared" si="209"/>
        <v>-4.939830296349137</v>
      </c>
      <c r="X74" s="146">
        <f t="shared" si="209"/>
        <v>-5.4338133259840502</v>
      </c>
      <c r="Y74" s="146">
        <f t="shared" si="209"/>
        <v>-5.977194658582456</v>
      </c>
      <c r="Z74" s="146">
        <f t="shared" si="209"/>
        <v>-6.5749141244407028</v>
      </c>
      <c r="AA74" s="146">
        <f t="shared" si="209"/>
        <v>-7.2324055368847731</v>
      </c>
      <c r="AB74" s="146">
        <f t="shared" si="209"/>
        <v>-7.9556460905732518</v>
      </c>
      <c r="AC74" s="138">
        <f t="shared" si="203"/>
        <v>-2.7408075291452172E-2</v>
      </c>
      <c r="AD74" s="31">
        <f t="shared" si="17"/>
        <v>0.05</v>
      </c>
      <c r="AE74" s="146">
        <f t="shared" si="170"/>
        <v>-69.611903292515947</v>
      </c>
    </row>
    <row r="75" spans="2:31">
      <c r="B75" s="20" t="s">
        <v>289</v>
      </c>
      <c r="C75" s="127">
        <f t="shared" ref="C75:P75" si="210">C22/C42</f>
        <v>0</v>
      </c>
      <c r="D75" s="127">
        <f t="shared" si="210"/>
        <v>0</v>
      </c>
      <c r="E75" s="127">
        <f t="shared" si="210"/>
        <v>0</v>
      </c>
      <c r="F75" s="144">
        <f t="shared" si="210"/>
        <v>0</v>
      </c>
      <c r="G75" s="144">
        <f t="shared" si="210"/>
        <v>-11.761426978818282</v>
      </c>
      <c r="H75" s="144">
        <f t="shared" si="210"/>
        <v>-15.44035674470457</v>
      </c>
      <c r="I75" s="144">
        <f t="shared" si="210"/>
        <v>-5.8544303797468356</v>
      </c>
      <c r="J75" s="144">
        <f t="shared" si="210"/>
        <v>-7.3840494021810539</v>
      </c>
      <c r="K75" s="144">
        <f t="shared" si="210"/>
        <v>-3.1658456486042694</v>
      </c>
      <c r="L75" s="144">
        <f t="shared" si="210"/>
        <v>-3.0649077902474238</v>
      </c>
      <c r="M75" s="144">
        <f t="shared" si="210"/>
        <v>-3.0919074388808996</v>
      </c>
      <c r="N75" s="144">
        <f t="shared" si="210"/>
        <v>-3.0958743400899431</v>
      </c>
      <c r="O75" s="144">
        <f t="shared" si="210"/>
        <v>-3.2682705401724919</v>
      </c>
      <c r="P75" s="144">
        <f t="shared" si="210"/>
        <v>-4.0529148563646968</v>
      </c>
      <c r="Q75" s="118">
        <f>((P75/G75)^(1/($H$2-$H$1) ))-1</f>
        <v>-0.11163852160253551</v>
      </c>
      <c r="R75" s="128"/>
      <c r="S75" s="146">
        <f t="shared" ref="S75:AB75" si="211">S22/S42</f>
        <v>-4.4582063420011666</v>
      </c>
      <c r="T75" s="146">
        <f t="shared" si="211"/>
        <v>-4.9040269762012842</v>
      </c>
      <c r="U75" s="146">
        <f t="shared" si="211"/>
        <v>-5.3944296738214135</v>
      </c>
      <c r="V75" s="146">
        <f t="shared" si="211"/>
        <v>-5.9338726412035552</v>
      </c>
      <c r="W75" s="146">
        <f t="shared" si="211"/>
        <v>-6.5272599053239118</v>
      </c>
      <c r="X75" s="146">
        <f t="shared" si="211"/>
        <v>-7.1799858958563041</v>
      </c>
      <c r="Y75" s="146">
        <f t="shared" si="211"/>
        <v>-7.8979844854419348</v>
      </c>
      <c r="Z75" s="146">
        <f t="shared" si="211"/>
        <v>-8.6877829339861279</v>
      </c>
      <c r="AA75" s="146">
        <f t="shared" si="211"/>
        <v>-9.5565612273847425</v>
      </c>
      <c r="AB75" s="146">
        <f t="shared" si="211"/>
        <v>-10.512217350123217</v>
      </c>
      <c r="AC75" s="138">
        <f t="shared" si="203"/>
        <v>-5.8924206083611486E-3</v>
      </c>
      <c r="AD75" s="31">
        <f t="shared" si="17"/>
        <v>0.05</v>
      </c>
      <c r="AE75" s="146">
        <f t="shared" si="170"/>
        <v>-91.981901813578148</v>
      </c>
    </row>
    <row r="76" spans="2:31">
      <c r="B76" s="20" t="s">
        <v>296</v>
      </c>
      <c r="C76" s="127">
        <f t="shared" ref="C76:P76" si="212">C23/C42</f>
        <v>0</v>
      </c>
      <c r="D76" s="127">
        <f t="shared" si="212"/>
        <v>0</v>
      </c>
      <c r="E76" s="127">
        <f t="shared" si="212"/>
        <v>0</v>
      </c>
      <c r="F76" s="144">
        <f t="shared" si="212"/>
        <v>0</v>
      </c>
      <c r="G76" s="144">
        <f t="shared" si="212"/>
        <v>3.8461538461538458</v>
      </c>
      <c r="H76" s="144">
        <f t="shared" si="212"/>
        <v>4.7937569676700109</v>
      </c>
      <c r="I76" s="144">
        <f t="shared" si="212"/>
        <v>2.4920886075949364</v>
      </c>
      <c r="J76" s="144">
        <f t="shared" si="212"/>
        <v>4.2767047694126923</v>
      </c>
      <c r="K76" s="144">
        <f t="shared" si="212"/>
        <v>5.5960591133004929</v>
      </c>
      <c r="L76" s="144">
        <f t="shared" si="212"/>
        <v>9.2866049747325583</v>
      </c>
      <c r="M76" s="144">
        <f t="shared" si="212"/>
        <v>14.956203425284352</v>
      </c>
      <c r="N76" s="144">
        <f t="shared" si="212"/>
        <v>18.894609919833147</v>
      </c>
      <c r="O76" s="144">
        <f t="shared" si="212"/>
        <v>25.024317489138188</v>
      </c>
      <c r="P76" s="144">
        <f t="shared" si="212"/>
        <v>2.5938655080734061</v>
      </c>
      <c r="Q76" s="118">
        <f>((P76/G76)^(1/($H$2-$H$1) ))-1</f>
        <v>-4.2825323369164559E-2</v>
      </c>
      <c r="R76" s="128"/>
      <c r="S76" s="146">
        <f t="shared" ref="S76:AB76" si="213">S23/S42</f>
        <v>2.8532520588807473</v>
      </c>
      <c r="T76" s="146">
        <f t="shared" si="213"/>
        <v>3.1385772647688222</v>
      </c>
      <c r="U76" s="146">
        <f t="shared" si="213"/>
        <v>3.4524349912457049</v>
      </c>
      <c r="V76" s="146">
        <f t="shared" si="213"/>
        <v>3.7976784903702763</v>
      </c>
      <c r="W76" s="146">
        <f t="shared" si="213"/>
        <v>4.1774463394073038</v>
      </c>
      <c r="X76" s="146">
        <f t="shared" si="213"/>
        <v>4.5951909733480347</v>
      </c>
      <c r="Y76" s="146">
        <f t="shared" si="213"/>
        <v>5.0547100706828383</v>
      </c>
      <c r="Z76" s="146">
        <f t="shared" si="213"/>
        <v>5.5601810777511238</v>
      </c>
      <c r="AA76" s="146">
        <f t="shared" si="213"/>
        <v>6.1161991855262361</v>
      </c>
      <c r="AB76" s="146">
        <f t="shared" si="213"/>
        <v>6.7278191040788604</v>
      </c>
      <c r="AC76" s="138">
        <f t="shared" ref="AC76" si="214">((AB76/G76)^(1/($AB$3-$H$1) ))-1</f>
        <v>2.9867742653438389E-2</v>
      </c>
      <c r="AD76" s="31">
        <f t="shared" si="17"/>
        <v>0.05</v>
      </c>
      <c r="AE76" s="146">
        <f t="shared" si="170"/>
        <v>58.868417160690029</v>
      </c>
    </row>
    <row r="77" spans="2:31">
      <c r="B77" s="20"/>
      <c r="C77" s="127"/>
      <c r="D77" s="127"/>
      <c r="E77" s="127"/>
      <c r="F77" s="144"/>
      <c r="G77" s="144"/>
      <c r="H77" s="144"/>
      <c r="I77" s="144"/>
      <c r="J77" s="144"/>
      <c r="K77" s="144"/>
      <c r="L77" s="144"/>
      <c r="M77" s="144"/>
      <c r="N77" s="144"/>
      <c r="O77" s="144"/>
      <c r="P77" s="144"/>
      <c r="Q77" s="128"/>
      <c r="R77" s="128"/>
      <c r="S77" s="119"/>
      <c r="T77" s="119"/>
      <c r="U77" s="119"/>
      <c r="V77" s="119"/>
      <c r="W77" s="119"/>
      <c r="X77" s="119"/>
      <c r="Y77" s="119"/>
      <c r="Z77" s="119"/>
      <c r="AA77" s="119"/>
      <c r="AB77" s="119"/>
      <c r="AC77" s="139"/>
      <c r="AD77" s="137"/>
      <c r="AE77" s="154"/>
    </row>
    <row r="78" spans="2:31">
      <c r="B78" s="20" t="s">
        <v>310</v>
      </c>
      <c r="C78" s="144">
        <f t="shared" ref="C78:P78" si="215">C36/C42</f>
        <v>0</v>
      </c>
      <c r="D78" s="144">
        <f t="shared" si="215"/>
        <v>0</v>
      </c>
      <c r="E78" s="144">
        <f t="shared" si="215"/>
        <v>0</v>
      </c>
      <c r="F78" s="144">
        <f t="shared" si="215"/>
        <v>0</v>
      </c>
      <c r="G78" s="144">
        <f t="shared" si="215"/>
        <v>36.231884057971008</v>
      </c>
      <c r="H78" s="144">
        <f t="shared" si="215"/>
        <v>36.231884057971008</v>
      </c>
      <c r="I78" s="144">
        <f t="shared" si="215"/>
        <v>14.253691983122362</v>
      </c>
      <c r="J78" s="144">
        <f t="shared" si="215"/>
        <v>13.447641571409802</v>
      </c>
      <c r="K78" s="144">
        <f t="shared" si="215"/>
        <v>11.770114942528735</v>
      </c>
      <c r="L78" s="144">
        <f t="shared" si="215"/>
        <v>12.574653803242107</v>
      </c>
      <c r="M78" s="144">
        <f t="shared" si="215"/>
        <v>11.831611975421625</v>
      </c>
      <c r="N78" s="144">
        <f t="shared" si="215"/>
        <v>12.885354884963826</v>
      </c>
      <c r="O78" s="144">
        <f t="shared" si="215"/>
        <v>16.036573503663835</v>
      </c>
      <c r="P78" s="144">
        <f t="shared" si="215"/>
        <v>10.6996952208028</v>
      </c>
      <c r="Q78" s="118">
        <f>((P78/G78)^(1/($H$2-$H$1) ))-1</f>
        <v>-0.1267425959319225</v>
      </c>
      <c r="R78" s="128"/>
      <c r="S78" s="144">
        <f t="shared" ref="S78:AB78" si="216">S36/S42</f>
        <v>11.769664742883082</v>
      </c>
      <c r="T78" s="144">
        <f t="shared" si="216"/>
        <v>12.946631217171392</v>
      </c>
      <c r="U78" s="144">
        <f t="shared" si="216"/>
        <v>14.241294338888531</v>
      </c>
      <c r="V78" s="144">
        <f t="shared" si="216"/>
        <v>15.665423772777386</v>
      </c>
      <c r="W78" s="144">
        <f t="shared" si="216"/>
        <v>17.231966150055126</v>
      </c>
      <c r="X78" s="144">
        <f t="shared" si="216"/>
        <v>18.955162765060638</v>
      </c>
      <c r="Y78" s="144">
        <f t="shared" si="216"/>
        <v>20.850679041566703</v>
      </c>
      <c r="Z78" s="144">
        <f t="shared" si="216"/>
        <v>22.935746945723377</v>
      </c>
      <c r="AA78" s="144">
        <f t="shared" si="216"/>
        <v>25.229321640295716</v>
      </c>
      <c r="AB78" s="144">
        <f t="shared" si="216"/>
        <v>27.752253804325292</v>
      </c>
      <c r="AC78" s="138">
        <f t="shared" ref="AC78:AC80" si="217">((AB78/G78)^(1/($AB$3-$H$1) ))-1</f>
        <v>-1.3934760344323283E-2</v>
      </c>
      <c r="AD78" s="31">
        <f t="shared" si="17"/>
        <v>0.05</v>
      </c>
      <c r="AE78" s="146">
        <f t="shared" si="170"/>
        <v>242.8322207878463</v>
      </c>
    </row>
    <row r="79" spans="2:31">
      <c r="B79" s="20" t="s">
        <v>311</v>
      </c>
      <c r="C79" s="144">
        <f t="shared" ref="C79:P79" si="218">C40/C42</f>
        <v>0</v>
      </c>
      <c r="D79" s="144">
        <f t="shared" si="218"/>
        <v>0</v>
      </c>
      <c r="E79" s="144">
        <f t="shared" si="218"/>
        <v>0</v>
      </c>
      <c r="F79" s="144">
        <f t="shared" si="218"/>
        <v>0</v>
      </c>
      <c r="G79" s="144">
        <f t="shared" si="218"/>
        <v>21.460423634336678</v>
      </c>
      <c r="H79" s="144">
        <f t="shared" si="218"/>
        <v>0</v>
      </c>
      <c r="I79" s="144">
        <f t="shared" si="218"/>
        <v>9.7771624472573837</v>
      </c>
      <c r="J79" s="144">
        <f t="shared" si="218"/>
        <v>11.60819865983445</v>
      </c>
      <c r="K79" s="144">
        <f t="shared" si="218"/>
        <v>9.1231527093596068</v>
      </c>
      <c r="L79" s="144">
        <f t="shared" si="218"/>
        <v>7.9805736037277679</v>
      </c>
      <c r="M79" s="144">
        <f t="shared" si="218"/>
        <v>8.2494443718133095</v>
      </c>
      <c r="N79" s="144">
        <f t="shared" si="218"/>
        <v>7.9971322427165479</v>
      </c>
      <c r="O79" s="144">
        <f t="shared" si="218"/>
        <v>8.3717009273069181</v>
      </c>
      <c r="P79" s="144">
        <f t="shared" si="218"/>
        <v>8.3911549186174685</v>
      </c>
      <c r="Q79" s="118">
        <f>((P79/G79)^(1/($H$2-$H$1) ))-1</f>
        <v>-9.9078295510322989E-2</v>
      </c>
      <c r="R79" s="128"/>
      <c r="S79" s="144">
        <f t="shared" ref="S79:AB79" si="219">S40/S42</f>
        <v>9.2302704104792159</v>
      </c>
      <c r="T79" s="144">
        <f t="shared" si="219"/>
        <v>10.153297451527139</v>
      </c>
      <c r="U79" s="144">
        <f t="shared" si="219"/>
        <v>11.168627196679854</v>
      </c>
      <c r="V79" s="144">
        <f t="shared" si="219"/>
        <v>12.28548991634784</v>
      </c>
      <c r="W79" s="144">
        <f t="shared" si="219"/>
        <v>13.514038907982624</v>
      </c>
      <c r="X79" s="144">
        <f t="shared" si="219"/>
        <v>14.865442798780888</v>
      </c>
      <c r="Y79" s="144">
        <f t="shared" si="219"/>
        <v>16.351987078658979</v>
      </c>
      <c r="Z79" s="144">
        <f t="shared" si="219"/>
        <v>17.987185786524879</v>
      </c>
      <c r="AA79" s="144">
        <f t="shared" si="219"/>
        <v>19.785904365177366</v>
      </c>
      <c r="AB79" s="144">
        <f t="shared" si="219"/>
        <v>21.764494801695104</v>
      </c>
      <c r="AC79" s="138">
        <f t="shared" si="217"/>
        <v>7.4077347816503547E-4</v>
      </c>
      <c r="AD79" s="31">
        <f t="shared" si="17"/>
        <v>0.05</v>
      </c>
      <c r="AE79" s="146">
        <f t="shared" si="170"/>
        <v>190.43932951483214</v>
      </c>
    </row>
    <row r="80" spans="2:31">
      <c r="B80" s="20" t="s">
        <v>312</v>
      </c>
      <c r="C80" s="144">
        <f t="shared" ref="C80:P80" si="220">C6/C42</f>
        <v>0</v>
      </c>
      <c r="D80" s="144">
        <f t="shared" si="220"/>
        <v>0</v>
      </c>
      <c r="E80" s="144">
        <f t="shared" si="220"/>
        <v>0</v>
      </c>
      <c r="F80" s="144">
        <f t="shared" si="220"/>
        <v>0</v>
      </c>
      <c r="G80" s="144">
        <f t="shared" si="220"/>
        <v>87.123745819397982</v>
      </c>
      <c r="H80" s="144">
        <f t="shared" si="220"/>
        <v>87.123745819397982</v>
      </c>
      <c r="I80" s="144">
        <f t="shared" si="220"/>
        <v>23.701213080168774</v>
      </c>
      <c r="J80" s="144">
        <f t="shared" si="220"/>
        <v>29.917225068979111</v>
      </c>
      <c r="K80" s="144">
        <f t="shared" si="220"/>
        <v>35.244663382594418</v>
      </c>
      <c r="L80" s="144">
        <f t="shared" si="220"/>
        <v>40.441031699153378</v>
      </c>
      <c r="M80" s="144">
        <f t="shared" si="220"/>
        <v>45.881814616289716</v>
      </c>
      <c r="N80" s="144">
        <f t="shared" si="220"/>
        <v>50.557257381216189</v>
      </c>
      <c r="O80" s="144">
        <f t="shared" si="220"/>
        <v>55.04182608131768</v>
      </c>
      <c r="P80" s="144">
        <f t="shared" si="220"/>
        <v>61.571882497892481</v>
      </c>
      <c r="Q80" s="118">
        <f>((P80/G80)^(1/($H$2-$H$1) ))-1</f>
        <v>-3.7835024828402619E-2</v>
      </c>
      <c r="R80" s="128"/>
      <c r="S80" s="144">
        <f t="shared" ref="S80:AB80" si="221">S6/S42</f>
        <v>67.729070747681732</v>
      </c>
      <c r="T80" s="144">
        <f t="shared" si="221"/>
        <v>74.501977822449902</v>
      </c>
      <c r="U80" s="144">
        <f t="shared" si="221"/>
        <v>81.952175604694901</v>
      </c>
      <c r="V80" s="144">
        <f t="shared" si="221"/>
        <v>90.147393165164402</v>
      </c>
      <c r="W80" s="144">
        <f t="shared" si="221"/>
        <v>99.162132481680842</v>
      </c>
      <c r="X80" s="144">
        <f t="shared" si="221"/>
        <v>109.07834572984895</v>
      </c>
      <c r="Y80" s="144">
        <f t="shared" si="221"/>
        <v>119.98618030283384</v>
      </c>
      <c r="Z80" s="144">
        <f t="shared" si="221"/>
        <v>131.98479833311723</v>
      </c>
      <c r="AA80" s="144">
        <f t="shared" si="221"/>
        <v>145.18327816642898</v>
      </c>
      <c r="AB80" s="144">
        <f t="shared" si="221"/>
        <v>159.70160598307189</v>
      </c>
      <c r="AC80" s="138">
        <f t="shared" si="217"/>
        <v>3.2407609861765829E-2</v>
      </c>
      <c r="AD80" s="31">
        <f t="shared" ref="AD80" si="222">$L$1</f>
        <v>0.05</v>
      </c>
      <c r="AE80" s="146">
        <f t="shared" si="170"/>
        <v>1397.3890523518789</v>
      </c>
    </row>
    <row r="81" spans="2:31">
      <c r="B81" s="20"/>
      <c r="C81" s="127"/>
      <c r="D81" s="127"/>
      <c r="E81" s="127"/>
      <c r="F81" s="144"/>
      <c r="G81" s="144"/>
      <c r="H81" s="144"/>
      <c r="I81" s="144"/>
      <c r="J81" s="144"/>
      <c r="K81" s="144"/>
      <c r="L81" s="144"/>
      <c r="M81" s="144"/>
      <c r="N81" s="144"/>
      <c r="O81" s="144"/>
      <c r="P81" s="144"/>
      <c r="Q81" s="128"/>
      <c r="R81" s="128"/>
      <c r="S81" s="119"/>
      <c r="T81" s="119"/>
      <c r="U81" s="119"/>
      <c r="V81" s="119"/>
      <c r="W81" s="119"/>
      <c r="X81" s="119"/>
      <c r="Y81" s="119"/>
      <c r="Z81" s="119"/>
      <c r="AA81" s="119"/>
      <c r="AB81" s="119"/>
      <c r="AC81" s="139"/>
      <c r="AD81" s="20"/>
      <c r="AE81" s="154"/>
    </row>
    <row r="82" spans="2:31">
      <c r="B82" s="20"/>
      <c r="C82" s="127"/>
      <c r="D82" s="127"/>
      <c r="E82" s="127"/>
      <c r="F82" s="144"/>
      <c r="G82" s="144"/>
      <c r="H82" s="144"/>
      <c r="I82" s="144"/>
      <c r="J82" s="144"/>
      <c r="K82" s="144"/>
      <c r="L82" s="144"/>
      <c r="M82" s="144"/>
      <c r="N82" s="144"/>
      <c r="O82" s="144"/>
      <c r="P82" s="144"/>
      <c r="Q82" s="128"/>
      <c r="R82" s="128"/>
      <c r="S82" s="119"/>
      <c r="T82" s="119"/>
      <c r="U82" s="119"/>
      <c r="V82" s="119"/>
      <c r="W82" s="119"/>
      <c r="X82" s="119"/>
      <c r="Y82" s="119"/>
      <c r="Z82" s="119"/>
      <c r="AA82" s="119"/>
      <c r="AB82" s="119"/>
      <c r="AC82" s="139"/>
      <c r="AD82" s="20"/>
      <c r="AE82" s="154"/>
    </row>
    <row r="83" spans="2:31">
      <c r="B83" s="108" t="s">
        <v>309</v>
      </c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  <c r="AA83" s="20"/>
      <c r="AB83" s="20"/>
      <c r="AC83" s="20"/>
      <c r="AD83" s="20"/>
      <c r="AE83" s="20"/>
    </row>
    <row r="84" spans="2:31">
      <c r="B84" s="20" t="s">
        <v>308</v>
      </c>
      <c r="C84" s="152"/>
      <c r="D84" s="152"/>
      <c r="E84" s="152" t="e">
        <f t="shared" ref="E84:P84" si="223">E36/E25</f>
        <v>#DIV/0!</v>
      </c>
      <c r="F84" s="152" t="e">
        <f t="shared" si="223"/>
        <v>#DIV/0!</v>
      </c>
      <c r="G84" s="152">
        <f t="shared" si="223"/>
        <v>0.26114905584572118</v>
      </c>
      <c r="H84" s="152">
        <f t="shared" si="223"/>
        <v>0.26114905584572118</v>
      </c>
      <c r="I84" s="152">
        <f t="shared" si="223"/>
        <v>0.33529776674937967</v>
      </c>
      <c r="J84" s="152">
        <f t="shared" si="223"/>
        <v>0.30133961430884737</v>
      </c>
      <c r="K84" s="152">
        <f t="shared" si="223"/>
        <v>0.26599376577111472</v>
      </c>
      <c r="L84" s="152">
        <f t="shared" si="223"/>
        <v>0.26559467701691158</v>
      </c>
      <c r="M84" s="152">
        <f t="shared" si="223"/>
        <v>0.23549310434556336</v>
      </c>
      <c r="N84" s="152">
        <f t="shared" si="223"/>
        <v>0.22627904314982258</v>
      </c>
      <c r="O84" s="152">
        <f t="shared" si="223"/>
        <v>0.24570293094883258</v>
      </c>
      <c r="P84" s="152">
        <f t="shared" si="223"/>
        <v>0.1744186046511628</v>
      </c>
      <c r="Q84" s="118">
        <f t="shared" ref="Q84:Q134" si="224">((P84/G84)^(1/($H$2-$H$1) ))-1</f>
        <v>-4.3857318281943836E-2</v>
      </c>
      <c r="R84" s="152"/>
      <c r="S84" s="152">
        <f t="shared" ref="S84:AB84" si="225">S36/S25</f>
        <v>0.17441860465116282</v>
      </c>
      <c r="T84" s="152">
        <f t="shared" si="225"/>
        <v>0.17441860465116282</v>
      </c>
      <c r="U84" s="152">
        <f t="shared" si="225"/>
        <v>0.1744186046511628</v>
      </c>
      <c r="V84" s="152">
        <f t="shared" si="225"/>
        <v>0.1744186046511628</v>
      </c>
      <c r="W84" s="152">
        <f t="shared" si="225"/>
        <v>0.1744186046511628</v>
      </c>
      <c r="X84" s="152">
        <f t="shared" si="225"/>
        <v>0.1744186046511628</v>
      </c>
      <c r="Y84" s="152">
        <f t="shared" si="225"/>
        <v>0.1744186046511628</v>
      </c>
      <c r="Z84" s="152">
        <f t="shared" si="225"/>
        <v>0.1744186046511628</v>
      </c>
      <c r="AA84" s="152">
        <f t="shared" si="225"/>
        <v>0.1744186046511628</v>
      </c>
      <c r="AB84" s="152">
        <f t="shared" si="225"/>
        <v>0.1744186046511628</v>
      </c>
      <c r="AC84" s="138">
        <f t="shared" ref="AC84:AC121" si="226">((AB84/G84)^(1/($AB$3-$H$1) ))-1</f>
        <v>-2.1019789156178081E-2</v>
      </c>
      <c r="AD84" s="146"/>
      <c r="AE84" s="146"/>
    </row>
    <row r="85" spans="2:31">
      <c r="B85" s="20" t="s">
        <v>266</v>
      </c>
      <c r="C85" s="152"/>
      <c r="D85" s="152"/>
      <c r="E85" s="152" t="e">
        <f t="shared" ref="E85:P85" si="227">E40/E25</f>
        <v>#DIV/0!</v>
      </c>
      <c r="F85" s="152" t="e">
        <f t="shared" si="227"/>
        <v>#DIV/0!</v>
      </c>
      <c r="G85" s="152">
        <f t="shared" si="227"/>
        <v>0.15468059461631178</v>
      </c>
      <c r="H85" s="152">
        <f t="shared" si="227"/>
        <v>0</v>
      </c>
      <c r="I85" s="152">
        <f t="shared" si="227"/>
        <v>0.22999379652605459</v>
      </c>
      <c r="J85" s="152">
        <f t="shared" si="227"/>
        <v>0.26012071249815988</v>
      </c>
      <c r="K85" s="152">
        <f t="shared" si="227"/>
        <v>0.20617485527682944</v>
      </c>
      <c r="L85" s="152">
        <f t="shared" si="227"/>
        <v>0.16856113113390631</v>
      </c>
      <c r="M85" s="152">
        <f t="shared" si="227"/>
        <v>0.16419463960447567</v>
      </c>
      <c r="N85" s="152">
        <f t="shared" si="227"/>
        <v>0.14043722101407805</v>
      </c>
      <c r="O85" s="152">
        <f t="shared" si="227"/>
        <v>0.1282662692498758</v>
      </c>
      <c r="P85" s="152">
        <f t="shared" si="227"/>
        <v>0.13678646934460889</v>
      </c>
      <c r="Q85" s="118">
        <f t="shared" si="224"/>
        <v>-1.356725916565138E-2</v>
      </c>
      <c r="R85" s="152"/>
      <c r="S85" s="152">
        <f t="shared" ref="S85:AB85" si="228">S40/S25</f>
        <v>0.13678646934460889</v>
      </c>
      <c r="T85" s="152">
        <f t="shared" si="228"/>
        <v>0.13678646934460889</v>
      </c>
      <c r="U85" s="152">
        <f t="shared" si="228"/>
        <v>0.13678646934460889</v>
      </c>
      <c r="V85" s="152">
        <f t="shared" si="228"/>
        <v>0.13678646934460886</v>
      </c>
      <c r="W85" s="152">
        <f t="shared" si="228"/>
        <v>0.13678646934460886</v>
      </c>
      <c r="X85" s="152">
        <f t="shared" si="228"/>
        <v>0.13678646934460889</v>
      </c>
      <c r="Y85" s="152">
        <f t="shared" si="228"/>
        <v>0.13678646934460889</v>
      </c>
      <c r="Z85" s="152">
        <f t="shared" si="228"/>
        <v>0.13678646934460889</v>
      </c>
      <c r="AA85" s="152">
        <f t="shared" si="228"/>
        <v>0.13678646934460886</v>
      </c>
      <c r="AB85" s="152">
        <f t="shared" si="228"/>
        <v>0.13678646934460886</v>
      </c>
      <c r="AC85" s="138">
        <f t="shared" si="226"/>
        <v>-6.4497012776091323E-3</v>
      </c>
      <c r="AD85" s="146"/>
      <c r="AE85" s="146"/>
    </row>
    <row r="86" spans="2:31">
      <c r="B86" s="20" t="s">
        <v>358</v>
      </c>
      <c r="C86" s="152"/>
      <c r="D86" s="152"/>
      <c r="E86" s="152" t="e">
        <f t="shared" ref="E86:O86" si="229">E40/E7</f>
        <v>#DIV/0!</v>
      </c>
      <c r="F86" s="152" t="e">
        <f t="shared" si="229"/>
        <v>#DIV/0!</v>
      </c>
      <c r="G86" s="152">
        <f>G40/G7</f>
        <v>0.22101033295063147</v>
      </c>
      <c r="H86" s="152">
        <f t="shared" si="229"/>
        <v>0</v>
      </c>
      <c r="I86" s="152">
        <f t="shared" si="229"/>
        <v>0.38025641025641027</v>
      </c>
      <c r="J86" s="152">
        <f t="shared" si="229"/>
        <v>0.36365507306030048</v>
      </c>
      <c r="K86" s="152">
        <f t="shared" si="229"/>
        <v>0.24493034738141423</v>
      </c>
      <c r="L86" s="152">
        <f t="shared" si="229"/>
        <v>0.18803154476573372</v>
      </c>
      <c r="M86" s="152">
        <f t="shared" si="229"/>
        <v>0.17226317226317225</v>
      </c>
      <c r="N86" s="152">
        <f t="shared" si="229"/>
        <v>0.15215773809523808</v>
      </c>
      <c r="O86" s="152">
        <f t="shared" si="229"/>
        <v>0.14675457542343981</v>
      </c>
      <c r="P86" s="152">
        <f t="shared" ref="P86" si="230">P40/P7</f>
        <v>0.13599579611140306</v>
      </c>
      <c r="Q86" s="118">
        <f t="shared" si="224"/>
        <v>-5.2524256038485317E-2</v>
      </c>
      <c r="R86" s="20"/>
      <c r="S86" s="152">
        <f t="shared" ref="S86" si="231">S40/S7</f>
        <v>0.13599579611140306</v>
      </c>
      <c r="T86" s="152">
        <f t="shared" ref="T86:AB86" si="232">T40/T7</f>
        <v>0.13599579611140306</v>
      </c>
      <c r="U86" s="152">
        <f t="shared" si="232"/>
        <v>0.13599579611140306</v>
      </c>
      <c r="V86" s="152">
        <f t="shared" si="232"/>
        <v>0.13599579611140303</v>
      </c>
      <c r="W86" s="152">
        <f t="shared" si="232"/>
        <v>0.13599579611140303</v>
      </c>
      <c r="X86" s="152">
        <f t="shared" si="232"/>
        <v>0.13599579611140306</v>
      </c>
      <c r="Y86" s="152">
        <f t="shared" si="232"/>
        <v>0.13599579611140306</v>
      </c>
      <c r="Z86" s="152">
        <f t="shared" si="232"/>
        <v>0.13599579611140306</v>
      </c>
      <c r="AA86" s="152">
        <f t="shared" si="232"/>
        <v>0.13599579611140303</v>
      </c>
      <c r="AB86" s="152">
        <f t="shared" si="232"/>
        <v>0.13599579611140303</v>
      </c>
      <c r="AC86" s="138">
        <f t="shared" si="226"/>
        <v>-2.5233311638254596E-2</v>
      </c>
      <c r="AD86" s="146"/>
      <c r="AE86" s="146"/>
    </row>
    <row r="87" spans="2:31">
      <c r="B87" s="20" t="s">
        <v>359</v>
      </c>
      <c r="C87" s="152"/>
      <c r="D87" s="152"/>
      <c r="E87" s="152" t="e">
        <f t="shared" ref="E87:F87" si="233">(E40)/(E7+E10)</f>
        <v>#DIV/0!</v>
      </c>
      <c r="F87" s="152" t="e">
        <f t="shared" si="233"/>
        <v>#DIV/0!</v>
      </c>
      <c r="G87" s="152">
        <f>(G40)/(G7+G10)</f>
        <v>0.12099308610936518</v>
      </c>
      <c r="H87" s="152">
        <f t="shared" ref="H87:O87" si="234">(H40)/(H7+H10)</f>
        <v>0</v>
      </c>
      <c r="I87" s="152">
        <f t="shared" si="234"/>
        <v>0.31122770199370409</v>
      </c>
      <c r="J87" s="152">
        <f t="shared" si="234"/>
        <v>0.34000384837406195</v>
      </c>
      <c r="K87" s="152">
        <f t="shared" si="234"/>
        <v>0.23313192346424974</v>
      </c>
      <c r="L87" s="152">
        <f t="shared" si="234"/>
        <v>0.18332579526609377</v>
      </c>
      <c r="M87" s="152">
        <f t="shared" si="234"/>
        <v>0.17074820727912327</v>
      </c>
      <c r="N87" s="152">
        <f t="shared" si="234"/>
        <v>0.15107116473774931</v>
      </c>
      <c r="O87" s="152">
        <f t="shared" si="234"/>
        <v>0.14594166855075741</v>
      </c>
      <c r="P87" s="152">
        <f t="shared" ref="P87" si="235">(P40)/(P7+P10)</f>
        <v>0.13558256496227997</v>
      </c>
      <c r="Q87" s="118">
        <f t="shared" si="224"/>
        <v>1.2730055546545938E-2</v>
      </c>
      <c r="R87" s="20"/>
      <c r="S87" s="152">
        <f t="shared" ref="S87:AB87" si="236">(S40)/(S7+S10)</f>
        <v>0.13558256496227997</v>
      </c>
      <c r="T87" s="152">
        <f t="shared" si="236"/>
        <v>0.13558256496227997</v>
      </c>
      <c r="U87" s="152">
        <f t="shared" si="236"/>
        <v>0.13558256496227997</v>
      </c>
      <c r="V87" s="152">
        <f t="shared" si="236"/>
        <v>0.13558256496227997</v>
      </c>
      <c r="W87" s="152">
        <f t="shared" si="236"/>
        <v>0.13558256496227997</v>
      </c>
      <c r="X87" s="152">
        <f t="shared" si="236"/>
        <v>0.13558256496227997</v>
      </c>
      <c r="Y87" s="152">
        <f t="shared" si="236"/>
        <v>0.13558256496227999</v>
      </c>
      <c r="Z87" s="152">
        <f t="shared" si="236"/>
        <v>0.13558256496227997</v>
      </c>
      <c r="AA87" s="152">
        <f t="shared" si="236"/>
        <v>0.13558256496227997</v>
      </c>
      <c r="AB87" s="152">
        <f t="shared" si="236"/>
        <v>0.13558256496227997</v>
      </c>
      <c r="AC87" s="138">
        <f t="shared" si="226"/>
        <v>6.0099554262993404E-3</v>
      </c>
      <c r="AD87" s="146"/>
      <c r="AE87" s="146"/>
    </row>
    <row r="88" spans="2:31">
      <c r="B88" s="20" t="s">
        <v>375</v>
      </c>
      <c r="C88" s="152"/>
      <c r="D88" s="152"/>
      <c r="E88" s="152"/>
      <c r="F88" s="152"/>
      <c r="G88" s="152">
        <f>G20/G25</f>
        <v>0.19043792687826436</v>
      </c>
      <c r="H88" s="152">
        <f t="shared" ref="H88:P88" si="237">H20/H25</f>
        <v>0.22016874246685417</v>
      </c>
      <c r="I88" s="152">
        <f t="shared" si="237"/>
        <v>0.27853598014888337</v>
      </c>
      <c r="J88" s="152">
        <f t="shared" si="237"/>
        <v>0.22935374650375387</v>
      </c>
      <c r="K88" s="152">
        <f t="shared" si="237"/>
        <v>0.14338726436099153</v>
      </c>
      <c r="L88" s="152">
        <f t="shared" si="237"/>
        <v>0.29512059883559744</v>
      </c>
      <c r="M88" s="152">
        <f t="shared" si="237"/>
        <v>0.24381993234452251</v>
      </c>
      <c r="N88" s="152">
        <f t="shared" si="237"/>
        <v>0.17546068444546184</v>
      </c>
      <c r="O88" s="152">
        <f t="shared" si="237"/>
        <v>0.18450074515648285</v>
      </c>
      <c r="P88" s="152">
        <f t="shared" si="237"/>
        <v>0.12684989429175475</v>
      </c>
      <c r="Q88" s="118">
        <f t="shared" si="224"/>
        <v>-4.4142916863281867E-2</v>
      </c>
      <c r="R88" s="20"/>
      <c r="S88" s="152">
        <f t="shared" ref="S88:AB88" si="238">S20/S25</f>
        <v>0.12684989429175475</v>
      </c>
      <c r="T88" s="152">
        <f t="shared" si="238"/>
        <v>0.12684989429175478</v>
      </c>
      <c r="U88" s="152">
        <f t="shared" si="238"/>
        <v>0.12684989429175475</v>
      </c>
      <c r="V88" s="152">
        <f t="shared" si="238"/>
        <v>0.12684989429175475</v>
      </c>
      <c r="W88" s="152">
        <f t="shared" si="238"/>
        <v>0.12684989429175475</v>
      </c>
      <c r="X88" s="152">
        <f t="shared" si="238"/>
        <v>0.12684989429175475</v>
      </c>
      <c r="Y88" s="152">
        <f t="shared" si="238"/>
        <v>0.12684989429175475</v>
      </c>
      <c r="Z88" s="152">
        <f t="shared" si="238"/>
        <v>0.12684989429175475</v>
      </c>
      <c r="AA88" s="152">
        <f t="shared" si="238"/>
        <v>0.12684989429175475</v>
      </c>
      <c r="AB88" s="152">
        <f t="shared" si="238"/>
        <v>0.12684989429175475</v>
      </c>
      <c r="AC88" s="138">
        <f t="shared" si="226"/>
        <v>-2.1158314840279413E-2</v>
      </c>
      <c r="AD88" s="146"/>
      <c r="AE88" s="146"/>
    </row>
    <row r="89" spans="2:31">
      <c r="B89" s="20"/>
      <c r="C89" s="152"/>
      <c r="D89" s="152"/>
      <c r="E89" s="152"/>
      <c r="F89" s="152"/>
      <c r="G89" s="152"/>
      <c r="H89" s="152"/>
      <c r="I89" s="152"/>
      <c r="J89" s="152"/>
      <c r="K89" s="152"/>
      <c r="L89" s="152"/>
      <c r="M89" s="152"/>
      <c r="N89" s="152"/>
      <c r="O89" s="152"/>
      <c r="P89" s="152"/>
      <c r="Q89" s="152"/>
      <c r="R89" s="20"/>
      <c r="S89" s="152"/>
      <c r="T89" s="152"/>
      <c r="U89" s="152"/>
      <c r="V89" s="152"/>
      <c r="W89" s="152"/>
      <c r="X89" s="152"/>
      <c r="Y89" s="152"/>
      <c r="Z89" s="152"/>
      <c r="AA89" s="152"/>
      <c r="AB89" s="152"/>
      <c r="AC89" s="3"/>
      <c r="AD89" s="146"/>
      <c r="AE89" s="146"/>
    </row>
    <row r="90" spans="2:31">
      <c r="B90" s="20" t="s">
        <v>322</v>
      </c>
      <c r="C90" s="152"/>
      <c r="D90" s="152"/>
      <c r="E90" s="152"/>
      <c r="F90" s="152"/>
      <c r="G90" s="152">
        <f>G29/G25</f>
        <v>3.6159100040176778E-2</v>
      </c>
      <c r="H90" s="152">
        <f t="shared" ref="H90:P90" si="239">H29/H25</f>
        <v>3.6159100040176778E-2</v>
      </c>
      <c r="I90" s="152">
        <f t="shared" si="239"/>
        <v>1.7990074441687345E-2</v>
      </c>
      <c r="J90" s="152">
        <f t="shared" si="239"/>
        <v>1.1335197997939054E-2</v>
      </c>
      <c r="K90" s="152">
        <f t="shared" si="239"/>
        <v>0.26599376577111472</v>
      </c>
      <c r="L90" s="152">
        <f t="shared" si="239"/>
        <v>0.26559467701691158</v>
      </c>
      <c r="M90" s="152">
        <f t="shared" si="239"/>
        <v>0.23549310434556336</v>
      </c>
      <c r="N90" s="152">
        <f t="shared" si="239"/>
        <v>0.22627904314982258</v>
      </c>
      <c r="O90" s="152">
        <f t="shared" si="239"/>
        <v>0.24570293094883258</v>
      </c>
      <c r="P90" s="152">
        <f t="shared" si="239"/>
        <v>6.8710359408033824E-3</v>
      </c>
      <c r="Q90" s="118">
        <f t="shared" si="224"/>
        <v>-0.16849057045664717</v>
      </c>
      <c r="R90" s="20"/>
      <c r="S90" s="152">
        <f t="shared" ref="S90:AB90" si="240">S29/S25</f>
        <v>6.8710359408033824E-3</v>
      </c>
      <c r="T90" s="152">
        <f t="shared" si="240"/>
        <v>6.8710359408033833E-3</v>
      </c>
      <c r="U90" s="152">
        <f t="shared" si="240"/>
        <v>6.8710359408033824E-3</v>
      </c>
      <c r="V90" s="152">
        <f t="shared" si="240"/>
        <v>6.8710359408033824E-3</v>
      </c>
      <c r="W90" s="152">
        <f t="shared" si="240"/>
        <v>6.8710359408033824E-3</v>
      </c>
      <c r="X90" s="152">
        <f t="shared" si="240"/>
        <v>6.8710359408033833E-3</v>
      </c>
      <c r="Y90" s="152">
        <f t="shared" si="240"/>
        <v>6.8710359408033833E-3</v>
      </c>
      <c r="Z90" s="152">
        <f t="shared" si="240"/>
        <v>6.8710359408033833E-3</v>
      </c>
      <c r="AA90" s="152">
        <f t="shared" si="240"/>
        <v>6.8710359408033833E-3</v>
      </c>
      <c r="AB90" s="152">
        <f t="shared" si="240"/>
        <v>6.8710359408033833E-3</v>
      </c>
      <c r="AC90" s="138">
        <f t="shared" si="226"/>
        <v>-8.3690165487625756E-2</v>
      </c>
      <c r="AD90" s="146"/>
      <c r="AE90" s="146"/>
    </row>
    <row r="91" spans="2:31">
      <c r="B91" s="20" t="s">
        <v>368</v>
      </c>
      <c r="C91" s="152"/>
      <c r="D91" s="152"/>
      <c r="E91" s="152"/>
      <c r="F91" s="152"/>
      <c r="G91" s="152">
        <f>G29/G36</f>
        <v>0.13846153846153847</v>
      </c>
      <c r="H91" s="152">
        <f t="shared" ref="H91:P91" si="241">H29/H36</f>
        <v>0.13846153846153847</v>
      </c>
      <c r="I91" s="152">
        <f t="shared" si="241"/>
        <v>5.3654024051803882E-2</v>
      </c>
      <c r="J91" s="152">
        <f t="shared" si="241"/>
        <v>3.7616023448949681E-2</v>
      </c>
      <c r="K91" s="152">
        <f t="shared" si="241"/>
        <v>1</v>
      </c>
      <c r="L91" s="152">
        <f t="shared" si="241"/>
        <v>1</v>
      </c>
      <c r="M91" s="152">
        <f t="shared" si="241"/>
        <v>1</v>
      </c>
      <c r="N91" s="152">
        <f t="shared" si="241"/>
        <v>1</v>
      </c>
      <c r="O91" s="152">
        <f t="shared" si="241"/>
        <v>1</v>
      </c>
      <c r="P91" s="152">
        <f t="shared" si="241"/>
        <v>3.9393939393939391E-2</v>
      </c>
      <c r="Q91" s="118">
        <f t="shared" ref="Q91" si="242">((P91/G91)^(1/($H$2-$H$1) ))-1</f>
        <v>-0.13035005607191863</v>
      </c>
      <c r="R91" s="20"/>
      <c r="S91" s="152">
        <f t="shared" ref="S91:AB91" si="243">S29/S36</f>
        <v>3.9393939393939391E-2</v>
      </c>
      <c r="T91" s="152">
        <f t="shared" si="243"/>
        <v>3.9393939393939391E-2</v>
      </c>
      <c r="U91" s="152">
        <f t="shared" si="243"/>
        <v>3.9393939393939391E-2</v>
      </c>
      <c r="V91" s="152">
        <f t="shared" si="243"/>
        <v>3.9393939393939391E-2</v>
      </c>
      <c r="W91" s="152">
        <f t="shared" si="243"/>
        <v>3.9393939393939398E-2</v>
      </c>
      <c r="X91" s="152">
        <f t="shared" si="243"/>
        <v>3.9393939393939398E-2</v>
      </c>
      <c r="Y91" s="152">
        <f t="shared" si="243"/>
        <v>3.9393939393939398E-2</v>
      </c>
      <c r="Z91" s="152">
        <f t="shared" si="243"/>
        <v>3.9393939393939391E-2</v>
      </c>
      <c r="AA91" s="152">
        <f t="shared" si="243"/>
        <v>3.9393939393939398E-2</v>
      </c>
      <c r="AB91" s="152">
        <f t="shared" si="243"/>
        <v>3.9393939393939398E-2</v>
      </c>
      <c r="AC91" s="138">
        <f t="shared" ref="AC91" si="244">((AB91/G91)^(1/($AB$3-$H$1) ))-1</f>
        <v>-6.4015978706484233E-2</v>
      </c>
      <c r="AD91" s="146"/>
      <c r="AE91" s="146"/>
    </row>
    <row r="92" spans="2:31" ht="12" customHeight="1">
      <c r="B92" s="20" t="s">
        <v>367</v>
      </c>
      <c r="C92" s="152"/>
      <c r="D92" s="152"/>
      <c r="E92" s="152"/>
      <c r="F92" s="152"/>
      <c r="G92" s="171">
        <f t="shared" ref="G92:P92" si="245">G29/G40</f>
        <v>0.23376623376623376</v>
      </c>
      <c r="H92" s="171" t="e">
        <f t="shared" si="245"/>
        <v>#DIV/0!</v>
      </c>
      <c r="I92" s="171">
        <f t="shared" si="245"/>
        <v>7.8219824679703301E-2</v>
      </c>
      <c r="J92" s="171">
        <f t="shared" si="245"/>
        <v>4.3576683644595361E-2</v>
      </c>
      <c r="K92" s="171">
        <f t="shared" si="245"/>
        <v>1.2901367890568753</v>
      </c>
      <c r="L92" s="171">
        <f t="shared" si="245"/>
        <v>1.575657894736842</v>
      </c>
      <c r="M92" s="171">
        <f t="shared" si="245"/>
        <v>1.434231378763867</v>
      </c>
      <c r="N92" s="171">
        <f t="shared" si="245"/>
        <v>1.6112469437652812</v>
      </c>
      <c r="O92" s="171">
        <f t="shared" si="245"/>
        <v>1.9155693261037956</v>
      </c>
      <c r="P92" s="171">
        <f t="shared" si="245"/>
        <v>5.0231839258114377E-2</v>
      </c>
      <c r="Q92" s="118">
        <f t="shared" ref="Q92" si="246">((P92/G92)^(1/($H$2-$H$1) ))-1</f>
        <v>-0.15705410503706296</v>
      </c>
      <c r="R92" s="20"/>
      <c r="S92" s="171">
        <f t="shared" ref="S92:AB92" si="247">S29/S40</f>
        <v>5.0231839258114371E-2</v>
      </c>
      <c r="T92" s="171">
        <f t="shared" si="247"/>
        <v>5.0231839258114371E-2</v>
      </c>
      <c r="U92" s="171">
        <f t="shared" si="247"/>
        <v>5.0231839258114371E-2</v>
      </c>
      <c r="V92" s="171">
        <f t="shared" si="247"/>
        <v>5.0231839258114377E-2</v>
      </c>
      <c r="W92" s="171">
        <f t="shared" si="247"/>
        <v>5.0231839258114377E-2</v>
      </c>
      <c r="X92" s="171">
        <f t="shared" si="247"/>
        <v>5.0231839258114377E-2</v>
      </c>
      <c r="Y92" s="171">
        <f t="shared" si="247"/>
        <v>5.0231839258114377E-2</v>
      </c>
      <c r="Z92" s="171">
        <f t="shared" si="247"/>
        <v>5.0231839258114377E-2</v>
      </c>
      <c r="AA92" s="171">
        <f t="shared" si="247"/>
        <v>5.0231839258114377E-2</v>
      </c>
      <c r="AB92" s="171">
        <f t="shared" si="247"/>
        <v>5.0231839258114384E-2</v>
      </c>
      <c r="AC92" s="138">
        <f t="shared" ref="AC92" si="248">((AB92/G92)^(1/($AB$3-$H$1) ))-1</f>
        <v>-7.7741876087542128E-2</v>
      </c>
      <c r="AD92" s="146"/>
      <c r="AE92" s="146"/>
    </row>
    <row r="93" spans="2:31" ht="12" customHeight="1">
      <c r="B93" s="20" t="s">
        <v>324</v>
      </c>
      <c r="C93" s="152"/>
      <c r="D93" s="152"/>
      <c r="E93" s="152"/>
      <c r="F93" s="152"/>
      <c r="G93" s="171">
        <f t="shared" ref="G93:P93" si="249">G29/G12</f>
        <v>0.67164179104477617</v>
      </c>
      <c r="H93" s="171">
        <f t="shared" si="249"/>
        <v>0.67164179104477617</v>
      </c>
      <c r="I93" s="171">
        <f t="shared" si="249"/>
        <v>0.30606860158311344</v>
      </c>
      <c r="J93" s="171">
        <f t="shared" si="249"/>
        <v>0.11809815950920245</v>
      </c>
      <c r="K93" s="171">
        <f t="shared" si="249"/>
        <v>2.103286384976526</v>
      </c>
      <c r="L93" s="171">
        <f t="shared" si="249"/>
        <v>2.1748013620885356</v>
      </c>
      <c r="M93" s="171">
        <f t="shared" si="249"/>
        <v>1.0360618202633085</v>
      </c>
      <c r="N93" s="171">
        <f t="shared" si="249"/>
        <v>0.95369030390738063</v>
      </c>
      <c r="O93" s="171">
        <f t="shared" si="249"/>
        <v>1.0942477876106194</v>
      </c>
      <c r="P93" s="171">
        <f t="shared" si="249"/>
        <v>2.7765912003417343E-2</v>
      </c>
      <c r="Q93" s="118">
        <f t="shared" si="224"/>
        <v>-0.29811848708213273</v>
      </c>
      <c r="R93" s="20"/>
      <c r="S93" s="152">
        <f t="shared" ref="S93:AB93" si="250">S29/S12</f>
        <v>2.776591200341734E-2</v>
      </c>
      <c r="T93" s="152">
        <f t="shared" si="250"/>
        <v>2.776591200341734E-2</v>
      </c>
      <c r="U93" s="152">
        <f t="shared" si="250"/>
        <v>2.776591200341734E-2</v>
      </c>
      <c r="V93" s="152">
        <f t="shared" si="250"/>
        <v>2.7765912003417343E-2</v>
      </c>
      <c r="W93" s="152">
        <f t="shared" si="250"/>
        <v>2.7765912003417343E-2</v>
      </c>
      <c r="X93" s="152">
        <f t="shared" si="250"/>
        <v>2.7765912003417343E-2</v>
      </c>
      <c r="Y93" s="152">
        <f t="shared" si="250"/>
        <v>2.7765912003417343E-2</v>
      </c>
      <c r="Z93" s="152">
        <f t="shared" si="250"/>
        <v>2.7765912003417343E-2</v>
      </c>
      <c r="AA93" s="152">
        <f t="shared" si="250"/>
        <v>2.7765912003417343E-2</v>
      </c>
      <c r="AB93" s="152">
        <f t="shared" si="250"/>
        <v>2.7765912003417343E-2</v>
      </c>
      <c r="AC93" s="138">
        <f t="shared" si="226"/>
        <v>-0.15437543380061891</v>
      </c>
      <c r="AD93" s="146"/>
      <c r="AE93" s="146"/>
    </row>
    <row r="94" spans="2:31" ht="12" customHeight="1">
      <c r="B94" s="20" t="s">
        <v>369</v>
      </c>
      <c r="C94" s="152"/>
      <c r="D94" s="152"/>
      <c r="E94" s="152"/>
      <c r="F94" s="152"/>
      <c r="G94" s="171">
        <f>G29/G23</f>
        <v>1.3043478260869565</v>
      </c>
      <c r="H94" s="171">
        <f t="shared" ref="H94:P94" si="251">H29/H23</f>
        <v>1.0465116279069768</v>
      </c>
      <c r="I94" s="171">
        <f t="shared" si="251"/>
        <v>0.30687830687830686</v>
      </c>
      <c r="J94" s="171">
        <f t="shared" si="251"/>
        <v>0.11827956989247312</v>
      </c>
      <c r="K94" s="171">
        <f t="shared" si="251"/>
        <v>2.103286384976526</v>
      </c>
      <c r="L94" s="171">
        <f t="shared" si="251"/>
        <v>1.3540636042402827</v>
      </c>
      <c r="M94" s="171">
        <f t="shared" si="251"/>
        <v>0.79108391608391604</v>
      </c>
      <c r="N94" s="171">
        <f t="shared" si="251"/>
        <v>0.68195929630907215</v>
      </c>
      <c r="O94" s="171">
        <f t="shared" si="251"/>
        <v>0.64083959575019434</v>
      </c>
      <c r="P94" s="171">
        <f t="shared" si="251"/>
        <v>0.16250000000000001</v>
      </c>
      <c r="Q94" s="118">
        <f t="shared" ref="Q94" si="252">((P94/G94)^(1/($H$2-$H$1) ))-1</f>
        <v>-0.20659387359086712</v>
      </c>
      <c r="R94" s="20"/>
      <c r="S94" s="171">
        <f t="shared" ref="S94:AB94" si="253">S29/S23</f>
        <v>0.16249999999999998</v>
      </c>
      <c r="T94" s="171">
        <f t="shared" si="253"/>
        <v>0.16249999999999998</v>
      </c>
      <c r="U94" s="171">
        <f t="shared" si="253"/>
        <v>0.16249999999999998</v>
      </c>
      <c r="V94" s="171">
        <f t="shared" si="253"/>
        <v>0.16249999999999995</v>
      </c>
      <c r="W94" s="171">
        <f t="shared" si="253"/>
        <v>0.16249999999999995</v>
      </c>
      <c r="X94" s="171">
        <f t="shared" si="253"/>
        <v>0.16249999999999998</v>
      </c>
      <c r="Y94" s="171">
        <f t="shared" si="253"/>
        <v>0.16249999999999998</v>
      </c>
      <c r="Z94" s="171">
        <f t="shared" si="253"/>
        <v>0.16249999999999995</v>
      </c>
      <c r="AA94" s="171">
        <f t="shared" si="253"/>
        <v>0.16249999999999998</v>
      </c>
      <c r="AB94" s="171">
        <f t="shared" si="253"/>
        <v>0.16249999999999998</v>
      </c>
      <c r="AC94" s="138">
        <f t="shared" ref="AC94" si="254">((AB94/G94)^(1/($AB$3-$H$1) ))-1</f>
        <v>-0.10382540393708184</v>
      </c>
      <c r="AD94" s="146"/>
      <c r="AE94" s="146"/>
    </row>
    <row r="95" spans="2:31" ht="12" customHeight="1">
      <c r="B95" s="20"/>
      <c r="C95" s="152"/>
      <c r="D95" s="152"/>
      <c r="E95" s="152"/>
      <c r="F95" s="152"/>
      <c r="G95" s="171"/>
      <c r="H95" s="171"/>
      <c r="I95" s="171"/>
      <c r="J95" s="171"/>
      <c r="K95" s="171"/>
      <c r="L95" s="171"/>
      <c r="M95" s="171"/>
      <c r="N95" s="171"/>
      <c r="O95" s="171"/>
      <c r="P95" s="171"/>
      <c r="Q95" s="171"/>
      <c r="R95" s="20"/>
      <c r="S95" s="152"/>
      <c r="T95" s="152"/>
      <c r="U95" s="152"/>
      <c r="V95" s="152"/>
      <c r="W95" s="152"/>
      <c r="X95" s="152"/>
      <c r="Y95" s="152"/>
      <c r="Z95" s="152"/>
      <c r="AA95" s="152"/>
      <c r="AB95" s="152"/>
      <c r="AC95" s="152"/>
      <c r="AD95" s="146"/>
      <c r="AE95" s="146"/>
    </row>
    <row r="96" spans="2:31" ht="12" customHeight="1">
      <c r="B96" s="20" t="s">
        <v>401</v>
      </c>
      <c r="C96" s="152"/>
      <c r="D96" s="152"/>
      <c r="E96" s="152"/>
      <c r="F96" s="152"/>
      <c r="G96" s="127">
        <f>1/G90</f>
        <v>27.655555555555555</v>
      </c>
      <c r="H96" s="127">
        <f t="shared" ref="H96:P96" si="255">1/H90</f>
        <v>27.655555555555555</v>
      </c>
      <c r="I96" s="127">
        <f t="shared" si="255"/>
        <v>55.586206896551722</v>
      </c>
      <c r="J96" s="127">
        <f t="shared" si="255"/>
        <v>88.220779220779221</v>
      </c>
      <c r="K96" s="127">
        <f t="shared" si="255"/>
        <v>3.7594866071428572</v>
      </c>
      <c r="L96" s="127">
        <f t="shared" si="255"/>
        <v>3.7651356993736949</v>
      </c>
      <c r="M96" s="127">
        <f t="shared" si="255"/>
        <v>4.2464088397790052</v>
      </c>
      <c r="N96" s="127">
        <f t="shared" si="255"/>
        <v>4.4193222053616594</v>
      </c>
      <c r="O96" s="127">
        <f t="shared" si="255"/>
        <v>4.069955519611808</v>
      </c>
      <c r="P96" s="127">
        <f t="shared" si="255"/>
        <v>145.53846153846155</v>
      </c>
      <c r="Q96" s="118">
        <f t="shared" si="224"/>
        <v>0.20263218247468173</v>
      </c>
      <c r="R96" s="20"/>
      <c r="S96" s="127">
        <f t="shared" ref="S96:AB96" si="256">1/S90</f>
        <v>145.53846153846155</v>
      </c>
      <c r="T96" s="127">
        <f t="shared" si="256"/>
        <v>145.53846153846152</v>
      </c>
      <c r="U96" s="127">
        <f t="shared" si="256"/>
        <v>145.53846153846155</v>
      </c>
      <c r="V96" s="127">
        <f t="shared" si="256"/>
        <v>145.53846153846155</v>
      </c>
      <c r="W96" s="127">
        <f t="shared" si="256"/>
        <v>145.53846153846155</v>
      </c>
      <c r="X96" s="127">
        <f t="shared" si="256"/>
        <v>145.53846153846152</v>
      </c>
      <c r="Y96" s="127">
        <f t="shared" si="256"/>
        <v>145.53846153846152</v>
      </c>
      <c r="Z96" s="127">
        <f t="shared" si="256"/>
        <v>145.53846153846152</v>
      </c>
      <c r="AA96" s="127">
        <f t="shared" si="256"/>
        <v>145.53846153846152</v>
      </c>
      <c r="AB96" s="127">
        <f t="shared" si="256"/>
        <v>145.53846153846152</v>
      </c>
      <c r="AC96" s="138">
        <f t="shared" si="226"/>
        <v>9.1333916035248652E-2</v>
      </c>
      <c r="AD96" s="146"/>
      <c r="AE96" s="146"/>
    </row>
    <row r="97" spans="2:31" ht="12" customHeight="1">
      <c r="B97" s="20" t="s">
        <v>402</v>
      </c>
      <c r="C97" s="152"/>
      <c r="D97" s="152"/>
      <c r="E97" s="152"/>
      <c r="F97" s="152"/>
      <c r="G97" s="127">
        <f t="shared" ref="G97:P100" si="257">1/G91</f>
        <v>7.2222222222222214</v>
      </c>
      <c r="H97" s="127">
        <f t="shared" si="257"/>
        <v>7.2222222222222214</v>
      </c>
      <c r="I97" s="127">
        <f t="shared" si="257"/>
        <v>18.637931034482758</v>
      </c>
      <c r="J97" s="127">
        <f t="shared" si="257"/>
        <v>26.584415584415584</v>
      </c>
      <c r="K97" s="127">
        <f t="shared" si="257"/>
        <v>1</v>
      </c>
      <c r="L97" s="127">
        <f t="shared" si="257"/>
        <v>1</v>
      </c>
      <c r="M97" s="127">
        <f t="shared" si="257"/>
        <v>1</v>
      </c>
      <c r="N97" s="127">
        <f t="shared" si="257"/>
        <v>1</v>
      </c>
      <c r="O97" s="127">
        <f t="shared" si="257"/>
        <v>1</v>
      </c>
      <c r="P97" s="127">
        <f t="shared" si="257"/>
        <v>25.384615384615387</v>
      </c>
      <c r="Q97" s="118">
        <f t="shared" si="224"/>
        <v>0.14988796007178085</v>
      </c>
      <c r="R97" s="20"/>
      <c r="S97" s="127">
        <f t="shared" ref="S97:AB97" si="258">1/S91</f>
        <v>25.384615384615387</v>
      </c>
      <c r="T97" s="127">
        <f t="shared" si="258"/>
        <v>25.384615384615387</v>
      </c>
      <c r="U97" s="127">
        <f t="shared" si="258"/>
        <v>25.384615384615387</v>
      </c>
      <c r="V97" s="127">
        <f t="shared" si="258"/>
        <v>25.384615384615387</v>
      </c>
      <c r="W97" s="127">
        <f t="shared" si="258"/>
        <v>25.384615384615383</v>
      </c>
      <c r="X97" s="127">
        <f t="shared" si="258"/>
        <v>25.384615384615383</v>
      </c>
      <c r="Y97" s="127">
        <f t="shared" si="258"/>
        <v>25.384615384615383</v>
      </c>
      <c r="Z97" s="127">
        <f t="shared" si="258"/>
        <v>25.384615384615387</v>
      </c>
      <c r="AA97" s="127">
        <f t="shared" si="258"/>
        <v>25.384615384615383</v>
      </c>
      <c r="AB97" s="127">
        <f t="shared" si="258"/>
        <v>25.384615384615383</v>
      </c>
      <c r="AC97" s="138">
        <f t="shared" si="226"/>
        <v>6.8394307221201434E-2</v>
      </c>
      <c r="AD97" s="146"/>
      <c r="AE97" s="146"/>
    </row>
    <row r="98" spans="2:31" ht="12" customHeight="1">
      <c r="B98" s="20" t="s">
        <v>403</v>
      </c>
      <c r="C98" s="152"/>
      <c r="D98" s="152"/>
      <c r="E98" s="152"/>
      <c r="F98" s="152"/>
      <c r="G98" s="127">
        <f t="shared" si="257"/>
        <v>4.2777777777777777</v>
      </c>
      <c r="H98" s="127" t="e">
        <f t="shared" si="257"/>
        <v>#DIV/0!</v>
      </c>
      <c r="I98" s="127">
        <f t="shared" si="257"/>
        <v>12.78448275862069</v>
      </c>
      <c r="J98" s="127">
        <f t="shared" si="257"/>
        <v>22.948051948051948</v>
      </c>
      <c r="K98" s="127">
        <f t="shared" si="257"/>
        <v>0.77511160714285721</v>
      </c>
      <c r="L98" s="127">
        <f t="shared" si="257"/>
        <v>0.63465553235908145</v>
      </c>
      <c r="M98" s="127">
        <f t="shared" si="257"/>
        <v>0.69723756906077339</v>
      </c>
      <c r="N98" s="127">
        <f t="shared" si="257"/>
        <v>0.62063732928679816</v>
      </c>
      <c r="O98" s="127">
        <f t="shared" si="257"/>
        <v>0.52203801051354626</v>
      </c>
      <c r="P98" s="127">
        <f t="shared" si="257"/>
        <v>19.907692307692308</v>
      </c>
      <c r="Q98" s="118">
        <f t="shared" si="224"/>
        <v>0.18631575997409477</v>
      </c>
      <c r="R98" s="20"/>
      <c r="S98" s="127">
        <f t="shared" ref="S98:AB98" si="259">1/S92</f>
        <v>19.907692307692308</v>
      </c>
      <c r="T98" s="127">
        <f t="shared" si="259"/>
        <v>19.907692307692308</v>
      </c>
      <c r="U98" s="127">
        <f t="shared" si="259"/>
        <v>19.907692307692308</v>
      </c>
      <c r="V98" s="127">
        <f t="shared" si="259"/>
        <v>19.907692307692308</v>
      </c>
      <c r="W98" s="127">
        <f t="shared" si="259"/>
        <v>19.907692307692308</v>
      </c>
      <c r="X98" s="127">
        <f t="shared" si="259"/>
        <v>19.907692307692308</v>
      </c>
      <c r="Y98" s="127">
        <f t="shared" si="259"/>
        <v>19.907692307692308</v>
      </c>
      <c r="Z98" s="127">
        <f t="shared" si="259"/>
        <v>19.907692307692308</v>
      </c>
      <c r="AA98" s="127">
        <f t="shared" si="259"/>
        <v>19.907692307692308</v>
      </c>
      <c r="AB98" s="127">
        <f t="shared" si="259"/>
        <v>19.907692307692304</v>
      </c>
      <c r="AC98" s="138">
        <f t="shared" si="226"/>
        <v>8.4295138282697746E-2</v>
      </c>
      <c r="AD98" s="146"/>
      <c r="AE98" s="146"/>
    </row>
    <row r="99" spans="2:31" ht="12" customHeight="1">
      <c r="B99" s="20" t="s">
        <v>404</v>
      </c>
      <c r="C99" s="152"/>
      <c r="D99" s="152"/>
      <c r="E99" s="152"/>
      <c r="F99" s="152"/>
      <c r="G99" s="127">
        <f t="shared" si="257"/>
        <v>1.4888888888888887</v>
      </c>
      <c r="H99" s="127">
        <f t="shared" si="257"/>
        <v>1.4888888888888887</v>
      </c>
      <c r="I99" s="127">
        <f t="shared" si="257"/>
        <v>3.2672413793103452</v>
      </c>
      <c r="J99" s="127">
        <f t="shared" si="257"/>
        <v>8.4675324675324681</v>
      </c>
      <c r="K99" s="127">
        <f t="shared" si="257"/>
        <v>0.47544642857142855</v>
      </c>
      <c r="L99" s="127">
        <f t="shared" si="257"/>
        <v>0.459812108559499</v>
      </c>
      <c r="M99" s="127">
        <f t="shared" si="257"/>
        <v>0.96519337016574591</v>
      </c>
      <c r="N99" s="127">
        <f t="shared" si="257"/>
        <v>1.0485584218512898</v>
      </c>
      <c r="O99" s="127">
        <f t="shared" si="257"/>
        <v>0.9138697937727458</v>
      </c>
      <c r="P99" s="127">
        <f t="shared" si="257"/>
        <v>36.015384615384619</v>
      </c>
      <c r="Q99" s="118">
        <f t="shared" si="224"/>
        <v>0.42474189958757025</v>
      </c>
      <c r="R99" s="20"/>
      <c r="S99" s="127">
        <f t="shared" ref="S99:AB99" si="260">1/S93</f>
        <v>36.015384615384619</v>
      </c>
      <c r="T99" s="127">
        <f t="shared" si="260"/>
        <v>36.015384615384619</v>
      </c>
      <c r="U99" s="127">
        <f t="shared" si="260"/>
        <v>36.015384615384619</v>
      </c>
      <c r="V99" s="127">
        <f t="shared" si="260"/>
        <v>36.015384615384619</v>
      </c>
      <c r="W99" s="127">
        <f t="shared" si="260"/>
        <v>36.015384615384619</v>
      </c>
      <c r="X99" s="127">
        <f t="shared" si="260"/>
        <v>36.015384615384619</v>
      </c>
      <c r="Y99" s="127">
        <f t="shared" si="260"/>
        <v>36.015384615384619</v>
      </c>
      <c r="Z99" s="127">
        <f t="shared" si="260"/>
        <v>36.015384615384619</v>
      </c>
      <c r="AA99" s="127">
        <f t="shared" si="260"/>
        <v>36.015384615384619</v>
      </c>
      <c r="AB99" s="127">
        <f t="shared" si="260"/>
        <v>36.015384615384619</v>
      </c>
      <c r="AC99" s="138">
        <f t="shared" si="226"/>
        <v>0.18255788676345097</v>
      </c>
      <c r="AD99" s="146"/>
      <c r="AE99" s="146"/>
    </row>
    <row r="100" spans="2:31" ht="12" customHeight="1">
      <c r="B100" s="20" t="s">
        <v>405</v>
      </c>
      <c r="C100" s="152"/>
      <c r="D100" s="152"/>
      <c r="E100" s="152"/>
      <c r="F100" s="152"/>
      <c r="G100" s="127">
        <f t="shared" si="257"/>
        <v>0.76666666666666661</v>
      </c>
      <c r="H100" s="127">
        <f t="shared" si="257"/>
        <v>0.95555555555555549</v>
      </c>
      <c r="I100" s="127">
        <f t="shared" si="257"/>
        <v>3.2586206896551726</v>
      </c>
      <c r="J100" s="127">
        <f t="shared" si="257"/>
        <v>8.4545454545454533</v>
      </c>
      <c r="K100" s="127">
        <f t="shared" si="257"/>
        <v>0.47544642857142855</v>
      </c>
      <c r="L100" s="127">
        <f t="shared" si="257"/>
        <v>0.73851774530271397</v>
      </c>
      <c r="M100" s="127">
        <f t="shared" si="257"/>
        <v>1.2640883977900552</v>
      </c>
      <c r="N100" s="127">
        <f t="shared" si="257"/>
        <v>1.466363176530096</v>
      </c>
      <c r="O100" s="127">
        <f t="shared" si="257"/>
        <v>1.5604528912252325</v>
      </c>
      <c r="P100" s="127">
        <f t="shared" si="257"/>
        <v>6.1538461538461533</v>
      </c>
      <c r="Q100" s="118">
        <f t="shared" si="224"/>
        <v>0.2603885534964141</v>
      </c>
      <c r="R100" s="20"/>
      <c r="S100" s="127">
        <f t="shared" ref="S100:AB100" si="261">1/S94</f>
        <v>6.1538461538461551</v>
      </c>
      <c r="T100" s="127">
        <f t="shared" si="261"/>
        <v>6.1538461538461551</v>
      </c>
      <c r="U100" s="127">
        <f t="shared" si="261"/>
        <v>6.1538461538461551</v>
      </c>
      <c r="V100" s="127">
        <f t="shared" si="261"/>
        <v>6.153846153846156</v>
      </c>
      <c r="W100" s="127">
        <f t="shared" si="261"/>
        <v>6.153846153846156</v>
      </c>
      <c r="X100" s="127">
        <f t="shared" si="261"/>
        <v>6.1538461538461551</v>
      </c>
      <c r="Y100" s="127">
        <f t="shared" si="261"/>
        <v>6.1538461538461551</v>
      </c>
      <c r="Z100" s="127">
        <f t="shared" si="261"/>
        <v>6.153846153846156</v>
      </c>
      <c r="AA100" s="127">
        <f t="shared" si="261"/>
        <v>6.1538461538461551</v>
      </c>
      <c r="AB100" s="127">
        <f t="shared" si="261"/>
        <v>6.1538461538461551</v>
      </c>
      <c r="AC100" s="138">
        <f t="shared" si="226"/>
        <v>0.11585399139097285</v>
      </c>
      <c r="AD100" s="146"/>
      <c r="AE100" s="146"/>
    </row>
    <row r="101" spans="2:31" ht="12" customHeight="1">
      <c r="B101" s="20"/>
      <c r="C101" s="152"/>
      <c r="D101" s="152"/>
      <c r="E101" s="152"/>
      <c r="F101" s="152"/>
      <c r="G101" s="171"/>
      <c r="H101" s="171"/>
      <c r="I101" s="171"/>
      <c r="J101" s="171"/>
      <c r="K101" s="171"/>
      <c r="L101" s="171"/>
      <c r="M101" s="171"/>
      <c r="N101" s="171"/>
      <c r="O101" s="171"/>
      <c r="P101" s="171"/>
      <c r="Q101" s="171"/>
      <c r="R101" s="20"/>
      <c r="S101" s="152"/>
      <c r="T101" s="152"/>
      <c r="U101" s="152"/>
      <c r="V101" s="152"/>
      <c r="W101" s="152"/>
      <c r="X101" s="152"/>
      <c r="Y101" s="152"/>
      <c r="Z101" s="152"/>
      <c r="AA101" s="152"/>
      <c r="AB101" s="152"/>
      <c r="AC101" s="152"/>
      <c r="AD101" s="146"/>
      <c r="AE101" s="146"/>
    </row>
    <row r="102" spans="2:31" ht="12" customHeight="1">
      <c r="B102" s="20"/>
      <c r="C102" s="152"/>
      <c r="D102" s="152"/>
      <c r="E102" s="152"/>
      <c r="F102" s="152"/>
      <c r="G102" s="171"/>
      <c r="H102" s="171"/>
      <c r="I102" s="171"/>
      <c r="J102" s="171"/>
      <c r="K102" s="171"/>
      <c r="L102" s="171"/>
      <c r="M102" s="171"/>
      <c r="N102" s="171"/>
      <c r="O102" s="171"/>
      <c r="P102" s="171"/>
      <c r="Q102" s="171"/>
      <c r="R102" s="20"/>
      <c r="S102" s="152"/>
      <c r="T102" s="152"/>
      <c r="U102" s="152"/>
      <c r="V102" s="152"/>
      <c r="W102" s="152"/>
      <c r="X102" s="152"/>
      <c r="Y102" s="152"/>
      <c r="Z102" s="152"/>
      <c r="AA102" s="152"/>
      <c r="AB102" s="152"/>
      <c r="AC102" s="152"/>
      <c r="AD102" s="146"/>
      <c r="AE102" s="146"/>
    </row>
    <row r="103" spans="2:31">
      <c r="B103" s="20" t="s">
        <v>325</v>
      </c>
      <c r="C103" s="152"/>
      <c r="D103" s="152"/>
      <c r="E103" s="152"/>
      <c r="F103" s="163">
        <f t="shared" ref="F103:O103" si="262">F10-(F12+F13)</f>
        <v>0</v>
      </c>
      <c r="G103" s="163">
        <f t="shared" si="262"/>
        <v>221</v>
      </c>
      <c r="H103" s="163">
        <f t="shared" si="262"/>
        <v>221</v>
      </c>
      <c r="I103" s="163">
        <f t="shared" si="262"/>
        <v>-1044</v>
      </c>
      <c r="J103" s="163">
        <f t="shared" si="262"/>
        <v>-1794</v>
      </c>
      <c r="K103" s="163">
        <f t="shared" si="262"/>
        <v>-892</v>
      </c>
      <c r="L103" s="163">
        <f t="shared" si="262"/>
        <v>-1437</v>
      </c>
      <c r="M103" s="163">
        <f t="shared" si="262"/>
        <v>-2303</v>
      </c>
      <c r="N103" s="163">
        <f t="shared" si="262"/>
        <v>-2821</v>
      </c>
      <c r="O103" s="163">
        <f t="shared" si="262"/>
        <v>-3791</v>
      </c>
      <c r="P103" s="163">
        <f>P10-(P12+P13)</f>
        <v>-4100</v>
      </c>
      <c r="Q103" s="118">
        <f t="shared" si="224"/>
        <v>-2.3833510310453296</v>
      </c>
      <c r="R103" s="20"/>
      <c r="S103" s="163">
        <f>S10-(S12+S13)</f>
        <v>-4510.0000000000009</v>
      </c>
      <c r="T103" s="163">
        <f t="shared" ref="T103:AB103" si="263">T10-(T12+T13)</f>
        <v>-4961.0000000000009</v>
      </c>
      <c r="U103" s="163">
        <f t="shared" si="263"/>
        <v>-5457.1000000000022</v>
      </c>
      <c r="V103" s="163">
        <f t="shared" si="263"/>
        <v>-6002.8100000000031</v>
      </c>
      <c r="W103" s="163">
        <f t="shared" si="263"/>
        <v>-6603.0910000000031</v>
      </c>
      <c r="X103" s="163">
        <f t="shared" si="263"/>
        <v>-7263.4001000000035</v>
      </c>
      <c r="Y103" s="163">
        <f t="shared" si="263"/>
        <v>-7989.7401100000043</v>
      </c>
      <c r="Z103" s="163">
        <f t="shared" si="263"/>
        <v>-8788.7141210000045</v>
      </c>
      <c r="AA103" s="163">
        <f t="shared" si="263"/>
        <v>-9667.5855331000057</v>
      </c>
      <c r="AB103" s="163">
        <f t="shared" si="263"/>
        <v>-10634.344086410008</v>
      </c>
      <c r="AC103" s="138">
        <f t="shared" si="226"/>
        <v>-2.2261485122095697</v>
      </c>
      <c r="AD103" s="146"/>
      <c r="AE103" s="146"/>
    </row>
    <row r="104" spans="2:31" ht="12" customHeight="1">
      <c r="B104" s="20" t="s">
        <v>320</v>
      </c>
      <c r="C104" s="20"/>
      <c r="D104" s="20"/>
      <c r="E104" s="20"/>
      <c r="F104" s="20"/>
      <c r="G104" s="152">
        <f t="shared" ref="G104:P104" si="264">G40/G18</f>
        <v>0.14301634472511143</v>
      </c>
      <c r="H104" s="152">
        <f t="shared" si="264"/>
        <v>0</v>
      </c>
      <c r="I104" s="152">
        <f t="shared" si="264"/>
        <v>0.59225239616613423</v>
      </c>
      <c r="J104" s="152">
        <f t="shared" si="264"/>
        <v>0.59355055424924419</v>
      </c>
      <c r="K104" s="152">
        <f t="shared" si="264"/>
        <v>0.43446981545198626</v>
      </c>
      <c r="L104" s="152">
        <f t="shared" si="264"/>
        <v>0.35307781649245062</v>
      </c>
      <c r="M104" s="152">
        <f t="shared" si="264"/>
        <v>0.22411649795773397</v>
      </c>
      <c r="N104" s="152">
        <f t="shared" si="264"/>
        <v>0.19584996009577016</v>
      </c>
      <c r="O104" s="152">
        <f t="shared" si="264"/>
        <v>0.21697478991596639</v>
      </c>
      <c r="P104" s="152">
        <f t="shared" si="264"/>
        <v>0.21346090399208181</v>
      </c>
      <c r="Q104" s="118">
        <f t="shared" si="224"/>
        <v>4.5504369611440776E-2</v>
      </c>
      <c r="R104" s="20"/>
      <c r="S104" s="152">
        <f t="shared" ref="S104:AB104" si="265">S40/S18</f>
        <v>0.21346090399208181</v>
      </c>
      <c r="T104" s="152">
        <f t="shared" si="265"/>
        <v>0.21346090399208181</v>
      </c>
      <c r="U104" s="152">
        <f t="shared" si="265"/>
        <v>0.21346090399208181</v>
      </c>
      <c r="V104" s="152">
        <f t="shared" si="265"/>
        <v>0.21346090399208181</v>
      </c>
      <c r="W104" s="152">
        <f t="shared" si="265"/>
        <v>0.21346090399208181</v>
      </c>
      <c r="X104" s="152">
        <f t="shared" si="265"/>
        <v>0.21346090399208184</v>
      </c>
      <c r="Y104" s="152">
        <f t="shared" si="265"/>
        <v>0.21346090399208184</v>
      </c>
      <c r="Z104" s="152">
        <f t="shared" si="265"/>
        <v>0.21346090399208184</v>
      </c>
      <c r="AA104" s="152">
        <f t="shared" si="265"/>
        <v>0.21346090399208181</v>
      </c>
      <c r="AB104" s="152">
        <f t="shared" si="265"/>
        <v>0.21346090399208181</v>
      </c>
      <c r="AC104" s="138">
        <f t="shared" si="226"/>
        <v>2.1302396697387094E-2</v>
      </c>
      <c r="AD104" s="20"/>
      <c r="AE104" s="20"/>
    </row>
    <row r="105" spans="2:31">
      <c r="B105" s="20" t="s">
        <v>321</v>
      </c>
      <c r="C105" s="20"/>
      <c r="D105" s="20"/>
      <c r="E105" s="20"/>
      <c r="F105" s="20"/>
      <c r="G105" s="152">
        <f t="shared" ref="G105:P105" si="266">G40/G25</f>
        <v>0.15468059461631178</v>
      </c>
      <c r="H105" s="152">
        <f t="shared" si="266"/>
        <v>0</v>
      </c>
      <c r="I105" s="152">
        <f t="shared" si="266"/>
        <v>0.22999379652605459</v>
      </c>
      <c r="J105" s="152">
        <f t="shared" si="266"/>
        <v>0.26012071249815988</v>
      </c>
      <c r="K105" s="152">
        <f t="shared" si="266"/>
        <v>0.20617485527682944</v>
      </c>
      <c r="L105" s="152">
        <f t="shared" si="266"/>
        <v>0.16856113113390631</v>
      </c>
      <c r="M105" s="152">
        <f t="shared" si="266"/>
        <v>0.16419463960447567</v>
      </c>
      <c r="N105" s="152">
        <f t="shared" si="266"/>
        <v>0.14043722101407805</v>
      </c>
      <c r="O105" s="152">
        <f t="shared" si="266"/>
        <v>0.1282662692498758</v>
      </c>
      <c r="P105" s="152">
        <f t="shared" si="266"/>
        <v>0.13678646934460889</v>
      </c>
      <c r="Q105" s="118">
        <f t="shared" si="224"/>
        <v>-1.356725916565138E-2</v>
      </c>
      <c r="R105" s="20"/>
      <c r="S105" s="152">
        <f t="shared" ref="S105:AB105" si="267">S40/S25</f>
        <v>0.13678646934460889</v>
      </c>
      <c r="T105" s="152">
        <f t="shared" si="267"/>
        <v>0.13678646934460889</v>
      </c>
      <c r="U105" s="152">
        <f t="shared" si="267"/>
        <v>0.13678646934460889</v>
      </c>
      <c r="V105" s="152">
        <f t="shared" si="267"/>
        <v>0.13678646934460886</v>
      </c>
      <c r="W105" s="152">
        <f t="shared" si="267"/>
        <v>0.13678646934460886</v>
      </c>
      <c r="X105" s="152">
        <f t="shared" si="267"/>
        <v>0.13678646934460889</v>
      </c>
      <c r="Y105" s="152">
        <f t="shared" si="267"/>
        <v>0.13678646934460889</v>
      </c>
      <c r="Z105" s="152">
        <f t="shared" si="267"/>
        <v>0.13678646934460889</v>
      </c>
      <c r="AA105" s="152">
        <f t="shared" si="267"/>
        <v>0.13678646934460886</v>
      </c>
      <c r="AB105" s="152">
        <f t="shared" si="267"/>
        <v>0.13678646934460886</v>
      </c>
      <c r="AC105" s="138">
        <f t="shared" si="226"/>
        <v>-6.4497012776091323E-3</v>
      </c>
      <c r="AD105" s="20"/>
      <c r="AE105" s="20"/>
    </row>
    <row r="106" spans="2:31">
      <c r="B106" s="20" t="s">
        <v>347</v>
      </c>
      <c r="C106" s="20"/>
      <c r="D106" s="20"/>
      <c r="E106" s="152"/>
      <c r="F106" s="152"/>
      <c r="G106" s="152">
        <f t="shared" ref="G106:O106" si="268">G25/G18</f>
        <v>0.92459138187221401</v>
      </c>
      <c r="H106" s="152">
        <f t="shared" si="268"/>
        <v>0.92459138187221401</v>
      </c>
      <c r="I106" s="152">
        <f t="shared" si="268"/>
        <v>2.5750798722044728</v>
      </c>
      <c r="J106" s="152">
        <f t="shared" si="268"/>
        <v>2.2818273429627141</v>
      </c>
      <c r="K106" s="152">
        <f t="shared" si="268"/>
        <v>2.1072880825774165</v>
      </c>
      <c r="L106" s="152">
        <f t="shared" si="268"/>
        <v>2.09465737514518</v>
      </c>
      <c r="M106" s="152">
        <f t="shared" si="268"/>
        <v>1.3649440596696856</v>
      </c>
      <c r="N106" s="152">
        <f t="shared" si="268"/>
        <v>1.3945730247406225</v>
      </c>
      <c r="O106" s="152">
        <f t="shared" si="268"/>
        <v>1.6915966386554622</v>
      </c>
      <c r="P106" s="152">
        <f>P25/P18</f>
        <v>1.560541075552623</v>
      </c>
      <c r="Q106" s="118">
        <f t="shared" si="224"/>
        <v>5.9884091770035841E-2</v>
      </c>
      <c r="R106" s="20"/>
      <c r="S106" s="152">
        <f>S25/S18</f>
        <v>1.5605410755526228</v>
      </c>
      <c r="T106" s="152">
        <f t="shared" ref="T106:AB106" si="269">T25/T18</f>
        <v>1.5605410755526226</v>
      </c>
      <c r="U106" s="152">
        <f t="shared" si="269"/>
        <v>1.5605410755526228</v>
      </c>
      <c r="V106" s="152">
        <f t="shared" si="269"/>
        <v>1.560541075552623</v>
      </c>
      <c r="W106" s="152">
        <f t="shared" si="269"/>
        <v>1.560541075552623</v>
      </c>
      <c r="X106" s="152">
        <f t="shared" si="269"/>
        <v>1.560541075552623</v>
      </c>
      <c r="Y106" s="152">
        <f t="shared" si="269"/>
        <v>1.560541075552623</v>
      </c>
      <c r="Z106" s="152">
        <f t="shared" si="269"/>
        <v>1.560541075552623</v>
      </c>
      <c r="AA106" s="152">
        <f t="shared" si="269"/>
        <v>1.560541075552623</v>
      </c>
      <c r="AB106" s="152">
        <f t="shared" si="269"/>
        <v>1.560541075552623</v>
      </c>
      <c r="AC106" s="138">
        <f t="shared" si="226"/>
        <v>2.7932252660668233E-2</v>
      </c>
      <c r="AD106" s="20"/>
      <c r="AE106" s="20"/>
    </row>
    <row r="107" spans="2:31">
      <c r="B107" s="20"/>
      <c r="C107" s="20"/>
      <c r="D107" s="20"/>
      <c r="E107" s="20"/>
      <c r="F107" s="20"/>
      <c r="G107" s="152"/>
      <c r="H107" s="152"/>
      <c r="I107" s="152"/>
      <c r="J107" s="152"/>
      <c r="K107" s="152"/>
      <c r="L107" s="152"/>
      <c r="M107" s="152"/>
      <c r="N107" s="152"/>
      <c r="O107" s="152"/>
      <c r="P107" s="152"/>
      <c r="Q107" s="128"/>
      <c r="R107" s="20"/>
      <c r="S107" s="152"/>
      <c r="T107" s="152"/>
      <c r="U107" s="152"/>
      <c r="V107" s="152"/>
      <c r="W107" s="152"/>
      <c r="X107" s="152"/>
      <c r="Y107" s="152"/>
      <c r="Z107" s="152"/>
      <c r="AA107" s="152"/>
      <c r="AB107" s="152"/>
      <c r="AC107" s="128"/>
      <c r="AD107" s="20"/>
      <c r="AE107" s="20"/>
    </row>
    <row r="108" spans="2:31">
      <c r="B108" s="20" t="s">
        <v>333</v>
      </c>
      <c r="C108" s="20"/>
      <c r="D108" s="20"/>
      <c r="E108" s="165">
        <f t="shared" ref="E108:F108" si="270">E68*E42</f>
        <v>0</v>
      </c>
      <c r="F108" s="165">
        <f t="shared" si="270"/>
        <v>0</v>
      </c>
      <c r="G108" s="165">
        <f>G68*G42</f>
        <v>143.52000000000001</v>
      </c>
      <c r="H108" s="165">
        <f t="shared" ref="H108:P108" si="271">H68*H42</f>
        <v>32.292000000000002</v>
      </c>
      <c r="I108" s="165">
        <f t="shared" si="271"/>
        <v>500.54399999999998</v>
      </c>
      <c r="J108" s="165">
        <f t="shared" si="271"/>
        <v>532.77</v>
      </c>
      <c r="K108" s="165">
        <f t="shared" si="271"/>
        <v>334.95000000000005</v>
      </c>
      <c r="L108" s="165">
        <f t="shared" si="271"/>
        <v>365.68799999999999</v>
      </c>
      <c r="M108" s="165">
        <f t="shared" si="271"/>
        <v>397.74799999999999</v>
      </c>
      <c r="N108" s="165">
        <f t="shared" si="271"/>
        <v>490.97600000000006</v>
      </c>
      <c r="O108" s="165">
        <f t="shared" si="271"/>
        <v>555.15600000000006</v>
      </c>
      <c r="P108" s="165">
        <f t="shared" si="271"/>
        <v>555.15600000000006</v>
      </c>
      <c r="Q108" s="118">
        <f t="shared" si="224"/>
        <v>0.16219249880980136</v>
      </c>
      <c r="R108" s="20"/>
      <c r="S108" s="165">
        <f t="shared" ref="S108:AB108" si="272">S68*S42</f>
        <v>582.91380000000004</v>
      </c>
      <c r="T108" s="165">
        <f t="shared" si="272"/>
        <v>612.0594900000001</v>
      </c>
      <c r="U108" s="165">
        <f t="shared" si="272"/>
        <v>642.66246450000017</v>
      </c>
      <c r="V108" s="165">
        <f t="shared" si="272"/>
        <v>674.79558772500013</v>
      </c>
      <c r="W108" s="165">
        <f t="shared" si="272"/>
        <v>708.53536711125014</v>
      </c>
      <c r="X108" s="165">
        <f t="shared" si="272"/>
        <v>743.9621354668127</v>
      </c>
      <c r="Y108" s="165">
        <f t="shared" si="272"/>
        <v>781.16024224015337</v>
      </c>
      <c r="Z108" s="165">
        <f t="shared" si="272"/>
        <v>820.21825435216101</v>
      </c>
      <c r="AA108" s="165">
        <f t="shared" si="272"/>
        <v>861.22916706976912</v>
      </c>
      <c r="AB108" s="165">
        <f t="shared" si="272"/>
        <v>904.29062542325755</v>
      </c>
      <c r="AC108" s="138">
        <f t="shared" si="226"/>
        <v>0.10172563006147484</v>
      </c>
      <c r="AD108" s="20"/>
      <c r="AE108" s="20"/>
    </row>
    <row r="109" spans="2:31">
      <c r="B109" s="20" t="s">
        <v>334</v>
      </c>
      <c r="C109" s="20"/>
      <c r="D109" s="20"/>
      <c r="E109" s="165">
        <f>(E108*0.17)+E108</f>
        <v>0</v>
      </c>
      <c r="F109" s="165">
        <f>(F108*0.17)+F108</f>
        <v>0</v>
      </c>
      <c r="G109" s="165">
        <f t="shared" ref="G109:P109" si="273">(G108*0.17)+G108</f>
        <v>167.91840000000002</v>
      </c>
      <c r="H109" s="165">
        <f t="shared" si="273"/>
        <v>37.781640000000003</v>
      </c>
      <c r="I109" s="165">
        <f t="shared" si="273"/>
        <v>585.63648000000001</v>
      </c>
      <c r="J109" s="165">
        <f t="shared" si="273"/>
        <v>623.34090000000003</v>
      </c>
      <c r="K109" s="165">
        <f t="shared" si="273"/>
        <v>391.89150000000006</v>
      </c>
      <c r="L109" s="165">
        <f t="shared" si="273"/>
        <v>427.85496000000001</v>
      </c>
      <c r="M109" s="165">
        <f t="shared" si="273"/>
        <v>465.36516</v>
      </c>
      <c r="N109" s="165">
        <f t="shared" si="273"/>
        <v>574.4419200000001</v>
      </c>
      <c r="O109" s="165">
        <f t="shared" si="273"/>
        <v>649.53252000000009</v>
      </c>
      <c r="P109" s="165">
        <f t="shared" si="273"/>
        <v>649.53252000000009</v>
      </c>
      <c r="Q109" s="118">
        <f t="shared" si="224"/>
        <v>0.16219249880980136</v>
      </c>
      <c r="R109" s="20"/>
      <c r="S109" s="165">
        <f t="shared" ref="S109:AB109" si="274">(S108*0.17)+S108</f>
        <v>682.0091460000001</v>
      </c>
      <c r="T109" s="165">
        <f t="shared" si="274"/>
        <v>716.10960330000012</v>
      </c>
      <c r="U109" s="165">
        <f t="shared" si="274"/>
        <v>751.91508346500018</v>
      </c>
      <c r="V109" s="165">
        <f t="shared" si="274"/>
        <v>789.51083763825022</v>
      </c>
      <c r="W109" s="165">
        <f t="shared" si="274"/>
        <v>828.9863795201627</v>
      </c>
      <c r="X109" s="165">
        <f t="shared" si="274"/>
        <v>870.43569849617086</v>
      </c>
      <c r="Y109" s="165">
        <f t="shared" si="274"/>
        <v>913.95748342097943</v>
      </c>
      <c r="Z109" s="165">
        <f t="shared" si="274"/>
        <v>959.65535759202839</v>
      </c>
      <c r="AA109" s="165">
        <f t="shared" si="274"/>
        <v>1007.6381254716299</v>
      </c>
      <c r="AB109" s="165">
        <f t="shared" si="274"/>
        <v>1058.0200317452113</v>
      </c>
      <c r="AC109" s="138">
        <f t="shared" si="226"/>
        <v>0.10172563006147484</v>
      </c>
      <c r="AD109" s="20"/>
      <c r="AE109" s="20"/>
    </row>
    <row r="110" spans="2:31">
      <c r="B110" s="20" t="s">
        <v>335</v>
      </c>
      <c r="C110" s="20"/>
      <c r="D110" s="20"/>
      <c r="E110" s="20"/>
      <c r="F110" s="152" t="e">
        <f t="shared" ref="F110:P110" si="275">F109/F40</f>
        <v>#DIV/0!</v>
      </c>
      <c r="G110" s="152">
        <f t="shared" si="275"/>
        <v>0.43615168831168838</v>
      </c>
      <c r="H110" s="152" t="e">
        <f t="shared" si="275"/>
        <v>#DIV/0!</v>
      </c>
      <c r="I110" s="152">
        <f t="shared" si="275"/>
        <v>0.39489985165205665</v>
      </c>
      <c r="J110" s="152">
        <f t="shared" si="275"/>
        <v>0.35276791171477084</v>
      </c>
      <c r="K110" s="152">
        <f t="shared" si="275"/>
        <v>0.28213930885529165</v>
      </c>
      <c r="L110" s="152">
        <f t="shared" si="275"/>
        <v>0.35185440789473682</v>
      </c>
      <c r="M110" s="152">
        <f t="shared" si="275"/>
        <v>0.36875210776545164</v>
      </c>
      <c r="N110" s="152">
        <f t="shared" si="275"/>
        <v>0.46816782396088025</v>
      </c>
      <c r="O110" s="152">
        <f t="shared" si="275"/>
        <v>0.50312356312935713</v>
      </c>
      <c r="P110" s="152">
        <f t="shared" si="275"/>
        <v>0.50195712519319946</v>
      </c>
      <c r="Q110" s="118">
        <f t="shared" si="224"/>
        <v>1.5736379253646904E-2</v>
      </c>
      <c r="R110" s="20"/>
      <c r="S110" s="152">
        <f t="shared" ref="S110:AB110" si="276">S109/S40</f>
        <v>0.47914089222987216</v>
      </c>
      <c r="T110" s="152">
        <f t="shared" si="276"/>
        <v>0.45736176076487794</v>
      </c>
      <c r="U110" s="152">
        <f t="shared" si="276"/>
        <v>0.43657258982101987</v>
      </c>
      <c r="V110" s="152">
        <f t="shared" si="276"/>
        <v>0.41672838119279171</v>
      </c>
      <c r="W110" s="152">
        <f t="shared" si="276"/>
        <v>0.39778618204766475</v>
      </c>
      <c r="X110" s="152">
        <f t="shared" si="276"/>
        <v>0.37970499195458907</v>
      </c>
      <c r="Y110" s="152">
        <f t="shared" si="276"/>
        <v>0.36244567413847134</v>
      </c>
      <c r="Z110" s="152">
        <f t="shared" si="276"/>
        <v>0.34597087076854083</v>
      </c>
      <c r="AA110" s="152">
        <f t="shared" si="276"/>
        <v>0.33024492209724354</v>
      </c>
      <c r="AB110" s="152">
        <f t="shared" si="276"/>
        <v>0.31523378927464152</v>
      </c>
      <c r="AC110" s="138">
        <f t="shared" si="226"/>
        <v>-1.694301136699139E-2</v>
      </c>
      <c r="AD110" s="20"/>
      <c r="AE110" s="20"/>
    </row>
    <row r="111" spans="2:31">
      <c r="B111" s="20" t="s">
        <v>328</v>
      </c>
      <c r="C111" s="20"/>
      <c r="D111" s="20"/>
      <c r="E111" s="20"/>
      <c r="F111" s="152" t="e">
        <f>1-F110</f>
        <v>#DIV/0!</v>
      </c>
      <c r="G111" s="152">
        <f>1-G110</f>
        <v>0.56384831168831162</v>
      </c>
      <c r="H111" s="152" t="e">
        <f t="shared" ref="H111:P111" si="277">1-H110</f>
        <v>#DIV/0!</v>
      </c>
      <c r="I111" s="152">
        <f t="shared" si="277"/>
        <v>0.60510014834794335</v>
      </c>
      <c r="J111" s="152">
        <f t="shared" si="277"/>
        <v>0.64723208828522916</v>
      </c>
      <c r="K111" s="152">
        <f t="shared" si="277"/>
        <v>0.7178606911447083</v>
      </c>
      <c r="L111" s="152">
        <f t="shared" si="277"/>
        <v>0.64814559210526324</v>
      </c>
      <c r="M111" s="152">
        <f t="shared" si="277"/>
        <v>0.63124789223454836</v>
      </c>
      <c r="N111" s="152">
        <f t="shared" si="277"/>
        <v>0.53183217603911981</v>
      </c>
      <c r="O111" s="152">
        <f t="shared" si="277"/>
        <v>0.49687643687064287</v>
      </c>
      <c r="P111" s="152">
        <f t="shared" si="277"/>
        <v>0.49804287480680054</v>
      </c>
      <c r="Q111" s="118">
        <f t="shared" si="224"/>
        <v>-1.369415866577306E-2</v>
      </c>
      <c r="R111" s="20"/>
      <c r="S111" s="152">
        <f t="shared" ref="S111:AB111" si="278">1-S110</f>
        <v>0.52085910777012789</v>
      </c>
      <c r="T111" s="152">
        <f t="shared" si="278"/>
        <v>0.54263823923512211</v>
      </c>
      <c r="U111" s="152">
        <f t="shared" si="278"/>
        <v>0.56342741017898013</v>
      </c>
      <c r="V111" s="152">
        <f t="shared" si="278"/>
        <v>0.58327161880720824</v>
      </c>
      <c r="W111" s="152">
        <f t="shared" si="278"/>
        <v>0.60221381795233531</v>
      </c>
      <c r="X111" s="152">
        <f t="shared" si="278"/>
        <v>0.62029500804541093</v>
      </c>
      <c r="Y111" s="152">
        <f t="shared" si="278"/>
        <v>0.6375543258615286</v>
      </c>
      <c r="Z111" s="152">
        <f t="shared" si="278"/>
        <v>0.65402912923145917</v>
      </c>
      <c r="AA111" s="152">
        <f t="shared" si="278"/>
        <v>0.66975507790275646</v>
      </c>
      <c r="AB111" s="152">
        <f t="shared" si="278"/>
        <v>0.68476621072535848</v>
      </c>
      <c r="AC111" s="138">
        <f t="shared" si="226"/>
        <v>1.0278369432008549E-2</v>
      </c>
      <c r="AD111" s="20"/>
      <c r="AE111" s="20"/>
    </row>
    <row r="112" spans="2:31">
      <c r="B112" s="20"/>
      <c r="C112" s="20"/>
      <c r="D112" s="20"/>
      <c r="E112" s="20"/>
      <c r="F112" s="20"/>
      <c r="G112" s="152"/>
      <c r="H112" s="152"/>
      <c r="I112" s="152"/>
      <c r="J112" s="152"/>
      <c r="K112" s="152"/>
      <c r="L112" s="152"/>
      <c r="M112" s="152"/>
      <c r="N112" s="152"/>
      <c r="O112" s="152"/>
      <c r="P112" s="152"/>
      <c r="Q112" s="128"/>
      <c r="R112" s="20"/>
      <c r="S112" s="152"/>
      <c r="T112" s="152"/>
      <c r="U112" s="152"/>
      <c r="V112" s="152"/>
      <c r="W112" s="152"/>
      <c r="X112" s="152"/>
      <c r="Y112" s="152"/>
      <c r="Z112" s="152"/>
      <c r="AA112" s="152"/>
      <c r="AB112" s="152"/>
      <c r="AC112" s="128"/>
      <c r="AD112" s="20"/>
      <c r="AE112" s="20"/>
    </row>
    <row r="113" spans="2:31">
      <c r="B113" s="20" t="s">
        <v>332</v>
      </c>
      <c r="C113" s="152"/>
      <c r="D113" s="152"/>
      <c r="E113" s="152"/>
      <c r="F113" s="152" t="e">
        <f>F31/F25</f>
        <v>#DIV/0!</v>
      </c>
      <c r="G113" s="152">
        <f>G31/G25</f>
        <v>0</v>
      </c>
      <c r="H113" s="152">
        <f t="shared" ref="H113:P113" si="279">H31/H25</f>
        <v>0</v>
      </c>
      <c r="I113" s="152">
        <f t="shared" si="279"/>
        <v>0</v>
      </c>
      <c r="J113" s="152">
        <f t="shared" si="279"/>
        <v>0</v>
      </c>
      <c r="K113" s="152">
        <f t="shared" si="279"/>
        <v>0</v>
      </c>
      <c r="L113" s="152">
        <f t="shared" si="279"/>
        <v>0</v>
      </c>
      <c r="M113" s="152">
        <f t="shared" si="279"/>
        <v>0</v>
      </c>
      <c r="N113" s="152">
        <f t="shared" si="279"/>
        <v>0</v>
      </c>
      <c r="O113" s="152">
        <f t="shared" si="279"/>
        <v>0</v>
      </c>
      <c r="P113" s="152">
        <f t="shared" si="279"/>
        <v>0</v>
      </c>
      <c r="Q113" s="118" t="e">
        <f t="shared" si="224"/>
        <v>#DIV/0!</v>
      </c>
      <c r="R113" s="20"/>
      <c r="S113" s="152">
        <f t="shared" ref="S113:AB113" si="280">S31/S25</f>
        <v>0</v>
      </c>
      <c r="T113" s="152">
        <f t="shared" si="280"/>
        <v>0</v>
      </c>
      <c r="U113" s="152">
        <f t="shared" si="280"/>
        <v>0</v>
      </c>
      <c r="V113" s="152">
        <f t="shared" si="280"/>
        <v>0</v>
      </c>
      <c r="W113" s="152">
        <f t="shared" si="280"/>
        <v>0</v>
      </c>
      <c r="X113" s="152">
        <f t="shared" si="280"/>
        <v>0</v>
      </c>
      <c r="Y113" s="152">
        <f t="shared" si="280"/>
        <v>0</v>
      </c>
      <c r="Z113" s="152">
        <f t="shared" si="280"/>
        <v>0</v>
      </c>
      <c r="AA113" s="152">
        <f t="shared" si="280"/>
        <v>0</v>
      </c>
      <c r="AB113" s="152">
        <f t="shared" si="280"/>
        <v>0</v>
      </c>
      <c r="AC113" s="138" t="e">
        <f t="shared" si="226"/>
        <v>#DIV/0!</v>
      </c>
      <c r="AD113" s="20"/>
      <c r="AE113" s="20"/>
    </row>
    <row r="114" spans="2:31">
      <c r="B114" s="20" t="s">
        <v>329</v>
      </c>
      <c r="C114" s="152"/>
      <c r="D114" s="152"/>
      <c r="E114" s="152"/>
      <c r="F114" s="152" t="e">
        <f>F32/F25</f>
        <v>#DIV/0!</v>
      </c>
      <c r="G114" s="152">
        <f>G32/G25</f>
        <v>0</v>
      </c>
      <c r="H114" s="152">
        <f t="shared" ref="H114:P114" si="281">H32/H25</f>
        <v>0</v>
      </c>
      <c r="I114" s="152">
        <f t="shared" si="281"/>
        <v>0</v>
      </c>
      <c r="J114" s="152">
        <f t="shared" si="281"/>
        <v>0</v>
      </c>
      <c r="K114" s="152">
        <f t="shared" si="281"/>
        <v>0</v>
      </c>
      <c r="L114" s="152">
        <f t="shared" si="281"/>
        <v>0</v>
      </c>
      <c r="M114" s="152">
        <f t="shared" si="281"/>
        <v>0</v>
      </c>
      <c r="N114" s="152">
        <f t="shared" si="281"/>
        <v>0</v>
      </c>
      <c r="O114" s="152">
        <f t="shared" si="281"/>
        <v>0</v>
      </c>
      <c r="P114" s="152">
        <f t="shared" si="281"/>
        <v>0</v>
      </c>
      <c r="Q114" s="118" t="e">
        <f t="shared" si="224"/>
        <v>#DIV/0!</v>
      </c>
      <c r="R114" s="20"/>
      <c r="S114" s="152">
        <f t="shared" ref="S114:AB114" si="282">S32/S25</f>
        <v>0</v>
      </c>
      <c r="T114" s="152">
        <f t="shared" si="282"/>
        <v>0</v>
      </c>
      <c r="U114" s="152">
        <f t="shared" si="282"/>
        <v>0</v>
      </c>
      <c r="V114" s="152">
        <f t="shared" si="282"/>
        <v>0</v>
      </c>
      <c r="W114" s="152">
        <f t="shared" si="282"/>
        <v>0</v>
      </c>
      <c r="X114" s="152">
        <f t="shared" si="282"/>
        <v>0</v>
      </c>
      <c r="Y114" s="152">
        <f t="shared" si="282"/>
        <v>0</v>
      </c>
      <c r="Z114" s="152">
        <f t="shared" si="282"/>
        <v>0</v>
      </c>
      <c r="AA114" s="152">
        <f t="shared" si="282"/>
        <v>0</v>
      </c>
      <c r="AB114" s="152">
        <f t="shared" si="282"/>
        <v>0</v>
      </c>
      <c r="AC114" s="138" t="e">
        <f t="shared" si="226"/>
        <v>#DIV/0!</v>
      </c>
      <c r="AD114" s="20"/>
      <c r="AE114" s="20"/>
    </row>
    <row r="115" spans="2:31">
      <c r="B115" s="20"/>
      <c r="C115" s="20"/>
      <c r="D115" s="20"/>
      <c r="E115" s="20"/>
      <c r="F115" s="20"/>
      <c r="G115" s="152"/>
      <c r="H115" s="152"/>
      <c r="I115" s="152"/>
      <c r="J115" s="152"/>
      <c r="K115" s="152"/>
      <c r="L115" s="152"/>
      <c r="M115" s="152"/>
      <c r="N115" s="152"/>
      <c r="O115" s="152"/>
      <c r="P115" s="152"/>
      <c r="Q115" s="128"/>
      <c r="R115" s="20"/>
      <c r="S115" s="152"/>
      <c r="T115" s="152"/>
      <c r="U115" s="152"/>
      <c r="V115" s="152"/>
      <c r="W115" s="152"/>
      <c r="X115" s="152"/>
      <c r="Y115" s="152"/>
      <c r="Z115" s="152"/>
      <c r="AA115" s="152"/>
      <c r="AB115" s="152"/>
      <c r="AC115" s="128"/>
      <c r="AD115" s="20"/>
      <c r="AE115" s="20"/>
    </row>
    <row r="116" spans="2:31">
      <c r="B116" s="20" t="s">
        <v>353</v>
      </c>
      <c r="C116" s="20"/>
      <c r="D116" s="20"/>
      <c r="E116" s="20"/>
      <c r="F116" s="20"/>
      <c r="G116" s="152">
        <f>G27/G25</f>
        <v>0.7147448774608276</v>
      </c>
      <c r="H116" s="152">
        <f t="shared" ref="H116:P116" si="283">H27/H25</f>
        <v>0.7147448774608276</v>
      </c>
      <c r="I116" s="152">
        <f t="shared" si="283"/>
        <v>0.64981389578163773</v>
      </c>
      <c r="J116" s="152">
        <f t="shared" si="283"/>
        <v>0.40850875901663475</v>
      </c>
      <c r="K116" s="152">
        <f t="shared" si="283"/>
        <v>0.66750779278610661</v>
      </c>
      <c r="L116" s="152">
        <f t="shared" si="283"/>
        <v>0.70931522040476847</v>
      </c>
      <c r="M116" s="152">
        <f t="shared" si="283"/>
        <v>0.73054905022118133</v>
      </c>
      <c r="N116" s="152">
        <f t="shared" si="283"/>
        <v>0.74808286597230167</v>
      </c>
      <c r="O116" s="152">
        <f t="shared" si="283"/>
        <v>0.74734227521112762</v>
      </c>
      <c r="P116" s="152">
        <f t="shared" si="283"/>
        <v>0.78128964059196615</v>
      </c>
      <c r="Q116" s="118">
        <f t="shared" si="224"/>
        <v>9.9402207402510268E-3</v>
      </c>
      <c r="R116" s="20"/>
      <c r="S116" s="152">
        <f t="shared" ref="S116:AB116" si="284">S27/S25</f>
        <v>0.78128964059196626</v>
      </c>
      <c r="T116" s="152">
        <f t="shared" si="284"/>
        <v>0.78128964059196615</v>
      </c>
      <c r="U116" s="152">
        <f t="shared" si="284"/>
        <v>0.78128964059196626</v>
      </c>
      <c r="V116" s="152">
        <f t="shared" si="284"/>
        <v>0.78128964059196615</v>
      </c>
      <c r="W116" s="152">
        <f t="shared" si="284"/>
        <v>0.78128964059196615</v>
      </c>
      <c r="X116" s="152">
        <f t="shared" si="284"/>
        <v>0.78128964059196626</v>
      </c>
      <c r="Y116" s="152">
        <f t="shared" si="284"/>
        <v>0.78128964059196615</v>
      </c>
      <c r="Z116" s="152">
        <f t="shared" si="284"/>
        <v>0.78128964059196626</v>
      </c>
      <c r="AA116" s="152">
        <f t="shared" si="284"/>
        <v>0.78128964059196615</v>
      </c>
      <c r="AB116" s="152">
        <f t="shared" si="284"/>
        <v>0.78128964059196615</v>
      </c>
      <c r="AC116" s="138">
        <f t="shared" si="226"/>
        <v>4.6962707299569306E-3</v>
      </c>
      <c r="AD116" s="20"/>
      <c r="AE116" s="20"/>
    </row>
    <row r="117" spans="2:31">
      <c r="B117" s="20" t="str">
        <f>B33</f>
        <v>Top Expenses ( Raw material )</v>
      </c>
      <c r="C117" s="20"/>
      <c r="D117" s="20"/>
      <c r="E117" s="20"/>
      <c r="F117" s="20"/>
      <c r="G117" s="152">
        <f>G33/G25</f>
        <v>0.1361992768179992</v>
      </c>
      <c r="H117" s="152">
        <f t="shared" ref="H117:P117" si="285">H33/H25</f>
        <v>0.1361992768179992</v>
      </c>
      <c r="I117" s="152">
        <f t="shared" si="285"/>
        <v>0.15756823821339949</v>
      </c>
      <c r="J117" s="152">
        <f t="shared" si="285"/>
        <v>0.14514941851906374</v>
      </c>
      <c r="K117" s="152">
        <f t="shared" si="285"/>
        <v>0.18747216862104796</v>
      </c>
      <c r="L117" s="152">
        <f t="shared" si="285"/>
        <v>0.22761297477127806</v>
      </c>
      <c r="M117" s="152">
        <f t="shared" si="285"/>
        <v>0.19190736403851158</v>
      </c>
      <c r="N117" s="152">
        <f t="shared" si="285"/>
        <v>0.13425660982030446</v>
      </c>
      <c r="O117" s="152">
        <f t="shared" si="285"/>
        <v>0.11664182811723796</v>
      </c>
      <c r="P117" s="152">
        <f t="shared" si="285"/>
        <v>0.14386892177589852</v>
      </c>
      <c r="Q117" s="118">
        <f t="shared" si="224"/>
        <v>6.1056233042311447E-3</v>
      </c>
      <c r="R117" s="20"/>
      <c r="S117" s="152">
        <f t="shared" ref="S117:AB117" si="286">S33/S25</f>
        <v>0.14386892177589852</v>
      </c>
      <c r="T117" s="152">
        <f t="shared" si="286"/>
        <v>0.14386892177589852</v>
      </c>
      <c r="U117" s="152">
        <f t="shared" si="286"/>
        <v>0.14386892177589852</v>
      </c>
      <c r="V117" s="152">
        <f t="shared" si="286"/>
        <v>0.14386892177589852</v>
      </c>
      <c r="W117" s="152">
        <f t="shared" si="286"/>
        <v>0.14386892177589852</v>
      </c>
      <c r="X117" s="152">
        <f t="shared" si="286"/>
        <v>0.14386892177589855</v>
      </c>
      <c r="Y117" s="152">
        <f t="shared" si="286"/>
        <v>0.14386892177589855</v>
      </c>
      <c r="Z117" s="152">
        <f t="shared" si="286"/>
        <v>0.14386892177589855</v>
      </c>
      <c r="AA117" s="152">
        <f t="shared" si="286"/>
        <v>0.14386892177589855</v>
      </c>
      <c r="AB117" s="152">
        <f t="shared" si="286"/>
        <v>0.14386892177589855</v>
      </c>
      <c r="AC117" s="138">
        <f t="shared" si="226"/>
        <v>2.8875048128895742E-3</v>
      </c>
      <c r="AD117" s="20"/>
      <c r="AE117" s="20"/>
    </row>
    <row r="118" spans="2:31">
      <c r="B118" s="20" t="str">
        <f>B34</f>
        <v>2nd highest Expenses Comp. ( Power )</v>
      </c>
      <c r="C118" s="20"/>
      <c r="D118" s="20"/>
      <c r="E118" s="20"/>
      <c r="F118" s="20"/>
      <c r="G118" s="152">
        <f>G34/G25</f>
        <v>0.22097227802330252</v>
      </c>
      <c r="H118" s="152">
        <f t="shared" ref="H118:P118" si="287">H34/H25</f>
        <v>0.22097227802330252</v>
      </c>
      <c r="I118" s="152">
        <f t="shared" si="287"/>
        <v>0.19246277915632753</v>
      </c>
      <c r="J118" s="152">
        <f t="shared" si="287"/>
        <v>0.14794641542764611</v>
      </c>
      <c r="K118" s="152">
        <f t="shared" si="287"/>
        <v>0.19667507792786107</v>
      </c>
      <c r="L118" s="152">
        <f t="shared" si="287"/>
        <v>0.19711671749376214</v>
      </c>
      <c r="M118" s="152">
        <f t="shared" si="287"/>
        <v>0.22092115534738485</v>
      </c>
      <c r="N118" s="152">
        <f t="shared" si="287"/>
        <v>0.22925489298386173</v>
      </c>
      <c r="O118" s="152">
        <f t="shared" si="287"/>
        <v>0.23189269746646796</v>
      </c>
      <c r="P118" s="152">
        <f t="shared" si="287"/>
        <v>0.21797040169133192</v>
      </c>
      <c r="Q118" s="118">
        <f t="shared" si="224"/>
        <v>-1.5186205412920373E-3</v>
      </c>
      <c r="R118" s="20"/>
      <c r="S118" s="152">
        <f t="shared" ref="S118:AB118" si="288">S34/S25</f>
        <v>0.21797040169133194</v>
      </c>
      <c r="T118" s="152">
        <f t="shared" si="288"/>
        <v>0.21797040169133194</v>
      </c>
      <c r="U118" s="152">
        <f t="shared" si="288"/>
        <v>0.21797040169133194</v>
      </c>
      <c r="V118" s="152">
        <f t="shared" si="288"/>
        <v>0.21797040169133194</v>
      </c>
      <c r="W118" s="152">
        <f t="shared" si="288"/>
        <v>0.21797040169133192</v>
      </c>
      <c r="X118" s="152">
        <f t="shared" si="288"/>
        <v>0.21797040169133194</v>
      </c>
      <c r="Y118" s="152">
        <f t="shared" si="288"/>
        <v>0.21797040169133192</v>
      </c>
      <c r="Z118" s="152">
        <f t="shared" si="288"/>
        <v>0.21797040169133194</v>
      </c>
      <c r="AA118" s="152">
        <f t="shared" si="288"/>
        <v>0.21797040169133197</v>
      </c>
      <c r="AB118" s="152">
        <f t="shared" si="288"/>
        <v>0.21797040169133194</v>
      </c>
      <c r="AC118" s="138">
        <f t="shared" si="226"/>
        <v>-7.1963427201338082E-4</v>
      </c>
      <c r="AD118" s="20"/>
      <c r="AE118" s="20"/>
    </row>
    <row r="119" spans="2:31">
      <c r="B119" s="20"/>
      <c r="C119" s="20"/>
      <c r="D119" s="20"/>
      <c r="E119" s="20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128"/>
      <c r="R119" s="128"/>
      <c r="S119" s="119"/>
      <c r="T119" s="119"/>
      <c r="U119" s="119"/>
      <c r="V119" s="119"/>
      <c r="W119" s="119"/>
      <c r="X119" s="119"/>
      <c r="Y119" s="119"/>
      <c r="Z119" s="119"/>
      <c r="AA119" s="119"/>
      <c r="AB119" s="119"/>
      <c r="AC119" s="139"/>
      <c r="AD119" s="20"/>
      <c r="AE119" s="20"/>
    </row>
    <row r="120" spans="2:31">
      <c r="B120" s="108" t="s">
        <v>361</v>
      </c>
      <c r="C120" s="20"/>
      <c r="D120" s="20"/>
      <c r="E120" s="20"/>
      <c r="F120" s="20"/>
      <c r="G120" s="25"/>
      <c r="H120" s="25"/>
      <c r="I120" s="25"/>
      <c r="J120" s="25"/>
      <c r="K120" s="25"/>
      <c r="L120" s="25"/>
      <c r="M120" s="25"/>
      <c r="N120" s="25"/>
      <c r="O120" s="25"/>
      <c r="P120" s="25"/>
      <c r="Q120" s="118"/>
      <c r="R120" s="128"/>
      <c r="S120" s="25"/>
      <c r="T120" s="25"/>
      <c r="U120" s="25"/>
      <c r="V120" s="25"/>
      <c r="W120" s="25"/>
      <c r="X120" s="25"/>
      <c r="Y120" s="25"/>
      <c r="Z120" s="25"/>
      <c r="AA120" s="25"/>
      <c r="AB120" s="25"/>
      <c r="AC120" s="138"/>
      <c r="AD120" s="20"/>
      <c r="AE120" s="20"/>
    </row>
    <row r="121" spans="2:31">
      <c r="B121" s="20" t="s">
        <v>364</v>
      </c>
      <c r="C121" s="20"/>
      <c r="D121" s="20"/>
      <c r="E121" s="20"/>
      <c r="F121" s="20"/>
      <c r="G121" s="25">
        <f>G15/G9</f>
        <v>0.75968992248062017</v>
      </c>
      <c r="H121" s="25">
        <f t="shared" ref="H121:AB121" si="289">H15/H9</f>
        <v>0.75968992248062017</v>
      </c>
      <c r="I121" s="25">
        <f t="shared" si="289"/>
        <v>0.73122959738846571</v>
      </c>
      <c r="J121" s="25">
        <f t="shared" si="289"/>
        <v>0.79261363636363635</v>
      </c>
      <c r="K121" s="25">
        <f t="shared" si="289"/>
        <v>8.9444444444444446</v>
      </c>
      <c r="L121" s="25">
        <f t="shared" si="289"/>
        <v>0.60101010101010099</v>
      </c>
      <c r="M121" s="25">
        <f t="shared" si="289"/>
        <v>0.64767932489451474</v>
      </c>
      <c r="N121" s="25">
        <f t="shared" si="289"/>
        <v>1.4378043382027446</v>
      </c>
      <c r="O121" s="25">
        <f t="shared" si="289"/>
        <v>1.600646352723915</v>
      </c>
      <c r="P121" s="25">
        <f t="shared" si="289"/>
        <v>1.4931856899488927</v>
      </c>
      <c r="Q121" s="118">
        <f t="shared" si="224"/>
        <v>7.7974794000779335E-2</v>
      </c>
      <c r="R121" s="20"/>
      <c r="S121" s="20">
        <f t="shared" si="289"/>
        <v>1.4931856899488927</v>
      </c>
      <c r="T121" s="20">
        <f t="shared" si="289"/>
        <v>1.4931856899488929</v>
      </c>
      <c r="U121" s="20">
        <f t="shared" si="289"/>
        <v>1.4931856899488929</v>
      </c>
      <c r="V121" s="20">
        <f t="shared" si="289"/>
        <v>1.4931856899488929</v>
      </c>
      <c r="W121" s="20">
        <f t="shared" si="289"/>
        <v>1.4931856899488927</v>
      </c>
      <c r="X121" s="20">
        <f t="shared" si="289"/>
        <v>1.4931856899488929</v>
      </c>
      <c r="Y121" s="20">
        <f t="shared" si="289"/>
        <v>1.4931856899488929</v>
      </c>
      <c r="Z121" s="20">
        <f t="shared" si="289"/>
        <v>1.4931856899488931</v>
      </c>
      <c r="AA121" s="20">
        <f t="shared" si="289"/>
        <v>1.4931856899488931</v>
      </c>
      <c r="AB121" s="20">
        <f t="shared" si="289"/>
        <v>1.4931856899488931</v>
      </c>
      <c r="AC121" s="138">
        <f t="shared" si="226"/>
        <v>3.6206188731261246E-2</v>
      </c>
      <c r="AD121" s="20"/>
      <c r="AE121" s="20"/>
    </row>
    <row r="122" spans="2:31">
      <c r="B122" s="20" t="s">
        <v>354</v>
      </c>
      <c r="C122" s="20"/>
      <c r="D122" s="20"/>
      <c r="E122" s="20"/>
      <c r="F122" s="20"/>
      <c r="G122" s="25">
        <f>G12/G9</f>
        <v>0.1731266149870801</v>
      </c>
      <c r="H122" s="25">
        <f t="shared" ref="H122:P122" si="290">H12/H9</f>
        <v>0.1731266149870801</v>
      </c>
      <c r="I122" s="25">
        <f t="shared" si="290"/>
        <v>0.41240478781284007</v>
      </c>
      <c r="J122" s="25">
        <f t="shared" si="290"/>
        <v>0.61742424242424243</v>
      </c>
      <c r="K122" s="25">
        <f t="shared" si="290"/>
        <v>5.916666666666667</v>
      </c>
      <c r="L122" s="25">
        <f t="shared" si="290"/>
        <v>0.55618686868686873</v>
      </c>
      <c r="M122" s="25">
        <f t="shared" si="290"/>
        <v>0.92141350210970463</v>
      </c>
      <c r="N122" s="25">
        <f t="shared" si="290"/>
        <v>0.91766268260292161</v>
      </c>
      <c r="O122" s="25">
        <f t="shared" si="290"/>
        <v>1.0433979686057249</v>
      </c>
      <c r="P122" s="25">
        <f t="shared" si="290"/>
        <v>0.99701873935264052</v>
      </c>
      <c r="Q122" s="118">
        <f t="shared" si="224"/>
        <v>0.21473673384800351</v>
      </c>
      <c r="R122" s="128"/>
      <c r="S122" s="20">
        <f t="shared" ref="S122:AB122" si="291">S12/S9</f>
        <v>0.99701873935264063</v>
      </c>
      <c r="T122" s="20">
        <f t="shared" si="291"/>
        <v>0.99701873935264063</v>
      </c>
      <c r="U122" s="20">
        <f t="shared" si="291"/>
        <v>0.99701873935264074</v>
      </c>
      <c r="V122" s="20">
        <f t="shared" si="291"/>
        <v>0.99701873935264063</v>
      </c>
      <c r="W122" s="20">
        <f t="shared" si="291"/>
        <v>0.99701873935264063</v>
      </c>
      <c r="X122" s="20">
        <f t="shared" si="291"/>
        <v>0.99701873935264063</v>
      </c>
      <c r="Y122" s="20">
        <f t="shared" si="291"/>
        <v>0.99701873935264063</v>
      </c>
      <c r="Z122" s="20">
        <f t="shared" si="291"/>
        <v>0.99701873935264063</v>
      </c>
      <c r="AA122" s="20">
        <f t="shared" si="291"/>
        <v>0.99701873935264063</v>
      </c>
      <c r="AB122" s="20">
        <f t="shared" si="291"/>
        <v>0.99701873935264074</v>
      </c>
      <c r="AC122" s="118">
        <f t="shared" ref="AC122" si="292">((AB122/S122)^(1/($H$2-$H$1) ))-1</f>
        <v>0</v>
      </c>
      <c r="AD122" s="20"/>
      <c r="AE122" s="20"/>
    </row>
    <row r="123" spans="2:31">
      <c r="B123" s="20" t="s">
        <v>356</v>
      </c>
      <c r="C123" s="20"/>
      <c r="D123" s="20"/>
      <c r="E123" s="20"/>
      <c r="F123" s="20"/>
      <c r="G123" s="25">
        <f>G25/360</f>
        <v>6.9138888888888888</v>
      </c>
      <c r="H123" s="25">
        <f t="shared" ref="H123:P123" si="293">H25/360</f>
        <v>6.9138888888888888</v>
      </c>
      <c r="I123" s="25">
        <f t="shared" si="293"/>
        <v>17.911111111111111</v>
      </c>
      <c r="J123" s="25">
        <f t="shared" si="293"/>
        <v>18.869444444444444</v>
      </c>
      <c r="K123" s="25">
        <f t="shared" si="293"/>
        <v>18.713888888888889</v>
      </c>
      <c r="L123" s="25">
        <f t="shared" si="293"/>
        <v>20.038888888888888</v>
      </c>
      <c r="M123" s="25">
        <f t="shared" si="293"/>
        <v>21.35</v>
      </c>
      <c r="N123" s="25">
        <f t="shared" si="293"/>
        <v>24.269444444444446</v>
      </c>
      <c r="O123" s="25">
        <f t="shared" si="293"/>
        <v>27.958333333333332</v>
      </c>
      <c r="P123" s="25">
        <f t="shared" si="293"/>
        <v>26.277777777777779</v>
      </c>
      <c r="Q123" s="118">
        <f t="shared" si="224"/>
        <v>0.15992412734721495</v>
      </c>
      <c r="R123" s="128"/>
      <c r="S123" s="25">
        <f t="shared" ref="S123:AB123" si="294">S25/360</f>
        <v>28.905555555555555</v>
      </c>
      <c r="T123" s="25">
        <f t="shared" si="294"/>
        <v>31.796111111111113</v>
      </c>
      <c r="U123" s="25">
        <f t="shared" si="294"/>
        <v>34.975722222222231</v>
      </c>
      <c r="V123" s="25">
        <f t="shared" si="294"/>
        <v>38.473294444444456</v>
      </c>
      <c r="W123" s="25">
        <f t="shared" si="294"/>
        <v>42.320623888888903</v>
      </c>
      <c r="X123" s="25">
        <f t="shared" si="294"/>
        <v>46.552686277777795</v>
      </c>
      <c r="Y123" s="25">
        <f t="shared" si="294"/>
        <v>51.207954905555582</v>
      </c>
      <c r="Z123" s="25">
        <f t="shared" si="294"/>
        <v>56.32875039611114</v>
      </c>
      <c r="AA123" s="25">
        <f t="shared" si="294"/>
        <v>61.961625435722262</v>
      </c>
      <c r="AB123" s="25">
        <f t="shared" si="294"/>
        <v>68.157787979294497</v>
      </c>
      <c r="AC123" s="118">
        <f t="shared" ref="AC123:AC134" si="295">((AB123/S123)^(1/($H$2-$H$1) ))-1</f>
        <v>0.10000000000000009</v>
      </c>
      <c r="AD123" s="20"/>
      <c r="AE123" s="20"/>
    </row>
    <row r="124" spans="2:31">
      <c r="B124" s="20" t="s">
        <v>355</v>
      </c>
      <c r="C124" s="20"/>
      <c r="D124" s="20"/>
      <c r="E124" s="20"/>
      <c r="F124" s="20"/>
      <c r="G124" s="25">
        <f>G27/360</f>
        <v>4.9416666666666664</v>
      </c>
      <c r="H124" s="25">
        <f t="shared" ref="H124:P124" si="296">H27/360</f>
        <v>4.9416666666666664</v>
      </c>
      <c r="I124" s="25">
        <f t="shared" si="296"/>
        <v>11.638888888888889</v>
      </c>
      <c r="J124" s="25">
        <f t="shared" si="296"/>
        <v>7.708333333333333</v>
      </c>
      <c r="K124" s="25">
        <f t="shared" si="296"/>
        <v>12.491666666666667</v>
      </c>
      <c r="L124" s="25">
        <f t="shared" si="296"/>
        <v>14.213888888888889</v>
      </c>
      <c r="M124" s="25">
        <f t="shared" si="296"/>
        <v>15.597222222222221</v>
      </c>
      <c r="N124" s="25">
        <f t="shared" si="296"/>
        <v>18.155555555555555</v>
      </c>
      <c r="O124" s="25">
        <f t="shared" si="296"/>
        <v>20.894444444444446</v>
      </c>
      <c r="P124" s="25">
        <f t="shared" si="296"/>
        <v>20.530555555555555</v>
      </c>
      <c r="Q124" s="118">
        <f t="shared" si="224"/>
        <v>0.17145402921498931</v>
      </c>
      <c r="R124" s="128"/>
      <c r="S124" s="25">
        <f t="shared" ref="S124:AB124" si="297">S27/360</f>
        <v>22.583611111111111</v>
      </c>
      <c r="T124" s="25">
        <f t="shared" si="297"/>
        <v>24.841972222222225</v>
      </c>
      <c r="U124" s="25">
        <f t="shared" si="297"/>
        <v>27.326169444444449</v>
      </c>
      <c r="V124" s="25">
        <f t="shared" si="297"/>
        <v>30.058786388888898</v>
      </c>
      <c r="W124" s="25">
        <f t="shared" si="297"/>
        <v>33.064665027777792</v>
      </c>
      <c r="X124" s="25">
        <f t="shared" si="297"/>
        <v>36.371131530555573</v>
      </c>
      <c r="Y124" s="25">
        <f t="shared" si="297"/>
        <v>40.008244683611132</v>
      </c>
      <c r="Z124" s="25">
        <f t="shared" si="297"/>
        <v>44.009069151972248</v>
      </c>
      <c r="AA124" s="25">
        <f t="shared" si="297"/>
        <v>48.409976067169474</v>
      </c>
      <c r="AB124" s="25">
        <f t="shared" si="297"/>
        <v>53.250973673886428</v>
      </c>
      <c r="AC124" s="118">
        <f t="shared" si="295"/>
        <v>0.10000000000000009</v>
      </c>
      <c r="AD124" s="20"/>
      <c r="AE124" s="20"/>
    </row>
    <row r="125" spans="2:31">
      <c r="B125" s="20"/>
      <c r="C125" s="20"/>
      <c r="D125" s="20"/>
      <c r="E125" s="20"/>
      <c r="F125" s="20"/>
      <c r="G125" s="25"/>
      <c r="H125" s="25"/>
      <c r="I125" s="25"/>
      <c r="J125" s="25"/>
      <c r="K125" s="25"/>
      <c r="L125" s="25"/>
      <c r="M125" s="25"/>
      <c r="N125" s="25"/>
      <c r="O125" s="25"/>
      <c r="P125" s="25"/>
      <c r="Q125" s="25"/>
      <c r="R125" s="128"/>
      <c r="S125" s="25"/>
      <c r="T125" s="25"/>
      <c r="U125" s="25"/>
      <c r="V125" s="25"/>
      <c r="W125" s="25"/>
      <c r="X125" s="25"/>
      <c r="Y125" s="25"/>
      <c r="Z125" s="25"/>
      <c r="AA125" s="25"/>
      <c r="AB125" s="25"/>
      <c r="AC125" s="128"/>
      <c r="AD125" s="20"/>
      <c r="AE125" s="20"/>
    </row>
    <row r="126" spans="2:31">
      <c r="B126" s="20" t="s">
        <v>365</v>
      </c>
      <c r="C126" s="20"/>
      <c r="D126" s="20"/>
      <c r="E126" s="20"/>
      <c r="F126" s="20"/>
      <c r="G126" s="25">
        <f>G10/G7</f>
        <v>0.82663605051664757</v>
      </c>
      <c r="H126" s="25">
        <f t="shared" ref="H126:P126" si="298">H10/H7</f>
        <v>0.82663605051664757</v>
      </c>
      <c r="I126" s="25">
        <f t="shared" si="298"/>
        <v>0.22179487179487178</v>
      </c>
      <c r="J126" s="25">
        <f t="shared" si="298"/>
        <v>6.9561638197159908E-2</v>
      </c>
      <c r="K126" s="25">
        <f t="shared" si="298"/>
        <v>5.0608358314230294E-2</v>
      </c>
      <c r="L126" s="25">
        <f t="shared" si="298"/>
        <v>2.5668779959795888E-2</v>
      </c>
      <c r="M126" s="25">
        <f t="shared" si="298"/>
        <v>8.8725088725088719E-3</v>
      </c>
      <c r="N126" s="25">
        <f t="shared" si="298"/>
        <v>7.1924603174603171E-3</v>
      </c>
      <c r="O126" s="25">
        <f t="shared" si="298"/>
        <v>5.5700807093327269E-3</v>
      </c>
      <c r="P126" s="25">
        <f t="shared" si="298"/>
        <v>3.0478192327903311E-3</v>
      </c>
      <c r="Q126" s="118">
        <f t="shared" si="224"/>
        <v>-0.46342486880570899</v>
      </c>
      <c r="R126" s="128"/>
      <c r="S126" s="25">
        <f t="shared" ref="S126:AB126" si="299">S10/S7</f>
        <v>3.0478192327903311E-3</v>
      </c>
      <c r="T126" s="25">
        <f t="shared" si="299"/>
        <v>3.0478192327903311E-3</v>
      </c>
      <c r="U126" s="25">
        <f t="shared" si="299"/>
        <v>3.0478192327903311E-3</v>
      </c>
      <c r="V126" s="25">
        <f t="shared" si="299"/>
        <v>3.0478192327903306E-3</v>
      </c>
      <c r="W126" s="25">
        <f t="shared" si="299"/>
        <v>3.0478192327903306E-3</v>
      </c>
      <c r="X126" s="25">
        <f t="shared" si="299"/>
        <v>3.0478192327903311E-3</v>
      </c>
      <c r="Y126" s="25">
        <f t="shared" si="299"/>
        <v>3.0478192327903306E-3</v>
      </c>
      <c r="Z126" s="25">
        <f t="shared" si="299"/>
        <v>3.0478192327903306E-3</v>
      </c>
      <c r="AA126" s="25">
        <f t="shared" si="299"/>
        <v>3.0478192327903306E-3</v>
      </c>
      <c r="AB126" s="25">
        <f t="shared" si="299"/>
        <v>3.0478192327903306E-3</v>
      </c>
      <c r="AC126" s="118">
        <f t="shared" si="295"/>
        <v>0</v>
      </c>
      <c r="AD126" s="20"/>
      <c r="AE126" s="20"/>
    </row>
    <row r="127" spans="2:31">
      <c r="B127" s="20" t="s">
        <v>357</v>
      </c>
      <c r="C127" s="20"/>
      <c r="D127" s="20"/>
      <c r="E127" s="20"/>
      <c r="F127" s="20"/>
      <c r="G127" s="25">
        <f>G10/(G10+G7)</f>
        <v>0.45254556882463859</v>
      </c>
      <c r="H127" s="25">
        <f t="shared" ref="H127:P127" si="300">H10/(H10+H7)</f>
        <v>0.45254556882463859</v>
      </c>
      <c r="I127" s="25">
        <f t="shared" si="300"/>
        <v>0.18153200419727178</v>
      </c>
      <c r="J127" s="25">
        <f t="shared" si="300"/>
        <v>6.5037521647104093E-2</v>
      </c>
      <c r="K127" s="25">
        <f t="shared" si="300"/>
        <v>4.8170527022490771E-2</v>
      </c>
      <c r="L127" s="25">
        <f t="shared" si="300"/>
        <v>2.502638323533846E-2</v>
      </c>
      <c r="M127" s="25">
        <f t="shared" si="300"/>
        <v>8.7944797726965222E-3</v>
      </c>
      <c r="N127" s="25">
        <f t="shared" si="300"/>
        <v>7.1410982516621523E-3</v>
      </c>
      <c r="O127" s="25">
        <f t="shared" si="300"/>
        <v>5.539226769161203E-3</v>
      </c>
      <c r="P127" s="25">
        <f t="shared" si="300"/>
        <v>3.0385582564962281E-3</v>
      </c>
      <c r="Q127" s="118">
        <f t="shared" si="224"/>
        <v>-0.42647000107122313</v>
      </c>
      <c r="R127" s="128"/>
      <c r="S127" s="25">
        <f t="shared" ref="S127:AB127" si="301">S10/(S10+S7)</f>
        <v>3.0385582564962281E-3</v>
      </c>
      <c r="T127" s="25">
        <f t="shared" si="301"/>
        <v>3.0385582564962277E-3</v>
      </c>
      <c r="U127" s="25">
        <f t="shared" si="301"/>
        <v>3.0385582564962277E-3</v>
      </c>
      <c r="V127" s="25">
        <f t="shared" si="301"/>
        <v>3.0385582564962277E-3</v>
      </c>
      <c r="W127" s="25">
        <f t="shared" si="301"/>
        <v>3.0385582564962277E-3</v>
      </c>
      <c r="X127" s="25">
        <f t="shared" si="301"/>
        <v>3.0385582564962277E-3</v>
      </c>
      <c r="Y127" s="25">
        <f t="shared" si="301"/>
        <v>3.0385582564962277E-3</v>
      </c>
      <c r="Z127" s="25">
        <f t="shared" si="301"/>
        <v>3.0385582564962277E-3</v>
      </c>
      <c r="AA127" s="25">
        <f t="shared" si="301"/>
        <v>3.0385582564962277E-3</v>
      </c>
      <c r="AB127" s="25">
        <f t="shared" si="301"/>
        <v>3.0385582564962277E-3</v>
      </c>
      <c r="AC127" s="118">
        <f t="shared" si="295"/>
        <v>0</v>
      </c>
      <c r="AD127" s="20"/>
      <c r="AE127" s="20"/>
    </row>
    <row r="128" spans="2:31">
      <c r="B128" s="20"/>
      <c r="C128" s="20"/>
      <c r="D128" s="20"/>
      <c r="E128" s="20"/>
      <c r="F128" s="20"/>
      <c r="G128" s="25"/>
      <c r="H128" s="25"/>
      <c r="I128" s="25"/>
      <c r="J128" s="25"/>
      <c r="K128" s="25"/>
      <c r="L128" s="25"/>
      <c r="M128" s="25"/>
      <c r="N128" s="25"/>
      <c r="O128" s="25"/>
      <c r="P128" s="25"/>
      <c r="Q128" s="128"/>
      <c r="R128" s="128"/>
      <c r="S128" s="25"/>
      <c r="T128" s="25"/>
      <c r="U128" s="25"/>
      <c r="V128" s="25"/>
      <c r="W128" s="25"/>
      <c r="X128" s="25"/>
      <c r="Y128" s="25"/>
      <c r="Z128" s="25"/>
      <c r="AA128" s="25"/>
      <c r="AB128" s="25"/>
      <c r="AC128" s="137"/>
      <c r="AD128" s="20"/>
      <c r="AE128" s="20"/>
    </row>
    <row r="129" spans="2:31">
      <c r="B129" s="20" t="s">
        <v>362</v>
      </c>
      <c r="C129" s="20"/>
      <c r="D129" s="20"/>
      <c r="E129" s="20"/>
      <c r="F129" s="20"/>
      <c r="G129" s="25">
        <f>G16</f>
        <v>-119</v>
      </c>
      <c r="H129" s="25">
        <f t="shared" ref="H129:P129" si="302">H16</f>
        <v>-119</v>
      </c>
      <c r="I129" s="25">
        <f t="shared" si="302"/>
        <v>90</v>
      </c>
      <c r="J129" s="25">
        <f t="shared" si="302"/>
        <v>37</v>
      </c>
      <c r="K129" s="25">
        <f t="shared" si="302"/>
        <v>483</v>
      </c>
      <c r="L129" s="25">
        <f t="shared" si="302"/>
        <v>-250</v>
      </c>
      <c r="M129" s="25">
        <f t="shared" si="302"/>
        <v>207</v>
      </c>
      <c r="N129" s="25">
        <f t="shared" si="302"/>
        <v>566</v>
      </c>
      <c r="O129" s="25">
        <f t="shared" si="302"/>
        <v>792</v>
      </c>
      <c r="P129" s="25">
        <f t="shared" si="302"/>
        <v>969</v>
      </c>
      <c r="Q129" s="118">
        <f t="shared" si="224"/>
        <v>-2.2624012734528116</v>
      </c>
      <c r="R129" s="128"/>
      <c r="S129" s="25">
        <f t="shared" ref="S129:AB129" si="303">S16</f>
        <v>1065.9000000000001</v>
      </c>
      <c r="T129" s="25">
        <f t="shared" si="303"/>
        <v>1172.4900000000002</v>
      </c>
      <c r="U129" s="25">
        <f t="shared" si="303"/>
        <v>1289.7390000000003</v>
      </c>
      <c r="V129" s="25">
        <f t="shared" si="303"/>
        <v>1418.7129000000004</v>
      </c>
      <c r="W129" s="25">
        <f t="shared" si="303"/>
        <v>1560.5841900000007</v>
      </c>
      <c r="X129" s="25">
        <f t="shared" si="303"/>
        <v>1716.6426090000009</v>
      </c>
      <c r="Y129" s="25">
        <f t="shared" si="303"/>
        <v>1888.3068699000012</v>
      </c>
      <c r="Z129" s="25">
        <f t="shared" si="303"/>
        <v>2077.1375568900016</v>
      </c>
      <c r="AA129" s="25">
        <f t="shared" si="303"/>
        <v>2284.8513125790018</v>
      </c>
      <c r="AB129" s="25">
        <f t="shared" si="303"/>
        <v>2513.3364438369022</v>
      </c>
      <c r="AC129" s="118">
        <f t="shared" si="295"/>
        <v>0.10000000000000009</v>
      </c>
      <c r="AD129" s="20"/>
      <c r="AE129" s="20"/>
    </row>
    <row r="130" spans="2:31">
      <c r="B130" s="20" t="s">
        <v>363</v>
      </c>
      <c r="C130" s="20"/>
      <c r="D130" s="20"/>
      <c r="E130" s="20"/>
      <c r="F130" s="20"/>
      <c r="G130" s="119">
        <f t="shared" ref="G130:P130" si="304">G129*365/G25</f>
        <v>-17.450783447167538</v>
      </c>
      <c r="H130" s="119">
        <f t="shared" si="304"/>
        <v>-17.450783447167538</v>
      </c>
      <c r="I130" s="119">
        <f t="shared" si="304"/>
        <v>5.0946029776674937</v>
      </c>
      <c r="J130" s="119">
        <f t="shared" si="304"/>
        <v>1.9880759605476226</v>
      </c>
      <c r="K130" s="119">
        <f t="shared" si="304"/>
        <v>26.168175745880955</v>
      </c>
      <c r="L130" s="119">
        <f t="shared" si="304"/>
        <v>-12.649015802606044</v>
      </c>
      <c r="M130" s="119">
        <f t="shared" si="304"/>
        <v>9.8302107728337234</v>
      </c>
      <c r="N130" s="119">
        <f t="shared" si="304"/>
        <v>23.645416046697949</v>
      </c>
      <c r="O130" s="119">
        <f t="shared" si="304"/>
        <v>28.721311475409838</v>
      </c>
      <c r="P130" s="119">
        <f t="shared" si="304"/>
        <v>37.387420718816067</v>
      </c>
      <c r="Q130" s="118">
        <f t="shared" si="224"/>
        <v>-2.0883481459601718</v>
      </c>
      <c r="R130" s="128"/>
      <c r="S130" s="119">
        <f t="shared" ref="S130:AB130" si="305">S129*365/S25</f>
        <v>37.387420718816074</v>
      </c>
      <c r="T130" s="119">
        <f t="shared" si="305"/>
        <v>37.387420718816074</v>
      </c>
      <c r="U130" s="119">
        <f t="shared" si="305"/>
        <v>37.387420718816067</v>
      </c>
      <c r="V130" s="119">
        <f t="shared" si="305"/>
        <v>37.387420718816067</v>
      </c>
      <c r="W130" s="119">
        <f t="shared" si="305"/>
        <v>37.387420718816074</v>
      </c>
      <c r="X130" s="119">
        <f t="shared" si="305"/>
        <v>37.387420718816074</v>
      </c>
      <c r="Y130" s="119">
        <f t="shared" si="305"/>
        <v>37.387420718816067</v>
      </c>
      <c r="Z130" s="119">
        <f t="shared" si="305"/>
        <v>37.387420718816074</v>
      </c>
      <c r="AA130" s="119">
        <f t="shared" si="305"/>
        <v>37.387420718816074</v>
      </c>
      <c r="AB130" s="119">
        <f t="shared" si="305"/>
        <v>37.387420718816074</v>
      </c>
      <c r="AC130" s="118">
        <f t="shared" si="295"/>
        <v>0</v>
      </c>
      <c r="AD130" s="20"/>
      <c r="AE130" s="20"/>
    </row>
    <row r="131" spans="2:31">
      <c r="B131" s="20" t="s">
        <v>366</v>
      </c>
      <c r="C131" s="20"/>
      <c r="D131" s="20"/>
      <c r="E131" s="20"/>
      <c r="F131" s="20"/>
      <c r="G131" s="133">
        <f>G78/G29</f>
        <v>0.40257648953301123</v>
      </c>
      <c r="H131" s="133">
        <f t="shared" ref="H131:P131" si="306">H78/H29</f>
        <v>0.40257648953301123</v>
      </c>
      <c r="I131" s="133">
        <f t="shared" si="306"/>
        <v>0.12287665502691691</v>
      </c>
      <c r="J131" s="133">
        <f t="shared" si="306"/>
        <v>0.17464469573259483</v>
      </c>
      <c r="K131" s="133">
        <f t="shared" si="306"/>
        <v>6.5681444991789817E-3</v>
      </c>
      <c r="L131" s="133">
        <f t="shared" si="306"/>
        <v>6.5629717135919138E-3</v>
      </c>
      <c r="M131" s="133">
        <f t="shared" si="306"/>
        <v>6.5368021963655388E-3</v>
      </c>
      <c r="N131" s="133">
        <f t="shared" si="306"/>
        <v>6.5176301896630378E-3</v>
      </c>
      <c r="O131" s="133">
        <f t="shared" si="306"/>
        <v>6.4846637701835158E-3</v>
      </c>
      <c r="P131" s="133">
        <f t="shared" si="306"/>
        <v>0.16461069570465847</v>
      </c>
      <c r="Q131" s="118">
        <f t="shared" si="224"/>
        <v>-9.4589522748848798E-2</v>
      </c>
      <c r="R131" s="128"/>
      <c r="S131" s="133">
        <f t="shared" ref="S131:AB131" si="307">S78/S29</f>
        <v>0.1646106957046585</v>
      </c>
      <c r="T131" s="133">
        <f t="shared" si="307"/>
        <v>0.1646106957046585</v>
      </c>
      <c r="U131" s="133">
        <f t="shared" si="307"/>
        <v>0.1646106957046585</v>
      </c>
      <c r="V131" s="133">
        <f t="shared" si="307"/>
        <v>0.16461069570465847</v>
      </c>
      <c r="W131" s="133">
        <f t="shared" si="307"/>
        <v>0.16461069570465847</v>
      </c>
      <c r="X131" s="133">
        <f t="shared" si="307"/>
        <v>0.16461069570465847</v>
      </c>
      <c r="Y131" s="133">
        <f t="shared" si="307"/>
        <v>0.16461069570465844</v>
      </c>
      <c r="Z131" s="133">
        <f t="shared" si="307"/>
        <v>0.16461069570465847</v>
      </c>
      <c r="AA131" s="133">
        <f t="shared" si="307"/>
        <v>0.16461069570465847</v>
      </c>
      <c r="AB131" s="133">
        <f t="shared" si="307"/>
        <v>0.16461069570465847</v>
      </c>
      <c r="AC131" s="118">
        <f t="shared" si="295"/>
        <v>0</v>
      </c>
      <c r="AD131" s="20"/>
      <c r="AE131" s="20"/>
    </row>
    <row r="132" spans="2:31">
      <c r="B132" s="20"/>
      <c r="C132" s="20"/>
      <c r="D132" s="20"/>
      <c r="E132" s="20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128"/>
      <c r="R132" s="128"/>
      <c r="S132" s="20"/>
      <c r="T132" s="20"/>
      <c r="U132" s="20"/>
      <c r="V132" s="20"/>
      <c r="W132" s="20"/>
      <c r="X132" s="20"/>
      <c r="Y132" s="20"/>
      <c r="Z132" s="20"/>
      <c r="AA132" s="20"/>
      <c r="AB132" s="20"/>
      <c r="AC132" s="137"/>
      <c r="AD132" s="20"/>
      <c r="AE132" s="20"/>
    </row>
    <row r="133" spans="2:31">
      <c r="B133" s="20" t="s">
        <v>373</v>
      </c>
      <c r="C133" s="20"/>
      <c r="D133" s="20"/>
      <c r="E133" s="20"/>
      <c r="F133" s="20"/>
      <c r="G133" s="180">
        <f>G25/G14</f>
        <v>6.464935064935065</v>
      </c>
      <c r="H133" s="180">
        <f t="shared" ref="H133:P133" si="308">H25/H14</f>
        <v>6.464935064935065</v>
      </c>
      <c r="I133" s="180">
        <f t="shared" si="308"/>
        <v>15.5</v>
      </c>
      <c r="J133" s="180">
        <f t="shared" si="308"/>
        <v>11.592150170648464</v>
      </c>
      <c r="K133" s="180">
        <f t="shared" si="308"/>
        <v>7.1746538871139514</v>
      </c>
      <c r="L133" s="180">
        <f t="shared" si="308"/>
        <v>10.562225475841874</v>
      </c>
      <c r="M133" s="180">
        <f t="shared" si="308"/>
        <v>8.5210643015521068</v>
      </c>
      <c r="N133" s="180">
        <f t="shared" si="308"/>
        <v>9.4250269687162884</v>
      </c>
      <c r="O133" s="180">
        <f t="shared" si="308"/>
        <v>10.19756838905775</v>
      </c>
      <c r="P133" s="180">
        <f t="shared" si="308"/>
        <v>10.128479657387579</v>
      </c>
      <c r="Q133" s="118">
        <f t="shared" si="224"/>
        <v>5.1149419458925927E-2</v>
      </c>
      <c r="R133" s="128"/>
      <c r="S133" s="20">
        <f t="shared" ref="S133" si="309">S25/S14</f>
        <v>10.128479657387579</v>
      </c>
      <c r="T133" s="20">
        <f t="shared" ref="T133:AB133" si="310">T25/T14</f>
        <v>10.128479657387579</v>
      </c>
      <c r="U133" s="20">
        <f t="shared" si="310"/>
        <v>10.128479657387579</v>
      </c>
      <c r="V133" s="20">
        <f t="shared" si="310"/>
        <v>10.128479657387579</v>
      </c>
      <c r="W133" s="20">
        <f t="shared" si="310"/>
        <v>10.128479657387579</v>
      </c>
      <c r="X133" s="20">
        <f t="shared" si="310"/>
        <v>10.128479657387579</v>
      </c>
      <c r="Y133" s="20">
        <f t="shared" si="310"/>
        <v>10.128479657387579</v>
      </c>
      <c r="Z133" s="20">
        <f t="shared" si="310"/>
        <v>10.128479657387579</v>
      </c>
      <c r="AA133" s="20">
        <f t="shared" si="310"/>
        <v>10.128479657387578</v>
      </c>
      <c r="AB133" s="20">
        <f t="shared" si="310"/>
        <v>10.128479657387578</v>
      </c>
      <c r="AC133" s="118">
        <f t="shared" si="295"/>
        <v>0</v>
      </c>
      <c r="AD133" s="20"/>
      <c r="AE133" s="20"/>
    </row>
    <row r="134" spans="2:31">
      <c r="B134" s="20" t="s">
        <v>374</v>
      </c>
      <c r="C134" s="20"/>
      <c r="D134" s="20"/>
      <c r="E134" s="20"/>
      <c r="F134" s="20"/>
      <c r="G134" s="180">
        <f>G27/G14</f>
        <v>4.6207792207792204</v>
      </c>
      <c r="H134" s="180">
        <f t="shared" ref="H134:P134" si="311">H27/H14</f>
        <v>4.6207792207792204</v>
      </c>
      <c r="I134" s="180">
        <f t="shared" si="311"/>
        <v>10.072115384615385</v>
      </c>
      <c r="J134" s="180">
        <f t="shared" si="311"/>
        <v>4.7354948805460753</v>
      </c>
      <c r="K134" s="180">
        <f t="shared" si="311"/>
        <v>4.7891373801916934</v>
      </c>
      <c r="L134" s="180">
        <f t="shared" si="311"/>
        <v>7.4919472913616394</v>
      </c>
      <c r="M134" s="180">
        <f t="shared" si="311"/>
        <v>6.2250554323725051</v>
      </c>
      <c r="N134" s="180">
        <f t="shared" si="311"/>
        <v>7.0507011866235167</v>
      </c>
      <c r="O134" s="180">
        <f t="shared" si="311"/>
        <v>7.6210739614994933</v>
      </c>
      <c r="P134" s="180">
        <f t="shared" si="311"/>
        <v>7.9132762312633833</v>
      </c>
      <c r="Q134" s="118">
        <f t="shared" si="224"/>
        <v>6.1598076719334482E-2</v>
      </c>
      <c r="R134" s="128"/>
      <c r="S134" s="20">
        <f t="shared" ref="S134:AB134" si="312">S27/S14</f>
        <v>7.9132762312633833</v>
      </c>
      <c r="T134" s="20">
        <f t="shared" si="312"/>
        <v>7.9132762312633833</v>
      </c>
      <c r="U134" s="20">
        <f t="shared" si="312"/>
        <v>7.9132762312633833</v>
      </c>
      <c r="V134" s="20">
        <f t="shared" si="312"/>
        <v>7.9132762312633833</v>
      </c>
      <c r="W134" s="20">
        <f t="shared" si="312"/>
        <v>7.9132762312633833</v>
      </c>
      <c r="X134" s="20">
        <f t="shared" si="312"/>
        <v>7.9132762312633824</v>
      </c>
      <c r="Y134" s="20">
        <f t="shared" si="312"/>
        <v>7.9132762312633824</v>
      </c>
      <c r="Z134" s="20">
        <f t="shared" si="312"/>
        <v>7.9132762312633833</v>
      </c>
      <c r="AA134" s="20">
        <f t="shared" si="312"/>
        <v>7.9132762312633815</v>
      </c>
      <c r="AB134" s="20">
        <f t="shared" si="312"/>
        <v>7.9132762312633815</v>
      </c>
      <c r="AC134" s="118">
        <f t="shared" si="295"/>
        <v>0</v>
      </c>
      <c r="AD134" s="20"/>
      <c r="AE134" s="20"/>
    </row>
    <row r="135" spans="2:31">
      <c r="B135" s="20"/>
      <c r="C135" s="20"/>
      <c r="D135" s="20"/>
      <c r="E135" s="20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128"/>
      <c r="R135" s="128"/>
      <c r="S135" s="119"/>
      <c r="T135" s="119"/>
      <c r="U135" s="119"/>
      <c r="V135" s="119"/>
      <c r="W135" s="119"/>
      <c r="X135" s="119"/>
      <c r="Y135" s="119"/>
      <c r="Z135" s="119"/>
      <c r="AA135" s="119"/>
      <c r="AB135" s="119"/>
      <c r="AC135" s="137"/>
      <c r="AD135" s="20"/>
      <c r="AE135" s="20"/>
    </row>
    <row r="136" spans="2:31">
      <c r="B136" s="108" t="s">
        <v>244</v>
      </c>
      <c r="C136" s="20"/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3"/>
      <c r="R136" s="23"/>
      <c r="S136" s="122" t="s">
        <v>66</v>
      </c>
      <c r="T136" s="20"/>
      <c r="U136" s="20"/>
      <c r="V136" s="20"/>
      <c r="W136" s="20"/>
      <c r="X136" s="20"/>
      <c r="Y136" s="20"/>
      <c r="Z136" s="20"/>
      <c r="AA136" s="20"/>
      <c r="AB136" s="20"/>
      <c r="AC136" s="137"/>
      <c r="AD136" s="20"/>
      <c r="AE136" s="20"/>
    </row>
    <row r="137" spans="2:31">
      <c r="B137" s="23" t="s">
        <v>280</v>
      </c>
      <c r="C137" s="20"/>
      <c r="D137" s="20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5"/>
      <c r="Q137" s="160">
        <f>AVERAGE(G52:P52)</f>
        <v>9.2958943514970134</v>
      </c>
      <c r="R137" s="23"/>
      <c r="S137" s="134"/>
      <c r="T137" s="20"/>
      <c r="U137" s="20"/>
      <c r="V137" s="20"/>
      <c r="W137" s="20"/>
      <c r="X137" s="20"/>
      <c r="Y137" s="20"/>
      <c r="Z137" s="20"/>
      <c r="AA137" s="20"/>
      <c r="AB137" s="20"/>
      <c r="AC137" s="137"/>
      <c r="AD137" s="20"/>
      <c r="AE137" s="20"/>
    </row>
    <row r="138" spans="2:31">
      <c r="B138" s="20" t="s">
        <v>25</v>
      </c>
      <c r="C138" s="20"/>
      <c r="D138" s="20"/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140">
        <f>S138+T138</f>
        <v>51.651204150715408</v>
      </c>
      <c r="S138" s="133">
        <f>PV($C$1, ($AB$3-$S$3), 0, -AB52)</f>
        <v>5.2975594000733759</v>
      </c>
      <c r="T138" s="133">
        <f>PV($C$1, ($AB$3-$S$3), 0, -AE52)</f>
        <v>46.353644750642033</v>
      </c>
      <c r="U138" s="20"/>
      <c r="V138" s="20"/>
      <c r="W138" s="20"/>
      <c r="X138" s="20"/>
      <c r="Y138" s="20"/>
      <c r="Z138" s="20"/>
      <c r="AA138" s="20"/>
      <c r="AB138" s="20"/>
      <c r="AC138" s="137"/>
      <c r="AD138" s="20"/>
      <c r="AE138" s="20"/>
    </row>
    <row r="139" spans="2:31">
      <c r="B139" s="20" t="s">
        <v>272</v>
      </c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140">
        <f t="shared" ref="R139:R157" si="313">S139+T139</f>
        <v>379.80000579138886</v>
      </c>
      <c r="S139" s="133">
        <f>PV($C$1, ($AB$3-$S$3), 0, -AB54)</f>
        <v>38.95384674783476</v>
      </c>
      <c r="T139" s="133">
        <f>PV($C$1, ($AB$3-$S$3), 0, -AE54)</f>
        <v>340.84615904355411</v>
      </c>
      <c r="U139" s="20"/>
      <c r="V139" s="20"/>
      <c r="W139" s="20"/>
      <c r="X139" s="20"/>
      <c r="Y139" s="20"/>
      <c r="Z139" s="20"/>
      <c r="AA139" s="20"/>
      <c r="AB139" s="20"/>
      <c r="AC139" s="137"/>
      <c r="AD139" s="20"/>
      <c r="AE139" s="20"/>
    </row>
    <row r="140" spans="2:31">
      <c r="B140" s="20" t="s">
        <v>273</v>
      </c>
      <c r="C140" s="20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140">
        <f t="shared" si="313"/>
        <v>379.00168733465443</v>
      </c>
      <c r="S140" s="133">
        <f>PV($C$1, ($AB$3-$S$3), 0, -AB55)</f>
        <v>38.871967931759428</v>
      </c>
      <c r="T140" s="133">
        <f>PV($C$1, ($AB$3-$S$3), 0, -AE55)</f>
        <v>340.12971940289498</v>
      </c>
      <c r="U140" s="20"/>
      <c r="V140" s="20"/>
      <c r="W140" s="20"/>
      <c r="X140" s="20"/>
      <c r="Y140" s="20"/>
      <c r="Z140" s="20"/>
      <c r="AA140" s="20"/>
      <c r="AB140" s="20"/>
      <c r="AC140" s="137"/>
      <c r="AD140" s="20"/>
      <c r="AE140" s="20"/>
    </row>
    <row r="141" spans="2:31">
      <c r="B141" s="20" t="s">
        <v>274</v>
      </c>
      <c r="C141" s="20"/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140">
        <f t="shared" si="313"/>
        <v>1.157561762264874</v>
      </c>
      <c r="S141" s="133">
        <f>PV($C$1, ($AB$3-$S$3), 0, -AB56)</f>
        <v>0.11872428330921785</v>
      </c>
      <c r="T141" s="133">
        <f>PV($C$1, ($AB$3-$S$3), 0, -AE56)</f>
        <v>1.038837478955656</v>
      </c>
      <c r="U141" s="20"/>
      <c r="V141" s="20"/>
      <c r="W141" s="20"/>
      <c r="X141" s="20"/>
      <c r="Y141" s="20"/>
      <c r="Z141" s="20"/>
      <c r="AA141" s="20"/>
      <c r="AB141" s="20"/>
      <c r="AC141" s="137"/>
      <c r="AD141" s="20"/>
      <c r="AE141" s="20"/>
    </row>
    <row r="142" spans="2:31">
      <c r="B142" s="20" t="s">
        <v>275</v>
      </c>
      <c r="C142" s="20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140">
        <f t="shared" si="313"/>
        <v>93.44317536076106</v>
      </c>
      <c r="S142" s="133">
        <f>PV($C$1, ($AB$3-$S$3), 0, -AB62)</f>
        <v>9.5839154216165188</v>
      </c>
      <c r="T142" s="133">
        <f>PV($C$1, ($AB$3-$S$3), 0, -AE62)</f>
        <v>83.859259939144536</v>
      </c>
      <c r="U142" s="20"/>
      <c r="V142" s="20"/>
      <c r="W142" s="20"/>
      <c r="X142" s="20"/>
      <c r="Y142" s="20"/>
      <c r="Z142" s="20"/>
      <c r="AA142" s="20"/>
      <c r="AB142" s="20"/>
      <c r="AC142" s="137"/>
      <c r="AD142" s="20"/>
      <c r="AE142" s="20"/>
    </row>
    <row r="143" spans="2:31">
      <c r="B143" s="20"/>
      <c r="C143" s="20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140"/>
      <c r="S143" s="133"/>
      <c r="T143" s="20"/>
      <c r="U143" s="20"/>
      <c r="V143" s="20"/>
      <c r="W143" s="20"/>
      <c r="X143" s="20"/>
      <c r="Y143" s="20"/>
      <c r="Z143" s="20"/>
      <c r="AA143" s="20"/>
      <c r="AB143" s="20"/>
      <c r="AC143" s="137"/>
      <c r="AD143" s="20"/>
      <c r="AE143" s="20"/>
    </row>
    <row r="144" spans="2:31">
      <c r="B144" s="20" t="s">
        <v>270</v>
      </c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140">
        <f t="shared" si="313"/>
        <v>378.64244402912402</v>
      </c>
      <c r="S144" s="133">
        <f>PV($C$1, ($AB$3-$S$3), 0, -AB58)</f>
        <v>38.83512246452554</v>
      </c>
      <c r="T144" s="133">
        <f>PV($C$1, ($AB$3-$S$3), 0, -$AE$58)</f>
        <v>339.80732156459845</v>
      </c>
      <c r="U144" s="20"/>
      <c r="V144" s="20"/>
      <c r="W144" s="20"/>
      <c r="X144" s="20"/>
      <c r="Y144" s="20"/>
      <c r="Z144" s="20"/>
      <c r="AA144" s="20"/>
      <c r="AB144" s="20"/>
      <c r="AC144" s="137"/>
      <c r="AD144" s="20"/>
      <c r="AE144" s="20"/>
    </row>
    <row r="145" spans="2:31">
      <c r="B145" s="20" t="s">
        <v>271</v>
      </c>
      <c r="C145" s="20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140">
        <f t="shared" si="313"/>
        <v>284.9198572085059</v>
      </c>
      <c r="S145" s="133">
        <f>PV($C$1, ($AB$3-$S$3), 0, -AB59)</f>
        <v>29.222549457282661</v>
      </c>
      <c r="T145" s="133">
        <f>PV($C$1, ($AB$3-$S$3), 0, -$AE$59)</f>
        <v>255.69730775122326</v>
      </c>
      <c r="U145" s="20"/>
      <c r="V145" s="20"/>
      <c r="W145" s="20"/>
      <c r="X145" s="20"/>
      <c r="Y145" s="20"/>
      <c r="Z145" s="20"/>
      <c r="AA145" s="20"/>
      <c r="AB145" s="20"/>
      <c r="AC145" s="137"/>
      <c r="AD145" s="20"/>
      <c r="AE145" s="20"/>
    </row>
    <row r="146" spans="2:31">
      <c r="B146" s="20" t="s">
        <v>276</v>
      </c>
      <c r="C146" s="20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140">
        <f t="shared" si="313"/>
        <v>424.8650826740456</v>
      </c>
      <c r="S146" s="133">
        <f>PV($C$1, ($AB$3-$S$3), 0, -AB60)</f>
        <v>43.575905915286732</v>
      </c>
      <c r="T146" s="133">
        <f>PV($C$1, ($AB$3-$S$3), 0, -$AE$60)</f>
        <v>381.28917675875886</v>
      </c>
      <c r="U146" s="20"/>
      <c r="V146" s="20"/>
      <c r="W146" s="20"/>
      <c r="X146" s="20"/>
      <c r="Y146" s="20"/>
      <c r="Z146" s="20"/>
      <c r="AA146" s="20"/>
      <c r="AB146" s="20"/>
      <c r="AC146" s="137"/>
      <c r="AD146" s="20"/>
      <c r="AE146" s="20"/>
    </row>
    <row r="147" spans="2:31">
      <c r="B147" s="20"/>
      <c r="C147" s="20"/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140"/>
      <c r="S147" s="133"/>
      <c r="T147" s="20"/>
      <c r="U147" s="20"/>
      <c r="V147" s="20"/>
      <c r="W147" s="20"/>
      <c r="X147" s="20"/>
      <c r="Y147" s="20"/>
      <c r="Z147" s="20"/>
      <c r="AA147" s="20"/>
      <c r="AB147" s="20"/>
      <c r="AC147" s="137"/>
      <c r="AD147" s="20"/>
      <c r="AE147" s="20"/>
    </row>
    <row r="148" spans="2:31">
      <c r="B148" s="20" t="s">
        <v>249</v>
      </c>
      <c r="C148" s="20"/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140">
        <f t="shared" si="313"/>
        <v>139.94522546553961</v>
      </c>
      <c r="S148" s="133">
        <f>PV($C$1, ($AB$3-$S$3), 0, -AB65)</f>
        <v>14.353356458004066</v>
      </c>
      <c r="T148" s="133">
        <f>PV($C$1, ($AB$3-$S$3), 0, -AE65)</f>
        <v>125.59186900753555</v>
      </c>
      <c r="U148" s="20"/>
      <c r="V148" s="20"/>
      <c r="W148" s="20"/>
      <c r="X148" s="20"/>
      <c r="Y148" s="20"/>
      <c r="Z148" s="20"/>
      <c r="AA148" s="20"/>
      <c r="AB148" s="20"/>
      <c r="AC148" s="137"/>
      <c r="AD148" s="20"/>
      <c r="AE148" s="20"/>
    </row>
    <row r="149" spans="2:31">
      <c r="B149" s="20" t="s">
        <v>250</v>
      </c>
      <c r="C149" s="20"/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140">
        <f t="shared" si="313"/>
        <v>27.302491220316341</v>
      </c>
      <c r="S149" s="133">
        <f>PV($C$1, ($AB$3-$S$3), 0, -AB66)</f>
        <v>3.9670286388493832</v>
      </c>
      <c r="T149" s="133">
        <f>PV($C$1, ($AB$3-$S$3), 0, -AE66)</f>
        <v>23.335462581466956</v>
      </c>
      <c r="U149" s="20"/>
      <c r="V149" s="20"/>
      <c r="W149" s="20"/>
      <c r="X149" s="20"/>
      <c r="Y149" s="20"/>
      <c r="Z149" s="20"/>
      <c r="AA149" s="20"/>
      <c r="AB149" s="20"/>
      <c r="AC149" s="137"/>
      <c r="AD149" s="20"/>
      <c r="AE149" s="20"/>
    </row>
    <row r="150" spans="2:31">
      <c r="B150" s="20"/>
      <c r="C150" s="20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140"/>
      <c r="S150" s="133"/>
      <c r="T150" s="133"/>
      <c r="U150" s="20"/>
      <c r="V150" s="20"/>
      <c r="W150" s="20"/>
      <c r="X150" s="20"/>
      <c r="Y150" s="20"/>
      <c r="Z150" s="20"/>
      <c r="AA150" s="20"/>
      <c r="AB150" s="20"/>
      <c r="AC150" s="137"/>
      <c r="AD150" s="20"/>
      <c r="AE150" s="20"/>
    </row>
    <row r="151" spans="2:31">
      <c r="B151" s="20" t="s">
        <v>293</v>
      </c>
      <c r="C151" s="20"/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140">
        <f t="shared" ref="R151" si="314">S151+T151</f>
        <v>14409.872072382961</v>
      </c>
      <c r="S151" s="133">
        <f>PV($C$1, ($AB$3-$S$3), 0, -AB12)</f>
        <v>1477.9355971674834</v>
      </c>
      <c r="T151" s="133">
        <f>PV($C$1, ($AB$3-$S$3), 0, -AE12)</f>
        <v>12931.936475215478</v>
      </c>
      <c r="U151" s="20"/>
      <c r="V151" s="20"/>
      <c r="W151" s="20"/>
      <c r="X151" s="20"/>
      <c r="Y151" s="20"/>
      <c r="Z151" s="20"/>
      <c r="AA151" s="20"/>
      <c r="AB151" s="20"/>
      <c r="AC151" s="137"/>
      <c r="AD151" s="20"/>
      <c r="AE151" s="20"/>
    </row>
    <row r="152" spans="2:31">
      <c r="B152" s="20" t="s">
        <v>294</v>
      </c>
      <c r="C152" s="20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140">
        <f>S152+T152</f>
        <v>93.443175360761046</v>
      </c>
      <c r="S152" s="140">
        <f>S151/P42</f>
        <v>9.5839154216165188</v>
      </c>
      <c r="T152" s="140">
        <f>T151/P42</f>
        <v>83.859259939144522</v>
      </c>
      <c r="U152" s="20"/>
      <c r="V152" s="20"/>
      <c r="W152" s="20"/>
      <c r="X152" s="20"/>
      <c r="Y152" s="20"/>
      <c r="Z152" s="20"/>
      <c r="AA152" s="20"/>
      <c r="AB152" s="20"/>
      <c r="AC152" s="137"/>
      <c r="AD152" s="20"/>
      <c r="AE152" s="20"/>
    </row>
    <row r="153" spans="2:31">
      <c r="B153" s="20"/>
      <c r="C153" s="20"/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140"/>
      <c r="S153" s="140"/>
      <c r="T153" s="140"/>
      <c r="U153" s="20"/>
      <c r="V153" s="20"/>
      <c r="W153" s="20"/>
      <c r="X153" s="20"/>
      <c r="Y153" s="20"/>
      <c r="Z153" s="20"/>
      <c r="AA153" s="20"/>
      <c r="AB153" s="20"/>
      <c r="AC153" s="137"/>
      <c r="AD153" s="20"/>
      <c r="AE153" s="20"/>
    </row>
    <row r="154" spans="2:31">
      <c r="B154" s="108" t="s">
        <v>297</v>
      </c>
      <c r="C154" s="20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140"/>
      <c r="S154" s="133"/>
      <c r="T154" s="133"/>
      <c r="U154" s="20"/>
      <c r="V154" s="20"/>
      <c r="W154" s="20"/>
      <c r="X154" s="20"/>
      <c r="Y154" s="20"/>
      <c r="Z154" s="20"/>
      <c r="AA154" s="20"/>
      <c r="AB154" s="20"/>
      <c r="AC154" s="137"/>
      <c r="AD154" s="20"/>
      <c r="AE154" s="20"/>
    </row>
    <row r="155" spans="2:31">
      <c r="B155" s="20" t="s">
        <v>282</v>
      </c>
      <c r="C155" s="20"/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140">
        <f t="shared" ref="R155" si="315">S155+T155</f>
        <v>44.451322859706949</v>
      </c>
      <c r="S155" s="133">
        <f>PV($C$1, ($AB$3-$S$3), 0, -AB68)+PV($C$1, ($AA$3-$S$3), 0, -AB68)+PV($C$1, ($Z$3-$S$3), 0, -AB68)+PV($C$1, ($Y$3-$S$3), 0, -AB68)+PV($C$1, ($X$3-$S$3), 0, -AB68)+PV($C$1, ($W$3-$S$3), 0, -AB68)+PV($C$1, ($V$3-$S$3), 0, -AB68)+PV($C$1, ($U$3-$S$3), 0, -AB68)+PV($C$1, ($T$3-$S$3), 0, -AB68)+PV($C$1, ($S$3-$S$3), 0, -AB68)</f>
        <v>31.962233046514228</v>
      </c>
      <c r="T155" s="133">
        <f>PV($C$1, ($AB$3-$S$3), 0, -AE68)</f>
        <v>12.48908981319272</v>
      </c>
      <c r="U155" s="20"/>
      <c r="V155" s="20"/>
      <c r="W155" s="20"/>
      <c r="X155" s="20"/>
      <c r="Y155" s="20"/>
      <c r="Z155" s="20"/>
      <c r="AA155" s="20"/>
      <c r="AB155" s="20"/>
      <c r="AC155" s="137"/>
      <c r="AD155" s="20"/>
      <c r="AE155" s="20"/>
    </row>
    <row r="156" spans="2:31">
      <c r="B156" s="23"/>
      <c r="C156" s="20"/>
      <c r="D156" s="20"/>
      <c r="E156" s="20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140"/>
      <c r="S156" s="133"/>
      <c r="T156" s="133"/>
      <c r="U156" s="20"/>
      <c r="V156" s="20"/>
      <c r="W156" s="20"/>
      <c r="X156" s="20"/>
      <c r="Y156" s="20"/>
      <c r="Z156" s="20"/>
      <c r="AA156" s="20"/>
      <c r="AB156" s="20"/>
      <c r="AC156" s="137"/>
      <c r="AD156" s="20"/>
      <c r="AE156" s="20"/>
    </row>
    <row r="157" spans="2:31">
      <c r="B157" s="20" t="s">
        <v>290</v>
      </c>
      <c r="C157" s="20"/>
      <c r="D157" s="20"/>
      <c r="E157" s="20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140">
        <f t="shared" si="313"/>
        <v>14293.890834006519</v>
      </c>
      <c r="S157" s="133">
        <f>PV($C$1, ($AB$3-$S$3), 0, -AB70)+PV($C$1, ($AA$3-$S$3), 0, -AB70)+PV($C$1, ($Z$3-$S$3), 0, -AB70)+PV($C$1, ($Y$3-$S$3), 0, -AB70)+PV($C$1, ($X$3-$S$3), 0, -AB70)+PV($C$1, ($W$3-$S$3), 0, -AB70)+PV($C$1, ($V$3-$S$3), 0, -AB70)+PV($C$1, ($U$3-$S$3), 0, -AB70)+PV($C$1, ($T$3-$S$3), 0, -AB70)+PV($C$1, ($S$3-$S$3), 0, -AB70)</f>
        <v>10277.864427564124</v>
      </c>
      <c r="T157" s="133">
        <f>PV($C$1, ($AB$3-$S$3), 0, -AE70)</f>
        <v>4016.0264064423955</v>
      </c>
      <c r="U157" s="20"/>
      <c r="V157" s="20"/>
      <c r="W157" s="20"/>
      <c r="X157" s="20"/>
      <c r="Y157" s="20"/>
      <c r="Z157" s="20"/>
      <c r="AA157" s="20"/>
      <c r="AB157" s="20"/>
      <c r="AC157" s="137"/>
      <c r="AD157" s="20"/>
      <c r="AE157" s="20"/>
    </row>
    <row r="158" spans="2:31">
      <c r="B158" s="20"/>
      <c r="C158" s="20"/>
      <c r="D158" s="20"/>
      <c r="E158" s="20"/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140"/>
      <c r="S158" s="133"/>
      <c r="T158" s="133"/>
      <c r="U158" s="20"/>
      <c r="V158" s="20"/>
      <c r="W158" s="20"/>
      <c r="X158" s="20"/>
      <c r="Y158" s="20"/>
      <c r="Z158" s="20"/>
      <c r="AA158" s="20"/>
      <c r="AB158" s="20"/>
      <c r="AC158" s="137"/>
      <c r="AD158" s="20"/>
      <c r="AE158" s="20"/>
    </row>
    <row r="159" spans="2:31">
      <c r="B159" s="20" t="s">
        <v>286</v>
      </c>
      <c r="C159" s="20"/>
      <c r="D159" s="20"/>
      <c r="E159" s="20"/>
      <c r="F159" s="20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140">
        <f t="shared" ref="R159:R162" si="316">S159+T159</f>
        <v>92.691076026240324</v>
      </c>
      <c r="S159" s="133">
        <f>PV($C$1, ($AB$3-$S$3), 0, -AB72)+PV($C$1, ($AA$3-$S$3), 0, -AB72)+PV($C$1, ($Z$3-$S$3), 0, -AB72)+PV($C$1, ($Y$3-$S$3), 0, -AB72)+PV($C$1, ($X$3-$S$3), 0, -AB72)+PV($C$1, ($W$3-$S$3), 0, -AB72)+PV($C$1, ($V$3-$S$3), 0, -AB72)+PV($C$1, ($U$3-$S$3), 0, -AB72)+PV($C$1, ($T$3-$S$3), 0, -AB72)+PV($C$1, ($S$3-$S$3), 0, -AB72)</f>
        <v>66.648495088283013</v>
      </c>
      <c r="T159" s="133">
        <f>PV($C$1, ($AB$3-$S$3), 0, -AE72)</f>
        <v>26.042580937957304</v>
      </c>
      <c r="U159" s="20"/>
      <c r="V159" s="20"/>
      <c r="W159" s="20"/>
      <c r="X159" s="20"/>
      <c r="Y159" s="20"/>
      <c r="Z159" s="20"/>
      <c r="AA159" s="20"/>
      <c r="AB159" s="20"/>
      <c r="AC159" s="137"/>
      <c r="AD159" s="20"/>
      <c r="AE159" s="20"/>
    </row>
    <row r="160" spans="2:31">
      <c r="B160" s="20" t="s">
        <v>287</v>
      </c>
      <c r="C160" s="20"/>
      <c r="D160" s="20"/>
      <c r="E160" s="20"/>
      <c r="F160" s="20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140">
        <f t="shared" si="316"/>
        <v>152.99764956188227</v>
      </c>
      <c r="S160" s="133">
        <f>PV($C$1, ($AB$3-$S$3), 0, -AB73)+PV($C$1, ($AA$3-$S$3), 0, -AB73)+PV($C$1, ($Z$3-$S$3), 0, -AB73)+PV($C$1, ($Y$3-$S$3), 0, -AB73)+PV($C$1, ($X$3-$S$3), 0, -AB73)+PV($C$1, ($W$3-$S$3), 0, -AB73)+PV($C$1, ($V$3-$S$3), 0, -AB73)+PV($C$1, ($U$3-$S$3), 0, -AB73)+PV($C$1, ($T$3-$S$3), 0, -AB73)+PV($C$1, ($S$3-$S$3), 0, -AB73)</f>
        <v>110.01127112233787</v>
      </c>
      <c r="T160" s="133">
        <f>PV($C$1, ($AB$3-$S$3), 0, -AE73)</f>
        <v>42.986378439544396</v>
      </c>
      <c r="U160" s="20"/>
      <c r="V160" s="20"/>
      <c r="W160" s="20"/>
      <c r="X160" s="20"/>
      <c r="Y160" s="20"/>
      <c r="Z160" s="20"/>
      <c r="AA160" s="20"/>
      <c r="AB160" s="20"/>
      <c r="AC160" s="137"/>
      <c r="AD160" s="20"/>
      <c r="AE160" s="20"/>
    </row>
    <row r="161" spans="2:31">
      <c r="B161" s="20" t="s">
        <v>288</v>
      </c>
      <c r="C161" s="20"/>
      <c r="D161" s="20"/>
      <c r="E161" s="20"/>
      <c r="F161" s="20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140">
        <f t="shared" si="316"/>
        <v>-60.306573535641952</v>
      </c>
      <c r="S161" s="133">
        <f>PV($C$1, ($AB$3-$S$3), 0, -AB74)+PV($C$1, ($AA$3-$S$3), 0, -AB74)+PV($C$1, ($Z$3-$S$3), 0, -AB74)+PV($C$1, ($Y$3-$S$3), 0, -AB74)+PV($C$1, ($X$3-$S$3), 0, -AB74)+PV($C$1, ($W$3-$S$3), 0, -AB74)+PV($C$1, ($V$3-$S$3), 0, -AB74)+PV($C$1, ($U$3-$S$3), 0, -AB74)+PV($C$1, ($T$3-$S$3), 0, -AB74)+PV($C$1, ($S$3-$S$3), 0, -AB74)</f>
        <v>-43.362776034054868</v>
      </c>
      <c r="T161" s="133">
        <f>PV($C$1, ($AB$3-$S$3), 0, -AE74)</f>
        <v>-16.943797501587085</v>
      </c>
      <c r="U161" s="20"/>
      <c r="V161" s="20"/>
      <c r="W161" s="20"/>
      <c r="X161" s="20"/>
      <c r="Y161" s="20"/>
      <c r="Z161" s="20"/>
      <c r="AA161" s="20"/>
      <c r="AB161" s="20"/>
      <c r="AC161" s="137"/>
      <c r="AD161" s="20"/>
      <c r="AE161" s="20"/>
    </row>
    <row r="162" spans="2:31">
      <c r="B162" s="20" t="s">
        <v>289</v>
      </c>
      <c r="C162" s="20"/>
      <c r="D162" s="20"/>
      <c r="E162" s="20"/>
      <c r="F162" s="20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140">
        <f t="shared" si="316"/>
        <v>-79.686275813480364</v>
      </c>
      <c r="S162" s="133">
        <f>PV($C$1, ($AB$3-$S$3), 0, -AB75)+PV($C$1, ($AA$3-$S$3), 0, -AB75)+PV($C$1, ($Z$3-$S$3), 0, -AB75)+PV($C$1, ($Y$3-$S$3), 0, -AB75)+PV($C$1, ($X$3-$S$3), 0, -AB75)+PV($C$1, ($W$3-$S$3), 0, -AB75)+PV($C$1, ($V$3-$S$3), 0, -AB75)+PV($C$1, ($U$3-$S$3), 0, -AB75)+PV($C$1, ($T$3-$S$3), 0, -AB75)+PV($C$1, ($S$3-$S$3), 0, -AB75)</f>
        <v>-57.297537042884322</v>
      </c>
      <c r="T162" s="133">
        <f>PV($C$1, ($AB$3-$S$3), 0, -AE75)</f>
        <v>-22.388738770596042</v>
      </c>
      <c r="U162" s="20"/>
      <c r="V162" s="20"/>
      <c r="W162" s="20"/>
      <c r="X162" s="20"/>
      <c r="Y162" s="20"/>
      <c r="Z162" s="20"/>
      <c r="AA162" s="20"/>
      <c r="AB162" s="20"/>
      <c r="AC162" s="137"/>
      <c r="AD162" s="20"/>
      <c r="AE162" s="20"/>
    </row>
    <row r="163" spans="2:31">
      <c r="B163" s="20"/>
      <c r="C163" s="20"/>
      <c r="D163" s="20"/>
      <c r="E163" s="20"/>
      <c r="F163" s="20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140"/>
      <c r="S163" s="133"/>
      <c r="T163" s="133"/>
      <c r="U163" s="20"/>
      <c r="V163" s="20"/>
      <c r="W163" s="20"/>
      <c r="X163" s="20"/>
      <c r="Y163" s="20"/>
      <c r="Z163" s="20"/>
      <c r="AA163" s="20"/>
      <c r="AB163" s="20"/>
      <c r="AC163" s="137"/>
      <c r="AD163" s="20"/>
      <c r="AE163" s="20"/>
    </row>
    <row r="164" spans="2:31">
      <c r="B164" s="20" t="s">
        <v>298</v>
      </c>
      <c r="C164" s="20"/>
      <c r="D164" s="20"/>
      <c r="E164" s="20"/>
      <c r="F164" s="20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140">
        <f>S164+T164</f>
        <v>50.999216520627449</v>
      </c>
      <c r="S164" s="133">
        <f>PV($C$1, ($AB$3-$S$3), 0, -AB76)+PV($C$1, ($AA$3-$S$3), 0, -AB76)+PV($C$1, ($Z$3-$S$3), 0, -AB76)+PV($C$1, ($Y$3-$S$3), 0, -AB76)+PV($C$1, ($X$3-$S$3), 0, -AB76)+PV($C$1, ($W$3-$S$3), 0, -AB76)+PV($C$1, ($V$3-$S$3), 0, -AB76)+PV($C$1, ($U$3-$S$3), 0, -AB76)+PV($C$1, ($T$3-$S$3), 0, -AB76)+PV($C$1, ($S$3-$S$3), 0, -AB76)</f>
        <v>36.670423707445977</v>
      </c>
      <c r="T164" s="133">
        <f>PV($C$1, ($AB$3-$S$3), 0, -AE76)</f>
        <v>14.328792813181471</v>
      </c>
      <c r="U164" s="20"/>
      <c r="V164" s="20"/>
      <c r="W164" s="20"/>
      <c r="X164" s="20"/>
      <c r="Y164" s="20"/>
      <c r="Z164" s="20"/>
      <c r="AA164" s="20"/>
      <c r="AB164" s="20"/>
      <c r="AC164" s="137"/>
      <c r="AD164" s="20"/>
      <c r="AE164" s="20"/>
    </row>
    <row r="165" spans="2:31">
      <c r="B165" s="20"/>
      <c r="C165" s="20"/>
      <c r="D165" s="20"/>
      <c r="E165" s="20"/>
      <c r="F165" s="20"/>
      <c r="G165" s="20"/>
      <c r="H165" s="20"/>
      <c r="I165" s="20"/>
      <c r="J165" s="20"/>
      <c r="K165" s="20"/>
      <c r="L165" s="20"/>
      <c r="M165" s="20"/>
      <c r="N165" s="20"/>
      <c r="O165" s="183">
        <v>41729</v>
      </c>
      <c r="P165" s="20">
        <v>166</v>
      </c>
      <c r="Q165" s="20"/>
      <c r="R165" s="20"/>
      <c r="S165" s="121"/>
      <c r="T165" s="20"/>
      <c r="U165" s="20"/>
      <c r="V165" s="20"/>
      <c r="W165" s="20"/>
      <c r="X165" s="20"/>
      <c r="Y165" s="20"/>
      <c r="Z165" s="20"/>
      <c r="AA165" s="20"/>
      <c r="AB165" s="20"/>
      <c r="AC165" s="137"/>
      <c r="AD165" s="20"/>
      <c r="AE165" s="20"/>
    </row>
    <row r="166" spans="2:31">
      <c r="B166" s="108" t="s">
        <v>251</v>
      </c>
      <c r="C166" s="20"/>
      <c r="D166" s="20"/>
      <c r="E166" s="20"/>
      <c r="F166" s="20"/>
      <c r="G166" s="20"/>
      <c r="H166" s="20"/>
      <c r="I166" s="20"/>
      <c r="J166" s="20"/>
      <c r="K166" s="20"/>
      <c r="L166" s="20"/>
      <c r="M166" s="20"/>
      <c r="N166" s="20"/>
      <c r="O166" s="23" t="s">
        <v>389</v>
      </c>
      <c r="P166" s="20">
        <v>202</v>
      </c>
      <c r="Q166" s="20">
        <v>160</v>
      </c>
      <c r="R166" s="23" t="s">
        <v>390</v>
      </c>
      <c r="S166" s="20"/>
      <c r="T166" s="20"/>
      <c r="U166" s="20"/>
      <c r="V166" s="20"/>
      <c r="W166" s="20"/>
      <c r="X166" s="20"/>
      <c r="Y166" s="20"/>
      <c r="Z166" s="20"/>
      <c r="AA166" s="20"/>
      <c r="AB166" s="20"/>
      <c r="AC166" s="137"/>
      <c r="AD166" s="20"/>
      <c r="AE166" s="20"/>
    </row>
    <row r="167" spans="2:31">
      <c r="B167" s="20" t="s">
        <v>204</v>
      </c>
      <c r="C167" s="22">
        <v>0</v>
      </c>
      <c r="D167" s="22">
        <v>0</v>
      </c>
      <c r="E167" s="22">
        <v>0</v>
      </c>
      <c r="F167" s="22">
        <v>0</v>
      </c>
      <c r="G167" s="22">
        <v>0</v>
      </c>
      <c r="H167" s="22">
        <v>0</v>
      </c>
      <c r="I167" s="22">
        <v>0</v>
      </c>
      <c r="J167" s="22">
        <v>129</v>
      </c>
      <c r="K167" s="22">
        <v>57</v>
      </c>
      <c r="L167" s="22">
        <v>96</v>
      </c>
      <c r="M167" s="22">
        <v>124</v>
      </c>
      <c r="N167" s="22">
        <v>145</v>
      </c>
      <c r="O167" s="22">
        <v>185</v>
      </c>
      <c r="P167" s="22">
        <v>240</v>
      </c>
      <c r="Q167" s="118" t="e">
        <f t="shared" ref="Q167:Q172" si="317">((P167/G167)^(1/($H$2-$H$1) ))-1</f>
        <v>#DIV/0!</v>
      </c>
      <c r="R167" s="31">
        <f>L2-3%</f>
        <v>7.0000000000000007E-2</v>
      </c>
      <c r="S167" s="119">
        <f t="shared" ref="S167" si="318">P167*(1+$R167)</f>
        <v>256.8</v>
      </c>
      <c r="T167" s="119">
        <f t="shared" ref="T167:AB167" si="319">S167*(1+$R167)</f>
        <v>274.77600000000001</v>
      </c>
      <c r="U167" s="119">
        <f t="shared" si="319"/>
        <v>294.01032000000004</v>
      </c>
      <c r="V167" s="119">
        <f t="shared" si="319"/>
        <v>314.59104240000005</v>
      </c>
      <c r="W167" s="119">
        <f t="shared" si="319"/>
        <v>336.61241536800009</v>
      </c>
      <c r="X167" s="119">
        <f t="shared" si="319"/>
        <v>360.17528444376012</v>
      </c>
      <c r="Y167" s="119">
        <f t="shared" si="319"/>
        <v>385.38755435482335</v>
      </c>
      <c r="Z167" s="119">
        <f t="shared" si="319"/>
        <v>412.36468315966101</v>
      </c>
      <c r="AA167" s="119">
        <f t="shared" si="319"/>
        <v>441.23021098083728</v>
      </c>
      <c r="AB167" s="119">
        <f t="shared" si="319"/>
        <v>472.1163257494959</v>
      </c>
      <c r="AC167" s="138" t="e">
        <f t="shared" ref="AC167:AC172" si="320">((AB167/G167)^(1/($AB$3-$H$1) ))-1</f>
        <v>#DIV/0!</v>
      </c>
      <c r="AD167" s="31">
        <v>0.08</v>
      </c>
      <c r="AE167" s="127" t="e">
        <f t="shared" ref="AE167:AE175" si="321">(AB167*(1+AC167))/($C$1-AD167)</f>
        <v>#DIV/0!</v>
      </c>
    </row>
    <row r="168" spans="2:31">
      <c r="B168" s="20" t="s">
        <v>360</v>
      </c>
      <c r="C168" s="25" t="e">
        <f t="shared" ref="C168:P168" si="322">C167/C49</f>
        <v>#DIV/0!</v>
      </c>
      <c r="D168" s="25" t="e">
        <f t="shared" si="322"/>
        <v>#DIV/0!</v>
      </c>
      <c r="E168" s="25" t="e">
        <f t="shared" si="322"/>
        <v>#DIV/0!</v>
      </c>
      <c r="F168" s="25" t="e">
        <f t="shared" si="322"/>
        <v>#DIV/0!</v>
      </c>
      <c r="G168" s="25">
        <f t="shared" si="322"/>
        <v>0</v>
      </c>
      <c r="H168" s="25">
        <f t="shared" si="322"/>
        <v>0</v>
      </c>
      <c r="I168" s="25">
        <f t="shared" si="322"/>
        <v>0</v>
      </c>
      <c r="J168" s="25">
        <f t="shared" si="322"/>
        <v>2.8906786397762398</v>
      </c>
      <c r="K168" s="25">
        <f t="shared" si="322"/>
        <v>1.2881475434169511</v>
      </c>
      <c r="L168" s="25">
        <f t="shared" si="322"/>
        <v>2.027657332963682</v>
      </c>
      <c r="M168" s="25">
        <f t="shared" si="322"/>
        <v>2.4680614103564924</v>
      </c>
      <c r="N168" s="25">
        <f t="shared" si="322"/>
        <v>2.5463374155888752</v>
      </c>
      <c r="O168" s="25">
        <f t="shared" si="322"/>
        <v>2.8344610034773972</v>
      </c>
      <c r="P168" s="25">
        <f t="shared" si="322"/>
        <v>3.9123044397463005</v>
      </c>
      <c r="Q168" s="118" t="e">
        <f t="shared" ref="Q168" si="323">((P168/G168)^(1/($H$2-$H$1) ))-1</f>
        <v>#DIV/0!</v>
      </c>
      <c r="R168" s="128"/>
      <c r="S168" s="25">
        <f t="shared" ref="S168:AB168" si="324">S167/S49</f>
        <v>3.8056052277532193</v>
      </c>
      <c r="T168" s="25">
        <f t="shared" si="324"/>
        <v>3.7018159942690403</v>
      </c>
      <c r="U168" s="25">
        <f t="shared" si="324"/>
        <v>3.6008573762435216</v>
      </c>
      <c r="V168" s="25">
        <f t="shared" si="324"/>
        <v>3.5026521750732429</v>
      </c>
      <c r="W168" s="25">
        <f t="shared" si="324"/>
        <v>3.4071252975712456</v>
      </c>
      <c r="X168" s="25">
        <f t="shared" si="324"/>
        <v>3.3142036985465753</v>
      </c>
      <c r="Y168" s="25">
        <f t="shared" si="324"/>
        <v>3.2238163249498508</v>
      </c>
      <c r="Z168" s="25">
        <f t="shared" si="324"/>
        <v>3.1358940615421274</v>
      </c>
      <c r="AA168" s="25">
        <f t="shared" si="324"/>
        <v>3.0503696780455236</v>
      </c>
      <c r="AB168" s="25">
        <f t="shared" si="324"/>
        <v>2.9671777777351913</v>
      </c>
      <c r="AC168" s="138" t="e">
        <f t="shared" ref="AC168" si="325">((AB168/G168)^(1/($AB$3-$H$1) ))-1</f>
        <v>#DIV/0!</v>
      </c>
      <c r="AD168" s="31">
        <v>0.08</v>
      </c>
      <c r="AE168" s="127" t="e">
        <f t="shared" ref="AE168" si="326">(AB168*(1+AC168))/($C$1-AD168)</f>
        <v>#DIV/0!</v>
      </c>
    </row>
    <row r="169" spans="2:31">
      <c r="B169" s="20" t="s">
        <v>388</v>
      </c>
      <c r="C169" s="25" t="e">
        <f t="shared" ref="C169:P169" si="327">C167/C52</f>
        <v>#DIV/0!</v>
      </c>
      <c r="D169" s="25" t="e">
        <f t="shared" si="327"/>
        <v>#DIV/0!</v>
      </c>
      <c r="E169" s="25" t="e">
        <f t="shared" si="327"/>
        <v>#DIV/0!</v>
      </c>
      <c r="F169" s="25" t="e">
        <f t="shared" si="327"/>
        <v>#DIV/0!</v>
      </c>
      <c r="G169" s="25">
        <f t="shared" si="327"/>
        <v>0</v>
      </c>
      <c r="H169" s="25" t="e">
        <f t="shared" si="327"/>
        <v>#DIV/0!</v>
      </c>
      <c r="I169" s="25">
        <f t="shared" si="327"/>
        <v>0</v>
      </c>
      <c r="J169" s="25">
        <f t="shared" si="327"/>
        <v>11.112835314091681</v>
      </c>
      <c r="K169" s="25">
        <f t="shared" si="327"/>
        <v>6.2478401727861765</v>
      </c>
      <c r="L169" s="25">
        <f t="shared" si="327"/>
        <v>12.02921052631579</v>
      </c>
      <c r="M169" s="25">
        <f t="shared" si="327"/>
        <v>15.031315372424721</v>
      </c>
      <c r="N169" s="25">
        <f t="shared" si="327"/>
        <v>18.131499592502038</v>
      </c>
      <c r="O169" s="25">
        <f t="shared" si="327"/>
        <v>22.098257164988382</v>
      </c>
      <c r="P169" s="25">
        <f t="shared" si="327"/>
        <v>28.601545595054098</v>
      </c>
      <c r="Q169" s="118" t="e">
        <f t="shared" si="317"/>
        <v>#DIV/0!</v>
      </c>
      <c r="R169" s="128"/>
      <c r="S169" s="119">
        <f t="shared" ref="S169:AB169" si="328">S167/S52</f>
        <v>27.821503442461715</v>
      </c>
      <c r="T169" s="119">
        <f t="shared" si="328"/>
        <v>27.062735166758209</v>
      </c>
      <c r="U169" s="119">
        <f t="shared" si="328"/>
        <v>26.324660571301166</v>
      </c>
      <c r="V169" s="119">
        <f t="shared" si="328"/>
        <v>25.606715282992951</v>
      </c>
      <c r="W169" s="119">
        <f t="shared" si="328"/>
        <v>24.908350320729511</v>
      </c>
      <c r="X169" s="119">
        <f t="shared" si="328"/>
        <v>24.229031675618707</v>
      </c>
      <c r="Y169" s="119">
        <f t="shared" si="328"/>
        <v>23.568239902647285</v>
      </c>
      <c r="Z169" s="119">
        <f t="shared" si="328"/>
        <v>22.925469723484177</v>
      </c>
      <c r="AA169" s="119">
        <f t="shared" si="328"/>
        <v>22.300229640116427</v>
      </c>
      <c r="AB169" s="119">
        <f t="shared" si="328"/>
        <v>21.692041559022339</v>
      </c>
      <c r="AC169" s="138" t="e">
        <f t="shared" si="320"/>
        <v>#DIV/0!</v>
      </c>
      <c r="AD169" s="31">
        <v>0.08</v>
      </c>
      <c r="AE169" s="127" t="e">
        <f t="shared" si="321"/>
        <v>#DIV/0!</v>
      </c>
    </row>
    <row r="170" spans="2:31">
      <c r="B170" s="20" t="s">
        <v>258</v>
      </c>
      <c r="C170" s="25" t="e">
        <f t="shared" ref="C170:P170" si="329">C167/C55</f>
        <v>#DIV/0!</v>
      </c>
      <c r="D170" s="25" t="e">
        <f t="shared" si="329"/>
        <v>#DIV/0!</v>
      </c>
      <c r="E170" s="25" t="e">
        <f t="shared" si="329"/>
        <v>#DIV/0!</v>
      </c>
      <c r="F170" s="25" t="e">
        <f t="shared" si="329"/>
        <v>#DIV/0!</v>
      </c>
      <c r="G170" s="25">
        <f t="shared" si="329"/>
        <v>0</v>
      </c>
      <c r="H170" s="25">
        <f t="shared" si="329"/>
        <v>0</v>
      </c>
      <c r="I170" s="25">
        <f t="shared" si="329"/>
        <v>0</v>
      </c>
      <c r="J170" s="25">
        <f t="shared" si="329"/>
        <v>4.3118972332015808</v>
      </c>
      <c r="K170" s="25">
        <f t="shared" si="329"/>
        <v>1.6172661200149088</v>
      </c>
      <c r="L170" s="25">
        <f t="shared" si="329"/>
        <v>2.3738266796494645</v>
      </c>
      <c r="M170" s="25">
        <f t="shared" si="329"/>
        <v>2.7025958113691404</v>
      </c>
      <c r="N170" s="25">
        <f t="shared" si="329"/>
        <v>2.8680353229341242</v>
      </c>
      <c r="O170" s="25">
        <f t="shared" si="329"/>
        <v>3.3610803487276155</v>
      </c>
      <c r="P170" s="25">
        <f t="shared" si="329"/>
        <v>3.8978830963665088</v>
      </c>
      <c r="Q170" s="118" t="e">
        <f t="shared" si="317"/>
        <v>#DIV/0!</v>
      </c>
      <c r="R170" s="128"/>
      <c r="S170" s="119">
        <f t="shared" ref="S170:AB170" si="330">S167/S55</f>
        <v>3.7915771937383314</v>
      </c>
      <c r="T170" s="119">
        <f t="shared" si="330"/>
        <v>3.6881705430000133</v>
      </c>
      <c r="U170" s="119">
        <f t="shared" si="330"/>
        <v>3.5875840736454676</v>
      </c>
      <c r="V170" s="119">
        <f t="shared" si="330"/>
        <v>3.4897408716369545</v>
      </c>
      <c r="W170" s="119">
        <f t="shared" si="330"/>
        <v>3.3945661205923106</v>
      </c>
      <c r="X170" s="119">
        <f t="shared" si="330"/>
        <v>3.3019870445761561</v>
      </c>
      <c r="Y170" s="119">
        <f t="shared" si="330"/>
        <v>3.2119328524513522</v>
      </c>
      <c r="Z170" s="119">
        <f t="shared" si="330"/>
        <v>3.1243346837481338</v>
      </c>
      <c r="AA170" s="119">
        <f t="shared" si="330"/>
        <v>3.0391255560095476</v>
      </c>
      <c r="AB170" s="119">
        <f t="shared" si="330"/>
        <v>2.9562403135729234</v>
      </c>
      <c r="AC170" s="138" t="e">
        <f t="shared" si="320"/>
        <v>#DIV/0!</v>
      </c>
      <c r="AD170" s="31">
        <v>0.08</v>
      </c>
      <c r="AE170" s="127" t="e">
        <f t="shared" si="321"/>
        <v>#DIV/0!</v>
      </c>
    </row>
    <row r="171" spans="2:31">
      <c r="B171" s="20" t="s">
        <v>259</v>
      </c>
      <c r="C171" s="25" t="e">
        <f t="shared" ref="C171:P171" si="331">C167/C64</f>
        <v>#DIV/0!</v>
      </c>
      <c r="D171" s="25" t="e">
        <f t="shared" si="331"/>
        <v>#DIV/0!</v>
      </c>
      <c r="E171" s="25" t="e">
        <f t="shared" si="331"/>
        <v>#DIV/0!</v>
      </c>
      <c r="F171" s="25" t="e">
        <f t="shared" si="331"/>
        <v>#DIV/0!</v>
      </c>
      <c r="G171" s="25">
        <f t="shared" si="331"/>
        <v>0</v>
      </c>
      <c r="H171" s="25">
        <f t="shared" si="331"/>
        <v>0</v>
      </c>
      <c r="I171" s="25">
        <f t="shared" si="331"/>
        <v>0</v>
      </c>
      <c r="J171" s="25">
        <f t="shared" si="331"/>
        <v>9.2103095684802998</v>
      </c>
      <c r="K171" s="25">
        <f t="shared" si="331"/>
        <v>7.3606870229007635</v>
      </c>
      <c r="L171" s="25">
        <f t="shared" si="331"/>
        <v>9.1250904553961316</v>
      </c>
      <c r="M171" s="25">
        <f t="shared" si="331"/>
        <v>8.0107770270270269</v>
      </c>
      <c r="N171" s="25">
        <f t="shared" si="331"/>
        <v>7.7274574505036471</v>
      </c>
      <c r="O171" s="25">
        <f t="shared" si="331"/>
        <v>7.4293880208333336</v>
      </c>
      <c r="P171" s="25">
        <f t="shared" si="331"/>
        <v>8.9635262775490432</v>
      </c>
      <c r="Q171" s="118" t="e">
        <f t="shared" si="317"/>
        <v>#DIV/0!</v>
      </c>
      <c r="R171" s="128"/>
      <c r="S171" s="119">
        <f t="shared" ref="S171:AB171" si="332">S167/S64</f>
        <v>8.7190664699795235</v>
      </c>
      <c r="T171" s="119">
        <f t="shared" si="332"/>
        <v>8.4812737480709899</v>
      </c>
      <c r="U171" s="119">
        <f t="shared" si="332"/>
        <v>8.2499662822145083</v>
      </c>
      <c r="V171" s="119">
        <f t="shared" si="332"/>
        <v>8.0249672017904761</v>
      </c>
      <c r="W171" s="119">
        <f t="shared" si="332"/>
        <v>7.8061044599234632</v>
      </c>
      <c r="X171" s="119">
        <f t="shared" si="332"/>
        <v>7.5932107019255524</v>
      </c>
      <c r="Y171" s="119">
        <f t="shared" si="332"/>
        <v>7.3861231373275817</v>
      </c>
      <c r="Z171" s="119">
        <f t="shared" si="332"/>
        <v>7.1846834154004666</v>
      </c>
      <c r="AA171" s="119">
        <f t="shared" si="332"/>
        <v>6.988737504071362</v>
      </c>
      <c r="AB171" s="119">
        <f t="shared" si="332"/>
        <v>6.7981355721421419</v>
      </c>
      <c r="AC171" s="138" t="e">
        <f t="shared" si="320"/>
        <v>#DIV/0!</v>
      </c>
      <c r="AD171" s="31">
        <v>0.08</v>
      </c>
      <c r="AE171" s="127" t="e">
        <f t="shared" si="321"/>
        <v>#DIV/0!</v>
      </c>
    </row>
    <row r="172" spans="2:31">
      <c r="B172" s="20" t="s">
        <v>260</v>
      </c>
      <c r="C172" s="25" t="e">
        <f t="shared" ref="C172:P172" si="333">C167/C66</f>
        <v>#DIV/0!</v>
      </c>
      <c r="D172" s="25" t="e">
        <f t="shared" si="333"/>
        <v>#DIV/0!</v>
      </c>
      <c r="E172" s="25" t="e">
        <f t="shared" si="333"/>
        <v>#DIV/0!</v>
      </c>
      <c r="F172" s="25" t="e">
        <f t="shared" si="333"/>
        <v>#DIV/0!</v>
      </c>
      <c r="G172" s="25">
        <f t="shared" si="333"/>
        <v>0</v>
      </c>
      <c r="H172" s="25">
        <f t="shared" si="333"/>
        <v>0</v>
      </c>
      <c r="I172" s="25">
        <f t="shared" si="333"/>
        <v>0</v>
      </c>
      <c r="J172" s="25">
        <f t="shared" si="333"/>
        <v>530.71297297297303</v>
      </c>
      <c r="K172" s="25">
        <f t="shared" si="333"/>
        <v>17.967391304347824</v>
      </c>
      <c r="L172" s="25">
        <f t="shared" si="333"/>
        <v>-58.510080000000002</v>
      </c>
      <c r="M172" s="25">
        <f t="shared" si="333"/>
        <v>91.640193236714964</v>
      </c>
      <c r="N172" s="25">
        <f t="shared" si="333"/>
        <v>39.306272084805656</v>
      </c>
      <c r="O172" s="25">
        <f t="shared" si="333"/>
        <v>36.021275252525257</v>
      </c>
      <c r="P172" s="25">
        <f t="shared" si="333"/>
        <v>38.194427244582045</v>
      </c>
      <c r="Q172" s="118" t="e">
        <f t="shared" si="317"/>
        <v>#DIV/0!</v>
      </c>
      <c r="R172" s="128"/>
      <c r="S172" s="119">
        <f t="shared" ref="S172:AB172" si="334">S167/S66</f>
        <v>37.152761047002535</v>
      </c>
      <c r="T172" s="119">
        <f t="shared" si="334"/>
        <v>36.139503927538826</v>
      </c>
      <c r="U172" s="119">
        <f t="shared" si="334"/>
        <v>35.153881093151405</v>
      </c>
      <c r="V172" s="119">
        <f t="shared" si="334"/>
        <v>34.195138881520002</v>
      </c>
      <c r="W172" s="119">
        <f t="shared" si="334"/>
        <v>33.26254418475127</v>
      </c>
      <c r="X172" s="119">
        <f t="shared" si="334"/>
        <v>32.355383888803509</v>
      </c>
      <c r="Y172" s="119">
        <f t="shared" si="334"/>
        <v>31.47296432819978</v>
      </c>
      <c r="Z172" s="119">
        <f t="shared" si="334"/>
        <v>30.614610755612507</v>
      </c>
      <c r="AA172" s="119">
        <f t="shared" si="334"/>
        <v>29.779666825913981</v>
      </c>
      <c r="AB172" s="119">
        <f t="shared" si="334"/>
        <v>28.967494094298146</v>
      </c>
      <c r="AC172" s="138" t="e">
        <f t="shared" si="320"/>
        <v>#DIV/0!</v>
      </c>
      <c r="AD172" s="31">
        <v>0.08</v>
      </c>
      <c r="AE172" s="127" t="e">
        <f t="shared" si="321"/>
        <v>#DIV/0!</v>
      </c>
    </row>
    <row r="173" spans="2:31">
      <c r="B173" s="20" t="s">
        <v>281</v>
      </c>
      <c r="C173" s="25" t="e">
        <f>C169/C119</f>
        <v>#DIV/0!</v>
      </c>
      <c r="D173" s="25" t="e">
        <f>D169/D119</f>
        <v>#DIV/0!</v>
      </c>
      <c r="E173" s="25" t="e">
        <f>E169/E119</f>
        <v>#DIV/0!</v>
      </c>
      <c r="F173" s="25" t="e">
        <f>F169/F119</f>
        <v>#DIV/0!</v>
      </c>
      <c r="G173" s="182">
        <f t="shared" ref="G173:P173" si="335">G167/G60</f>
        <v>0</v>
      </c>
      <c r="H173" s="182">
        <f t="shared" si="335"/>
        <v>0</v>
      </c>
      <c r="I173" s="182">
        <f t="shared" si="335"/>
        <v>0</v>
      </c>
      <c r="J173" s="182">
        <f t="shared" si="335"/>
        <v>4.5644769874476987</v>
      </c>
      <c r="K173" s="182">
        <f t="shared" si="335"/>
        <v>1.3293887867647061</v>
      </c>
      <c r="L173" s="182">
        <f t="shared" si="335"/>
        <v>2.5802645969306757</v>
      </c>
      <c r="M173" s="182">
        <f t="shared" si="335"/>
        <v>2.8772212953132108</v>
      </c>
      <c r="N173" s="182">
        <f t="shared" si="335"/>
        <v>2.4733018343524185</v>
      </c>
      <c r="O173" s="182">
        <f t="shared" si="335"/>
        <v>2.8389740272663948</v>
      </c>
      <c r="P173" s="182">
        <f t="shared" si="335"/>
        <v>3.4771138669673056</v>
      </c>
      <c r="Q173" s="118" t="e">
        <f t="shared" ref="Q173:Q175" si="336">((P173/G173)^(1/($H$2-$H$1) ))-1</f>
        <v>#DIV/0!</v>
      </c>
      <c r="R173" s="128"/>
      <c r="S173" s="135">
        <f t="shared" ref="S173:AB173" si="337">S167/S60</f>
        <v>3.3822834887772877</v>
      </c>
      <c r="T173" s="135">
        <f t="shared" si="337"/>
        <v>3.2900393936288159</v>
      </c>
      <c r="U173" s="135">
        <f t="shared" si="337"/>
        <v>3.2003110465298481</v>
      </c>
      <c r="V173" s="135">
        <f t="shared" si="337"/>
        <v>3.1130298361699436</v>
      </c>
      <c r="W173" s="135">
        <f t="shared" si="337"/>
        <v>3.0281290224562176</v>
      </c>
      <c r="X173" s="135">
        <f t="shared" si="337"/>
        <v>2.9455436854801396</v>
      </c>
      <c r="Y173" s="135">
        <f t="shared" si="337"/>
        <v>2.8652106758761349</v>
      </c>
      <c r="Z173" s="135">
        <f t="shared" si="337"/>
        <v>2.7870685665340584</v>
      </c>
      <c r="AA173" s="135">
        <f t="shared" si="337"/>
        <v>2.711057605628584</v>
      </c>
      <c r="AB173" s="135">
        <f t="shared" si="337"/>
        <v>2.6371196709296223</v>
      </c>
      <c r="AC173" s="138" t="e">
        <f t="shared" ref="AC173" si="338">((AB173/G173)^(1/($AB$3-$H$1) ))-1</f>
        <v>#DIV/0!</v>
      </c>
      <c r="AD173" s="31">
        <v>0.08</v>
      </c>
      <c r="AE173" s="127" t="e">
        <f t="shared" si="321"/>
        <v>#DIV/0!</v>
      </c>
    </row>
    <row r="174" spans="2:31">
      <c r="B174" s="20" t="s">
        <v>370</v>
      </c>
      <c r="C174" s="161" t="e">
        <f t="shared" ref="C174:P174" si="339">C52/C167</f>
        <v>#DIV/0!</v>
      </c>
      <c r="D174" s="161" t="e">
        <f t="shared" si="339"/>
        <v>#DIV/0!</v>
      </c>
      <c r="E174" s="161" t="e">
        <f t="shared" si="339"/>
        <v>#DIV/0!</v>
      </c>
      <c r="F174" s="161" t="e">
        <f t="shared" si="339"/>
        <v>#DIV/0!</v>
      </c>
      <c r="G174" s="161" t="e">
        <f t="shared" si="339"/>
        <v>#DIV/0!</v>
      </c>
      <c r="H174" s="161" t="e">
        <f t="shared" si="339"/>
        <v>#DIV/0!</v>
      </c>
      <c r="I174" s="161" t="e">
        <f t="shared" si="339"/>
        <v>#DIV/0!</v>
      </c>
      <c r="J174" s="161">
        <f t="shared" si="339"/>
        <v>8.9986036122747678E-2</v>
      </c>
      <c r="K174" s="161">
        <f t="shared" si="339"/>
        <v>0.16005531069051943</v>
      </c>
      <c r="L174" s="161">
        <f t="shared" si="339"/>
        <v>8.313097503883092E-2</v>
      </c>
      <c r="M174" s="161">
        <f t="shared" si="339"/>
        <v>6.6527777192042822E-2</v>
      </c>
      <c r="N174" s="161">
        <f t="shared" si="339"/>
        <v>5.5152636156665845E-2</v>
      </c>
      <c r="O174" s="161">
        <f t="shared" si="339"/>
        <v>4.525243744490226E-2</v>
      </c>
      <c r="P174" s="161">
        <f t="shared" si="339"/>
        <v>3.4963145494239449E-2</v>
      </c>
      <c r="Q174" s="118" t="e">
        <f t="shared" si="336"/>
        <v>#DIV/0!</v>
      </c>
      <c r="R174" s="128"/>
      <c r="S174" s="161">
        <f t="shared" ref="S174:AB174" si="340">S52/S167</f>
        <v>3.5943420601554581E-2</v>
      </c>
      <c r="T174" s="161">
        <f t="shared" si="340"/>
        <v>3.6951180057672936E-2</v>
      </c>
      <c r="U174" s="161">
        <f t="shared" si="340"/>
        <v>3.7987194451813297E-2</v>
      </c>
      <c r="V174" s="161">
        <f t="shared" si="340"/>
        <v>3.9052255978499657E-2</v>
      </c>
      <c r="W174" s="161">
        <f t="shared" si="340"/>
        <v>4.0147179043317396E-2</v>
      </c>
      <c r="X174" s="161">
        <f t="shared" si="340"/>
        <v>4.1272800885653403E-2</v>
      </c>
      <c r="Y174" s="161">
        <f t="shared" si="340"/>
        <v>4.2429982218896024E-2</v>
      </c>
      <c r="Z174" s="161">
        <f t="shared" si="340"/>
        <v>4.3619607888584697E-2</v>
      </c>
      <c r="AA174" s="161">
        <f t="shared" si="340"/>
        <v>4.4842587549012304E-2</v>
      </c>
      <c r="AB174" s="161">
        <f t="shared" si="340"/>
        <v>4.6099856358797701E-2</v>
      </c>
      <c r="AC174" s="138" t="e">
        <f t="shared" ref="AC174:AC175" si="341">((AB174/G174)^(1/($AB$3-$H$1) ))-1</f>
        <v>#DIV/0!</v>
      </c>
      <c r="AD174" s="31">
        <v>0.08</v>
      </c>
      <c r="AE174" s="127" t="e">
        <f t="shared" si="321"/>
        <v>#DIV/0!</v>
      </c>
    </row>
    <row r="175" spans="2:31">
      <c r="B175" s="20" t="s">
        <v>319</v>
      </c>
      <c r="C175" s="152" t="e">
        <f t="shared" ref="C175:P175" si="342">C43/C167</f>
        <v>#DIV/0!</v>
      </c>
      <c r="D175" s="152" t="e">
        <f t="shared" si="342"/>
        <v>#DIV/0!</v>
      </c>
      <c r="E175" s="152" t="e">
        <f t="shared" si="342"/>
        <v>#DIV/0!</v>
      </c>
      <c r="F175" s="152" t="e">
        <f t="shared" si="342"/>
        <v>#DIV/0!</v>
      </c>
      <c r="G175" s="152" t="e">
        <f t="shared" si="342"/>
        <v>#DIV/0!</v>
      </c>
      <c r="H175" s="152" t="e">
        <f t="shared" si="342"/>
        <v>#DIV/0!</v>
      </c>
      <c r="I175" s="152" t="e">
        <f t="shared" si="342"/>
        <v>#DIV/0!</v>
      </c>
      <c r="J175" s="152">
        <f t="shared" si="342"/>
        <v>2.7131782945736434E-2</v>
      </c>
      <c r="K175" s="152">
        <f t="shared" si="342"/>
        <v>3.8596491228070177E-2</v>
      </c>
      <c r="L175" s="152">
        <f t="shared" si="342"/>
        <v>2.4999999999999998E-2</v>
      </c>
      <c r="M175" s="152">
        <f t="shared" si="342"/>
        <v>2.0967741935483872E-2</v>
      </c>
      <c r="N175" s="152">
        <f t="shared" si="342"/>
        <v>2.2068965517241381E-2</v>
      </c>
      <c r="O175" s="152">
        <f t="shared" si="342"/>
        <v>1.9459459459459458E-2</v>
      </c>
      <c r="P175" s="152">
        <f t="shared" si="342"/>
        <v>1.5000000000000001E-2</v>
      </c>
      <c r="Q175" s="118" t="e">
        <f t="shared" si="336"/>
        <v>#DIV/0!</v>
      </c>
      <c r="R175" s="128"/>
      <c r="S175" s="152">
        <f t="shared" ref="S175:AB175" si="343">S43/S167</f>
        <v>1.4719626168224299E-2</v>
      </c>
      <c r="T175" s="152">
        <f t="shared" si="343"/>
        <v>1.4444492968818237E-2</v>
      </c>
      <c r="U175" s="152">
        <f t="shared" si="343"/>
        <v>1.4174502446036588E-2</v>
      </c>
      <c r="V175" s="152">
        <f t="shared" si="343"/>
        <v>1.3909558475082634E-2</v>
      </c>
      <c r="W175" s="152">
        <f t="shared" si="343"/>
        <v>1.3649566727884825E-2</v>
      </c>
      <c r="X175" s="152">
        <f t="shared" si="343"/>
        <v>1.3394434639513148E-2</v>
      </c>
      <c r="Y175" s="152">
        <f t="shared" si="343"/>
        <v>1.3144071375223181E-2</v>
      </c>
      <c r="Z175" s="152">
        <f t="shared" si="343"/>
        <v>1.2898387798116204E-2</v>
      </c>
      <c r="AA175" s="152">
        <f t="shared" si="343"/>
        <v>1.2657296437403752E-2</v>
      </c>
      <c r="AB175" s="152">
        <f t="shared" si="343"/>
        <v>1.2420711457265364E-2</v>
      </c>
      <c r="AC175" s="138" t="e">
        <f t="shared" si="341"/>
        <v>#DIV/0!</v>
      </c>
      <c r="AD175" s="31">
        <v>0.08</v>
      </c>
      <c r="AE175" s="127" t="e">
        <f t="shared" si="321"/>
        <v>#DIV/0!</v>
      </c>
    </row>
    <row r="176" spans="2:31">
      <c r="B176" s="20"/>
      <c r="C176" s="152"/>
      <c r="D176" s="152"/>
      <c r="E176" s="152"/>
      <c r="F176" s="152"/>
      <c r="G176" s="152"/>
      <c r="H176" s="152"/>
      <c r="I176" s="152"/>
      <c r="J176" s="152"/>
      <c r="K176" s="152"/>
      <c r="L176" s="152"/>
      <c r="M176" s="152"/>
      <c r="N176" s="152"/>
      <c r="O176" s="152"/>
      <c r="P176" s="152"/>
      <c r="Q176" s="128"/>
      <c r="R176" s="128"/>
      <c r="S176" s="135"/>
      <c r="T176" s="135"/>
      <c r="U176" s="135"/>
      <c r="V176" s="135"/>
      <c r="W176" s="135"/>
      <c r="X176" s="135"/>
      <c r="Y176" s="135"/>
      <c r="Z176" s="135"/>
      <c r="AA176" s="135"/>
      <c r="AB176" s="135"/>
      <c r="AC176" s="137"/>
      <c r="AD176" s="20"/>
      <c r="AE176" s="127"/>
    </row>
    <row r="177" spans="2:45">
      <c r="B177" s="20"/>
      <c r="C177" s="129"/>
      <c r="D177" s="129"/>
      <c r="E177" s="129"/>
      <c r="F177" s="129"/>
      <c r="G177" s="135"/>
      <c r="H177" s="135"/>
      <c r="I177" s="135"/>
      <c r="J177" s="135"/>
      <c r="K177" s="135"/>
      <c r="L177" s="135"/>
      <c r="M177" s="135"/>
      <c r="N177" s="135"/>
      <c r="O177" s="135"/>
      <c r="P177" s="135"/>
      <c r="Q177" s="128"/>
      <c r="R177" s="128"/>
      <c r="S177" s="135"/>
      <c r="T177" s="135"/>
      <c r="U177" s="135"/>
      <c r="V177" s="135"/>
      <c r="W177" s="135"/>
      <c r="X177" s="135"/>
      <c r="Y177" s="135"/>
      <c r="Z177" s="135"/>
      <c r="AA177" s="135"/>
      <c r="AB177" s="135"/>
      <c r="AC177" s="137"/>
      <c r="AD177" s="20"/>
      <c r="AE177" s="20"/>
    </row>
    <row r="178" spans="2:45">
      <c r="B178" s="108" t="s">
        <v>301</v>
      </c>
      <c r="C178" s="20"/>
      <c r="D178" s="20"/>
      <c r="E178" s="20"/>
      <c r="F178" s="20"/>
      <c r="G178" s="20"/>
      <c r="H178" s="20"/>
      <c r="I178" s="20"/>
      <c r="J178" s="20"/>
      <c r="K178" s="204" t="s">
        <v>350</v>
      </c>
      <c r="L178" s="205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  <c r="AA178" s="20"/>
      <c r="AB178" s="20"/>
      <c r="AC178" s="137"/>
      <c r="AD178" s="20"/>
      <c r="AE178" s="20"/>
    </row>
    <row r="179" spans="2:45">
      <c r="B179" s="20" t="s">
        <v>299</v>
      </c>
      <c r="C179" s="20" t="s">
        <v>313</v>
      </c>
      <c r="D179" s="20"/>
      <c r="E179" s="20"/>
      <c r="F179" s="20"/>
      <c r="G179" s="20"/>
      <c r="H179" s="20"/>
      <c r="I179" s="20"/>
      <c r="J179" s="20"/>
      <c r="K179" s="20" t="s">
        <v>351</v>
      </c>
      <c r="L179" s="22">
        <v>1</v>
      </c>
      <c r="M179" s="20"/>
      <c r="N179" s="20"/>
      <c r="O179" s="20"/>
      <c r="P179" s="128">
        <f>(P167-R155)/P167</f>
        <v>0.81478615475122107</v>
      </c>
      <c r="Q179" s="20"/>
      <c r="R179" s="20"/>
      <c r="S179" s="20"/>
      <c r="T179" s="20"/>
      <c r="U179" s="20"/>
      <c r="V179" s="20"/>
      <c r="W179" s="20"/>
      <c r="X179" s="20"/>
      <c r="Y179" s="20"/>
      <c r="Z179" s="20"/>
      <c r="AA179" s="20"/>
      <c r="AB179" s="20"/>
      <c r="AC179" s="137"/>
      <c r="AD179" s="20"/>
      <c r="AE179" s="20"/>
    </row>
    <row r="180" spans="2:45">
      <c r="B180" s="20" t="s">
        <v>348</v>
      </c>
      <c r="C180" s="20" t="s">
        <v>313</v>
      </c>
      <c r="D180" s="20"/>
      <c r="E180" s="20"/>
      <c r="F180" s="20"/>
      <c r="G180" s="20"/>
      <c r="H180" s="20"/>
      <c r="I180" s="20"/>
      <c r="J180" s="20"/>
      <c r="K180" s="172">
        <f>$L$179</f>
        <v>1</v>
      </c>
      <c r="L180" s="20"/>
      <c r="M180" s="128">
        <f>(P167-(K180*R146))/P167</f>
        <v>-0.77027117780852328</v>
      </c>
      <c r="N180" s="20"/>
      <c r="O180" s="20"/>
      <c r="P180" s="128">
        <f>(P167-R146)/P167</f>
        <v>-0.77027117780852328</v>
      </c>
      <c r="Q180" s="20"/>
      <c r="R180" s="20"/>
      <c r="S180" s="20"/>
      <c r="T180" s="20"/>
      <c r="U180" s="20"/>
      <c r="V180" s="20"/>
      <c r="W180" s="20"/>
      <c r="X180" s="20"/>
      <c r="Y180" s="20"/>
      <c r="Z180" s="20"/>
      <c r="AA180" s="20"/>
      <c r="AB180" s="20"/>
      <c r="AC180" s="137"/>
      <c r="AD180" s="20"/>
      <c r="AE180" s="20"/>
    </row>
    <row r="181" spans="2:45">
      <c r="B181" s="20" t="s">
        <v>349</v>
      </c>
      <c r="C181" s="20" t="s">
        <v>313</v>
      </c>
      <c r="D181" s="20"/>
      <c r="E181" s="20"/>
      <c r="F181" s="20"/>
      <c r="G181" s="20"/>
      <c r="H181" s="20"/>
      <c r="I181" s="20"/>
      <c r="J181" s="20"/>
      <c r="K181" s="172">
        <f>$L$179</f>
        <v>1</v>
      </c>
      <c r="L181" s="20"/>
      <c r="M181" s="128">
        <f>(P167-(K181*R139))/P167</f>
        <v>-0.58250002413078694</v>
      </c>
      <c r="N181" s="20"/>
      <c r="O181" s="20"/>
      <c r="P181" s="128">
        <f>(P167-R139)/P167</f>
        <v>-0.58250002413078694</v>
      </c>
      <c r="Q181" s="20"/>
      <c r="R181" s="20"/>
      <c r="S181" s="20"/>
      <c r="T181" s="20"/>
      <c r="U181" s="20"/>
      <c r="V181" s="20"/>
      <c r="W181" s="20"/>
      <c r="X181" s="20"/>
      <c r="Y181" s="20"/>
      <c r="Z181" s="20"/>
      <c r="AA181" s="20"/>
      <c r="AB181" s="20"/>
      <c r="AC181" s="137"/>
      <c r="AD181" s="20"/>
      <c r="AE181" s="20"/>
    </row>
    <row r="182" spans="2:45">
      <c r="B182" s="20" t="s">
        <v>352</v>
      </c>
      <c r="C182" s="20" t="s">
        <v>313</v>
      </c>
      <c r="D182" s="20"/>
      <c r="E182" s="20"/>
      <c r="F182" s="20"/>
      <c r="G182" s="20"/>
      <c r="H182" s="20"/>
      <c r="I182" s="20"/>
      <c r="J182" s="20"/>
      <c r="K182" s="172">
        <f>$L$179</f>
        <v>1</v>
      </c>
      <c r="L182" s="20"/>
      <c r="M182" s="128">
        <f>(P167-(K182*R152))/P167</f>
        <v>0.61065343599682897</v>
      </c>
      <c r="N182" s="20"/>
      <c r="O182" s="20"/>
      <c r="P182" s="128">
        <f>(P167-R152)/P167</f>
        <v>0.61065343599682897</v>
      </c>
      <c r="Q182" s="20"/>
      <c r="R182" s="20"/>
      <c r="S182" s="20"/>
      <c r="T182" s="20"/>
      <c r="U182" s="20"/>
      <c r="V182" s="20"/>
      <c r="W182" s="20"/>
      <c r="X182" s="20"/>
      <c r="Y182" s="20"/>
      <c r="Z182" s="20"/>
      <c r="AA182" s="20"/>
      <c r="AB182" s="20"/>
      <c r="AC182" s="137"/>
      <c r="AD182" s="20"/>
      <c r="AE182" s="20"/>
    </row>
    <row r="183" spans="2:45">
      <c r="B183" s="20" t="s">
        <v>398</v>
      </c>
      <c r="C183" s="20" t="s">
        <v>313</v>
      </c>
      <c r="D183" s="20"/>
      <c r="E183" s="20"/>
      <c r="F183" s="20"/>
      <c r="G183" s="20"/>
      <c r="H183" s="20"/>
      <c r="I183" s="20"/>
      <c r="J183" s="20"/>
      <c r="K183" s="172">
        <f>$L$179</f>
        <v>1</v>
      </c>
      <c r="L183" s="20"/>
      <c r="M183" s="128">
        <f>(P167-(K183*R164))/P167</f>
        <v>0.78750326449738561</v>
      </c>
      <c r="N183" s="20"/>
      <c r="O183" s="20"/>
      <c r="P183" s="128">
        <f>(P167-R164)/P167</f>
        <v>0.78750326449738561</v>
      </c>
      <c r="Q183" s="20"/>
      <c r="R183" s="20"/>
      <c r="S183" s="20"/>
      <c r="T183" s="20"/>
      <c r="U183" s="20"/>
      <c r="V183" s="20"/>
      <c r="W183" s="20"/>
      <c r="X183" s="20"/>
      <c r="Y183" s="20"/>
      <c r="Z183" s="20"/>
      <c r="AA183" s="20"/>
      <c r="AB183" s="20"/>
      <c r="AC183" s="137"/>
      <c r="AD183" s="20"/>
      <c r="AE183" s="20"/>
    </row>
    <row r="184" spans="2:45">
      <c r="B184" s="20" t="s">
        <v>300</v>
      </c>
      <c r="C184" s="20"/>
      <c r="D184" s="20"/>
      <c r="E184" s="20"/>
      <c r="F184" s="20"/>
      <c r="G184" s="20"/>
      <c r="H184" s="20"/>
      <c r="I184" s="20"/>
      <c r="J184" s="20"/>
      <c r="K184" s="20"/>
      <c r="L184" s="20"/>
      <c r="M184" s="20"/>
      <c r="N184" s="20"/>
      <c r="O184" s="20"/>
      <c r="P184" s="25">
        <f>P167/R138</f>
        <v>4.6465518848252412</v>
      </c>
      <c r="Q184" s="20"/>
      <c r="R184" s="20"/>
      <c r="S184" s="115" t="s">
        <v>11</v>
      </c>
      <c r="T184" s="115" t="s">
        <v>12</v>
      </c>
      <c r="U184" s="115" t="s">
        <v>13</v>
      </c>
      <c r="V184" s="115" t="s">
        <v>14</v>
      </c>
      <c r="W184" s="115" t="s">
        <v>15</v>
      </c>
      <c r="X184" s="115" t="s">
        <v>234</v>
      </c>
      <c r="Y184" s="115" t="s">
        <v>235</v>
      </c>
      <c r="Z184" s="115" t="s">
        <v>236</v>
      </c>
      <c r="AA184" s="115" t="s">
        <v>237</v>
      </c>
      <c r="AB184" s="115" t="s">
        <v>238</v>
      </c>
      <c r="AC184" s="115" t="s">
        <v>406</v>
      </c>
      <c r="AD184" s="115" t="s">
        <v>407</v>
      </c>
      <c r="AE184" s="115" t="s">
        <v>408</v>
      </c>
      <c r="AF184" s="115" t="s">
        <v>409</v>
      </c>
      <c r="AG184" s="115" t="s">
        <v>410</v>
      </c>
      <c r="AH184" s="115" t="s">
        <v>411</v>
      </c>
      <c r="AI184" s="115" t="s">
        <v>412</v>
      </c>
      <c r="AJ184" s="115" t="s">
        <v>413</v>
      </c>
      <c r="AK184" s="115" t="s">
        <v>414</v>
      </c>
      <c r="AL184" s="115" t="s">
        <v>415</v>
      </c>
      <c r="AM184" s="115" t="s">
        <v>416</v>
      </c>
      <c r="AN184" s="115" t="s">
        <v>417</v>
      </c>
      <c r="AO184" s="115" t="s">
        <v>418</v>
      </c>
      <c r="AP184" s="115" t="s">
        <v>419</v>
      </c>
      <c r="AQ184" s="115" t="s">
        <v>420</v>
      </c>
      <c r="AR184" s="115" t="s">
        <v>421</v>
      </c>
      <c r="AS184" s="115" t="s">
        <v>422</v>
      </c>
    </row>
    <row r="185" spans="2:45">
      <c r="B185" s="20" t="s">
        <v>370</v>
      </c>
      <c r="C185" s="20"/>
      <c r="D185" s="20"/>
      <c r="E185" s="20"/>
      <c r="F185" s="20"/>
      <c r="G185" s="20"/>
      <c r="H185" s="20"/>
      <c r="I185" s="20"/>
      <c r="J185" s="20"/>
      <c r="K185" s="20"/>
      <c r="L185" s="20"/>
      <c r="M185" s="20"/>
      <c r="N185" s="20"/>
      <c r="O185" s="20"/>
      <c r="P185" s="152">
        <f>1/P184</f>
        <v>0.21521335062798086</v>
      </c>
      <c r="Q185" s="20"/>
      <c r="R185" s="20"/>
      <c r="S185" s="185">
        <f>P167-S186</f>
        <v>230.05339304389818</v>
      </c>
      <c r="T185" s="185">
        <f>S185-T186</f>
        <v>219.41052360086925</v>
      </c>
      <c r="U185" s="185">
        <f t="shared" ref="U185:W185" si="344">T185-U186</f>
        <v>208.02265329682831</v>
      </c>
      <c r="V185" s="185">
        <f t="shared" si="344"/>
        <v>195.83763207150449</v>
      </c>
      <c r="W185" s="185">
        <f t="shared" si="344"/>
        <v>182.79965936040799</v>
      </c>
      <c r="X185" s="185">
        <f>W185-X186</f>
        <v>168.84902855953473</v>
      </c>
      <c r="Y185" s="185">
        <f t="shared" ref="Y185:AB185" si="345">X185-Y186</f>
        <v>153.92185360260035</v>
      </c>
      <c r="Z185" s="185">
        <f t="shared" si="345"/>
        <v>137.94977639868057</v>
      </c>
      <c r="AA185" s="185">
        <f t="shared" si="345"/>
        <v>120.85965379048639</v>
      </c>
      <c r="AB185" s="185">
        <f t="shared" si="345"/>
        <v>102.57322259971863</v>
      </c>
      <c r="AC185" s="185">
        <f t="shared" ref="AC185" si="346">AB185-AC186</f>
        <v>83.006741225597125</v>
      </c>
      <c r="AD185" s="185">
        <f t="shared" ref="AD185" si="347">AC185-AD186</f>
        <v>62.070606155287109</v>
      </c>
      <c r="AE185" s="185">
        <f t="shared" ref="AE185" si="348">AD185-AE186</f>
        <v>39.668941630055386</v>
      </c>
      <c r="AF185" s="185">
        <f t="shared" ref="AF185" si="349">AE185-AF186</f>
        <v>15.699160588057445</v>
      </c>
      <c r="AG185" s="185">
        <f t="shared" ref="AG185" si="350">AF185-AG186</f>
        <v>-9.9485051268803524</v>
      </c>
      <c r="AH185" s="185">
        <f t="shared" ref="AH185" si="351">AG185-AH186</f>
        <v>-37.391507441863794</v>
      </c>
      <c r="AI185" s="185">
        <f t="shared" ref="AI185" si="352">AH185-AI186</f>
        <v>-66.755519918896084</v>
      </c>
      <c r="AJ185" s="185">
        <f t="shared" ref="AJ185" si="353">AI185-AJ186</f>
        <v>-98.17501326932063</v>
      </c>
      <c r="AK185" s="185">
        <f t="shared" ref="AK185" si="354">AJ185-AK186</f>
        <v>-131.79387115427491</v>
      </c>
      <c r="AL185" s="185">
        <f t="shared" ref="AL185" si="355">AK185-AL186</f>
        <v>-167.766049091176</v>
      </c>
      <c r="AM185" s="185">
        <f t="shared" ref="AM185" si="356">AL185-AM186</f>
        <v>-206.25627948366014</v>
      </c>
      <c r="AN185" s="185">
        <f t="shared" ref="AN185" si="357">AM185-AN186</f>
        <v>-247.44082600361818</v>
      </c>
      <c r="AO185" s="185">
        <f t="shared" ref="AO185" si="358">AN185-AO186</f>
        <v>-291.50829077997327</v>
      </c>
      <c r="AP185" s="185">
        <f t="shared" ref="AP185" si="359">AO185-AP186</f>
        <v>-338.66047809067322</v>
      </c>
      <c r="AQ185" s="185">
        <f t="shared" ref="AQ185" si="360">AP185-AQ186</f>
        <v>-389.11331851312218</v>
      </c>
      <c r="AR185" s="185">
        <f t="shared" ref="AR185" si="361">AQ185-AR186</f>
        <v>-443.09785776514258</v>
      </c>
      <c r="AS185" s="185">
        <f t="shared" ref="AS185" si="362">AR185-AS186</f>
        <v>-500.86131476480443</v>
      </c>
    </row>
    <row r="186" spans="2:45">
      <c r="B186" s="20" t="s">
        <v>395</v>
      </c>
      <c r="C186" s="20"/>
      <c r="D186" s="20"/>
      <c r="E186" s="20"/>
      <c r="F186" s="20"/>
      <c r="G186" s="20"/>
      <c r="H186" s="20"/>
      <c r="I186" s="20"/>
      <c r="J186" s="20"/>
      <c r="K186" s="184">
        <v>7.0000000000000007E-2</v>
      </c>
      <c r="L186" s="20"/>
      <c r="M186" s="181">
        <f>P167/(Q137*(1+K186)^L186)</f>
        <v>25.817849356404349</v>
      </c>
      <c r="N186" s="20"/>
      <c r="O186" s="20"/>
      <c r="P186" s="181">
        <f>P167/Q137</f>
        <v>25.817849356404349</v>
      </c>
      <c r="Q186" s="20"/>
      <c r="R186" s="20"/>
      <c r="S186" s="186">
        <f>Q137*(1+$K$186)</f>
        <v>9.9466069561018049</v>
      </c>
      <c r="T186" s="186">
        <f>S186*(1+$K$186)</f>
        <v>10.642869443028932</v>
      </c>
      <c r="U186" s="186">
        <f t="shared" ref="U186:AB186" si="363">T186*(1+$K$186)</f>
        <v>11.387870304040957</v>
      </c>
      <c r="V186" s="186">
        <f t="shared" si="363"/>
        <v>12.185021225323824</v>
      </c>
      <c r="W186" s="186">
        <f t="shared" si="363"/>
        <v>13.037972711096494</v>
      </c>
      <c r="X186" s="186">
        <f t="shared" si="363"/>
        <v>13.950630800873249</v>
      </c>
      <c r="Y186" s="186">
        <f t="shared" si="363"/>
        <v>14.927174956934378</v>
      </c>
      <c r="Z186" s="186">
        <f t="shared" si="363"/>
        <v>15.972077203919785</v>
      </c>
      <c r="AA186" s="186">
        <f t="shared" si="363"/>
        <v>17.090122608194172</v>
      </c>
      <c r="AB186" s="186">
        <f t="shared" si="363"/>
        <v>18.286431190767765</v>
      </c>
      <c r="AC186" s="186">
        <f t="shared" ref="AC186" si="364">AB186*(1+$K$186)</f>
        <v>19.566481374121508</v>
      </c>
      <c r="AD186" s="186">
        <f t="shared" ref="AD186" si="365">AC186*(1+$K$186)</f>
        <v>20.936135070310016</v>
      </c>
      <c r="AE186" s="186">
        <f t="shared" ref="AE186" si="366">AD186*(1+$K$186)</f>
        <v>22.40166452523172</v>
      </c>
      <c r="AF186" s="186">
        <f t="shared" ref="AF186" si="367">AE186*(1+$K$186)</f>
        <v>23.96978104199794</v>
      </c>
      <c r="AG186" s="186">
        <f t="shared" ref="AG186" si="368">AF186*(1+$K$186)</f>
        <v>25.647665714937798</v>
      </c>
      <c r="AH186" s="186">
        <f t="shared" ref="AH186" si="369">AG186*(1+$K$186)</f>
        <v>27.443002314983445</v>
      </c>
      <c r="AI186" s="186">
        <f t="shared" ref="AI186" si="370">AH186*(1+$K$186)</f>
        <v>29.36401247703229</v>
      </c>
      <c r="AJ186" s="186">
        <f t="shared" ref="AJ186" si="371">AI186*(1+$K$186)</f>
        <v>31.419493350424553</v>
      </c>
      <c r="AK186" s="186">
        <f t="shared" ref="AK186" si="372">AJ186*(1+$K$186)</f>
        <v>33.618857884954274</v>
      </c>
      <c r="AL186" s="186">
        <f t="shared" ref="AL186" si="373">AK186*(1+$K$186)</f>
        <v>35.972177936901076</v>
      </c>
      <c r="AM186" s="186">
        <f t="shared" ref="AM186" si="374">AL186*(1+$K$186)</f>
        <v>38.49023039248415</v>
      </c>
      <c r="AN186" s="186">
        <f t="shared" ref="AN186" si="375">AM186*(1+$K$186)</f>
        <v>41.18454651995804</v>
      </c>
      <c r="AO186" s="186">
        <f t="shared" ref="AO186" si="376">AN186*(1+$K$186)</f>
        <v>44.067464776355102</v>
      </c>
      <c r="AP186" s="186">
        <f t="shared" ref="AP186" si="377">AO186*(1+$K$186)</f>
        <v>47.152187310699965</v>
      </c>
      <c r="AQ186" s="186">
        <f t="shared" ref="AQ186" si="378">AP186*(1+$K$186)</f>
        <v>50.452840422448965</v>
      </c>
      <c r="AR186" s="186">
        <f t="shared" ref="AR186" si="379">AQ186*(1+$K$186)</f>
        <v>53.984539252020397</v>
      </c>
      <c r="AS186" s="186">
        <f t="shared" ref="AS186" si="380">AR186*(1+$K$186)</f>
        <v>57.763456999661827</v>
      </c>
    </row>
    <row r="187" spans="2:45">
      <c r="B187" s="20" t="s">
        <v>394</v>
      </c>
      <c r="C187" s="20"/>
      <c r="D187" s="20"/>
      <c r="E187" s="20"/>
      <c r="F187" s="20"/>
      <c r="G187" s="20"/>
      <c r="H187" s="20"/>
      <c r="I187" s="20"/>
      <c r="J187" s="20"/>
      <c r="K187" s="184">
        <v>0.09</v>
      </c>
      <c r="L187" s="20"/>
      <c r="M187" s="181">
        <f>P167/(P52*(1+K187)^L187)</f>
        <v>28.601545595054098</v>
      </c>
      <c r="N187" s="20"/>
      <c r="O187" s="20"/>
      <c r="P187" s="181">
        <f>P167/P52</f>
        <v>28.601545595054098</v>
      </c>
      <c r="Q187" s="20"/>
      <c r="R187" s="20"/>
      <c r="S187" s="186">
        <f>P52*(1+$K$187)</f>
        <v>9.1463588612930415</v>
      </c>
      <c r="T187" s="186">
        <f>S187*(1+$K$187)</f>
        <v>9.9695311588094153</v>
      </c>
      <c r="U187" s="186">
        <f t="shared" ref="U187:AB187" si="381">T187*(1+$K$187)</f>
        <v>10.866788963102264</v>
      </c>
      <c r="V187" s="186">
        <f t="shared" si="381"/>
        <v>11.844799969781469</v>
      </c>
      <c r="W187" s="186">
        <f t="shared" si="381"/>
        <v>12.910831967061803</v>
      </c>
      <c r="X187" s="186">
        <f t="shared" si="381"/>
        <v>14.072806844097366</v>
      </c>
      <c r="Y187" s="186">
        <f t="shared" si="381"/>
        <v>15.339359460066131</v>
      </c>
      <c r="Z187" s="186">
        <f t="shared" si="381"/>
        <v>16.719901811472084</v>
      </c>
      <c r="AA187" s="186">
        <f t="shared" si="381"/>
        <v>18.224692974504574</v>
      </c>
      <c r="AB187" s="186">
        <f t="shared" si="381"/>
        <v>19.864915342209986</v>
      </c>
      <c r="AC187" s="186">
        <f t="shared" ref="AC187" si="382">AB187*(1+$K$187)</f>
        <v>21.652757723008886</v>
      </c>
      <c r="AD187" s="186">
        <f t="shared" ref="AD187" si="383">AC187*(1+$K$187)</f>
        <v>23.601505918079688</v>
      </c>
      <c r="AE187" s="186">
        <f t="shared" ref="AE187" si="384">AD187*(1+$K$187)</f>
        <v>25.725641450706863</v>
      </c>
      <c r="AF187" s="186">
        <f t="shared" ref="AF187" si="385">AE187*(1+$K$187)</f>
        <v>28.040949181270484</v>
      </c>
      <c r="AG187" s="186">
        <f t="shared" ref="AG187" si="386">AF187*(1+$K$187)</f>
        <v>30.564634607584829</v>
      </c>
      <c r="AH187" s="186">
        <f t="shared" ref="AH187" si="387">AG187*(1+$K$187)</f>
        <v>33.315451722267468</v>
      </c>
      <c r="AI187" s="186">
        <f t="shared" ref="AI187" si="388">AH187*(1+$K$187)</f>
        <v>36.313842377271541</v>
      </c>
      <c r="AJ187" s="186">
        <f t="shared" ref="AJ187" si="389">AI187*(1+$K$187)</f>
        <v>39.582088191225985</v>
      </c>
      <c r="AK187" s="186">
        <f t="shared" ref="AK187" si="390">AJ187*(1+$K$187)</f>
        <v>43.144476128436324</v>
      </c>
      <c r="AL187" s="186">
        <f t="shared" ref="AL187" si="391">AK187*(1+$K$187)</f>
        <v>47.0274789799956</v>
      </c>
      <c r="AM187" s="186">
        <f t="shared" ref="AM187" si="392">AL187*(1+$K$187)</f>
        <v>51.259952088195206</v>
      </c>
      <c r="AN187" s="186">
        <f t="shared" ref="AN187" si="393">AM187*(1+$K$187)</f>
        <v>55.873347776132782</v>
      </c>
      <c r="AO187" s="186">
        <f t="shared" ref="AO187" si="394">AN187*(1+$K$187)</f>
        <v>60.901949075984739</v>
      </c>
      <c r="AP187" s="186">
        <f t="shared" ref="AP187" si="395">AO187*(1+$K$187)</f>
        <v>66.38312449282337</v>
      </c>
      <c r="AQ187" s="186">
        <f t="shared" ref="AQ187" si="396">AP187*(1+$K$187)</f>
        <v>72.357605697177476</v>
      </c>
      <c r="AR187" s="186">
        <f t="shared" ref="AR187" si="397">AQ187*(1+$K$187)</f>
        <v>78.869790209923451</v>
      </c>
      <c r="AS187" s="186">
        <f t="shared" ref="AS187" si="398">AR187*(1+$K$187)</f>
        <v>85.968071328816563</v>
      </c>
    </row>
    <row r="188" spans="2:45">
      <c r="B188" s="20"/>
      <c r="C188" s="20"/>
      <c r="D188" s="20"/>
      <c r="E188" s="20"/>
      <c r="F188" s="20"/>
      <c r="G188" s="20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185">
        <f>P167-S187</f>
        <v>230.85364113870696</v>
      </c>
      <c r="T188" s="185">
        <f>S188-T187</f>
        <v>220.88410997989754</v>
      </c>
      <c r="U188" s="185">
        <f t="shared" ref="U188:Z188" si="399">T188-U187</f>
        <v>210.01732101679528</v>
      </c>
      <c r="V188" s="185">
        <f t="shared" si="399"/>
        <v>198.17252104701382</v>
      </c>
      <c r="W188" s="185">
        <f t="shared" si="399"/>
        <v>185.26168907995202</v>
      </c>
      <c r="X188" s="185">
        <f t="shared" si="399"/>
        <v>171.18888223585466</v>
      </c>
      <c r="Y188" s="185">
        <f t="shared" si="399"/>
        <v>155.84952277578853</v>
      </c>
      <c r="Z188" s="185">
        <f t="shared" si="399"/>
        <v>139.12962096431644</v>
      </c>
      <c r="AA188" s="185">
        <f>Z188-AA187</f>
        <v>120.90492798981187</v>
      </c>
      <c r="AB188" s="185">
        <f t="shared" ref="AB188" si="400">AA188-AB187</f>
        <v>101.04001264760188</v>
      </c>
      <c r="AC188" s="185">
        <f t="shared" ref="AC188" si="401">AB188-AC187</f>
        <v>79.387254924592995</v>
      </c>
      <c r="AD188" s="185">
        <f t="shared" ref="AD188" si="402">AC188-AD187</f>
        <v>55.785749006513306</v>
      </c>
      <c r="AE188" s="185">
        <f t="shared" ref="AE188" si="403">AD188-AE187</f>
        <v>30.060107555806443</v>
      </c>
      <c r="AF188" s="185">
        <f t="shared" ref="AF188" si="404">AE188-AF187</f>
        <v>2.0191583745359587</v>
      </c>
      <c r="AG188" s="185">
        <f t="shared" ref="AG188" si="405">AF188-AG187</f>
        <v>-28.54547623304887</v>
      </c>
      <c r="AH188" s="185">
        <f t="shared" ref="AH188" si="406">AG188-AH187</f>
        <v>-61.860927955316342</v>
      </c>
      <c r="AI188" s="185">
        <f t="shared" ref="AI188" si="407">AH188-AI187</f>
        <v>-98.174770332587883</v>
      </c>
      <c r="AJ188" s="185">
        <f t="shared" ref="AJ188" si="408">AI188-AJ187</f>
        <v>-137.75685852381386</v>
      </c>
      <c r="AK188" s="185">
        <f t="shared" ref="AK188" si="409">AJ188-AK187</f>
        <v>-180.90133465225017</v>
      </c>
      <c r="AL188" s="185">
        <f t="shared" ref="AL188" si="410">AK188-AL187</f>
        <v>-227.92881363224578</v>
      </c>
      <c r="AM188" s="185">
        <f t="shared" ref="AM188" si="411">AL188-AM187</f>
        <v>-279.18876572044098</v>
      </c>
      <c r="AN188" s="185">
        <f t="shared" ref="AN188" si="412">AM188-AN187</f>
        <v>-335.06211349657377</v>
      </c>
      <c r="AO188" s="185">
        <f t="shared" ref="AO188" si="413">AN188-AO187</f>
        <v>-395.96406257255853</v>
      </c>
      <c r="AP188" s="185">
        <f t="shared" ref="AP188" si="414">AO188-AP187</f>
        <v>-462.34718706538189</v>
      </c>
      <c r="AQ188" s="185">
        <f t="shared" ref="AQ188" si="415">AP188-AQ187</f>
        <v>-534.70479276255935</v>
      </c>
      <c r="AR188" s="185">
        <f t="shared" ref="AR188" si="416">AQ188-AR187</f>
        <v>-613.57458297248286</v>
      </c>
      <c r="AS188" s="185">
        <f t="shared" ref="AS188" si="417">AR188-AS187</f>
        <v>-699.54265430129942</v>
      </c>
    </row>
    <row r="189" spans="2:45">
      <c r="B189" s="108" t="s">
        <v>302</v>
      </c>
      <c r="C189" s="20"/>
      <c r="D189" s="20"/>
      <c r="E189" s="20"/>
      <c r="F189" s="20"/>
      <c r="G189" s="20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  <c r="AA189" s="20"/>
      <c r="AB189" s="20"/>
      <c r="AC189" s="20"/>
      <c r="AD189" s="20"/>
      <c r="AE189" s="20"/>
    </row>
    <row r="190" spans="2:45">
      <c r="B190" s="20" t="s">
        <v>305</v>
      </c>
      <c r="C190" s="25" t="e">
        <f t="shared" ref="C190:P190" si="418">C10/C7</f>
        <v>#DIV/0!</v>
      </c>
      <c r="D190" s="25" t="e">
        <f t="shared" si="418"/>
        <v>#DIV/0!</v>
      </c>
      <c r="E190" s="25" t="e">
        <f t="shared" si="418"/>
        <v>#DIV/0!</v>
      </c>
      <c r="F190" s="25" t="e">
        <f t="shared" si="418"/>
        <v>#DIV/0!</v>
      </c>
      <c r="G190" s="25">
        <f t="shared" si="418"/>
        <v>0.82663605051664757</v>
      </c>
      <c r="H190" s="25">
        <f t="shared" si="418"/>
        <v>0.82663605051664757</v>
      </c>
      <c r="I190" s="25">
        <f t="shared" si="418"/>
        <v>0.22179487179487178</v>
      </c>
      <c r="J190" s="25">
        <f t="shared" si="418"/>
        <v>6.9561638197159908E-2</v>
      </c>
      <c r="K190" s="25">
        <f t="shared" si="418"/>
        <v>5.0608358314230294E-2</v>
      </c>
      <c r="L190" s="25">
        <f t="shared" si="418"/>
        <v>2.5668779959795888E-2</v>
      </c>
      <c r="M190" s="25">
        <f t="shared" si="418"/>
        <v>8.8725088725088719E-3</v>
      </c>
      <c r="N190" s="25">
        <f t="shared" si="418"/>
        <v>7.1924603174603171E-3</v>
      </c>
      <c r="O190" s="25">
        <f t="shared" si="418"/>
        <v>5.5700807093327269E-3</v>
      </c>
      <c r="P190" s="25">
        <f t="shared" si="418"/>
        <v>3.0478192327903311E-3</v>
      </c>
      <c r="Q190" s="118">
        <f t="shared" ref="Q190:Q192" si="419">((P190/G190)^(1/($H$2-$H$1) ))-1</f>
        <v>-0.46342486880570899</v>
      </c>
      <c r="R190" s="20"/>
      <c r="S190" s="20"/>
      <c r="T190" s="20"/>
      <c r="U190" s="20"/>
      <c r="V190" s="20"/>
      <c r="W190" s="20"/>
      <c r="X190" s="20"/>
      <c r="Y190" s="20"/>
      <c r="Z190" s="20"/>
      <c r="AA190" s="20"/>
      <c r="AB190" s="20"/>
      <c r="AC190" s="20"/>
      <c r="AD190" s="20"/>
      <c r="AE190" s="20"/>
    </row>
    <row r="191" spans="2:45">
      <c r="B191" s="20" t="s">
        <v>306</v>
      </c>
      <c r="C191" s="112" t="e">
        <f>C10/C12</f>
        <v>#DIV/0!</v>
      </c>
      <c r="D191" s="112" t="e">
        <f>D10/D12</f>
        <v>#DIV/0!</v>
      </c>
      <c r="E191" s="112" t="e">
        <f>E10/E12</f>
        <v>#DIV/0!</v>
      </c>
      <c r="F191" s="112" t="e">
        <f>F10/F12</f>
        <v>#DIV/0!</v>
      </c>
      <c r="G191" s="112">
        <f>G10/G12</f>
        <v>10.746268656716419</v>
      </c>
      <c r="H191" s="112">
        <f t="shared" ref="H191:P191" si="420">H10/H12</f>
        <v>10.746268656716419</v>
      </c>
      <c r="I191" s="112">
        <f t="shared" si="420"/>
        <v>2.2823218997361479</v>
      </c>
      <c r="J191" s="112">
        <f t="shared" si="420"/>
        <v>0.51840490797546013</v>
      </c>
      <c r="K191" s="112">
        <f t="shared" si="420"/>
        <v>0.33685446009389669</v>
      </c>
      <c r="L191" s="112">
        <f t="shared" si="420"/>
        <v>0.18842224744608399</v>
      </c>
      <c r="M191" s="112">
        <f t="shared" si="420"/>
        <v>3.7206639954207213E-2</v>
      </c>
      <c r="N191" s="112">
        <f t="shared" si="420"/>
        <v>2.7978774722624215E-2</v>
      </c>
      <c r="O191" s="112">
        <f t="shared" si="420"/>
        <v>2.168141592920354E-2</v>
      </c>
      <c r="P191" s="112">
        <f t="shared" si="420"/>
        <v>1.2387868432293891E-2</v>
      </c>
      <c r="Q191" s="118">
        <f t="shared" si="419"/>
        <v>-0.52845130924069239</v>
      </c>
      <c r="R191" s="20"/>
      <c r="S191" s="20"/>
      <c r="T191" s="20"/>
      <c r="U191" s="20"/>
      <c r="V191" s="20"/>
      <c r="W191" s="20"/>
      <c r="X191" s="20"/>
      <c r="Y191" s="20"/>
      <c r="Z191" s="20"/>
      <c r="AA191" s="20"/>
      <c r="AB191" s="20"/>
      <c r="AC191" s="20"/>
      <c r="AD191" s="20"/>
      <c r="AE191" s="20"/>
    </row>
    <row r="192" spans="2:45">
      <c r="B192" s="20" t="s">
        <v>307</v>
      </c>
      <c r="C192" s="25" t="e">
        <f>C10/(C12+C13)</f>
        <v>#DIV/0!</v>
      </c>
      <c r="D192" s="25" t="e">
        <f>D10/(D12+D13)</f>
        <v>#DIV/0!</v>
      </c>
      <c r="E192" s="25" t="e">
        <f>E10/(E12+E13)</f>
        <v>#DIV/0!</v>
      </c>
      <c r="F192" s="25" t="e">
        <f>F10/(F12+F13)</f>
        <v>#DIV/0!</v>
      </c>
      <c r="G192" s="25">
        <f>G10/(G12+G13)</f>
        <v>1.1812961443806398</v>
      </c>
      <c r="H192" s="25">
        <f t="shared" ref="H192:P192" si="421">H10/(H12+H13)</f>
        <v>1.1812961443806398</v>
      </c>
      <c r="I192" s="25">
        <f t="shared" si="421"/>
        <v>0.4531168150864327</v>
      </c>
      <c r="J192" s="25">
        <f t="shared" si="421"/>
        <v>0.15853658536585366</v>
      </c>
      <c r="K192" s="25">
        <f t="shared" si="421"/>
        <v>0.24342663273960985</v>
      </c>
      <c r="L192" s="25">
        <f t="shared" si="421"/>
        <v>0.10355583281347473</v>
      </c>
      <c r="M192" s="25">
        <f t="shared" si="421"/>
        <v>2.7449324324324325E-2</v>
      </c>
      <c r="N192" s="25">
        <f t="shared" si="421"/>
        <v>2.0145883987495658E-2</v>
      </c>
      <c r="O192" s="25">
        <f t="shared" si="421"/>
        <v>1.2760416666666666E-2</v>
      </c>
      <c r="P192" s="25">
        <f t="shared" si="421"/>
        <v>7.0234923710341488E-3</v>
      </c>
      <c r="Q192" s="118">
        <f t="shared" si="419"/>
        <v>-0.43416701779957745</v>
      </c>
      <c r="R192" s="20"/>
      <c r="S192" s="20"/>
      <c r="T192" s="20"/>
      <c r="U192" s="20"/>
      <c r="V192" s="20"/>
      <c r="W192" s="20"/>
      <c r="X192" s="20"/>
      <c r="Y192" s="20"/>
      <c r="Z192" s="20"/>
      <c r="AA192" s="20"/>
      <c r="AB192" s="20"/>
      <c r="AC192" s="20"/>
      <c r="AD192" s="20"/>
      <c r="AE192" s="20"/>
    </row>
    <row r="193" spans="2:31">
      <c r="B193" s="20"/>
      <c r="C193" s="20"/>
      <c r="D193" s="20"/>
      <c r="E193" s="20"/>
      <c r="F193" s="20"/>
      <c r="G193" s="20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  <c r="AA193" s="20"/>
      <c r="AB193" s="20"/>
      <c r="AC193" s="20"/>
      <c r="AD193" s="20"/>
      <c r="AE193" s="20"/>
    </row>
    <row r="194" spans="2:31">
      <c r="B194" s="20"/>
      <c r="C194" s="20"/>
      <c r="D194" s="20"/>
      <c r="E194" s="20"/>
      <c r="F194" s="20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  <c r="AA194" s="20"/>
      <c r="AB194" s="20"/>
      <c r="AC194" s="20"/>
      <c r="AD194" s="20"/>
      <c r="AE194" s="20"/>
    </row>
    <row r="195" spans="2:31">
      <c r="B195" s="20"/>
      <c r="C195" s="174" t="s">
        <v>376</v>
      </c>
      <c r="D195" s="175"/>
      <c r="E195" s="175"/>
      <c r="F195" s="175"/>
      <c r="G195" s="175"/>
      <c r="H195" s="175"/>
      <c r="I195" s="175"/>
      <c r="J195" s="175"/>
      <c r="K195" s="20"/>
      <c r="L195" s="201" t="s">
        <v>336</v>
      </c>
      <c r="M195" s="202"/>
      <c r="N195" s="203"/>
      <c r="O195" s="23" t="s">
        <v>339</v>
      </c>
      <c r="P195" s="20"/>
      <c r="Q195" s="201" t="s">
        <v>337</v>
      </c>
      <c r="R195" s="202"/>
      <c r="S195" s="203"/>
      <c r="T195" s="23" t="s">
        <v>339</v>
      </c>
      <c r="U195" s="20"/>
      <c r="V195" s="20"/>
      <c r="W195" s="20"/>
      <c r="X195" s="20"/>
      <c r="Y195" s="20"/>
      <c r="Z195" s="20"/>
      <c r="AA195" s="20"/>
      <c r="AB195" s="20"/>
      <c r="AC195" s="20"/>
      <c r="AD195" s="20"/>
      <c r="AE195" s="20"/>
    </row>
    <row r="196" spans="2:31">
      <c r="B196" s="20"/>
      <c r="C196" s="166" t="s">
        <v>338</v>
      </c>
      <c r="D196" s="166" t="s">
        <v>0</v>
      </c>
      <c r="E196" s="166" t="s">
        <v>377</v>
      </c>
      <c r="F196" s="166" t="s">
        <v>378</v>
      </c>
      <c r="G196" s="166" t="s">
        <v>379</v>
      </c>
      <c r="H196" s="166" t="s">
        <v>380</v>
      </c>
      <c r="I196" s="166" t="s">
        <v>381</v>
      </c>
      <c r="J196" s="166" t="s">
        <v>382</v>
      </c>
      <c r="K196" s="20"/>
      <c r="L196" s="166" t="s">
        <v>338</v>
      </c>
      <c r="M196" s="166"/>
      <c r="N196" s="166" t="s">
        <v>0</v>
      </c>
      <c r="O196" s="166" t="s">
        <v>371</v>
      </c>
      <c r="P196" s="20"/>
      <c r="Q196" s="166" t="s">
        <v>338</v>
      </c>
      <c r="R196" s="166"/>
      <c r="S196" s="166" t="s">
        <v>0</v>
      </c>
      <c r="T196" s="166" t="s">
        <v>371</v>
      </c>
      <c r="U196" s="20"/>
      <c r="V196" s="20"/>
      <c r="W196" s="20"/>
      <c r="X196" s="20"/>
      <c r="Y196" s="20"/>
      <c r="Z196" s="20"/>
      <c r="AA196" s="20"/>
      <c r="AB196" s="20"/>
      <c r="AC196" s="20"/>
      <c r="AD196" s="20"/>
      <c r="AE196" s="20"/>
    </row>
    <row r="197" spans="2:31">
      <c r="B197" s="20"/>
      <c r="C197" s="167" t="s">
        <v>340</v>
      </c>
      <c r="D197" s="21">
        <v>330</v>
      </c>
      <c r="E197" s="176" t="s">
        <v>383</v>
      </c>
      <c r="F197" s="22">
        <v>1</v>
      </c>
      <c r="G197" s="22">
        <v>2</v>
      </c>
      <c r="H197" s="167">
        <f>F197/G197</f>
        <v>0.5</v>
      </c>
      <c r="I197" s="167">
        <f>H197*D198</f>
        <v>1</v>
      </c>
      <c r="J197" s="177">
        <f>I197+D198</f>
        <v>3</v>
      </c>
      <c r="K197" s="20"/>
      <c r="L197" s="167" t="s">
        <v>340</v>
      </c>
      <c r="M197" s="167"/>
      <c r="N197" s="21">
        <v>24</v>
      </c>
      <c r="O197" s="173">
        <f>N197</f>
        <v>24</v>
      </c>
      <c r="P197" s="20"/>
      <c r="Q197" s="167" t="s">
        <v>340</v>
      </c>
      <c r="R197" s="167"/>
      <c r="S197" s="21">
        <v>1</v>
      </c>
      <c r="T197" s="173">
        <f>S197</f>
        <v>1</v>
      </c>
      <c r="U197" s="20"/>
      <c r="V197" s="20"/>
      <c r="W197" s="20"/>
      <c r="X197" s="20"/>
      <c r="Y197" s="20"/>
      <c r="Z197" s="20"/>
      <c r="AA197" s="20"/>
      <c r="AB197" s="20"/>
      <c r="AC197" s="20"/>
      <c r="AD197" s="20"/>
      <c r="AE197" s="20"/>
    </row>
    <row r="198" spans="2:31">
      <c r="B198" s="20"/>
      <c r="C198" s="167" t="s">
        <v>341</v>
      </c>
      <c r="D198" s="21">
        <v>2</v>
      </c>
      <c r="E198" s="176" t="s">
        <v>384</v>
      </c>
      <c r="F198" s="22">
        <v>0</v>
      </c>
      <c r="G198" s="22">
        <v>1</v>
      </c>
      <c r="H198" s="167">
        <f>F198/G198</f>
        <v>0</v>
      </c>
      <c r="I198" s="167">
        <f>H198*J197</f>
        <v>0</v>
      </c>
      <c r="J198" s="167">
        <f>I198+J197</f>
        <v>3</v>
      </c>
      <c r="K198" s="20"/>
      <c r="L198" s="167" t="s">
        <v>341</v>
      </c>
      <c r="M198" s="167"/>
      <c r="N198" s="21">
        <v>1</v>
      </c>
      <c r="O198" s="173">
        <f>N198</f>
        <v>1</v>
      </c>
      <c r="P198" s="20"/>
      <c r="Q198" s="167" t="s">
        <v>341</v>
      </c>
      <c r="R198" s="167"/>
      <c r="S198" s="21">
        <v>1</v>
      </c>
      <c r="T198" s="173">
        <f>S198</f>
        <v>1</v>
      </c>
      <c r="U198" s="20"/>
      <c r="V198" s="20"/>
      <c r="W198" s="20"/>
      <c r="X198" s="20"/>
      <c r="Y198" s="20"/>
      <c r="Z198" s="20"/>
      <c r="AA198" s="20"/>
      <c r="AB198" s="20"/>
      <c r="AC198" s="20"/>
      <c r="AD198" s="20"/>
      <c r="AE198" s="20"/>
    </row>
    <row r="199" spans="2:31">
      <c r="B199" s="20"/>
      <c r="C199" s="167" t="s">
        <v>343</v>
      </c>
      <c r="D199" s="168">
        <f>D197*D198</f>
        <v>660</v>
      </c>
      <c r="E199" s="176" t="s">
        <v>396</v>
      </c>
      <c r="F199" s="22">
        <v>0</v>
      </c>
      <c r="G199" s="22">
        <v>2</v>
      </c>
      <c r="H199" s="167">
        <f>F199/G199</f>
        <v>0</v>
      </c>
      <c r="I199" s="167">
        <f>H199*J198</f>
        <v>0</v>
      </c>
      <c r="J199" s="167">
        <f>I199+J198</f>
        <v>3</v>
      </c>
      <c r="K199" s="20"/>
      <c r="L199" s="167" t="s">
        <v>342</v>
      </c>
      <c r="M199" s="167"/>
      <c r="N199" s="168">
        <f>N197*N198</f>
        <v>24</v>
      </c>
      <c r="O199" s="173">
        <f>N199</f>
        <v>24</v>
      </c>
      <c r="P199" s="20"/>
      <c r="Q199" s="167" t="s">
        <v>343</v>
      </c>
      <c r="R199" s="167"/>
      <c r="S199" s="168">
        <f>S197*S198</f>
        <v>1</v>
      </c>
      <c r="T199" s="173">
        <f>S199</f>
        <v>1</v>
      </c>
      <c r="U199" s="20"/>
      <c r="V199" s="20"/>
      <c r="W199" s="20"/>
      <c r="X199" s="20"/>
      <c r="Y199" s="20"/>
      <c r="Z199" s="20"/>
      <c r="AA199" s="20"/>
      <c r="AB199" s="20"/>
      <c r="AC199" s="20"/>
      <c r="AD199" s="20"/>
      <c r="AE199" s="20"/>
    </row>
    <row r="200" spans="2:31">
      <c r="B200" s="20"/>
      <c r="C200" s="167"/>
      <c r="D200" s="168"/>
      <c r="E200" s="176" t="s">
        <v>385</v>
      </c>
      <c r="F200" s="22">
        <v>10</v>
      </c>
      <c r="G200" s="22">
        <v>2</v>
      </c>
      <c r="H200" s="167">
        <f>F200/G200</f>
        <v>5</v>
      </c>
      <c r="I200" s="167">
        <f>H200*J199</f>
        <v>15</v>
      </c>
      <c r="J200" s="167">
        <f>I200</f>
        <v>15</v>
      </c>
      <c r="K200" s="20"/>
      <c r="L200" s="167" t="s">
        <v>344</v>
      </c>
      <c r="M200" s="167"/>
      <c r="N200" s="21">
        <v>200</v>
      </c>
      <c r="O200" s="21">
        <v>220</v>
      </c>
      <c r="P200" s="20"/>
      <c r="Q200" s="167" t="s">
        <v>344</v>
      </c>
      <c r="R200" s="167"/>
      <c r="S200" s="21">
        <v>1</v>
      </c>
      <c r="T200" s="21">
        <v>1</v>
      </c>
      <c r="U200" s="20"/>
      <c r="V200" s="20"/>
      <c r="W200" s="20"/>
      <c r="X200" s="20"/>
      <c r="Y200" s="20"/>
      <c r="Z200" s="20"/>
      <c r="AA200" s="20"/>
      <c r="AB200" s="20"/>
      <c r="AC200" s="20"/>
      <c r="AD200" s="20"/>
      <c r="AE200" s="20"/>
    </row>
    <row r="201" spans="2:31">
      <c r="B201" s="20"/>
      <c r="C201" s="167" t="s">
        <v>344</v>
      </c>
      <c r="D201" s="21">
        <v>200</v>
      </c>
      <c r="E201" s="176"/>
      <c r="F201" s="167"/>
      <c r="G201" s="167"/>
      <c r="H201" s="169" t="s">
        <v>386</v>
      </c>
      <c r="I201" s="167"/>
      <c r="J201" s="167">
        <f>J200</f>
        <v>15</v>
      </c>
      <c r="K201" s="20"/>
      <c r="L201" s="167" t="s">
        <v>345</v>
      </c>
      <c r="M201" s="167"/>
      <c r="N201" s="168">
        <f>N200*N198</f>
        <v>200</v>
      </c>
      <c r="O201" s="168">
        <f>O200*O198</f>
        <v>220</v>
      </c>
      <c r="P201" s="20"/>
      <c r="Q201" s="167" t="s">
        <v>341</v>
      </c>
      <c r="R201" s="167"/>
      <c r="S201" s="21">
        <v>1</v>
      </c>
      <c r="T201" s="127">
        <f>S201</f>
        <v>1</v>
      </c>
      <c r="U201" s="20"/>
      <c r="V201" s="20"/>
      <c r="W201" s="20"/>
      <c r="X201" s="20"/>
      <c r="Y201" s="20"/>
      <c r="Z201" s="20"/>
      <c r="AA201" s="20"/>
      <c r="AB201" s="20"/>
      <c r="AC201" s="20"/>
      <c r="AD201" s="20"/>
      <c r="AE201" s="20"/>
    </row>
    <row r="202" spans="2:31">
      <c r="B202" s="20"/>
      <c r="C202" s="167" t="s">
        <v>341</v>
      </c>
      <c r="D202" s="21">
        <v>15</v>
      </c>
      <c r="E202" s="176" t="s">
        <v>385</v>
      </c>
      <c r="F202" s="22">
        <v>10</v>
      </c>
      <c r="G202" s="22">
        <v>2</v>
      </c>
      <c r="H202" s="167">
        <f>F202/G202</f>
        <v>5</v>
      </c>
      <c r="I202" s="177">
        <f>H202*D198</f>
        <v>10</v>
      </c>
      <c r="J202" s="177">
        <f>I202</f>
        <v>10</v>
      </c>
      <c r="K202" s="20"/>
      <c r="L202" s="167"/>
      <c r="M202" s="167"/>
      <c r="N202" s="168"/>
      <c r="O202" s="168"/>
      <c r="P202" s="20"/>
      <c r="Q202" s="167" t="s">
        <v>343</v>
      </c>
      <c r="R202" s="167"/>
      <c r="S202" s="168">
        <f>S201*S200</f>
        <v>1</v>
      </c>
      <c r="T202" s="168">
        <f>T201*T200</f>
        <v>1</v>
      </c>
      <c r="U202" s="20"/>
      <c r="V202" s="20"/>
      <c r="W202" s="20"/>
      <c r="X202" s="20"/>
      <c r="Y202" s="20"/>
      <c r="Z202" s="20"/>
      <c r="AA202" s="20"/>
      <c r="AB202" s="20"/>
      <c r="AC202" s="20"/>
      <c r="AD202" s="20"/>
      <c r="AE202" s="20"/>
    </row>
    <row r="203" spans="2:31">
      <c r="B203" s="20"/>
      <c r="C203" s="167" t="s">
        <v>343</v>
      </c>
      <c r="D203" s="168">
        <f>D202*D201</f>
        <v>3000</v>
      </c>
      <c r="E203" s="167"/>
      <c r="F203" s="167"/>
      <c r="G203" s="167"/>
      <c r="H203" s="169" t="s">
        <v>386</v>
      </c>
      <c r="I203" s="167"/>
      <c r="J203" s="167">
        <f>J202</f>
        <v>10</v>
      </c>
      <c r="K203" s="20"/>
      <c r="L203" s="167"/>
      <c r="M203" s="167"/>
      <c r="N203" s="168"/>
      <c r="O203" s="168"/>
      <c r="P203" s="20"/>
      <c r="Q203" s="167"/>
      <c r="R203" s="167"/>
      <c r="S203" s="168"/>
      <c r="T203" s="168"/>
      <c r="U203" s="20"/>
      <c r="V203" s="20"/>
      <c r="W203" s="20"/>
      <c r="X203" s="20"/>
      <c r="Y203" s="20"/>
      <c r="Z203" s="20"/>
      <c r="AA203" s="20"/>
      <c r="AB203" s="20"/>
      <c r="AC203" s="20"/>
      <c r="AD203" s="20"/>
      <c r="AE203" s="20"/>
    </row>
    <row r="204" spans="2:31">
      <c r="B204" s="20"/>
      <c r="C204" s="167"/>
      <c r="D204" s="168"/>
      <c r="E204" s="176" t="s">
        <v>385</v>
      </c>
      <c r="F204" s="22">
        <v>10</v>
      </c>
      <c r="G204" s="22">
        <v>2</v>
      </c>
      <c r="H204" s="167">
        <f>F204/G204</f>
        <v>5</v>
      </c>
      <c r="I204" s="167">
        <f>H204*J203</f>
        <v>50</v>
      </c>
      <c r="J204" s="167">
        <f>I204</f>
        <v>50</v>
      </c>
      <c r="K204" s="20"/>
      <c r="L204" s="169" t="s">
        <v>346</v>
      </c>
      <c r="M204" s="169"/>
      <c r="N204" s="170">
        <f>N201/N199</f>
        <v>8.3333333333333339</v>
      </c>
      <c r="O204" s="170">
        <f>O201/O199</f>
        <v>9.1666666666666661</v>
      </c>
      <c r="P204" s="20"/>
      <c r="Q204" s="169" t="s">
        <v>346</v>
      </c>
      <c r="R204" s="169"/>
      <c r="S204" s="170">
        <f>S202/S199</f>
        <v>1</v>
      </c>
      <c r="T204" s="170">
        <f>T202/T199</f>
        <v>1</v>
      </c>
      <c r="U204" s="20"/>
      <c r="V204" s="20"/>
      <c r="W204" s="20"/>
      <c r="X204" s="20"/>
      <c r="Y204" s="20"/>
      <c r="Z204" s="20"/>
      <c r="AA204" s="20"/>
      <c r="AB204" s="20"/>
      <c r="AC204" s="20"/>
      <c r="AD204" s="20"/>
      <c r="AE204" s="20"/>
    </row>
    <row r="205" spans="2:31">
      <c r="B205" s="20"/>
      <c r="C205" s="169" t="s">
        <v>346</v>
      </c>
      <c r="D205" s="170">
        <f>D203/D199</f>
        <v>4.5454545454545459</v>
      </c>
      <c r="E205" s="176"/>
      <c r="F205" s="167"/>
      <c r="G205" s="167"/>
      <c r="H205" s="169" t="s">
        <v>386</v>
      </c>
      <c r="I205" s="167"/>
      <c r="J205" s="167">
        <f>J204</f>
        <v>50</v>
      </c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  <c r="AA205" s="20"/>
      <c r="AB205" s="20"/>
      <c r="AC205" s="20"/>
      <c r="AD205" s="20"/>
      <c r="AE205" s="20"/>
    </row>
    <row r="206" spans="2:31">
      <c r="B206" s="20"/>
      <c r="C206" s="20"/>
      <c r="D206" s="20"/>
      <c r="E206" s="20"/>
      <c r="F206" s="20"/>
      <c r="G206" s="20"/>
      <c r="H206" s="20"/>
      <c r="I206" s="20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  <c r="AA206" s="20"/>
      <c r="AB206" s="20"/>
      <c r="AC206" s="20"/>
      <c r="AD206" s="20"/>
      <c r="AE206" s="20"/>
    </row>
    <row r="207" spans="2:31">
      <c r="B207" s="20"/>
      <c r="C207" s="20"/>
      <c r="D207" s="137"/>
      <c r="E207" s="178"/>
      <c r="F207" s="178"/>
      <c r="G207" s="179"/>
      <c r="H207" s="20"/>
      <c r="I207" s="137"/>
      <c r="J207" s="178"/>
      <c r="K207" s="179"/>
      <c r="L207" s="20"/>
      <c r="M207" s="20">
        <v>8</v>
      </c>
      <c r="N207" s="20">
        <v>12</v>
      </c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  <c r="AA207" s="20"/>
      <c r="AB207" s="20"/>
      <c r="AC207" s="20"/>
      <c r="AD207" s="20"/>
      <c r="AE207" s="20"/>
    </row>
    <row r="208" spans="2:31" ht="14.25">
      <c r="B208" s="20"/>
      <c r="C208" s="20"/>
      <c r="D208" s="194" t="s">
        <v>27</v>
      </c>
      <c r="E208" s="195"/>
      <c r="F208" s="195"/>
      <c r="G208" s="196"/>
      <c r="H208" s="20"/>
      <c r="I208" s="194" t="s">
        <v>391</v>
      </c>
      <c r="J208" s="195"/>
      <c r="K208" s="196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  <c r="AA208" s="20"/>
      <c r="AB208" s="20"/>
      <c r="AC208" s="20"/>
      <c r="AD208" s="20"/>
      <c r="AE208" s="20"/>
    </row>
    <row r="209" spans="2:31">
      <c r="B209" s="20"/>
      <c r="C209" s="20"/>
      <c r="D209" s="20" t="s">
        <v>28</v>
      </c>
      <c r="E209" s="127"/>
      <c r="F209" s="127"/>
      <c r="G209" s="21">
        <f>D199</f>
        <v>660</v>
      </c>
      <c r="H209" s="20"/>
      <c r="I209" s="20" t="s">
        <v>28</v>
      </c>
      <c r="J209" s="127"/>
      <c r="K209" s="21">
        <f>G209</f>
        <v>660</v>
      </c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  <c r="AA209" s="20"/>
      <c r="AB209" s="20"/>
      <c r="AC209" s="20"/>
      <c r="AD209" s="20"/>
      <c r="AE209" s="20"/>
    </row>
    <row r="210" spans="2:31">
      <c r="B210" s="20"/>
      <c r="C210" s="20"/>
      <c r="D210" s="20" t="s">
        <v>29</v>
      </c>
      <c r="E210" s="127"/>
      <c r="F210" s="127"/>
      <c r="G210" s="21">
        <f>D203</f>
        <v>3000</v>
      </c>
      <c r="H210" s="20"/>
      <c r="I210" s="20" t="s">
        <v>29</v>
      </c>
      <c r="J210" s="20"/>
      <c r="K210" s="21">
        <f>G210</f>
        <v>3000</v>
      </c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  <c r="AA210" s="20"/>
      <c r="AB210" s="20"/>
      <c r="AC210" s="20"/>
      <c r="AD210" s="20"/>
      <c r="AE210" s="20"/>
    </row>
    <row r="211" spans="2:31">
      <c r="B211" s="20"/>
      <c r="C211" s="20"/>
      <c r="D211" s="20" t="s">
        <v>30</v>
      </c>
      <c r="E211" s="20"/>
      <c r="F211" s="20"/>
      <c r="G211" s="22">
        <v>10</v>
      </c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  <c r="AA211" s="20"/>
      <c r="AB211" s="20"/>
      <c r="AC211" s="20"/>
      <c r="AD211" s="20"/>
      <c r="AE211" s="20"/>
    </row>
    <row r="212" spans="2:31">
      <c r="B212" s="20"/>
      <c r="C212" s="20"/>
      <c r="D212" s="23" t="s">
        <v>31</v>
      </c>
      <c r="E212" s="3"/>
      <c r="F212" s="3"/>
      <c r="G212" s="3">
        <f>((G210/G209)^(1/G211))-1</f>
        <v>0.16347681109755463</v>
      </c>
      <c r="H212" s="20"/>
      <c r="I212" s="23" t="s">
        <v>392</v>
      </c>
      <c r="J212" s="23"/>
      <c r="K212" s="23">
        <f>(K210-K209)/K209</f>
        <v>3.5454545454545454</v>
      </c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  <c r="AA212" s="20"/>
      <c r="AB212" s="20"/>
      <c r="AC212" s="20"/>
      <c r="AD212" s="20"/>
      <c r="AE212" s="20"/>
    </row>
    <row r="213" spans="2:31">
      <c r="B213" s="20"/>
      <c r="C213" s="20"/>
      <c r="D213" s="23" t="s">
        <v>32</v>
      </c>
      <c r="E213" s="165"/>
      <c r="F213" s="165"/>
      <c r="G213" s="24">
        <f>G211*12</f>
        <v>120</v>
      </c>
      <c r="H213" s="20"/>
      <c r="I213" s="23" t="s">
        <v>393</v>
      </c>
      <c r="J213" s="23"/>
      <c r="K213" s="23">
        <f>K210/K209</f>
        <v>4.5454545454545459</v>
      </c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  <c r="AA213" s="20"/>
      <c r="AB213" s="20"/>
      <c r="AC213" s="20"/>
      <c r="AD213" s="20"/>
      <c r="AE213" s="20"/>
    </row>
    <row r="214" spans="2:31">
      <c r="B214" s="20"/>
      <c r="C214" s="20"/>
      <c r="D214" s="20" t="s">
        <v>30</v>
      </c>
      <c r="E214" s="25"/>
      <c r="F214" s="25"/>
      <c r="G214" s="25">
        <f>G213/12</f>
        <v>10</v>
      </c>
      <c r="H214" s="20"/>
      <c r="I214" s="20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  <c r="AA214" s="20"/>
      <c r="AB214" s="20"/>
      <c r="AC214" s="20"/>
      <c r="AD214" s="20"/>
      <c r="AE214" s="20"/>
    </row>
    <row r="215" spans="2:31">
      <c r="B215" s="20"/>
      <c r="C215" s="20"/>
      <c r="D215" s="23" t="s">
        <v>33</v>
      </c>
      <c r="E215" s="3"/>
      <c r="F215" s="3"/>
      <c r="G215" s="3">
        <f>((G210/G209)^(1/G214))-1</f>
        <v>0.16347681109755463</v>
      </c>
      <c r="H215" s="20"/>
      <c r="I215" s="20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  <c r="AA215" s="20"/>
      <c r="AB215" s="20"/>
      <c r="AC215" s="20"/>
      <c r="AD215" s="20"/>
      <c r="AE215" s="20"/>
    </row>
    <row r="216" spans="2:31">
      <c r="B216" s="20"/>
      <c r="C216" s="20"/>
      <c r="D216" s="20"/>
      <c r="E216" s="20"/>
      <c r="F216" s="20"/>
      <c r="G216" s="20"/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  <c r="AA216" s="20"/>
      <c r="AB216" s="20"/>
      <c r="AC216" s="20"/>
      <c r="AD216" s="20"/>
      <c r="AE216" s="20"/>
    </row>
    <row r="217" spans="2:31">
      <c r="C217" s="20"/>
      <c r="D217" s="20"/>
      <c r="E217" s="20"/>
      <c r="F217" s="20"/>
      <c r="G217" s="20"/>
      <c r="H217" s="20"/>
      <c r="I217" s="20"/>
      <c r="J217" s="20"/>
      <c r="K217" s="20"/>
    </row>
  </sheetData>
  <mergeCells count="7">
    <mergeCell ref="D208:G208"/>
    <mergeCell ref="I208:K208"/>
    <mergeCell ref="AD2:AE2"/>
    <mergeCell ref="AD3:AE3"/>
    <mergeCell ref="L195:N195"/>
    <mergeCell ref="Q195:S195"/>
    <mergeCell ref="K178:L178"/>
  </mergeCells>
  <pageMargins left="0.7" right="0.7" top="0.75" bottom="0.75" header="0.3" footer="0.3"/>
  <pageSetup orientation="portrait" r:id="rId1"/>
  <ignoredErrors>
    <ignoredError sqref="C169" evalError="1"/>
    <ignoredError sqref="T31" formula="1"/>
  </ignoredError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>
  <dimension ref="C3:J36"/>
  <sheetViews>
    <sheetView topLeftCell="A5" zoomScale="80" zoomScaleNormal="80" workbookViewId="0">
      <selection activeCell="F26" sqref="F26"/>
    </sheetView>
  </sheetViews>
  <sheetFormatPr defaultRowHeight="15"/>
  <cols>
    <col min="1" max="2" width="9.140625" style="6"/>
    <col min="3" max="3" width="37.7109375" style="6" bestFit="1" customWidth="1"/>
    <col min="4" max="9" width="16" style="6" bestFit="1" customWidth="1"/>
    <col min="10" max="16384" width="9.140625" style="6"/>
  </cols>
  <sheetData>
    <row r="3" spans="3:9">
      <c r="D3" s="6" t="s">
        <v>6</v>
      </c>
      <c r="E3" s="6" t="s">
        <v>11</v>
      </c>
      <c r="F3" s="6" t="s">
        <v>12</v>
      </c>
      <c r="G3" s="6" t="s">
        <v>13</v>
      </c>
      <c r="H3" s="6" t="s">
        <v>14</v>
      </c>
      <c r="I3" s="6" t="s">
        <v>15</v>
      </c>
    </row>
    <row r="4" spans="3:9">
      <c r="D4" s="6" t="s">
        <v>5</v>
      </c>
      <c r="E4" s="7">
        <v>0.05</v>
      </c>
      <c r="F4" s="7">
        <v>0.05</v>
      </c>
      <c r="G4" s="7">
        <v>0.05</v>
      </c>
      <c r="H4" s="7">
        <v>0.05</v>
      </c>
      <c r="I4" s="7">
        <v>0.05</v>
      </c>
    </row>
    <row r="5" spans="3:9">
      <c r="C5" s="6" t="s">
        <v>16</v>
      </c>
      <c r="D5" s="8">
        <v>8916.5400000000009</v>
      </c>
      <c r="E5" s="10">
        <f>D5*(1+E4)</f>
        <v>9362.367000000002</v>
      </c>
      <c r="F5" s="10">
        <f t="shared" ref="F5:I5" si="0">E5*(1+F4)</f>
        <v>9830.4853500000027</v>
      </c>
      <c r="G5" s="10">
        <f t="shared" si="0"/>
        <v>10322.009617500004</v>
      </c>
      <c r="H5" s="10">
        <f t="shared" si="0"/>
        <v>10838.110098375004</v>
      </c>
      <c r="I5" s="10">
        <f t="shared" si="0"/>
        <v>11380.015603293754</v>
      </c>
    </row>
    <row r="6" spans="3:9">
      <c r="C6" s="6" t="s">
        <v>17</v>
      </c>
      <c r="D6" s="8">
        <v>10910.34</v>
      </c>
      <c r="E6" s="9"/>
      <c r="F6" s="9"/>
      <c r="G6" s="9"/>
      <c r="H6" s="9"/>
      <c r="I6" s="9"/>
    </row>
    <row r="7" spans="3:9">
      <c r="C7" s="6" t="s">
        <v>4</v>
      </c>
      <c r="D7" s="8">
        <v>141489.62</v>
      </c>
      <c r="E7" s="9"/>
      <c r="F7" s="9"/>
      <c r="G7" s="9"/>
      <c r="H7" s="9"/>
      <c r="I7" s="9"/>
    </row>
    <row r="8" spans="3:9">
      <c r="C8" s="6" t="s">
        <v>2</v>
      </c>
      <c r="D8" s="8">
        <v>0</v>
      </c>
      <c r="E8" s="9"/>
      <c r="F8" s="9"/>
      <c r="G8" s="9"/>
      <c r="H8" s="9"/>
      <c r="I8" s="9"/>
    </row>
    <row r="9" spans="3:9">
      <c r="C9" s="6" t="s">
        <v>19</v>
      </c>
      <c r="D9" s="8">
        <v>0</v>
      </c>
      <c r="E9" s="9"/>
      <c r="F9" s="9"/>
      <c r="G9" s="9"/>
      <c r="H9" s="9"/>
      <c r="I9" s="9"/>
    </row>
    <row r="10" spans="3:9">
      <c r="C10" s="6" t="s">
        <v>23</v>
      </c>
      <c r="D10" s="15">
        <v>0</v>
      </c>
      <c r="E10" s="9"/>
      <c r="F10" s="9"/>
      <c r="G10" s="9"/>
      <c r="H10" s="9"/>
      <c r="I10" s="9"/>
    </row>
    <row r="11" spans="3:9">
      <c r="C11" s="6" t="s">
        <v>78</v>
      </c>
      <c r="D11" s="15">
        <v>125588.57</v>
      </c>
      <c r="E11" s="9"/>
      <c r="F11" s="9"/>
      <c r="G11" s="9"/>
      <c r="H11" s="9"/>
      <c r="I11" s="9"/>
    </row>
    <row r="12" spans="3:9">
      <c r="C12" s="6" t="s">
        <v>79</v>
      </c>
      <c r="D12" s="15">
        <v>90330.39</v>
      </c>
      <c r="E12" s="9"/>
      <c r="F12" s="9"/>
      <c r="G12" s="9"/>
      <c r="H12" s="9"/>
      <c r="I12" s="9"/>
    </row>
    <row r="13" spans="3:9">
      <c r="C13" s="6" t="s">
        <v>80</v>
      </c>
      <c r="D13" s="102">
        <f>D12-D11</f>
        <v>-35258.180000000008</v>
      </c>
      <c r="E13" s="9"/>
      <c r="F13" s="9"/>
      <c r="G13" s="9"/>
      <c r="H13" s="9"/>
      <c r="I13" s="9"/>
    </row>
    <row r="14" spans="3:9">
      <c r="C14" s="6" t="s">
        <v>3</v>
      </c>
      <c r="D14" s="8">
        <v>429770000</v>
      </c>
      <c r="E14" s="8">
        <f>D14</f>
        <v>429770000</v>
      </c>
      <c r="F14" s="8">
        <f t="shared" ref="F14:I14" si="1">E14</f>
        <v>429770000</v>
      </c>
      <c r="G14" s="8">
        <f t="shared" si="1"/>
        <v>429770000</v>
      </c>
      <c r="H14" s="8">
        <f t="shared" si="1"/>
        <v>429770000</v>
      </c>
      <c r="I14" s="8">
        <f t="shared" si="1"/>
        <v>429770000</v>
      </c>
    </row>
    <row r="15" spans="3:9">
      <c r="D15" s="9"/>
      <c r="E15" s="9"/>
      <c r="F15" s="9"/>
      <c r="G15" s="9"/>
      <c r="H15" s="9"/>
      <c r="I15" s="9"/>
    </row>
    <row r="16" spans="3:9">
      <c r="C16" s="6" t="s">
        <v>7</v>
      </c>
      <c r="D16" s="9">
        <v>10000000</v>
      </c>
      <c r="E16" s="9">
        <v>10000000</v>
      </c>
      <c r="F16" s="9">
        <v>10000000</v>
      </c>
      <c r="G16" s="9">
        <v>10000000</v>
      </c>
      <c r="H16" s="9">
        <v>10000000</v>
      </c>
      <c r="I16" s="9">
        <v>10000000</v>
      </c>
    </row>
    <row r="17" spans="3:10">
      <c r="D17" s="9"/>
      <c r="E17" s="9"/>
      <c r="F17" s="9"/>
      <c r="G17" s="9"/>
      <c r="H17" s="9"/>
      <c r="I17" s="9"/>
    </row>
    <row r="18" spans="3:10">
      <c r="C18" s="6" t="s">
        <v>18</v>
      </c>
      <c r="D18" s="9">
        <f t="shared" ref="D18:I18" si="2">(D5*D16)/D14</f>
        <v>207.4723689415269</v>
      </c>
      <c r="E18" s="14">
        <f t="shared" si="2"/>
        <v>217.84598738860325</v>
      </c>
      <c r="F18" s="14">
        <f t="shared" si="2"/>
        <v>228.73828675803344</v>
      </c>
      <c r="G18" s="14">
        <f t="shared" si="2"/>
        <v>240.17520109593511</v>
      </c>
      <c r="H18" s="14">
        <f t="shared" si="2"/>
        <v>252.1839611507319</v>
      </c>
      <c r="I18" s="14">
        <f t="shared" si="2"/>
        <v>264.79315920826849</v>
      </c>
    </row>
    <row r="19" spans="3:10">
      <c r="C19" s="6" t="s">
        <v>8</v>
      </c>
      <c r="D19" s="9">
        <f>(D6*D16)/D14</f>
        <v>253.86462526467645</v>
      </c>
      <c r="E19" s="9"/>
      <c r="F19" s="9"/>
      <c r="G19" s="9"/>
      <c r="H19" s="9"/>
      <c r="I19" s="9"/>
    </row>
    <row r="20" spans="3:10">
      <c r="C20" s="6" t="s">
        <v>9</v>
      </c>
      <c r="D20" s="9">
        <f>(D7*D16)/D14</f>
        <v>3292.2172324731832</v>
      </c>
      <c r="E20" s="9"/>
      <c r="F20" s="9"/>
      <c r="G20" s="9"/>
      <c r="H20" s="9"/>
      <c r="I20" s="9"/>
    </row>
    <row r="21" spans="3:10">
      <c r="C21" s="6" t="s">
        <v>10</v>
      </c>
      <c r="D21" s="9">
        <f>(D8*D16)/D14</f>
        <v>0</v>
      </c>
      <c r="E21" s="9"/>
      <c r="F21" s="9"/>
      <c r="G21" s="9"/>
      <c r="H21" s="9"/>
      <c r="I21" s="9"/>
    </row>
    <row r="23" spans="3:10">
      <c r="C23" s="6" t="s">
        <v>22</v>
      </c>
      <c r="D23" s="13">
        <f>(D9*D16)/D14</f>
        <v>0</v>
      </c>
    </row>
    <row r="25" spans="3:10">
      <c r="C25" s="6" t="s">
        <v>24</v>
      </c>
      <c r="D25" s="16">
        <f>(D10*D16)/D14</f>
        <v>0</v>
      </c>
    </row>
    <row r="27" spans="3:10">
      <c r="C27" s="99" t="s">
        <v>83</v>
      </c>
    </row>
    <row r="28" spans="3:10">
      <c r="C28" s="6" t="s">
        <v>82</v>
      </c>
      <c r="D28" s="100">
        <f>(D11*D16)/D14</f>
        <v>2922.2274705074806</v>
      </c>
    </row>
    <row r="29" spans="3:10">
      <c r="C29" s="6" t="s">
        <v>84</v>
      </c>
      <c r="D29" s="100">
        <f>(D12*D16)/D14</f>
        <v>2101.8309793610538</v>
      </c>
    </row>
    <row r="30" spans="3:10">
      <c r="C30" s="6" t="s">
        <v>85</v>
      </c>
      <c r="D30" s="13">
        <f>(D13*D16)/D14</f>
        <v>-820.39649114642725</v>
      </c>
      <c r="I30" s="6" t="s">
        <v>86</v>
      </c>
      <c r="J30" s="101">
        <v>0.71</v>
      </c>
    </row>
    <row r="31" spans="3:10">
      <c r="C31" s="6" t="s">
        <v>81</v>
      </c>
      <c r="D31" s="98">
        <f>D12/D11</f>
        <v>0.71925645781299996</v>
      </c>
    </row>
    <row r="34" spans="3:4">
      <c r="C34" s="1" t="s">
        <v>20</v>
      </c>
      <c r="D34" s="1" t="s">
        <v>21</v>
      </c>
    </row>
    <row r="35" spans="3:4">
      <c r="C35" s="11">
        <v>1</v>
      </c>
      <c r="D35" s="12">
        <f>C35/10</f>
        <v>0.1</v>
      </c>
    </row>
    <row r="36" spans="3:4">
      <c r="C36" s="1"/>
      <c r="D36" s="1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2:Q45"/>
  <sheetViews>
    <sheetView topLeftCell="A25" zoomScale="80" zoomScaleNormal="80" workbookViewId="0">
      <selection activeCell="M5" sqref="M5:N10"/>
    </sheetView>
  </sheetViews>
  <sheetFormatPr defaultRowHeight="15"/>
  <cols>
    <col min="1" max="1" width="9.140625" style="6"/>
    <col min="2" max="2" width="16.140625" style="19" bestFit="1" customWidth="1"/>
    <col min="3" max="3" width="11.7109375" style="6" bestFit="1" customWidth="1"/>
    <col min="4" max="4" width="13.42578125" style="6" bestFit="1" customWidth="1"/>
    <col min="5" max="5" width="16" style="6" bestFit="1" customWidth="1"/>
    <col min="6" max="6" width="8.28515625" style="6" customWidth="1"/>
    <col min="7" max="7" width="17.7109375" style="6" bestFit="1" customWidth="1"/>
    <col min="8" max="8" width="9.140625" style="6"/>
    <col min="9" max="9" width="16.7109375" style="6" bestFit="1" customWidth="1"/>
    <col min="10" max="10" width="9.140625" style="6" bestFit="1" customWidth="1"/>
    <col min="11" max="11" width="19.5703125" style="6" bestFit="1" customWidth="1"/>
    <col min="12" max="12" width="11.5703125" style="6" bestFit="1" customWidth="1"/>
    <col min="13" max="13" width="17.7109375" style="6" bestFit="1" customWidth="1"/>
    <col min="14" max="14" width="9.140625" style="6"/>
    <col min="15" max="15" width="13" style="6" bestFit="1" customWidth="1"/>
    <col min="16" max="16" width="11.28515625" style="6" bestFit="1" customWidth="1"/>
    <col min="17" max="17" width="9.140625" style="6"/>
    <col min="18" max="18" width="18.140625" style="6" bestFit="1" customWidth="1"/>
    <col min="19" max="19" width="12.5703125" style="6" customWidth="1"/>
    <col min="20" max="20" width="12.28515625" style="6" bestFit="1" customWidth="1"/>
    <col min="21" max="16384" width="9.140625" style="6"/>
  </cols>
  <sheetData>
    <row r="2" spans="2:14">
      <c r="D2" s="6" t="s">
        <v>64</v>
      </c>
    </row>
    <row r="3" spans="2:14">
      <c r="B3" s="17" t="s">
        <v>0</v>
      </c>
      <c r="C3" s="17" t="s">
        <v>26</v>
      </c>
      <c r="D3" s="17" t="s">
        <v>25</v>
      </c>
      <c r="E3" s="17" t="s">
        <v>48</v>
      </c>
      <c r="F3" s="17" t="s">
        <v>42</v>
      </c>
      <c r="G3" s="17" t="s">
        <v>34</v>
      </c>
    </row>
    <row r="4" spans="2:14">
      <c r="B4" s="18">
        <v>0</v>
      </c>
      <c r="C4" s="1">
        <v>2000</v>
      </c>
      <c r="D4" s="1">
        <v>0</v>
      </c>
      <c r="E4" s="1"/>
      <c r="F4" s="1"/>
      <c r="G4" s="1">
        <v>40.340000000000003</v>
      </c>
    </row>
    <row r="5" spans="2:14" ht="15.75">
      <c r="B5" s="18">
        <v>1</v>
      </c>
      <c r="C5" s="1">
        <v>2001</v>
      </c>
      <c r="D5" s="1">
        <v>2.61</v>
      </c>
      <c r="E5" s="1"/>
      <c r="F5" s="1"/>
      <c r="G5" s="1">
        <v>115.93</v>
      </c>
      <c r="J5" s="206" t="s">
        <v>27</v>
      </c>
      <c r="K5" s="206"/>
      <c r="M5" s="206" t="s">
        <v>65</v>
      </c>
      <c r="N5" s="206"/>
    </row>
    <row r="6" spans="2:14">
      <c r="B6" s="18">
        <v>2</v>
      </c>
      <c r="C6" s="1">
        <v>2002</v>
      </c>
      <c r="D6" s="1">
        <v>5.18</v>
      </c>
      <c r="E6" s="1"/>
      <c r="F6" s="1"/>
      <c r="G6" s="1">
        <v>230.21</v>
      </c>
      <c r="J6" s="20" t="s">
        <v>28</v>
      </c>
      <c r="K6" s="21">
        <v>2.61</v>
      </c>
      <c r="M6" s="29" t="s">
        <v>41</v>
      </c>
      <c r="N6" s="54">
        <v>38911</v>
      </c>
    </row>
    <row r="7" spans="2:14">
      <c r="B7" s="18">
        <v>3</v>
      </c>
      <c r="C7" s="1">
        <v>2003</v>
      </c>
      <c r="D7" s="1">
        <v>9.35</v>
      </c>
      <c r="E7" s="1"/>
      <c r="F7" s="1"/>
      <c r="G7" s="1">
        <v>416.1</v>
      </c>
      <c r="J7" s="20" t="s">
        <v>29</v>
      </c>
      <c r="K7" s="21">
        <v>203.28</v>
      </c>
      <c r="M7" s="29" t="s">
        <v>38</v>
      </c>
      <c r="N7" s="31">
        <v>0.15</v>
      </c>
    </row>
    <row r="8" spans="2:14">
      <c r="B8" s="18">
        <v>4</v>
      </c>
      <c r="C8" s="1">
        <v>2004</v>
      </c>
      <c r="D8" s="1">
        <v>9.41</v>
      </c>
      <c r="E8" s="1"/>
      <c r="F8" s="1"/>
      <c r="G8" s="1">
        <v>512.76</v>
      </c>
      <c r="J8" s="20" t="s">
        <v>30</v>
      </c>
      <c r="K8" s="22">
        <v>20</v>
      </c>
      <c r="M8" s="29" t="s">
        <v>39</v>
      </c>
      <c r="N8" s="32">
        <v>14</v>
      </c>
    </row>
    <row r="9" spans="2:14">
      <c r="B9" s="18">
        <v>5</v>
      </c>
      <c r="C9" s="1">
        <v>2005</v>
      </c>
      <c r="D9" s="1">
        <v>11.96</v>
      </c>
      <c r="E9" s="1"/>
      <c r="F9" s="1"/>
      <c r="G9" s="1">
        <v>651.36</v>
      </c>
      <c r="J9" s="23" t="s">
        <v>31</v>
      </c>
      <c r="K9" s="3">
        <f>((K7/K6)^(1/K8))-1</f>
        <v>0.24329076344312006</v>
      </c>
      <c r="M9" s="29" t="s">
        <v>40</v>
      </c>
      <c r="N9" s="30">
        <v>0</v>
      </c>
    </row>
    <row r="10" spans="2:14">
      <c r="B10" s="18">
        <v>6</v>
      </c>
      <c r="C10" s="1">
        <v>2006</v>
      </c>
      <c r="D10" s="1">
        <v>14.38</v>
      </c>
      <c r="E10" s="1"/>
      <c r="F10" s="1"/>
      <c r="G10" s="1">
        <v>783.34</v>
      </c>
      <c r="J10" s="23" t="s">
        <v>32</v>
      </c>
      <c r="K10" s="24">
        <v>140</v>
      </c>
      <c r="M10" s="34" t="s">
        <v>66</v>
      </c>
      <c r="N10" s="55">
        <f>PV(N7,N8,N9,-N6)</f>
        <v>5499.2394108985745</v>
      </c>
    </row>
    <row r="11" spans="2:14">
      <c r="B11" s="18">
        <v>7</v>
      </c>
      <c r="C11" s="1">
        <v>2007</v>
      </c>
      <c r="D11" s="1">
        <v>18.510000000000002</v>
      </c>
      <c r="E11" s="1"/>
      <c r="F11" s="1"/>
      <c r="G11" s="1">
        <v>1008.43</v>
      </c>
      <c r="J11" s="20" t="s">
        <v>30</v>
      </c>
      <c r="K11" s="25">
        <f>K10/12</f>
        <v>11.666666666666666</v>
      </c>
    </row>
    <row r="12" spans="2:14">
      <c r="B12" s="18">
        <v>8</v>
      </c>
      <c r="C12" s="1">
        <v>2008</v>
      </c>
      <c r="D12" s="1">
        <v>22.07</v>
      </c>
      <c r="E12" s="1"/>
      <c r="F12" s="1"/>
      <c r="G12" s="1">
        <v>1202.3399999999999</v>
      </c>
      <c r="J12" s="23" t="s">
        <v>33</v>
      </c>
      <c r="K12" s="3">
        <f>((K7/K6)^(1/K11))-1</f>
        <v>0.45252842827596251</v>
      </c>
    </row>
    <row r="13" spans="2:14">
      <c r="B13" s="18">
        <v>9</v>
      </c>
      <c r="C13" s="1">
        <v>2009</v>
      </c>
      <c r="D13" s="1">
        <v>24.34</v>
      </c>
      <c r="E13" s="1"/>
      <c r="F13" s="1"/>
      <c r="G13" s="1">
        <v>1325.79</v>
      </c>
    </row>
    <row r="14" spans="2:14" ht="15.75">
      <c r="B14" s="18">
        <v>10</v>
      </c>
      <c r="C14" s="1">
        <v>2010</v>
      </c>
      <c r="D14" s="1">
        <v>12.98</v>
      </c>
      <c r="E14" s="1"/>
      <c r="F14" s="1"/>
      <c r="G14" s="1">
        <v>706.96</v>
      </c>
      <c r="J14" s="206" t="s">
        <v>36</v>
      </c>
      <c r="K14" s="206"/>
      <c r="L14" s="206"/>
    </row>
    <row r="15" spans="2:14">
      <c r="B15" s="18">
        <v>11</v>
      </c>
      <c r="C15" s="1">
        <v>2011</v>
      </c>
      <c r="D15" s="1">
        <v>17.329999999999998</v>
      </c>
      <c r="E15" s="1"/>
      <c r="F15" s="1"/>
      <c r="G15" s="1">
        <v>1072.1300000000001</v>
      </c>
      <c r="J15" s="29" t="s">
        <v>37</v>
      </c>
      <c r="K15" s="29"/>
      <c r="L15" s="30">
        <v>100000</v>
      </c>
    </row>
    <row r="16" spans="2:14">
      <c r="B16" s="18">
        <v>12</v>
      </c>
      <c r="C16" s="1">
        <v>2012</v>
      </c>
      <c r="D16" s="1">
        <v>13.18</v>
      </c>
      <c r="E16" s="1"/>
      <c r="F16" s="1"/>
      <c r="G16" s="1">
        <v>1050.1300000000001</v>
      </c>
      <c r="J16" s="29" t="s">
        <v>38</v>
      </c>
      <c r="K16" s="29"/>
      <c r="L16" s="31">
        <v>0.15</v>
      </c>
    </row>
    <row r="17" spans="1:17">
      <c r="B17" s="18"/>
      <c r="C17" s="1"/>
      <c r="D17" s="1"/>
      <c r="E17" s="1"/>
      <c r="F17" s="1"/>
      <c r="G17" s="1"/>
      <c r="J17" s="29" t="s">
        <v>39</v>
      </c>
      <c r="K17" s="29"/>
      <c r="L17" s="32">
        <v>10</v>
      </c>
    </row>
    <row r="18" spans="1:17">
      <c r="B18" s="18"/>
      <c r="C18" s="1" t="s">
        <v>1</v>
      </c>
      <c r="D18" s="4">
        <v>0.14449999999999999</v>
      </c>
      <c r="E18" s="4"/>
      <c r="F18" s="4"/>
      <c r="G18" s="4">
        <v>0.2016</v>
      </c>
      <c r="J18" s="29" t="s">
        <v>40</v>
      </c>
      <c r="K18" s="29"/>
      <c r="L18" s="33">
        <v>0</v>
      </c>
    </row>
    <row r="19" spans="1:17">
      <c r="B19" s="18"/>
      <c r="C19" s="1" t="s">
        <v>43</v>
      </c>
      <c r="D19" s="1"/>
      <c r="E19" s="1"/>
      <c r="F19" s="1">
        <v>4</v>
      </c>
      <c r="G19" s="1"/>
      <c r="J19" s="34" t="s">
        <v>41</v>
      </c>
      <c r="K19" s="34"/>
      <c r="L19" s="29">
        <f>FV(L16,L17,L18,-L15)</f>
        <v>404555.77357079065</v>
      </c>
    </row>
    <row r="20" spans="1:17">
      <c r="B20" s="18" t="s">
        <v>35</v>
      </c>
      <c r="C20" s="1">
        <v>2022</v>
      </c>
      <c r="D20" s="1">
        <v>50.82</v>
      </c>
      <c r="E20" s="1"/>
      <c r="F20" s="1"/>
      <c r="G20" s="1"/>
    </row>
    <row r="21" spans="1:17">
      <c r="B21" s="18" t="s">
        <v>44</v>
      </c>
      <c r="C21" s="1">
        <v>2012</v>
      </c>
      <c r="D21" s="1">
        <v>70</v>
      </c>
      <c r="E21" s="1"/>
      <c r="F21" s="1"/>
      <c r="G21" s="1"/>
    </row>
    <row r="22" spans="1:17">
      <c r="B22" s="18" t="s">
        <v>45</v>
      </c>
      <c r="C22" s="1">
        <v>2022</v>
      </c>
      <c r="D22" s="1">
        <f>D20*F19</f>
        <v>203.28</v>
      </c>
      <c r="E22" s="1"/>
      <c r="F22" s="1"/>
      <c r="G22" s="1"/>
    </row>
    <row r="23" spans="1:17">
      <c r="B23" s="18" t="s">
        <v>46</v>
      </c>
      <c r="C23" s="1"/>
      <c r="D23" s="4">
        <v>0.1125</v>
      </c>
      <c r="E23" s="4"/>
      <c r="F23" s="1"/>
      <c r="G23" s="1"/>
    </row>
    <row r="27" spans="1:17">
      <c r="B27" s="27"/>
      <c r="C27" s="38"/>
      <c r="D27" s="35" t="s">
        <v>49</v>
      </c>
      <c r="E27" s="36"/>
      <c r="F27" s="36"/>
      <c r="G27" s="36"/>
      <c r="H27" s="36"/>
      <c r="I27" s="37"/>
      <c r="J27" s="26"/>
      <c r="K27" s="26"/>
      <c r="L27" s="26"/>
      <c r="M27" s="26"/>
    </row>
    <row r="28" spans="1:17">
      <c r="B28" s="17" t="s">
        <v>0</v>
      </c>
      <c r="C28" s="17" t="s">
        <v>61</v>
      </c>
      <c r="D28" s="28" t="s">
        <v>50</v>
      </c>
      <c r="E28" s="28" t="s">
        <v>51</v>
      </c>
      <c r="F28" s="28" t="s">
        <v>52</v>
      </c>
      <c r="G28" s="28" t="s">
        <v>62</v>
      </c>
      <c r="H28" s="28" t="s">
        <v>25</v>
      </c>
      <c r="I28" s="28" t="s">
        <v>55</v>
      </c>
      <c r="J28" s="28" t="s">
        <v>63</v>
      </c>
      <c r="K28" s="28" t="s">
        <v>54</v>
      </c>
      <c r="L28" s="28" t="s">
        <v>56</v>
      </c>
      <c r="M28" s="28" t="s">
        <v>58</v>
      </c>
      <c r="N28" s="28" t="s">
        <v>57</v>
      </c>
      <c r="O28" s="28" t="s">
        <v>67</v>
      </c>
      <c r="P28" s="28" t="s">
        <v>59</v>
      </c>
      <c r="Q28" s="28" t="s">
        <v>60</v>
      </c>
    </row>
    <row r="29" spans="1:17">
      <c r="B29" s="18">
        <v>0</v>
      </c>
      <c r="C29" s="1">
        <v>2000</v>
      </c>
      <c r="D29" s="27">
        <v>749.84</v>
      </c>
      <c r="E29" s="27"/>
      <c r="F29" s="27"/>
      <c r="G29" s="27"/>
      <c r="H29" s="27">
        <v>0</v>
      </c>
      <c r="I29" s="46">
        <f>100%-J29</f>
        <v>0</v>
      </c>
      <c r="J29" s="41">
        <v>1</v>
      </c>
      <c r="K29" s="43"/>
      <c r="L29" s="27"/>
      <c r="M29" s="47"/>
      <c r="N29" s="27"/>
      <c r="O29" s="27"/>
      <c r="P29" s="1"/>
      <c r="Q29" s="1"/>
    </row>
    <row r="30" spans="1:17">
      <c r="B30" s="18">
        <v>1</v>
      </c>
      <c r="C30" s="1">
        <v>2001</v>
      </c>
      <c r="D30" s="27">
        <v>932.76</v>
      </c>
      <c r="E30" s="27">
        <v>444800000</v>
      </c>
      <c r="F30" s="27">
        <f>E30/10000000</f>
        <v>44.48</v>
      </c>
      <c r="G30" s="40">
        <f>D30/F30</f>
        <v>20.970323741007196</v>
      </c>
      <c r="H30" s="27">
        <v>2.61</v>
      </c>
      <c r="I30" s="46">
        <f>100%-J30</f>
        <v>0.36419999999999997</v>
      </c>
      <c r="J30" s="43">
        <v>0.63580000000000003</v>
      </c>
      <c r="K30" s="43">
        <f>H30/G30</f>
        <v>0.12446159783867232</v>
      </c>
      <c r="L30" s="27"/>
      <c r="M30" s="47"/>
      <c r="N30" s="27"/>
      <c r="O30" s="27"/>
      <c r="P30" s="1"/>
      <c r="Q30" s="1"/>
    </row>
    <row r="31" spans="1:17">
      <c r="A31" s="6" t="s">
        <v>53</v>
      </c>
      <c r="B31" s="18">
        <v>2</v>
      </c>
      <c r="C31" s="1">
        <v>2002</v>
      </c>
      <c r="D31" s="27">
        <v>1132.6300000000001</v>
      </c>
      <c r="E31" s="27">
        <v>444800000</v>
      </c>
      <c r="F31" s="27">
        <f t="shared" ref="F31:F41" si="0">E31/10000000</f>
        <v>44.48</v>
      </c>
      <c r="G31" s="44">
        <f t="shared" ref="G31:G41" si="1">D31/F31</f>
        <v>25.463803956834536</v>
      </c>
      <c r="H31" s="45">
        <v>5.18</v>
      </c>
      <c r="I31" s="46">
        <f>100%-J31</f>
        <v>0.23250000000000004</v>
      </c>
      <c r="J31" s="43">
        <v>0.76749999999999996</v>
      </c>
      <c r="K31" s="51">
        <v>0.09</v>
      </c>
      <c r="L31" s="48">
        <f>K31*J31</f>
        <v>6.9074999999999998E-2</v>
      </c>
      <c r="M31" s="49">
        <v>25.46</v>
      </c>
      <c r="N31" s="45">
        <f>H31</f>
        <v>5.18</v>
      </c>
      <c r="O31" s="45"/>
      <c r="P31" s="50">
        <f>N31*I31</f>
        <v>1.20435</v>
      </c>
      <c r="Q31" s="50">
        <f>N31*J31</f>
        <v>3.9756499999999995</v>
      </c>
    </row>
    <row r="32" spans="1:17">
      <c r="B32" s="18">
        <v>3</v>
      </c>
      <c r="C32" s="1">
        <v>2003</v>
      </c>
      <c r="D32" s="27">
        <v>1459.59</v>
      </c>
      <c r="E32" s="27">
        <v>444800000</v>
      </c>
      <c r="F32" s="27">
        <f t="shared" si="0"/>
        <v>44.48</v>
      </c>
      <c r="G32" s="40">
        <f t="shared" si="1"/>
        <v>32.814523381294961</v>
      </c>
      <c r="H32" s="27">
        <v>9.35</v>
      </c>
      <c r="I32" s="46">
        <f t="shared" ref="I32:I41" si="2">100%-J32</f>
        <v>0.19359999999999999</v>
      </c>
      <c r="J32" s="43">
        <v>0.80640000000000001</v>
      </c>
      <c r="K32" s="43">
        <f t="shared" ref="K32:K41" si="3">H32/G32</f>
        <v>0.28493481046047181</v>
      </c>
      <c r="L32" s="27"/>
      <c r="M32" s="47">
        <f>G31*(1+$L$31)</f>
        <v>27.222716215152882</v>
      </c>
      <c r="N32" s="39">
        <f>N31*(1+$K$31)</f>
        <v>5.6462000000000003</v>
      </c>
      <c r="O32" s="42">
        <f>(N32-H32)/H32</f>
        <v>-0.39612834224598925</v>
      </c>
      <c r="P32" s="2">
        <f>P31*(1+$K$31)</f>
        <v>1.3127415000000002</v>
      </c>
      <c r="Q32" s="2">
        <f>Q31*(1+$K$31)</f>
        <v>4.3334584999999999</v>
      </c>
    </row>
    <row r="33" spans="2:17">
      <c r="B33" s="18">
        <v>4</v>
      </c>
      <c r="C33" s="1">
        <v>2004</v>
      </c>
      <c r="D33" s="27">
        <v>2081.09</v>
      </c>
      <c r="E33" s="27">
        <v>444800000</v>
      </c>
      <c r="F33" s="27">
        <f t="shared" si="0"/>
        <v>44.48</v>
      </c>
      <c r="G33" s="40">
        <f t="shared" si="1"/>
        <v>46.787095323741013</v>
      </c>
      <c r="H33" s="27">
        <v>9.41</v>
      </c>
      <c r="I33" s="46">
        <f t="shared" si="2"/>
        <v>0.24050000000000005</v>
      </c>
      <c r="J33" s="43">
        <v>0.75949999999999995</v>
      </c>
      <c r="K33" s="43">
        <f t="shared" si="3"/>
        <v>0.20112383414460688</v>
      </c>
      <c r="L33" s="27"/>
      <c r="M33" s="47">
        <f>M32*(1+$L$31)</f>
        <v>29.103125337714566</v>
      </c>
      <c r="N33" s="39">
        <f t="shared" ref="N33:N41" si="4">N32*(1+$K$31)</f>
        <v>6.1543580000000011</v>
      </c>
      <c r="O33" s="42">
        <f t="shared" ref="O33:O41" si="5">(N33-H33)/H33</f>
        <v>-0.34597683315621669</v>
      </c>
      <c r="P33" s="1"/>
      <c r="Q33" s="1"/>
    </row>
    <row r="34" spans="2:17">
      <c r="B34" s="18">
        <v>5</v>
      </c>
      <c r="C34" s="1">
        <v>2005</v>
      </c>
      <c r="D34" s="27">
        <v>2575.19</v>
      </c>
      <c r="E34" s="27">
        <v>544800000</v>
      </c>
      <c r="F34" s="27">
        <f t="shared" si="0"/>
        <v>54.48</v>
      </c>
      <c r="G34" s="40">
        <f t="shared" si="1"/>
        <v>47.268538913362704</v>
      </c>
      <c r="H34" s="27">
        <v>11.96</v>
      </c>
      <c r="I34" s="46">
        <f t="shared" si="2"/>
        <v>0.22970000000000002</v>
      </c>
      <c r="J34" s="43">
        <v>0.77029999999999998</v>
      </c>
      <c r="K34" s="43">
        <f t="shared" si="3"/>
        <v>0.25302241776334949</v>
      </c>
      <c r="L34" s="27"/>
      <c r="M34" s="47">
        <f t="shared" ref="M34:M41" si="6">M33*(1+$L$31)</f>
        <v>31.113423720417199</v>
      </c>
      <c r="N34" s="39">
        <f t="shared" si="4"/>
        <v>6.7082502200000018</v>
      </c>
      <c r="O34" s="42">
        <f t="shared" si="5"/>
        <v>-0.43910951337792631</v>
      </c>
      <c r="P34" s="1"/>
      <c r="Q34" s="1"/>
    </row>
    <row r="35" spans="2:17">
      <c r="B35" s="18">
        <v>6</v>
      </c>
      <c r="C35" s="1">
        <v>2006</v>
      </c>
      <c r="D35" s="27">
        <v>31771.439999999999</v>
      </c>
      <c r="E35" s="27">
        <v>544800000</v>
      </c>
      <c r="F35" s="27">
        <f t="shared" si="0"/>
        <v>54.48</v>
      </c>
      <c r="G35" s="40">
        <f t="shared" si="1"/>
        <v>583.17621145374449</v>
      </c>
      <c r="H35" s="27">
        <v>14.38</v>
      </c>
      <c r="I35" s="46">
        <f t="shared" si="2"/>
        <v>0.21830000000000005</v>
      </c>
      <c r="J35" s="43">
        <v>0.78169999999999995</v>
      </c>
      <c r="K35" s="43">
        <f t="shared" si="3"/>
        <v>2.4658070266881202E-2</v>
      </c>
      <c r="L35" s="27"/>
      <c r="M35" s="47">
        <f t="shared" si="6"/>
        <v>33.262583463905017</v>
      </c>
      <c r="N35" s="39">
        <f t="shared" si="4"/>
        <v>7.3119927398000026</v>
      </c>
      <c r="O35" s="42">
        <f t="shared" si="5"/>
        <v>-0.49151649931849778</v>
      </c>
      <c r="P35" s="1"/>
      <c r="Q35" s="1"/>
    </row>
    <row r="36" spans="2:17">
      <c r="B36" s="18">
        <v>7</v>
      </c>
      <c r="C36" s="1">
        <v>2007</v>
      </c>
      <c r="D36" s="27">
        <v>3990.36</v>
      </c>
      <c r="E36" s="27">
        <v>544800000</v>
      </c>
      <c r="F36" s="27">
        <f t="shared" si="0"/>
        <v>54.48</v>
      </c>
      <c r="G36" s="40">
        <f t="shared" si="1"/>
        <v>73.244493392070495</v>
      </c>
      <c r="H36" s="27">
        <v>18.510000000000002</v>
      </c>
      <c r="I36" s="46">
        <f t="shared" si="2"/>
        <v>0.18999999999999995</v>
      </c>
      <c r="J36" s="43">
        <v>0.81</v>
      </c>
      <c r="K36" s="43">
        <f t="shared" si="3"/>
        <v>0.25271524373740711</v>
      </c>
      <c r="L36" s="27"/>
      <c r="M36" s="47">
        <f t="shared" si="6"/>
        <v>35.560196416674259</v>
      </c>
      <c r="N36" s="39">
        <f t="shared" si="4"/>
        <v>7.9700720863820038</v>
      </c>
      <c r="O36" s="42">
        <f t="shared" si="5"/>
        <v>-0.56941803963360327</v>
      </c>
      <c r="P36" s="1"/>
      <c r="Q36" s="1"/>
    </row>
    <row r="37" spans="2:17">
      <c r="B37" s="18">
        <v>8</v>
      </c>
      <c r="C37" s="1">
        <v>2008</v>
      </c>
      <c r="D37" s="27">
        <v>4856.67</v>
      </c>
      <c r="E37" s="27">
        <v>544800000</v>
      </c>
      <c r="F37" s="27">
        <f t="shared" si="0"/>
        <v>54.48</v>
      </c>
      <c r="G37" s="40">
        <f t="shared" si="1"/>
        <v>89.145925110132168</v>
      </c>
      <c r="H37" s="27">
        <v>22.07</v>
      </c>
      <c r="I37" s="46">
        <f t="shared" si="2"/>
        <v>0.16979999999999995</v>
      </c>
      <c r="J37" s="43">
        <v>0.83020000000000005</v>
      </c>
      <c r="K37" s="43">
        <f t="shared" si="3"/>
        <v>0.24757160770651493</v>
      </c>
      <c r="L37" s="27"/>
      <c r="M37" s="47">
        <f t="shared" si="6"/>
        <v>38.016516984156034</v>
      </c>
      <c r="N37" s="39">
        <f t="shared" si="4"/>
        <v>8.6873785741563854</v>
      </c>
      <c r="O37" s="42">
        <f t="shared" si="5"/>
        <v>-0.60637160968933457</v>
      </c>
      <c r="P37" s="1"/>
      <c r="Q37" s="1"/>
    </row>
    <row r="38" spans="2:17">
      <c r="B38" s="18">
        <v>9</v>
      </c>
      <c r="C38" s="1">
        <v>2009</v>
      </c>
      <c r="D38" s="27">
        <v>7150.96</v>
      </c>
      <c r="E38" s="27">
        <v>544800000</v>
      </c>
      <c r="F38" s="27">
        <f t="shared" si="0"/>
        <v>54.48</v>
      </c>
      <c r="G38" s="40">
        <f t="shared" si="1"/>
        <v>131.25844346549192</v>
      </c>
      <c r="H38" s="27">
        <v>24.34</v>
      </c>
      <c r="I38" s="46">
        <f t="shared" si="2"/>
        <v>0.22809999999999997</v>
      </c>
      <c r="J38" s="43">
        <v>0.77190000000000003</v>
      </c>
      <c r="K38" s="43">
        <f t="shared" si="3"/>
        <v>0.18543568975354358</v>
      </c>
      <c r="L38" s="27"/>
      <c r="M38" s="47">
        <f t="shared" si="6"/>
        <v>40.642507894836612</v>
      </c>
      <c r="N38" s="39">
        <f t="shared" si="4"/>
        <v>9.4692426458304606</v>
      </c>
      <c r="O38" s="42">
        <f t="shared" si="5"/>
        <v>-0.61095962835536322</v>
      </c>
      <c r="P38" s="1"/>
      <c r="Q38" s="1"/>
    </row>
    <row r="39" spans="2:17">
      <c r="B39" s="18">
        <v>10</v>
      </c>
      <c r="C39" s="1">
        <v>2010</v>
      </c>
      <c r="D39" s="27">
        <v>7524.58</v>
      </c>
      <c r="E39" s="27">
        <v>544800000</v>
      </c>
      <c r="F39" s="27">
        <f t="shared" si="0"/>
        <v>54.48</v>
      </c>
      <c r="G39" s="40">
        <f t="shared" si="1"/>
        <v>138.11637298091043</v>
      </c>
      <c r="H39" s="27">
        <v>12.98</v>
      </c>
      <c r="I39" s="46">
        <f t="shared" si="2"/>
        <v>0.31620000000000004</v>
      </c>
      <c r="J39" s="43">
        <v>0.68379999999999996</v>
      </c>
      <c r="K39" s="43">
        <f t="shared" si="3"/>
        <v>9.3978720406986169E-2</v>
      </c>
      <c r="L39" s="27"/>
      <c r="M39" s="47">
        <f t="shared" si="6"/>
        <v>43.449889127672449</v>
      </c>
      <c r="N39" s="39">
        <f t="shared" si="4"/>
        <v>10.321474483955203</v>
      </c>
      <c r="O39" s="42">
        <f t="shared" si="5"/>
        <v>-0.20481706595106294</v>
      </c>
      <c r="P39" s="1"/>
      <c r="Q39" s="1"/>
    </row>
    <row r="40" spans="2:17">
      <c r="B40" s="18">
        <v>11</v>
      </c>
      <c r="C40" s="1">
        <v>2011</v>
      </c>
      <c r="D40" s="27">
        <v>9324.93</v>
      </c>
      <c r="E40" s="27">
        <v>618749343</v>
      </c>
      <c r="F40" s="39">
        <f t="shared" si="0"/>
        <v>61.8749343</v>
      </c>
      <c r="G40" s="40">
        <f t="shared" si="1"/>
        <v>150.70609941641587</v>
      </c>
      <c r="H40" s="27">
        <v>17.329999999999998</v>
      </c>
      <c r="I40" s="46">
        <f t="shared" si="2"/>
        <v>0.33550000000000002</v>
      </c>
      <c r="J40" s="43">
        <v>0.66449999999999998</v>
      </c>
      <c r="K40" s="43">
        <f t="shared" si="3"/>
        <v>0.11499202797436547</v>
      </c>
      <c r="L40" s="27"/>
      <c r="M40" s="47">
        <f t="shared" si="6"/>
        <v>46.451190219166421</v>
      </c>
      <c r="N40" s="39">
        <f t="shared" si="4"/>
        <v>11.250407187511172</v>
      </c>
      <c r="O40" s="42">
        <f t="shared" si="5"/>
        <v>-0.35081320325959764</v>
      </c>
      <c r="P40" s="1"/>
      <c r="Q40" s="1"/>
    </row>
    <row r="41" spans="2:17">
      <c r="B41" s="18">
        <v>12</v>
      </c>
      <c r="C41" s="1">
        <v>2012</v>
      </c>
      <c r="D41" s="27">
        <v>11927.66</v>
      </c>
      <c r="E41" s="27">
        <v>796998198</v>
      </c>
      <c r="F41" s="39">
        <f t="shared" si="0"/>
        <v>79.6998198</v>
      </c>
      <c r="G41" s="40">
        <f t="shared" si="1"/>
        <v>149.65730198551842</v>
      </c>
      <c r="H41" s="27">
        <v>13.18</v>
      </c>
      <c r="I41" s="46">
        <f t="shared" si="2"/>
        <v>0.39780000000000004</v>
      </c>
      <c r="J41" s="43">
        <v>0.60219999999999996</v>
      </c>
      <c r="K41" s="43">
        <f t="shared" si="3"/>
        <v>8.806787123073595E-2</v>
      </c>
      <c r="L41" s="27"/>
      <c r="M41" s="47">
        <f t="shared" si="6"/>
        <v>49.659806183555339</v>
      </c>
      <c r="N41" s="39">
        <f t="shared" si="4"/>
        <v>12.262943834387178</v>
      </c>
      <c r="O41" s="42">
        <f t="shared" si="5"/>
        <v>-6.9579375236177674E-2</v>
      </c>
      <c r="P41" s="1"/>
      <c r="Q41" s="1"/>
    </row>
    <row r="42" spans="2:17">
      <c r="B42" s="18"/>
      <c r="C42" s="1"/>
      <c r="D42" s="27"/>
      <c r="E42" s="27"/>
      <c r="F42" s="27"/>
      <c r="G42" s="27"/>
      <c r="H42" s="27"/>
      <c r="I42" s="27"/>
      <c r="J42" s="27"/>
      <c r="K42" s="27"/>
      <c r="L42" s="27"/>
      <c r="M42" s="39"/>
      <c r="N42" s="27">
        <f>N41*5</f>
        <v>61.314719171935891</v>
      </c>
      <c r="O42" s="27"/>
      <c r="P42" s="1"/>
      <c r="Q42" s="1"/>
    </row>
    <row r="43" spans="2:17">
      <c r="B43" s="18"/>
      <c r="C43" s="1"/>
      <c r="D43" s="27"/>
      <c r="E43" s="27"/>
      <c r="F43" s="52" t="s">
        <v>1</v>
      </c>
      <c r="G43" s="53">
        <v>0.1938</v>
      </c>
      <c r="H43" s="53">
        <v>9.7900000000000001E-2</v>
      </c>
      <c r="I43" s="27"/>
      <c r="J43" s="27"/>
      <c r="K43" s="27"/>
      <c r="L43" s="27"/>
      <c r="P43" s="1"/>
      <c r="Q43" s="1"/>
    </row>
    <row r="44" spans="2:17">
      <c r="B44" s="18"/>
      <c r="C44" s="1"/>
      <c r="D44" s="27"/>
      <c r="E44" s="27"/>
      <c r="F44" s="27" t="s">
        <v>43</v>
      </c>
      <c r="G44" s="27"/>
      <c r="H44" s="27">
        <f>H41*6</f>
        <v>79.08</v>
      </c>
      <c r="I44" s="27"/>
      <c r="J44" s="27"/>
      <c r="K44" s="27"/>
      <c r="L44" s="27"/>
      <c r="M44" s="39"/>
      <c r="N44" s="27"/>
      <c r="O44" s="27"/>
      <c r="P44" s="1"/>
      <c r="Q44" s="1"/>
    </row>
    <row r="45" spans="2:17">
      <c r="L45" s="47">
        <v>103</v>
      </c>
      <c r="M45" s="27">
        <f>L45*K31</f>
        <v>9.27</v>
      </c>
    </row>
  </sheetData>
  <mergeCells count="3">
    <mergeCell ref="J5:K5"/>
    <mergeCell ref="J14:L14"/>
    <mergeCell ref="M5:N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2:T45"/>
  <sheetViews>
    <sheetView zoomScale="80" zoomScaleNormal="80" workbookViewId="0">
      <selection activeCell="B17" sqref="B17"/>
    </sheetView>
  </sheetViews>
  <sheetFormatPr defaultRowHeight="15"/>
  <cols>
    <col min="1" max="1" width="9.140625" style="6"/>
    <col min="2" max="2" width="16.140625" style="19" bestFit="1" customWidth="1"/>
    <col min="3" max="3" width="11.7109375" style="6" bestFit="1" customWidth="1"/>
    <col min="4" max="4" width="13.42578125" style="6" bestFit="1" customWidth="1"/>
    <col min="5" max="5" width="16" style="6" bestFit="1" customWidth="1"/>
    <col min="6" max="6" width="8.7109375" style="6" customWidth="1"/>
    <col min="7" max="7" width="17.7109375" style="6" bestFit="1" customWidth="1"/>
    <col min="8" max="8" width="9.140625" style="6"/>
    <col min="9" max="9" width="16.7109375" style="6" bestFit="1" customWidth="1"/>
    <col min="10" max="10" width="9.140625" style="6" bestFit="1" customWidth="1"/>
    <col min="11" max="11" width="19.5703125" style="6" bestFit="1" customWidth="1"/>
    <col min="12" max="12" width="9.42578125" style="6" bestFit="1" customWidth="1"/>
    <col min="13" max="13" width="17.7109375" style="6" bestFit="1" customWidth="1"/>
    <col min="14" max="14" width="9.140625" style="6"/>
    <col min="15" max="15" width="13" style="6" bestFit="1" customWidth="1"/>
    <col min="16" max="16" width="11.28515625" style="6" bestFit="1" customWidth="1"/>
    <col min="17" max="17" width="9.140625" style="6"/>
    <col min="18" max="18" width="18.140625" style="6" bestFit="1" customWidth="1"/>
    <col min="19" max="19" width="12.5703125" style="6" customWidth="1"/>
    <col min="20" max="20" width="12.28515625" style="6" bestFit="1" customWidth="1"/>
    <col min="21" max="16384" width="9.140625" style="6"/>
  </cols>
  <sheetData>
    <row r="2" spans="2:20">
      <c r="D2" s="6" t="s">
        <v>47</v>
      </c>
    </row>
    <row r="3" spans="2:20">
      <c r="B3" s="17" t="s">
        <v>0</v>
      </c>
      <c r="C3" s="17" t="s">
        <v>26</v>
      </c>
      <c r="D3" s="17" t="s">
        <v>25</v>
      </c>
      <c r="E3" s="17" t="s">
        <v>48</v>
      </c>
      <c r="F3" s="17" t="s">
        <v>42</v>
      </c>
      <c r="G3" s="17" t="s">
        <v>34</v>
      </c>
    </row>
    <row r="4" spans="2:20">
      <c r="B4" s="18">
        <v>0</v>
      </c>
      <c r="C4" s="1">
        <v>2000</v>
      </c>
      <c r="D4" s="1">
        <v>0</v>
      </c>
      <c r="E4" s="1"/>
      <c r="F4" s="1"/>
      <c r="G4" s="1">
        <v>40.340000000000003</v>
      </c>
    </row>
    <row r="5" spans="2:20" ht="15.75">
      <c r="B5" s="18">
        <v>1</v>
      </c>
      <c r="C5" s="1">
        <v>2001</v>
      </c>
      <c r="D5" s="1"/>
      <c r="E5" s="1"/>
      <c r="F5" s="1"/>
      <c r="G5" s="1">
        <v>115.93</v>
      </c>
      <c r="R5" s="206" t="s">
        <v>27</v>
      </c>
      <c r="S5" s="206"/>
    </row>
    <row r="6" spans="2:20">
      <c r="B6" s="18">
        <v>2</v>
      </c>
      <c r="C6" s="1">
        <v>2002</v>
      </c>
      <c r="D6" s="1">
        <v>26.5</v>
      </c>
      <c r="E6" s="1"/>
      <c r="F6" s="1"/>
      <c r="G6" s="1">
        <v>230.21</v>
      </c>
      <c r="R6" s="20" t="s">
        <v>28</v>
      </c>
      <c r="S6" s="21">
        <v>2.61</v>
      </c>
    </row>
    <row r="7" spans="2:20">
      <c r="B7" s="18">
        <v>3</v>
      </c>
      <c r="C7" s="1">
        <v>2003</v>
      </c>
      <c r="D7" s="1">
        <v>31.74</v>
      </c>
      <c r="E7" s="1"/>
      <c r="F7" s="1"/>
      <c r="G7" s="1">
        <v>416.1</v>
      </c>
      <c r="R7" s="20" t="s">
        <v>29</v>
      </c>
      <c r="S7" s="21">
        <v>203.28</v>
      </c>
    </row>
    <row r="8" spans="2:20">
      <c r="B8" s="18">
        <v>4</v>
      </c>
      <c r="C8" s="1">
        <v>2004</v>
      </c>
      <c r="D8" s="1">
        <v>45.28</v>
      </c>
      <c r="E8" s="1"/>
      <c r="F8" s="1"/>
      <c r="G8" s="1">
        <v>512.76</v>
      </c>
      <c r="R8" s="20" t="s">
        <v>30</v>
      </c>
      <c r="S8" s="22">
        <v>20</v>
      </c>
    </row>
    <row r="9" spans="2:20">
      <c r="B9" s="18">
        <v>5</v>
      </c>
      <c r="C9" s="1">
        <v>2005</v>
      </c>
      <c r="D9" s="1">
        <v>42.52</v>
      </c>
      <c r="E9" s="1"/>
      <c r="F9" s="1"/>
      <c r="G9" s="1">
        <v>651.36</v>
      </c>
      <c r="R9" s="23" t="s">
        <v>31</v>
      </c>
      <c r="S9" s="3">
        <f>((S7/S6)^(1/S8))-1</f>
        <v>0.24329076344312006</v>
      </c>
    </row>
    <row r="10" spans="2:20">
      <c r="B10" s="18">
        <v>6</v>
      </c>
      <c r="C10" s="1">
        <v>2006</v>
      </c>
      <c r="D10" s="1">
        <v>46.71</v>
      </c>
      <c r="E10" s="1"/>
      <c r="F10" s="1"/>
      <c r="G10" s="1">
        <v>783.34</v>
      </c>
      <c r="R10" s="23" t="s">
        <v>32</v>
      </c>
      <c r="S10" s="24">
        <v>140</v>
      </c>
    </row>
    <row r="11" spans="2:20">
      <c r="B11" s="18">
        <v>7</v>
      </c>
      <c r="C11" s="1">
        <v>2007</v>
      </c>
      <c r="D11" s="1">
        <v>49.38</v>
      </c>
      <c r="E11" s="1"/>
      <c r="F11" s="1"/>
      <c r="G11" s="1">
        <v>1008.43</v>
      </c>
      <c r="R11" s="20" t="s">
        <v>30</v>
      </c>
      <c r="S11" s="25">
        <f>S10/12</f>
        <v>11.666666666666666</v>
      </c>
    </row>
    <row r="12" spans="2:20">
      <c r="B12" s="18">
        <v>8</v>
      </c>
      <c r="C12" s="1">
        <v>2008</v>
      </c>
      <c r="D12" s="1">
        <v>67.56</v>
      </c>
      <c r="E12" s="1"/>
      <c r="F12" s="1"/>
      <c r="G12" s="1">
        <v>1202.3399999999999</v>
      </c>
      <c r="R12" s="23" t="s">
        <v>33</v>
      </c>
      <c r="S12" s="3">
        <f>((S7/S6)^(1/S11))-1</f>
        <v>0.45252842827596251</v>
      </c>
    </row>
    <row r="13" spans="2:20">
      <c r="B13" s="18">
        <v>9</v>
      </c>
      <c r="C13" s="1">
        <v>2009</v>
      </c>
      <c r="D13" s="1">
        <v>99.32</v>
      </c>
      <c r="E13" s="1"/>
      <c r="F13" s="1"/>
      <c r="G13" s="1">
        <v>1325.79</v>
      </c>
    </row>
    <row r="14" spans="2:20" ht="15.75">
      <c r="B14" s="18">
        <v>10</v>
      </c>
      <c r="C14" s="1">
        <v>2010</v>
      </c>
      <c r="D14" s="1">
        <v>123.39</v>
      </c>
      <c r="E14" s="1"/>
      <c r="F14" s="1"/>
      <c r="G14" s="1">
        <v>706.96</v>
      </c>
      <c r="R14" s="206" t="s">
        <v>36</v>
      </c>
      <c r="S14" s="206"/>
      <c r="T14" s="206"/>
    </row>
    <row r="15" spans="2:20">
      <c r="B15" s="18">
        <v>11</v>
      </c>
      <c r="C15" s="1">
        <v>2011</v>
      </c>
      <c r="D15" s="1">
        <v>142.53</v>
      </c>
      <c r="E15" s="1"/>
      <c r="F15" s="1"/>
      <c r="G15" s="1">
        <v>1072.1300000000001</v>
      </c>
      <c r="R15" s="29" t="s">
        <v>37</v>
      </c>
      <c r="S15" s="29"/>
      <c r="T15" s="30">
        <v>100000</v>
      </c>
    </row>
    <row r="16" spans="2:20">
      <c r="B16" s="18">
        <v>12</v>
      </c>
      <c r="C16" s="1">
        <v>2012</v>
      </c>
      <c r="D16" s="1">
        <v>146.66999999999999</v>
      </c>
      <c r="E16" s="1"/>
      <c r="F16" s="1"/>
      <c r="G16" s="1">
        <v>1050.1300000000001</v>
      </c>
      <c r="R16" s="29" t="s">
        <v>38</v>
      </c>
      <c r="S16" s="29"/>
      <c r="T16" s="31">
        <v>0.15</v>
      </c>
    </row>
    <row r="17" spans="1:20">
      <c r="B17" s="18"/>
      <c r="C17" s="1"/>
      <c r="D17" s="1"/>
      <c r="E17" s="1"/>
      <c r="F17" s="1"/>
      <c r="G17" s="1"/>
      <c r="R17" s="29" t="s">
        <v>39</v>
      </c>
      <c r="S17" s="29"/>
      <c r="T17" s="32">
        <v>10</v>
      </c>
    </row>
    <row r="18" spans="1:20">
      <c r="B18" s="18"/>
      <c r="C18" s="1" t="s">
        <v>1</v>
      </c>
      <c r="D18" s="4">
        <v>0.14449999999999999</v>
      </c>
      <c r="E18" s="4"/>
      <c r="F18" s="4"/>
      <c r="G18" s="4">
        <v>0.2016</v>
      </c>
      <c r="R18" s="29" t="s">
        <v>40</v>
      </c>
      <c r="S18" s="29"/>
      <c r="T18" s="33">
        <v>0</v>
      </c>
    </row>
    <row r="19" spans="1:20">
      <c r="B19" s="18"/>
      <c r="C19" s="1" t="s">
        <v>43</v>
      </c>
      <c r="D19" s="1"/>
      <c r="E19" s="1"/>
      <c r="F19" s="1">
        <v>4</v>
      </c>
      <c r="G19" s="1"/>
      <c r="R19" s="34" t="s">
        <v>41</v>
      </c>
      <c r="S19" s="34"/>
      <c r="T19" s="29">
        <f>FV(T16,T17,T18,-T15)</f>
        <v>404555.77357079065</v>
      </c>
    </row>
    <row r="20" spans="1:20">
      <c r="B20" s="18" t="s">
        <v>35</v>
      </c>
      <c r="C20" s="1">
        <v>2022</v>
      </c>
      <c r="D20" s="1">
        <v>50.82</v>
      </c>
      <c r="E20" s="1"/>
      <c r="F20" s="1"/>
      <c r="G20" s="1"/>
    </row>
    <row r="21" spans="1:20">
      <c r="B21" s="18" t="s">
        <v>44</v>
      </c>
      <c r="C21" s="1">
        <v>2012</v>
      </c>
      <c r="D21" s="1">
        <v>70</v>
      </c>
      <c r="E21" s="1"/>
      <c r="F21" s="1"/>
      <c r="G21" s="1"/>
    </row>
    <row r="22" spans="1:20">
      <c r="B22" s="18" t="s">
        <v>45</v>
      </c>
      <c r="C22" s="1">
        <v>2022</v>
      </c>
      <c r="D22" s="1">
        <f>D20*F19</f>
        <v>203.28</v>
      </c>
      <c r="E22" s="1"/>
      <c r="F22" s="1"/>
      <c r="G22" s="1"/>
    </row>
    <row r="23" spans="1:20">
      <c r="B23" s="18" t="s">
        <v>46</v>
      </c>
      <c r="C23" s="1"/>
      <c r="D23" s="4">
        <v>0.1125</v>
      </c>
      <c r="E23" s="4"/>
      <c r="F23" s="1"/>
      <c r="G23" s="1"/>
    </row>
    <row r="27" spans="1:20">
      <c r="B27" s="27"/>
      <c r="C27" s="38"/>
      <c r="D27" s="35" t="s">
        <v>49</v>
      </c>
      <c r="E27" s="36"/>
      <c r="F27" s="36"/>
      <c r="G27" s="36"/>
      <c r="H27" s="36"/>
      <c r="I27" s="37"/>
      <c r="J27" s="26"/>
      <c r="K27" s="26"/>
      <c r="L27" s="26"/>
      <c r="M27" s="26"/>
    </row>
    <row r="28" spans="1:20">
      <c r="B28" s="17" t="s">
        <v>0</v>
      </c>
      <c r="C28" s="17" t="s">
        <v>61</v>
      </c>
      <c r="D28" s="28" t="s">
        <v>50</v>
      </c>
      <c r="E28" s="28" t="s">
        <v>51</v>
      </c>
      <c r="F28" s="28" t="s">
        <v>52</v>
      </c>
      <c r="G28" s="28" t="s">
        <v>62</v>
      </c>
      <c r="H28" s="28" t="s">
        <v>25</v>
      </c>
      <c r="I28" s="28" t="s">
        <v>55</v>
      </c>
      <c r="J28" s="28" t="s">
        <v>63</v>
      </c>
      <c r="K28" s="28" t="s">
        <v>54</v>
      </c>
      <c r="L28" s="28" t="s">
        <v>56</v>
      </c>
      <c r="M28" s="28" t="s">
        <v>58</v>
      </c>
      <c r="N28" s="28" t="s">
        <v>57</v>
      </c>
      <c r="O28" s="28" t="s">
        <v>59</v>
      </c>
      <c r="P28" s="28" t="s">
        <v>60</v>
      </c>
    </row>
    <row r="29" spans="1:20">
      <c r="B29" s="18">
        <v>0</v>
      </c>
      <c r="C29" s="1">
        <v>2000</v>
      </c>
      <c r="D29" s="27">
        <v>749.84</v>
      </c>
      <c r="E29" s="27"/>
      <c r="F29" s="27"/>
      <c r="G29" s="27"/>
      <c r="H29" s="27">
        <v>0</v>
      </c>
      <c r="I29" s="46">
        <f>100%-J29</f>
        <v>0</v>
      </c>
      <c r="J29" s="41">
        <v>1</v>
      </c>
      <c r="K29" s="43"/>
      <c r="L29" s="27"/>
      <c r="M29" s="47"/>
      <c r="N29" s="27"/>
      <c r="O29" s="1"/>
      <c r="P29" s="1"/>
    </row>
    <row r="30" spans="1:20">
      <c r="B30" s="18">
        <v>1</v>
      </c>
      <c r="C30" s="1">
        <v>2001</v>
      </c>
      <c r="D30" s="27">
        <v>932.76</v>
      </c>
      <c r="E30" s="27">
        <v>444800000</v>
      </c>
      <c r="F30" s="27">
        <f>E30/10000000</f>
        <v>44.48</v>
      </c>
      <c r="G30" s="40">
        <f>D30/F30</f>
        <v>20.970323741007196</v>
      </c>
      <c r="H30" s="27">
        <v>2.61</v>
      </c>
      <c r="I30" s="46">
        <f>100%-J30</f>
        <v>0.36419999999999997</v>
      </c>
      <c r="J30" s="43">
        <v>0.63580000000000003</v>
      </c>
      <c r="K30" s="43">
        <f t="shared" ref="K30:K41" si="0">H30/G30</f>
        <v>0.12446159783867232</v>
      </c>
      <c r="L30" s="27"/>
      <c r="M30" s="47"/>
      <c r="N30" s="27"/>
      <c r="O30" s="1"/>
      <c r="P30" s="1"/>
    </row>
    <row r="31" spans="1:20">
      <c r="A31" s="6" t="s">
        <v>53</v>
      </c>
      <c r="B31" s="18">
        <v>2</v>
      </c>
      <c r="C31" s="1">
        <v>2002</v>
      </c>
      <c r="D31" s="27">
        <v>1132.6300000000001</v>
      </c>
      <c r="E31" s="27">
        <v>444800000</v>
      </c>
      <c r="F31" s="27">
        <f t="shared" ref="F31:F41" si="1">E31/10000000</f>
        <v>44.48</v>
      </c>
      <c r="G31" s="44">
        <f t="shared" ref="G31:G41" si="2">D31/F31</f>
        <v>25.463803956834536</v>
      </c>
      <c r="H31" s="45">
        <v>5.18</v>
      </c>
      <c r="I31" s="46">
        <f>100%-J31</f>
        <v>0.23250000000000004</v>
      </c>
      <c r="J31" s="43">
        <v>0.76749999999999996</v>
      </c>
      <c r="K31" s="51">
        <f t="shared" si="0"/>
        <v>0.20342600849350623</v>
      </c>
      <c r="L31" s="48">
        <f>K31*J31</f>
        <v>0.15612946151876603</v>
      </c>
      <c r="M31" s="49">
        <v>25.46</v>
      </c>
      <c r="N31" s="45">
        <f>H31</f>
        <v>5.18</v>
      </c>
      <c r="O31" s="50">
        <f>N31*I31</f>
        <v>1.20435</v>
      </c>
      <c r="P31" s="50">
        <f>N31*J31</f>
        <v>3.9756499999999995</v>
      </c>
    </row>
    <row r="32" spans="1:20">
      <c r="B32" s="18">
        <v>3</v>
      </c>
      <c r="C32" s="1">
        <v>2003</v>
      </c>
      <c r="D32" s="27">
        <v>1459.59</v>
      </c>
      <c r="E32" s="27">
        <v>444800000</v>
      </c>
      <c r="F32" s="27">
        <f t="shared" si="1"/>
        <v>44.48</v>
      </c>
      <c r="G32" s="40">
        <f t="shared" si="2"/>
        <v>32.814523381294961</v>
      </c>
      <c r="H32" s="27">
        <v>9.35</v>
      </c>
      <c r="I32" s="46">
        <f t="shared" ref="I32:I41" si="3">100%-J32</f>
        <v>0.19359999999999999</v>
      </c>
      <c r="J32" s="43">
        <v>0.80640000000000001</v>
      </c>
      <c r="K32" s="43">
        <f t="shared" si="0"/>
        <v>0.28493481046047181</v>
      </c>
      <c r="L32" s="27"/>
      <c r="M32" s="47">
        <f>G31*(1+$L$31)</f>
        <v>29.439453956834537</v>
      </c>
      <c r="N32" s="39">
        <f>N31*(1+$K$31)</f>
        <v>6.2337467239963615</v>
      </c>
      <c r="O32" s="2">
        <f>O31*(1+$K$31)</f>
        <v>1.4493461133291543</v>
      </c>
      <c r="P32" s="2">
        <f>P31*(1+$K$31)</f>
        <v>4.7844006106672072</v>
      </c>
    </row>
    <row r="33" spans="2:16">
      <c r="B33" s="18">
        <v>4</v>
      </c>
      <c r="C33" s="1">
        <v>2004</v>
      </c>
      <c r="D33" s="27">
        <v>2081.09</v>
      </c>
      <c r="E33" s="27">
        <v>444800000</v>
      </c>
      <c r="F33" s="27">
        <f t="shared" si="1"/>
        <v>44.48</v>
      </c>
      <c r="G33" s="40">
        <f t="shared" si="2"/>
        <v>46.787095323741013</v>
      </c>
      <c r="H33" s="27">
        <v>9.41</v>
      </c>
      <c r="I33" s="46">
        <f t="shared" si="3"/>
        <v>0.24050000000000005</v>
      </c>
      <c r="J33" s="43">
        <v>0.75949999999999995</v>
      </c>
      <c r="K33" s="43">
        <f t="shared" si="0"/>
        <v>0.20112383414460688</v>
      </c>
      <c r="L33" s="27"/>
      <c r="M33" s="47">
        <f>M32*(1+$L$31)</f>
        <v>34.035820050521622</v>
      </c>
      <c r="N33" s="39">
        <f t="shared" ref="N33:N41" si="4">N32*(1+$K$31)</f>
        <v>7.5018529380184118</v>
      </c>
      <c r="O33" s="1"/>
      <c r="P33" s="1"/>
    </row>
    <row r="34" spans="2:16">
      <c r="B34" s="18">
        <v>5</v>
      </c>
      <c r="C34" s="1">
        <v>2005</v>
      </c>
      <c r="D34" s="27">
        <v>2575.19</v>
      </c>
      <c r="E34" s="27">
        <v>544800000</v>
      </c>
      <c r="F34" s="27">
        <f t="shared" si="1"/>
        <v>54.48</v>
      </c>
      <c r="G34" s="40">
        <f t="shared" si="2"/>
        <v>47.268538913362704</v>
      </c>
      <c r="H34" s="27">
        <v>11.96</v>
      </c>
      <c r="I34" s="46">
        <f t="shared" si="3"/>
        <v>0.22970000000000002</v>
      </c>
      <c r="J34" s="43">
        <v>0.77029999999999998</v>
      </c>
      <c r="K34" s="43">
        <f t="shared" si="0"/>
        <v>0.25302241776334949</v>
      </c>
      <c r="L34" s="27"/>
      <c r="M34" s="47">
        <f t="shared" ref="M34:M41" si="5">M33*(1+$L$31)</f>
        <v>39.349814307359182</v>
      </c>
      <c r="N34" s="39">
        <f t="shared" si="4"/>
        <v>9.0279249375047801</v>
      </c>
      <c r="O34" s="1"/>
      <c r="P34" s="1"/>
    </row>
    <row r="35" spans="2:16">
      <c r="B35" s="18">
        <v>6</v>
      </c>
      <c r="C35" s="1">
        <v>2006</v>
      </c>
      <c r="D35" s="27">
        <v>31771.439999999999</v>
      </c>
      <c r="E35" s="27">
        <v>544800000</v>
      </c>
      <c r="F35" s="27">
        <f t="shared" si="1"/>
        <v>54.48</v>
      </c>
      <c r="G35" s="40">
        <f t="shared" si="2"/>
        <v>583.17621145374449</v>
      </c>
      <c r="H35" s="27">
        <v>14.38</v>
      </c>
      <c r="I35" s="46">
        <f t="shared" si="3"/>
        <v>0.21830000000000005</v>
      </c>
      <c r="J35" s="43">
        <v>0.78169999999999995</v>
      </c>
      <c r="K35" s="43">
        <f t="shared" si="0"/>
        <v>2.4658070266881202E-2</v>
      </c>
      <c r="L35" s="27"/>
      <c r="M35" s="47">
        <f t="shared" si="5"/>
        <v>45.493479626030606</v>
      </c>
      <c r="N35" s="39">
        <f t="shared" si="4"/>
        <v>10.864439672520364</v>
      </c>
      <c r="O35" s="1"/>
      <c r="P35" s="1"/>
    </row>
    <row r="36" spans="2:16">
      <c r="B36" s="18">
        <v>7</v>
      </c>
      <c r="C36" s="1">
        <v>2007</v>
      </c>
      <c r="D36" s="27">
        <v>3990.36</v>
      </c>
      <c r="E36" s="27">
        <v>544800000</v>
      </c>
      <c r="F36" s="27">
        <f t="shared" si="1"/>
        <v>54.48</v>
      </c>
      <c r="G36" s="40">
        <f t="shared" si="2"/>
        <v>73.244493392070495</v>
      </c>
      <c r="H36" s="27">
        <v>18.510000000000002</v>
      </c>
      <c r="I36" s="46">
        <f t="shared" si="3"/>
        <v>0.18999999999999995</v>
      </c>
      <c r="J36" s="43">
        <v>0.81</v>
      </c>
      <c r="K36" s="43">
        <f t="shared" si="0"/>
        <v>0.25271524373740711</v>
      </c>
      <c r="L36" s="27"/>
      <c r="M36" s="47">
        <f t="shared" si="5"/>
        <v>52.596352102657718</v>
      </c>
      <c r="N36" s="39">
        <f t="shared" si="4"/>
        <v>13.074549269619677</v>
      </c>
      <c r="O36" s="1"/>
      <c r="P36" s="1"/>
    </row>
    <row r="37" spans="2:16">
      <c r="B37" s="18">
        <v>8</v>
      </c>
      <c r="C37" s="1">
        <v>2008</v>
      </c>
      <c r="D37" s="27">
        <v>4856.67</v>
      </c>
      <c r="E37" s="27">
        <v>544800000</v>
      </c>
      <c r="F37" s="27">
        <f t="shared" si="1"/>
        <v>54.48</v>
      </c>
      <c r="G37" s="40">
        <f t="shared" si="2"/>
        <v>89.145925110132168</v>
      </c>
      <c r="H37" s="27">
        <v>22.07</v>
      </c>
      <c r="I37" s="46">
        <f t="shared" si="3"/>
        <v>0.16979999999999995</v>
      </c>
      <c r="J37" s="43">
        <v>0.83020000000000005</v>
      </c>
      <c r="K37" s="43">
        <f t="shared" si="0"/>
        <v>0.24757160770651493</v>
      </c>
      <c r="L37" s="27"/>
      <c r="M37" s="47">
        <f t="shared" si="5"/>
        <v>60.808192234297088</v>
      </c>
      <c r="N37" s="39">
        <f t="shared" si="4"/>
        <v>15.734252640390094</v>
      </c>
      <c r="O37" s="1"/>
      <c r="P37" s="1"/>
    </row>
    <row r="38" spans="2:16">
      <c r="B38" s="18">
        <v>9</v>
      </c>
      <c r="C38" s="1">
        <v>2009</v>
      </c>
      <c r="D38" s="27">
        <v>7150.96</v>
      </c>
      <c r="E38" s="27">
        <v>544800000</v>
      </c>
      <c r="F38" s="27">
        <f t="shared" si="1"/>
        <v>54.48</v>
      </c>
      <c r="G38" s="40">
        <f t="shared" si="2"/>
        <v>131.25844346549192</v>
      </c>
      <c r="H38" s="27">
        <v>24.34</v>
      </c>
      <c r="I38" s="46">
        <f t="shared" si="3"/>
        <v>0.22809999999999997</v>
      </c>
      <c r="J38" s="43">
        <v>0.77190000000000003</v>
      </c>
      <c r="K38" s="43">
        <f t="shared" si="0"/>
        <v>0.18543568975354358</v>
      </c>
      <c r="L38" s="27"/>
      <c r="M38" s="47">
        <f t="shared" si="5"/>
        <v>70.302142543767502</v>
      </c>
      <c r="N38" s="39">
        <f t="shared" si="4"/>
        <v>18.935008851653063</v>
      </c>
      <c r="O38" s="1"/>
      <c r="P38" s="1"/>
    </row>
    <row r="39" spans="2:16">
      <c r="B39" s="18">
        <v>10</v>
      </c>
      <c r="C39" s="1">
        <v>2010</v>
      </c>
      <c r="D39" s="27">
        <v>7524.58</v>
      </c>
      <c r="E39" s="27">
        <v>544800000</v>
      </c>
      <c r="F39" s="27">
        <f t="shared" si="1"/>
        <v>54.48</v>
      </c>
      <c r="G39" s="40">
        <f t="shared" si="2"/>
        <v>138.11637298091043</v>
      </c>
      <c r="H39" s="27">
        <v>12.98</v>
      </c>
      <c r="I39" s="46">
        <f t="shared" si="3"/>
        <v>0.31620000000000004</v>
      </c>
      <c r="J39" s="43">
        <v>0.68379999999999996</v>
      </c>
      <c r="K39" s="43">
        <f t="shared" si="0"/>
        <v>9.3978720406986169E-2</v>
      </c>
      <c r="L39" s="27"/>
      <c r="M39" s="47">
        <f t="shared" si="5"/>
        <v>81.27837820274145</v>
      </c>
      <c r="N39" s="39">
        <f t="shared" si="4"/>
        <v>22.786882123134053</v>
      </c>
      <c r="O39" s="1"/>
      <c r="P39" s="1"/>
    </row>
    <row r="40" spans="2:16">
      <c r="B40" s="18">
        <v>11</v>
      </c>
      <c r="C40" s="1">
        <v>2011</v>
      </c>
      <c r="D40" s="27">
        <v>9324.93</v>
      </c>
      <c r="E40" s="27">
        <v>618749343</v>
      </c>
      <c r="F40" s="39">
        <f t="shared" si="1"/>
        <v>61.8749343</v>
      </c>
      <c r="G40" s="40">
        <f t="shared" si="2"/>
        <v>150.70609941641587</v>
      </c>
      <c r="H40" s="27">
        <v>17.329999999999998</v>
      </c>
      <c r="I40" s="46">
        <f t="shared" si="3"/>
        <v>0.33550000000000002</v>
      </c>
      <c r="J40" s="43">
        <v>0.66449999999999998</v>
      </c>
      <c r="K40" s="43">
        <f t="shared" si="0"/>
        <v>0.11499202797436547</v>
      </c>
      <c r="L40" s="27"/>
      <c r="M40" s="47">
        <f t="shared" si="5"/>
        <v>93.96832762465408</v>
      </c>
      <c r="N40" s="39">
        <f t="shared" si="4"/>
        <v>27.422326599455246</v>
      </c>
      <c r="O40" s="1"/>
      <c r="P40" s="1"/>
    </row>
    <row r="41" spans="2:16">
      <c r="B41" s="18">
        <v>12</v>
      </c>
      <c r="C41" s="1">
        <v>2012</v>
      </c>
      <c r="D41" s="27">
        <v>11927.66</v>
      </c>
      <c r="E41" s="27">
        <v>796998198</v>
      </c>
      <c r="F41" s="39">
        <f t="shared" si="1"/>
        <v>79.6998198</v>
      </c>
      <c r="G41" s="40">
        <f t="shared" si="2"/>
        <v>149.65730198551842</v>
      </c>
      <c r="H41" s="27">
        <v>13.18</v>
      </c>
      <c r="I41" s="46">
        <f t="shared" si="3"/>
        <v>0.39780000000000004</v>
      </c>
      <c r="J41" s="43">
        <v>0.60219999999999996</v>
      </c>
      <c r="K41" s="43">
        <f t="shared" si="0"/>
        <v>8.806787123073595E-2</v>
      </c>
      <c r="L41" s="27"/>
      <c r="M41" s="47">
        <f t="shared" si="5"/>
        <v>108.63955201651031</v>
      </c>
      <c r="N41" s="39">
        <f t="shared" si="4"/>
        <v>33.00074104318773</v>
      </c>
      <c r="O41" s="1"/>
      <c r="P41" s="1"/>
    </row>
    <row r="42" spans="2:16">
      <c r="B42" s="18"/>
      <c r="C42" s="1"/>
      <c r="D42" s="27"/>
      <c r="E42" s="27"/>
      <c r="F42" s="27"/>
      <c r="G42" s="27"/>
      <c r="H42" s="27"/>
      <c r="I42" s="27"/>
      <c r="J42" s="27"/>
      <c r="K42" s="27"/>
      <c r="L42" s="27"/>
      <c r="M42" s="39"/>
      <c r="N42" s="27">
        <f>N41*5</f>
        <v>165.00370521593865</v>
      </c>
      <c r="O42" s="1"/>
      <c r="P42" s="1"/>
    </row>
    <row r="43" spans="2:16">
      <c r="B43" s="18"/>
      <c r="C43" s="1"/>
      <c r="D43" s="27"/>
      <c r="E43" s="27"/>
      <c r="F43" s="52" t="s">
        <v>1</v>
      </c>
      <c r="G43" s="53">
        <v>0.1938</v>
      </c>
      <c r="H43" s="53">
        <v>9.7900000000000001E-2</v>
      </c>
      <c r="I43" s="27"/>
      <c r="J43" s="27"/>
      <c r="K43" s="27"/>
      <c r="L43" s="27"/>
      <c r="O43" s="1"/>
      <c r="P43" s="1"/>
    </row>
    <row r="44" spans="2:16">
      <c r="B44" s="18"/>
      <c r="C44" s="1"/>
      <c r="D44" s="27"/>
      <c r="E44" s="27"/>
      <c r="F44" s="27" t="s">
        <v>43</v>
      </c>
      <c r="G44" s="27"/>
      <c r="H44" s="27">
        <f>H41*6</f>
        <v>79.08</v>
      </c>
      <c r="I44" s="27"/>
      <c r="J44" s="27"/>
      <c r="K44" s="27"/>
      <c r="L44" s="27"/>
      <c r="M44" s="39"/>
      <c r="N44" s="27"/>
      <c r="O44" s="1"/>
      <c r="P44" s="1"/>
    </row>
    <row r="45" spans="2:16">
      <c r="L45" s="47">
        <v>103</v>
      </c>
      <c r="M45" s="27">
        <f>L45*K31</f>
        <v>20.952878874831143</v>
      </c>
    </row>
  </sheetData>
  <mergeCells count="2">
    <mergeCell ref="R5:S5"/>
    <mergeCell ref="R14:T14"/>
  </mergeCells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>
  <dimension ref="B2:L48"/>
  <sheetViews>
    <sheetView topLeftCell="A25" zoomScale="90" zoomScaleNormal="90" workbookViewId="0">
      <selection activeCell="G25" sqref="G25"/>
    </sheetView>
  </sheetViews>
  <sheetFormatPr defaultRowHeight="15"/>
  <cols>
    <col min="1" max="1" width="9.140625" style="56"/>
    <col min="2" max="2" width="16.7109375" style="56" bestFit="1" customWidth="1"/>
    <col min="3" max="3" width="11.5703125" style="56" customWidth="1"/>
    <col min="4" max="4" width="12.85546875" style="56" customWidth="1"/>
    <col min="5" max="5" width="12.85546875" style="56" bestFit="1" customWidth="1"/>
    <col min="6" max="6" width="13" style="56" customWidth="1"/>
    <col min="7" max="7" width="11.7109375" style="56" customWidth="1"/>
    <col min="8" max="8" width="12.28515625" style="56" customWidth="1"/>
    <col min="9" max="9" width="12.140625" style="56" bestFit="1" customWidth="1"/>
    <col min="10" max="10" width="11.5703125" style="56" bestFit="1" customWidth="1"/>
    <col min="11" max="11" width="11.28515625" style="56" customWidth="1"/>
    <col min="12" max="16384" width="9.140625" style="56"/>
  </cols>
  <sheetData>
    <row r="2" spans="2:12">
      <c r="B2" s="206" t="s">
        <v>27</v>
      </c>
      <c r="C2" s="206"/>
      <c r="E2" s="206" t="s">
        <v>65</v>
      </c>
      <c r="F2" s="206"/>
      <c r="H2" s="210" t="s">
        <v>36</v>
      </c>
      <c r="I2" s="211"/>
    </row>
    <row r="3" spans="2:12">
      <c r="B3" s="20" t="s">
        <v>28</v>
      </c>
      <c r="C3" s="21">
        <v>2.61</v>
      </c>
      <c r="E3" s="29" t="s">
        <v>41</v>
      </c>
      <c r="F3" s="54">
        <v>399</v>
      </c>
      <c r="H3" s="29" t="s">
        <v>37</v>
      </c>
      <c r="I3" s="30">
        <v>100000</v>
      </c>
    </row>
    <row r="4" spans="2:12">
      <c r="B4" s="20" t="s">
        <v>29</v>
      </c>
      <c r="C4" s="21">
        <v>17</v>
      </c>
      <c r="E4" s="29" t="s">
        <v>38</v>
      </c>
      <c r="F4" s="31">
        <v>0.2</v>
      </c>
      <c r="H4" s="29" t="s">
        <v>38</v>
      </c>
      <c r="I4" s="31">
        <v>0.15</v>
      </c>
    </row>
    <row r="5" spans="2:12">
      <c r="B5" s="20" t="s">
        <v>30</v>
      </c>
      <c r="C5" s="22">
        <v>9</v>
      </c>
      <c r="E5" s="29" t="s">
        <v>39</v>
      </c>
      <c r="F5" s="32">
        <v>10</v>
      </c>
      <c r="H5" s="29" t="s">
        <v>39</v>
      </c>
      <c r="I5" s="32">
        <v>10</v>
      </c>
    </row>
    <row r="6" spans="2:12">
      <c r="B6" s="23" t="s">
        <v>31</v>
      </c>
      <c r="C6" s="3">
        <f>((C4/C3)^(1/C5))-1</f>
        <v>0.23146807384688306</v>
      </c>
      <c r="E6" s="29" t="s">
        <v>40</v>
      </c>
      <c r="F6" s="30">
        <v>0</v>
      </c>
      <c r="H6" s="29" t="s">
        <v>40</v>
      </c>
      <c r="I6" s="33">
        <v>0</v>
      </c>
    </row>
    <row r="7" spans="2:12">
      <c r="E7" s="34" t="s">
        <v>66</v>
      </c>
      <c r="F7" s="55">
        <f>PV(F4,F5,F6,-F3)</f>
        <v>64.440727573048449</v>
      </c>
      <c r="H7" s="34" t="s">
        <v>41</v>
      </c>
      <c r="I7" s="29">
        <f>FV(I4,I5,I6,-I3)</f>
        <v>404555.77357079065</v>
      </c>
    </row>
    <row r="9" spans="2:12" ht="15.75" thickBot="1"/>
    <row r="10" spans="2:12" ht="16.5" thickBot="1">
      <c r="B10" s="86"/>
      <c r="C10" s="87"/>
      <c r="D10" s="207" t="s">
        <v>68</v>
      </c>
      <c r="E10" s="208"/>
      <c r="F10" s="208"/>
      <c r="G10" s="208"/>
      <c r="H10" s="209"/>
      <c r="I10" s="207" t="s">
        <v>72</v>
      </c>
      <c r="J10" s="208"/>
      <c r="K10" s="208"/>
      <c r="L10" s="209"/>
    </row>
    <row r="11" spans="2:12" ht="45">
      <c r="B11" s="88" t="s">
        <v>0</v>
      </c>
      <c r="C11" s="89" t="s">
        <v>71</v>
      </c>
      <c r="D11" s="81" t="s">
        <v>50</v>
      </c>
      <c r="E11" s="82" t="s">
        <v>51</v>
      </c>
      <c r="F11" s="83" t="s">
        <v>52</v>
      </c>
      <c r="G11" s="83" t="s">
        <v>70</v>
      </c>
      <c r="H11" s="84" t="s">
        <v>25</v>
      </c>
      <c r="I11" s="81" t="s">
        <v>50</v>
      </c>
      <c r="J11" s="83" t="s">
        <v>52</v>
      </c>
      <c r="K11" s="83" t="s">
        <v>70</v>
      </c>
      <c r="L11" s="84" t="s">
        <v>25</v>
      </c>
    </row>
    <row r="12" spans="2:12" ht="15.75">
      <c r="B12" s="90">
        <v>0</v>
      </c>
      <c r="C12" s="91">
        <v>2000</v>
      </c>
      <c r="D12" s="66">
        <v>749.84</v>
      </c>
      <c r="E12" s="59"/>
      <c r="F12" s="59"/>
      <c r="G12" s="59"/>
      <c r="H12" s="67"/>
      <c r="I12" s="77"/>
      <c r="J12" s="60"/>
      <c r="K12" s="60"/>
      <c r="L12" s="78"/>
    </row>
    <row r="13" spans="2:12" ht="15.75">
      <c r="B13" s="90">
        <v>1</v>
      </c>
      <c r="C13" s="91">
        <v>2001</v>
      </c>
      <c r="D13" s="66">
        <v>932.76</v>
      </c>
      <c r="E13" s="59">
        <v>444800000</v>
      </c>
      <c r="F13" s="59">
        <f>E13/10000000</f>
        <v>44.48</v>
      </c>
      <c r="G13" s="62">
        <f>D13/F13</f>
        <v>20.970323741007196</v>
      </c>
      <c r="H13" s="68">
        <v>2.61</v>
      </c>
      <c r="I13" s="77"/>
      <c r="J13" s="60"/>
      <c r="K13" s="60"/>
      <c r="L13" s="78"/>
    </row>
    <row r="14" spans="2:12" ht="15.75">
      <c r="B14" s="90">
        <v>2</v>
      </c>
      <c r="C14" s="91">
        <v>2002</v>
      </c>
      <c r="D14" s="66">
        <v>1132.6300000000001</v>
      </c>
      <c r="E14" s="59">
        <v>444800000</v>
      </c>
      <c r="F14" s="59">
        <f t="shared" ref="F14:F24" si="0">E14/10000000</f>
        <v>44.48</v>
      </c>
      <c r="G14" s="62">
        <f t="shared" ref="G14:G24" si="1">D14/F14</f>
        <v>25.463803956834536</v>
      </c>
      <c r="H14" s="68">
        <v>5.18</v>
      </c>
      <c r="I14" s="77"/>
      <c r="J14" s="60"/>
      <c r="K14" s="60"/>
      <c r="L14" s="78"/>
    </row>
    <row r="15" spans="2:12" ht="15.75">
      <c r="B15" s="90">
        <v>3</v>
      </c>
      <c r="C15" s="91">
        <v>2003</v>
      </c>
      <c r="D15" s="66">
        <v>1459.59</v>
      </c>
      <c r="E15" s="59">
        <v>444800000</v>
      </c>
      <c r="F15" s="59">
        <f t="shared" si="0"/>
        <v>44.48</v>
      </c>
      <c r="G15" s="62">
        <f t="shared" si="1"/>
        <v>32.814523381294961</v>
      </c>
      <c r="H15" s="68">
        <v>9.35</v>
      </c>
      <c r="I15" s="77"/>
      <c r="J15" s="60"/>
      <c r="K15" s="60"/>
      <c r="L15" s="78"/>
    </row>
    <row r="16" spans="2:12" ht="15.75">
      <c r="B16" s="90">
        <v>4</v>
      </c>
      <c r="C16" s="91">
        <v>2004</v>
      </c>
      <c r="D16" s="66">
        <v>2081.09</v>
      </c>
      <c r="E16" s="59">
        <v>444800000</v>
      </c>
      <c r="F16" s="59">
        <f t="shared" si="0"/>
        <v>44.48</v>
      </c>
      <c r="G16" s="62">
        <f t="shared" si="1"/>
        <v>46.787095323741013</v>
      </c>
      <c r="H16" s="68">
        <v>9.41</v>
      </c>
      <c r="I16" s="77"/>
      <c r="J16" s="60"/>
      <c r="K16" s="60"/>
      <c r="L16" s="78"/>
    </row>
    <row r="17" spans="2:12" ht="15.75">
      <c r="B17" s="90">
        <v>5</v>
      </c>
      <c r="C17" s="91">
        <v>2005</v>
      </c>
      <c r="D17" s="66">
        <v>2575.19</v>
      </c>
      <c r="E17" s="59">
        <v>544800000</v>
      </c>
      <c r="F17" s="59">
        <f t="shared" si="0"/>
        <v>54.48</v>
      </c>
      <c r="G17" s="62">
        <f t="shared" si="1"/>
        <v>47.268538913362704</v>
      </c>
      <c r="H17" s="68">
        <v>11.96</v>
      </c>
      <c r="I17" s="77"/>
      <c r="J17" s="60"/>
      <c r="K17" s="60"/>
      <c r="L17" s="78"/>
    </row>
    <row r="18" spans="2:12" ht="15.75">
      <c r="B18" s="90">
        <v>6</v>
      </c>
      <c r="C18" s="91">
        <v>2006</v>
      </c>
      <c r="D18" s="66">
        <v>31771.439999999999</v>
      </c>
      <c r="E18" s="59">
        <v>544800000</v>
      </c>
      <c r="F18" s="59">
        <f t="shared" si="0"/>
        <v>54.48</v>
      </c>
      <c r="G18" s="62">
        <f t="shared" si="1"/>
        <v>583.17621145374449</v>
      </c>
      <c r="H18" s="68">
        <v>14.38</v>
      </c>
      <c r="I18" s="77"/>
      <c r="J18" s="60"/>
      <c r="K18" s="60"/>
      <c r="L18" s="78"/>
    </row>
    <row r="19" spans="2:12" ht="15.75">
      <c r="B19" s="90">
        <v>7</v>
      </c>
      <c r="C19" s="91">
        <v>2007</v>
      </c>
      <c r="D19" s="66">
        <v>3990.36</v>
      </c>
      <c r="E19" s="59">
        <v>544800000</v>
      </c>
      <c r="F19" s="59">
        <f t="shared" si="0"/>
        <v>54.48</v>
      </c>
      <c r="G19" s="62">
        <f t="shared" si="1"/>
        <v>73.244493392070495</v>
      </c>
      <c r="H19" s="68">
        <v>18.510000000000002</v>
      </c>
      <c r="I19" s="77"/>
      <c r="J19" s="60"/>
      <c r="K19" s="60"/>
      <c r="L19" s="78"/>
    </row>
    <row r="20" spans="2:12" ht="15.75">
      <c r="B20" s="90">
        <v>8</v>
      </c>
      <c r="C20" s="91">
        <v>2008</v>
      </c>
      <c r="D20" s="66">
        <v>4856.67</v>
      </c>
      <c r="E20" s="59">
        <v>544800000</v>
      </c>
      <c r="F20" s="59">
        <f t="shared" si="0"/>
        <v>54.48</v>
      </c>
      <c r="G20" s="62">
        <f t="shared" si="1"/>
        <v>89.145925110132168</v>
      </c>
      <c r="H20" s="68">
        <v>22.07</v>
      </c>
      <c r="I20" s="77"/>
      <c r="J20" s="60"/>
      <c r="K20" s="60"/>
      <c r="L20" s="78"/>
    </row>
    <row r="21" spans="2:12" ht="15.75">
      <c r="B21" s="90">
        <v>9</v>
      </c>
      <c r="C21" s="91">
        <v>2009</v>
      </c>
      <c r="D21" s="66">
        <v>7150.96</v>
      </c>
      <c r="E21" s="59">
        <v>544800000</v>
      </c>
      <c r="F21" s="59">
        <f t="shared" si="0"/>
        <v>54.48</v>
      </c>
      <c r="G21" s="62">
        <f t="shared" si="1"/>
        <v>131.25844346549192</v>
      </c>
      <c r="H21" s="68">
        <v>24.34</v>
      </c>
      <c r="I21" s="77"/>
      <c r="J21" s="60"/>
      <c r="K21" s="60"/>
      <c r="L21" s="78"/>
    </row>
    <row r="22" spans="2:12" ht="15.75">
      <c r="B22" s="90">
        <v>10</v>
      </c>
      <c r="C22" s="91">
        <v>2010</v>
      </c>
      <c r="D22" s="66">
        <v>7524.58</v>
      </c>
      <c r="E22" s="59">
        <v>544800000</v>
      </c>
      <c r="F22" s="59">
        <f t="shared" si="0"/>
        <v>54.48</v>
      </c>
      <c r="G22" s="62">
        <f t="shared" si="1"/>
        <v>138.11637298091043</v>
      </c>
      <c r="H22" s="68">
        <v>12.98</v>
      </c>
      <c r="I22" s="77"/>
      <c r="J22" s="60"/>
      <c r="K22" s="60"/>
      <c r="L22" s="78"/>
    </row>
    <row r="23" spans="2:12" ht="15.75">
      <c r="B23" s="90">
        <v>11</v>
      </c>
      <c r="C23" s="91">
        <v>2011</v>
      </c>
      <c r="D23" s="66">
        <v>9324.93</v>
      </c>
      <c r="E23" s="59">
        <v>618749343</v>
      </c>
      <c r="F23" s="59">
        <f t="shared" si="0"/>
        <v>61.8749343</v>
      </c>
      <c r="G23" s="62">
        <f t="shared" si="1"/>
        <v>150.70609941641587</v>
      </c>
      <c r="H23" s="68">
        <v>17.329999999999998</v>
      </c>
      <c r="I23" s="77"/>
      <c r="J23" s="60"/>
      <c r="K23" s="60"/>
      <c r="L23" s="78"/>
    </row>
    <row r="24" spans="2:12" ht="15.75">
      <c r="B24" s="90">
        <v>12</v>
      </c>
      <c r="C24" s="91">
        <v>2012</v>
      </c>
      <c r="D24" s="66">
        <v>11927.66</v>
      </c>
      <c r="E24" s="59">
        <v>796998198</v>
      </c>
      <c r="F24" s="59">
        <f t="shared" si="0"/>
        <v>79.6998198</v>
      </c>
      <c r="G24" s="62">
        <f t="shared" si="1"/>
        <v>149.65730198551842</v>
      </c>
      <c r="H24" s="68">
        <v>13.18</v>
      </c>
      <c r="I24" s="77"/>
      <c r="J24" s="60"/>
      <c r="K24" s="60"/>
      <c r="L24" s="78"/>
    </row>
    <row r="25" spans="2:12" ht="15.75">
      <c r="B25" s="90">
        <v>13</v>
      </c>
      <c r="C25" s="91">
        <v>2013</v>
      </c>
      <c r="D25" s="66"/>
      <c r="E25" s="59"/>
      <c r="F25" s="59"/>
      <c r="G25" s="62"/>
      <c r="H25" s="68"/>
      <c r="I25" s="77">
        <f>D24*(1+$D$36)</f>
        <v>15390.259698</v>
      </c>
      <c r="J25" s="60">
        <f>F24*(1+$F$36)</f>
        <v>84.481808987999997</v>
      </c>
      <c r="K25" s="63">
        <f>G24*(1+$G$36)</f>
        <v>182.16286797677301</v>
      </c>
      <c r="L25" s="79">
        <f>H24*(1+$H$36)</f>
        <v>15.497043999999999</v>
      </c>
    </row>
    <row r="26" spans="2:12" ht="15.75">
      <c r="B26" s="90">
        <v>14</v>
      </c>
      <c r="C26" s="91">
        <v>2014</v>
      </c>
      <c r="D26" s="66"/>
      <c r="E26" s="59"/>
      <c r="F26" s="59"/>
      <c r="G26" s="62"/>
      <c r="H26" s="68"/>
      <c r="I26" s="77">
        <f>I25*(1+$D$36)</f>
        <v>19858.052088329401</v>
      </c>
      <c r="J26" s="60">
        <f>J25*(1+$F$36)</f>
        <v>89.55071752728</v>
      </c>
      <c r="K26" s="63">
        <f>K25*(1+$G$36)</f>
        <v>221.72864290132813</v>
      </c>
      <c r="L26" s="79">
        <f>L25*(1+$H$36)</f>
        <v>18.221424335199998</v>
      </c>
    </row>
    <row r="27" spans="2:12" ht="15.75">
      <c r="B27" s="90">
        <v>15</v>
      </c>
      <c r="C27" s="91">
        <v>2015</v>
      </c>
      <c r="D27" s="66"/>
      <c r="E27" s="59"/>
      <c r="F27" s="59"/>
      <c r="G27" s="62"/>
      <c r="H27" s="68"/>
      <c r="I27" s="77">
        <f t="shared" ref="I27:I34" si="2">I26*(1+$D$36)</f>
        <v>25622.844609571428</v>
      </c>
      <c r="J27" s="60">
        <f t="shared" ref="J27:J34" si="3">J26*(1+$F$36)</f>
        <v>94.923760578916799</v>
      </c>
      <c r="K27" s="63">
        <f t="shared" ref="K27:K34" si="4">K26*(1+$G$36)</f>
        <v>269.88810413949659</v>
      </c>
      <c r="L27" s="79">
        <f t="shared" ref="L27:L34" si="5">L26*(1+$H$36)</f>
        <v>21.424750733328157</v>
      </c>
    </row>
    <row r="28" spans="2:12" ht="15.75">
      <c r="B28" s="90">
        <v>16</v>
      </c>
      <c r="C28" s="91">
        <v>2016</v>
      </c>
      <c r="D28" s="66"/>
      <c r="E28" s="59"/>
      <c r="F28" s="59"/>
      <c r="G28" s="62"/>
      <c r="H28" s="68"/>
      <c r="I28" s="77">
        <f t="shared" si="2"/>
        <v>33061.156399730011</v>
      </c>
      <c r="J28" s="60">
        <f t="shared" si="3"/>
        <v>100.61918621365182</v>
      </c>
      <c r="K28" s="63">
        <f t="shared" si="4"/>
        <v>328.50780035859526</v>
      </c>
      <c r="L28" s="79">
        <f t="shared" si="5"/>
        <v>25.191221912247247</v>
      </c>
    </row>
    <row r="29" spans="2:12" ht="15.75">
      <c r="B29" s="90">
        <v>17</v>
      </c>
      <c r="C29" s="91">
        <v>2017</v>
      </c>
      <c r="D29" s="66"/>
      <c r="E29" s="59"/>
      <c r="F29" s="59"/>
      <c r="G29" s="62"/>
      <c r="H29" s="68"/>
      <c r="I29" s="77">
        <f t="shared" si="2"/>
        <v>42658.810102571631</v>
      </c>
      <c r="J29" s="60">
        <f t="shared" si="3"/>
        <v>106.65633738647092</v>
      </c>
      <c r="K29" s="63">
        <f t="shared" si="4"/>
        <v>399.8596945964822</v>
      </c>
      <c r="L29" s="79">
        <f t="shared" si="5"/>
        <v>29.619838724420312</v>
      </c>
    </row>
    <row r="30" spans="2:12" ht="15.75">
      <c r="B30" s="90">
        <v>18</v>
      </c>
      <c r="C30" s="91">
        <v>2018</v>
      </c>
      <c r="D30" s="66"/>
      <c r="E30" s="59"/>
      <c r="F30" s="59"/>
      <c r="G30" s="62"/>
      <c r="H30" s="68"/>
      <c r="I30" s="77">
        <f t="shared" si="2"/>
        <v>55042.662675348176</v>
      </c>
      <c r="J30" s="60">
        <f t="shared" si="3"/>
        <v>113.05571762965918</v>
      </c>
      <c r="K30" s="63">
        <f t="shared" si="4"/>
        <v>486.70922026283813</v>
      </c>
      <c r="L30" s="79">
        <f t="shared" si="5"/>
        <v>34.8270063721734</v>
      </c>
    </row>
    <row r="31" spans="2:12" ht="15.75">
      <c r="B31" s="90">
        <v>19</v>
      </c>
      <c r="C31" s="91">
        <v>2019</v>
      </c>
      <c r="D31" s="66"/>
      <c r="E31" s="59"/>
      <c r="F31" s="59"/>
      <c r="G31" s="62"/>
      <c r="H31" s="68"/>
      <c r="I31" s="77">
        <f t="shared" si="2"/>
        <v>71021.547650001754</v>
      </c>
      <c r="J31" s="60">
        <f t="shared" si="3"/>
        <v>119.83906068743875</v>
      </c>
      <c r="K31" s="63">
        <f t="shared" si="4"/>
        <v>592.42246290392666</v>
      </c>
      <c r="L31" s="79">
        <f t="shared" si="5"/>
        <v>40.949594092401483</v>
      </c>
    </row>
    <row r="32" spans="2:12" ht="15.75">
      <c r="B32" s="90">
        <v>20</v>
      </c>
      <c r="C32" s="91">
        <v>2020</v>
      </c>
      <c r="D32" s="66"/>
      <c r="E32" s="59"/>
      <c r="F32" s="59"/>
      <c r="G32" s="62"/>
      <c r="H32" s="68"/>
      <c r="I32" s="77">
        <f t="shared" si="2"/>
        <v>91639.102932797265</v>
      </c>
      <c r="J32" s="60">
        <f t="shared" si="3"/>
        <v>127.02940432868508</v>
      </c>
      <c r="K32" s="63">
        <f t="shared" si="4"/>
        <v>721.09662184665956</v>
      </c>
      <c r="L32" s="79">
        <f t="shared" si="5"/>
        <v>48.148532733845663</v>
      </c>
    </row>
    <row r="33" spans="2:12" ht="15.75">
      <c r="B33" s="90">
        <v>21</v>
      </c>
      <c r="C33" s="91">
        <v>2021</v>
      </c>
      <c r="D33" s="66"/>
      <c r="E33" s="59"/>
      <c r="F33" s="59"/>
      <c r="G33" s="62"/>
      <c r="H33" s="68"/>
      <c r="I33" s="77">
        <f t="shared" si="2"/>
        <v>118241.93451418831</v>
      </c>
      <c r="J33" s="60">
        <f t="shared" si="3"/>
        <v>134.65116858840619</v>
      </c>
      <c r="K33" s="63">
        <f t="shared" si="4"/>
        <v>877.71880811175402</v>
      </c>
      <c r="L33" s="79">
        <f t="shared" si="5"/>
        <v>56.613044788455731</v>
      </c>
    </row>
    <row r="34" spans="2:12" ht="15.75">
      <c r="B34" s="90">
        <v>22</v>
      </c>
      <c r="C34" s="91">
        <v>2022</v>
      </c>
      <c r="D34" s="66"/>
      <c r="E34" s="59"/>
      <c r="F34" s="59"/>
      <c r="G34" s="62"/>
      <c r="H34" s="68"/>
      <c r="I34" s="77">
        <f t="shared" si="2"/>
        <v>152567.56810365716</v>
      </c>
      <c r="J34" s="60">
        <f t="shared" si="3"/>
        <v>142.73023870371057</v>
      </c>
      <c r="K34" s="63">
        <f t="shared" si="4"/>
        <v>1068.359333233627</v>
      </c>
      <c r="L34" s="79">
        <f t="shared" si="5"/>
        <v>66.565618062266253</v>
      </c>
    </row>
    <row r="35" spans="2:12" ht="15.75">
      <c r="B35" s="90"/>
      <c r="C35" s="91"/>
      <c r="D35" s="66"/>
      <c r="E35" s="59"/>
      <c r="F35" s="59"/>
      <c r="G35" s="62"/>
      <c r="H35" s="68"/>
      <c r="I35" s="77"/>
      <c r="J35" s="60"/>
      <c r="K35" s="63"/>
      <c r="L35" s="79"/>
    </row>
    <row r="36" spans="2:12" ht="15.75">
      <c r="B36" s="90"/>
      <c r="C36" s="92" t="s">
        <v>1</v>
      </c>
      <c r="D36" s="93">
        <v>0.2903</v>
      </c>
      <c r="E36" s="61" t="s">
        <v>69</v>
      </c>
      <c r="F36" s="94">
        <v>0.06</v>
      </c>
      <c r="G36" s="5">
        <v>0.2172</v>
      </c>
      <c r="H36" s="95">
        <v>0.17580000000000001</v>
      </c>
      <c r="I36" s="96"/>
      <c r="J36" s="57"/>
      <c r="K36" s="4"/>
      <c r="L36" s="97"/>
    </row>
    <row r="37" spans="2:12" ht="15.75">
      <c r="B37" s="90"/>
      <c r="C37" s="92" t="s">
        <v>76</v>
      </c>
      <c r="D37" s="96"/>
      <c r="E37" s="18"/>
      <c r="F37" s="57"/>
      <c r="G37" s="4"/>
      <c r="H37" s="97"/>
      <c r="I37" s="96"/>
      <c r="J37" s="57"/>
      <c r="K37" s="63">
        <f>I34/J34</f>
        <v>1068.9225316883803</v>
      </c>
      <c r="L37" s="97"/>
    </row>
    <row r="38" spans="2:12" ht="15.75">
      <c r="B38" s="90"/>
      <c r="C38" s="92"/>
      <c r="D38" s="96"/>
      <c r="E38" s="18"/>
      <c r="F38" s="57"/>
      <c r="G38" s="4"/>
      <c r="H38" s="97"/>
      <c r="I38" s="96"/>
      <c r="J38" s="57"/>
      <c r="K38" s="4"/>
      <c r="L38" s="97"/>
    </row>
    <row r="39" spans="2:12" ht="15.75">
      <c r="B39" s="90"/>
      <c r="C39" s="91" t="s">
        <v>74</v>
      </c>
      <c r="D39" s="69">
        <v>6</v>
      </c>
      <c r="E39" s="1"/>
      <c r="F39" s="1"/>
      <c r="G39" s="65"/>
      <c r="H39" s="70">
        <f>H24*D39</f>
        <v>79.08</v>
      </c>
      <c r="I39" s="72"/>
      <c r="J39" s="58"/>
      <c r="K39" s="64"/>
      <c r="L39" s="80">
        <f>L34*D39</f>
        <v>399.39370837359752</v>
      </c>
    </row>
    <row r="40" spans="2:12">
      <c r="B40" s="72"/>
      <c r="C40" s="73" t="s">
        <v>73</v>
      </c>
      <c r="D40" s="71">
        <v>1</v>
      </c>
      <c r="E40" s="58"/>
      <c r="F40" s="58"/>
      <c r="G40" s="65">
        <f>G24*D40</f>
        <v>149.65730198551842</v>
      </c>
      <c r="H40" s="70"/>
      <c r="I40" s="72"/>
      <c r="J40" s="58"/>
      <c r="K40" s="64">
        <f>K34*D40</f>
        <v>1068.359333233627</v>
      </c>
      <c r="L40" s="80"/>
    </row>
    <row r="41" spans="2:12">
      <c r="B41" s="72"/>
      <c r="C41" s="73"/>
      <c r="D41" s="72"/>
      <c r="E41" s="58"/>
      <c r="F41" s="58"/>
      <c r="G41" s="58"/>
      <c r="H41" s="73"/>
      <c r="I41" s="72"/>
      <c r="J41" s="58"/>
      <c r="K41" s="64"/>
      <c r="L41" s="80"/>
    </row>
    <row r="42" spans="2:12">
      <c r="B42" s="72"/>
      <c r="C42" s="73" t="s">
        <v>75</v>
      </c>
      <c r="D42" s="85">
        <v>0.2</v>
      </c>
      <c r="E42" s="58"/>
      <c r="F42" s="58"/>
      <c r="G42" s="58"/>
      <c r="H42" s="73"/>
      <c r="I42" s="72"/>
      <c r="J42" s="58"/>
      <c r="K42" s="64"/>
      <c r="L42" s="80"/>
    </row>
    <row r="43" spans="2:12">
      <c r="B43" s="72"/>
      <c r="C43" s="73" t="s">
        <v>66</v>
      </c>
      <c r="D43" s="72"/>
      <c r="E43" s="58"/>
      <c r="F43" s="58"/>
      <c r="G43" s="58"/>
      <c r="H43" s="73"/>
      <c r="I43" s="72"/>
      <c r="J43" s="58"/>
      <c r="K43" s="58">
        <v>172</v>
      </c>
      <c r="L43" s="73">
        <v>64</v>
      </c>
    </row>
    <row r="44" spans="2:12">
      <c r="B44" s="72"/>
      <c r="C44" s="73"/>
      <c r="D44" s="72"/>
      <c r="E44" s="58"/>
      <c r="F44" s="58"/>
      <c r="G44" s="58"/>
      <c r="H44" s="73"/>
      <c r="I44" s="72"/>
      <c r="J44" s="58"/>
      <c r="K44" s="58"/>
      <c r="L44" s="73"/>
    </row>
    <row r="45" spans="2:12">
      <c r="B45" s="72"/>
      <c r="C45" s="73"/>
      <c r="D45" s="72"/>
      <c r="E45" s="58"/>
      <c r="F45" s="58"/>
      <c r="G45" s="58"/>
      <c r="H45" s="73"/>
      <c r="I45" s="72"/>
      <c r="J45" s="58"/>
      <c r="K45" s="58"/>
      <c r="L45" s="73"/>
    </row>
    <row r="46" spans="2:12">
      <c r="B46" s="72"/>
      <c r="C46" s="73"/>
      <c r="D46" s="72"/>
      <c r="E46" s="58"/>
      <c r="F46" s="58"/>
      <c r="G46" s="58"/>
      <c r="H46" s="73"/>
      <c r="I46" s="72"/>
      <c r="J46" s="58"/>
      <c r="K46" s="58"/>
      <c r="L46" s="73"/>
    </row>
    <row r="47" spans="2:12">
      <c r="B47" s="72"/>
      <c r="C47" s="73"/>
      <c r="D47" s="72"/>
      <c r="E47" s="58"/>
      <c r="F47" s="58"/>
      <c r="G47" s="58"/>
      <c r="H47" s="73"/>
      <c r="I47" s="72"/>
      <c r="J47" s="58"/>
      <c r="K47" s="58"/>
      <c r="L47" s="73"/>
    </row>
    <row r="48" spans="2:12" ht="15.75" thickBot="1">
      <c r="B48" s="74"/>
      <c r="C48" s="76"/>
      <c r="D48" s="74"/>
      <c r="E48" s="75"/>
      <c r="F48" s="75"/>
      <c r="G48" s="75"/>
      <c r="H48" s="76"/>
      <c r="I48" s="74"/>
      <c r="J48" s="75"/>
      <c r="K48" s="75"/>
      <c r="L48" s="76"/>
    </row>
  </sheetData>
  <mergeCells count="5">
    <mergeCell ref="D10:H10"/>
    <mergeCell ref="B2:C2"/>
    <mergeCell ref="I10:L10"/>
    <mergeCell ref="E2:F2"/>
    <mergeCell ref="H2:I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1 - Eval Steps</vt:lpstr>
      <vt:lpstr>2 - Analysis</vt:lpstr>
      <vt:lpstr>3 - Forecast</vt:lpstr>
      <vt:lpstr>BV calc</vt:lpstr>
      <vt:lpstr>Sheet1</vt:lpstr>
      <vt:lpstr>IOB</vt:lpstr>
      <vt:lpstr>Template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2016-01-12T02:49:36Z</dcterms:modified>
</cp:coreProperties>
</file>
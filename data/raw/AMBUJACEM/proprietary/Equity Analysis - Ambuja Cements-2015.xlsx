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H264" i="18"/>
  <c r="H265"/>
  <c r="H267"/>
  <c r="H268"/>
  <c r="O252"/>
  <c r="P250"/>
  <c r="O250"/>
  <c r="P249"/>
  <c r="P252" s="1"/>
  <c r="P248"/>
  <c r="H57"/>
  <c r="O56"/>
  <c r="N56"/>
  <c r="M56"/>
  <c r="L56"/>
  <c r="K56"/>
  <c r="J56"/>
  <c r="I56"/>
  <c r="H56"/>
  <c r="G56"/>
  <c r="O54"/>
  <c r="N54"/>
  <c r="M54"/>
  <c r="L54"/>
  <c r="K54"/>
  <c r="J54"/>
  <c r="G54"/>
  <c r="H53"/>
  <c r="H54" s="1"/>
  <c r="O52"/>
  <c r="N52"/>
  <c r="M52"/>
  <c r="L52"/>
  <c r="K52"/>
  <c r="J52"/>
  <c r="G52"/>
  <c r="H51"/>
  <c r="H52" s="1"/>
  <c r="O30"/>
  <c r="N30"/>
  <c r="M30"/>
  <c r="L30"/>
  <c r="K30"/>
  <c r="J30"/>
  <c r="G30"/>
  <c r="H29"/>
  <c r="H30" s="1"/>
  <c r="O28"/>
  <c r="N28"/>
  <c r="M28"/>
  <c r="L28"/>
  <c r="K28"/>
  <c r="J28"/>
  <c r="I28"/>
  <c r="G28"/>
  <c r="H27"/>
  <c r="H28" s="1"/>
  <c r="O26"/>
  <c r="N26"/>
  <c r="M26"/>
  <c r="L26"/>
  <c r="K26"/>
  <c r="J26"/>
  <c r="I26"/>
  <c r="G26"/>
  <c r="H25"/>
  <c r="H26" s="1"/>
  <c r="H18"/>
  <c r="H16"/>
  <c r="H15"/>
  <c r="H14"/>
  <c r="H13"/>
  <c r="N12"/>
  <c r="M12"/>
  <c r="L12"/>
  <c r="K12"/>
  <c r="J12"/>
  <c r="I12"/>
  <c r="H12"/>
  <c r="O11"/>
  <c r="N11"/>
  <c r="M11"/>
  <c r="L11"/>
  <c r="K11"/>
  <c r="J11"/>
  <c r="I11"/>
  <c r="G11"/>
  <c r="H10"/>
  <c r="H11" s="1"/>
  <c r="H9"/>
  <c r="O8"/>
  <c r="N8"/>
  <c r="M8"/>
  <c r="L8"/>
  <c r="K8"/>
  <c r="J8"/>
  <c r="G8"/>
  <c r="H7"/>
  <c r="I8" s="1"/>
  <c r="H6"/>
  <c r="I52" l="1"/>
  <c r="I54"/>
  <c r="H8"/>
  <c r="I30"/>
  <c r="S167" l="1"/>
  <c r="S166"/>
  <c r="S164"/>
  <c r="S163"/>
  <c r="S162"/>
  <c r="S160"/>
  <c r="S159"/>
  <c r="S157"/>
  <c r="S156"/>
  <c r="S155"/>
  <c r="S154"/>
  <c r="S151"/>
  <c r="S150"/>
  <c r="S149"/>
  <c r="S147"/>
  <c r="S146"/>
  <c r="S145"/>
  <c r="S143"/>
  <c r="S142"/>
  <c r="S141"/>
  <c r="S140"/>
  <c r="S139"/>
  <c r="S135"/>
  <c r="S136"/>
  <c r="S137"/>
  <c r="S134"/>
  <c r="S125"/>
  <c r="S126"/>
  <c r="S127"/>
  <c r="S128"/>
  <c r="S129"/>
  <c r="S130"/>
  <c r="S131"/>
  <c r="S132"/>
  <c r="S124"/>
  <c r="S119"/>
  <c r="S120"/>
  <c r="S121"/>
  <c r="S122"/>
  <c r="S118"/>
  <c r="S113"/>
  <c r="S114"/>
  <c r="S115"/>
  <c r="S116"/>
  <c r="S112"/>
  <c r="S106"/>
  <c r="S107"/>
  <c r="S108"/>
  <c r="S109"/>
  <c r="S110"/>
  <c r="S105"/>
  <c r="S102"/>
  <c r="S100"/>
  <c r="S99"/>
  <c r="S98"/>
  <c r="S93"/>
  <c r="S94"/>
  <c r="S95"/>
  <c r="S96"/>
  <c r="S92"/>
  <c r="S90"/>
  <c r="S88"/>
  <c r="S85"/>
  <c r="S86"/>
  <c r="S84"/>
  <c r="S83"/>
  <c r="S82"/>
  <c r="S80"/>
  <c r="S79"/>
  <c r="S78"/>
  <c r="S71"/>
  <c r="S72"/>
  <c r="S73"/>
  <c r="S74"/>
  <c r="S75"/>
  <c r="S76"/>
  <c r="S70"/>
  <c r="S68"/>
  <c r="S67"/>
  <c r="S66"/>
  <c r="S59"/>
  <c r="S57"/>
  <c r="S55"/>
  <c r="S53"/>
  <c r="S51"/>
  <c r="S49"/>
  <c r="S47"/>
  <c r="S45"/>
  <c r="S43"/>
  <c r="S42"/>
  <c r="S41"/>
  <c r="S40"/>
  <c r="S38"/>
  <c r="S36"/>
  <c r="S32"/>
  <c r="S33"/>
  <c r="S34"/>
  <c r="S31"/>
  <c r="S29"/>
  <c r="S27"/>
  <c r="S25"/>
  <c r="S21"/>
  <c r="S22"/>
  <c r="S23"/>
  <c r="S20"/>
  <c r="S18"/>
  <c r="S13"/>
  <c r="S14"/>
  <c r="S15"/>
  <c r="S16"/>
  <c r="S12"/>
  <c r="S10"/>
  <c r="S9"/>
  <c r="S7"/>
  <c r="S6"/>
  <c r="H47"/>
  <c r="H45"/>
  <c r="H43"/>
  <c r="H42"/>
  <c r="H41"/>
  <c r="H40"/>
  <c r="H38"/>
  <c r="H36"/>
  <c r="H34"/>
  <c r="H33"/>
  <c r="R129" l="1"/>
  <c r="Q129"/>
  <c r="P129"/>
  <c r="O129"/>
  <c r="N129"/>
  <c r="M129"/>
  <c r="L129"/>
  <c r="K129"/>
  <c r="J129"/>
  <c r="I129"/>
  <c r="H129"/>
  <c r="AF47"/>
  <c r="T47"/>
  <c r="U47" s="1"/>
  <c r="V47" s="1"/>
  <c r="W47" s="1"/>
  <c r="X47" s="1"/>
  <c r="Y47" s="1"/>
  <c r="Z47" s="1"/>
  <c r="AA47" s="1"/>
  <c r="AB47" s="1"/>
  <c r="AC47" s="1"/>
  <c r="AD47" s="1"/>
  <c r="R48"/>
  <c r="Q48"/>
  <c r="P48"/>
  <c r="O48"/>
  <c r="N48"/>
  <c r="M48"/>
  <c r="L48"/>
  <c r="K48"/>
  <c r="J48"/>
  <c r="I48"/>
  <c r="H48"/>
  <c r="R130"/>
  <c r="Q130"/>
  <c r="P130"/>
  <c r="O130"/>
  <c r="N130"/>
  <c r="M130"/>
  <c r="L130"/>
  <c r="K130"/>
  <c r="J130"/>
  <c r="I130"/>
  <c r="H130"/>
  <c r="U57"/>
  <c r="AE47" l="1"/>
  <c r="AG47"/>
  <c r="R126"/>
  <c r="Q126"/>
  <c r="P126"/>
  <c r="O126"/>
  <c r="N126"/>
  <c r="M126"/>
  <c r="L126"/>
  <c r="K126"/>
  <c r="J126"/>
  <c r="I126"/>
  <c r="I46"/>
  <c r="T49"/>
  <c r="H49"/>
  <c r="R46"/>
  <c r="Q46"/>
  <c r="P46"/>
  <c r="O46"/>
  <c r="N46"/>
  <c r="M46"/>
  <c r="L46"/>
  <c r="K46"/>
  <c r="J46"/>
  <c r="H46"/>
  <c r="R44"/>
  <c r="Q44"/>
  <c r="P44"/>
  <c r="O44"/>
  <c r="N44"/>
  <c r="M44"/>
  <c r="L44"/>
  <c r="K44"/>
  <c r="J44"/>
  <c r="H44"/>
  <c r="R39"/>
  <c r="Q39"/>
  <c r="P39"/>
  <c r="O39"/>
  <c r="N39"/>
  <c r="M39"/>
  <c r="L39"/>
  <c r="K39"/>
  <c r="J39"/>
  <c r="I39"/>
  <c r="R37"/>
  <c r="Q37"/>
  <c r="P37"/>
  <c r="O37"/>
  <c r="N37"/>
  <c r="M37"/>
  <c r="L37"/>
  <c r="K37"/>
  <c r="J37"/>
  <c r="I44"/>
  <c r="H39"/>
  <c r="H126"/>
  <c r="H32"/>
  <c r="H31"/>
  <c r="H37" l="1"/>
  <c r="I3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31"/>
  <c r="I128"/>
  <c r="I127"/>
  <c r="H132"/>
  <c r="H128"/>
  <c r="H131"/>
  <c r="H127"/>
  <c r="R125"/>
  <c r="Q125"/>
  <c r="P125"/>
  <c r="O125"/>
  <c r="N125"/>
  <c r="M125"/>
  <c r="L125"/>
  <c r="K125"/>
  <c r="J125"/>
  <c r="I125"/>
  <c r="H125"/>
  <c r="R124"/>
  <c r="Q124"/>
  <c r="P124"/>
  <c r="O124"/>
  <c r="N124"/>
  <c r="M124"/>
  <c r="L124"/>
  <c r="K124"/>
  <c r="J124"/>
  <c r="I124"/>
  <c r="H124"/>
  <c r="AF49"/>
  <c r="AF45"/>
  <c r="AF43"/>
  <c r="AF42"/>
  <c r="AF41"/>
  <c r="AF40"/>
  <c r="AF38"/>
  <c r="AF36"/>
  <c r="T40"/>
  <c r="U40" s="1"/>
  <c r="V40" s="1"/>
  <c r="W40" s="1"/>
  <c r="X40" s="1"/>
  <c r="Y40" s="1"/>
  <c r="Z40" s="1"/>
  <c r="AA40" s="1"/>
  <c r="AB40" s="1"/>
  <c r="AC40" s="1"/>
  <c r="AD40" s="1"/>
  <c r="U49"/>
  <c r="V49" s="1"/>
  <c r="W49" s="1"/>
  <c r="X49" s="1"/>
  <c r="Y49" s="1"/>
  <c r="Z49" s="1"/>
  <c r="AA49" s="1"/>
  <c r="AB49" s="1"/>
  <c r="AC49" s="1"/>
  <c r="AD49" s="1"/>
  <c r="T45"/>
  <c r="U45" s="1"/>
  <c r="V45" s="1"/>
  <c r="W45" s="1"/>
  <c r="X45" s="1"/>
  <c r="Y45" s="1"/>
  <c r="Z45" s="1"/>
  <c r="AA45" s="1"/>
  <c r="AB45" s="1"/>
  <c r="AC45" s="1"/>
  <c r="AD45" s="1"/>
  <c r="AE49" l="1"/>
  <c r="AE45"/>
  <c r="AE40"/>
  <c r="T43"/>
  <c r="U43" s="1"/>
  <c r="V43" s="1"/>
  <c r="W43" s="1"/>
  <c r="X43" s="1"/>
  <c r="Y43" s="1"/>
  <c r="Z43" s="1"/>
  <c r="AA43" s="1"/>
  <c r="AB43" s="1"/>
  <c r="AC43" s="1"/>
  <c r="AD43" s="1"/>
  <c r="AE43" s="1"/>
  <c r="T42"/>
  <c r="U42" s="1"/>
  <c r="V42" s="1"/>
  <c r="W42" s="1"/>
  <c r="X42" s="1"/>
  <c r="Y42" s="1"/>
  <c r="Z42" s="1"/>
  <c r="AA42" s="1"/>
  <c r="AB42" s="1"/>
  <c r="AC42" s="1"/>
  <c r="AD42" s="1"/>
  <c r="AE42" s="1"/>
  <c r="T41"/>
  <c r="U41" s="1"/>
  <c r="V41" s="1"/>
  <c r="W41" s="1"/>
  <c r="X41" s="1"/>
  <c r="Y41" s="1"/>
  <c r="Z41" s="1"/>
  <c r="AA41" s="1"/>
  <c r="AB41" s="1"/>
  <c r="AC41" s="1"/>
  <c r="AD41" s="1"/>
  <c r="T38"/>
  <c r="U38" s="1"/>
  <c r="T36"/>
  <c r="U36" s="1"/>
  <c r="V38" l="1"/>
  <c r="U127"/>
  <c r="V36"/>
  <c r="U126"/>
  <c r="U128"/>
  <c r="AE41"/>
  <c r="B215"/>
  <c r="AF227"/>
  <c r="AF224"/>
  <c r="AF226"/>
  <c r="AF225"/>
  <c r="AF222"/>
  <c r="AF221"/>
  <c r="AF220"/>
  <c r="AF219"/>
  <c r="AF214"/>
  <c r="AF217"/>
  <c r="AF216"/>
  <c r="AF215"/>
  <c r="AF212"/>
  <c r="AF211"/>
  <c r="AF208"/>
  <c r="AF207"/>
  <c r="AF210"/>
  <c r="AF209"/>
  <c r="AF206"/>
  <c r="AF205"/>
  <c r="AF204"/>
  <c r="AF203"/>
  <c r="AF202"/>
  <c r="AF201"/>
  <c r="AG224"/>
  <c r="W38" l="1"/>
  <c r="V127"/>
  <c r="W36"/>
  <c r="V126"/>
  <c r="V128"/>
  <c r="AG225"/>
  <c r="R212"/>
  <c r="Q212"/>
  <c r="P212"/>
  <c r="O212"/>
  <c r="N212"/>
  <c r="M212"/>
  <c r="L212"/>
  <c r="K212"/>
  <c r="J212"/>
  <c r="I212"/>
  <c r="H212"/>
  <c r="X38" l="1"/>
  <c r="W127"/>
  <c r="X36"/>
  <c r="W128"/>
  <c r="W126"/>
  <c r="S212"/>
  <c r="R60"/>
  <c r="Q60"/>
  <c r="P60"/>
  <c r="O60"/>
  <c r="N60"/>
  <c r="M60"/>
  <c r="L60"/>
  <c r="K60"/>
  <c r="J60"/>
  <c r="I60"/>
  <c r="H60"/>
  <c r="R58"/>
  <c r="Q58"/>
  <c r="P58"/>
  <c r="O58"/>
  <c r="N58"/>
  <c r="M58"/>
  <c r="L58"/>
  <c r="K58"/>
  <c r="J58"/>
  <c r="I58"/>
  <c r="H58"/>
  <c r="R56"/>
  <c r="Q56"/>
  <c r="P56"/>
  <c r="R54"/>
  <c r="Q54"/>
  <c r="P54"/>
  <c r="R52"/>
  <c r="Q52"/>
  <c r="P52"/>
  <c r="R30"/>
  <c r="Q30"/>
  <c r="P30"/>
  <c r="R28"/>
  <c r="Q28"/>
  <c r="P28"/>
  <c r="R26"/>
  <c r="Q26"/>
  <c r="P26"/>
  <c r="R11"/>
  <c r="Q11"/>
  <c r="P11"/>
  <c r="R8"/>
  <c r="Q8"/>
  <c r="P8"/>
  <c r="Y38" l="1"/>
  <c r="X127"/>
  <c r="Y36"/>
  <c r="X128"/>
  <c r="X126"/>
  <c r="R102"/>
  <c r="Q102"/>
  <c r="P102"/>
  <c r="O102"/>
  <c r="N102"/>
  <c r="M102"/>
  <c r="L102"/>
  <c r="K102"/>
  <c r="J102"/>
  <c r="I102"/>
  <c r="H102"/>
  <c r="Z38" l="1"/>
  <c r="Y127"/>
  <c r="Z36"/>
  <c r="Y126"/>
  <c r="Y128"/>
  <c r="T170"/>
  <c r="U220" s="1"/>
  <c r="R170"/>
  <c r="U225" s="1"/>
  <c r="C1"/>
  <c r="AA38" l="1"/>
  <c r="Z127"/>
  <c r="AA36"/>
  <c r="Z126"/>
  <c r="Z128"/>
  <c r="AG45"/>
  <c r="AG40"/>
  <c r="AG49"/>
  <c r="AG41"/>
  <c r="AG42"/>
  <c r="AG43"/>
  <c r="L225"/>
  <c r="L226" s="1"/>
  <c r="L227" s="1"/>
  <c r="U221"/>
  <c r="U222" s="1"/>
  <c r="U219"/>
  <c r="R225"/>
  <c r="Q225"/>
  <c r="Q224" s="1"/>
  <c r="U226"/>
  <c r="U227" s="1"/>
  <c r="U224"/>
  <c r="P225"/>
  <c r="K225"/>
  <c r="J225"/>
  <c r="O225"/>
  <c r="I225"/>
  <c r="N225"/>
  <c r="H225"/>
  <c r="M225"/>
  <c r="Q237"/>
  <c r="N220"/>
  <c r="Q220"/>
  <c r="Q219" s="1"/>
  <c r="M220"/>
  <c r="I220"/>
  <c r="P220"/>
  <c r="L220"/>
  <c r="H220"/>
  <c r="O220"/>
  <c r="K220"/>
  <c r="R220"/>
  <c r="J220"/>
  <c r="AF71"/>
  <c r="AF70"/>
  <c r="AF68"/>
  <c r="H71"/>
  <c r="H205" s="1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R71"/>
  <c r="R205" s="1"/>
  <c r="H70"/>
  <c r="H204" s="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AB38" l="1"/>
  <c r="AA127"/>
  <c r="AB36"/>
  <c r="AA128"/>
  <c r="AA126"/>
  <c r="L224"/>
  <c r="Q226"/>
  <c r="Q227" s="1"/>
  <c r="K221"/>
  <c r="K222" s="1"/>
  <c r="K219"/>
  <c r="P221"/>
  <c r="P222" s="1"/>
  <c r="P219"/>
  <c r="N221"/>
  <c r="N222" s="1"/>
  <c r="N219"/>
  <c r="M226"/>
  <c r="M227" s="1"/>
  <c r="M224"/>
  <c r="O226"/>
  <c r="O227" s="1"/>
  <c r="O224"/>
  <c r="O221"/>
  <c r="O222" s="1"/>
  <c r="O219"/>
  <c r="I221"/>
  <c r="I222" s="1"/>
  <c r="I219"/>
  <c r="H226"/>
  <c r="H227" s="1"/>
  <c r="H224"/>
  <c r="S224" s="1"/>
  <c r="J226"/>
  <c r="J227" s="1"/>
  <c r="J224"/>
  <c r="J221"/>
  <c r="J222" s="1"/>
  <c r="J219"/>
  <c r="H221"/>
  <c r="H222" s="1"/>
  <c r="H219"/>
  <c r="S219" s="1"/>
  <c r="M221"/>
  <c r="M222" s="1"/>
  <c r="M219"/>
  <c r="S225"/>
  <c r="N226"/>
  <c r="N227" s="1"/>
  <c r="N224"/>
  <c r="K226"/>
  <c r="K227" s="1"/>
  <c r="K224"/>
  <c r="R221"/>
  <c r="R222" s="1"/>
  <c r="R219"/>
  <c r="L221"/>
  <c r="L222" s="1"/>
  <c r="L219"/>
  <c r="I226"/>
  <c r="I227" s="1"/>
  <c r="I224"/>
  <c r="P226"/>
  <c r="P227" s="1"/>
  <c r="P224"/>
  <c r="R226"/>
  <c r="R227" s="1"/>
  <c r="R224"/>
  <c r="Q221"/>
  <c r="S220"/>
  <c r="S204"/>
  <c r="Q205"/>
  <c r="S205" s="1"/>
  <c r="AC38" l="1"/>
  <c r="AB127"/>
  <c r="AC36"/>
  <c r="AB128"/>
  <c r="AB126"/>
  <c r="S227"/>
  <c r="S226"/>
  <c r="Q222"/>
  <c r="S222" s="1"/>
  <c r="S221"/>
  <c r="H147"/>
  <c r="I147"/>
  <c r="J147"/>
  <c r="K147"/>
  <c r="L147"/>
  <c r="M147"/>
  <c r="N147"/>
  <c r="O147"/>
  <c r="P147"/>
  <c r="Q147"/>
  <c r="R147"/>
  <c r="R146"/>
  <c r="AD38" l="1"/>
  <c r="AC127"/>
  <c r="AD36"/>
  <c r="AC126"/>
  <c r="AC128"/>
  <c r="I254"/>
  <c r="I251"/>
  <c r="I252"/>
  <c r="I253"/>
  <c r="AE38" l="1"/>
  <c r="AD127"/>
  <c r="AE127" s="1"/>
  <c r="AG38"/>
  <c r="AD126"/>
  <c r="AE126" s="1"/>
  <c r="AD128"/>
  <c r="AE128" s="1"/>
  <c r="AE36"/>
  <c r="AG36"/>
  <c r="R243"/>
  <c r="R242"/>
  <c r="R241"/>
  <c r="R211"/>
  <c r="R66"/>
  <c r="R202" s="1"/>
  <c r="R67"/>
  <c r="R68"/>
  <c r="R110" s="1"/>
  <c r="R72"/>
  <c r="R214" s="1"/>
  <c r="R73"/>
  <c r="R74"/>
  <c r="R75"/>
  <c r="R206" s="1"/>
  <c r="R76"/>
  <c r="R78"/>
  <c r="R79"/>
  <c r="R80"/>
  <c r="R209" s="1"/>
  <c r="R82"/>
  <c r="R83"/>
  <c r="R85"/>
  <c r="R86"/>
  <c r="R208" s="1"/>
  <c r="R88"/>
  <c r="R139" s="1"/>
  <c r="R140" s="1"/>
  <c r="R90"/>
  <c r="R92" s="1"/>
  <c r="R93"/>
  <c r="R94"/>
  <c r="R95"/>
  <c r="R96"/>
  <c r="R98"/>
  <c r="R164" s="1"/>
  <c r="R99"/>
  <c r="R100"/>
  <c r="R105"/>
  <c r="R106"/>
  <c r="R107"/>
  <c r="R108"/>
  <c r="R109"/>
  <c r="R112"/>
  <c r="R118" s="1"/>
  <c r="R113"/>
  <c r="R119" s="1"/>
  <c r="R114"/>
  <c r="R120" s="1"/>
  <c r="R115"/>
  <c r="R121" s="1"/>
  <c r="R116"/>
  <c r="R122" s="1"/>
  <c r="R134"/>
  <c r="R135"/>
  <c r="R136"/>
  <c r="R137"/>
  <c r="R145"/>
  <c r="R149"/>
  <c r="R150"/>
  <c r="R151"/>
  <c r="R154"/>
  <c r="R155"/>
  <c r="R156"/>
  <c r="R157"/>
  <c r="R159"/>
  <c r="R160"/>
  <c r="R162"/>
  <c r="R163" s="1"/>
  <c r="R166"/>
  <c r="R167"/>
  <c r="U17"/>
  <c r="U19"/>
  <c r="U24"/>
  <c r="Q238" l="1"/>
  <c r="R203"/>
  <c r="R84"/>
  <c r="R207" s="1"/>
  <c r="R141"/>
  <c r="R142" s="1"/>
  <c r="R143"/>
  <c r="I68"/>
  <c r="I110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H68"/>
  <c r="H110" s="1"/>
  <c r="R216" l="1"/>
  <c r="R217" s="1"/>
  <c r="R215"/>
  <c r="I238"/>
  <c r="T59"/>
  <c r="U59" s="1"/>
  <c r="L234" l="1"/>
  <c r="L233"/>
  <c r="L232"/>
  <c r="L231"/>
  <c r="AF53" l="1"/>
  <c r="T53"/>
  <c r="U53" l="1"/>
  <c r="V53" l="1"/>
  <c r="L238"/>
  <c r="U238" s="1"/>
  <c r="U239" s="1"/>
  <c r="L237"/>
  <c r="W53" l="1"/>
  <c r="V252"/>
  <c r="V253" s="1"/>
  <c r="D250"/>
  <c r="L264" s="1"/>
  <c r="I250"/>
  <c r="M134"/>
  <c r="K134"/>
  <c r="I134"/>
  <c r="H134"/>
  <c r="J134"/>
  <c r="L134"/>
  <c r="N134"/>
  <c r="O134"/>
  <c r="P134"/>
  <c r="Q134"/>
  <c r="I167"/>
  <c r="J167"/>
  <c r="K167"/>
  <c r="L167"/>
  <c r="M167"/>
  <c r="N167"/>
  <c r="O167"/>
  <c r="P167"/>
  <c r="Q167"/>
  <c r="I166"/>
  <c r="J166"/>
  <c r="K166"/>
  <c r="L166"/>
  <c r="M166"/>
  <c r="N166"/>
  <c r="O166"/>
  <c r="P166"/>
  <c r="Q166"/>
  <c r="H269"/>
  <c r="AF73"/>
  <c r="I73"/>
  <c r="J73"/>
  <c r="K73"/>
  <c r="L73"/>
  <c r="M73"/>
  <c r="N73"/>
  <c r="O73"/>
  <c r="P73"/>
  <c r="Q73"/>
  <c r="H73"/>
  <c r="I259"/>
  <c r="D258"/>
  <c r="L265" s="1"/>
  <c r="I257"/>
  <c r="J257" s="1"/>
  <c r="K257" s="1"/>
  <c r="K258" s="1"/>
  <c r="I255"/>
  <c r="I249"/>
  <c r="I248"/>
  <c r="J248" s="1"/>
  <c r="K248" s="1"/>
  <c r="X53" l="1"/>
  <c r="H270"/>
  <c r="D260"/>
  <c r="L268"/>
  <c r="L267"/>
  <c r="J249"/>
  <c r="K249" s="1"/>
  <c r="J259"/>
  <c r="K259" s="1"/>
  <c r="K260" s="1"/>
  <c r="I109"/>
  <c r="J109"/>
  <c r="K109"/>
  <c r="L109"/>
  <c r="M109"/>
  <c r="N109"/>
  <c r="O109"/>
  <c r="P109"/>
  <c r="Q109"/>
  <c r="H109"/>
  <c r="H167"/>
  <c r="H166"/>
  <c r="AF14"/>
  <c r="T14"/>
  <c r="V249"/>
  <c r="V248"/>
  <c r="I116"/>
  <c r="I122" s="1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H116"/>
  <c r="H122" s="1"/>
  <c r="I113"/>
  <c r="I119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H113"/>
  <c r="H119" s="1"/>
  <c r="I114"/>
  <c r="I120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H114"/>
  <c r="H120" s="1"/>
  <c r="I162"/>
  <c r="I163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H162"/>
  <c r="H163" s="1"/>
  <c r="Y53" l="1"/>
  <c r="U14"/>
  <c r="V14" s="1"/>
  <c r="W14" s="1"/>
  <c r="X14" s="1"/>
  <c r="Y14" s="1"/>
  <c r="Z14" s="1"/>
  <c r="AA14" s="1"/>
  <c r="AB14" s="1"/>
  <c r="AC14" s="1"/>
  <c r="AD14" s="1"/>
  <c r="J250"/>
  <c r="K250" s="1"/>
  <c r="Q108"/>
  <c r="Q107"/>
  <c r="I108"/>
  <c r="J108"/>
  <c r="K108"/>
  <c r="L108"/>
  <c r="M108"/>
  <c r="N108"/>
  <c r="O108"/>
  <c r="P108"/>
  <c r="H108"/>
  <c r="H107"/>
  <c r="I160"/>
  <c r="J160"/>
  <c r="K160"/>
  <c r="L160"/>
  <c r="M160"/>
  <c r="N160"/>
  <c r="O160"/>
  <c r="P160"/>
  <c r="Q160"/>
  <c r="H160"/>
  <c r="I159"/>
  <c r="J159"/>
  <c r="K159"/>
  <c r="L159"/>
  <c r="M159"/>
  <c r="N159"/>
  <c r="O159"/>
  <c r="P159"/>
  <c r="Q159"/>
  <c r="H159"/>
  <c r="I156"/>
  <c r="J156"/>
  <c r="K156"/>
  <c r="L156"/>
  <c r="M156"/>
  <c r="N156"/>
  <c r="O156"/>
  <c r="P156"/>
  <c r="Q156"/>
  <c r="H156"/>
  <c r="I157"/>
  <c r="J157"/>
  <c r="K157"/>
  <c r="L157"/>
  <c r="M157"/>
  <c r="N157"/>
  <c r="O157"/>
  <c r="P157"/>
  <c r="Q157"/>
  <c r="H157"/>
  <c r="I155"/>
  <c r="J155"/>
  <c r="K155"/>
  <c r="L155"/>
  <c r="M155"/>
  <c r="N155"/>
  <c r="O155"/>
  <c r="P155"/>
  <c r="Q155"/>
  <c r="H155"/>
  <c r="I154"/>
  <c r="J154"/>
  <c r="K154"/>
  <c r="L154"/>
  <c r="M154"/>
  <c r="N154"/>
  <c r="O154"/>
  <c r="P154"/>
  <c r="Q154"/>
  <c r="H154"/>
  <c r="I151"/>
  <c r="J151"/>
  <c r="K151"/>
  <c r="L151"/>
  <c r="M151"/>
  <c r="N151"/>
  <c r="O151"/>
  <c r="P151"/>
  <c r="Q151"/>
  <c r="H151"/>
  <c r="I150"/>
  <c r="J150"/>
  <c r="K150"/>
  <c r="L150"/>
  <c r="M150"/>
  <c r="N150"/>
  <c r="O150"/>
  <c r="P150"/>
  <c r="Q150"/>
  <c r="H150"/>
  <c r="I149"/>
  <c r="J149"/>
  <c r="K149"/>
  <c r="L149"/>
  <c r="M149"/>
  <c r="N149"/>
  <c r="O149"/>
  <c r="P149"/>
  <c r="Q149"/>
  <c r="H149"/>
  <c r="B151"/>
  <c r="B150"/>
  <c r="AF32"/>
  <c r="T32"/>
  <c r="H137"/>
  <c r="I137"/>
  <c r="J137"/>
  <c r="K137"/>
  <c r="L137"/>
  <c r="M137"/>
  <c r="N137"/>
  <c r="O137"/>
  <c r="P137"/>
  <c r="Q137"/>
  <c r="U253"/>
  <c r="U250"/>
  <c r="V250" s="1"/>
  <c r="V255" s="1"/>
  <c r="P255"/>
  <c r="I146"/>
  <c r="J146"/>
  <c r="K146"/>
  <c r="L146"/>
  <c r="M146"/>
  <c r="N146"/>
  <c r="O146"/>
  <c r="P146"/>
  <c r="Q146"/>
  <c r="H146"/>
  <c r="I145"/>
  <c r="J145"/>
  <c r="K145"/>
  <c r="L145"/>
  <c r="M145"/>
  <c r="N145"/>
  <c r="O145"/>
  <c r="P145"/>
  <c r="Q145"/>
  <c r="H145"/>
  <c r="J251" l="1"/>
  <c r="K251" s="1"/>
  <c r="J252" s="1"/>
  <c r="K252" s="1"/>
  <c r="J253" s="1"/>
  <c r="K253" s="1"/>
  <c r="J254" s="1"/>
  <c r="K254" s="1"/>
  <c r="J255" s="1"/>
  <c r="K255" s="1"/>
  <c r="K256" s="1"/>
  <c r="Z53"/>
  <c r="AE14"/>
  <c r="AG14"/>
  <c r="U32"/>
  <c r="V32" s="1"/>
  <c r="W32" s="1"/>
  <c r="X32" s="1"/>
  <c r="Y32" s="1"/>
  <c r="Z32" s="1"/>
  <c r="AA32" s="1"/>
  <c r="AB32" s="1"/>
  <c r="AC32" s="1"/>
  <c r="AD32" s="1"/>
  <c r="AE32" s="1"/>
  <c r="O255"/>
  <c r="U255"/>
  <c r="T9"/>
  <c r="U9" s="1"/>
  <c r="T10"/>
  <c r="U10" s="1"/>
  <c r="T12"/>
  <c r="U12" s="1"/>
  <c r="T13"/>
  <c r="U13" s="1"/>
  <c r="T15"/>
  <c r="U15" s="1"/>
  <c r="T16"/>
  <c r="U16" s="1"/>
  <c r="T18"/>
  <c r="U18" s="1"/>
  <c r="T20"/>
  <c r="U20" s="1"/>
  <c r="T21"/>
  <c r="U21" s="1"/>
  <c r="T22"/>
  <c r="U22" s="1"/>
  <c r="T23"/>
  <c r="U23" s="1"/>
  <c r="T25"/>
  <c r="U25" s="1"/>
  <c r="U129" s="1"/>
  <c r="T27"/>
  <c r="U27" s="1"/>
  <c r="T29"/>
  <c r="U29" s="1"/>
  <c r="T31"/>
  <c r="T33"/>
  <c r="U33" s="1"/>
  <c r="T34"/>
  <c r="U34" s="1"/>
  <c r="T51"/>
  <c r="U51" s="1"/>
  <c r="T55"/>
  <c r="U55" s="1"/>
  <c r="U130" s="1"/>
  <c r="T7"/>
  <c r="U7" s="1"/>
  <c r="T6"/>
  <c r="U6" s="1"/>
  <c r="AF9"/>
  <c r="AF10"/>
  <c r="AF11"/>
  <c r="AF12"/>
  <c r="AF13"/>
  <c r="AF15"/>
  <c r="AF16"/>
  <c r="AF18"/>
  <c r="AF20"/>
  <c r="AF21"/>
  <c r="AF22"/>
  <c r="AF23"/>
  <c r="AF25"/>
  <c r="AF27"/>
  <c r="AF29"/>
  <c r="AF31"/>
  <c r="AF33"/>
  <c r="AF34"/>
  <c r="AF51"/>
  <c r="AF55"/>
  <c r="AF57"/>
  <c r="AF59"/>
  <c r="AF66"/>
  <c r="AF67"/>
  <c r="AF72"/>
  <c r="AF74"/>
  <c r="AF75"/>
  <c r="AF76"/>
  <c r="AF78"/>
  <c r="AF79"/>
  <c r="AF80"/>
  <c r="AF82"/>
  <c r="AF83"/>
  <c r="AF84"/>
  <c r="AF85"/>
  <c r="AF87"/>
  <c r="AF88"/>
  <c r="AF90"/>
  <c r="AF92"/>
  <c r="AF93"/>
  <c r="AF94"/>
  <c r="AF95"/>
  <c r="AF96"/>
  <c r="AF98"/>
  <c r="AF99"/>
  <c r="AF100"/>
  <c r="AF7"/>
  <c r="AF6"/>
  <c r="U132" l="1"/>
  <c r="U131"/>
  <c r="U124"/>
  <c r="U125"/>
  <c r="U68"/>
  <c r="U110" s="1"/>
  <c r="AA53"/>
  <c r="AG32"/>
  <c r="U31"/>
  <c r="I112"/>
  <c r="I118" s="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I115"/>
  <c r="I121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H115"/>
  <c r="H121" s="1"/>
  <c r="H112"/>
  <c r="H118" s="1"/>
  <c r="AB53" l="1"/>
  <c r="V31"/>
  <c r="U147"/>
  <c r="V29"/>
  <c r="I136"/>
  <c r="J136"/>
  <c r="K136"/>
  <c r="L136"/>
  <c r="M136"/>
  <c r="N136"/>
  <c r="O136"/>
  <c r="P136"/>
  <c r="Q136"/>
  <c r="H136"/>
  <c r="I135"/>
  <c r="J135"/>
  <c r="K135"/>
  <c r="L135"/>
  <c r="M135"/>
  <c r="N135"/>
  <c r="O135"/>
  <c r="P135"/>
  <c r="Q135"/>
  <c r="H135"/>
  <c r="AC53" l="1"/>
  <c r="W31"/>
  <c r="W29"/>
  <c r="AG87"/>
  <c r="AD53" l="1"/>
  <c r="X31"/>
  <c r="X29"/>
  <c r="H211"/>
  <c r="I211"/>
  <c r="J211"/>
  <c r="K211"/>
  <c r="L211"/>
  <c r="M211"/>
  <c r="N211"/>
  <c r="O211"/>
  <c r="P211"/>
  <c r="Q211"/>
  <c r="C9" i="15"/>
  <c r="H88" i="18"/>
  <c r="H139" s="1"/>
  <c r="H140" s="1"/>
  <c r="H143" s="1"/>
  <c r="I8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AE53" l="1"/>
  <c r="AG53"/>
  <c r="Y31"/>
  <c r="U88"/>
  <c r="Y29"/>
  <c r="S211"/>
  <c r="O141"/>
  <c r="O142" s="1"/>
  <c r="K141"/>
  <c r="K142" s="1"/>
  <c r="M141"/>
  <c r="M142" s="1"/>
  <c r="I141"/>
  <c r="I142" s="1"/>
  <c r="N141"/>
  <c r="N142" s="1"/>
  <c r="J141"/>
  <c r="J142" s="1"/>
  <c r="P141"/>
  <c r="P142" s="1"/>
  <c r="L141"/>
  <c r="L142" s="1"/>
  <c r="H141"/>
  <c r="H142" s="1"/>
  <c r="Q140"/>
  <c r="Q143" s="1"/>
  <c r="V59"/>
  <c r="Z31" l="1"/>
  <c r="W59"/>
  <c r="Z29"/>
  <c r="Q141"/>
  <c r="V88"/>
  <c r="H98"/>
  <c r="H164" s="1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H99"/>
  <c r="I99"/>
  <c r="J99"/>
  <c r="K99"/>
  <c r="L99"/>
  <c r="M99"/>
  <c r="N99"/>
  <c r="O99"/>
  <c r="P99"/>
  <c r="H100"/>
  <c r="I100"/>
  <c r="J100"/>
  <c r="K100"/>
  <c r="L100"/>
  <c r="M100"/>
  <c r="N100"/>
  <c r="O100"/>
  <c r="P100"/>
  <c r="Q100"/>
  <c r="Q99"/>
  <c r="Q98"/>
  <c r="Q164" s="1"/>
  <c r="I107"/>
  <c r="J107"/>
  <c r="K107"/>
  <c r="L107"/>
  <c r="M107"/>
  <c r="N107"/>
  <c r="O107"/>
  <c r="P107"/>
  <c r="H106"/>
  <c r="I106"/>
  <c r="J106"/>
  <c r="K106"/>
  <c r="L106"/>
  <c r="M106"/>
  <c r="N106"/>
  <c r="O106"/>
  <c r="P106"/>
  <c r="H105"/>
  <c r="I105"/>
  <c r="J105"/>
  <c r="K105"/>
  <c r="L105"/>
  <c r="M105"/>
  <c r="N105"/>
  <c r="O105"/>
  <c r="P105"/>
  <c r="Q106"/>
  <c r="AA31" l="1"/>
  <c r="X59"/>
  <c r="W88"/>
  <c r="AA29"/>
  <c r="Q105"/>
  <c r="I243"/>
  <c r="J243"/>
  <c r="K243"/>
  <c r="L243"/>
  <c r="M243"/>
  <c r="N243"/>
  <c r="O243"/>
  <c r="P243"/>
  <c r="Q243"/>
  <c r="H243"/>
  <c r="I242"/>
  <c r="J242"/>
  <c r="K242"/>
  <c r="L242"/>
  <c r="M242"/>
  <c r="N242"/>
  <c r="O242"/>
  <c r="P242"/>
  <c r="Q242"/>
  <c r="H242"/>
  <c r="I241"/>
  <c r="J241"/>
  <c r="K241"/>
  <c r="L241"/>
  <c r="M241"/>
  <c r="N241"/>
  <c r="O241"/>
  <c r="P241"/>
  <c r="Q241"/>
  <c r="H241"/>
  <c r="I67"/>
  <c r="J67"/>
  <c r="K67"/>
  <c r="L67"/>
  <c r="M67"/>
  <c r="N67"/>
  <c r="O67"/>
  <c r="P67"/>
  <c r="Q67"/>
  <c r="H67"/>
  <c r="H72"/>
  <c r="H214" s="1"/>
  <c r="I66"/>
  <c r="I202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H66"/>
  <c r="H202" s="1"/>
  <c r="U113"/>
  <c r="U119" s="1"/>
  <c r="AB31" l="1"/>
  <c r="Y59"/>
  <c r="X88"/>
  <c r="S202"/>
  <c r="AB29"/>
  <c r="V51"/>
  <c r="S243"/>
  <c r="S242"/>
  <c r="S241"/>
  <c r="V113" l="1"/>
  <c r="V119" s="1"/>
  <c r="AC31"/>
  <c r="Z59"/>
  <c r="Y88"/>
  <c r="AC29"/>
  <c r="W51"/>
  <c r="J95"/>
  <c r="K95"/>
  <c r="L95"/>
  <c r="M95"/>
  <c r="N95"/>
  <c r="O95"/>
  <c r="P95"/>
  <c r="Q95"/>
  <c r="J96"/>
  <c r="K96"/>
  <c r="L96"/>
  <c r="M96"/>
  <c r="N96"/>
  <c r="O96"/>
  <c r="P96"/>
  <c r="Q96"/>
  <c r="J90"/>
  <c r="J92" s="1"/>
  <c r="K90"/>
  <c r="K92" s="1"/>
  <c r="L90"/>
  <c r="L92" s="1"/>
  <c r="M90"/>
  <c r="M92" s="1"/>
  <c r="N90"/>
  <c r="N92" s="1"/>
  <c r="O90"/>
  <c r="O92" s="1"/>
  <c r="P90"/>
  <c r="P92" s="1"/>
  <c r="Q90"/>
  <c r="Q92" s="1"/>
  <c r="J93"/>
  <c r="K93"/>
  <c r="L93"/>
  <c r="M93"/>
  <c r="N93"/>
  <c r="O93"/>
  <c r="P93"/>
  <c r="Q93"/>
  <c r="J94"/>
  <c r="K94"/>
  <c r="L94"/>
  <c r="M94"/>
  <c r="N94"/>
  <c r="O94"/>
  <c r="P94"/>
  <c r="Q94"/>
  <c r="H93"/>
  <c r="H94"/>
  <c r="H95"/>
  <c r="H96"/>
  <c r="I96"/>
  <c r="I95"/>
  <c r="V22"/>
  <c r="W22" s="1"/>
  <c r="X22" s="1"/>
  <c r="Y22" s="1"/>
  <c r="Z22" s="1"/>
  <c r="AA22" s="1"/>
  <c r="AB22" s="1"/>
  <c r="AC22" s="1"/>
  <c r="AD22" s="1"/>
  <c r="H90"/>
  <c r="H92" s="1"/>
  <c r="I90"/>
  <c r="I92" s="1"/>
  <c r="I94"/>
  <c r="I93"/>
  <c r="W113" l="1"/>
  <c r="W119" s="1"/>
  <c r="AD31"/>
  <c r="AE31" s="1"/>
  <c r="AA59"/>
  <c r="Z88"/>
  <c r="V23"/>
  <c r="U116"/>
  <c r="U122" s="1"/>
  <c r="AD29"/>
  <c r="AE22"/>
  <c r="AG22"/>
  <c r="X51"/>
  <c r="V21"/>
  <c r="S201"/>
  <c r="AG31" l="1"/>
  <c r="X113"/>
  <c r="X119" s="1"/>
  <c r="AA88"/>
  <c r="AB59"/>
  <c r="W23"/>
  <c r="V116"/>
  <c r="V122" s="1"/>
  <c r="AG29"/>
  <c r="AE29"/>
  <c r="V20"/>
  <c r="U90"/>
  <c r="W21"/>
  <c r="C19" i="15"/>
  <c r="V9" i="18"/>
  <c r="W9" s="1"/>
  <c r="X9" s="1"/>
  <c r="Y9" s="1"/>
  <c r="Z9" s="1"/>
  <c r="AA9" s="1"/>
  <c r="AB9" s="1"/>
  <c r="AC9" s="1"/>
  <c r="AD9" s="1"/>
  <c r="AG9" s="1"/>
  <c r="U109"/>
  <c r="V33"/>
  <c r="W33" s="1"/>
  <c r="X33" s="1"/>
  <c r="Y33" s="1"/>
  <c r="Z33" s="1"/>
  <c r="AA33" s="1"/>
  <c r="AB33" s="1"/>
  <c r="AC33" s="1"/>
  <c r="AD33" s="1"/>
  <c r="AG33" s="1"/>
  <c r="V34"/>
  <c r="W34" s="1"/>
  <c r="X34" s="1"/>
  <c r="Y34" s="1"/>
  <c r="Z34" s="1"/>
  <c r="AA34" s="1"/>
  <c r="AB34" s="1"/>
  <c r="AC34" s="1"/>
  <c r="AD34" s="1"/>
  <c r="AG34" s="1"/>
  <c r="Y51"/>
  <c r="P86"/>
  <c r="P208" s="1"/>
  <c r="P85"/>
  <c r="P83"/>
  <c r="P82"/>
  <c r="P80"/>
  <c r="P209" s="1"/>
  <c r="P79"/>
  <c r="P78"/>
  <c r="P76"/>
  <c r="P75"/>
  <c r="P206" s="1"/>
  <c r="P74"/>
  <c r="P72"/>
  <c r="P214" s="1"/>
  <c r="Y113" l="1"/>
  <c r="Y119" s="1"/>
  <c r="AB88"/>
  <c r="AC59"/>
  <c r="V90"/>
  <c r="U156"/>
  <c r="U166"/>
  <c r="U157"/>
  <c r="U167"/>
  <c r="X23"/>
  <c r="W116"/>
  <c r="W122" s="1"/>
  <c r="U150"/>
  <c r="U151"/>
  <c r="U149"/>
  <c r="U137"/>
  <c r="Q142"/>
  <c r="U112"/>
  <c r="U118" s="1"/>
  <c r="U146"/>
  <c r="U145"/>
  <c r="V18"/>
  <c r="P203"/>
  <c r="W20"/>
  <c r="V27"/>
  <c r="Z51"/>
  <c r="V25"/>
  <c r="V129" s="1"/>
  <c r="U105"/>
  <c r="X21"/>
  <c r="AE33"/>
  <c r="AE34"/>
  <c r="AE9"/>
  <c r="P84"/>
  <c r="P207" s="1"/>
  <c r="H80"/>
  <c r="H209" s="1"/>
  <c r="I80"/>
  <c r="I209" s="1"/>
  <c r="J80"/>
  <c r="J209" s="1"/>
  <c r="K80"/>
  <c r="K209" s="1"/>
  <c r="L80"/>
  <c r="L209" s="1"/>
  <c r="M80"/>
  <c r="M209" s="1"/>
  <c r="N80"/>
  <c r="N209" s="1"/>
  <c r="O80"/>
  <c r="O209" s="1"/>
  <c r="Q80"/>
  <c r="V124" l="1"/>
  <c r="V125"/>
  <c r="P216"/>
  <c r="P217" s="1"/>
  <c r="P215"/>
  <c r="Z113"/>
  <c r="Z119" s="1"/>
  <c r="V109"/>
  <c r="V147"/>
  <c r="AD59"/>
  <c r="AC88"/>
  <c r="V157"/>
  <c r="V167"/>
  <c r="V156"/>
  <c r="V166"/>
  <c r="Y23"/>
  <c r="X116"/>
  <c r="X122" s="1"/>
  <c r="V149"/>
  <c r="V151"/>
  <c r="V150"/>
  <c r="V137"/>
  <c r="V112"/>
  <c r="V118" s="1"/>
  <c r="V146"/>
  <c r="V145"/>
  <c r="W18"/>
  <c r="X20"/>
  <c r="W90"/>
  <c r="W27"/>
  <c r="W25"/>
  <c r="V105"/>
  <c r="AA51"/>
  <c r="Y21"/>
  <c r="Q209"/>
  <c r="S209" s="1"/>
  <c r="H79"/>
  <c r="I79"/>
  <c r="J79"/>
  <c r="K79"/>
  <c r="L79"/>
  <c r="M79"/>
  <c r="N79"/>
  <c r="O79"/>
  <c r="Q79"/>
  <c r="H78"/>
  <c r="I78"/>
  <c r="J78"/>
  <c r="K78"/>
  <c r="L78"/>
  <c r="M78"/>
  <c r="N78"/>
  <c r="O78"/>
  <c r="Q78"/>
  <c r="W125" l="1"/>
  <c r="W129"/>
  <c r="W147"/>
  <c r="W124"/>
  <c r="AA113"/>
  <c r="AA119" s="1"/>
  <c r="AG59"/>
  <c r="AD88"/>
  <c r="AE59"/>
  <c r="W156"/>
  <c r="W166"/>
  <c r="W157"/>
  <c r="W167"/>
  <c r="W109"/>
  <c r="Z23"/>
  <c r="Y116"/>
  <c r="Y122" s="1"/>
  <c r="W151"/>
  <c r="W150"/>
  <c r="W149"/>
  <c r="W137"/>
  <c r="W112"/>
  <c r="W118" s="1"/>
  <c r="W146"/>
  <c r="W145"/>
  <c r="X18"/>
  <c r="Y20"/>
  <c r="X90"/>
  <c r="X27"/>
  <c r="X25"/>
  <c r="X129" s="1"/>
  <c r="W105"/>
  <c r="AB51"/>
  <c r="Z21"/>
  <c r="C46" i="15"/>
  <c r="X124" i="18" l="1"/>
  <c r="X125"/>
  <c r="AB113"/>
  <c r="AB119" s="1"/>
  <c r="X109"/>
  <c r="X147"/>
  <c r="U188"/>
  <c r="R230" s="1"/>
  <c r="AG88"/>
  <c r="V188" s="1"/>
  <c r="AE88"/>
  <c r="X157"/>
  <c r="X167"/>
  <c r="X156"/>
  <c r="X166"/>
  <c r="AA23"/>
  <c r="Z116"/>
  <c r="Z122" s="1"/>
  <c r="X137"/>
  <c r="X151"/>
  <c r="X150"/>
  <c r="X149"/>
  <c r="X112"/>
  <c r="X118" s="1"/>
  <c r="X146"/>
  <c r="X145"/>
  <c r="Y18"/>
  <c r="Z20"/>
  <c r="Y90"/>
  <c r="Y27"/>
  <c r="Y25"/>
  <c r="X105"/>
  <c r="AC51"/>
  <c r="AA21"/>
  <c r="I72"/>
  <c r="I214" s="1"/>
  <c r="J72"/>
  <c r="J214" s="1"/>
  <c r="K72"/>
  <c r="K214" s="1"/>
  <c r="L72"/>
  <c r="L214" s="1"/>
  <c r="M72"/>
  <c r="M214" s="1"/>
  <c r="N72"/>
  <c r="N214" s="1"/>
  <c r="O72"/>
  <c r="O214" s="1"/>
  <c r="Q72"/>
  <c r="Q214" s="1"/>
  <c r="S214" s="1"/>
  <c r="H86"/>
  <c r="I86"/>
  <c r="I208" s="1"/>
  <c r="J86"/>
  <c r="J208" s="1"/>
  <c r="K86"/>
  <c r="K208" s="1"/>
  <c r="L86"/>
  <c r="L208" s="1"/>
  <c r="M86"/>
  <c r="M208" s="1"/>
  <c r="N86"/>
  <c r="N208" s="1"/>
  <c r="O86"/>
  <c r="Q86"/>
  <c r="H85"/>
  <c r="I85"/>
  <c r="J85"/>
  <c r="K85"/>
  <c r="L85"/>
  <c r="M85"/>
  <c r="N85"/>
  <c r="O85"/>
  <c r="Q85"/>
  <c r="H83"/>
  <c r="I83"/>
  <c r="J83"/>
  <c r="K83"/>
  <c r="L83"/>
  <c r="M83"/>
  <c r="N83"/>
  <c r="O83"/>
  <c r="Q83"/>
  <c r="H82"/>
  <c r="I82"/>
  <c r="J82"/>
  <c r="K82"/>
  <c r="L82"/>
  <c r="M82"/>
  <c r="N82"/>
  <c r="O82"/>
  <c r="Q82"/>
  <c r="H76"/>
  <c r="I76"/>
  <c r="J76"/>
  <c r="K76"/>
  <c r="L76"/>
  <c r="M76"/>
  <c r="N76"/>
  <c r="O76"/>
  <c r="Q76"/>
  <c r="H75"/>
  <c r="I75"/>
  <c r="I206" s="1"/>
  <c r="J75"/>
  <c r="J206" s="1"/>
  <c r="K75"/>
  <c r="K206" s="1"/>
  <c r="L75"/>
  <c r="L206" s="1"/>
  <c r="M75"/>
  <c r="M206" s="1"/>
  <c r="N75"/>
  <c r="N206" s="1"/>
  <c r="O75"/>
  <c r="Q75"/>
  <c r="H74"/>
  <c r="I74"/>
  <c r="J74"/>
  <c r="K74"/>
  <c r="L74"/>
  <c r="M74"/>
  <c r="N74"/>
  <c r="O74"/>
  <c r="Q74"/>
  <c r="U154"/>
  <c r="U162"/>
  <c r="U163" s="1"/>
  <c r="U114"/>
  <c r="U120" s="1"/>
  <c r="Y125" l="1"/>
  <c r="Y129"/>
  <c r="Y147"/>
  <c r="Y124"/>
  <c r="S170"/>
  <c r="U237" s="1"/>
  <c r="U236" s="1"/>
  <c r="U211"/>
  <c r="AC113"/>
  <c r="AC119" s="1"/>
  <c r="U134"/>
  <c r="T188"/>
  <c r="Q230" s="1"/>
  <c r="Y156"/>
  <c r="Y166"/>
  <c r="Y109"/>
  <c r="Y157"/>
  <c r="Y167"/>
  <c r="AB23"/>
  <c r="AA116"/>
  <c r="AA122" s="1"/>
  <c r="U107"/>
  <c r="U108"/>
  <c r="U160"/>
  <c r="U159"/>
  <c r="U115"/>
  <c r="U121" s="1"/>
  <c r="U155"/>
  <c r="I203"/>
  <c r="Y137"/>
  <c r="Y150"/>
  <c r="Y149"/>
  <c r="Y151"/>
  <c r="U136"/>
  <c r="Y112"/>
  <c r="Y118" s="1"/>
  <c r="Y146"/>
  <c r="Y145"/>
  <c r="U135"/>
  <c r="Z18"/>
  <c r="Q203"/>
  <c r="L203"/>
  <c r="K203"/>
  <c r="N203"/>
  <c r="J203"/>
  <c r="AA20"/>
  <c r="Z90"/>
  <c r="I84"/>
  <c r="I207" s="1"/>
  <c r="Z27"/>
  <c r="V12"/>
  <c r="V15"/>
  <c r="V154" s="1"/>
  <c r="V13"/>
  <c r="V10"/>
  <c r="V16"/>
  <c r="V162" s="1"/>
  <c r="V163" s="1"/>
  <c r="V6"/>
  <c r="V7"/>
  <c r="Z25"/>
  <c r="Z129" s="1"/>
  <c r="Y105"/>
  <c r="V55"/>
  <c r="V130" s="1"/>
  <c r="U106"/>
  <c r="AD51"/>
  <c r="M84"/>
  <c r="M207" s="1"/>
  <c r="L84"/>
  <c r="L207" s="1"/>
  <c r="K84"/>
  <c r="K207" s="1"/>
  <c r="AB21"/>
  <c r="V201"/>
  <c r="J84"/>
  <c r="J207" s="1"/>
  <c r="H206"/>
  <c r="H203"/>
  <c r="H208"/>
  <c r="H84"/>
  <c r="O206"/>
  <c r="O203"/>
  <c r="O208"/>
  <c r="Q206"/>
  <c r="M203"/>
  <c r="O84"/>
  <c r="N84"/>
  <c r="N207" s="1"/>
  <c r="Q208"/>
  <c r="Q84"/>
  <c r="C6" i="12"/>
  <c r="C26" i="15"/>
  <c r="C58"/>
  <c r="C57"/>
  <c r="C54"/>
  <c r="C53"/>
  <c r="C50"/>
  <c r="C49"/>
  <c r="C45"/>
  <c r="V132" i="18" l="1"/>
  <c r="V131"/>
  <c r="Z124"/>
  <c r="Z125"/>
  <c r="V211"/>
  <c r="V220"/>
  <c r="V225"/>
  <c r="H216"/>
  <c r="H217" s="1"/>
  <c r="H215"/>
  <c r="N216"/>
  <c r="N217" s="1"/>
  <c r="N215"/>
  <c r="L216"/>
  <c r="L217" s="1"/>
  <c r="L215"/>
  <c r="O216"/>
  <c r="O217" s="1"/>
  <c r="O215"/>
  <c r="I216"/>
  <c r="I217" s="1"/>
  <c r="I215"/>
  <c r="J216"/>
  <c r="J217" s="1"/>
  <c r="J215"/>
  <c r="K216"/>
  <c r="K217" s="1"/>
  <c r="K215"/>
  <c r="Q216"/>
  <c r="Q217" s="1"/>
  <c r="Q215"/>
  <c r="M216"/>
  <c r="M217" s="1"/>
  <c r="M215"/>
  <c r="Z109"/>
  <c r="Z147"/>
  <c r="V114"/>
  <c r="V120" s="1"/>
  <c r="V68"/>
  <c r="V110" s="1"/>
  <c r="V238"/>
  <c r="W238" s="1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V134"/>
  <c r="Z156"/>
  <c r="Z166"/>
  <c r="Z157"/>
  <c r="Z167"/>
  <c r="AG51"/>
  <c r="AD113"/>
  <c r="AC23"/>
  <c r="AB116"/>
  <c r="AB122" s="1"/>
  <c r="V160"/>
  <c r="V159"/>
  <c r="V115"/>
  <c r="V121" s="1"/>
  <c r="V155"/>
  <c r="V108"/>
  <c r="Z149"/>
  <c r="Z150"/>
  <c r="Z151"/>
  <c r="Z137"/>
  <c r="Z112"/>
  <c r="Z118" s="1"/>
  <c r="Z146"/>
  <c r="Z145"/>
  <c r="V135"/>
  <c r="V136"/>
  <c r="AA18"/>
  <c r="AB20"/>
  <c r="AA90"/>
  <c r="AA27"/>
  <c r="W15"/>
  <c r="W154" s="1"/>
  <c r="W13"/>
  <c r="W12"/>
  <c r="W16"/>
  <c r="W162" s="1"/>
  <c r="W163" s="1"/>
  <c r="W10"/>
  <c r="W7"/>
  <c r="W6"/>
  <c r="AE51"/>
  <c r="AA25"/>
  <c r="AA129" s="1"/>
  <c r="Z105"/>
  <c r="W55"/>
  <c r="W130" s="1"/>
  <c r="V107"/>
  <c r="V106"/>
  <c r="AC21"/>
  <c r="W201"/>
  <c r="S206"/>
  <c r="S203"/>
  <c r="S208"/>
  <c r="H207"/>
  <c r="O207"/>
  <c r="Q207"/>
  <c r="C16" i="15"/>
  <c r="C21"/>
  <c r="C10"/>
  <c r="S217" i="18" l="1"/>
  <c r="W131"/>
  <c r="W132"/>
  <c r="AA124"/>
  <c r="AA125"/>
  <c r="S215"/>
  <c r="V226"/>
  <c r="V227" s="1"/>
  <c r="V224"/>
  <c r="V221"/>
  <c r="V222" s="1"/>
  <c r="V219"/>
  <c r="W211"/>
  <c r="W225"/>
  <c r="W220"/>
  <c r="S216"/>
  <c r="AA109"/>
  <c r="AA147"/>
  <c r="W114"/>
  <c r="W120" s="1"/>
  <c r="W68"/>
  <c r="W110" s="1"/>
  <c r="V239"/>
  <c r="W239" s="1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E113"/>
  <c r="AD119"/>
  <c r="AE119" s="1"/>
  <c r="V237"/>
  <c r="W237" s="1"/>
  <c r="X237" s="1"/>
  <c r="Y237" s="1"/>
  <c r="Z237" s="1"/>
  <c r="AA237" s="1"/>
  <c r="AB237" s="1"/>
  <c r="AC237" s="1"/>
  <c r="AD237" s="1"/>
  <c r="AE237" s="1"/>
  <c r="W134"/>
  <c r="AA156"/>
  <c r="AA166"/>
  <c r="AA157"/>
  <c r="AA167"/>
  <c r="AD23"/>
  <c r="AC116"/>
  <c r="AC122" s="1"/>
  <c r="W115"/>
  <c r="W121" s="1"/>
  <c r="W155"/>
  <c r="W160"/>
  <c r="W159"/>
  <c r="W108"/>
  <c r="AA151"/>
  <c r="AA150"/>
  <c r="AA149"/>
  <c r="AA137"/>
  <c r="AA112"/>
  <c r="AA118" s="1"/>
  <c r="AA146"/>
  <c r="AA145"/>
  <c r="W135"/>
  <c r="W136"/>
  <c r="AB18"/>
  <c r="AC20"/>
  <c r="AB90"/>
  <c r="AB27"/>
  <c r="X13"/>
  <c r="X12"/>
  <c r="X15"/>
  <c r="X154" s="1"/>
  <c r="X10"/>
  <c r="X16"/>
  <c r="X162" s="1"/>
  <c r="X163" s="1"/>
  <c r="X6"/>
  <c r="X7"/>
  <c r="X55"/>
  <c r="X130" s="1"/>
  <c r="W107"/>
  <c r="W106"/>
  <c r="AB25"/>
  <c r="AB129" s="1"/>
  <c r="AA105"/>
  <c r="AD21"/>
  <c r="AG21" s="1"/>
  <c r="X201"/>
  <c r="S207"/>
  <c r="D31" i="8"/>
  <c r="D29"/>
  <c r="D28"/>
  <c r="D13"/>
  <c r="D30" s="1"/>
  <c r="E14"/>
  <c r="F14" s="1"/>
  <c r="G14" s="1"/>
  <c r="H14" s="1"/>
  <c r="I14" s="1"/>
  <c r="X132" i="18" l="1"/>
  <c r="X131"/>
  <c r="AB124"/>
  <c r="AB125"/>
  <c r="W221"/>
  <c r="W222" s="1"/>
  <c r="W219"/>
  <c r="W226"/>
  <c r="W227" s="1"/>
  <c r="W224"/>
  <c r="X211"/>
  <c r="X220"/>
  <c r="X225"/>
  <c r="AB109"/>
  <c r="AB147"/>
  <c r="X114"/>
  <c r="X120" s="1"/>
  <c r="X68"/>
  <c r="X110" s="1"/>
  <c r="V236"/>
  <c r="W236" s="1"/>
  <c r="X236" s="1"/>
  <c r="Y236" s="1"/>
  <c r="Z236" s="1"/>
  <c r="AA236" s="1"/>
  <c r="AB236" s="1"/>
  <c r="AC236" s="1"/>
  <c r="AD236" s="1"/>
  <c r="AE236" s="1"/>
  <c r="AF237"/>
  <c r="AG237" s="1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X134"/>
  <c r="AB156"/>
  <c r="AB166"/>
  <c r="AB157"/>
  <c r="AB167"/>
  <c r="AG23"/>
  <c r="AD116"/>
  <c r="AE23"/>
  <c r="X108"/>
  <c r="X159"/>
  <c r="X160"/>
  <c r="X115"/>
  <c r="X121" s="1"/>
  <c r="X155"/>
  <c r="AB151"/>
  <c r="AB150"/>
  <c r="AB149"/>
  <c r="AB137"/>
  <c r="AB112"/>
  <c r="AB118" s="1"/>
  <c r="AB146"/>
  <c r="AB145"/>
  <c r="X136"/>
  <c r="X135"/>
  <c r="AC18"/>
  <c r="AD20"/>
  <c r="AC90"/>
  <c r="AC27"/>
  <c r="Y12"/>
  <c r="Y15"/>
  <c r="Y154" s="1"/>
  <c r="Y13"/>
  <c r="Y16"/>
  <c r="Y162" s="1"/>
  <c r="Y163" s="1"/>
  <c r="Y10"/>
  <c r="Y7"/>
  <c r="Y6"/>
  <c r="AC25"/>
  <c r="AB105"/>
  <c r="Y55"/>
  <c r="Y130" s="1"/>
  <c r="X106"/>
  <c r="X107"/>
  <c r="AE21"/>
  <c r="Y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C125" i="18" l="1"/>
  <c r="AC129"/>
  <c r="Y132"/>
  <c r="Y131"/>
  <c r="AC147"/>
  <c r="AC124"/>
  <c r="X226"/>
  <c r="X227" s="1"/>
  <c r="X224"/>
  <c r="X221"/>
  <c r="X222" s="1"/>
  <c r="X219"/>
  <c r="Y211"/>
  <c r="Y225"/>
  <c r="Y220"/>
  <c r="Y114"/>
  <c r="Y120" s="1"/>
  <c r="Y68"/>
  <c r="Y110" s="1"/>
  <c r="AF236"/>
  <c r="AG236" s="1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E116"/>
  <c r="AD122"/>
  <c r="AE122" s="1"/>
  <c r="Y134"/>
  <c r="AC156"/>
  <c r="AC166"/>
  <c r="AC157"/>
  <c r="AC167"/>
  <c r="AG20"/>
  <c r="AC109"/>
  <c r="Y160"/>
  <c r="Y159"/>
  <c r="Y115"/>
  <c r="Y121" s="1"/>
  <c r="Y155"/>
  <c r="Y108"/>
  <c r="AC150"/>
  <c r="AC149"/>
  <c r="AC151"/>
  <c r="AC137"/>
  <c r="AC112"/>
  <c r="AC118" s="1"/>
  <c r="AC146"/>
  <c r="AC145"/>
  <c r="Y136"/>
  <c r="Y135"/>
  <c r="AD18"/>
  <c r="AE20"/>
  <c r="AD90"/>
  <c r="AD27"/>
  <c r="AD167" s="1"/>
  <c r="AE167" s="1"/>
  <c r="Z15"/>
  <c r="Z154" s="1"/>
  <c r="Z13"/>
  <c r="Z12"/>
  <c r="Z10"/>
  <c r="Z16"/>
  <c r="Z162" s="1"/>
  <c r="Z163" s="1"/>
  <c r="Z6"/>
  <c r="Z7"/>
  <c r="Z55"/>
  <c r="Z130" s="1"/>
  <c r="Y107"/>
  <c r="Y106"/>
  <c r="AD25"/>
  <c r="AD129" s="1"/>
  <c r="AE129" s="1"/>
  <c r="AC105"/>
  <c r="Z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Z132" i="18" l="1"/>
  <c r="Z131"/>
  <c r="AD124"/>
  <c r="AE124" s="1"/>
  <c r="AD125"/>
  <c r="AE125" s="1"/>
  <c r="Y221"/>
  <c r="Y222" s="1"/>
  <c r="Y219"/>
  <c r="Y226"/>
  <c r="Y227" s="1"/>
  <c r="Y224"/>
  <c r="Z211"/>
  <c r="Z225"/>
  <c r="Z220"/>
  <c r="AD109"/>
  <c r="AE109" s="1"/>
  <c r="AD147"/>
  <c r="AE147" s="1"/>
  <c r="Z114"/>
  <c r="Z120" s="1"/>
  <c r="Z68"/>
  <c r="Z110" s="1"/>
  <c r="Z134"/>
  <c r="AD156"/>
  <c r="AE156" s="1"/>
  <c r="AD166"/>
  <c r="AE166" s="1"/>
  <c r="Z115"/>
  <c r="Z121" s="1"/>
  <c r="Z155"/>
  <c r="Z160"/>
  <c r="Z159"/>
  <c r="AG27"/>
  <c r="AD157"/>
  <c r="AE157" s="1"/>
  <c r="Z108"/>
  <c r="AD149"/>
  <c r="AE149" s="1"/>
  <c r="AD151"/>
  <c r="AE151" s="1"/>
  <c r="AD150"/>
  <c r="AE150" s="1"/>
  <c r="N32" i="9"/>
  <c r="N33" s="1"/>
  <c r="N34" s="1"/>
  <c r="N35" s="1"/>
  <c r="N36" s="1"/>
  <c r="N37" s="1"/>
  <c r="N38" s="1"/>
  <c r="N39" s="1"/>
  <c r="N40" s="1"/>
  <c r="N41" s="1"/>
  <c r="N42" s="1"/>
  <c r="M45"/>
  <c r="AD137" i="18"/>
  <c r="AE137" s="1"/>
  <c r="AD112"/>
  <c r="AD146"/>
  <c r="AE146" s="1"/>
  <c r="AD145"/>
  <c r="AE145" s="1"/>
  <c r="Z136"/>
  <c r="Z135"/>
  <c r="AG25"/>
  <c r="AG18"/>
  <c r="AE18"/>
  <c r="U190"/>
  <c r="AG90"/>
  <c r="AE90"/>
  <c r="M32" i="9"/>
  <c r="M33" s="1"/>
  <c r="M34" s="1"/>
  <c r="M35" s="1"/>
  <c r="M36" s="1"/>
  <c r="M37" s="1"/>
  <c r="M38" s="1"/>
  <c r="M39" s="1"/>
  <c r="M40" s="1"/>
  <c r="M41" s="1"/>
  <c r="P32"/>
  <c r="AE27" i="18"/>
  <c r="AA12"/>
  <c r="AA15"/>
  <c r="AA154" s="1"/>
  <c r="AA13"/>
  <c r="AA10"/>
  <c r="AA16"/>
  <c r="AA162" s="1"/>
  <c r="AA163" s="1"/>
  <c r="AA7"/>
  <c r="AA6"/>
  <c r="AE25"/>
  <c r="AD105"/>
  <c r="AE105" s="1"/>
  <c r="AA55"/>
  <c r="AA130" s="1"/>
  <c r="Z107"/>
  <c r="Z106"/>
  <c r="O31" i="9"/>
  <c r="O32" s="1"/>
  <c r="AA201" i="18"/>
  <c r="P31" i="11"/>
  <c r="N32"/>
  <c r="T19" i="9"/>
  <c r="D22"/>
  <c r="AA131" i="18" l="1"/>
  <c r="AA132"/>
  <c r="Z221"/>
  <c r="Z222" s="1"/>
  <c r="Z219"/>
  <c r="Z226"/>
  <c r="Z227" s="1"/>
  <c r="Z224"/>
  <c r="AA211"/>
  <c r="AA220"/>
  <c r="AA225"/>
  <c r="AA114"/>
  <c r="AA120" s="1"/>
  <c r="AA68"/>
  <c r="AA110" s="1"/>
  <c r="AE112"/>
  <c r="AD118"/>
  <c r="AE118" s="1"/>
  <c r="AA134"/>
  <c r="AA160"/>
  <c r="AA159"/>
  <c r="AA115"/>
  <c r="AA121" s="1"/>
  <c r="AA155"/>
  <c r="AA108"/>
  <c r="AA135"/>
  <c r="AA136"/>
  <c r="V190"/>
  <c r="T190" s="1"/>
  <c r="AB13"/>
  <c r="AB12"/>
  <c r="AB15"/>
  <c r="AB154" s="1"/>
  <c r="AB10"/>
  <c r="AB16"/>
  <c r="AB162" s="1"/>
  <c r="AB163" s="1"/>
  <c r="AB6"/>
  <c r="AB7"/>
  <c r="AB55"/>
  <c r="AB130" s="1"/>
  <c r="AA107"/>
  <c r="AA106"/>
  <c r="AB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B132" i="18" l="1"/>
  <c r="AB131"/>
  <c r="AA226"/>
  <c r="AA227" s="1"/>
  <c r="AA224"/>
  <c r="AA221"/>
  <c r="AA222" s="1"/>
  <c r="AA219"/>
  <c r="AB211"/>
  <c r="AB225"/>
  <c r="AB220"/>
  <c r="AB114"/>
  <c r="AB120" s="1"/>
  <c r="AB68"/>
  <c r="AB110" s="1"/>
  <c r="AB134"/>
  <c r="AB115"/>
  <c r="AB121" s="1"/>
  <c r="AB155"/>
  <c r="AB159"/>
  <c r="AB160"/>
  <c r="AB108"/>
  <c r="AB135"/>
  <c r="AB136"/>
  <c r="AC12"/>
  <c r="AC15"/>
  <c r="AC154" s="1"/>
  <c r="AC13"/>
  <c r="AC10"/>
  <c r="AC16"/>
  <c r="AC162" s="1"/>
  <c r="AC163" s="1"/>
  <c r="AC7"/>
  <c r="AC6"/>
  <c r="AC55"/>
  <c r="AC130" s="1"/>
  <c r="AB106"/>
  <c r="AB107"/>
  <c r="AC201"/>
  <c r="N34" i="11"/>
  <c r="O33"/>
  <c r="D25" i="8"/>
  <c r="D23"/>
  <c r="AC132" i="18" l="1"/>
  <c r="AC131"/>
  <c r="AB221"/>
  <c r="AB222" s="1"/>
  <c r="AB219"/>
  <c r="AB226"/>
  <c r="AB227" s="1"/>
  <c r="AB224"/>
  <c r="AC211"/>
  <c r="AC225"/>
  <c r="AC220"/>
  <c r="AC114"/>
  <c r="AC120" s="1"/>
  <c r="AC68"/>
  <c r="AC110" s="1"/>
  <c r="AC134"/>
  <c r="AC108"/>
  <c r="AC159"/>
  <c r="AC160"/>
  <c r="AC115"/>
  <c r="AC121" s="1"/>
  <c r="AC155"/>
  <c r="AC135"/>
  <c r="AC136"/>
  <c r="AD15"/>
  <c r="AD13"/>
  <c r="AG13" s="1"/>
  <c r="AD12"/>
  <c r="AD155" s="1"/>
  <c r="AE155" s="1"/>
  <c r="AD10"/>
  <c r="AD16"/>
  <c r="AD6"/>
  <c r="AG6" s="1"/>
  <c r="AD7"/>
  <c r="AG7" s="1"/>
  <c r="AD55"/>
  <c r="AD130" s="1"/>
  <c r="AE130" s="1"/>
  <c r="AC107"/>
  <c r="AC106"/>
  <c r="AD201"/>
  <c r="N35" i="11"/>
  <c r="O34"/>
  <c r="D35" i="8"/>
  <c r="E5"/>
  <c r="E18" s="1"/>
  <c r="D18"/>
  <c r="D19"/>
  <c r="D21"/>
  <c r="D20"/>
  <c r="AD132" i="18" l="1"/>
  <c r="AE132" s="1"/>
  <c r="AD131"/>
  <c r="AE131" s="1"/>
  <c r="AC221"/>
  <c r="AC222" s="1"/>
  <c r="AC219"/>
  <c r="AC226"/>
  <c r="AC227" s="1"/>
  <c r="AC224"/>
  <c r="AD211"/>
  <c r="AE211" s="1"/>
  <c r="AG211" s="1"/>
  <c r="AG227" s="1"/>
  <c r="AD225"/>
  <c r="AD224" s="1"/>
  <c r="AE224" s="1"/>
  <c r="AD220"/>
  <c r="AD219" s="1"/>
  <c r="AE219" s="1"/>
  <c r="AD114"/>
  <c r="AD120" s="1"/>
  <c r="AE120" s="1"/>
  <c r="AD68"/>
  <c r="AD134"/>
  <c r="AE134" s="1"/>
  <c r="AG16"/>
  <c r="AD162"/>
  <c r="AD160"/>
  <c r="AE160" s="1"/>
  <c r="AD159"/>
  <c r="AE159" s="1"/>
  <c r="AG15"/>
  <c r="AD154"/>
  <c r="AE154" s="1"/>
  <c r="AD108"/>
  <c r="AE108" s="1"/>
  <c r="AG10"/>
  <c r="AG12"/>
  <c r="AD115"/>
  <c r="AG55"/>
  <c r="AD135"/>
  <c r="AE135" s="1"/>
  <c r="AD136"/>
  <c r="AE136" s="1"/>
  <c r="AE15"/>
  <c r="AE13"/>
  <c r="U184"/>
  <c r="AE12"/>
  <c r="AE10"/>
  <c r="AE16"/>
  <c r="AE7"/>
  <c r="AE6"/>
  <c r="AD107"/>
  <c r="AE107" s="1"/>
  <c r="AD106"/>
  <c r="AE106" s="1"/>
  <c r="AE55"/>
  <c r="AE201"/>
  <c r="AG201" s="1"/>
  <c r="N36" i="11"/>
  <c r="O35"/>
  <c r="F5" i="8"/>
  <c r="G5" s="1"/>
  <c r="H5" s="1"/>
  <c r="I5" s="1"/>
  <c r="AD221" i="18" l="1"/>
  <c r="AE220"/>
  <c r="AE225"/>
  <c r="AD226"/>
  <c r="AE68"/>
  <c r="AG68"/>
  <c r="AE114"/>
  <c r="AD110"/>
  <c r="AE110" s="1"/>
  <c r="AE115"/>
  <c r="AD121"/>
  <c r="AE121" s="1"/>
  <c r="AE162"/>
  <c r="AD163"/>
  <c r="AE163" s="1"/>
  <c r="V184"/>
  <c r="V185" s="1"/>
  <c r="U185"/>
  <c r="R233" s="1"/>
  <c r="N37" i="11"/>
  <c r="O36"/>
  <c r="F18" i="8"/>
  <c r="G18"/>
  <c r="AE221" i="18" l="1"/>
  <c r="AD222"/>
  <c r="AE222" s="1"/>
  <c r="AD227"/>
  <c r="AE227" s="1"/>
  <c r="AE226"/>
  <c r="T184"/>
  <c r="T185"/>
  <c r="N38" i="11"/>
  <c r="O37"/>
  <c r="H18" i="8"/>
  <c r="N233" i="18" l="1"/>
  <c r="Q233"/>
  <c r="N39" i="11"/>
  <c r="O38"/>
  <c r="I18" i="8"/>
  <c r="N40" i="11" l="1"/>
  <c r="O39"/>
  <c r="N41" l="1"/>
  <c r="O40"/>
  <c r="N42" l="1"/>
  <c r="O41"/>
  <c r="U212" i="18"/>
  <c r="U93"/>
  <c r="U74"/>
  <c r="U79"/>
  <c r="U100"/>
  <c r="U102"/>
  <c r="U95"/>
  <c r="U92"/>
  <c r="U78"/>
  <c r="U73"/>
  <c r="U67"/>
  <c r="U85"/>
  <c r="U99"/>
  <c r="U83"/>
  <c r="U76"/>
  <c r="U94"/>
  <c r="U96"/>
  <c r="U80"/>
  <c r="U209" s="1"/>
  <c r="U66"/>
  <c r="U202" s="1"/>
  <c r="U71"/>
  <c r="U205" s="1"/>
  <c r="U86"/>
  <c r="U208" s="1"/>
  <c r="U98"/>
  <c r="U164" s="1"/>
  <c r="U70"/>
  <c r="U204" s="1"/>
  <c r="U82"/>
  <c r="U139"/>
  <c r="U140" s="1"/>
  <c r="U72"/>
  <c r="U214" s="1"/>
  <c r="U75"/>
  <c r="U206" s="1"/>
  <c r="V57"/>
  <c r="U84" l="1"/>
  <c r="U207" s="1"/>
  <c r="V76"/>
  <c r="V99"/>
  <c r="V83"/>
  <c r="V95"/>
  <c r="V79"/>
  <c r="V78"/>
  <c r="V212"/>
  <c r="V94"/>
  <c r="V74"/>
  <c r="V98"/>
  <c r="V164" s="1"/>
  <c r="V86"/>
  <c r="V208" s="1"/>
  <c r="V70"/>
  <c r="V204" s="1"/>
  <c r="V139"/>
  <c r="V140" s="1"/>
  <c r="V92"/>
  <c r="V73"/>
  <c r="V102"/>
  <c r="V85"/>
  <c r="V100"/>
  <c r="V93"/>
  <c r="V96"/>
  <c r="V67"/>
  <c r="V75"/>
  <c r="V206" s="1"/>
  <c r="V66"/>
  <c r="V202" s="1"/>
  <c r="V80"/>
  <c r="V209" s="1"/>
  <c r="V71"/>
  <c r="V205" s="1"/>
  <c r="V72"/>
  <c r="V214" s="1"/>
  <c r="W57"/>
  <c r="V82"/>
  <c r="U141"/>
  <c r="U142" s="1"/>
  <c r="U143"/>
  <c r="U203"/>
  <c r="V84" l="1"/>
  <c r="V207" s="1"/>
  <c r="U216"/>
  <c r="U217" s="1"/>
  <c r="U215"/>
  <c r="W93"/>
  <c r="W70"/>
  <c r="W204" s="1"/>
  <c r="W94"/>
  <c r="W95"/>
  <c r="W99"/>
  <c r="W79"/>
  <c r="W76"/>
  <c r="W102"/>
  <c r="W85"/>
  <c r="W83"/>
  <c r="W66"/>
  <c r="W202" s="1"/>
  <c r="W75"/>
  <c r="W206" s="1"/>
  <c r="W71"/>
  <c r="W205" s="1"/>
  <c r="W74"/>
  <c r="W73"/>
  <c r="W92"/>
  <c r="W96"/>
  <c r="W67"/>
  <c r="W80"/>
  <c r="W209" s="1"/>
  <c r="W100"/>
  <c r="W78"/>
  <c r="W212"/>
  <c r="W98"/>
  <c r="W164" s="1"/>
  <c r="W86"/>
  <c r="W208" s="1"/>
  <c r="W82"/>
  <c r="W139"/>
  <c r="W140" s="1"/>
  <c r="W72"/>
  <c r="W214" s="1"/>
  <c r="X57"/>
  <c r="V203"/>
  <c r="V143"/>
  <c r="V141"/>
  <c r="V142" s="1"/>
  <c r="V216" l="1"/>
  <c r="V217" s="1"/>
  <c r="V215"/>
  <c r="X93"/>
  <c r="X212"/>
  <c r="X67"/>
  <c r="X94"/>
  <c r="X79"/>
  <c r="X74"/>
  <c r="X78"/>
  <c r="X92"/>
  <c r="X98"/>
  <c r="X164" s="1"/>
  <c r="X70"/>
  <c r="X204" s="1"/>
  <c r="X71"/>
  <c r="X205" s="1"/>
  <c r="X86"/>
  <c r="X208" s="1"/>
  <c r="X102"/>
  <c r="X73"/>
  <c r="X96"/>
  <c r="X100"/>
  <c r="X99"/>
  <c r="X76"/>
  <c r="X95"/>
  <c r="X85"/>
  <c r="X83"/>
  <c r="X80"/>
  <c r="X209" s="1"/>
  <c r="X66"/>
  <c r="X202" s="1"/>
  <c r="X139"/>
  <c r="X140" s="1"/>
  <c r="X72"/>
  <c r="X214" s="1"/>
  <c r="X75"/>
  <c r="X206" s="1"/>
  <c r="Y57"/>
  <c r="X82"/>
  <c r="W203"/>
  <c r="W141"/>
  <c r="W142" s="1"/>
  <c r="W143"/>
  <c r="W84"/>
  <c r="W207" s="1"/>
  <c r="W216" l="1"/>
  <c r="W217" s="1"/>
  <c r="W215"/>
  <c r="X203"/>
  <c r="X84"/>
  <c r="X207" s="1"/>
  <c r="X143"/>
  <c r="X141"/>
  <c r="X142" s="1"/>
  <c r="Y73"/>
  <c r="Y94"/>
  <c r="Y83"/>
  <c r="Y93"/>
  <c r="Y92"/>
  <c r="Y78"/>
  <c r="Y67"/>
  <c r="Y76"/>
  <c r="Y75"/>
  <c r="Y206" s="1"/>
  <c r="Y66"/>
  <c r="Y202" s="1"/>
  <c r="Y98"/>
  <c r="Y164" s="1"/>
  <c r="Y212"/>
  <c r="Y96"/>
  <c r="Y74"/>
  <c r="Y102"/>
  <c r="Y95"/>
  <c r="Y79"/>
  <c r="Y85"/>
  <c r="Y99"/>
  <c r="Y100"/>
  <c r="Y70"/>
  <c r="Y204" s="1"/>
  <c r="Y71"/>
  <c r="Y205" s="1"/>
  <c r="Y86"/>
  <c r="Y208" s="1"/>
  <c r="Y80"/>
  <c r="Y209" s="1"/>
  <c r="Y82"/>
  <c r="Y72"/>
  <c r="Y214" s="1"/>
  <c r="Y139"/>
  <c r="Y140" s="1"/>
  <c r="Z57"/>
  <c r="Y84" l="1"/>
  <c r="Y207" s="1"/>
  <c r="X216"/>
  <c r="X217" s="1"/>
  <c r="X215"/>
  <c r="Z73"/>
  <c r="Z76"/>
  <c r="Z78"/>
  <c r="Z67"/>
  <c r="Z80"/>
  <c r="Z209" s="1"/>
  <c r="Z92"/>
  <c r="Z85"/>
  <c r="Z93"/>
  <c r="Z83"/>
  <c r="Z71"/>
  <c r="Z205" s="1"/>
  <c r="Z66"/>
  <c r="Z202" s="1"/>
  <c r="Z75"/>
  <c r="Z206" s="1"/>
  <c r="Z95"/>
  <c r="Z94"/>
  <c r="Z74"/>
  <c r="Z100"/>
  <c r="Z86"/>
  <c r="Z208" s="1"/>
  <c r="Z102"/>
  <c r="Z212"/>
  <c r="Z99"/>
  <c r="Z96"/>
  <c r="Z79"/>
  <c r="Z98"/>
  <c r="Z164" s="1"/>
  <c r="Z70"/>
  <c r="Z204" s="1"/>
  <c r="AA57"/>
  <c r="Z139"/>
  <c r="Z140" s="1"/>
  <c r="Z82"/>
  <c r="Z72"/>
  <c r="Z214" s="1"/>
  <c r="Y141"/>
  <c r="Y142" s="1"/>
  <c r="Y143"/>
  <c r="Y203"/>
  <c r="Y216" l="1"/>
  <c r="Y217" s="1"/>
  <c r="Y215"/>
  <c r="Z84"/>
  <c r="Z207" s="1"/>
  <c r="AA92"/>
  <c r="AA79"/>
  <c r="AA212"/>
  <c r="AA78"/>
  <c r="AA80"/>
  <c r="AA209" s="1"/>
  <c r="AA95"/>
  <c r="AA67"/>
  <c r="AA83"/>
  <c r="AA100"/>
  <c r="AA98"/>
  <c r="AA164" s="1"/>
  <c r="AA66"/>
  <c r="AA202" s="1"/>
  <c r="AA99"/>
  <c r="AA74"/>
  <c r="AA76"/>
  <c r="AA96"/>
  <c r="AA86"/>
  <c r="AA208" s="1"/>
  <c r="AA73"/>
  <c r="AA102"/>
  <c r="AA94"/>
  <c r="AA93"/>
  <c r="AA85"/>
  <c r="AA70"/>
  <c r="AA204" s="1"/>
  <c r="AA71"/>
  <c r="AA205" s="1"/>
  <c r="AA75"/>
  <c r="AA206" s="1"/>
  <c r="AA139"/>
  <c r="AA140" s="1"/>
  <c r="AA72"/>
  <c r="AA214" s="1"/>
  <c r="AA82"/>
  <c r="AB57"/>
  <c r="Z203"/>
  <c r="Z141"/>
  <c r="Z142" s="1"/>
  <c r="Z143"/>
  <c r="Z216" l="1"/>
  <c r="Z217" s="1"/>
  <c r="Z215"/>
  <c r="AA84"/>
  <c r="AA207" s="1"/>
  <c r="AA143"/>
  <c r="AA141"/>
  <c r="AA142" s="1"/>
  <c r="AB92"/>
  <c r="AB94"/>
  <c r="AB76"/>
  <c r="AB96"/>
  <c r="AB66"/>
  <c r="AB202" s="1"/>
  <c r="AB74"/>
  <c r="AB83"/>
  <c r="AB100"/>
  <c r="AB95"/>
  <c r="AB70"/>
  <c r="AB204" s="1"/>
  <c r="AB80"/>
  <c r="AB209" s="1"/>
  <c r="AB85"/>
  <c r="AB79"/>
  <c r="AB212"/>
  <c r="AB99"/>
  <c r="AB102"/>
  <c r="AB93"/>
  <c r="AB67"/>
  <c r="AB73"/>
  <c r="AB78"/>
  <c r="AB71"/>
  <c r="AB205" s="1"/>
  <c r="AB86"/>
  <c r="AB208" s="1"/>
  <c r="AB98"/>
  <c r="AB164" s="1"/>
  <c r="AB75"/>
  <c r="AB206" s="1"/>
  <c r="AB139"/>
  <c r="AB140" s="1"/>
  <c r="AB82"/>
  <c r="AB72"/>
  <c r="AB214" s="1"/>
  <c r="AC57"/>
  <c r="AA203"/>
  <c r="AA216" l="1"/>
  <c r="AA217" s="1"/>
  <c r="AA215"/>
  <c r="AB203"/>
  <c r="AB84"/>
  <c r="AB207" s="1"/>
  <c r="AB141"/>
  <c r="AB142" s="1"/>
  <c r="AB143"/>
  <c r="AC79"/>
  <c r="AC92"/>
  <c r="AC83"/>
  <c r="AC73"/>
  <c r="AC98"/>
  <c r="AC164" s="1"/>
  <c r="AC100"/>
  <c r="AC93"/>
  <c r="AC99"/>
  <c r="AC76"/>
  <c r="AC66"/>
  <c r="AC202" s="1"/>
  <c r="AC86"/>
  <c r="AC208" s="1"/>
  <c r="AC96"/>
  <c r="AC71"/>
  <c r="AC205" s="1"/>
  <c r="AC102"/>
  <c r="AC94"/>
  <c r="AC95"/>
  <c r="AC85"/>
  <c r="AC78"/>
  <c r="AC67"/>
  <c r="AC212"/>
  <c r="AC74"/>
  <c r="AC70"/>
  <c r="AC204" s="1"/>
  <c r="AC80"/>
  <c r="AC209" s="1"/>
  <c r="AC75"/>
  <c r="AC206" s="1"/>
  <c r="AC139"/>
  <c r="AC140" s="1"/>
  <c r="AC72"/>
  <c r="AC214" s="1"/>
  <c r="AD57"/>
  <c r="AC82"/>
  <c r="AB216" l="1"/>
  <c r="AB217" s="1"/>
  <c r="AB215"/>
  <c r="AC84"/>
  <c r="AC207" s="1"/>
  <c r="AC203"/>
  <c r="AD212"/>
  <c r="AD99"/>
  <c r="AD100"/>
  <c r="AD67"/>
  <c r="AE57"/>
  <c r="AD73"/>
  <c r="AG57"/>
  <c r="AD102"/>
  <c r="AD98"/>
  <c r="AD70"/>
  <c r="AD66"/>
  <c r="AD71"/>
  <c r="AD75"/>
  <c r="AD85"/>
  <c r="AD72"/>
  <c r="AD214" s="1"/>
  <c r="AD86"/>
  <c r="AD93"/>
  <c r="AD95"/>
  <c r="AD80"/>
  <c r="AD82"/>
  <c r="AD78"/>
  <c r="AD83"/>
  <c r="AD94"/>
  <c r="AD92"/>
  <c r="AD76"/>
  <c r="AD96"/>
  <c r="AD139"/>
  <c r="AD74"/>
  <c r="AD79"/>
  <c r="AC143"/>
  <c r="AC141"/>
  <c r="AC142" s="1"/>
  <c r="AC216" l="1"/>
  <c r="AC217" s="1"/>
  <c r="AC215"/>
  <c r="AD140"/>
  <c r="AE139"/>
  <c r="AE94"/>
  <c r="U194"/>
  <c r="AG94"/>
  <c r="V194" s="1"/>
  <c r="AG80"/>
  <c r="V179" s="1"/>
  <c r="AD209"/>
  <c r="AE80"/>
  <c r="U179"/>
  <c r="AE72"/>
  <c r="AG72"/>
  <c r="V171" s="1"/>
  <c r="U171"/>
  <c r="AD203"/>
  <c r="AD215" s="1"/>
  <c r="AE215" s="1"/>
  <c r="AG66"/>
  <c r="AE66"/>
  <c r="AD202"/>
  <c r="AE100"/>
  <c r="AG100"/>
  <c r="U198"/>
  <c r="AG96"/>
  <c r="V198" s="1"/>
  <c r="AE96"/>
  <c r="AG83"/>
  <c r="AE83"/>
  <c r="AG95"/>
  <c r="V195" s="1"/>
  <c r="AE95"/>
  <c r="U195"/>
  <c r="AE85"/>
  <c r="U181"/>
  <c r="AG85"/>
  <c r="V181" s="1"/>
  <c r="AE70"/>
  <c r="AG70"/>
  <c r="AD204"/>
  <c r="AE73"/>
  <c r="AG73"/>
  <c r="AG99"/>
  <c r="AE99"/>
  <c r="AE79"/>
  <c r="AG79"/>
  <c r="V178" s="1"/>
  <c r="U178"/>
  <c r="AE76"/>
  <c r="U174"/>
  <c r="AG76"/>
  <c r="V174" s="1"/>
  <c r="U177"/>
  <c r="AE78"/>
  <c r="AG78"/>
  <c r="V177" s="1"/>
  <c r="AE93"/>
  <c r="U193"/>
  <c r="AG93"/>
  <c r="V193" s="1"/>
  <c r="AE75"/>
  <c r="AG75"/>
  <c r="V173" s="1"/>
  <c r="AD206"/>
  <c r="U173"/>
  <c r="AG98"/>
  <c r="AE98"/>
  <c r="AD164"/>
  <c r="AE164" s="1"/>
  <c r="AE212"/>
  <c r="AG212" s="1"/>
  <c r="U172"/>
  <c r="AG74"/>
  <c r="V172" s="1"/>
  <c r="AE74"/>
  <c r="AE92"/>
  <c r="U192"/>
  <c r="AG92"/>
  <c r="V192" s="1"/>
  <c r="AE82"/>
  <c r="AG82"/>
  <c r="V175" s="1"/>
  <c r="U175"/>
  <c r="AD84"/>
  <c r="AE86"/>
  <c r="AD208"/>
  <c r="U182"/>
  <c r="AG86"/>
  <c r="V182" s="1"/>
  <c r="AE71"/>
  <c r="AG71"/>
  <c r="AD205"/>
  <c r="AE67"/>
  <c r="AG67"/>
  <c r="T175" l="1"/>
  <c r="V196"/>
  <c r="AE214"/>
  <c r="AG214" s="1"/>
  <c r="T192"/>
  <c r="T177"/>
  <c r="T173"/>
  <c r="T181"/>
  <c r="AG84"/>
  <c r="AD207"/>
  <c r="AE84"/>
  <c r="AE206"/>
  <c r="AG206" s="1"/>
  <c r="U196"/>
  <c r="T193"/>
  <c r="T178"/>
  <c r="R234"/>
  <c r="T198"/>
  <c r="AG226"/>
  <c r="T194"/>
  <c r="AE205"/>
  <c r="AG205" s="1"/>
  <c r="T182"/>
  <c r="R232"/>
  <c r="T172"/>
  <c r="T195"/>
  <c r="AE209"/>
  <c r="AG209" s="1"/>
  <c r="AE208"/>
  <c r="AG208" s="1"/>
  <c r="AG222" s="1"/>
  <c r="T174"/>
  <c r="AD216"/>
  <c r="AE203"/>
  <c r="AG203" s="1"/>
  <c r="AG216" s="1"/>
  <c r="AE204"/>
  <c r="AG204" s="1"/>
  <c r="AG217" s="1"/>
  <c r="AE202"/>
  <c r="AG202" s="1"/>
  <c r="AG215" s="1"/>
  <c r="T171"/>
  <c r="Q235" s="1"/>
  <c r="Q236" s="1"/>
  <c r="R235"/>
  <c r="R236" s="1"/>
  <c r="T179"/>
  <c r="R231"/>
  <c r="AD143"/>
  <c r="AE140"/>
  <c r="AD141"/>
  <c r="AG220" l="1"/>
  <c r="AG219"/>
  <c r="AE216"/>
  <c r="AD217"/>
  <c r="AE217" s="1"/>
  <c r="T196"/>
  <c r="AE141"/>
  <c r="AD142"/>
  <c r="AE142" s="1"/>
  <c r="Q231"/>
  <c r="N231"/>
  <c r="N232"/>
  <c r="Q232"/>
  <c r="N234"/>
  <c r="Q234"/>
  <c r="AE207"/>
  <c r="AG207" s="1"/>
  <c r="AG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R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<sst xmlns="http://schemas.openxmlformats.org/spreadsheetml/2006/main" count="702" uniqueCount="498">
  <si>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</si>
  <si>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</si>
  <si>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</si>
  <si>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</si>
  <si>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</si>
  <si>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</si>
  <si>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</si>
  <si>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</si>
  <si>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</si>
  <si>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</si>
  <si>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</si>
  <si>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</si>
  <si>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</si>
  <si>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</si>
  <si>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</si>
  <si>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</si>
  <si>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</si>
  <si>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</si>
  <si>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</si>
  <si>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</si>
  <si>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</si>
  <si>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</si>
  <si>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</si>
  <si>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</si>
  <si>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</si>
  <si>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</si>
  <si>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</si>
  <si>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</si>
  <si>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</si>
  <si>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</si>
  <si>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</si>
  <si>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</si>
  <si>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</si>
  <si>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</si>
  <si>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</si>
  <si>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</si>
  <si>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</si>
  <si>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</si>
  <si>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</si>
  <si>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</si>
  <si>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</si>
  <si>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</si>
  <si>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</si>
  <si>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</si>
  <si>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</si>
  <si>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</si>
  <si>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</si>
  <si>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</si>
  <si>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</si>
  <si>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</si>
  <si>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</si>
  <si>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</si>
  <si>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</si>
  <si>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</si>
  <si>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</si>
  <si>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</si>
  <si>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</si>
  <si>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</si>
  <si>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</si>
  <si>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</si>
  <si>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</si>
  <si>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</si>
  <si>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</si>
  <si>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</si>
  <si>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</si>
  <si>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</si>
  <si>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</si>
  <si>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</si>
  <si>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</si>
  <si>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</si>
  <si>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</si>
  <si>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</si>
  <si>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</si>
  <si>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</si>
  <si>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</si>
  <si>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</si>
  <si>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</si>
  <si>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</si>
  <si>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</si>
  <si>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</si>
  <si>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</si>
  <si>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</si>
  <si>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</si>
  <si>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</si>
  <si>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</si>
  <si>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</si>
  <si>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</si>
  <si>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</si>
  <si>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</si>
  <si>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</si>
  <si>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</si>
  <si>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</si>
  <si>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</si>
  <si>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</si>
  <si>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</si>
  <si>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</si>
  <si>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</si>
  <si>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</si>
  <si>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</si>
  <si>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</si>
  <si>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</si>
  <si>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</si>
  <si>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</si>
  <si>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</si>
  <si>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</si>
  <si>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</si>
  <si>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</si>
  <si>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</si>
  <si>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</si>
  <si>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</si>
  <si>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</si>
  <si>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</si>
  <si>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</si>
  <si>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</si>
  <si>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</si>
  <si>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</si>
  <si>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</si>
  <si>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</si>
  <si>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</si>
  <si>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</si>
  <si>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</si>
  <si>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</si>
  <si>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</si>
  <si>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</si>
  <si>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</si>
  <si>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</si>
  <si>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</si>
  <si>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</si>
  <si>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</si>
  <si>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</si>
  <si>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</si>
  <si>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</si>
  <si>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</si>
  <si>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</si>
  <si>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</si>
  <si>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</si>
  <si>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</si>
  <si>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</si>
  <si>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</si>
  <si>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</si>
  <si>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</si>
  <si>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</si>
  <si>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</si>
  <si>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</si>
  <si>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</si>
  <si>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</si>
  <si>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</si>
  <si>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</si>
  <si>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</si>
  <si>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</si>
  <si>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</si>
  <si>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</si>
  <si>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</si>
  <si>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</si>
  <si>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</si>
  <si>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</si>
  <si>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</si>
  <si>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</si>
  <si>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</si>
  <si>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</si>
  <si>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</si>
  <si>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</si>
  <si>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</si>
  <si>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</si>
  <si>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</si>
  <si>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</si>
  <si>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</si>
  <si>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</si>
  <si>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</si>
  <si>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</si>
  <si>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</si>
  <si>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</si>
  <si>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</si>
  <si>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</si>
  <si>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</si>
  <si>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</si>
  <si>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</si>
  <si>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</si>
  <si>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</si>
  <si>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</si>
  <si>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</si>
  <si>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</si>
  <si>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</si>
  <si>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</si>
  <si>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</si>
  <si>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</si>
  <si>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</si>
  <si>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</si>
  <si>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</si>
  <si>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</si>
  <si>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</si>
  <si>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</si>
  <si>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</si>
  <si>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</si>
  <si>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</si>
  <si>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</si>
  <si>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</si>
  <si>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</si>
  <si>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</si>
  <si>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</si>
  <si>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</si>
  <si>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</si>
  <si>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</si>
  <si>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</si>
  <si>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</si>
  <si>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</si>
  <si>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</si>
  <si>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</si>
  <si>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</si>
  <si>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</si>
  <si>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</si>
  <si>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</si>
  <si>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</si>
  <si>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</si>
  <si>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</si>
  <si>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</si>
  <si>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</si>
  <si>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</si>
  <si>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</si>
  <si>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</si>
  <si>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</si>
  <si>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</si>
  <si>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</si>
  <si>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</si>
  <si>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</si>
  <si>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</si>
  <si>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</si>
  <si>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</si>
  <si>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</si>
  <si>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</si>
  <si>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</si>
  <si>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</si>
  <si>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</si>
  <si>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</si>
  <si>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</si>
  <si>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</si>
  <si>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</si>
  <si>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</si>
  <si>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</si>
  <si>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</si>
  <si>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</si>
  <si>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</si>
  <si>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</si>
  <si>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</si>
  <si>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</si>
  <si>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</si>
  <si>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</si>
  <si>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</si>
  <si>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</si>
  <si>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</si>
  <si>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</si>
  <si>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</si>
  <si>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</si>
  <si>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</si>
  <si>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</si>
  <si>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</si>
  <si>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</si>
  <si>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</si>
  <si>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</si>
  <si>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</si>
  <si>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</si>
  <si>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</si>
  <si>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</si>
  <si>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</si>
  <si>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</si>
  <si>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</si>
  <si>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</si>
  <si>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</si>
  <si>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</si>
  <si>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</si>
  <si>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</si>
  <si>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</si>
  <si>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</si>
  <si>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</si>
  <si>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</si>
  <si>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</si>
  <si>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</si>
  <si>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</si>
  <si>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</si>
  <si>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</si>
  <si>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</si>
  <si>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</si>
  <si>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</si>
  <si>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</si>
  <si>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</si>
  <si>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</si>
  <si>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</si>
  <si>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</si>
  <si>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</si>
  <si>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</si>
  <si>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</si>
  <si>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</si>
  <si>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</si>
  <si>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</si>
  <si>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</si>
  <si>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</si>
  <si>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</si>
  <si>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</si>
  <si>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</si>
  <si>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</si>
  <si>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</si>
  <si>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</si>
  <si>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</si>
  <si>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</si>
  <si>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</si>
  <si>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</si>
  <si>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</si>
  <si>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</si>
  <si>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</si>
  <si>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</si>
  <si>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</si>
  <si>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</si>
  <si>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</si>
  <si>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</si>
  <si>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</si>
  <si>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</si>
  <si>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</si>
  <si>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</si>
  <si>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</si>
  <si>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</si>
  <si>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</si>
  <si>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</si>
  <si>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</si>
  <si>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</si>
  <si>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</si>
  <si>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</si>
  <si>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</si>
  <si>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</si>
  <si>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</si>
  <si>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</si>
  <si>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</si>
  <si>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</si>
  <si>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</si>
  <si>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</si>
  <si>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</si>
  <si>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</si>
  <si>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</si>
  <si>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</si>
  <si>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</si>
  <si>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</si>
  <si>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</si>
  <si>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</si>
  <si>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</si>
  <si>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</si>
  <si>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</si>
  <si>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</si>
  <si>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</si>
  <si>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</si>
  <si>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</si>
  <si>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</si>
  <si>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</si>
  <si>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</si>
  <si>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</si>
  <si>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</si>
  <si>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</si>
  <si>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</si>
  <si>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</si>
  <si>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</si>
  <si>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</si>
  <si>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</si>
  <si>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</si>
  <si>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</si>
  <si>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</si>
  <si>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</si>
  <si>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</si>
  <si>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</si>
  <si>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</si>
  <si>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</si>
  <si>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</si>
  <si>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</si>
  <si>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</si>
  <si>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</si>
  <si>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</si>
  <si>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</si>
  <si>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</si>
  <si>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</si>
  <si>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</si>
  <si>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</si>
  <si>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</si>
  <si>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</si>
  <si>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</si>
  <si>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</si>
  <si>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</si>
  <si>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</si>
  <si>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</si>
  <si>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</si>
  <si>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</si>
  <si>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</si>
  <si>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</si>
  <si>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</si>
  <si>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</si>
  <si>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</si>
  <si>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</si>
  <si>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</si>
  <si>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</si>
  <si>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</si>
  <si>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</si>
  <si>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</si>
  <si>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</si>
  <si>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</si>
  <si>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</si>
  <si>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</si>
  <si>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</si>
  <si>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</si>
  <si>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</si>
  <si>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</si>
  <si>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</si>
  <si>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</si>
  <si>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</si>
  <si>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</si>
  <si>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</si>
  <si>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</si>
  <si>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</si>
  <si>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</si>
  <si>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</si>
  <si>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</si>
  <si>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</si>
  <si>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</si>
  <si>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</si>
  <si>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</si>
  <si>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</si>
  <si>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</si>
  <si>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</si>
  <si>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</si>
  <si>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</si>
  <si>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</si>
  <si>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</si>
  <si>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</si>
  <si>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</si>
  <si>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</si>
  <si>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</si>
  <si>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</si>
  <si>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</si>
  <si>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</si>
  <si>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</si>
  <si>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</si>
  <si>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</si>
  <si>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</si>
  <si>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</si>
  <si>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</si>
  <si>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</si>
  <si>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</si>
  <si>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</si>
  <si>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</si>
  <si>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</si>
  <si>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</si>
  <si>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</si>
  <si>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</si>
  <si>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</si>
  <si>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</si>
  <si>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</si>
  <si>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</si>
  <si>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</si>
  <si>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</si>
  <si>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</si>
  <si>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</si>
  <si>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</si>
  <si>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</si>
  <si>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</si>
  <si>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</si>
  <si>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</si>
  <si>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</si>
  <si>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</si>
  <si>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</si>
  <si>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</si>
  <si>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</si>
  <si>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</si>
  <si>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</si>
  <si>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</si>
  <si>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</si>
  <si>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</si>
  <si>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</si>
  <si>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</si>
  <si>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</si>
  <si>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</si>
  <si>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</si>
  <si>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</si>
  <si>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</si>
  <si>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</si>
  <si>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</si>
  <si>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</si>
  <si>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</si>
  <si>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</si>
  <si>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</si>
  <si>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</si>
  <si>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</si>
  <si>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</si>
  <si>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</si>
  <si>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</si>
  <si>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</si>
  <si>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</si>
  <si>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</si>
  <si>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</si>
  <si>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</si>
  <si>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</si>
  <si>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xxx</t>
  </si>
  <si>
    <t>1x2</t>
  </si>
  <si>
    <t>10x2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</si>
</sst>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9" fillId="5" borderId="1" xfId="1" applyFont="1" applyFill="1" applyBorder="1"/>
    <xf numFmtId="172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8879744"/>
        <c:axId val="78881536"/>
      </c:lineChart>
      <c:catAx>
        <c:axId val="78879744"/>
        <c:scaling>
          <c:orientation val="minMax"/>
        </c:scaling>
        <c:axPos val="b"/>
        <c:tickLblPos val="nextTo"/>
        <c:crossAx val="78881536"/>
        <c:crosses val="autoZero"/>
        <c:auto val="1"/>
        <c:lblAlgn val="ctr"/>
        <c:lblOffset val="100"/>
      </c:catAx>
      <c:valAx>
        <c:axId val="78881536"/>
        <c:scaling>
          <c:orientation val="minMax"/>
        </c:scaling>
        <c:axPos val="l"/>
        <c:majorGridlines/>
        <c:numFmt formatCode="General" sourceLinked="1"/>
        <c:tickLblPos val="nextTo"/>
        <c:crossAx val="7887974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317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72"/>
  <sheetViews>
    <sheetView tabSelected="1" zoomScale="80" zoomScaleNormal="80" workbookViewId="0">
      <pane xSplit="2" ySplit="3" topLeftCell="C238" activePane="bottomRight" state="frozen"/>
      <selection pane="topRight" activeCell="C1" sqref="C1"/>
      <selection pane="bottomLeft" activeCell="A5" sqref="A5"/>
      <selection pane="bottomRight" activeCell="H265" sqref="H265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" style="104" bestFit="1" customWidth="1"/>
    <col min="8" max="8" width="13.5703125" style="104" bestFit="1" customWidth="1"/>
    <col min="9" max="9" width="11.28515625" style="104" bestFit="1" customWidth="1"/>
    <col min="10" max="17" width="12.28515625" style="104" bestFit="1" customWidth="1"/>
    <col min="18" max="18" width="10.7109375" style="104" customWidth="1"/>
    <col min="19" max="19" width="9.42578125" style="104" bestFit="1" customWidth="1"/>
    <col min="20" max="20" width="10.85546875" style="104" bestFit="1" customWidth="1"/>
    <col min="21" max="22" width="9.7109375" style="104" bestFit="1" customWidth="1"/>
    <col min="23" max="29" width="8" style="104" bestFit="1" customWidth="1"/>
    <col min="30" max="30" width="11.28515625" style="104" bestFit="1" customWidth="1"/>
    <col min="31" max="31" width="9.28515625" style="104" bestFit="1" customWidth="1"/>
    <col min="32" max="32" width="9" style="104" customWidth="1"/>
    <col min="33" max="33" width="10.7109375" style="104" customWidth="1"/>
    <col min="34" max="16384" width="9.140625" style="104"/>
  </cols>
  <sheetData>
    <row r="1" spans="2:33">
      <c r="B1" s="123" t="s">
        <v>241</v>
      </c>
      <c r="C1" s="124">
        <f>Q2</f>
        <v>0.22</v>
      </c>
      <c r="G1" s="104" t="s">
        <v>252</v>
      </c>
      <c r="I1" s="126">
        <v>2004</v>
      </c>
      <c r="K1" s="104" t="s">
        <v>325</v>
      </c>
      <c r="M1" s="162">
        <v>0.05</v>
      </c>
      <c r="O1" s="104" t="s">
        <v>396</v>
      </c>
      <c r="Q1" s="162">
        <v>0.05</v>
      </c>
    </row>
    <row r="2" spans="2:33">
      <c r="B2" s="151" t="s">
        <v>314</v>
      </c>
      <c r="C2" s="120"/>
      <c r="G2" s="104" t="s">
        <v>253</v>
      </c>
      <c r="I2" s="126">
        <v>2015</v>
      </c>
      <c r="K2" s="104" t="s">
        <v>326</v>
      </c>
      <c r="M2" s="162">
        <v>0.15</v>
      </c>
      <c r="O2" s="104" t="s">
        <v>464</v>
      </c>
      <c r="Q2" s="162">
        <v>0.22</v>
      </c>
      <c r="U2" s="115" t="s">
        <v>11</v>
      </c>
      <c r="V2" s="115" t="s">
        <v>12</v>
      </c>
      <c r="W2" s="115" t="s">
        <v>13</v>
      </c>
      <c r="X2" s="115" t="s">
        <v>14</v>
      </c>
      <c r="Y2" s="115" t="s">
        <v>15</v>
      </c>
      <c r="Z2" s="115" t="s">
        <v>234</v>
      </c>
      <c r="AA2" s="115" t="s">
        <v>235</v>
      </c>
      <c r="AB2" s="115" t="s">
        <v>236</v>
      </c>
      <c r="AC2" s="115" t="s">
        <v>237</v>
      </c>
      <c r="AD2" s="115" t="s">
        <v>238</v>
      </c>
      <c r="AF2" s="209" t="s">
        <v>290</v>
      </c>
      <c r="AG2" s="210"/>
    </row>
    <row r="3" spans="2:33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6" t="s">
        <v>1</v>
      </c>
      <c r="T3" s="116" t="s">
        <v>254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15">
        <v>2025</v>
      </c>
      <c r="AE3" s="135" t="s">
        <v>1</v>
      </c>
      <c r="AF3" s="211" t="s">
        <v>291</v>
      </c>
      <c r="AG3" s="212"/>
    </row>
    <row r="4" spans="2:33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36"/>
      <c r="AF4" s="20"/>
      <c r="AG4" s="20"/>
    </row>
    <row r="5" spans="2:33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20"/>
      <c r="T5" s="20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36"/>
      <c r="AF5" s="20"/>
      <c r="AG5" s="152"/>
    </row>
    <row r="6" spans="2:33">
      <c r="B6" s="20" t="s">
        <v>16</v>
      </c>
      <c r="C6" s="140"/>
      <c r="D6" s="140"/>
      <c r="E6" s="146"/>
      <c r="F6" s="146"/>
      <c r="G6" s="146">
        <v>1563</v>
      </c>
      <c r="H6" s="146">
        <f>G6</f>
        <v>1563</v>
      </c>
      <c r="I6" s="146">
        <v>3595</v>
      </c>
      <c r="J6" s="146">
        <v>4554</v>
      </c>
      <c r="K6" s="146">
        <v>5366</v>
      </c>
      <c r="L6" s="146">
        <v>6162</v>
      </c>
      <c r="M6" s="146">
        <v>7019</v>
      </c>
      <c r="N6" s="146">
        <v>7757</v>
      </c>
      <c r="O6" s="146">
        <v>8488</v>
      </c>
      <c r="P6" s="203">
        <v>0</v>
      </c>
      <c r="Q6" s="203">
        <v>0</v>
      </c>
      <c r="R6" s="203">
        <v>0</v>
      </c>
      <c r="S6" s="118">
        <f>((R6/G6)^(1/($I$2-$I$1) ))-1</f>
        <v>-1</v>
      </c>
      <c r="T6" s="31">
        <f>$M$2</f>
        <v>0.15</v>
      </c>
      <c r="U6" s="152">
        <f>R6*(1+$T6)</f>
        <v>0</v>
      </c>
      <c r="V6" s="152">
        <f>U6*(1+$T6)</f>
        <v>0</v>
      </c>
      <c r="W6" s="152">
        <f t="shared" ref="W6:AD6" si="0">V6*(1+$T6)</f>
        <v>0</v>
      </c>
      <c r="X6" s="152">
        <f t="shared" si="0"/>
        <v>0</v>
      </c>
      <c r="Y6" s="152">
        <f t="shared" si="0"/>
        <v>0</v>
      </c>
      <c r="Z6" s="152">
        <f t="shared" si="0"/>
        <v>0</v>
      </c>
      <c r="AA6" s="152">
        <f t="shared" si="0"/>
        <v>0</v>
      </c>
      <c r="AB6" s="152">
        <f t="shared" si="0"/>
        <v>0</v>
      </c>
      <c r="AC6" s="152">
        <f t="shared" si="0"/>
        <v>0</v>
      </c>
      <c r="AD6" s="152">
        <f t="shared" si="0"/>
        <v>0</v>
      </c>
      <c r="AE6" s="137">
        <f>((AD6/H6)^(1/($AD$3-$I$1) ))-1</f>
        <v>-1</v>
      </c>
      <c r="AF6" s="31">
        <f>$M$1</f>
        <v>0.05</v>
      </c>
      <c r="AG6" s="145">
        <f t="shared" ref="AG6:AG59" si="1">(AD6*(1+AF6))/($C$1-AF6)</f>
        <v>0</v>
      </c>
    </row>
    <row r="7" spans="2:33">
      <c r="B7" s="20" t="s">
        <v>240</v>
      </c>
      <c r="C7" s="140"/>
      <c r="D7" s="140"/>
      <c r="E7" s="146"/>
      <c r="F7" s="146"/>
      <c r="G7" s="146">
        <v>1742</v>
      </c>
      <c r="H7" s="146">
        <f>G7</f>
        <v>1742</v>
      </c>
      <c r="I7" s="146">
        <v>3900</v>
      </c>
      <c r="J7" s="146">
        <v>4859</v>
      </c>
      <c r="K7" s="146">
        <v>5671</v>
      </c>
      <c r="L7" s="146">
        <v>6467</v>
      </c>
      <c r="M7" s="146">
        <v>7326</v>
      </c>
      <c r="N7" s="146">
        <v>8064</v>
      </c>
      <c r="O7" s="146">
        <v>8797</v>
      </c>
      <c r="P7" s="203">
        <v>0</v>
      </c>
      <c r="Q7" s="203">
        <v>0</v>
      </c>
      <c r="R7" s="203">
        <v>0</v>
      </c>
      <c r="S7" s="118">
        <f>((R7/G7)^(1/($I$2-$I$1) ))-1</f>
        <v>-1</v>
      </c>
      <c r="T7" s="31">
        <f>$M$2</f>
        <v>0.15</v>
      </c>
      <c r="U7" s="152">
        <f t="shared" ref="U7:U59" si="2">R7*(1+$T7)</f>
        <v>0</v>
      </c>
      <c r="V7" s="152">
        <f t="shared" ref="V7:AD7" si="3">U7*(1+$T7)</f>
        <v>0</v>
      </c>
      <c r="W7" s="152">
        <f t="shared" si="3"/>
        <v>0</v>
      </c>
      <c r="X7" s="152">
        <f t="shared" si="3"/>
        <v>0</v>
      </c>
      <c r="Y7" s="152">
        <f t="shared" si="3"/>
        <v>0</v>
      </c>
      <c r="Z7" s="152">
        <f t="shared" si="3"/>
        <v>0</v>
      </c>
      <c r="AA7" s="152">
        <f t="shared" si="3"/>
        <v>0</v>
      </c>
      <c r="AB7" s="152">
        <f t="shared" si="3"/>
        <v>0</v>
      </c>
      <c r="AC7" s="152">
        <f t="shared" si="3"/>
        <v>0</v>
      </c>
      <c r="AD7" s="152">
        <f t="shared" si="3"/>
        <v>0</v>
      </c>
      <c r="AE7" s="137">
        <f>((AD7/H7)^(1/($AD$3-$I$1) ))-1</f>
        <v>-1</v>
      </c>
      <c r="AF7" s="31">
        <f>$M$1</f>
        <v>0.05</v>
      </c>
      <c r="AG7" s="145">
        <f t="shared" si="1"/>
        <v>0</v>
      </c>
    </row>
    <row r="8" spans="2:33">
      <c r="B8" s="20"/>
      <c r="C8" s="140"/>
      <c r="D8" s="140"/>
      <c r="E8" s="146"/>
      <c r="F8" s="146"/>
      <c r="G8" s="226">
        <f>(G7-F7)/G7</f>
        <v>1</v>
      </c>
      <c r="H8" s="149">
        <f>(H7-G7)/H7</f>
        <v>0</v>
      </c>
      <c r="I8" s="149">
        <f t="shared" ref="I8:O8" si="4">(I7-H7)/I7</f>
        <v>0.55333333333333334</v>
      </c>
      <c r="J8" s="149">
        <f t="shared" si="4"/>
        <v>0.19736571310969336</v>
      </c>
      <c r="K8" s="149">
        <f t="shared" si="4"/>
        <v>0.14318462352318814</v>
      </c>
      <c r="L8" s="149">
        <f t="shared" si="4"/>
        <v>0.12308643884335858</v>
      </c>
      <c r="M8" s="149">
        <f t="shared" si="4"/>
        <v>0.11725361725361726</v>
      </c>
      <c r="N8" s="149">
        <f t="shared" si="4"/>
        <v>9.1517857142857137E-2</v>
      </c>
      <c r="O8" s="149">
        <f t="shared" si="4"/>
        <v>8.3323860406956912E-2</v>
      </c>
      <c r="P8" s="149">
        <f t="shared" ref="H8:R8" si="5">(P7-O7)/O7</f>
        <v>-1</v>
      </c>
      <c r="Q8" s="149" t="e">
        <f t="shared" si="5"/>
        <v>#DIV/0!</v>
      </c>
      <c r="R8" s="149" t="e">
        <f t="shared" si="5"/>
        <v>#DIV/0!</v>
      </c>
      <c r="S8" s="128"/>
      <c r="T8" s="20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36"/>
      <c r="AF8" s="136"/>
      <c r="AG8" s="145"/>
    </row>
    <row r="9" spans="2:33">
      <c r="B9" s="20" t="s">
        <v>269</v>
      </c>
      <c r="C9" s="140"/>
      <c r="D9" s="140"/>
      <c r="E9" s="146"/>
      <c r="F9" s="146"/>
      <c r="G9" s="146">
        <v>774</v>
      </c>
      <c r="H9" s="146">
        <f>G9</f>
        <v>774</v>
      </c>
      <c r="I9" s="146">
        <v>919</v>
      </c>
      <c r="J9" s="146">
        <v>1056</v>
      </c>
      <c r="K9" s="146">
        <v>144</v>
      </c>
      <c r="L9" s="146">
        <v>1584</v>
      </c>
      <c r="M9" s="146">
        <v>1896</v>
      </c>
      <c r="N9" s="146">
        <v>2259</v>
      </c>
      <c r="O9" s="146">
        <v>2166</v>
      </c>
      <c r="P9" s="203">
        <v>0</v>
      </c>
      <c r="Q9" s="203">
        <v>0</v>
      </c>
      <c r="R9" s="203">
        <v>0</v>
      </c>
      <c r="S9" s="118">
        <f>((R9/G9)^(1/($I$2-$I$1) ))-1</f>
        <v>-1</v>
      </c>
      <c r="T9" s="31">
        <f t="shared" ref="T9:T55" si="6">$M$2</f>
        <v>0.15</v>
      </c>
      <c r="U9" s="152">
        <f t="shared" si="2"/>
        <v>0</v>
      </c>
      <c r="V9" s="152">
        <f t="shared" ref="V9" si="7">U9*(1+$T9)</f>
        <v>0</v>
      </c>
      <c r="W9" s="152">
        <f t="shared" ref="W9" si="8">V9*(1+$T9)</f>
        <v>0</v>
      </c>
      <c r="X9" s="152">
        <f t="shared" ref="X9" si="9">W9*(1+$T9)</f>
        <v>0</v>
      </c>
      <c r="Y9" s="152">
        <f t="shared" ref="Y9" si="10">X9*(1+$T9)</f>
        <v>0</v>
      </c>
      <c r="Z9" s="152">
        <f t="shared" ref="Z9" si="11">Y9*(1+$T9)</f>
        <v>0</v>
      </c>
      <c r="AA9" s="152">
        <f t="shared" ref="AA9" si="12">Z9*(1+$T9)</f>
        <v>0</v>
      </c>
      <c r="AB9" s="152">
        <f t="shared" ref="AB9" si="13">AA9*(1+$T9)</f>
        <v>0</v>
      </c>
      <c r="AC9" s="152">
        <f t="shared" ref="AC9" si="14">AB9*(1+$T9)</f>
        <v>0</v>
      </c>
      <c r="AD9" s="152">
        <f t="shared" ref="AD9" si="15">AC9*(1+$T9)</f>
        <v>0</v>
      </c>
      <c r="AE9" s="137">
        <f>((AD9/H9)^(1/($AD$3-$I$1) ))-1</f>
        <v>-1</v>
      </c>
      <c r="AF9" s="31">
        <f t="shared" ref="AF9:AF99" si="16">$M$1</f>
        <v>0.05</v>
      </c>
      <c r="AG9" s="145">
        <f t="shared" si="1"/>
        <v>0</v>
      </c>
    </row>
    <row r="10" spans="2:33">
      <c r="B10" s="20" t="s">
        <v>4</v>
      </c>
      <c r="C10" s="140"/>
      <c r="D10" s="140"/>
      <c r="E10" s="146"/>
      <c r="F10" s="146"/>
      <c r="G10" s="146">
        <v>1440</v>
      </c>
      <c r="H10" s="146">
        <f>G10</f>
        <v>1440</v>
      </c>
      <c r="I10" s="146">
        <v>865</v>
      </c>
      <c r="J10" s="146">
        <v>338</v>
      </c>
      <c r="K10" s="146">
        <v>287</v>
      </c>
      <c r="L10" s="146">
        <v>166</v>
      </c>
      <c r="M10" s="146">
        <v>65</v>
      </c>
      <c r="N10" s="146">
        <v>58</v>
      </c>
      <c r="O10" s="146">
        <v>49</v>
      </c>
      <c r="P10" s="203">
        <v>0</v>
      </c>
      <c r="Q10" s="203">
        <v>0</v>
      </c>
      <c r="R10" s="203">
        <v>0</v>
      </c>
      <c r="S10" s="118">
        <f>((R10/G10)^(1/($I$2-$I$1) ))-1</f>
        <v>-1</v>
      </c>
      <c r="T10" s="31">
        <f t="shared" si="6"/>
        <v>0.15</v>
      </c>
      <c r="U10" s="152">
        <f t="shared" si="2"/>
        <v>0</v>
      </c>
      <c r="V10" s="152">
        <f t="shared" ref="V10:AD10" si="17">U10*(1+$T10)</f>
        <v>0</v>
      </c>
      <c r="W10" s="152">
        <f t="shared" si="17"/>
        <v>0</v>
      </c>
      <c r="X10" s="152">
        <f t="shared" si="17"/>
        <v>0</v>
      </c>
      <c r="Y10" s="152">
        <f t="shared" si="17"/>
        <v>0</v>
      </c>
      <c r="Z10" s="152">
        <f t="shared" si="17"/>
        <v>0</v>
      </c>
      <c r="AA10" s="152">
        <f t="shared" si="17"/>
        <v>0</v>
      </c>
      <c r="AB10" s="152">
        <f t="shared" si="17"/>
        <v>0</v>
      </c>
      <c r="AC10" s="152">
        <f t="shared" si="17"/>
        <v>0</v>
      </c>
      <c r="AD10" s="152">
        <f t="shared" si="17"/>
        <v>0</v>
      </c>
      <c r="AE10" s="137">
        <f t="shared" ref="AE10:AE57" si="18">((AD10/H10)^(1/($AD$3-$I$1) ))-1</f>
        <v>-1</v>
      </c>
      <c r="AF10" s="31">
        <f t="shared" si="16"/>
        <v>0.05</v>
      </c>
      <c r="AG10" s="145">
        <f t="shared" si="1"/>
        <v>0</v>
      </c>
    </row>
    <row r="11" spans="2:33">
      <c r="B11" s="20"/>
      <c r="C11" s="140"/>
      <c r="D11" s="140"/>
      <c r="E11" s="146"/>
      <c r="F11" s="146"/>
      <c r="G11" s="226">
        <f>(G10-F10)/G10</f>
        <v>1</v>
      </c>
      <c r="H11" s="226">
        <f t="shared" ref="H11:O11" si="19">(H10-G10)/H10</f>
        <v>0</v>
      </c>
      <c r="I11" s="226">
        <f t="shared" si="19"/>
        <v>-0.66473988439306353</v>
      </c>
      <c r="J11" s="226">
        <f t="shared" si="19"/>
        <v>-1.5591715976331362</v>
      </c>
      <c r="K11" s="226">
        <f t="shared" si="19"/>
        <v>-0.17770034843205576</v>
      </c>
      <c r="L11" s="226">
        <f t="shared" si="19"/>
        <v>-0.72891566265060237</v>
      </c>
      <c r="M11" s="226">
        <f t="shared" si="19"/>
        <v>-1.5538461538461539</v>
      </c>
      <c r="N11" s="226">
        <f t="shared" si="19"/>
        <v>-0.1206896551724138</v>
      </c>
      <c r="O11" s="226">
        <f t="shared" si="19"/>
        <v>-0.18367346938775511</v>
      </c>
      <c r="P11" s="149">
        <f t="shared" ref="H11:R11" si="20">(P10-O10)/O10</f>
        <v>-1</v>
      </c>
      <c r="Q11" s="149" t="e">
        <f t="shared" si="20"/>
        <v>#DIV/0!</v>
      </c>
      <c r="R11" s="149" t="e">
        <f t="shared" si="20"/>
        <v>#DIV/0!</v>
      </c>
      <c r="S11" s="128"/>
      <c r="T11" s="20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19"/>
      <c r="AF11" s="31">
        <f t="shared" si="16"/>
        <v>0.05</v>
      </c>
      <c r="AG11" s="152"/>
    </row>
    <row r="12" spans="2:33">
      <c r="B12" s="20" t="s">
        <v>2</v>
      </c>
      <c r="C12" s="140"/>
      <c r="D12" s="140"/>
      <c r="E12" s="146"/>
      <c r="F12" s="146"/>
      <c r="G12" s="146">
        <v>134</v>
      </c>
      <c r="H12" s="146">
        <f>G12</f>
        <v>134</v>
      </c>
      <c r="I12" s="146">
        <f>205+174</f>
        <v>379</v>
      </c>
      <c r="J12" s="146">
        <f>536+116</f>
        <v>652</v>
      </c>
      <c r="K12" s="146">
        <f>124+728</f>
        <v>852</v>
      </c>
      <c r="L12" s="146">
        <f>117+764</f>
        <v>881</v>
      </c>
      <c r="M12" s="146">
        <f>198+1549</f>
        <v>1747</v>
      </c>
      <c r="N12" s="146">
        <f>2073</f>
        <v>2073</v>
      </c>
      <c r="O12" s="146">
        <v>2260</v>
      </c>
      <c r="P12" s="203">
        <v>0</v>
      </c>
      <c r="Q12" s="203">
        <v>0</v>
      </c>
      <c r="R12" s="203">
        <v>0</v>
      </c>
      <c r="S12" s="118">
        <f>((R12/G12)^(1/($I$2-$I$1) ))-1</f>
        <v>-1</v>
      </c>
      <c r="T12" s="31">
        <f t="shared" si="6"/>
        <v>0.15</v>
      </c>
      <c r="U12" s="152">
        <f t="shared" si="2"/>
        <v>0</v>
      </c>
      <c r="V12" s="152">
        <f t="shared" ref="V12:AD12" si="21">U12*(1+$T12)</f>
        <v>0</v>
      </c>
      <c r="W12" s="152">
        <f t="shared" si="21"/>
        <v>0</v>
      </c>
      <c r="X12" s="152">
        <f t="shared" si="21"/>
        <v>0</v>
      </c>
      <c r="Y12" s="152">
        <f t="shared" si="21"/>
        <v>0</v>
      </c>
      <c r="Z12" s="152">
        <f t="shared" si="21"/>
        <v>0</v>
      </c>
      <c r="AA12" s="152">
        <f t="shared" si="21"/>
        <v>0</v>
      </c>
      <c r="AB12" s="152">
        <f t="shared" si="21"/>
        <v>0</v>
      </c>
      <c r="AC12" s="152">
        <f t="shared" si="21"/>
        <v>0</v>
      </c>
      <c r="AD12" s="152">
        <f t="shared" si="21"/>
        <v>0</v>
      </c>
      <c r="AE12" s="137">
        <f t="shared" si="18"/>
        <v>-1</v>
      </c>
      <c r="AF12" s="31">
        <f t="shared" si="16"/>
        <v>0.05</v>
      </c>
      <c r="AG12" s="145">
        <f t="shared" si="1"/>
        <v>0</v>
      </c>
    </row>
    <row r="13" spans="2:33">
      <c r="B13" s="20" t="s">
        <v>218</v>
      </c>
      <c r="C13" s="140"/>
      <c r="D13" s="140"/>
      <c r="E13" s="146"/>
      <c r="F13" s="146"/>
      <c r="G13" s="146">
        <v>1085</v>
      </c>
      <c r="H13" s="146">
        <f t="shared" ref="H13:H18" si="22">G13</f>
        <v>1085</v>
      </c>
      <c r="I13" s="146">
        <v>1530</v>
      </c>
      <c r="J13" s="146">
        <v>1480</v>
      </c>
      <c r="K13" s="146">
        <v>327</v>
      </c>
      <c r="L13" s="146">
        <v>722</v>
      </c>
      <c r="M13" s="146">
        <v>621</v>
      </c>
      <c r="N13" s="146">
        <v>806</v>
      </c>
      <c r="O13" s="146">
        <v>1580</v>
      </c>
      <c r="P13" s="203">
        <v>0</v>
      </c>
      <c r="Q13" s="203">
        <v>0</v>
      </c>
      <c r="R13" s="203">
        <v>0</v>
      </c>
      <c r="S13" s="118">
        <f t="shared" ref="S13:S59" si="23">((R13/G13)^(1/($I$2-$I$1) ))-1</f>
        <v>-1</v>
      </c>
      <c r="T13" s="31">
        <f t="shared" si="6"/>
        <v>0.15</v>
      </c>
      <c r="U13" s="152">
        <f t="shared" si="2"/>
        <v>0</v>
      </c>
      <c r="V13" s="152">
        <f t="shared" ref="V13:AD13" si="24">U13*(1+$T13)</f>
        <v>0</v>
      </c>
      <c r="W13" s="152">
        <f t="shared" si="24"/>
        <v>0</v>
      </c>
      <c r="X13" s="152">
        <f t="shared" si="24"/>
        <v>0</v>
      </c>
      <c r="Y13" s="152">
        <f t="shared" si="24"/>
        <v>0</v>
      </c>
      <c r="Z13" s="152">
        <f t="shared" si="24"/>
        <v>0</v>
      </c>
      <c r="AA13" s="152">
        <f t="shared" si="24"/>
        <v>0</v>
      </c>
      <c r="AB13" s="152">
        <f t="shared" si="24"/>
        <v>0</v>
      </c>
      <c r="AC13" s="152">
        <f t="shared" si="24"/>
        <v>0</v>
      </c>
      <c r="AD13" s="152">
        <f t="shared" si="24"/>
        <v>0</v>
      </c>
      <c r="AE13" s="137">
        <f t="shared" si="18"/>
        <v>-1</v>
      </c>
      <c r="AF13" s="31">
        <f t="shared" si="16"/>
        <v>0.05</v>
      </c>
      <c r="AG13" s="145">
        <f t="shared" si="1"/>
        <v>0</v>
      </c>
    </row>
    <row r="14" spans="2:33">
      <c r="B14" s="20" t="s">
        <v>371</v>
      </c>
      <c r="C14" s="140"/>
      <c r="D14" s="140"/>
      <c r="E14" s="146"/>
      <c r="F14" s="146"/>
      <c r="G14" s="146">
        <v>385</v>
      </c>
      <c r="H14" s="146">
        <f t="shared" si="22"/>
        <v>385</v>
      </c>
      <c r="I14" s="146">
        <v>416</v>
      </c>
      <c r="J14" s="146">
        <v>586</v>
      </c>
      <c r="K14" s="146">
        <v>939</v>
      </c>
      <c r="L14" s="146">
        <v>683</v>
      </c>
      <c r="M14" s="146">
        <v>902</v>
      </c>
      <c r="N14" s="146">
        <v>927</v>
      </c>
      <c r="O14" s="146">
        <v>987</v>
      </c>
      <c r="P14" s="203">
        <v>0</v>
      </c>
      <c r="Q14" s="203">
        <v>0</v>
      </c>
      <c r="R14" s="203">
        <v>0</v>
      </c>
      <c r="S14" s="118">
        <f t="shared" si="23"/>
        <v>-1</v>
      </c>
      <c r="T14" s="31">
        <f t="shared" si="6"/>
        <v>0.15</v>
      </c>
      <c r="U14" s="152">
        <f t="shared" si="2"/>
        <v>0</v>
      </c>
      <c r="V14" s="152">
        <f t="shared" ref="V14" si="25">U14*(1+$T14)</f>
        <v>0</v>
      </c>
      <c r="W14" s="152">
        <f t="shared" ref="W14" si="26">V14*(1+$T14)</f>
        <v>0</v>
      </c>
      <c r="X14" s="152">
        <f t="shared" ref="X14" si="27">W14*(1+$T14)</f>
        <v>0</v>
      </c>
      <c r="Y14" s="152">
        <f t="shared" ref="Y14" si="28">X14*(1+$T14)</f>
        <v>0</v>
      </c>
      <c r="Z14" s="152">
        <f t="shared" ref="Z14" si="29">Y14*(1+$T14)</f>
        <v>0</v>
      </c>
      <c r="AA14" s="152">
        <f t="shared" ref="AA14" si="30">Z14*(1+$T14)</f>
        <v>0</v>
      </c>
      <c r="AB14" s="152">
        <f t="shared" ref="AB14" si="31">AA14*(1+$T14)</f>
        <v>0</v>
      </c>
      <c r="AC14" s="152">
        <f t="shared" ref="AC14" si="32">AB14*(1+$T14)</f>
        <v>0</v>
      </c>
      <c r="AD14" s="152">
        <f t="shared" ref="AD14" si="33">AC14*(1+$T14)</f>
        <v>0</v>
      </c>
      <c r="AE14" s="137">
        <f t="shared" ref="AE14" si="34">((AD14/H14)^(1/($AD$3-$I$1) ))-1</f>
        <v>-1</v>
      </c>
      <c r="AF14" s="31">
        <f t="shared" si="16"/>
        <v>0.05</v>
      </c>
      <c r="AG14" s="145">
        <f t="shared" ref="AG14" si="35">(AD14*(1+AF14))/($C$1-AF14)</f>
        <v>0</v>
      </c>
    </row>
    <row r="15" spans="2:33">
      <c r="B15" s="20" t="s">
        <v>19</v>
      </c>
      <c r="C15" s="140"/>
      <c r="D15" s="140"/>
      <c r="E15" s="146"/>
      <c r="F15" s="146"/>
      <c r="G15" s="146">
        <v>588</v>
      </c>
      <c r="H15" s="146">
        <f t="shared" si="22"/>
        <v>588</v>
      </c>
      <c r="I15" s="146">
        <v>672</v>
      </c>
      <c r="J15" s="146">
        <v>837</v>
      </c>
      <c r="K15" s="146">
        <v>1288</v>
      </c>
      <c r="L15" s="146">
        <v>952</v>
      </c>
      <c r="M15" s="146">
        <v>1228</v>
      </c>
      <c r="N15" s="146">
        <v>3248</v>
      </c>
      <c r="O15" s="146">
        <v>3467</v>
      </c>
      <c r="P15" s="203">
        <v>0</v>
      </c>
      <c r="Q15" s="203">
        <v>0</v>
      </c>
      <c r="R15" s="203">
        <v>0</v>
      </c>
      <c r="S15" s="118">
        <f t="shared" si="23"/>
        <v>-1</v>
      </c>
      <c r="T15" s="31">
        <f t="shared" si="6"/>
        <v>0.15</v>
      </c>
      <c r="U15" s="152">
        <f t="shared" si="2"/>
        <v>0</v>
      </c>
      <c r="V15" s="152">
        <f t="shared" ref="V15:AD15" si="36">U15*(1+$T15)</f>
        <v>0</v>
      </c>
      <c r="W15" s="152">
        <f t="shared" si="36"/>
        <v>0</v>
      </c>
      <c r="X15" s="152">
        <f t="shared" si="36"/>
        <v>0</v>
      </c>
      <c r="Y15" s="152">
        <f t="shared" si="36"/>
        <v>0</v>
      </c>
      <c r="Z15" s="152">
        <f t="shared" si="36"/>
        <v>0</v>
      </c>
      <c r="AA15" s="152">
        <f t="shared" si="36"/>
        <v>0</v>
      </c>
      <c r="AB15" s="152">
        <f t="shared" si="36"/>
        <v>0</v>
      </c>
      <c r="AC15" s="152">
        <f t="shared" si="36"/>
        <v>0</v>
      </c>
      <c r="AD15" s="152">
        <f t="shared" si="36"/>
        <v>0</v>
      </c>
      <c r="AE15" s="137">
        <f t="shared" si="18"/>
        <v>-1</v>
      </c>
      <c r="AF15" s="31">
        <f t="shared" si="16"/>
        <v>0.05</v>
      </c>
      <c r="AG15" s="145">
        <f t="shared" si="1"/>
        <v>0</v>
      </c>
    </row>
    <row r="16" spans="2:33">
      <c r="B16" s="20" t="s">
        <v>23</v>
      </c>
      <c r="C16" s="140"/>
      <c r="D16" s="140"/>
      <c r="E16" s="146"/>
      <c r="F16" s="146"/>
      <c r="G16" s="146">
        <v>-119</v>
      </c>
      <c r="H16" s="146">
        <f t="shared" si="22"/>
        <v>-119</v>
      </c>
      <c r="I16" s="146">
        <v>90</v>
      </c>
      <c r="J16" s="146">
        <v>37</v>
      </c>
      <c r="K16" s="146">
        <v>483</v>
      </c>
      <c r="L16" s="146">
        <v>-250</v>
      </c>
      <c r="M16" s="146">
        <v>207</v>
      </c>
      <c r="N16" s="146">
        <v>566</v>
      </c>
      <c r="O16" s="146">
        <v>792</v>
      </c>
      <c r="P16" s="203">
        <v>0</v>
      </c>
      <c r="Q16" s="203">
        <v>0</v>
      </c>
      <c r="R16" s="203">
        <v>0</v>
      </c>
      <c r="S16" s="118">
        <f t="shared" si="23"/>
        <v>-1</v>
      </c>
      <c r="T16" s="31">
        <f t="shared" si="6"/>
        <v>0.15</v>
      </c>
      <c r="U16" s="152">
        <f t="shared" si="2"/>
        <v>0</v>
      </c>
      <c r="V16" s="152">
        <f t="shared" ref="V16:AD16" si="37">U16*(1+$T16)</f>
        <v>0</v>
      </c>
      <c r="W16" s="152">
        <f t="shared" si="37"/>
        <v>0</v>
      </c>
      <c r="X16" s="152">
        <f t="shared" si="37"/>
        <v>0</v>
      </c>
      <c r="Y16" s="152">
        <f t="shared" si="37"/>
        <v>0</v>
      </c>
      <c r="Z16" s="152">
        <f t="shared" si="37"/>
        <v>0</v>
      </c>
      <c r="AA16" s="152">
        <f t="shared" si="37"/>
        <v>0</v>
      </c>
      <c r="AB16" s="152">
        <f t="shared" si="37"/>
        <v>0</v>
      </c>
      <c r="AC16" s="152">
        <f t="shared" si="37"/>
        <v>0</v>
      </c>
      <c r="AD16" s="152">
        <f t="shared" si="37"/>
        <v>0</v>
      </c>
      <c r="AE16" s="137">
        <f t="shared" si="18"/>
        <v>-1</v>
      </c>
      <c r="AF16" s="31">
        <f t="shared" si="16"/>
        <v>0.05</v>
      </c>
      <c r="AG16" s="145">
        <f t="shared" si="1"/>
        <v>0</v>
      </c>
    </row>
    <row r="17" spans="2:33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28"/>
      <c r="T17" s="20"/>
      <c r="U17" s="152">
        <f t="shared" si="2"/>
        <v>0</v>
      </c>
      <c r="V17" s="152"/>
      <c r="W17" s="152"/>
      <c r="X17" s="152"/>
      <c r="Y17" s="152"/>
      <c r="Z17" s="152"/>
      <c r="AA17" s="152"/>
      <c r="AB17" s="152"/>
      <c r="AC17" s="152"/>
      <c r="AD17" s="152"/>
      <c r="AE17" s="138"/>
      <c r="AF17" s="136"/>
      <c r="AG17" s="152"/>
    </row>
    <row r="18" spans="2:33">
      <c r="B18" s="20" t="s">
        <v>277</v>
      </c>
      <c r="C18" s="140"/>
      <c r="D18" s="140"/>
      <c r="E18" s="146"/>
      <c r="F18" s="146"/>
      <c r="G18" s="146">
        <v>2692</v>
      </c>
      <c r="H18" s="146">
        <f t="shared" si="22"/>
        <v>2692</v>
      </c>
      <c r="I18" s="146">
        <v>2504</v>
      </c>
      <c r="J18" s="146">
        <v>2977</v>
      </c>
      <c r="K18" s="146">
        <v>3197</v>
      </c>
      <c r="L18" s="146">
        <v>3444</v>
      </c>
      <c r="M18" s="146">
        <v>5631</v>
      </c>
      <c r="N18" s="146">
        <v>6265</v>
      </c>
      <c r="O18" s="146">
        <v>5950</v>
      </c>
      <c r="P18" s="203">
        <v>0</v>
      </c>
      <c r="Q18" s="203">
        <v>0</v>
      </c>
      <c r="R18" s="203">
        <v>0</v>
      </c>
      <c r="S18" s="118">
        <f t="shared" si="23"/>
        <v>-1</v>
      </c>
      <c r="T18" s="31">
        <f t="shared" si="6"/>
        <v>0.15</v>
      </c>
      <c r="U18" s="152">
        <f t="shared" si="2"/>
        <v>0</v>
      </c>
      <c r="V18" s="152">
        <f t="shared" ref="V18:V34" si="38">U18*(1+$T18)</f>
        <v>0</v>
      </c>
      <c r="W18" s="152">
        <f t="shared" ref="W18:W34" si="39">V18*(1+$T18)</f>
        <v>0</v>
      </c>
      <c r="X18" s="152">
        <f t="shared" ref="X18:X34" si="40">W18*(1+$T18)</f>
        <v>0</v>
      </c>
      <c r="Y18" s="152">
        <f t="shared" ref="Y18:Y51" si="41">X18*(1+$T18)</f>
        <v>0</v>
      </c>
      <c r="Z18" s="152">
        <f t="shared" ref="Z18:Z51" si="42">Y18*(1+$T18)</f>
        <v>0</v>
      </c>
      <c r="AA18" s="152">
        <f t="shared" ref="AA18:AA51" si="43">Z18*(1+$T18)</f>
        <v>0</v>
      </c>
      <c r="AB18" s="152">
        <f t="shared" ref="AB18:AB51" si="44">AA18*(1+$T18)</f>
        <v>0</v>
      </c>
      <c r="AC18" s="152">
        <f t="shared" ref="AC18:AC51" si="45">AB18*(1+$T18)</f>
        <v>0</v>
      </c>
      <c r="AD18" s="152">
        <f t="shared" ref="AD18:AD51" si="46">AC18*(1+$T18)</f>
        <v>0</v>
      </c>
      <c r="AE18" s="137">
        <f t="shared" si="18"/>
        <v>-1</v>
      </c>
      <c r="AF18" s="31">
        <f t="shared" si="16"/>
        <v>0.05</v>
      </c>
      <c r="AG18" s="145">
        <f t="shared" si="1"/>
        <v>0</v>
      </c>
    </row>
    <row r="19" spans="2:33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28"/>
      <c r="T19" s="20"/>
      <c r="U19" s="152">
        <f t="shared" si="2"/>
        <v>0</v>
      </c>
      <c r="V19" s="152"/>
      <c r="W19" s="152"/>
      <c r="X19" s="152"/>
      <c r="Y19" s="152"/>
      <c r="Z19" s="152"/>
      <c r="AA19" s="152"/>
      <c r="AB19" s="152"/>
      <c r="AC19" s="152"/>
      <c r="AD19" s="152"/>
      <c r="AE19" s="138"/>
      <c r="AF19" s="136"/>
      <c r="AG19" s="152"/>
    </row>
    <row r="20" spans="2:33">
      <c r="B20" s="20" t="s">
        <v>283</v>
      </c>
      <c r="C20" s="140"/>
      <c r="D20" s="140"/>
      <c r="E20" s="146"/>
      <c r="F20" s="146"/>
      <c r="G20" s="146">
        <v>474</v>
      </c>
      <c r="H20" s="146">
        <v>548</v>
      </c>
      <c r="I20" s="146">
        <v>1796</v>
      </c>
      <c r="J20" s="146">
        <v>1558</v>
      </c>
      <c r="K20" s="146">
        <v>966</v>
      </c>
      <c r="L20" s="146">
        <v>2129</v>
      </c>
      <c r="M20" s="146">
        <v>1874</v>
      </c>
      <c r="N20" s="146">
        <v>1533</v>
      </c>
      <c r="O20" s="146">
        <v>1857</v>
      </c>
      <c r="P20" s="203">
        <v>0</v>
      </c>
      <c r="Q20" s="203">
        <v>0</v>
      </c>
      <c r="R20" s="203">
        <v>0</v>
      </c>
      <c r="S20" s="118">
        <f t="shared" si="23"/>
        <v>-1</v>
      </c>
      <c r="T20" s="31">
        <f t="shared" si="6"/>
        <v>0.15</v>
      </c>
      <c r="U20" s="152">
        <f t="shared" si="2"/>
        <v>0</v>
      </c>
      <c r="V20" s="152">
        <f t="shared" ref="V20:V22" si="47">U20*(1+$T20)</f>
        <v>0</v>
      </c>
      <c r="W20" s="152">
        <f t="shared" ref="W20:W22" si="48">V20*(1+$T20)</f>
        <v>0</v>
      </c>
      <c r="X20" s="152">
        <f t="shared" ref="X20:X22" si="49">W20*(1+$T20)</f>
        <v>0</v>
      </c>
      <c r="Y20" s="152">
        <f t="shared" ref="Y20:Y22" si="50">X20*(1+$T20)</f>
        <v>0</v>
      </c>
      <c r="Z20" s="152">
        <f t="shared" ref="Z20:Z22" si="51">Y20*(1+$T20)</f>
        <v>0</v>
      </c>
      <c r="AA20" s="152">
        <f t="shared" ref="AA20:AA22" si="52">Z20*(1+$T20)</f>
        <v>0</v>
      </c>
      <c r="AB20" s="152">
        <f t="shared" ref="AB20:AB22" si="53">AA20*(1+$T20)</f>
        <v>0</v>
      </c>
      <c r="AC20" s="152">
        <f t="shared" ref="AC20:AC22" si="54">AB20*(1+$T20)</f>
        <v>0</v>
      </c>
      <c r="AD20" s="152">
        <f t="shared" ref="AD20:AD22" si="55">AC20*(1+$T20)</f>
        <v>0</v>
      </c>
      <c r="AE20" s="137">
        <f t="shared" ref="AE20:AE22" si="56">((AD20/H20)^(1/($AD$3-$I$1) ))-1</f>
        <v>-1</v>
      </c>
      <c r="AF20" s="31">
        <f t="shared" si="16"/>
        <v>0.05</v>
      </c>
      <c r="AG20" s="145">
        <f t="shared" si="1"/>
        <v>0</v>
      </c>
    </row>
    <row r="21" spans="2:33">
      <c r="B21" s="20" t="s">
        <v>284</v>
      </c>
      <c r="C21" s="140"/>
      <c r="D21" s="140"/>
      <c r="E21" s="146"/>
      <c r="F21" s="146"/>
      <c r="G21" s="146">
        <v>-242</v>
      </c>
      <c r="H21" s="146">
        <v>-253</v>
      </c>
      <c r="I21" s="146">
        <v>-627</v>
      </c>
      <c r="J21" s="146">
        <v>-162</v>
      </c>
      <c r="K21" s="146">
        <v>-275</v>
      </c>
      <c r="L21" s="146">
        <v>-1196</v>
      </c>
      <c r="M21" s="146">
        <v>-527</v>
      </c>
      <c r="N21" s="146">
        <v>-448</v>
      </c>
      <c r="O21" s="146">
        <v>-392</v>
      </c>
      <c r="P21" s="203">
        <v>0</v>
      </c>
      <c r="Q21" s="203">
        <v>0</v>
      </c>
      <c r="R21" s="203">
        <v>0</v>
      </c>
      <c r="S21" s="118">
        <f t="shared" si="23"/>
        <v>-1</v>
      </c>
      <c r="T21" s="31">
        <f t="shared" si="6"/>
        <v>0.15</v>
      </c>
      <c r="U21" s="152">
        <f t="shared" si="2"/>
        <v>0</v>
      </c>
      <c r="V21" s="152">
        <f t="shared" si="47"/>
        <v>0</v>
      </c>
      <c r="W21" s="152">
        <f t="shared" si="48"/>
        <v>0</v>
      </c>
      <c r="X21" s="152">
        <f t="shared" si="49"/>
        <v>0</v>
      </c>
      <c r="Y21" s="152">
        <f t="shared" si="50"/>
        <v>0</v>
      </c>
      <c r="Z21" s="152">
        <f t="shared" si="51"/>
        <v>0</v>
      </c>
      <c r="AA21" s="152">
        <f t="shared" si="52"/>
        <v>0</v>
      </c>
      <c r="AB21" s="152">
        <f t="shared" si="53"/>
        <v>0</v>
      </c>
      <c r="AC21" s="152">
        <f t="shared" si="54"/>
        <v>0</v>
      </c>
      <c r="AD21" s="152">
        <f t="shared" si="55"/>
        <v>0</v>
      </c>
      <c r="AE21" s="137">
        <f t="shared" si="56"/>
        <v>-1</v>
      </c>
      <c r="AF21" s="31">
        <f t="shared" si="16"/>
        <v>0.05</v>
      </c>
      <c r="AG21" s="145">
        <f t="shared" si="1"/>
        <v>0</v>
      </c>
    </row>
    <row r="22" spans="2:33">
      <c r="B22" s="20" t="s">
        <v>285</v>
      </c>
      <c r="C22" s="140"/>
      <c r="D22" s="140"/>
      <c r="E22" s="146"/>
      <c r="F22" s="146"/>
      <c r="G22" s="146">
        <v>-211</v>
      </c>
      <c r="H22" s="146">
        <v>-277</v>
      </c>
      <c r="I22" s="146">
        <v>-888</v>
      </c>
      <c r="J22" s="146">
        <v>-1124</v>
      </c>
      <c r="K22" s="146">
        <v>-482</v>
      </c>
      <c r="L22" s="146">
        <v>-467</v>
      </c>
      <c r="M22" s="146">
        <v>-473</v>
      </c>
      <c r="N22" s="146">
        <v>-475</v>
      </c>
      <c r="O22" s="146">
        <v>-504</v>
      </c>
      <c r="P22" s="203">
        <v>0</v>
      </c>
      <c r="Q22" s="203">
        <v>0</v>
      </c>
      <c r="R22" s="203">
        <v>0</v>
      </c>
      <c r="S22" s="118">
        <f t="shared" si="23"/>
        <v>-1</v>
      </c>
      <c r="T22" s="31">
        <f t="shared" si="6"/>
        <v>0.15</v>
      </c>
      <c r="U22" s="152">
        <f t="shared" si="2"/>
        <v>0</v>
      </c>
      <c r="V22" s="152">
        <f t="shared" si="47"/>
        <v>0</v>
      </c>
      <c r="W22" s="152">
        <f t="shared" si="48"/>
        <v>0</v>
      </c>
      <c r="X22" s="152">
        <f t="shared" si="49"/>
        <v>0</v>
      </c>
      <c r="Y22" s="152">
        <f t="shared" si="50"/>
        <v>0</v>
      </c>
      <c r="Z22" s="152">
        <f t="shared" si="51"/>
        <v>0</v>
      </c>
      <c r="AA22" s="152">
        <f t="shared" si="52"/>
        <v>0</v>
      </c>
      <c r="AB22" s="152">
        <f t="shared" si="53"/>
        <v>0</v>
      </c>
      <c r="AC22" s="152">
        <f t="shared" si="54"/>
        <v>0</v>
      </c>
      <c r="AD22" s="152">
        <f t="shared" si="55"/>
        <v>0</v>
      </c>
      <c r="AE22" s="137">
        <f t="shared" si="56"/>
        <v>-1</v>
      </c>
      <c r="AF22" s="31">
        <f t="shared" si="16"/>
        <v>0.05</v>
      </c>
      <c r="AG22" s="145">
        <f t="shared" si="1"/>
        <v>0</v>
      </c>
    </row>
    <row r="23" spans="2:33">
      <c r="B23" s="20" t="s">
        <v>294</v>
      </c>
      <c r="C23" s="140"/>
      <c r="D23" s="140"/>
      <c r="E23" s="146"/>
      <c r="F23" s="146"/>
      <c r="G23" s="146">
        <v>69</v>
      </c>
      <c r="H23" s="146">
        <v>86</v>
      </c>
      <c r="I23" s="146">
        <v>378</v>
      </c>
      <c r="J23" s="146">
        <v>651</v>
      </c>
      <c r="K23" s="146">
        <v>852</v>
      </c>
      <c r="L23" s="146">
        <v>1415</v>
      </c>
      <c r="M23" s="146">
        <v>2288</v>
      </c>
      <c r="N23" s="146">
        <v>2899</v>
      </c>
      <c r="O23" s="146">
        <v>3859</v>
      </c>
      <c r="P23" s="203">
        <v>0</v>
      </c>
      <c r="Q23" s="203">
        <v>0</v>
      </c>
      <c r="R23" s="203">
        <v>0</v>
      </c>
      <c r="S23" s="118">
        <f t="shared" si="23"/>
        <v>-1</v>
      </c>
      <c r="T23" s="31">
        <f t="shared" si="6"/>
        <v>0.15</v>
      </c>
      <c r="U23" s="152">
        <f t="shared" si="2"/>
        <v>0</v>
      </c>
      <c r="V23" s="152">
        <f t="shared" ref="V23" si="57">U23*(1+$T23)</f>
        <v>0</v>
      </c>
      <c r="W23" s="152">
        <f t="shared" ref="W23" si="58">V23*(1+$T23)</f>
        <v>0</v>
      </c>
      <c r="X23" s="152">
        <f t="shared" ref="X23" si="59">W23*(1+$T23)</f>
        <v>0</v>
      </c>
      <c r="Y23" s="152">
        <f t="shared" ref="Y23" si="60">X23*(1+$T23)</f>
        <v>0</v>
      </c>
      <c r="Z23" s="152">
        <f t="shared" ref="Z23" si="61">Y23*(1+$T23)</f>
        <v>0</v>
      </c>
      <c r="AA23" s="152">
        <f t="shared" ref="AA23" si="62">Z23*(1+$T23)</f>
        <v>0</v>
      </c>
      <c r="AB23" s="152">
        <f t="shared" ref="AB23" si="63">AA23*(1+$T23)</f>
        <v>0</v>
      </c>
      <c r="AC23" s="152">
        <f t="shared" ref="AC23" si="64">AB23*(1+$T23)</f>
        <v>0</v>
      </c>
      <c r="AD23" s="152">
        <f t="shared" ref="AD23" si="65">AC23*(1+$T23)</f>
        <v>0</v>
      </c>
      <c r="AE23" s="137">
        <f t="shared" ref="AE23" si="66">((AD23/H23)^(1/($AD$3-$I$1) ))-1</f>
        <v>-1</v>
      </c>
      <c r="AF23" s="31">
        <f t="shared" si="16"/>
        <v>0.05</v>
      </c>
      <c r="AG23" s="145">
        <f t="shared" si="1"/>
        <v>0</v>
      </c>
    </row>
    <row r="24" spans="2:33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28"/>
      <c r="T24" s="20"/>
      <c r="U24" s="152">
        <f t="shared" si="2"/>
        <v>0</v>
      </c>
      <c r="V24" s="152"/>
      <c r="W24" s="152"/>
      <c r="X24" s="152"/>
      <c r="Y24" s="152"/>
      <c r="Z24" s="152"/>
      <c r="AA24" s="152"/>
      <c r="AB24" s="152"/>
      <c r="AC24" s="152"/>
      <c r="AD24" s="152"/>
      <c r="AE24" s="119"/>
      <c r="AF24" s="136"/>
      <c r="AG24" s="152"/>
    </row>
    <row r="25" spans="2:33">
      <c r="B25" s="20" t="s">
        <v>89</v>
      </c>
      <c r="C25" s="140"/>
      <c r="D25" s="140"/>
      <c r="E25" s="146"/>
      <c r="F25" s="146"/>
      <c r="G25" s="146">
        <v>2489</v>
      </c>
      <c r="H25" s="146">
        <f t="shared" ref="H25" si="67">G25</f>
        <v>2489</v>
      </c>
      <c r="I25" s="146">
        <v>6448</v>
      </c>
      <c r="J25" s="146">
        <v>6793</v>
      </c>
      <c r="K25" s="146">
        <v>6737</v>
      </c>
      <c r="L25" s="146">
        <v>7214</v>
      </c>
      <c r="M25" s="146">
        <v>7686</v>
      </c>
      <c r="N25" s="146">
        <v>8737</v>
      </c>
      <c r="O25" s="146">
        <v>10065</v>
      </c>
      <c r="P25" s="203">
        <v>0</v>
      </c>
      <c r="Q25" s="203">
        <v>0</v>
      </c>
      <c r="R25" s="203">
        <v>0</v>
      </c>
      <c r="S25" s="118">
        <f t="shared" si="23"/>
        <v>-1</v>
      </c>
      <c r="T25" s="31">
        <f t="shared" si="6"/>
        <v>0.15</v>
      </c>
      <c r="U25" s="152">
        <f t="shared" si="2"/>
        <v>0</v>
      </c>
      <c r="V25" s="152">
        <f t="shared" si="38"/>
        <v>0</v>
      </c>
      <c r="W25" s="152">
        <f t="shared" si="39"/>
        <v>0</v>
      </c>
      <c r="X25" s="152">
        <f t="shared" si="40"/>
        <v>0</v>
      </c>
      <c r="Y25" s="152">
        <f t="shared" si="41"/>
        <v>0</v>
      </c>
      <c r="Z25" s="152">
        <f t="shared" si="42"/>
        <v>0</v>
      </c>
      <c r="AA25" s="152">
        <f t="shared" si="43"/>
        <v>0</v>
      </c>
      <c r="AB25" s="152">
        <f t="shared" si="44"/>
        <v>0</v>
      </c>
      <c r="AC25" s="152">
        <f t="shared" si="45"/>
        <v>0</v>
      </c>
      <c r="AD25" s="152">
        <f t="shared" si="46"/>
        <v>0</v>
      </c>
      <c r="AE25" s="137">
        <f t="shared" si="18"/>
        <v>-1</v>
      </c>
      <c r="AF25" s="31">
        <f t="shared" si="16"/>
        <v>0.05</v>
      </c>
      <c r="AG25" s="145">
        <f t="shared" si="1"/>
        <v>0</v>
      </c>
    </row>
    <row r="26" spans="2:33" s="123" customFormat="1">
      <c r="B26" s="23"/>
      <c r="C26" s="147"/>
      <c r="D26" s="147"/>
      <c r="E26" s="148"/>
      <c r="F26" s="148"/>
      <c r="G26" s="226">
        <f>(G25-F25)/G25</f>
        <v>1</v>
      </c>
      <c r="H26" s="226">
        <f>(H25-G25)/H25</f>
        <v>0</v>
      </c>
      <c r="I26" s="226">
        <f t="shared" ref="I26:O26" si="68">(I25-H25)/I25</f>
        <v>0.61398883374689828</v>
      </c>
      <c r="J26" s="226">
        <f t="shared" si="68"/>
        <v>5.0787575445311352E-2</v>
      </c>
      <c r="K26" s="226">
        <f t="shared" si="68"/>
        <v>-8.312305180347335E-3</v>
      </c>
      <c r="L26" s="226">
        <f t="shared" si="68"/>
        <v>6.6121430551705024E-2</v>
      </c>
      <c r="M26" s="226">
        <f t="shared" si="68"/>
        <v>6.1410356492323709E-2</v>
      </c>
      <c r="N26" s="226">
        <f t="shared" si="68"/>
        <v>0.12029300675289001</v>
      </c>
      <c r="O26" s="226">
        <f t="shared" si="68"/>
        <v>0.1319423745653254</v>
      </c>
      <c r="P26" s="149">
        <f t="shared" ref="H26:R26" si="69">(P25-O25)/O25</f>
        <v>-1</v>
      </c>
      <c r="Q26" s="149" t="e">
        <f t="shared" si="69"/>
        <v>#DIV/0!</v>
      </c>
      <c r="R26" s="149" t="e">
        <f t="shared" si="69"/>
        <v>#DIV/0!</v>
      </c>
      <c r="S26" s="128"/>
      <c r="T26" s="20"/>
      <c r="U26" s="152"/>
      <c r="V26" s="153"/>
      <c r="W26" s="153"/>
      <c r="X26" s="153"/>
      <c r="Y26" s="153"/>
      <c r="Z26" s="153"/>
      <c r="AA26" s="153"/>
      <c r="AB26" s="153"/>
      <c r="AC26" s="153"/>
      <c r="AD26" s="153"/>
      <c r="AE26" s="119"/>
      <c r="AF26" s="136"/>
      <c r="AG26" s="152"/>
    </row>
    <row r="27" spans="2:33">
      <c r="B27" s="20" t="s">
        <v>261</v>
      </c>
      <c r="C27" s="140"/>
      <c r="D27" s="140"/>
      <c r="E27" s="146"/>
      <c r="F27" s="146"/>
      <c r="G27" s="146">
        <v>1779</v>
      </c>
      <c r="H27" s="146">
        <f t="shared" ref="H27" si="70">G27</f>
        <v>1779</v>
      </c>
      <c r="I27" s="146">
        <v>4190</v>
      </c>
      <c r="J27" s="146">
        <v>2775</v>
      </c>
      <c r="K27" s="146">
        <v>4497</v>
      </c>
      <c r="L27" s="146">
        <v>5117</v>
      </c>
      <c r="M27" s="146">
        <v>5615</v>
      </c>
      <c r="N27" s="146">
        <v>6536</v>
      </c>
      <c r="O27" s="146">
        <v>7522</v>
      </c>
      <c r="P27" s="203">
        <v>0</v>
      </c>
      <c r="Q27" s="203">
        <v>0</v>
      </c>
      <c r="R27" s="203">
        <v>0</v>
      </c>
      <c r="S27" s="118">
        <f t="shared" si="23"/>
        <v>-1</v>
      </c>
      <c r="T27" s="31">
        <f t="shared" si="6"/>
        <v>0.15</v>
      </c>
      <c r="U27" s="152">
        <f t="shared" si="2"/>
        <v>0</v>
      </c>
      <c r="V27" s="152">
        <f t="shared" si="38"/>
        <v>0</v>
      </c>
      <c r="W27" s="152">
        <f t="shared" si="39"/>
        <v>0</v>
      </c>
      <c r="X27" s="152">
        <f t="shared" si="40"/>
        <v>0</v>
      </c>
      <c r="Y27" s="152">
        <f t="shared" si="41"/>
        <v>0</v>
      </c>
      <c r="Z27" s="152">
        <f t="shared" si="42"/>
        <v>0</v>
      </c>
      <c r="AA27" s="152">
        <f t="shared" si="43"/>
        <v>0</v>
      </c>
      <c r="AB27" s="152">
        <f t="shared" si="44"/>
        <v>0</v>
      </c>
      <c r="AC27" s="152">
        <f t="shared" si="45"/>
        <v>0</v>
      </c>
      <c r="AD27" s="152">
        <f t="shared" si="46"/>
        <v>0</v>
      </c>
      <c r="AE27" s="137">
        <f t="shared" si="18"/>
        <v>-1</v>
      </c>
      <c r="AF27" s="31">
        <f t="shared" si="16"/>
        <v>0.05</v>
      </c>
      <c r="AG27" s="145">
        <f t="shared" si="1"/>
        <v>0</v>
      </c>
    </row>
    <row r="28" spans="2:33" s="123" customFormat="1">
      <c r="B28" s="23"/>
      <c r="C28" s="147"/>
      <c r="D28" s="147"/>
      <c r="E28" s="148"/>
      <c r="F28" s="148"/>
      <c r="G28" s="226">
        <f t="shared" ref="G28:O28" si="71">(G27-F27)/G27</f>
        <v>1</v>
      </c>
      <c r="H28" s="226">
        <f t="shared" si="71"/>
        <v>0</v>
      </c>
      <c r="I28" s="226">
        <f t="shared" si="71"/>
        <v>0.57541766109785197</v>
      </c>
      <c r="J28" s="226">
        <f t="shared" si="71"/>
        <v>-0.50990990990990992</v>
      </c>
      <c r="K28" s="226">
        <f t="shared" si="71"/>
        <v>0.38292194796531021</v>
      </c>
      <c r="L28" s="226">
        <f t="shared" si="71"/>
        <v>0.12116474496775455</v>
      </c>
      <c r="M28" s="226">
        <f t="shared" si="71"/>
        <v>8.8691006233303657E-2</v>
      </c>
      <c r="N28" s="226">
        <f t="shared" si="71"/>
        <v>0.14091187270501837</v>
      </c>
      <c r="O28" s="226">
        <f t="shared" si="71"/>
        <v>0.13108215900026587</v>
      </c>
      <c r="P28" s="149">
        <f t="shared" ref="H28:R28" si="72">(P27-O27)/O27</f>
        <v>-1</v>
      </c>
      <c r="Q28" s="149" t="e">
        <f t="shared" si="72"/>
        <v>#DIV/0!</v>
      </c>
      <c r="R28" s="149" t="e">
        <f t="shared" si="72"/>
        <v>#DIV/0!</v>
      </c>
      <c r="S28" s="128"/>
      <c r="T28" s="20"/>
      <c r="U28" s="152"/>
      <c r="V28" s="153"/>
      <c r="W28" s="153"/>
      <c r="X28" s="153"/>
      <c r="Y28" s="153"/>
      <c r="Z28" s="153"/>
      <c r="AA28" s="153"/>
      <c r="AB28" s="153"/>
      <c r="AC28" s="153"/>
      <c r="AD28" s="153"/>
      <c r="AE28" s="119"/>
      <c r="AF28" s="136"/>
      <c r="AG28" s="152"/>
    </row>
    <row r="29" spans="2:33" s="123" customFormat="1">
      <c r="B29" s="20" t="s">
        <v>322</v>
      </c>
      <c r="C29" s="147"/>
      <c r="D29" s="147"/>
      <c r="E29" s="148"/>
      <c r="F29" s="148"/>
      <c r="G29" s="146">
        <v>90</v>
      </c>
      <c r="H29" s="146">
        <f t="shared" ref="H29" si="73">G29</f>
        <v>90</v>
      </c>
      <c r="I29" s="146">
        <v>116</v>
      </c>
      <c r="J29" s="146">
        <v>77</v>
      </c>
      <c r="K29" s="146">
        <v>1792</v>
      </c>
      <c r="L29" s="146">
        <v>1916</v>
      </c>
      <c r="M29" s="146">
        <v>1810</v>
      </c>
      <c r="N29" s="146">
        <v>1977</v>
      </c>
      <c r="O29" s="146">
        <v>2473</v>
      </c>
      <c r="P29" s="203">
        <v>0</v>
      </c>
      <c r="Q29" s="203">
        <v>0</v>
      </c>
      <c r="R29" s="203">
        <v>0</v>
      </c>
      <c r="S29" s="118">
        <f t="shared" si="23"/>
        <v>-1</v>
      </c>
      <c r="T29" s="31">
        <f t="shared" si="6"/>
        <v>0.15</v>
      </c>
      <c r="U29" s="152">
        <f t="shared" si="2"/>
        <v>0</v>
      </c>
      <c r="V29" s="152">
        <f t="shared" ref="V29" si="74">U29*(1+$T29)</f>
        <v>0</v>
      </c>
      <c r="W29" s="152">
        <f t="shared" ref="W29" si="75">V29*(1+$T29)</f>
        <v>0</v>
      </c>
      <c r="X29" s="152">
        <f t="shared" ref="X29" si="76">W29*(1+$T29)</f>
        <v>0</v>
      </c>
      <c r="Y29" s="152">
        <f t="shared" ref="Y29" si="77">X29*(1+$T29)</f>
        <v>0</v>
      </c>
      <c r="Z29" s="152">
        <f t="shared" ref="Z29" si="78">Y29*(1+$T29)</f>
        <v>0</v>
      </c>
      <c r="AA29" s="152">
        <f t="shared" ref="AA29" si="79">Z29*(1+$T29)</f>
        <v>0</v>
      </c>
      <c r="AB29" s="152">
        <f t="shared" ref="AB29" si="80">AA29*(1+$T29)</f>
        <v>0</v>
      </c>
      <c r="AC29" s="152">
        <f t="shared" ref="AC29" si="81">AB29*(1+$T29)</f>
        <v>0</v>
      </c>
      <c r="AD29" s="152">
        <f t="shared" ref="AD29" si="82">AC29*(1+$T29)</f>
        <v>0</v>
      </c>
      <c r="AE29" s="137">
        <f t="shared" ref="AE29" si="83">((AD29/H29)^(1/($AD$3-$I$1) ))-1</f>
        <v>-1</v>
      </c>
      <c r="AF29" s="31">
        <f t="shared" si="16"/>
        <v>0.05</v>
      </c>
      <c r="AG29" s="145">
        <f t="shared" ref="AG29" si="84">(AD29*(1+AF29))/($C$1-AF29)</f>
        <v>0</v>
      </c>
    </row>
    <row r="30" spans="2:33" s="123" customFormat="1">
      <c r="B30" s="23"/>
      <c r="C30" s="147"/>
      <c r="D30" s="147"/>
      <c r="E30" s="148"/>
      <c r="F30" s="148"/>
      <c r="G30" s="226">
        <f t="shared" ref="G30:O30" si="85">(G29-F29)/G29</f>
        <v>1</v>
      </c>
      <c r="H30" s="226">
        <f t="shared" si="85"/>
        <v>0</v>
      </c>
      <c r="I30" s="226">
        <f t="shared" si="85"/>
        <v>0.22413793103448276</v>
      </c>
      <c r="J30" s="226">
        <f t="shared" si="85"/>
        <v>-0.50649350649350644</v>
      </c>
      <c r="K30" s="226">
        <f t="shared" si="85"/>
        <v>0.95703125</v>
      </c>
      <c r="L30" s="226">
        <f t="shared" si="85"/>
        <v>6.471816283924843E-2</v>
      </c>
      <c r="M30" s="226">
        <f t="shared" si="85"/>
        <v>-5.856353591160221E-2</v>
      </c>
      <c r="N30" s="226">
        <f t="shared" si="85"/>
        <v>8.4471421345472933E-2</v>
      </c>
      <c r="O30" s="226">
        <f t="shared" si="85"/>
        <v>0.20056611403154065</v>
      </c>
      <c r="P30" s="149">
        <f t="shared" ref="H30:R30" si="86">(P29-O29)/O29</f>
        <v>-1</v>
      </c>
      <c r="Q30" s="149" t="e">
        <f t="shared" si="86"/>
        <v>#DIV/0!</v>
      </c>
      <c r="R30" s="149" t="e">
        <f t="shared" si="86"/>
        <v>#DIV/0!</v>
      </c>
      <c r="S30" s="128"/>
      <c r="T30" s="20"/>
      <c r="U30" s="152"/>
      <c r="V30" s="153"/>
      <c r="W30" s="153"/>
      <c r="X30" s="153"/>
      <c r="Y30" s="153"/>
      <c r="Z30" s="153"/>
      <c r="AA30" s="153"/>
      <c r="AB30" s="153"/>
      <c r="AC30" s="153"/>
      <c r="AD30" s="153"/>
      <c r="AE30" s="160"/>
      <c r="AF30" s="136"/>
      <c r="AG30" s="152"/>
    </row>
    <row r="31" spans="2:33">
      <c r="B31" s="20" t="s">
        <v>330</v>
      </c>
      <c r="C31" s="140"/>
      <c r="D31" s="140"/>
      <c r="E31" s="146"/>
      <c r="F31" s="146"/>
      <c r="G31" s="146"/>
      <c r="H31" s="203">
        <f>I31</f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118" t="e">
        <f t="shared" si="23"/>
        <v>#DIV/0!</v>
      </c>
      <c r="T31" s="31">
        <f t="shared" si="6"/>
        <v>0.15</v>
      </c>
      <c r="U31" s="152">
        <f t="shared" si="2"/>
        <v>0</v>
      </c>
      <c r="V31" s="152">
        <f>U31*(1+$T31)</f>
        <v>0</v>
      </c>
      <c r="W31" s="152">
        <f t="shared" ref="W31:AD32" si="87">V31*(1+$T31)</f>
        <v>0</v>
      </c>
      <c r="X31" s="152">
        <f t="shared" si="87"/>
        <v>0</v>
      </c>
      <c r="Y31" s="152">
        <f t="shared" si="87"/>
        <v>0</v>
      </c>
      <c r="Z31" s="152">
        <f t="shared" si="87"/>
        <v>0</v>
      </c>
      <c r="AA31" s="152">
        <f t="shared" si="87"/>
        <v>0</v>
      </c>
      <c r="AB31" s="152">
        <f t="shared" si="87"/>
        <v>0</v>
      </c>
      <c r="AC31" s="152">
        <f t="shared" si="87"/>
        <v>0</v>
      </c>
      <c r="AD31" s="152">
        <f t="shared" si="87"/>
        <v>0</v>
      </c>
      <c r="AE31" s="137" t="e">
        <f t="shared" ref="AE31" si="88">((AD31/H31)^(1/($AD$3-$I$1) ))-1</f>
        <v>#DIV/0!</v>
      </c>
      <c r="AF31" s="31">
        <f t="shared" si="16"/>
        <v>0.05</v>
      </c>
      <c r="AG31" s="145">
        <f t="shared" si="1"/>
        <v>0</v>
      </c>
    </row>
    <row r="32" spans="2:33">
      <c r="B32" s="20" t="s">
        <v>329</v>
      </c>
      <c r="C32" s="140"/>
      <c r="D32" s="140"/>
      <c r="E32" s="146"/>
      <c r="F32" s="146"/>
      <c r="G32" s="146"/>
      <c r="H32" s="203">
        <f>I32</f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118" t="e">
        <f t="shared" si="23"/>
        <v>#DIV/0!</v>
      </c>
      <c r="T32" s="31">
        <f t="shared" si="6"/>
        <v>0.15</v>
      </c>
      <c r="U32" s="152">
        <f t="shared" si="2"/>
        <v>0</v>
      </c>
      <c r="V32" s="152">
        <f>U32*(1+$T32)</f>
        <v>0</v>
      </c>
      <c r="W32" s="152">
        <f t="shared" si="87"/>
        <v>0</v>
      </c>
      <c r="X32" s="152">
        <f t="shared" si="87"/>
        <v>0</v>
      </c>
      <c r="Y32" s="152">
        <f t="shared" si="87"/>
        <v>0</v>
      </c>
      <c r="Z32" s="152">
        <f t="shared" si="87"/>
        <v>0</v>
      </c>
      <c r="AA32" s="152">
        <f t="shared" si="87"/>
        <v>0</v>
      </c>
      <c r="AB32" s="152">
        <f t="shared" si="87"/>
        <v>0</v>
      </c>
      <c r="AC32" s="152">
        <f t="shared" si="87"/>
        <v>0</v>
      </c>
      <c r="AD32" s="152">
        <f t="shared" si="87"/>
        <v>0</v>
      </c>
      <c r="AE32" s="137" t="e">
        <f t="shared" ref="AE32" si="89">((AD32/H32)^(1/($AD$3-$I$1) ))-1</f>
        <v>#DIV/0!</v>
      </c>
      <c r="AF32" s="31">
        <f t="shared" si="16"/>
        <v>0.05</v>
      </c>
      <c r="AG32" s="145">
        <f t="shared" si="1"/>
        <v>0</v>
      </c>
    </row>
    <row r="33" spans="1:33">
      <c r="B33" s="20" t="s">
        <v>489</v>
      </c>
      <c r="C33" s="140"/>
      <c r="D33" s="140"/>
      <c r="E33" s="146"/>
      <c r="F33" s="146"/>
      <c r="G33" s="146"/>
      <c r="H33" s="203">
        <f>I33</f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0</v>
      </c>
      <c r="R33" s="203">
        <v>0</v>
      </c>
      <c r="S33" s="118" t="e">
        <f t="shared" si="23"/>
        <v>#DIV/0!</v>
      </c>
      <c r="T33" s="31">
        <f t="shared" si="6"/>
        <v>0.15</v>
      </c>
      <c r="U33" s="152">
        <f t="shared" si="2"/>
        <v>0</v>
      </c>
      <c r="V33" s="152">
        <f t="shared" si="38"/>
        <v>0</v>
      </c>
      <c r="W33" s="152">
        <f t="shared" si="39"/>
        <v>0</v>
      </c>
      <c r="X33" s="152">
        <f t="shared" si="40"/>
        <v>0</v>
      </c>
      <c r="Y33" s="152">
        <f t="shared" si="41"/>
        <v>0</v>
      </c>
      <c r="Z33" s="152">
        <f t="shared" si="42"/>
        <v>0</v>
      </c>
      <c r="AA33" s="152">
        <f t="shared" si="43"/>
        <v>0</v>
      </c>
      <c r="AB33" s="152">
        <f t="shared" si="44"/>
        <v>0</v>
      </c>
      <c r="AC33" s="152">
        <f t="shared" si="45"/>
        <v>0</v>
      </c>
      <c r="AD33" s="152">
        <f t="shared" si="46"/>
        <v>0</v>
      </c>
      <c r="AE33" s="137" t="e">
        <f t="shared" si="18"/>
        <v>#DIV/0!</v>
      </c>
      <c r="AF33" s="31">
        <f t="shared" si="16"/>
        <v>0.05</v>
      </c>
      <c r="AG33" s="145">
        <f t="shared" si="1"/>
        <v>0</v>
      </c>
    </row>
    <row r="34" spans="1:33">
      <c r="B34" s="20" t="s">
        <v>307</v>
      </c>
      <c r="C34" s="140"/>
      <c r="D34" s="140"/>
      <c r="E34" s="146"/>
      <c r="F34" s="146"/>
      <c r="G34" s="146"/>
      <c r="H34" s="203">
        <f>I34</f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118" t="e">
        <f t="shared" si="23"/>
        <v>#DIV/0!</v>
      </c>
      <c r="T34" s="31">
        <f t="shared" si="6"/>
        <v>0.15</v>
      </c>
      <c r="U34" s="152">
        <f t="shared" si="2"/>
        <v>0</v>
      </c>
      <c r="V34" s="152">
        <f t="shared" si="38"/>
        <v>0</v>
      </c>
      <c r="W34" s="152">
        <f t="shared" si="39"/>
        <v>0</v>
      </c>
      <c r="X34" s="152">
        <f t="shared" si="40"/>
        <v>0</v>
      </c>
      <c r="Y34" s="152">
        <f t="shared" si="41"/>
        <v>0</v>
      </c>
      <c r="Z34" s="152">
        <f t="shared" si="42"/>
        <v>0</v>
      </c>
      <c r="AA34" s="152">
        <f t="shared" si="43"/>
        <v>0</v>
      </c>
      <c r="AB34" s="152">
        <f t="shared" si="44"/>
        <v>0</v>
      </c>
      <c r="AC34" s="152">
        <f t="shared" si="45"/>
        <v>0</v>
      </c>
      <c r="AD34" s="152">
        <f t="shared" si="46"/>
        <v>0</v>
      </c>
      <c r="AE34" s="137" t="e">
        <f t="shared" si="18"/>
        <v>#DIV/0!</v>
      </c>
      <c r="AF34" s="31">
        <f t="shared" si="16"/>
        <v>0.05</v>
      </c>
      <c r="AG34" s="145">
        <f t="shared" si="1"/>
        <v>0</v>
      </c>
    </row>
    <row r="35" spans="1:33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38"/>
      <c r="AF35" s="136"/>
      <c r="AG35" s="152"/>
    </row>
    <row r="36" spans="1:33">
      <c r="A36" s="205" t="s">
        <v>482</v>
      </c>
      <c r="B36" s="200" t="s">
        <v>476</v>
      </c>
      <c r="C36" s="140"/>
      <c r="D36" s="140"/>
      <c r="E36" s="146"/>
      <c r="F36" s="146"/>
      <c r="G36" s="146"/>
      <c r="H36" s="203">
        <f>I36</f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118" t="e">
        <f t="shared" si="23"/>
        <v>#DIV/0!</v>
      </c>
      <c r="T36" s="31">
        <f t="shared" si="6"/>
        <v>0.15</v>
      </c>
      <c r="U36" s="152">
        <f t="shared" ref="U36:U49" si="90">R36*(1+$T36)</f>
        <v>0</v>
      </c>
      <c r="V36" s="152">
        <f t="shared" ref="V36:V49" si="91">U36*(1+$T36)</f>
        <v>0</v>
      </c>
      <c r="W36" s="152">
        <f t="shared" ref="W36:W49" si="92">V36*(1+$T36)</f>
        <v>0</v>
      </c>
      <c r="X36" s="152">
        <f t="shared" ref="X36:X49" si="93">W36*(1+$T36)</f>
        <v>0</v>
      </c>
      <c r="Y36" s="152">
        <f t="shared" ref="Y36:Y49" si="94">X36*(1+$T36)</f>
        <v>0</v>
      </c>
      <c r="Z36" s="152">
        <f t="shared" ref="Z36:Z49" si="95">Y36*(1+$T36)</f>
        <v>0</v>
      </c>
      <c r="AA36" s="152">
        <f t="shared" ref="AA36:AA49" si="96">Z36*(1+$T36)</f>
        <v>0</v>
      </c>
      <c r="AB36" s="152">
        <f t="shared" ref="AB36:AB49" si="97">AA36*(1+$T36)</f>
        <v>0</v>
      </c>
      <c r="AC36" s="152">
        <f t="shared" ref="AC36:AC49" si="98">AB36*(1+$T36)</f>
        <v>0</v>
      </c>
      <c r="AD36" s="152">
        <f t="shared" ref="AD36:AD49" si="99">AC36*(1+$T36)</f>
        <v>0</v>
      </c>
      <c r="AE36" s="137" t="e">
        <f t="shared" ref="AE36:AE49" si="100">((AD36/H36)^(1/($AD$3-$I$1) ))-1</f>
        <v>#DIV/0!</v>
      </c>
      <c r="AF36" s="31">
        <f t="shared" si="16"/>
        <v>0.05</v>
      </c>
      <c r="AG36" s="145">
        <f t="shared" ref="AG36:AG49" si="101">(AD36*(1+AF36))/($C$1-AF36)</f>
        <v>0</v>
      </c>
    </row>
    <row r="37" spans="1:33">
      <c r="A37" s="205"/>
      <c r="B37" s="200"/>
      <c r="C37" s="140"/>
      <c r="D37" s="140"/>
      <c r="E37" s="146"/>
      <c r="F37" s="146"/>
      <c r="G37" s="146"/>
      <c r="H37" s="149" t="e">
        <f t="shared" ref="H37" si="102">(H36-G36)/G36</f>
        <v>#DIV/0!</v>
      </c>
      <c r="I37" s="149" t="e">
        <f t="shared" ref="I37" si="103">(I36-H36)/H36</f>
        <v>#DIV/0!</v>
      </c>
      <c r="J37" s="149" t="e">
        <f t="shared" ref="J37" si="104">(J36-I36)/I36</f>
        <v>#DIV/0!</v>
      </c>
      <c r="K37" s="149" t="e">
        <f t="shared" ref="K37" si="105">(K36-J36)/J36</f>
        <v>#DIV/0!</v>
      </c>
      <c r="L37" s="149" t="e">
        <f t="shared" ref="L37" si="106">(L36-K36)/K36</f>
        <v>#DIV/0!</v>
      </c>
      <c r="M37" s="149" t="e">
        <f t="shared" ref="M37" si="107">(M36-L36)/L36</f>
        <v>#DIV/0!</v>
      </c>
      <c r="N37" s="149" t="e">
        <f t="shared" ref="N37" si="108">(N36-M36)/M36</f>
        <v>#DIV/0!</v>
      </c>
      <c r="O37" s="149" t="e">
        <f t="shared" ref="O37" si="109">(O36-N36)/N36</f>
        <v>#DIV/0!</v>
      </c>
      <c r="P37" s="149" t="e">
        <f t="shared" ref="P37" si="110">(P36-O36)/O36</f>
        <v>#DIV/0!</v>
      </c>
      <c r="Q37" s="149" t="e">
        <f t="shared" ref="Q37" si="111">(Q36-P36)/P36</f>
        <v>#DIV/0!</v>
      </c>
      <c r="R37" s="149" t="e">
        <f t="shared" ref="R37" si="112">(R36-Q36)/Q36</f>
        <v>#DIV/0!</v>
      </c>
      <c r="S37" s="128"/>
      <c r="T37" s="20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45"/>
    </row>
    <row r="38" spans="1:33">
      <c r="A38" s="205"/>
      <c r="B38" s="200" t="s">
        <v>477</v>
      </c>
      <c r="C38" s="140"/>
      <c r="D38" s="140"/>
      <c r="E38" s="146"/>
      <c r="F38" s="146"/>
      <c r="G38" s="146"/>
      <c r="H38" s="203">
        <f>I38</f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118" t="e">
        <f t="shared" si="23"/>
        <v>#DIV/0!</v>
      </c>
      <c r="T38" s="31">
        <f t="shared" si="6"/>
        <v>0.15</v>
      </c>
      <c r="U38" s="152">
        <f t="shared" si="90"/>
        <v>0</v>
      </c>
      <c r="V38" s="152">
        <f t="shared" si="91"/>
        <v>0</v>
      </c>
      <c r="W38" s="152">
        <f t="shared" si="92"/>
        <v>0</v>
      </c>
      <c r="X38" s="152">
        <f t="shared" si="93"/>
        <v>0</v>
      </c>
      <c r="Y38" s="152">
        <f t="shared" si="94"/>
        <v>0</v>
      </c>
      <c r="Z38" s="152">
        <f t="shared" si="95"/>
        <v>0</v>
      </c>
      <c r="AA38" s="152">
        <f t="shared" si="96"/>
        <v>0</v>
      </c>
      <c r="AB38" s="152">
        <f t="shared" si="97"/>
        <v>0</v>
      </c>
      <c r="AC38" s="152">
        <f t="shared" si="98"/>
        <v>0</v>
      </c>
      <c r="AD38" s="152">
        <f t="shared" si="99"/>
        <v>0</v>
      </c>
      <c r="AE38" s="137" t="e">
        <f t="shared" si="100"/>
        <v>#DIV/0!</v>
      </c>
      <c r="AF38" s="31">
        <f t="shared" si="16"/>
        <v>0.05</v>
      </c>
      <c r="AG38" s="145">
        <f t="shared" si="101"/>
        <v>0</v>
      </c>
    </row>
    <row r="39" spans="1:33">
      <c r="A39" s="205"/>
      <c r="B39" s="200"/>
      <c r="C39" s="140"/>
      <c r="D39" s="140"/>
      <c r="E39" s="146"/>
      <c r="F39" s="146"/>
      <c r="G39" s="146"/>
      <c r="H39" s="149" t="e">
        <f t="shared" ref="H39" si="113">(H38-G38)/G38</f>
        <v>#DIV/0!</v>
      </c>
      <c r="I39" s="149" t="e">
        <f t="shared" ref="I39" si="114">(I38-H38)/H38</f>
        <v>#DIV/0!</v>
      </c>
      <c r="J39" s="149" t="e">
        <f t="shared" ref="J39" si="115">(J38-I38)/I38</f>
        <v>#DIV/0!</v>
      </c>
      <c r="K39" s="149" t="e">
        <f t="shared" ref="K39" si="116">(K38-J38)/J38</f>
        <v>#DIV/0!</v>
      </c>
      <c r="L39" s="149" t="e">
        <f t="shared" ref="L39" si="117">(L38-K38)/K38</f>
        <v>#DIV/0!</v>
      </c>
      <c r="M39" s="149" t="e">
        <f t="shared" ref="M39" si="118">(M38-L38)/L38</f>
        <v>#DIV/0!</v>
      </c>
      <c r="N39" s="149" t="e">
        <f t="shared" ref="N39" si="119">(N38-M38)/M38</f>
        <v>#DIV/0!</v>
      </c>
      <c r="O39" s="149" t="e">
        <f t="shared" ref="O39" si="120">(O38-N38)/N38</f>
        <v>#DIV/0!</v>
      </c>
      <c r="P39" s="149" t="e">
        <f t="shared" ref="P39" si="121">(P38-O38)/O38</f>
        <v>#DIV/0!</v>
      </c>
      <c r="Q39" s="149" t="e">
        <f t="shared" ref="Q39" si="122">(Q38-P38)/P38</f>
        <v>#DIV/0!</v>
      </c>
      <c r="R39" s="149" t="e">
        <f t="shared" ref="R39" si="123">(R38-Q38)/Q38</f>
        <v>#DIV/0!</v>
      </c>
      <c r="S39" s="128"/>
      <c r="T39" s="20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45"/>
    </row>
    <row r="40" spans="1:33">
      <c r="A40" s="205"/>
      <c r="B40" s="200" t="s">
        <v>481</v>
      </c>
      <c r="C40" s="140"/>
      <c r="D40" s="140"/>
      <c r="E40" s="146"/>
      <c r="F40" s="146"/>
      <c r="G40" s="146"/>
      <c r="H40" s="203">
        <f>I40</f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118" t="e">
        <f t="shared" si="23"/>
        <v>#DIV/0!</v>
      </c>
      <c r="T40" s="31">
        <f t="shared" si="6"/>
        <v>0.15</v>
      </c>
      <c r="U40" s="152">
        <f t="shared" si="90"/>
        <v>0</v>
      </c>
      <c r="V40" s="152">
        <f t="shared" si="91"/>
        <v>0</v>
      </c>
      <c r="W40" s="152">
        <f t="shared" si="92"/>
        <v>0</v>
      </c>
      <c r="X40" s="152">
        <f t="shared" si="93"/>
        <v>0</v>
      </c>
      <c r="Y40" s="152">
        <f t="shared" si="94"/>
        <v>0</v>
      </c>
      <c r="Z40" s="152">
        <f t="shared" si="95"/>
        <v>0</v>
      </c>
      <c r="AA40" s="152">
        <f t="shared" si="96"/>
        <v>0</v>
      </c>
      <c r="AB40" s="152">
        <f t="shared" si="97"/>
        <v>0</v>
      </c>
      <c r="AC40" s="152">
        <f t="shared" si="98"/>
        <v>0</v>
      </c>
      <c r="AD40" s="152">
        <f t="shared" si="99"/>
        <v>0</v>
      </c>
      <c r="AE40" s="137" t="e">
        <f t="shared" si="100"/>
        <v>#DIV/0!</v>
      </c>
      <c r="AF40" s="31">
        <f t="shared" si="16"/>
        <v>0.05</v>
      </c>
      <c r="AG40" s="145">
        <f t="shared" si="101"/>
        <v>0</v>
      </c>
    </row>
    <row r="41" spans="1:33">
      <c r="A41" s="205"/>
      <c r="B41" s="200" t="s">
        <v>478</v>
      </c>
      <c r="C41" s="140"/>
      <c r="D41" s="140"/>
      <c r="E41" s="146"/>
      <c r="F41" s="146"/>
      <c r="G41" s="146"/>
      <c r="H41" s="203">
        <f>I41</f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118" t="e">
        <f t="shared" si="23"/>
        <v>#DIV/0!</v>
      </c>
      <c r="T41" s="31">
        <f t="shared" si="6"/>
        <v>0.15</v>
      </c>
      <c r="U41" s="152">
        <f t="shared" si="90"/>
        <v>0</v>
      </c>
      <c r="V41" s="152">
        <f t="shared" si="91"/>
        <v>0</v>
      </c>
      <c r="W41" s="152">
        <f t="shared" si="92"/>
        <v>0</v>
      </c>
      <c r="X41" s="152">
        <f t="shared" si="93"/>
        <v>0</v>
      </c>
      <c r="Y41" s="152">
        <f t="shared" si="94"/>
        <v>0</v>
      </c>
      <c r="Z41" s="152">
        <f t="shared" si="95"/>
        <v>0</v>
      </c>
      <c r="AA41" s="152">
        <f t="shared" si="96"/>
        <v>0</v>
      </c>
      <c r="AB41" s="152">
        <f t="shared" si="97"/>
        <v>0</v>
      </c>
      <c r="AC41" s="152">
        <f t="shared" si="98"/>
        <v>0</v>
      </c>
      <c r="AD41" s="152">
        <f t="shared" si="99"/>
        <v>0</v>
      </c>
      <c r="AE41" s="137" t="e">
        <f t="shared" si="100"/>
        <v>#DIV/0!</v>
      </c>
      <c r="AF41" s="31">
        <f t="shared" si="16"/>
        <v>0.05</v>
      </c>
      <c r="AG41" s="145">
        <f t="shared" si="101"/>
        <v>0</v>
      </c>
    </row>
    <row r="42" spans="1:33">
      <c r="A42" s="205"/>
      <c r="B42" s="200" t="s">
        <v>480</v>
      </c>
      <c r="C42" s="140"/>
      <c r="D42" s="140"/>
      <c r="E42" s="146"/>
      <c r="F42" s="146"/>
      <c r="G42" s="146"/>
      <c r="H42" s="203">
        <f>I42</f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118" t="e">
        <f t="shared" si="23"/>
        <v>#DIV/0!</v>
      </c>
      <c r="T42" s="31">
        <f t="shared" si="6"/>
        <v>0.15</v>
      </c>
      <c r="U42" s="152">
        <f t="shared" si="90"/>
        <v>0</v>
      </c>
      <c r="V42" s="152">
        <f t="shared" si="91"/>
        <v>0</v>
      </c>
      <c r="W42" s="152">
        <f t="shared" si="92"/>
        <v>0</v>
      </c>
      <c r="X42" s="152">
        <f t="shared" si="93"/>
        <v>0</v>
      </c>
      <c r="Y42" s="152">
        <f t="shared" si="94"/>
        <v>0</v>
      </c>
      <c r="Z42" s="152">
        <f t="shared" si="95"/>
        <v>0</v>
      </c>
      <c r="AA42" s="152">
        <f t="shared" si="96"/>
        <v>0</v>
      </c>
      <c r="AB42" s="152">
        <f t="shared" si="97"/>
        <v>0</v>
      </c>
      <c r="AC42" s="152">
        <f t="shared" si="98"/>
        <v>0</v>
      </c>
      <c r="AD42" s="152">
        <f t="shared" si="99"/>
        <v>0</v>
      </c>
      <c r="AE42" s="137" t="e">
        <f t="shared" si="100"/>
        <v>#DIV/0!</v>
      </c>
      <c r="AF42" s="31">
        <f t="shared" si="16"/>
        <v>0.05</v>
      </c>
      <c r="AG42" s="145">
        <f t="shared" si="101"/>
        <v>0</v>
      </c>
    </row>
    <row r="43" spans="1:33">
      <c r="A43" s="205"/>
      <c r="B43" s="200" t="s">
        <v>479</v>
      </c>
      <c r="C43" s="140"/>
      <c r="D43" s="140"/>
      <c r="E43" s="146"/>
      <c r="F43" s="146"/>
      <c r="G43" s="146"/>
      <c r="H43" s="203">
        <f>I43</f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118" t="e">
        <f t="shared" si="23"/>
        <v>#DIV/0!</v>
      </c>
      <c r="T43" s="31">
        <f t="shared" si="6"/>
        <v>0.15</v>
      </c>
      <c r="U43" s="152">
        <f t="shared" si="90"/>
        <v>0</v>
      </c>
      <c r="V43" s="152">
        <f t="shared" si="91"/>
        <v>0</v>
      </c>
      <c r="W43" s="152">
        <f t="shared" si="92"/>
        <v>0</v>
      </c>
      <c r="X43" s="152">
        <f t="shared" si="93"/>
        <v>0</v>
      </c>
      <c r="Y43" s="152">
        <f t="shared" si="94"/>
        <v>0</v>
      </c>
      <c r="Z43" s="152">
        <f t="shared" si="95"/>
        <v>0</v>
      </c>
      <c r="AA43" s="152">
        <f t="shared" si="96"/>
        <v>0</v>
      </c>
      <c r="AB43" s="152">
        <f t="shared" si="97"/>
        <v>0</v>
      </c>
      <c r="AC43" s="152">
        <f t="shared" si="98"/>
        <v>0</v>
      </c>
      <c r="AD43" s="152">
        <f t="shared" si="99"/>
        <v>0</v>
      </c>
      <c r="AE43" s="137" t="e">
        <f t="shared" si="100"/>
        <v>#DIV/0!</v>
      </c>
      <c r="AF43" s="31">
        <f t="shared" si="16"/>
        <v>0.05</v>
      </c>
      <c r="AG43" s="145">
        <f t="shared" si="101"/>
        <v>0</v>
      </c>
    </row>
    <row r="44" spans="1:33">
      <c r="A44" s="205"/>
      <c r="B44" s="200"/>
      <c r="C44" s="140"/>
      <c r="D44" s="140"/>
      <c r="E44" s="146"/>
      <c r="F44" s="146"/>
      <c r="G44" s="146"/>
      <c r="H44" s="149" t="e">
        <f t="shared" ref="H44" si="124">(H43-G43)/G43</f>
        <v>#DIV/0!</v>
      </c>
      <c r="I44" s="149" t="e">
        <f t="shared" ref="I44" si="125">(I43-H43)/H43</f>
        <v>#DIV/0!</v>
      </c>
      <c r="J44" s="149" t="e">
        <f t="shared" ref="J44" si="126">(J43-I43)/I43</f>
        <v>#DIV/0!</v>
      </c>
      <c r="K44" s="149" t="e">
        <f t="shared" ref="K44" si="127">(K43-J43)/J43</f>
        <v>#DIV/0!</v>
      </c>
      <c r="L44" s="149" t="e">
        <f t="shared" ref="L44" si="128">(L43-K43)/K43</f>
        <v>#DIV/0!</v>
      </c>
      <c r="M44" s="149" t="e">
        <f t="shared" ref="M44" si="129">(M43-L43)/L43</f>
        <v>#DIV/0!</v>
      </c>
      <c r="N44" s="149" t="e">
        <f t="shared" ref="N44" si="130">(N43-M43)/M43</f>
        <v>#DIV/0!</v>
      </c>
      <c r="O44" s="149" t="e">
        <f t="shared" ref="O44" si="131">(O43-N43)/N43</f>
        <v>#DIV/0!</v>
      </c>
      <c r="P44" s="149" t="e">
        <f t="shared" ref="P44" si="132">(P43-O43)/O43</f>
        <v>#DIV/0!</v>
      </c>
      <c r="Q44" s="149" t="e">
        <f t="shared" ref="Q44" si="133">(Q43-P43)/P43</f>
        <v>#DIV/0!</v>
      </c>
      <c r="R44" s="149" t="e">
        <f t="shared" ref="R44" si="134">(R43-Q43)/Q43</f>
        <v>#DIV/0!</v>
      </c>
      <c r="S44" s="128"/>
      <c r="T44" s="20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45"/>
    </row>
    <row r="45" spans="1:33">
      <c r="A45" s="205"/>
      <c r="B45" s="200" t="s">
        <v>218</v>
      </c>
      <c r="C45" s="140"/>
      <c r="D45" s="140"/>
      <c r="E45" s="146"/>
      <c r="F45" s="146"/>
      <c r="G45" s="146"/>
      <c r="H45" s="203">
        <f>I45</f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118" t="e">
        <f t="shared" si="23"/>
        <v>#DIV/0!</v>
      </c>
      <c r="T45" s="31">
        <f t="shared" si="6"/>
        <v>0.15</v>
      </c>
      <c r="U45" s="152">
        <f t="shared" si="90"/>
        <v>0</v>
      </c>
      <c r="V45" s="152">
        <f t="shared" si="91"/>
        <v>0</v>
      </c>
      <c r="W45" s="152">
        <f t="shared" si="92"/>
        <v>0</v>
      </c>
      <c r="X45" s="152">
        <f t="shared" si="93"/>
        <v>0</v>
      </c>
      <c r="Y45" s="152">
        <f t="shared" si="94"/>
        <v>0</v>
      </c>
      <c r="Z45" s="152">
        <f t="shared" si="95"/>
        <v>0</v>
      </c>
      <c r="AA45" s="152">
        <f t="shared" si="96"/>
        <v>0</v>
      </c>
      <c r="AB45" s="152">
        <f t="shared" si="97"/>
        <v>0</v>
      </c>
      <c r="AC45" s="152">
        <f t="shared" si="98"/>
        <v>0</v>
      </c>
      <c r="AD45" s="152">
        <f t="shared" si="99"/>
        <v>0</v>
      </c>
      <c r="AE45" s="137" t="e">
        <f t="shared" si="100"/>
        <v>#DIV/0!</v>
      </c>
      <c r="AF45" s="31">
        <f t="shared" si="16"/>
        <v>0.05</v>
      </c>
      <c r="AG45" s="145">
        <f t="shared" si="101"/>
        <v>0</v>
      </c>
    </row>
    <row r="46" spans="1:33">
      <c r="A46" s="201"/>
      <c r="B46" s="200"/>
      <c r="C46" s="140"/>
      <c r="D46" s="140"/>
      <c r="E46" s="146"/>
      <c r="F46" s="146"/>
      <c r="G46" s="146"/>
      <c r="H46" s="149" t="e">
        <f t="shared" ref="H46" si="135">(H45-G45)/G45</f>
        <v>#DIV/0!</v>
      </c>
      <c r="I46" s="149" t="e">
        <f t="shared" ref="I46" si="136">(I45-H45)/H45</f>
        <v>#DIV/0!</v>
      </c>
      <c r="J46" s="149" t="e">
        <f t="shared" ref="J46" si="137">(J45-I45)/I45</f>
        <v>#DIV/0!</v>
      </c>
      <c r="K46" s="149" t="e">
        <f t="shared" ref="K46" si="138">(K45-J45)/J45</f>
        <v>#DIV/0!</v>
      </c>
      <c r="L46" s="149" t="e">
        <f t="shared" ref="L46" si="139">(L45-K45)/K45</f>
        <v>#DIV/0!</v>
      </c>
      <c r="M46" s="149" t="e">
        <f t="shared" ref="M46" si="140">(M45-L45)/L45</f>
        <v>#DIV/0!</v>
      </c>
      <c r="N46" s="149" t="e">
        <f t="shared" ref="N46" si="141">(N45-M45)/M45</f>
        <v>#DIV/0!</v>
      </c>
      <c r="O46" s="149" t="e">
        <f t="shared" ref="O46" si="142">(O45-N45)/N45</f>
        <v>#DIV/0!</v>
      </c>
      <c r="P46" s="149" t="e">
        <f t="shared" ref="P46" si="143">(P45-O45)/O45</f>
        <v>#DIV/0!</v>
      </c>
      <c r="Q46" s="149" t="e">
        <f t="shared" ref="Q46" si="144">(Q45-P45)/P45</f>
        <v>#DIV/0!</v>
      </c>
      <c r="R46" s="149" t="e">
        <f t="shared" ref="R46" si="145">(R45-Q45)/Q45</f>
        <v>#DIV/0!</v>
      </c>
      <c r="S46" s="128"/>
      <c r="T46" s="20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45"/>
    </row>
    <row r="47" spans="1:33">
      <c r="A47" s="201"/>
      <c r="B47" s="200" t="s">
        <v>493</v>
      </c>
      <c r="C47" s="140"/>
      <c r="D47" s="140"/>
      <c r="E47" s="146"/>
      <c r="F47" s="146"/>
      <c r="G47" s="146"/>
      <c r="H47" s="203">
        <f>I47</f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118" t="e">
        <f t="shared" si="23"/>
        <v>#DIV/0!</v>
      </c>
      <c r="T47" s="31">
        <f t="shared" si="6"/>
        <v>0.15</v>
      </c>
      <c r="U47" s="152">
        <f t="shared" ref="U47" si="146">R47*(1+$T47)</f>
        <v>0</v>
      </c>
      <c r="V47" s="152">
        <f t="shared" ref="V47" si="147">U47*(1+$T47)</f>
        <v>0</v>
      </c>
      <c r="W47" s="152">
        <f t="shared" ref="W47" si="148">V47*(1+$T47)</f>
        <v>0</v>
      </c>
      <c r="X47" s="152">
        <f t="shared" ref="X47" si="149">W47*(1+$T47)</f>
        <v>0</v>
      </c>
      <c r="Y47" s="152">
        <f t="shared" ref="Y47" si="150">X47*(1+$T47)</f>
        <v>0</v>
      </c>
      <c r="Z47" s="152">
        <f t="shared" ref="Z47" si="151">Y47*(1+$T47)</f>
        <v>0</v>
      </c>
      <c r="AA47" s="152">
        <f t="shared" ref="AA47" si="152">Z47*(1+$T47)</f>
        <v>0</v>
      </c>
      <c r="AB47" s="152">
        <f t="shared" ref="AB47" si="153">AA47*(1+$T47)</f>
        <v>0</v>
      </c>
      <c r="AC47" s="152">
        <f t="shared" ref="AC47" si="154">AB47*(1+$T47)</f>
        <v>0</v>
      </c>
      <c r="AD47" s="152">
        <f t="shared" ref="AD47" si="155">AC47*(1+$T47)</f>
        <v>0</v>
      </c>
      <c r="AE47" s="137" t="e">
        <f t="shared" ref="AE47" si="156">((AD47/H47)^(1/($AD$3-$I$1) ))-1</f>
        <v>#DIV/0!</v>
      </c>
      <c r="AF47" s="31">
        <f t="shared" si="16"/>
        <v>0.05</v>
      </c>
      <c r="AG47" s="145">
        <f t="shared" si="101"/>
        <v>0</v>
      </c>
    </row>
    <row r="48" spans="1:33">
      <c r="A48" s="201"/>
      <c r="B48" s="200"/>
      <c r="C48" s="140"/>
      <c r="D48" s="140"/>
      <c r="E48" s="146"/>
      <c r="F48" s="146"/>
      <c r="G48" s="146"/>
      <c r="H48" s="149" t="e">
        <f t="shared" ref="H48" si="157">(H47-G47)/G47</f>
        <v>#DIV/0!</v>
      </c>
      <c r="I48" s="149" t="e">
        <f t="shared" ref="I48" si="158">(I47-H47)/H47</f>
        <v>#DIV/0!</v>
      </c>
      <c r="J48" s="149" t="e">
        <f t="shared" ref="J48" si="159">(J47-I47)/I47</f>
        <v>#DIV/0!</v>
      </c>
      <c r="K48" s="149" t="e">
        <f t="shared" ref="K48" si="160">(K47-J47)/J47</f>
        <v>#DIV/0!</v>
      </c>
      <c r="L48" s="149" t="e">
        <f t="shared" ref="L48" si="161">(L47-K47)/K47</f>
        <v>#DIV/0!</v>
      </c>
      <c r="M48" s="149" t="e">
        <f t="shared" ref="M48" si="162">(M47-L47)/L47</f>
        <v>#DIV/0!</v>
      </c>
      <c r="N48" s="149" t="e">
        <f t="shared" ref="N48" si="163">(N47-M47)/M47</f>
        <v>#DIV/0!</v>
      </c>
      <c r="O48" s="149" t="e">
        <f t="shared" ref="O48" si="164">(O47-N47)/N47</f>
        <v>#DIV/0!</v>
      </c>
      <c r="P48" s="149" t="e">
        <f t="shared" ref="P48" si="165">(P47-O47)/O47</f>
        <v>#DIV/0!</v>
      </c>
      <c r="Q48" s="149" t="e">
        <f t="shared" ref="Q48" si="166">(Q47-P47)/P47</f>
        <v>#DIV/0!</v>
      </c>
      <c r="R48" s="149" t="e">
        <f t="shared" ref="R48" si="167">(R47-Q47)/Q47</f>
        <v>#DIV/0!</v>
      </c>
      <c r="S48" s="128"/>
      <c r="T48" s="20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45"/>
    </row>
    <row r="49" spans="1:33">
      <c r="A49" s="201"/>
      <c r="B49" s="200" t="s">
        <v>483</v>
      </c>
      <c r="C49" s="140"/>
      <c r="D49" s="140"/>
      <c r="E49" s="146"/>
      <c r="F49" s="146"/>
      <c r="G49" s="146"/>
      <c r="H49" s="203">
        <f>I49</f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118" t="e">
        <f t="shared" si="23"/>
        <v>#DIV/0!</v>
      </c>
      <c r="T49" s="31">
        <f t="shared" si="6"/>
        <v>0.15</v>
      </c>
      <c r="U49" s="152">
        <f t="shared" si="90"/>
        <v>0</v>
      </c>
      <c r="V49" s="152">
        <f t="shared" si="91"/>
        <v>0</v>
      </c>
      <c r="W49" s="152">
        <f t="shared" si="92"/>
        <v>0</v>
      </c>
      <c r="X49" s="152">
        <f t="shared" si="93"/>
        <v>0</v>
      </c>
      <c r="Y49" s="152">
        <f t="shared" si="94"/>
        <v>0</v>
      </c>
      <c r="Z49" s="152">
        <f t="shared" si="95"/>
        <v>0</v>
      </c>
      <c r="AA49" s="152">
        <f t="shared" si="96"/>
        <v>0</v>
      </c>
      <c r="AB49" s="152">
        <f t="shared" si="97"/>
        <v>0</v>
      </c>
      <c r="AC49" s="152">
        <f t="shared" si="98"/>
        <v>0</v>
      </c>
      <c r="AD49" s="152">
        <f t="shared" si="99"/>
        <v>0</v>
      </c>
      <c r="AE49" s="137" t="e">
        <f t="shared" si="100"/>
        <v>#DIV/0!</v>
      </c>
      <c r="AF49" s="31">
        <f t="shared" si="16"/>
        <v>0.05</v>
      </c>
      <c r="AG49" s="145">
        <f t="shared" si="101"/>
        <v>0</v>
      </c>
    </row>
    <row r="50" spans="1:33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28"/>
      <c r="T50" s="20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38"/>
      <c r="AF50" s="136"/>
      <c r="AG50" s="152"/>
    </row>
    <row r="51" spans="1:33">
      <c r="B51" s="20" t="s">
        <v>278</v>
      </c>
      <c r="C51" s="140"/>
      <c r="D51" s="140"/>
      <c r="E51" s="146"/>
      <c r="F51" s="146"/>
      <c r="G51" s="146">
        <v>650</v>
      </c>
      <c r="H51" s="146">
        <f t="shared" ref="H51" si="168">G51</f>
        <v>650</v>
      </c>
      <c r="I51" s="146">
        <v>2162</v>
      </c>
      <c r="J51" s="146">
        <v>2047</v>
      </c>
      <c r="K51" s="146">
        <v>1792</v>
      </c>
      <c r="L51" s="146">
        <v>1916</v>
      </c>
      <c r="M51" s="146">
        <v>1810</v>
      </c>
      <c r="N51" s="146">
        <v>1977</v>
      </c>
      <c r="O51" s="146">
        <v>2473</v>
      </c>
      <c r="P51" s="203">
        <v>0</v>
      </c>
      <c r="Q51" s="203">
        <v>0</v>
      </c>
      <c r="R51" s="203">
        <v>0</v>
      </c>
      <c r="S51" s="118">
        <f t="shared" si="23"/>
        <v>-1</v>
      </c>
      <c r="T51" s="31">
        <f t="shared" si="6"/>
        <v>0.15</v>
      </c>
      <c r="U51" s="152">
        <f t="shared" si="2"/>
        <v>0</v>
      </c>
      <c r="V51" s="152">
        <f t="shared" ref="V51" si="169">U51*(1+$T51)</f>
        <v>0</v>
      </c>
      <c r="W51" s="152">
        <f t="shared" ref="W51" si="170">V51*(1+$T51)</f>
        <v>0</v>
      </c>
      <c r="X51" s="152">
        <f t="shared" ref="X51" si="171">W51*(1+$T51)</f>
        <v>0</v>
      </c>
      <c r="Y51" s="152">
        <f t="shared" si="41"/>
        <v>0</v>
      </c>
      <c r="Z51" s="152">
        <f t="shared" si="42"/>
        <v>0</v>
      </c>
      <c r="AA51" s="152">
        <f t="shared" si="43"/>
        <v>0</v>
      </c>
      <c r="AB51" s="152">
        <f t="shared" si="44"/>
        <v>0</v>
      </c>
      <c r="AC51" s="152">
        <f t="shared" si="45"/>
        <v>0</v>
      </c>
      <c r="AD51" s="152">
        <f t="shared" si="46"/>
        <v>0</v>
      </c>
      <c r="AE51" s="137">
        <f t="shared" si="18"/>
        <v>-1</v>
      </c>
      <c r="AF51" s="31">
        <f t="shared" si="16"/>
        <v>0.05</v>
      </c>
      <c r="AG51" s="145">
        <f t="shared" si="1"/>
        <v>0</v>
      </c>
    </row>
    <row r="52" spans="1:33" s="123" customFormat="1">
      <c r="B52" s="23"/>
      <c r="C52" s="147"/>
      <c r="D52" s="147"/>
      <c r="E52" s="148"/>
      <c r="F52" s="148"/>
      <c r="G52" s="226">
        <f t="shared" ref="G52:O52" si="172">(G51-F51)/G51</f>
        <v>1</v>
      </c>
      <c r="H52" s="226">
        <f t="shared" si="172"/>
        <v>0</v>
      </c>
      <c r="I52" s="226">
        <f t="shared" si="172"/>
        <v>0.69935245143385749</v>
      </c>
      <c r="J52" s="226">
        <f t="shared" si="172"/>
        <v>-5.6179775280898875E-2</v>
      </c>
      <c r="K52" s="226">
        <f t="shared" si="172"/>
        <v>-0.14229910714285715</v>
      </c>
      <c r="L52" s="226">
        <f t="shared" si="172"/>
        <v>6.471816283924843E-2</v>
      </c>
      <c r="M52" s="226">
        <f t="shared" si="172"/>
        <v>-5.856353591160221E-2</v>
      </c>
      <c r="N52" s="226">
        <f t="shared" si="172"/>
        <v>8.4471421345472933E-2</v>
      </c>
      <c r="O52" s="226">
        <f t="shared" si="172"/>
        <v>0.20056611403154065</v>
      </c>
      <c r="P52" s="149">
        <f t="shared" ref="H52:R52" si="173">(P51-O51)/O51</f>
        <v>-1</v>
      </c>
      <c r="Q52" s="149" t="e">
        <f t="shared" si="173"/>
        <v>#DIV/0!</v>
      </c>
      <c r="R52" s="149" t="e">
        <f t="shared" si="173"/>
        <v>#DIV/0!</v>
      </c>
      <c r="S52" s="128"/>
      <c r="T52" s="20"/>
      <c r="U52" s="152"/>
      <c r="V52" s="153"/>
      <c r="W52" s="153"/>
      <c r="X52" s="153"/>
      <c r="Y52" s="153"/>
      <c r="Z52" s="153"/>
      <c r="AA52" s="153"/>
      <c r="AB52" s="153"/>
      <c r="AC52" s="153"/>
      <c r="AD52" s="153"/>
      <c r="AE52" s="138"/>
      <c r="AF52" s="136"/>
      <c r="AG52" s="154"/>
    </row>
    <row r="53" spans="1:33" s="123" customFormat="1">
      <c r="B53" s="20" t="s">
        <v>398</v>
      </c>
      <c r="C53" s="147"/>
      <c r="D53" s="147"/>
      <c r="E53" s="148"/>
      <c r="F53" s="148"/>
      <c r="G53" s="146">
        <v>454</v>
      </c>
      <c r="H53" s="146">
        <f t="shared" ref="H53" si="174">G53</f>
        <v>454</v>
      </c>
      <c r="I53" s="146">
        <v>1822</v>
      </c>
      <c r="J53" s="146">
        <v>2710</v>
      </c>
      <c r="K53" s="146">
        <v>1946</v>
      </c>
      <c r="L53" s="146">
        <v>1775</v>
      </c>
      <c r="M53" s="146">
        <v>1634</v>
      </c>
      <c r="N53" s="146">
        <v>1701</v>
      </c>
      <c r="O53" s="146">
        <v>1895</v>
      </c>
      <c r="P53" s="203">
        <v>0</v>
      </c>
      <c r="Q53" s="203">
        <v>0</v>
      </c>
      <c r="R53" s="203">
        <v>0</v>
      </c>
      <c r="S53" s="118">
        <f t="shared" si="23"/>
        <v>-1</v>
      </c>
      <c r="T53" s="31">
        <f t="shared" si="6"/>
        <v>0.15</v>
      </c>
      <c r="U53" s="152">
        <f t="shared" si="2"/>
        <v>0</v>
      </c>
      <c r="V53" s="152">
        <f t="shared" ref="V53" si="175">U53*(1+$T53)</f>
        <v>0</v>
      </c>
      <c r="W53" s="152">
        <f t="shared" ref="W53" si="176">V53*(1+$T53)</f>
        <v>0</v>
      </c>
      <c r="X53" s="152">
        <f t="shared" ref="X53" si="177">W53*(1+$T53)</f>
        <v>0</v>
      </c>
      <c r="Y53" s="152">
        <f t="shared" ref="Y53" si="178">X53*(1+$T53)</f>
        <v>0</v>
      </c>
      <c r="Z53" s="152">
        <f t="shared" ref="Z53" si="179">Y53*(1+$T53)</f>
        <v>0</v>
      </c>
      <c r="AA53" s="152">
        <f t="shared" ref="AA53" si="180">Z53*(1+$T53)</f>
        <v>0</v>
      </c>
      <c r="AB53" s="152">
        <f t="shared" ref="AB53" si="181">AA53*(1+$T53)</f>
        <v>0</v>
      </c>
      <c r="AC53" s="152">
        <f t="shared" ref="AC53" si="182">AB53*(1+$T53)</f>
        <v>0</v>
      </c>
      <c r="AD53" s="152">
        <f t="shared" ref="AD53" si="183">AC53*(1+$T53)</f>
        <v>0</v>
      </c>
      <c r="AE53" s="137">
        <f t="shared" ref="AE53" si="184">((AD53/H53)^(1/($AD$3-$I$1) ))-1</f>
        <v>-1</v>
      </c>
      <c r="AF53" s="31">
        <f t="shared" si="16"/>
        <v>0.05</v>
      </c>
      <c r="AG53" s="145">
        <f t="shared" ref="AG53" si="185">(AD53*(1+AF53))/($C$1-AF53)</f>
        <v>0</v>
      </c>
    </row>
    <row r="54" spans="1:33" s="123" customFormat="1">
      <c r="B54" s="23"/>
      <c r="C54" s="147"/>
      <c r="D54" s="147"/>
      <c r="E54" s="148"/>
      <c r="F54" s="148"/>
      <c r="G54" s="226">
        <f t="shared" ref="G54:O54" si="186">(G53-F53)/G53</f>
        <v>1</v>
      </c>
      <c r="H54" s="226">
        <f t="shared" si="186"/>
        <v>0</v>
      </c>
      <c r="I54" s="226">
        <f t="shared" si="186"/>
        <v>0.75082327113062564</v>
      </c>
      <c r="J54" s="226">
        <f t="shared" si="186"/>
        <v>0.32767527675276753</v>
      </c>
      <c r="K54" s="226">
        <f t="shared" si="186"/>
        <v>-0.39260020554984582</v>
      </c>
      <c r="L54" s="226">
        <f t="shared" si="186"/>
        <v>-9.6338028169014087E-2</v>
      </c>
      <c r="M54" s="226">
        <f t="shared" si="186"/>
        <v>-8.6291309669522642E-2</v>
      </c>
      <c r="N54" s="226">
        <f t="shared" si="186"/>
        <v>3.93885949441505E-2</v>
      </c>
      <c r="O54" s="226">
        <f t="shared" si="186"/>
        <v>0.10237467018469656</v>
      </c>
      <c r="P54" s="149">
        <f t="shared" ref="H54:R54" si="187">(P53-O53)/O53</f>
        <v>-1</v>
      </c>
      <c r="Q54" s="149" t="e">
        <f t="shared" si="187"/>
        <v>#DIV/0!</v>
      </c>
      <c r="R54" s="149" t="e">
        <f t="shared" si="187"/>
        <v>#DIV/0!</v>
      </c>
      <c r="S54" s="128"/>
      <c r="T54" s="20"/>
      <c r="U54" s="152"/>
      <c r="V54" s="153"/>
      <c r="W54" s="153"/>
      <c r="X54" s="153"/>
      <c r="Y54" s="153"/>
      <c r="Z54" s="153"/>
      <c r="AA54" s="153"/>
      <c r="AB54" s="153"/>
      <c r="AC54" s="153"/>
      <c r="AD54" s="153"/>
      <c r="AE54" s="138"/>
      <c r="AF54" s="136"/>
      <c r="AG54" s="154"/>
    </row>
    <row r="55" spans="1:33">
      <c r="B55" s="20" t="s">
        <v>399</v>
      </c>
      <c r="C55" s="140"/>
      <c r="D55" s="140"/>
      <c r="E55" s="146"/>
      <c r="F55" s="146"/>
      <c r="G55" s="146">
        <v>385</v>
      </c>
      <c r="H55" s="146"/>
      <c r="I55" s="146">
        <v>1483</v>
      </c>
      <c r="J55" s="146">
        <v>1767</v>
      </c>
      <c r="K55" s="146">
        <v>1389</v>
      </c>
      <c r="L55" s="146">
        <v>1216</v>
      </c>
      <c r="M55" s="146">
        <v>1262</v>
      </c>
      <c r="N55" s="146">
        <v>1227</v>
      </c>
      <c r="O55" s="146">
        <v>1291</v>
      </c>
      <c r="P55" s="203">
        <v>0</v>
      </c>
      <c r="Q55" s="203">
        <v>0</v>
      </c>
      <c r="R55" s="203">
        <v>0</v>
      </c>
      <c r="S55" s="118">
        <f t="shared" si="23"/>
        <v>-1</v>
      </c>
      <c r="T55" s="31">
        <f t="shared" si="6"/>
        <v>0.15</v>
      </c>
      <c r="U55" s="152">
        <f t="shared" si="2"/>
        <v>0</v>
      </c>
      <c r="V55" s="152">
        <f t="shared" ref="V55:AD55" si="188">U55*(1+$T55)</f>
        <v>0</v>
      </c>
      <c r="W55" s="152">
        <f t="shared" si="188"/>
        <v>0</v>
      </c>
      <c r="X55" s="152">
        <f t="shared" si="188"/>
        <v>0</v>
      </c>
      <c r="Y55" s="152">
        <f t="shared" si="188"/>
        <v>0</v>
      </c>
      <c r="Z55" s="152">
        <f t="shared" si="188"/>
        <v>0</v>
      </c>
      <c r="AA55" s="152">
        <f t="shared" si="188"/>
        <v>0</v>
      </c>
      <c r="AB55" s="152">
        <f t="shared" si="188"/>
        <v>0</v>
      </c>
      <c r="AC55" s="152">
        <f t="shared" si="188"/>
        <v>0</v>
      </c>
      <c r="AD55" s="152">
        <f t="shared" si="188"/>
        <v>0</v>
      </c>
      <c r="AE55" s="137" t="e">
        <f t="shared" si="18"/>
        <v>#DIV/0!</v>
      </c>
      <c r="AF55" s="31">
        <f t="shared" si="16"/>
        <v>0.05</v>
      </c>
      <c r="AG55" s="145">
        <f t="shared" si="1"/>
        <v>0</v>
      </c>
    </row>
    <row r="56" spans="1:33" s="123" customFormat="1">
      <c r="B56" s="23"/>
      <c r="C56" s="147"/>
      <c r="D56" s="147"/>
      <c r="E56" s="148"/>
      <c r="F56" s="148"/>
      <c r="G56" s="226">
        <f>(G55-F55)/G55</f>
        <v>1</v>
      </c>
      <c r="H56" s="226" t="e">
        <f t="shared" ref="H56:O56" si="189">(H55-G55)/H55</f>
        <v>#DIV/0!</v>
      </c>
      <c r="I56" s="226">
        <f t="shared" si="189"/>
        <v>1</v>
      </c>
      <c r="J56" s="226">
        <f t="shared" si="189"/>
        <v>0.16072439162422184</v>
      </c>
      <c r="K56" s="226">
        <f t="shared" si="189"/>
        <v>-0.27213822894168466</v>
      </c>
      <c r="L56" s="226">
        <f t="shared" si="189"/>
        <v>-0.14226973684210525</v>
      </c>
      <c r="M56" s="226">
        <f t="shared" si="189"/>
        <v>3.6450079239302692E-2</v>
      </c>
      <c r="N56" s="226">
        <f t="shared" si="189"/>
        <v>-2.8524857375713121E-2</v>
      </c>
      <c r="O56" s="226">
        <f t="shared" si="189"/>
        <v>4.9573973663826494E-2</v>
      </c>
      <c r="P56" s="149">
        <f t="shared" ref="H56:R56" si="190">(P55-O55)/O55</f>
        <v>-1</v>
      </c>
      <c r="Q56" s="149" t="e">
        <f t="shared" si="190"/>
        <v>#DIV/0!</v>
      </c>
      <c r="R56" s="149" t="e">
        <f t="shared" si="190"/>
        <v>#DIV/0!</v>
      </c>
      <c r="S56" s="128"/>
      <c r="T56" s="20"/>
      <c r="U56" s="152"/>
      <c r="V56" s="153"/>
      <c r="W56" s="153"/>
      <c r="X56" s="153"/>
      <c r="Y56" s="153"/>
      <c r="Z56" s="153"/>
      <c r="AA56" s="153"/>
      <c r="AB56" s="153"/>
      <c r="AC56" s="153"/>
      <c r="AD56" s="153"/>
      <c r="AE56" s="138"/>
      <c r="AF56" s="136"/>
      <c r="AG56" s="154"/>
    </row>
    <row r="57" spans="1:33">
      <c r="B57" s="20" t="s">
        <v>239</v>
      </c>
      <c r="C57" s="141"/>
      <c r="D57" s="141"/>
      <c r="E57" s="144"/>
      <c r="F57" s="144"/>
      <c r="G57" s="146">
        <v>17.940000000000001</v>
      </c>
      <c r="H57" s="146">
        <f t="shared" ref="H57" si="191">G57</f>
        <v>17.940000000000001</v>
      </c>
      <c r="I57" s="146">
        <v>151.68</v>
      </c>
      <c r="J57" s="146">
        <v>152.22</v>
      </c>
      <c r="K57" s="146">
        <v>152.25</v>
      </c>
      <c r="L57" s="146">
        <v>152.37</v>
      </c>
      <c r="M57" s="146">
        <v>152.97999999999999</v>
      </c>
      <c r="N57" s="146">
        <v>153.43</v>
      </c>
      <c r="O57" s="146">
        <v>154.21</v>
      </c>
      <c r="P57" s="203">
        <v>0</v>
      </c>
      <c r="Q57" s="203">
        <v>0</v>
      </c>
      <c r="R57" s="203">
        <v>0</v>
      </c>
      <c r="S57" s="118">
        <f t="shared" si="23"/>
        <v>-1</v>
      </c>
      <c r="T57" s="31">
        <v>0.02</v>
      </c>
      <c r="U57" s="152">
        <f t="shared" si="2"/>
        <v>0</v>
      </c>
      <c r="V57" s="152">
        <f>U57*(1+$T57)</f>
        <v>0</v>
      </c>
      <c r="W57" s="152">
        <f t="shared" ref="W57:AD57" si="192">V57*(1+$T57)</f>
        <v>0</v>
      </c>
      <c r="X57" s="152">
        <f t="shared" si="192"/>
        <v>0</v>
      </c>
      <c r="Y57" s="152">
        <f t="shared" si="192"/>
        <v>0</v>
      </c>
      <c r="Z57" s="152">
        <f t="shared" si="192"/>
        <v>0</v>
      </c>
      <c r="AA57" s="152">
        <f t="shared" si="192"/>
        <v>0</v>
      </c>
      <c r="AB57" s="152">
        <f t="shared" si="192"/>
        <v>0</v>
      </c>
      <c r="AC57" s="152">
        <f t="shared" si="192"/>
        <v>0</v>
      </c>
      <c r="AD57" s="152">
        <f t="shared" si="192"/>
        <v>0</v>
      </c>
      <c r="AE57" s="137">
        <f t="shared" si="18"/>
        <v>-1</v>
      </c>
      <c r="AF57" s="31">
        <f t="shared" si="16"/>
        <v>0.05</v>
      </c>
      <c r="AG57" s="145">
        <f t="shared" si="1"/>
        <v>0</v>
      </c>
    </row>
    <row r="58" spans="1:33">
      <c r="B58" s="20"/>
      <c r="C58" s="141"/>
      <c r="D58" s="141"/>
      <c r="E58" s="142"/>
      <c r="F58" s="142"/>
      <c r="G58" s="146"/>
      <c r="H58" s="149">
        <f t="shared" ref="H58:R58" si="193">(H57-G57)/G57</f>
        <v>0</v>
      </c>
      <c r="I58" s="149">
        <f t="shared" si="193"/>
        <v>7.4548494983277589</v>
      </c>
      <c r="J58" s="149">
        <f t="shared" si="193"/>
        <v>3.5601265822784284E-3</v>
      </c>
      <c r="K58" s="149">
        <f t="shared" si="193"/>
        <v>1.9708316909736656E-4</v>
      </c>
      <c r="L58" s="149">
        <f t="shared" si="193"/>
        <v>7.881773399015077E-4</v>
      </c>
      <c r="M58" s="149">
        <f t="shared" si="193"/>
        <v>4.0034127452909709E-3</v>
      </c>
      <c r="N58" s="149">
        <f t="shared" si="193"/>
        <v>2.9415609883646039E-3</v>
      </c>
      <c r="O58" s="149">
        <f t="shared" si="193"/>
        <v>5.0837515479371775E-3</v>
      </c>
      <c r="P58" s="149">
        <f t="shared" si="193"/>
        <v>-1</v>
      </c>
      <c r="Q58" s="149" t="e">
        <f t="shared" si="193"/>
        <v>#DIV/0!</v>
      </c>
      <c r="R58" s="149" t="e">
        <f t="shared" si="193"/>
        <v>#DIV/0!</v>
      </c>
      <c r="S58" s="128"/>
      <c r="T58" s="20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38"/>
      <c r="AF58" s="136"/>
      <c r="AG58" s="145"/>
    </row>
    <row r="59" spans="1:33">
      <c r="B59" s="20" t="s">
        <v>282</v>
      </c>
      <c r="C59" s="144"/>
      <c r="D59" s="144"/>
      <c r="E59" s="144"/>
      <c r="F59" s="144"/>
      <c r="G59" s="142">
        <v>8</v>
      </c>
      <c r="H59" s="142">
        <v>1.8</v>
      </c>
      <c r="I59" s="142">
        <v>3.3</v>
      </c>
      <c r="J59" s="142">
        <v>3.5</v>
      </c>
      <c r="K59" s="142">
        <v>2.2000000000000002</v>
      </c>
      <c r="L59" s="227">
        <v>2.4</v>
      </c>
      <c r="M59" s="227">
        <v>2.6</v>
      </c>
      <c r="N59" s="227">
        <v>3.2</v>
      </c>
      <c r="O59" s="227">
        <v>3.6</v>
      </c>
      <c r="P59" s="203">
        <v>0</v>
      </c>
      <c r="Q59" s="203">
        <v>0</v>
      </c>
      <c r="R59" s="203">
        <v>0</v>
      </c>
      <c r="S59" s="118">
        <f t="shared" si="23"/>
        <v>-1</v>
      </c>
      <c r="T59" s="31">
        <f>Q1</f>
        <v>0.05</v>
      </c>
      <c r="U59" s="152">
        <f t="shared" si="2"/>
        <v>0</v>
      </c>
      <c r="V59" s="152">
        <f t="shared" ref="V59" si="194">U59*(1+$T59)</f>
        <v>0</v>
      </c>
      <c r="W59" s="152">
        <f t="shared" ref="W59" si="195">V59*(1+$T59)</f>
        <v>0</v>
      </c>
      <c r="X59" s="152">
        <f t="shared" ref="X59" si="196">W59*(1+$T59)</f>
        <v>0</v>
      </c>
      <c r="Y59" s="152">
        <f t="shared" ref="Y59" si="197">X59*(1+$T59)</f>
        <v>0</v>
      </c>
      <c r="Z59" s="152">
        <f t="shared" ref="Z59" si="198">Y59*(1+$T59)</f>
        <v>0</v>
      </c>
      <c r="AA59" s="152">
        <f t="shared" ref="AA59" si="199">Z59*(1+$T59)</f>
        <v>0</v>
      </c>
      <c r="AB59" s="152">
        <f t="shared" ref="AB59" si="200">AA59*(1+$T59)</f>
        <v>0</v>
      </c>
      <c r="AC59" s="152">
        <f t="shared" ref="AC59" si="201">AB59*(1+$T59)</f>
        <v>0</v>
      </c>
      <c r="AD59" s="152">
        <f t="shared" ref="AD59" si="202">AC59*(1+$T59)</f>
        <v>0</v>
      </c>
      <c r="AE59" s="137">
        <f t="shared" ref="AE59" si="203">((AD59/H59)^(1/($AD$3-$I$1) ))-1</f>
        <v>-1</v>
      </c>
      <c r="AF59" s="31">
        <f t="shared" si="16"/>
        <v>0.05</v>
      </c>
      <c r="AG59" s="145">
        <f t="shared" si="1"/>
        <v>0</v>
      </c>
    </row>
    <row r="60" spans="1:33">
      <c r="B60" s="20"/>
      <c r="C60" s="144"/>
      <c r="D60" s="144"/>
      <c r="E60" s="144"/>
      <c r="F60" s="144"/>
      <c r="G60" s="146"/>
      <c r="H60" s="149">
        <f t="shared" ref="H60:R60" si="204">(H59-G59)/G59</f>
        <v>-0.77500000000000002</v>
      </c>
      <c r="I60" s="149">
        <f t="shared" si="204"/>
        <v>0.83333333333333315</v>
      </c>
      <c r="J60" s="149">
        <f t="shared" si="204"/>
        <v>6.0606060606060663E-2</v>
      </c>
      <c r="K60" s="149">
        <f t="shared" si="204"/>
        <v>-0.37142857142857139</v>
      </c>
      <c r="L60" s="149">
        <f t="shared" si="204"/>
        <v>9.0909090909090787E-2</v>
      </c>
      <c r="M60" s="149">
        <f t="shared" si="204"/>
        <v>8.3333333333333412E-2</v>
      </c>
      <c r="N60" s="149">
        <f t="shared" si="204"/>
        <v>0.23076923076923078</v>
      </c>
      <c r="O60" s="149">
        <f t="shared" si="204"/>
        <v>0.12499999999999997</v>
      </c>
      <c r="P60" s="149">
        <f t="shared" si="204"/>
        <v>-1</v>
      </c>
      <c r="Q60" s="149" t="e">
        <f t="shared" si="204"/>
        <v>#DIV/0!</v>
      </c>
      <c r="R60" s="149" t="e">
        <f t="shared" si="204"/>
        <v>#DIV/0!</v>
      </c>
      <c r="S60" s="128"/>
      <c r="T60" s="20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38"/>
      <c r="AF60" s="136"/>
      <c r="AG60" s="145"/>
    </row>
    <row r="61" spans="1:33">
      <c r="B61" s="20" t="s">
        <v>424</v>
      </c>
      <c r="C61" s="20"/>
      <c r="D61" s="20"/>
      <c r="E61" s="127"/>
      <c r="F61" s="127"/>
      <c r="G61" s="142">
        <v>0</v>
      </c>
      <c r="H61" s="142" t="s">
        <v>496</v>
      </c>
      <c r="I61" s="142">
        <v>0</v>
      </c>
      <c r="J61" s="142">
        <v>0</v>
      </c>
      <c r="K61" s="142">
        <v>0</v>
      </c>
      <c r="L61" s="142">
        <v>0</v>
      </c>
      <c r="M61" s="142">
        <v>0</v>
      </c>
      <c r="N61" s="142">
        <v>0</v>
      </c>
      <c r="O61" s="142">
        <v>0</v>
      </c>
      <c r="P61" s="146">
        <v>0</v>
      </c>
      <c r="Q61" s="146">
        <v>0</v>
      </c>
      <c r="R61" s="146">
        <v>0</v>
      </c>
      <c r="S61" s="146">
        <v>0</v>
      </c>
      <c r="T61" s="128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38"/>
      <c r="AF61" s="136"/>
      <c r="AG61" s="152"/>
    </row>
    <row r="62" spans="1:33">
      <c r="B62" s="20" t="s">
        <v>422</v>
      </c>
      <c r="C62" s="20"/>
      <c r="D62" s="20"/>
      <c r="E62" s="127"/>
      <c r="F62" s="127"/>
      <c r="G62" s="142">
        <v>0</v>
      </c>
      <c r="H62" s="142" t="s">
        <v>497</v>
      </c>
      <c r="I62" s="142">
        <v>0</v>
      </c>
      <c r="J62" s="142">
        <v>0</v>
      </c>
      <c r="K62" s="142">
        <v>0</v>
      </c>
      <c r="L62" s="142">
        <v>0</v>
      </c>
      <c r="M62" s="142">
        <v>0</v>
      </c>
      <c r="N62" s="142">
        <v>0</v>
      </c>
      <c r="O62" s="142">
        <v>0</v>
      </c>
      <c r="P62" s="146">
        <v>0</v>
      </c>
      <c r="Q62" s="146">
        <v>0</v>
      </c>
      <c r="R62" s="146">
        <v>0</v>
      </c>
      <c r="S62" s="146">
        <v>0</v>
      </c>
      <c r="T62" s="128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38"/>
      <c r="AF62" s="136"/>
      <c r="AG62" s="152"/>
    </row>
    <row r="63" spans="1:33">
      <c r="B63" s="20" t="s">
        <v>423</v>
      </c>
      <c r="C63" s="20"/>
      <c r="D63" s="20"/>
      <c r="E63" s="127"/>
      <c r="F63" s="127"/>
      <c r="G63" s="142"/>
      <c r="H63" s="142"/>
      <c r="I63" s="142"/>
      <c r="J63" s="142"/>
      <c r="K63" s="142"/>
      <c r="L63" s="142"/>
      <c r="M63" s="142"/>
      <c r="N63" s="142"/>
      <c r="O63" s="142"/>
      <c r="P63" s="146">
        <v>0</v>
      </c>
      <c r="Q63" s="146">
        <v>0</v>
      </c>
      <c r="R63" s="146">
        <v>0</v>
      </c>
      <c r="S63" s="146">
        <v>0</v>
      </c>
      <c r="T63" s="128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38"/>
      <c r="AF63" s="136"/>
      <c r="AG63" s="152"/>
    </row>
    <row r="64" spans="1:33">
      <c r="B64" s="20"/>
      <c r="C64" s="20"/>
      <c r="D64" s="20"/>
      <c r="E64" s="127"/>
      <c r="F64" s="127"/>
      <c r="G64" s="127"/>
      <c r="H64" s="127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28"/>
      <c r="T64" s="128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38"/>
      <c r="AF64" s="136"/>
      <c r="AG64" s="152"/>
    </row>
    <row r="65" spans="2:33">
      <c r="B65" s="108" t="s">
        <v>243</v>
      </c>
      <c r="C65" s="20"/>
      <c r="D65" s="20"/>
      <c r="E65" s="127"/>
      <c r="F65" s="127"/>
      <c r="G65" s="127"/>
      <c r="H65" s="127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28"/>
      <c r="T65" s="128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38"/>
      <c r="AF65" s="136"/>
      <c r="AG65" s="152"/>
    </row>
    <row r="66" spans="2:33">
      <c r="B66" s="20" t="s">
        <v>302</v>
      </c>
      <c r="C66" s="133"/>
      <c r="D66" s="133"/>
      <c r="E66" s="133"/>
      <c r="F66" s="133"/>
      <c r="G66" s="133"/>
      <c r="H66" s="133">
        <f t="shared" ref="H66:Q66" si="205">H25/H57</f>
        <v>138.74024526198437</v>
      </c>
      <c r="I66" s="133">
        <f t="shared" si="205"/>
        <v>42.510548523206751</v>
      </c>
      <c r="J66" s="133">
        <f t="shared" si="205"/>
        <v>44.626198922612012</v>
      </c>
      <c r="K66" s="133">
        <f t="shared" si="205"/>
        <v>44.249589490968802</v>
      </c>
      <c r="L66" s="133">
        <f t="shared" si="205"/>
        <v>47.345277941852068</v>
      </c>
      <c r="M66" s="133">
        <f t="shared" si="205"/>
        <v>50.241861681265526</v>
      </c>
      <c r="N66" s="133">
        <f t="shared" si="205"/>
        <v>56.944534967085964</v>
      </c>
      <c r="O66" s="133">
        <f t="shared" si="205"/>
        <v>65.268140846897083</v>
      </c>
      <c r="P66" s="133" t="e">
        <f t="shared" si="205"/>
        <v>#DIV/0!</v>
      </c>
      <c r="Q66" s="133" t="e">
        <f t="shared" si="205"/>
        <v>#DIV/0!</v>
      </c>
      <c r="R66" s="133" t="e">
        <f t="shared" ref="R66" si="206">R25/R57</f>
        <v>#DIV/0!</v>
      </c>
      <c r="S66" s="118" t="e">
        <f t="shared" ref="S66:S68" si="207">((R66/G66)^(1/($I$2-$I$1) ))-1</f>
        <v>#DIV/0!</v>
      </c>
      <c r="T66" s="128"/>
      <c r="U66" s="156" t="e">
        <f t="shared" ref="U66:AD66" si="208">U25/U57</f>
        <v>#DIV/0!</v>
      </c>
      <c r="V66" s="156" t="e">
        <f t="shared" si="208"/>
        <v>#DIV/0!</v>
      </c>
      <c r="W66" s="156" t="e">
        <f t="shared" si="208"/>
        <v>#DIV/0!</v>
      </c>
      <c r="X66" s="156" t="e">
        <f t="shared" si="208"/>
        <v>#DIV/0!</v>
      </c>
      <c r="Y66" s="156" t="e">
        <f t="shared" si="208"/>
        <v>#DIV/0!</v>
      </c>
      <c r="Z66" s="156" t="e">
        <f t="shared" si="208"/>
        <v>#DIV/0!</v>
      </c>
      <c r="AA66" s="156" t="e">
        <f t="shared" si="208"/>
        <v>#DIV/0!</v>
      </c>
      <c r="AB66" s="156" t="e">
        <f t="shared" si="208"/>
        <v>#DIV/0!</v>
      </c>
      <c r="AC66" s="156" t="e">
        <f t="shared" si="208"/>
        <v>#DIV/0!</v>
      </c>
      <c r="AD66" s="156" t="e">
        <f t="shared" si="208"/>
        <v>#DIV/0!</v>
      </c>
      <c r="AE66" s="137" t="e">
        <f t="shared" ref="AE66" si="209">((AD66/H66)^(1/($AD$3-$I$1) ))-1</f>
        <v>#DIV/0!</v>
      </c>
      <c r="AF66" s="31">
        <f t="shared" si="16"/>
        <v>0.05</v>
      </c>
      <c r="AG66" s="145" t="e">
        <f t="shared" ref="AG66:AG67" si="210">(AD66*(1+AF66))/($C$1-AF66)</f>
        <v>#DIV/0!</v>
      </c>
    </row>
    <row r="67" spans="2:33">
      <c r="B67" s="20" t="s">
        <v>303</v>
      </c>
      <c r="C67" s="133"/>
      <c r="D67" s="133"/>
      <c r="E67" s="133"/>
      <c r="F67" s="133"/>
      <c r="G67" s="133"/>
      <c r="H67" s="133">
        <f t="shared" ref="H67:Q67" si="211">H27/H57</f>
        <v>99.163879598662206</v>
      </c>
      <c r="I67" s="133">
        <f t="shared" si="211"/>
        <v>27.623945147679322</v>
      </c>
      <c r="J67" s="133">
        <f t="shared" si="211"/>
        <v>18.230193141505715</v>
      </c>
      <c r="K67" s="133">
        <f t="shared" si="211"/>
        <v>29.536945812807883</v>
      </c>
      <c r="L67" s="133">
        <f t="shared" si="211"/>
        <v>33.582726258449824</v>
      </c>
      <c r="M67" s="133">
        <f t="shared" si="211"/>
        <v>36.704144332592499</v>
      </c>
      <c r="N67" s="133">
        <f t="shared" si="211"/>
        <v>42.59923091963762</v>
      </c>
      <c r="O67" s="133">
        <f t="shared" si="211"/>
        <v>48.777640879320401</v>
      </c>
      <c r="P67" s="133" t="e">
        <f t="shared" si="211"/>
        <v>#DIV/0!</v>
      </c>
      <c r="Q67" s="133" t="e">
        <f t="shared" si="211"/>
        <v>#DIV/0!</v>
      </c>
      <c r="R67" s="133" t="e">
        <f t="shared" ref="R67" si="212">R27/R57</f>
        <v>#DIV/0!</v>
      </c>
      <c r="S67" s="118" t="e">
        <f t="shared" si="207"/>
        <v>#DIV/0!</v>
      </c>
      <c r="T67" s="128"/>
      <c r="U67" s="156" t="e">
        <f t="shared" ref="U67:AD67" si="213">U27/U57</f>
        <v>#DIV/0!</v>
      </c>
      <c r="V67" s="156" t="e">
        <f t="shared" si="213"/>
        <v>#DIV/0!</v>
      </c>
      <c r="W67" s="156" t="e">
        <f t="shared" si="213"/>
        <v>#DIV/0!</v>
      </c>
      <c r="X67" s="156" t="e">
        <f t="shared" si="213"/>
        <v>#DIV/0!</v>
      </c>
      <c r="Y67" s="156" t="e">
        <f t="shared" si="213"/>
        <v>#DIV/0!</v>
      </c>
      <c r="Z67" s="156" t="e">
        <f t="shared" si="213"/>
        <v>#DIV/0!</v>
      </c>
      <c r="AA67" s="156" t="e">
        <f t="shared" si="213"/>
        <v>#DIV/0!</v>
      </c>
      <c r="AB67" s="156" t="e">
        <f t="shared" si="213"/>
        <v>#DIV/0!</v>
      </c>
      <c r="AC67" s="156" t="e">
        <f t="shared" si="213"/>
        <v>#DIV/0!</v>
      </c>
      <c r="AD67" s="156" t="e">
        <f t="shared" si="213"/>
        <v>#DIV/0!</v>
      </c>
      <c r="AE67" s="137" t="e">
        <f t="shared" ref="AE67" si="214">((AD67/H67)^(1/($AD$3-$I$1) ))-1</f>
        <v>#DIV/0!</v>
      </c>
      <c r="AF67" s="31">
        <f t="shared" si="16"/>
        <v>0.05</v>
      </c>
      <c r="AG67" s="145" t="e">
        <f t="shared" si="210"/>
        <v>#DIV/0!</v>
      </c>
    </row>
    <row r="68" spans="2:33">
      <c r="B68" s="20" t="s">
        <v>425</v>
      </c>
      <c r="C68" s="133"/>
      <c r="D68" s="133"/>
      <c r="E68" s="133"/>
      <c r="F68" s="133"/>
      <c r="G68" s="133"/>
      <c r="H68" s="133">
        <f>H53-H55</f>
        <v>454</v>
      </c>
      <c r="I68" s="133">
        <f t="shared" ref="I68:Q68" si="215">I53-I55</f>
        <v>339</v>
      </c>
      <c r="J68" s="133">
        <f t="shared" si="215"/>
        <v>943</v>
      </c>
      <c r="K68" s="133">
        <f t="shared" si="215"/>
        <v>557</v>
      </c>
      <c r="L68" s="133">
        <f t="shared" si="215"/>
        <v>559</v>
      </c>
      <c r="M68" s="133">
        <f t="shared" si="215"/>
        <v>372</v>
      </c>
      <c r="N68" s="133">
        <f t="shared" si="215"/>
        <v>474</v>
      </c>
      <c r="O68" s="133">
        <f t="shared" si="215"/>
        <v>604</v>
      </c>
      <c r="P68" s="133">
        <f t="shared" si="215"/>
        <v>0</v>
      </c>
      <c r="Q68" s="133">
        <f t="shared" si="215"/>
        <v>0</v>
      </c>
      <c r="R68" s="133">
        <f t="shared" ref="R68" si="216">R53-R55</f>
        <v>0</v>
      </c>
      <c r="S68" s="118" t="e">
        <f t="shared" si="207"/>
        <v>#DIV/0!</v>
      </c>
      <c r="T68" s="128"/>
      <c r="U68" s="133">
        <f t="shared" ref="U68:AD68" si="217">U53-U55</f>
        <v>0</v>
      </c>
      <c r="V68" s="133">
        <f t="shared" si="217"/>
        <v>0</v>
      </c>
      <c r="W68" s="133">
        <f t="shared" si="217"/>
        <v>0</v>
      </c>
      <c r="X68" s="133">
        <f t="shared" si="217"/>
        <v>0</v>
      </c>
      <c r="Y68" s="133">
        <f t="shared" si="217"/>
        <v>0</v>
      </c>
      <c r="Z68" s="133">
        <f t="shared" si="217"/>
        <v>0</v>
      </c>
      <c r="AA68" s="133">
        <f t="shared" si="217"/>
        <v>0</v>
      </c>
      <c r="AB68" s="133">
        <f t="shared" si="217"/>
        <v>0</v>
      </c>
      <c r="AC68" s="133">
        <f t="shared" si="217"/>
        <v>0</v>
      </c>
      <c r="AD68" s="133">
        <f t="shared" si="217"/>
        <v>0</v>
      </c>
      <c r="AE68" s="137">
        <f t="shared" ref="AE68" si="218">((AD68/H68)^(1/($AD$3-$I$1) ))-1</f>
        <v>-1</v>
      </c>
      <c r="AF68" s="31">
        <f t="shared" si="16"/>
        <v>0.05</v>
      </c>
      <c r="AG68" s="145">
        <f t="shared" ref="AG68" si="219">(AD68*(1+AF68))/($C$1-AF68)</f>
        <v>0</v>
      </c>
    </row>
    <row r="69" spans="2:33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28"/>
      <c r="T69" s="128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19"/>
      <c r="AF69" s="136"/>
      <c r="AG69" s="145"/>
    </row>
    <row r="70" spans="2:33">
      <c r="B70" s="20" t="s">
        <v>460</v>
      </c>
      <c r="C70" s="133"/>
      <c r="D70" s="133"/>
      <c r="E70" s="133"/>
      <c r="F70" s="133"/>
      <c r="G70" s="133"/>
      <c r="H70" s="25">
        <f t="shared" ref="H70:Q70" si="220">H51/H57</f>
        <v>36.231884057971008</v>
      </c>
      <c r="I70" s="25">
        <f t="shared" si="220"/>
        <v>14.253691983122362</v>
      </c>
      <c r="J70" s="25">
        <f t="shared" si="220"/>
        <v>13.447641571409802</v>
      </c>
      <c r="K70" s="25">
        <f t="shared" si="220"/>
        <v>11.770114942528735</v>
      </c>
      <c r="L70" s="25">
        <f t="shared" si="220"/>
        <v>12.574653803242107</v>
      </c>
      <c r="M70" s="25">
        <f t="shared" si="220"/>
        <v>11.831611975421625</v>
      </c>
      <c r="N70" s="25">
        <f t="shared" si="220"/>
        <v>12.885354884963826</v>
      </c>
      <c r="O70" s="25">
        <f t="shared" si="220"/>
        <v>16.036573503663835</v>
      </c>
      <c r="P70" s="25" t="e">
        <f t="shared" si="220"/>
        <v>#DIV/0!</v>
      </c>
      <c r="Q70" s="25" t="e">
        <f t="shared" si="220"/>
        <v>#DIV/0!</v>
      </c>
      <c r="R70" s="25" t="e">
        <f>R51/R57</f>
        <v>#DIV/0!</v>
      </c>
      <c r="S70" s="118" t="e">
        <f t="shared" ref="S70:S102" si="221">((R70/G70)^(1/($I$2-$I$1) ))-1</f>
        <v>#DIV/0!</v>
      </c>
      <c r="T70" s="128"/>
      <c r="U70" s="112" t="e">
        <f>U51/U57</f>
        <v>#DIV/0!</v>
      </c>
      <c r="V70" s="112" t="e">
        <f t="shared" ref="V70:AD70" si="222">V51/V57</f>
        <v>#DIV/0!</v>
      </c>
      <c r="W70" s="112" t="e">
        <f t="shared" si="222"/>
        <v>#DIV/0!</v>
      </c>
      <c r="X70" s="112" t="e">
        <f t="shared" si="222"/>
        <v>#DIV/0!</v>
      </c>
      <c r="Y70" s="112" t="e">
        <f t="shared" si="222"/>
        <v>#DIV/0!</v>
      </c>
      <c r="Z70" s="112" t="e">
        <f t="shared" si="222"/>
        <v>#DIV/0!</v>
      </c>
      <c r="AA70" s="112" t="e">
        <f t="shared" si="222"/>
        <v>#DIV/0!</v>
      </c>
      <c r="AB70" s="112" t="e">
        <f t="shared" si="222"/>
        <v>#DIV/0!</v>
      </c>
      <c r="AC70" s="112" t="e">
        <f t="shared" si="222"/>
        <v>#DIV/0!</v>
      </c>
      <c r="AD70" s="112" t="e">
        <f t="shared" si="222"/>
        <v>#DIV/0!</v>
      </c>
      <c r="AE70" s="137" t="e">
        <f t="shared" ref="AE70:AE71" si="223">((AD70/H70)^(1/($AD$3-$I$1) ))-1</f>
        <v>#DIV/0!</v>
      </c>
      <c r="AF70" s="31">
        <f t="shared" si="16"/>
        <v>0.05</v>
      </c>
      <c r="AG70" s="145" t="e">
        <f t="shared" ref="AG70:AG71" si="224">(AD70*(1+AF70))/($C$1-AF70)</f>
        <v>#DIV/0!</v>
      </c>
    </row>
    <row r="71" spans="2:33">
      <c r="B71" s="20" t="s">
        <v>461</v>
      </c>
      <c r="C71" s="133"/>
      <c r="D71" s="133"/>
      <c r="E71" s="133"/>
      <c r="F71" s="133"/>
      <c r="G71" s="133"/>
      <c r="H71" s="25">
        <f t="shared" ref="H71:Q71" si="225">H53/H57</f>
        <v>25.306577480490521</v>
      </c>
      <c r="I71" s="25">
        <f t="shared" si="225"/>
        <v>12.012130801687762</v>
      </c>
      <c r="J71" s="25">
        <f t="shared" si="225"/>
        <v>17.803179608461438</v>
      </c>
      <c r="K71" s="25">
        <f t="shared" si="225"/>
        <v>12.781609195402298</v>
      </c>
      <c r="L71" s="25">
        <f t="shared" si="225"/>
        <v>11.649274791625647</v>
      </c>
      <c r="M71" s="25">
        <f t="shared" si="225"/>
        <v>10.681134788861289</v>
      </c>
      <c r="N71" s="25">
        <f t="shared" si="225"/>
        <v>11.086488952616827</v>
      </c>
      <c r="O71" s="25">
        <f t="shared" si="225"/>
        <v>12.288437844497762</v>
      </c>
      <c r="P71" s="25" t="e">
        <f t="shared" si="225"/>
        <v>#DIV/0!</v>
      </c>
      <c r="Q71" s="25" t="e">
        <f t="shared" si="225"/>
        <v>#DIV/0!</v>
      </c>
      <c r="R71" s="25" t="e">
        <f>R53/R57</f>
        <v>#DIV/0!</v>
      </c>
      <c r="S71" s="118" t="e">
        <f t="shared" si="221"/>
        <v>#DIV/0!</v>
      </c>
      <c r="T71" s="128"/>
      <c r="U71" s="112" t="e">
        <f>U53/U57</f>
        <v>#DIV/0!</v>
      </c>
      <c r="V71" s="112" t="e">
        <f t="shared" ref="V71:AD71" si="226">V53/V57</f>
        <v>#DIV/0!</v>
      </c>
      <c r="W71" s="112" t="e">
        <f t="shared" si="226"/>
        <v>#DIV/0!</v>
      </c>
      <c r="X71" s="112" t="e">
        <f t="shared" si="226"/>
        <v>#DIV/0!</v>
      </c>
      <c r="Y71" s="112" t="e">
        <f t="shared" si="226"/>
        <v>#DIV/0!</v>
      </c>
      <c r="Z71" s="112" t="e">
        <f t="shared" si="226"/>
        <v>#DIV/0!</v>
      </c>
      <c r="AA71" s="112" t="e">
        <f t="shared" si="226"/>
        <v>#DIV/0!</v>
      </c>
      <c r="AB71" s="112" t="e">
        <f t="shared" si="226"/>
        <v>#DIV/0!</v>
      </c>
      <c r="AC71" s="112" t="e">
        <f t="shared" si="226"/>
        <v>#DIV/0!</v>
      </c>
      <c r="AD71" s="112" t="e">
        <f t="shared" si="226"/>
        <v>#DIV/0!</v>
      </c>
      <c r="AE71" s="137" t="e">
        <f t="shared" si="223"/>
        <v>#DIV/0!</v>
      </c>
      <c r="AF71" s="31">
        <f t="shared" si="16"/>
        <v>0.05</v>
      </c>
      <c r="AG71" s="145" t="e">
        <f t="shared" si="224"/>
        <v>#DIV/0!</v>
      </c>
    </row>
    <row r="72" spans="2:33">
      <c r="B72" s="20" t="s">
        <v>257</v>
      </c>
      <c r="C72" s="25"/>
      <c r="D72" s="25"/>
      <c r="E72" s="25"/>
      <c r="F72" s="25"/>
      <c r="G72" s="133"/>
      <c r="H72" s="133">
        <f t="shared" ref="H72:Q72" si="227">H55/H57</f>
        <v>0</v>
      </c>
      <c r="I72" s="133">
        <f t="shared" si="227"/>
        <v>9.7771624472573837</v>
      </c>
      <c r="J72" s="133">
        <f t="shared" si="227"/>
        <v>11.60819865983445</v>
      </c>
      <c r="K72" s="133">
        <f t="shared" si="227"/>
        <v>9.1231527093596068</v>
      </c>
      <c r="L72" s="133">
        <f t="shared" si="227"/>
        <v>7.9805736037277679</v>
      </c>
      <c r="M72" s="133">
        <f t="shared" si="227"/>
        <v>8.2494443718133095</v>
      </c>
      <c r="N72" s="133">
        <f t="shared" si="227"/>
        <v>7.9971322427165479</v>
      </c>
      <c r="O72" s="133">
        <f t="shared" si="227"/>
        <v>8.3717009273069181</v>
      </c>
      <c r="P72" s="133" t="e">
        <f t="shared" si="227"/>
        <v>#DIV/0!</v>
      </c>
      <c r="Q72" s="133" t="e">
        <f t="shared" si="227"/>
        <v>#DIV/0!</v>
      </c>
      <c r="R72" s="133" t="e">
        <f t="shared" ref="R72" si="228">R55/R57</f>
        <v>#DIV/0!</v>
      </c>
      <c r="S72" s="118" t="e">
        <f t="shared" si="221"/>
        <v>#DIV/0!</v>
      </c>
      <c r="T72" s="128"/>
      <c r="U72" s="156" t="e">
        <f t="shared" ref="U72:AD72" si="229">U55/U57</f>
        <v>#DIV/0!</v>
      </c>
      <c r="V72" s="156" t="e">
        <f t="shared" si="229"/>
        <v>#DIV/0!</v>
      </c>
      <c r="W72" s="156" t="e">
        <f t="shared" si="229"/>
        <v>#DIV/0!</v>
      </c>
      <c r="X72" s="156" t="e">
        <f t="shared" si="229"/>
        <v>#DIV/0!</v>
      </c>
      <c r="Y72" s="156" t="e">
        <f t="shared" si="229"/>
        <v>#DIV/0!</v>
      </c>
      <c r="Z72" s="156" t="e">
        <f t="shared" si="229"/>
        <v>#DIV/0!</v>
      </c>
      <c r="AA72" s="156" t="e">
        <f t="shared" si="229"/>
        <v>#DIV/0!</v>
      </c>
      <c r="AB72" s="156" t="e">
        <f t="shared" si="229"/>
        <v>#DIV/0!</v>
      </c>
      <c r="AC72" s="156" t="e">
        <f t="shared" si="229"/>
        <v>#DIV/0!</v>
      </c>
      <c r="AD72" s="156" t="e">
        <f t="shared" si="229"/>
        <v>#DIV/0!</v>
      </c>
      <c r="AE72" s="137" t="e">
        <f t="shared" ref="AE72:AE86" si="230">((AD72/H72)^(1/($AD$3-$I$1) ))-1</f>
        <v>#DIV/0!</v>
      </c>
      <c r="AF72" s="31">
        <f t="shared" si="16"/>
        <v>0.05</v>
      </c>
      <c r="AG72" s="145" t="e">
        <f t="shared" ref="AG72:AG100" si="231">(AD72*(1+AF72))/($C$1-AF72)</f>
        <v>#DIV/0!</v>
      </c>
    </row>
    <row r="73" spans="2:33">
      <c r="B73" s="20" t="s">
        <v>386</v>
      </c>
      <c r="C73" s="133"/>
      <c r="D73" s="133"/>
      <c r="E73" s="133"/>
      <c r="F73" s="133"/>
      <c r="G73" s="133"/>
      <c r="H73" s="133">
        <f>H20/H57</f>
        <v>30.546265328874021</v>
      </c>
      <c r="I73" s="133">
        <f t="shared" ref="I73:Q73" si="232">I20/I57</f>
        <v>11.840717299578058</v>
      </c>
      <c r="J73" s="133">
        <f t="shared" si="232"/>
        <v>10.235185915122848</v>
      </c>
      <c r="K73" s="133">
        <f t="shared" si="232"/>
        <v>6.3448275862068968</v>
      </c>
      <c r="L73" s="133">
        <f t="shared" si="232"/>
        <v>13.972566778237185</v>
      </c>
      <c r="M73" s="133">
        <f t="shared" si="232"/>
        <v>12.24996731598902</v>
      </c>
      <c r="N73" s="133">
        <f t="shared" si="232"/>
        <v>9.9915270807534373</v>
      </c>
      <c r="O73" s="133">
        <f t="shared" si="232"/>
        <v>12.042020621230789</v>
      </c>
      <c r="P73" s="133" t="e">
        <f t="shared" si="232"/>
        <v>#DIV/0!</v>
      </c>
      <c r="Q73" s="133" t="e">
        <f t="shared" si="232"/>
        <v>#DIV/0!</v>
      </c>
      <c r="R73" s="133" t="e">
        <f t="shared" ref="R73" si="233">R20/R57</f>
        <v>#DIV/0!</v>
      </c>
      <c r="S73" s="118" t="e">
        <f t="shared" si="221"/>
        <v>#DIV/0!</v>
      </c>
      <c r="T73" s="128"/>
      <c r="U73" s="133" t="e">
        <f t="shared" ref="U73:AD73" si="234">U20/U57</f>
        <v>#DIV/0!</v>
      </c>
      <c r="V73" s="133" t="e">
        <f t="shared" si="234"/>
        <v>#DIV/0!</v>
      </c>
      <c r="W73" s="133" t="e">
        <f t="shared" si="234"/>
        <v>#DIV/0!</v>
      </c>
      <c r="X73" s="133" t="e">
        <f t="shared" si="234"/>
        <v>#DIV/0!</v>
      </c>
      <c r="Y73" s="133" t="e">
        <f t="shared" si="234"/>
        <v>#DIV/0!</v>
      </c>
      <c r="Z73" s="133" t="e">
        <f t="shared" si="234"/>
        <v>#DIV/0!</v>
      </c>
      <c r="AA73" s="133" t="e">
        <f t="shared" si="234"/>
        <v>#DIV/0!</v>
      </c>
      <c r="AB73" s="133" t="e">
        <f t="shared" si="234"/>
        <v>#DIV/0!</v>
      </c>
      <c r="AC73" s="133" t="e">
        <f t="shared" si="234"/>
        <v>#DIV/0!</v>
      </c>
      <c r="AD73" s="133" t="e">
        <f t="shared" si="234"/>
        <v>#DIV/0!</v>
      </c>
      <c r="AE73" s="137" t="e">
        <f t="shared" ref="AE73" si="235">((AD73/H73)^(1/($AD$3-$I$1) ))-1</f>
        <v>#DIV/0!</v>
      </c>
      <c r="AF73" s="31">
        <f t="shared" si="16"/>
        <v>0.05</v>
      </c>
      <c r="AG73" s="145" t="e">
        <f t="shared" si="231"/>
        <v>#DIV/0!</v>
      </c>
    </row>
    <row r="74" spans="2:33">
      <c r="B74" s="20" t="s">
        <v>245</v>
      </c>
      <c r="C74" s="25"/>
      <c r="D74" s="25"/>
      <c r="E74" s="25"/>
      <c r="F74" s="25"/>
      <c r="G74" s="133"/>
      <c r="H74" s="133">
        <f t="shared" ref="H74:Q74" si="236">H7/H57</f>
        <v>97.101449275362313</v>
      </c>
      <c r="I74" s="133">
        <f t="shared" si="236"/>
        <v>25.712025316455694</v>
      </c>
      <c r="J74" s="133">
        <f t="shared" si="236"/>
        <v>31.92090395480226</v>
      </c>
      <c r="K74" s="133">
        <f t="shared" si="236"/>
        <v>37.247947454844009</v>
      </c>
      <c r="L74" s="133">
        <f t="shared" si="236"/>
        <v>42.442738071798907</v>
      </c>
      <c r="M74" s="133">
        <f t="shared" si="236"/>
        <v>47.888612890573931</v>
      </c>
      <c r="N74" s="133">
        <f t="shared" si="236"/>
        <v>52.558169849442741</v>
      </c>
      <c r="O74" s="133">
        <f t="shared" si="236"/>
        <v>57.045587186304388</v>
      </c>
      <c r="P74" s="133" t="e">
        <f t="shared" si="236"/>
        <v>#DIV/0!</v>
      </c>
      <c r="Q74" s="133" t="e">
        <f t="shared" si="236"/>
        <v>#DIV/0!</v>
      </c>
      <c r="R74" s="133" t="e">
        <f t="shared" ref="R74" si="237">R7/R57</f>
        <v>#DIV/0!</v>
      </c>
      <c r="S74" s="118" t="e">
        <f t="shared" si="221"/>
        <v>#DIV/0!</v>
      </c>
      <c r="T74" s="128"/>
      <c r="U74" s="156" t="e">
        <f t="shared" ref="U74:AD74" si="238">U7/U57</f>
        <v>#DIV/0!</v>
      </c>
      <c r="V74" s="156" t="e">
        <f t="shared" si="238"/>
        <v>#DIV/0!</v>
      </c>
      <c r="W74" s="156" t="e">
        <f t="shared" si="238"/>
        <v>#DIV/0!</v>
      </c>
      <c r="X74" s="156" t="e">
        <f t="shared" si="238"/>
        <v>#DIV/0!</v>
      </c>
      <c r="Y74" s="156" t="e">
        <f t="shared" si="238"/>
        <v>#DIV/0!</v>
      </c>
      <c r="Z74" s="156" t="e">
        <f t="shared" si="238"/>
        <v>#DIV/0!</v>
      </c>
      <c r="AA74" s="156" t="e">
        <f t="shared" si="238"/>
        <v>#DIV/0!</v>
      </c>
      <c r="AB74" s="156" t="e">
        <f t="shared" si="238"/>
        <v>#DIV/0!</v>
      </c>
      <c r="AC74" s="156" t="e">
        <f t="shared" si="238"/>
        <v>#DIV/0!</v>
      </c>
      <c r="AD74" s="156" t="e">
        <f t="shared" si="238"/>
        <v>#DIV/0!</v>
      </c>
      <c r="AE74" s="137" t="e">
        <f t="shared" si="230"/>
        <v>#DIV/0!</v>
      </c>
      <c r="AF74" s="31">
        <f t="shared" si="16"/>
        <v>0.05</v>
      </c>
      <c r="AG74" s="145" t="e">
        <f t="shared" si="231"/>
        <v>#DIV/0!</v>
      </c>
    </row>
    <row r="75" spans="2:33">
      <c r="B75" s="20" t="s">
        <v>246</v>
      </c>
      <c r="C75" s="127"/>
      <c r="D75" s="127"/>
      <c r="E75" s="127"/>
      <c r="F75" s="127"/>
      <c r="G75" s="143"/>
      <c r="H75" s="143">
        <f t="shared" ref="H75:Q75" si="239">H6/H57</f>
        <v>87.123745819397982</v>
      </c>
      <c r="I75" s="143">
        <f t="shared" si="239"/>
        <v>23.701213080168774</v>
      </c>
      <c r="J75" s="143">
        <f t="shared" si="239"/>
        <v>29.917225068979111</v>
      </c>
      <c r="K75" s="143">
        <f t="shared" si="239"/>
        <v>35.244663382594418</v>
      </c>
      <c r="L75" s="143">
        <f t="shared" si="239"/>
        <v>40.441031699153378</v>
      </c>
      <c r="M75" s="143">
        <f t="shared" si="239"/>
        <v>45.881814616289716</v>
      </c>
      <c r="N75" s="143">
        <f t="shared" si="239"/>
        <v>50.557257381216189</v>
      </c>
      <c r="O75" s="143">
        <f t="shared" si="239"/>
        <v>55.04182608131768</v>
      </c>
      <c r="P75" s="143" t="e">
        <f t="shared" si="239"/>
        <v>#DIV/0!</v>
      </c>
      <c r="Q75" s="143" t="e">
        <f t="shared" si="239"/>
        <v>#DIV/0!</v>
      </c>
      <c r="R75" s="143" t="e">
        <f t="shared" ref="R75" si="240">R6/R57</f>
        <v>#DIV/0!</v>
      </c>
      <c r="S75" s="118" t="e">
        <f t="shared" si="221"/>
        <v>#DIV/0!</v>
      </c>
      <c r="T75" s="128"/>
      <c r="U75" s="155" t="e">
        <f t="shared" ref="U75:AD75" si="241">U6/U57</f>
        <v>#DIV/0!</v>
      </c>
      <c r="V75" s="155" t="e">
        <f t="shared" si="241"/>
        <v>#DIV/0!</v>
      </c>
      <c r="W75" s="155" t="e">
        <f t="shared" si="241"/>
        <v>#DIV/0!</v>
      </c>
      <c r="X75" s="155" t="e">
        <f t="shared" si="241"/>
        <v>#DIV/0!</v>
      </c>
      <c r="Y75" s="155" t="e">
        <f t="shared" si="241"/>
        <v>#DIV/0!</v>
      </c>
      <c r="Z75" s="155" t="e">
        <f t="shared" si="241"/>
        <v>#DIV/0!</v>
      </c>
      <c r="AA75" s="155" t="e">
        <f t="shared" si="241"/>
        <v>#DIV/0!</v>
      </c>
      <c r="AB75" s="155" t="e">
        <f t="shared" si="241"/>
        <v>#DIV/0!</v>
      </c>
      <c r="AC75" s="155" t="e">
        <f t="shared" si="241"/>
        <v>#DIV/0!</v>
      </c>
      <c r="AD75" s="155" t="e">
        <f t="shared" si="241"/>
        <v>#DIV/0!</v>
      </c>
      <c r="AE75" s="137" t="e">
        <f t="shared" si="230"/>
        <v>#DIV/0!</v>
      </c>
      <c r="AF75" s="31">
        <f t="shared" si="16"/>
        <v>0.05</v>
      </c>
      <c r="AG75" s="145" t="e">
        <f t="shared" si="231"/>
        <v>#DIV/0!</v>
      </c>
    </row>
    <row r="76" spans="2:33">
      <c r="B76" s="20" t="s">
        <v>247</v>
      </c>
      <c r="C76" s="127"/>
      <c r="D76" s="127"/>
      <c r="E76" s="127"/>
      <c r="F76" s="127"/>
      <c r="G76" s="143"/>
      <c r="H76" s="143">
        <f t="shared" ref="H76:Q76" si="242">H10/H57</f>
        <v>80.267558528428083</v>
      </c>
      <c r="I76" s="143">
        <f t="shared" si="242"/>
        <v>5.702795358649789</v>
      </c>
      <c r="J76" s="143">
        <f t="shared" si="242"/>
        <v>2.2204703718302459</v>
      </c>
      <c r="K76" s="143">
        <f t="shared" si="242"/>
        <v>1.8850574712643677</v>
      </c>
      <c r="L76" s="143">
        <f t="shared" si="242"/>
        <v>1.0894533044562578</v>
      </c>
      <c r="M76" s="143">
        <f t="shared" si="242"/>
        <v>0.42489214276375997</v>
      </c>
      <c r="N76" s="143">
        <f t="shared" si="242"/>
        <v>0.37802255100045623</v>
      </c>
      <c r="O76" s="143">
        <f t="shared" si="242"/>
        <v>0.31774852473899229</v>
      </c>
      <c r="P76" s="143" t="e">
        <f t="shared" si="242"/>
        <v>#DIV/0!</v>
      </c>
      <c r="Q76" s="143" t="e">
        <f t="shared" si="242"/>
        <v>#DIV/0!</v>
      </c>
      <c r="R76" s="143" t="e">
        <f t="shared" ref="R76" si="243">R10/R57</f>
        <v>#DIV/0!</v>
      </c>
      <c r="S76" s="118" t="e">
        <f t="shared" si="221"/>
        <v>#DIV/0!</v>
      </c>
      <c r="T76" s="128"/>
      <c r="U76" s="155" t="e">
        <f t="shared" ref="U76:AD76" si="244">U10/U57</f>
        <v>#DIV/0!</v>
      </c>
      <c r="V76" s="155" t="e">
        <f t="shared" si="244"/>
        <v>#DIV/0!</v>
      </c>
      <c r="W76" s="155" t="e">
        <f t="shared" si="244"/>
        <v>#DIV/0!</v>
      </c>
      <c r="X76" s="155" t="e">
        <f t="shared" si="244"/>
        <v>#DIV/0!</v>
      </c>
      <c r="Y76" s="155" t="e">
        <f t="shared" si="244"/>
        <v>#DIV/0!</v>
      </c>
      <c r="Z76" s="155" t="e">
        <f t="shared" si="244"/>
        <v>#DIV/0!</v>
      </c>
      <c r="AA76" s="155" t="e">
        <f t="shared" si="244"/>
        <v>#DIV/0!</v>
      </c>
      <c r="AB76" s="155" t="e">
        <f t="shared" si="244"/>
        <v>#DIV/0!</v>
      </c>
      <c r="AC76" s="155" t="e">
        <f t="shared" si="244"/>
        <v>#DIV/0!</v>
      </c>
      <c r="AD76" s="155" t="e">
        <f t="shared" si="244"/>
        <v>#DIV/0!</v>
      </c>
      <c r="AE76" s="137" t="e">
        <f t="shared" si="230"/>
        <v>#DIV/0!</v>
      </c>
      <c r="AF76" s="31">
        <f t="shared" si="16"/>
        <v>0.05</v>
      </c>
      <c r="AG76" s="145" t="e">
        <f t="shared" si="231"/>
        <v>#DIV/0!</v>
      </c>
    </row>
    <row r="77" spans="2:33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28"/>
      <c r="T77" s="128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38"/>
      <c r="AF77" s="136"/>
      <c r="AG77" s="145"/>
    </row>
    <row r="78" spans="2:33">
      <c r="B78" s="20" t="s">
        <v>270</v>
      </c>
      <c r="C78" s="127"/>
      <c r="D78" s="127"/>
      <c r="E78" s="127"/>
      <c r="F78" s="127"/>
      <c r="G78" s="143"/>
      <c r="H78" s="143">
        <f t="shared" ref="H78:Q78" si="245">(H7-H10)/H57</f>
        <v>16.833890746934223</v>
      </c>
      <c r="I78" s="143">
        <f t="shared" si="245"/>
        <v>20.009229957805907</v>
      </c>
      <c r="J78" s="143">
        <f t="shared" si="245"/>
        <v>29.700433582972014</v>
      </c>
      <c r="K78" s="143">
        <f t="shared" si="245"/>
        <v>35.362889983579642</v>
      </c>
      <c r="L78" s="143">
        <f t="shared" si="245"/>
        <v>41.35328476734265</v>
      </c>
      <c r="M78" s="143">
        <f t="shared" si="245"/>
        <v>47.463720747810171</v>
      </c>
      <c r="N78" s="143">
        <f t="shared" si="245"/>
        <v>52.180147298442286</v>
      </c>
      <c r="O78" s="143">
        <f t="shared" si="245"/>
        <v>56.727838661565393</v>
      </c>
      <c r="P78" s="143" t="e">
        <f t="shared" si="245"/>
        <v>#DIV/0!</v>
      </c>
      <c r="Q78" s="143" t="e">
        <f t="shared" si="245"/>
        <v>#DIV/0!</v>
      </c>
      <c r="R78" s="143" t="e">
        <f t="shared" ref="R78" si="246">(R7-R10)/R57</f>
        <v>#DIV/0!</v>
      </c>
      <c r="S78" s="118" t="e">
        <f t="shared" si="221"/>
        <v>#DIV/0!</v>
      </c>
      <c r="T78" s="128"/>
      <c r="U78" s="155" t="e">
        <f t="shared" ref="U78:AD78" si="247">(U7-U10)/U57</f>
        <v>#DIV/0!</v>
      </c>
      <c r="V78" s="155" t="e">
        <f t="shared" si="247"/>
        <v>#DIV/0!</v>
      </c>
      <c r="W78" s="155" t="e">
        <f t="shared" si="247"/>
        <v>#DIV/0!</v>
      </c>
      <c r="X78" s="155" t="e">
        <f t="shared" si="247"/>
        <v>#DIV/0!</v>
      </c>
      <c r="Y78" s="155" t="e">
        <f t="shared" si="247"/>
        <v>#DIV/0!</v>
      </c>
      <c r="Z78" s="155" t="e">
        <f t="shared" si="247"/>
        <v>#DIV/0!</v>
      </c>
      <c r="AA78" s="155" t="e">
        <f t="shared" si="247"/>
        <v>#DIV/0!</v>
      </c>
      <c r="AB78" s="155" t="e">
        <f t="shared" si="247"/>
        <v>#DIV/0!</v>
      </c>
      <c r="AC78" s="155" t="e">
        <f t="shared" si="247"/>
        <v>#DIV/0!</v>
      </c>
      <c r="AD78" s="155" t="e">
        <f t="shared" si="247"/>
        <v>#DIV/0!</v>
      </c>
      <c r="AE78" s="137" t="e">
        <f t="shared" si="230"/>
        <v>#DIV/0!</v>
      </c>
      <c r="AF78" s="31">
        <f t="shared" si="16"/>
        <v>0.05</v>
      </c>
      <c r="AG78" s="145" t="e">
        <f t="shared" si="231"/>
        <v>#DIV/0!</v>
      </c>
    </row>
    <row r="79" spans="2:33">
      <c r="B79" s="20" t="s">
        <v>271</v>
      </c>
      <c r="C79" s="127"/>
      <c r="D79" s="127"/>
      <c r="E79" s="127"/>
      <c r="F79" s="127"/>
      <c r="G79" s="143"/>
      <c r="H79" s="143">
        <f t="shared" ref="H79:Q79" si="248">(H7-H10-H9)/H57</f>
        <v>-26.309921962095874</v>
      </c>
      <c r="I79" s="143">
        <f t="shared" si="248"/>
        <v>13.950421940928269</v>
      </c>
      <c r="J79" s="143">
        <f t="shared" si="248"/>
        <v>22.763106030744975</v>
      </c>
      <c r="K79" s="143">
        <f t="shared" si="248"/>
        <v>34.417077175697862</v>
      </c>
      <c r="L79" s="143">
        <f t="shared" si="248"/>
        <v>30.95753757301306</v>
      </c>
      <c r="M79" s="143">
        <f t="shared" si="248"/>
        <v>35.069943783501117</v>
      </c>
      <c r="N79" s="143">
        <f t="shared" si="248"/>
        <v>37.456820699993479</v>
      </c>
      <c r="O79" s="143">
        <f t="shared" si="248"/>
        <v>42.682056935347902</v>
      </c>
      <c r="P79" s="143" t="e">
        <f t="shared" si="248"/>
        <v>#DIV/0!</v>
      </c>
      <c r="Q79" s="143" t="e">
        <f t="shared" si="248"/>
        <v>#DIV/0!</v>
      </c>
      <c r="R79" s="143" t="e">
        <f t="shared" ref="R79" si="249">(R7-R10-R9)/R57</f>
        <v>#DIV/0!</v>
      </c>
      <c r="S79" s="118" t="e">
        <f t="shared" si="221"/>
        <v>#DIV/0!</v>
      </c>
      <c r="T79" s="128"/>
      <c r="U79" s="155" t="e">
        <f t="shared" ref="U79:AD79" si="250">(U7-U10-U9)/U57</f>
        <v>#DIV/0!</v>
      </c>
      <c r="V79" s="155" t="e">
        <f t="shared" si="250"/>
        <v>#DIV/0!</v>
      </c>
      <c r="W79" s="155" t="e">
        <f t="shared" si="250"/>
        <v>#DIV/0!</v>
      </c>
      <c r="X79" s="155" t="e">
        <f t="shared" si="250"/>
        <v>#DIV/0!</v>
      </c>
      <c r="Y79" s="155" t="e">
        <f t="shared" si="250"/>
        <v>#DIV/0!</v>
      </c>
      <c r="Z79" s="155" t="e">
        <f t="shared" si="250"/>
        <v>#DIV/0!</v>
      </c>
      <c r="AA79" s="155" t="e">
        <f t="shared" si="250"/>
        <v>#DIV/0!</v>
      </c>
      <c r="AB79" s="155" t="e">
        <f t="shared" si="250"/>
        <v>#DIV/0!</v>
      </c>
      <c r="AC79" s="155" t="e">
        <f t="shared" si="250"/>
        <v>#DIV/0!</v>
      </c>
      <c r="AD79" s="155" t="e">
        <f t="shared" si="250"/>
        <v>#DIV/0!</v>
      </c>
      <c r="AE79" s="137" t="e">
        <f t="shared" si="230"/>
        <v>#DIV/0!</v>
      </c>
      <c r="AF79" s="31">
        <f t="shared" si="16"/>
        <v>0.05</v>
      </c>
      <c r="AG79" s="145" t="e">
        <f t="shared" si="231"/>
        <v>#DIV/0!</v>
      </c>
    </row>
    <row r="80" spans="2:33">
      <c r="B80" s="20" t="s">
        <v>276</v>
      </c>
      <c r="C80" s="127"/>
      <c r="D80" s="127"/>
      <c r="E80" s="127"/>
      <c r="F80" s="127"/>
      <c r="G80" s="143"/>
      <c r="H80" s="143">
        <f t="shared" ref="H80:Q80" si="251">(H7+H15-H10-H9)/H57</f>
        <v>6.465997770345596</v>
      </c>
      <c r="I80" s="143">
        <f t="shared" si="251"/>
        <v>18.380801687763711</v>
      </c>
      <c r="J80" s="143">
        <f t="shared" si="251"/>
        <v>28.261726448561294</v>
      </c>
      <c r="K80" s="143">
        <f t="shared" si="251"/>
        <v>42.876847290640391</v>
      </c>
      <c r="L80" s="143">
        <f t="shared" si="251"/>
        <v>37.205486644352561</v>
      </c>
      <c r="M80" s="143">
        <f t="shared" si="251"/>
        <v>43.097136880637997</v>
      </c>
      <c r="N80" s="143">
        <f t="shared" si="251"/>
        <v>58.626083556019026</v>
      </c>
      <c r="O80" s="143">
        <f t="shared" si="251"/>
        <v>65.164386226574152</v>
      </c>
      <c r="P80" s="143" t="e">
        <f t="shared" si="251"/>
        <v>#DIV/0!</v>
      </c>
      <c r="Q80" s="143" t="e">
        <f t="shared" si="251"/>
        <v>#DIV/0!</v>
      </c>
      <c r="R80" s="143" t="e">
        <f t="shared" ref="R80" si="252">(R7+R15-R10-R9)/R57</f>
        <v>#DIV/0!</v>
      </c>
      <c r="S80" s="118" t="e">
        <f t="shared" si="221"/>
        <v>#DIV/0!</v>
      </c>
      <c r="T80" s="128"/>
      <c r="U80" s="155" t="e">
        <f t="shared" ref="U80:AD80" si="253">(U7+U15-U10-U9)/U57</f>
        <v>#DIV/0!</v>
      </c>
      <c r="V80" s="155" t="e">
        <f t="shared" si="253"/>
        <v>#DIV/0!</v>
      </c>
      <c r="W80" s="155" t="e">
        <f t="shared" si="253"/>
        <v>#DIV/0!</v>
      </c>
      <c r="X80" s="155" t="e">
        <f t="shared" si="253"/>
        <v>#DIV/0!</v>
      </c>
      <c r="Y80" s="155" t="e">
        <f t="shared" si="253"/>
        <v>#DIV/0!</v>
      </c>
      <c r="Z80" s="155" t="e">
        <f t="shared" si="253"/>
        <v>#DIV/0!</v>
      </c>
      <c r="AA80" s="155" t="e">
        <f t="shared" si="253"/>
        <v>#DIV/0!</v>
      </c>
      <c r="AB80" s="155" t="e">
        <f t="shared" si="253"/>
        <v>#DIV/0!</v>
      </c>
      <c r="AC80" s="155" t="e">
        <f t="shared" si="253"/>
        <v>#DIV/0!</v>
      </c>
      <c r="AD80" s="155" t="e">
        <f t="shared" si="253"/>
        <v>#DIV/0!</v>
      </c>
      <c r="AE80" s="137" t="e">
        <f t="shared" si="230"/>
        <v>#DIV/0!</v>
      </c>
      <c r="AF80" s="31">
        <f t="shared" si="16"/>
        <v>0.05</v>
      </c>
      <c r="AG80" s="145" t="e">
        <f t="shared" si="231"/>
        <v>#DIV/0!</v>
      </c>
    </row>
    <row r="81" spans="2:33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28"/>
      <c r="T81" s="128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38"/>
      <c r="AF81" s="136"/>
      <c r="AG81" s="152"/>
    </row>
    <row r="82" spans="2:33">
      <c r="B82" s="20" t="s">
        <v>248</v>
      </c>
      <c r="C82" s="127"/>
      <c r="D82" s="127"/>
      <c r="E82" s="127"/>
      <c r="F82" s="127"/>
      <c r="G82" s="143"/>
      <c r="H82" s="143">
        <f t="shared" ref="H82:Q82" si="254">H12/H57</f>
        <v>7.4693422519509474</v>
      </c>
      <c r="I82" s="143">
        <f t="shared" si="254"/>
        <v>2.4986814345991561</v>
      </c>
      <c r="J82" s="143">
        <f t="shared" si="254"/>
        <v>4.2832742083826041</v>
      </c>
      <c r="K82" s="143">
        <f t="shared" si="254"/>
        <v>5.5960591133004929</v>
      </c>
      <c r="L82" s="143">
        <f t="shared" si="254"/>
        <v>5.7819780796744764</v>
      </c>
      <c r="M82" s="143">
        <f t="shared" si="254"/>
        <v>11.419793437050595</v>
      </c>
      <c r="N82" s="143">
        <f t="shared" si="254"/>
        <v>13.511047383171478</v>
      </c>
      <c r="O82" s="143">
        <f t="shared" si="254"/>
        <v>14.655340120614746</v>
      </c>
      <c r="P82" s="143" t="e">
        <f t="shared" si="254"/>
        <v>#DIV/0!</v>
      </c>
      <c r="Q82" s="143" t="e">
        <f t="shared" si="254"/>
        <v>#DIV/0!</v>
      </c>
      <c r="R82" s="143" t="e">
        <f t="shared" ref="R82" si="255">R12/R57</f>
        <v>#DIV/0!</v>
      </c>
      <c r="S82" s="118" t="e">
        <f t="shared" si="221"/>
        <v>#DIV/0!</v>
      </c>
      <c r="T82" s="128"/>
      <c r="U82" s="155" t="e">
        <f t="shared" ref="U82:AD82" si="256">U12/U57</f>
        <v>#DIV/0!</v>
      </c>
      <c r="V82" s="155" t="e">
        <f t="shared" si="256"/>
        <v>#DIV/0!</v>
      </c>
      <c r="W82" s="155" t="e">
        <f t="shared" si="256"/>
        <v>#DIV/0!</v>
      </c>
      <c r="X82" s="155" t="e">
        <f t="shared" si="256"/>
        <v>#DIV/0!</v>
      </c>
      <c r="Y82" s="155" t="e">
        <f t="shared" si="256"/>
        <v>#DIV/0!</v>
      </c>
      <c r="Z82" s="155" t="e">
        <f t="shared" si="256"/>
        <v>#DIV/0!</v>
      </c>
      <c r="AA82" s="155" t="e">
        <f t="shared" si="256"/>
        <v>#DIV/0!</v>
      </c>
      <c r="AB82" s="155" t="e">
        <f t="shared" si="256"/>
        <v>#DIV/0!</v>
      </c>
      <c r="AC82" s="155" t="e">
        <f t="shared" si="256"/>
        <v>#DIV/0!</v>
      </c>
      <c r="AD82" s="155" t="e">
        <f t="shared" si="256"/>
        <v>#DIV/0!</v>
      </c>
      <c r="AE82" s="137" t="e">
        <f t="shared" si="230"/>
        <v>#DIV/0!</v>
      </c>
      <c r="AF82" s="31">
        <f t="shared" si="16"/>
        <v>0.05</v>
      </c>
      <c r="AG82" s="145" t="e">
        <f t="shared" si="231"/>
        <v>#DIV/0!</v>
      </c>
    </row>
    <row r="83" spans="2:33">
      <c r="B83" s="20" t="s">
        <v>255</v>
      </c>
      <c r="C83" s="127"/>
      <c r="D83" s="127"/>
      <c r="E83" s="127"/>
      <c r="F83" s="127"/>
      <c r="G83" s="143"/>
      <c r="H83" s="143">
        <f t="shared" ref="H83:Q83" si="257">H13/H57</f>
        <v>60.479375696766994</v>
      </c>
      <c r="I83" s="143">
        <f t="shared" si="257"/>
        <v>10.087025316455696</v>
      </c>
      <c r="J83" s="143">
        <f t="shared" si="257"/>
        <v>9.7227696754697153</v>
      </c>
      <c r="K83" s="143">
        <f t="shared" si="257"/>
        <v>2.1477832512315271</v>
      </c>
      <c r="L83" s="143">
        <f t="shared" si="257"/>
        <v>4.7384655772133621</v>
      </c>
      <c r="M83" s="143">
        <f t="shared" si="257"/>
        <v>4.0593541639429995</v>
      </c>
      <c r="N83" s="143">
        <f t="shared" si="257"/>
        <v>5.2532099328684092</v>
      </c>
      <c r="O83" s="143">
        <f t="shared" si="257"/>
        <v>10.245768756889955</v>
      </c>
      <c r="P83" s="143" t="e">
        <f t="shared" si="257"/>
        <v>#DIV/0!</v>
      </c>
      <c r="Q83" s="143" t="e">
        <f t="shared" si="257"/>
        <v>#DIV/0!</v>
      </c>
      <c r="R83" s="143" t="e">
        <f t="shared" ref="R83" si="258">R13/R57</f>
        <v>#DIV/0!</v>
      </c>
      <c r="S83" s="118" t="e">
        <f t="shared" si="221"/>
        <v>#DIV/0!</v>
      </c>
      <c r="T83" s="128"/>
      <c r="U83" s="155" t="e">
        <f t="shared" ref="U83:AD83" si="259">U13/U57</f>
        <v>#DIV/0!</v>
      </c>
      <c r="V83" s="155" t="e">
        <f t="shared" si="259"/>
        <v>#DIV/0!</v>
      </c>
      <c r="W83" s="155" t="e">
        <f t="shared" si="259"/>
        <v>#DIV/0!</v>
      </c>
      <c r="X83" s="155" t="e">
        <f t="shared" si="259"/>
        <v>#DIV/0!</v>
      </c>
      <c r="Y83" s="155" t="e">
        <f t="shared" si="259"/>
        <v>#DIV/0!</v>
      </c>
      <c r="Z83" s="155" t="e">
        <f t="shared" si="259"/>
        <v>#DIV/0!</v>
      </c>
      <c r="AA83" s="155" t="e">
        <f t="shared" si="259"/>
        <v>#DIV/0!</v>
      </c>
      <c r="AB83" s="155" t="e">
        <f t="shared" si="259"/>
        <v>#DIV/0!</v>
      </c>
      <c r="AC83" s="155" t="e">
        <f t="shared" si="259"/>
        <v>#DIV/0!</v>
      </c>
      <c r="AD83" s="155" t="e">
        <f t="shared" si="259"/>
        <v>#DIV/0!</v>
      </c>
      <c r="AE83" s="137" t="e">
        <f t="shared" si="230"/>
        <v>#DIV/0!</v>
      </c>
      <c r="AF83" s="31">
        <f t="shared" si="16"/>
        <v>0.05</v>
      </c>
      <c r="AG83" s="145" t="e">
        <f t="shared" si="231"/>
        <v>#DIV/0!</v>
      </c>
    </row>
    <row r="84" spans="2:33">
      <c r="B84" s="20" t="s">
        <v>256</v>
      </c>
      <c r="C84" s="127"/>
      <c r="D84" s="127"/>
      <c r="E84" s="127"/>
      <c r="F84" s="127"/>
      <c r="G84" s="143"/>
      <c r="H84" s="143">
        <f t="shared" ref="H84:Q84" si="260">(H82+H83)</f>
        <v>67.948717948717942</v>
      </c>
      <c r="I84" s="143">
        <f t="shared" si="260"/>
        <v>12.585706751054852</v>
      </c>
      <c r="J84" s="143">
        <f t="shared" si="260"/>
        <v>14.006043883852319</v>
      </c>
      <c r="K84" s="143">
        <f t="shared" si="260"/>
        <v>7.7438423645320196</v>
      </c>
      <c r="L84" s="143">
        <f t="shared" si="260"/>
        <v>10.520443656887839</v>
      </c>
      <c r="M84" s="143">
        <f t="shared" si="260"/>
        <v>15.479147600993596</v>
      </c>
      <c r="N84" s="143">
        <f t="shared" si="260"/>
        <v>18.764257316039888</v>
      </c>
      <c r="O84" s="143">
        <f t="shared" si="260"/>
        <v>24.901108877504701</v>
      </c>
      <c r="P84" s="143" t="e">
        <f t="shared" ref="P84" si="261">(P82+P83)</f>
        <v>#DIV/0!</v>
      </c>
      <c r="Q84" s="143" t="e">
        <f t="shared" si="260"/>
        <v>#DIV/0!</v>
      </c>
      <c r="R84" s="143" t="e">
        <f t="shared" ref="R84" si="262">(R82+R83)</f>
        <v>#DIV/0!</v>
      </c>
      <c r="S84" s="118" t="e">
        <f t="shared" si="221"/>
        <v>#DIV/0!</v>
      </c>
      <c r="T84" s="128"/>
      <c r="U84" s="155" t="e">
        <f t="shared" ref="U84:AD84" si="263">(U82+U83)</f>
        <v>#DIV/0!</v>
      </c>
      <c r="V84" s="155" t="e">
        <f t="shared" si="263"/>
        <v>#DIV/0!</v>
      </c>
      <c r="W84" s="155" t="e">
        <f t="shared" si="263"/>
        <v>#DIV/0!</v>
      </c>
      <c r="X84" s="155" t="e">
        <f t="shared" si="263"/>
        <v>#DIV/0!</v>
      </c>
      <c r="Y84" s="155" t="e">
        <f t="shared" si="263"/>
        <v>#DIV/0!</v>
      </c>
      <c r="Z84" s="155" t="e">
        <f t="shared" si="263"/>
        <v>#DIV/0!</v>
      </c>
      <c r="AA84" s="155" t="e">
        <f t="shared" si="263"/>
        <v>#DIV/0!</v>
      </c>
      <c r="AB84" s="155" t="e">
        <f t="shared" si="263"/>
        <v>#DIV/0!</v>
      </c>
      <c r="AC84" s="155" t="e">
        <f t="shared" si="263"/>
        <v>#DIV/0!</v>
      </c>
      <c r="AD84" s="155" t="e">
        <f t="shared" si="263"/>
        <v>#DIV/0!</v>
      </c>
      <c r="AE84" s="137" t="e">
        <f t="shared" si="230"/>
        <v>#DIV/0!</v>
      </c>
      <c r="AF84" s="31">
        <f t="shared" si="16"/>
        <v>0.05</v>
      </c>
      <c r="AG84" s="145" t="e">
        <f t="shared" si="231"/>
        <v>#DIV/0!</v>
      </c>
    </row>
    <row r="85" spans="2:33">
      <c r="B85" s="20" t="s">
        <v>249</v>
      </c>
      <c r="C85" s="127"/>
      <c r="D85" s="127"/>
      <c r="E85" s="127"/>
      <c r="F85" s="127"/>
      <c r="G85" s="143"/>
      <c r="H85" s="143">
        <f t="shared" ref="H85:Q85" si="264">H15/H57</f>
        <v>32.775919732441466</v>
      </c>
      <c r="I85" s="143">
        <f t="shared" si="264"/>
        <v>4.4303797468354427</v>
      </c>
      <c r="J85" s="143">
        <f t="shared" si="264"/>
        <v>5.4986204178163183</v>
      </c>
      <c r="K85" s="143">
        <f t="shared" si="264"/>
        <v>8.4597701149425291</v>
      </c>
      <c r="L85" s="143">
        <f t="shared" si="264"/>
        <v>6.2479490713395025</v>
      </c>
      <c r="M85" s="143">
        <f t="shared" si="264"/>
        <v>8.0271930971368803</v>
      </c>
      <c r="N85" s="143">
        <f t="shared" si="264"/>
        <v>21.169262856025547</v>
      </c>
      <c r="O85" s="143">
        <f t="shared" si="264"/>
        <v>22.48232929122625</v>
      </c>
      <c r="P85" s="143" t="e">
        <f t="shared" si="264"/>
        <v>#DIV/0!</v>
      </c>
      <c r="Q85" s="143" t="e">
        <f t="shared" si="264"/>
        <v>#DIV/0!</v>
      </c>
      <c r="R85" s="143" t="e">
        <f t="shared" ref="R85" si="265">R15/R57</f>
        <v>#DIV/0!</v>
      </c>
      <c r="S85" s="118" t="e">
        <f t="shared" si="221"/>
        <v>#DIV/0!</v>
      </c>
      <c r="T85" s="128"/>
      <c r="U85" s="155" t="e">
        <f t="shared" ref="U85:AD85" si="266">U15/U57</f>
        <v>#DIV/0!</v>
      </c>
      <c r="V85" s="155" t="e">
        <f t="shared" si="266"/>
        <v>#DIV/0!</v>
      </c>
      <c r="W85" s="155" t="e">
        <f t="shared" si="266"/>
        <v>#DIV/0!</v>
      </c>
      <c r="X85" s="155" t="e">
        <f t="shared" si="266"/>
        <v>#DIV/0!</v>
      </c>
      <c r="Y85" s="155" t="e">
        <f t="shared" si="266"/>
        <v>#DIV/0!</v>
      </c>
      <c r="Z85" s="155" t="e">
        <f t="shared" si="266"/>
        <v>#DIV/0!</v>
      </c>
      <c r="AA85" s="155" t="e">
        <f t="shared" si="266"/>
        <v>#DIV/0!</v>
      </c>
      <c r="AB85" s="155" t="e">
        <f t="shared" si="266"/>
        <v>#DIV/0!</v>
      </c>
      <c r="AC85" s="155" t="e">
        <f t="shared" si="266"/>
        <v>#DIV/0!</v>
      </c>
      <c r="AD85" s="155" t="e">
        <f t="shared" si="266"/>
        <v>#DIV/0!</v>
      </c>
      <c r="AE85" s="137" t="e">
        <f t="shared" si="230"/>
        <v>#DIV/0!</v>
      </c>
      <c r="AF85" s="31">
        <f t="shared" si="16"/>
        <v>0.05</v>
      </c>
      <c r="AG85" s="145" t="e">
        <f t="shared" si="231"/>
        <v>#DIV/0!</v>
      </c>
    </row>
    <row r="86" spans="2:33">
      <c r="B86" s="20" t="s">
        <v>250</v>
      </c>
      <c r="C86" s="127"/>
      <c r="D86" s="127"/>
      <c r="E86" s="127"/>
      <c r="F86" s="127"/>
      <c r="G86" s="143"/>
      <c r="H86" s="143">
        <f t="shared" ref="H86:Q86" si="267">H16/H57</f>
        <v>-6.6332218506131548</v>
      </c>
      <c r="I86" s="143">
        <f t="shared" si="267"/>
        <v>0.59335443037974678</v>
      </c>
      <c r="J86" s="143">
        <f t="shared" si="267"/>
        <v>0.24306924188674287</v>
      </c>
      <c r="K86" s="143">
        <f t="shared" si="267"/>
        <v>3.1724137931034484</v>
      </c>
      <c r="L86" s="143">
        <f t="shared" si="267"/>
        <v>-1.6407429283979786</v>
      </c>
      <c r="M86" s="143">
        <f t="shared" si="267"/>
        <v>1.3531180546476664</v>
      </c>
      <c r="N86" s="143">
        <f t="shared" si="267"/>
        <v>3.6889786873492798</v>
      </c>
      <c r="O86" s="143">
        <f t="shared" si="267"/>
        <v>5.135853705985344</v>
      </c>
      <c r="P86" s="143" t="e">
        <f t="shared" si="267"/>
        <v>#DIV/0!</v>
      </c>
      <c r="Q86" s="143" t="e">
        <f t="shared" si="267"/>
        <v>#DIV/0!</v>
      </c>
      <c r="R86" s="143" t="e">
        <f t="shared" ref="R86" si="268">R16/R57</f>
        <v>#DIV/0!</v>
      </c>
      <c r="S86" s="118" t="e">
        <f t="shared" si="221"/>
        <v>#DIV/0!</v>
      </c>
      <c r="T86" s="128"/>
      <c r="U86" s="155" t="e">
        <f t="shared" ref="U86:AD86" si="269">U16/U57</f>
        <v>#DIV/0!</v>
      </c>
      <c r="V86" s="155" t="e">
        <f t="shared" si="269"/>
        <v>#DIV/0!</v>
      </c>
      <c r="W86" s="155" t="e">
        <f t="shared" si="269"/>
        <v>#DIV/0!</v>
      </c>
      <c r="X86" s="155" t="e">
        <f t="shared" si="269"/>
        <v>#DIV/0!</v>
      </c>
      <c r="Y86" s="155" t="e">
        <f t="shared" si="269"/>
        <v>#DIV/0!</v>
      </c>
      <c r="Z86" s="155" t="e">
        <f t="shared" si="269"/>
        <v>#DIV/0!</v>
      </c>
      <c r="AA86" s="155" t="e">
        <f t="shared" si="269"/>
        <v>#DIV/0!</v>
      </c>
      <c r="AB86" s="155" t="e">
        <f t="shared" si="269"/>
        <v>#DIV/0!</v>
      </c>
      <c r="AC86" s="155" t="e">
        <f t="shared" si="269"/>
        <v>#DIV/0!</v>
      </c>
      <c r="AD86" s="155" t="e">
        <f t="shared" si="269"/>
        <v>#DIV/0!</v>
      </c>
      <c r="AE86" s="137" t="e">
        <f t="shared" si="230"/>
        <v>#DIV/0!</v>
      </c>
      <c r="AF86" s="136"/>
      <c r="AG86" s="145" t="e">
        <f t="shared" si="231"/>
        <v>#DIV/0!</v>
      </c>
    </row>
    <row r="87" spans="2:33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28"/>
      <c r="T87" s="128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38"/>
      <c r="AF87" s="31">
        <f t="shared" si="16"/>
        <v>0.05</v>
      </c>
      <c r="AG87" s="145">
        <f t="shared" si="231"/>
        <v>0</v>
      </c>
    </row>
    <row r="88" spans="2:33">
      <c r="B88" s="20" t="s">
        <v>282</v>
      </c>
      <c r="C88" s="157"/>
      <c r="D88" s="157"/>
      <c r="E88" s="157"/>
      <c r="F88" s="157"/>
      <c r="G88" s="157"/>
      <c r="H88" s="157">
        <f t="shared" ref="H88:Q88" si="270">H59</f>
        <v>1.8</v>
      </c>
      <c r="I88" s="157">
        <f t="shared" si="270"/>
        <v>3.3</v>
      </c>
      <c r="J88" s="157">
        <f t="shared" si="270"/>
        <v>3.5</v>
      </c>
      <c r="K88" s="157">
        <f t="shared" si="270"/>
        <v>2.2000000000000002</v>
      </c>
      <c r="L88" s="157">
        <f t="shared" si="270"/>
        <v>2.4</v>
      </c>
      <c r="M88" s="157">
        <f t="shared" si="270"/>
        <v>2.6</v>
      </c>
      <c r="N88" s="157">
        <f t="shared" si="270"/>
        <v>3.2</v>
      </c>
      <c r="O88" s="157">
        <f t="shared" si="270"/>
        <v>3.6</v>
      </c>
      <c r="P88" s="157">
        <f t="shared" si="270"/>
        <v>0</v>
      </c>
      <c r="Q88" s="157">
        <f t="shared" si="270"/>
        <v>0</v>
      </c>
      <c r="R88" s="157">
        <f t="shared" ref="R88" si="271">R59</f>
        <v>0</v>
      </c>
      <c r="S88" s="118" t="e">
        <f t="shared" si="221"/>
        <v>#DIV/0!</v>
      </c>
      <c r="T88" s="128"/>
      <c r="U88" s="157">
        <f t="shared" ref="U88:AD88" si="272">U59</f>
        <v>0</v>
      </c>
      <c r="V88" s="157">
        <f t="shared" si="272"/>
        <v>0</v>
      </c>
      <c r="W88" s="157">
        <f t="shared" si="272"/>
        <v>0</v>
      </c>
      <c r="X88" s="157">
        <f t="shared" si="272"/>
        <v>0</v>
      </c>
      <c r="Y88" s="157">
        <f t="shared" si="272"/>
        <v>0</v>
      </c>
      <c r="Z88" s="157">
        <f t="shared" si="272"/>
        <v>0</v>
      </c>
      <c r="AA88" s="157">
        <f t="shared" si="272"/>
        <v>0</v>
      </c>
      <c r="AB88" s="157">
        <f t="shared" si="272"/>
        <v>0</v>
      </c>
      <c r="AC88" s="157">
        <f t="shared" si="272"/>
        <v>0</v>
      </c>
      <c r="AD88" s="157">
        <f t="shared" si="272"/>
        <v>0</v>
      </c>
      <c r="AE88" s="137">
        <f t="shared" ref="AE88" si="273">((AD88/H88)^(1/($AD$3-$I$1) ))-1</f>
        <v>-1</v>
      </c>
      <c r="AF88" s="31">
        <f t="shared" si="16"/>
        <v>0.05</v>
      </c>
      <c r="AG88" s="145">
        <f t="shared" si="231"/>
        <v>0</v>
      </c>
    </row>
    <row r="89" spans="2:33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28"/>
      <c r="T89" s="128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38"/>
      <c r="AF89" s="136"/>
      <c r="AG89" s="152"/>
    </row>
    <row r="90" spans="2:33">
      <c r="B90" s="20" t="s">
        <v>315</v>
      </c>
      <c r="C90" s="127"/>
      <c r="D90" s="127"/>
      <c r="E90" s="127"/>
      <c r="F90" s="127"/>
      <c r="G90" s="143"/>
      <c r="H90" s="143">
        <f t="shared" ref="H90:Q90" si="274">H20+H21</f>
        <v>295</v>
      </c>
      <c r="I90" s="143">
        <f t="shared" si="274"/>
        <v>1169</v>
      </c>
      <c r="J90" s="143">
        <f t="shared" si="274"/>
        <v>1396</v>
      </c>
      <c r="K90" s="143">
        <f t="shared" si="274"/>
        <v>691</v>
      </c>
      <c r="L90" s="143">
        <f t="shared" si="274"/>
        <v>933</v>
      </c>
      <c r="M90" s="143">
        <f t="shared" si="274"/>
        <v>1347</v>
      </c>
      <c r="N90" s="143">
        <f t="shared" si="274"/>
        <v>1085</v>
      </c>
      <c r="O90" s="143">
        <f t="shared" si="274"/>
        <v>1465</v>
      </c>
      <c r="P90" s="143">
        <f t="shared" si="274"/>
        <v>0</v>
      </c>
      <c r="Q90" s="143">
        <f t="shared" si="274"/>
        <v>0</v>
      </c>
      <c r="R90" s="143">
        <f t="shared" ref="R90" si="275">R20+R21</f>
        <v>0</v>
      </c>
      <c r="S90" s="118" t="e">
        <f t="shared" si="221"/>
        <v>#DIV/0!</v>
      </c>
      <c r="T90" s="128"/>
      <c r="U90" s="143">
        <f t="shared" ref="U90:AD90" si="276">U20+U21</f>
        <v>0</v>
      </c>
      <c r="V90" s="143">
        <f t="shared" si="276"/>
        <v>0</v>
      </c>
      <c r="W90" s="143">
        <f t="shared" si="276"/>
        <v>0</v>
      </c>
      <c r="X90" s="143">
        <f t="shared" si="276"/>
        <v>0</v>
      </c>
      <c r="Y90" s="143">
        <f t="shared" si="276"/>
        <v>0</v>
      </c>
      <c r="Z90" s="143">
        <f t="shared" si="276"/>
        <v>0</v>
      </c>
      <c r="AA90" s="143">
        <f t="shared" si="276"/>
        <v>0</v>
      </c>
      <c r="AB90" s="143">
        <f t="shared" si="276"/>
        <v>0</v>
      </c>
      <c r="AC90" s="143">
        <f t="shared" si="276"/>
        <v>0</v>
      </c>
      <c r="AD90" s="143">
        <f t="shared" si="276"/>
        <v>0</v>
      </c>
      <c r="AE90" s="137">
        <f t="shared" ref="AE90:AE95" si="277">((AD90/H90)^(1/($AD$3-$I$1) ))-1</f>
        <v>-1</v>
      </c>
      <c r="AF90" s="31">
        <f t="shared" si="16"/>
        <v>0.05</v>
      </c>
      <c r="AG90" s="145">
        <f t="shared" si="231"/>
        <v>0</v>
      </c>
    </row>
    <row r="91" spans="2:33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28"/>
      <c r="T91" s="128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38"/>
      <c r="AF91" s="136"/>
      <c r="AG91" s="145"/>
    </row>
    <row r="92" spans="2:33">
      <c r="B92" s="20" t="s">
        <v>316</v>
      </c>
      <c r="C92" s="127"/>
      <c r="D92" s="127"/>
      <c r="E92" s="127"/>
      <c r="F92" s="127"/>
      <c r="G92" s="143"/>
      <c r="H92" s="143">
        <f t="shared" ref="H92:Q92" si="278">H90/H57</f>
        <v>16.443701226309919</v>
      </c>
      <c r="I92" s="143">
        <f t="shared" si="278"/>
        <v>7.7070147679324892</v>
      </c>
      <c r="J92" s="143">
        <f t="shared" si="278"/>
        <v>9.1709368019971098</v>
      </c>
      <c r="K92" s="143">
        <f t="shared" si="278"/>
        <v>4.5385878489326767</v>
      </c>
      <c r="L92" s="143">
        <f t="shared" si="278"/>
        <v>6.1232526087812555</v>
      </c>
      <c r="M92" s="143">
        <f t="shared" si="278"/>
        <v>8.8050725585043796</v>
      </c>
      <c r="N92" s="143">
        <f t="shared" si="278"/>
        <v>7.0716287557843964</v>
      </c>
      <c r="O92" s="143">
        <f t="shared" si="278"/>
        <v>9.5000324233188511</v>
      </c>
      <c r="P92" s="143" t="e">
        <f t="shared" si="278"/>
        <v>#DIV/0!</v>
      </c>
      <c r="Q92" s="143" t="e">
        <f t="shared" si="278"/>
        <v>#DIV/0!</v>
      </c>
      <c r="R92" s="143" t="e">
        <f t="shared" ref="R92" si="279">R90/R57</f>
        <v>#DIV/0!</v>
      </c>
      <c r="S92" s="118" t="e">
        <f t="shared" si="221"/>
        <v>#DIV/0!</v>
      </c>
      <c r="T92" s="128"/>
      <c r="U92" s="145" t="e">
        <f t="shared" ref="U92:AD92" si="280">U90/U57</f>
        <v>#DIV/0!</v>
      </c>
      <c r="V92" s="145" t="e">
        <f t="shared" si="280"/>
        <v>#DIV/0!</v>
      </c>
      <c r="W92" s="145" t="e">
        <f t="shared" si="280"/>
        <v>#DIV/0!</v>
      </c>
      <c r="X92" s="145" t="e">
        <f t="shared" si="280"/>
        <v>#DIV/0!</v>
      </c>
      <c r="Y92" s="145" t="e">
        <f t="shared" si="280"/>
        <v>#DIV/0!</v>
      </c>
      <c r="Z92" s="145" t="e">
        <f t="shared" si="280"/>
        <v>#DIV/0!</v>
      </c>
      <c r="AA92" s="145" t="e">
        <f t="shared" si="280"/>
        <v>#DIV/0!</v>
      </c>
      <c r="AB92" s="145" t="e">
        <f t="shared" si="280"/>
        <v>#DIV/0!</v>
      </c>
      <c r="AC92" s="145" t="e">
        <f t="shared" si="280"/>
        <v>#DIV/0!</v>
      </c>
      <c r="AD92" s="145" t="e">
        <f t="shared" si="280"/>
        <v>#DIV/0!</v>
      </c>
      <c r="AE92" s="137" t="e">
        <f t="shared" si="277"/>
        <v>#DIV/0!</v>
      </c>
      <c r="AF92" s="31">
        <f t="shared" si="16"/>
        <v>0.05</v>
      </c>
      <c r="AG92" s="145" t="e">
        <f t="shared" si="231"/>
        <v>#DIV/0!</v>
      </c>
    </row>
    <row r="93" spans="2:33">
      <c r="B93" s="20" t="s">
        <v>286</v>
      </c>
      <c r="C93" s="127"/>
      <c r="D93" s="127"/>
      <c r="E93" s="127"/>
      <c r="F93" s="127"/>
      <c r="G93" s="143"/>
      <c r="H93" s="143">
        <f t="shared" ref="H93:Q93" si="281">H20/H57</f>
        <v>30.546265328874021</v>
      </c>
      <c r="I93" s="143">
        <f t="shared" si="281"/>
        <v>11.840717299578058</v>
      </c>
      <c r="J93" s="143">
        <f t="shared" si="281"/>
        <v>10.235185915122848</v>
      </c>
      <c r="K93" s="143">
        <f t="shared" si="281"/>
        <v>6.3448275862068968</v>
      </c>
      <c r="L93" s="143">
        <f t="shared" si="281"/>
        <v>13.972566778237185</v>
      </c>
      <c r="M93" s="143">
        <f t="shared" si="281"/>
        <v>12.24996731598902</v>
      </c>
      <c r="N93" s="143">
        <f t="shared" si="281"/>
        <v>9.9915270807534373</v>
      </c>
      <c r="O93" s="143">
        <f t="shared" si="281"/>
        <v>12.042020621230789</v>
      </c>
      <c r="P93" s="143" t="e">
        <f t="shared" si="281"/>
        <v>#DIV/0!</v>
      </c>
      <c r="Q93" s="143" t="e">
        <f t="shared" si="281"/>
        <v>#DIV/0!</v>
      </c>
      <c r="R93" s="143" t="e">
        <f t="shared" ref="R93" si="282">R20/R57</f>
        <v>#DIV/0!</v>
      </c>
      <c r="S93" s="118" t="e">
        <f t="shared" si="221"/>
        <v>#DIV/0!</v>
      </c>
      <c r="T93" s="128"/>
      <c r="U93" s="145" t="e">
        <f t="shared" ref="U93:AD93" si="283">U20/U57</f>
        <v>#DIV/0!</v>
      </c>
      <c r="V93" s="145" t="e">
        <f t="shared" si="283"/>
        <v>#DIV/0!</v>
      </c>
      <c r="W93" s="145" t="e">
        <f t="shared" si="283"/>
        <v>#DIV/0!</v>
      </c>
      <c r="X93" s="145" t="e">
        <f t="shared" si="283"/>
        <v>#DIV/0!</v>
      </c>
      <c r="Y93" s="145" t="e">
        <f t="shared" si="283"/>
        <v>#DIV/0!</v>
      </c>
      <c r="Z93" s="145" t="e">
        <f t="shared" si="283"/>
        <v>#DIV/0!</v>
      </c>
      <c r="AA93" s="145" t="e">
        <f t="shared" si="283"/>
        <v>#DIV/0!</v>
      </c>
      <c r="AB93" s="145" t="e">
        <f t="shared" si="283"/>
        <v>#DIV/0!</v>
      </c>
      <c r="AC93" s="145" t="e">
        <f t="shared" si="283"/>
        <v>#DIV/0!</v>
      </c>
      <c r="AD93" s="145" t="e">
        <f t="shared" si="283"/>
        <v>#DIV/0!</v>
      </c>
      <c r="AE93" s="137" t="e">
        <f t="shared" si="277"/>
        <v>#DIV/0!</v>
      </c>
      <c r="AF93" s="31">
        <f t="shared" si="16"/>
        <v>0.05</v>
      </c>
      <c r="AG93" s="145" t="e">
        <f t="shared" si="231"/>
        <v>#DIV/0!</v>
      </c>
    </row>
    <row r="94" spans="2:33">
      <c r="B94" s="20" t="s">
        <v>287</v>
      </c>
      <c r="C94" s="127"/>
      <c r="D94" s="127"/>
      <c r="E94" s="127"/>
      <c r="F94" s="127"/>
      <c r="G94" s="143"/>
      <c r="H94" s="143">
        <f t="shared" ref="H94:Q94" si="284">H21/H57</f>
        <v>-14.102564102564102</v>
      </c>
      <c r="I94" s="143">
        <f t="shared" si="284"/>
        <v>-4.1337025316455698</v>
      </c>
      <c r="J94" s="143">
        <f t="shared" si="284"/>
        <v>-1.064249113125739</v>
      </c>
      <c r="K94" s="143">
        <f t="shared" si="284"/>
        <v>-1.80623973727422</v>
      </c>
      <c r="L94" s="143">
        <f t="shared" si="284"/>
        <v>-7.849314169455929</v>
      </c>
      <c r="M94" s="143">
        <f t="shared" si="284"/>
        <v>-3.4448947574846387</v>
      </c>
      <c r="N94" s="143">
        <f t="shared" si="284"/>
        <v>-2.9198983249690413</v>
      </c>
      <c r="O94" s="143">
        <f t="shared" si="284"/>
        <v>-2.5419881979119383</v>
      </c>
      <c r="P94" s="143" t="e">
        <f t="shared" si="284"/>
        <v>#DIV/0!</v>
      </c>
      <c r="Q94" s="143" t="e">
        <f t="shared" si="284"/>
        <v>#DIV/0!</v>
      </c>
      <c r="R94" s="143" t="e">
        <f t="shared" ref="R94" si="285">R21/R57</f>
        <v>#DIV/0!</v>
      </c>
      <c r="S94" s="118" t="e">
        <f t="shared" si="221"/>
        <v>#DIV/0!</v>
      </c>
      <c r="T94" s="128"/>
      <c r="U94" s="145" t="e">
        <f t="shared" ref="U94:AD94" si="286">U21/U57</f>
        <v>#DIV/0!</v>
      </c>
      <c r="V94" s="145" t="e">
        <f t="shared" si="286"/>
        <v>#DIV/0!</v>
      </c>
      <c r="W94" s="145" t="e">
        <f t="shared" si="286"/>
        <v>#DIV/0!</v>
      </c>
      <c r="X94" s="145" t="e">
        <f t="shared" si="286"/>
        <v>#DIV/0!</v>
      </c>
      <c r="Y94" s="145" t="e">
        <f t="shared" si="286"/>
        <v>#DIV/0!</v>
      </c>
      <c r="Z94" s="145" t="e">
        <f t="shared" si="286"/>
        <v>#DIV/0!</v>
      </c>
      <c r="AA94" s="145" t="e">
        <f t="shared" si="286"/>
        <v>#DIV/0!</v>
      </c>
      <c r="AB94" s="145" t="e">
        <f t="shared" si="286"/>
        <v>#DIV/0!</v>
      </c>
      <c r="AC94" s="145" t="e">
        <f t="shared" si="286"/>
        <v>#DIV/0!</v>
      </c>
      <c r="AD94" s="145" t="e">
        <f t="shared" si="286"/>
        <v>#DIV/0!</v>
      </c>
      <c r="AE94" s="137" t="e">
        <f t="shared" si="277"/>
        <v>#DIV/0!</v>
      </c>
      <c r="AF94" s="31">
        <f t="shared" si="16"/>
        <v>0.05</v>
      </c>
      <c r="AG94" s="145" t="e">
        <f t="shared" si="231"/>
        <v>#DIV/0!</v>
      </c>
    </row>
    <row r="95" spans="2:33">
      <c r="B95" s="20" t="s">
        <v>288</v>
      </c>
      <c r="C95" s="127"/>
      <c r="D95" s="127"/>
      <c r="E95" s="127"/>
      <c r="F95" s="127"/>
      <c r="G95" s="143"/>
      <c r="H95" s="143">
        <f t="shared" ref="H95:Q95" si="287">H22/H57</f>
        <v>-15.44035674470457</v>
      </c>
      <c r="I95" s="143">
        <f t="shared" si="287"/>
        <v>-5.8544303797468356</v>
      </c>
      <c r="J95" s="143">
        <f t="shared" si="287"/>
        <v>-7.3840494021810539</v>
      </c>
      <c r="K95" s="143">
        <f t="shared" si="287"/>
        <v>-3.1658456486042694</v>
      </c>
      <c r="L95" s="143">
        <f t="shared" si="287"/>
        <v>-3.0649077902474238</v>
      </c>
      <c r="M95" s="143">
        <f t="shared" si="287"/>
        <v>-3.0919074388808996</v>
      </c>
      <c r="N95" s="143">
        <f t="shared" si="287"/>
        <v>-3.0958743400899431</v>
      </c>
      <c r="O95" s="143">
        <f t="shared" si="287"/>
        <v>-3.2682705401724919</v>
      </c>
      <c r="P95" s="143" t="e">
        <f t="shared" si="287"/>
        <v>#DIV/0!</v>
      </c>
      <c r="Q95" s="143" t="e">
        <f t="shared" si="287"/>
        <v>#DIV/0!</v>
      </c>
      <c r="R95" s="143" t="e">
        <f t="shared" ref="R95" si="288">R22/R57</f>
        <v>#DIV/0!</v>
      </c>
      <c r="S95" s="118" t="e">
        <f t="shared" si="221"/>
        <v>#DIV/0!</v>
      </c>
      <c r="T95" s="128"/>
      <c r="U95" s="145" t="e">
        <f t="shared" ref="U95:AD95" si="289">U22/U57</f>
        <v>#DIV/0!</v>
      </c>
      <c r="V95" s="145" t="e">
        <f t="shared" si="289"/>
        <v>#DIV/0!</v>
      </c>
      <c r="W95" s="145" t="e">
        <f t="shared" si="289"/>
        <v>#DIV/0!</v>
      </c>
      <c r="X95" s="145" t="e">
        <f t="shared" si="289"/>
        <v>#DIV/0!</v>
      </c>
      <c r="Y95" s="145" t="e">
        <f t="shared" si="289"/>
        <v>#DIV/0!</v>
      </c>
      <c r="Z95" s="145" t="e">
        <f t="shared" si="289"/>
        <v>#DIV/0!</v>
      </c>
      <c r="AA95" s="145" t="e">
        <f t="shared" si="289"/>
        <v>#DIV/0!</v>
      </c>
      <c r="AB95" s="145" t="e">
        <f t="shared" si="289"/>
        <v>#DIV/0!</v>
      </c>
      <c r="AC95" s="145" t="e">
        <f t="shared" si="289"/>
        <v>#DIV/0!</v>
      </c>
      <c r="AD95" s="145" t="e">
        <f t="shared" si="289"/>
        <v>#DIV/0!</v>
      </c>
      <c r="AE95" s="137" t="e">
        <f t="shared" si="277"/>
        <v>#DIV/0!</v>
      </c>
      <c r="AF95" s="31">
        <f t="shared" si="16"/>
        <v>0.05</v>
      </c>
      <c r="AG95" s="145" t="e">
        <f t="shared" si="231"/>
        <v>#DIV/0!</v>
      </c>
    </row>
    <row r="96" spans="2:33">
      <c r="B96" s="20" t="s">
        <v>295</v>
      </c>
      <c r="C96" s="127"/>
      <c r="D96" s="127"/>
      <c r="E96" s="127"/>
      <c r="F96" s="127"/>
      <c r="G96" s="143"/>
      <c r="H96" s="143">
        <f t="shared" ref="H96:Q96" si="290">H23/H57</f>
        <v>4.7937569676700109</v>
      </c>
      <c r="I96" s="143">
        <f t="shared" si="290"/>
        <v>2.4920886075949364</v>
      </c>
      <c r="J96" s="143">
        <f t="shared" si="290"/>
        <v>4.2767047694126923</v>
      </c>
      <c r="K96" s="143">
        <f t="shared" si="290"/>
        <v>5.5960591133004929</v>
      </c>
      <c r="L96" s="143">
        <f t="shared" si="290"/>
        <v>9.2866049747325583</v>
      </c>
      <c r="M96" s="143">
        <f t="shared" si="290"/>
        <v>14.956203425284352</v>
      </c>
      <c r="N96" s="143">
        <f t="shared" si="290"/>
        <v>18.894609919833147</v>
      </c>
      <c r="O96" s="143">
        <f t="shared" si="290"/>
        <v>25.024317489138188</v>
      </c>
      <c r="P96" s="143" t="e">
        <f t="shared" si="290"/>
        <v>#DIV/0!</v>
      </c>
      <c r="Q96" s="143" t="e">
        <f t="shared" si="290"/>
        <v>#DIV/0!</v>
      </c>
      <c r="R96" s="143" t="e">
        <f t="shared" ref="R96" si="291">R23/R57</f>
        <v>#DIV/0!</v>
      </c>
      <c r="S96" s="118" t="e">
        <f t="shared" si="221"/>
        <v>#DIV/0!</v>
      </c>
      <c r="T96" s="128"/>
      <c r="U96" s="145" t="e">
        <f t="shared" ref="U96:AD96" si="292">U23/U57</f>
        <v>#DIV/0!</v>
      </c>
      <c r="V96" s="145" t="e">
        <f t="shared" si="292"/>
        <v>#DIV/0!</v>
      </c>
      <c r="W96" s="145" t="e">
        <f t="shared" si="292"/>
        <v>#DIV/0!</v>
      </c>
      <c r="X96" s="145" t="e">
        <f t="shared" si="292"/>
        <v>#DIV/0!</v>
      </c>
      <c r="Y96" s="145" t="e">
        <f t="shared" si="292"/>
        <v>#DIV/0!</v>
      </c>
      <c r="Z96" s="145" t="e">
        <f t="shared" si="292"/>
        <v>#DIV/0!</v>
      </c>
      <c r="AA96" s="145" t="e">
        <f t="shared" si="292"/>
        <v>#DIV/0!</v>
      </c>
      <c r="AB96" s="145" t="e">
        <f t="shared" si="292"/>
        <v>#DIV/0!</v>
      </c>
      <c r="AC96" s="145" t="e">
        <f t="shared" si="292"/>
        <v>#DIV/0!</v>
      </c>
      <c r="AD96" s="145" t="e">
        <f t="shared" si="292"/>
        <v>#DIV/0!</v>
      </c>
      <c r="AE96" s="137" t="e">
        <f t="shared" ref="AE96" si="293">((AD96/H96)^(1/($AD$3-$I$1) ))-1</f>
        <v>#DIV/0!</v>
      </c>
      <c r="AF96" s="31">
        <f t="shared" si="16"/>
        <v>0.05</v>
      </c>
      <c r="AG96" s="145" t="e">
        <f t="shared" si="231"/>
        <v>#DIV/0!</v>
      </c>
    </row>
    <row r="97" spans="2:33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28"/>
      <c r="T97" s="128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38"/>
      <c r="AF97" s="136"/>
      <c r="AG97" s="152"/>
    </row>
    <row r="98" spans="2:33">
      <c r="B98" s="20" t="s">
        <v>310</v>
      </c>
      <c r="C98" s="143"/>
      <c r="D98" s="143"/>
      <c r="E98" s="143"/>
      <c r="F98" s="143"/>
      <c r="G98" s="143"/>
      <c r="H98" s="143">
        <f t="shared" ref="H98:Q98" si="294">H51/H57</f>
        <v>36.231884057971008</v>
      </c>
      <c r="I98" s="143">
        <f t="shared" si="294"/>
        <v>14.253691983122362</v>
      </c>
      <c r="J98" s="143">
        <f t="shared" si="294"/>
        <v>13.447641571409802</v>
      </c>
      <c r="K98" s="143">
        <f t="shared" si="294"/>
        <v>11.770114942528735</v>
      </c>
      <c r="L98" s="143">
        <f t="shared" si="294"/>
        <v>12.574653803242107</v>
      </c>
      <c r="M98" s="143">
        <f t="shared" si="294"/>
        <v>11.831611975421625</v>
      </c>
      <c r="N98" s="143">
        <f t="shared" si="294"/>
        <v>12.885354884963826</v>
      </c>
      <c r="O98" s="143">
        <f t="shared" si="294"/>
        <v>16.036573503663835</v>
      </c>
      <c r="P98" s="143" t="e">
        <f t="shared" si="294"/>
        <v>#DIV/0!</v>
      </c>
      <c r="Q98" s="143" t="e">
        <f t="shared" si="294"/>
        <v>#DIV/0!</v>
      </c>
      <c r="R98" s="143" t="e">
        <f t="shared" ref="R98" si="295">R51/R57</f>
        <v>#DIV/0!</v>
      </c>
      <c r="S98" s="118" t="e">
        <f t="shared" si="221"/>
        <v>#DIV/0!</v>
      </c>
      <c r="T98" s="128"/>
      <c r="U98" s="143" t="e">
        <f t="shared" ref="U98:AD98" si="296">U51/U57</f>
        <v>#DIV/0!</v>
      </c>
      <c r="V98" s="143" t="e">
        <f t="shared" si="296"/>
        <v>#DIV/0!</v>
      </c>
      <c r="W98" s="143" t="e">
        <f t="shared" si="296"/>
        <v>#DIV/0!</v>
      </c>
      <c r="X98" s="143" t="e">
        <f t="shared" si="296"/>
        <v>#DIV/0!</v>
      </c>
      <c r="Y98" s="143" t="e">
        <f t="shared" si="296"/>
        <v>#DIV/0!</v>
      </c>
      <c r="Z98" s="143" t="e">
        <f t="shared" si="296"/>
        <v>#DIV/0!</v>
      </c>
      <c r="AA98" s="143" t="e">
        <f t="shared" si="296"/>
        <v>#DIV/0!</v>
      </c>
      <c r="AB98" s="143" t="e">
        <f t="shared" si="296"/>
        <v>#DIV/0!</v>
      </c>
      <c r="AC98" s="143" t="e">
        <f t="shared" si="296"/>
        <v>#DIV/0!</v>
      </c>
      <c r="AD98" s="143" t="e">
        <f t="shared" si="296"/>
        <v>#DIV/0!</v>
      </c>
      <c r="AE98" s="137" t="e">
        <f t="shared" ref="AE98:AE100" si="297">((AD98/H98)^(1/($AD$3-$I$1) ))-1</f>
        <v>#DIV/0!</v>
      </c>
      <c r="AF98" s="31">
        <f t="shared" si="16"/>
        <v>0.05</v>
      </c>
      <c r="AG98" s="145" t="e">
        <f t="shared" si="231"/>
        <v>#DIV/0!</v>
      </c>
    </row>
    <row r="99" spans="2:33">
      <c r="B99" s="20" t="s">
        <v>311</v>
      </c>
      <c r="C99" s="143"/>
      <c r="D99" s="143"/>
      <c r="E99" s="143"/>
      <c r="F99" s="143"/>
      <c r="G99" s="143"/>
      <c r="H99" s="143">
        <f t="shared" ref="H99:Q99" si="298">H55/H57</f>
        <v>0</v>
      </c>
      <c r="I99" s="143">
        <f t="shared" si="298"/>
        <v>9.7771624472573837</v>
      </c>
      <c r="J99" s="143">
        <f t="shared" si="298"/>
        <v>11.60819865983445</v>
      </c>
      <c r="K99" s="143">
        <f t="shared" si="298"/>
        <v>9.1231527093596068</v>
      </c>
      <c r="L99" s="143">
        <f t="shared" si="298"/>
        <v>7.9805736037277679</v>
      </c>
      <c r="M99" s="143">
        <f t="shared" si="298"/>
        <v>8.2494443718133095</v>
      </c>
      <c r="N99" s="143">
        <f t="shared" si="298"/>
        <v>7.9971322427165479</v>
      </c>
      <c r="O99" s="143">
        <f t="shared" si="298"/>
        <v>8.3717009273069181</v>
      </c>
      <c r="P99" s="143" t="e">
        <f t="shared" si="298"/>
        <v>#DIV/0!</v>
      </c>
      <c r="Q99" s="143" t="e">
        <f t="shared" si="298"/>
        <v>#DIV/0!</v>
      </c>
      <c r="R99" s="143" t="e">
        <f t="shared" ref="R99" si="299">R55/R57</f>
        <v>#DIV/0!</v>
      </c>
      <c r="S99" s="118" t="e">
        <f t="shared" si="221"/>
        <v>#DIV/0!</v>
      </c>
      <c r="T99" s="128"/>
      <c r="U99" s="143" t="e">
        <f t="shared" ref="U99:AD99" si="300">U55/U57</f>
        <v>#DIV/0!</v>
      </c>
      <c r="V99" s="143" t="e">
        <f t="shared" si="300"/>
        <v>#DIV/0!</v>
      </c>
      <c r="W99" s="143" t="e">
        <f t="shared" si="300"/>
        <v>#DIV/0!</v>
      </c>
      <c r="X99" s="143" t="e">
        <f t="shared" si="300"/>
        <v>#DIV/0!</v>
      </c>
      <c r="Y99" s="143" t="e">
        <f t="shared" si="300"/>
        <v>#DIV/0!</v>
      </c>
      <c r="Z99" s="143" t="e">
        <f t="shared" si="300"/>
        <v>#DIV/0!</v>
      </c>
      <c r="AA99" s="143" t="e">
        <f t="shared" si="300"/>
        <v>#DIV/0!</v>
      </c>
      <c r="AB99" s="143" t="e">
        <f t="shared" si="300"/>
        <v>#DIV/0!</v>
      </c>
      <c r="AC99" s="143" t="e">
        <f t="shared" si="300"/>
        <v>#DIV/0!</v>
      </c>
      <c r="AD99" s="143" t="e">
        <f t="shared" si="300"/>
        <v>#DIV/0!</v>
      </c>
      <c r="AE99" s="137" t="e">
        <f t="shared" si="297"/>
        <v>#DIV/0!</v>
      </c>
      <c r="AF99" s="31">
        <f t="shared" si="16"/>
        <v>0.05</v>
      </c>
      <c r="AG99" s="145" t="e">
        <f t="shared" si="231"/>
        <v>#DIV/0!</v>
      </c>
    </row>
    <row r="100" spans="2:33">
      <c r="B100" s="20" t="s">
        <v>312</v>
      </c>
      <c r="C100" s="143"/>
      <c r="D100" s="143"/>
      <c r="E100" s="143"/>
      <c r="F100" s="143"/>
      <c r="G100" s="143"/>
      <c r="H100" s="143">
        <f t="shared" ref="H100:Q100" si="301">H6/H57</f>
        <v>87.123745819397982</v>
      </c>
      <c r="I100" s="143">
        <f t="shared" si="301"/>
        <v>23.701213080168774</v>
      </c>
      <c r="J100" s="143">
        <f t="shared" si="301"/>
        <v>29.917225068979111</v>
      </c>
      <c r="K100" s="143">
        <f t="shared" si="301"/>
        <v>35.244663382594418</v>
      </c>
      <c r="L100" s="143">
        <f t="shared" si="301"/>
        <v>40.441031699153378</v>
      </c>
      <c r="M100" s="143">
        <f t="shared" si="301"/>
        <v>45.881814616289716</v>
      </c>
      <c r="N100" s="143">
        <f t="shared" si="301"/>
        <v>50.557257381216189</v>
      </c>
      <c r="O100" s="143">
        <f t="shared" si="301"/>
        <v>55.04182608131768</v>
      </c>
      <c r="P100" s="143" t="e">
        <f t="shared" si="301"/>
        <v>#DIV/0!</v>
      </c>
      <c r="Q100" s="143" t="e">
        <f t="shared" si="301"/>
        <v>#DIV/0!</v>
      </c>
      <c r="R100" s="143" t="e">
        <f t="shared" ref="R100" si="302">R6/R57</f>
        <v>#DIV/0!</v>
      </c>
      <c r="S100" s="118" t="e">
        <f t="shared" si="221"/>
        <v>#DIV/0!</v>
      </c>
      <c r="T100" s="128"/>
      <c r="U100" s="143" t="e">
        <f t="shared" ref="U100:AD100" si="303">U6/U57</f>
        <v>#DIV/0!</v>
      </c>
      <c r="V100" s="143" t="e">
        <f t="shared" si="303"/>
        <v>#DIV/0!</v>
      </c>
      <c r="W100" s="143" t="e">
        <f t="shared" si="303"/>
        <v>#DIV/0!</v>
      </c>
      <c r="X100" s="143" t="e">
        <f t="shared" si="303"/>
        <v>#DIV/0!</v>
      </c>
      <c r="Y100" s="143" t="e">
        <f t="shared" si="303"/>
        <v>#DIV/0!</v>
      </c>
      <c r="Z100" s="143" t="e">
        <f t="shared" si="303"/>
        <v>#DIV/0!</v>
      </c>
      <c r="AA100" s="143" t="e">
        <f t="shared" si="303"/>
        <v>#DIV/0!</v>
      </c>
      <c r="AB100" s="143" t="e">
        <f t="shared" si="303"/>
        <v>#DIV/0!</v>
      </c>
      <c r="AC100" s="143" t="e">
        <f t="shared" si="303"/>
        <v>#DIV/0!</v>
      </c>
      <c r="AD100" s="143" t="e">
        <f t="shared" si="303"/>
        <v>#DIV/0!</v>
      </c>
      <c r="AE100" s="137" t="e">
        <f t="shared" si="297"/>
        <v>#DIV/0!</v>
      </c>
      <c r="AF100" s="31">
        <f t="shared" ref="AF100" si="304">$M$1</f>
        <v>0.05</v>
      </c>
      <c r="AG100" s="145" t="e">
        <f t="shared" si="231"/>
        <v>#DIV/0!</v>
      </c>
    </row>
    <row r="101" spans="2:33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28"/>
      <c r="T101" s="128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38"/>
      <c r="AF101" s="20"/>
      <c r="AG101" s="152"/>
    </row>
    <row r="102" spans="2:33">
      <c r="B102" s="20" t="s">
        <v>465</v>
      </c>
      <c r="C102" s="127"/>
      <c r="D102" s="127"/>
      <c r="E102" s="127"/>
      <c r="F102" s="127"/>
      <c r="G102" s="143"/>
      <c r="H102" s="143" t="e">
        <f t="shared" ref="H102:R102" si="305">H55/$R$57</f>
        <v>#DIV/0!</v>
      </c>
      <c r="I102" s="143" t="e">
        <f t="shared" si="305"/>
        <v>#DIV/0!</v>
      </c>
      <c r="J102" s="143" t="e">
        <f t="shared" si="305"/>
        <v>#DIV/0!</v>
      </c>
      <c r="K102" s="143" t="e">
        <f t="shared" si="305"/>
        <v>#DIV/0!</v>
      </c>
      <c r="L102" s="143" t="e">
        <f t="shared" si="305"/>
        <v>#DIV/0!</v>
      </c>
      <c r="M102" s="143" t="e">
        <f t="shared" si="305"/>
        <v>#DIV/0!</v>
      </c>
      <c r="N102" s="143" t="e">
        <f t="shared" si="305"/>
        <v>#DIV/0!</v>
      </c>
      <c r="O102" s="143" t="e">
        <f t="shared" si="305"/>
        <v>#DIV/0!</v>
      </c>
      <c r="P102" s="143" t="e">
        <f t="shared" si="305"/>
        <v>#DIV/0!</v>
      </c>
      <c r="Q102" s="143" t="e">
        <f t="shared" si="305"/>
        <v>#DIV/0!</v>
      </c>
      <c r="R102" s="143" t="e">
        <f t="shared" si="305"/>
        <v>#DIV/0!</v>
      </c>
      <c r="S102" s="118" t="e">
        <f t="shared" si="221"/>
        <v>#DIV/0!</v>
      </c>
      <c r="T102" s="128"/>
      <c r="U102" s="143" t="e">
        <f t="shared" ref="U102:AD102" si="306">U55/U57</f>
        <v>#DIV/0!</v>
      </c>
      <c r="V102" s="143" t="e">
        <f t="shared" si="306"/>
        <v>#DIV/0!</v>
      </c>
      <c r="W102" s="143" t="e">
        <f t="shared" si="306"/>
        <v>#DIV/0!</v>
      </c>
      <c r="X102" s="143" t="e">
        <f t="shared" si="306"/>
        <v>#DIV/0!</v>
      </c>
      <c r="Y102" s="143" t="e">
        <f t="shared" si="306"/>
        <v>#DIV/0!</v>
      </c>
      <c r="Z102" s="143" t="e">
        <f t="shared" si="306"/>
        <v>#DIV/0!</v>
      </c>
      <c r="AA102" s="143" t="e">
        <f t="shared" si="306"/>
        <v>#DIV/0!</v>
      </c>
      <c r="AB102" s="143" t="e">
        <f t="shared" si="306"/>
        <v>#DIV/0!</v>
      </c>
      <c r="AC102" s="143" t="e">
        <f t="shared" si="306"/>
        <v>#DIV/0!</v>
      </c>
      <c r="AD102" s="143" t="e">
        <f t="shared" si="306"/>
        <v>#DIV/0!</v>
      </c>
      <c r="AE102" s="138"/>
      <c r="AF102" s="20"/>
      <c r="AG102" s="152"/>
    </row>
    <row r="103" spans="2:33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28"/>
      <c r="T103" s="128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38"/>
      <c r="AF103" s="20"/>
      <c r="AG103" s="152"/>
    </row>
    <row r="104" spans="2:33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2:33">
      <c r="B105" s="20" t="s">
        <v>308</v>
      </c>
      <c r="C105" s="150"/>
      <c r="D105" s="150"/>
      <c r="E105" s="150"/>
      <c r="F105" s="150"/>
      <c r="G105" s="150"/>
      <c r="H105" s="150">
        <f t="shared" ref="H105:Q105" si="307">H51/H25</f>
        <v>0.26114905584572118</v>
      </c>
      <c r="I105" s="150">
        <f t="shared" si="307"/>
        <v>0.33529776674937967</v>
      </c>
      <c r="J105" s="150">
        <f t="shared" si="307"/>
        <v>0.30133961430884737</v>
      </c>
      <c r="K105" s="150">
        <f t="shared" si="307"/>
        <v>0.26599376577111472</v>
      </c>
      <c r="L105" s="150">
        <f t="shared" si="307"/>
        <v>0.26559467701691158</v>
      </c>
      <c r="M105" s="150">
        <f t="shared" si="307"/>
        <v>0.23549310434556336</v>
      </c>
      <c r="N105" s="150">
        <f t="shared" si="307"/>
        <v>0.22627904314982258</v>
      </c>
      <c r="O105" s="150">
        <f t="shared" si="307"/>
        <v>0.24570293094883258</v>
      </c>
      <c r="P105" s="150" t="e">
        <f t="shared" si="307"/>
        <v>#DIV/0!</v>
      </c>
      <c r="Q105" s="150" t="e">
        <f t="shared" si="307"/>
        <v>#DIV/0!</v>
      </c>
      <c r="R105" s="150" t="e">
        <f t="shared" ref="R105" si="308">R51/R25</f>
        <v>#DIV/0!</v>
      </c>
      <c r="S105" s="118" t="e">
        <f t="shared" ref="S105:S151" si="309">((R105/G105)^(1/($I$2-$I$1) ))-1</f>
        <v>#DIV/0!</v>
      </c>
      <c r="T105" s="150"/>
      <c r="U105" s="150" t="e">
        <f t="shared" ref="U105:AD105" si="310">U51/U25</f>
        <v>#DIV/0!</v>
      </c>
      <c r="V105" s="150" t="e">
        <f t="shared" si="310"/>
        <v>#DIV/0!</v>
      </c>
      <c r="W105" s="150" t="e">
        <f t="shared" si="310"/>
        <v>#DIV/0!</v>
      </c>
      <c r="X105" s="150" t="e">
        <f t="shared" si="310"/>
        <v>#DIV/0!</v>
      </c>
      <c r="Y105" s="150" t="e">
        <f t="shared" si="310"/>
        <v>#DIV/0!</v>
      </c>
      <c r="Z105" s="150" t="e">
        <f t="shared" si="310"/>
        <v>#DIV/0!</v>
      </c>
      <c r="AA105" s="150" t="e">
        <f t="shared" si="310"/>
        <v>#DIV/0!</v>
      </c>
      <c r="AB105" s="150" t="e">
        <f t="shared" si="310"/>
        <v>#DIV/0!</v>
      </c>
      <c r="AC105" s="150" t="e">
        <f t="shared" si="310"/>
        <v>#DIV/0!</v>
      </c>
      <c r="AD105" s="150" t="e">
        <f t="shared" si="310"/>
        <v>#DIV/0!</v>
      </c>
      <c r="AE105" s="137" t="e">
        <f t="shared" ref="AE105:AE154" si="311">((AD105/H105)^(1/($AD$3-$I$1) ))-1</f>
        <v>#DIV/0!</v>
      </c>
      <c r="AF105" s="145"/>
      <c r="AG105" s="145"/>
    </row>
    <row r="106" spans="2:33">
      <c r="B106" s="20" t="s">
        <v>266</v>
      </c>
      <c r="C106" s="150"/>
      <c r="D106" s="150"/>
      <c r="E106" s="150"/>
      <c r="F106" s="150"/>
      <c r="G106" s="150"/>
      <c r="H106" s="150">
        <f t="shared" ref="H106:Q106" si="312">H55/H25</f>
        <v>0</v>
      </c>
      <c r="I106" s="150">
        <f t="shared" si="312"/>
        <v>0.22999379652605459</v>
      </c>
      <c r="J106" s="150">
        <f t="shared" si="312"/>
        <v>0.26012071249815988</v>
      </c>
      <c r="K106" s="150">
        <f t="shared" si="312"/>
        <v>0.20617485527682944</v>
      </c>
      <c r="L106" s="150">
        <f t="shared" si="312"/>
        <v>0.16856113113390631</v>
      </c>
      <c r="M106" s="150">
        <f t="shared" si="312"/>
        <v>0.16419463960447567</v>
      </c>
      <c r="N106" s="150">
        <f t="shared" si="312"/>
        <v>0.14043722101407805</v>
      </c>
      <c r="O106" s="150">
        <f t="shared" si="312"/>
        <v>0.1282662692498758</v>
      </c>
      <c r="P106" s="150" t="e">
        <f t="shared" si="312"/>
        <v>#DIV/0!</v>
      </c>
      <c r="Q106" s="150" t="e">
        <f t="shared" si="312"/>
        <v>#DIV/0!</v>
      </c>
      <c r="R106" s="150" t="e">
        <f t="shared" ref="R106" si="313">R55/R25</f>
        <v>#DIV/0!</v>
      </c>
      <c r="S106" s="118" t="e">
        <f t="shared" si="309"/>
        <v>#DIV/0!</v>
      </c>
      <c r="T106" s="150"/>
      <c r="U106" s="150" t="e">
        <f t="shared" ref="U106:AD106" si="314">U55/U25</f>
        <v>#DIV/0!</v>
      </c>
      <c r="V106" s="150" t="e">
        <f t="shared" si="314"/>
        <v>#DIV/0!</v>
      </c>
      <c r="W106" s="150" t="e">
        <f t="shared" si="314"/>
        <v>#DIV/0!</v>
      </c>
      <c r="X106" s="150" t="e">
        <f t="shared" si="314"/>
        <v>#DIV/0!</v>
      </c>
      <c r="Y106" s="150" t="e">
        <f t="shared" si="314"/>
        <v>#DIV/0!</v>
      </c>
      <c r="Z106" s="150" t="e">
        <f t="shared" si="314"/>
        <v>#DIV/0!</v>
      </c>
      <c r="AA106" s="150" t="e">
        <f t="shared" si="314"/>
        <v>#DIV/0!</v>
      </c>
      <c r="AB106" s="150" t="e">
        <f t="shared" si="314"/>
        <v>#DIV/0!</v>
      </c>
      <c r="AC106" s="150" t="e">
        <f t="shared" si="314"/>
        <v>#DIV/0!</v>
      </c>
      <c r="AD106" s="150" t="e">
        <f t="shared" si="314"/>
        <v>#DIV/0!</v>
      </c>
      <c r="AE106" s="137" t="e">
        <f t="shared" si="311"/>
        <v>#DIV/0!</v>
      </c>
      <c r="AF106" s="145"/>
      <c r="AG106" s="145"/>
    </row>
    <row r="107" spans="2:33">
      <c r="B107" s="20" t="s">
        <v>357</v>
      </c>
      <c r="C107" s="150"/>
      <c r="D107" s="150"/>
      <c r="E107" s="150"/>
      <c r="F107" s="150"/>
      <c r="G107" s="150"/>
      <c r="H107" s="150">
        <f>H55/H7</f>
        <v>0</v>
      </c>
      <c r="I107" s="150">
        <f t="shared" ref="I107:P107" si="315">I55/I7</f>
        <v>0.38025641025641027</v>
      </c>
      <c r="J107" s="150">
        <f t="shared" si="315"/>
        <v>0.36365507306030048</v>
      </c>
      <c r="K107" s="150">
        <f t="shared" si="315"/>
        <v>0.24493034738141423</v>
      </c>
      <c r="L107" s="150">
        <f t="shared" si="315"/>
        <v>0.18803154476573372</v>
      </c>
      <c r="M107" s="150">
        <f t="shared" si="315"/>
        <v>0.17226317226317225</v>
      </c>
      <c r="N107" s="150">
        <f t="shared" si="315"/>
        <v>0.15215773809523808</v>
      </c>
      <c r="O107" s="150">
        <f t="shared" si="315"/>
        <v>0.14675457542343981</v>
      </c>
      <c r="P107" s="150" t="e">
        <f t="shared" si="315"/>
        <v>#DIV/0!</v>
      </c>
      <c r="Q107" s="150" t="e">
        <f t="shared" ref="Q107:R107" si="316">Q55/Q7</f>
        <v>#DIV/0!</v>
      </c>
      <c r="R107" s="150" t="e">
        <f t="shared" si="316"/>
        <v>#DIV/0!</v>
      </c>
      <c r="S107" s="118" t="e">
        <f t="shared" si="309"/>
        <v>#DIV/0!</v>
      </c>
      <c r="T107" s="20"/>
      <c r="U107" s="150" t="e">
        <f t="shared" ref="U107" si="317">U55/U7</f>
        <v>#DIV/0!</v>
      </c>
      <c r="V107" s="150" t="e">
        <f t="shared" ref="V107:AD107" si="318">V55/V7</f>
        <v>#DIV/0!</v>
      </c>
      <c r="W107" s="150" t="e">
        <f t="shared" si="318"/>
        <v>#DIV/0!</v>
      </c>
      <c r="X107" s="150" t="e">
        <f t="shared" si="318"/>
        <v>#DIV/0!</v>
      </c>
      <c r="Y107" s="150" t="e">
        <f t="shared" si="318"/>
        <v>#DIV/0!</v>
      </c>
      <c r="Z107" s="150" t="e">
        <f t="shared" si="318"/>
        <v>#DIV/0!</v>
      </c>
      <c r="AA107" s="150" t="e">
        <f t="shared" si="318"/>
        <v>#DIV/0!</v>
      </c>
      <c r="AB107" s="150" t="e">
        <f t="shared" si="318"/>
        <v>#DIV/0!</v>
      </c>
      <c r="AC107" s="150" t="e">
        <f t="shared" si="318"/>
        <v>#DIV/0!</v>
      </c>
      <c r="AD107" s="150" t="e">
        <f t="shared" si="318"/>
        <v>#DIV/0!</v>
      </c>
      <c r="AE107" s="137" t="e">
        <f t="shared" si="311"/>
        <v>#DIV/0!</v>
      </c>
      <c r="AF107" s="145"/>
      <c r="AG107" s="145"/>
    </row>
    <row r="108" spans="2:33">
      <c r="B108" s="20" t="s">
        <v>358</v>
      </c>
      <c r="C108" s="150"/>
      <c r="D108" s="150"/>
      <c r="E108" s="150"/>
      <c r="F108" s="150"/>
      <c r="G108" s="150"/>
      <c r="H108" s="150">
        <f>(H55)/(H7+H10)</f>
        <v>0</v>
      </c>
      <c r="I108" s="150">
        <f t="shared" ref="I108:P108" si="319">(I55)/(I7+I10)</f>
        <v>0.31122770199370409</v>
      </c>
      <c r="J108" s="150">
        <f t="shared" si="319"/>
        <v>0.34000384837406195</v>
      </c>
      <c r="K108" s="150">
        <f t="shared" si="319"/>
        <v>0.23313192346424974</v>
      </c>
      <c r="L108" s="150">
        <f t="shared" si="319"/>
        <v>0.18332579526609377</v>
      </c>
      <c r="M108" s="150">
        <f t="shared" si="319"/>
        <v>0.17074820727912327</v>
      </c>
      <c r="N108" s="150">
        <f t="shared" si="319"/>
        <v>0.15107116473774931</v>
      </c>
      <c r="O108" s="150">
        <f t="shared" si="319"/>
        <v>0.14594166855075741</v>
      </c>
      <c r="P108" s="150" t="e">
        <f t="shared" si="319"/>
        <v>#DIV/0!</v>
      </c>
      <c r="Q108" s="150" t="e">
        <f t="shared" ref="Q108:R108" si="320">(Q55)/(Q7+Q10)</f>
        <v>#DIV/0!</v>
      </c>
      <c r="R108" s="150" t="e">
        <f t="shared" si="320"/>
        <v>#DIV/0!</v>
      </c>
      <c r="S108" s="118" t="e">
        <f t="shared" si="309"/>
        <v>#DIV/0!</v>
      </c>
      <c r="T108" s="20"/>
      <c r="U108" s="150" t="e">
        <f t="shared" ref="U108:AD108" si="321">(U55)/(U7+U10)</f>
        <v>#DIV/0!</v>
      </c>
      <c r="V108" s="150" t="e">
        <f t="shared" si="321"/>
        <v>#DIV/0!</v>
      </c>
      <c r="W108" s="150" t="e">
        <f t="shared" si="321"/>
        <v>#DIV/0!</v>
      </c>
      <c r="X108" s="150" t="e">
        <f t="shared" si="321"/>
        <v>#DIV/0!</v>
      </c>
      <c r="Y108" s="150" t="e">
        <f t="shared" si="321"/>
        <v>#DIV/0!</v>
      </c>
      <c r="Z108" s="150" t="e">
        <f t="shared" si="321"/>
        <v>#DIV/0!</v>
      </c>
      <c r="AA108" s="150" t="e">
        <f t="shared" si="321"/>
        <v>#DIV/0!</v>
      </c>
      <c r="AB108" s="150" t="e">
        <f t="shared" si="321"/>
        <v>#DIV/0!</v>
      </c>
      <c r="AC108" s="150" t="e">
        <f t="shared" si="321"/>
        <v>#DIV/0!</v>
      </c>
      <c r="AD108" s="150" t="e">
        <f t="shared" si="321"/>
        <v>#DIV/0!</v>
      </c>
      <c r="AE108" s="137" t="e">
        <f t="shared" si="311"/>
        <v>#DIV/0!</v>
      </c>
      <c r="AF108" s="145"/>
      <c r="AG108" s="145"/>
    </row>
    <row r="109" spans="2:33">
      <c r="B109" s="20" t="s">
        <v>374</v>
      </c>
      <c r="C109" s="150"/>
      <c r="D109" s="150"/>
      <c r="E109" s="150"/>
      <c r="F109" s="150"/>
      <c r="G109" s="150"/>
      <c r="H109" s="150">
        <f>H20/H25</f>
        <v>0.22016874246685417</v>
      </c>
      <c r="I109" s="150">
        <f t="shared" ref="I109:Q109" si="322">I20/I25</f>
        <v>0.27853598014888337</v>
      </c>
      <c r="J109" s="150">
        <f t="shared" si="322"/>
        <v>0.22935374650375387</v>
      </c>
      <c r="K109" s="150">
        <f t="shared" si="322"/>
        <v>0.14338726436099153</v>
      </c>
      <c r="L109" s="150">
        <f t="shared" si="322"/>
        <v>0.29512059883559744</v>
      </c>
      <c r="M109" s="150">
        <f t="shared" si="322"/>
        <v>0.24381993234452251</v>
      </c>
      <c r="N109" s="150">
        <f t="shared" si="322"/>
        <v>0.17546068444546184</v>
      </c>
      <c r="O109" s="150">
        <f t="shared" si="322"/>
        <v>0.18450074515648285</v>
      </c>
      <c r="P109" s="150" t="e">
        <f t="shared" si="322"/>
        <v>#DIV/0!</v>
      </c>
      <c r="Q109" s="150" t="e">
        <f t="shared" si="322"/>
        <v>#DIV/0!</v>
      </c>
      <c r="R109" s="150" t="e">
        <f t="shared" ref="R109" si="323">R20/R25</f>
        <v>#DIV/0!</v>
      </c>
      <c r="S109" s="118" t="e">
        <f t="shared" si="309"/>
        <v>#DIV/0!</v>
      </c>
      <c r="T109" s="20"/>
      <c r="U109" s="150" t="e">
        <f t="shared" ref="U109:AD109" si="324">U20/U25</f>
        <v>#DIV/0!</v>
      </c>
      <c r="V109" s="150" t="e">
        <f t="shared" si="324"/>
        <v>#DIV/0!</v>
      </c>
      <c r="W109" s="150" t="e">
        <f t="shared" si="324"/>
        <v>#DIV/0!</v>
      </c>
      <c r="X109" s="150" t="e">
        <f t="shared" si="324"/>
        <v>#DIV/0!</v>
      </c>
      <c r="Y109" s="150" t="e">
        <f t="shared" si="324"/>
        <v>#DIV/0!</v>
      </c>
      <c r="Z109" s="150" t="e">
        <f t="shared" si="324"/>
        <v>#DIV/0!</v>
      </c>
      <c r="AA109" s="150" t="e">
        <f t="shared" si="324"/>
        <v>#DIV/0!</v>
      </c>
      <c r="AB109" s="150" t="e">
        <f t="shared" si="324"/>
        <v>#DIV/0!</v>
      </c>
      <c r="AC109" s="150" t="e">
        <f t="shared" si="324"/>
        <v>#DIV/0!</v>
      </c>
      <c r="AD109" s="150" t="e">
        <f t="shared" si="324"/>
        <v>#DIV/0!</v>
      </c>
      <c r="AE109" s="137" t="e">
        <f t="shared" si="311"/>
        <v>#DIV/0!</v>
      </c>
      <c r="AF109" s="145"/>
      <c r="AG109" s="145"/>
    </row>
    <row r="110" spans="2:33">
      <c r="B110" s="20" t="s">
        <v>426</v>
      </c>
      <c r="C110" s="150"/>
      <c r="D110" s="150"/>
      <c r="E110" s="150"/>
      <c r="F110" s="150"/>
      <c r="G110" s="150"/>
      <c r="H110" s="150">
        <f>H68/H25</f>
        <v>0.18240257131378063</v>
      </c>
      <c r="I110" s="150">
        <f t="shared" ref="I110:Q110" si="325">I68/I25</f>
        <v>5.257444168734491E-2</v>
      </c>
      <c r="J110" s="150">
        <f t="shared" si="325"/>
        <v>0.13881937288385102</v>
      </c>
      <c r="K110" s="150">
        <f t="shared" si="325"/>
        <v>8.2677749740240461E-2</v>
      </c>
      <c r="L110" s="150">
        <f t="shared" si="325"/>
        <v>7.7488217355142774E-2</v>
      </c>
      <c r="M110" s="150">
        <f t="shared" si="325"/>
        <v>4.8399687743950037E-2</v>
      </c>
      <c r="N110" s="150">
        <f t="shared" si="325"/>
        <v>5.4252031589790549E-2</v>
      </c>
      <c r="O110" s="150">
        <f t="shared" si="325"/>
        <v>6.0009935419771489E-2</v>
      </c>
      <c r="P110" s="150" t="e">
        <f t="shared" si="325"/>
        <v>#DIV/0!</v>
      </c>
      <c r="Q110" s="150" t="e">
        <f t="shared" si="325"/>
        <v>#DIV/0!</v>
      </c>
      <c r="R110" s="150" t="e">
        <f t="shared" ref="R110" si="326">R68/R25</f>
        <v>#DIV/0!</v>
      </c>
      <c r="S110" s="118" t="e">
        <f t="shared" si="309"/>
        <v>#DIV/0!</v>
      </c>
      <c r="T110" s="20"/>
      <c r="U110" s="150" t="e">
        <f t="shared" ref="U110:AD110" si="327">U68/U25</f>
        <v>#DIV/0!</v>
      </c>
      <c r="V110" s="150" t="e">
        <f t="shared" si="327"/>
        <v>#DIV/0!</v>
      </c>
      <c r="W110" s="150" t="e">
        <f t="shared" si="327"/>
        <v>#DIV/0!</v>
      </c>
      <c r="X110" s="150" t="e">
        <f t="shared" si="327"/>
        <v>#DIV/0!</v>
      </c>
      <c r="Y110" s="150" t="e">
        <f t="shared" si="327"/>
        <v>#DIV/0!</v>
      </c>
      <c r="Z110" s="150" t="e">
        <f t="shared" si="327"/>
        <v>#DIV/0!</v>
      </c>
      <c r="AA110" s="150" t="e">
        <f t="shared" si="327"/>
        <v>#DIV/0!</v>
      </c>
      <c r="AB110" s="150" t="e">
        <f t="shared" si="327"/>
        <v>#DIV/0!</v>
      </c>
      <c r="AC110" s="150" t="e">
        <f t="shared" si="327"/>
        <v>#DIV/0!</v>
      </c>
      <c r="AD110" s="150" t="e">
        <f t="shared" si="327"/>
        <v>#DIV/0!</v>
      </c>
      <c r="AE110" s="137" t="e">
        <f t="shared" si="311"/>
        <v>#DIV/0!</v>
      </c>
      <c r="AF110" s="145"/>
      <c r="AG110" s="145"/>
    </row>
    <row r="111" spans="2:33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2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3"/>
      <c r="AF111" s="145"/>
      <c r="AG111" s="145"/>
    </row>
    <row r="112" spans="2:33">
      <c r="B112" s="20" t="s">
        <v>321</v>
      </c>
      <c r="C112" s="150"/>
      <c r="D112" s="150"/>
      <c r="E112" s="150"/>
      <c r="F112" s="150"/>
      <c r="G112" s="150"/>
      <c r="H112" s="150">
        <f>H29/H25</f>
        <v>3.6159100040176778E-2</v>
      </c>
      <c r="I112" s="150">
        <f t="shared" ref="I112:Q112" si="328">I29/I25</f>
        <v>1.7990074441687345E-2</v>
      </c>
      <c r="J112" s="150">
        <f t="shared" si="328"/>
        <v>1.1335197997939054E-2</v>
      </c>
      <c r="K112" s="150">
        <f t="shared" si="328"/>
        <v>0.26599376577111472</v>
      </c>
      <c r="L112" s="150">
        <f t="shared" si="328"/>
        <v>0.26559467701691158</v>
      </c>
      <c r="M112" s="150">
        <f t="shared" si="328"/>
        <v>0.23549310434556336</v>
      </c>
      <c r="N112" s="150">
        <f t="shared" si="328"/>
        <v>0.22627904314982258</v>
      </c>
      <c r="O112" s="150">
        <f t="shared" si="328"/>
        <v>0.24570293094883258</v>
      </c>
      <c r="P112" s="150" t="e">
        <f t="shared" si="328"/>
        <v>#DIV/0!</v>
      </c>
      <c r="Q112" s="150" t="e">
        <f t="shared" si="328"/>
        <v>#DIV/0!</v>
      </c>
      <c r="R112" s="150" t="e">
        <f t="shared" ref="R112" si="329">R29/R25</f>
        <v>#DIV/0!</v>
      </c>
      <c r="S112" s="118" t="e">
        <f t="shared" si="309"/>
        <v>#DIV/0!</v>
      </c>
      <c r="T112" s="20"/>
      <c r="U112" s="150" t="e">
        <f t="shared" ref="U112:AD112" si="330">U29/U25</f>
        <v>#DIV/0!</v>
      </c>
      <c r="V112" s="150" t="e">
        <f t="shared" si="330"/>
        <v>#DIV/0!</v>
      </c>
      <c r="W112" s="150" t="e">
        <f t="shared" si="330"/>
        <v>#DIV/0!</v>
      </c>
      <c r="X112" s="150" t="e">
        <f t="shared" si="330"/>
        <v>#DIV/0!</v>
      </c>
      <c r="Y112" s="150" t="e">
        <f t="shared" si="330"/>
        <v>#DIV/0!</v>
      </c>
      <c r="Z112" s="150" t="e">
        <f t="shared" si="330"/>
        <v>#DIV/0!</v>
      </c>
      <c r="AA112" s="150" t="e">
        <f t="shared" si="330"/>
        <v>#DIV/0!</v>
      </c>
      <c r="AB112" s="150" t="e">
        <f t="shared" si="330"/>
        <v>#DIV/0!</v>
      </c>
      <c r="AC112" s="150" t="e">
        <f t="shared" si="330"/>
        <v>#DIV/0!</v>
      </c>
      <c r="AD112" s="150" t="e">
        <f t="shared" si="330"/>
        <v>#DIV/0!</v>
      </c>
      <c r="AE112" s="137" t="e">
        <f t="shared" si="311"/>
        <v>#DIV/0!</v>
      </c>
      <c r="AF112" s="145"/>
      <c r="AG112" s="145"/>
    </row>
    <row r="113" spans="1:33">
      <c r="B113" s="20" t="s">
        <v>367</v>
      </c>
      <c r="C113" s="150"/>
      <c r="D113" s="150"/>
      <c r="E113" s="150"/>
      <c r="F113" s="150"/>
      <c r="G113" s="150"/>
      <c r="H113" s="150">
        <f>H29/H51</f>
        <v>0.13846153846153847</v>
      </c>
      <c r="I113" s="150">
        <f t="shared" ref="I113:Q113" si="331">I29/I51</f>
        <v>5.3654024051803882E-2</v>
      </c>
      <c r="J113" s="150">
        <f t="shared" si="331"/>
        <v>3.7616023448949681E-2</v>
      </c>
      <c r="K113" s="150">
        <f t="shared" si="331"/>
        <v>1</v>
      </c>
      <c r="L113" s="150">
        <f t="shared" si="331"/>
        <v>1</v>
      </c>
      <c r="M113" s="150">
        <f t="shared" si="331"/>
        <v>1</v>
      </c>
      <c r="N113" s="150">
        <f t="shared" si="331"/>
        <v>1</v>
      </c>
      <c r="O113" s="150">
        <f t="shared" si="331"/>
        <v>1</v>
      </c>
      <c r="P113" s="150" t="e">
        <f t="shared" si="331"/>
        <v>#DIV/0!</v>
      </c>
      <c r="Q113" s="150" t="e">
        <f t="shared" si="331"/>
        <v>#DIV/0!</v>
      </c>
      <c r="R113" s="150" t="e">
        <f t="shared" ref="R113" si="332">R29/R51</f>
        <v>#DIV/0!</v>
      </c>
      <c r="S113" s="118" t="e">
        <f t="shared" si="309"/>
        <v>#DIV/0!</v>
      </c>
      <c r="T113" s="20"/>
      <c r="U113" s="150" t="e">
        <f t="shared" ref="U113:AD113" si="333">U29/U51</f>
        <v>#DIV/0!</v>
      </c>
      <c r="V113" s="150" t="e">
        <f t="shared" si="333"/>
        <v>#DIV/0!</v>
      </c>
      <c r="W113" s="150" t="e">
        <f t="shared" si="333"/>
        <v>#DIV/0!</v>
      </c>
      <c r="X113" s="150" t="e">
        <f t="shared" si="333"/>
        <v>#DIV/0!</v>
      </c>
      <c r="Y113" s="150" t="e">
        <f t="shared" si="333"/>
        <v>#DIV/0!</v>
      </c>
      <c r="Z113" s="150" t="e">
        <f t="shared" si="333"/>
        <v>#DIV/0!</v>
      </c>
      <c r="AA113" s="150" t="e">
        <f t="shared" si="333"/>
        <v>#DIV/0!</v>
      </c>
      <c r="AB113" s="150" t="e">
        <f t="shared" si="333"/>
        <v>#DIV/0!</v>
      </c>
      <c r="AC113" s="150" t="e">
        <f t="shared" si="333"/>
        <v>#DIV/0!</v>
      </c>
      <c r="AD113" s="150" t="e">
        <f t="shared" si="333"/>
        <v>#DIV/0!</v>
      </c>
      <c r="AE113" s="137" t="e">
        <f t="shared" ref="AE113" si="334">((AD113/H113)^(1/($AD$3-$I$1) ))-1</f>
        <v>#DIV/0!</v>
      </c>
      <c r="AF113" s="145"/>
      <c r="AG113" s="145"/>
    </row>
    <row r="114" spans="1:33" ht="12" customHeight="1">
      <c r="B114" s="20" t="s">
        <v>366</v>
      </c>
      <c r="C114" s="150"/>
      <c r="D114" s="150"/>
      <c r="E114" s="150"/>
      <c r="F114" s="150"/>
      <c r="G114" s="150"/>
      <c r="H114" s="169" t="e">
        <f t="shared" ref="H114:Q114" si="335">H29/H55</f>
        <v>#DIV/0!</v>
      </c>
      <c r="I114" s="169">
        <f t="shared" si="335"/>
        <v>7.8219824679703301E-2</v>
      </c>
      <c r="J114" s="169">
        <f t="shared" si="335"/>
        <v>4.3576683644595361E-2</v>
      </c>
      <c r="K114" s="169">
        <f t="shared" si="335"/>
        <v>1.2901367890568753</v>
      </c>
      <c r="L114" s="169">
        <f t="shared" si="335"/>
        <v>1.575657894736842</v>
      </c>
      <c r="M114" s="169">
        <f t="shared" si="335"/>
        <v>1.434231378763867</v>
      </c>
      <c r="N114" s="169">
        <f t="shared" si="335"/>
        <v>1.6112469437652812</v>
      </c>
      <c r="O114" s="169">
        <f t="shared" si="335"/>
        <v>1.9155693261037956</v>
      </c>
      <c r="P114" s="169" t="e">
        <f t="shared" si="335"/>
        <v>#DIV/0!</v>
      </c>
      <c r="Q114" s="169" t="e">
        <f t="shared" si="335"/>
        <v>#DIV/0!</v>
      </c>
      <c r="R114" s="169" t="e">
        <f t="shared" ref="R114" si="336">R29/R55</f>
        <v>#DIV/0!</v>
      </c>
      <c r="S114" s="118" t="e">
        <f t="shared" si="309"/>
        <v>#DIV/0!</v>
      </c>
      <c r="T114" s="20"/>
      <c r="U114" s="169" t="e">
        <f t="shared" ref="U114:AD114" si="337">U29/U55</f>
        <v>#DIV/0!</v>
      </c>
      <c r="V114" s="169" t="e">
        <f t="shared" si="337"/>
        <v>#DIV/0!</v>
      </c>
      <c r="W114" s="169" t="e">
        <f t="shared" si="337"/>
        <v>#DIV/0!</v>
      </c>
      <c r="X114" s="169" t="e">
        <f t="shared" si="337"/>
        <v>#DIV/0!</v>
      </c>
      <c r="Y114" s="169" t="e">
        <f t="shared" si="337"/>
        <v>#DIV/0!</v>
      </c>
      <c r="Z114" s="169" t="e">
        <f t="shared" si="337"/>
        <v>#DIV/0!</v>
      </c>
      <c r="AA114" s="169" t="e">
        <f t="shared" si="337"/>
        <v>#DIV/0!</v>
      </c>
      <c r="AB114" s="169" t="e">
        <f t="shared" si="337"/>
        <v>#DIV/0!</v>
      </c>
      <c r="AC114" s="169" t="e">
        <f t="shared" si="337"/>
        <v>#DIV/0!</v>
      </c>
      <c r="AD114" s="169" t="e">
        <f t="shared" si="337"/>
        <v>#DIV/0!</v>
      </c>
      <c r="AE114" s="137" t="e">
        <f t="shared" ref="AE114" si="338">((AD114/H114)^(1/($AD$3-$I$1) ))-1</f>
        <v>#DIV/0!</v>
      </c>
      <c r="AF114" s="145"/>
      <c r="AG114" s="145"/>
    </row>
    <row r="115" spans="1:33" ht="12" customHeight="1">
      <c r="B115" s="20" t="s">
        <v>323</v>
      </c>
      <c r="C115" s="150"/>
      <c r="D115" s="150"/>
      <c r="E115" s="150"/>
      <c r="F115" s="150"/>
      <c r="G115" s="150"/>
      <c r="H115" s="169">
        <f t="shared" ref="H115:Q115" si="339">H29/H12</f>
        <v>0.67164179104477617</v>
      </c>
      <c r="I115" s="169">
        <f t="shared" si="339"/>
        <v>0.30606860158311344</v>
      </c>
      <c r="J115" s="169">
        <f t="shared" si="339"/>
        <v>0.11809815950920245</v>
      </c>
      <c r="K115" s="169">
        <f t="shared" si="339"/>
        <v>2.103286384976526</v>
      </c>
      <c r="L115" s="169">
        <f t="shared" si="339"/>
        <v>2.1748013620885356</v>
      </c>
      <c r="M115" s="169">
        <f t="shared" si="339"/>
        <v>1.0360618202633085</v>
      </c>
      <c r="N115" s="169">
        <f t="shared" si="339"/>
        <v>0.95369030390738063</v>
      </c>
      <c r="O115" s="169">
        <f t="shared" si="339"/>
        <v>1.0942477876106194</v>
      </c>
      <c r="P115" s="169" t="e">
        <f t="shared" si="339"/>
        <v>#DIV/0!</v>
      </c>
      <c r="Q115" s="169" t="e">
        <f t="shared" si="339"/>
        <v>#DIV/0!</v>
      </c>
      <c r="R115" s="169" t="e">
        <f t="shared" ref="R115" si="340">R29/R12</f>
        <v>#DIV/0!</v>
      </c>
      <c r="S115" s="118" t="e">
        <f t="shared" si="309"/>
        <v>#DIV/0!</v>
      </c>
      <c r="T115" s="20"/>
      <c r="U115" s="150" t="e">
        <f t="shared" ref="U115:AD115" si="341">U29/U12</f>
        <v>#DIV/0!</v>
      </c>
      <c r="V115" s="150" t="e">
        <f t="shared" si="341"/>
        <v>#DIV/0!</v>
      </c>
      <c r="W115" s="150" t="e">
        <f t="shared" si="341"/>
        <v>#DIV/0!</v>
      </c>
      <c r="X115" s="150" t="e">
        <f t="shared" si="341"/>
        <v>#DIV/0!</v>
      </c>
      <c r="Y115" s="150" t="e">
        <f t="shared" si="341"/>
        <v>#DIV/0!</v>
      </c>
      <c r="Z115" s="150" t="e">
        <f t="shared" si="341"/>
        <v>#DIV/0!</v>
      </c>
      <c r="AA115" s="150" t="e">
        <f t="shared" si="341"/>
        <v>#DIV/0!</v>
      </c>
      <c r="AB115" s="150" t="e">
        <f t="shared" si="341"/>
        <v>#DIV/0!</v>
      </c>
      <c r="AC115" s="150" t="e">
        <f t="shared" si="341"/>
        <v>#DIV/0!</v>
      </c>
      <c r="AD115" s="150" t="e">
        <f t="shared" si="341"/>
        <v>#DIV/0!</v>
      </c>
      <c r="AE115" s="137" t="e">
        <f t="shared" si="311"/>
        <v>#DIV/0!</v>
      </c>
      <c r="AF115" s="145"/>
      <c r="AG115" s="145"/>
    </row>
    <row r="116" spans="1:33" ht="12" customHeight="1">
      <c r="B116" s="20" t="s">
        <v>368</v>
      </c>
      <c r="C116" s="150"/>
      <c r="D116" s="150"/>
      <c r="E116" s="150"/>
      <c r="F116" s="150"/>
      <c r="G116" s="150"/>
      <c r="H116" s="169">
        <f>H29/H23</f>
        <v>1.0465116279069768</v>
      </c>
      <c r="I116" s="169">
        <f t="shared" ref="I116:Q116" si="342">I29/I23</f>
        <v>0.30687830687830686</v>
      </c>
      <c r="J116" s="169">
        <f t="shared" si="342"/>
        <v>0.11827956989247312</v>
      </c>
      <c r="K116" s="169">
        <f t="shared" si="342"/>
        <v>2.103286384976526</v>
      </c>
      <c r="L116" s="169">
        <f t="shared" si="342"/>
        <v>1.3540636042402827</v>
      </c>
      <c r="M116" s="169">
        <f t="shared" si="342"/>
        <v>0.79108391608391604</v>
      </c>
      <c r="N116" s="169">
        <f t="shared" si="342"/>
        <v>0.68195929630907215</v>
      </c>
      <c r="O116" s="169">
        <f t="shared" si="342"/>
        <v>0.64083959575019434</v>
      </c>
      <c r="P116" s="169" t="e">
        <f t="shared" si="342"/>
        <v>#DIV/0!</v>
      </c>
      <c r="Q116" s="169" t="e">
        <f t="shared" si="342"/>
        <v>#DIV/0!</v>
      </c>
      <c r="R116" s="169" t="e">
        <f t="shared" ref="R116" si="343">R29/R23</f>
        <v>#DIV/0!</v>
      </c>
      <c r="S116" s="118" t="e">
        <f t="shared" si="309"/>
        <v>#DIV/0!</v>
      </c>
      <c r="T116" s="20"/>
      <c r="U116" s="169" t="e">
        <f t="shared" ref="U116:AD116" si="344">U29/U23</f>
        <v>#DIV/0!</v>
      </c>
      <c r="V116" s="169" t="e">
        <f t="shared" si="344"/>
        <v>#DIV/0!</v>
      </c>
      <c r="W116" s="169" t="e">
        <f t="shared" si="344"/>
        <v>#DIV/0!</v>
      </c>
      <c r="X116" s="169" t="e">
        <f t="shared" si="344"/>
        <v>#DIV/0!</v>
      </c>
      <c r="Y116" s="169" t="e">
        <f t="shared" si="344"/>
        <v>#DIV/0!</v>
      </c>
      <c r="Z116" s="169" t="e">
        <f t="shared" si="344"/>
        <v>#DIV/0!</v>
      </c>
      <c r="AA116" s="169" t="e">
        <f t="shared" si="344"/>
        <v>#DIV/0!</v>
      </c>
      <c r="AB116" s="169" t="e">
        <f t="shared" si="344"/>
        <v>#DIV/0!</v>
      </c>
      <c r="AC116" s="169" t="e">
        <f t="shared" si="344"/>
        <v>#DIV/0!</v>
      </c>
      <c r="AD116" s="169" t="e">
        <f t="shared" si="344"/>
        <v>#DIV/0!</v>
      </c>
      <c r="AE116" s="137" t="e">
        <f t="shared" ref="AE116" si="345">((AD116/H116)^(1/($AD$3-$I$1) ))-1</f>
        <v>#DIV/0!</v>
      </c>
      <c r="AF116" s="145"/>
      <c r="AG116" s="145"/>
    </row>
    <row r="117" spans="1:33" ht="12" customHeight="1">
      <c r="B117" s="20"/>
      <c r="C117" s="150"/>
      <c r="D117" s="150"/>
      <c r="E117" s="150"/>
      <c r="F117" s="150"/>
      <c r="G117" s="150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2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45"/>
      <c r="AG117" s="145"/>
    </row>
    <row r="118" spans="1:33" ht="12" customHeight="1">
      <c r="B118" s="20" t="s">
        <v>400</v>
      </c>
      <c r="C118" s="150"/>
      <c r="D118" s="150"/>
      <c r="E118" s="150"/>
      <c r="F118" s="150"/>
      <c r="G118" s="150"/>
      <c r="H118" s="127">
        <f>1/H112</f>
        <v>27.655555555555555</v>
      </c>
      <c r="I118" s="127">
        <f t="shared" ref="I118:Q118" si="346">1/I112</f>
        <v>55.586206896551722</v>
      </c>
      <c r="J118" s="127">
        <f t="shared" si="346"/>
        <v>88.220779220779221</v>
      </c>
      <c r="K118" s="127">
        <f t="shared" si="346"/>
        <v>3.7594866071428572</v>
      </c>
      <c r="L118" s="127">
        <f t="shared" si="346"/>
        <v>3.7651356993736949</v>
      </c>
      <c r="M118" s="127">
        <f t="shared" si="346"/>
        <v>4.2464088397790052</v>
      </c>
      <c r="N118" s="127">
        <f t="shared" si="346"/>
        <v>4.4193222053616594</v>
      </c>
      <c r="O118" s="127">
        <f t="shared" si="346"/>
        <v>4.069955519611808</v>
      </c>
      <c r="P118" s="127" t="e">
        <f t="shared" si="346"/>
        <v>#DIV/0!</v>
      </c>
      <c r="Q118" s="127" t="e">
        <f t="shared" si="346"/>
        <v>#DIV/0!</v>
      </c>
      <c r="R118" s="127" t="e">
        <f t="shared" ref="R118" si="347">1/R112</f>
        <v>#DIV/0!</v>
      </c>
      <c r="S118" s="118" t="e">
        <f t="shared" si="309"/>
        <v>#DIV/0!</v>
      </c>
      <c r="T118" s="20"/>
      <c r="U118" s="127" t="e">
        <f t="shared" ref="U118:AD118" si="348">1/U112</f>
        <v>#DIV/0!</v>
      </c>
      <c r="V118" s="127" t="e">
        <f t="shared" si="348"/>
        <v>#DIV/0!</v>
      </c>
      <c r="W118" s="127" t="e">
        <f t="shared" si="348"/>
        <v>#DIV/0!</v>
      </c>
      <c r="X118" s="127" t="e">
        <f t="shared" si="348"/>
        <v>#DIV/0!</v>
      </c>
      <c r="Y118" s="127" t="e">
        <f t="shared" si="348"/>
        <v>#DIV/0!</v>
      </c>
      <c r="Z118" s="127" t="e">
        <f t="shared" si="348"/>
        <v>#DIV/0!</v>
      </c>
      <c r="AA118" s="127" t="e">
        <f t="shared" si="348"/>
        <v>#DIV/0!</v>
      </c>
      <c r="AB118" s="127" t="e">
        <f t="shared" si="348"/>
        <v>#DIV/0!</v>
      </c>
      <c r="AC118" s="127" t="e">
        <f t="shared" si="348"/>
        <v>#DIV/0!</v>
      </c>
      <c r="AD118" s="127" t="e">
        <f t="shared" si="348"/>
        <v>#DIV/0!</v>
      </c>
      <c r="AE118" s="137" t="e">
        <f t="shared" si="311"/>
        <v>#DIV/0!</v>
      </c>
      <c r="AF118" s="145"/>
      <c r="AG118" s="145"/>
    </row>
    <row r="119" spans="1:33" ht="12" customHeight="1">
      <c r="B119" s="20" t="s">
        <v>401</v>
      </c>
      <c r="C119" s="150"/>
      <c r="D119" s="150"/>
      <c r="E119" s="150"/>
      <c r="F119" s="150"/>
      <c r="G119" s="150"/>
      <c r="H119" s="127">
        <f t="shared" ref="H119:Q122" si="349">1/H113</f>
        <v>7.2222222222222214</v>
      </c>
      <c r="I119" s="127">
        <f t="shared" si="349"/>
        <v>18.637931034482758</v>
      </c>
      <c r="J119" s="127">
        <f t="shared" si="349"/>
        <v>26.584415584415584</v>
      </c>
      <c r="K119" s="127">
        <f t="shared" si="349"/>
        <v>1</v>
      </c>
      <c r="L119" s="127">
        <f t="shared" si="349"/>
        <v>1</v>
      </c>
      <c r="M119" s="127">
        <f t="shared" si="349"/>
        <v>1</v>
      </c>
      <c r="N119" s="127">
        <f t="shared" si="349"/>
        <v>1</v>
      </c>
      <c r="O119" s="127">
        <f t="shared" si="349"/>
        <v>1</v>
      </c>
      <c r="P119" s="127" t="e">
        <f t="shared" si="349"/>
        <v>#DIV/0!</v>
      </c>
      <c r="Q119" s="127" t="e">
        <f t="shared" si="349"/>
        <v>#DIV/0!</v>
      </c>
      <c r="R119" s="127" t="e">
        <f t="shared" ref="R119" si="350">1/R113</f>
        <v>#DIV/0!</v>
      </c>
      <c r="S119" s="118" t="e">
        <f t="shared" si="309"/>
        <v>#DIV/0!</v>
      </c>
      <c r="T119" s="20"/>
      <c r="U119" s="127" t="e">
        <f t="shared" ref="U119:AD119" si="351">1/U113</f>
        <v>#DIV/0!</v>
      </c>
      <c r="V119" s="127" t="e">
        <f t="shared" si="351"/>
        <v>#DIV/0!</v>
      </c>
      <c r="W119" s="127" t="e">
        <f t="shared" si="351"/>
        <v>#DIV/0!</v>
      </c>
      <c r="X119" s="127" t="e">
        <f t="shared" si="351"/>
        <v>#DIV/0!</v>
      </c>
      <c r="Y119" s="127" t="e">
        <f t="shared" si="351"/>
        <v>#DIV/0!</v>
      </c>
      <c r="Z119" s="127" t="e">
        <f t="shared" si="351"/>
        <v>#DIV/0!</v>
      </c>
      <c r="AA119" s="127" t="e">
        <f t="shared" si="351"/>
        <v>#DIV/0!</v>
      </c>
      <c r="AB119" s="127" t="e">
        <f t="shared" si="351"/>
        <v>#DIV/0!</v>
      </c>
      <c r="AC119" s="127" t="e">
        <f t="shared" si="351"/>
        <v>#DIV/0!</v>
      </c>
      <c r="AD119" s="127" t="e">
        <f t="shared" si="351"/>
        <v>#DIV/0!</v>
      </c>
      <c r="AE119" s="137" t="e">
        <f t="shared" si="311"/>
        <v>#DIV/0!</v>
      </c>
      <c r="AF119" s="145"/>
      <c r="AG119" s="145"/>
    </row>
    <row r="120" spans="1:33" ht="12" customHeight="1">
      <c r="B120" s="20" t="s">
        <v>402</v>
      </c>
      <c r="C120" s="150"/>
      <c r="D120" s="150"/>
      <c r="E120" s="150"/>
      <c r="F120" s="150"/>
      <c r="G120" s="150"/>
      <c r="H120" s="127" t="e">
        <f t="shared" si="349"/>
        <v>#DIV/0!</v>
      </c>
      <c r="I120" s="127">
        <f t="shared" si="349"/>
        <v>12.78448275862069</v>
      </c>
      <c r="J120" s="127">
        <f t="shared" si="349"/>
        <v>22.948051948051948</v>
      </c>
      <c r="K120" s="127">
        <f t="shared" si="349"/>
        <v>0.77511160714285721</v>
      </c>
      <c r="L120" s="127">
        <f t="shared" si="349"/>
        <v>0.63465553235908145</v>
      </c>
      <c r="M120" s="127">
        <f t="shared" si="349"/>
        <v>0.69723756906077339</v>
      </c>
      <c r="N120" s="127">
        <f t="shared" si="349"/>
        <v>0.62063732928679816</v>
      </c>
      <c r="O120" s="127">
        <f t="shared" si="349"/>
        <v>0.52203801051354626</v>
      </c>
      <c r="P120" s="127" t="e">
        <f t="shared" si="349"/>
        <v>#DIV/0!</v>
      </c>
      <c r="Q120" s="127" t="e">
        <f t="shared" si="349"/>
        <v>#DIV/0!</v>
      </c>
      <c r="R120" s="127" t="e">
        <f t="shared" ref="R120" si="352">1/R114</f>
        <v>#DIV/0!</v>
      </c>
      <c r="S120" s="118" t="e">
        <f t="shared" si="309"/>
        <v>#DIV/0!</v>
      </c>
      <c r="T120" s="20"/>
      <c r="U120" s="127" t="e">
        <f t="shared" ref="U120:AD120" si="353">1/U114</f>
        <v>#DIV/0!</v>
      </c>
      <c r="V120" s="127" t="e">
        <f t="shared" si="353"/>
        <v>#DIV/0!</v>
      </c>
      <c r="W120" s="127" t="e">
        <f t="shared" si="353"/>
        <v>#DIV/0!</v>
      </c>
      <c r="X120" s="127" t="e">
        <f t="shared" si="353"/>
        <v>#DIV/0!</v>
      </c>
      <c r="Y120" s="127" t="e">
        <f t="shared" si="353"/>
        <v>#DIV/0!</v>
      </c>
      <c r="Z120" s="127" t="e">
        <f t="shared" si="353"/>
        <v>#DIV/0!</v>
      </c>
      <c r="AA120" s="127" t="e">
        <f t="shared" si="353"/>
        <v>#DIV/0!</v>
      </c>
      <c r="AB120" s="127" t="e">
        <f t="shared" si="353"/>
        <v>#DIV/0!</v>
      </c>
      <c r="AC120" s="127" t="e">
        <f t="shared" si="353"/>
        <v>#DIV/0!</v>
      </c>
      <c r="AD120" s="127" t="e">
        <f t="shared" si="353"/>
        <v>#DIV/0!</v>
      </c>
      <c r="AE120" s="137" t="e">
        <f t="shared" si="311"/>
        <v>#DIV/0!</v>
      </c>
      <c r="AF120" s="145"/>
      <c r="AG120" s="145"/>
    </row>
    <row r="121" spans="1:33" ht="12" customHeight="1">
      <c r="B121" s="20" t="s">
        <v>403</v>
      </c>
      <c r="C121" s="150"/>
      <c r="D121" s="150"/>
      <c r="E121" s="150"/>
      <c r="F121" s="150"/>
      <c r="G121" s="150"/>
      <c r="H121" s="127">
        <f t="shared" si="349"/>
        <v>1.4888888888888887</v>
      </c>
      <c r="I121" s="127">
        <f t="shared" si="349"/>
        <v>3.2672413793103452</v>
      </c>
      <c r="J121" s="127">
        <f t="shared" si="349"/>
        <v>8.4675324675324681</v>
      </c>
      <c r="K121" s="127">
        <f t="shared" si="349"/>
        <v>0.47544642857142855</v>
      </c>
      <c r="L121" s="127">
        <f t="shared" si="349"/>
        <v>0.459812108559499</v>
      </c>
      <c r="M121" s="127">
        <f t="shared" si="349"/>
        <v>0.96519337016574591</v>
      </c>
      <c r="N121" s="127">
        <f t="shared" si="349"/>
        <v>1.0485584218512898</v>
      </c>
      <c r="O121" s="127">
        <f t="shared" si="349"/>
        <v>0.9138697937727458</v>
      </c>
      <c r="P121" s="127" t="e">
        <f t="shared" si="349"/>
        <v>#DIV/0!</v>
      </c>
      <c r="Q121" s="127" t="e">
        <f t="shared" si="349"/>
        <v>#DIV/0!</v>
      </c>
      <c r="R121" s="127" t="e">
        <f t="shared" ref="R121" si="354">1/R115</f>
        <v>#DIV/0!</v>
      </c>
      <c r="S121" s="118" t="e">
        <f t="shared" si="309"/>
        <v>#DIV/0!</v>
      </c>
      <c r="T121" s="20"/>
      <c r="U121" s="127" t="e">
        <f t="shared" ref="U121:AD121" si="355">1/U115</f>
        <v>#DIV/0!</v>
      </c>
      <c r="V121" s="127" t="e">
        <f t="shared" si="355"/>
        <v>#DIV/0!</v>
      </c>
      <c r="W121" s="127" t="e">
        <f t="shared" si="355"/>
        <v>#DIV/0!</v>
      </c>
      <c r="X121" s="127" t="e">
        <f t="shared" si="355"/>
        <v>#DIV/0!</v>
      </c>
      <c r="Y121" s="127" t="e">
        <f t="shared" si="355"/>
        <v>#DIV/0!</v>
      </c>
      <c r="Z121" s="127" t="e">
        <f t="shared" si="355"/>
        <v>#DIV/0!</v>
      </c>
      <c r="AA121" s="127" t="e">
        <f t="shared" si="355"/>
        <v>#DIV/0!</v>
      </c>
      <c r="AB121" s="127" t="e">
        <f t="shared" si="355"/>
        <v>#DIV/0!</v>
      </c>
      <c r="AC121" s="127" t="e">
        <f t="shared" si="355"/>
        <v>#DIV/0!</v>
      </c>
      <c r="AD121" s="127" t="e">
        <f t="shared" si="355"/>
        <v>#DIV/0!</v>
      </c>
      <c r="AE121" s="137" t="e">
        <f t="shared" si="311"/>
        <v>#DIV/0!</v>
      </c>
      <c r="AF121" s="145"/>
      <c r="AG121" s="145"/>
    </row>
    <row r="122" spans="1:33" ht="12" customHeight="1">
      <c r="B122" s="20" t="s">
        <v>404</v>
      </c>
      <c r="C122" s="150"/>
      <c r="D122" s="150"/>
      <c r="E122" s="150"/>
      <c r="F122" s="150"/>
      <c r="G122" s="150"/>
      <c r="H122" s="127">
        <f t="shared" si="349"/>
        <v>0.95555555555555549</v>
      </c>
      <c r="I122" s="127">
        <f t="shared" si="349"/>
        <v>3.2586206896551726</v>
      </c>
      <c r="J122" s="127">
        <f t="shared" si="349"/>
        <v>8.4545454545454533</v>
      </c>
      <c r="K122" s="127">
        <f t="shared" si="349"/>
        <v>0.47544642857142855</v>
      </c>
      <c r="L122" s="127">
        <f t="shared" si="349"/>
        <v>0.73851774530271397</v>
      </c>
      <c r="M122" s="127">
        <f t="shared" si="349"/>
        <v>1.2640883977900552</v>
      </c>
      <c r="N122" s="127">
        <f t="shared" si="349"/>
        <v>1.466363176530096</v>
      </c>
      <c r="O122" s="127">
        <f t="shared" si="349"/>
        <v>1.5604528912252325</v>
      </c>
      <c r="P122" s="127" t="e">
        <f t="shared" si="349"/>
        <v>#DIV/0!</v>
      </c>
      <c r="Q122" s="127" t="e">
        <f t="shared" si="349"/>
        <v>#DIV/0!</v>
      </c>
      <c r="R122" s="127" t="e">
        <f t="shared" ref="R122" si="356">1/R116</f>
        <v>#DIV/0!</v>
      </c>
      <c r="S122" s="118" t="e">
        <f t="shared" si="309"/>
        <v>#DIV/0!</v>
      </c>
      <c r="T122" s="20"/>
      <c r="U122" s="127" t="e">
        <f t="shared" ref="U122:AD122" si="357">1/U116</f>
        <v>#DIV/0!</v>
      </c>
      <c r="V122" s="127" t="e">
        <f t="shared" si="357"/>
        <v>#DIV/0!</v>
      </c>
      <c r="W122" s="127" t="e">
        <f t="shared" si="357"/>
        <v>#DIV/0!</v>
      </c>
      <c r="X122" s="127" t="e">
        <f t="shared" si="357"/>
        <v>#DIV/0!</v>
      </c>
      <c r="Y122" s="127" t="e">
        <f t="shared" si="357"/>
        <v>#DIV/0!</v>
      </c>
      <c r="Z122" s="127" t="e">
        <f t="shared" si="357"/>
        <v>#DIV/0!</v>
      </c>
      <c r="AA122" s="127" t="e">
        <f t="shared" si="357"/>
        <v>#DIV/0!</v>
      </c>
      <c r="AB122" s="127" t="e">
        <f t="shared" si="357"/>
        <v>#DIV/0!</v>
      </c>
      <c r="AC122" s="127" t="e">
        <f t="shared" si="357"/>
        <v>#DIV/0!</v>
      </c>
      <c r="AD122" s="127" t="e">
        <f t="shared" si="357"/>
        <v>#DIV/0!</v>
      </c>
      <c r="AE122" s="137" t="e">
        <f t="shared" si="311"/>
        <v>#DIV/0!</v>
      </c>
      <c r="AF122" s="145"/>
      <c r="AG122" s="145"/>
    </row>
    <row r="123" spans="1:33" ht="12" customHeight="1">
      <c r="B123" s="20"/>
      <c r="C123" s="150"/>
      <c r="D123" s="150"/>
      <c r="E123" s="150"/>
      <c r="F123" s="150"/>
      <c r="G123" s="150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20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45"/>
      <c r="AG123" s="145"/>
    </row>
    <row r="124" spans="1:33" ht="12" customHeight="1">
      <c r="A124" s="205" t="s">
        <v>482</v>
      </c>
      <c r="B124" s="200" t="s">
        <v>490</v>
      </c>
      <c r="C124" s="150"/>
      <c r="D124" s="150"/>
      <c r="E124" s="150"/>
      <c r="F124" s="150"/>
      <c r="G124" s="150"/>
      <c r="H124" s="169" t="e">
        <f t="shared" ref="H124:R124" si="358">H25/(H36+H38)</f>
        <v>#DIV/0!</v>
      </c>
      <c r="I124" s="169" t="e">
        <f t="shared" si="358"/>
        <v>#DIV/0!</v>
      </c>
      <c r="J124" s="169" t="e">
        <f t="shared" si="358"/>
        <v>#DIV/0!</v>
      </c>
      <c r="K124" s="169" t="e">
        <f t="shared" si="358"/>
        <v>#DIV/0!</v>
      </c>
      <c r="L124" s="169" t="e">
        <f t="shared" si="358"/>
        <v>#DIV/0!</v>
      </c>
      <c r="M124" s="169" t="e">
        <f t="shared" si="358"/>
        <v>#DIV/0!</v>
      </c>
      <c r="N124" s="169" t="e">
        <f t="shared" si="358"/>
        <v>#DIV/0!</v>
      </c>
      <c r="O124" s="169" t="e">
        <f t="shared" si="358"/>
        <v>#DIV/0!</v>
      </c>
      <c r="P124" s="169" t="e">
        <f t="shared" si="358"/>
        <v>#DIV/0!</v>
      </c>
      <c r="Q124" s="169" t="e">
        <f t="shared" si="358"/>
        <v>#DIV/0!</v>
      </c>
      <c r="R124" s="169" t="e">
        <f t="shared" si="358"/>
        <v>#DIV/0!</v>
      </c>
      <c r="S124" s="118" t="e">
        <f t="shared" si="309"/>
        <v>#DIV/0!</v>
      </c>
      <c r="T124" s="20"/>
      <c r="U124" s="169" t="e">
        <f t="shared" ref="U124:AD124" si="359">U25/(U36+U38)</f>
        <v>#DIV/0!</v>
      </c>
      <c r="V124" s="169" t="e">
        <f t="shared" si="359"/>
        <v>#DIV/0!</v>
      </c>
      <c r="W124" s="169" t="e">
        <f t="shared" si="359"/>
        <v>#DIV/0!</v>
      </c>
      <c r="X124" s="169" t="e">
        <f t="shared" si="359"/>
        <v>#DIV/0!</v>
      </c>
      <c r="Y124" s="169" t="e">
        <f t="shared" si="359"/>
        <v>#DIV/0!</v>
      </c>
      <c r="Z124" s="169" t="e">
        <f t="shared" si="359"/>
        <v>#DIV/0!</v>
      </c>
      <c r="AA124" s="169" t="e">
        <f t="shared" si="359"/>
        <v>#DIV/0!</v>
      </c>
      <c r="AB124" s="169" t="e">
        <f t="shared" si="359"/>
        <v>#DIV/0!</v>
      </c>
      <c r="AC124" s="169" t="e">
        <f t="shared" si="359"/>
        <v>#DIV/0!</v>
      </c>
      <c r="AD124" s="169" t="e">
        <f t="shared" si="359"/>
        <v>#DIV/0!</v>
      </c>
      <c r="AE124" s="137" t="e">
        <f t="shared" ref="AE124:AE132" si="360">((AD124/H124)^(1/($AD$3-$I$1) ))-1</f>
        <v>#DIV/0!</v>
      </c>
      <c r="AF124" s="145"/>
      <c r="AG124" s="145"/>
    </row>
    <row r="125" spans="1:33" ht="12" customHeight="1">
      <c r="A125" s="205"/>
      <c r="B125" s="200" t="s">
        <v>484</v>
      </c>
      <c r="C125" s="150"/>
      <c r="D125" s="150"/>
      <c r="E125" s="150"/>
      <c r="F125" s="150"/>
      <c r="G125" s="150"/>
      <c r="H125" s="169" t="e">
        <f t="shared" ref="H125:R125" si="361">H25/H43</f>
        <v>#DIV/0!</v>
      </c>
      <c r="I125" s="169" t="e">
        <f t="shared" si="361"/>
        <v>#DIV/0!</v>
      </c>
      <c r="J125" s="169" t="e">
        <f t="shared" si="361"/>
        <v>#DIV/0!</v>
      </c>
      <c r="K125" s="169" t="e">
        <f t="shared" si="361"/>
        <v>#DIV/0!</v>
      </c>
      <c r="L125" s="169" t="e">
        <f t="shared" si="361"/>
        <v>#DIV/0!</v>
      </c>
      <c r="M125" s="169" t="e">
        <f t="shared" si="361"/>
        <v>#DIV/0!</v>
      </c>
      <c r="N125" s="169" t="e">
        <f t="shared" si="361"/>
        <v>#DIV/0!</v>
      </c>
      <c r="O125" s="169" t="e">
        <f t="shared" si="361"/>
        <v>#DIV/0!</v>
      </c>
      <c r="P125" s="169" t="e">
        <f t="shared" si="361"/>
        <v>#DIV/0!</v>
      </c>
      <c r="Q125" s="169" t="e">
        <f t="shared" si="361"/>
        <v>#DIV/0!</v>
      </c>
      <c r="R125" s="169" t="e">
        <f t="shared" si="361"/>
        <v>#DIV/0!</v>
      </c>
      <c r="S125" s="118" t="e">
        <f t="shared" si="309"/>
        <v>#DIV/0!</v>
      </c>
      <c r="T125" s="20"/>
      <c r="U125" s="169" t="e">
        <f t="shared" ref="U125:AD125" si="362">U25/U43</f>
        <v>#DIV/0!</v>
      </c>
      <c r="V125" s="169" t="e">
        <f t="shared" si="362"/>
        <v>#DIV/0!</v>
      </c>
      <c r="W125" s="169" t="e">
        <f t="shared" si="362"/>
        <v>#DIV/0!</v>
      </c>
      <c r="X125" s="169" t="e">
        <f t="shared" si="362"/>
        <v>#DIV/0!</v>
      </c>
      <c r="Y125" s="169" t="e">
        <f t="shared" si="362"/>
        <v>#DIV/0!</v>
      </c>
      <c r="Z125" s="169" t="e">
        <f t="shared" si="362"/>
        <v>#DIV/0!</v>
      </c>
      <c r="AA125" s="169" t="e">
        <f t="shared" si="362"/>
        <v>#DIV/0!</v>
      </c>
      <c r="AB125" s="169" t="e">
        <f t="shared" si="362"/>
        <v>#DIV/0!</v>
      </c>
      <c r="AC125" s="169" t="e">
        <f t="shared" si="362"/>
        <v>#DIV/0!</v>
      </c>
      <c r="AD125" s="169" t="e">
        <f t="shared" si="362"/>
        <v>#DIV/0!</v>
      </c>
      <c r="AE125" s="137" t="e">
        <f t="shared" si="360"/>
        <v>#DIV/0!</v>
      </c>
      <c r="AF125" s="145"/>
      <c r="AG125" s="145"/>
    </row>
    <row r="126" spans="1:33" ht="12" customHeight="1">
      <c r="A126" s="205"/>
      <c r="B126" s="200" t="s">
        <v>491</v>
      </c>
      <c r="C126" s="150"/>
      <c r="D126" s="150"/>
      <c r="E126" s="150"/>
      <c r="F126" s="150"/>
      <c r="G126" s="150"/>
      <c r="H126" s="169" t="e">
        <f t="shared" ref="H126:R126" si="363">H43/(H36)</f>
        <v>#DIV/0!</v>
      </c>
      <c r="I126" s="169" t="e">
        <f t="shared" si="363"/>
        <v>#DIV/0!</v>
      </c>
      <c r="J126" s="169" t="e">
        <f t="shared" si="363"/>
        <v>#DIV/0!</v>
      </c>
      <c r="K126" s="169" t="e">
        <f t="shared" si="363"/>
        <v>#DIV/0!</v>
      </c>
      <c r="L126" s="169" t="e">
        <f t="shared" si="363"/>
        <v>#DIV/0!</v>
      </c>
      <c r="M126" s="169" t="e">
        <f t="shared" si="363"/>
        <v>#DIV/0!</v>
      </c>
      <c r="N126" s="169" t="e">
        <f t="shared" si="363"/>
        <v>#DIV/0!</v>
      </c>
      <c r="O126" s="169" t="e">
        <f t="shared" si="363"/>
        <v>#DIV/0!</v>
      </c>
      <c r="P126" s="169" t="e">
        <f t="shared" si="363"/>
        <v>#DIV/0!</v>
      </c>
      <c r="Q126" s="169" t="e">
        <f t="shared" si="363"/>
        <v>#DIV/0!</v>
      </c>
      <c r="R126" s="169" t="e">
        <f t="shared" si="363"/>
        <v>#DIV/0!</v>
      </c>
      <c r="S126" s="118" t="e">
        <f t="shared" si="309"/>
        <v>#DIV/0!</v>
      </c>
      <c r="T126" s="20"/>
      <c r="U126" s="169" t="e">
        <f t="shared" ref="U126:AD126" si="364">U43/(U36+U38)</f>
        <v>#DIV/0!</v>
      </c>
      <c r="V126" s="169" t="e">
        <f t="shared" si="364"/>
        <v>#DIV/0!</v>
      </c>
      <c r="W126" s="169" t="e">
        <f t="shared" si="364"/>
        <v>#DIV/0!</v>
      </c>
      <c r="X126" s="169" t="e">
        <f t="shared" si="364"/>
        <v>#DIV/0!</v>
      </c>
      <c r="Y126" s="169" t="e">
        <f t="shared" si="364"/>
        <v>#DIV/0!</v>
      </c>
      <c r="Z126" s="169" t="e">
        <f t="shared" si="364"/>
        <v>#DIV/0!</v>
      </c>
      <c r="AA126" s="169" t="e">
        <f t="shared" si="364"/>
        <v>#DIV/0!</v>
      </c>
      <c r="AB126" s="169" t="e">
        <f t="shared" si="364"/>
        <v>#DIV/0!</v>
      </c>
      <c r="AC126" s="169" t="e">
        <f t="shared" si="364"/>
        <v>#DIV/0!</v>
      </c>
      <c r="AD126" s="169" t="e">
        <f t="shared" si="364"/>
        <v>#DIV/0!</v>
      </c>
      <c r="AE126" s="137" t="e">
        <f t="shared" si="360"/>
        <v>#DIV/0!</v>
      </c>
      <c r="AF126" s="145"/>
      <c r="AG126" s="145"/>
    </row>
    <row r="127" spans="1:33" ht="12" customHeight="1">
      <c r="A127" s="205"/>
      <c r="B127" s="200" t="s">
        <v>488</v>
      </c>
      <c r="C127" s="150"/>
      <c r="D127" s="150"/>
      <c r="E127" s="150"/>
      <c r="F127" s="150"/>
      <c r="G127" s="150"/>
      <c r="H127" s="169" t="e">
        <f t="shared" ref="H127:R127" si="365">H43/H38</f>
        <v>#DIV/0!</v>
      </c>
      <c r="I127" s="169" t="e">
        <f t="shared" si="365"/>
        <v>#DIV/0!</v>
      </c>
      <c r="J127" s="169" t="e">
        <f t="shared" si="365"/>
        <v>#DIV/0!</v>
      </c>
      <c r="K127" s="169" t="e">
        <f t="shared" si="365"/>
        <v>#DIV/0!</v>
      </c>
      <c r="L127" s="169" t="e">
        <f t="shared" si="365"/>
        <v>#DIV/0!</v>
      </c>
      <c r="M127" s="169" t="e">
        <f t="shared" si="365"/>
        <v>#DIV/0!</v>
      </c>
      <c r="N127" s="169" t="e">
        <f t="shared" si="365"/>
        <v>#DIV/0!</v>
      </c>
      <c r="O127" s="169" t="e">
        <f t="shared" si="365"/>
        <v>#DIV/0!</v>
      </c>
      <c r="P127" s="169" t="e">
        <f t="shared" si="365"/>
        <v>#DIV/0!</v>
      </c>
      <c r="Q127" s="169" t="e">
        <f t="shared" si="365"/>
        <v>#DIV/0!</v>
      </c>
      <c r="R127" s="169" t="e">
        <f t="shared" si="365"/>
        <v>#DIV/0!</v>
      </c>
      <c r="S127" s="118" t="e">
        <f t="shared" si="309"/>
        <v>#DIV/0!</v>
      </c>
      <c r="T127" s="20"/>
      <c r="U127" s="169" t="e">
        <f t="shared" ref="U127:AD127" si="366">U43/U38</f>
        <v>#DIV/0!</v>
      </c>
      <c r="V127" s="169" t="e">
        <f t="shared" si="366"/>
        <v>#DIV/0!</v>
      </c>
      <c r="W127" s="169" t="e">
        <f t="shared" si="366"/>
        <v>#DIV/0!</v>
      </c>
      <c r="X127" s="169" t="e">
        <f t="shared" si="366"/>
        <v>#DIV/0!</v>
      </c>
      <c r="Y127" s="169" t="e">
        <f t="shared" si="366"/>
        <v>#DIV/0!</v>
      </c>
      <c r="Z127" s="169" t="e">
        <f t="shared" si="366"/>
        <v>#DIV/0!</v>
      </c>
      <c r="AA127" s="169" t="e">
        <f t="shared" si="366"/>
        <v>#DIV/0!</v>
      </c>
      <c r="AB127" s="169" t="e">
        <f t="shared" si="366"/>
        <v>#DIV/0!</v>
      </c>
      <c r="AC127" s="169" t="e">
        <f t="shared" si="366"/>
        <v>#DIV/0!</v>
      </c>
      <c r="AD127" s="169" t="e">
        <f t="shared" si="366"/>
        <v>#DIV/0!</v>
      </c>
      <c r="AE127" s="137" t="e">
        <f t="shared" si="360"/>
        <v>#DIV/0!</v>
      </c>
      <c r="AF127" s="145"/>
      <c r="AG127" s="145"/>
    </row>
    <row r="128" spans="1:33" ht="12" customHeight="1">
      <c r="A128" s="205"/>
      <c r="B128" s="200" t="s">
        <v>487</v>
      </c>
      <c r="C128" s="150"/>
      <c r="D128" s="150"/>
      <c r="E128" s="150"/>
      <c r="F128" s="150"/>
      <c r="G128" s="150"/>
      <c r="H128" s="169" t="e">
        <f t="shared" ref="H128:R128" si="367">H43/(H36+H38)</f>
        <v>#DIV/0!</v>
      </c>
      <c r="I128" s="169" t="e">
        <f t="shared" si="367"/>
        <v>#DIV/0!</v>
      </c>
      <c r="J128" s="169" t="e">
        <f t="shared" si="367"/>
        <v>#DIV/0!</v>
      </c>
      <c r="K128" s="169" t="e">
        <f t="shared" si="367"/>
        <v>#DIV/0!</v>
      </c>
      <c r="L128" s="169" t="e">
        <f t="shared" si="367"/>
        <v>#DIV/0!</v>
      </c>
      <c r="M128" s="169" t="e">
        <f t="shared" si="367"/>
        <v>#DIV/0!</v>
      </c>
      <c r="N128" s="169" t="e">
        <f t="shared" si="367"/>
        <v>#DIV/0!</v>
      </c>
      <c r="O128" s="169" t="e">
        <f t="shared" si="367"/>
        <v>#DIV/0!</v>
      </c>
      <c r="P128" s="169" t="e">
        <f t="shared" si="367"/>
        <v>#DIV/0!</v>
      </c>
      <c r="Q128" s="169" t="e">
        <f t="shared" si="367"/>
        <v>#DIV/0!</v>
      </c>
      <c r="R128" s="169" t="e">
        <f t="shared" si="367"/>
        <v>#DIV/0!</v>
      </c>
      <c r="S128" s="118" t="e">
        <f t="shared" si="309"/>
        <v>#DIV/0!</v>
      </c>
      <c r="T128" s="20"/>
      <c r="U128" s="169" t="e">
        <f t="shared" ref="U128:AD128" si="368">U43/(U36+U38)</f>
        <v>#DIV/0!</v>
      </c>
      <c r="V128" s="169" t="e">
        <f t="shared" si="368"/>
        <v>#DIV/0!</v>
      </c>
      <c r="W128" s="169" t="e">
        <f t="shared" si="368"/>
        <v>#DIV/0!</v>
      </c>
      <c r="X128" s="169" t="e">
        <f t="shared" si="368"/>
        <v>#DIV/0!</v>
      </c>
      <c r="Y128" s="169" t="e">
        <f t="shared" si="368"/>
        <v>#DIV/0!</v>
      </c>
      <c r="Z128" s="169" t="e">
        <f t="shared" si="368"/>
        <v>#DIV/0!</v>
      </c>
      <c r="AA128" s="169" t="e">
        <f t="shared" si="368"/>
        <v>#DIV/0!</v>
      </c>
      <c r="AB128" s="169" t="e">
        <f t="shared" si="368"/>
        <v>#DIV/0!</v>
      </c>
      <c r="AC128" s="169" t="e">
        <f t="shared" si="368"/>
        <v>#DIV/0!</v>
      </c>
      <c r="AD128" s="169" t="e">
        <f t="shared" si="368"/>
        <v>#DIV/0!</v>
      </c>
      <c r="AE128" s="137" t="e">
        <f>((AD128/H128)^(1/($AD$3-$I$1) ))-1</f>
        <v>#DIV/0!</v>
      </c>
      <c r="AF128" s="145"/>
      <c r="AG128" s="145"/>
    </row>
    <row r="129" spans="1:33" ht="12" customHeight="1">
      <c r="A129" s="205"/>
      <c r="B129" s="200" t="s">
        <v>494</v>
      </c>
      <c r="C129" s="150"/>
      <c r="D129" s="150"/>
      <c r="E129" s="150"/>
      <c r="F129" s="150"/>
      <c r="G129" s="150"/>
      <c r="H129" s="169">
        <f t="shared" ref="H129:R129" si="369">H47/H25</f>
        <v>0</v>
      </c>
      <c r="I129" s="169">
        <f t="shared" si="369"/>
        <v>0</v>
      </c>
      <c r="J129" s="169">
        <f t="shared" si="369"/>
        <v>0</v>
      </c>
      <c r="K129" s="169">
        <f t="shared" si="369"/>
        <v>0</v>
      </c>
      <c r="L129" s="169">
        <f t="shared" si="369"/>
        <v>0</v>
      </c>
      <c r="M129" s="169">
        <f t="shared" si="369"/>
        <v>0</v>
      </c>
      <c r="N129" s="169">
        <f t="shared" si="369"/>
        <v>0</v>
      </c>
      <c r="O129" s="169">
        <f t="shared" si="369"/>
        <v>0</v>
      </c>
      <c r="P129" s="169" t="e">
        <f t="shared" si="369"/>
        <v>#DIV/0!</v>
      </c>
      <c r="Q129" s="169" t="e">
        <f t="shared" si="369"/>
        <v>#DIV/0!</v>
      </c>
      <c r="R129" s="169" t="e">
        <f t="shared" si="369"/>
        <v>#DIV/0!</v>
      </c>
      <c r="S129" s="118" t="e">
        <f t="shared" si="309"/>
        <v>#DIV/0!</v>
      </c>
      <c r="T129" s="20"/>
      <c r="U129" s="169" t="e">
        <f t="shared" ref="U129:AD129" si="370">U47/U25</f>
        <v>#DIV/0!</v>
      </c>
      <c r="V129" s="169" t="e">
        <f t="shared" si="370"/>
        <v>#DIV/0!</v>
      </c>
      <c r="W129" s="169" t="e">
        <f t="shared" si="370"/>
        <v>#DIV/0!</v>
      </c>
      <c r="X129" s="169" t="e">
        <f t="shared" si="370"/>
        <v>#DIV/0!</v>
      </c>
      <c r="Y129" s="169" t="e">
        <f t="shared" si="370"/>
        <v>#DIV/0!</v>
      </c>
      <c r="Z129" s="169" t="e">
        <f t="shared" si="370"/>
        <v>#DIV/0!</v>
      </c>
      <c r="AA129" s="169" t="e">
        <f t="shared" si="370"/>
        <v>#DIV/0!</v>
      </c>
      <c r="AB129" s="169" t="e">
        <f t="shared" si="370"/>
        <v>#DIV/0!</v>
      </c>
      <c r="AC129" s="169" t="e">
        <f t="shared" si="370"/>
        <v>#DIV/0!</v>
      </c>
      <c r="AD129" s="169" t="e">
        <f t="shared" si="370"/>
        <v>#DIV/0!</v>
      </c>
      <c r="AE129" s="137" t="e">
        <f>((AD129/H129)^(1/($AD$3-$I$1) ))-1</f>
        <v>#DIV/0!</v>
      </c>
      <c r="AF129" s="145"/>
      <c r="AG129" s="145"/>
    </row>
    <row r="130" spans="1:33" ht="12" customHeight="1">
      <c r="A130" s="205"/>
      <c r="B130" s="200" t="s">
        <v>492</v>
      </c>
      <c r="C130" s="150"/>
      <c r="D130" s="150"/>
      <c r="E130" s="150"/>
      <c r="F130" s="150"/>
      <c r="G130" s="150"/>
      <c r="H130" s="204" t="e">
        <f t="shared" ref="H130:R130" si="371">H55/H49</f>
        <v>#DIV/0!</v>
      </c>
      <c r="I130" s="204" t="e">
        <f t="shared" si="371"/>
        <v>#DIV/0!</v>
      </c>
      <c r="J130" s="204" t="e">
        <f t="shared" si="371"/>
        <v>#DIV/0!</v>
      </c>
      <c r="K130" s="204" t="e">
        <f t="shared" si="371"/>
        <v>#DIV/0!</v>
      </c>
      <c r="L130" s="204" t="e">
        <f t="shared" si="371"/>
        <v>#DIV/0!</v>
      </c>
      <c r="M130" s="204" t="e">
        <f t="shared" si="371"/>
        <v>#DIV/0!</v>
      </c>
      <c r="N130" s="204" t="e">
        <f t="shared" si="371"/>
        <v>#DIV/0!</v>
      </c>
      <c r="O130" s="204" t="e">
        <f t="shared" si="371"/>
        <v>#DIV/0!</v>
      </c>
      <c r="P130" s="204" t="e">
        <f t="shared" si="371"/>
        <v>#DIV/0!</v>
      </c>
      <c r="Q130" s="204" t="e">
        <f t="shared" si="371"/>
        <v>#DIV/0!</v>
      </c>
      <c r="R130" s="204" t="e">
        <f t="shared" si="371"/>
        <v>#DIV/0!</v>
      </c>
      <c r="S130" s="118" t="e">
        <f t="shared" si="309"/>
        <v>#DIV/0!</v>
      </c>
      <c r="T130" s="20"/>
      <c r="U130" s="204" t="e">
        <f t="shared" ref="U130:AD130" si="372">U55/U49</f>
        <v>#DIV/0!</v>
      </c>
      <c r="V130" s="204" t="e">
        <f t="shared" si="372"/>
        <v>#DIV/0!</v>
      </c>
      <c r="W130" s="204" t="e">
        <f t="shared" si="372"/>
        <v>#DIV/0!</v>
      </c>
      <c r="X130" s="204" t="e">
        <f t="shared" si="372"/>
        <v>#DIV/0!</v>
      </c>
      <c r="Y130" s="204" t="e">
        <f t="shared" si="372"/>
        <v>#DIV/0!</v>
      </c>
      <c r="Z130" s="204" t="e">
        <f t="shared" si="372"/>
        <v>#DIV/0!</v>
      </c>
      <c r="AA130" s="204" t="e">
        <f t="shared" si="372"/>
        <v>#DIV/0!</v>
      </c>
      <c r="AB130" s="204" t="e">
        <f t="shared" si="372"/>
        <v>#DIV/0!</v>
      </c>
      <c r="AC130" s="204" t="e">
        <f t="shared" si="372"/>
        <v>#DIV/0!</v>
      </c>
      <c r="AD130" s="204" t="e">
        <f t="shared" si="372"/>
        <v>#DIV/0!</v>
      </c>
      <c r="AE130" s="137" t="e">
        <f>((AD130/H130)^(1/($AD$3-$I$1) ))-1</f>
        <v>#DIV/0!</v>
      </c>
      <c r="AF130" s="145"/>
      <c r="AG130" s="145"/>
    </row>
    <row r="131" spans="1:33" ht="12" customHeight="1">
      <c r="A131" s="205"/>
      <c r="B131" s="200" t="s">
        <v>485</v>
      </c>
      <c r="C131" s="150"/>
      <c r="D131" s="150"/>
      <c r="E131" s="150"/>
      <c r="F131" s="150"/>
      <c r="G131" s="150"/>
      <c r="H131" s="169" t="e">
        <f t="shared" ref="H131:R131" si="373">H55/H43</f>
        <v>#DIV/0!</v>
      </c>
      <c r="I131" s="169" t="e">
        <f t="shared" si="373"/>
        <v>#DIV/0!</v>
      </c>
      <c r="J131" s="169" t="e">
        <f t="shared" si="373"/>
        <v>#DIV/0!</v>
      </c>
      <c r="K131" s="169" t="e">
        <f t="shared" si="373"/>
        <v>#DIV/0!</v>
      </c>
      <c r="L131" s="169" t="e">
        <f t="shared" si="373"/>
        <v>#DIV/0!</v>
      </c>
      <c r="M131" s="169" t="e">
        <f t="shared" si="373"/>
        <v>#DIV/0!</v>
      </c>
      <c r="N131" s="169" t="e">
        <f t="shared" si="373"/>
        <v>#DIV/0!</v>
      </c>
      <c r="O131" s="169" t="e">
        <f t="shared" si="373"/>
        <v>#DIV/0!</v>
      </c>
      <c r="P131" s="169" t="e">
        <f t="shared" si="373"/>
        <v>#DIV/0!</v>
      </c>
      <c r="Q131" s="169" t="e">
        <f t="shared" si="373"/>
        <v>#DIV/0!</v>
      </c>
      <c r="R131" s="169" t="e">
        <f t="shared" si="373"/>
        <v>#DIV/0!</v>
      </c>
      <c r="S131" s="118" t="e">
        <f t="shared" si="309"/>
        <v>#DIV/0!</v>
      </c>
      <c r="T131" s="20"/>
      <c r="U131" s="169" t="e">
        <f t="shared" ref="U131:AD131" si="374">U55/U43</f>
        <v>#DIV/0!</v>
      </c>
      <c r="V131" s="169" t="e">
        <f t="shared" si="374"/>
        <v>#DIV/0!</v>
      </c>
      <c r="W131" s="169" t="e">
        <f t="shared" si="374"/>
        <v>#DIV/0!</v>
      </c>
      <c r="X131" s="169" t="e">
        <f t="shared" si="374"/>
        <v>#DIV/0!</v>
      </c>
      <c r="Y131" s="169" t="e">
        <f t="shared" si="374"/>
        <v>#DIV/0!</v>
      </c>
      <c r="Z131" s="169" t="e">
        <f t="shared" si="374"/>
        <v>#DIV/0!</v>
      </c>
      <c r="AA131" s="169" t="e">
        <f t="shared" si="374"/>
        <v>#DIV/0!</v>
      </c>
      <c r="AB131" s="169" t="e">
        <f t="shared" si="374"/>
        <v>#DIV/0!</v>
      </c>
      <c r="AC131" s="169" t="e">
        <f t="shared" si="374"/>
        <v>#DIV/0!</v>
      </c>
      <c r="AD131" s="169" t="e">
        <f t="shared" si="374"/>
        <v>#DIV/0!</v>
      </c>
      <c r="AE131" s="137" t="e">
        <f t="shared" si="360"/>
        <v>#DIV/0!</v>
      </c>
      <c r="AF131" s="145"/>
      <c r="AG131" s="145"/>
    </row>
    <row r="132" spans="1:33" ht="12" customHeight="1">
      <c r="A132" s="205"/>
      <c r="B132" s="200" t="s">
        <v>486</v>
      </c>
      <c r="C132" s="150"/>
      <c r="D132" s="150"/>
      <c r="E132" s="150"/>
      <c r="F132" s="150"/>
      <c r="G132" s="150"/>
      <c r="H132" s="169" t="e">
        <f t="shared" ref="H132:R132" si="375">H55/(H36+H38)</f>
        <v>#DIV/0!</v>
      </c>
      <c r="I132" s="169" t="e">
        <f t="shared" si="375"/>
        <v>#DIV/0!</v>
      </c>
      <c r="J132" s="169" t="e">
        <f t="shared" si="375"/>
        <v>#DIV/0!</v>
      </c>
      <c r="K132" s="169" t="e">
        <f t="shared" si="375"/>
        <v>#DIV/0!</v>
      </c>
      <c r="L132" s="169" t="e">
        <f t="shared" si="375"/>
        <v>#DIV/0!</v>
      </c>
      <c r="M132" s="169" t="e">
        <f t="shared" si="375"/>
        <v>#DIV/0!</v>
      </c>
      <c r="N132" s="169" t="e">
        <f t="shared" si="375"/>
        <v>#DIV/0!</v>
      </c>
      <c r="O132" s="169" t="e">
        <f t="shared" si="375"/>
        <v>#DIV/0!</v>
      </c>
      <c r="P132" s="169" t="e">
        <f t="shared" si="375"/>
        <v>#DIV/0!</v>
      </c>
      <c r="Q132" s="169" t="e">
        <f t="shared" si="375"/>
        <v>#DIV/0!</v>
      </c>
      <c r="R132" s="169" t="e">
        <f t="shared" si="375"/>
        <v>#DIV/0!</v>
      </c>
      <c r="S132" s="118" t="e">
        <f t="shared" si="309"/>
        <v>#DIV/0!</v>
      </c>
      <c r="T132" s="20"/>
      <c r="U132" s="169" t="e">
        <f t="shared" ref="U132:AD132" si="376">U55/(U36+U38)</f>
        <v>#DIV/0!</v>
      </c>
      <c r="V132" s="169" t="e">
        <f t="shared" si="376"/>
        <v>#DIV/0!</v>
      </c>
      <c r="W132" s="169" t="e">
        <f t="shared" si="376"/>
        <v>#DIV/0!</v>
      </c>
      <c r="X132" s="169" t="e">
        <f t="shared" si="376"/>
        <v>#DIV/0!</v>
      </c>
      <c r="Y132" s="169" t="e">
        <f t="shared" si="376"/>
        <v>#DIV/0!</v>
      </c>
      <c r="Z132" s="169" t="e">
        <f t="shared" si="376"/>
        <v>#DIV/0!</v>
      </c>
      <c r="AA132" s="169" t="e">
        <f t="shared" si="376"/>
        <v>#DIV/0!</v>
      </c>
      <c r="AB132" s="169" t="e">
        <f t="shared" si="376"/>
        <v>#DIV/0!</v>
      </c>
      <c r="AC132" s="169" t="e">
        <f t="shared" si="376"/>
        <v>#DIV/0!</v>
      </c>
      <c r="AD132" s="169" t="e">
        <f t="shared" si="376"/>
        <v>#DIV/0!</v>
      </c>
      <c r="AE132" s="137" t="e">
        <f t="shared" si="360"/>
        <v>#DIV/0!</v>
      </c>
      <c r="AF132" s="145"/>
      <c r="AG132" s="145"/>
    </row>
    <row r="133" spans="1:33" ht="12" customHeight="1">
      <c r="B133" s="20"/>
      <c r="C133" s="150"/>
      <c r="D133" s="150"/>
      <c r="E133" s="150"/>
      <c r="F133" s="150"/>
      <c r="G133" s="150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2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202"/>
      <c r="AF133" s="145"/>
      <c r="AG133" s="145"/>
    </row>
    <row r="134" spans="1:33">
      <c r="B134" s="20" t="s">
        <v>324</v>
      </c>
      <c r="C134" s="150"/>
      <c r="D134" s="150"/>
      <c r="E134" s="150"/>
      <c r="F134" s="150"/>
      <c r="G134" s="161"/>
      <c r="H134" s="161">
        <f t="shared" ref="H134:R134" si="377">H10-(H12+H13)</f>
        <v>221</v>
      </c>
      <c r="I134" s="161">
        <f t="shared" si="377"/>
        <v>-1044</v>
      </c>
      <c r="J134" s="161">
        <f t="shared" si="377"/>
        <v>-1794</v>
      </c>
      <c r="K134" s="161">
        <f t="shared" si="377"/>
        <v>-892</v>
      </c>
      <c r="L134" s="161">
        <f t="shared" si="377"/>
        <v>-1437</v>
      </c>
      <c r="M134" s="161">
        <f t="shared" si="377"/>
        <v>-2303</v>
      </c>
      <c r="N134" s="161">
        <f t="shared" si="377"/>
        <v>-2821</v>
      </c>
      <c r="O134" s="161">
        <f t="shared" si="377"/>
        <v>-3791</v>
      </c>
      <c r="P134" s="161">
        <f t="shared" si="377"/>
        <v>0</v>
      </c>
      <c r="Q134" s="161">
        <f t="shared" si="377"/>
        <v>0</v>
      </c>
      <c r="R134" s="161">
        <f t="shared" si="377"/>
        <v>0</v>
      </c>
      <c r="S134" s="118" t="e">
        <f t="shared" si="309"/>
        <v>#DIV/0!</v>
      </c>
      <c r="T134" s="20"/>
      <c r="U134" s="161">
        <f t="shared" ref="U134:AD134" si="378">U10-(U12+U13)</f>
        <v>0</v>
      </c>
      <c r="V134" s="161">
        <f t="shared" si="378"/>
        <v>0</v>
      </c>
      <c r="W134" s="161">
        <f t="shared" si="378"/>
        <v>0</v>
      </c>
      <c r="X134" s="161">
        <f t="shared" si="378"/>
        <v>0</v>
      </c>
      <c r="Y134" s="161">
        <f t="shared" si="378"/>
        <v>0</v>
      </c>
      <c r="Z134" s="161">
        <f t="shared" si="378"/>
        <v>0</v>
      </c>
      <c r="AA134" s="161">
        <f t="shared" si="378"/>
        <v>0</v>
      </c>
      <c r="AB134" s="161">
        <f t="shared" si="378"/>
        <v>0</v>
      </c>
      <c r="AC134" s="161">
        <f t="shared" si="378"/>
        <v>0</v>
      </c>
      <c r="AD134" s="161">
        <f t="shared" si="378"/>
        <v>0</v>
      </c>
      <c r="AE134" s="137">
        <f t="shared" si="311"/>
        <v>-1</v>
      </c>
      <c r="AF134" s="145"/>
      <c r="AG134" s="145"/>
    </row>
    <row r="135" spans="1:33" ht="12" customHeight="1">
      <c r="B135" s="20" t="s">
        <v>319</v>
      </c>
      <c r="C135" s="20"/>
      <c r="D135" s="20"/>
      <c r="E135" s="20"/>
      <c r="F135" s="20"/>
      <c r="G135" s="20"/>
      <c r="H135" s="150">
        <f t="shared" ref="H135:R135" si="379">H55/H18</f>
        <v>0</v>
      </c>
      <c r="I135" s="150">
        <f t="shared" si="379"/>
        <v>0.59225239616613423</v>
      </c>
      <c r="J135" s="150">
        <f t="shared" si="379"/>
        <v>0.59355055424924419</v>
      </c>
      <c r="K135" s="150">
        <f t="shared" si="379"/>
        <v>0.43446981545198626</v>
      </c>
      <c r="L135" s="150">
        <f t="shared" si="379"/>
        <v>0.35307781649245062</v>
      </c>
      <c r="M135" s="150">
        <f t="shared" si="379"/>
        <v>0.22411649795773397</v>
      </c>
      <c r="N135" s="150">
        <f t="shared" si="379"/>
        <v>0.19584996009577016</v>
      </c>
      <c r="O135" s="150">
        <f t="shared" si="379"/>
        <v>0.21697478991596639</v>
      </c>
      <c r="P135" s="150" t="e">
        <f t="shared" si="379"/>
        <v>#DIV/0!</v>
      </c>
      <c r="Q135" s="150" t="e">
        <f t="shared" si="379"/>
        <v>#DIV/0!</v>
      </c>
      <c r="R135" s="150" t="e">
        <f t="shared" si="379"/>
        <v>#DIV/0!</v>
      </c>
      <c r="S135" s="118" t="e">
        <f t="shared" si="309"/>
        <v>#DIV/0!</v>
      </c>
      <c r="T135" s="20"/>
      <c r="U135" s="150" t="e">
        <f t="shared" ref="U135:AD135" si="380">U55/U18</f>
        <v>#DIV/0!</v>
      </c>
      <c r="V135" s="150" t="e">
        <f t="shared" si="380"/>
        <v>#DIV/0!</v>
      </c>
      <c r="W135" s="150" t="e">
        <f t="shared" si="380"/>
        <v>#DIV/0!</v>
      </c>
      <c r="X135" s="150" t="e">
        <f t="shared" si="380"/>
        <v>#DIV/0!</v>
      </c>
      <c r="Y135" s="150" t="e">
        <f t="shared" si="380"/>
        <v>#DIV/0!</v>
      </c>
      <c r="Z135" s="150" t="e">
        <f t="shared" si="380"/>
        <v>#DIV/0!</v>
      </c>
      <c r="AA135" s="150" t="e">
        <f t="shared" si="380"/>
        <v>#DIV/0!</v>
      </c>
      <c r="AB135" s="150" t="e">
        <f t="shared" si="380"/>
        <v>#DIV/0!</v>
      </c>
      <c r="AC135" s="150" t="e">
        <f t="shared" si="380"/>
        <v>#DIV/0!</v>
      </c>
      <c r="AD135" s="150" t="e">
        <f t="shared" si="380"/>
        <v>#DIV/0!</v>
      </c>
      <c r="AE135" s="137" t="e">
        <f t="shared" si="311"/>
        <v>#DIV/0!</v>
      </c>
      <c r="AF135" s="20"/>
      <c r="AG135" s="20"/>
    </row>
    <row r="136" spans="1:33">
      <c r="B136" s="20" t="s">
        <v>320</v>
      </c>
      <c r="C136" s="20"/>
      <c r="D136" s="20"/>
      <c r="E136" s="20"/>
      <c r="F136" s="20"/>
      <c r="G136" s="20"/>
      <c r="H136" s="150">
        <f t="shared" ref="H136:R136" si="381">H55/H25</f>
        <v>0</v>
      </c>
      <c r="I136" s="150">
        <f t="shared" si="381"/>
        <v>0.22999379652605459</v>
      </c>
      <c r="J136" s="150">
        <f t="shared" si="381"/>
        <v>0.26012071249815988</v>
      </c>
      <c r="K136" s="150">
        <f t="shared" si="381"/>
        <v>0.20617485527682944</v>
      </c>
      <c r="L136" s="150">
        <f t="shared" si="381"/>
        <v>0.16856113113390631</v>
      </c>
      <c r="M136" s="150">
        <f t="shared" si="381"/>
        <v>0.16419463960447567</v>
      </c>
      <c r="N136" s="150">
        <f t="shared" si="381"/>
        <v>0.14043722101407805</v>
      </c>
      <c r="O136" s="150">
        <f t="shared" si="381"/>
        <v>0.1282662692498758</v>
      </c>
      <c r="P136" s="150" t="e">
        <f t="shared" si="381"/>
        <v>#DIV/0!</v>
      </c>
      <c r="Q136" s="150" t="e">
        <f t="shared" si="381"/>
        <v>#DIV/0!</v>
      </c>
      <c r="R136" s="150" t="e">
        <f t="shared" si="381"/>
        <v>#DIV/0!</v>
      </c>
      <c r="S136" s="118" t="e">
        <f t="shared" si="309"/>
        <v>#DIV/0!</v>
      </c>
      <c r="T136" s="20"/>
      <c r="U136" s="150" t="e">
        <f t="shared" ref="U136:AD136" si="382">U55/U25</f>
        <v>#DIV/0!</v>
      </c>
      <c r="V136" s="150" t="e">
        <f t="shared" si="382"/>
        <v>#DIV/0!</v>
      </c>
      <c r="W136" s="150" t="e">
        <f t="shared" si="382"/>
        <v>#DIV/0!</v>
      </c>
      <c r="X136" s="150" t="e">
        <f t="shared" si="382"/>
        <v>#DIV/0!</v>
      </c>
      <c r="Y136" s="150" t="e">
        <f t="shared" si="382"/>
        <v>#DIV/0!</v>
      </c>
      <c r="Z136" s="150" t="e">
        <f t="shared" si="382"/>
        <v>#DIV/0!</v>
      </c>
      <c r="AA136" s="150" t="e">
        <f t="shared" si="382"/>
        <v>#DIV/0!</v>
      </c>
      <c r="AB136" s="150" t="e">
        <f t="shared" si="382"/>
        <v>#DIV/0!</v>
      </c>
      <c r="AC136" s="150" t="e">
        <f t="shared" si="382"/>
        <v>#DIV/0!</v>
      </c>
      <c r="AD136" s="150" t="e">
        <f t="shared" si="382"/>
        <v>#DIV/0!</v>
      </c>
      <c r="AE136" s="137" t="e">
        <f t="shared" si="311"/>
        <v>#DIV/0!</v>
      </c>
      <c r="AF136" s="20"/>
      <c r="AG136" s="20"/>
    </row>
    <row r="137" spans="1:33">
      <c r="B137" s="20" t="s">
        <v>346</v>
      </c>
      <c r="C137" s="20"/>
      <c r="D137" s="20"/>
      <c r="E137" s="150"/>
      <c r="F137" s="150"/>
      <c r="G137" s="150"/>
      <c r="H137" s="150">
        <f t="shared" ref="H137:R137" si="383">H25/H18</f>
        <v>0.92459138187221401</v>
      </c>
      <c r="I137" s="150">
        <f t="shared" si="383"/>
        <v>2.5750798722044728</v>
      </c>
      <c r="J137" s="150">
        <f t="shared" si="383"/>
        <v>2.2818273429627141</v>
      </c>
      <c r="K137" s="150">
        <f t="shared" si="383"/>
        <v>2.1072880825774165</v>
      </c>
      <c r="L137" s="150">
        <f t="shared" si="383"/>
        <v>2.09465737514518</v>
      </c>
      <c r="M137" s="150">
        <f t="shared" si="383"/>
        <v>1.3649440596696856</v>
      </c>
      <c r="N137" s="150">
        <f t="shared" si="383"/>
        <v>1.3945730247406225</v>
      </c>
      <c r="O137" s="150">
        <f t="shared" si="383"/>
        <v>1.6915966386554622</v>
      </c>
      <c r="P137" s="150" t="e">
        <f t="shared" si="383"/>
        <v>#DIV/0!</v>
      </c>
      <c r="Q137" s="150" t="e">
        <f t="shared" si="383"/>
        <v>#DIV/0!</v>
      </c>
      <c r="R137" s="150" t="e">
        <f t="shared" si="383"/>
        <v>#DIV/0!</v>
      </c>
      <c r="S137" s="118" t="e">
        <f t="shared" si="309"/>
        <v>#DIV/0!</v>
      </c>
      <c r="T137" s="20"/>
      <c r="U137" s="150" t="e">
        <f t="shared" ref="U137:AD137" si="384">U25/U18</f>
        <v>#DIV/0!</v>
      </c>
      <c r="V137" s="150" t="e">
        <f t="shared" si="384"/>
        <v>#DIV/0!</v>
      </c>
      <c r="W137" s="150" t="e">
        <f t="shared" si="384"/>
        <v>#DIV/0!</v>
      </c>
      <c r="X137" s="150" t="e">
        <f t="shared" si="384"/>
        <v>#DIV/0!</v>
      </c>
      <c r="Y137" s="150" t="e">
        <f t="shared" si="384"/>
        <v>#DIV/0!</v>
      </c>
      <c r="Z137" s="150" t="e">
        <f t="shared" si="384"/>
        <v>#DIV/0!</v>
      </c>
      <c r="AA137" s="150" t="e">
        <f t="shared" si="384"/>
        <v>#DIV/0!</v>
      </c>
      <c r="AB137" s="150" t="e">
        <f t="shared" si="384"/>
        <v>#DIV/0!</v>
      </c>
      <c r="AC137" s="150" t="e">
        <f t="shared" si="384"/>
        <v>#DIV/0!</v>
      </c>
      <c r="AD137" s="150" t="e">
        <f t="shared" si="384"/>
        <v>#DIV/0!</v>
      </c>
      <c r="AE137" s="137" t="e">
        <f t="shared" si="311"/>
        <v>#DIV/0!</v>
      </c>
      <c r="AF137" s="20"/>
      <c r="AG137" s="20"/>
    </row>
    <row r="138" spans="1:33">
      <c r="B138" s="20"/>
      <c r="C138" s="20"/>
      <c r="D138" s="20"/>
      <c r="E138" s="20"/>
      <c r="F138" s="20"/>
      <c r="G138" s="2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28"/>
      <c r="T138" s="2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28"/>
      <c r="AF138" s="20"/>
      <c r="AG138" s="20"/>
    </row>
    <row r="139" spans="1:33">
      <c r="B139" s="20" t="s">
        <v>332</v>
      </c>
      <c r="C139" s="20"/>
      <c r="D139" s="20"/>
      <c r="E139" s="163"/>
      <c r="F139" s="163"/>
      <c r="G139" s="163"/>
      <c r="H139" s="163">
        <f t="shared" ref="H139:R139" si="385">H88*H57</f>
        <v>32.292000000000002</v>
      </c>
      <c r="I139" s="163">
        <f t="shared" si="385"/>
        <v>500.54399999999998</v>
      </c>
      <c r="J139" s="163">
        <f t="shared" si="385"/>
        <v>532.77</v>
      </c>
      <c r="K139" s="163">
        <f t="shared" si="385"/>
        <v>334.95000000000005</v>
      </c>
      <c r="L139" s="163">
        <f t="shared" si="385"/>
        <v>365.68799999999999</v>
      </c>
      <c r="M139" s="163">
        <f t="shared" si="385"/>
        <v>397.74799999999999</v>
      </c>
      <c r="N139" s="163">
        <f t="shared" si="385"/>
        <v>490.97600000000006</v>
      </c>
      <c r="O139" s="163">
        <f t="shared" si="385"/>
        <v>555.15600000000006</v>
      </c>
      <c r="P139" s="163">
        <f t="shared" si="385"/>
        <v>0</v>
      </c>
      <c r="Q139" s="163">
        <f t="shared" si="385"/>
        <v>0</v>
      </c>
      <c r="R139" s="163">
        <f t="shared" si="385"/>
        <v>0</v>
      </c>
      <c r="S139" s="118" t="e">
        <f t="shared" si="309"/>
        <v>#DIV/0!</v>
      </c>
      <c r="T139" s="20"/>
      <c r="U139" s="163">
        <f t="shared" ref="U139:AD139" si="386">U88*U57</f>
        <v>0</v>
      </c>
      <c r="V139" s="163">
        <f t="shared" si="386"/>
        <v>0</v>
      </c>
      <c r="W139" s="163">
        <f t="shared" si="386"/>
        <v>0</v>
      </c>
      <c r="X139" s="163">
        <f t="shared" si="386"/>
        <v>0</v>
      </c>
      <c r="Y139" s="163">
        <f t="shared" si="386"/>
        <v>0</v>
      </c>
      <c r="Z139" s="163">
        <f t="shared" si="386"/>
        <v>0</v>
      </c>
      <c r="AA139" s="163">
        <f t="shared" si="386"/>
        <v>0</v>
      </c>
      <c r="AB139" s="163">
        <f t="shared" si="386"/>
        <v>0</v>
      </c>
      <c r="AC139" s="163">
        <f t="shared" si="386"/>
        <v>0</v>
      </c>
      <c r="AD139" s="163">
        <f t="shared" si="386"/>
        <v>0</v>
      </c>
      <c r="AE139" s="137">
        <f t="shared" si="311"/>
        <v>-1</v>
      </c>
      <c r="AF139" s="20"/>
      <c r="AG139" s="20"/>
    </row>
    <row r="140" spans="1:33">
      <c r="B140" s="20" t="s">
        <v>333</v>
      </c>
      <c r="C140" s="20"/>
      <c r="D140" s="20"/>
      <c r="E140" s="163"/>
      <c r="F140" s="163"/>
      <c r="G140" s="163"/>
      <c r="H140" s="163">
        <f t="shared" ref="H140:Q140" si="387">(H139*0.17)+H139</f>
        <v>37.781640000000003</v>
      </c>
      <c r="I140" s="163">
        <f t="shared" si="387"/>
        <v>585.63648000000001</v>
      </c>
      <c r="J140" s="163">
        <f t="shared" si="387"/>
        <v>623.34090000000003</v>
      </c>
      <c r="K140" s="163">
        <f t="shared" si="387"/>
        <v>391.89150000000006</v>
      </c>
      <c r="L140" s="163">
        <f t="shared" si="387"/>
        <v>427.85496000000001</v>
      </c>
      <c r="M140" s="163">
        <f t="shared" si="387"/>
        <v>465.36516</v>
      </c>
      <c r="N140" s="163">
        <f t="shared" si="387"/>
        <v>574.4419200000001</v>
      </c>
      <c r="O140" s="163">
        <f t="shared" si="387"/>
        <v>649.53252000000009</v>
      </c>
      <c r="P140" s="163">
        <f t="shared" si="387"/>
        <v>0</v>
      </c>
      <c r="Q140" s="163">
        <f t="shared" si="387"/>
        <v>0</v>
      </c>
      <c r="R140" s="163">
        <f t="shared" ref="R140" si="388">(R139*0.17)+R139</f>
        <v>0</v>
      </c>
      <c r="S140" s="118" t="e">
        <f t="shared" si="309"/>
        <v>#DIV/0!</v>
      </c>
      <c r="T140" s="20"/>
      <c r="U140" s="163">
        <f t="shared" ref="U140:AD140" si="389">(U139*0.17)+U139</f>
        <v>0</v>
      </c>
      <c r="V140" s="163">
        <f t="shared" si="389"/>
        <v>0</v>
      </c>
      <c r="W140" s="163">
        <f t="shared" si="389"/>
        <v>0</v>
      </c>
      <c r="X140" s="163">
        <f t="shared" si="389"/>
        <v>0</v>
      </c>
      <c r="Y140" s="163">
        <f t="shared" si="389"/>
        <v>0</v>
      </c>
      <c r="Z140" s="163">
        <f t="shared" si="389"/>
        <v>0</v>
      </c>
      <c r="AA140" s="163">
        <f t="shared" si="389"/>
        <v>0</v>
      </c>
      <c r="AB140" s="163">
        <f t="shared" si="389"/>
        <v>0</v>
      </c>
      <c r="AC140" s="163">
        <f t="shared" si="389"/>
        <v>0</v>
      </c>
      <c r="AD140" s="163">
        <f t="shared" si="389"/>
        <v>0</v>
      </c>
      <c r="AE140" s="137">
        <f t="shared" si="311"/>
        <v>-1</v>
      </c>
      <c r="AF140" s="20"/>
      <c r="AG140" s="20"/>
    </row>
    <row r="141" spans="1:33">
      <c r="B141" s="20" t="s">
        <v>334</v>
      </c>
      <c r="C141" s="20"/>
      <c r="D141" s="20"/>
      <c r="E141" s="20"/>
      <c r="F141" s="20"/>
      <c r="G141" s="150"/>
      <c r="H141" s="150" t="e">
        <f t="shared" ref="H141:R141" si="390">H140/H55</f>
        <v>#DIV/0!</v>
      </c>
      <c r="I141" s="150">
        <f t="shared" si="390"/>
        <v>0.39489985165205665</v>
      </c>
      <c r="J141" s="150">
        <f t="shared" si="390"/>
        <v>0.35276791171477084</v>
      </c>
      <c r="K141" s="150">
        <f t="shared" si="390"/>
        <v>0.28213930885529165</v>
      </c>
      <c r="L141" s="150">
        <f t="shared" si="390"/>
        <v>0.35185440789473682</v>
      </c>
      <c r="M141" s="150">
        <f t="shared" si="390"/>
        <v>0.36875210776545164</v>
      </c>
      <c r="N141" s="150">
        <f t="shared" si="390"/>
        <v>0.46816782396088025</v>
      </c>
      <c r="O141" s="150">
        <f t="shared" si="390"/>
        <v>0.50312356312935713</v>
      </c>
      <c r="P141" s="150" t="e">
        <f t="shared" si="390"/>
        <v>#DIV/0!</v>
      </c>
      <c r="Q141" s="150" t="e">
        <f t="shared" si="390"/>
        <v>#DIV/0!</v>
      </c>
      <c r="R141" s="150" t="e">
        <f t="shared" si="390"/>
        <v>#DIV/0!</v>
      </c>
      <c r="S141" s="118" t="e">
        <f t="shared" si="309"/>
        <v>#DIV/0!</v>
      </c>
      <c r="T141" s="20"/>
      <c r="U141" s="150" t="e">
        <f t="shared" ref="U141:AD141" si="391">U140/U55</f>
        <v>#DIV/0!</v>
      </c>
      <c r="V141" s="150" t="e">
        <f t="shared" si="391"/>
        <v>#DIV/0!</v>
      </c>
      <c r="W141" s="150" t="e">
        <f t="shared" si="391"/>
        <v>#DIV/0!</v>
      </c>
      <c r="X141" s="150" t="e">
        <f t="shared" si="391"/>
        <v>#DIV/0!</v>
      </c>
      <c r="Y141" s="150" t="e">
        <f t="shared" si="391"/>
        <v>#DIV/0!</v>
      </c>
      <c r="Z141" s="150" t="e">
        <f t="shared" si="391"/>
        <v>#DIV/0!</v>
      </c>
      <c r="AA141" s="150" t="e">
        <f t="shared" si="391"/>
        <v>#DIV/0!</v>
      </c>
      <c r="AB141" s="150" t="e">
        <f t="shared" si="391"/>
        <v>#DIV/0!</v>
      </c>
      <c r="AC141" s="150" t="e">
        <f t="shared" si="391"/>
        <v>#DIV/0!</v>
      </c>
      <c r="AD141" s="150" t="e">
        <f t="shared" si="391"/>
        <v>#DIV/0!</v>
      </c>
      <c r="AE141" s="137" t="e">
        <f t="shared" si="311"/>
        <v>#DIV/0!</v>
      </c>
      <c r="AF141" s="20"/>
      <c r="AG141" s="20"/>
    </row>
    <row r="142" spans="1:33">
      <c r="B142" s="20" t="s">
        <v>327</v>
      </c>
      <c r="C142" s="20"/>
      <c r="D142" s="20"/>
      <c r="E142" s="20"/>
      <c r="F142" s="20"/>
      <c r="G142" s="150"/>
      <c r="H142" s="150" t="e">
        <f>1-H141</f>
        <v>#DIV/0!</v>
      </c>
      <c r="I142" s="150">
        <f t="shared" ref="I142:Q142" si="392">1-I141</f>
        <v>0.60510014834794335</v>
      </c>
      <c r="J142" s="150">
        <f t="shared" si="392"/>
        <v>0.64723208828522916</v>
      </c>
      <c r="K142" s="150">
        <f t="shared" si="392"/>
        <v>0.7178606911447083</v>
      </c>
      <c r="L142" s="150">
        <f t="shared" si="392"/>
        <v>0.64814559210526324</v>
      </c>
      <c r="M142" s="150">
        <f t="shared" si="392"/>
        <v>0.63124789223454836</v>
      </c>
      <c r="N142" s="150">
        <f t="shared" si="392"/>
        <v>0.53183217603911981</v>
      </c>
      <c r="O142" s="150">
        <f t="shared" si="392"/>
        <v>0.49687643687064287</v>
      </c>
      <c r="P142" s="150" t="e">
        <f t="shared" si="392"/>
        <v>#DIV/0!</v>
      </c>
      <c r="Q142" s="150" t="e">
        <f t="shared" si="392"/>
        <v>#DIV/0!</v>
      </c>
      <c r="R142" s="150" t="e">
        <f t="shared" ref="R142" si="393">1-R141</f>
        <v>#DIV/0!</v>
      </c>
      <c r="S142" s="118" t="e">
        <f t="shared" si="309"/>
        <v>#DIV/0!</v>
      </c>
      <c r="T142" s="20"/>
      <c r="U142" s="150" t="e">
        <f t="shared" ref="U142:AD142" si="394">1-U141</f>
        <v>#DIV/0!</v>
      </c>
      <c r="V142" s="150" t="e">
        <f t="shared" si="394"/>
        <v>#DIV/0!</v>
      </c>
      <c r="W142" s="150" t="e">
        <f t="shared" si="394"/>
        <v>#DIV/0!</v>
      </c>
      <c r="X142" s="150" t="e">
        <f t="shared" si="394"/>
        <v>#DIV/0!</v>
      </c>
      <c r="Y142" s="150" t="e">
        <f t="shared" si="394"/>
        <v>#DIV/0!</v>
      </c>
      <c r="Z142" s="150" t="e">
        <f t="shared" si="394"/>
        <v>#DIV/0!</v>
      </c>
      <c r="AA142" s="150" t="e">
        <f t="shared" si="394"/>
        <v>#DIV/0!</v>
      </c>
      <c r="AB142" s="150" t="e">
        <f t="shared" si="394"/>
        <v>#DIV/0!</v>
      </c>
      <c r="AC142" s="150" t="e">
        <f t="shared" si="394"/>
        <v>#DIV/0!</v>
      </c>
      <c r="AD142" s="150" t="e">
        <f t="shared" si="394"/>
        <v>#DIV/0!</v>
      </c>
      <c r="AE142" s="137" t="e">
        <f t="shared" si="311"/>
        <v>#DIV/0!</v>
      </c>
      <c r="AF142" s="20"/>
      <c r="AG142" s="20"/>
    </row>
    <row r="143" spans="1:33">
      <c r="B143" s="20" t="s">
        <v>450</v>
      </c>
      <c r="C143" s="20"/>
      <c r="D143" s="20"/>
      <c r="E143" s="20"/>
      <c r="F143" s="20"/>
      <c r="G143" s="150"/>
      <c r="H143" s="150">
        <f t="shared" ref="H143:R143" si="395">H140/H20</f>
        <v>6.8944598540145993E-2</v>
      </c>
      <c r="I143" s="150">
        <f t="shared" si="395"/>
        <v>0.32607821826280625</v>
      </c>
      <c r="J143" s="150">
        <f t="shared" si="395"/>
        <v>0.40009043645699616</v>
      </c>
      <c r="K143" s="150">
        <f t="shared" si="395"/>
        <v>0.40568478260869573</v>
      </c>
      <c r="L143" s="150">
        <f t="shared" si="395"/>
        <v>0.20096522310944107</v>
      </c>
      <c r="M143" s="150">
        <f t="shared" si="395"/>
        <v>0.24832719316969051</v>
      </c>
      <c r="N143" s="150">
        <f t="shared" si="395"/>
        <v>0.37471749510763214</v>
      </c>
      <c r="O143" s="150">
        <f t="shared" si="395"/>
        <v>0.34977518578352185</v>
      </c>
      <c r="P143" s="150" t="e">
        <f t="shared" si="395"/>
        <v>#DIV/0!</v>
      </c>
      <c r="Q143" s="150" t="e">
        <f t="shared" si="395"/>
        <v>#DIV/0!</v>
      </c>
      <c r="R143" s="150" t="e">
        <f t="shared" si="395"/>
        <v>#DIV/0!</v>
      </c>
      <c r="S143" s="118" t="e">
        <f t="shared" si="309"/>
        <v>#DIV/0!</v>
      </c>
      <c r="T143" s="20"/>
      <c r="U143" s="150" t="e">
        <f t="shared" ref="U143:AD143" si="396">U140/U20</f>
        <v>#DIV/0!</v>
      </c>
      <c r="V143" s="150" t="e">
        <f t="shared" si="396"/>
        <v>#DIV/0!</v>
      </c>
      <c r="W143" s="150" t="e">
        <f t="shared" si="396"/>
        <v>#DIV/0!</v>
      </c>
      <c r="X143" s="150" t="e">
        <f t="shared" si="396"/>
        <v>#DIV/0!</v>
      </c>
      <c r="Y143" s="150" t="e">
        <f t="shared" si="396"/>
        <v>#DIV/0!</v>
      </c>
      <c r="Z143" s="150" t="e">
        <f t="shared" si="396"/>
        <v>#DIV/0!</v>
      </c>
      <c r="AA143" s="150" t="e">
        <f t="shared" si="396"/>
        <v>#DIV/0!</v>
      </c>
      <c r="AB143" s="150" t="e">
        <f t="shared" si="396"/>
        <v>#DIV/0!</v>
      </c>
      <c r="AC143" s="150" t="e">
        <f t="shared" si="396"/>
        <v>#DIV/0!</v>
      </c>
      <c r="AD143" s="150" t="e">
        <f t="shared" si="396"/>
        <v>#DIV/0!</v>
      </c>
      <c r="AE143" s="137" t="s">
        <v>451</v>
      </c>
      <c r="AF143" s="20"/>
      <c r="AG143" s="20"/>
    </row>
    <row r="144" spans="1:33">
      <c r="B144" s="20"/>
      <c r="C144" s="20"/>
      <c r="D144" s="20"/>
      <c r="E144" s="20"/>
      <c r="F144" s="20"/>
      <c r="G144" s="2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28"/>
      <c r="T144" s="2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28"/>
      <c r="AF144" s="20"/>
      <c r="AG144" s="20"/>
    </row>
    <row r="145" spans="2:33">
      <c r="B145" s="20" t="s">
        <v>331</v>
      </c>
      <c r="C145" s="150"/>
      <c r="D145" s="150"/>
      <c r="E145" s="150"/>
      <c r="F145" s="150"/>
      <c r="G145" s="150"/>
      <c r="H145" s="150">
        <f t="shared" ref="H145:R145" si="397">H31/H25</f>
        <v>0</v>
      </c>
      <c r="I145" s="150">
        <f t="shared" si="397"/>
        <v>0</v>
      </c>
      <c r="J145" s="150">
        <f t="shared" si="397"/>
        <v>0</v>
      </c>
      <c r="K145" s="150">
        <f t="shared" si="397"/>
        <v>0</v>
      </c>
      <c r="L145" s="150">
        <f t="shared" si="397"/>
        <v>0</v>
      </c>
      <c r="M145" s="150">
        <f t="shared" si="397"/>
        <v>0</v>
      </c>
      <c r="N145" s="150">
        <f t="shared" si="397"/>
        <v>0</v>
      </c>
      <c r="O145" s="150">
        <f t="shared" si="397"/>
        <v>0</v>
      </c>
      <c r="P145" s="150" t="e">
        <f t="shared" si="397"/>
        <v>#DIV/0!</v>
      </c>
      <c r="Q145" s="150" t="e">
        <f t="shared" si="397"/>
        <v>#DIV/0!</v>
      </c>
      <c r="R145" s="150" t="e">
        <f t="shared" si="397"/>
        <v>#DIV/0!</v>
      </c>
      <c r="S145" s="118" t="e">
        <f t="shared" si="309"/>
        <v>#DIV/0!</v>
      </c>
      <c r="T145" s="20"/>
      <c r="U145" s="150" t="e">
        <f t="shared" ref="U145:AD145" si="398">U31/U25</f>
        <v>#DIV/0!</v>
      </c>
      <c r="V145" s="150" t="e">
        <f t="shared" si="398"/>
        <v>#DIV/0!</v>
      </c>
      <c r="W145" s="150" t="e">
        <f t="shared" si="398"/>
        <v>#DIV/0!</v>
      </c>
      <c r="X145" s="150" t="e">
        <f t="shared" si="398"/>
        <v>#DIV/0!</v>
      </c>
      <c r="Y145" s="150" t="e">
        <f t="shared" si="398"/>
        <v>#DIV/0!</v>
      </c>
      <c r="Z145" s="150" t="e">
        <f t="shared" si="398"/>
        <v>#DIV/0!</v>
      </c>
      <c r="AA145" s="150" t="e">
        <f t="shared" si="398"/>
        <v>#DIV/0!</v>
      </c>
      <c r="AB145" s="150" t="e">
        <f t="shared" si="398"/>
        <v>#DIV/0!</v>
      </c>
      <c r="AC145" s="150" t="e">
        <f t="shared" si="398"/>
        <v>#DIV/0!</v>
      </c>
      <c r="AD145" s="150" t="e">
        <f t="shared" si="398"/>
        <v>#DIV/0!</v>
      </c>
      <c r="AE145" s="137" t="e">
        <f t="shared" si="311"/>
        <v>#DIV/0!</v>
      </c>
      <c r="AF145" s="20"/>
      <c r="AG145" s="20"/>
    </row>
    <row r="146" spans="2:33">
      <c r="B146" s="20" t="s">
        <v>328</v>
      </c>
      <c r="C146" s="150"/>
      <c r="D146" s="150"/>
      <c r="E146" s="150"/>
      <c r="F146" s="150"/>
      <c r="G146" s="150"/>
      <c r="H146" s="150">
        <f t="shared" ref="H146:R146" si="399">H32/H25</f>
        <v>0</v>
      </c>
      <c r="I146" s="150">
        <f t="shared" si="399"/>
        <v>0</v>
      </c>
      <c r="J146" s="150">
        <f t="shared" si="399"/>
        <v>0</v>
      </c>
      <c r="K146" s="150">
        <f t="shared" si="399"/>
        <v>0</v>
      </c>
      <c r="L146" s="150">
        <f t="shared" si="399"/>
        <v>0</v>
      </c>
      <c r="M146" s="150">
        <f t="shared" si="399"/>
        <v>0</v>
      </c>
      <c r="N146" s="150">
        <f t="shared" si="399"/>
        <v>0</v>
      </c>
      <c r="O146" s="150">
        <f t="shared" si="399"/>
        <v>0</v>
      </c>
      <c r="P146" s="150" t="e">
        <f t="shared" si="399"/>
        <v>#DIV/0!</v>
      </c>
      <c r="Q146" s="150" t="e">
        <f t="shared" si="399"/>
        <v>#DIV/0!</v>
      </c>
      <c r="R146" s="150" t="e">
        <f t="shared" si="399"/>
        <v>#DIV/0!</v>
      </c>
      <c r="S146" s="118" t="e">
        <f t="shared" si="309"/>
        <v>#DIV/0!</v>
      </c>
      <c r="T146" s="20"/>
      <c r="U146" s="150" t="e">
        <f t="shared" ref="U146:AD146" si="400">U32/U25</f>
        <v>#DIV/0!</v>
      </c>
      <c r="V146" s="150" t="e">
        <f t="shared" si="400"/>
        <v>#DIV/0!</v>
      </c>
      <c r="W146" s="150" t="e">
        <f t="shared" si="400"/>
        <v>#DIV/0!</v>
      </c>
      <c r="X146" s="150" t="e">
        <f t="shared" si="400"/>
        <v>#DIV/0!</v>
      </c>
      <c r="Y146" s="150" t="e">
        <f t="shared" si="400"/>
        <v>#DIV/0!</v>
      </c>
      <c r="Z146" s="150" t="e">
        <f t="shared" si="400"/>
        <v>#DIV/0!</v>
      </c>
      <c r="AA146" s="150" t="e">
        <f t="shared" si="400"/>
        <v>#DIV/0!</v>
      </c>
      <c r="AB146" s="150" t="e">
        <f t="shared" si="400"/>
        <v>#DIV/0!</v>
      </c>
      <c r="AC146" s="150" t="e">
        <f t="shared" si="400"/>
        <v>#DIV/0!</v>
      </c>
      <c r="AD146" s="150" t="e">
        <f t="shared" si="400"/>
        <v>#DIV/0!</v>
      </c>
      <c r="AE146" s="137" t="e">
        <f t="shared" si="311"/>
        <v>#DIV/0!</v>
      </c>
      <c r="AF146" s="20"/>
      <c r="AG146" s="20"/>
    </row>
    <row r="147" spans="2:33">
      <c r="B147" s="20" t="s">
        <v>458</v>
      </c>
      <c r="C147" s="150"/>
      <c r="D147" s="150"/>
      <c r="E147" s="150"/>
      <c r="F147" s="150"/>
      <c r="G147" s="150"/>
      <c r="H147" s="150">
        <f t="shared" ref="H147:R147" si="401">(H31+H32)/H25</f>
        <v>0</v>
      </c>
      <c r="I147" s="150">
        <f t="shared" si="401"/>
        <v>0</v>
      </c>
      <c r="J147" s="150">
        <f t="shared" si="401"/>
        <v>0</v>
      </c>
      <c r="K147" s="150">
        <f t="shared" si="401"/>
        <v>0</v>
      </c>
      <c r="L147" s="150">
        <f t="shared" si="401"/>
        <v>0</v>
      </c>
      <c r="M147" s="150">
        <f t="shared" si="401"/>
        <v>0</v>
      </c>
      <c r="N147" s="150">
        <f t="shared" si="401"/>
        <v>0</v>
      </c>
      <c r="O147" s="150">
        <f t="shared" si="401"/>
        <v>0</v>
      </c>
      <c r="P147" s="150" t="e">
        <f t="shared" si="401"/>
        <v>#DIV/0!</v>
      </c>
      <c r="Q147" s="150" t="e">
        <f t="shared" si="401"/>
        <v>#DIV/0!</v>
      </c>
      <c r="R147" s="150" t="e">
        <f t="shared" si="401"/>
        <v>#DIV/0!</v>
      </c>
      <c r="S147" s="118" t="e">
        <f t="shared" si="309"/>
        <v>#DIV/0!</v>
      </c>
      <c r="T147" s="20"/>
      <c r="U147" s="150" t="e">
        <f t="shared" ref="U147:AD147" si="402">(U31+U32)/U25</f>
        <v>#DIV/0!</v>
      </c>
      <c r="V147" s="150" t="e">
        <f t="shared" si="402"/>
        <v>#DIV/0!</v>
      </c>
      <c r="W147" s="150" t="e">
        <f t="shared" si="402"/>
        <v>#DIV/0!</v>
      </c>
      <c r="X147" s="150" t="e">
        <f t="shared" si="402"/>
        <v>#DIV/0!</v>
      </c>
      <c r="Y147" s="150" t="e">
        <f t="shared" si="402"/>
        <v>#DIV/0!</v>
      </c>
      <c r="Z147" s="150" t="e">
        <f t="shared" si="402"/>
        <v>#DIV/0!</v>
      </c>
      <c r="AA147" s="150" t="e">
        <f t="shared" si="402"/>
        <v>#DIV/0!</v>
      </c>
      <c r="AB147" s="150" t="e">
        <f t="shared" si="402"/>
        <v>#DIV/0!</v>
      </c>
      <c r="AC147" s="150" t="e">
        <f t="shared" si="402"/>
        <v>#DIV/0!</v>
      </c>
      <c r="AD147" s="150" t="e">
        <f t="shared" si="402"/>
        <v>#DIV/0!</v>
      </c>
      <c r="AE147" s="137" t="e">
        <f t="shared" si="311"/>
        <v>#DIV/0!</v>
      </c>
      <c r="AF147" s="20"/>
      <c r="AG147" s="20"/>
    </row>
    <row r="148" spans="2:33">
      <c r="B148" s="20"/>
      <c r="C148" s="20"/>
      <c r="D148" s="20"/>
      <c r="E148" s="20"/>
      <c r="F148" s="20"/>
      <c r="G148" s="2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28"/>
      <c r="T148" s="2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28"/>
      <c r="AF148" s="20"/>
      <c r="AG148" s="20"/>
    </row>
    <row r="149" spans="2:33">
      <c r="B149" s="20" t="s">
        <v>352</v>
      </c>
      <c r="C149" s="20"/>
      <c r="D149" s="20"/>
      <c r="E149" s="20"/>
      <c r="F149" s="20"/>
      <c r="G149" s="20"/>
      <c r="H149" s="150">
        <f t="shared" ref="H149:R149" si="403">H27/H25</f>
        <v>0.7147448774608276</v>
      </c>
      <c r="I149" s="150">
        <f t="shared" si="403"/>
        <v>0.64981389578163773</v>
      </c>
      <c r="J149" s="150">
        <f t="shared" si="403"/>
        <v>0.40850875901663475</v>
      </c>
      <c r="K149" s="150">
        <f t="shared" si="403"/>
        <v>0.66750779278610661</v>
      </c>
      <c r="L149" s="150">
        <f t="shared" si="403"/>
        <v>0.70931522040476847</v>
      </c>
      <c r="M149" s="150">
        <f t="shared" si="403"/>
        <v>0.73054905022118133</v>
      </c>
      <c r="N149" s="150">
        <f t="shared" si="403"/>
        <v>0.74808286597230167</v>
      </c>
      <c r="O149" s="150">
        <f t="shared" si="403"/>
        <v>0.74734227521112762</v>
      </c>
      <c r="P149" s="150" t="e">
        <f t="shared" si="403"/>
        <v>#DIV/0!</v>
      </c>
      <c r="Q149" s="150" t="e">
        <f t="shared" si="403"/>
        <v>#DIV/0!</v>
      </c>
      <c r="R149" s="150" t="e">
        <f t="shared" si="403"/>
        <v>#DIV/0!</v>
      </c>
      <c r="S149" s="118" t="e">
        <f t="shared" si="309"/>
        <v>#DIV/0!</v>
      </c>
      <c r="T149" s="20"/>
      <c r="U149" s="150" t="e">
        <f t="shared" ref="U149:AD149" si="404">U27/U25</f>
        <v>#DIV/0!</v>
      </c>
      <c r="V149" s="150" t="e">
        <f t="shared" si="404"/>
        <v>#DIV/0!</v>
      </c>
      <c r="W149" s="150" t="e">
        <f t="shared" si="404"/>
        <v>#DIV/0!</v>
      </c>
      <c r="X149" s="150" t="e">
        <f t="shared" si="404"/>
        <v>#DIV/0!</v>
      </c>
      <c r="Y149" s="150" t="e">
        <f t="shared" si="404"/>
        <v>#DIV/0!</v>
      </c>
      <c r="Z149" s="150" t="e">
        <f t="shared" si="404"/>
        <v>#DIV/0!</v>
      </c>
      <c r="AA149" s="150" t="e">
        <f t="shared" si="404"/>
        <v>#DIV/0!</v>
      </c>
      <c r="AB149" s="150" t="e">
        <f t="shared" si="404"/>
        <v>#DIV/0!</v>
      </c>
      <c r="AC149" s="150" t="e">
        <f t="shared" si="404"/>
        <v>#DIV/0!</v>
      </c>
      <c r="AD149" s="150" t="e">
        <f t="shared" si="404"/>
        <v>#DIV/0!</v>
      </c>
      <c r="AE149" s="137" t="e">
        <f t="shared" si="311"/>
        <v>#DIV/0!</v>
      </c>
      <c r="AF149" s="20"/>
      <c r="AG149" s="20"/>
    </row>
    <row r="150" spans="2:33">
      <c r="B150" s="20" t="str">
        <f>B33</f>
        <v>Top Expenses ( Interest Out gol )</v>
      </c>
      <c r="C150" s="20"/>
      <c r="D150" s="20"/>
      <c r="E150" s="20"/>
      <c r="F150" s="20"/>
      <c r="G150" s="20"/>
      <c r="H150" s="150">
        <f t="shared" ref="H150:R150" si="405">H33/H25</f>
        <v>0</v>
      </c>
      <c r="I150" s="150">
        <f t="shared" si="405"/>
        <v>0</v>
      </c>
      <c r="J150" s="150">
        <f t="shared" si="405"/>
        <v>0</v>
      </c>
      <c r="K150" s="150">
        <f t="shared" si="405"/>
        <v>0</v>
      </c>
      <c r="L150" s="150">
        <f t="shared" si="405"/>
        <v>0</v>
      </c>
      <c r="M150" s="150">
        <f t="shared" si="405"/>
        <v>0</v>
      </c>
      <c r="N150" s="150">
        <f t="shared" si="405"/>
        <v>0</v>
      </c>
      <c r="O150" s="150">
        <f t="shared" si="405"/>
        <v>0</v>
      </c>
      <c r="P150" s="150" t="e">
        <f t="shared" si="405"/>
        <v>#DIV/0!</v>
      </c>
      <c r="Q150" s="150" t="e">
        <f t="shared" si="405"/>
        <v>#DIV/0!</v>
      </c>
      <c r="R150" s="150" t="e">
        <f t="shared" si="405"/>
        <v>#DIV/0!</v>
      </c>
      <c r="S150" s="118" t="e">
        <f t="shared" si="309"/>
        <v>#DIV/0!</v>
      </c>
      <c r="T150" s="20"/>
      <c r="U150" s="150" t="e">
        <f t="shared" ref="U150:AD150" si="406">U33/U25</f>
        <v>#DIV/0!</v>
      </c>
      <c r="V150" s="150" t="e">
        <f t="shared" si="406"/>
        <v>#DIV/0!</v>
      </c>
      <c r="W150" s="150" t="e">
        <f t="shared" si="406"/>
        <v>#DIV/0!</v>
      </c>
      <c r="X150" s="150" t="e">
        <f t="shared" si="406"/>
        <v>#DIV/0!</v>
      </c>
      <c r="Y150" s="150" t="e">
        <f t="shared" si="406"/>
        <v>#DIV/0!</v>
      </c>
      <c r="Z150" s="150" t="e">
        <f t="shared" si="406"/>
        <v>#DIV/0!</v>
      </c>
      <c r="AA150" s="150" t="e">
        <f t="shared" si="406"/>
        <v>#DIV/0!</v>
      </c>
      <c r="AB150" s="150" t="e">
        <f t="shared" si="406"/>
        <v>#DIV/0!</v>
      </c>
      <c r="AC150" s="150" t="e">
        <f t="shared" si="406"/>
        <v>#DIV/0!</v>
      </c>
      <c r="AD150" s="150" t="e">
        <f t="shared" si="406"/>
        <v>#DIV/0!</v>
      </c>
      <c r="AE150" s="137" t="e">
        <f t="shared" si="311"/>
        <v>#DIV/0!</v>
      </c>
      <c r="AF150" s="20"/>
      <c r="AG150" s="20"/>
    </row>
    <row r="151" spans="2:33">
      <c r="B151" s="20" t="str">
        <f>B34</f>
        <v>2nd highest Expenses Comp. ( Empl )</v>
      </c>
      <c r="C151" s="20"/>
      <c r="D151" s="20"/>
      <c r="E151" s="20"/>
      <c r="F151" s="20"/>
      <c r="G151" s="20"/>
      <c r="H151" s="150">
        <f t="shared" ref="H151:R151" si="407">H34/H25</f>
        <v>0</v>
      </c>
      <c r="I151" s="150">
        <f t="shared" si="407"/>
        <v>0</v>
      </c>
      <c r="J151" s="150">
        <f t="shared" si="407"/>
        <v>0</v>
      </c>
      <c r="K151" s="150">
        <f t="shared" si="407"/>
        <v>0</v>
      </c>
      <c r="L151" s="150">
        <f t="shared" si="407"/>
        <v>0</v>
      </c>
      <c r="M151" s="150">
        <f t="shared" si="407"/>
        <v>0</v>
      </c>
      <c r="N151" s="150">
        <f t="shared" si="407"/>
        <v>0</v>
      </c>
      <c r="O151" s="150">
        <f t="shared" si="407"/>
        <v>0</v>
      </c>
      <c r="P151" s="150" t="e">
        <f t="shared" si="407"/>
        <v>#DIV/0!</v>
      </c>
      <c r="Q151" s="150" t="e">
        <f t="shared" si="407"/>
        <v>#DIV/0!</v>
      </c>
      <c r="R151" s="150" t="e">
        <f t="shared" si="407"/>
        <v>#DIV/0!</v>
      </c>
      <c r="S151" s="118" t="e">
        <f t="shared" si="309"/>
        <v>#DIV/0!</v>
      </c>
      <c r="T151" s="20"/>
      <c r="U151" s="150" t="e">
        <f t="shared" ref="U151:AD151" si="408">U34/U25</f>
        <v>#DIV/0!</v>
      </c>
      <c r="V151" s="150" t="e">
        <f t="shared" si="408"/>
        <v>#DIV/0!</v>
      </c>
      <c r="W151" s="150" t="e">
        <f t="shared" si="408"/>
        <v>#DIV/0!</v>
      </c>
      <c r="X151" s="150" t="e">
        <f t="shared" si="408"/>
        <v>#DIV/0!</v>
      </c>
      <c r="Y151" s="150" t="e">
        <f t="shared" si="408"/>
        <v>#DIV/0!</v>
      </c>
      <c r="Z151" s="150" t="e">
        <f t="shared" si="408"/>
        <v>#DIV/0!</v>
      </c>
      <c r="AA151" s="150" t="e">
        <f t="shared" si="408"/>
        <v>#DIV/0!</v>
      </c>
      <c r="AB151" s="150" t="e">
        <f t="shared" si="408"/>
        <v>#DIV/0!</v>
      </c>
      <c r="AC151" s="150" t="e">
        <f t="shared" si="408"/>
        <v>#DIV/0!</v>
      </c>
      <c r="AD151" s="150" t="e">
        <f t="shared" si="408"/>
        <v>#DIV/0!</v>
      </c>
      <c r="AE151" s="137" t="e">
        <f t="shared" si="311"/>
        <v>#DIV/0!</v>
      </c>
      <c r="AF151" s="20"/>
      <c r="AG151" s="20"/>
    </row>
    <row r="152" spans="2:33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28"/>
      <c r="T152" s="128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38"/>
      <c r="AF152" s="20"/>
      <c r="AG152" s="20"/>
    </row>
    <row r="153" spans="2:33">
      <c r="B153" s="108" t="s">
        <v>360</v>
      </c>
      <c r="C153" s="20"/>
      <c r="D153" s="20"/>
      <c r="E153" s="20"/>
      <c r="F153" s="20"/>
      <c r="G153" s="20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128"/>
      <c r="T153" s="128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137"/>
      <c r="AF153" s="20"/>
      <c r="AG153" s="20"/>
    </row>
    <row r="154" spans="2:33">
      <c r="B154" s="20" t="s">
        <v>363</v>
      </c>
      <c r="C154" s="20"/>
      <c r="D154" s="20"/>
      <c r="E154" s="20"/>
      <c r="F154" s="20"/>
      <c r="G154" s="20"/>
      <c r="H154" s="25">
        <f t="shared" ref="H154:R154" si="409">H15/H9</f>
        <v>0.75968992248062017</v>
      </c>
      <c r="I154" s="25">
        <f t="shared" si="409"/>
        <v>0.73122959738846571</v>
      </c>
      <c r="J154" s="25">
        <f t="shared" si="409"/>
        <v>0.79261363636363635</v>
      </c>
      <c r="K154" s="25">
        <f t="shared" si="409"/>
        <v>8.9444444444444446</v>
      </c>
      <c r="L154" s="25">
        <f t="shared" si="409"/>
        <v>0.60101010101010099</v>
      </c>
      <c r="M154" s="25">
        <f t="shared" si="409"/>
        <v>0.64767932489451474</v>
      </c>
      <c r="N154" s="25">
        <f t="shared" si="409"/>
        <v>1.4378043382027446</v>
      </c>
      <c r="O154" s="25">
        <f t="shared" si="409"/>
        <v>1.600646352723915</v>
      </c>
      <c r="P154" s="25" t="e">
        <f t="shared" si="409"/>
        <v>#DIV/0!</v>
      </c>
      <c r="Q154" s="25" t="e">
        <f t="shared" si="409"/>
        <v>#DIV/0!</v>
      </c>
      <c r="R154" s="25" t="e">
        <f t="shared" si="409"/>
        <v>#DIV/0!</v>
      </c>
      <c r="S154" s="118" t="e">
        <f t="shared" ref="S154:S167" si="410">((R154/G154)^(1/($I$2-$I$1) ))-1</f>
        <v>#DIV/0!</v>
      </c>
      <c r="T154" s="20"/>
      <c r="U154" s="20" t="e">
        <f t="shared" ref="U154:AD154" si="411">U15/U9</f>
        <v>#DIV/0!</v>
      </c>
      <c r="V154" s="20" t="e">
        <f t="shared" si="411"/>
        <v>#DIV/0!</v>
      </c>
      <c r="W154" s="20" t="e">
        <f t="shared" si="411"/>
        <v>#DIV/0!</v>
      </c>
      <c r="X154" s="20" t="e">
        <f t="shared" si="411"/>
        <v>#DIV/0!</v>
      </c>
      <c r="Y154" s="20" t="e">
        <f t="shared" si="411"/>
        <v>#DIV/0!</v>
      </c>
      <c r="Z154" s="20" t="e">
        <f t="shared" si="411"/>
        <v>#DIV/0!</v>
      </c>
      <c r="AA154" s="20" t="e">
        <f t="shared" si="411"/>
        <v>#DIV/0!</v>
      </c>
      <c r="AB154" s="20" t="e">
        <f t="shared" si="411"/>
        <v>#DIV/0!</v>
      </c>
      <c r="AC154" s="20" t="e">
        <f t="shared" si="411"/>
        <v>#DIV/0!</v>
      </c>
      <c r="AD154" s="20" t="e">
        <f t="shared" si="411"/>
        <v>#DIV/0!</v>
      </c>
      <c r="AE154" s="137" t="e">
        <f t="shared" si="311"/>
        <v>#DIV/0!</v>
      </c>
      <c r="AF154" s="20"/>
      <c r="AG154" s="20"/>
    </row>
    <row r="155" spans="2:33">
      <c r="B155" s="20" t="s">
        <v>353</v>
      </c>
      <c r="C155" s="20"/>
      <c r="D155" s="20"/>
      <c r="E155" s="20"/>
      <c r="F155" s="20"/>
      <c r="G155" s="20"/>
      <c r="H155" s="25">
        <f t="shared" ref="H155:R155" si="412">H12/H9</f>
        <v>0.1731266149870801</v>
      </c>
      <c r="I155" s="25">
        <f t="shared" si="412"/>
        <v>0.41240478781284007</v>
      </c>
      <c r="J155" s="25">
        <f t="shared" si="412"/>
        <v>0.61742424242424243</v>
      </c>
      <c r="K155" s="25">
        <f t="shared" si="412"/>
        <v>5.916666666666667</v>
      </c>
      <c r="L155" s="25">
        <f t="shared" si="412"/>
        <v>0.55618686868686873</v>
      </c>
      <c r="M155" s="25">
        <f t="shared" si="412"/>
        <v>0.92141350210970463</v>
      </c>
      <c r="N155" s="25">
        <f t="shared" si="412"/>
        <v>0.91766268260292161</v>
      </c>
      <c r="O155" s="25">
        <f t="shared" si="412"/>
        <v>1.0433979686057249</v>
      </c>
      <c r="P155" s="25" t="e">
        <f t="shared" si="412"/>
        <v>#DIV/0!</v>
      </c>
      <c r="Q155" s="25" t="e">
        <f t="shared" si="412"/>
        <v>#DIV/0!</v>
      </c>
      <c r="R155" s="25" t="e">
        <f t="shared" si="412"/>
        <v>#DIV/0!</v>
      </c>
      <c r="S155" s="118" t="e">
        <f t="shared" si="410"/>
        <v>#DIV/0!</v>
      </c>
      <c r="T155" s="128"/>
      <c r="U155" s="20" t="e">
        <f t="shared" ref="U155:AD155" si="413">U12/U9</f>
        <v>#DIV/0!</v>
      </c>
      <c r="V155" s="20" t="e">
        <f t="shared" si="413"/>
        <v>#DIV/0!</v>
      </c>
      <c r="W155" s="20" t="e">
        <f t="shared" si="413"/>
        <v>#DIV/0!</v>
      </c>
      <c r="X155" s="20" t="e">
        <f t="shared" si="413"/>
        <v>#DIV/0!</v>
      </c>
      <c r="Y155" s="20" t="e">
        <f t="shared" si="413"/>
        <v>#DIV/0!</v>
      </c>
      <c r="Z155" s="20" t="e">
        <f t="shared" si="413"/>
        <v>#DIV/0!</v>
      </c>
      <c r="AA155" s="20" t="e">
        <f t="shared" si="413"/>
        <v>#DIV/0!</v>
      </c>
      <c r="AB155" s="20" t="e">
        <f t="shared" si="413"/>
        <v>#DIV/0!</v>
      </c>
      <c r="AC155" s="20" t="e">
        <f t="shared" si="413"/>
        <v>#DIV/0!</v>
      </c>
      <c r="AD155" s="20" t="e">
        <f t="shared" si="413"/>
        <v>#DIV/0!</v>
      </c>
      <c r="AE155" s="118" t="e">
        <f t="shared" ref="AE155" si="414">((AD155/U155)^(1/($I$2-$I$1) ))-1</f>
        <v>#DIV/0!</v>
      </c>
      <c r="AF155" s="20"/>
      <c r="AG155" s="20"/>
    </row>
    <row r="156" spans="2:33">
      <c r="B156" s="20" t="s">
        <v>355</v>
      </c>
      <c r="C156" s="20"/>
      <c r="D156" s="20"/>
      <c r="E156" s="20"/>
      <c r="F156" s="20"/>
      <c r="G156" s="20"/>
      <c r="H156" s="25">
        <f t="shared" ref="H156:R156" si="415">H25/360</f>
        <v>6.9138888888888888</v>
      </c>
      <c r="I156" s="25">
        <f t="shared" si="415"/>
        <v>17.911111111111111</v>
      </c>
      <c r="J156" s="25">
        <f t="shared" si="415"/>
        <v>18.869444444444444</v>
      </c>
      <c r="K156" s="25">
        <f t="shared" si="415"/>
        <v>18.713888888888889</v>
      </c>
      <c r="L156" s="25">
        <f t="shared" si="415"/>
        <v>20.038888888888888</v>
      </c>
      <c r="M156" s="25">
        <f t="shared" si="415"/>
        <v>21.35</v>
      </c>
      <c r="N156" s="25">
        <f t="shared" si="415"/>
        <v>24.269444444444446</v>
      </c>
      <c r="O156" s="25">
        <f t="shared" si="415"/>
        <v>27.958333333333332</v>
      </c>
      <c r="P156" s="25">
        <f t="shared" si="415"/>
        <v>0</v>
      </c>
      <c r="Q156" s="25">
        <f t="shared" si="415"/>
        <v>0</v>
      </c>
      <c r="R156" s="25">
        <f t="shared" si="415"/>
        <v>0</v>
      </c>
      <c r="S156" s="118" t="e">
        <f t="shared" si="410"/>
        <v>#DIV/0!</v>
      </c>
      <c r="T156" s="128"/>
      <c r="U156" s="25">
        <f t="shared" ref="U156:AD156" si="416">U25/360</f>
        <v>0</v>
      </c>
      <c r="V156" s="25">
        <f t="shared" si="416"/>
        <v>0</v>
      </c>
      <c r="W156" s="25">
        <f t="shared" si="416"/>
        <v>0</v>
      </c>
      <c r="X156" s="25">
        <f t="shared" si="416"/>
        <v>0</v>
      </c>
      <c r="Y156" s="25">
        <f t="shared" si="416"/>
        <v>0</v>
      </c>
      <c r="Z156" s="25">
        <f t="shared" si="416"/>
        <v>0</v>
      </c>
      <c r="AA156" s="25">
        <f t="shared" si="416"/>
        <v>0</v>
      </c>
      <c r="AB156" s="25">
        <f t="shared" si="416"/>
        <v>0</v>
      </c>
      <c r="AC156" s="25">
        <f t="shared" si="416"/>
        <v>0</v>
      </c>
      <c r="AD156" s="25">
        <f t="shared" si="416"/>
        <v>0</v>
      </c>
      <c r="AE156" s="118" t="e">
        <f t="shared" ref="AE156:AE167" si="417">((AD156/U156)^(1/($I$2-$I$1) ))-1</f>
        <v>#DIV/0!</v>
      </c>
      <c r="AF156" s="20"/>
      <c r="AG156" s="20"/>
    </row>
    <row r="157" spans="2:33">
      <c r="B157" s="20" t="s">
        <v>354</v>
      </c>
      <c r="C157" s="20"/>
      <c r="D157" s="20"/>
      <c r="E157" s="20"/>
      <c r="F157" s="20"/>
      <c r="G157" s="20"/>
      <c r="H157" s="25">
        <f t="shared" ref="H157:R157" si="418">H27/360</f>
        <v>4.9416666666666664</v>
      </c>
      <c r="I157" s="25">
        <f t="shared" si="418"/>
        <v>11.638888888888889</v>
      </c>
      <c r="J157" s="25">
        <f t="shared" si="418"/>
        <v>7.708333333333333</v>
      </c>
      <c r="K157" s="25">
        <f t="shared" si="418"/>
        <v>12.491666666666667</v>
      </c>
      <c r="L157" s="25">
        <f t="shared" si="418"/>
        <v>14.213888888888889</v>
      </c>
      <c r="M157" s="25">
        <f t="shared" si="418"/>
        <v>15.597222222222221</v>
      </c>
      <c r="N157" s="25">
        <f t="shared" si="418"/>
        <v>18.155555555555555</v>
      </c>
      <c r="O157" s="25">
        <f t="shared" si="418"/>
        <v>20.894444444444446</v>
      </c>
      <c r="P157" s="25">
        <f t="shared" si="418"/>
        <v>0</v>
      </c>
      <c r="Q157" s="25">
        <f t="shared" si="418"/>
        <v>0</v>
      </c>
      <c r="R157" s="25">
        <f t="shared" si="418"/>
        <v>0</v>
      </c>
      <c r="S157" s="118" t="e">
        <f t="shared" si="410"/>
        <v>#DIV/0!</v>
      </c>
      <c r="T157" s="128"/>
      <c r="U157" s="25">
        <f t="shared" ref="U157:AD157" si="419">U27/360</f>
        <v>0</v>
      </c>
      <c r="V157" s="25">
        <f t="shared" si="419"/>
        <v>0</v>
      </c>
      <c r="W157" s="25">
        <f t="shared" si="419"/>
        <v>0</v>
      </c>
      <c r="X157" s="25">
        <f t="shared" si="419"/>
        <v>0</v>
      </c>
      <c r="Y157" s="25">
        <f t="shared" si="419"/>
        <v>0</v>
      </c>
      <c r="Z157" s="25">
        <f t="shared" si="419"/>
        <v>0</v>
      </c>
      <c r="AA157" s="25">
        <f t="shared" si="419"/>
        <v>0</v>
      </c>
      <c r="AB157" s="25">
        <f t="shared" si="419"/>
        <v>0</v>
      </c>
      <c r="AC157" s="25">
        <f t="shared" si="419"/>
        <v>0</v>
      </c>
      <c r="AD157" s="25">
        <f t="shared" si="419"/>
        <v>0</v>
      </c>
      <c r="AE157" s="118" t="e">
        <f t="shared" si="417"/>
        <v>#DIV/0!</v>
      </c>
      <c r="AF157" s="20"/>
      <c r="AG157" s="20"/>
    </row>
    <row r="158" spans="2:33">
      <c r="B158" s="20"/>
      <c r="C158" s="20"/>
      <c r="D158" s="20"/>
      <c r="E158" s="20"/>
      <c r="F158" s="20"/>
      <c r="G158" s="20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128"/>
      <c r="AF158" s="20"/>
      <c r="AG158" s="20"/>
    </row>
    <row r="159" spans="2:33">
      <c r="B159" s="20" t="s">
        <v>364</v>
      </c>
      <c r="C159" s="20"/>
      <c r="D159" s="20"/>
      <c r="E159" s="20"/>
      <c r="F159" s="20"/>
      <c r="G159" s="20"/>
      <c r="H159" s="25">
        <f t="shared" ref="H159:R159" si="420">H10/H7</f>
        <v>0.82663605051664757</v>
      </c>
      <c r="I159" s="25">
        <f t="shared" si="420"/>
        <v>0.22179487179487178</v>
      </c>
      <c r="J159" s="25">
        <f t="shared" si="420"/>
        <v>6.9561638197159908E-2</v>
      </c>
      <c r="K159" s="25">
        <f t="shared" si="420"/>
        <v>5.0608358314230294E-2</v>
      </c>
      <c r="L159" s="25">
        <f t="shared" si="420"/>
        <v>2.5668779959795888E-2</v>
      </c>
      <c r="M159" s="25">
        <f t="shared" si="420"/>
        <v>8.8725088725088719E-3</v>
      </c>
      <c r="N159" s="25">
        <f t="shared" si="420"/>
        <v>7.1924603174603171E-3</v>
      </c>
      <c r="O159" s="25">
        <f t="shared" si="420"/>
        <v>5.5700807093327269E-3</v>
      </c>
      <c r="P159" s="25" t="e">
        <f t="shared" si="420"/>
        <v>#DIV/0!</v>
      </c>
      <c r="Q159" s="25" t="e">
        <f t="shared" si="420"/>
        <v>#DIV/0!</v>
      </c>
      <c r="R159" s="25" t="e">
        <f t="shared" si="420"/>
        <v>#DIV/0!</v>
      </c>
      <c r="S159" s="118" t="e">
        <f t="shared" si="410"/>
        <v>#DIV/0!</v>
      </c>
      <c r="T159" s="128"/>
      <c r="U159" s="25" t="e">
        <f t="shared" ref="U159:AD159" si="421">U10/U7</f>
        <v>#DIV/0!</v>
      </c>
      <c r="V159" s="25" t="e">
        <f t="shared" si="421"/>
        <v>#DIV/0!</v>
      </c>
      <c r="W159" s="25" t="e">
        <f t="shared" si="421"/>
        <v>#DIV/0!</v>
      </c>
      <c r="X159" s="25" t="e">
        <f t="shared" si="421"/>
        <v>#DIV/0!</v>
      </c>
      <c r="Y159" s="25" t="e">
        <f t="shared" si="421"/>
        <v>#DIV/0!</v>
      </c>
      <c r="Z159" s="25" t="e">
        <f t="shared" si="421"/>
        <v>#DIV/0!</v>
      </c>
      <c r="AA159" s="25" t="e">
        <f t="shared" si="421"/>
        <v>#DIV/0!</v>
      </c>
      <c r="AB159" s="25" t="e">
        <f t="shared" si="421"/>
        <v>#DIV/0!</v>
      </c>
      <c r="AC159" s="25" t="e">
        <f t="shared" si="421"/>
        <v>#DIV/0!</v>
      </c>
      <c r="AD159" s="25" t="e">
        <f t="shared" si="421"/>
        <v>#DIV/0!</v>
      </c>
      <c r="AE159" s="118" t="e">
        <f t="shared" si="417"/>
        <v>#DIV/0!</v>
      </c>
      <c r="AF159" s="20"/>
      <c r="AG159" s="20"/>
    </row>
    <row r="160" spans="2:33">
      <c r="B160" s="20" t="s">
        <v>356</v>
      </c>
      <c r="C160" s="20"/>
      <c r="D160" s="20"/>
      <c r="E160" s="20"/>
      <c r="F160" s="20"/>
      <c r="G160" s="20"/>
      <c r="H160" s="25">
        <f t="shared" ref="H160:R160" si="422">H10/(H10+H7)</f>
        <v>0.45254556882463859</v>
      </c>
      <c r="I160" s="25">
        <f t="shared" si="422"/>
        <v>0.18153200419727178</v>
      </c>
      <c r="J160" s="25">
        <f t="shared" si="422"/>
        <v>6.5037521647104093E-2</v>
      </c>
      <c r="K160" s="25">
        <f t="shared" si="422"/>
        <v>4.8170527022490771E-2</v>
      </c>
      <c r="L160" s="25">
        <f t="shared" si="422"/>
        <v>2.502638323533846E-2</v>
      </c>
      <c r="M160" s="25">
        <f t="shared" si="422"/>
        <v>8.7944797726965222E-3</v>
      </c>
      <c r="N160" s="25">
        <f t="shared" si="422"/>
        <v>7.1410982516621523E-3</v>
      </c>
      <c r="O160" s="25">
        <f t="shared" si="422"/>
        <v>5.539226769161203E-3</v>
      </c>
      <c r="P160" s="25" t="e">
        <f t="shared" si="422"/>
        <v>#DIV/0!</v>
      </c>
      <c r="Q160" s="25" t="e">
        <f t="shared" si="422"/>
        <v>#DIV/0!</v>
      </c>
      <c r="R160" s="25" t="e">
        <f t="shared" si="422"/>
        <v>#DIV/0!</v>
      </c>
      <c r="S160" s="118" t="e">
        <f t="shared" si="410"/>
        <v>#DIV/0!</v>
      </c>
      <c r="T160" s="128"/>
      <c r="U160" s="25" t="e">
        <f t="shared" ref="U160:AD160" si="423">U10/(U10+U7)</f>
        <v>#DIV/0!</v>
      </c>
      <c r="V160" s="25" t="e">
        <f t="shared" si="423"/>
        <v>#DIV/0!</v>
      </c>
      <c r="W160" s="25" t="e">
        <f t="shared" si="423"/>
        <v>#DIV/0!</v>
      </c>
      <c r="X160" s="25" t="e">
        <f t="shared" si="423"/>
        <v>#DIV/0!</v>
      </c>
      <c r="Y160" s="25" t="e">
        <f t="shared" si="423"/>
        <v>#DIV/0!</v>
      </c>
      <c r="Z160" s="25" t="e">
        <f t="shared" si="423"/>
        <v>#DIV/0!</v>
      </c>
      <c r="AA160" s="25" t="e">
        <f t="shared" si="423"/>
        <v>#DIV/0!</v>
      </c>
      <c r="AB160" s="25" t="e">
        <f t="shared" si="423"/>
        <v>#DIV/0!</v>
      </c>
      <c r="AC160" s="25" t="e">
        <f t="shared" si="423"/>
        <v>#DIV/0!</v>
      </c>
      <c r="AD160" s="25" t="e">
        <f t="shared" si="423"/>
        <v>#DIV/0!</v>
      </c>
      <c r="AE160" s="118" t="e">
        <f t="shared" si="417"/>
        <v>#DIV/0!</v>
      </c>
      <c r="AF160" s="20"/>
      <c r="AG160" s="20"/>
    </row>
    <row r="161" spans="2:33">
      <c r="B161" s="20"/>
      <c r="C161" s="20"/>
      <c r="D161" s="20"/>
      <c r="E161" s="20"/>
      <c r="F161" s="20"/>
      <c r="G161" s="2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128"/>
      <c r="T161" s="128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136"/>
      <c r="AF161" s="20"/>
      <c r="AG161" s="20"/>
    </row>
    <row r="162" spans="2:33">
      <c r="B162" s="20" t="s">
        <v>361</v>
      </c>
      <c r="C162" s="20"/>
      <c r="D162" s="20"/>
      <c r="E162" s="20"/>
      <c r="F162" s="20"/>
      <c r="G162" s="20"/>
      <c r="H162" s="25">
        <f t="shared" ref="H162:R162" si="424">H16</f>
        <v>-119</v>
      </c>
      <c r="I162" s="25">
        <f t="shared" si="424"/>
        <v>90</v>
      </c>
      <c r="J162" s="25">
        <f t="shared" si="424"/>
        <v>37</v>
      </c>
      <c r="K162" s="25">
        <f t="shared" si="424"/>
        <v>483</v>
      </c>
      <c r="L162" s="25">
        <f t="shared" si="424"/>
        <v>-250</v>
      </c>
      <c r="M162" s="25">
        <f t="shared" si="424"/>
        <v>207</v>
      </c>
      <c r="N162" s="25">
        <f t="shared" si="424"/>
        <v>566</v>
      </c>
      <c r="O162" s="25">
        <f t="shared" si="424"/>
        <v>792</v>
      </c>
      <c r="P162" s="25">
        <f t="shared" si="424"/>
        <v>0</v>
      </c>
      <c r="Q162" s="25">
        <f t="shared" si="424"/>
        <v>0</v>
      </c>
      <c r="R162" s="25">
        <f t="shared" si="424"/>
        <v>0</v>
      </c>
      <c r="S162" s="118" t="e">
        <f t="shared" si="410"/>
        <v>#DIV/0!</v>
      </c>
      <c r="T162" s="128"/>
      <c r="U162" s="25">
        <f t="shared" ref="U162:AD162" si="425">U16</f>
        <v>0</v>
      </c>
      <c r="V162" s="25">
        <f t="shared" si="425"/>
        <v>0</v>
      </c>
      <c r="W162" s="25">
        <f t="shared" si="425"/>
        <v>0</v>
      </c>
      <c r="X162" s="25">
        <f t="shared" si="425"/>
        <v>0</v>
      </c>
      <c r="Y162" s="25">
        <f t="shared" si="425"/>
        <v>0</v>
      </c>
      <c r="Z162" s="25">
        <f t="shared" si="425"/>
        <v>0</v>
      </c>
      <c r="AA162" s="25">
        <f t="shared" si="425"/>
        <v>0</v>
      </c>
      <c r="AB162" s="25">
        <f t="shared" si="425"/>
        <v>0</v>
      </c>
      <c r="AC162" s="25">
        <f t="shared" si="425"/>
        <v>0</v>
      </c>
      <c r="AD162" s="25">
        <f t="shared" si="425"/>
        <v>0</v>
      </c>
      <c r="AE162" s="118" t="e">
        <f t="shared" si="417"/>
        <v>#DIV/0!</v>
      </c>
      <c r="AF162" s="20"/>
      <c r="AG162" s="20"/>
    </row>
    <row r="163" spans="2:33">
      <c r="B163" s="20" t="s">
        <v>362</v>
      </c>
      <c r="C163" s="20"/>
      <c r="D163" s="20"/>
      <c r="E163" s="20"/>
      <c r="F163" s="20"/>
      <c r="G163" s="20"/>
      <c r="H163" s="119">
        <f t="shared" ref="H163:R163" si="426">H162*365/H25</f>
        <v>-17.450783447167538</v>
      </c>
      <c r="I163" s="119">
        <f t="shared" si="426"/>
        <v>5.0946029776674937</v>
      </c>
      <c r="J163" s="119">
        <f t="shared" si="426"/>
        <v>1.9880759605476226</v>
      </c>
      <c r="K163" s="119">
        <f t="shared" si="426"/>
        <v>26.168175745880955</v>
      </c>
      <c r="L163" s="119">
        <f t="shared" si="426"/>
        <v>-12.649015802606044</v>
      </c>
      <c r="M163" s="119">
        <f t="shared" si="426"/>
        <v>9.8302107728337234</v>
      </c>
      <c r="N163" s="119">
        <f t="shared" si="426"/>
        <v>23.645416046697949</v>
      </c>
      <c r="O163" s="119">
        <f t="shared" si="426"/>
        <v>28.721311475409838</v>
      </c>
      <c r="P163" s="119" t="e">
        <f t="shared" si="426"/>
        <v>#DIV/0!</v>
      </c>
      <c r="Q163" s="119" t="e">
        <f t="shared" si="426"/>
        <v>#DIV/0!</v>
      </c>
      <c r="R163" s="119" t="e">
        <f t="shared" si="426"/>
        <v>#DIV/0!</v>
      </c>
      <c r="S163" s="118" t="e">
        <f t="shared" si="410"/>
        <v>#DIV/0!</v>
      </c>
      <c r="T163" s="128"/>
      <c r="U163" s="119" t="e">
        <f t="shared" ref="U163:AD163" si="427">U162*365/U25</f>
        <v>#DIV/0!</v>
      </c>
      <c r="V163" s="119" t="e">
        <f t="shared" si="427"/>
        <v>#DIV/0!</v>
      </c>
      <c r="W163" s="119" t="e">
        <f t="shared" si="427"/>
        <v>#DIV/0!</v>
      </c>
      <c r="X163" s="119" t="e">
        <f t="shared" si="427"/>
        <v>#DIV/0!</v>
      </c>
      <c r="Y163" s="119" t="e">
        <f t="shared" si="427"/>
        <v>#DIV/0!</v>
      </c>
      <c r="Z163" s="119" t="e">
        <f t="shared" si="427"/>
        <v>#DIV/0!</v>
      </c>
      <c r="AA163" s="119" t="e">
        <f t="shared" si="427"/>
        <v>#DIV/0!</v>
      </c>
      <c r="AB163" s="119" t="e">
        <f t="shared" si="427"/>
        <v>#DIV/0!</v>
      </c>
      <c r="AC163" s="119" t="e">
        <f t="shared" si="427"/>
        <v>#DIV/0!</v>
      </c>
      <c r="AD163" s="119" t="e">
        <f t="shared" si="427"/>
        <v>#DIV/0!</v>
      </c>
      <c r="AE163" s="118" t="e">
        <f t="shared" si="417"/>
        <v>#DIV/0!</v>
      </c>
      <c r="AF163" s="20"/>
      <c r="AG163" s="20"/>
    </row>
    <row r="164" spans="2:33">
      <c r="B164" s="20" t="s">
        <v>365</v>
      </c>
      <c r="C164" s="20"/>
      <c r="D164" s="20"/>
      <c r="E164" s="20"/>
      <c r="F164" s="20"/>
      <c r="G164" s="20"/>
      <c r="H164" s="133">
        <f t="shared" ref="H164:R164" si="428">H98/H29</f>
        <v>0.40257648953301123</v>
      </c>
      <c r="I164" s="133">
        <f t="shared" si="428"/>
        <v>0.12287665502691691</v>
      </c>
      <c r="J164" s="133">
        <f t="shared" si="428"/>
        <v>0.17464469573259483</v>
      </c>
      <c r="K164" s="133">
        <f t="shared" si="428"/>
        <v>6.5681444991789817E-3</v>
      </c>
      <c r="L164" s="133">
        <f t="shared" si="428"/>
        <v>6.5629717135919138E-3</v>
      </c>
      <c r="M164" s="133">
        <f t="shared" si="428"/>
        <v>6.5368021963655388E-3</v>
      </c>
      <c r="N164" s="133">
        <f t="shared" si="428"/>
        <v>6.5176301896630378E-3</v>
      </c>
      <c r="O164" s="133">
        <f t="shared" si="428"/>
        <v>6.4846637701835158E-3</v>
      </c>
      <c r="P164" s="133" t="e">
        <f t="shared" si="428"/>
        <v>#DIV/0!</v>
      </c>
      <c r="Q164" s="133" t="e">
        <f t="shared" si="428"/>
        <v>#DIV/0!</v>
      </c>
      <c r="R164" s="133" t="e">
        <f t="shared" si="428"/>
        <v>#DIV/0!</v>
      </c>
      <c r="S164" s="118" t="e">
        <f t="shared" si="410"/>
        <v>#DIV/0!</v>
      </c>
      <c r="T164" s="128"/>
      <c r="U164" s="133" t="e">
        <f t="shared" ref="U164:AD164" si="429">U98/U29</f>
        <v>#DIV/0!</v>
      </c>
      <c r="V164" s="133" t="e">
        <f t="shared" si="429"/>
        <v>#DIV/0!</v>
      </c>
      <c r="W164" s="133" t="e">
        <f t="shared" si="429"/>
        <v>#DIV/0!</v>
      </c>
      <c r="X164" s="133" t="e">
        <f t="shared" si="429"/>
        <v>#DIV/0!</v>
      </c>
      <c r="Y164" s="133" t="e">
        <f t="shared" si="429"/>
        <v>#DIV/0!</v>
      </c>
      <c r="Z164" s="133" t="e">
        <f t="shared" si="429"/>
        <v>#DIV/0!</v>
      </c>
      <c r="AA164" s="133" t="e">
        <f t="shared" si="429"/>
        <v>#DIV/0!</v>
      </c>
      <c r="AB164" s="133" t="e">
        <f t="shared" si="429"/>
        <v>#DIV/0!</v>
      </c>
      <c r="AC164" s="133" t="e">
        <f t="shared" si="429"/>
        <v>#DIV/0!</v>
      </c>
      <c r="AD164" s="133" t="e">
        <f t="shared" si="429"/>
        <v>#DIV/0!</v>
      </c>
      <c r="AE164" s="118" t="e">
        <f t="shared" si="417"/>
        <v>#DIV/0!</v>
      </c>
      <c r="AF164" s="20"/>
      <c r="AG164" s="20"/>
    </row>
    <row r="165" spans="2:33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28"/>
      <c r="T165" s="128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136"/>
      <c r="AF165" s="20"/>
      <c r="AG165" s="20"/>
    </row>
    <row r="166" spans="2:33">
      <c r="B166" s="20" t="s">
        <v>372</v>
      </c>
      <c r="C166" s="20"/>
      <c r="D166" s="20"/>
      <c r="E166" s="20"/>
      <c r="F166" s="20"/>
      <c r="G166" s="20"/>
      <c r="H166" s="178">
        <f t="shared" ref="H166:R166" si="430">H25/H14</f>
        <v>6.464935064935065</v>
      </c>
      <c r="I166" s="178">
        <f t="shared" si="430"/>
        <v>15.5</v>
      </c>
      <c r="J166" s="178">
        <f t="shared" si="430"/>
        <v>11.592150170648464</v>
      </c>
      <c r="K166" s="178">
        <f t="shared" si="430"/>
        <v>7.1746538871139514</v>
      </c>
      <c r="L166" s="178">
        <f t="shared" si="430"/>
        <v>10.562225475841874</v>
      </c>
      <c r="M166" s="178">
        <f t="shared" si="430"/>
        <v>8.5210643015521068</v>
      </c>
      <c r="N166" s="178">
        <f t="shared" si="430"/>
        <v>9.4250269687162884</v>
      </c>
      <c r="O166" s="178">
        <f t="shared" si="430"/>
        <v>10.19756838905775</v>
      </c>
      <c r="P166" s="178" t="e">
        <f t="shared" si="430"/>
        <v>#DIV/0!</v>
      </c>
      <c r="Q166" s="178" t="e">
        <f t="shared" si="430"/>
        <v>#DIV/0!</v>
      </c>
      <c r="R166" s="178" t="e">
        <f t="shared" si="430"/>
        <v>#DIV/0!</v>
      </c>
      <c r="S166" s="118" t="e">
        <f t="shared" si="410"/>
        <v>#DIV/0!</v>
      </c>
      <c r="T166" s="128"/>
      <c r="U166" s="20" t="e">
        <f t="shared" ref="U166:AD166" si="431">U25/U14</f>
        <v>#DIV/0!</v>
      </c>
      <c r="V166" s="20" t="e">
        <f t="shared" si="431"/>
        <v>#DIV/0!</v>
      </c>
      <c r="W166" s="20" t="e">
        <f t="shared" si="431"/>
        <v>#DIV/0!</v>
      </c>
      <c r="X166" s="20" t="e">
        <f t="shared" si="431"/>
        <v>#DIV/0!</v>
      </c>
      <c r="Y166" s="20" t="e">
        <f t="shared" si="431"/>
        <v>#DIV/0!</v>
      </c>
      <c r="Z166" s="20" t="e">
        <f t="shared" si="431"/>
        <v>#DIV/0!</v>
      </c>
      <c r="AA166" s="20" t="e">
        <f t="shared" si="431"/>
        <v>#DIV/0!</v>
      </c>
      <c r="AB166" s="20" t="e">
        <f t="shared" si="431"/>
        <v>#DIV/0!</v>
      </c>
      <c r="AC166" s="20" t="e">
        <f t="shared" si="431"/>
        <v>#DIV/0!</v>
      </c>
      <c r="AD166" s="20" t="e">
        <f t="shared" si="431"/>
        <v>#DIV/0!</v>
      </c>
      <c r="AE166" s="118" t="e">
        <f t="shared" si="417"/>
        <v>#DIV/0!</v>
      </c>
      <c r="AF166" s="20"/>
      <c r="AG166" s="20"/>
    </row>
    <row r="167" spans="2:33">
      <c r="B167" s="20" t="s">
        <v>373</v>
      </c>
      <c r="C167" s="20"/>
      <c r="D167" s="20"/>
      <c r="E167" s="20"/>
      <c r="F167" s="20"/>
      <c r="G167" s="20"/>
      <c r="H167" s="178">
        <f t="shared" ref="H167:R167" si="432">H27/H14</f>
        <v>4.6207792207792204</v>
      </c>
      <c r="I167" s="178">
        <f t="shared" si="432"/>
        <v>10.072115384615385</v>
      </c>
      <c r="J167" s="178">
        <f t="shared" si="432"/>
        <v>4.7354948805460753</v>
      </c>
      <c r="K167" s="178">
        <f t="shared" si="432"/>
        <v>4.7891373801916934</v>
      </c>
      <c r="L167" s="178">
        <f t="shared" si="432"/>
        <v>7.4919472913616394</v>
      </c>
      <c r="M167" s="178">
        <f t="shared" si="432"/>
        <v>6.2250554323725051</v>
      </c>
      <c r="N167" s="178">
        <f t="shared" si="432"/>
        <v>7.0507011866235167</v>
      </c>
      <c r="O167" s="178">
        <f t="shared" si="432"/>
        <v>7.6210739614994933</v>
      </c>
      <c r="P167" s="178" t="e">
        <f t="shared" si="432"/>
        <v>#DIV/0!</v>
      </c>
      <c r="Q167" s="178" t="e">
        <f t="shared" si="432"/>
        <v>#DIV/0!</v>
      </c>
      <c r="R167" s="178" t="e">
        <f t="shared" si="432"/>
        <v>#DIV/0!</v>
      </c>
      <c r="S167" s="118" t="e">
        <f t="shared" si="410"/>
        <v>#DIV/0!</v>
      </c>
      <c r="T167" s="128"/>
      <c r="U167" s="20" t="e">
        <f t="shared" ref="U167:AD167" si="433">U27/U14</f>
        <v>#DIV/0!</v>
      </c>
      <c r="V167" s="20" t="e">
        <f t="shared" si="433"/>
        <v>#DIV/0!</v>
      </c>
      <c r="W167" s="20" t="e">
        <f t="shared" si="433"/>
        <v>#DIV/0!</v>
      </c>
      <c r="X167" s="20" t="e">
        <f t="shared" si="433"/>
        <v>#DIV/0!</v>
      </c>
      <c r="Y167" s="20" t="e">
        <f t="shared" si="433"/>
        <v>#DIV/0!</v>
      </c>
      <c r="Z167" s="20" t="e">
        <f t="shared" si="433"/>
        <v>#DIV/0!</v>
      </c>
      <c r="AA167" s="20" t="e">
        <f t="shared" si="433"/>
        <v>#DIV/0!</v>
      </c>
      <c r="AB167" s="20" t="e">
        <f t="shared" si="433"/>
        <v>#DIV/0!</v>
      </c>
      <c r="AC167" s="20" t="e">
        <f t="shared" si="433"/>
        <v>#DIV/0!</v>
      </c>
      <c r="AD167" s="20" t="e">
        <f t="shared" si="433"/>
        <v>#DIV/0!</v>
      </c>
      <c r="AE167" s="118" t="e">
        <f t="shared" si="417"/>
        <v>#DIV/0!</v>
      </c>
      <c r="AF167" s="20"/>
      <c r="AG167" s="20"/>
    </row>
    <row r="168" spans="2:33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28"/>
      <c r="T168" s="128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36"/>
      <c r="AF168" s="20"/>
      <c r="AG168" s="20"/>
    </row>
    <row r="169" spans="2:33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3" t="s">
        <v>471</v>
      </c>
      <c r="S169" s="23"/>
      <c r="T169" s="23" t="s">
        <v>472</v>
      </c>
      <c r="U169" s="122" t="s">
        <v>66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136"/>
      <c r="AF169" s="20"/>
      <c r="AG169" s="20"/>
    </row>
    <row r="170" spans="2:33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5"/>
      <c r="R170" s="133" t="e">
        <f>AVERAGE(N102:R102)</f>
        <v>#DIV/0!</v>
      </c>
      <c r="S170" s="158" t="e">
        <f>AVERAGE(H72:R72)</f>
        <v>#DIV/0!</v>
      </c>
      <c r="T170" s="158" t="e">
        <f>AVERAGE(H102:R102)</f>
        <v>#DIV/0!</v>
      </c>
      <c r="U170" s="192" t="s">
        <v>427</v>
      </c>
      <c r="V170" s="193" t="s">
        <v>428</v>
      </c>
      <c r="W170" s="20"/>
      <c r="X170" s="20"/>
      <c r="Y170" s="20"/>
      <c r="Z170" s="20"/>
      <c r="AA170" s="20"/>
      <c r="AB170" s="20"/>
      <c r="AC170" s="20"/>
      <c r="AD170" s="20"/>
      <c r="AE170" s="136"/>
      <c r="AF170" s="20"/>
      <c r="AG170" s="20"/>
    </row>
    <row r="171" spans="2:33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139" t="e">
        <f>U171+V171</f>
        <v>#DIV/0!</v>
      </c>
      <c r="U171" s="133" t="e">
        <f>PV($C$1, ($AD$3-$U$3), 0, -AD72)</f>
        <v>#DIV/0!</v>
      </c>
      <c r="V171" s="133" t="e">
        <f>PV($C$1, ($AD$3-$U$3), 0, -AG72)</f>
        <v>#DIV/0!</v>
      </c>
      <c r="W171" s="20"/>
      <c r="X171" s="20"/>
      <c r="Y171" s="20"/>
      <c r="Z171" s="20"/>
      <c r="AA171" s="20"/>
      <c r="AB171" s="20"/>
      <c r="AC171" s="20"/>
      <c r="AD171" s="20"/>
      <c r="AE171" s="136"/>
      <c r="AF171" s="20"/>
      <c r="AG171" s="20"/>
    </row>
    <row r="172" spans="2:33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139" t="e">
        <f t="shared" ref="T172:T190" si="434">U172+V172</f>
        <v>#DIV/0!</v>
      </c>
      <c r="U172" s="133" t="e">
        <f>PV($C$1, ($AD$3-$U$3), 0, -AD74)</f>
        <v>#DIV/0!</v>
      </c>
      <c r="V172" s="133" t="e">
        <f>PV($C$1, ($AD$3-$U$3), 0, -AG74)</f>
        <v>#DIV/0!</v>
      </c>
      <c r="W172" s="20"/>
      <c r="X172" s="20"/>
      <c r="Y172" s="20"/>
      <c r="Z172" s="20"/>
      <c r="AA172" s="20"/>
      <c r="AB172" s="20"/>
      <c r="AC172" s="20"/>
      <c r="AD172" s="20"/>
      <c r="AE172" s="136"/>
      <c r="AF172" s="20"/>
      <c r="AG172" s="20"/>
    </row>
    <row r="173" spans="2:33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139" t="e">
        <f t="shared" si="434"/>
        <v>#DIV/0!</v>
      </c>
      <c r="U173" s="133" t="e">
        <f>PV($C$1, ($AD$3-$U$3), 0, -AD75)</f>
        <v>#DIV/0!</v>
      </c>
      <c r="V173" s="133" t="e">
        <f>PV($C$1, ($AD$3-$U$3), 0, -AG75)</f>
        <v>#DIV/0!</v>
      </c>
      <c r="W173" s="20"/>
      <c r="X173" s="20"/>
      <c r="Y173" s="20"/>
      <c r="Z173" s="20"/>
      <c r="AA173" s="20"/>
      <c r="AB173" s="20"/>
      <c r="AC173" s="20"/>
      <c r="AD173" s="20"/>
      <c r="AE173" s="136"/>
      <c r="AF173" s="20"/>
      <c r="AG173" s="20"/>
    </row>
    <row r="174" spans="2:33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139" t="e">
        <f t="shared" si="434"/>
        <v>#DIV/0!</v>
      </c>
      <c r="U174" s="133" t="e">
        <f>PV($C$1, ($AD$3-$U$3), 0, -AD76)</f>
        <v>#DIV/0!</v>
      </c>
      <c r="V174" s="133" t="e">
        <f>PV($C$1, ($AD$3-$U$3), 0, -AG76)</f>
        <v>#DIV/0!</v>
      </c>
      <c r="W174" s="20"/>
      <c r="X174" s="20"/>
      <c r="Y174" s="20"/>
      <c r="Z174" s="20"/>
      <c r="AA174" s="20"/>
      <c r="AB174" s="20"/>
      <c r="AC174" s="20"/>
      <c r="AD174" s="20"/>
      <c r="AE174" s="136"/>
      <c r="AF174" s="20"/>
      <c r="AG174" s="20"/>
    </row>
    <row r="175" spans="2:33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139" t="e">
        <f t="shared" si="434"/>
        <v>#DIV/0!</v>
      </c>
      <c r="U175" s="133" t="e">
        <f>PV($C$1, ($AD$3-$U$3), 0, -AD82)</f>
        <v>#DIV/0!</v>
      </c>
      <c r="V175" s="133" t="e">
        <f>PV($C$1, ($AD$3-$U$3), 0, -AG82)</f>
        <v>#DIV/0!</v>
      </c>
      <c r="W175" s="20"/>
      <c r="X175" s="20"/>
      <c r="Y175" s="20"/>
      <c r="Z175" s="20"/>
      <c r="AA175" s="20"/>
      <c r="AB175" s="20"/>
      <c r="AC175" s="20"/>
      <c r="AD175" s="20"/>
      <c r="AE175" s="136"/>
      <c r="AF175" s="20"/>
      <c r="AG175" s="20"/>
    </row>
    <row r="176" spans="2:33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139"/>
      <c r="U176" s="133"/>
      <c r="V176" s="20"/>
      <c r="W176" s="20"/>
      <c r="X176" s="20"/>
      <c r="Y176" s="20"/>
      <c r="Z176" s="20"/>
      <c r="AA176" s="20"/>
      <c r="AB176" s="20"/>
      <c r="AC176" s="20"/>
      <c r="AD176" s="20"/>
      <c r="AE176" s="136"/>
      <c r="AF176" s="20"/>
      <c r="AG176" s="20"/>
    </row>
    <row r="177" spans="2:33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139" t="e">
        <f t="shared" si="434"/>
        <v>#DIV/0!</v>
      </c>
      <c r="U177" s="133" t="e">
        <f>PV($C$1, ($AD$3-$U$3), 0, -AD78)</f>
        <v>#DIV/0!</v>
      </c>
      <c r="V177" s="133" t="e">
        <f>PV($C$1, ($AD$3-$U$3), 0, -$AG$78)</f>
        <v>#DIV/0!</v>
      </c>
      <c r="W177" s="20"/>
      <c r="X177" s="20"/>
      <c r="Y177" s="20"/>
      <c r="Z177" s="20"/>
      <c r="AA177" s="20"/>
      <c r="AB177" s="20"/>
      <c r="AC177" s="20"/>
      <c r="AD177" s="20"/>
      <c r="AE177" s="136"/>
      <c r="AF177" s="20"/>
      <c r="AG177" s="20"/>
    </row>
    <row r="178" spans="2:33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139" t="e">
        <f t="shared" si="434"/>
        <v>#DIV/0!</v>
      </c>
      <c r="U178" s="133" t="e">
        <f>PV($C$1, ($AD$3-$U$3), 0, -AD79)</f>
        <v>#DIV/0!</v>
      </c>
      <c r="V178" s="133" t="e">
        <f>PV($C$1, ($AD$3-$U$3), 0, -$AG$79)</f>
        <v>#DIV/0!</v>
      </c>
      <c r="W178" s="20"/>
      <c r="X178" s="20"/>
      <c r="Y178" s="20"/>
      <c r="Z178" s="20"/>
      <c r="AA178" s="20"/>
      <c r="AB178" s="20"/>
      <c r="AC178" s="20"/>
      <c r="AD178" s="20"/>
      <c r="AE178" s="136"/>
      <c r="AF178" s="20"/>
      <c r="AG178" s="20"/>
    </row>
    <row r="179" spans="2:33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139" t="e">
        <f t="shared" si="434"/>
        <v>#DIV/0!</v>
      </c>
      <c r="U179" s="133" t="e">
        <f>PV($C$1, ($AD$3-$U$3), 0, -AD80)</f>
        <v>#DIV/0!</v>
      </c>
      <c r="V179" s="133" t="e">
        <f>PV($C$1, ($AD$3-$U$3), 0, -$AG$80)</f>
        <v>#DIV/0!</v>
      </c>
      <c r="W179" s="20"/>
      <c r="X179" s="20"/>
      <c r="Y179" s="20"/>
      <c r="Z179" s="20"/>
      <c r="AA179" s="20"/>
      <c r="AB179" s="20"/>
      <c r="AC179" s="20"/>
      <c r="AD179" s="20"/>
      <c r="AE179" s="136"/>
      <c r="AF179" s="20"/>
      <c r="AG179" s="20"/>
    </row>
    <row r="180" spans="2:33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139"/>
      <c r="U180" s="133"/>
      <c r="V180" s="20"/>
      <c r="W180" s="20"/>
      <c r="X180" s="20"/>
      <c r="Y180" s="20"/>
      <c r="Z180" s="20"/>
      <c r="AA180" s="20"/>
      <c r="AB180" s="20"/>
      <c r="AC180" s="20"/>
      <c r="AD180" s="20"/>
      <c r="AE180" s="136"/>
      <c r="AF180" s="20"/>
      <c r="AG180" s="20"/>
    </row>
    <row r="181" spans="2:33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139" t="e">
        <f t="shared" si="434"/>
        <v>#DIV/0!</v>
      </c>
      <c r="U181" s="133" t="e">
        <f>PV($C$1, ($AD$3-$U$3), 0, -AD85)</f>
        <v>#DIV/0!</v>
      </c>
      <c r="V181" s="133" t="e">
        <f>PV($C$1, ($AD$3-$U$3), 0, -AG85)</f>
        <v>#DIV/0!</v>
      </c>
      <c r="W181" s="20"/>
      <c r="X181" s="20"/>
      <c r="Y181" s="20"/>
      <c r="Z181" s="20"/>
      <c r="AA181" s="20"/>
      <c r="AB181" s="20"/>
      <c r="AC181" s="20"/>
      <c r="AD181" s="20"/>
      <c r="AE181" s="136"/>
      <c r="AF181" s="20"/>
      <c r="AG181" s="20"/>
    </row>
    <row r="182" spans="2:33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139" t="e">
        <f t="shared" si="434"/>
        <v>#DIV/0!</v>
      </c>
      <c r="U182" s="133" t="e">
        <f>PV($C$1, ($AD$3-$U$3), 0, -AD86)</f>
        <v>#DIV/0!</v>
      </c>
      <c r="V182" s="133" t="e">
        <f>PV($C$1, ($AD$3-$U$3), 0, -AG86)</f>
        <v>#DIV/0!</v>
      </c>
      <c r="W182" s="20"/>
      <c r="X182" s="20"/>
      <c r="Y182" s="20"/>
      <c r="Z182" s="20"/>
      <c r="AA182" s="20"/>
      <c r="AB182" s="20"/>
      <c r="AC182" s="20"/>
      <c r="AD182" s="20"/>
      <c r="AE182" s="136"/>
      <c r="AF182" s="20"/>
      <c r="AG182" s="20"/>
    </row>
    <row r="183" spans="2:33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139"/>
      <c r="U183" s="133"/>
      <c r="V183" s="133"/>
      <c r="W183" s="20"/>
      <c r="X183" s="20"/>
      <c r="Y183" s="20"/>
      <c r="Z183" s="20"/>
      <c r="AA183" s="20"/>
      <c r="AB183" s="20"/>
      <c r="AC183" s="20"/>
      <c r="AD183" s="20"/>
      <c r="AE183" s="136"/>
      <c r="AF183" s="20"/>
      <c r="AG183" s="20"/>
    </row>
    <row r="184" spans="2:33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139">
        <f t="shared" ref="T184" si="435">U184+V184</f>
        <v>0</v>
      </c>
      <c r="U184" s="133">
        <f>PV($C$1, ($AD$3-$U$3), 0, -AD12)</f>
        <v>0</v>
      </c>
      <c r="V184" s="133">
        <f>PV($C$1, ($AD$3-$U$3), 0, -AG12)</f>
        <v>0</v>
      </c>
      <c r="W184" s="20"/>
      <c r="X184" s="20"/>
      <c r="Y184" s="20"/>
      <c r="Z184" s="20"/>
      <c r="AA184" s="20"/>
      <c r="AB184" s="20"/>
      <c r="AC184" s="20"/>
      <c r="AD184" s="20"/>
      <c r="AE184" s="136"/>
      <c r="AF184" s="20"/>
      <c r="AG184" s="20"/>
    </row>
    <row r="185" spans="2:33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139" t="e">
        <f>U185+V185</f>
        <v>#DIV/0!</v>
      </c>
      <c r="U185" s="139" t="e">
        <f>U184/Q57</f>
        <v>#DIV/0!</v>
      </c>
      <c r="V185" s="139" t="e">
        <f>V184/Q57</f>
        <v>#DIV/0!</v>
      </c>
      <c r="W185" s="20"/>
      <c r="X185" s="20"/>
      <c r="Y185" s="20"/>
      <c r="Z185" s="20"/>
      <c r="AA185" s="20"/>
      <c r="AB185" s="20"/>
      <c r="AC185" s="20"/>
      <c r="AD185" s="20"/>
      <c r="AE185" s="136"/>
      <c r="AF185" s="20"/>
      <c r="AG185" s="20"/>
    </row>
    <row r="186" spans="2:33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139"/>
      <c r="U186" s="139"/>
      <c r="V186" s="139"/>
      <c r="W186" s="20"/>
      <c r="X186" s="20"/>
      <c r="Y186" s="20"/>
      <c r="Z186" s="20"/>
      <c r="AA186" s="20"/>
      <c r="AB186" s="20"/>
      <c r="AC186" s="20"/>
      <c r="AD186" s="20"/>
      <c r="AE186" s="136"/>
      <c r="AF186" s="20"/>
      <c r="AG186" s="20"/>
    </row>
    <row r="187" spans="2:33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139"/>
      <c r="U187" s="133"/>
      <c r="V187" s="133"/>
      <c r="W187" s="20"/>
      <c r="X187" s="20"/>
      <c r="Y187" s="20"/>
      <c r="Z187" s="20"/>
      <c r="AA187" s="20"/>
      <c r="AB187" s="20"/>
      <c r="AC187" s="20"/>
      <c r="AD187" s="20"/>
      <c r="AE187" s="136"/>
      <c r="AF187" s="20"/>
      <c r="AG187" s="20"/>
    </row>
    <row r="188" spans="2:33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139">
        <f t="shared" ref="T188" si="436">U188+V188</f>
        <v>0</v>
      </c>
      <c r="U188" s="133">
        <f>PV($C$1, ($AD$3-$U$3), 0, -AD88)+PV($C$1, ($AC$3-$U$3), 0, -AD88)+PV($C$1, ($AB$3-$U$3), 0, -AD88)+PV($C$1, ($AA$3-$U$3), 0, -AD88)+PV($C$1, ($Z$3-$U$3), 0, -AD88)+PV($C$1, ($Y$3-$U$3), 0, -AD88)+PV($C$1, ($X$3-$U$3), 0, -AD88)+PV($C$1, ($W$3-$U$3), 0, -AD88)+PV($C$1, ($V$3-$U$3), 0, -AD88)+PV($C$1, ($U$3-$U$3), 0, -AD88)</f>
        <v>0</v>
      </c>
      <c r="V188" s="133">
        <f>PV($C$1, ($AD$3-$U$3), 0, -AG88)</f>
        <v>0</v>
      </c>
      <c r="W188" s="20"/>
      <c r="X188" s="20"/>
      <c r="Y188" s="20"/>
      <c r="Z188" s="20"/>
      <c r="AA188" s="20"/>
      <c r="AB188" s="20"/>
      <c r="AC188" s="20"/>
      <c r="AD188" s="20"/>
      <c r="AE188" s="136"/>
      <c r="AF188" s="20"/>
      <c r="AG188" s="20"/>
    </row>
    <row r="189" spans="2:33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139"/>
      <c r="U189" s="133"/>
      <c r="V189" s="133"/>
      <c r="W189" s="20"/>
      <c r="X189" s="20"/>
      <c r="Y189" s="20"/>
      <c r="Z189" s="20"/>
      <c r="AA189" s="20"/>
      <c r="AB189" s="20"/>
      <c r="AC189" s="20"/>
      <c r="AD189" s="20"/>
      <c r="AE189" s="136"/>
      <c r="AF189" s="20"/>
      <c r="AG189" s="20"/>
    </row>
    <row r="190" spans="2:33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139">
        <f t="shared" si="434"/>
        <v>0</v>
      </c>
      <c r="U190" s="133">
        <f>PV($C$1, ($AD$3-$U$3), 0, -AD90)+PV($C$1, ($AC$3-$U$3), 0, -AD90)+PV($C$1, ($AB$3-$U$3), 0, -AD90)+PV($C$1, ($AA$3-$U$3), 0, -AD90)+PV($C$1, ($Z$3-$U$3), 0, -AD90)+PV($C$1, ($Y$3-$U$3), 0, -AD90)+PV($C$1, ($X$3-$U$3), 0, -AD90)+PV($C$1, ($W$3-$U$3), 0, -AD90)+PV($C$1, ($V$3-$U$3), 0, -AD90)+PV($C$1, ($U$3-$U$3), 0, -AD90)</f>
        <v>0</v>
      </c>
      <c r="V190" s="133">
        <f>PV($C$1, ($AD$3-$U$3), 0, -AG90)</f>
        <v>0</v>
      </c>
      <c r="W190" s="20"/>
      <c r="X190" s="20"/>
      <c r="Y190" s="20"/>
      <c r="Z190" s="20"/>
      <c r="AA190" s="20"/>
      <c r="AB190" s="20"/>
      <c r="AC190" s="20"/>
      <c r="AD190" s="20"/>
      <c r="AE190" s="136"/>
      <c r="AF190" s="20"/>
      <c r="AG190" s="20"/>
    </row>
    <row r="191" spans="2:33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139"/>
      <c r="U191" s="133"/>
      <c r="V191" s="133"/>
      <c r="W191" s="20"/>
      <c r="X191" s="20"/>
      <c r="Y191" s="20"/>
      <c r="Z191" s="20"/>
      <c r="AA191" s="20"/>
      <c r="AB191" s="20"/>
      <c r="AC191" s="20"/>
      <c r="AD191" s="20"/>
      <c r="AE191" s="136"/>
      <c r="AF191" s="20"/>
      <c r="AG191" s="20"/>
    </row>
    <row r="192" spans="2:33">
      <c r="B192" s="20" t="s">
        <v>459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39" t="e">
        <f t="shared" ref="T192:T195" si="437">U192+V192</f>
        <v>#DIV/0!</v>
      </c>
      <c r="U192" s="133" t="e">
        <f>PV($C$1, ($AD$3-$U$3), 0, -AD92)+PV($C$1, ($AC$3-$U$3), 0, -AD92)+PV($C$1, ($AB$3-$U$3), 0, -AD92)+PV($C$1, ($AA$3-$U$3), 0, -AD92)+PV($C$1, ($Z$3-$U$3), 0, -AD92)+PV($C$1, ($Y$3-$U$3), 0, -AD92)+PV($C$1, ($X$3-$U$3), 0, -AD92)+PV($C$1, ($W$3-$U$3), 0, -AD92)+PV($C$1, ($V$3-$U$3), 0, -AD92)+PV($C$1, ($U$3-$U$3), 0, -AD92)</f>
        <v>#DIV/0!</v>
      </c>
      <c r="V192" s="133" t="e">
        <f>PV($C$1, ($AD$3-$U$3), 0, -AG92)</f>
        <v>#DIV/0!</v>
      </c>
      <c r="W192" s="20"/>
      <c r="X192" s="20"/>
      <c r="Y192" s="20"/>
      <c r="Z192" s="20"/>
      <c r="AA192" s="20"/>
      <c r="AB192" s="20"/>
      <c r="AC192" s="20"/>
      <c r="AD192" s="20"/>
      <c r="AE192" s="136"/>
      <c r="AF192" s="20"/>
      <c r="AG192" s="20"/>
    </row>
    <row r="193" spans="2:33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139" t="e">
        <f t="shared" si="437"/>
        <v>#DIV/0!</v>
      </c>
      <c r="U193" s="133" t="e">
        <f>PV($C$1, ($AD$3-$U$3), 0, -AD93)+PV($C$1, ($AC$3-$U$3), 0, -AD93)+PV($C$1, ($AB$3-$U$3), 0, -AD93)+PV($C$1, ($AA$3-$U$3), 0, -AD93)+PV($C$1, ($Z$3-$U$3), 0, -AD93)+PV($C$1, ($Y$3-$U$3), 0, -AD93)+PV($C$1, ($X$3-$U$3), 0, -AD93)+PV($C$1, ($W$3-$U$3), 0, -AD93)+PV($C$1, ($V$3-$U$3), 0, -AD93)+PV($C$1, ($U$3-$U$3), 0, -AD93)</f>
        <v>#DIV/0!</v>
      </c>
      <c r="V193" s="133" t="e">
        <f>PV($C$1, ($AD$3-$U$3), 0, -AG93)</f>
        <v>#DIV/0!</v>
      </c>
      <c r="W193" s="20"/>
      <c r="X193" s="20"/>
      <c r="Y193" s="20"/>
      <c r="Z193" s="20"/>
      <c r="AA193" s="20"/>
      <c r="AB193" s="20"/>
      <c r="AC193" s="20"/>
      <c r="AD193" s="20"/>
      <c r="AE193" s="136"/>
      <c r="AF193" s="20"/>
      <c r="AG193" s="20"/>
    </row>
    <row r="194" spans="2:33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139" t="e">
        <f t="shared" si="437"/>
        <v>#DIV/0!</v>
      </c>
      <c r="U194" s="133" t="e">
        <f>PV($C$1, ($AD$3-$U$3), 0, -AD94)+PV($C$1, ($AC$3-$U$3), 0, -AD94)+PV($C$1, ($AB$3-$U$3), 0, -AD94)+PV($C$1, ($AA$3-$U$3), 0, -AD94)+PV($C$1, ($Z$3-$U$3), 0, -AD94)+PV($C$1, ($Y$3-$U$3), 0, -AD94)+PV($C$1, ($X$3-$U$3), 0, -AD94)+PV($C$1, ($W$3-$U$3), 0, -AD94)+PV($C$1, ($V$3-$U$3), 0, -AD94)+PV($C$1, ($U$3-$U$3), 0, -AD94)</f>
        <v>#DIV/0!</v>
      </c>
      <c r="V194" s="133" t="e">
        <f>PV($C$1, ($AD$3-$U$3), 0, -AG94)</f>
        <v>#DIV/0!</v>
      </c>
      <c r="W194" s="20"/>
      <c r="X194" s="20"/>
      <c r="Y194" s="20"/>
      <c r="Z194" s="20"/>
      <c r="AA194" s="20"/>
      <c r="AB194" s="20"/>
      <c r="AC194" s="20"/>
      <c r="AD194" s="20"/>
      <c r="AE194" s="136"/>
      <c r="AF194" s="20"/>
      <c r="AG194" s="20"/>
    </row>
    <row r="195" spans="2:33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139" t="e">
        <f t="shared" si="437"/>
        <v>#DIV/0!</v>
      </c>
      <c r="U195" s="133" t="e">
        <f>PV($C$1, ($AD$3-$U$3), 0, -AD95)+PV($C$1, ($AC$3-$U$3), 0, -AD95)+PV($C$1, ($AB$3-$U$3), 0, -AD95)+PV($C$1, ($AA$3-$U$3), 0, -AD95)+PV($C$1, ($Z$3-$U$3), 0, -AD95)+PV($C$1, ($Y$3-$U$3), 0, -AD95)+PV($C$1, ($X$3-$U$3), 0, -AD95)+PV($C$1, ($W$3-$U$3), 0, -AD95)+PV($C$1, ($V$3-$U$3), 0, -AD95)+PV($C$1, ($U$3-$U$3), 0, -AD95)</f>
        <v>#DIV/0!</v>
      </c>
      <c r="V195" s="133" t="e">
        <f>PV($C$1, ($AD$3-$U$3), 0, -AG95)</f>
        <v>#DIV/0!</v>
      </c>
      <c r="W195" s="20"/>
      <c r="X195" s="20"/>
      <c r="Y195" s="20"/>
      <c r="Z195" s="20"/>
      <c r="AA195" s="20"/>
      <c r="AB195" s="20"/>
      <c r="AC195" s="20"/>
      <c r="AD195" s="20"/>
      <c r="AE195" s="136"/>
      <c r="AF195" s="20"/>
      <c r="AG195" s="20"/>
    </row>
    <row r="196" spans="2:33">
      <c r="B196" s="20" t="s">
        <v>457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110" t="e">
        <f>T193+T194+T195</f>
        <v>#DIV/0!</v>
      </c>
      <c r="U196" s="110" t="e">
        <f t="shared" ref="U196:V196" si="438">U193+U194+U195</f>
        <v>#DIV/0!</v>
      </c>
      <c r="V196" s="110" t="e">
        <f t="shared" si="438"/>
        <v>#DIV/0!</v>
      </c>
      <c r="W196" s="20"/>
      <c r="X196" s="20"/>
      <c r="Y196" s="20"/>
      <c r="Z196" s="20"/>
      <c r="AA196" s="20"/>
      <c r="AB196" s="20"/>
      <c r="AC196" s="20"/>
      <c r="AD196" s="20"/>
      <c r="AE196" s="136"/>
      <c r="AF196" s="20"/>
      <c r="AG196" s="20"/>
    </row>
    <row r="197" spans="2:33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139"/>
      <c r="U197" s="133"/>
      <c r="V197" s="133"/>
      <c r="W197" s="20"/>
      <c r="X197" s="20"/>
      <c r="Y197" s="20"/>
      <c r="Z197" s="20"/>
      <c r="AA197" s="20"/>
      <c r="AB197" s="20"/>
      <c r="AC197" s="20"/>
      <c r="AD197" s="20"/>
      <c r="AE197" s="136"/>
      <c r="AF197" s="20"/>
      <c r="AG197" s="20"/>
    </row>
    <row r="198" spans="2:33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139" t="e">
        <f>U198+V198</f>
        <v>#DIV/0!</v>
      </c>
      <c r="U198" s="133" t="e">
        <f>PV($C$1, ($AD$3-$U$3), 0, -AD96)+PV($C$1, ($AC$3-$U$3), 0, -AD96)+PV($C$1, ($AB$3-$U$3), 0, -AD96)+PV($C$1, ($AA$3-$U$3), 0, -AD96)+PV($C$1, ($Z$3-$U$3), 0, -AD96)+PV($C$1, ($Y$3-$U$3), 0, -AD96)+PV($C$1, ($X$3-$U$3), 0, -AD96)+PV($C$1, ($W$3-$U$3), 0, -AD96)+PV($C$1, ($V$3-$U$3), 0, -AD96)+PV($C$1, ($U$3-$U$3), 0, -AD96)</f>
        <v>#DIV/0!</v>
      </c>
      <c r="V198" s="133" t="e">
        <f>PV($C$1, ($AD$3-$U$3), 0, -AG96)</f>
        <v>#DIV/0!</v>
      </c>
      <c r="W198" s="20"/>
      <c r="X198" s="20"/>
      <c r="Y198" s="20"/>
      <c r="Z198" s="20"/>
      <c r="AA198" s="20"/>
      <c r="AB198" s="20"/>
      <c r="AC198" s="20"/>
      <c r="AD198" s="20"/>
      <c r="AE198" s="136"/>
      <c r="AF198" s="20"/>
      <c r="AG198" s="20"/>
    </row>
    <row r="199" spans="2:33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181">
        <v>41729</v>
      </c>
      <c r="Q199" s="20" t="s">
        <v>495</v>
      </c>
      <c r="R199" s="20"/>
      <c r="S199" s="20"/>
      <c r="T199" s="20"/>
      <c r="U199" s="121"/>
      <c r="V199" s="20"/>
      <c r="W199" s="20"/>
      <c r="X199" s="20"/>
      <c r="Y199" s="20"/>
      <c r="Z199" s="20"/>
      <c r="AA199" s="20"/>
      <c r="AB199" s="20"/>
      <c r="AC199" s="20"/>
      <c r="AD199" s="20"/>
      <c r="AE199" s="136"/>
      <c r="AF199" s="20"/>
      <c r="AG199" s="20"/>
    </row>
    <row r="200" spans="2:33">
      <c r="B200" s="108" t="s">
        <v>251</v>
      </c>
      <c r="C200" s="20"/>
      <c r="D200" s="20"/>
      <c r="E200" s="20"/>
      <c r="F200" s="20"/>
      <c r="G200" s="199" t="s">
        <v>470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23" t="s">
        <v>388</v>
      </c>
      <c r="Q200" s="20" t="s">
        <v>495</v>
      </c>
      <c r="R200" s="20"/>
      <c r="S200" s="20" t="s">
        <v>495</v>
      </c>
      <c r="T200" s="23" t="s">
        <v>389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136"/>
      <c r="AF200" s="20"/>
      <c r="AG200" s="20"/>
    </row>
    <row r="201" spans="2:33">
      <c r="B201" s="20" t="s">
        <v>204</v>
      </c>
      <c r="C201" s="22">
        <v>0</v>
      </c>
      <c r="D201" s="22">
        <v>0</v>
      </c>
      <c r="E201" s="22">
        <v>0</v>
      </c>
      <c r="F201" s="22"/>
      <c r="G201" s="22">
        <v>0</v>
      </c>
      <c r="H201" s="22">
        <v>0</v>
      </c>
      <c r="I201" s="22">
        <v>0</v>
      </c>
      <c r="J201" s="22">
        <v>129</v>
      </c>
      <c r="K201" s="22">
        <v>57</v>
      </c>
      <c r="L201" s="22">
        <v>96</v>
      </c>
      <c r="M201" s="22">
        <v>124</v>
      </c>
      <c r="N201" s="22">
        <v>145</v>
      </c>
      <c r="O201" s="22">
        <v>185</v>
      </c>
      <c r="P201" s="22">
        <v>166</v>
      </c>
      <c r="Q201" s="22">
        <v>0</v>
      </c>
      <c r="R201" s="22">
        <v>0</v>
      </c>
      <c r="S201" s="118" t="e">
        <f t="shared" ref="S201:S208" si="439">((Q201/H201)^(1/($I$2-$I$1) ))-1</f>
        <v>#DIV/0!</v>
      </c>
      <c r="T201" s="31">
        <v>0</v>
      </c>
      <c r="U201" s="195">
        <v>50</v>
      </c>
      <c r="V201" s="119">
        <f t="shared" ref="V201:AD201" si="440">U201*(1+$T201)</f>
        <v>50</v>
      </c>
      <c r="W201" s="119">
        <f t="shared" si="440"/>
        <v>50</v>
      </c>
      <c r="X201" s="119">
        <f t="shared" si="440"/>
        <v>50</v>
      </c>
      <c r="Y201" s="119">
        <f t="shared" si="440"/>
        <v>50</v>
      </c>
      <c r="Z201" s="119">
        <f t="shared" si="440"/>
        <v>50</v>
      </c>
      <c r="AA201" s="119">
        <f t="shared" si="440"/>
        <v>50</v>
      </c>
      <c r="AB201" s="119">
        <f t="shared" si="440"/>
        <v>50</v>
      </c>
      <c r="AC201" s="119">
        <f t="shared" si="440"/>
        <v>50</v>
      </c>
      <c r="AD201" s="119">
        <f t="shared" si="440"/>
        <v>50</v>
      </c>
      <c r="AE201" s="137" t="e">
        <f t="shared" ref="AE201:AE208" si="441">((AD201/H201)^(1/($AD$3-$I$1) ))-1</f>
        <v>#DIV/0!</v>
      </c>
      <c r="AF201" s="31">
        <f t="shared" ref="AF201:AF208" si="442">$M$1</f>
        <v>0.05</v>
      </c>
      <c r="AG201" s="127" t="e">
        <f t="shared" ref="AG201:AG212" si="443">(AD201*(1+AE201))/($C$1-AF201)</f>
        <v>#DIV/0!</v>
      </c>
    </row>
    <row r="202" spans="2:33">
      <c r="B202" s="20" t="s">
        <v>359</v>
      </c>
      <c r="C202" s="25"/>
      <c r="D202" s="25"/>
      <c r="E202" s="25"/>
      <c r="F202" s="25"/>
      <c r="G202" s="25"/>
      <c r="H202" s="25">
        <f t="shared" ref="H202:R202" si="444">H201/H66</f>
        <v>0</v>
      </c>
      <c r="I202" s="25">
        <f t="shared" si="444"/>
        <v>0</v>
      </c>
      <c r="J202" s="25">
        <f t="shared" si="444"/>
        <v>2.8906786397762398</v>
      </c>
      <c r="K202" s="25">
        <f t="shared" si="444"/>
        <v>1.2881475434169511</v>
      </c>
      <c r="L202" s="25">
        <f t="shared" si="444"/>
        <v>2.027657332963682</v>
      </c>
      <c r="M202" s="25">
        <f t="shared" si="444"/>
        <v>2.4680614103564924</v>
      </c>
      <c r="N202" s="25">
        <f t="shared" si="444"/>
        <v>2.5463374155888752</v>
      </c>
      <c r="O202" s="25">
        <f t="shared" si="444"/>
        <v>2.8344610034773972</v>
      </c>
      <c r="P202" s="25" t="e">
        <f t="shared" si="444"/>
        <v>#DIV/0!</v>
      </c>
      <c r="Q202" s="25" t="e">
        <f t="shared" si="444"/>
        <v>#DIV/0!</v>
      </c>
      <c r="R202" s="25" t="e">
        <f t="shared" si="444"/>
        <v>#DIV/0!</v>
      </c>
      <c r="S202" s="118" t="e">
        <f t="shared" ref="S202" si="445">((Q202/H202)^(1/($I$2-$I$1) ))-1</f>
        <v>#DIV/0!</v>
      </c>
      <c r="T202" s="128"/>
      <c r="U202" s="25" t="e">
        <f t="shared" ref="U202:AD202" si="446">U201/U66</f>
        <v>#DIV/0!</v>
      </c>
      <c r="V202" s="25" t="e">
        <f t="shared" si="446"/>
        <v>#DIV/0!</v>
      </c>
      <c r="W202" s="25" t="e">
        <f t="shared" si="446"/>
        <v>#DIV/0!</v>
      </c>
      <c r="X202" s="25" t="e">
        <f t="shared" si="446"/>
        <v>#DIV/0!</v>
      </c>
      <c r="Y202" s="25" t="e">
        <f t="shared" si="446"/>
        <v>#DIV/0!</v>
      </c>
      <c r="Z202" s="25" t="e">
        <f t="shared" si="446"/>
        <v>#DIV/0!</v>
      </c>
      <c r="AA202" s="25" t="e">
        <f t="shared" si="446"/>
        <v>#DIV/0!</v>
      </c>
      <c r="AB202" s="25" t="e">
        <f t="shared" si="446"/>
        <v>#DIV/0!</v>
      </c>
      <c r="AC202" s="25" t="e">
        <f t="shared" si="446"/>
        <v>#DIV/0!</v>
      </c>
      <c r="AD202" s="25" t="e">
        <f t="shared" si="446"/>
        <v>#DIV/0!</v>
      </c>
      <c r="AE202" s="137" t="e">
        <f t="shared" ref="AE202" si="447">((AD202/H202)^(1/($AD$3-$I$1) ))-1</f>
        <v>#DIV/0!</v>
      </c>
      <c r="AF202" s="31">
        <f t="shared" si="442"/>
        <v>0.05</v>
      </c>
      <c r="AG202" s="127" t="e">
        <f t="shared" ref="AG202" si="448">(AD202*(1+AE202))/($C$1-AF202)</f>
        <v>#DIV/0!</v>
      </c>
    </row>
    <row r="203" spans="2:33">
      <c r="B203" s="20" t="s">
        <v>387</v>
      </c>
      <c r="C203" s="25"/>
      <c r="D203" s="25"/>
      <c r="E203" s="25"/>
      <c r="F203" s="25"/>
      <c r="G203" s="25"/>
      <c r="H203" s="25" t="e">
        <f t="shared" ref="H203:R203" si="449">H201/H72</f>
        <v>#DIV/0!</v>
      </c>
      <c r="I203" s="25">
        <f t="shared" si="449"/>
        <v>0</v>
      </c>
      <c r="J203" s="25">
        <f t="shared" si="449"/>
        <v>11.112835314091681</v>
      </c>
      <c r="K203" s="25">
        <f t="shared" si="449"/>
        <v>6.2478401727861765</v>
      </c>
      <c r="L203" s="25">
        <f t="shared" si="449"/>
        <v>12.02921052631579</v>
      </c>
      <c r="M203" s="25">
        <f t="shared" si="449"/>
        <v>15.031315372424721</v>
      </c>
      <c r="N203" s="25">
        <f t="shared" si="449"/>
        <v>18.131499592502038</v>
      </c>
      <c r="O203" s="25">
        <f t="shared" si="449"/>
        <v>22.098257164988382</v>
      </c>
      <c r="P203" s="25" t="e">
        <f t="shared" si="449"/>
        <v>#DIV/0!</v>
      </c>
      <c r="Q203" s="25" t="e">
        <f t="shared" si="449"/>
        <v>#DIV/0!</v>
      </c>
      <c r="R203" s="25" t="e">
        <f t="shared" si="449"/>
        <v>#DIV/0!</v>
      </c>
      <c r="S203" s="118" t="e">
        <f t="shared" si="439"/>
        <v>#DIV/0!</v>
      </c>
      <c r="T203" s="128"/>
      <c r="U203" s="119" t="e">
        <f t="shared" ref="U203:AD203" si="450">U201/U72</f>
        <v>#DIV/0!</v>
      </c>
      <c r="V203" s="119" t="e">
        <f t="shared" si="450"/>
        <v>#DIV/0!</v>
      </c>
      <c r="W203" s="119" t="e">
        <f t="shared" si="450"/>
        <v>#DIV/0!</v>
      </c>
      <c r="X203" s="119" t="e">
        <f t="shared" si="450"/>
        <v>#DIV/0!</v>
      </c>
      <c r="Y203" s="119" t="e">
        <f t="shared" si="450"/>
        <v>#DIV/0!</v>
      </c>
      <c r="Z203" s="119" t="e">
        <f t="shared" si="450"/>
        <v>#DIV/0!</v>
      </c>
      <c r="AA203" s="119" t="e">
        <f t="shared" si="450"/>
        <v>#DIV/0!</v>
      </c>
      <c r="AB203" s="119" t="e">
        <f t="shared" si="450"/>
        <v>#DIV/0!</v>
      </c>
      <c r="AC203" s="119" t="e">
        <f t="shared" si="450"/>
        <v>#DIV/0!</v>
      </c>
      <c r="AD203" s="119" t="e">
        <f t="shared" si="450"/>
        <v>#DIV/0!</v>
      </c>
      <c r="AE203" s="137" t="e">
        <f t="shared" si="441"/>
        <v>#DIV/0!</v>
      </c>
      <c r="AF203" s="31">
        <f t="shared" si="442"/>
        <v>0.05</v>
      </c>
      <c r="AG203" s="127" t="e">
        <f t="shared" si="443"/>
        <v>#DIV/0!</v>
      </c>
    </row>
    <row r="204" spans="2:33">
      <c r="B204" s="20" t="s">
        <v>462</v>
      </c>
      <c r="C204" s="25"/>
      <c r="D204" s="25"/>
      <c r="E204" s="25"/>
      <c r="F204" s="25"/>
      <c r="G204" s="25"/>
      <c r="H204" s="25">
        <f t="shared" ref="H204:R204" si="451">H201/H70</f>
        <v>0</v>
      </c>
      <c r="I204" s="25">
        <f t="shared" si="451"/>
        <v>0</v>
      </c>
      <c r="J204" s="25">
        <f t="shared" si="451"/>
        <v>9.5927601367855395</v>
      </c>
      <c r="K204" s="25">
        <f t="shared" si="451"/>
        <v>4.8427734375</v>
      </c>
      <c r="L204" s="25">
        <f t="shared" si="451"/>
        <v>7.6344050104384138</v>
      </c>
      <c r="M204" s="25">
        <f t="shared" si="451"/>
        <v>10.480397790055248</v>
      </c>
      <c r="N204" s="25">
        <f t="shared" si="451"/>
        <v>11.253085483055134</v>
      </c>
      <c r="O204" s="25">
        <f t="shared" si="451"/>
        <v>11.536130206227254</v>
      </c>
      <c r="P204" s="25" t="e">
        <f t="shared" si="451"/>
        <v>#DIV/0!</v>
      </c>
      <c r="Q204" s="25" t="e">
        <f t="shared" si="451"/>
        <v>#DIV/0!</v>
      </c>
      <c r="R204" s="25" t="e">
        <f t="shared" si="451"/>
        <v>#DIV/0!</v>
      </c>
      <c r="S204" s="118" t="e">
        <f t="shared" si="439"/>
        <v>#DIV/0!</v>
      </c>
      <c r="T204" s="128"/>
      <c r="U204" s="25" t="e">
        <f t="shared" ref="U204:AD204" si="452">U201/U70</f>
        <v>#DIV/0!</v>
      </c>
      <c r="V204" s="25" t="e">
        <f t="shared" si="452"/>
        <v>#DIV/0!</v>
      </c>
      <c r="W204" s="25" t="e">
        <f t="shared" si="452"/>
        <v>#DIV/0!</v>
      </c>
      <c r="X204" s="25" t="e">
        <f t="shared" si="452"/>
        <v>#DIV/0!</v>
      </c>
      <c r="Y204" s="25" t="e">
        <f t="shared" si="452"/>
        <v>#DIV/0!</v>
      </c>
      <c r="Z204" s="25" t="e">
        <f t="shared" si="452"/>
        <v>#DIV/0!</v>
      </c>
      <c r="AA204" s="25" t="e">
        <f t="shared" si="452"/>
        <v>#DIV/0!</v>
      </c>
      <c r="AB204" s="25" t="e">
        <f t="shared" si="452"/>
        <v>#DIV/0!</v>
      </c>
      <c r="AC204" s="25" t="e">
        <f t="shared" si="452"/>
        <v>#DIV/0!</v>
      </c>
      <c r="AD204" s="25" t="e">
        <f t="shared" si="452"/>
        <v>#DIV/0!</v>
      </c>
      <c r="AE204" s="137" t="e">
        <f t="shared" ref="AE204:AE205" si="453">((AD204/H204)^(1/($AD$3-$I$1) ))-1</f>
        <v>#DIV/0!</v>
      </c>
      <c r="AF204" s="31">
        <f t="shared" si="442"/>
        <v>0.05</v>
      </c>
      <c r="AG204" s="127" t="e">
        <f t="shared" ref="AG204:AG205" si="454">(AD204*(1+AE204))/($C$1-AF204)</f>
        <v>#DIV/0!</v>
      </c>
    </row>
    <row r="205" spans="2:33">
      <c r="B205" s="20" t="s">
        <v>463</v>
      </c>
      <c r="C205" s="25"/>
      <c r="D205" s="25"/>
      <c r="E205" s="25"/>
      <c r="F205" s="25"/>
      <c r="G205" s="25"/>
      <c r="H205" s="25">
        <f t="shared" ref="H205:R205" si="455">H201/H71</f>
        <v>0</v>
      </c>
      <c r="I205" s="25">
        <f t="shared" si="455"/>
        <v>0</v>
      </c>
      <c r="J205" s="25">
        <f t="shared" si="455"/>
        <v>7.2458966789667896</v>
      </c>
      <c r="K205" s="25">
        <f t="shared" si="455"/>
        <v>4.4595323741007196</v>
      </c>
      <c r="L205" s="25">
        <f t="shared" si="455"/>
        <v>8.2408563380281699</v>
      </c>
      <c r="M205" s="25">
        <f t="shared" si="455"/>
        <v>11.609253365973071</v>
      </c>
      <c r="N205" s="25">
        <f t="shared" si="455"/>
        <v>13.078982951205175</v>
      </c>
      <c r="O205" s="25">
        <f t="shared" si="455"/>
        <v>15.054802110817942</v>
      </c>
      <c r="P205" s="25" t="e">
        <f t="shared" si="455"/>
        <v>#DIV/0!</v>
      </c>
      <c r="Q205" s="25" t="e">
        <f t="shared" si="455"/>
        <v>#DIV/0!</v>
      </c>
      <c r="R205" s="25" t="e">
        <f t="shared" si="455"/>
        <v>#DIV/0!</v>
      </c>
      <c r="S205" s="118" t="e">
        <f t="shared" si="439"/>
        <v>#DIV/0!</v>
      </c>
      <c r="T205" s="128"/>
      <c r="U205" s="25" t="e">
        <f t="shared" ref="U205:AD205" si="456">U201/U71</f>
        <v>#DIV/0!</v>
      </c>
      <c r="V205" s="25" t="e">
        <f t="shared" si="456"/>
        <v>#DIV/0!</v>
      </c>
      <c r="W205" s="25" t="e">
        <f t="shared" si="456"/>
        <v>#DIV/0!</v>
      </c>
      <c r="X205" s="25" t="e">
        <f t="shared" si="456"/>
        <v>#DIV/0!</v>
      </c>
      <c r="Y205" s="25" t="e">
        <f t="shared" si="456"/>
        <v>#DIV/0!</v>
      </c>
      <c r="Z205" s="25" t="e">
        <f t="shared" si="456"/>
        <v>#DIV/0!</v>
      </c>
      <c r="AA205" s="25" t="e">
        <f t="shared" si="456"/>
        <v>#DIV/0!</v>
      </c>
      <c r="AB205" s="25" t="e">
        <f t="shared" si="456"/>
        <v>#DIV/0!</v>
      </c>
      <c r="AC205" s="25" t="e">
        <f t="shared" si="456"/>
        <v>#DIV/0!</v>
      </c>
      <c r="AD205" s="25" t="e">
        <f t="shared" si="456"/>
        <v>#DIV/0!</v>
      </c>
      <c r="AE205" s="137" t="e">
        <f t="shared" si="453"/>
        <v>#DIV/0!</v>
      </c>
      <c r="AF205" s="31">
        <f t="shared" si="442"/>
        <v>0.05</v>
      </c>
      <c r="AG205" s="127" t="e">
        <f t="shared" si="454"/>
        <v>#DIV/0!</v>
      </c>
    </row>
    <row r="206" spans="2:33">
      <c r="B206" s="20" t="s">
        <v>258</v>
      </c>
      <c r="C206" s="25"/>
      <c r="D206" s="25"/>
      <c r="E206" s="25"/>
      <c r="F206" s="25"/>
      <c r="G206" s="25"/>
      <c r="H206" s="25">
        <f t="shared" ref="H206:R206" si="457">H201/H75</f>
        <v>0</v>
      </c>
      <c r="I206" s="25">
        <f t="shared" si="457"/>
        <v>0</v>
      </c>
      <c r="J206" s="25">
        <f t="shared" si="457"/>
        <v>4.3118972332015808</v>
      </c>
      <c r="K206" s="25">
        <f t="shared" si="457"/>
        <v>1.6172661200149088</v>
      </c>
      <c r="L206" s="25">
        <f t="shared" si="457"/>
        <v>2.3738266796494645</v>
      </c>
      <c r="M206" s="25">
        <f t="shared" si="457"/>
        <v>2.7025958113691404</v>
      </c>
      <c r="N206" s="25">
        <f t="shared" si="457"/>
        <v>2.8680353229341242</v>
      </c>
      <c r="O206" s="25">
        <f t="shared" si="457"/>
        <v>3.3610803487276155</v>
      </c>
      <c r="P206" s="25" t="e">
        <f t="shared" si="457"/>
        <v>#DIV/0!</v>
      </c>
      <c r="Q206" s="25" t="e">
        <f t="shared" si="457"/>
        <v>#DIV/0!</v>
      </c>
      <c r="R206" s="25" t="e">
        <f t="shared" si="457"/>
        <v>#DIV/0!</v>
      </c>
      <c r="S206" s="118" t="e">
        <f t="shared" si="439"/>
        <v>#DIV/0!</v>
      </c>
      <c r="T206" s="128"/>
      <c r="U206" s="119" t="e">
        <f t="shared" ref="U206:AD206" si="458">U201/U75</f>
        <v>#DIV/0!</v>
      </c>
      <c r="V206" s="119" t="e">
        <f t="shared" si="458"/>
        <v>#DIV/0!</v>
      </c>
      <c r="W206" s="119" t="e">
        <f t="shared" si="458"/>
        <v>#DIV/0!</v>
      </c>
      <c r="X206" s="119" t="e">
        <f t="shared" si="458"/>
        <v>#DIV/0!</v>
      </c>
      <c r="Y206" s="119" t="e">
        <f t="shared" si="458"/>
        <v>#DIV/0!</v>
      </c>
      <c r="Z206" s="119" t="e">
        <f t="shared" si="458"/>
        <v>#DIV/0!</v>
      </c>
      <c r="AA206" s="119" t="e">
        <f t="shared" si="458"/>
        <v>#DIV/0!</v>
      </c>
      <c r="AB206" s="119" t="e">
        <f t="shared" si="458"/>
        <v>#DIV/0!</v>
      </c>
      <c r="AC206" s="119" t="e">
        <f t="shared" si="458"/>
        <v>#DIV/0!</v>
      </c>
      <c r="AD206" s="119" t="e">
        <f t="shared" si="458"/>
        <v>#DIV/0!</v>
      </c>
      <c r="AE206" s="137" t="e">
        <f t="shared" si="441"/>
        <v>#DIV/0!</v>
      </c>
      <c r="AF206" s="31">
        <f t="shared" si="442"/>
        <v>0.05</v>
      </c>
      <c r="AG206" s="127" t="e">
        <f t="shared" si="443"/>
        <v>#DIV/0!</v>
      </c>
    </row>
    <row r="207" spans="2:33">
      <c r="B207" s="20" t="s">
        <v>259</v>
      </c>
      <c r="C207" s="25"/>
      <c r="D207" s="25"/>
      <c r="E207" s="25"/>
      <c r="F207" s="25"/>
      <c r="G207" s="25"/>
      <c r="H207" s="25">
        <f t="shared" ref="H207:R207" si="459">H201/H84</f>
        <v>0</v>
      </c>
      <c r="I207" s="25">
        <f t="shared" si="459"/>
        <v>0</v>
      </c>
      <c r="J207" s="25">
        <f t="shared" si="459"/>
        <v>9.2103095684802998</v>
      </c>
      <c r="K207" s="25">
        <f t="shared" si="459"/>
        <v>7.3606870229007635</v>
      </c>
      <c r="L207" s="25">
        <f t="shared" si="459"/>
        <v>9.1250904553961316</v>
      </c>
      <c r="M207" s="25">
        <f t="shared" si="459"/>
        <v>8.0107770270270269</v>
      </c>
      <c r="N207" s="25">
        <f t="shared" si="459"/>
        <v>7.7274574505036471</v>
      </c>
      <c r="O207" s="25">
        <f t="shared" si="459"/>
        <v>7.4293880208333336</v>
      </c>
      <c r="P207" s="25" t="e">
        <f t="shared" si="459"/>
        <v>#DIV/0!</v>
      </c>
      <c r="Q207" s="25" t="e">
        <f t="shared" si="459"/>
        <v>#DIV/0!</v>
      </c>
      <c r="R207" s="25" t="e">
        <f t="shared" si="459"/>
        <v>#DIV/0!</v>
      </c>
      <c r="S207" s="118" t="e">
        <f t="shared" si="439"/>
        <v>#DIV/0!</v>
      </c>
      <c r="T207" s="128"/>
      <c r="U207" s="119" t="e">
        <f t="shared" ref="U207:AD207" si="460">U201/U84</f>
        <v>#DIV/0!</v>
      </c>
      <c r="V207" s="119" t="e">
        <f t="shared" si="460"/>
        <v>#DIV/0!</v>
      </c>
      <c r="W207" s="119" t="e">
        <f t="shared" si="460"/>
        <v>#DIV/0!</v>
      </c>
      <c r="X207" s="119" t="e">
        <f t="shared" si="460"/>
        <v>#DIV/0!</v>
      </c>
      <c r="Y207" s="119" t="e">
        <f t="shared" si="460"/>
        <v>#DIV/0!</v>
      </c>
      <c r="Z207" s="119" t="e">
        <f t="shared" si="460"/>
        <v>#DIV/0!</v>
      </c>
      <c r="AA207" s="119" t="e">
        <f t="shared" si="460"/>
        <v>#DIV/0!</v>
      </c>
      <c r="AB207" s="119" t="e">
        <f t="shared" si="460"/>
        <v>#DIV/0!</v>
      </c>
      <c r="AC207" s="119" t="e">
        <f t="shared" si="460"/>
        <v>#DIV/0!</v>
      </c>
      <c r="AD207" s="119" t="e">
        <f t="shared" si="460"/>
        <v>#DIV/0!</v>
      </c>
      <c r="AE207" s="137" t="e">
        <f t="shared" si="441"/>
        <v>#DIV/0!</v>
      </c>
      <c r="AF207" s="31">
        <f t="shared" si="442"/>
        <v>0.05</v>
      </c>
      <c r="AG207" s="127" t="e">
        <f t="shared" si="443"/>
        <v>#DIV/0!</v>
      </c>
    </row>
    <row r="208" spans="2:33">
      <c r="B208" s="20" t="s">
        <v>260</v>
      </c>
      <c r="C208" s="25"/>
      <c r="D208" s="25"/>
      <c r="E208" s="25"/>
      <c r="F208" s="25"/>
      <c r="G208" s="25"/>
      <c r="H208" s="25">
        <f t="shared" ref="H208:R208" si="461">H201/H86</f>
        <v>0</v>
      </c>
      <c r="I208" s="25">
        <f t="shared" si="461"/>
        <v>0</v>
      </c>
      <c r="J208" s="25">
        <f t="shared" si="461"/>
        <v>530.71297297297303</v>
      </c>
      <c r="K208" s="25">
        <f t="shared" si="461"/>
        <v>17.967391304347824</v>
      </c>
      <c r="L208" s="25">
        <f t="shared" si="461"/>
        <v>-58.510080000000002</v>
      </c>
      <c r="M208" s="25">
        <f t="shared" si="461"/>
        <v>91.640193236714964</v>
      </c>
      <c r="N208" s="25">
        <f t="shared" si="461"/>
        <v>39.306272084805656</v>
      </c>
      <c r="O208" s="25">
        <f t="shared" si="461"/>
        <v>36.021275252525257</v>
      </c>
      <c r="P208" s="25" t="e">
        <f t="shared" si="461"/>
        <v>#DIV/0!</v>
      </c>
      <c r="Q208" s="25" t="e">
        <f t="shared" si="461"/>
        <v>#DIV/0!</v>
      </c>
      <c r="R208" s="25" t="e">
        <f t="shared" si="461"/>
        <v>#DIV/0!</v>
      </c>
      <c r="S208" s="118" t="e">
        <f t="shared" si="439"/>
        <v>#DIV/0!</v>
      </c>
      <c r="T208" s="128"/>
      <c r="U208" s="119" t="e">
        <f t="shared" ref="U208:AD208" si="462">U201/U86</f>
        <v>#DIV/0!</v>
      </c>
      <c r="V208" s="119" t="e">
        <f t="shared" si="462"/>
        <v>#DIV/0!</v>
      </c>
      <c r="W208" s="119" t="e">
        <f t="shared" si="462"/>
        <v>#DIV/0!</v>
      </c>
      <c r="X208" s="119" t="e">
        <f t="shared" si="462"/>
        <v>#DIV/0!</v>
      </c>
      <c r="Y208" s="119" t="e">
        <f t="shared" si="462"/>
        <v>#DIV/0!</v>
      </c>
      <c r="Z208" s="119" t="e">
        <f t="shared" si="462"/>
        <v>#DIV/0!</v>
      </c>
      <c r="AA208" s="119" t="e">
        <f t="shared" si="462"/>
        <v>#DIV/0!</v>
      </c>
      <c r="AB208" s="119" t="e">
        <f t="shared" si="462"/>
        <v>#DIV/0!</v>
      </c>
      <c r="AC208" s="119" t="e">
        <f t="shared" si="462"/>
        <v>#DIV/0!</v>
      </c>
      <c r="AD208" s="119" t="e">
        <f t="shared" si="462"/>
        <v>#DIV/0!</v>
      </c>
      <c r="AE208" s="137" t="e">
        <f t="shared" si="441"/>
        <v>#DIV/0!</v>
      </c>
      <c r="AF208" s="31">
        <f t="shared" si="442"/>
        <v>0.05</v>
      </c>
      <c r="AG208" s="127" t="e">
        <f t="shared" si="443"/>
        <v>#DIV/0!</v>
      </c>
    </row>
    <row r="209" spans="2:33">
      <c r="B209" s="20" t="s">
        <v>281</v>
      </c>
      <c r="C209" s="25"/>
      <c r="D209" s="25"/>
      <c r="E209" s="25"/>
      <c r="F209" s="25"/>
      <c r="G209" s="25"/>
      <c r="H209" s="180">
        <f t="shared" ref="H209:R209" si="463">H201/H80</f>
        <v>0</v>
      </c>
      <c r="I209" s="180">
        <f t="shared" si="463"/>
        <v>0</v>
      </c>
      <c r="J209" s="180">
        <f t="shared" si="463"/>
        <v>4.5644769874476987</v>
      </c>
      <c r="K209" s="180">
        <f t="shared" si="463"/>
        <v>1.3293887867647061</v>
      </c>
      <c r="L209" s="180">
        <f t="shared" si="463"/>
        <v>2.5802645969306757</v>
      </c>
      <c r="M209" s="180">
        <f t="shared" si="463"/>
        <v>2.8772212953132108</v>
      </c>
      <c r="N209" s="180">
        <f t="shared" si="463"/>
        <v>2.4733018343524185</v>
      </c>
      <c r="O209" s="180">
        <f t="shared" si="463"/>
        <v>2.8389740272663948</v>
      </c>
      <c r="P209" s="180" t="e">
        <f t="shared" si="463"/>
        <v>#DIV/0!</v>
      </c>
      <c r="Q209" s="180" t="e">
        <f t="shared" si="463"/>
        <v>#DIV/0!</v>
      </c>
      <c r="R209" s="180" t="e">
        <f t="shared" si="463"/>
        <v>#DIV/0!</v>
      </c>
      <c r="S209" s="118" t="e">
        <f t="shared" ref="S209:S227" si="464">((Q209/H209)^(1/($I$2-$I$1) ))-1</f>
        <v>#DIV/0!</v>
      </c>
      <c r="T209" s="128"/>
      <c r="U209" s="134" t="e">
        <f t="shared" ref="U209:AD209" si="465">U201/U80</f>
        <v>#DIV/0!</v>
      </c>
      <c r="V209" s="134" t="e">
        <f t="shared" si="465"/>
        <v>#DIV/0!</v>
      </c>
      <c r="W209" s="134" t="e">
        <f t="shared" si="465"/>
        <v>#DIV/0!</v>
      </c>
      <c r="X209" s="134" t="e">
        <f t="shared" si="465"/>
        <v>#DIV/0!</v>
      </c>
      <c r="Y209" s="134" t="e">
        <f t="shared" si="465"/>
        <v>#DIV/0!</v>
      </c>
      <c r="Z209" s="134" t="e">
        <f t="shared" si="465"/>
        <v>#DIV/0!</v>
      </c>
      <c r="AA209" s="134" t="e">
        <f t="shared" si="465"/>
        <v>#DIV/0!</v>
      </c>
      <c r="AB209" s="134" t="e">
        <f t="shared" si="465"/>
        <v>#DIV/0!</v>
      </c>
      <c r="AC209" s="134" t="e">
        <f t="shared" si="465"/>
        <v>#DIV/0!</v>
      </c>
      <c r="AD209" s="134" t="e">
        <f t="shared" si="465"/>
        <v>#DIV/0!</v>
      </c>
      <c r="AE209" s="137" t="e">
        <f t="shared" ref="AE209" si="466">((AD209/H209)^(1/($AD$3-$I$1) ))-1</f>
        <v>#DIV/0!</v>
      </c>
      <c r="AF209" s="31">
        <f t="shared" ref="AF209:AF212" si="467">$M$1</f>
        <v>0.05</v>
      </c>
      <c r="AG209" s="127" t="e">
        <f t="shared" si="443"/>
        <v>#DIV/0!</v>
      </c>
    </row>
    <row r="210" spans="2:33">
      <c r="B210" s="20"/>
      <c r="C210" s="25"/>
      <c r="D210" s="25"/>
      <c r="E210" s="25"/>
      <c r="F210" s="25"/>
      <c r="G210" s="25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28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7"/>
      <c r="AF210" s="31">
        <f t="shared" si="467"/>
        <v>0.05</v>
      </c>
      <c r="AG210" s="127"/>
    </row>
    <row r="211" spans="2:33">
      <c r="B211" s="20" t="s">
        <v>318</v>
      </c>
      <c r="C211" s="150"/>
      <c r="D211" s="150"/>
      <c r="E211" s="150"/>
      <c r="F211" s="150"/>
      <c r="G211" s="150"/>
      <c r="H211" s="150" t="e">
        <f t="shared" ref="H211:R211" si="468">H59/H201</f>
        <v>#DIV/0!</v>
      </c>
      <c r="I211" s="150" t="e">
        <f t="shared" si="468"/>
        <v>#DIV/0!</v>
      </c>
      <c r="J211" s="150">
        <f t="shared" si="468"/>
        <v>2.7131782945736434E-2</v>
      </c>
      <c r="K211" s="150">
        <f t="shared" si="468"/>
        <v>3.8596491228070177E-2</v>
      </c>
      <c r="L211" s="150">
        <f t="shared" si="468"/>
        <v>2.4999999999999998E-2</v>
      </c>
      <c r="M211" s="150">
        <f t="shared" si="468"/>
        <v>2.0967741935483872E-2</v>
      </c>
      <c r="N211" s="150">
        <f t="shared" si="468"/>
        <v>2.2068965517241381E-2</v>
      </c>
      <c r="O211" s="150">
        <f t="shared" si="468"/>
        <v>1.9459459459459458E-2</v>
      </c>
      <c r="P211" s="150">
        <f t="shared" si="468"/>
        <v>0</v>
      </c>
      <c r="Q211" s="150" t="e">
        <f t="shared" si="468"/>
        <v>#DIV/0!</v>
      </c>
      <c r="R211" s="150" t="e">
        <f t="shared" si="468"/>
        <v>#DIV/0!</v>
      </c>
      <c r="S211" s="118" t="e">
        <f t="shared" si="464"/>
        <v>#DIV/0!</v>
      </c>
      <c r="T211" s="128"/>
      <c r="U211" s="150">
        <f t="shared" ref="U211:AD211" si="469">U59/U201</f>
        <v>0</v>
      </c>
      <c r="V211" s="150">
        <f t="shared" si="469"/>
        <v>0</v>
      </c>
      <c r="W211" s="150">
        <f t="shared" si="469"/>
        <v>0</v>
      </c>
      <c r="X211" s="150">
        <f t="shared" si="469"/>
        <v>0</v>
      </c>
      <c r="Y211" s="150">
        <f t="shared" si="469"/>
        <v>0</v>
      </c>
      <c r="Z211" s="150">
        <f t="shared" si="469"/>
        <v>0</v>
      </c>
      <c r="AA211" s="150">
        <f t="shared" si="469"/>
        <v>0</v>
      </c>
      <c r="AB211" s="150">
        <f t="shared" si="469"/>
        <v>0</v>
      </c>
      <c r="AC211" s="150">
        <f t="shared" si="469"/>
        <v>0</v>
      </c>
      <c r="AD211" s="150">
        <f t="shared" si="469"/>
        <v>0</v>
      </c>
      <c r="AE211" s="137" t="e">
        <f t="shared" ref="AE211:AE216" si="470">((AD211/H211)^(1/($AD$3-$I$1) ))-1</f>
        <v>#DIV/0!</v>
      </c>
      <c r="AF211" s="31">
        <f t="shared" si="467"/>
        <v>0.05</v>
      </c>
      <c r="AG211" s="127" t="e">
        <f t="shared" si="443"/>
        <v>#DIV/0!</v>
      </c>
    </row>
    <row r="212" spans="2:33">
      <c r="B212" s="20" t="s">
        <v>153</v>
      </c>
      <c r="C212" s="150"/>
      <c r="D212" s="150"/>
      <c r="E212" s="150"/>
      <c r="F212" s="150"/>
      <c r="G212" s="150"/>
      <c r="H212" s="163">
        <f t="shared" ref="H212:R212" si="471">H201*H57</f>
        <v>0</v>
      </c>
      <c r="I212" s="163">
        <f t="shared" si="471"/>
        <v>0</v>
      </c>
      <c r="J212" s="163">
        <f t="shared" si="471"/>
        <v>19636.38</v>
      </c>
      <c r="K212" s="163">
        <f t="shared" si="471"/>
        <v>8678.25</v>
      </c>
      <c r="L212" s="163">
        <f t="shared" si="471"/>
        <v>14627.52</v>
      </c>
      <c r="M212" s="163">
        <f t="shared" si="471"/>
        <v>18969.52</v>
      </c>
      <c r="N212" s="163">
        <f t="shared" si="471"/>
        <v>22247.350000000002</v>
      </c>
      <c r="O212" s="163">
        <f t="shared" si="471"/>
        <v>28528.850000000002</v>
      </c>
      <c r="P212" s="163">
        <f t="shared" si="471"/>
        <v>0</v>
      </c>
      <c r="Q212" s="163">
        <f t="shared" si="471"/>
        <v>0</v>
      </c>
      <c r="R212" s="163">
        <f t="shared" si="471"/>
        <v>0</v>
      </c>
      <c r="S212" s="118" t="e">
        <f t="shared" si="464"/>
        <v>#DIV/0!</v>
      </c>
      <c r="T212" s="128"/>
      <c r="U212" s="163">
        <f t="shared" ref="U212:AD212" si="472">U201*U57</f>
        <v>0</v>
      </c>
      <c r="V212" s="163">
        <f t="shared" si="472"/>
        <v>0</v>
      </c>
      <c r="W212" s="163">
        <f t="shared" si="472"/>
        <v>0</v>
      </c>
      <c r="X212" s="163">
        <f t="shared" si="472"/>
        <v>0</v>
      </c>
      <c r="Y212" s="163">
        <f t="shared" si="472"/>
        <v>0</v>
      </c>
      <c r="Z212" s="163">
        <f t="shared" si="472"/>
        <v>0</v>
      </c>
      <c r="AA212" s="163">
        <f t="shared" si="472"/>
        <v>0</v>
      </c>
      <c r="AB212" s="163">
        <f t="shared" si="472"/>
        <v>0</v>
      </c>
      <c r="AC212" s="163">
        <f t="shared" si="472"/>
        <v>0</v>
      </c>
      <c r="AD212" s="163">
        <f t="shared" si="472"/>
        <v>0</v>
      </c>
      <c r="AE212" s="137" t="e">
        <f t="shared" si="470"/>
        <v>#DIV/0!</v>
      </c>
      <c r="AF212" s="31">
        <f t="shared" si="467"/>
        <v>0.05</v>
      </c>
      <c r="AG212" s="127" t="e">
        <f t="shared" si="443"/>
        <v>#DIV/0!</v>
      </c>
    </row>
    <row r="213" spans="2:33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28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</row>
    <row r="214" spans="2:33">
      <c r="B214" s="20" t="s">
        <v>369</v>
      </c>
      <c r="C214" s="159"/>
      <c r="D214" s="159"/>
      <c r="E214" s="159"/>
      <c r="F214" s="159"/>
      <c r="G214" s="159"/>
      <c r="H214" s="159" t="e">
        <f t="shared" ref="H214:R214" si="473">H72/H201</f>
        <v>#DIV/0!</v>
      </c>
      <c r="I214" s="159" t="e">
        <f t="shared" si="473"/>
        <v>#DIV/0!</v>
      </c>
      <c r="J214" s="159">
        <f t="shared" si="473"/>
        <v>8.9986036122747678E-2</v>
      </c>
      <c r="K214" s="159">
        <f t="shared" si="473"/>
        <v>0.16005531069051943</v>
      </c>
      <c r="L214" s="159">
        <f t="shared" si="473"/>
        <v>8.313097503883092E-2</v>
      </c>
      <c r="M214" s="159">
        <f t="shared" si="473"/>
        <v>6.6527777192042822E-2</v>
      </c>
      <c r="N214" s="159">
        <f t="shared" si="473"/>
        <v>5.5152636156665845E-2</v>
      </c>
      <c r="O214" s="159">
        <f t="shared" si="473"/>
        <v>4.525243744490226E-2</v>
      </c>
      <c r="P214" s="159" t="e">
        <f t="shared" si="473"/>
        <v>#DIV/0!</v>
      </c>
      <c r="Q214" s="159" t="e">
        <f t="shared" si="473"/>
        <v>#DIV/0!</v>
      </c>
      <c r="R214" s="159" t="e">
        <f t="shared" si="473"/>
        <v>#DIV/0!</v>
      </c>
      <c r="S214" s="118" t="e">
        <f t="shared" ref="S214" si="474">((Q214/H214)^(1/($I$2-$I$1) ))-1</f>
        <v>#DIV/0!</v>
      </c>
      <c r="T214" s="128"/>
      <c r="U214" s="159" t="e">
        <f t="shared" ref="U214:AD214" si="475">U72/U201</f>
        <v>#DIV/0!</v>
      </c>
      <c r="V214" s="159" t="e">
        <f t="shared" si="475"/>
        <v>#DIV/0!</v>
      </c>
      <c r="W214" s="159" t="e">
        <f t="shared" si="475"/>
        <v>#DIV/0!</v>
      </c>
      <c r="X214" s="159" t="e">
        <f t="shared" si="475"/>
        <v>#DIV/0!</v>
      </c>
      <c r="Y214" s="159" t="e">
        <f t="shared" si="475"/>
        <v>#DIV/0!</v>
      </c>
      <c r="Z214" s="159" t="e">
        <f t="shared" si="475"/>
        <v>#DIV/0!</v>
      </c>
      <c r="AA214" s="159" t="e">
        <f t="shared" si="475"/>
        <v>#DIV/0!</v>
      </c>
      <c r="AB214" s="159" t="e">
        <f t="shared" si="475"/>
        <v>#DIV/0!</v>
      </c>
      <c r="AC214" s="159" t="e">
        <f t="shared" si="475"/>
        <v>#DIV/0!</v>
      </c>
      <c r="AD214" s="159" t="e">
        <f t="shared" si="475"/>
        <v>#DIV/0!</v>
      </c>
      <c r="AE214" s="137" t="e">
        <f t="shared" ref="AE214" si="476">((AD214/H214)^(1/($AD$3-$I$1) ))-1</f>
        <v>#DIV/0!</v>
      </c>
      <c r="AF214" s="31">
        <f t="shared" ref="AF214" si="477">$M$1</f>
        <v>0.05</v>
      </c>
      <c r="AG214" s="127" t="e">
        <f t="shared" ref="AG214" si="478">(AD214*(1+AE214))/($C$1-AF214)</f>
        <v>#DIV/0!</v>
      </c>
    </row>
    <row r="215" spans="2:33">
      <c r="B215" s="20" t="str">
        <f>B203</f>
        <v>P/E (how many years it will take to recover invested amount)</v>
      </c>
      <c r="C215" s="150"/>
      <c r="D215" s="150"/>
      <c r="E215" s="150"/>
      <c r="F215" s="150"/>
      <c r="G215" s="150"/>
      <c r="H215" s="179" t="e">
        <f t="shared" ref="H215:R215" si="479">H203</f>
        <v>#DIV/0!</v>
      </c>
      <c r="I215" s="179">
        <f t="shared" si="479"/>
        <v>0</v>
      </c>
      <c r="J215" s="179">
        <f t="shared" si="479"/>
        <v>11.112835314091681</v>
      </c>
      <c r="K215" s="179">
        <f t="shared" si="479"/>
        <v>6.2478401727861765</v>
      </c>
      <c r="L215" s="179">
        <f t="shared" si="479"/>
        <v>12.02921052631579</v>
      </c>
      <c r="M215" s="179">
        <f t="shared" si="479"/>
        <v>15.031315372424721</v>
      </c>
      <c r="N215" s="179">
        <f t="shared" si="479"/>
        <v>18.131499592502038</v>
      </c>
      <c r="O215" s="179">
        <f t="shared" si="479"/>
        <v>22.098257164988382</v>
      </c>
      <c r="P215" s="179" t="e">
        <f t="shared" si="479"/>
        <v>#DIV/0!</v>
      </c>
      <c r="Q215" s="179" t="e">
        <f t="shared" si="479"/>
        <v>#DIV/0!</v>
      </c>
      <c r="R215" s="179" t="e">
        <f t="shared" si="479"/>
        <v>#DIV/0!</v>
      </c>
      <c r="S215" s="118" t="e">
        <f t="shared" si="464"/>
        <v>#DIV/0!</v>
      </c>
      <c r="T215" s="128"/>
      <c r="U215" s="150" t="e">
        <f t="shared" ref="U215:AD215" si="480">U203</f>
        <v>#DIV/0!</v>
      </c>
      <c r="V215" s="150" t="e">
        <f t="shared" si="480"/>
        <v>#DIV/0!</v>
      </c>
      <c r="W215" s="150" t="e">
        <f t="shared" si="480"/>
        <v>#DIV/0!</v>
      </c>
      <c r="X215" s="150" t="e">
        <f t="shared" si="480"/>
        <v>#DIV/0!</v>
      </c>
      <c r="Y215" s="150" t="e">
        <f t="shared" si="480"/>
        <v>#DIV/0!</v>
      </c>
      <c r="Z215" s="150" t="e">
        <f t="shared" si="480"/>
        <v>#DIV/0!</v>
      </c>
      <c r="AA215" s="150" t="e">
        <f t="shared" si="480"/>
        <v>#DIV/0!</v>
      </c>
      <c r="AB215" s="150" t="e">
        <f t="shared" si="480"/>
        <v>#DIV/0!</v>
      </c>
      <c r="AC215" s="150" t="e">
        <f t="shared" si="480"/>
        <v>#DIV/0!</v>
      </c>
      <c r="AD215" s="150" t="e">
        <f t="shared" si="480"/>
        <v>#DIV/0!</v>
      </c>
      <c r="AE215" s="137" t="e">
        <f t="shared" ref="AE215" si="481">((AD215/H215)^(1/($AD$3-$I$1) ))-1</f>
        <v>#DIV/0!</v>
      </c>
      <c r="AF215" s="31">
        <f t="shared" ref="AF215:AF217" si="482">$M$1</f>
        <v>0.05</v>
      </c>
      <c r="AG215" s="179" t="e">
        <f>(AG202)/($M$2*100)</f>
        <v>#DIV/0!</v>
      </c>
    </row>
    <row r="216" spans="2:33">
      <c r="B216" s="20" t="s">
        <v>444</v>
      </c>
      <c r="C216" s="179"/>
      <c r="D216" s="179"/>
      <c r="E216" s="179"/>
      <c r="F216" s="179"/>
      <c r="G216" s="179"/>
      <c r="H216" s="179" t="e">
        <f t="shared" ref="H216:R216" si="483">(H203)/($M$2*100)</f>
        <v>#DIV/0!</v>
      </c>
      <c r="I216" s="179">
        <f t="shared" si="483"/>
        <v>0</v>
      </c>
      <c r="J216" s="179">
        <f t="shared" si="483"/>
        <v>0.74085568760611209</v>
      </c>
      <c r="K216" s="179">
        <f t="shared" si="483"/>
        <v>0.41652267818574512</v>
      </c>
      <c r="L216" s="179">
        <f t="shared" si="483"/>
        <v>0.80194736842105263</v>
      </c>
      <c r="M216" s="179">
        <f t="shared" si="483"/>
        <v>1.0020876914949814</v>
      </c>
      <c r="N216" s="179">
        <f t="shared" si="483"/>
        <v>1.208766639500136</v>
      </c>
      <c r="O216" s="179">
        <f t="shared" si="483"/>
        <v>1.4732171443325588</v>
      </c>
      <c r="P216" s="179" t="e">
        <f t="shared" si="483"/>
        <v>#DIV/0!</v>
      </c>
      <c r="Q216" s="179" t="e">
        <f t="shared" si="483"/>
        <v>#DIV/0!</v>
      </c>
      <c r="R216" s="179" t="e">
        <f t="shared" si="483"/>
        <v>#DIV/0!</v>
      </c>
      <c r="S216" s="118" t="e">
        <f t="shared" si="464"/>
        <v>#DIV/0!</v>
      </c>
      <c r="T216" s="128"/>
      <c r="U216" s="179" t="e">
        <f t="shared" ref="U216:AD216" si="484">(U203)/($M$2*100)</f>
        <v>#DIV/0!</v>
      </c>
      <c r="V216" s="179" t="e">
        <f t="shared" si="484"/>
        <v>#DIV/0!</v>
      </c>
      <c r="W216" s="179" t="e">
        <f t="shared" si="484"/>
        <v>#DIV/0!</v>
      </c>
      <c r="X216" s="179" t="e">
        <f t="shared" si="484"/>
        <v>#DIV/0!</v>
      </c>
      <c r="Y216" s="179" t="e">
        <f t="shared" si="484"/>
        <v>#DIV/0!</v>
      </c>
      <c r="Z216" s="179" t="e">
        <f t="shared" si="484"/>
        <v>#DIV/0!</v>
      </c>
      <c r="AA216" s="179" t="e">
        <f t="shared" si="484"/>
        <v>#DIV/0!</v>
      </c>
      <c r="AB216" s="179" t="e">
        <f t="shared" si="484"/>
        <v>#DIV/0!</v>
      </c>
      <c r="AC216" s="179" t="e">
        <f t="shared" si="484"/>
        <v>#DIV/0!</v>
      </c>
      <c r="AD216" s="179" t="e">
        <f t="shared" si="484"/>
        <v>#DIV/0!</v>
      </c>
      <c r="AE216" s="137" t="e">
        <f t="shared" si="470"/>
        <v>#DIV/0!</v>
      </c>
      <c r="AF216" s="31">
        <f t="shared" si="482"/>
        <v>0.05</v>
      </c>
      <c r="AG216" s="179" t="e">
        <f>(AG203)/($M$2*100)</f>
        <v>#DIV/0!</v>
      </c>
    </row>
    <row r="217" spans="2:33">
      <c r="B217" s="20" t="s">
        <v>445</v>
      </c>
      <c r="C217" s="150"/>
      <c r="D217" s="150"/>
      <c r="E217" s="150"/>
      <c r="F217" s="150"/>
      <c r="G217" s="150"/>
      <c r="H217" s="150" t="e">
        <f t="shared" ref="H217:Q217" si="485">H216-1</f>
        <v>#DIV/0!</v>
      </c>
      <c r="I217" s="150">
        <f t="shared" si="485"/>
        <v>-1</v>
      </c>
      <c r="J217" s="150">
        <f t="shared" si="485"/>
        <v>-0.25914431239388791</v>
      </c>
      <c r="K217" s="150">
        <f t="shared" si="485"/>
        <v>-0.58347732181425482</v>
      </c>
      <c r="L217" s="150">
        <f t="shared" si="485"/>
        <v>-0.19805263157894737</v>
      </c>
      <c r="M217" s="150">
        <f t="shared" si="485"/>
        <v>2.0876914949814473E-3</v>
      </c>
      <c r="N217" s="150">
        <f t="shared" si="485"/>
        <v>0.20876663950013596</v>
      </c>
      <c r="O217" s="150">
        <f t="shared" si="485"/>
        <v>0.47321714433255879</v>
      </c>
      <c r="P217" s="150" t="e">
        <f t="shared" si="485"/>
        <v>#DIV/0!</v>
      </c>
      <c r="Q217" s="150" t="e">
        <f t="shared" si="485"/>
        <v>#DIV/0!</v>
      </c>
      <c r="R217" s="150" t="e">
        <f>R216-1</f>
        <v>#DIV/0!</v>
      </c>
      <c r="S217" s="118" t="e">
        <f t="shared" si="464"/>
        <v>#DIV/0!</v>
      </c>
      <c r="T217" s="128"/>
      <c r="U217" s="150" t="e">
        <f t="shared" ref="U217:AD217" si="486">U216-1</f>
        <v>#DIV/0!</v>
      </c>
      <c r="V217" s="150" t="e">
        <f t="shared" si="486"/>
        <v>#DIV/0!</v>
      </c>
      <c r="W217" s="150" t="e">
        <f t="shared" si="486"/>
        <v>#DIV/0!</v>
      </c>
      <c r="X217" s="150" t="e">
        <f t="shared" si="486"/>
        <v>#DIV/0!</v>
      </c>
      <c r="Y217" s="150" t="e">
        <f t="shared" si="486"/>
        <v>#DIV/0!</v>
      </c>
      <c r="Z217" s="150" t="e">
        <f t="shared" si="486"/>
        <v>#DIV/0!</v>
      </c>
      <c r="AA217" s="150" t="e">
        <f t="shared" si="486"/>
        <v>#DIV/0!</v>
      </c>
      <c r="AB217" s="150" t="e">
        <f t="shared" si="486"/>
        <v>#DIV/0!</v>
      </c>
      <c r="AC217" s="150" t="e">
        <f t="shared" si="486"/>
        <v>#DIV/0!</v>
      </c>
      <c r="AD217" s="150" t="e">
        <f t="shared" si="486"/>
        <v>#DIV/0!</v>
      </c>
      <c r="AE217" s="137" t="e">
        <f t="shared" ref="AE217" si="487">((AD217/H217)^(1/($AD$3-$I$1) ))-1</f>
        <v>#DIV/0!</v>
      </c>
      <c r="AF217" s="31">
        <f t="shared" si="482"/>
        <v>0.05</v>
      </c>
      <c r="AG217" s="179" t="e">
        <f>(AG204)/($M$2*100)</f>
        <v>#DIV/0!</v>
      </c>
    </row>
    <row r="218" spans="2:33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28"/>
      <c r="T218" s="128"/>
      <c r="U218" s="150"/>
      <c r="V218" s="150"/>
      <c r="W218" s="150"/>
      <c r="X218" s="150"/>
      <c r="Y218" s="150"/>
      <c r="Z218" s="150"/>
      <c r="AA218" s="150"/>
      <c r="AB218" s="150"/>
      <c r="AC218" s="150"/>
      <c r="AD218" s="134"/>
      <c r="AE218" s="136"/>
      <c r="AF218" s="20"/>
      <c r="AG218" s="127"/>
    </row>
    <row r="219" spans="2:33">
      <c r="B219" s="20" t="s">
        <v>473</v>
      </c>
      <c r="C219" s="150"/>
      <c r="D219" s="150"/>
      <c r="E219" s="150"/>
      <c r="F219" s="150"/>
      <c r="G219" s="150"/>
      <c r="H219" s="150" t="e">
        <f t="shared" ref="H219:R219" si="488">1/H220</f>
        <v>#DIV/0!</v>
      </c>
      <c r="I219" s="150" t="e">
        <f t="shared" si="488"/>
        <v>#DIV/0!</v>
      </c>
      <c r="J219" s="150" t="e">
        <f t="shared" si="488"/>
        <v>#DIV/0!</v>
      </c>
      <c r="K219" s="150" t="e">
        <f t="shared" si="488"/>
        <v>#DIV/0!</v>
      </c>
      <c r="L219" s="150" t="e">
        <f t="shared" si="488"/>
        <v>#DIV/0!</v>
      </c>
      <c r="M219" s="150" t="e">
        <f t="shared" si="488"/>
        <v>#DIV/0!</v>
      </c>
      <c r="N219" s="150" t="e">
        <f t="shared" si="488"/>
        <v>#DIV/0!</v>
      </c>
      <c r="O219" s="150" t="e">
        <f t="shared" si="488"/>
        <v>#DIV/0!</v>
      </c>
      <c r="P219" s="150" t="e">
        <f t="shared" si="488"/>
        <v>#DIV/0!</v>
      </c>
      <c r="Q219" s="150" t="e">
        <f t="shared" si="488"/>
        <v>#DIV/0!</v>
      </c>
      <c r="R219" s="150" t="e">
        <f t="shared" si="488"/>
        <v>#DIV/0!</v>
      </c>
      <c r="S219" s="118" t="e">
        <f t="shared" ref="S219" si="489">((Q219/H219)^(1/($I$2-$I$1) ))-1</f>
        <v>#DIV/0!</v>
      </c>
      <c r="T219" s="128"/>
      <c r="U219" s="150" t="e">
        <f t="shared" ref="U219:AD219" si="490">1/U220</f>
        <v>#DIV/0!</v>
      </c>
      <c r="V219" s="150" t="e">
        <f t="shared" si="490"/>
        <v>#DIV/0!</v>
      </c>
      <c r="W219" s="150" t="e">
        <f t="shared" si="490"/>
        <v>#DIV/0!</v>
      </c>
      <c r="X219" s="150" t="e">
        <f t="shared" si="490"/>
        <v>#DIV/0!</v>
      </c>
      <c r="Y219" s="150" t="e">
        <f t="shared" si="490"/>
        <v>#DIV/0!</v>
      </c>
      <c r="Z219" s="150" t="e">
        <f t="shared" si="490"/>
        <v>#DIV/0!</v>
      </c>
      <c r="AA219" s="150" t="e">
        <f t="shared" si="490"/>
        <v>#DIV/0!</v>
      </c>
      <c r="AB219" s="150" t="e">
        <f t="shared" si="490"/>
        <v>#DIV/0!</v>
      </c>
      <c r="AC219" s="150" t="e">
        <f t="shared" si="490"/>
        <v>#DIV/0!</v>
      </c>
      <c r="AD219" s="150" t="e">
        <f t="shared" si="490"/>
        <v>#DIV/0!</v>
      </c>
      <c r="AE219" s="137" t="e">
        <f t="shared" ref="AE219" si="491">((AD219/H219)^(1/($AD$3-$I$1) ))-1</f>
        <v>#DIV/0!</v>
      </c>
      <c r="AF219" s="31">
        <f t="shared" ref="AF219:AF222" si="492">$M$1</f>
        <v>0.05</v>
      </c>
      <c r="AG219" s="179" t="e">
        <f>(AG206)/($M$2*100)</f>
        <v>#DIV/0!</v>
      </c>
    </row>
    <row r="220" spans="2:33">
      <c r="B220" s="20" t="s">
        <v>474</v>
      </c>
      <c r="C220" s="129"/>
      <c r="D220" s="129"/>
      <c r="E220" s="129"/>
      <c r="F220" s="129"/>
      <c r="G220" s="129"/>
      <c r="H220" s="134" t="e">
        <f t="shared" ref="H220:R220" si="493">H201/$T$170</f>
        <v>#DIV/0!</v>
      </c>
      <c r="I220" s="134" t="e">
        <f t="shared" si="493"/>
        <v>#DIV/0!</v>
      </c>
      <c r="J220" s="134" t="e">
        <f t="shared" si="493"/>
        <v>#DIV/0!</v>
      </c>
      <c r="K220" s="134" t="e">
        <f t="shared" si="493"/>
        <v>#DIV/0!</v>
      </c>
      <c r="L220" s="134" t="e">
        <f t="shared" si="493"/>
        <v>#DIV/0!</v>
      </c>
      <c r="M220" s="134" t="e">
        <f t="shared" si="493"/>
        <v>#DIV/0!</v>
      </c>
      <c r="N220" s="134" t="e">
        <f t="shared" si="493"/>
        <v>#DIV/0!</v>
      </c>
      <c r="O220" s="134" t="e">
        <f t="shared" si="493"/>
        <v>#DIV/0!</v>
      </c>
      <c r="P220" s="134" t="e">
        <f t="shared" si="493"/>
        <v>#DIV/0!</v>
      </c>
      <c r="Q220" s="134" t="e">
        <f t="shared" si="493"/>
        <v>#DIV/0!</v>
      </c>
      <c r="R220" s="134" t="e">
        <f t="shared" si="493"/>
        <v>#DIV/0!</v>
      </c>
      <c r="S220" s="118" t="e">
        <f t="shared" si="464"/>
        <v>#DIV/0!</v>
      </c>
      <c r="T220" s="128"/>
      <c r="U220" s="134" t="e">
        <f t="shared" ref="U220:AD220" si="494">U201/$T$170</f>
        <v>#DIV/0!</v>
      </c>
      <c r="V220" s="134" t="e">
        <f t="shared" si="494"/>
        <v>#DIV/0!</v>
      </c>
      <c r="W220" s="134" t="e">
        <f t="shared" si="494"/>
        <v>#DIV/0!</v>
      </c>
      <c r="X220" s="134" t="e">
        <f t="shared" si="494"/>
        <v>#DIV/0!</v>
      </c>
      <c r="Y220" s="134" t="e">
        <f t="shared" si="494"/>
        <v>#DIV/0!</v>
      </c>
      <c r="Z220" s="134" t="e">
        <f t="shared" si="494"/>
        <v>#DIV/0!</v>
      </c>
      <c r="AA220" s="134" t="e">
        <f t="shared" si="494"/>
        <v>#DIV/0!</v>
      </c>
      <c r="AB220" s="134" t="e">
        <f t="shared" si="494"/>
        <v>#DIV/0!</v>
      </c>
      <c r="AC220" s="134" t="e">
        <f t="shared" si="494"/>
        <v>#DIV/0!</v>
      </c>
      <c r="AD220" s="134" t="e">
        <f t="shared" si="494"/>
        <v>#DIV/0!</v>
      </c>
      <c r="AE220" s="137" t="e">
        <f t="shared" ref="AE220:AE222" si="495">((AD220/H220)^(1/($AD$3-$I$1) ))-1</f>
        <v>#DIV/0!</v>
      </c>
      <c r="AF220" s="31">
        <f t="shared" si="492"/>
        <v>0.05</v>
      </c>
      <c r="AG220" s="179" t="e">
        <f>(AG206)/($M$2*100)</f>
        <v>#DIV/0!</v>
      </c>
    </row>
    <row r="221" spans="2:33">
      <c r="B221" s="20" t="s">
        <v>468</v>
      </c>
      <c r="C221" s="129"/>
      <c r="D221" s="129"/>
      <c r="E221" s="129"/>
      <c r="F221" s="129"/>
      <c r="G221" s="129"/>
      <c r="H221" s="179" t="e">
        <f t="shared" ref="H221:R221" si="496">(H220)/($M$2*100)</f>
        <v>#DIV/0!</v>
      </c>
      <c r="I221" s="179" t="e">
        <f t="shared" si="496"/>
        <v>#DIV/0!</v>
      </c>
      <c r="J221" s="179" t="e">
        <f t="shared" si="496"/>
        <v>#DIV/0!</v>
      </c>
      <c r="K221" s="179" t="e">
        <f t="shared" si="496"/>
        <v>#DIV/0!</v>
      </c>
      <c r="L221" s="179" t="e">
        <f t="shared" si="496"/>
        <v>#DIV/0!</v>
      </c>
      <c r="M221" s="179" t="e">
        <f t="shared" si="496"/>
        <v>#DIV/0!</v>
      </c>
      <c r="N221" s="179" t="e">
        <f t="shared" si="496"/>
        <v>#DIV/0!</v>
      </c>
      <c r="O221" s="179" t="e">
        <f t="shared" si="496"/>
        <v>#DIV/0!</v>
      </c>
      <c r="P221" s="179" t="e">
        <f t="shared" si="496"/>
        <v>#DIV/0!</v>
      </c>
      <c r="Q221" s="179" t="e">
        <f t="shared" si="496"/>
        <v>#DIV/0!</v>
      </c>
      <c r="R221" s="179" t="e">
        <f t="shared" si="496"/>
        <v>#DIV/0!</v>
      </c>
      <c r="S221" s="118" t="e">
        <f t="shared" si="464"/>
        <v>#DIV/0!</v>
      </c>
      <c r="T221" s="128"/>
      <c r="U221" s="179" t="e">
        <f t="shared" ref="U221:AD221" si="497">(U220)/($M$2*100)</f>
        <v>#DIV/0!</v>
      </c>
      <c r="V221" s="179" t="e">
        <f t="shared" si="497"/>
        <v>#DIV/0!</v>
      </c>
      <c r="W221" s="179" t="e">
        <f t="shared" si="497"/>
        <v>#DIV/0!</v>
      </c>
      <c r="X221" s="179" t="e">
        <f t="shared" si="497"/>
        <v>#DIV/0!</v>
      </c>
      <c r="Y221" s="179" t="e">
        <f t="shared" si="497"/>
        <v>#DIV/0!</v>
      </c>
      <c r="Z221" s="179" t="e">
        <f t="shared" si="497"/>
        <v>#DIV/0!</v>
      </c>
      <c r="AA221" s="179" t="e">
        <f t="shared" si="497"/>
        <v>#DIV/0!</v>
      </c>
      <c r="AB221" s="179" t="e">
        <f t="shared" si="497"/>
        <v>#DIV/0!</v>
      </c>
      <c r="AC221" s="179" t="e">
        <f t="shared" si="497"/>
        <v>#DIV/0!</v>
      </c>
      <c r="AD221" s="179" t="e">
        <f t="shared" si="497"/>
        <v>#DIV/0!</v>
      </c>
      <c r="AE221" s="137" t="e">
        <f t="shared" si="495"/>
        <v>#DIV/0!</v>
      </c>
      <c r="AF221" s="31">
        <f t="shared" si="492"/>
        <v>0.05</v>
      </c>
      <c r="AG221" s="179" t="e">
        <f>(AG207)/($M$2*100)</f>
        <v>#DIV/0!</v>
      </c>
    </row>
    <row r="222" spans="2:33">
      <c r="B222" s="20" t="s">
        <v>469</v>
      </c>
      <c r="C222" s="129"/>
      <c r="D222" s="129"/>
      <c r="E222" s="129"/>
      <c r="F222" s="129"/>
      <c r="G222" s="129"/>
      <c r="H222" s="150" t="e">
        <f t="shared" ref="H222:R222" si="498">H221-1</f>
        <v>#DIV/0!</v>
      </c>
      <c r="I222" s="150" t="e">
        <f t="shared" si="498"/>
        <v>#DIV/0!</v>
      </c>
      <c r="J222" s="150" t="e">
        <f t="shared" si="498"/>
        <v>#DIV/0!</v>
      </c>
      <c r="K222" s="150" t="e">
        <f t="shared" si="498"/>
        <v>#DIV/0!</v>
      </c>
      <c r="L222" s="150" t="e">
        <f t="shared" si="498"/>
        <v>#DIV/0!</v>
      </c>
      <c r="M222" s="150" t="e">
        <f t="shared" si="498"/>
        <v>#DIV/0!</v>
      </c>
      <c r="N222" s="150" t="e">
        <f t="shared" si="498"/>
        <v>#DIV/0!</v>
      </c>
      <c r="O222" s="150" t="e">
        <f t="shared" si="498"/>
        <v>#DIV/0!</v>
      </c>
      <c r="P222" s="150" t="e">
        <f t="shared" si="498"/>
        <v>#DIV/0!</v>
      </c>
      <c r="Q222" s="150" t="e">
        <f t="shared" si="498"/>
        <v>#DIV/0!</v>
      </c>
      <c r="R222" s="150" t="e">
        <f t="shared" si="498"/>
        <v>#DIV/0!</v>
      </c>
      <c r="S222" s="118" t="e">
        <f t="shared" si="464"/>
        <v>#DIV/0!</v>
      </c>
      <c r="T222" s="128"/>
      <c r="U222" s="150" t="e">
        <f t="shared" ref="U222:AD222" si="499">U221-1</f>
        <v>#DIV/0!</v>
      </c>
      <c r="V222" s="150" t="e">
        <f t="shared" si="499"/>
        <v>#DIV/0!</v>
      </c>
      <c r="W222" s="150" t="e">
        <f t="shared" si="499"/>
        <v>#DIV/0!</v>
      </c>
      <c r="X222" s="150" t="e">
        <f t="shared" si="499"/>
        <v>#DIV/0!</v>
      </c>
      <c r="Y222" s="150" t="e">
        <f t="shared" si="499"/>
        <v>#DIV/0!</v>
      </c>
      <c r="Z222" s="150" t="e">
        <f t="shared" si="499"/>
        <v>#DIV/0!</v>
      </c>
      <c r="AA222" s="150" t="e">
        <f t="shared" si="499"/>
        <v>#DIV/0!</v>
      </c>
      <c r="AB222" s="150" t="e">
        <f t="shared" si="499"/>
        <v>#DIV/0!</v>
      </c>
      <c r="AC222" s="150" t="e">
        <f t="shared" si="499"/>
        <v>#DIV/0!</v>
      </c>
      <c r="AD222" s="150" t="e">
        <f t="shared" si="499"/>
        <v>#DIV/0!</v>
      </c>
      <c r="AE222" s="137" t="e">
        <f t="shared" si="495"/>
        <v>#DIV/0!</v>
      </c>
      <c r="AF222" s="31">
        <f t="shared" si="492"/>
        <v>0.05</v>
      </c>
      <c r="AG222" s="179" t="e">
        <f>(AG208)/($M$2*100)</f>
        <v>#DIV/0!</v>
      </c>
    </row>
    <row r="223" spans="2:33">
      <c r="B223" s="20"/>
      <c r="C223" s="129"/>
      <c r="D223" s="129"/>
      <c r="E223" s="129"/>
      <c r="F223" s="129"/>
      <c r="G223" s="129"/>
      <c r="H223" s="134"/>
      <c r="I223" s="134"/>
      <c r="J223" s="134"/>
      <c r="K223" s="134"/>
      <c r="L223" s="197"/>
      <c r="M223" s="198"/>
      <c r="N223" s="134"/>
      <c r="O223" s="134"/>
      <c r="P223" s="134"/>
      <c r="Q223" s="134"/>
      <c r="R223" s="134"/>
      <c r="S223" s="128"/>
      <c r="T223" s="128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6"/>
      <c r="AF223" s="20"/>
      <c r="AG223" s="20"/>
    </row>
    <row r="224" spans="2:33">
      <c r="B224" s="20" t="s">
        <v>473</v>
      </c>
      <c r="C224" s="129"/>
      <c r="D224" s="129"/>
      <c r="E224" s="129"/>
      <c r="F224" s="129"/>
      <c r="G224" s="129"/>
      <c r="H224" s="150" t="e">
        <f t="shared" ref="H224:R224" si="500">1/H225</f>
        <v>#DIV/0!</v>
      </c>
      <c r="I224" s="150" t="e">
        <f t="shared" si="500"/>
        <v>#DIV/0!</v>
      </c>
      <c r="J224" s="150" t="e">
        <f t="shared" si="500"/>
        <v>#DIV/0!</v>
      </c>
      <c r="K224" s="150" t="e">
        <f t="shared" si="500"/>
        <v>#DIV/0!</v>
      </c>
      <c r="L224" s="150" t="e">
        <f t="shared" si="500"/>
        <v>#DIV/0!</v>
      </c>
      <c r="M224" s="150" t="e">
        <f t="shared" si="500"/>
        <v>#DIV/0!</v>
      </c>
      <c r="N224" s="150" t="e">
        <f t="shared" si="500"/>
        <v>#DIV/0!</v>
      </c>
      <c r="O224" s="150" t="e">
        <f t="shared" si="500"/>
        <v>#DIV/0!</v>
      </c>
      <c r="P224" s="150" t="e">
        <f t="shared" si="500"/>
        <v>#DIV/0!</v>
      </c>
      <c r="Q224" s="150" t="e">
        <f t="shared" si="500"/>
        <v>#DIV/0!</v>
      </c>
      <c r="R224" s="150" t="e">
        <f t="shared" si="500"/>
        <v>#DIV/0!</v>
      </c>
      <c r="S224" s="118" t="e">
        <f t="shared" ref="S224" si="501">((Q224/H224)^(1/($I$2-$I$1) ))-1</f>
        <v>#DIV/0!</v>
      </c>
      <c r="T224" s="128"/>
      <c r="U224" s="150" t="e">
        <f t="shared" ref="U224:AD224" si="502">1/U225</f>
        <v>#DIV/0!</v>
      </c>
      <c r="V224" s="150" t="e">
        <f t="shared" si="502"/>
        <v>#DIV/0!</v>
      </c>
      <c r="W224" s="150" t="e">
        <f t="shared" si="502"/>
        <v>#DIV/0!</v>
      </c>
      <c r="X224" s="150" t="e">
        <f t="shared" si="502"/>
        <v>#DIV/0!</v>
      </c>
      <c r="Y224" s="150" t="e">
        <f t="shared" si="502"/>
        <v>#DIV/0!</v>
      </c>
      <c r="Z224" s="150" t="e">
        <f t="shared" si="502"/>
        <v>#DIV/0!</v>
      </c>
      <c r="AA224" s="150" t="e">
        <f t="shared" si="502"/>
        <v>#DIV/0!</v>
      </c>
      <c r="AB224" s="150" t="e">
        <f t="shared" si="502"/>
        <v>#DIV/0!</v>
      </c>
      <c r="AC224" s="150" t="e">
        <f t="shared" si="502"/>
        <v>#DIV/0!</v>
      </c>
      <c r="AD224" s="150" t="e">
        <f t="shared" si="502"/>
        <v>#DIV/0!</v>
      </c>
      <c r="AE224" s="137" t="e">
        <f t="shared" ref="AE224" si="503">((AD224/H224)^(1/($AD$3-$I$1) ))-1</f>
        <v>#DIV/0!</v>
      </c>
      <c r="AF224" s="31">
        <f t="shared" ref="AF224" si="504">$M$1</f>
        <v>0.05</v>
      </c>
      <c r="AG224" s="179">
        <f>(AG210)/($M$2*100)</f>
        <v>0</v>
      </c>
    </row>
    <row r="225" spans="2:47">
      <c r="B225" s="20" t="s">
        <v>475</v>
      </c>
      <c r="C225" s="129"/>
      <c r="D225" s="129"/>
      <c r="E225" s="129"/>
      <c r="F225" s="129"/>
      <c r="G225" s="129"/>
      <c r="H225" s="134" t="e">
        <f t="shared" ref="H225:R225" si="505">H201/$R$170</f>
        <v>#DIV/0!</v>
      </c>
      <c r="I225" s="134" t="e">
        <f t="shared" si="505"/>
        <v>#DIV/0!</v>
      </c>
      <c r="J225" s="134" t="e">
        <f t="shared" si="505"/>
        <v>#DIV/0!</v>
      </c>
      <c r="K225" s="134" t="e">
        <f t="shared" si="505"/>
        <v>#DIV/0!</v>
      </c>
      <c r="L225" s="134" t="e">
        <f t="shared" si="505"/>
        <v>#DIV/0!</v>
      </c>
      <c r="M225" s="134" t="e">
        <f t="shared" si="505"/>
        <v>#DIV/0!</v>
      </c>
      <c r="N225" s="134" t="e">
        <f t="shared" si="505"/>
        <v>#DIV/0!</v>
      </c>
      <c r="O225" s="134" t="e">
        <f t="shared" si="505"/>
        <v>#DIV/0!</v>
      </c>
      <c r="P225" s="134" t="e">
        <f t="shared" si="505"/>
        <v>#DIV/0!</v>
      </c>
      <c r="Q225" s="134" t="e">
        <f t="shared" si="505"/>
        <v>#DIV/0!</v>
      </c>
      <c r="R225" s="134" t="e">
        <f t="shared" si="505"/>
        <v>#DIV/0!</v>
      </c>
      <c r="S225" s="118" t="e">
        <f t="shared" si="464"/>
        <v>#DIV/0!</v>
      </c>
      <c r="T225" s="128"/>
      <c r="U225" s="134" t="e">
        <f t="shared" ref="U225:AD225" si="506">U201/$R$170</f>
        <v>#DIV/0!</v>
      </c>
      <c r="V225" s="134" t="e">
        <f t="shared" si="506"/>
        <v>#DIV/0!</v>
      </c>
      <c r="W225" s="134" t="e">
        <f t="shared" si="506"/>
        <v>#DIV/0!</v>
      </c>
      <c r="X225" s="134" t="e">
        <f t="shared" si="506"/>
        <v>#DIV/0!</v>
      </c>
      <c r="Y225" s="134" t="e">
        <f t="shared" si="506"/>
        <v>#DIV/0!</v>
      </c>
      <c r="Z225" s="134" t="e">
        <f t="shared" si="506"/>
        <v>#DIV/0!</v>
      </c>
      <c r="AA225" s="134" t="e">
        <f t="shared" si="506"/>
        <v>#DIV/0!</v>
      </c>
      <c r="AB225" s="134" t="e">
        <f t="shared" si="506"/>
        <v>#DIV/0!</v>
      </c>
      <c r="AC225" s="134" t="e">
        <f t="shared" si="506"/>
        <v>#DIV/0!</v>
      </c>
      <c r="AD225" s="134" t="e">
        <f t="shared" si="506"/>
        <v>#DIV/0!</v>
      </c>
      <c r="AE225" s="137" t="e">
        <f t="shared" ref="AE225:AE227" si="507">((AD225/H225)^(1/($AD$3-$I$1) ))-1</f>
        <v>#DIV/0!</v>
      </c>
      <c r="AF225" s="31">
        <f t="shared" ref="AF225:AF227" si="508">$M$1</f>
        <v>0.05</v>
      </c>
      <c r="AG225" s="179">
        <f>(AG210)/($M$2*100)</f>
        <v>0</v>
      </c>
    </row>
    <row r="226" spans="2:47">
      <c r="B226" s="20" t="s">
        <v>468</v>
      </c>
      <c r="C226" s="129"/>
      <c r="D226" s="129"/>
      <c r="E226" s="129"/>
      <c r="F226" s="129"/>
      <c r="G226" s="129"/>
      <c r="H226" s="179" t="e">
        <f t="shared" ref="H226:R226" si="509">(H225)/($M$2*100)</f>
        <v>#DIV/0!</v>
      </c>
      <c r="I226" s="179" t="e">
        <f t="shared" si="509"/>
        <v>#DIV/0!</v>
      </c>
      <c r="J226" s="179" t="e">
        <f t="shared" si="509"/>
        <v>#DIV/0!</v>
      </c>
      <c r="K226" s="179" t="e">
        <f t="shared" si="509"/>
        <v>#DIV/0!</v>
      </c>
      <c r="L226" s="179" t="e">
        <f t="shared" si="509"/>
        <v>#DIV/0!</v>
      </c>
      <c r="M226" s="179" t="e">
        <f t="shared" si="509"/>
        <v>#DIV/0!</v>
      </c>
      <c r="N226" s="179" t="e">
        <f t="shared" si="509"/>
        <v>#DIV/0!</v>
      </c>
      <c r="O226" s="179" t="e">
        <f t="shared" si="509"/>
        <v>#DIV/0!</v>
      </c>
      <c r="P226" s="179" t="e">
        <f t="shared" si="509"/>
        <v>#DIV/0!</v>
      </c>
      <c r="Q226" s="179" t="e">
        <f t="shared" si="509"/>
        <v>#DIV/0!</v>
      </c>
      <c r="R226" s="179" t="e">
        <f t="shared" si="509"/>
        <v>#DIV/0!</v>
      </c>
      <c r="S226" s="118" t="e">
        <f t="shared" si="464"/>
        <v>#DIV/0!</v>
      </c>
      <c r="T226" s="128"/>
      <c r="U226" s="179" t="e">
        <f t="shared" ref="U226:AD226" si="510">(U225)/($M$2*100)</f>
        <v>#DIV/0!</v>
      </c>
      <c r="V226" s="179" t="e">
        <f t="shared" si="510"/>
        <v>#DIV/0!</v>
      </c>
      <c r="W226" s="179" t="e">
        <f t="shared" si="510"/>
        <v>#DIV/0!</v>
      </c>
      <c r="X226" s="179" t="e">
        <f t="shared" si="510"/>
        <v>#DIV/0!</v>
      </c>
      <c r="Y226" s="179" t="e">
        <f t="shared" si="510"/>
        <v>#DIV/0!</v>
      </c>
      <c r="Z226" s="179" t="e">
        <f t="shared" si="510"/>
        <v>#DIV/0!</v>
      </c>
      <c r="AA226" s="179" t="e">
        <f t="shared" si="510"/>
        <v>#DIV/0!</v>
      </c>
      <c r="AB226" s="179" t="e">
        <f t="shared" si="510"/>
        <v>#DIV/0!</v>
      </c>
      <c r="AC226" s="179" t="e">
        <f t="shared" si="510"/>
        <v>#DIV/0!</v>
      </c>
      <c r="AD226" s="179" t="e">
        <f t="shared" si="510"/>
        <v>#DIV/0!</v>
      </c>
      <c r="AE226" s="137" t="e">
        <f t="shared" si="507"/>
        <v>#DIV/0!</v>
      </c>
      <c r="AF226" s="31">
        <f t="shared" si="508"/>
        <v>0.05</v>
      </c>
      <c r="AG226" s="179" t="e">
        <f>(#REF!)/($M$2*100)</f>
        <v>#REF!</v>
      </c>
    </row>
    <row r="227" spans="2:47">
      <c r="B227" s="20" t="s">
        <v>469</v>
      </c>
      <c r="C227" s="129"/>
      <c r="D227" s="129"/>
      <c r="E227" s="129"/>
      <c r="F227" s="129"/>
      <c r="G227" s="129"/>
      <c r="H227" s="150" t="e">
        <f t="shared" ref="H227:R227" si="511">H226-1</f>
        <v>#DIV/0!</v>
      </c>
      <c r="I227" s="150" t="e">
        <f t="shared" si="511"/>
        <v>#DIV/0!</v>
      </c>
      <c r="J227" s="150" t="e">
        <f t="shared" si="511"/>
        <v>#DIV/0!</v>
      </c>
      <c r="K227" s="150" t="e">
        <f t="shared" si="511"/>
        <v>#DIV/0!</v>
      </c>
      <c r="L227" s="150" t="e">
        <f t="shared" si="511"/>
        <v>#DIV/0!</v>
      </c>
      <c r="M227" s="150" t="e">
        <f t="shared" si="511"/>
        <v>#DIV/0!</v>
      </c>
      <c r="N227" s="150" t="e">
        <f t="shared" si="511"/>
        <v>#DIV/0!</v>
      </c>
      <c r="O227" s="150" t="e">
        <f t="shared" si="511"/>
        <v>#DIV/0!</v>
      </c>
      <c r="P227" s="150" t="e">
        <f t="shared" si="511"/>
        <v>#DIV/0!</v>
      </c>
      <c r="Q227" s="150" t="e">
        <f t="shared" si="511"/>
        <v>#DIV/0!</v>
      </c>
      <c r="R227" s="150" t="e">
        <f t="shared" si="511"/>
        <v>#DIV/0!</v>
      </c>
      <c r="S227" s="118" t="e">
        <f t="shared" si="464"/>
        <v>#DIV/0!</v>
      </c>
      <c r="T227" s="128"/>
      <c r="U227" s="150" t="e">
        <f t="shared" ref="U227:AD227" si="512">U226-1</f>
        <v>#DIV/0!</v>
      </c>
      <c r="V227" s="150" t="e">
        <f t="shared" si="512"/>
        <v>#DIV/0!</v>
      </c>
      <c r="W227" s="150" t="e">
        <f t="shared" si="512"/>
        <v>#DIV/0!</v>
      </c>
      <c r="X227" s="150" t="e">
        <f t="shared" si="512"/>
        <v>#DIV/0!</v>
      </c>
      <c r="Y227" s="150" t="e">
        <f t="shared" si="512"/>
        <v>#DIV/0!</v>
      </c>
      <c r="Z227" s="150" t="e">
        <f t="shared" si="512"/>
        <v>#DIV/0!</v>
      </c>
      <c r="AA227" s="150" t="e">
        <f t="shared" si="512"/>
        <v>#DIV/0!</v>
      </c>
      <c r="AB227" s="150" t="e">
        <f t="shared" si="512"/>
        <v>#DIV/0!</v>
      </c>
      <c r="AC227" s="150" t="e">
        <f t="shared" si="512"/>
        <v>#DIV/0!</v>
      </c>
      <c r="AD227" s="150" t="e">
        <f t="shared" si="512"/>
        <v>#DIV/0!</v>
      </c>
      <c r="AE227" s="137" t="e">
        <f t="shared" si="507"/>
        <v>#DIV/0!</v>
      </c>
      <c r="AF227" s="31">
        <f t="shared" si="508"/>
        <v>0.05</v>
      </c>
      <c r="AG227" s="179" t="e">
        <f>(AG211)/($M$2*100)</f>
        <v>#DIV/0!</v>
      </c>
    </row>
    <row r="228" spans="2:47">
      <c r="B228" s="20"/>
      <c r="C228" s="129"/>
      <c r="D228" s="129"/>
      <c r="E228" s="129"/>
      <c r="F228" s="129"/>
      <c r="G228" s="129"/>
      <c r="H228" s="134"/>
      <c r="I228" s="134"/>
      <c r="J228" s="134"/>
      <c r="K228" s="134"/>
      <c r="L228" s="197"/>
      <c r="M228" s="198"/>
      <c r="N228" s="134"/>
      <c r="O228" s="134"/>
      <c r="P228" s="134"/>
      <c r="Q228" s="134"/>
      <c r="R228" s="134"/>
      <c r="S228" s="128"/>
      <c r="T228" s="128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6"/>
      <c r="AF228" s="20"/>
      <c r="AG228" s="20"/>
    </row>
    <row r="229" spans="2:47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16" t="s">
        <v>349</v>
      </c>
      <c r="M229" s="217"/>
      <c r="N229" s="20"/>
      <c r="O229" s="20"/>
      <c r="P229" s="20"/>
      <c r="Q229" s="108" t="s">
        <v>428</v>
      </c>
      <c r="R229" s="108" t="s">
        <v>427</v>
      </c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136"/>
      <c r="AF229" s="20"/>
      <c r="AG229" s="20"/>
    </row>
    <row r="230" spans="2:47">
      <c r="B230" s="20" t="s">
        <v>298</v>
      </c>
      <c r="C230" s="20" t="s">
        <v>313</v>
      </c>
      <c r="D230" s="20"/>
      <c r="E230" s="20"/>
      <c r="F230" s="20"/>
      <c r="G230" s="20"/>
      <c r="H230" s="20"/>
      <c r="I230" s="20"/>
      <c r="J230" s="20"/>
      <c r="K230" s="20"/>
      <c r="L230" s="20" t="s">
        <v>350</v>
      </c>
      <c r="M230" s="22">
        <v>1</v>
      </c>
      <c r="N230" s="20"/>
      <c r="O230" s="20"/>
      <c r="P230" s="20"/>
      <c r="Q230" s="128" t="e">
        <f>(R201-T188)/R201</f>
        <v>#DIV/0!</v>
      </c>
      <c r="R230" s="128" t="e">
        <f>(R201-U188)/R201</f>
        <v>#DIV/0!</v>
      </c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136"/>
      <c r="AF230" s="20"/>
      <c r="AG230" s="20"/>
    </row>
    <row r="231" spans="2:47">
      <c r="B231" s="20" t="s">
        <v>347</v>
      </c>
      <c r="C231" s="20" t="s">
        <v>313</v>
      </c>
      <c r="D231" s="20"/>
      <c r="E231" s="20"/>
      <c r="F231" s="20"/>
      <c r="G231" s="20"/>
      <c r="H231" s="20"/>
      <c r="I231" s="20"/>
      <c r="J231" s="20"/>
      <c r="K231" s="20"/>
      <c r="L231" s="170">
        <f>$M$230</f>
        <v>1</v>
      </c>
      <c r="M231" s="20"/>
      <c r="N231" s="128" t="e">
        <f>(Q201-(L231*T179))/Q201</f>
        <v>#DIV/0!</v>
      </c>
      <c r="O231" s="20"/>
      <c r="P231" s="20"/>
      <c r="Q231" s="128" t="e">
        <f>(R201-T179)/R201</f>
        <v>#DIV/0!</v>
      </c>
      <c r="R231" s="128" t="e">
        <f>(R201-U179)/R201</f>
        <v>#DIV/0!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136"/>
      <c r="AF231" s="20"/>
      <c r="AG231" s="20"/>
    </row>
    <row r="232" spans="2:47">
      <c r="B232" s="20" t="s">
        <v>348</v>
      </c>
      <c r="C232" s="20" t="s">
        <v>313</v>
      </c>
      <c r="D232" s="20"/>
      <c r="E232" s="20"/>
      <c r="F232" s="20"/>
      <c r="G232" s="20"/>
      <c r="H232" s="20"/>
      <c r="I232" s="20"/>
      <c r="J232" s="20"/>
      <c r="K232" s="20"/>
      <c r="L232" s="170">
        <f>$M$230</f>
        <v>1</v>
      </c>
      <c r="M232" s="20"/>
      <c r="N232" s="128" t="e">
        <f>(Q201-(L232*T172))/Q201</f>
        <v>#DIV/0!</v>
      </c>
      <c r="O232" s="20"/>
      <c r="P232" s="20"/>
      <c r="Q232" s="128" t="e">
        <f>(R201-T172)/R201</f>
        <v>#DIV/0!</v>
      </c>
      <c r="R232" s="128" t="e">
        <f>(R201-U172)/R201</f>
        <v>#DIV/0!</v>
      </c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136"/>
      <c r="AF232" s="20"/>
      <c r="AG232" s="20"/>
    </row>
    <row r="233" spans="2:47">
      <c r="B233" s="20" t="s">
        <v>351</v>
      </c>
      <c r="C233" s="20" t="s">
        <v>313</v>
      </c>
      <c r="D233" s="20"/>
      <c r="E233" s="20"/>
      <c r="F233" s="20"/>
      <c r="G233" s="20"/>
      <c r="H233" s="20"/>
      <c r="I233" s="20"/>
      <c r="J233" s="20"/>
      <c r="K233" s="20"/>
      <c r="L233" s="170">
        <f>$M$230</f>
        <v>1</v>
      </c>
      <c r="M233" s="20"/>
      <c r="N233" s="128" t="e">
        <f>(Q201-(L233*T185))/Q201</f>
        <v>#DIV/0!</v>
      </c>
      <c r="O233" s="20"/>
      <c r="P233" s="20"/>
      <c r="Q233" s="128" t="e">
        <f>(R201-T185)/R201</f>
        <v>#DIV/0!</v>
      </c>
      <c r="R233" s="128" t="e">
        <f>(R201-U185)/R201</f>
        <v>#DIV/0!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136"/>
      <c r="AF233" s="20"/>
      <c r="AG233" s="20"/>
    </row>
    <row r="234" spans="2:47">
      <c r="B234" s="20" t="s">
        <v>397</v>
      </c>
      <c r="C234" s="20" t="s">
        <v>313</v>
      </c>
      <c r="D234" s="20"/>
      <c r="E234" s="20"/>
      <c r="F234" s="20"/>
      <c r="G234" s="20"/>
      <c r="H234" s="20"/>
      <c r="I234" s="20"/>
      <c r="J234" s="20"/>
      <c r="K234" s="20"/>
      <c r="L234" s="170">
        <f>$M$230</f>
        <v>1</v>
      </c>
      <c r="M234" s="20"/>
      <c r="N234" s="128" t="e">
        <f>(Q201-(L234*T198))/Q201</f>
        <v>#DIV/0!</v>
      </c>
      <c r="O234" s="20"/>
      <c r="P234" s="20"/>
      <c r="Q234" s="128" t="e">
        <f>(R201-T198)/R201</f>
        <v>#DIV/0!</v>
      </c>
      <c r="R234" s="128" t="e">
        <f>(R201-U198)/R201</f>
        <v>#DIV/0!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136"/>
      <c r="AF234" s="20"/>
      <c r="AG234" s="20"/>
    </row>
    <row r="235" spans="2:47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5" t="e">
        <f>R201/T171</f>
        <v>#DIV/0!</v>
      </c>
      <c r="R235" s="25" t="e">
        <f>R201/U171</f>
        <v>#DIV/0!</v>
      </c>
      <c r="S235" s="20"/>
      <c r="T235" s="20"/>
      <c r="U235" s="115" t="s">
        <v>11</v>
      </c>
      <c r="V235" s="115" t="s">
        <v>12</v>
      </c>
      <c r="W235" s="115" t="s">
        <v>13</v>
      </c>
      <c r="X235" s="115" t="s">
        <v>14</v>
      </c>
      <c r="Y235" s="115" t="s">
        <v>15</v>
      </c>
      <c r="Z235" s="115" t="s">
        <v>234</v>
      </c>
      <c r="AA235" s="115" t="s">
        <v>235</v>
      </c>
      <c r="AB235" s="115" t="s">
        <v>236</v>
      </c>
      <c r="AC235" s="115" t="s">
        <v>237</v>
      </c>
      <c r="AD235" s="115" t="s">
        <v>238</v>
      </c>
      <c r="AE235" s="115" t="s">
        <v>405</v>
      </c>
      <c r="AF235" s="115" t="s">
        <v>406</v>
      </c>
      <c r="AG235" s="115" t="s">
        <v>407</v>
      </c>
      <c r="AH235" s="115" t="s">
        <v>408</v>
      </c>
      <c r="AI235" s="115" t="s">
        <v>409</v>
      </c>
      <c r="AJ235" s="115" t="s">
        <v>410</v>
      </c>
      <c r="AK235" s="115" t="s">
        <v>411</v>
      </c>
      <c r="AL235" s="115" t="s">
        <v>412</v>
      </c>
      <c r="AM235" s="115" t="s">
        <v>413</v>
      </c>
      <c r="AN235" s="115" t="s">
        <v>414</v>
      </c>
      <c r="AO235" s="115" t="s">
        <v>415</v>
      </c>
      <c r="AP235" s="115" t="s">
        <v>416</v>
      </c>
      <c r="AQ235" s="115" t="s">
        <v>417</v>
      </c>
      <c r="AR235" s="115" t="s">
        <v>418</v>
      </c>
      <c r="AS235" s="115" t="s">
        <v>419</v>
      </c>
      <c r="AT235" s="115" t="s">
        <v>420</v>
      </c>
      <c r="AU235" s="115" t="s">
        <v>421</v>
      </c>
    </row>
    <row r="236" spans="2:47">
      <c r="B236" s="20" t="s">
        <v>369</v>
      </c>
      <c r="C236" s="20"/>
      <c r="D236" s="20"/>
      <c r="E236" s="20"/>
      <c r="F236" s="20"/>
      <c r="G236" s="20"/>
      <c r="H236" s="187" t="s">
        <v>446</v>
      </c>
      <c r="I236" s="188"/>
      <c r="J236" s="187" t="s">
        <v>447</v>
      </c>
      <c r="K236" s="188"/>
      <c r="L236" s="20"/>
      <c r="M236" s="187" t="s">
        <v>448</v>
      </c>
      <c r="N236" s="188"/>
      <c r="O236" s="187" t="s">
        <v>449</v>
      </c>
      <c r="P236" s="188"/>
      <c r="Q236" s="150" t="e">
        <f>1/Q235</f>
        <v>#DIV/0!</v>
      </c>
      <c r="R236" s="150" t="e">
        <f>1/R235</f>
        <v>#DIV/0!</v>
      </c>
      <c r="S236" s="20"/>
      <c r="T236" s="20"/>
      <c r="U236" s="129" t="e">
        <f>R201-U237</f>
        <v>#DIV/0!</v>
      </c>
      <c r="V236" s="183" t="e">
        <f>U236-V237</f>
        <v>#DIV/0!</v>
      </c>
      <c r="W236" s="183" t="e">
        <f t="shared" ref="W236:Y236" si="513">V236-W237</f>
        <v>#DIV/0!</v>
      </c>
      <c r="X236" s="183" t="e">
        <f t="shared" si="513"/>
        <v>#DIV/0!</v>
      </c>
      <c r="Y236" s="183" t="e">
        <f t="shared" si="513"/>
        <v>#DIV/0!</v>
      </c>
      <c r="Z236" s="183" t="e">
        <f>Y236-Z237</f>
        <v>#DIV/0!</v>
      </c>
      <c r="AA236" s="183" t="e">
        <f t="shared" ref="AA236:AD236" si="514">Z236-AA237</f>
        <v>#DIV/0!</v>
      </c>
      <c r="AB236" s="183" t="e">
        <f t="shared" si="514"/>
        <v>#DIV/0!</v>
      </c>
      <c r="AC236" s="183" t="e">
        <f t="shared" si="514"/>
        <v>#DIV/0!</v>
      </c>
      <c r="AD236" s="183" t="e">
        <f t="shared" si="514"/>
        <v>#DIV/0!</v>
      </c>
      <c r="AE236" s="183" t="e">
        <f t="shared" ref="AE236" si="515">AD236-AE237</f>
        <v>#DIV/0!</v>
      </c>
      <c r="AF236" s="183" t="e">
        <f t="shared" ref="AF236" si="516">AE236-AF237</f>
        <v>#DIV/0!</v>
      </c>
      <c r="AG236" s="183" t="e">
        <f t="shared" ref="AG236" si="517">AF236-AG237</f>
        <v>#DIV/0!</v>
      </c>
      <c r="AH236" s="183" t="e">
        <f t="shared" ref="AH236" si="518">AG236-AH237</f>
        <v>#DIV/0!</v>
      </c>
      <c r="AI236" s="183" t="e">
        <f t="shared" ref="AI236" si="519">AH236-AI237</f>
        <v>#DIV/0!</v>
      </c>
      <c r="AJ236" s="183" t="e">
        <f t="shared" ref="AJ236" si="520">AI236-AJ237</f>
        <v>#DIV/0!</v>
      </c>
      <c r="AK236" s="183" t="e">
        <f t="shared" ref="AK236" si="521">AJ236-AK237</f>
        <v>#DIV/0!</v>
      </c>
      <c r="AL236" s="183" t="e">
        <f t="shared" ref="AL236" si="522">AK236-AL237</f>
        <v>#DIV/0!</v>
      </c>
      <c r="AM236" s="183" t="e">
        <f t="shared" ref="AM236" si="523">AL236-AM237</f>
        <v>#DIV/0!</v>
      </c>
      <c r="AN236" s="183" t="e">
        <f t="shared" ref="AN236" si="524">AM236-AN237</f>
        <v>#DIV/0!</v>
      </c>
      <c r="AO236" s="183" t="e">
        <f t="shared" ref="AO236" si="525">AN236-AO237</f>
        <v>#DIV/0!</v>
      </c>
      <c r="AP236" s="183" t="e">
        <f t="shared" ref="AP236" si="526">AO236-AP237</f>
        <v>#DIV/0!</v>
      </c>
      <c r="AQ236" s="183" t="e">
        <f t="shared" ref="AQ236" si="527">AP236-AQ237</f>
        <v>#DIV/0!</v>
      </c>
      <c r="AR236" s="183" t="e">
        <f t="shared" ref="AR236" si="528">AQ236-AR237</f>
        <v>#DIV/0!</v>
      </c>
      <c r="AS236" s="183" t="e">
        <f t="shared" ref="AS236" si="529">AR236-AS237</f>
        <v>#DIV/0!</v>
      </c>
      <c r="AT236" s="183" t="e">
        <f t="shared" ref="AT236" si="530">AS236-AT237</f>
        <v>#DIV/0!</v>
      </c>
      <c r="AU236" s="183" t="e">
        <f t="shared" ref="AU236" si="531">AT236-AU237</f>
        <v>#DIV/0!</v>
      </c>
    </row>
    <row r="237" spans="2:47">
      <c r="B237" s="20" t="s">
        <v>394</v>
      </c>
      <c r="C237" s="20"/>
      <c r="D237" s="20"/>
      <c r="E237" s="20"/>
      <c r="F237" s="20"/>
      <c r="G237" s="20"/>
      <c r="H237" s="189">
        <v>0</v>
      </c>
      <c r="I237" s="188"/>
      <c r="J237" s="189">
        <v>0.05</v>
      </c>
      <c r="K237" s="188"/>
      <c r="L237" s="182">
        <f>Q1</f>
        <v>0.05</v>
      </c>
      <c r="M237" s="189">
        <v>0.12</v>
      </c>
      <c r="N237" s="188"/>
      <c r="O237" s="189">
        <v>0.2</v>
      </c>
      <c r="P237" s="196" t="s">
        <v>280</v>
      </c>
      <c r="Q237" s="179" t="e">
        <f>R201/T170</f>
        <v>#DIV/0!</v>
      </c>
      <c r="R237" s="179" t="s">
        <v>467</v>
      </c>
      <c r="S237" s="20"/>
      <c r="T237" s="20"/>
      <c r="U237" s="184" t="e">
        <f>S170*(1+$L$237)</f>
        <v>#DIV/0!</v>
      </c>
      <c r="V237" s="184" t="e">
        <f>U237*(1+$L$237)</f>
        <v>#DIV/0!</v>
      </c>
      <c r="W237" s="184" t="e">
        <f t="shared" ref="W237:AD237" si="532">V237*(1+$L$237)</f>
        <v>#DIV/0!</v>
      </c>
      <c r="X237" s="184" t="e">
        <f t="shared" si="532"/>
        <v>#DIV/0!</v>
      </c>
      <c r="Y237" s="184" t="e">
        <f t="shared" si="532"/>
        <v>#DIV/0!</v>
      </c>
      <c r="Z237" s="184" t="e">
        <f t="shared" si="532"/>
        <v>#DIV/0!</v>
      </c>
      <c r="AA237" s="184" t="e">
        <f t="shared" si="532"/>
        <v>#DIV/0!</v>
      </c>
      <c r="AB237" s="184" t="e">
        <f t="shared" si="532"/>
        <v>#DIV/0!</v>
      </c>
      <c r="AC237" s="184" t="e">
        <f t="shared" si="532"/>
        <v>#DIV/0!</v>
      </c>
      <c r="AD237" s="184" t="e">
        <f t="shared" si="532"/>
        <v>#DIV/0!</v>
      </c>
      <c r="AE237" s="184" t="e">
        <f t="shared" ref="AE237" si="533">AD237*(1+$L$237)</f>
        <v>#DIV/0!</v>
      </c>
      <c r="AF237" s="184" t="e">
        <f t="shared" ref="AF237" si="534">AE237*(1+$L$237)</f>
        <v>#DIV/0!</v>
      </c>
      <c r="AG237" s="184" t="e">
        <f t="shared" ref="AG237" si="535">AF237*(1+$L$237)</f>
        <v>#DIV/0!</v>
      </c>
      <c r="AH237" s="184" t="e">
        <f t="shared" ref="AH237" si="536">AG237*(1+$L$237)</f>
        <v>#DIV/0!</v>
      </c>
      <c r="AI237" s="184" t="e">
        <f t="shared" ref="AI237" si="537">AH237*(1+$L$237)</f>
        <v>#DIV/0!</v>
      </c>
      <c r="AJ237" s="184" t="e">
        <f t="shared" ref="AJ237" si="538">AI237*(1+$L$237)</f>
        <v>#DIV/0!</v>
      </c>
      <c r="AK237" s="184" t="e">
        <f t="shared" ref="AK237" si="539">AJ237*(1+$L$237)</f>
        <v>#DIV/0!</v>
      </c>
      <c r="AL237" s="184" t="e">
        <f t="shared" ref="AL237" si="540">AK237*(1+$L$237)</f>
        <v>#DIV/0!</v>
      </c>
      <c r="AM237" s="184" t="e">
        <f t="shared" ref="AM237" si="541">AL237*(1+$L$237)</f>
        <v>#DIV/0!</v>
      </c>
      <c r="AN237" s="184" t="e">
        <f t="shared" ref="AN237" si="542">AM237*(1+$L$237)</f>
        <v>#DIV/0!</v>
      </c>
      <c r="AO237" s="184" t="e">
        <f t="shared" ref="AO237" si="543">AN237*(1+$L$237)</f>
        <v>#DIV/0!</v>
      </c>
      <c r="AP237" s="184" t="e">
        <f t="shared" ref="AP237" si="544">AO237*(1+$L$237)</f>
        <v>#DIV/0!</v>
      </c>
      <c r="AQ237" s="184" t="e">
        <f t="shared" ref="AQ237" si="545">AP237*(1+$L$237)</f>
        <v>#DIV/0!</v>
      </c>
      <c r="AR237" s="184" t="e">
        <f t="shared" ref="AR237" si="546">AQ237*(1+$L$237)</f>
        <v>#DIV/0!</v>
      </c>
      <c r="AS237" s="184" t="e">
        <f t="shared" ref="AS237" si="547">AR237*(1+$L$237)</f>
        <v>#DIV/0!</v>
      </c>
      <c r="AT237" s="184" t="e">
        <f t="shared" ref="AT237" si="548">AS237*(1+$L$237)</f>
        <v>#DIV/0!</v>
      </c>
      <c r="AU237" s="184" t="e">
        <f t="shared" ref="AU237" si="549">AT237*(1+$L$237)</f>
        <v>#DIV/0!</v>
      </c>
    </row>
    <row r="238" spans="2:47">
      <c r="B238" s="20" t="s">
        <v>393</v>
      </c>
      <c r="C238" s="20"/>
      <c r="D238" s="20"/>
      <c r="E238" s="23" t="s">
        <v>389</v>
      </c>
      <c r="F238" s="23"/>
      <c r="G238" s="22"/>
      <c r="H238" s="189">
        <v>0</v>
      </c>
      <c r="I238" s="190" t="e">
        <f>R203</f>
        <v>#DIV/0!</v>
      </c>
      <c r="J238" s="189">
        <v>0.05</v>
      </c>
      <c r="K238" s="188"/>
      <c r="L238" s="182">
        <f>Q1</f>
        <v>0.05</v>
      </c>
      <c r="M238" s="189">
        <v>0.12</v>
      </c>
      <c r="N238" s="188"/>
      <c r="O238" s="189">
        <v>0.2</v>
      </c>
      <c r="P238" s="196" t="s">
        <v>466</v>
      </c>
      <c r="Q238" s="179" t="e">
        <f>R201/R72</f>
        <v>#DIV/0!</v>
      </c>
      <c r="R238" s="179" t="s">
        <v>467</v>
      </c>
      <c r="S238" s="20"/>
      <c r="T238" s="20"/>
      <c r="U238" s="184" t="e">
        <f>R72*(1+$L$238)</f>
        <v>#DIV/0!</v>
      </c>
      <c r="V238" s="184" t="e">
        <f>U238*(1+$L$238)</f>
        <v>#DIV/0!</v>
      </c>
      <c r="W238" s="184" t="e">
        <f t="shared" ref="W238:AD238" si="550">V238*(1+$L$238)</f>
        <v>#DIV/0!</v>
      </c>
      <c r="X238" s="184" t="e">
        <f t="shared" si="550"/>
        <v>#DIV/0!</v>
      </c>
      <c r="Y238" s="184" t="e">
        <f t="shared" si="550"/>
        <v>#DIV/0!</v>
      </c>
      <c r="Z238" s="184" t="e">
        <f t="shared" si="550"/>
        <v>#DIV/0!</v>
      </c>
      <c r="AA238" s="184" t="e">
        <f t="shared" si="550"/>
        <v>#DIV/0!</v>
      </c>
      <c r="AB238" s="184" t="e">
        <f t="shared" si="550"/>
        <v>#DIV/0!</v>
      </c>
      <c r="AC238" s="184" t="e">
        <f t="shared" si="550"/>
        <v>#DIV/0!</v>
      </c>
      <c r="AD238" s="184" t="e">
        <f t="shared" si="550"/>
        <v>#DIV/0!</v>
      </c>
      <c r="AE238" s="184" t="e">
        <f t="shared" ref="AE238" si="551">AD238*(1+$L$238)</f>
        <v>#DIV/0!</v>
      </c>
      <c r="AF238" s="184" t="e">
        <f t="shared" ref="AF238" si="552">AE238*(1+$L$238)</f>
        <v>#DIV/0!</v>
      </c>
      <c r="AG238" s="184" t="e">
        <f t="shared" ref="AG238" si="553">AF238*(1+$L$238)</f>
        <v>#DIV/0!</v>
      </c>
      <c r="AH238" s="184" t="e">
        <f t="shared" ref="AH238" si="554">AG238*(1+$L$238)</f>
        <v>#DIV/0!</v>
      </c>
      <c r="AI238" s="184" t="e">
        <f t="shared" ref="AI238" si="555">AH238*(1+$L$238)</f>
        <v>#DIV/0!</v>
      </c>
      <c r="AJ238" s="184" t="e">
        <f t="shared" ref="AJ238" si="556">AI238*(1+$L$238)</f>
        <v>#DIV/0!</v>
      </c>
      <c r="AK238" s="184" t="e">
        <f t="shared" ref="AK238" si="557">AJ238*(1+$L$238)</f>
        <v>#DIV/0!</v>
      </c>
      <c r="AL238" s="184" t="e">
        <f t="shared" ref="AL238" si="558">AK238*(1+$L$238)</f>
        <v>#DIV/0!</v>
      </c>
      <c r="AM238" s="184" t="e">
        <f t="shared" ref="AM238" si="559">AL238*(1+$L$238)</f>
        <v>#DIV/0!</v>
      </c>
      <c r="AN238" s="184" t="e">
        <f t="shared" ref="AN238" si="560">AM238*(1+$L$238)</f>
        <v>#DIV/0!</v>
      </c>
      <c r="AO238" s="184" t="e">
        <f t="shared" ref="AO238" si="561">AN238*(1+$L$238)</f>
        <v>#DIV/0!</v>
      </c>
      <c r="AP238" s="184" t="e">
        <f t="shared" ref="AP238" si="562">AO238*(1+$L$238)</f>
        <v>#DIV/0!</v>
      </c>
      <c r="AQ238" s="184" t="e">
        <f t="shared" ref="AQ238" si="563">AP238*(1+$L$238)</f>
        <v>#DIV/0!</v>
      </c>
      <c r="AR238" s="184" t="e">
        <f t="shared" ref="AR238" si="564">AQ238*(1+$L$238)</f>
        <v>#DIV/0!</v>
      </c>
      <c r="AS238" s="184" t="e">
        <f t="shared" ref="AS238" si="565">AR238*(1+$L$238)</f>
        <v>#DIV/0!</v>
      </c>
      <c r="AT238" s="184" t="e">
        <f t="shared" ref="AT238" si="566">AS238*(1+$L$238)</f>
        <v>#DIV/0!</v>
      </c>
      <c r="AU238" s="184" t="e">
        <f t="shared" ref="AU238" si="567">AT238*(1+$L$238)</f>
        <v>#DIV/0!</v>
      </c>
    </row>
    <row r="239" spans="2:47">
      <c r="B239" s="20"/>
      <c r="C239" s="20"/>
      <c r="D239" s="20"/>
      <c r="E239" s="23" t="s">
        <v>452</v>
      </c>
      <c r="F239" s="23"/>
      <c r="G239" s="22"/>
      <c r="H239" s="189">
        <v>0</v>
      </c>
      <c r="I239" s="190"/>
      <c r="J239" s="189">
        <v>0.05</v>
      </c>
      <c r="K239" s="188"/>
      <c r="L239" s="188"/>
      <c r="M239" s="189">
        <v>0.12</v>
      </c>
      <c r="N239" s="188"/>
      <c r="O239" s="189">
        <v>0.2</v>
      </c>
      <c r="P239" s="20"/>
      <c r="Q239" s="20"/>
      <c r="R239" s="20"/>
      <c r="S239" s="20"/>
      <c r="T239" s="20"/>
      <c r="U239" s="129" t="e">
        <f>R201-U238</f>
        <v>#DIV/0!</v>
      </c>
      <c r="V239" s="183" t="e">
        <f>U239-V238</f>
        <v>#DIV/0!</v>
      </c>
      <c r="W239" s="183" t="e">
        <f t="shared" ref="W239:AB239" si="568">V239-W238</f>
        <v>#DIV/0!</v>
      </c>
      <c r="X239" s="183" t="e">
        <f t="shared" si="568"/>
        <v>#DIV/0!</v>
      </c>
      <c r="Y239" s="183" t="e">
        <f t="shared" si="568"/>
        <v>#DIV/0!</v>
      </c>
      <c r="Z239" s="183" t="e">
        <f t="shared" si="568"/>
        <v>#DIV/0!</v>
      </c>
      <c r="AA239" s="183" t="e">
        <f t="shared" si="568"/>
        <v>#DIV/0!</v>
      </c>
      <c r="AB239" s="183" t="e">
        <f t="shared" si="568"/>
        <v>#DIV/0!</v>
      </c>
      <c r="AC239" s="183" t="e">
        <f>AB239-AC238</f>
        <v>#DIV/0!</v>
      </c>
      <c r="AD239" s="183" t="e">
        <f t="shared" ref="AD239" si="569">AC239-AD238</f>
        <v>#DIV/0!</v>
      </c>
      <c r="AE239" s="183" t="e">
        <f t="shared" ref="AE239" si="570">AD239-AE238</f>
        <v>#DIV/0!</v>
      </c>
      <c r="AF239" s="183" t="e">
        <f t="shared" ref="AF239" si="571">AE239-AF238</f>
        <v>#DIV/0!</v>
      </c>
      <c r="AG239" s="183" t="e">
        <f t="shared" ref="AG239" si="572">AF239-AG238</f>
        <v>#DIV/0!</v>
      </c>
      <c r="AH239" s="183" t="e">
        <f t="shared" ref="AH239" si="573">AG239-AH238</f>
        <v>#DIV/0!</v>
      </c>
      <c r="AI239" s="183" t="e">
        <f t="shared" ref="AI239" si="574">AH239-AI238</f>
        <v>#DIV/0!</v>
      </c>
      <c r="AJ239" s="183" t="e">
        <f t="shared" ref="AJ239" si="575">AI239-AJ238</f>
        <v>#DIV/0!</v>
      </c>
      <c r="AK239" s="183" t="e">
        <f t="shared" ref="AK239" si="576">AJ239-AK238</f>
        <v>#DIV/0!</v>
      </c>
      <c r="AL239" s="183" t="e">
        <f t="shared" ref="AL239" si="577">AK239-AL238</f>
        <v>#DIV/0!</v>
      </c>
      <c r="AM239" s="183" t="e">
        <f t="shared" ref="AM239" si="578">AL239-AM238</f>
        <v>#DIV/0!</v>
      </c>
      <c r="AN239" s="183" t="e">
        <f t="shared" ref="AN239" si="579">AM239-AN238</f>
        <v>#DIV/0!</v>
      </c>
      <c r="AO239" s="183" t="e">
        <f t="shared" ref="AO239" si="580">AN239-AO238</f>
        <v>#DIV/0!</v>
      </c>
      <c r="AP239" s="183" t="e">
        <f t="shared" ref="AP239" si="581">AO239-AP238</f>
        <v>#DIV/0!</v>
      </c>
      <c r="AQ239" s="183" t="e">
        <f t="shared" ref="AQ239" si="582">AP239-AQ238</f>
        <v>#DIV/0!</v>
      </c>
      <c r="AR239" s="183" t="e">
        <f t="shared" ref="AR239" si="583">AQ239-AR238</f>
        <v>#DIV/0!</v>
      </c>
      <c r="AS239" s="183" t="e">
        <f t="shared" ref="AS239" si="584">AR239-AS238</f>
        <v>#DIV/0!</v>
      </c>
      <c r="AT239" s="183" t="e">
        <f t="shared" ref="AT239" si="585">AS239-AT238</f>
        <v>#DIV/0!</v>
      </c>
      <c r="AU239" s="183" t="e">
        <f t="shared" ref="AU239" si="586">AT239-AU238</f>
        <v>#DIV/0!</v>
      </c>
    </row>
    <row r="240" spans="2:47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 spans="2:33">
      <c r="B241" s="20" t="s">
        <v>304</v>
      </c>
      <c r="C241" s="25"/>
      <c r="D241" s="25"/>
      <c r="E241" s="25"/>
      <c r="F241" s="25"/>
      <c r="G241" s="25"/>
      <c r="H241" s="25">
        <f t="shared" ref="H241:R241" si="587">H10/H7</f>
        <v>0.82663605051664757</v>
      </c>
      <c r="I241" s="25">
        <f t="shared" si="587"/>
        <v>0.22179487179487178</v>
      </c>
      <c r="J241" s="25">
        <f t="shared" si="587"/>
        <v>6.9561638197159908E-2</v>
      </c>
      <c r="K241" s="25">
        <f t="shared" si="587"/>
        <v>5.0608358314230294E-2</v>
      </c>
      <c r="L241" s="25">
        <f t="shared" si="587"/>
        <v>2.5668779959795888E-2</v>
      </c>
      <c r="M241" s="25">
        <f t="shared" si="587"/>
        <v>8.8725088725088719E-3</v>
      </c>
      <c r="N241" s="25">
        <f t="shared" si="587"/>
        <v>7.1924603174603171E-3</v>
      </c>
      <c r="O241" s="25">
        <f t="shared" si="587"/>
        <v>5.5700807093327269E-3</v>
      </c>
      <c r="P241" s="25" t="e">
        <f t="shared" si="587"/>
        <v>#DIV/0!</v>
      </c>
      <c r="Q241" s="25" t="e">
        <f t="shared" si="587"/>
        <v>#DIV/0!</v>
      </c>
      <c r="R241" s="25" t="e">
        <f t="shared" si="587"/>
        <v>#DIV/0!</v>
      </c>
      <c r="S241" s="118" t="e">
        <f t="shared" ref="S241:S243" si="588">((Q241/H241)^(1/($I$2-$I$1) ))-1</f>
        <v>#DIV/0!</v>
      </c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spans="2:33">
      <c r="B242" s="20" t="s">
        <v>305</v>
      </c>
      <c r="C242" s="112"/>
      <c r="D242" s="112"/>
      <c r="E242" s="112"/>
      <c r="F242" s="112"/>
      <c r="G242" s="112"/>
      <c r="H242" s="112">
        <f t="shared" ref="H242:R242" si="589">H10/H12</f>
        <v>10.746268656716419</v>
      </c>
      <c r="I242" s="112">
        <f t="shared" si="589"/>
        <v>2.2823218997361479</v>
      </c>
      <c r="J242" s="112">
        <f t="shared" si="589"/>
        <v>0.51840490797546013</v>
      </c>
      <c r="K242" s="112">
        <f t="shared" si="589"/>
        <v>0.33685446009389669</v>
      </c>
      <c r="L242" s="112">
        <f t="shared" si="589"/>
        <v>0.18842224744608399</v>
      </c>
      <c r="M242" s="112">
        <f t="shared" si="589"/>
        <v>3.7206639954207213E-2</v>
      </c>
      <c r="N242" s="112">
        <f t="shared" si="589"/>
        <v>2.7978774722624215E-2</v>
      </c>
      <c r="O242" s="112">
        <f t="shared" si="589"/>
        <v>2.168141592920354E-2</v>
      </c>
      <c r="P242" s="112" t="e">
        <f t="shared" si="589"/>
        <v>#DIV/0!</v>
      </c>
      <c r="Q242" s="112" t="e">
        <f t="shared" si="589"/>
        <v>#DIV/0!</v>
      </c>
      <c r="R242" s="112" t="e">
        <f t="shared" si="589"/>
        <v>#DIV/0!</v>
      </c>
      <c r="S242" s="118" t="e">
        <f t="shared" si="588"/>
        <v>#DIV/0!</v>
      </c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spans="2:33">
      <c r="B243" s="20" t="s">
        <v>306</v>
      </c>
      <c r="C243" s="25"/>
      <c r="D243" s="25"/>
      <c r="E243" s="25"/>
      <c r="F243" s="25"/>
      <c r="G243" s="25"/>
      <c r="H243" s="25">
        <f t="shared" ref="H243:R243" si="590">H10/(H12+H13)</f>
        <v>1.1812961443806398</v>
      </c>
      <c r="I243" s="25">
        <f t="shared" si="590"/>
        <v>0.4531168150864327</v>
      </c>
      <c r="J243" s="25">
        <f t="shared" si="590"/>
        <v>0.15853658536585366</v>
      </c>
      <c r="K243" s="25">
        <f t="shared" si="590"/>
        <v>0.24342663273960985</v>
      </c>
      <c r="L243" s="25">
        <f t="shared" si="590"/>
        <v>0.10355583281347473</v>
      </c>
      <c r="M243" s="25">
        <f t="shared" si="590"/>
        <v>2.7449324324324325E-2</v>
      </c>
      <c r="N243" s="25">
        <f t="shared" si="590"/>
        <v>2.0145883987495658E-2</v>
      </c>
      <c r="O243" s="25">
        <f t="shared" si="590"/>
        <v>1.2760416666666666E-2</v>
      </c>
      <c r="P243" s="25" t="e">
        <f t="shared" si="590"/>
        <v>#DIV/0!</v>
      </c>
      <c r="Q243" s="25" t="e">
        <f t="shared" si="590"/>
        <v>#DIV/0!</v>
      </c>
      <c r="R243" s="25" t="e">
        <f t="shared" si="590"/>
        <v>#DIV/0!</v>
      </c>
      <c r="S243" s="118" t="e">
        <f t="shared" si="588"/>
        <v>#DIV/0!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spans="2:33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spans="2:33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spans="2:33">
      <c r="B246" s="20"/>
      <c r="C246" s="172" t="s">
        <v>375</v>
      </c>
      <c r="D246" s="173"/>
      <c r="E246" s="173"/>
      <c r="F246" s="173"/>
      <c r="G246" s="173"/>
      <c r="H246" s="173"/>
      <c r="I246" s="173"/>
      <c r="J246" s="173"/>
      <c r="K246" s="173"/>
      <c r="L246" s="20"/>
      <c r="M246" s="213" t="s">
        <v>335</v>
      </c>
      <c r="N246" s="214"/>
      <c r="O246" s="215"/>
      <c r="P246" s="23" t="s">
        <v>338</v>
      </c>
      <c r="Q246" s="20"/>
      <c r="R246" s="136"/>
      <c r="S246" s="213" t="s">
        <v>336</v>
      </c>
      <c r="T246" s="214"/>
      <c r="U246" s="215"/>
      <c r="V246" s="23" t="s">
        <v>338</v>
      </c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spans="2:33">
      <c r="B247" s="20"/>
      <c r="C247" s="164" t="s">
        <v>337</v>
      </c>
      <c r="D247" s="164" t="s">
        <v>0</v>
      </c>
      <c r="E247" s="164" t="s">
        <v>376</v>
      </c>
      <c r="F247" s="164"/>
      <c r="G247" s="164" t="s">
        <v>377</v>
      </c>
      <c r="H247" s="164" t="s">
        <v>378</v>
      </c>
      <c r="I247" s="164" t="s">
        <v>379</v>
      </c>
      <c r="J247" s="164" t="s">
        <v>380</v>
      </c>
      <c r="K247" s="164" t="s">
        <v>381</v>
      </c>
      <c r="L247" s="20"/>
      <c r="M247" s="164" t="s">
        <v>337</v>
      </c>
      <c r="N247" s="164"/>
      <c r="O247" s="164" t="s">
        <v>0</v>
      </c>
      <c r="P247" s="164" t="s">
        <v>370</v>
      </c>
      <c r="Q247" s="20"/>
      <c r="R247" s="20"/>
      <c r="S247" s="164" t="s">
        <v>337</v>
      </c>
      <c r="T247" s="164"/>
      <c r="U247" s="164" t="s">
        <v>0</v>
      </c>
      <c r="V247" s="164" t="s">
        <v>370</v>
      </c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spans="2:33">
      <c r="B248" s="20"/>
      <c r="C248" s="165" t="s">
        <v>339</v>
      </c>
      <c r="D248" s="21">
        <v>1</v>
      </c>
      <c r="E248" s="174" t="s">
        <v>382</v>
      </c>
      <c r="F248" s="174"/>
      <c r="G248" s="22">
        <v>1</v>
      </c>
      <c r="H248" s="22">
        <v>1</v>
      </c>
      <c r="I248" s="165">
        <f>G248/H248</f>
        <v>1</v>
      </c>
      <c r="J248" s="165">
        <f>I248*D249</f>
        <v>1</v>
      </c>
      <c r="K248" s="175">
        <f>J248+D249</f>
        <v>2</v>
      </c>
      <c r="L248" s="20"/>
      <c r="M248" s="165" t="s">
        <v>339</v>
      </c>
      <c r="N248" s="165"/>
      <c r="O248" s="21">
        <v>24</v>
      </c>
      <c r="P248" s="171">
        <f>O248</f>
        <v>24</v>
      </c>
      <c r="Q248" s="20"/>
      <c r="R248" s="20"/>
      <c r="S248" s="165" t="s">
        <v>339</v>
      </c>
      <c r="T248" s="165"/>
      <c r="U248" s="21">
        <v>1</v>
      </c>
      <c r="V248" s="171">
        <f>U248</f>
        <v>1</v>
      </c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spans="2:33">
      <c r="B249" s="20"/>
      <c r="C249" s="165" t="s">
        <v>340</v>
      </c>
      <c r="D249" s="21">
        <v>1</v>
      </c>
      <c r="E249" s="174" t="s">
        <v>383</v>
      </c>
      <c r="F249" s="174"/>
      <c r="G249" s="22">
        <v>0</v>
      </c>
      <c r="H249" s="22">
        <v>1</v>
      </c>
      <c r="I249" s="165">
        <f>G249/H249</f>
        <v>0</v>
      </c>
      <c r="J249" s="165">
        <f>I249*K248</f>
        <v>0</v>
      </c>
      <c r="K249" s="165">
        <f>J249+K248</f>
        <v>2</v>
      </c>
      <c r="L249" s="20"/>
      <c r="M249" s="165" t="s">
        <v>340</v>
      </c>
      <c r="N249" s="165"/>
      <c r="O249" s="21">
        <v>1</v>
      </c>
      <c r="P249" s="171">
        <f>O249</f>
        <v>1</v>
      </c>
      <c r="Q249" s="20"/>
      <c r="R249" s="20"/>
      <c r="S249" s="165" t="s">
        <v>340</v>
      </c>
      <c r="T249" s="165"/>
      <c r="U249" s="21">
        <v>1</v>
      </c>
      <c r="V249" s="171">
        <f>U249</f>
        <v>1</v>
      </c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spans="2:33">
      <c r="B250" s="20"/>
      <c r="C250" s="165" t="s">
        <v>342</v>
      </c>
      <c r="D250" s="166">
        <f>D248*D249</f>
        <v>1</v>
      </c>
      <c r="E250" s="174" t="s">
        <v>395</v>
      </c>
      <c r="F250" s="174"/>
      <c r="G250" s="22">
        <v>0</v>
      </c>
      <c r="H250" s="22">
        <v>1</v>
      </c>
      <c r="I250" s="165">
        <f>G250/H250</f>
        <v>0</v>
      </c>
      <c r="J250" s="165">
        <f>I250*K249</f>
        <v>0</v>
      </c>
      <c r="K250" s="165">
        <f>J250+K249</f>
        <v>2</v>
      </c>
      <c r="L250" s="20"/>
      <c r="M250" s="165" t="s">
        <v>341</v>
      </c>
      <c r="N250" s="165"/>
      <c r="O250" s="166">
        <f>O248*O249</f>
        <v>24</v>
      </c>
      <c r="P250" s="171">
        <f>O250</f>
        <v>24</v>
      </c>
      <c r="Q250" s="20"/>
      <c r="R250" s="20"/>
      <c r="S250" s="165" t="s">
        <v>342</v>
      </c>
      <c r="T250" s="165"/>
      <c r="U250" s="166">
        <f>U248*U249</f>
        <v>1</v>
      </c>
      <c r="V250" s="171">
        <f>U250</f>
        <v>1</v>
      </c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spans="2:33">
      <c r="B251" s="20"/>
      <c r="C251" s="165"/>
      <c r="D251" s="166"/>
      <c r="E251" s="174" t="s">
        <v>453</v>
      </c>
      <c r="F251" s="174"/>
      <c r="G251" s="22">
        <v>0</v>
      </c>
      <c r="H251" s="22">
        <v>1</v>
      </c>
      <c r="I251" s="165">
        <f t="shared" ref="I251:I254" si="591">G251/H251</f>
        <v>0</v>
      </c>
      <c r="J251" s="165">
        <f t="shared" ref="J251:J253" si="592">I251*K250</f>
        <v>0</v>
      </c>
      <c r="K251" s="165">
        <f t="shared" ref="K251:K253" si="593">J251+K250</f>
        <v>2</v>
      </c>
      <c r="L251" s="20"/>
      <c r="M251" s="165" t="s">
        <v>343</v>
      </c>
      <c r="N251" s="165"/>
      <c r="O251" s="21">
        <v>200</v>
      </c>
      <c r="P251" s="21">
        <v>220</v>
      </c>
      <c r="Q251" s="20"/>
      <c r="R251" s="20"/>
      <c r="S251" s="165" t="s">
        <v>343</v>
      </c>
      <c r="T251" s="165"/>
      <c r="U251" s="21">
        <v>1</v>
      </c>
      <c r="V251" s="21">
        <v>1</v>
      </c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spans="2:33">
      <c r="B252" s="20"/>
      <c r="C252" s="165"/>
      <c r="D252" s="166"/>
      <c r="E252" s="174" t="s">
        <v>454</v>
      </c>
      <c r="F252" s="174"/>
      <c r="G252" s="22">
        <v>0</v>
      </c>
      <c r="H252" s="22">
        <v>1</v>
      </c>
      <c r="I252" s="165">
        <f t="shared" si="591"/>
        <v>0</v>
      </c>
      <c r="J252" s="165">
        <f t="shared" si="592"/>
        <v>0</v>
      </c>
      <c r="K252" s="165">
        <f t="shared" si="593"/>
        <v>2</v>
      </c>
      <c r="L252" s="20"/>
      <c r="M252" s="165" t="s">
        <v>344</v>
      </c>
      <c r="N252" s="165"/>
      <c r="O252" s="166">
        <f>O251*O249</f>
        <v>200</v>
      </c>
      <c r="P252" s="166">
        <f>P251*P249</f>
        <v>220</v>
      </c>
      <c r="Q252" s="20"/>
      <c r="R252" s="20"/>
      <c r="S252" s="165" t="s">
        <v>340</v>
      </c>
      <c r="T252" s="165"/>
      <c r="U252" s="21">
        <v>1</v>
      </c>
      <c r="V252" s="127">
        <f>U252</f>
        <v>1</v>
      </c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spans="2:33">
      <c r="B253" s="20"/>
      <c r="C253" s="165"/>
      <c r="D253" s="166"/>
      <c r="E253" s="174" t="s">
        <v>455</v>
      </c>
      <c r="F253" s="174"/>
      <c r="G253" s="22">
        <v>0</v>
      </c>
      <c r="H253" s="22">
        <v>1</v>
      </c>
      <c r="I253" s="165">
        <f t="shared" si="591"/>
        <v>0</v>
      </c>
      <c r="J253" s="165">
        <f t="shared" si="592"/>
        <v>0</v>
      </c>
      <c r="K253" s="165">
        <f t="shared" si="593"/>
        <v>2</v>
      </c>
      <c r="L253" s="20"/>
      <c r="M253" s="165"/>
      <c r="N253" s="165"/>
      <c r="O253" s="166"/>
      <c r="P253" s="166"/>
      <c r="Q253" s="20"/>
      <c r="R253" s="20"/>
      <c r="S253" s="165" t="s">
        <v>342</v>
      </c>
      <c r="T253" s="165"/>
      <c r="U253" s="166">
        <f>U252*U251</f>
        <v>1</v>
      </c>
      <c r="V253" s="166">
        <f>V252*V251</f>
        <v>1</v>
      </c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spans="2:33">
      <c r="B254" s="20"/>
      <c r="C254" s="165"/>
      <c r="D254" s="166"/>
      <c r="E254" s="174" t="s">
        <v>384</v>
      </c>
      <c r="F254" s="174"/>
      <c r="G254" s="22">
        <v>10</v>
      </c>
      <c r="H254" s="22">
        <v>2</v>
      </c>
      <c r="I254" s="165">
        <f t="shared" si="591"/>
        <v>5</v>
      </c>
      <c r="J254" s="165">
        <f>I254*K253</f>
        <v>10</v>
      </c>
      <c r="K254" s="165">
        <f>J254</f>
        <v>10</v>
      </c>
      <c r="L254" s="20"/>
      <c r="M254" s="165"/>
      <c r="N254" s="165"/>
      <c r="O254" s="166"/>
      <c r="P254" s="166"/>
      <c r="Q254" s="20"/>
      <c r="R254" s="20"/>
      <c r="S254" s="165"/>
      <c r="T254" s="165"/>
      <c r="U254" s="166"/>
      <c r="V254" s="166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spans="2:33">
      <c r="B255" s="20"/>
      <c r="C255" s="165"/>
      <c r="D255" s="166"/>
      <c r="E255" s="174" t="s">
        <v>456</v>
      </c>
      <c r="F255" s="174"/>
      <c r="G255" s="22">
        <v>0</v>
      </c>
      <c r="H255" s="22">
        <v>1</v>
      </c>
      <c r="I255" s="165">
        <f>G255/H255</f>
        <v>0</v>
      </c>
      <c r="J255" s="165">
        <f>I255*K254</f>
        <v>0</v>
      </c>
      <c r="K255" s="165">
        <f>J255</f>
        <v>0</v>
      </c>
      <c r="L255" s="20"/>
      <c r="M255" s="167" t="s">
        <v>345</v>
      </c>
      <c r="N255" s="167"/>
      <c r="O255" s="168">
        <f>O252/O250</f>
        <v>8.3333333333333339</v>
      </c>
      <c r="P255" s="168">
        <f>P252/P250</f>
        <v>9.1666666666666661</v>
      </c>
      <c r="Q255" s="20"/>
      <c r="R255" s="20"/>
      <c r="S255" s="167" t="s">
        <v>345</v>
      </c>
      <c r="T255" s="167"/>
      <c r="U255" s="168">
        <f>U253/U250</f>
        <v>1</v>
      </c>
      <c r="V255" s="168">
        <f>V253/V250</f>
        <v>1</v>
      </c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spans="2:33">
      <c r="B256" s="20"/>
      <c r="C256" s="165" t="s">
        <v>343</v>
      </c>
      <c r="D256" s="21">
        <v>1</v>
      </c>
      <c r="E256" s="174"/>
      <c r="F256" s="174"/>
      <c r="G256" s="165"/>
      <c r="H256" s="165"/>
      <c r="I256" s="167" t="s">
        <v>385</v>
      </c>
      <c r="J256" s="165"/>
      <c r="K256" s="165">
        <f>K255</f>
        <v>0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spans="2:33">
      <c r="B257" s="20"/>
      <c r="C257" s="165" t="s">
        <v>340</v>
      </c>
      <c r="D257" s="21">
        <v>1</v>
      </c>
      <c r="E257" s="174" t="s">
        <v>384</v>
      </c>
      <c r="F257" s="174"/>
      <c r="G257" s="22">
        <v>10</v>
      </c>
      <c r="H257" s="22">
        <v>2</v>
      </c>
      <c r="I257" s="165">
        <f>G257/H257</f>
        <v>5</v>
      </c>
      <c r="J257" s="175">
        <f>I257*D249</f>
        <v>5</v>
      </c>
      <c r="K257" s="175">
        <f>J257</f>
        <v>5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spans="2:33">
      <c r="B258" s="20"/>
      <c r="C258" s="165" t="s">
        <v>342</v>
      </c>
      <c r="D258" s="166">
        <f>D257*D256</f>
        <v>1</v>
      </c>
      <c r="E258" s="165"/>
      <c r="F258" s="165"/>
      <c r="G258" s="165"/>
      <c r="H258" s="165"/>
      <c r="I258" s="167" t="s">
        <v>385</v>
      </c>
      <c r="J258" s="165"/>
      <c r="K258" s="165">
        <f>K257</f>
        <v>5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spans="2:33">
      <c r="B259" s="20"/>
      <c r="C259" s="165"/>
      <c r="D259" s="166"/>
      <c r="E259" s="174" t="s">
        <v>384</v>
      </c>
      <c r="F259" s="174"/>
      <c r="G259" s="22">
        <v>10</v>
      </c>
      <c r="H259" s="22">
        <v>2</v>
      </c>
      <c r="I259" s="165">
        <f>G259/H259</f>
        <v>5</v>
      </c>
      <c r="J259" s="165">
        <f>I259*K258</f>
        <v>25</v>
      </c>
      <c r="K259" s="165">
        <f>J259</f>
        <v>25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spans="2:33">
      <c r="B260" s="20"/>
      <c r="C260" s="167" t="s">
        <v>345</v>
      </c>
      <c r="D260" s="168">
        <f>D258/D250</f>
        <v>1</v>
      </c>
      <c r="E260" s="174"/>
      <c r="F260" s="174"/>
      <c r="G260" s="165"/>
      <c r="H260" s="165"/>
      <c r="I260" s="167" t="s">
        <v>385</v>
      </c>
      <c r="J260" s="165"/>
      <c r="K260" s="165">
        <f>K259</f>
        <v>25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 spans="2:33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spans="2:33">
      <c r="B262" s="20"/>
      <c r="C262" s="20"/>
      <c r="D262" s="136"/>
      <c r="E262" s="176"/>
      <c r="F262" s="176"/>
      <c r="G262" s="176"/>
      <c r="H262" s="177"/>
      <c r="I262" s="20"/>
      <c r="J262" s="136"/>
      <c r="K262" s="176"/>
      <c r="L262" s="177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spans="2:33" ht="14.25">
      <c r="B263" s="20"/>
      <c r="C263" s="20"/>
      <c r="D263" s="206" t="s">
        <v>27</v>
      </c>
      <c r="E263" s="207"/>
      <c r="F263" s="207"/>
      <c r="G263" s="207"/>
      <c r="H263" s="208"/>
      <c r="I263" s="20"/>
      <c r="J263" s="206" t="s">
        <v>390</v>
      </c>
      <c r="K263" s="207"/>
      <c r="L263" s="208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 spans="2:33">
      <c r="B264" s="20"/>
      <c r="C264" s="20"/>
      <c r="D264" s="20" t="s">
        <v>28</v>
      </c>
      <c r="E264" s="127"/>
      <c r="F264" s="127"/>
      <c r="G264" s="127"/>
      <c r="H264" s="21">
        <f>D250</f>
        <v>1</v>
      </c>
      <c r="I264" s="20"/>
      <c r="J264" s="20" t="s">
        <v>28</v>
      </c>
      <c r="K264" s="127"/>
      <c r="L264" s="21">
        <f>H264</f>
        <v>1</v>
      </c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spans="2:33">
      <c r="B265" s="20"/>
      <c r="C265" s="20"/>
      <c r="D265" s="20" t="s">
        <v>29</v>
      </c>
      <c r="E265" s="127"/>
      <c r="F265" s="127"/>
      <c r="G265" s="127"/>
      <c r="H265" s="21">
        <f>D258</f>
        <v>1</v>
      </c>
      <c r="I265" s="20"/>
      <c r="J265" s="20" t="s">
        <v>29</v>
      </c>
      <c r="K265" s="20"/>
      <c r="L265" s="21">
        <f>H265</f>
        <v>1</v>
      </c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spans="2:33">
      <c r="B266" s="20"/>
      <c r="C266" s="20"/>
      <c r="D266" s="20" t="s">
        <v>30</v>
      </c>
      <c r="E266" s="20"/>
      <c r="F266" s="20"/>
      <c r="G266" s="20"/>
      <c r="H266" s="22">
        <v>10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spans="2:33">
      <c r="B267" s="20"/>
      <c r="C267" s="20"/>
      <c r="D267" s="23" t="s">
        <v>31</v>
      </c>
      <c r="E267" s="3"/>
      <c r="F267" s="3"/>
      <c r="G267" s="3"/>
      <c r="H267" s="3">
        <f>((H265/H264)^(1/H266))-1</f>
        <v>0</v>
      </c>
      <c r="I267" s="20"/>
      <c r="J267" s="23" t="s">
        <v>391</v>
      </c>
      <c r="K267" s="23"/>
      <c r="L267" s="191">
        <f>(L265-L264)/L264</f>
        <v>0</v>
      </c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 spans="2:33">
      <c r="B268" s="20"/>
      <c r="C268" s="20"/>
      <c r="D268" s="23" t="s">
        <v>32</v>
      </c>
      <c r="E268" s="163"/>
      <c r="F268" s="163"/>
      <c r="G268" s="163"/>
      <c r="H268" s="24">
        <f>H266*12</f>
        <v>120</v>
      </c>
      <c r="I268" s="20"/>
      <c r="J268" s="23" t="s">
        <v>392</v>
      </c>
      <c r="K268" s="23"/>
      <c r="L268" s="23">
        <f>L265/L264</f>
        <v>1</v>
      </c>
    </row>
    <row r="269" spans="2:33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0"/>
      <c r="J269" s="20"/>
      <c r="K269" s="20"/>
      <c r="L269" s="20"/>
    </row>
    <row r="270" spans="2:33">
      <c r="B270" s="20"/>
      <c r="C270" s="20"/>
      <c r="D270" s="23" t="s">
        <v>33</v>
      </c>
      <c r="E270" s="3"/>
      <c r="F270" s="3"/>
      <c r="G270" s="3"/>
      <c r="H270" s="3">
        <f>((H265/H264)^(1/H269))-1</f>
        <v>0</v>
      </c>
      <c r="I270" s="20"/>
      <c r="J270" s="20"/>
      <c r="K270" s="20"/>
      <c r="L270" s="20"/>
    </row>
    <row r="271" spans="2:33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 spans="2:33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</sheetData>
  <mergeCells count="9">
    <mergeCell ref="A36:A45"/>
    <mergeCell ref="A124:A132"/>
    <mergeCell ref="D263:H263"/>
    <mergeCell ref="J263:L263"/>
    <mergeCell ref="AF2:AG2"/>
    <mergeCell ref="AF3:AG3"/>
    <mergeCell ref="M246:O246"/>
    <mergeCell ref="S246:U246"/>
    <mergeCell ref="L229:M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429</v>
      </c>
      <c r="C3" s="225"/>
      <c r="F3" s="224" t="s">
        <v>430</v>
      </c>
      <c r="G3" s="225"/>
    </row>
    <row r="4" spans="2:7">
      <c r="B4" s="186" t="s">
        <v>431</v>
      </c>
      <c r="C4" s="186"/>
      <c r="F4" s="186" t="s">
        <v>432</v>
      </c>
      <c r="G4" s="186"/>
    </row>
    <row r="5" spans="2:7">
      <c r="B5" s="186" t="s">
        <v>433</v>
      </c>
      <c r="C5" s="186"/>
      <c r="F5" s="186" t="s">
        <v>291</v>
      </c>
      <c r="G5" s="186"/>
    </row>
    <row r="6" spans="2:7">
      <c r="B6" s="186" t="s">
        <v>434</v>
      </c>
      <c r="C6" s="186"/>
      <c r="F6" s="186" t="s">
        <v>435</v>
      </c>
      <c r="G6" s="186"/>
    </row>
    <row r="7" spans="2:7">
      <c r="B7" s="186" t="s">
        <v>436</v>
      </c>
      <c r="C7" s="186"/>
      <c r="F7" s="186" t="s">
        <v>437</v>
      </c>
      <c r="G7" s="186"/>
    </row>
    <row r="8" spans="2:7">
      <c r="B8" s="186" t="s">
        <v>438</v>
      </c>
      <c r="C8" s="186"/>
      <c r="F8" s="186" t="s">
        <v>439</v>
      </c>
      <c r="G8" s="186"/>
    </row>
    <row r="9" spans="2:7">
      <c r="B9" s="186" t="s">
        <v>440</v>
      </c>
      <c r="C9" s="186"/>
      <c r="F9" s="186" t="s">
        <v>441</v>
      </c>
      <c r="G9" s="186"/>
    </row>
    <row r="10" spans="2:7">
      <c r="B10" s="186" t="s">
        <v>439</v>
      </c>
      <c r="C10" s="186"/>
      <c r="F10" s="186"/>
      <c r="G10" s="186"/>
    </row>
    <row r="11" spans="2:7">
      <c r="B11" s="186" t="s">
        <v>442</v>
      </c>
      <c r="C11" s="186"/>
      <c r="F11" s="186"/>
      <c r="G11" s="186"/>
    </row>
    <row r="12" spans="2:7">
      <c r="B12" s="186" t="s">
        <v>443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2016-01-12T02:48:04Z</dcterms:modified>
</cp:coreProperties>
</file>
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Sheet1" sheetId="11" r:id="rId4"/>
    <sheet name="IOB" sheetId="9" r:id="rId5"/>
    <sheet name="BV calc" sheetId="8" r:id="rId6"/>
    <sheet name="Template" sheetId="12" r:id="rId7"/>
  </sheets>
  <calcPr calcId="145621"/>
</workbook>
</file>

<file path=xl/calcChain.xml><?xml version="1.0" encoding="utf-8"?>
<calcChain xmlns="http://schemas.openxmlformats.org/spreadsheetml/2006/main">
  <c r="C40" i="18" l="1"/>
  <c r="D40" i="18"/>
  <c r="E40" i="18"/>
  <c r="F40" i="18"/>
  <c r="G40" i="18"/>
  <c r="H40" i="18"/>
  <c r="I40" i="18"/>
  <c r="J40" i="18"/>
  <c r="K40" i="18"/>
  <c r="L40" i="18"/>
  <c r="M40" i="18"/>
  <c r="N40" i="18"/>
  <c r="O40" i="18"/>
  <c r="P32" i="18"/>
  <c r="O8" i="18"/>
  <c r="P46" i="18" l="1"/>
  <c r="P47" i="18"/>
  <c r="P48" i="18"/>
  <c r="P49" i="18"/>
  <c r="P50" i="18"/>
  <c r="P51" i="18"/>
  <c r="P45" i="18"/>
  <c r="P21" i="18"/>
  <c r="P18" i="18"/>
  <c r="P19" i="18"/>
  <c r="P16" i="18"/>
  <c r="P8" i="18"/>
  <c r="P9" i="18"/>
  <c r="P10" i="18"/>
  <c r="P11" i="18"/>
  <c r="P12" i="18"/>
  <c r="P13" i="18"/>
  <c r="P14" i="18"/>
  <c r="P7" i="18"/>
  <c r="P17" i="18"/>
  <c r="AB51" i="18"/>
  <c r="AB50" i="18"/>
  <c r="AB49" i="18"/>
  <c r="AB48" i="18"/>
  <c r="AB47" i="18"/>
  <c r="AB46" i="18"/>
  <c r="AB45" i="18"/>
  <c r="D32" i="18"/>
  <c r="E32" i="18"/>
  <c r="F32" i="18"/>
  <c r="G32" i="18"/>
  <c r="H32" i="18"/>
  <c r="I32" i="18"/>
  <c r="J32" i="18"/>
  <c r="K32" i="18"/>
  <c r="L32" i="18"/>
  <c r="M32" i="18"/>
  <c r="N32" i="18"/>
  <c r="O32" i="18"/>
  <c r="C32" i="18"/>
  <c r="D31" i="18"/>
  <c r="E31" i="18"/>
  <c r="F31" i="18"/>
  <c r="G31" i="18"/>
  <c r="H31" i="18"/>
  <c r="I31" i="18"/>
  <c r="J31" i="18"/>
  <c r="K31" i="18"/>
  <c r="L31" i="18"/>
  <c r="M31" i="18"/>
  <c r="N31" i="18"/>
  <c r="O31" i="18"/>
  <c r="R31" i="18" s="1"/>
  <c r="S31" i="18" s="1"/>
  <c r="T31" i="18" s="1"/>
  <c r="U31" i="18" s="1"/>
  <c r="V31" i="18" s="1"/>
  <c r="W31" i="18" s="1"/>
  <c r="X31" i="18" s="1"/>
  <c r="Y31" i="18" s="1"/>
  <c r="Z31" i="18" s="1"/>
  <c r="AA31" i="18" s="1"/>
  <c r="C31" i="18"/>
  <c r="AB31" i="18" l="1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P31" i="18"/>
  <c r="R61" i="18"/>
  <c r="C45" i="15"/>
  <c r="P23" i="18"/>
  <c r="R62" i="18" l="1"/>
  <c r="R49" i="18"/>
  <c r="S49" i="18" s="1"/>
  <c r="T49" i="18" s="1"/>
  <c r="U49" i="18" s="1"/>
  <c r="V49" i="18" s="1"/>
  <c r="W49" i="18" s="1"/>
  <c r="X49" i="18" s="1"/>
  <c r="Y49" i="18" s="1"/>
  <c r="Z49" i="18" s="1"/>
  <c r="AA49" i="18" s="1"/>
  <c r="P69" i="18"/>
  <c r="R69" i="18" s="1"/>
  <c r="S69" i="18" s="1"/>
  <c r="T69" i="18" s="1"/>
  <c r="U69" i="18" s="1"/>
  <c r="V69" i="18" s="1"/>
  <c r="W69" i="18" s="1"/>
  <c r="X69" i="18" s="1"/>
  <c r="Y69" i="18" s="1"/>
  <c r="Z69" i="18" s="1"/>
  <c r="AA69" i="18" s="1"/>
  <c r="AB69" i="18" s="1"/>
  <c r="F73" i="18"/>
  <c r="H73" i="18"/>
  <c r="C73" i="18"/>
  <c r="E72" i="18"/>
  <c r="J72" i="18"/>
  <c r="E71" i="18"/>
  <c r="J71" i="18"/>
  <c r="H70" i="18"/>
  <c r="C70" i="18"/>
  <c r="C26" i="18"/>
  <c r="D26" i="18"/>
  <c r="D70" i="18" s="1"/>
  <c r="E26" i="18"/>
  <c r="E70" i="18" s="1"/>
  <c r="F26" i="18"/>
  <c r="F70" i="18" s="1"/>
  <c r="G26" i="18"/>
  <c r="G70" i="18" s="1"/>
  <c r="H26" i="18"/>
  <c r="I26" i="18"/>
  <c r="I70" i="18" s="1"/>
  <c r="J26" i="18"/>
  <c r="J70" i="18" s="1"/>
  <c r="K26" i="18"/>
  <c r="K70" i="18" s="1"/>
  <c r="L26" i="18"/>
  <c r="M26" i="18"/>
  <c r="M70" i="18" s="1"/>
  <c r="N26" i="18"/>
  <c r="N70" i="18" s="1"/>
  <c r="O26" i="18"/>
  <c r="D38" i="18"/>
  <c r="D73" i="18" s="1"/>
  <c r="E38" i="18"/>
  <c r="E73" i="18" s="1"/>
  <c r="F38" i="18"/>
  <c r="G38" i="18"/>
  <c r="G73" i="18" s="1"/>
  <c r="H38" i="18"/>
  <c r="I38" i="18"/>
  <c r="I73" i="18" s="1"/>
  <c r="J38" i="18"/>
  <c r="J73" i="18" s="1"/>
  <c r="K38" i="18"/>
  <c r="K73" i="18" s="1"/>
  <c r="L38" i="18"/>
  <c r="L73" i="18" s="1"/>
  <c r="M38" i="18"/>
  <c r="M73" i="18" s="1"/>
  <c r="N38" i="18"/>
  <c r="N73" i="18" s="1"/>
  <c r="O38" i="18"/>
  <c r="D37" i="18"/>
  <c r="E37" i="18"/>
  <c r="F37" i="18"/>
  <c r="G37" i="18"/>
  <c r="H37" i="18"/>
  <c r="I37" i="18"/>
  <c r="J37" i="18"/>
  <c r="K37" i="18"/>
  <c r="L37" i="18"/>
  <c r="M37" i="18"/>
  <c r="N37" i="18"/>
  <c r="O37" i="18"/>
  <c r="H36" i="18"/>
  <c r="H72" i="18" s="1"/>
  <c r="D35" i="18"/>
  <c r="E35" i="18"/>
  <c r="F35" i="18"/>
  <c r="G35" i="18"/>
  <c r="H35" i="18"/>
  <c r="I35" i="18"/>
  <c r="J35" i="18"/>
  <c r="K35" i="18"/>
  <c r="L35" i="18"/>
  <c r="M35" i="18"/>
  <c r="N35" i="18"/>
  <c r="O35" i="18"/>
  <c r="P35" i="18" s="1"/>
  <c r="D34" i="18"/>
  <c r="D36" i="18" s="1"/>
  <c r="D72" i="18" s="1"/>
  <c r="E34" i="18"/>
  <c r="E36" i="18" s="1"/>
  <c r="F34" i="18"/>
  <c r="F36" i="18" s="1"/>
  <c r="F72" i="18" s="1"/>
  <c r="G34" i="18"/>
  <c r="G36" i="18" s="1"/>
  <c r="G72" i="18" s="1"/>
  <c r="H34" i="18"/>
  <c r="I34" i="18"/>
  <c r="I36" i="18" s="1"/>
  <c r="I72" i="18" s="1"/>
  <c r="J34" i="18"/>
  <c r="J36" i="18" s="1"/>
  <c r="K34" i="18"/>
  <c r="L34" i="18"/>
  <c r="M34" i="18"/>
  <c r="N34" i="18"/>
  <c r="O34" i="18"/>
  <c r="P34" i="18" s="1"/>
  <c r="D29" i="18"/>
  <c r="E29" i="18"/>
  <c r="F29" i="18"/>
  <c r="G29" i="18"/>
  <c r="H29" i="18"/>
  <c r="I29" i="18"/>
  <c r="J29" i="18"/>
  <c r="K29" i="18"/>
  <c r="L29" i="18"/>
  <c r="M29" i="18"/>
  <c r="N29" i="18"/>
  <c r="O29" i="18"/>
  <c r="P29" i="18" s="1"/>
  <c r="D28" i="18"/>
  <c r="D71" i="18" s="1"/>
  <c r="E28" i="18"/>
  <c r="F28" i="18"/>
  <c r="F71" i="18" s="1"/>
  <c r="G28" i="18"/>
  <c r="G71" i="18" s="1"/>
  <c r="H28" i="18"/>
  <c r="H71" i="18" s="1"/>
  <c r="I28" i="18"/>
  <c r="I71" i="18" s="1"/>
  <c r="J28" i="18"/>
  <c r="K28" i="18"/>
  <c r="K71" i="18" s="1"/>
  <c r="L28" i="18"/>
  <c r="L71" i="18" s="1"/>
  <c r="M28" i="18"/>
  <c r="M71" i="18" s="1"/>
  <c r="N28" i="18"/>
  <c r="N71" i="18" s="1"/>
  <c r="O28" i="18"/>
  <c r="P28" i="18" s="1"/>
  <c r="C38" i="18"/>
  <c r="C37" i="18"/>
  <c r="C35" i="18"/>
  <c r="C34" i="18"/>
  <c r="C36" i="18" s="1"/>
  <c r="C72" i="18" s="1"/>
  <c r="C29" i="18"/>
  <c r="C28" i="18"/>
  <c r="C71" i="18" s="1"/>
  <c r="D27" i="18"/>
  <c r="E27" i="18"/>
  <c r="F27" i="18"/>
  <c r="G27" i="18"/>
  <c r="H27" i="18"/>
  <c r="I27" i="18"/>
  <c r="J27" i="18"/>
  <c r="K27" i="18"/>
  <c r="L27" i="18"/>
  <c r="M27" i="18"/>
  <c r="N27" i="18"/>
  <c r="O27" i="18"/>
  <c r="C27" i="18"/>
  <c r="R13" i="18"/>
  <c r="S13" i="18" s="1"/>
  <c r="T13" i="18" s="1"/>
  <c r="U13" i="18" s="1"/>
  <c r="V13" i="18" s="1"/>
  <c r="W13" i="18" s="1"/>
  <c r="X13" i="18" s="1"/>
  <c r="Y13" i="18" s="1"/>
  <c r="Z13" i="18" s="1"/>
  <c r="AA13" i="18" s="1"/>
  <c r="AB13" i="18" s="1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R21" i="18"/>
  <c r="S21" i="18" s="1"/>
  <c r="T21" i="18" s="1"/>
  <c r="U21" i="18" s="1"/>
  <c r="V21" i="18" s="1"/>
  <c r="W21" i="18" s="1"/>
  <c r="X21" i="18" s="1"/>
  <c r="Y21" i="18" s="1"/>
  <c r="Z21" i="18" s="1"/>
  <c r="AA21" i="18" s="1"/>
  <c r="AB21" i="18" s="1"/>
  <c r="R10" i="18"/>
  <c r="S10" i="18" s="1"/>
  <c r="T10" i="18" s="1"/>
  <c r="U10" i="18" s="1"/>
  <c r="V10" i="18" s="1"/>
  <c r="W10" i="18" s="1"/>
  <c r="X10" i="18" s="1"/>
  <c r="Y10" i="18" s="1"/>
  <c r="Z10" i="18" s="1"/>
  <c r="AA10" i="18" s="1"/>
  <c r="AB10" i="18" s="1"/>
  <c r="R11" i="18"/>
  <c r="S11" i="18" s="1"/>
  <c r="T11" i="18" s="1"/>
  <c r="U11" i="18" s="1"/>
  <c r="V11" i="18" s="1"/>
  <c r="W11" i="18" s="1"/>
  <c r="X11" i="18" s="1"/>
  <c r="Y11" i="18" s="1"/>
  <c r="Z11" i="18" s="1"/>
  <c r="AA11" i="18" s="1"/>
  <c r="AB11" i="18" s="1"/>
  <c r="R12" i="18"/>
  <c r="S12" i="18" s="1"/>
  <c r="T12" i="18" s="1"/>
  <c r="U12" i="18" s="1"/>
  <c r="V12" i="18" s="1"/>
  <c r="W12" i="18" s="1"/>
  <c r="X12" i="18" s="1"/>
  <c r="Y12" i="18" s="1"/>
  <c r="Z12" i="18" s="1"/>
  <c r="AA12" i="18" s="1"/>
  <c r="AB12" i="18" s="1"/>
  <c r="R8" i="18"/>
  <c r="S8" i="18" s="1"/>
  <c r="T8" i="18" s="1"/>
  <c r="U8" i="18" s="1"/>
  <c r="V8" i="18" s="1"/>
  <c r="W8" i="18" s="1"/>
  <c r="X8" i="18" s="1"/>
  <c r="Y8" i="18" s="1"/>
  <c r="Z8" i="18" s="1"/>
  <c r="AA8" i="18" s="1"/>
  <c r="AB8" i="18" s="1"/>
  <c r="R7" i="18"/>
  <c r="S7" i="18" s="1"/>
  <c r="T7" i="18" s="1"/>
  <c r="U7" i="18" s="1"/>
  <c r="V7" i="18" s="1"/>
  <c r="W7" i="18" s="1"/>
  <c r="X7" i="18" s="1"/>
  <c r="Y7" i="18" s="1"/>
  <c r="Z7" i="18" s="1"/>
  <c r="AA7" i="18" s="1"/>
  <c r="AB7" i="18" s="1"/>
  <c r="L36" i="18" l="1"/>
  <c r="L72" i="18" s="1"/>
  <c r="K36" i="18"/>
  <c r="K72" i="18" s="1"/>
  <c r="P27" i="18"/>
  <c r="P37" i="18"/>
  <c r="P38" i="18"/>
  <c r="O70" i="18"/>
  <c r="P70" i="18" s="1"/>
  <c r="R70" i="18" s="1"/>
  <c r="S70" i="18" s="1"/>
  <c r="T70" i="18" s="1"/>
  <c r="U70" i="18" s="1"/>
  <c r="V70" i="18" s="1"/>
  <c r="W70" i="18" s="1"/>
  <c r="X70" i="18" s="1"/>
  <c r="Y70" i="18" s="1"/>
  <c r="Z70" i="18" s="1"/>
  <c r="AA70" i="18" s="1"/>
  <c r="AB70" i="18" s="1"/>
  <c r="P26" i="18"/>
  <c r="R37" i="18"/>
  <c r="S37" i="18" s="1"/>
  <c r="T37" i="18" s="1"/>
  <c r="U37" i="18" s="1"/>
  <c r="V37" i="18" s="1"/>
  <c r="W37" i="18" s="1"/>
  <c r="X37" i="18" s="1"/>
  <c r="Y37" i="18" s="1"/>
  <c r="Z37" i="18" s="1"/>
  <c r="AA37" i="18" s="1"/>
  <c r="AB37" i="18" s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R29" i="18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O71" i="18"/>
  <c r="R34" i="18"/>
  <c r="S34" i="18" s="1"/>
  <c r="T34" i="18" s="1"/>
  <c r="U34" i="18" s="1"/>
  <c r="V34" i="18" s="1"/>
  <c r="W34" i="18" s="1"/>
  <c r="X34" i="18" s="1"/>
  <c r="Y34" i="18" s="1"/>
  <c r="Z34" i="18" s="1"/>
  <c r="AA34" i="18" s="1"/>
  <c r="AB34" i="18" s="1"/>
  <c r="L70" i="18"/>
  <c r="N36" i="18"/>
  <c r="N72" i="18" s="1"/>
  <c r="R35" i="18"/>
  <c r="S35" i="18" s="1"/>
  <c r="T35" i="18" s="1"/>
  <c r="U35" i="18" s="1"/>
  <c r="V35" i="18" s="1"/>
  <c r="W35" i="18" s="1"/>
  <c r="X35" i="18" s="1"/>
  <c r="Y35" i="18" s="1"/>
  <c r="Z35" i="18" s="1"/>
  <c r="AA35" i="18" s="1"/>
  <c r="AB35" i="18" s="1"/>
  <c r="M36" i="18"/>
  <c r="M72" i="18" s="1"/>
  <c r="O73" i="18"/>
  <c r="P73" i="18" s="1"/>
  <c r="R73" i="18" s="1"/>
  <c r="S73" i="18" s="1"/>
  <c r="T73" i="18" s="1"/>
  <c r="U73" i="18" s="1"/>
  <c r="V73" i="18" s="1"/>
  <c r="W73" i="18" s="1"/>
  <c r="X73" i="18" s="1"/>
  <c r="Y73" i="18" s="1"/>
  <c r="Z73" i="18" s="1"/>
  <c r="AA73" i="18" s="1"/>
  <c r="AB73" i="18" s="1"/>
  <c r="P71" i="18"/>
  <c r="R71" i="18" s="1"/>
  <c r="S71" i="18" s="1"/>
  <c r="T71" i="18" s="1"/>
  <c r="U71" i="18" s="1"/>
  <c r="V71" i="18" s="1"/>
  <c r="W71" i="18" s="1"/>
  <c r="X71" i="18" s="1"/>
  <c r="Y71" i="18" s="1"/>
  <c r="Z71" i="18" s="1"/>
  <c r="AA71" i="18" s="1"/>
  <c r="AB71" i="18" s="1"/>
  <c r="O36" i="18"/>
  <c r="R50" i="18"/>
  <c r="S50" i="18" s="1"/>
  <c r="T50" i="18" s="1"/>
  <c r="U50" i="18" s="1"/>
  <c r="V50" i="18" s="1"/>
  <c r="W50" i="18" s="1"/>
  <c r="X50" i="18" s="1"/>
  <c r="Y50" i="18" s="1"/>
  <c r="Z50" i="18" s="1"/>
  <c r="AA50" i="18" s="1"/>
  <c r="R51" i="18"/>
  <c r="S51" i="18" s="1"/>
  <c r="T51" i="18" s="1"/>
  <c r="U51" i="18" s="1"/>
  <c r="V51" i="18" s="1"/>
  <c r="W51" i="18" s="1"/>
  <c r="X51" i="18" s="1"/>
  <c r="Y51" i="18" s="1"/>
  <c r="Z51" i="18" s="1"/>
  <c r="AA51" i="18" s="1"/>
  <c r="R23" i="18"/>
  <c r="S23" i="18" s="1"/>
  <c r="T23" i="18" s="1"/>
  <c r="U23" i="18" s="1"/>
  <c r="V23" i="18" s="1"/>
  <c r="W23" i="18" s="1"/>
  <c r="X23" i="18" s="1"/>
  <c r="Y23" i="18" s="1"/>
  <c r="Z23" i="18" s="1"/>
  <c r="AA23" i="18" s="1"/>
  <c r="AB23" i="18" s="1"/>
  <c r="C6" i="12"/>
  <c r="C25" i="15"/>
  <c r="C57" i="15"/>
  <c r="C56" i="15"/>
  <c r="C53" i="15"/>
  <c r="C52" i="15"/>
  <c r="C49" i="15"/>
  <c r="C48" i="15"/>
  <c r="C44" i="15"/>
  <c r="P36" i="18" l="1"/>
  <c r="O72" i="18"/>
  <c r="P72" i="18" s="1"/>
  <c r="R72" i="18" s="1"/>
  <c r="S72" i="18" s="1"/>
  <c r="T72" i="18" s="1"/>
  <c r="U72" i="18" s="1"/>
  <c r="V72" i="18" s="1"/>
  <c r="W72" i="18" s="1"/>
  <c r="X72" i="18" s="1"/>
  <c r="Y72" i="18" s="1"/>
  <c r="Z72" i="18" s="1"/>
  <c r="AA72" i="18" s="1"/>
  <c r="AB72" i="18" s="1"/>
  <c r="R36" i="18"/>
  <c r="S36" i="18" s="1"/>
  <c r="T36" i="18" s="1"/>
  <c r="U36" i="18" s="1"/>
  <c r="V36" i="18" s="1"/>
  <c r="W36" i="18" s="1"/>
  <c r="X36" i="18" s="1"/>
  <c r="Y36" i="18" s="1"/>
  <c r="Z36" i="18" s="1"/>
  <c r="AA36" i="18" s="1"/>
  <c r="AB36" i="18" s="1"/>
  <c r="R48" i="18"/>
  <c r="S48" i="18" s="1"/>
  <c r="T48" i="18" s="1"/>
  <c r="U48" i="18" s="1"/>
  <c r="V48" i="18" s="1"/>
  <c r="W48" i="18" s="1"/>
  <c r="X48" i="18" s="1"/>
  <c r="Y48" i="18" s="1"/>
  <c r="Z48" i="18" s="1"/>
  <c r="AA48" i="18" s="1"/>
  <c r="R28" i="18"/>
  <c r="S28" i="18" s="1"/>
  <c r="T28" i="18" s="1"/>
  <c r="U28" i="18" s="1"/>
  <c r="V28" i="18" s="1"/>
  <c r="W28" i="18" s="1"/>
  <c r="X28" i="18" s="1"/>
  <c r="Y28" i="18" s="1"/>
  <c r="Z28" i="18" s="1"/>
  <c r="AA28" i="18" s="1"/>
  <c r="AB28" i="18" s="1"/>
  <c r="R45" i="18"/>
  <c r="S45" i="18" s="1"/>
  <c r="T45" i="18" s="1"/>
  <c r="U45" i="18" s="1"/>
  <c r="V45" i="18" s="1"/>
  <c r="W45" i="18" s="1"/>
  <c r="X45" i="18" s="1"/>
  <c r="Y45" i="18" s="1"/>
  <c r="Z45" i="18" s="1"/>
  <c r="AA45" i="18" s="1"/>
  <c r="R26" i="18"/>
  <c r="S26" i="18" s="1"/>
  <c r="T26" i="18" s="1"/>
  <c r="U26" i="18" s="1"/>
  <c r="V26" i="18" s="1"/>
  <c r="W26" i="18" s="1"/>
  <c r="X26" i="18" s="1"/>
  <c r="Y26" i="18" s="1"/>
  <c r="Z26" i="18" s="1"/>
  <c r="AA26" i="18" s="1"/>
  <c r="AB26" i="18" s="1"/>
  <c r="R47" i="18"/>
  <c r="S47" i="18" s="1"/>
  <c r="T47" i="18" s="1"/>
  <c r="U47" i="18" s="1"/>
  <c r="V47" i="18" s="1"/>
  <c r="W47" i="18" s="1"/>
  <c r="X47" i="18" s="1"/>
  <c r="Y47" i="18" s="1"/>
  <c r="Z47" i="18" s="1"/>
  <c r="AA47" i="18" s="1"/>
  <c r="R46" i="18"/>
  <c r="S46" i="18" s="1"/>
  <c r="T46" i="18" s="1"/>
  <c r="U46" i="18" s="1"/>
  <c r="V46" i="18" s="1"/>
  <c r="W46" i="18" s="1"/>
  <c r="X46" i="18" s="1"/>
  <c r="Y46" i="18" s="1"/>
  <c r="Z46" i="18" s="1"/>
  <c r="AA46" i="18" s="1"/>
  <c r="R64" i="18"/>
  <c r="R27" i="18"/>
  <c r="S27" i="18" s="1"/>
  <c r="T27" i="18" s="1"/>
  <c r="U27" i="18" s="1"/>
  <c r="V27" i="18" s="1"/>
  <c r="W27" i="18" s="1"/>
  <c r="X27" i="18" s="1"/>
  <c r="Y27" i="18" s="1"/>
  <c r="Z27" i="18" s="1"/>
  <c r="AA27" i="18" s="1"/>
  <c r="AB27" i="18" s="1"/>
  <c r="C15" i="15"/>
  <c r="C20" i="15"/>
  <c r="C9" i="15"/>
  <c r="R55" i="18" l="1"/>
  <c r="R56" i="18"/>
  <c r="R66" i="18"/>
  <c r="R59" i="18"/>
  <c r="R58" i="18"/>
  <c r="R57" i="18"/>
  <c r="D31" i="8"/>
  <c r="D29" i="8"/>
  <c r="D28" i="8"/>
  <c r="D13" i="8"/>
  <c r="D30" i="8" s="1"/>
  <c r="E14" i="8"/>
  <c r="F14" i="8" s="1"/>
  <c r="G14" i="8" s="1"/>
  <c r="H14" i="8" s="1"/>
  <c r="I14" i="8" s="1"/>
  <c r="K37" i="12" l="1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G40" i="12" l="1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G39" i="11"/>
  <c r="K39" i="11" s="1"/>
  <c r="F39" i="1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42" i="9"/>
  <c r="O32" i="9"/>
  <c r="P32" i="9"/>
  <c r="P31" i="9"/>
  <c r="O31" i="9"/>
  <c r="N33" i="9"/>
  <c r="N34" i="9" s="1"/>
  <c r="N35" i="9" s="1"/>
  <c r="N36" i="9" s="1"/>
  <c r="N37" i="9" s="1"/>
  <c r="N38" i="9" s="1"/>
  <c r="N39" i="9" s="1"/>
  <c r="N40" i="9" s="1"/>
  <c r="N41" i="9" s="1"/>
  <c r="N32" i="9"/>
  <c r="N31" i="9"/>
  <c r="M34" i="9"/>
  <c r="M35" i="9"/>
  <c r="M36" i="9"/>
  <c r="M37" i="9"/>
  <c r="M38" i="9" s="1"/>
  <c r="M39" i="9" s="1"/>
  <c r="M40" i="9" s="1"/>
  <c r="M41" i="9" s="1"/>
  <c r="M33" i="9"/>
  <c r="M45" i="9"/>
  <c r="M32" i="9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P31" i="11" l="1"/>
  <c r="N32" i="11"/>
  <c r="T19" i="9"/>
  <c r="D22" i="9"/>
  <c r="N33" i="11" l="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N34" i="11" l="1"/>
  <c r="O33" i="11"/>
  <c r="D25" i="8"/>
  <c r="D23" i="8"/>
  <c r="N35" i="11" l="1"/>
  <c r="O34" i="11"/>
  <c r="D35" i="8"/>
  <c r="E5" i="8"/>
  <c r="E18" i="8" s="1"/>
  <c r="D18" i="8"/>
  <c r="D19" i="8"/>
  <c r="D21" i="8"/>
  <c r="D20" i="8"/>
  <c r="N36" i="11" l="1"/>
  <c r="O35" i="11"/>
  <c r="F5" i="8"/>
  <c r="G5" i="8" s="1"/>
  <c r="H5" i="8" s="1"/>
  <c r="I5" i="8" s="1"/>
  <c r="N37" i="11" l="1"/>
  <c r="O36" i="11"/>
  <c r="F18" i="8"/>
  <c r="G18" i="8"/>
  <c r="N38" i="11" l="1"/>
  <c r="O37" i="11"/>
  <c r="H18" i="8"/>
  <c r="N39" i="11" l="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<sst xmlns="http://schemas.openxmlformats.org/spreadsheetml/2006/main" count="423" uniqueCount="281">
  <si>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</si>
  <si>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</si>
  <si>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</si>
  <si>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</si>
  <si>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</si>
  <si>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</si>
  <si>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</si>
  <si>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</si>
  <si>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</si>
  <si>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</si>
  <si>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</si>
  <si>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</si>
  <si>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</si>
  <si>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</si>
  <si>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</si>
  <si>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</si>
  <si>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</si>
  <si>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</si>
  <si>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</si>
  <si>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</si>
  <si>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</si>
  <si>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</si>
  <si>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</si>
  <si>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</si>
  <si>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</si>
  <si>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</si>
  <si>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</si>
  <si>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</si>
  <si>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</si>
  <si>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</si>
  <si>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</si>
  <si>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</si>
  <si>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</si>
  <si>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</si>
  <si>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</si>
  <si>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</si>
  <si>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</si>
  <si>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</si>
  <si>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</si>
  <si>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</si>
  <si>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</si>
  <si>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</si>
  <si>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</si>
  <si>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</si>
  <si>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</si>
  <si>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</si>
  <si>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</si>
  <si>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</si>
  <si>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</si>
  <si>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</si>
  <si>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</si>
  <si>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</si>
  <si>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</si>
  <si>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</si>
  <si>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</si>
  <si>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</si>
  <si>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</si>
  <si>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</si>
  <si>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</si>
  <si>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</si>
  <si>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</si>
  <si>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</si>
  <si>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</si>
  <si>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</si>
  <si>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</si>
  <si>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</si>
  <si>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</si>
  <si>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</si>
  <si>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</si>
  <si>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</si>
  <si>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</si>
  <si>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</si>
  <si>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</si>
  <si>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</si>
  <si>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</si>
  <si>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</si>
  <si>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</si>
  <si>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</si>
  <si>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</si>
  <si>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</si>
  <si>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</si>
  <si>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</si>
  <si>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</si>
  <si>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</si>
  <si>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</si>
  <si>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</si>
  <si>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</si>
  <si>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</si>
  <si>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</si>
  <si>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</si>
  <si>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</si>
  <si>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</si>
  <si>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</si>
  <si>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</si>
  <si>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</si>
  <si>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</si>
  <si>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</si>
  <si>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</si>
  <si>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</si>
  <si>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</si>
  <si>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</si>
  <si>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</si>
  <si>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</si>
  <si>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</si>
  <si>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</si>
  <si>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</si>
  <si>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</si>
  <si>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</si>
  <si>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</si>
  <si>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</si>
  <si>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</si>
  <si>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</si>
  <si>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</si>
  <si>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</si>
  <si>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</si>
  <si>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</si>
  <si>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</si>
  <si>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</si>
  <si>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</si>
  <si>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</si>
  <si>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</si>
  <si>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</si>
  <si>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</si>
  <si>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</si>
  <si>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</si>
  <si>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</si>
  <si>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</si>
  <si>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</si>
  <si>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</si>
  <si>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</si>
  <si>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</si>
  <si>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</si>
  <si>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</si>
  <si>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</si>
  <si>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</si>
  <si>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</si>
  <si>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</si>
  <si>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</si>
  <si>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</si>
  <si>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</si>
  <si>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</si>
  <si>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</si>
  <si>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</si>
  <si>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</si>
  <si>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</si>
  <si>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</si>
  <si>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</si>
  <si>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</si>
  <si>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</si>
  <si>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</si>
  <si>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</si>
  <si>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</si>
  <si>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</si>
  <si>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</si>
  <si>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</si>
  <si>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</si>
  <si>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</si>
  <si>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</si>
  <si>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</si>
  <si>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</si>
  <si>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</si>
  <si>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</si>
  <si>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</si>
  <si>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</si>
  <si>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</si>
  <si>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</si>
  <si>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</si>
  <si>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</si>
  <si>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</si>
  <si>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</si>
  <si>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</si>
  <si>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</si>
  <si>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</si>
  <si>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</si>
  <si>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</si>
  <si>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</si>
  <si>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</si>
  <si>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</si>
  <si>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</si>
  <si>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</si>
  <si>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</si>
  <si>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</si>
  <si>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</si>
  <si>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</si>
  <si>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</si>
  <si>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</si>
  <si>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</si>
  <si>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</si>
  <si>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</si>
  <si>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</si>
  <si>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</si>
  <si>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</si>
  <si>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</si>
  <si>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</si>
  <si>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</si>
  <si>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</si>
  <si>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</si>
  <si>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</si>
  <si>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</si>
  <si>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</si>
  <si>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</si>
  <si>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</si>
  <si>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</si>
  <si>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</si>
  <si>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</si>
  <si>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</si>
  <si>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</si>
  <si>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</si>
  <si>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</si>
  <si>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</si>
  <si>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</si>
  <si>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</si>
  <si>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</si>
  <si>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</si>
  <si>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</si>
  <si>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</si>
  <si>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</si>
  <si>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</si>
  <si>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</si>
  <si>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</si>
  <si>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</si>
  <si>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</si>
  <si>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</si>
  <si>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</si>
  <si>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</si>
  <si>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</si>
  <si>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</si>
  <si>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</si>
  <si>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</si>
  <si>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</si>
  <si>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</si>
  <si>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</si>
  <si>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</si>
  <si>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</si>
  <si>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</si>
  <si>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</si>
  <si>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</si>
  <si>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</si>
  <si>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</si>
  <si>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</si>
  <si>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</si>
  <si>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</si>
  <si>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</si>
  <si>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</si>
  <si>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</si>
  <si>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</si>
  <si>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</si>
  <si>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</si>
  <si>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</si>
  <si>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</si>
  <si>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</si>
  <si>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</si>
  <si>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</si>
  <si>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</si>
  <si>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</si>
  <si>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</si>
  <si>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</si>
  <si>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</si>
  <si>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</si>
  <si>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</si>
  <si>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</si>
  <si>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</si>
  <si>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</si>
  <si>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DB Reality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</si>
  <si>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</si>
  <si>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</si>
  <si>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</si>
  <si>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</si>
  <si>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</si>
  <si>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</si>
  <si>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</si>
  <si>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Top Expenses ( Employee )</t>
  </si>
  <si>
    <t>2nd highest Expenses Comp. ( others )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</si>
  <si>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</si>
  <si>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</si>
  <si>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</si>
  <si>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</si>
  <si>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</si>
  <si>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</si>
  <si>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</si>
  <si>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Total Liability Coverage (TL/Net Profit) duration in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</si>
</sst>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" fontId="4" fillId="5" borderId="1" xfId="0" applyNumberFormat="1" applyFont="1" applyFill="1" applyBorder="1"/>
    <xf numFmtId="43" fontId="4" fillId="5" borderId="1" xfId="2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1">
                  <c:v>2.61</c:v>
                </c:pt>
                <c:pt idx="2">
                  <c:v>5.18</c:v>
                </c:pt>
                <c:pt idx="3">
                  <c:v>9.35</c:v>
                </c:pt>
                <c:pt idx="4">
                  <c:v>9.41</c:v>
                </c:pt>
                <c:pt idx="5">
                  <c:v>11.96</c:v>
                </c:pt>
                <c:pt idx="6">
                  <c:v>14.38</c:v>
                </c:pt>
                <c:pt idx="7">
                  <c:v>18.510000000000002</c:v>
                </c:pt>
                <c:pt idx="8">
                  <c:v>22.07</c:v>
                </c:pt>
                <c:pt idx="9">
                  <c:v>24.34</c:v>
                </c:pt>
                <c:pt idx="10">
                  <c:v>12.98</c:v>
                </c:pt>
                <c:pt idx="11">
                  <c:v>17.329999999999998</c:v>
                </c:pt>
                <c:pt idx="12">
                  <c:v>13.18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019712"/>
        <c:axId val="68021248"/>
      </c:lineChart>
      <c:catAx>
        <c:axId val="68019712"/>
        <c:scaling>
          <c:orientation val="minMax"/>
        </c:scaling>
        <c:delete val="0"/>
        <c:axPos val="b"/>
        <c:majorTickMark val="out"/>
        <c:minorTickMark val="none"/>
        <c:tickLblPos val="nextTo"/>
        <c:crossAx val="68021248"/>
        <c:crosses val="autoZero"/>
        <c:auto val="1"/>
        <c:lblAlgn val="ctr"/>
        <c:lblOffset val="100"/>
        <c:noMultiLvlLbl val="0"/>
      </c:catAx>
      <c:valAx>
        <c:axId val="68021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80197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3"/>
  <sheetViews>
    <sheetView topLeftCell="A34" zoomScale="80" zoomScaleNormal="80" workbookViewId="0">
      <selection activeCell="C70" sqref="C70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263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136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125</v>
      </c>
      <c r="D7" s="20"/>
      <c r="E7" s="20"/>
      <c r="F7" s="20"/>
      <c r="G7" s="20"/>
    </row>
    <row r="8" spans="2:7" x14ac:dyDescent="0.2">
      <c r="B8" s="20" t="s">
        <v>25</v>
      </c>
      <c r="C8" s="130">
        <v>136</v>
      </c>
      <c r="D8" s="20"/>
      <c r="E8" s="20"/>
      <c r="F8" s="20"/>
      <c r="G8" s="20"/>
    </row>
    <row r="9" spans="2:7" x14ac:dyDescent="0.2">
      <c r="B9" s="20" t="s">
        <v>100</v>
      </c>
      <c r="C9" s="110">
        <f>C7/C8</f>
        <v>0.91911764705882348</v>
      </c>
      <c r="D9" s="20" t="s">
        <v>270</v>
      </c>
      <c r="E9" s="20"/>
      <c r="F9" s="20"/>
      <c r="G9" s="20"/>
    </row>
    <row r="10" spans="2:7" x14ac:dyDescent="0.2">
      <c r="B10" s="20"/>
      <c r="C10" s="20"/>
      <c r="D10" s="20"/>
      <c r="E10" s="20"/>
      <c r="F10" s="20"/>
      <c r="G10" s="20"/>
    </row>
    <row r="11" spans="2:7" x14ac:dyDescent="0.2">
      <c r="B11" s="108" t="s">
        <v>101</v>
      </c>
      <c r="C11" s="20"/>
      <c r="D11" s="20"/>
      <c r="E11" s="20"/>
      <c r="F11" s="20"/>
      <c r="G11" s="20"/>
    </row>
    <row r="12" spans="2:7" x14ac:dyDescent="0.2">
      <c r="B12" s="20" t="s">
        <v>25</v>
      </c>
      <c r="C12" s="130">
        <v>136</v>
      </c>
      <c r="D12" s="20"/>
      <c r="E12" s="20"/>
      <c r="F12" s="20"/>
      <c r="G12" s="20"/>
    </row>
    <row r="13" spans="2:7" x14ac:dyDescent="0.2">
      <c r="B13" s="20" t="s">
        <v>102</v>
      </c>
      <c r="C13" s="130">
        <v>136</v>
      </c>
      <c r="D13" s="20"/>
      <c r="E13" s="20"/>
      <c r="F13" s="20"/>
      <c r="G13" s="20"/>
    </row>
    <row r="14" spans="2:7" x14ac:dyDescent="0.2">
      <c r="B14" s="20" t="s">
        <v>103</v>
      </c>
      <c r="C14" s="130">
        <v>100</v>
      </c>
      <c r="D14" s="20"/>
      <c r="E14" s="20"/>
      <c r="F14" s="20"/>
      <c r="G14" s="20"/>
    </row>
    <row r="15" spans="2:7" x14ac:dyDescent="0.2">
      <c r="B15" s="20" t="s">
        <v>104</v>
      </c>
      <c r="C15" s="20">
        <f>C14*C12</f>
        <v>13600</v>
      </c>
      <c r="D15" s="20" t="s">
        <v>270</v>
      </c>
      <c r="E15" s="20"/>
      <c r="F15" s="20"/>
      <c r="G15" s="20"/>
    </row>
    <row r="16" spans="2:7" x14ac:dyDescent="0.2">
      <c r="B16" s="20"/>
      <c r="C16" s="20"/>
      <c r="D16" s="20"/>
      <c r="E16" s="20"/>
      <c r="F16" s="20"/>
      <c r="G16" s="20"/>
    </row>
    <row r="17" spans="2:7" x14ac:dyDescent="0.2">
      <c r="B17" s="108" t="s">
        <v>112</v>
      </c>
      <c r="C17" s="20"/>
      <c r="D17" s="20"/>
      <c r="E17" s="20"/>
      <c r="F17" s="20"/>
      <c r="G17" s="20"/>
    </row>
    <row r="18" spans="2:7" x14ac:dyDescent="0.2">
      <c r="B18" s="20" t="s">
        <v>114</v>
      </c>
      <c r="C18" s="130">
        <v>136</v>
      </c>
      <c r="D18" s="20"/>
      <c r="E18" s="20"/>
      <c r="F18" s="20"/>
      <c r="G18" s="20"/>
    </row>
    <row r="19" spans="2:7" x14ac:dyDescent="0.2">
      <c r="B19" s="20" t="s">
        <v>115</v>
      </c>
      <c r="C19" s="111">
        <v>0.08</v>
      </c>
      <c r="D19" s="20"/>
      <c r="E19" s="20"/>
      <c r="F19" s="20"/>
      <c r="G19" s="20"/>
    </row>
    <row r="20" spans="2:7" x14ac:dyDescent="0.2">
      <c r="B20" s="20" t="s">
        <v>116</v>
      </c>
      <c r="C20" s="112">
        <f>C18/C19</f>
        <v>1700</v>
      </c>
      <c r="D20" s="20" t="s">
        <v>270</v>
      </c>
      <c r="E20" s="20"/>
      <c r="F20" s="20"/>
      <c r="G20" s="20"/>
    </row>
    <row r="21" spans="2:7" x14ac:dyDescent="0.2">
      <c r="B21" s="20"/>
      <c r="C21" s="20"/>
      <c r="D21" s="20"/>
      <c r="E21" s="20"/>
      <c r="F21" s="20"/>
      <c r="G21" s="20"/>
    </row>
    <row r="22" spans="2:7" x14ac:dyDescent="0.2">
      <c r="B22" s="108" t="s">
        <v>227</v>
      </c>
      <c r="C22" s="20"/>
      <c r="D22" s="20"/>
      <c r="E22" s="20"/>
      <c r="F22" s="20"/>
      <c r="G22" s="20"/>
    </row>
    <row r="23" spans="2:7" x14ac:dyDescent="0.2">
      <c r="B23" s="20" t="s">
        <v>99</v>
      </c>
      <c r="C23" s="130">
        <v>125</v>
      </c>
      <c r="D23" s="20"/>
      <c r="E23" s="20"/>
      <c r="F23" s="20"/>
      <c r="G23" s="20"/>
    </row>
    <row r="24" spans="2:7" x14ac:dyDescent="0.2">
      <c r="B24" s="20" t="s">
        <v>114</v>
      </c>
      <c r="C24" s="130">
        <v>136</v>
      </c>
      <c r="D24" s="20"/>
      <c r="E24" s="20"/>
      <c r="F24" s="20"/>
      <c r="G24" s="20"/>
    </row>
    <row r="25" spans="2:7" x14ac:dyDescent="0.2">
      <c r="B25" s="20" t="s">
        <v>228</v>
      </c>
      <c r="C25" s="20">
        <f>C23/C24</f>
        <v>0.91911764705882348</v>
      </c>
      <c r="D25" s="20"/>
      <c r="E25" s="20"/>
      <c r="F25" s="20"/>
      <c r="G25" s="20"/>
    </row>
    <row r="26" spans="2:7" x14ac:dyDescent="0.2">
      <c r="B26" s="20" t="s">
        <v>77</v>
      </c>
      <c r="C26" s="130">
        <v>136</v>
      </c>
      <c r="D26" s="20"/>
      <c r="E26" s="20"/>
      <c r="F26" s="20"/>
      <c r="G26" s="20"/>
    </row>
    <row r="27" spans="2:7" x14ac:dyDescent="0.2">
      <c r="B27" s="20" t="s">
        <v>229</v>
      </c>
      <c r="C27" s="131">
        <v>1</v>
      </c>
      <c r="D27" s="20"/>
      <c r="E27" s="20"/>
      <c r="F27" s="20"/>
      <c r="G27" s="20"/>
    </row>
    <row r="28" spans="2:7" x14ac:dyDescent="0.2">
      <c r="B28" s="20" t="s">
        <v>230</v>
      </c>
      <c r="C28" s="22">
        <v>139.13</v>
      </c>
      <c r="D28" s="20"/>
      <c r="E28" s="20"/>
      <c r="F28" s="20"/>
      <c r="G28" s="20"/>
    </row>
    <row r="29" spans="2:7" x14ac:dyDescent="0.2">
      <c r="B29" s="20" t="s">
        <v>231</v>
      </c>
      <c r="C29" s="132">
        <v>2.5499999999999998E-2</v>
      </c>
      <c r="D29" s="20"/>
      <c r="E29" s="20"/>
      <c r="F29" s="20"/>
      <c r="G29" s="20"/>
    </row>
    <row r="30" spans="2:7" x14ac:dyDescent="0.2">
      <c r="B30" s="20" t="s">
        <v>232</v>
      </c>
      <c r="C30" s="132">
        <v>3.1899999999999998E-2</v>
      </c>
      <c r="D30" s="20"/>
      <c r="E30" s="20"/>
      <c r="F30" s="20"/>
      <c r="G30" s="20"/>
    </row>
    <row r="31" spans="2:7" x14ac:dyDescent="0.2">
      <c r="B31" s="20" t="s">
        <v>233</v>
      </c>
      <c r="C31" s="132"/>
      <c r="D31" s="20"/>
      <c r="E31" s="20"/>
      <c r="F31" s="20"/>
      <c r="G31" s="20"/>
    </row>
    <row r="32" spans="2:7" x14ac:dyDescent="0.2">
      <c r="B32" s="20" t="s">
        <v>269</v>
      </c>
      <c r="C32" s="132">
        <v>3.44E-2</v>
      </c>
      <c r="D32" s="20"/>
      <c r="E32" s="20"/>
      <c r="F32" s="20"/>
      <c r="G32" s="20"/>
    </row>
    <row r="33" spans="2:7" x14ac:dyDescent="0.2">
      <c r="B33" s="20" t="s">
        <v>268</v>
      </c>
      <c r="C33" s="132">
        <v>0.1241</v>
      </c>
      <c r="D33" s="20"/>
      <c r="E33" s="20"/>
      <c r="F33" s="20"/>
      <c r="G33" s="20"/>
    </row>
    <row r="34" spans="2:7" x14ac:dyDescent="0.2">
      <c r="B34" s="20"/>
      <c r="C34" s="20"/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108" t="s">
        <v>187</v>
      </c>
      <c r="C36" s="20"/>
      <c r="D36" s="20"/>
      <c r="E36" s="20"/>
      <c r="F36" s="20"/>
      <c r="G36" s="20"/>
    </row>
    <row r="37" spans="2:7" x14ac:dyDescent="0.2">
      <c r="B37" s="20" t="s">
        <v>215</v>
      </c>
      <c r="C37" s="130">
        <v>3141.2</v>
      </c>
      <c r="D37" s="20"/>
      <c r="E37" s="20"/>
      <c r="F37" s="20"/>
      <c r="G37" s="20"/>
    </row>
    <row r="38" spans="2:7" x14ac:dyDescent="0.2">
      <c r="B38" s="20" t="s">
        <v>216</v>
      </c>
      <c r="C38" s="130">
        <v>3384.26</v>
      </c>
      <c r="D38" s="20"/>
      <c r="E38" s="20"/>
      <c r="F38" s="20"/>
      <c r="G38" s="20"/>
    </row>
    <row r="39" spans="2:7" x14ac:dyDescent="0.2">
      <c r="B39" s="20" t="s">
        <v>34</v>
      </c>
      <c r="C39" s="130">
        <v>92.03</v>
      </c>
      <c r="D39" s="20"/>
      <c r="E39" s="20"/>
      <c r="F39" s="20"/>
      <c r="G39" s="20"/>
    </row>
    <row r="40" spans="2:7" x14ac:dyDescent="0.2">
      <c r="B40" s="20" t="s">
        <v>217</v>
      </c>
      <c r="C40" s="130">
        <v>31.09</v>
      </c>
      <c r="D40" s="20"/>
      <c r="E40" s="20"/>
      <c r="F40" s="20"/>
      <c r="G40" s="20"/>
    </row>
    <row r="41" spans="2:7" x14ac:dyDescent="0.2">
      <c r="B41" s="20" t="s">
        <v>218</v>
      </c>
      <c r="C41" s="130">
        <v>1005.03</v>
      </c>
      <c r="D41" s="20"/>
      <c r="E41" s="20"/>
      <c r="F41" s="20"/>
      <c r="G41" s="20"/>
    </row>
    <row r="42" spans="2:7" x14ac:dyDescent="0.2">
      <c r="B42" s="20"/>
      <c r="C42" s="20"/>
      <c r="D42" s="20"/>
      <c r="E42" s="20"/>
      <c r="F42" s="20"/>
      <c r="G42" s="20"/>
    </row>
    <row r="43" spans="2:7" x14ac:dyDescent="0.2">
      <c r="B43" s="23" t="s">
        <v>212</v>
      </c>
      <c r="C43" s="130">
        <v>281.95</v>
      </c>
      <c r="D43" s="20"/>
      <c r="E43" s="20"/>
      <c r="F43" s="20"/>
      <c r="G43" s="20"/>
    </row>
    <row r="44" spans="2:7" x14ac:dyDescent="0.2">
      <c r="B44" s="20" t="s">
        <v>264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 x14ac:dyDescent="0.2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 x14ac:dyDescent="0.2">
      <c r="B46" s="20"/>
      <c r="C46" s="25"/>
      <c r="D46" s="20"/>
      <c r="E46" s="20"/>
      <c r="F46" s="20"/>
      <c r="G46" s="20"/>
    </row>
    <row r="47" spans="2:7" x14ac:dyDescent="0.2">
      <c r="B47" s="23" t="s">
        <v>213</v>
      </c>
      <c r="C47" s="130">
        <v>171.6</v>
      </c>
      <c r="D47" s="20"/>
      <c r="E47" s="20"/>
      <c r="F47" s="20"/>
      <c r="G47" s="20"/>
    </row>
    <row r="48" spans="2:7" x14ac:dyDescent="0.2">
      <c r="B48" s="20" t="s">
        <v>265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 x14ac:dyDescent="0.2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 x14ac:dyDescent="0.2">
      <c r="B50" s="20"/>
      <c r="C50" s="25"/>
      <c r="D50" s="20"/>
      <c r="E50" s="20"/>
      <c r="F50" s="20"/>
      <c r="G50" s="20"/>
    </row>
    <row r="51" spans="2:7" x14ac:dyDescent="0.2">
      <c r="B51" s="23" t="s">
        <v>214</v>
      </c>
      <c r="C51" s="130">
        <v>110.33</v>
      </c>
      <c r="D51" s="20"/>
      <c r="E51" s="20"/>
      <c r="F51" s="20"/>
      <c r="G51" s="20"/>
    </row>
    <row r="52" spans="2:7" x14ac:dyDescent="0.2">
      <c r="B52" s="20" t="s">
        <v>266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 x14ac:dyDescent="0.2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 x14ac:dyDescent="0.2">
      <c r="B54" s="20"/>
      <c r="C54" s="20"/>
      <c r="D54" s="20"/>
      <c r="E54" s="20"/>
      <c r="F54" s="20"/>
      <c r="G54" s="20"/>
    </row>
    <row r="55" spans="2:7" x14ac:dyDescent="0.2">
      <c r="B55" s="23" t="s">
        <v>219</v>
      </c>
      <c r="C55" s="130">
        <v>1320.99</v>
      </c>
      <c r="D55" s="20"/>
      <c r="E55" s="20"/>
      <c r="F55" s="20"/>
      <c r="G55" s="20"/>
    </row>
    <row r="56" spans="2:7" x14ac:dyDescent="0.2">
      <c r="B56" s="20" t="s">
        <v>267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 x14ac:dyDescent="0.2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 x14ac:dyDescent="0.2">
      <c r="B58" s="20"/>
      <c r="C58" s="20"/>
      <c r="D58" s="20"/>
      <c r="E58" s="20"/>
      <c r="F58" s="20"/>
      <c r="G58" s="20"/>
    </row>
    <row r="59" spans="2:7" x14ac:dyDescent="0.2">
      <c r="B59" s="20"/>
      <c r="C59" s="25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0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78"/>
  <sheetViews>
    <sheetView tabSelected="1" zoomScale="80" zoomScaleNormal="80" workbookViewId="0">
      <selection activeCell="L25" sqref="L25"/>
    </sheetView>
  </sheetViews>
  <sheetFormatPr defaultRowHeight="12.75" x14ac:dyDescent="0.2"/>
  <cols>
    <col min="1" max="1" width="4.7109375" style="104" customWidth="1"/>
    <col min="2" max="2" width="43" style="104" bestFit="1" customWidth="1"/>
    <col min="3" max="4" width="8.140625" style="104" bestFit="1" customWidth="1"/>
    <col min="5" max="14" width="8.7109375" style="104" bestFit="1" customWidth="1"/>
    <col min="15" max="15" width="9.42578125" style="104" bestFit="1" customWidth="1"/>
    <col min="16" max="16" width="9.85546875" style="104" bestFit="1" customWidth="1"/>
    <col min="17" max="17" width="10.5703125" style="104" bestFit="1" customWidth="1"/>
    <col min="18" max="18" width="12" style="104" bestFit="1" customWidth="1"/>
    <col min="19" max="16384" width="9.140625" style="104"/>
  </cols>
  <sheetData>
    <row r="2" spans="2:28" x14ac:dyDescent="0.2">
      <c r="B2" s="123" t="s">
        <v>241</v>
      </c>
      <c r="C2" s="124">
        <v>0.22</v>
      </c>
      <c r="F2" s="104" t="s">
        <v>252</v>
      </c>
      <c r="H2" s="126">
        <v>2008</v>
      </c>
    </row>
    <row r="3" spans="2:28" x14ac:dyDescent="0.2">
      <c r="C3" s="120"/>
      <c r="F3" s="104" t="s">
        <v>253</v>
      </c>
      <c r="H3" s="126">
        <v>2012</v>
      </c>
      <c r="R3" s="115" t="s">
        <v>11</v>
      </c>
      <c r="S3" s="115" t="s">
        <v>12</v>
      </c>
      <c r="T3" s="115" t="s">
        <v>13</v>
      </c>
      <c r="U3" s="115" t="s">
        <v>14</v>
      </c>
      <c r="V3" s="115" t="s">
        <v>15</v>
      </c>
      <c r="W3" s="115" t="s">
        <v>234</v>
      </c>
      <c r="X3" s="115" t="s">
        <v>235</v>
      </c>
      <c r="Y3" s="115" t="s">
        <v>236</v>
      </c>
      <c r="Z3" s="115" t="s">
        <v>237</v>
      </c>
      <c r="AA3" s="115" t="s">
        <v>238</v>
      </c>
    </row>
    <row r="4" spans="2:28" x14ac:dyDescent="0.2">
      <c r="B4" s="20"/>
      <c r="C4" s="114">
        <v>2000</v>
      </c>
      <c r="D4" s="114">
        <v>2001</v>
      </c>
      <c r="E4" s="114">
        <v>2002</v>
      </c>
      <c r="F4" s="114">
        <v>2003</v>
      </c>
      <c r="G4" s="114">
        <v>2004</v>
      </c>
      <c r="H4" s="114">
        <v>2005</v>
      </c>
      <c r="I4" s="114">
        <v>2006</v>
      </c>
      <c r="J4" s="114">
        <v>2007</v>
      </c>
      <c r="K4" s="114">
        <v>2008</v>
      </c>
      <c r="L4" s="114">
        <v>2009</v>
      </c>
      <c r="M4" s="114">
        <v>2010</v>
      </c>
      <c r="N4" s="114">
        <v>2011</v>
      </c>
      <c r="O4" s="114">
        <v>2012</v>
      </c>
      <c r="P4" s="116" t="s">
        <v>1</v>
      </c>
      <c r="Q4" s="116" t="s">
        <v>254</v>
      </c>
      <c r="R4" s="115">
        <v>2013</v>
      </c>
      <c r="S4" s="115">
        <v>2014</v>
      </c>
      <c r="T4" s="115">
        <v>2015</v>
      </c>
      <c r="U4" s="115">
        <v>2016</v>
      </c>
      <c r="V4" s="115">
        <v>2017</v>
      </c>
      <c r="W4" s="115">
        <v>2018</v>
      </c>
      <c r="X4" s="115">
        <v>2019</v>
      </c>
      <c r="Y4" s="115">
        <v>2020</v>
      </c>
      <c r="Z4" s="115">
        <v>2021</v>
      </c>
      <c r="AA4" s="115">
        <v>2022</v>
      </c>
      <c r="AB4" s="116" t="s">
        <v>1</v>
      </c>
    </row>
    <row r="5" spans="2:28" x14ac:dyDescent="0.2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20"/>
    </row>
    <row r="6" spans="2:28" x14ac:dyDescent="0.2">
      <c r="B6" s="108" t="s">
        <v>242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20"/>
    </row>
    <row r="7" spans="2:28" x14ac:dyDescent="0.2">
      <c r="B7" s="20" t="s">
        <v>16</v>
      </c>
      <c r="C7" s="20"/>
      <c r="D7" s="20"/>
      <c r="E7" s="20"/>
      <c r="F7" s="20"/>
      <c r="G7" s="20"/>
      <c r="H7" s="20"/>
      <c r="I7" s="20"/>
      <c r="J7" s="20"/>
      <c r="K7" s="20">
        <v>986</v>
      </c>
      <c r="L7" s="20">
        <v>1032</v>
      </c>
      <c r="M7" s="20">
        <v>1095</v>
      </c>
      <c r="N7" s="20">
        <v>1214</v>
      </c>
      <c r="O7" s="133">
        <v>1288.24</v>
      </c>
      <c r="P7" s="118">
        <f>((O7/N7)^(1/($H$3-$H$2) ))-1</f>
        <v>1.4949708786461402E-2</v>
      </c>
      <c r="Q7" s="31">
        <v>0.1</v>
      </c>
      <c r="R7" s="119">
        <f>O7*(1+$Q7)</f>
        <v>1417.0640000000001</v>
      </c>
      <c r="S7" s="119">
        <f>R7*(1+$Q7)</f>
        <v>1558.7704000000001</v>
      </c>
      <c r="T7" s="119">
        <f t="shared" ref="T7:AA7" si="0">S7*(1+$Q7)</f>
        <v>1714.6474400000002</v>
      </c>
      <c r="U7" s="119">
        <f t="shared" si="0"/>
        <v>1886.1121840000003</v>
      </c>
      <c r="V7" s="119">
        <f t="shared" si="0"/>
        <v>2074.7234024000004</v>
      </c>
      <c r="W7" s="119">
        <f t="shared" si="0"/>
        <v>2282.1957426400008</v>
      </c>
      <c r="X7" s="119">
        <f t="shared" si="0"/>
        <v>2510.415316904001</v>
      </c>
      <c r="Y7" s="119">
        <f t="shared" si="0"/>
        <v>2761.4568485944014</v>
      </c>
      <c r="Z7" s="119">
        <f t="shared" si="0"/>
        <v>3037.6025334538417</v>
      </c>
      <c r="AA7" s="119">
        <f t="shared" si="0"/>
        <v>3341.3627867992263</v>
      </c>
      <c r="AB7" s="118">
        <f>((AA7/N7)^(1/($AA$4-$H$2) ))-1</f>
        <v>7.4997603445184913E-2</v>
      </c>
    </row>
    <row r="8" spans="2:28" x14ac:dyDescent="0.2">
      <c r="B8" s="20" t="s">
        <v>240</v>
      </c>
      <c r="C8" s="20"/>
      <c r="D8" s="20"/>
      <c r="E8" s="20"/>
      <c r="F8" s="20"/>
      <c r="G8" s="20"/>
      <c r="H8" s="20"/>
      <c r="I8" s="20"/>
      <c r="J8" s="20"/>
      <c r="K8" s="20">
        <v>1137</v>
      </c>
      <c r="L8" s="20">
        <v>1184</v>
      </c>
      <c r="M8" s="20">
        <v>1246</v>
      </c>
      <c r="N8" s="20">
        <v>1365</v>
      </c>
      <c r="O8" s="133">
        <f>1288.24+151.25</f>
        <v>1439.49</v>
      </c>
      <c r="P8" s="118">
        <f t="shared" ref="P8:P16" si="1">((O8/N8)^(1/($H$3-$H$2) ))-1</f>
        <v>1.3372233046563542E-2</v>
      </c>
      <c r="Q8" s="31">
        <v>0.1</v>
      </c>
      <c r="R8" s="119">
        <f t="shared" ref="R8:R14" si="2">O8*(1+$Q8)</f>
        <v>1583.4390000000001</v>
      </c>
      <c r="S8" s="119">
        <f t="shared" ref="S8:AA8" si="3">R8*(1+$Q8)</f>
        <v>1741.7829000000002</v>
      </c>
      <c r="T8" s="119">
        <f t="shared" si="3"/>
        <v>1915.9611900000002</v>
      </c>
      <c r="U8" s="119">
        <f t="shared" si="3"/>
        <v>2107.5573090000003</v>
      </c>
      <c r="V8" s="119">
        <f t="shared" si="3"/>
        <v>2318.3130399000006</v>
      </c>
      <c r="W8" s="119">
        <f t="shared" si="3"/>
        <v>2550.144343890001</v>
      </c>
      <c r="X8" s="119">
        <f t="shared" si="3"/>
        <v>2805.1587782790011</v>
      </c>
      <c r="Y8" s="119">
        <f t="shared" si="3"/>
        <v>3085.6746561069017</v>
      </c>
      <c r="Z8" s="119">
        <f t="shared" si="3"/>
        <v>3394.242121717592</v>
      </c>
      <c r="AA8" s="119">
        <f t="shared" si="3"/>
        <v>3733.6663338893513</v>
      </c>
      <c r="AB8" s="118">
        <f>((AA8/N8)^(1/($AA$4-$H$2) ))-1</f>
        <v>7.4519965484552086E-2</v>
      </c>
    </row>
    <row r="9" spans="2:28" x14ac:dyDescent="0.2">
      <c r="B9" s="20" t="s">
        <v>273</v>
      </c>
      <c r="C9" s="20"/>
      <c r="D9" s="20"/>
      <c r="E9" s="20"/>
      <c r="F9" s="20"/>
      <c r="G9" s="20"/>
      <c r="H9" s="20"/>
      <c r="I9" s="20"/>
      <c r="J9" s="20"/>
      <c r="K9" s="20">
        <v>302.39999999999998</v>
      </c>
      <c r="L9" s="20">
        <v>404</v>
      </c>
      <c r="M9" s="20">
        <v>430.56</v>
      </c>
      <c r="N9" s="20">
        <v>416</v>
      </c>
      <c r="O9" s="133">
        <v>596</v>
      </c>
      <c r="P9" s="118">
        <f t="shared" si="1"/>
        <v>9.4052674853224438E-2</v>
      </c>
      <c r="Q9" s="31">
        <v>0.1</v>
      </c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8"/>
    </row>
    <row r="10" spans="2:28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0">
        <v>681</v>
      </c>
      <c r="L10" s="20">
        <v>840</v>
      </c>
      <c r="M10" s="20">
        <v>1064</v>
      </c>
      <c r="N10" s="20">
        <v>1114</v>
      </c>
      <c r="O10" s="133">
        <v>835</v>
      </c>
      <c r="P10" s="118">
        <f t="shared" si="1"/>
        <v>-6.9534400888196513E-2</v>
      </c>
      <c r="Q10" s="31">
        <v>0.1</v>
      </c>
      <c r="R10" s="119">
        <f t="shared" si="2"/>
        <v>918.50000000000011</v>
      </c>
      <c r="S10" s="119">
        <f t="shared" ref="S10:AA10" si="4">R10*(1+$Q10)</f>
        <v>1010.3500000000003</v>
      </c>
      <c r="T10" s="119">
        <f t="shared" si="4"/>
        <v>1111.3850000000004</v>
      </c>
      <c r="U10" s="119">
        <f t="shared" si="4"/>
        <v>1222.5235000000007</v>
      </c>
      <c r="V10" s="119">
        <f t="shared" si="4"/>
        <v>1344.7758500000009</v>
      </c>
      <c r="W10" s="119">
        <f t="shared" si="4"/>
        <v>1479.2534350000012</v>
      </c>
      <c r="X10" s="119">
        <f t="shared" si="4"/>
        <v>1627.1787785000015</v>
      </c>
      <c r="Y10" s="119">
        <f t="shared" si="4"/>
        <v>1789.8966563500019</v>
      </c>
      <c r="Z10" s="119">
        <f t="shared" si="4"/>
        <v>1968.8863219850023</v>
      </c>
      <c r="AA10" s="119">
        <f t="shared" si="4"/>
        <v>2165.7749541835028</v>
      </c>
      <c r="AB10" s="118">
        <f>((AA10/N10)^(1/($AA$4-$H$2) ))-1</f>
        <v>4.8632801186798913E-2</v>
      </c>
    </row>
    <row r="11" spans="2:28" x14ac:dyDescent="0.2">
      <c r="B11" s="20" t="s">
        <v>2</v>
      </c>
      <c r="C11" s="20"/>
      <c r="D11" s="20"/>
      <c r="E11" s="20"/>
      <c r="F11" s="20"/>
      <c r="G11" s="20"/>
      <c r="H11" s="20"/>
      <c r="I11" s="20"/>
      <c r="J11" s="20"/>
      <c r="K11" s="20">
        <v>1.97</v>
      </c>
      <c r="L11" s="20">
        <v>3.43</v>
      </c>
      <c r="M11" s="20">
        <v>1.55</v>
      </c>
      <c r="N11" s="20">
        <v>1.47</v>
      </c>
      <c r="O11" s="133">
        <v>50.5</v>
      </c>
      <c r="P11" s="118">
        <f t="shared" si="1"/>
        <v>1.4209928723849337</v>
      </c>
      <c r="Q11" s="31">
        <v>0.1</v>
      </c>
      <c r="R11" s="119">
        <f t="shared" si="2"/>
        <v>55.550000000000004</v>
      </c>
      <c r="S11" s="119">
        <f t="shared" ref="S11:AA11" si="5">R11*(1+$Q11)</f>
        <v>61.105000000000011</v>
      </c>
      <c r="T11" s="119">
        <f t="shared" si="5"/>
        <v>67.21550000000002</v>
      </c>
      <c r="U11" s="119">
        <f t="shared" si="5"/>
        <v>73.937050000000028</v>
      </c>
      <c r="V11" s="119">
        <f t="shared" si="5"/>
        <v>81.330755000000039</v>
      </c>
      <c r="W11" s="119">
        <f t="shared" si="5"/>
        <v>89.463830500000057</v>
      </c>
      <c r="X11" s="119">
        <f t="shared" si="5"/>
        <v>98.410213550000066</v>
      </c>
      <c r="Y11" s="119">
        <f t="shared" si="5"/>
        <v>108.25123490500008</v>
      </c>
      <c r="Z11" s="119">
        <f t="shared" si="5"/>
        <v>119.07635839550009</v>
      </c>
      <c r="AA11" s="119">
        <f t="shared" si="5"/>
        <v>130.98399423505012</v>
      </c>
      <c r="AB11" s="118">
        <f>((AA11/N11)^(1/($AA$4-$H$2) ))-1</f>
        <v>0.37809334467391742</v>
      </c>
    </row>
    <row r="12" spans="2:28" x14ac:dyDescent="0.2">
      <c r="B12" s="20" t="s">
        <v>218</v>
      </c>
      <c r="C12" s="20"/>
      <c r="D12" s="20"/>
      <c r="E12" s="20"/>
      <c r="F12" s="20"/>
      <c r="G12" s="20"/>
      <c r="H12" s="20"/>
      <c r="I12" s="20"/>
      <c r="J12" s="20"/>
      <c r="K12" s="20">
        <v>100.51</v>
      </c>
      <c r="L12" s="20">
        <v>62.21</v>
      </c>
      <c r="M12" s="20">
        <v>27.1</v>
      </c>
      <c r="N12" s="20">
        <v>29.81</v>
      </c>
      <c r="O12" s="133">
        <v>45.3</v>
      </c>
      <c r="P12" s="118">
        <f t="shared" si="1"/>
        <v>0.11028393643089229</v>
      </c>
      <c r="Q12" s="31">
        <v>0.1</v>
      </c>
      <c r="R12" s="119">
        <f t="shared" si="2"/>
        <v>49.83</v>
      </c>
      <c r="S12" s="119">
        <f t="shared" ref="S12:AA12" si="6">R12*(1+$Q12)</f>
        <v>54.813000000000002</v>
      </c>
      <c r="T12" s="119">
        <f t="shared" si="6"/>
        <v>60.294300000000007</v>
      </c>
      <c r="U12" s="119">
        <f t="shared" si="6"/>
        <v>66.323730000000012</v>
      </c>
      <c r="V12" s="119">
        <f t="shared" si="6"/>
        <v>72.956103000000013</v>
      </c>
      <c r="W12" s="119">
        <f t="shared" si="6"/>
        <v>80.25171330000002</v>
      </c>
      <c r="X12" s="119">
        <f t="shared" si="6"/>
        <v>88.276884630000026</v>
      </c>
      <c r="Y12" s="119">
        <f t="shared" si="6"/>
        <v>97.104573093000042</v>
      </c>
      <c r="Z12" s="119">
        <f t="shared" si="6"/>
        <v>106.81503040230005</v>
      </c>
      <c r="AA12" s="119">
        <f t="shared" si="6"/>
        <v>117.49653344253007</v>
      </c>
      <c r="AB12" s="118">
        <f>((AA12/N12)^(1/($AA$4-$H$2) ))-1</f>
        <v>0.10292850893299255</v>
      </c>
    </row>
    <row r="13" spans="2:28" x14ac:dyDescent="0.2">
      <c r="B13" s="20" t="s">
        <v>19</v>
      </c>
      <c r="C13" s="20"/>
      <c r="D13" s="20"/>
      <c r="E13" s="20"/>
      <c r="F13" s="20"/>
      <c r="G13" s="20"/>
      <c r="H13" s="20"/>
      <c r="I13" s="20"/>
      <c r="J13" s="20"/>
      <c r="K13" s="20">
        <v>253</v>
      </c>
      <c r="L13" s="20">
        <v>272</v>
      </c>
      <c r="M13" s="20">
        <v>242</v>
      </c>
      <c r="N13" s="20">
        <v>305</v>
      </c>
      <c r="O13" s="133">
        <v>387</v>
      </c>
      <c r="P13" s="118">
        <f t="shared" si="1"/>
        <v>6.1335721114801123E-2</v>
      </c>
      <c r="Q13" s="31">
        <v>0.1</v>
      </c>
      <c r="R13" s="119">
        <f t="shared" si="2"/>
        <v>425.70000000000005</v>
      </c>
      <c r="S13" s="119">
        <f t="shared" ref="S13:AA13" si="7">R13*(1+$Q13)</f>
        <v>468.2700000000001</v>
      </c>
      <c r="T13" s="119">
        <f t="shared" si="7"/>
        <v>515.09700000000009</v>
      </c>
      <c r="U13" s="119">
        <f t="shared" si="7"/>
        <v>566.60670000000016</v>
      </c>
      <c r="V13" s="119">
        <f t="shared" si="7"/>
        <v>623.26737000000026</v>
      </c>
      <c r="W13" s="119">
        <f t="shared" si="7"/>
        <v>685.59410700000035</v>
      </c>
      <c r="X13" s="119">
        <f t="shared" si="7"/>
        <v>754.15351770000041</v>
      </c>
      <c r="Y13" s="119">
        <f t="shared" si="7"/>
        <v>829.56886947000055</v>
      </c>
      <c r="Z13" s="119">
        <f t="shared" si="7"/>
        <v>912.52575641700071</v>
      </c>
      <c r="AA13" s="119">
        <f t="shared" si="7"/>
        <v>1003.7783320587008</v>
      </c>
      <c r="AB13" s="118">
        <f>((AA13/N13)^(1/($AA$4-$H$2) ))-1</f>
        <v>8.8811533680131616E-2</v>
      </c>
    </row>
    <row r="14" spans="2:28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0">
        <v>-7.28</v>
      </c>
      <c r="L14" s="20">
        <v>-148</v>
      </c>
      <c r="M14" s="20">
        <v>-212</v>
      </c>
      <c r="N14" s="133">
        <v>-92</v>
      </c>
      <c r="O14" s="133">
        <v>-219</v>
      </c>
      <c r="P14" s="118">
        <f t="shared" si="1"/>
        <v>0.24212147935380579</v>
      </c>
      <c r="Q14" s="31">
        <v>0.1</v>
      </c>
      <c r="R14" s="119">
        <f t="shared" si="2"/>
        <v>-240.9</v>
      </c>
      <c r="S14" s="119">
        <f t="shared" ref="S14:AA14" si="8">R14*(1+$Q14)</f>
        <v>-264.99</v>
      </c>
      <c r="T14" s="119">
        <f t="shared" si="8"/>
        <v>-291.48900000000003</v>
      </c>
      <c r="U14" s="119">
        <f t="shared" si="8"/>
        <v>-320.63790000000006</v>
      </c>
      <c r="V14" s="119">
        <f t="shared" si="8"/>
        <v>-352.7016900000001</v>
      </c>
      <c r="W14" s="119">
        <f t="shared" si="8"/>
        <v>-387.97185900000017</v>
      </c>
      <c r="X14" s="119">
        <f t="shared" si="8"/>
        <v>-426.76904490000021</v>
      </c>
      <c r="Y14" s="119">
        <f t="shared" si="8"/>
        <v>-469.44594939000029</v>
      </c>
      <c r="Z14" s="119">
        <f t="shared" si="8"/>
        <v>-516.39054432900036</v>
      </c>
      <c r="AA14" s="119">
        <f t="shared" si="8"/>
        <v>-568.0295987619005</v>
      </c>
      <c r="AB14" s="118">
        <f>((AA14/N14)^(1/($AA$4-$H$2) ))-1</f>
        <v>0.13885969753437943</v>
      </c>
    </row>
    <row r="15" spans="2:28" x14ac:dyDescent="0.2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128"/>
      <c r="Q15" s="128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8"/>
    </row>
    <row r="16" spans="2:28" x14ac:dyDescent="0.2">
      <c r="B16" s="20" t="s">
        <v>89</v>
      </c>
      <c r="C16" s="20"/>
      <c r="D16" s="20"/>
      <c r="E16" s="20"/>
      <c r="F16" s="20"/>
      <c r="G16" s="20"/>
      <c r="H16" s="20"/>
      <c r="I16" s="20"/>
      <c r="J16" s="20"/>
      <c r="K16" s="20">
        <v>961.93</v>
      </c>
      <c r="L16" s="20">
        <v>1169.6500000000001</v>
      </c>
      <c r="M16" s="20">
        <v>951.53</v>
      </c>
      <c r="N16" s="20">
        <v>1092</v>
      </c>
      <c r="O16" s="133">
        <v>1297</v>
      </c>
      <c r="P16" s="118">
        <f t="shared" si="1"/>
        <v>4.3949124553972041E-2</v>
      </c>
      <c r="Q16" s="31">
        <v>0.1</v>
      </c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8"/>
    </row>
    <row r="17" spans="2:28" x14ac:dyDescent="0.2">
      <c r="B17" s="20" t="s">
        <v>262</v>
      </c>
      <c r="C17" s="20"/>
      <c r="D17" s="20"/>
      <c r="E17" s="20"/>
      <c r="F17" s="20"/>
      <c r="G17" s="20"/>
      <c r="H17" s="20"/>
      <c r="I17" s="20"/>
      <c r="J17" s="20"/>
      <c r="K17" s="20">
        <v>687.45</v>
      </c>
      <c r="L17" s="20">
        <v>947</v>
      </c>
      <c r="M17" s="20">
        <v>724.1</v>
      </c>
      <c r="N17" s="20">
        <v>773.18</v>
      </c>
      <c r="O17" s="133">
        <v>865</v>
      </c>
      <c r="P17" s="118">
        <f>((O17/N17)^(1/($H$3-$H$2) ))-1</f>
        <v>2.8451637471835989E-2</v>
      </c>
      <c r="Q17" s="31">
        <v>0.1</v>
      </c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8"/>
    </row>
    <row r="18" spans="2:28" x14ac:dyDescent="0.2">
      <c r="B18" s="20" t="s">
        <v>271</v>
      </c>
      <c r="C18" s="20"/>
      <c r="D18" s="20"/>
      <c r="E18" s="20"/>
      <c r="F18" s="20"/>
      <c r="G18" s="20"/>
      <c r="H18" s="20"/>
      <c r="I18" s="20"/>
      <c r="J18" s="20"/>
      <c r="K18" s="20">
        <v>614.71</v>
      </c>
      <c r="L18" s="20">
        <v>874</v>
      </c>
      <c r="M18" s="20">
        <v>640</v>
      </c>
      <c r="N18" s="20">
        <v>658</v>
      </c>
      <c r="O18" s="133">
        <v>728</v>
      </c>
      <c r="P18" s="118">
        <f t="shared" ref="P18:P21" si="9">((O18/N18)^(1/($H$3-$H$2) ))-1</f>
        <v>2.5596125324952368E-2</v>
      </c>
      <c r="Q18" s="31">
        <v>0.1</v>
      </c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8"/>
    </row>
    <row r="19" spans="2:28" x14ac:dyDescent="0.2">
      <c r="B19" s="20" t="s">
        <v>272</v>
      </c>
      <c r="C19" s="20"/>
      <c r="D19" s="20"/>
      <c r="E19" s="20"/>
      <c r="F19" s="20"/>
      <c r="G19" s="20"/>
      <c r="H19" s="20"/>
      <c r="I19" s="20"/>
      <c r="J19" s="20"/>
      <c r="K19" s="20">
        <v>23.63</v>
      </c>
      <c r="L19" s="20">
        <v>23</v>
      </c>
      <c r="M19" s="20">
        <v>27</v>
      </c>
      <c r="N19" s="20">
        <v>49.12</v>
      </c>
      <c r="O19" s="133">
        <v>48</v>
      </c>
      <c r="P19" s="118">
        <f t="shared" si="9"/>
        <v>-5.7497249291780239E-3</v>
      </c>
      <c r="Q19" s="31">
        <v>0.1</v>
      </c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8"/>
    </row>
    <row r="20" spans="2:28" x14ac:dyDescent="0.2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128"/>
      <c r="Q20" s="128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8"/>
    </row>
    <row r="21" spans="2:28" x14ac:dyDescent="0.2">
      <c r="B21" s="20" t="s">
        <v>257</v>
      </c>
      <c r="C21" s="20"/>
      <c r="D21" s="20"/>
      <c r="E21" s="20"/>
      <c r="F21" s="20"/>
      <c r="G21" s="20"/>
      <c r="H21" s="20"/>
      <c r="I21" s="20"/>
      <c r="J21" s="20"/>
      <c r="K21" s="20">
        <v>102.29</v>
      </c>
      <c r="L21" s="20">
        <v>85.32</v>
      </c>
      <c r="M21" s="20">
        <v>107</v>
      </c>
      <c r="N21" s="20">
        <v>163</v>
      </c>
      <c r="O21" s="133">
        <v>118</v>
      </c>
      <c r="P21" s="118">
        <f t="shared" si="9"/>
        <v>-7.759085348973882E-2</v>
      </c>
      <c r="Q21" s="31">
        <v>0.1</v>
      </c>
      <c r="R21" s="119">
        <f>O21*(1+$Q21)</f>
        <v>129.80000000000001</v>
      </c>
      <c r="S21" s="119">
        <f t="shared" ref="S21:AA21" si="10">R21*(1+$Q21)</f>
        <v>142.78000000000003</v>
      </c>
      <c r="T21" s="119">
        <f t="shared" si="10"/>
        <v>157.05800000000005</v>
      </c>
      <c r="U21" s="119">
        <f t="shared" si="10"/>
        <v>172.76380000000006</v>
      </c>
      <c r="V21" s="119">
        <f t="shared" si="10"/>
        <v>190.04018000000008</v>
      </c>
      <c r="W21" s="119">
        <f t="shared" si="10"/>
        <v>209.04419800000011</v>
      </c>
      <c r="X21" s="119">
        <f t="shared" si="10"/>
        <v>229.94861780000014</v>
      </c>
      <c r="Y21" s="119">
        <f t="shared" si="10"/>
        <v>252.94347958000017</v>
      </c>
      <c r="Z21" s="119">
        <f t="shared" si="10"/>
        <v>278.2378275380002</v>
      </c>
      <c r="AA21" s="119">
        <f t="shared" si="10"/>
        <v>306.06161029180026</v>
      </c>
      <c r="AB21" s="118">
        <f>((AA21/N21)^(1/($AA$4-$H$2) ))-1</f>
        <v>4.6030566262902584E-2</v>
      </c>
    </row>
    <row r="22" spans="2:28" x14ac:dyDescent="0.2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128"/>
      <c r="Q22" s="128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8"/>
    </row>
    <row r="23" spans="2:28" x14ac:dyDescent="0.2">
      <c r="B23" s="20" t="s">
        <v>239</v>
      </c>
      <c r="C23" s="112">
        <v>15.12</v>
      </c>
      <c r="D23" s="112">
        <v>15.12</v>
      </c>
      <c r="E23" s="112">
        <v>15.12</v>
      </c>
      <c r="F23" s="112">
        <v>15.12</v>
      </c>
      <c r="G23" s="112">
        <v>15.12</v>
      </c>
      <c r="H23" s="112">
        <v>15.12</v>
      </c>
      <c r="I23" s="112">
        <v>15.12</v>
      </c>
      <c r="J23" s="112">
        <v>15.12</v>
      </c>
      <c r="K23" s="112">
        <v>15.12</v>
      </c>
      <c r="L23" s="112">
        <v>15.12</v>
      </c>
      <c r="M23" s="112">
        <v>15.12</v>
      </c>
      <c r="N23" s="112">
        <v>15.12</v>
      </c>
      <c r="O23" s="112">
        <v>15.12</v>
      </c>
      <c r="P23" s="118">
        <f t="shared" ref="P23" si="11">((O23/L23)^(1/($H$3-$H$2) ))-1</f>
        <v>0</v>
      </c>
      <c r="Q23" s="31">
        <v>0.1</v>
      </c>
      <c r="R23" s="119">
        <f t="shared" ref="R23" si="12">O23*(1+$Q23)</f>
        <v>16.632000000000001</v>
      </c>
      <c r="S23" s="119">
        <f t="shared" ref="S23:AA23" si="13">R23*(1+$Q23)</f>
        <v>18.295200000000005</v>
      </c>
      <c r="T23" s="119">
        <f t="shared" si="13"/>
        <v>20.124720000000007</v>
      </c>
      <c r="U23" s="119">
        <f t="shared" si="13"/>
        <v>22.13719200000001</v>
      </c>
      <c r="V23" s="119">
        <f t="shared" si="13"/>
        <v>24.350911200000013</v>
      </c>
      <c r="W23" s="119">
        <f t="shared" si="13"/>
        <v>26.786002320000016</v>
      </c>
      <c r="X23" s="119">
        <f t="shared" si="13"/>
        <v>29.46460255200002</v>
      </c>
      <c r="Y23" s="119">
        <f t="shared" si="13"/>
        <v>32.411062807200025</v>
      </c>
      <c r="Z23" s="119">
        <f t="shared" si="13"/>
        <v>35.652169087920029</v>
      </c>
      <c r="AA23" s="119">
        <f t="shared" si="13"/>
        <v>39.217385996712032</v>
      </c>
      <c r="AB23" s="118">
        <f>((AA23/N23)^(1/($AA$4-$H$2) ))-1</f>
        <v>7.0449549393779565E-2</v>
      </c>
    </row>
    <row r="24" spans="2:28" x14ac:dyDescent="0.2">
      <c r="B24" s="20"/>
      <c r="C24" s="20"/>
      <c r="D24" s="20"/>
      <c r="E24" s="127"/>
      <c r="F24" s="127"/>
      <c r="G24" s="127"/>
      <c r="H24" s="20"/>
      <c r="I24" s="20"/>
      <c r="J24" s="20"/>
      <c r="K24" s="20"/>
      <c r="L24" s="20"/>
      <c r="M24" s="20"/>
      <c r="N24" s="20"/>
      <c r="O24" s="20"/>
      <c r="P24" s="128"/>
      <c r="Q24" s="128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8"/>
    </row>
    <row r="25" spans="2:28" x14ac:dyDescent="0.2">
      <c r="B25" s="108" t="s">
        <v>243</v>
      </c>
      <c r="C25" s="20"/>
      <c r="D25" s="20"/>
      <c r="E25" s="127"/>
      <c r="F25" s="127"/>
      <c r="G25" s="127"/>
      <c r="H25" s="20"/>
      <c r="I25" s="20"/>
      <c r="J25" s="20"/>
      <c r="K25" s="20"/>
      <c r="L25" s="20"/>
      <c r="M25" s="20"/>
      <c r="N25" s="20"/>
      <c r="O25" s="20"/>
      <c r="P25" s="128"/>
      <c r="Q25" s="128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8"/>
    </row>
    <row r="26" spans="2:28" x14ac:dyDescent="0.2">
      <c r="B26" s="20" t="s">
        <v>258</v>
      </c>
      <c r="C26" s="25">
        <f t="shared" ref="C26:M26" si="14">C21/C23</f>
        <v>0</v>
      </c>
      <c r="D26" s="25">
        <f t="shared" si="14"/>
        <v>0</v>
      </c>
      <c r="E26" s="25">
        <f t="shared" si="14"/>
        <v>0</v>
      </c>
      <c r="F26" s="25">
        <f t="shared" si="14"/>
        <v>0</v>
      </c>
      <c r="G26" s="25">
        <f t="shared" si="14"/>
        <v>0</v>
      </c>
      <c r="H26" s="25">
        <f t="shared" si="14"/>
        <v>0</v>
      </c>
      <c r="I26" s="25">
        <f t="shared" si="14"/>
        <v>0</v>
      </c>
      <c r="J26" s="25">
        <f t="shared" si="14"/>
        <v>0</v>
      </c>
      <c r="K26" s="25">
        <f t="shared" si="14"/>
        <v>6.7652116402116409</v>
      </c>
      <c r="L26" s="25">
        <f t="shared" si="14"/>
        <v>5.6428571428571423</v>
      </c>
      <c r="M26" s="25">
        <f t="shared" si="14"/>
        <v>7.0767195767195767</v>
      </c>
      <c r="N26" s="25">
        <f>N21/N23</f>
        <v>10.780423280423282</v>
      </c>
      <c r="O26" s="25">
        <f>O21/O23</f>
        <v>7.8042328042328046</v>
      </c>
      <c r="P26" s="118">
        <f t="shared" ref="P26:P38" si="15">((O26/N26)^(1/($H$3-$H$2) ))-1</f>
        <v>-7.759085348973882E-2</v>
      </c>
      <c r="Q26" s="31">
        <v>0.1</v>
      </c>
      <c r="R26" s="119">
        <f t="shared" ref="R26:R29" si="16">O26*(1+$Q26)</f>
        <v>8.5846560846560855</v>
      </c>
      <c r="S26" s="119">
        <f t="shared" ref="S26:AA29" si="17">R26*(1+$Q26)</f>
        <v>9.4431216931216948</v>
      </c>
      <c r="T26" s="119">
        <f t="shared" si="17"/>
        <v>10.387433862433864</v>
      </c>
      <c r="U26" s="119">
        <f t="shared" si="17"/>
        <v>11.426177248677252</v>
      </c>
      <c r="V26" s="119">
        <f t="shared" si="17"/>
        <v>12.568794973544978</v>
      </c>
      <c r="W26" s="119">
        <f t="shared" si="17"/>
        <v>13.825674470899477</v>
      </c>
      <c r="X26" s="119">
        <f t="shared" si="17"/>
        <v>15.208241917989426</v>
      </c>
      <c r="Y26" s="119">
        <f t="shared" si="17"/>
        <v>16.72906610978837</v>
      </c>
      <c r="Z26" s="119">
        <f t="shared" si="17"/>
        <v>18.401972720767208</v>
      </c>
      <c r="AA26" s="119">
        <f t="shared" si="17"/>
        <v>20.24216999284393</v>
      </c>
      <c r="AB26" s="118">
        <f>((AA26/N26)^(1/($AA$4-$H$2) ))-1</f>
        <v>4.6030566262902584E-2</v>
      </c>
    </row>
    <row r="27" spans="2:28" x14ac:dyDescent="0.2">
      <c r="B27" s="20" t="s">
        <v>245</v>
      </c>
      <c r="C27" s="25">
        <f t="shared" ref="C27:O27" si="18">C8/C23</f>
        <v>0</v>
      </c>
      <c r="D27" s="25">
        <f t="shared" si="18"/>
        <v>0</v>
      </c>
      <c r="E27" s="25">
        <f t="shared" si="18"/>
        <v>0</v>
      </c>
      <c r="F27" s="25">
        <f t="shared" si="18"/>
        <v>0</v>
      </c>
      <c r="G27" s="25">
        <f t="shared" si="18"/>
        <v>0</v>
      </c>
      <c r="H27" s="25">
        <f t="shared" si="18"/>
        <v>0</v>
      </c>
      <c r="I27" s="25">
        <f t="shared" si="18"/>
        <v>0</v>
      </c>
      <c r="J27" s="25">
        <f t="shared" si="18"/>
        <v>0</v>
      </c>
      <c r="K27" s="25">
        <f t="shared" si="18"/>
        <v>75.198412698412696</v>
      </c>
      <c r="L27" s="25">
        <f t="shared" si="18"/>
        <v>78.306878306878318</v>
      </c>
      <c r="M27" s="25">
        <f t="shared" si="18"/>
        <v>82.407407407407405</v>
      </c>
      <c r="N27" s="25">
        <f t="shared" si="18"/>
        <v>90.277777777777786</v>
      </c>
      <c r="O27" s="25">
        <f t="shared" si="18"/>
        <v>95.20436507936509</v>
      </c>
      <c r="P27" s="118">
        <f t="shared" si="15"/>
        <v>1.3372233046563542E-2</v>
      </c>
      <c r="Q27" s="31">
        <v>-0.2</v>
      </c>
      <c r="R27" s="119">
        <f t="shared" si="16"/>
        <v>76.163492063492072</v>
      </c>
      <c r="S27" s="119">
        <f t="shared" si="17"/>
        <v>60.93079365079366</v>
      </c>
      <c r="T27" s="119">
        <f t="shared" si="17"/>
        <v>48.74463492063493</v>
      </c>
      <c r="U27" s="119">
        <f t="shared" si="17"/>
        <v>38.995707936507948</v>
      </c>
      <c r="V27" s="119">
        <f t="shared" si="17"/>
        <v>31.196566349206361</v>
      </c>
      <c r="W27" s="119">
        <f t="shared" si="17"/>
        <v>24.957253079365088</v>
      </c>
      <c r="X27" s="119">
        <f t="shared" si="17"/>
        <v>19.965802463492071</v>
      </c>
      <c r="Y27" s="119">
        <f t="shared" si="17"/>
        <v>15.972641970793658</v>
      </c>
      <c r="Z27" s="119">
        <f t="shared" si="17"/>
        <v>12.778113576634928</v>
      </c>
      <c r="AA27" s="119">
        <f t="shared" si="17"/>
        <v>10.222490861307943</v>
      </c>
      <c r="AB27" s="118">
        <f>((AA27/N27)^(1/($AA$4-$H$2) ))-1</f>
        <v>-0.14409246855218605</v>
      </c>
    </row>
    <row r="28" spans="2:28" x14ac:dyDescent="0.2">
      <c r="B28" s="20" t="s">
        <v>246</v>
      </c>
      <c r="C28" s="127">
        <f t="shared" ref="C28:O28" si="19">C7/C23</f>
        <v>0</v>
      </c>
      <c r="D28" s="127">
        <f t="shared" si="19"/>
        <v>0</v>
      </c>
      <c r="E28" s="127">
        <f t="shared" si="19"/>
        <v>0</v>
      </c>
      <c r="F28" s="127">
        <f t="shared" si="19"/>
        <v>0</v>
      </c>
      <c r="G28" s="127">
        <f t="shared" si="19"/>
        <v>0</v>
      </c>
      <c r="H28" s="127">
        <f t="shared" si="19"/>
        <v>0</v>
      </c>
      <c r="I28" s="127">
        <f t="shared" si="19"/>
        <v>0</v>
      </c>
      <c r="J28" s="127">
        <f t="shared" si="19"/>
        <v>0</v>
      </c>
      <c r="K28" s="127">
        <f t="shared" si="19"/>
        <v>65.211640211640216</v>
      </c>
      <c r="L28" s="127">
        <f t="shared" si="19"/>
        <v>68.253968253968253</v>
      </c>
      <c r="M28" s="127">
        <f t="shared" si="19"/>
        <v>72.420634920634924</v>
      </c>
      <c r="N28" s="127">
        <f t="shared" si="19"/>
        <v>80.291005291005291</v>
      </c>
      <c r="O28" s="127">
        <f t="shared" si="19"/>
        <v>85.201058201058203</v>
      </c>
      <c r="P28" s="118">
        <f t="shared" si="15"/>
        <v>1.4949708786461402E-2</v>
      </c>
      <c r="Q28" s="31">
        <v>0.1</v>
      </c>
      <c r="R28" s="119">
        <f t="shared" si="16"/>
        <v>93.721164021164029</v>
      </c>
      <c r="S28" s="119">
        <f t="shared" si="17"/>
        <v>103.09328042328043</v>
      </c>
      <c r="T28" s="119">
        <f t="shared" si="17"/>
        <v>113.40260846560848</v>
      </c>
      <c r="U28" s="119">
        <f t="shared" si="17"/>
        <v>124.74286931216933</v>
      </c>
      <c r="V28" s="119">
        <f t="shared" si="17"/>
        <v>137.21715624338628</v>
      </c>
      <c r="W28" s="119">
        <f t="shared" si="17"/>
        <v>150.93887186772491</v>
      </c>
      <c r="X28" s="119">
        <f t="shared" si="17"/>
        <v>166.0327590544974</v>
      </c>
      <c r="Y28" s="119">
        <f t="shared" si="17"/>
        <v>182.63603495994715</v>
      </c>
      <c r="Z28" s="119">
        <f t="shared" si="17"/>
        <v>200.8996384559419</v>
      </c>
      <c r="AA28" s="119">
        <f t="shared" si="17"/>
        <v>220.98960230153611</v>
      </c>
      <c r="AB28" s="118">
        <f>((AA28/N28)^(1/($AA$4-$H$2) ))-1</f>
        <v>7.4997603445184913E-2</v>
      </c>
    </row>
    <row r="29" spans="2:28" x14ac:dyDescent="0.2">
      <c r="B29" s="20" t="s">
        <v>247</v>
      </c>
      <c r="C29" s="127">
        <f t="shared" ref="C29:O29" si="20">C10/C23</f>
        <v>0</v>
      </c>
      <c r="D29" s="127">
        <f t="shared" si="20"/>
        <v>0</v>
      </c>
      <c r="E29" s="127">
        <f t="shared" si="20"/>
        <v>0</v>
      </c>
      <c r="F29" s="127">
        <f t="shared" si="20"/>
        <v>0</v>
      </c>
      <c r="G29" s="127">
        <f t="shared" si="20"/>
        <v>0</v>
      </c>
      <c r="H29" s="127">
        <f t="shared" si="20"/>
        <v>0</v>
      </c>
      <c r="I29" s="127">
        <f t="shared" si="20"/>
        <v>0</v>
      </c>
      <c r="J29" s="127">
        <f t="shared" si="20"/>
        <v>0</v>
      </c>
      <c r="K29" s="127">
        <f t="shared" si="20"/>
        <v>45.039682539682545</v>
      </c>
      <c r="L29" s="127">
        <f t="shared" si="20"/>
        <v>55.555555555555557</v>
      </c>
      <c r="M29" s="127">
        <f t="shared" si="20"/>
        <v>70.370370370370381</v>
      </c>
      <c r="N29" s="134">
        <f t="shared" si="20"/>
        <v>73.677248677248684</v>
      </c>
      <c r="O29" s="134">
        <f t="shared" si="20"/>
        <v>55.224867724867728</v>
      </c>
      <c r="P29" s="118">
        <f t="shared" si="15"/>
        <v>-6.9534400888196513E-2</v>
      </c>
      <c r="Q29" s="31">
        <v>0.1</v>
      </c>
      <c r="R29" s="119">
        <f t="shared" si="16"/>
        <v>60.747354497354507</v>
      </c>
      <c r="S29" s="119">
        <f t="shared" si="17"/>
        <v>66.822089947089964</v>
      </c>
      <c r="T29" s="119">
        <f t="shared" si="17"/>
        <v>73.504298941798965</v>
      </c>
      <c r="U29" s="119">
        <f t="shared" si="17"/>
        <v>80.854728835978861</v>
      </c>
      <c r="V29" s="119">
        <f t="shared" si="17"/>
        <v>88.940201719576748</v>
      </c>
      <c r="W29" s="119">
        <f t="shared" si="17"/>
        <v>97.834221891534426</v>
      </c>
      <c r="X29" s="119">
        <f t="shared" si="17"/>
        <v>107.61764408068788</v>
      </c>
      <c r="Y29" s="119">
        <f t="shared" si="17"/>
        <v>118.37940848875668</v>
      </c>
      <c r="Z29" s="119">
        <f t="shared" si="17"/>
        <v>130.21734933763236</v>
      </c>
      <c r="AA29" s="119">
        <f t="shared" si="17"/>
        <v>143.2390842713956</v>
      </c>
      <c r="AB29" s="118">
        <f>((AA29/N29)^(1/($AA$4-$H$2) ))-1</f>
        <v>4.8632801186798913E-2</v>
      </c>
    </row>
    <row r="30" spans="2:28" x14ac:dyDescent="0.2">
      <c r="B30" s="20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8"/>
      <c r="Q30" s="128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8"/>
    </row>
    <row r="31" spans="2:28" x14ac:dyDescent="0.2">
      <c r="B31" s="20" t="s">
        <v>274</v>
      </c>
      <c r="C31" s="127">
        <f>(C8-C10)/C23</f>
        <v>0</v>
      </c>
      <c r="D31" s="127">
        <f t="shared" ref="D31:O31" si="21">(D8-D10)/D23</f>
        <v>0</v>
      </c>
      <c r="E31" s="127">
        <f t="shared" si="21"/>
        <v>0</v>
      </c>
      <c r="F31" s="127">
        <f t="shared" si="21"/>
        <v>0</v>
      </c>
      <c r="G31" s="127">
        <f t="shared" si="21"/>
        <v>0</v>
      </c>
      <c r="H31" s="127">
        <f t="shared" si="21"/>
        <v>0</v>
      </c>
      <c r="I31" s="127">
        <f t="shared" si="21"/>
        <v>0</v>
      </c>
      <c r="J31" s="127">
        <f t="shared" si="21"/>
        <v>0</v>
      </c>
      <c r="K31" s="127">
        <f t="shared" si="21"/>
        <v>30.158730158730162</v>
      </c>
      <c r="L31" s="127">
        <f t="shared" si="21"/>
        <v>22.751322751322753</v>
      </c>
      <c r="M31" s="127">
        <f t="shared" si="21"/>
        <v>12.037037037037038</v>
      </c>
      <c r="N31" s="127">
        <f t="shared" si="21"/>
        <v>16.600529100529101</v>
      </c>
      <c r="O31" s="127">
        <f t="shared" si="21"/>
        <v>39.979497354497354</v>
      </c>
      <c r="P31" s="118">
        <f t="shared" si="15"/>
        <v>0.24574413112099158</v>
      </c>
      <c r="Q31" s="31">
        <v>0.1</v>
      </c>
      <c r="R31" s="119">
        <f t="shared" ref="R31" si="22">O31*(1+$Q31)</f>
        <v>43.977447089947091</v>
      </c>
      <c r="S31" s="119">
        <f t="shared" ref="S31" si="23">R31*(1+$Q31)</f>
        <v>48.375191798941806</v>
      </c>
      <c r="T31" s="119">
        <f t="shared" ref="T31" si="24">S31*(1+$Q31)</f>
        <v>53.212710978835993</v>
      </c>
      <c r="U31" s="119">
        <f t="shared" ref="U31" si="25">T31*(1+$Q31)</f>
        <v>58.533982076719596</v>
      </c>
      <c r="V31" s="119">
        <f t="shared" ref="V31" si="26">U31*(1+$Q31)</f>
        <v>64.387380284391554</v>
      </c>
      <c r="W31" s="119">
        <f t="shared" ref="W31" si="27">V31*(1+$Q31)</f>
        <v>70.826118312830715</v>
      </c>
      <c r="X31" s="119">
        <f t="shared" ref="X31" si="28">W31*(1+$Q31)</f>
        <v>77.90873014411379</v>
      </c>
      <c r="Y31" s="119">
        <f t="shared" ref="Y31" si="29">X31*(1+$Q31)</f>
        <v>85.699603158525179</v>
      </c>
      <c r="Z31" s="119">
        <f t="shared" ref="Z31" si="30">Y31*(1+$Q31)</f>
        <v>94.269563474377705</v>
      </c>
      <c r="AA31" s="119">
        <f t="shared" ref="AA31" si="31">Z31*(1+$Q31)</f>
        <v>103.69651982181549</v>
      </c>
      <c r="AB31" s="118">
        <f>((AA31/N31)^(1/($AA$4-$H$2) ))-1</f>
        <v>0.13980770738375159</v>
      </c>
    </row>
    <row r="32" spans="2:28" x14ac:dyDescent="0.2">
      <c r="B32" s="20" t="s">
        <v>275</v>
      </c>
      <c r="C32" s="127">
        <f>(C8-C10-C9)/C23</f>
        <v>0</v>
      </c>
      <c r="D32" s="127">
        <f t="shared" ref="D32:O32" si="32">(D8-D10-D9)/D23</f>
        <v>0</v>
      </c>
      <c r="E32" s="127">
        <f t="shared" si="32"/>
        <v>0</v>
      </c>
      <c r="F32" s="127">
        <f t="shared" si="32"/>
        <v>0</v>
      </c>
      <c r="G32" s="127">
        <f t="shared" si="32"/>
        <v>0</v>
      </c>
      <c r="H32" s="127">
        <f t="shared" si="32"/>
        <v>0</v>
      </c>
      <c r="I32" s="127">
        <f t="shared" si="32"/>
        <v>0</v>
      </c>
      <c r="J32" s="127">
        <f t="shared" si="32"/>
        <v>0</v>
      </c>
      <c r="K32" s="127">
        <f t="shared" si="32"/>
        <v>10.15873015873016</v>
      </c>
      <c r="L32" s="127">
        <f t="shared" si="32"/>
        <v>-3.9682539682539684</v>
      </c>
      <c r="M32" s="127">
        <f t="shared" si="32"/>
        <v>-16.43915343915344</v>
      </c>
      <c r="N32" s="127">
        <f t="shared" si="32"/>
        <v>-10.912698412698413</v>
      </c>
      <c r="O32" s="127">
        <f t="shared" si="32"/>
        <v>0.56150793650793718</v>
      </c>
      <c r="P32" s="118" t="e">
        <f t="shared" si="15"/>
        <v>#NUM!</v>
      </c>
      <c r="Q32" s="31">
        <v>0.1</v>
      </c>
      <c r="R32" s="119">
        <f t="shared" ref="R32" si="33">O32*(1+$Q32)</f>
        <v>0.61765873015873096</v>
      </c>
      <c r="S32" s="119">
        <f t="shared" ref="S32" si="34">R32*(1+$Q32)</f>
        <v>0.67942460317460407</v>
      </c>
      <c r="T32" s="119">
        <f t="shared" ref="T32" si="35">S32*(1+$Q32)</f>
        <v>0.7473670634920645</v>
      </c>
      <c r="U32" s="119">
        <f t="shared" ref="U32" si="36">T32*(1+$Q32)</f>
        <v>0.82210376984127098</v>
      </c>
      <c r="V32" s="119">
        <f t="shared" ref="V32" si="37">U32*(1+$Q32)</f>
        <v>0.90431414682539812</v>
      </c>
      <c r="W32" s="119">
        <f t="shared" ref="W32" si="38">V32*(1+$Q32)</f>
        <v>0.99474556150793803</v>
      </c>
      <c r="X32" s="119">
        <f t="shared" ref="X32" si="39">W32*(1+$Q32)</f>
        <v>1.0942201176587318</v>
      </c>
      <c r="Y32" s="119">
        <f t="shared" ref="Y32" si="40">X32*(1+$Q32)</f>
        <v>1.2036421294246051</v>
      </c>
      <c r="Z32" s="119">
        <f t="shared" ref="Z32" si="41">Y32*(1+$Q32)</f>
        <v>1.3240063423670658</v>
      </c>
      <c r="AA32" s="119">
        <f t="shared" ref="AA32" si="42">Z32*(1+$Q32)</f>
        <v>1.4564069766037726</v>
      </c>
      <c r="AB32" s="118" t="e">
        <f>((AA32/N32)^(1/($AA$4-$H$2) ))-1</f>
        <v>#NUM!</v>
      </c>
    </row>
    <row r="33" spans="2:28" x14ac:dyDescent="0.2">
      <c r="B33" s="20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8"/>
      <c r="Q33" s="128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8"/>
    </row>
    <row r="34" spans="2:28" x14ac:dyDescent="0.2">
      <c r="B34" s="20" t="s">
        <v>248</v>
      </c>
      <c r="C34" s="127">
        <f t="shared" ref="C34:O34" si="43">C11/C23</f>
        <v>0</v>
      </c>
      <c r="D34" s="127">
        <f t="shared" si="43"/>
        <v>0</v>
      </c>
      <c r="E34" s="127">
        <f t="shared" si="43"/>
        <v>0</v>
      </c>
      <c r="F34" s="127">
        <f t="shared" si="43"/>
        <v>0</v>
      </c>
      <c r="G34" s="127">
        <f t="shared" si="43"/>
        <v>0</v>
      </c>
      <c r="H34" s="127">
        <f t="shared" si="43"/>
        <v>0</v>
      </c>
      <c r="I34" s="127">
        <f t="shared" si="43"/>
        <v>0</v>
      </c>
      <c r="J34" s="127">
        <f t="shared" si="43"/>
        <v>0</v>
      </c>
      <c r="K34" s="127">
        <f t="shared" si="43"/>
        <v>0.13029100529100529</v>
      </c>
      <c r="L34" s="127">
        <f t="shared" si="43"/>
        <v>0.22685185185185189</v>
      </c>
      <c r="M34" s="127">
        <f t="shared" si="43"/>
        <v>0.10251322751322753</v>
      </c>
      <c r="N34" s="127">
        <f t="shared" si="43"/>
        <v>9.7222222222222224E-2</v>
      </c>
      <c r="O34" s="127">
        <f t="shared" si="43"/>
        <v>3.3399470899470902</v>
      </c>
      <c r="P34" s="118">
        <f t="shared" si="15"/>
        <v>1.4209928723849337</v>
      </c>
      <c r="Q34" s="31">
        <v>0.1</v>
      </c>
      <c r="R34" s="119">
        <f t="shared" ref="R34:R38" si="44">O34*(1+$Q34)</f>
        <v>3.6739417989417995</v>
      </c>
      <c r="S34" s="119">
        <f t="shared" ref="S34:AA38" si="45">R34*(1+$Q34)</f>
        <v>4.0413359788359795</v>
      </c>
      <c r="T34" s="119">
        <f t="shared" si="45"/>
        <v>4.445469576719578</v>
      </c>
      <c r="U34" s="119">
        <f t="shared" si="45"/>
        <v>4.8900165343915365</v>
      </c>
      <c r="V34" s="119">
        <f t="shared" si="45"/>
        <v>5.3790181878306909</v>
      </c>
      <c r="W34" s="119">
        <f t="shared" si="45"/>
        <v>5.9169200066137604</v>
      </c>
      <c r="X34" s="119">
        <f t="shared" si="45"/>
        <v>6.5086120072751372</v>
      </c>
      <c r="Y34" s="119">
        <f t="shared" si="45"/>
        <v>7.1594732080026517</v>
      </c>
      <c r="Z34" s="119">
        <f t="shared" si="45"/>
        <v>7.875420528802918</v>
      </c>
      <c r="AA34" s="119">
        <f t="shared" si="45"/>
        <v>8.6629625816832103</v>
      </c>
      <c r="AB34" s="118">
        <f>((AA34/N34)^(1/($AA$4-$H$2) ))-1</f>
        <v>0.37809334467391742</v>
      </c>
    </row>
    <row r="35" spans="2:28" x14ac:dyDescent="0.2">
      <c r="B35" s="20" t="s">
        <v>255</v>
      </c>
      <c r="C35" s="127">
        <f t="shared" ref="C35:O35" si="46">C12/C23</f>
        <v>0</v>
      </c>
      <c r="D35" s="127">
        <f t="shared" si="46"/>
        <v>0</v>
      </c>
      <c r="E35" s="127">
        <f t="shared" si="46"/>
        <v>0</v>
      </c>
      <c r="F35" s="127">
        <f t="shared" si="46"/>
        <v>0</v>
      </c>
      <c r="G35" s="127">
        <f t="shared" si="46"/>
        <v>0</v>
      </c>
      <c r="H35" s="127">
        <f t="shared" si="46"/>
        <v>0</v>
      </c>
      <c r="I35" s="127">
        <f t="shared" si="46"/>
        <v>0</v>
      </c>
      <c r="J35" s="127">
        <f t="shared" si="46"/>
        <v>0</v>
      </c>
      <c r="K35" s="127">
        <f t="shared" si="46"/>
        <v>6.647486772486773</v>
      </c>
      <c r="L35" s="127">
        <f t="shared" si="46"/>
        <v>4.1144179894179898</v>
      </c>
      <c r="M35" s="127">
        <f t="shared" si="46"/>
        <v>1.7923280423280425</v>
      </c>
      <c r="N35" s="127">
        <f t="shared" si="46"/>
        <v>1.9715608465608465</v>
      </c>
      <c r="O35" s="127">
        <f t="shared" si="46"/>
        <v>2.996031746031746</v>
      </c>
      <c r="P35" s="118">
        <f t="shared" si="15"/>
        <v>0.11028393643089252</v>
      </c>
      <c r="Q35" s="31">
        <v>0.1</v>
      </c>
      <c r="R35" s="119">
        <f t="shared" si="44"/>
        <v>3.2956349206349209</v>
      </c>
      <c r="S35" s="119">
        <f t="shared" si="45"/>
        <v>3.6251984126984134</v>
      </c>
      <c r="T35" s="119">
        <f t="shared" si="45"/>
        <v>3.987718253968255</v>
      </c>
      <c r="U35" s="119">
        <f t="shared" si="45"/>
        <v>4.386490079365081</v>
      </c>
      <c r="V35" s="119">
        <f t="shared" si="45"/>
        <v>4.8251390873015891</v>
      </c>
      <c r="W35" s="119">
        <f t="shared" si="45"/>
        <v>5.3076529960317487</v>
      </c>
      <c r="X35" s="119">
        <f t="shared" si="45"/>
        <v>5.8384182956349244</v>
      </c>
      <c r="Y35" s="119">
        <f t="shared" si="45"/>
        <v>6.4222601251984175</v>
      </c>
      <c r="Z35" s="119">
        <f t="shared" si="45"/>
        <v>7.0644861377182595</v>
      </c>
      <c r="AA35" s="119">
        <f t="shared" si="45"/>
        <v>7.7709347514900857</v>
      </c>
      <c r="AB35" s="118">
        <f>((AA35/N35)^(1/($AA$4-$H$2) ))-1</f>
        <v>0.10292850893299255</v>
      </c>
    </row>
    <row r="36" spans="2:28" x14ac:dyDescent="0.2">
      <c r="B36" s="20" t="s">
        <v>256</v>
      </c>
      <c r="C36" s="127">
        <f>(C34+C35)</f>
        <v>0</v>
      </c>
      <c r="D36" s="127">
        <f t="shared" ref="D36:O36" si="47">(D34+D35)</f>
        <v>0</v>
      </c>
      <c r="E36" s="127">
        <f t="shared" si="47"/>
        <v>0</v>
      </c>
      <c r="F36" s="127">
        <f t="shared" si="47"/>
        <v>0</v>
      </c>
      <c r="G36" s="127">
        <f t="shared" si="47"/>
        <v>0</v>
      </c>
      <c r="H36" s="127">
        <f t="shared" si="47"/>
        <v>0</v>
      </c>
      <c r="I36" s="127">
        <f t="shared" si="47"/>
        <v>0</v>
      </c>
      <c r="J36" s="127">
        <f t="shared" si="47"/>
        <v>0</v>
      </c>
      <c r="K36" s="127">
        <f t="shared" si="47"/>
        <v>6.7777777777777786</v>
      </c>
      <c r="L36" s="127">
        <f t="shared" si="47"/>
        <v>4.3412698412698418</v>
      </c>
      <c r="M36" s="127">
        <f t="shared" si="47"/>
        <v>1.89484126984127</v>
      </c>
      <c r="N36" s="127">
        <f t="shared" si="47"/>
        <v>2.0687830687830688</v>
      </c>
      <c r="O36" s="127">
        <f t="shared" si="47"/>
        <v>6.3359788359788363</v>
      </c>
      <c r="P36" s="118">
        <f t="shared" si="15"/>
        <v>0.32289291699901601</v>
      </c>
      <c r="Q36" s="31">
        <v>0.1</v>
      </c>
      <c r="R36" s="119">
        <f t="shared" si="44"/>
        <v>6.9695767195767209</v>
      </c>
      <c r="S36" s="119">
        <f t="shared" si="45"/>
        <v>7.6665343915343938</v>
      </c>
      <c r="T36" s="119">
        <f t="shared" si="45"/>
        <v>8.4331878306878334</v>
      </c>
      <c r="U36" s="119">
        <f t="shared" si="45"/>
        <v>9.2765066137566183</v>
      </c>
      <c r="V36" s="119">
        <f t="shared" si="45"/>
        <v>10.204157275132282</v>
      </c>
      <c r="W36" s="119">
        <f t="shared" si="45"/>
        <v>11.224573002645512</v>
      </c>
      <c r="X36" s="119">
        <f t="shared" si="45"/>
        <v>12.347030302910063</v>
      </c>
      <c r="Y36" s="119">
        <f t="shared" si="45"/>
        <v>13.58173333320107</v>
      </c>
      <c r="Z36" s="119">
        <f t="shared" si="45"/>
        <v>14.939906666521178</v>
      </c>
      <c r="AA36" s="119">
        <f t="shared" si="45"/>
        <v>16.433897333173299</v>
      </c>
      <c r="AB36" s="118">
        <f>((AA36/N36)^(1/($AA$4-$H$2) ))-1</f>
        <v>0.15954483039603851</v>
      </c>
    </row>
    <row r="37" spans="2:28" x14ac:dyDescent="0.2">
      <c r="B37" s="20" t="s">
        <v>249</v>
      </c>
      <c r="C37" s="127">
        <f t="shared" ref="C37:O37" si="48">C13/C23</f>
        <v>0</v>
      </c>
      <c r="D37" s="127">
        <f t="shared" si="48"/>
        <v>0</v>
      </c>
      <c r="E37" s="127">
        <f t="shared" si="48"/>
        <v>0</v>
      </c>
      <c r="F37" s="127">
        <f t="shared" si="48"/>
        <v>0</v>
      </c>
      <c r="G37" s="127">
        <f t="shared" si="48"/>
        <v>0</v>
      </c>
      <c r="H37" s="127">
        <f t="shared" si="48"/>
        <v>0</v>
      </c>
      <c r="I37" s="127">
        <f t="shared" si="48"/>
        <v>0</v>
      </c>
      <c r="J37" s="127">
        <f t="shared" si="48"/>
        <v>0</v>
      </c>
      <c r="K37" s="127">
        <f t="shared" si="48"/>
        <v>16.732804232804234</v>
      </c>
      <c r="L37" s="127">
        <f t="shared" si="48"/>
        <v>17.989417989417991</v>
      </c>
      <c r="M37" s="127">
        <f t="shared" si="48"/>
        <v>16.005291005291006</v>
      </c>
      <c r="N37" s="127">
        <f t="shared" si="48"/>
        <v>20.171957671957674</v>
      </c>
      <c r="O37" s="127">
        <f t="shared" si="48"/>
        <v>25.595238095238095</v>
      </c>
      <c r="P37" s="118">
        <f t="shared" si="15"/>
        <v>6.1335721114800901E-2</v>
      </c>
      <c r="Q37" s="31">
        <v>0.1</v>
      </c>
      <c r="R37" s="119">
        <f t="shared" si="44"/>
        <v>28.154761904761905</v>
      </c>
      <c r="S37" s="119">
        <f t="shared" si="45"/>
        <v>30.970238095238098</v>
      </c>
      <c r="T37" s="119">
        <f t="shared" si="45"/>
        <v>34.067261904761914</v>
      </c>
      <c r="U37" s="119">
        <f t="shared" si="45"/>
        <v>37.473988095238106</v>
      </c>
      <c r="V37" s="119">
        <f t="shared" si="45"/>
        <v>41.221386904761921</v>
      </c>
      <c r="W37" s="119">
        <f t="shared" si="45"/>
        <v>45.34352559523812</v>
      </c>
      <c r="X37" s="119">
        <f t="shared" si="45"/>
        <v>49.877878154761937</v>
      </c>
      <c r="Y37" s="119">
        <f t="shared" si="45"/>
        <v>54.865665970238133</v>
      </c>
      <c r="Z37" s="119">
        <f t="shared" si="45"/>
        <v>60.35223256726195</v>
      </c>
      <c r="AA37" s="119">
        <f t="shared" si="45"/>
        <v>66.387455823988148</v>
      </c>
      <c r="AB37" s="118">
        <f>((AA37/N37)^(1/($AA$4-$H$2) ))-1</f>
        <v>8.8811533680131616E-2</v>
      </c>
    </row>
    <row r="38" spans="2:28" x14ac:dyDescent="0.2">
      <c r="B38" s="20" t="s">
        <v>250</v>
      </c>
      <c r="C38" s="127">
        <f t="shared" ref="C38:O38" si="49">C14/C23</f>
        <v>0</v>
      </c>
      <c r="D38" s="127">
        <f t="shared" si="49"/>
        <v>0</v>
      </c>
      <c r="E38" s="127">
        <f t="shared" si="49"/>
        <v>0</v>
      </c>
      <c r="F38" s="127">
        <f t="shared" si="49"/>
        <v>0</v>
      </c>
      <c r="G38" s="127">
        <f t="shared" si="49"/>
        <v>0</v>
      </c>
      <c r="H38" s="127">
        <f t="shared" si="49"/>
        <v>0</v>
      </c>
      <c r="I38" s="127">
        <f t="shared" si="49"/>
        <v>0</v>
      </c>
      <c r="J38" s="127">
        <f t="shared" si="49"/>
        <v>0</v>
      </c>
      <c r="K38" s="127">
        <f t="shared" si="49"/>
        <v>-0.48148148148148151</v>
      </c>
      <c r="L38" s="127">
        <f t="shared" si="49"/>
        <v>-9.7883597883597897</v>
      </c>
      <c r="M38" s="127">
        <f t="shared" si="49"/>
        <v>-14.021164021164022</v>
      </c>
      <c r="N38" s="127">
        <f t="shared" si="49"/>
        <v>-6.0846560846560847</v>
      </c>
      <c r="O38" s="127">
        <f t="shared" si="49"/>
        <v>-14.484126984126984</v>
      </c>
      <c r="P38" s="118">
        <f t="shared" si="15"/>
        <v>0.24212147935380579</v>
      </c>
      <c r="Q38" s="31">
        <v>0.1</v>
      </c>
      <c r="R38" s="119">
        <f t="shared" si="44"/>
        <v>-15.932539682539684</v>
      </c>
      <c r="S38" s="119">
        <f t="shared" si="45"/>
        <v>-17.525793650793652</v>
      </c>
      <c r="T38" s="119">
        <f t="shared" si="45"/>
        <v>-19.278373015873019</v>
      </c>
      <c r="U38" s="119">
        <f t="shared" si="45"/>
        <v>-21.206210317460322</v>
      </c>
      <c r="V38" s="119">
        <f t="shared" si="45"/>
        <v>-23.326831349206355</v>
      </c>
      <c r="W38" s="119">
        <f t="shared" si="45"/>
        <v>-25.659514484126991</v>
      </c>
      <c r="X38" s="119">
        <f t="shared" si="45"/>
        <v>-28.225465932539691</v>
      </c>
      <c r="Y38" s="119">
        <f t="shared" si="45"/>
        <v>-31.048012525793663</v>
      </c>
      <c r="Z38" s="119">
        <f t="shared" si="45"/>
        <v>-34.15281377837303</v>
      </c>
      <c r="AA38" s="119">
        <f t="shared" si="45"/>
        <v>-37.568095156210333</v>
      </c>
      <c r="AB38" s="118">
        <f>((AA38/N38)^(1/($AA$4-$H$2) ))-1</f>
        <v>0.13885969753437943</v>
      </c>
    </row>
    <row r="39" spans="2:28" x14ac:dyDescent="0.2">
      <c r="B39" s="20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18"/>
      <c r="Q39" s="31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8"/>
    </row>
    <row r="40" spans="2:28" x14ac:dyDescent="0.2">
      <c r="B40" s="20" t="s">
        <v>280</v>
      </c>
      <c r="C40" s="127" t="e">
        <f t="shared" ref="C40:N40" si="50">C10/C21</f>
        <v>#DIV/0!</v>
      </c>
      <c r="D40" s="127" t="e">
        <f t="shared" si="50"/>
        <v>#DIV/0!</v>
      </c>
      <c r="E40" s="127" t="e">
        <f t="shared" si="50"/>
        <v>#DIV/0!</v>
      </c>
      <c r="F40" s="127" t="e">
        <f t="shared" si="50"/>
        <v>#DIV/0!</v>
      </c>
      <c r="G40" s="127" t="e">
        <f t="shared" si="50"/>
        <v>#DIV/0!</v>
      </c>
      <c r="H40" s="127" t="e">
        <f t="shared" si="50"/>
        <v>#DIV/0!</v>
      </c>
      <c r="I40" s="127" t="e">
        <f t="shared" si="50"/>
        <v>#DIV/0!</v>
      </c>
      <c r="J40" s="127" t="e">
        <f t="shared" si="50"/>
        <v>#DIV/0!</v>
      </c>
      <c r="K40" s="127">
        <f t="shared" si="50"/>
        <v>6.657542281747971</v>
      </c>
      <c r="L40" s="127">
        <f t="shared" si="50"/>
        <v>9.8452883263009845</v>
      </c>
      <c r="M40" s="127">
        <f t="shared" si="50"/>
        <v>9.94392523364486</v>
      </c>
      <c r="N40" s="127">
        <f t="shared" si="50"/>
        <v>6.8343558282208585</v>
      </c>
      <c r="O40" s="127">
        <f>O10/O21</f>
        <v>7.0762711864406782</v>
      </c>
      <c r="P40" s="118"/>
      <c r="Q40" s="31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8"/>
    </row>
    <row r="41" spans="2:28" x14ac:dyDescent="0.2">
      <c r="B41" s="20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18"/>
      <c r="Q41" s="31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8"/>
    </row>
    <row r="42" spans="2:28" x14ac:dyDescent="0.2">
      <c r="B42" s="20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18"/>
      <c r="Q42" s="31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8"/>
    </row>
    <row r="43" spans="2:28" x14ac:dyDescent="0.2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128"/>
      <c r="Q43" s="128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28"/>
    </row>
    <row r="44" spans="2:28" x14ac:dyDescent="0.2">
      <c r="B44" s="108" t="s">
        <v>83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128"/>
      <c r="Q44" s="128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28"/>
    </row>
    <row r="45" spans="2:28" x14ac:dyDescent="0.2">
      <c r="B45" s="20" t="s">
        <v>82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118" t="e">
        <f t="shared" ref="P45:P51" si="51">((O45/N45)^(1/($H$3-$H$2) ))-1</f>
        <v>#DIV/0!</v>
      </c>
      <c r="Q45" s="31">
        <v>0.1</v>
      </c>
      <c r="R45" s="119">
        <f t="shared" ref="R45:R51" si="52">O45*(1+$Q45)</f>
        <v>0</v>
      </c>
      <c r="S45" s="119">
        <f t="shared" ref="S45:AA51" si="53">R45*(1+$Q45)</f>
        <v>0</v>
      </c>
      <c r="T45" s="119">
        <f t="shared" si="53"/>
        <v>0</v>
      </c>
      <c r="U45" s="119">
        <f t="shared" si="53"/>
        <v>0</v>
      </c>
      <c r="V45" s="119">
        <f t="shared" si="53"/>
        <v>0</v>
      </c>
      <c r="W45" s="119">
        <f t="shared" si="53"/>
        <v>0</v>
      </c>
      <c r="X45" s="119">
        <f t="shared" si="53"/>
        <v>0</v>
      </c>
      <c r="Y45" s="119">
        <f t="shared" si="53"/>
        <v>0</v>
      </c>
      <c r="Z45" s="119">
        <f t="shared" si="53"/>
        <v>0</v>
      </c>
      <c r="AA45" s="119">
        <f t="shared" si="53"/>
        <v>0</v>
      </c>
      <c r="AB45" s="118" t="e">
        <f t="shared" ref="AB45:AB51" si="54">((AA45/N45)^(1/($AA$4-$H$2) ))-1</f>
        <v>#DIV/0!</v>
      </c>
    </row>
    <row r="46" spans="2:28" x14ac:dyDescent="0.2">
      <c r="B46" s="20" t="s">
        <v>84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118" t="e">
        <f t="shared" si="51"/>
        <v>#DIV/0!</v>
      </c>
      <c r="Q46" s="31">
        <v>0.1</v>
      </c>
      <c r="R46" s="119">
        <f t="shared" si="52"/>
        <v>0</v>
      </c>
      <c r="S46" s="119">
        <f t="shared" si="53"/>
        <v>0</v>
      </c>
      <c r="T46" s="119">
        <f t="shared" si="53"/>
        <v>0</v>
      </c>
      <c r="U46" s="119">
        <f t="shared" si="53"/>
        <v>0</v>
      </c>
      <c r="V46" s="119">
        <f t="shared" si="53"/>
        <v>0</v>
      </c>
      <c r="W46" s="119">
        <f t="shared" si="53"/>
        <v>0</v>
      </c>
      <c r="X46" s="119">
        <f t="shared" si="53"/>
        <v>0</v>
      </c>
      <c r="Y46" s="119">
        <f t="shared" si="53"/>
        <v>0</v>
      </c>
      <c r="Z46" s="119">
        <f t="shared" si="53"/>
        <v>0</v>
      </c>
      <c r="AA46" s="119">
        <f t="shared" si="53"/>
        <v>0</v>
      </c>
      <c r="AB46" s="118" t="e">
        <f t="shared" si="54"/>
        <v>#DIV/0!</v>
      </c>
    </row>
    <row r="47" spans="2:28" x14ac:dyDescent="0.2">
      <c r="B47" s="20" t="s">
        <v>85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118" t="e">
        <f t="shared" si="51"/>
        <v>#DIV/0!</v>
      </c>
      <c r="Q47" s="31">
        <v>0.1</v>
      </c>
      <c r="R47" s="119">
        <f t="shared" si="52"/>
        <v>0</v>
      </c>
      <c r="S47" s="119">
        <f t="shared" si="53"/>
        <v>0</v>
      </c>
      <c r="T47" s="119">
        <f t="shared" si="53"/>
        <v>0</v>
      </c>
      <c r="U47" s="119">
        <f t="shared" si="53"/>
        <v>0</v>
      </c>
      <c r="V47" s="119">
        <f t="shared" si="53"/>
        <v>0</v>
      </c>
      <c r="W47" s="119">
        <f t="shared" si="53"/>
        <v>0</v>
      </c>
      <c r="X47" s="119">
        <f t="shared" si="53"/>
        <v>0</v>
      </c>
      <c r="Y47" s="119">
        <f t="shared" si="53"/>
        <v>0</v>
      </c>
      <c r="Z47" s="119">
        <f t="shared" si="53"/>
        <v>0</v>
      </c>
      <c r="AA47" s="119">
        <f t="shared" si="53"/>
        <v>0</v>
      </c>
      <c r="AB47" s="118" t="e">
        <f t="shared" si="54"/>
        <v>#DIV/0!</v>
      </c>
    </row>
    <row r="48" spans="2:28" x14ac:dyDescent="0.2">
      <c r="B48" s="20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118" t="e">
        <f t="shared" si="51"/>
        <v>#DIV/0!</v>
      </c>
      <c r="Q48" s="31">
        <v>0.1</v>
      </c>
      <c r="R48" s="119">
        <f t="shared" si="52"/>
        <v>0</v>
      </c>
      <c r="S48" s="119">
        <f t="shared" si="53"/>
        <v>0</v>
      </c>
      <c r="T48" s="119">
        <f t="shared" si="53"/>
        <v>0</v>
      </c>
      <c r="U48" s="119">
        <f t="shared" si="53"/>
        <v>0</v>
      </c>
      <c r="V48" s="119">
        <f t="shared" si="53"/>
        <v>0</v>
      </c>
      <c r="W48" s="119">
        <f t="shared" si="53"/>
        <v>0</v>
      </c>
      <c r="X48" s="119">
        <f t="shared" si="53"/>
        <v>0</v>
      </c>
      <c r="Y48" s="119">
        <f t="shared" si="53"/>
        <v>0</v>
      </c>
      <c r="Z48" s="119">
        <f t="shared" si="53"/>
        <v>0</v>
      </c>
      <c r="AA48" s="119">
        <f t="shared" si="53"/>
        <v>0</v>
      </c>
      <c r="AB48" s="118" t="e">
        <f t="shared" si="54"/>
        <v>#DIV/0!</v>
      </c>
    </row>
    <row r="49" spans="2:28" x14ac:dyDescent="0.2">
      <c r="B49" s="20" t="s">
        <v>78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118" t="e">
        <f t="shared" si="51"/>
        <v>#DIV/0!</v>
      </c>
      <c r="Q49" s="31">
        <v>0.1</v>
      </c>
      <c r="R49" s="119">
        <f t="shared" si="52"/>
        <v>0</v>
      </c>
      <c r="S49" s="119">
        <f t="shared" si="53"/>
        <v>0</v>
      </c>
      <c r="T49" s="119">
        <f t="shared" si="53"/>
        <v>0</v>
      </c>
      <c r="U49" s="119">
        <f t="shared" si="53"/>
        <v>0</v>
      </c>
      <c r="V49" s="119">
        <f t="shared" si="53"/>
        <v>0</v>
      </c>
      <c r="W49" s="119">
        <f t="shared" si="53"/>
        <v>0</v>
      </c>
      <c r="X49" s="119">
        <f t="shared" si="53"/>
        <v>0</v>
      </c>
      <c r="Y49" s="119">
        <f t="shared" si="53"/>
        <v>0</v>
      </c>
      <c r="Z49" s="119">
        <f t="shared" si="53"/>
        <v>0</v>
      </c>
      <c r="AA49" s="119">
        <f t="shared" si="53"/>
        <v>0</v>
      </c>
      <c r="AB49" s="118" t="e">
        <f t="shared" si="54"/>
        <v>#DIV/0!</v>
      </c>
    </row>
    <row r="50" spans="2:28" x14ac:dyDescent="0.2">
      <c r="B50" s="20" t="s">
        <v>79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118" t="e">
        <f t="shared" si="51"/>
        <v>#DIV/0!</v>
      </c>
      <c r="Q50" s="31">
        <v>0.1</v>
      </c>
      <c r="R50" s="119">
        <f t="shared" si="52"/>
        <v>0</v>
      </c>
      <c r="S50" s="119">
        <f t="shared" si="53"/>
        <v>0</v>
      </c>
      <c r="T50" s="119">
        <f t="shared" si="53"/>
        <v>0</v>
      </c>
      <c r="U50" s="119">
        <f t="shared" si="53"/>
        <v>0</v>
      </c>
      <c r="V50" s="119">
        <f t="shared" si="53"/>
        <v>0</v>
      </c>
      <c r="W50" s="119">
        <f t="shared" si="53"/>
        <v>0</v>
      </c>
      <c r="X50" s="119">
        <f t="shared" si="53"/>
        <v>0</v>
      </c>
      <c r="Y50" s="119">
        <f t="shared" si="53"/>
        <v>0</v>
      </c>
      <c r="Z50" s="119">
        <f t="shared" si="53"/>
        <v>0</v>
      </c>
      <c r="AA50" s="119">
        <f t="shared" si="53"/>
        <v>0</v>
      </c>
      <c r="AB50" s="118" t="e">
        <f t="shared" si="54"/>
        <v>#DIV/0!</v>
      </c>
    </row>
    <row r="51" spans="2:28" x14ac:dyDescent="0.2">
      <c r="B51" s="20" t="s">
        <v>80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118" t="e">
        <f t="shared" si="51"/>
        <v>#DIV/0!</v>
      </c>
      <c r="Q51" s="31">
        <v>0.1</v>
      </c>
      <c r="R51" s="119">
        <f t="shared" si="52"/>
        <v>0</v>
      </c>
      <c r="S51" s="119">
        <f t="shared" si="53"/>
        <v>0</v>
      </c>
      <c r="T51" s="119">
        <f t="shared" si="53"/>
        <v>0</v>
      </c>
      <c r="U51" s="119">
        <f t="shared" si="53"/>
        <v>0</v>
      </c>
      <c r="V51" s="119">
        <f t="shared" si="53"/>
        <v>0</v>
      </c>
      <c r="W51" s="119">
        <f t="shared" si="53"/>
        <v>0</v>
      </c>
      <c r="X51" s="119">
        <f t="shared" si="53"/>
        <v>0</v>
      </c>
      <c r="Y51" s="119">
        <f t="shared" si="53"/>
        <v>0</v>
      </c>
      <c r="Z51" s="119">
        <f t="shared" si="53"/>
        <v>0</v>
      </c>
      <c r="AA51" s="119">
        <f t="shared" si="53"/>
        <v>0</v>
      </c>
      <c r="AB51" s="118" t="e">
        <f t="shared" si="54"/>
        <v>#DIV/0!</v>
      </c>
    </row>
    <row r="52" spans="2:28" x14ac:dyDescent="0.2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2:28" x14ac:dyDescent="0.2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2:28" x14ac:dyDescent="0.2">
      <c r="B54" s="108" t="s">
        <v>244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3"/>
      <c r="Q54" s="23"/>
      <c r="R54" s="122" t="s">
        <v>66</v>
      </c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2:28" x14ac:dyDescent="0.2">
      <c r="B55" s="20" t="s">
        <v>25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121">
        <f>PV($C$2, ($AA$4-$R$4), 0, -AA26)</f>
        <v>3.3807930868504883</v>
      </c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2:28" x14ac:dyDescent="0.2">
      <c r="B56" s="20" t="s">
        <v>276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121">
        <f>PV($C$2, ($AA$4-$R$4), 0, -AA27)</f>
        <v>1.7073330797300874</v>
      </c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2:28" x14ac:dyDescent="0.2">
      <c r="B57" s="20" t="s">
        <v>277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121">
        <f>PV($C$2, ($AA$4-$R$4), 0, -AA28)</f>
        <v>36.90909225596841</v>
      </c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2:28" x14ac:dyDescent="0.2">
      <c r="B58" s="20" t="s">
        <v>278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121">
        <f>PV($C$2, ($AA$4-$R$4), 0, -AA29)</f>
        <v>23.923408707797947</v>
      </c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2:28" x14ac:dyDescent="0.2">
      <c r="B59" s="20" t="s">
        <v>279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121">
        <f>PV($C$2, ($AA$4-$R$4), 0, -AA34)</f>
        <v>1.4468648380165232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2:28" x14ac:dyDescent="0.2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121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2:28" x14ac:dyDescent="0.2">
      <c r="B61" s="20" t="s">
        <v>274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121">
        <f>PV($C$2, ($AA$4-$R$4), 0, -AA31)</f>
        <v>17.319115365002133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2:28" x14ac:dyDescent="0.2">
      <c r="B62" s="20" t="s">
        <v>275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121">
        <f>PV($C$2, ($AA$4-$R$4), 0, -AA32)</f>
        <v>0.24324519752000576</v>
      </c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2:28" x14ac:dyDescent="0.2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121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2:28" x14ac:dyDescent="0.2">
      <c r="B64" s="20" t="s">
        <v>249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121">
        <f>PV($C$2, ($AA$4-$R$4), 0, -AA37)</f>
        <v>11.087855293314739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2:28" x14ac:dyDescent="0.2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121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2:28" x14ac:dyDescent="0.2">
      <c r="B66" s="20" t="s">
        <v>250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121">
        <f>PV($C$2, ($AA$4-$R$4), 0, -AA38)</f>
        <v>-6.2745227628835316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2:28" x14ac:dyDescent="0.2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121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2:28" x14ac:dyDescent="0.2">
      <c r="B68" s="108" t="s">
        <v>251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2:28" x14ac:dyDescent="0.2">
      <c r="B69" s="20" t="s">
        <v>204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>
        <v>455</v>
      </c>
      <c r="N69" s="22">
        <v>115</v>
      </c>
      <c r="O69" s="22">
        <v>1200</v>
      </c>
      <c r="P69" s="118">
        <f t="shared" ref="P69:P73" si="55">((O69/M69)^(1/($H$3-$H$2) ))-1</f>
        <v>0.27436097157842232</v>
      </c>
      <c r="Q69" s="31">
        <v>0.1</v>
      </c>
      <c r="R69" s="119">
        <f t="shared" ref="R69:R73" si="56">O69*(1+$Q69)</f>
        <v>1320</v>
      </c>
      <c r="S69" s="119">
        <f t="shared" ref="S69:AA73" si="57">R69*(1+$Q69)</f>
        <v>1452.0000000000002</v>
      </c>
      <c r="T69" s="119">
        <f t="shared" si="57"/>
        <v>1597.2000000000003</v>
      </c>
      <c r="U69" s="119">
        <f t="shared" si="57"/>
        <v>1756.9200000000005</v>
      </c>
      <c r="V69" s="119">
        <f t="shared" si="57"/>
        <v>1932.6120000000008</v>
      </c>
      <c r="W69" s="119">
        <f t="shared" si="57"/>
        <v>2125.8732000000009</v>
      </c>
      <c r="X69" s="119">
        <f t="shared" si="57"/>
        <v>2338.460520000001</v>
      </c>
      <c r="Y69" s="119">
        <f t="shared" si="57"/>
        <v>2572.3065720000013</v>
      </c>
      <c r="Z69" s="119">
        <f t="shared" si="57"/>
        <v>2829.5372292000015</v>
      </c>
      <c r="AA69" s="119">
        <f t="shared" si="57"/>
        <v>3112.490952120002</v>
      </c>
      <c r="AB69" s="118">
        <f t="shared" ref="AB69:AB73" si="58">((AA69/M69)^(1/($AA$4-$H$2) ))-1</f>
        <v>0.14722806927774834</v>
      </c>
    </row>
    <row r="70" spans="2:28" x14ac:dyDescent="0.2">
      <c r="B70" s="20" t="s">
        <v>42</v>
      </c>
      <c r="C70" s="25" t="e">
        <f>C69/C26</f>
        <v>#DIV/0!</v>
      </c>
      <c r="D70" s="25" t="e">
        <f t="shared" ref="D70:O70" si="59">D69/D26</f>
        <v>#DIV/0!</v>
      </c>
      <c r="E70" s="25" t="e">
        <f t="shared" si="59"/>
        <v>#DIV/0!</v>
      </c>
      <c r="F70" s="25" t="e">
        <f t="shared" si="59"/>
        <v>#DIV/0!</v>
      </c>
      <c r="G70" s="25" t="e">
        <f t="shared" si="59"/>
        <v>#DIV/0!</v>
      </c>
      <c r="H70" s="25" t="e">
        <f t="shared" si="59"/>
        <v>#DIV/0!</v>
      </c>
      <c r="I70" s="25" t="e">
        <f t="shared" si="59"/>
        <v>#DIV/0!</v>
      </c>
      <c r="J70" s="25" t="e">
        <f t="shared" si="59"/>
        <v>#DIV/0!</v>
      </c>
      <c r="K70" s="25">
        <f t="shared" si="59"/>
        <v>0</v>
      </c>
      <c r="L70" s="25">
        <f t="shared" si="59"/>
        <v>0</v>
      </c>
      <c r="M70" s="25">
        <f t="shared" si="59"/>
        <v>64.295327102803739</v>
      </c>
      <c r="N70" s="25">
        <f t="shared" si="59"/>
        <v>10.667484662576685</v>
      </c>
      <c r="O70" s="25">
        <f t="shared" si="59"/>
        <v>153.76271186440678</v>
      </c>
      <c r="P70" s="118">
        <f t="shared" si="55"/>
        <v>0.24356332367142741</v>
      </c>
      <c r="Q70" s="31">
        <v>0.1</v>
      </c>
      <c r="R70" s="119">
        <f t="shared" si="56"/>
        <v>169.13898305084749</v>
      </c>
      <c r="S70" s="119">
        <f t="shared" si="57"/>
        <v>186.05288135593224</v>
      </c>
      <c r="T70" s="119">
        <f t="shared" si="57"/>
        <v>204.65816949152548</v>
      </c>
      <c r="U70" s="119">
        <f t="shared" si="57"/>
        <v>225.12398644067804</v>
      </c>
      <c r="V70" s="119">
        <f t="shared" si="57"/>
        <v>247.63638508474585</v>
      </c>
      <c r="W70" s="119">
        <f t="shared" si="57"/>
        <v>272.40002359322045</v>
      </c>
      <c r="X70" s="119">
        <f t="shared" si="57"/>
        <v>299.64002595254254</v>
      </c>
      <c r="Y70" s="119">
        <f t="shared" si="57"/>
        <v>329.60402854779682</v>
      </c>
      <c r="Z70" s="119">
        <f t="shared" si="57"/>
        <v>362.56443140257653</v>
      </c>
      <c r="AA70" s="119">
        <f t="shared" si="57"/>
        <v>398.82087454283419</v>
      </c>
      <c r="AB70" s="118">
        <f t="shared" si="58"/>
        <v>0.13923724930857073</v>
      </c>
    </row>
    <row r="71" spans="2:28" x14ac:dyDescent="0.2">
      <c r="B71" s="20" t="s">
        <v>259</v>
      </c>
      <c r="C71" s="25" t="e">
        <f>C69/C28</f>
        <v>#DIV/0!</v>
      </c>
      <c r="D71" s="25" t="e">
        <f t="shared" ref="D71:O71" si="60">D69/D28</f>
        <v>#DIV/0!</v>
      </c>
      <c r="E71" s="25" t="e">
        <f t="shared" si="60"/>
        <v>#DIV/0!</v>
      </c>
      <c r="F71" s="25" t="e">
        <f t="shared" si="60"/>
        <v>#DIV/0!</v>
      </c>
      <c r="G71" s="25" t="e">
        <f t="shared" si="60"/>
        <v>#DIV/0!</v>
      </c>
      <c r="H71" s="25" t="e">
        <f t="shared" si="60"/>
        <v>#DIV/0!</v>
      </c>
      <c r="I71" s="25" t="e">
        <f t="shared" si="60"/>
        <v>#DIV/0!</v>
      </c>
      <c r="J71" s="25" t="e">
        <f t="shared" si="60"/>
        <v>#DIV/0!</v>
      </c>
      <c r="K71" s="25">
        <f t="shared" si="60"/>
        <v>0</v>
      </c>
      <c r="L71" s="25">
        <f t="shared" si="60"/>
        <v>0</v>
      </c>
      <c r="M71" s="25">
        <f t="shared" si="60"/>
        <v>6.2827397260273967</v>
      </c>
      <c r="N71" s="25">
        <f t="shared" si="60"/>
        <v>1.4322899505766062</v>
      </c>
      <c r="O71" s="25">
        <f t="shared" si="60"/>
        <v>14.084332112028815</v>
      </c>
      <c r="P71" s="118">
        <f t="shared" si="55"/>
        <v>0.22362064878750032</v>
      </c>
      <c r="Q71" s="31">
        <v>0.1</v>
      </c>
      <c r="R71" s="119">
        <f t="shared" si="56"/>
        <v>15.492765323231698</v>
      </c>
      <c r="S71" s="119">
        <f t="shared" si="57"/>
        <v>17.042041855554867</v>
      </c>
      <c r="T71" s="119">
        <f t="shared" si="57"/>
        <v>18.746246041110357</v>
      </c>
      <c r="U71" s="119">
        <f t="shared" si="57"/>
        <v>20.620870645221395</v>
      </c>
      <c r="V71" s="119">
        <f t="shared" si="57"/>
        <v>22.682957709743537</v>
      </c>
      <c r="W71" s="119">
        <f t="shared" si="57"/>
        <v>24.951253480717892</v>
      </c>
      <c r="X71" s="119">
        <f t="shared" si="57"/>
        <v>27.446378828789683</v>
      </c>
      <c r="Y71" s="119">
        <f t="shared" si="57"/>
        <v>30.191016711668652</v>
      </c>
      <c r="Z71" s="119">
        <f t="shared" si="57"/>
        <v>33.210118382835518</v>
      </c>
      <c r="AA71" s="119">
        <f t="shared" si="57"/>
        <v>36.531130221119071</v>
      </c>
      <c r="AB71" s="118">
        <f t="shared" si="58"/>
        <v>0.1339871824810821</v>
      </c>
    </row>
    <row r="72" spans="2:28" x14ac:dyDescent="0.2">
      <c r="B72" s="20" t="s">
        <v>260</v>
      </c>
      <c r="C72" s="129" t="e">
        <f>C69/C36</f>
        <v>#DIV/0!</v>
      </c>
      <c r="D72" s="129" t="e">
        <f t="shared" ref="D72:O72" si="61">D69/D36</f>
        <v>#DIV/0!</v>
      </c>
      <c r="E72" s="129" t="e">
        <f t="shared" si="61"/>
        <v>#DIV/0!</v>
      </c>
      <c r="F72" s="129" t="e">
        <f t="shared" si="61"/>
        <v>#DIV/0!</v>
      </c>
      <c r="G72" s="129" t="e">
        <f t="shared" si="61"/>
        <v>#DIV/0!</v>
      </c>
      <c r="H72" s="129" t="e">
        <f t="shared" si="61"/>
        <v>#DIV/0!</v>
      </c>
      <c r="I72" s="129" t="e">
        <f t="shared" si="61"/>
        <v>#DIV/0!</v>
      </c>
      <c r="J72" s="129" t="e">
        <f t="shared" si="61"/>
        <v>#DIV/0!</v>
      </c>
      <c r="K72" s="129">
        <f t="shared" si="61"/>
        <v>0</v>
      </c>
      <c r="L72" s="129">
        <f t="shared" si="61"/>
        <v>0</v>
      </c>
      <c r="M72" s="25">
        <f t="shared" si="61"/>
        <v>240.12565445026175</v>
      </c>
      <c r="N72" s="25">
        <f t="shared" si="61"/>
        <v>55.588235294117645</v>
      </c>
      <c r="O72" s="25">
        <f t="shared" si="61"/>
        <v>189.39457202505218</v>
      </c>
      <c r="P72" s="118">
        <f t="shared" si="55"/>
        <v>-5.76065875065086E-2</v>
      </c>
      <c r="Q72" s="31">
        <v>0.1</v>
      </c>
      <c r="R72" s="119">
        <f t="shared" si="56"/>
        <v>208.33402922755741</v>
      </c>
      <c r="S72" s="119">
        <f t="shared" si="57"/>
        <v>229.16743215031318</v>
      </c>
      <c r="T72" s="119">
        <f t="shared" si="57"/>
        <v>252.08417536534452</v>
      </c>
      <c r="U72" s="119">
        <f t="shared" si="57"/>
        <v>277.292592901879</v>
      </c>
      <c r="V72" s="119">
        <f t="shared" si="57"/>
        <v>305.02185219206694</v>
      </c>
      <c r="W72" s="119">
        <f t="shared" si="57"/>
        <v>335.52403741127364</v>
      </c>
      <c r="X72" s="119">
        <f t="shared" si="57"/>
        <v>369.07644115240106</v>
      </c>
      <c r="Y72" s="119">
        <f t="shared" si="57"/>
        <v>405.98408526764121</v>
      </c>
      <c r="Z72" s="119">
        <f t="shared" si="57"/>
        <v>446.58249379440537</v>
      </c>
      <c r="AA72" s="119">
        <f t="shared" si="57"/>
        <v>491.24074317384594</v>
      </c>
      <c r="AB72" s="118">
        <f t="shared" si="58"/>
        <v>5.2456093698955764E-2</v>
      </c>
    </row>
    <row r="73" spans="2:28" x14ac:dyDescent="0.2">
      <c r="B73" s="20" t="s">
        <v>261</v>
      </c>
      <c r="C73" s="129" t="e">
        <f>C69/C38</f>
        <v>#DIV/0!</v>
      </c>
      <c r="D73" s="129" t="e">
        <f t="shared" ref="D73:O73" si="62">D69/D38</f>
        <v>#DIV/0!</v>
      </c>
      <c r="E73" s="129" t="e">
        <f t="shared" si="62"/>
        <v>#DIV/0!</v>
      </c>
      <c r="F73" s="129" t="e">
        <f t="shared" si="62"/>
        <v>#DIV/0!</v>
      </c>
      <c r="G73" s="129" t="e">
        <f t="shared" si="62"/>
        <v>#DIV/0!</v>
      </c>
      <c r="H73" s="129" t="e">
        <f t="shared" si="62"/>
        <v>#DIV/0!</v>
      </c>
      <c r="I73" s="129" t="e">
        <f t="shared" si="62"/>
        <v>#DIV/0!</v>
      </c>
      <c r="J73" s="129" t="e">
        <f t="shared" si="62"/>
        <v>#DIV/0!</v>
      </c>
      <c r="K73" s="129">
        <f t="shared" si="62"/>
        <v>0</v>
      </c>
      <c r="L73" s="129">
        <f t="shared" si="62"/>
        <v>0</v>
      </c>
      <c r="M73" s="25">
        <f t="shared" si="62"/>
        <v>-32.450943396226414</v>
      </c>
      <c r="N73" s="25">
        <f t="shared" si="62"/>
        <v>-18.899999999999999</v>
      </c>
      <c r="O73" s="25">
        <f t="shared" si="62"/>
        <v>-82.849315068493155</v>
      </c>
      <c r="P73" s="118">
        <f t="shared" si="55"/>
        <v>0.2640533352203327</v>
      </c>
      <c r="Q73" s="31">
        <v>0.1</v>
      </c>
      <c r="R73" s="119">
        <f t="shared" si="56"/>
        <v>-91.134246575342473</v>
      </c>
      <c r="S73" s="119">
        <f t="shared" si="57"/>
        <v>-100.24767123287673</v>
      </c>
      <c r="T73" s="119">
        <f t="shared" si="57"/>
        <v>-110.27243835616441</v>
      </c>
      <c r="U73" s="119">
        <f t="shared" si="57"/>
        <v>-121.29968219178086</v>
      </c>
      <c r="V73" s="119">
        <f t="shared" si="57"/>
        <v>-133.42965041095897</v>
      </c>
      <c r="W73" s="119">
        <f t="shared" si="57"/>
        <v>-146.77261545205488</v>
      </c>
      <c r="X73" s="119">
        <f t="shared" si="57"/>
        <v>-161.44987699726039</v>
      </c>
      <c r="Y73" s="119">
        <f t="shared" si="57"/>
        <v>-177.59486469698643</v>
      </c>
      <c r="Z73" s="119">
        <f t="shared" si="57"/>
        <v>-195.35435116668509</v>
      </c>
      <c r="AA73" s="119">
        <f t="shared" si="57"/>
        <v>-214.88978628335363</v>
      </c>
      <c r="AB73" s="118">
        <f t="shared" si="58"/>
        <v>0.14456913920589409</v>
      </c>
    </row>
    <row r="74" spans="2:28" x14ac:dyDescent="0.2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2:28" x14ac:dyDescent="0.2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2:28" x14ac:dyDescent="0.2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2:28" x14ac:dyDescent="0.2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2:28" x14ac:dyDescent="0.2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</sheetData>
  <pageMargins left="0.7" right="0.7" top="0.75" bottom="0.75" header="0.3" footer="0.3"/>
  <pageSetup orientation="portrait" r:id="rId1"/>
  <ignoredErrors>
    <ignoredError sqref="C70 R45:AA51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35" t="s">
        <v>27</v>
      </c>
      <c r="K5" s="135"/>
      <c r="M5" s="135" t="s">
        <v>65</v>
      </c>
      <c r="N5" s="135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35" t="s">
        <v>36</v>
      </c>
      <c r="K14" s="135"/>
      <c r="L14" s="135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D20" sqref="D2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R5" s="135" t="s">
        <v>27</v>
      </c>
      <c r="S5" s="135"/>
    </row>
    <row r="6" spans="2:20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R14" s="135" t="s">
        <v>36</v>
      </c>
      <c r="S14" s="135"/>
      <c r="T14" s="135"/>
    </row>
    <row r="15" spans="2:20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B1" zoomScale="80" zoomScaleNormal="80" workbookViewId="0">
      <selection activeCell="C33" sqref="C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zoomScale="90" zoomScaleNormal="90" workbookViewId="0">
      <selection activeCell="C7" sqref="C7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35" t="s">
        <v>27</v>
      </c>
      <c r="C2" s="135"/>
      <c r="E2" s="135" t="s">
        <v>65</v>
      </c>
      <c r="F2" s="135"/>
      <c r="H2" s="139" t="s">
        <v>36</v>
      </c>
      <c r="I2" s="140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36" t="s">
        <v>68</v>
      </c>
      <c r="E10" s="137"/>
      <c r="F10" s="137"/>
      <c r="G10" s="137"/>
      <c r="H10" s="138"/>
      <c r="I10" s="136" t="s">
        <v>72</v>
      </c>
      <c r="J10" s="137"/>
      <c r="K10" s="137"/>
      <c r="L10" s="13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Sheet1</vt:lpstr>
      <vt:lpstr>IOB</vt:lpstr>
      <vt:lpstr>BV calc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2012-12-01T16:36:06Z</dcterms:modified>
</cp:coreProperties>
</file>
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L197" i="18"/>
  <c r="L196"/>
  <c r="L195"/>
  <c r="L202"/>
  <c r="L199"/>
  <c r="K202"/>
  <c r="AD32"/>
  <c r="T32"/>
  <c r="U32" s="1"/>
  <c r="V32" s="1"/>
  <c r="W32" s="1"/>
  <c r="X32" s="1"/>
  <c r="Y32" s="1"/>
  <c r="Z32" s="1"/>
  <c r="AA32" s="1"/>
  <c r="AB32" s="1"/>
  <c r="S32"/>
  <c r="AD31"/>
  <c r="T31"/>
  <c r="U31" s="1"/>
  <c r="V31" s="1"/>
  <c r="W31" s="1"/>
  <c r="X31" s="1"/>
  <c r="Y31" s="1"/>
  <c r="Z31" s="1"/>
  <c r="AA31" s="1"/>
  <c r="AB31" s="1"/>
  <c r="S31"/>
  <c r="AD30"/>
  <c r="V30"/>
  <c r="W30" s="1"/>
  <c r="X30" s="1"/>
  <c r="Y30" s="1"/>
  <c r="Z30" s="1"/>
  <c r="AA30" s="1"/>
  <c r="AB30" s="1"/>
  <c r="U30"/>
  <c r="T30"/>
  <c r="S30"/>
  <c r="AD29"/>
  <c r="S29"/>
  <c r="T29" s="1"/>
  <c r="U29" s="1"/>
  <c r="V29" s="1"/>
  <c r="W29" s="1"/>
  <c r="X29" s="1"/>
  <c r="Y29" s="1"/>
  <c r="Z29" s="1"/>
  <c r="AA29" s="1"/>
  <c r="AB29" s="1"/>
  <c r="AD86"/>
  <c r="AE70"/>
  <c r="AE66"/>
  <c r="AD59"/>
  <c r="S59"/>
  <c r="T59" s="1"/>
  <c r="U59" s="1"/>
  <c r="V59" s="1"/>
  <c r="W59" s="1"/>
  <c r="X59" s="1"/>
  <c r="Y59" s="1"/>
  <c r="Z59" s="1"/>
  <c r="AA59" s="1"/>
  <c r="AB59" s="1"/>
  <c r="AD58"/>
  <c r="S58"/>
  <c r="T58" s="1"/>
  <c r="U58" s="1"/>
  <c r="V58" s="1"/>
  <c r="W58" s="1"/>
  <c r="X58" s="1"/>
  <c r="Y58" s="1"/>
  <c r="Z58" s="1"/>
  <c r="AA58" s="1"/>
  <c r="AB58" s="1"/>
  <c r="AD57"/>
  <c r="V57"/>
  <c r="W57" s="1"/>
  <c r="X57" s="1"/>
  <c r="Y57" s="1"/>
  <c r="Z57" s="1"/>
  <c r="AA57" s="1"/>
  <c r="AB57" s="1"/>
  <c r="U57"/>
  <c r="T57"/>
  <c r="S57"/>
  <c r="AD56"/>
  <c r="S56"/>
  <c r="T56" s="1"/>
  <c r="U56" s="1"/>
  <c r="V56" s="1"/>
  <c r="W56" s="1"/>
  <c r="X56" s="1"/>
  <c r="Y56" s="1"/>
  <c r="Z56" s="1"/>
  <c r="AA56" s="1"/>
  <c r="AB56" s="1"/>
  <c r="AE47"/>
  <c r="AE41"/>
  <c r="AE39"/>
  <c r="AE37"/>
  <c r="AE35"/>
  <c r="AE20"/>
  <c r="AE19"/>
  <c r="AE13"/>
  <c r="AE14"/>
  <c r="AE15"/>
  <c r="AE16"/>
  <c r="S19"/>
  <c r="T19" s="1"/>
  <c r="U19" s="1"/>
  <c r="V19" s="1"/>
  <c r="W19" s="1"/>
  <c r="X19" s="1"/>
  <c r="Y19" s="1"/>
  <c r="Z19" s="1"/>
  <c r="AA19" s="1"/>
  <c r="AB19" s="1"/>
  <c r="Q19"/>
  <c r="S66"/>
  <c r="T66" s="1"/>
  <c r="U66" s="1"/>
  <c r="V66" s="1"/>
  <c r="W66" s="1"/>
  <c r="X66" s="1"/>
  <c r="Y66" s="1"/>
  <c r="Z66" s="1"/>
  <c r="AA66" s="1"/>
  <c r="AB66" s="1"/>
  <c r="Q66"/>
  <c r="Q59"/>
  <c r="Q58"/>
  <c r="Q57"/>
  <c r="Q56"/>
  <c r="P33"/>
  <c r="O33"/>
  <c r="N33"/>
  <c r="M33"/>
  <c r="L33"/>
  <c r="K33"/>
  <c r="J33"/>
  <c r="I33"/>
  <c r="H33"/>
  <c r="G33"/>
  <c r="Q32"/>
  <c r="Q31"/>
  <c r="Q30"/>
  <c r="Q29"/>
  <c r="P48"/>
  <c r="O48"/>
  <c r="N48"/>
  <c r="M48"/>
  <c r="L48"/>
  <c r="K48"/>
  <c r="J48"/>
  <c r="I48"/>
  <c r="H48"/>
  <c r="G48"/>
  <c r="S47"/>
  <c r="T47" s="1"/>
  <c r="U47" s="1"/>
  <c r="V47" s="1"/>
  <c r="W47" s="1"/>
  <c r="X47" s="1"/>
  <c r="Y47" s="1"/>
  <c r="Z47" s="1"/>
  <c r="AA47" s="1"/>
  <c r="AB47" s="1"/>
  <c r="Q47"/>
  <c r="P42"/>
  <c r="O42"/>
  <c r="N42"/>
  <c r="M42"/>
  <c r="L42"/>
  <c r="K42"/>
  <c r="J42"/>
  <c r="I42"/>
  <c r="H42"/>
  <c r="G42"/>
  <c r="T41"/>
  <c r="U41" s="1"/>
  <c r="V41" s="1"/>
  <c r="W41" s="1"/>
  <c r="X41" s="1"/>
  <c r="Y41" s="1"/>
  <c r="Z41" s="1"/>
  <c r="AA41" s="1"/>
  <c r="AB41" s="1"/>
  <c r="S41"/>
  <c r="Q41"/>
  <c r="P40"/>
  <c r="O40"/>
  <c r="N40"/>
  <c r="M40"/>
  <c r="L40"/>
  <c r="K40"/>
  <c r="J40"/>
  <c r="I40"/>
  <c r="H40"/>
  <c r="G40"/>
  <c r="S39"/>
  <c r="T39" s="1"/>
  <c r="U39" s="1"/>
  <c r="V39" s="1"/>
  <c r="W39" s="1"/>
  <c r="X39" s="1"/>
  <c r="Y39" s="1"/>
  <c r="Z39" s="1"/>
  <c r="AA39" s="1"/>
  <c r="AB39" s="1"/>
  <c r="Q39"/>
  <c r="P38"/>
  <c r="O38"/>
  <c r="N38"/>
  <c r="M38"/>
  <c r="L38"/>
  <c r="K38"/>
  <c r="J38"/>
  <c r="I38"/>
  <c r="H38"/>
  <c r="G38"/>
  <c r="T37"/>
  <c r="U37" s="1"/>
  <c r="V37" s="1"/>
  <c r="W37" s="1"/>
  <c r="X37" s="1"/>
  <c r="Y37" s="1"/>
  <c r="Z37" s="1"/>
  <c r="AA37" s="1"/>
  <c r="AB37" s="1"/>
  <c r="S37"/>
  <c r="Q37"/>
  <c r="P36"/>
  <c r="O36"/>
  <c r="N36"/>
  <c r="M36"/>
  <c r="L36"/>
  <c r="K36"/>
  <c r="J36"/>
  <c r="I36"/>
  <c r="H36"/>
  <c r="G36"/>
  <c r="S35"/>
  <c r="T35" s="1"/>
  <c r="U35" s="1"/>
  <c r="V35" s="1"/>
  <c r="W35" s="1"/>
  <c r="X35" s="1"/>
  <c r="Y35" s="1"/>
  <c r="Z35" s="1"/>
  <c r="AA35" s="1"/>
  <c r="AB35" s="1"/>
  <c r="Q35"/>
  <c r="T20"/>
  <c r="U20" s="1"/>
  <c r="V20" s="1"/>
  <c r="W20" s="1"/>
  <c r="X20" s="1"/>
  <c r="Y20" s="1"/>
  <c r="Z20" s="1"/>
  <c r="AA20" s="1"/>
  <c r="AB20" s="1"/>
  <c r="S20"/>
  <c r="Q20"/>
  <c r="S14"/>
  <c r="T14" s="1"/>
  <c r="U14" s="1"/>
  <c r="V14" s="1"/>
  <c r="W14" s="1"/>
  <c r="X14" s="1"/>
  <c r="Y14" s="1"/>
  <c r="Z14" s="1"/>
  <c r="AA14" s="1"/>
  <c r="AB14" s="1"/>
  <c r="Q14"/>
  <c r="S13"/>
  <c r="T13" s="1"/>
  <c r="U13" s="1"/>
  <c r="V13" s="1"/>
  <c r="W13" s="1"/>
  <c r="X13" s="1"/>
  <c r="Y13" s="1"/>
  <c r="Z13" s="1"/>
  <c r="AA13" s="1"/>
  <c r="AB13" s="1"/>
  <c r="Q13"/>
  <c r="AC32" l="1"/>
  <c r="AE32"/>
  <c r="AC31"/>
  <c r="AE31"/>
  <c r="AE30"/>
  <c r="AC30"/>
  <c r="AE29"/>
  <c r="AC29"/>
  <c r="AC59"/>
  <c r="AE59"/>
  <c r="AC58"/>
  <c r="AE58"/>
  <c r="AE57"/>
  <c r="AC57"/>
  <c r="AC56"/>
  <c r="AE56"/>
  <c r="AC19"/>
  <c r="AC66"/>
  <c r="AC47"/>
  <c r="AC35"/>
  <c r="AC41"/>
  <c r="AC37"/>
  <c r="AC39"/>
  <c r="AC20"/>
  <c r="AC14"/>
  <c r="AC13"/>
  <c r="P107" l="1"/>
  <c r="P106"/>
  <c r="Q107"/>
  <c r="C107"/>
  <c r="D107"/>
  <c r="E107"/>
  <c r="F107"/>
  <c r="H107"/>
  <c r="I107"/>
  <c r="J107"/>
  <c r="K107"/>
  <c r="L107"/>
  <c r="M107"/>
  <c r="N107"/>
  <c r="O107"/>
  <c r="G107"/>
  <c r="G106"/>
  <c r="H134"/>
  <c r="I134"/>
  <c r="J134"/>
  <c r="K134"/>
  <c r="L134"/>
  <c r="M134"/>
  <c r="N134"/>
  <c r="O134"/>
  <c r="P134"/>
  <c r="G134"/>
  <c r="H133"/>
  <c r="I133"/>
  <c r="J133"/>
  <c r="K133"/>
  <c r="L133"/>
  <c r="M133"/>
  <c r="N133"/>
  <c r="O133"/>
  <c r="P133"/>
  <c r="G133"/>
  <c r="H130"/>
  <c r="I130"/>
  <c r="J130"/>
  <c r="K130"/>
  <c r="L130"/>
  <c r="M130"/>
  <c r="N130"/>
  <c r="O130"/>
  <c r="P130"/>
  <c r="G130"/>
  <c r="H131"/>
  <c r="I131"/>
  <c r="J131"/>
  <c r="K131"/>
  <c r="L131"/>
  <c r="M131"/>
  <c r="N131"/>
  <c r="O131"/>
  <c r="P131"/>
  <c r="G131"/>
  <c r="H129"/>
  <c r="I129"/>
  <c r="J129"/>
  <c r="K129"/>
  <c r="L129"/>
  <c r="M129"/>
  <c r="N129"/>
  <c r="O129"/>
  <c r="P129"/>
  <c r="G129"/>
  <c r="H128"/>
  <c r="I128"/>
  <c r="J128"/>
  <c r="K128"/>
  <c r="L128"/>
  <c r="M128"/>
  <c r="N128"/>
  <c r="O128"/>
  <c r="P128"/>
  <c r="Q128" s="1"/>
  <c r="G128"/>
  <c r="R169"/>
  <c r="H126"/>
  <c r="I126"/>
  <c r="J126"/>
  <c r="K126"/>
  <c r="L126"/>
  <c r="M126"/>
  <c r="N126"/>
  <c r="O126"/>
  <c r="P126"/>
  <c r="G126"/>
  <c r="H125"/>
  <c r="I125"/>
  <c r="J125"/>
  <c r="K125"/>
  <c r="L125"/>
  <c r="M125"/>
  <c r="N125"/>
  <c r="O125"/>
  <c r="P125"/>
  <c r="G125"/>
  <c r="H124"/>
  <c r="I124"/>
  <c r="J124"/>
  <c r="K124"/>
  <c r="L124"/>
  <c r="M124"/>
  <c r="N124"/>
  <c r="O124"/>
  <c r="P124"/>
  <c r="G124"/>
  <c r="B126"/>
  <c r="B125"/>
  <c r="K184"/>
  <c r="K183"/>
  <c r="K182"/>
  <c r="S65"/>
  <c r="AD52"/>
  <c r="R52"/>
  <c r="S52" s="1"/>
  <c r="T52" s="1"/>
  <c r="U52" s="1"/>
  <c r="V52" s="1"/>
  <c r="W52" s="1"/>
  <c r="X52" s="1"/>
  <c r="Y52" s="1"/>
  <c r="Z52" s="1"/>
  <c r="AA52" s="1"/>
  <c r="AB52" s="1"/>
  <c r="Q52"/>
  <c r="G114"/>
  <c r="H114"/>
  <c r="I114"/>
  <c r="J114"/>
  <c r="K114"/>
  <c r="L114"/>
  <c r="M114"/>
  <c r="N114"/>
  <c r="O114"/>
  <c r="P114"/>
  <c r="Q200"/>
  <c r="K199"/>
  <c r="Q197"/>
  <c r="K197"/>
  <c r="F122"/>
  <c r="H122"/>
  <c r="I122"/>
  <c r="J122"/>
  <c r="K122"/>
  <c r="L122"/>
  <c r="M122"/>
  <c r="N122"/>
  <c r="O122"/>
  <c r="P122"/>
  <c r="G122"/>
  <c r="F121"/>
  <c r="H121"/>
  <c r="I121"/>
  <c r="J121"/>
  <c r="K121"/>
  <c r="L121"/>
  <c r="M121"/>
  <c r="N121"/>
  <c r="O121"/>
  <c r="P121"/>
  <c r="G121"/>
  <c r="Q133" l="1"/>
  <c r="Q129"/>
  <c r="Q130"/>
  <c r="Q134"/>
  <c r="Q131"/>
  <c r="Q124"/>
  <c r="Q125"/>
  <c r="Q126"/>
  <c r="Q114"/>
  <c r="AC52"/>
  <c r="AE52"/>
  <c r="Q202"/>
  <c r="Q122"/>
  <c r="Q121"/>
  <c r="R9"/>
  <c r="R10"/>
  <c r="R12"/>
  <c r="R15"/>
  <c r="R16"/>
  <c r="R17"/>
  <c r="R22"/>
  <c r="R24"/>
  <c r="R25"/>
  <c r="R26"/>
  <c r="R27"/>
  <c r="R43"/>
  <c r="R45"/>
  <c r="R49"/>
  <c r="R51"/>
  <c r="S51" s="1"/>
  <c r="T51" s="1"/>
  <c r="U51" s="1"/>
  <c r="V51" s="1"/>
  <c r="W51" s="1"/>
  <c r="X51" s="1"/>
  <c r="Y51" s="1"/>
  <c r="Z51" s="1"/>
  <c r="AA51" s="1"/>
  <c r="AB51" s="1"/>
  <c r="R53"/>
  <c r="R54"/>
  <c r="R61"/>
  <c r="R63"/>
  <c r="R7"/>
  <c r="R6"/>
  <c r="AD9"/>
  <c r="AD10"/>
  <c r="AD11"/>
  <c r="AD12"/>
  <c r="AD15"/>
  <c r="AD16"/>
  <c r="AD17"/>
  <c r="AD22"/>
  <c r="AD24"/>
  <c r="AD25"/>
  <c r="AD26"/>
  <c r="AD27"/>
  <c r="AD43"/>
  <c r="AD45"/>
  <c r="AD49"/>
  <c r="AD51"/>
  <c r="AD53"/>
  <c r="AD54"/>
  <c r="AD61"/>
  <c r="AD63"/>
  <c r="AD65"/>
  <c r="AD67"/>
  <c r="AD70"/>
  <c r="AD71"/>
  <c r="AD73"/>
  <c r="AD74"/>
  <c r="AD75"/>
  <c r="AD76"/>
  <c r="AD78"/>
  <c r="AD79"/>
  <c r="AD80"/>
  <c r="AD82"/>
  <c r="AD83"/>
  <c r="AD84"/>
  <c r="AD85"/>
  <c r="AD88"/>
  <c r="AD90"/>
  <c r="AD92"/>
  <c r="AD93"/>
  <c r="AD94"/>
  <c r="AD95"/>
  <c r="AD96"/>
  <c r="AD98"/>
  <c r="AD99"/>
  <c r="AD100"/>
  <c r="AD7"/>
  <c r="AD6"/>
  <c r="G111" l="1"/>
  <c r="F111"/>
  <c r="H111"/>
  <c r="I111"/>
  <c r="J111"/>
  <c r="K111"/>
  <c r="L111"/>
  <c r="M111"/>
  <c r="N111"/>
  <c r="O111"/>
  <c r="P111"/>
  <c r="Q111" l="1"/>
  <c r="H109"/>
  <c r="I109"/>
  <c r="J109"/>
  <c r="K109"/>
  <c r="L109"/>
  <c r="M109"/>
  <c r="N109"/>
  <c r="O109"/>
  <c r="P109"/>
  <c r="H110"/>
  <c r="I110"/>
  <c r="J110"/>
  <c r="K110"/>
  <c r="L110"/>
  <c r="M110"/>
  <c r="N110"/>
  <c r="O110"/>
  <c r="P110"/>
  <c r="G110"/>
  <c r="G109"/>
  <c r="S49"/>
  <c r="T49" s="1"/>
  <c r="U49" s="1"/>
  <c r="V49" s="1"/>
  <c r="W49" s="1"/>
  <c r="X49" s="1"/>
  <c r="Y49" s="1"/>
  <c r="Z49" s="1"/>
  <c r="AA49" s="1"/>
  <c r="AB49" s="1"/>
  <c r="Q49"/>
  <c r="P50"/>
  <c r="O50"/>
  <c r="N50"/>
  <c r="M50"/>
  <c r="L50"/>
  <c r="K50"/>
  <c r="J50"/>
  <c r="I50"/>
  <c r="H50"/>
  <c r="G50"/>
  <c r="Q108"/>
  <c r="Q110" l="1"/>
  <c r="Q109"/>
  <c r="AE49"/>
  <c r="AC49"/>
  <c r="H113"/>
  <c r="I113"/>
  <c r="J113"/>
  <c r="K113"/>
  <c r="L113"/>
  <c r="M113"/>
  <c r="N113"/>
  <c r="O113"/>
  <c r="P113"/>
  <c r="G113"/>
  <c r="H112"/>
  <c r="I112"/>
  <c r="J112"/>
  <c r="K112"/>
  <c r="L112"/>
  <c r="M112"/>
  <c r="N112"/>
  <c r="O112"/>
  <c r="P112"/>
  <c r="G112"/>
  <c r="Q112" l="1"/>
  <c r="Q113"/>
  <c r="AE87"/>
  <c r="C177" l="1"/>
  <c r="D177"/>
  <c r="E177"/>
  <c r="F177"/>
  <c r="G177"/>
  <c r="H177"/>
  <c r="I177"/>
  <c r="J177"/>
  <c r="K177"/>
  <c r="L177"/>
  <c r="M177"/>
  <c r="N177"/>
  <c r="O177"/>
  <c r="P177"/>
  <c r="C9" i="15"/>
  <c r="D88" i="18"/>
  <c r="E88"/>
  <c r="E116" s="1"/>
  <c r="E117" s="1"/>
  <c r="F88"/>
  <c r="F116" s="1"/>
  <c r="F117" s="1"/>
  <c r="G88"/>
  <c r="G116" s="1"/>
  <c r="G117" s="1"/>
  <c r="H88"/>
  <c r="H116" s="1"/>
  <c r="H117" s="1"/>
  <c r="I88"/>
  <c r="I116" s="1"/>
  <c r="I117" s="1"/>
  <c r="J88"/>
  <c r="J116" s="1"/>
  <c r="J117" s="1"/>
  <c r="K88"/>
  <c r="K116" s="1"/>
  <c r="K117" s="1"/>
  <c r="L88"/>
  <c r="L116" s="1"/>
  <c r="L117" s="1"/>
  <c r="M88"/>
  <c r="M116" s="1"/>
  <c r="M117" s="1"/>
  <c r="N88"/>
  <c r="N116" s="1"/>
  <c r="N117" s="1"/>
  <c r="O88"/>
  <c r="O116" s="1"/>
  <c r="O117" s="1"/>
  <c r="P88"/>
  <c r="P116" s="1"/>
  <c r="C88"/>
  <c r="S67"/>
  <c r="S88" s="1"/>
  <c r="S116" s="1"/>
  <c r="S117" s="1"/>
  <c r="Q67"/>
  <c r="N118" l="1"/>
  <c r="N119" s="1"/>
  <c r="J118"/>
  <c r="J119" s="1"/>
  <c r="L118"/>
  <c r="L119" s="1"/>
  <c r="H118"/>
  <c r="H119" s="1"/>
  <c r="M118"/>
  <c r="M119" s="1"/>
  <c r="I118"/>
  <c r="I119" s="1"/>
  <c r="F118"/>
  <c r="F119" s="1"/>
  <c r="O118"/>
  <c r="O119" s="1"/>
  <c r="K118"/>
  <c r="K119" s="1"/>
  <c r="G118"/>
  <c r="G119" s="1"/>
  <c r="P117"/>
  <c r="Q116"/>
  <c r="T67"/>
  <c r="U67" s="1"/>
  <c r="V67" s="1"/>
  <c r="W67" s="1"/>
  <c r="P118" l="1"/>
  <c r="Q117"/>
  <c r="U88"/>
  <c r="X67"/>
  <c r="W88"/>
  <c r="V88"/>
  <c r="T88"/>
  <c r="C98"/>
  <c r="D98"/>
  <c r="E98"/>
  <c r="F98"/>
  <c r="G98"/>
  <c r="H98"/>
  <c r="I98"/>
  <c r="J98"/>
  <c r="K98"/>
  <c r="L98"/>
  <c r="M98"/>
  <c r="N98"/>
  <c r="O98"/>
  <c r="C99"/>
  <c r="D99"/>
  <c r="E99"/>
  <c r="F99"/>
  <c r="G99"/>
  <c r="H99"/>
  <c r="I99"/>
  <c r="J99"/>
  <c r="K99"/>
  <c r="L99"/>
  <c r="M99"/>
  <c r="N99"/>
  <c r="O99"/>
  <c r="C100"/>
  <c r="D100"/>
  <c r="E100"/>
  <c r="F100"/>
  <c r="G100"/>
  <c r="H100"/>
  <c r="I100"/>
  <c r="J100"/>
  <c r="K100"/>
  <c r="L100"/>
  <c r="M100"/>
  <c r="N100"/>
  <c r="O100"/>
  <c r="P100"/>
  <c r="P99"/>
  <c r="P98"/>
  <c r="C106"/>
  <c r="D106"/>
  <c r="E106"/>
  <c r="F106"/>
  <c r="H106"/>
  <c r="I106"/>
  <c r="J106"/>
  <c r="K106"/>
  <c r="L106"/>
  <c r="M106"/>
  <c r="N106"/>
  <c r="O106"/>
  <c r="C104"/>
  <c r="D104"/>
  <c r="E104"/>
  <c r="C105"/>
  <c r="D105"/>
  <c r="E105"/>
  <c r="F105"/>
  <c r="G105"/>
  <c r="H105"/>
  <c r="I105"/>
  <c r="J105"/>
  <c r="K105"/>
  <c r="L105"/>
  <c r="M105"/>
  <c r="N105"/>
  <c r="O105"/>
  <c r="F104"/>
  <c r="G104"/>
  <c r="H104"/>
  <c r="I104"/>
  <c r="J104"/>
  <c r="K104"/>
  <c r="L104"/>
  <c r="M104"/>
  <c r="N104"/>
  <c r="O104"/>
  <c r="P105"/>
  <c r="G64"/>
  <c r="G62"/>
  <c r="G46"/>
  <c r="G11"/>
  <c r="G8"/>
  <c r="G44"/>
  <c r="Q100" l="1"/>
  <c r="Y67"/>
  <c r="X88"/>
  <c r="Q98"/>
  <c r="Q99"/>
  <c r="Q105"/>
  <c r="Q106"/>
  <c r="P104"/>
  <c r="Q104" s="1"/>
  <c r="C188"/>
  <c r="D188"/>
  <c r="E188"/>
  <c r="F188"/>
  <c r="C189"/>
  <c r="D189"/>
  <c r="E189"/>
  <c r="F189"/>
  <c r="C190"/>
  <c r="D190"/>
  <c r="E190"/>
  <c r="F190"/>
  <c r="H190"/>
  <c r="I190"/>
  <c r="J190"/>
  <c r="K190"/>
  <c r="L190"/>
  <c r="M190"/>
  <c r="N190"/>
  <c r="O190"/>
  <c r="P190"/>
  <c r="G190"/>
  <c r="H189"/>
  <c r="I189"/>
  <c r="J189"/>
  <c r="K189"/>
  <c r="L189"/>
  <c r="M189"/>
  <c r="N189"/>
  <c r="O189"/>
  <c r="P189"/>
  <c r="G189"/>
  <c r="H188"/>
  <c r="I188"/>
  <c r="J188"/>
  <c r="K188"/>
  <c r="L188"/>
  <c r="M188"/>
  <c r="N188"/>
  <c r="O188"/>
  <c r="P188"/>
  <c r="G188"/>
  <c r="H71"/>
  <c r="I71"/>
  <c r="J71"/>
  <c r="K71"/>
  <c r="L71"/>
  <c r="M71"/>
  <c r="N71"/>
  <c r="O71"/>
  <c r="P71"/>
  <c r="C71"/>
  <c r="D71"/>
  <c r="E71"/>
  <c r="F71"/>
  <c r="G71"/>
  <c r="G73"/>
  <c r="G176" s="1"/>
  <c r="H70"/>
  <c r="H170" s="1"/>
  <c r="I70"/>
  <c r="I170" s="1"/>
  <c r="J70"/>
  <c r="J170" s="1"/>
  <c r="K70"/>
  <c r="K170" s="1"/>
  <c r="L70"/>
  <c r="L170" s="1"/>
  <c r="M70"/>
  <c r="M170" s="1"/>
  <c r="N70"/>
  <c r="N170" s="1"/>
  <c r="O70"/>
  <c r="O170" s="1"/>
  <c r="P70"/>
  <c r="P170" s="1"/>
  <c r="Q170" s="1"/>
  <c r="C70"/>
  <c r="C170" s="1"/>
  <c r="D70"/>
  <c r="D170" s="1"/>
  <c r="E70"/>
  <c r="E170" s="1"/>
  <c r="F70"/>
  <c r="F170" s="1"/>
  <c r="G70"/>
  <c r="G170" s="1"/>
  <c r="P64"/>
  <c r="O64"/>
  <c r="N64"/>
  <c r="M64"/>
  <c r="L64"/>
  <c r="K64"/>
  <c r="J64"/>
  <c r="I64"/>
  <c r="H64"/>
  <c r="P62"/>
  <c r="O62"/>
  <c r="N62"/>
  <c r="M62"/>
  <c r="L62"/>
  <c r="K62"/>
  <c r="J62"/>
  <c r="I62"/>
  <c r="H62"/>
  <c r="P46"/>
  <c r="O46"/>
  <c r="N46"/>
  <c r="M46"/>
  <c r="L46"/>
  <c r="K46"/>
  <c r="J46"/>
  <c r="I46"/>
  <c r="H46"/>
  <c r="P44"/>
  <c r="O44"/>
  <c r="N44"/>
  <c r="M44"/>
  <c r="L44"/>
  <c r="K44"/>
  <c r="J44"/>
  <c r="I44"/>
  <c r="H44"/>
  <c r="P11"/>
  <c r="O11"/>
  <c r="N11"/>
  <c r="M11"/>
  <c r="L11"/>
  <c r="K11"/>
  <c r="J11"/>
  <c r="I11"/>
  <c r="H11"/>
  <c r="I8"/>
  <c r="J8"/>
  <c r="K8"/>
  <c r="L8"/>
  <c r="M8"/>
  <c r="N8"/>
  <c r="O8"/>
  <c r="P8"/>
  <c r="H8"/>
  <c r="Q65"/>
  <c r="S61"/>
  <c r="Q61"/>
  <c r="Z67" l="1"/>
  <c r="Y88"/>
  <c r="T61"/>
  <c r="Q190"/>
  <c r="Q71"/>
  <c r="Q70"/>
  <c r="Q189"/>
  <c r="Q188"/>
  <c r="Q51"/>
  <c r="Q54"/>
  <c r="AA67" l="1"/>
  <c r="Z88"/>
  <c r="U61"/>
  <c r="I95"/>
  <c r="J95"/>
  <c r="K95"/>
  <c r="L95"/>
  <c r="M95"/>
  <c r="N95"/>
  <c r="O95"/>
  <c r="P95"/>
  <c r="I96"/>
  <c r="J96"/>
  <c r="K96"/>
  <c r="L96"/>
  <c r="M96"/>
  <c r="N96"/>
  <c r="O96"/>
  <c r="P96"/>
  <c r="I90"/>
  <c r="I92" s="1"/>
  <c r="J90"/>
  <c r="J92" s="1"/>
  <c r="K90"/>
  <c r="K92" s="1"/>
  <c r="L90"/>
  <c r="L92" s="1"/>
  <c r="M90"/>
  <c r="M92" s="1"/>
  <c r="N90"/>
  <c r="N92" s="1"/>
  <c r="O90"/>
  <c r="O92" s="1"/>
  <c r="P90"/>
  <c r="P92" s="1"/>
  <c r="I93"/>
  <c r="J93"/>
  <c r="K93"/>
  <c r="L93"/>
  <c r="M93"/>
  <c r="N93"/>
  <c r="O93"/>
  <c r="P93"/>
  <c r="I94"/>
  <c r="J94"/>
  <c r="K94"/>
  <c r="L94"/>
  <c r="M94"/>
  <c r="N94"/>
  <c r="O94"/>
  <c r="P94"/>
  <c r="C93"/>
  <c r="D93"/>
  <c r="E93"/>
  <c r="F93"/>
  <c r="G93"/>
  <c r="C94"/>
  <c r="D94"/>
  <c r="E94"/>
  <c r="F94"/>
  <c r="G94"/>
  <c r="C95"/>
  <c r="D95"/>
  <c r="E95"/>
  <c r="F95"/>
  <c r="G95"/>
  <c r="C96"/>
  <c r="D96"/>
  <c r="E96"/>
  <c r="F96"/>
  <c r="G96"/>
  <c r="H96"/>
  <c r="H95"/>
  <c r="S27"/>
  <c r="T27" s="1"/>
  <c r="U27" s="1"/>
  <c r="V27" s="1"/>
  <c r="W27" s="1"/>
  <c r="X27" s="1"/>
  <c r="Y27" s="1"/>
  <c r="Z27" s="1"/>
  <c r="AA27" s="1"/>
  <c r="AB27" s="1"/>
  <c r="AE27" s="1"/>
  <c r="Q27"/>
  <c r="S26"/>
  <c r="T26" s="1"/>
  <c r="U26" s="1"/>
  <c r="V26" s="1"/>
  <c r="W26" s="1"/>
  <c r="X26" s="1"/>
  <c r="Y26" s="1"/>
  <c r="Z26" s="1"/>
  <c r="AA26" s="1"/>
  <c r="AB26" s="1"/>
  <c r="S25"/>
  <c r="Q24"/>
  <c r="C90"/>
  <c r="C92" s="1"/>
  <c r="D90"/>
  <c r="D92" s="1"/>
  <c r="E90"/>
  <c r="E92" s="1"/>
  <c r="F90"/>
  <c r="F92" s="1"/>
  <c r="G90"/>
  <c r="G92" s="1"/>
  <c r="H90"/>
  <c r="H92" s="1"/>
  <c r="H94"/>
  <c r="H93"/>
  <c r="AE51" l="1"/>
  <c r="AC51"/>
  <c r="AC26"/>
  <c r="AE26"/>
  <c r="AB67"/>
  <c r="AE67" s="1"/>
  <c r="AA88"/>
  <c r="V61"/>
  <c r="Q95"/>
  <c r="Q96"/>
  <c r="Q94"/>
  <c r="Q92"/>
  <c r="Q93"/>
  <c r="AC27"/>
  <c r="Q26"/>
  <c r="Q25"/>
  <c r="Q90"/>
  <c r="S24"/>
  <c r="T25"/>
  <c r="Q88"/>
  <c r="Q169"/>
  <c r="T24" l="1"/>
  <c r="T90" s="1"/>
  <c r="S90"/>
  <c r="AB88"/>
  <c r="AC67"/>
  <c r="U25"/>
  <c r="C19" i="15"/>
  <c r="S9" i="18"/>
  <c r="T9" s="1"/>
  <c r="U9" s="1"/>
  <c r="V9" s="1"/>
  <c r="W9" s="1"/>
  <c r="X9" s="1"/>
  <c r="Y9" s="1"/>
  <c r="Z9" s="1"/>
  <c r="AA9" s="1"/>
  <c r="AB9" s="1"/>
  <c r="AE9" s="1"/>
  <c r="Q63"/>
  <c r="Q53"/>
  <c r="Q45"/>
  <c r="Q43"/>
  <c r="Q22"/>
  <c r="Q17"/>
  <c r="Q16"/>
  <c r="Q15"/>
  <c r="Q12"/>
  <c r="Q10"/>
  <c r="Q9"/>
  <c r="Q7"/>
  <c r="Q6"/>
  <c r="S22"/>
  <c r="S43"/>
  <c r="S130" s="1"/>
  <c r="S45"/>
  <c r="S131" s="1"/>
  <c r="S53"/>
  <c r="T53" s="1"/>
  <c r="U53" s="1"/>
  <c r="V53" s="1"/>
  <c r="W53" s="1"/>
  <c r="X53" s="1"/>
  <c r="Y53" s="1"/>
  <c r="Z53" s="1"/>
  <c r="AA53" s="1"/>
  <c r="AB53" s="1"/>
  <c r="AE53" s="1"/>
  <c r="S54"/>
  <c r="T54" s="1"/>
  <c r="U54" s="1"/>
  <c r="V54" s="1"/>
  <c r="W54" s="1"/>
  <c r="X54" s="1"/>
  <c r="Y54" s="1"/>
  <c r="Z54" s="1"/>
  <c r="AA54" s="1"/>
  <c r="AB54" s="1"/>
  <c r="AE54" s="1"/>
  <c r="W61"/>
  <c r="O86"/>
  <c r="O174" s="1"/>
  <c r="O85"/>
  <c r="O83"/>
  <c r="O82"/>
  <c r="O80"/>
  <c r="O175" s="1"/>
  <c r="O79"/>
  <c r="O78"/>
  <c r="O76"/>
  <c r="O75"/>
  <c r="O172" s="1"/>
  <c r="O74"/>
  <c r="O73"/>
  <c r="S125" l="1"/>
  <c r="S126"/>
  <c r="S124"/>
  <c r="S114"/>
  <c r="P119"/>
  <c r="Q119" s="1"/>
  <c r="Q118"/>
  <c r="S109"/>
  <c r="S122"/>
  <c r="S121"/>
  <c r="T22"/>
  <c r="S157"/>
  <c r="AE88"/>
  <c r="O171"/>
  <c r="O176"/>
  <c r="U24"/>
  <c r="AC88"/>
  <c r="T157" s="1"/>
  <c r="T45"/>
  <c r="T131" s="1"/>
  <c r="X61"/>
  <c r="T43"/>
  <c r="T130" s="1"/>
  <c r="S104"/>
  <c r="V25"/>
  <c r="AC53"/>
  <c r="AC54"/>
  <c r="AC9"/>
  <c r="O84"/>
  <c r="O173" s="1"/>
  <c r="D80"/>
  <c r="E80"/>
  <c r="F80"/>
  <c r="G80"/>
  <c r="G175" s="1"/>
  <c r="H80"/>
  <c r="H175" s="1"/>
  <c r="I80"/>
  <c r="I175" s="1"/>
  <c r="J80"/>
  <c r="J175" s="1"/>
  <c r="K80"/>
  <c r="K175" s="1"/>
  <c r="L80"/>
  <c r="L175" s="1"/>
  <c r="M80"/>
  <c r="M175" s="1"/>
  <c r="N80"/>
  <c r="N175" s="1"/>
  <c r="P80"/>
  <c r="C80"/>
  <c r="C79"/>
  <c r="T124" l="1"/>
  <c r="T126"/>
  <c r="T125"/>
  <c r="T114"/>
  <c r="T109"/>
  <c r="T122"/>
  <c r="T121"/>
  <c r="U22"/>
  <c r="R157"/>
  <c r="P181" s="1"/>
  <c r="V24"/>
  <c r="U90"/>
  <c r="U45"/>
  <c r="U131" s="1"/>
  <c r="U43"/>
  <c r="U130" s="1"/>
  <c r="T104"/>
  <c r="Y61"/>
  <c r="W25"/>
  <c r="P175"/>
  <c r="Q175" s="1"/>
  <c r="Q80"/>
  <c r="D79"/>
  <c r="E79"/>
  <c r="F79"/>
  <c r="G79"/>
  <c r="H79"/>
  <c r="I79"/>
  <c r="J79"/>
  <c r="K79"/>
  <c r="L79"/>
  <c r="M79"/>
  <c r="N79"/>
  <c r="P79"/>
  <c r="D78"/>
  <c r="E78"/>
  <c r="F78"/>
  <c r="G78"/>
  <c r="H78"/>
  <c r="I78"/>
  <c r="J78"/>
  <c r="K78"/>
  <c r="L78"/>
  <c r="M78"/>
  <c r="N78"/>
  <c r="P78"/>
  <c r="C78"/>
  <c r="U126" l="1"/>
  <c r="U125"/>
  <c r="U124"/>
  <c r="U114"/>
  <c r="U109"/>
  <c r="U122"/>
  <c r="U121"/>
  <c r="V22"/>
  <c r="W24"/>
  <c r="V90"/>
  <c r="V45"/>
  <c r="V131" s="1"/>
  <c r="V43"/>
  <c r="V130" s="1"/>
  <c r="U104"/>
  <c r="Z61"/>
  <c r="X25"/>
  <c r="Q78"/>
  <c r="Q79"/>
  <c r="C46" i="15"/>
  <c r="V114" i="18" l="1"/>
  <c r="V126"/>
  <c r="V125"/>
  <c r="V124"/>
  <c r="V109"/>
  <c r="V122"/>
  <c r="V121"/>
  <c r="W22"/>
  <c r="X24"/>
  <c r="W90"/>
  <c r="W45"/>
  <c r="W131" s="1"/>
  <c r="W43"/>
  <c r="W130" s="1"/>
  <c r="V104"/>
  <c r="AA61"/>
  <c r="Y25"/>
  <c r="S169"/>
  <c r="C73"/>
  <c r="D73"/>
  <c r="E73"/>
  <c r="F73"/>
  <c r="H73"/>
  <c r="I73"/>
  <c r="J73"/>
  <c r="K73"/>
  <c r="L73"/>
  <c r="L176" s="1"/>
  <c r="M73"/>
  <c r="N73"/>
  <c r="N176" s="1"/>
  <c r="P73"/>
  <c r="D86"/>
  <c r="D174" s="1"/>
  <c r="E86"/>
  <c r="E174" s="1"/>
  <c r="F86"/>
  <c r="F174" s="1"/>
  <c r="G86"/>
  <c r="H86"/>
  <c r="H174" s="1"/>
  <c r="I86"/>
  <c r="I174" s="1"/>
  <c r="J86"/>
  <c r="J174" s="1"/>
  <c r="K86"/>
  <c r="K174" s="1"/>
  <c r="L86"/>
  <c r="L174" s="1"/>
  <c r="M86"/>
  <c r="M174" s="1"/>
  <c r="N86"/>
  <c r="P86"/>
  <c r="D85"/>
  <c r="E85"/>
  <c r="F85"/>
  <c r="G85"/>
  <c r="H85"/>
  <c r="I85"/>
  <c r="J85"/>
  <c r="K85"/>
  <c r="L85"/>
  <c r="M85"/>
  <c r="N85"/>
  <c r="P85"/>
  <c r="D83"/>
  <c r="E83"/>
  <c r="F83"/>
  <c r="G83"/>
  <c r="H83"/>
  <c r="I83"/>
  <c r="J83"/>
  <c r="K83"/>
  <c r="L83"/>
  <c r="M83"/>
  <c r="N83"/>
  <c r="P83"/>
  <c r="D82"/>
  <c r="D84" s="1"/>
  <c r="D173" s="1"/>
  <c r="E82"/>
  <c r="E84" s="1"/>
  <c r="E173" s="1"/>
  <c r="F82"/>
  <c r="G82"/>
  <c r="H82"/>
  <c r="I82"/>
  <c r="J82"/>
  <c r="K82"/>
  <c r="L82"/>
  <c r="M82"/>
  <c r="N82"/>
  <c r="P82"/>
  <c r="D76"/>
  <c r="E76"/>
  <c r="F76"/>
  <c r="G76"/>
  <c r="H76"/>
  <c r="I76"/>
  <c r="J76"/>
  <c r="K76"/>
  <c r="L76"/>
  <c r="M76"/>
  <c r="N76"/>
  <c r="P76"/>
  <c r="D75"/>
  <c r="D172" s="1"/>
  <c r="E75"/>
  <c r="E172" s="1"/>
  <c r="F75"/>
  <c r="F172" s="1"/>
  <c r="G75"/>
  <c r="H75"/>
  <c r="H172" s="1"/>
  <c r="I75"/>
  <c r="I172" s="1"/>
  <c r="J75"/>
  <c r="J172" s="1"/>
  <c r="K75"/>
  <c r="K172" s="1"/>
  <c r="L75"/>
  <c r="L172" s="1"/>
  <c r="M75"/>
  <c r="M172" s="1"/>
  <c r="N75"/>
  <c r="P75"/>
  <c r="C86"/>
  <c r="C174" s="1"/>
  <c r="C85"/>
  <c r="C83"/>
  <c r="C82"/>
  <c r="C76"/>
  <c r="C75"/>
  <c r="C172" s="1"/>
  <c r="D74"/>
  <c r="E74"/>
  <c r="F74"/>
  <c r="G74"/>
  <c r="H74"/>
  <c r="I74"/>
  <c r="J74"/>
  <c r="K74"/>
  <c r="L74"/>
  <c r="M74"/>
  <c r="N74"/>
  <c r="P74"/>
  <c r="C74"/>
  <c r="S16"/>
  <c r="S128" s="1"/>
  <c r="S17"/>
  <c r="S63"/>
  <c r="S10"/>
  <c r="S12"/>
  <c r="S15"/>
  <c r="S7"/>
  <c r="S6"/>
  <c r="S106" l="1"/>
  <c r="S107"/>
  <c r="S134"/>
  <c r="S133"/>
  <c r="S110"/>
  <c r="S129"/>
  <c r="H176"/>
  <c r="H171"/>
  <c r="W114"/>
  <c r="W125"/>
  <c r="W124"/>
  <c r="W126"/>
  <c r="S113"/>
  <c r="S118"/>
  <c r="S119" s="1"/>
  <c r="W109"/>
  <c r="W122"/>
  <c r="W121"/>
  <c r="S111"/>
  <c r="S112"/>
  <c r="X22"/>
  <c r="D171"/>
  <c r="D175" s="1"/>
  <c r="D176"/>
  <c r="E171"/>
  <c r="E175" s="1"/>
  <c r="E176"/>
  <c r="C171"/>
  <c r="C175" s="1"/>
  <c r="C176"/>
  <c r="P171"/>
  <c r="P176"/>
  <c r="K171"/>
  <c r="K176"/>
  <c r="F171"/>
  <c r="F175" s="1"/>
  <c r="F176"/>
  <c r="J171"/>
  <c r="J176"/>
  <c r="M171"/>
  <c r="M176"/>
  <c r="I171"/>
  <c r="I176"/>
  <c r="Q139"/>
  <c r="Y24"/>
  <c r="X90"/>
  <c r="H84"/>
  <c r="H173" s="1"/>
  <c r="X45"/>
  <c r="X131" s="1"/>
  <c r="T12"/>
  <c r="T16"/>
  <c r="T128" s="1"/>
  <c r="T15"/>
  <c r="T10"/>
  <c r="T17"/>
  <c r="T6"/>
  <c r="T7"/>
  <c r="X43"/>
  <c r="X130" s="1"/>
  <c r="W104"/>
  <c r="T63"/>
  <c r="S105"/>
  <c r="AB61"/>
  <c r="AE61" s="1"/>
  <c r="F84"/>
  <c r="F173" s="1"/>
  <c r="L84"/>
  <c r="L173" s="1"/>
  <c r="K84"/>
  <c r="K173" s="1"/>
  <c r="J84"/>
  <c r="J173" s="1"/>
  <c r="Z25"/>
  <c r="C84"/>
  <c r="C173" s="1"/>
  <c r="T169"/>
  <c r="I84"/>
  <c r="I173" s="1"/>
  <c r="Q74"/>
  <c r="G172"/>
  <c r="Q75"/>
  <c r="Q76"/>
  <c r="Q83"/>
  <c r="Q85"/>
  <c r="G171"/>
  <c r="Q73"/>
  <c r="G174"/>
  <c r="Q86"/>
  <c r="G84"/>
  <c r="Q82"/>
  <c r="N172"/>
  <c r="N171"/>
  <c r="N174"/>
  <c r="P172"/>
  <c r="L171"/>
  <c r="N84"/>
  <c r="M84"/>
  <c r="M173" s="1"/>
  <c r="P174"/>
  <c r="P84"/>
  <c r="S83"/>
  <c r="C6" i="12"/>
  <c r="C26" i="15"/>
  <c r="C58"/>
  <c r="C57"/>
  <c r="C54"/>
  <c r="C53"/>
  <c r="C50"/>
  <c r="C49"/>
  <c r="C45"/>
  <c r="T134" i="18" l="1"/>
  <c r="T133"/>
  <c r="T110"/>
  <c r="T129"/>
  <c r="T107"/>
  <c r="X124"/>
  <c r="X125"/>
  <c r="X126"/>
  <c r="X114"/>
  <c r="X109"/>
  <c r="X122"/>
  <c r="X121"/>
  <c r="T111"/>
  <c r="T112"/>
  <c r="T113"/>
  <c r="Y22"/>
  <c r="Z24"/>
  <c r="Y90"/>
  <c r="S82"/>
  <c r="S99"/>
  <c r="S78"/>
  <c r="S80"/>
  <c r="S175" s="1"/>
  <c r="S86"/>
  <c r="S174" s="1"/>
  <c r="S96"/>
  <c r="S98"/>
  <c r="S71"/>
  <c r="S70"/>
  <c r="S170" s="1"/>
  <c r="S79"/>
  <c r="S75"/>
  <c r="S76"/>
  <c r="S85"/>
  <c r="S74"/>
  <c r="S100"/>
  <c r="S73"/>
  <c r="Y45"/>
  <c r="Y131" s="1"/>
  <c r="U16"/>
  <c r="U128" s="1"/>
  <c r="U15"/>
  <c r="U12"/>
  <c r="S84"/>
  <c r="U17"/>
  <c r="U10"/>
  <c r="U7"/>
  <c r="U6"/>
  <c r="AC61"/>
  <c r="Y43"/>
  <c r="Y130" s="1"/>
  <c r="X104"/>
  <c r="U63"/>
  <c r="T106"/>
  <c r="T105"/>
  <c r="T65"/>
  <c r="T116" s="1"/>
  <c r="T117" s="1"/>
  <c r="T118" s="1"/>
  <c r="T119" s="1"/>
  <c r="S93"/>
  <c r="S94"/>
  <c r="S95"/>
  <c r="S92"/>
  <c r="AA25"/>
  <c r="U169"/>
  <c r="Q172"/>
  <c r="Q171"/>
  <c r="Q174"/>
  <c r="G173"/>
  <c r="Q84"/>
  <c r="N173"/>
  <c r="P173"/>
  <c r="C16" i="15"/>
  <c r="C21"/>
  <c r="C10"/>
  <c r="U110" i="18" l="1"/>
  <c r="U129"/>
  <c r="U134"/>
  <c r="U133"/>
  <c r="U107"/>
  <c r="Y126"/>
  <c r="Y125"/>
  <c r="Y124"/>
  <c r="Y114"/>
  <c r="T82"/>
  <c r="Y109"/>
  <c r="Y122"/>
  <c r="Y121"/>
  <c r="U111"/>
  <c r="U112"/>
  <c r="U113"/>
  <c r="T78"/>
  <c r="Z22"/>
  <c r="AA24"/>
  <c r="Z90"/>
  <c r="T80"/>
  <c r="T175" s="1"/>
  <c r="T86"/>
  <c r="T174" s="1"/>
  <c r="T96"/>
  <c r="T98"/>
  <c r="T70"/>
  <c r="T170" s="1"/>
  <c r="T71"/>
  <c r="T75"/>
  <c r="T74"/>
  <c r="T85"/>
  <c r="T100"/>
  <c r="T79"/>
  <c r="T76"/>
  <c r="T73"/>
  <c r="T83"/>
  <c r="T99"/>
  <c r="Z45"/>
  <c r="Z131" s="1"/>
  <c r="V15"/>
  <c r="V12"/>
  <c r="V16"/>
  <c r="V128" s="1"/>
  <c r="V10"/>
  <c r="V17"/>
  <c r="V6"/>
  <c r="V7"/>
  <c r="V63"/>
  <c r="U106"/>
  <c r="U105"/>
  <c r="Z43"/>
  <c r="Z130" s="1"/>
  <c r="Y104"/>
  <c r="U65"/>
  <c r="U116" s="1"/>
  <c r="U117" s="1"/>
  <c r="U118" s="1"/>
  <c r="U119" s="1"/>
  <c r="T95"/>
  <c r="T94"/>
  <c r="T93"/>
  <c r="T92"/>
  <c r="AB25"/>
  <c r="AE25" s="1"/>
  <c r="S173"/>
  <c r="V169"/>
  <c r="S171"/>
  <c r="S172"/>
  <c r="Q173"/>
  <c r="D31" i="8"/>
  <c r="D29"/>
  <c r="D28"/>
  <c r="D13"/>
  <c r="D30" s="1"/>
  <c r="E14"/>
  <c r="F14" s="1"/>
  <c r="G14" s="1"/>
  <c r="H14" s="1"/>
  <c r="I14" s="1"/>
  <c r="V107" i="18" l="1"/>
  <c r="V133"/>
  <c r="V134"/>
  <c r="V110"/>
  <c r="V129"/>
  <c r="Z126"/>
  <c r="Z125"/>
  <c r="Z124"/>
  <c r="Z114"/>
  <c r="U82"/>
  <c r="T84"/>
  <c r="T173" s="1"/>
  <c r="Z109"/>
  <c r="Z122"/>
  <c r="Z121"/>
  <c r="V111"/>
  <c r="V113"/>
  <c r="V112"/>
  <c r="AA22"/>
  <c r="AB24"/>
  <c r="AE24" s="1"/>
  <c r="AA90"/>
  <c r="U100"/>
  <c r="U99"/>
  <c r="U78"/>
  <c r="U86"/>
  <c r="U174" s="1"/>
  <c r="U85"/>
  <c r="U80"/>
  <c r="U175" s="1"/>
  <c r="U83"/>
  <c r="U74"/>
  <c r="U96"/>
  <c r="U98"/>
  <c r="U71"/>
  <c r="U70"/>
  <c r="U170" s="1"/>
  <c r="U79"/>
  <c r="U75"/>
  <c r="U76"/>
  <c r="U73"/>
  <c r="AA45"/>
  <c r="AA131" s="1"/>
  <c r="W12"/>
  <c r="W16"/>
  <c r="W128" s="1"/>
  <c r="W15"/>
  <c r="W17"/>
  <c r="W10"/>
  <c r="W7"/>
  <c r="W6"/>
  <c r="AA43"/>
  <c r="AA130" s="1"/>
  <c r="Z104"/>
  <c r="W63"/>
  <c r="V105"/>
  <c r="V106"/>
  <c r="V65"/>
  <c r="V116" s="1"/>
  <c r="V117" s="1"/>
  <c r="V118" s="1"/>
  <c r="V119" s="1"/>
  <c r="U95"/>
  <c r="U93"/>
  <c r="U94"/>
  <c r="U92"/>
  <c r="AC25"/>
  <c r="W169"/>
  <c r="T171"/>
  <c r="T172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134" i="18" l="1"/>
  <c r="W133"/>
  <c r="W110"/>
  <c r="W129"/>
  <c r="W107"/>
  <c r="AA125"/>
  <c r="AA124"/>
  <c r="AA126"/>
  <c r="AA114"/>
  <c r="U84"/>
  <c r="U173" s="1"/>
  <c r="AA109"/>
  <c r="AA122"/>
  <c r="AA121"/>
  <c r="V85"/>
  <c r="W111"/>
  <c r="W113"/>
  <c r="W112"/>
  <c r="AB22"/>
  <c r="V100"/>
  <c r="V76"/>
  <c r="V83"/>
  <c r="AC24"/>
  <c r="AB90"/>
  <c r="V74"/>
  <c r="V82"/>
  <c r="V79"/>
  <c r="V99"/>
  <c r="V75"/>
  <c r="V80"/>
  <c r="V175" s="1"/>
  <c r="V96"/>
  <c r="V98"/>
  <c r="V70"/>
  <c r="V170" s="1"/>
  <c r="V71"/>
  <c r="V78"/>
  <c r="V86"/>
  <c r="V174" s="1"/>
  <c r="V73"/>
  <c r="AB45"/>
  <c r="X16"/>
  <c r="X128" s="1"/>
  <c r="X15"/>
  <c r="X12"/>
  <c r="X10"/>
  <c r="X17"/>
  <c r="X6"/>
  <c r="X7"/>
  <c r="X63"/>
  <c r="W106"/>
  <c r="W105"/>
  <c r="AB43"/>
  <c r="AB130" s="1"/>
  <c r="AC130" s="1"/>
  <c r="AA104"/>
  <c r="W65"/>
  <c r="W116" s="1"/>
  <c r="W117" s="1"/>
  <c r="W118" s="1"/>
  <c r="W119" s="1"/>
  <c r="V95"/>
  <c r="V93"/>
  <c r="V94"/>
  <c r="V92"/>
  <c r="X169"/>
  <c r="U171"/>
  <c r="U172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110" i="18" l="1"/>
  <c r="X129"/>
  <c r="X134"/>
  <c r="X133"/>
  <c r="AE45"/>
  <c r="AB131"/>
  <c r="AC131" s="1"/>
  <c r="X107"/>
  <c r="AB124"/>
  <c r="AC124" s="1"/>
  <c r="AB126"/>
  <c r="AC126" s="1"/>
  <c r="AB125"/>
  <c r="AC125" s="1"/>
  <c r="N32" i="9"/>
  <c r="N33" s="1"/>
  <c r="N34" s="1"/>
  <c r="N35" s="1"/>
  <c r="N36" s="1"/>
  <c r="N37" s="1"/>
  <c r="N38" s="1"/>
  <c r="N39" s="1"/>
  <c r="N40" s="1"/>
  <c r="N41" s="1"/>
  <c r="N42" s="1"/>
  <c r="M45"/>
  <c r="AB114" i="18"/>
  <c r="AC114" s="1"/>
  <c r="V84"/>
  <c r="V173" s="1"/>
  <c r="W83"/>
  <c r="AB109"/>
  <c r="AC109" s="1"/>
  <c r="AB122"/>
  <c r="AC122" s="1"/>
  <c r="AB121"/>
  <c r="AC121" s="1"/>
  <c r="X111"/>
  <c r="X113"/>
  <c r="X112"/>
  <c r="AE43"/>
  <c r="AE22"/>
  <c r="AC22"/>
  <c r="S159"/>
  <c r="AE90"/>
  <c r="AC90"/>
  <c r="M32" i="9"/>
  <c r="M33" s="1"/>
  <c r="M34" s="1"/>
  <c r="M35" s="1"/>
  <c r="M36" s="1"/>
  <c r="M37" s="1"/>
  <c r="M38" s="1"/>
  <c r="M39" s="1"/>
  <c r="M40" s="1"/>
  <c r="M41" s="1"/>
  <c r="P32"/>
  <c r="W86" i="18"/>
  <c r="W174" s="1"/>
  <c r="W85"/>
  <c r="W80"/>
  <c r="W175" s="1"/>
  <c r="W82"/>
  <c r="W79"/>
  <c r="W99"/>
  <c r="W78"/>
  <c r="W100"/>
  <c r="W96"/>
  <c r="W98"/>
  <c r="W71"/>
  <c r="W70"/>
  <c r="W170" s="1"/>
  <c r="W74"/>
  <c r="W75"/>
  <c r="W76"/>
  <c r="W73"/>
  <c r="AC45"/>
  <c r="Y12"/>
  <c r="Y16"/>
  <c r="Y128" s="1"/>
  <c r="Y15"/>
  <c r="Y10"/>
  <c r="Y17"/>
  <c r="Y7"/>
  <c r="Y6"/>
  <c r="AC43"/>
  <c r="AB104"/>
  <c r="AC104" s="1"/>
  <c r="Y63"/>
  <c r="X106"/>
  <c r="X105"/>
  <c r="O31" i="9"/>
  <c r="O32" s="1"/>
  <c r="X65" i="18"/>
  <c r="X116" s="1"/>
  <c r="X117" s="1"/>
  <c r="X118" s="1"/>
  <c r="X119" s="1"/>
  <c r="W95"/>
  <c r="W93"/>
  <c r="W94"/>
  <c r="W92"/>
  <c r="Y169"/>
  <c r="V171"/>
  <c r="V172"/>
  <c r="P31" i="11"/>
  <c r="N32"/>
  <c r="T19" i="9"/>
  <c r="D22"/>
  <c r="Y134" i="18" l="1"/>
  <c r="Y133"/>
  <c r="Y110"/>
  <c r="Y129"/>
  <c r="Y107"/>
  <c r="W84"/>
  <c r="W173" s="1"/>
  <c r="X76"/>
  <c r="Y111"/>
  <c r="Y112"/>
  <c r="Y113"/>
  <c r="T159"/>
  <c r="R159" s="1"/>
  <c r="X78"/>
  <c r="X85"/>
  <c r="X73"/>
  <c r="X80"/>
  <c r="X175" s="1"/>
  <c r="X75"/>
  <c r="X74"/>
  <c r="X96"/>
  <c r="X98"/>
  <c r="X71"/>
  <c r="X70"/>
  <c r="X170" s="1"/>
  <c r="X100"/>
  <c r="X79"/>
  <c r="X86"/>
  <c r="X174" s="1"/>
  <c r="X83"/>
  <c r="X82"/>
  <c r="X99"/>
  <c r="Z15"/>
  <c r="Z12"/>
  <c r="Z16"/>
  <c r="Z128" s="1"/>
  <c r="Z10"/>
  <c r="Z17"/>
  <c r="Z6"/>
  <c r="Z7"/>
  <c r="Z63"/>
  <c r="Y106"/>
  <c r="Y105"/>
  <c r="Y65"/>
  <c r="Y116" s="1"/>
  <c r="Y117" s="1"/>
  <c r="Y118" s="1"/>
  <c r="Y119" s="1"/>
  <c r="X95"/>
  <c r="X93"/>
  <c r="X94"/>
  <c r="X92"/>
  <c r="Z169"/>
  <c r="W171"/>
  <c r="W172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110" i="18" l="1"/>
  <c r="Z129"/>
  <c r="Z133"/>
  <c r="Z134"/>
  <c r="Z107"/>
  <c r="Z111"/>
  <c r="Z112"/>
  <c r="Z113"/>
  <c r="X84"/>
  <c r="X173" s="1"/>
  <c r="Y96"/>
  <c r="Y98"/>
  <c r="Y70"/>
  <c r="Y170" s="1"/>
  <c r="Y71"/>
  <c r="Y80"/>
  <c r="Y175" s="1"/>
  <c r="Y86"/>
  <c r="Y174" s="1"/>
  <c r="Y85"/>
  <c r="Y83"/>
  <c r="Y74"/>
  <c r="Y73"/>
  <c r="Y79"/>
  <c r="Y75"/>
  <c r="Y76"/>
  <c r="Y82"/>
  <c r="Y99"/>
  <c r="Y78"/>
  <c r="Y100"/>
  <c r="AA12"/>
  <c r="AA16"/>
  <c r="AA128" s="1"/>
  <c r="AA15"/>
  <c r="AA10"/>
  <c r="AA17"/>
  <c r="AA7"/>
  <c r="AA6"/>
  <c r="AA63"/>
  <c r="Z105"/>
  <c r="Z106"/>
  <c r="Z65"/>
  <c r="Z116" s="1"/>
  <c r="Z117" s="1"/>
  <c r="Z118" s="1"/>
  <c r="Z119" s="1"/>
  <c r="Y95"/>
  <c r="Y93"/>
  <c r="Y94"/>
  <c r="Y92"/>
  <c r="AA169"/>
  <c r="X171"/>
  <c r="X172"/>
  <c r="N34" i="11"/>
  <c r="O33"/>
  <c r="D25" i="8"/>
  <c r="D23"/>
  <c r="AA107" i="18" l="1"/>
  <c r="AA133"/>
  <c r="AA134"/>
  <c r="AA110"/>
  <c r="AA129"/>
  <c r="AA111"/>
  <c r="AA112"/>
  <c r="AA113"/>
  <c r="Y84"/>
  <c r="Y173" s="1"/>
  <c r="Z96"/>
  <c r="Z98"/>
  <c r="Z71"/>
  <c r="Z70"/>
  <c r="Z170" s="1"/>
  <c r="Z74"/>
  <c r="Z85"/>
  <c r="Z75"/>
  <c r="Z80"/>
  <c r="Z175" s="1"/>
  <c r="Z83"/>
  <c r="Z82"/>
  <c r="Z100"/>
  <c r="Z86"/>
  <c r="Z174" s="1"/>
  <c r="Z73"/>
  <c r="Z79"/>
  <c r="Z99"/>
  <c r="Z78"/>
  <c r="Z76"/>
  <c r="AB16"/>
  <c r="AB15"/>
  <c r="AB12"/>
  <c r="AB129" s="1"/>
  <c r="AC129" s="1"/>
  <c r="AB10"/>
  <c r="AB17"/>
  <c r="AE17" s="1"/>
  <c r="AB6"/>
  <c r="AE6" s="1"/>
  <c r="AB7"/>
  <c r="AE7" s="1"/>
  <c r="AB63"/>
  <c r="AA106"/>
  <c r="AA105"/>
  <c r="AA65"/>
  <c r="AA116" s="1"/>
  <c r="AA117" s="1"/>
  <c r="AA118" s="1"/>
  <c r="AA119" s="1"/>
  <c r="Z95"/>
  <c r="Z93"/>
  <c r="Z94"/>
  <c r="Z92"/>
  <c r="AB169"/>
  <c r="Y171"/>
  <c r="Y172"/>
  <c r="N35" i="11"/>
  <c r="O34"/>
  <c r="D35" i="8"/>
  <c r="E5"/>
  <c r="E18" s="1"/>
  <c r="D18"/>
  <c r="D19"/>
  <c r="D21"/>
  <c r="D20"/>
  <c r="AB134" i="18" l="1"/>
  <c r="AC134" s="1"/>
  <c r="AB133"/>
  <c r="AC133" s="1"/>
  <c r="AB128"/>
  <c r="AC128" s="1"/>
  <c r="AB107"/>
  <c r="AC107" s="1"/>
  <c r="AE10"/>
  <c r="AB111"/>
  <c r="AC111" s="1"/>
  <c r="AE12"/>
  <c r="AB110"/>
  <c r="AC110" s="1"/>
  <c r="AE63"/>
  <c r="AB112"/>
  <c r="AC112" s="1"/>
  <c r="AB113"/>
  <c r="AC113" s="1"/>
  <c r="Z84"/>
  <c r="Z173" s="1"/>
  <c r="AA96"/>
  <c r="AA98"/>
  <c r="AA70"/>
  <c r="AA170" s="1"/>
  <c r="AA71"/>
  <c r="AA78"/>
  <c r="AA86"/>
  <c r="AA174" s="1"/>
  <c r="AA73"/>
  <c r="AA80"/>
  <c r="AA175" s="1"/>
  <c r="AA83"/>
  <c r="AA99"/>
  <c r="AA74"/>
  <c r="AA75"/>
  <c r="AA76"/>
  <c r="AA79"/>
  <c r="AA100"/>
  <c r="AA82"/>
  <c r="AA85"/>
  <c r="AC16"/>
  <c r="AC15"/>
  <c r="S153"/>
  <c r="AC12"/>
  <c r="AC10"/>
  <c r="AC17"/>
  <c r="AC7"/>
  <c r="AC6"/>
  <c r="AB106"/>
  <c r="AC106" s="1"/>
  <c r="AB105"/>
  <c r="AC105" s="1"/>
  <c r="AC63"/>
  <c r="AB65"/>
  <c r="AB116" s="1"/>
  <c r="AB117" s="1"/>
  <c r="AB118" s="1"/>
  <c r="AB119" s="1"/>
  <c r="AA95"/>
  <c r="AA93"/>
  <c r="AA94"/>
  <c r="AA92"/>
  <c r="AC169"/>
  <c r="AE169" s="1"/>
  <c r="Z171"/>
  <c r="Z172"/>
  <c r="N36" i="11"/>
  <c r="O35"/>
  <c r="F5" i="8"/>
  <c r="G5" s="1"/>
  <c r="H5" s="1"/>
  <c r="I5" s="1"/>
  <c r="AE65" i="18" l="1"/>
  <c r="T153"/>
  <c r="T154" s="1"/>
  <c r="AA84"/>
  <c r="AA173" s="1"/>
  <c r="AB96"/>
  <c r="AB98"/>
  <c r="AE98" s="1"/>
  <c r="AB70"/>
  <c r="AB170" s="1"/>
  <c r="AC170" s="1"/>
  <c r="AE170" s="1"/>
  <c r="AB71"/>
  <c r="AB78"/>
  <c r="AB83"/>
  <c r="AB73"/>
  <c r="AE73" s="1"/>
  <c r="AB80"/>
  <c r="AB76"/>
  <c r="AB99"/>
  <c r="AB75"/>
  <c r="AE75" s="1"/>
  <c r="AB74"/>
  <c r="AB85"/>
  <c r="AB100"/>
  <c r="AB79"/>
  <c r="AB86"/>
  <c r="AB82"/>
  <c r="S154"/>
  <c r="AB95"/>
  <c r="AB93"/>
  <c r="AC65"/>
  <c r="AB94"/>
  <c r="AB92"/>
  <c r="AA171"/>
  <c r="AA172"/>
  <c r="N37" i="11"/>
  <c r="O36"/>
  <c r="F18" i="8"/>
  <c r="G18"/>
  <c r="AC116" i="18" l="1"/>
  <c r="R153"/>
  <c r="R154"/>
  <c r="AC99"/>
  <c r="AE99"/>
  <c r="AC71"/>
  <c r="AE71"/>
  <c r="S150"/>
  <c r="AE85"/>
  <c r="AB174"/>
  <c r="AC174" s="1"/>
  <c r="AE174" s="1"/>
  <c r="AE86"/>
  <c r="AC70"/>
  <c r="AC83"/>
  <c r="AE83"/>
  <c r="S144"/>
  <c r="AE82"/>
  <c r="S143"/>
  <c r="AE76"/>
  <c r="AB175"/>
  <c r="AC175" s="1"/>
  <c r="AE175" s="1"/>
  <c r="AE80"/>
  <c r="AC79"/>
  <c r="AE79"/>
  <c r="S141"/>
  <c r="AE74"/>
  <c r="S146"/>
  <c r="AE78"/>
  <c r="AC100"/>
  <c r="AE100"/>
  <c r="S166"/>
  <c r="AE96"/>
  <c r="S164"/>
  <c r="AE95"/>
  <c r="S163"/>
  <c r="AE94"/>
  <c r="S161"/>
  <c r="AE92"/>
  <c r="S162"/>
  <c r="AE93"/>
  <c r="AC85"/>
  <c r="S147"/>
  <c r="AC74"/>
  <c r="AC76"/>
  <c r="T143" s="1"/>
  <c r="AC78"/>
  <c r="S148"/>
  <c r="AC96"/>
  <c r="AC82"/>
  <c r="S151"/>
  <c r="AB84"/>
  <c r="AC80"/>
  <c r="AC86"/>
  <c r="AC98"/>
  <c r="AC94"/>
  <c r="AC93"/>
  <c r="AC92"/>
  <c r="AC95"/>
  <c r="S140"/>
  <c r="AC73"/>
  <c r="T140" s="1"/>
  <c r="AB171"/>
  <c r="AC75"/>
  <c r="T142" s="1"/>
  <c r="AB172"/>
  <c r="S142"/>
  <c r="N38" i="11"/>
  <c r="O37"/>
  <c r="H18" i="8"/>
  <c r="P184" i="18" l="1"/>
  <c r="M184"/>
  <c r="AC117"/>
  <c r="T151"/>
  <c r="R151" s="1"/>
  <c r="T141"/>
  <c r="R141" s="1"/>
  <c r="T150"/>
  <c r="R150" s="1"/>
  <c r="T146"/>
  <c r="R146" s="1"/>
  <c r="T148"/>
  <c r="R148" s="1"/>
  <c r="T166"/>
  <c r="R166" s="1"/>
  <c r="T163"/>
  <c r="R163" s="1"/>
  <c r="AC84"/>
  <c r="AE84"/>
  <c r="T144"/>
  <c r="R144" s="1"/>
  <c r="R143"/>
  <c r="T147"/>
  <c r="R147" s="1"/>
  <c r="T161"/>
  <c r="R161" s="1"/>
  <c r="AB173"/>
  <c r="AC173" s="1"/>
  <c r="AE173" s="1"/>
  <c r="T164"/>
  <c r="R164" s="1"/>
  <c r="T162"/>
  <c r="R162" s="1"/>
  <c r="R140"/>
  <c r="P185" s="1"/>
  <c r="AC172"/>
  <c r="AE172" s="1"/>
  <c r="AC171"/>
  <c r="AE171" s="1"/>
  <c r="R142"/>
  <c r="N39" i="11"/>
  <c r="O38"/>
  <c r="I18" i="8"/>
  <c r="P183" i="18" l="1"/>
  <c r="M183"/>
  <c r="P182"/>
  <c r="M182"/>
  <c r="AC119"/>
  <c r="AC118"/>
  <c r="N40" i="11"/>
  <c r="O39"/>
  <c r="N41" l="1"/>
  <c r="O40"/>
  <c r="N42" l="1"/>
  <c r="O41"/>
</calcChain>
</file>

<file path=xl/sharedStrings.xml><?xml version="1.0" encoding="utf-8"?>
<sst xmlns="http://schemas.openxmlformats.org/spreadsheetml/2006/main" count="538" uniqueCount="385">
  <si>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</si>
  <si>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</si>
  <si>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</si>
  <si>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</si>
  <si>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</si>
  <si>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</si>
  <si>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</si>
  <si>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</si>
  <si>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</si>
  <si>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</si>
  <si>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</si>
  <si>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</si>
  <si>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</si>
  <si>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</si>
  <si>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</si>
  <si>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</si>
  <si>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</si>
  <si>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</si>
  <si>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</si>
  <si>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</si>
  <si>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</si>
  <si>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</si>
  <si>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</si>
  <si>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</si>
  <si>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</si>
  <si>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</si>
  <si>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</si>
  <si>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</si>
  <si>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</si>
  <si>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</si>
  <si>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</si>
  <si>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</si>
  <si>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</si>
  <si>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</si>
  <si>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</si>
  <si>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</si>
  <si>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</si>
  <si>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</si>
  <si>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</si>
  <si>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</si>
  <si>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</si>
  <si>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</si>
  <si>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</si>
  <si>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</si>
  <si>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</si>
  <si>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</si>
  <si>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</si>
  <si>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</si>
  <si>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</si>
  <si>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</si>
  <si>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</si>
  <si>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</si>
  <si>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</si>
  <si>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</si>
  <si>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</si>
  <si>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</si>
  <si>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</si>
  <si>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</si>
  <si>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</si>
  <si>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</si>
  <si>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</si>
  <si>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</si>
  <si>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</si>
  <si>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</si>
  <si>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</si>
  <si>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</si>
  <si>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</si>
  <si>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</si>
  <si>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</si>
  <si>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</si>
  <si>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</si>
  <si>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</si>
  <si>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</si>
  <si>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</si>
  <si>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</si>
  <si>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</si>
  <si>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</si>
  <si>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</si>
  <si>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</si>
  <si>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</si>
  <si>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</si>
  <si>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</si>
  <si>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</si>
  <si>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</si>
  <si>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</si>
  <si>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</si>
  <si>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</si>
  <si>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</si>
  <si>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</si>
  <si>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</si>
  <si>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</si>
  <si>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</si>
  <si>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</si>
  <si>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</si>
  <si>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</si>
  <si>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</si>
  <si>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</si>
  <si>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</si>
  <si>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</si>
  <si>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</si>
  <si>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</si>
  <si>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</si>
  <si>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</si>
  <si>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</si>
  <si>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</si>
  <si>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</si>
  <si>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</si>
  <si>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</si>
  <si>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</si>
  <si>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</si>
  <si>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</si>
  <si>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</si>
  <si>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</si>
  <si>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</si>
  <si>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</si>
  <si>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</si>
  <si>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</si>
  <si>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</si>
  <si>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</si>
  <si>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</si>
  <si>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</si>
  <si>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</si>
  <si>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</si>
  <si>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</si>
  <si>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</si>
  <si>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</si>
  <si>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</si>
  <si>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</si>
  <si>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</si>
  <si>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</si>
  <si>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</si>
  <si>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</si>
  <si>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</si>
  <si>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</si>
  <si>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</si>
  <si>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</si>
  <si>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</si>
  <si>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</si>
  <si>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</si>
  <si>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</si>
  <si>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</si>
  <si>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</si>
  <si>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</si>
  <si>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</si>
  <si>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</si>
  <si>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</si>
  <si>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</si>
  <si>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</si>
  <si>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</si>
  <si>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</si>
  <si>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</si>
  <si>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</si>
  <si>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</si>
  <si>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</si>
  <si>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</si>
  <si>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</si>
  <si>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</si>
  <si>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</si>
  <si>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</si>
  <si>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</si>
  <si>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</si>
  <si>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</si>
  <si>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</si>
  <si>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</si>
  <si>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</si>
  <si>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</si>
  <si>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</si>
  <si>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</si>
  <si>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</si>
  <si>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</si>
  <si>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</si>
  <si>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</si>
  <si>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</si>
  <si>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</si>
  <si>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</si>
  <si>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</si>
  <si>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</si>
  <si>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</si>
  <si>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</si>
  <si>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</si>
  <si>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</si>
  <si>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</si>
  <si>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</si>
  <si>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</si>
  <si>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</si>
  <si>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</si>
  <si>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</si>
  <si>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</si>
  <si>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</si>
  <si>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</si>
  <si>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</si>
  <si>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</si>
  <si>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</si>
  <si>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</si>
  <si>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</si>
  <si>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</si>
  <si>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</si>
  <si>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</si>
  <si>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</si>
  <si>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</si>
  <si>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</si>
  <si>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</si>
  <si>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</si>
  <si>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</si>
  <si>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</si>
  <si>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</si>
  <si>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</si>
  <si>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</si>
  <si>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</si>
  <si>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</si>
  <si>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</si>
  <si>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</si>
  <si>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</si>
  <si>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</si>
  <si>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</si>
  <si>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</si>
  <si>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</si>
  <si>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</si>
  <si>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</si>
  <si>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</si>
  <si>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</si>
  <si>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</si>
  <si>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</si>
  <si>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</si>
  <si>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</si>
  <si>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</si>
  <si>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</si>
  <si>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</si>
  <si>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</si>
  <si>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</si>
  <si>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</si>
  <si>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</si>
  <si>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</si>
  <si>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</si>
  <si>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</si>
  <si>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</si>
  <si>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</si>
  <si>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</si>
  <si>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</si>
  <si>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</si>
  <si>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</si>
  <si>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</si>
  <si>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</si>
  <si>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</si>
  <si>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</si>
  <si>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</si>
  <si>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</si>
  <si>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</si>
  <si>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</si>
  <si>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</si>
  <si>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</si>
  <si>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</si>
  <si>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</si>
  <si>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</si>
  <si>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</si>
  <si>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</si>
  <si>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</si>
  <si>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</si>
  <si>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</si>
  <si>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</si>
  <si>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</si>
  <si>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</si>
  <si>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</si>
  <si>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</si>
  <si>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</si>
  <si>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</si>
  <si>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</si>
  <si>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</si>
  <si>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</si>
  <si>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</si>
  <si>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</si>
  <si>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</si>
  <si>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</si>
  <si>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</si>
  <si>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</si>
  <si>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</si>
  <si>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</si>
  <si>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</si>
  <si>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</si>
  <si>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</si>
  <si>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</si>
  <si>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</si>
  <si>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</si>
  <si>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</si>
  <si>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</si>
  <si>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</si>
  <si>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</si>
  <si>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</si>
  <si>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</si>
  <si>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</si>
  <si>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</si>
  <si>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</si>
  <si>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</si>
  <si>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</si>
  <si>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</si>
  <si>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</si>
  <si>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</si>
  <si>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</si>
  <si>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</si>
  <si>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</si>
  <si>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</si>
  <si>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</si>
  <si>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</si>
  <si>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</si>
  <si>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</si>
  <si>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</si>
  <si>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</si>
  <si>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</si>
  <si>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</si>
  <si>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</si>
  <si>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</si>
  <si>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</si>
  <si>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</si>
  <si>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</si>
  <si>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</si>
  <si>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</si>
  <si>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</si>
  <si>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</si>
  <si>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</si>
  <si>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</si>
  <si>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</si>
  <si>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</si>
  <si>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</si>
  <si>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</si>
  <si>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</si>
  <si>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</si>
  <si>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</si>
  <si>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</si>
  <si>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</si>
  <si>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</si>
  <si>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</si>
  <si>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</si>
  <si>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</si>
  <si>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</si>
  <si>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</si>
  <si>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</si>
  <si>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</si>
  <si>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</si>
  <si>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</si>
  <si>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</si>
  <si>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</si>
  <si>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</si>
  <si>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</si>
  <si>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</si>
  <si>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</si>
  <si>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</si>
  <si>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</si>
  <si>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</si>
  <si>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</si>
  <si>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</si>
  <si>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</si>
  <si>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</si>
  <si>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</si>
  <si>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</si>
  <si>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</si>
  <si>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</si>
  <si>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</si>
  <si>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</si>
  <si>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Cuurent Ratio (CA/CL) - preferred 2</t>
  </si>
  <si>
    <t>Quick ratio (CA/CL) - preferred is 1</t>
  </si>
  <si>
    <t>COGS per day in Cr</t>
  </si>
  <si>
    <t>Avg per day sales in Cr</t>
  </si>
  <si>
    <t>Debt to Equity Ratio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</si>
  <si>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</si>
  <si>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</si>
  <si>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</si>
  <si>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</si>
  <si>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</si>
  <si>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</si>
  <si>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</si>
  <si>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</si>
  <si>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</si>
  <si>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</si>
  <si>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</si>
  <si>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</si>
  <si>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</si>
  <si>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</si>
  <si>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</si>
  <si>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</si>
  <si>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</si>
  <si>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</si>
  <si>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</si>
  <si>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</si>
  <si>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</si>
  <si>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Peak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</si>
</sst>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6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4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9603968"/>
        <c:axId val="79618048"/>
      </c:lineChart>
      <c:catAx>
        <c:axId val="79603968"/>
        <c:scaling>
          <c:orientation val="minMax"/>
        </c:scaling>
        <c:axPos val="b"/>
        <c:tickLblPos val="nextTo"/>
        <c:crossAx val="79618048"/>
        <c:crosses val="autoZero"/>
        <c:auto val="1"/>
        <c:lblAlgn val="ctr"/>
        <c:lblOffset val="100"/>
      </c:catAx>
      <c:valAx>
        <c:axId val="79618048"/>
        <c:scaling>
          <c:orientation val="minMax"/>
        </c:scaling>
        <c:axPos val="l"/>
        <c:majorGridlines/>
        <c:numFmt formatCode="General" sourceLinked="1"/>
        <c:tickLblPos val="nextTo"/>
        <c:crossAx val="7960396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203"/>
  <sheetViews>
    <sheetView tabSelected="1" zoomScale="80" zoomScaleNormal="80" workbookViewId="0">
      <pane xSplit="2" ySplit="3" topLeftCell="C190" activePane="bottomRight" state="frozen"/>
      <selection pane="topRight" activeCell="C1" sqref="C1"/>
      <selection pane="bottomLeft" activeCell="A5" sqref="A5"/>
      <selection pane="bottomRight" activeCell="L202" sqref="L202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330</v>
      </c>
      <c r="L1" s="165">
        <v>0.08</v>
      </c>
    </row>
    <row r="2" spans="2:31">
      <c r="B2" s="154" t="s">
        <v>316</v>
      </c>
      <c r="C2" s="120"/>
      <c r="F2" s="104" t="s">
        <v>253</v>
      </c>
      <c r="H2" s="126">
        <v>2013</v>
      </c>
      <c r="J2" s="104" t="s">
        <v>331</v>
      </c>
      <c r="L2" s="165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78" t="s">
        <v>292</v>
      </c>
      <c r="AE2" s="179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0" t="s">
        <v>293</v>
      </c>
      <c r="AE3" s="181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18" t="e">
        <f>((P6/G6)^(1/($H$2-$H$1) ))-1</f>
        <v>#DIV/0!</v>
      </c>
      <c r="R6" s="31">
        <f>$L$2</f>
        <v>0.12</v>
      </c>
      <c r="S6" s="155">
        <f>P6*(1+$R6)</f>
        <v>0</v>
      </c>
      <c r="T6" s="155">
        <f>S6*(1+$R6)</f>
        <v>0</v>
      </c>
      <c r="U6" s="155">
        <f t="shared" ref="U6:AB6" si="0">T6*(1+$R6)</f>
        <v>0</v>
      </c>
      <c r="V6" s="155">
        <f t="shared" si="0"/>
        <v>0</v>
      </c>
      <c r="W6" s="155">
        <f t="shared" si="0"/>
        <v>0</v>
      </c>
      <c r="X6" s="155">
        <f t="shared" si="0"/>
        <v>0</v>
      </c>
      <c r="Y6" s="155">
        <f t="shared" si="0"/>
        <v>0</v>
      </c>
      <c r="Z6" s="155">
        <f t="shared" si="0"/>
        <v>0</v>
      </c>
      <c r="AA6" s="155">
        <f t="shared" si="0"/>
        <v>0</v>
      </c>
      <c r="AB6" s="155">
        <f t="shared" si="0"/>
        <v>0</v>
      </c>
      <c r="AC6" s="138" t="e">
        <f>((AB6/G6)^(1/($AB$3-$H$1) ))-1</f>
        <v>#DIV/0!</v>
      </c>
      <c r="AD6" s="31">
        <f>$L$1</f>
        <v>0.08</v>
      </c>
      <c r="AE6" s="146">
        <f t="shared" ref="AE6:AE67" si="1">(AB6*(1+AD6))/($C$1-AD6)</f>
        <v>0</v>
      </c>
    </row>
    <row r="7" spans="2:31">
      <c r="B7" s="20" t="s">
        <v>240</v>
      </c>
      <c r="C7" s="141"/>
      <c r="D7" s="141"/>
      <c r="E7" s="147"/>
      <c r="F7" s="147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18" t="e">
        <f>((P7/G7)^(1/($H$2-$H$1) ))-1</f>
        <v>#DIV/0!</v>
      </c>
      <c r="R7" s="31">
        <f>$L$2</f>
        <v>0.12</v>
      </c>
      <c r="S7" s="155">
        <f t="shared" ref="S7:S17" si="2">P7*(1+$R7)</f>
        <v>0</v>
      </c>
      <c r="T7" s="155">
        <f t="shared" ref="T7:AB7" si="3">S7*(1+$R7)</f>
        <v>0</v>
      </c>
      <c r="U7" s="155">
        <f t="shared" si="3"/>
        <v>0</v>
      </c>
      <c r="V7" s="155">
        <f t="shared" si="3"/>
        <v>0</v>
      </c>
      <c r="W7" s="155">
        <f t="shared" si="3"/>
        <v>0</v>
      </c>
      <c r="X7" s="155">
        <f t="shared" si="3"/>
        <v>0</v>
      </c>
      <c r="Y7" s="155">
        <f t="shared" si="3"/>
        <v>0</v>
      </c>
      <c r="Z7" s="155">
        <f t="shared" si="3"/>
        <v>0</v>
      </c>
      <c r="AA7" s="155">
        <f t="shared" si="3"/>
        <v>0</v>
      </c>
      <c r="AB7" s="155">
        <f t="shared" si="3"/>
        <v>0</v>
      </c>
      <c r="AC7" s="138" t="e">
        <f>((AB7/G7)^(1/($AB$3-$H$1) ))-1</f>
        <v>#DIV/0!</v>
      </c>
      <c r="AD7" s="31">
        <f>$L$1</f>
        <v>0.08</v>
      </c>
      <c r="AE7" s="146">
        <f t="shared" si="1"/>
        <v>0</v>
      </c>
    </row>
    <row r="8" spans="2:31">
      <c r="B8" s="20"/>
      <c r="C8" s="141"/>
      <c r="D8" s="141"/>
      <c r="E8" s="147"/>
      <c r="F8" s="147"/>
      <c r="G8" s="149" t="e">
        <f>(G7-F7)/G7</f>
        <v>#DIV/0!</v>
      </c>
      <c r="H8" s="152" t="e">
        <f>(H7-G7)/H7</f>
        <v>#DIV/0!</v>
      </c>
      <c r="I8" s="152" t="e">
        <f t="shared" ref="I8:P8" si="4">(I7-H7)/I7</f>
        <v>#DIV/0!</v>
      </c>
      <c r="J8" s="152" t="e">
        <f t="shared" si="4"/>
        <v>#DIV/0!</v>
      </c>
      <c r="K8" s="152" t="e">
        <f t="shared" si="4"/>
        <v>#DIV/0!</v>
      </c>
      <c r="L8" s="152" t="e">
        <f t="shared" si="4"/>
        <v>#DIV/0!</v>
      </c>
      <c r="M8" s="152" t="e">
        <f t="shared" si="4"/>
        <v>#DIV/0!</v>
      </c>
      <c r="N8" s="152" t="e">
        <f t="shared" si="4"/>
        <v>#DIV/0!</v>
      </c>
      <c r="O8" s="152" t="e">
        <f t="shared" si="4"/>
        <v>#DIV/0!</v>
      </c>
      <c r="P8" s="152" t="e">
        <f t="shared" si="4"/>
        <v>#DIV/0!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18" t="e">
        <f t="shared" ref="Q9:Q17" si="5">((P9/G9)^(1/($H$2-$H$1) ))-1</f>
        <v>#DIV/0!</v>
      </c>
      <c r="R9" s="31">
        <f t="shared" ref="R9:R63" si="6">$L$2</f>
        <v>0.12</v>
      </c>
      <c r="S9" s="155">
        <f t="shared" ref="S9" si="7">P9*(1+$R9)</f>
        <v>0</v>
      </c>
      <c r="T9" s="155">
        <f t="shared" ref="T9" si="8">S9*(1+$R9)</f>
        <v>0</v>
      </c>
      <c r="U9" s="155">
        <f t="shared" ref="U9" si="9">T9*(1+$R9)</f>
        <v>0</v>
      </c>
      <c r="V9" s="155">
        <f t="shared" ref="V9" si="10">U9*(1+$R9)</f>
        <v>0</v>
      </c>
      <c r="W9" s="155">
        <f t="shared" ref="W9" si="11">V9*(1+$R9)</f>
        <v>0</v>
      </c>
      <c r="X9" s="155">
        <f t="shared" ref="X9" si="12">W9*(1+$R9)</f>
        <v>0</v>
      </c>
      <c r="Y9" s="155">
        <f t="shared" ref="Y9" si="13">X9*(1+$R9)</f>
        <v>0</v>
      </c>
      <c r="Z9" s="155">
        <f t="shared" ref="Z9" si="14">Y9*(1+$R9)</f>
        <v>0</v>
      </c>
      <c r="AA9" s="155">
        <f t="shared" ref="AA9" si="15">Z9*(1+$R9)</f>
        <v>0</v>
      </c>
      <c r="AB9" s="155">
        <f t="shared" ref="AB9" si="16">AA9*(1+$R9)</f>
        <v>0</v>
      </c>
      <c r="AC9" s="138" t="e">
        <f>((AB9/G9)^(1/($AB$3-$H$1) ))-1</f>
        <v>#DIV/0!</v>
      </c>
      <c r="AD9" s="31">
        <f t="shared" ref="AD9:AD99" si="17">$L$1</f>
        <v>0.08</v>
      </c>
      <c r="AE9" s="146">
        <f t="shared" si="1"/>
        <v>0</v>
      </c>
    </row>
    <row r="10" spans="2:31">
      <c r="B10" s="20" t="s">
        <v>4</v>
      </c>
      <c r="C10" s="141"/>
      <c r="D10" s="141"/>
      <c r="E10" s="147"/>
      <c r="F10" s="147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18" t="e">
        <f t="shared" si="5"/>
        <v>#DIV/0!</v>
      </c>
      <c r="R10" s="31">
        <f t="shared" si="6"/>
        <v>0.12</v>
      </c>
      <c r="S10" s="155">
        <f t="shared" si="2"/>
        <v>0</v>
      </c>
      <c r="T10" s="155">
        <f t="shared" ref="T10:AB10" si="18">S10*(1+$R10)</f>
        <v>0</v>
      </c>
      <c r="U10" s="155">
        <f t="shared" si="18"/>
        <v>0</v>
      </c>
      <c r="V10" s="155">
        <f t="shared" si="18"/>
        <v>0</v>
      </c>
      <c r="W10" s="155">
        <f t="shared" si="18"/>
        <v>0</v>
      </c>
      <c r="X10" s="155">
        <f t="shared" si="18"/>
        <v>0</v>
      </c>
      <c r="Y10" s="155">
        <f t="shared" si="18"/>
        <v>0</v>
      </c>
      <c r="Z10" s="155">
        <f t="shared" si="18"/>
        <v>0</v>
      </c>
      <c r="AA10" s="155">
        <f t="shared" si="18"/>
        <v>0</v>
      </c>
      <c r="AB10" s="155">
        <f t="shared" si="18"/>
        <v>0</v>
      </c>
      <c r="AC10" s="138" t="e">
        <f t="shared" ref="AC10:AC66" si="19">((AB10/G10)^(1/($AB$3-$H$1) ))-1</f>
        <v>#DIV/0!</v>
      </c>
      <c r="AD10" s="31">
        <f t="shared" si="17"/>
        <v>0.08</v>
      </c>
      <c r="AE10" s="146">
        <f t="shared" si="1"/>
        <v>0</v>
      </c>
    </row>
    <row r="11" spans="2:31">
      <c r="B11" s="20"/>
      <c r="C11" s="141"/>
      <c r="D11" s="141"/>
      <c r="E11" s="147"/>
      <c r="F11" s="147"/>
      <c r="G11" s="149" t="e">
        <f>(G10-F10)/G10</f>
        <v>#DIV/0!</v>
      </c>
      <c r="H11" s="148" t="e">
        <f>(H10-G10)/H10</f>
        <v>#DIV/0!</v>
      </c>
      <c r="I11" s="148" t="e">
        <f t="shared" ref="I11" si="20">(I10-H10)/I10</f>
        <v>#DIV/0!</v>
      </c>
      <c r="J11" s="148" t="e">
        <f t="shared" ref="J11" si="21">(J10-I10)/J10</f>
        <v>#DIV/0!</v>
      </c>
      <c r="K11" s="148" t="e">
        <f t="shared" ref="K11" si="22">(K10-J10)/K10</f>
        <v>#DIV/0!</v>
      </c>
      <c r="L11" s="148" t="e">
        <f t="shared" ref="L11" si="23">(L10-K10)/L10</f>
        <v>#DIV/0!</v>
      </c>
      <c r="M11" s="148" t="e">
        <f t="shared" ref="M11" si="24">(M10-L10)/M10</f>
        <v>#DIV/0!</v>
      </c>
      <c r="N11" s="148" t="e">
        <f t="shared" ref="N11" si="25">(N10-M10)/N10</f>
        <v>#DIV/0!</v>
      </c>
      <c r="O11" s="148" t="e">
        <f t="shared" ref="O11" si="26">(O10-N10)/O10</f>
        <v>#DIV/0!</v>
      </c>
      <c r="P11" s="148" t="e">
        <f t="shared" ref="P11" si="27">(P10-O10)/P10</f>
        <v>#DIV/0!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18" t="e">
        <f t="shared" si="5"/>
        <v>#DIV/0!</v>
      </c>
      <c r="R12" s="31">
        <f t="shared" si="6"/>
        <v>0.12</v>
      </c>
      <c r="S12" s="155">
        <f t="shared" si="2"/>
        <v>0</v>
      </c>
      <c r="T12" s="155">
        <f t="shared" ref="T12:AB14" si="28">S12*(1+$R12)</f>
        <v>0</v>
      </c>
      <c r="U12" s="155">
        <f t="shared" si="28"/>
        <v>0</v>
      </c>
      <c r="V12" s="155">
        <f t="shared" si="28"/>
        <v>0</v>
      </c>
      <c r="W12" s="155">
        <f t="shared" si="28"/>
        <v>0</v>
      </c>
      <c r="X12" s="155">
        <f t="shared" si="28"/>
        <v>0</v>
      </c>
      <c r="Y12" s="155">
        <f t="shared" si="28"/>
        <v>0</v>
      </c>
      <c r="Z12" s="155">
        <f t="shared" si="28"/>
        <v>0</v>
      </c>
      <c r="AA12" s="155">
        <f t="shared" si="28"/>
        <v>0</v>
      </c>
      <c r="AB12" s="155">
        <f t="shared" si="28"/>
        <v>0</v>
      </c>
      <c r="AC12" s="138" t="e">
        <f t="shared" si="19"/>
        <v>#DIV/0!</v>
      </c>
      <c r="AD12" s="31">
        <f t="shared" si="17"/>
        <v>0.08</v>
      </c>
      <c r="AE12" s="146">
        <f t="shared" si="1"/>
        <v>0</v>
      </c>
    </row>
    <row r="13" spans="2:31">
      <c r="B13" s="20" t="s">
        <v>366</v>
      </c>
      <c r="C13" s="141"/>
      <c r="D13" s="141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18" t="e">
        <f t="shared" si="5"/>
        <v>#DIV/0!</v>
      </c>
      <c r="R13" s="31">
        <v>0.1</v>
      </c>
      <c r="S13" s="155">
        <f t="shared" si="2"/>
        <v>0</v>
      </c>
      <c r="T13" s="155">
        <f t="shared" si="28"/>
        <v>0</v>
      </c>
      <c r="U13" s="155">
        <f t="shared" si="28"/>
        <v>0</v>
      </c>
      <c r="V13" s="155">
        <f t="shared" si="28"/>
        <v>0</v>
      </c>
      <c r="W13" s="155">
        <f t="shared" si="28"/>
        <v>0</v>
      </c>
      <c r="X13" s="155">
        <f t="shared" si="28"/>
        <v>0</v>
      </c>
      <c r="Y13" s="155">
        <f t="shared" si="28"/>
        <v>0</v>
      </c>
      <c r="Z13" s="155">
        <f t="shared" si="28"/>
        <v>0</v>
      </c>
      <c r="AA13" s="155">
        <f t="shared" si="28"/>
        <v>0</v>
      </c>
      <c r="AB13" s="155">
        <f t="shared" si="28"/>
        <v>0</v>
      </c>
      <c r="AC13" s="138" t="e">
        <f>((AB13/G13)^(1/($AB$3-$H$1) ))-1</f>
        <v>#DIV/0!</v>
      </c>
      <c r="AD13" s="31">
        <v>0.08</v>
      </c>
      <c r="AE13" s="146">
        <f t="shared" si="1"/>
        <v>0</v>
      </c>
    </row>
    <row r="14" spans="2:31">
      <c r="B14" s="20" t="s">
        <v>367</v>
      </c>
      <c r="C14" s="141"/>
      <c r="D14" s="141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18" t="e">
        <f t="shared" si="5"/>
        <v>#DIV/0!</v>
      </c>
      <c r="R14" s="31">
        <v>0.1</v>
      </c>
      <c r="S14" s="155">
        <f t="shared" si="2"/>
        <v>0</v>
      </c>
      <c r="T14" s="155">
        <f t="shared" si="28"/>
        <v>0</v>
      </c>
      <c r="U14" s="155">
        <f t="shared" si="28"/>
        <v>0</v>
      </c>
      <c r="V14" s="155">
        <f t="shared" si="28"/>
        <v>0</v>
      </c>
      <c r="W14" s="155">
        <f t="shared" si="28"/>
        <v>0</v>
      </c>
      <c r="X14" s="155">
        <f t="shared" si="28"/>
        <v>0</v>
      </c>
      <c r="Y14" s="155">
        <f t="shared" si="28"/>
        <v>0</v>
      </c>
      <c r="Z14" s="155">
        <f t="shared" si="28"/>
        <v>0</v>
      </c>
      <c r="AA14" s="155">
        <f t="shared" si="28"/>
        <v>0</v>
      </c>
      <c r="AB14" s="155">
        <f t="shared" si="28"/>
        <v>0</v>
      </c>
      <c r="AC14" s="138" t="e">
        <f t="shared" ref="AC14" si="29">((AB14/G14)^(1/($AB$3-$H$1) ))-1</f>
        <v>#DIV/0!</v>
      </c>
      <c r="AD14" s="31">
        <v>0.08</v>
      </c>
      <c r="AE14" s="146">
        <f t="shared" si="1"/>
        <v>0</v>
      </c>
    </row>
    <row r="15" spans="2:31">
      <c r="B15" s="20" t="s">
        <v>218</v>
      </c>
      <c r="C15" s="141"/>
      <c r="D15" s="141"/>
      <c r="E15" s="147"/>
      <c r="F15" s="147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18" t="e">
        <f t="shared" si="5"/>
        <v>#DIV/0!</v>
      </c>
      <c r="R15" s="31">
        <f t="shared" si="6"/>
        <v>0.12</v>
      </c>
      <c r="S15" s="155">
        <f t="shared" si="2"/>
        <v>0</v>
      </c>
      <c r="T15" s="155">
        <f t="shared" ref="T15:AB15" si="30">S15*(1+$R15)</f>
        <v>0</v>
      </c>
      <c r="U15" s="155">
        <f t="shared" si="30"/>
        <v>0</v>
      </c>
      <c r="V15" s="155">
        <f t="shared" si="30"/>
        <v>0</v>
      </c>
      <c r="W15" s="155">
        <f t="shared" si="30"/>
        <v>0</v>
      </c>
      <c r="X15" s="155">
        <f t="shared" si="30"/>
        <v>0</v>
      </c>
      <c r="Y15" s="155">
        <f t="shared" si="30"/>
        <v>0</v>
      </c>
      <c r="Z15" s="155">
        <f t="shared" si="30"/>
        <v>0</v>
      </c>
      <c r="AA15" s="155">
        <f t="shared" si="30"/>
        <v>0</v>
      </c>
      <c r="AB15" s="155">
        <f t="shared" si="30"/>
        <v>0</v>
      </c>
      <c r="AC15" s="138" t="e">
        <f t="shared" si="19"/>
        <v>#DIV/0!</v>
      </c>
      <c r="AD15" s="31">
        <f t="shared" si="17"/>
        <v>0.08</v>
      </c>
      <c r="AE15" s="146">
        <f t="shared" si="1"/>
        <v>0</v>
      </c>
    </row>
    <row r="16" spans="2:31">
      <c r="B16" s="20" t="s">
        <v>19</v>
      </c>
      <c r="C16" s="141"/>
      <c r="D16" s="141"/>
      <c r="E16" s="147"/>
      <c r="F16" s="147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18" t="e">
        <f t="shared" si="5"/>
        <v>#DIV/0!</v>
      </c>
      <c r="R16" s="31">
        <f t="shared" si="6"/>
        <v>0.12</v>
      </c>
      <c r="S16" s="155">
        <f t="shared" si="2"/>
        <v>0</v>
      </c>
      <c r="T16" s="155">
        <f t="shared" ref="T16:AB16" si="31">S16*(1+$R16)</f>
        <v>0</v>
      </c>
      <c r="U16" s="155">
        <f t="shared" si="31"/>
        <v>0</v>
      </c>
      <c r="V16" s="155">
        <f t="shared" si="31"/>
        <v>0</v>
      </c>
      <c r="W16" s="155">
        <f t="shared" si="31"/>
        <v>0</v>
      </c>
      <c r="X16" s="155">
        <f t="shared" si="31"/>
        <v>0</v>
      </c>
      <c r="Y16" s="155">
        <f t="shared" si="31"/>
        <v>0</v>
      </c>
      <c r="Z16" s="155">
        <f t="shared" si="31"/>
        <v>0</v>
      </c>
      <c r="AA16" s="155">
        <f t="shared" si="31"/>
        <v>0</v>
      </c>
      <c r="AB16" s="155">
        <f t="shared" si="31"/>
        <v>0</v>
      </c>
      <c r="AC16" s="138" t="e">
        <f t="shared" si="19"/>
        <v>#DIV/0!</v>
      </c>
      <c r="AD16" s="31">
        <f t="shared" si="17"/>
        <v>0.08</v>
      </c>
      <c r="AE16" s="146">
        <f t="shared" si="1"/>
        <v>0</v>
      </c>
    </row>
    <row r="17" spans="2:31">
      <c r="B17" s="20" t="s">
        <v>23</v>
      </c>
      <c r="C17" s="141"/>
      <c r="D17" s="141"/>
      <c r="E17" s="147"/>
      <c r="F17" s="147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18" t="e">
        <f t="shared" si="5"/>
        <v>#DIV/0!</v>
      </c>
      <c r="R17" s="31">
        <f t="shared" si="6"/>
        <v>0.12</v>
      </c>
      <c r="S17" s="155">
        <f t="shared" si="2"/>
        <v>0</v>
      </c>
      <c r="T17" s="155">
        <f t="shared" ref="T17:AB17" si="32">S17*(1+$R17)</f>
        <v>0</v>
      </c>
      <c r="U17" s="155">
        <f t="shared" si="32"/>
        <v>0</v>
      </c>
      <c r="V17" s="155">
        <f t="shared" si="32"/>
        <v>0</v>
      </c>
      <c r="W17" s="155">
        <f t="shared" si="32"/>
        <v>0</v>
      </c>
      <c r="X17" s="155">
        <f t="shared" si="32"/>
        <v>0</v>
      </c>
      <c r="Y17" s="155">
        <f t="shared" si="32"/>
        <v>0</v>
      </c>
      <c r="Z17" s="155">
        <f t="shared" si="32"/>
        <v>0</v>
      </c>
      <c r="AA17" s="155">
        <f t="shared" si="32"/>
        <v>0</v>
      </c>
      <c r="AB17" s="155">
        <f t="shared" si="32"/>
        <v>0</v>
      </c>
      <c r="AC17" s="138" t="e">
        <f t="shared" si="19"/>
        <v>#DIV/0!</v>
      </c>
      <c r="AD17" s="31">
        <f t="shared" si="17"/>
        <v>0.08</v>
      </c>
      <c r="AE17" s="146">
        <f t="shared" si="1"/>
        <v>0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368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v>0.1</v>
      </c>
      <c r="S19" s="155">
        <f t="shared" ref="S19" si="33">P19*(1+$R19)</f>
        <v>0</v>
      </c>
      <c r="T19" s="155">
        <f t="shared" ref="T19" si="34">S19*(1+$R19)</f>
        <v>0</v>
      </c>
      <c r="U19" s="155">
        <f t="shared" ref="U19" si="35">T19*(1+$R19)</f>
        <v>0</v>
      </c>
      <c r="V19" s="155">
        <f t="shared" ref="V19" si="36">U19*(1+$R19)</f>
        <v>0</v>
      </c>
      <c r="W19" s="155">
        <f t="shared" ref="W19" si="37">V19*(1+$R19)</f>
        <v>0</v>
      </c>
      <c r="X19" s="155">
        <f t="shared" ref="X19" si="38">W19*(1+$R19)</f>
        <v>0</v>
      </c>
      <c r="Y19" s="155">
        <f t="shared" ref="Y19" si="39">X19*(1+$R19)</f>
        <v>0</v>
      </c>
      <c r="Z19" s="155">
        <f t="shared" ref="Z19" si="40">Y19*(1+$R19)</f>
        <v>0</v>
      </c>
      <c r="AA19" s="155">
        <f t="shared" ref="AA19" si="41">Z19*(1+$R19)</f>
        <v>0</v>
      </c>
      <c r="AB19" s="155">
        <f t="shared" ref="AB19" si="42">AA19*(1+$R19)</f>
        <v>0</v>
      </c>
      <c r="AC19" s="138" t="e">
        <f t="shared" ref="AC19" si="43">((AB19/G19)^(1/($AB$3-$H$1) ))-1</f>
        <v>#DIV/0!</v>
      </c>
      <c r="AD19" s="31">
        <v>0.08</v>
      </c>
      <c r="AE19" s="146">
        <f t="shared" si="1"/>
        <v>0</v>
      </c>
    </row>
    <row r="20" spans="2:31">
      <c r="B20" s="20" t="s">
        <v>369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v>0.1</v>
      </c>
      <c r="S20" s="155">
        <f t="shared" ref="S20" si="44">P20*(1+$R20)</f>
        <v>0</v>
      </c>
      <c r="T20" s="155">
        <f t="shared" ref="T20:AB20" si="45">S20*(1+$R20)</f>
        <v>0</v>
      </c>
      <c r="U20" s="155">
        <f t="shared" si="45"/>
        <v>0</v>
      </c>
      <c r="V20" s="155">
        <f t="shared" si="45"/>
        <v>0</v>
      </c>
      <c r="W20" s="155">
        <f t="shared" si="45"/>
        <v>0</v>
      </c>
      <c r="X20" s="155">
        <f t="shared" si="45"/>
        <v>0</v>
      </c>
      <c r="Y20" s="155">
        <f t="shared" si="45"/>
        <v>0</v>
      </c>
      <c r="Z20" s="155">
        <f t="shared" si="45"/>
        <v>0</v>
      </c>
      <c r="AA20" s="155">
        <f t="shared" si="45"/>
        <v>0</v>
      </c>
      <c r="AB20" s="155">
        <f t="shared" si="45"/>
        <v>0</v>
      </c>
      <c r="AC20" s="138" t="e">
        <f t="shared" ref="AC20" si="46">((AB20/G20)^(1/($AB$3-$H$1) ))-1</f>
        <v>#DIV/0!</v>
      </c>
      <c r="AD20" s="31">
        <v>0.08</v>
      </c>
      <c r="AE20" s="146">
        <f t="shared" si="1"/>
        <v>0</v>
      </c>
    </row>
    <row r="21" spans="2:31">
      <c r="B21" s="20"/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28"/>
      <c r="R21" s="20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39"/>
      <c r="AD21" s="137"/>
      <c r="AE21" s="155"/>
    </row>
    <row r="22" spans="2:31">
      <c r="B22" s="20" t="s">
        <v>278</v>
      </c>
      <c r="C22" s="141"/>
      <c r="D22" s="141"/>
      <c r="E22" s="147"/>
      <c r="F22" s="147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18" t="e">
        <f>((P22/G22)^(1/($H$2-$H$1) ))-1</f>
        <v>#DIV/0!</v>
      </c>
      <c r="R22" s="31">
        <f t="shared" si="6"/>
        <v>0.12</v>
      </c>
      <c r="S22" s="155">
        <f t="shared" ref="S22:S54" si="47">P22*(1+$R22)</f>
        <v>0</v>
      </c>
      <c r="T22" s="155">
        <f t="shared" ref="T22:T54" si="48">S22*(1+$R22)</f>
        <v>0</v>
      </c>
      <c r="U22" s="155">
        <f t="shared" ref="U22:U54" si="49">T22*(1+$R22)</f>
        <v>0</v>
      </c>
      <c r="V22" s="155">
        <f t="shared" ref="V22:V54" si="50">U22*(1+$R22)</f>
        <v>0</v>
      </c>
      <c r="W22" s="155">
        <f t="shared" ref="W22:W61" si="51">V22*(1+$R22)</f>
        <v>0</v>
      </c>
      <c r="X22" s="155">
        <f t="shared" ref="X22:X61" si="52">W22*(1+$R22)</f>
        <v>0</v>
      </c>
      <c r="Y22" s="155">
        <f t="shared" ref="Y22:Y61" si="53">X22*(1+$R22)</f>
        <v>0</v>
      </c>
      <c r="Z22" s="155">
        <f t="shared" ref="Z22:Z61" si="54">Y22*(1+$R22)</f>
        <v>0</v>
      </c>
      <c r="AA22" s="155">
        <f t="shared" ref="AA22:AA61" si="55">Z22*(1+$R22)</f>
        <v>0</v>
      </c>
      <c r="AB22" s="155">
        <f t="shared" ref="AB22:AB61" si="56">AA22*(1+$R22)</f>
        <v>0</v>
      </c>
      <c r="AC22" s="138" t="e">
        <f t="shared" si="19"/>
        <v>#DIV/0!</v>
      </c>
      <c r="AD22" s="31">
        <f t="shared" si="17"/>
        <v>0.08</v>
      </c>
      <c r="AE22" s="146">
        <f t="shared" si="1"/>
        <v>0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39"/>
      <c r="AD23" s="137"/>
      <c r="AE23" s="155"/>
    </row>
    <row r="24" spans="2:31">
      <c r="B24" s="20" t="s">
        <v>284</v>
      </c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18" t="e">
        <f>((P24/G24)^(1/($H$2-$H$1) ))-1</f>
        <v>#DIV/0!</v>
      </c>
      <c r="R24" s="31">
        <f t="shared" si="6"/>
        <v>0.12</v>
      </c>
      <c r="S24" s="155">
        <f t="shared" ref="S24:S26" si="57">P24*(1+$R24)</f>
        <v>0</v>
      </c>
      <c r="T24" s="155">
        <f t="shared" ref="T24:T26" si="58">S24*(1+$R24)</f>
        <v>0</v>
      </c>
      <c r="U24" s="155">
        <f t="shared" ref="U24:U26" si="59">T24*(1+$R24)</f>
        <v>0</v>
      </c>
      <c r="V24" s="155">
        <f t="shared" ref="V24:V26" si="60">U24*(1+$R24)</f>
        <v>0</v>
      </c>
      <c r="W24" s="155">
        <f t="shared" ref="W24:W26" si="61">V24*(1+$R24)</f>
        <v>0</v>
      </c>
      <c r="X24" s="155">
        <f t="shared" ref="X24:X26" si="62">W24*(1+$R24)</f>
        <v>0</v>
      </c>
      <c r="Y24" s="155">
        <f t="shared" ref="Y24:Y26" si="63">X24*(1+$R24)</f>
        <v>0</v>
      </c>
      <c r="Z24" s="155">
        <f t="shared" ref="Z24:Z26" si="64">Y24*(1+$R24)</f>
        <v>0</v>
      </c>
      <c r="AA24" s="155">
        <f t="shared" ref="AA24:AA26" si="65">Z24*(1+$R24)</f>
        <v>0</v>
      </c>
      <c r="AB24" s="155">
        <f t="shared" ref="AB24:AB26" si="66">AA24*(1+$R24)</f>
        <v>0</v>
      </c>
      <c r="AC24" s="138" t="e">
        <f t="shared" ref="AC24:AC26" si="67">((AB24/G24)^(1/($AB$3-$H$1) ))-1</f>
        <v>#DIV/0!</v>
      </c>
      <c r="AD24" s="31">
        <f t="shared" si="17"/>
        <v>0.08</v>
      </c>
      <c r="AE24" s="146">
        <f t="shared" si="1"/>
        <v>0</v>
      </c>
    </row>
    <row r="25" spans="2:31">
      <c r="B25" s="20" t="s">
        <v>285</v>
      </c>
      <c r="C25" s="141"/>
      <c r="D25" s="141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18" t="e">
        <f>((P25/G25)^(1/($H$2-$H$1) ))-1</f>
        <v>#DIV/0!</v>
      </c>
      <c r="R25" s="31">
        <f t="shared" si="6"/>
        <v>0.12</v>
      </c>
      <c r="S25" s="155">
        <f t="shared" si="57"/>
        <v>0</v>
      </c>
      <c r="T25" s="155">
        <f t="shared" si="58"/>
        <v>0</v>
      </c>
      <c r="U25" s="155">
        <f t="shared" si="59"/>
        <v>0</v>
      </c>
      <c r="V25" s="155">
        <f t="shared" si="60"/>
        <v>0</v>
      </c>
      <c r="W25" s="155">
        <f t="shared" si="61"/>
        <v>0</v>
      </c>
      <c r="X25" s="155">
        <f t="shared" si="62"/>
        <v>0</v>
      </c>
      <c r="Y25" s="155">
        <f t="shared" si="63"/>
        <v>0</v>
      </c>
      <c r="Z25" s="155">
        <f t="shared" si="64"/>
        <v>0</v>
      </c>
      <c r="AA25" s="155">
        <f t="shared" si="65"/>
        <v>0</v>
      </c>
      <c r="AB25" s="155">
        <f t="shared" si="66"/>
        <v>0</v>
      </c>
      <c r="AC25" s="138" t="e">
        <f t="shared" si="67"/>
        <v>#DIV/0!</v>
      </c>
      <c r="AD25" s="31">
        <f t="shared" si="17"/>
        <v>0.08</v>
      </c>
      <c r="AE25" s="146">
        <f t="shared" si="1"/>
        <v>0</v>
      </c>
    </row>
    <row r="26" spans="2:31">
      <c r="B26" s="20" t="s">
        <v>286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18" t="e">
        <f>((P26/G26)^(1/($H$2-$H$1) ))-1</f>
        <v>#DIV/0!</v>
      </c>
      <c r="R26" s="31">
        <f t="shared" si="6"/>
        <v>0.12</v>
      </c>
      <c r="S26" s="155">
        <f t="shared" si="57"/>
        <v>0</v>
      </c>
      <c r="T26" s="155">
        <f t="shared" si="58"/>
        <v>0</v>
      </c>
      <c r="U26" s="155">
        <f t="shared" si="59"/>
        <v>0</v>
      </c>
      <c r="V26" s="155">
        <f t="shared" si="60"/>
        <v>0</v>
      </c>
      <c r="W26" s="155">
        <f t="shared" si="61"/>
        <v>0</v>
      </c>
      <c r="X26" s="155">
        <f t="shared" si="62"/>
        <v>0</v>
      </c>
      <c r="Y26" s="155">
        <f t="shared" si="63"/>
        <v>0</v>
      </c>
      <c r="Z26" s="155">
        <f t="shared" si="64"/>
        <v>0</v>
      </c>
      <c r="AA26" s="155">
        <f t="shared" si="65"/>
        <v>0</v>
      </c>
      <c r="AB26" s="155">
        <f t="shared" si="66"/>
        <v>0</v>
      </c>
      <c r="AC26" s="138" t="e">
        <f t="shared" si="67"/>
        <v>#DIV/0!</v>
      </c>
      <c r="AD26" s="31">
        <f t="shared" si="17"/>
        <v>0.08</v>
      </c>
      <c r="AE26" s="146">
        <f t="shared" si="1"/>
        <v>0</v>
      </c>
    </row>
    <row r="27" spans="2:31">
      <c r="B27" s="20" t="s">
        <v>296</v>
      </c>
      <c r="C27" s="141"/>
      <c r="D27" s="141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18" t="e">
        <f>((P27/G27)^(1/($H$2-$H$1) ))-1</f>
        <v>#DIV/0!</v>
      </c>
      <c r="R27" s="31">
        <f t="shared" si="6"/>
        <v>0.12</v>
      </c>
      <c r="S27" s="155">
        <f t="shared" ref="S27" si="68">P27*(1+$R27)</f>
        <v>0</v>
      </c>
      <c r="T27" s="155">
        <f t="shared" ref="T27" si="69">S27*(1+$R27)</f>
        <v>0</v>
      </c>
      <c r="U27" s="155">
        <f t="shared" ref="U27" si="70">T27*(1+$R27)</f>
        <v>0</v>
      </c>
      <c r="V27" s="155">
        <f t="shared" ref="V27" si="71">U27*(1+$R27)</f>
        <v>0</v>
      </c>
      <c r="W27" s="155">
        <f t="shared" ref="W27" si="72">V27*(1+$R27)</f>
        <v>0</v>
      </c>
      <c r="X27" s="155">
        <f t="shared" ref="X27" si="73">W27*(1+$R27)</f>
        <v>0</v>
      </c>
      <c r="Y27" s="155">
        <f t="shared" ref="Y27" si="74">X27*(1+$R27)</f>
        <v>0</v>
      </c>
      <c r="Z27" s="155">
        <f t="shared" ref="Z27" si="75">Y27*(1+$R27)</f>
        <v>0</v>
      </c>
      <c r="AA27" s="155">
        <f t="shared" ref="AA27" si="76">Z27*(1+$R27)</f>
        <v>0</v>
      </c>
      <c r="AB27" s="155">
        <f t="shared" ref="AB27" si="77">AA27*(1+$R27)</f>
        <v>0</v>
      </c>
      <c r="AC27" s="138" t="e">
        <f t="shared" ref="AC27" si="78">((AB27/G27)^(1/($AB$3-$H$1) ))-1</f>
        <v>#DIV/0!</v>
      </c>
      <c r="AD27" s="31">
        <f t="shared" si="17"/>
        <v>0.08</v>
      </c>
      <c r="AE27" s="146">
        <f t="shared" si="1"/>
        <v>0</v>
      </c>
    </row>
    <row r="28" spans="2:31">
      <c r="B28" s="20"/>
      <c r="C28" s="141"/>
      <c r="D28" s="141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63"/>
      <c r="AD28" s="119"/>
      <c r="AE28" s="155"/>
    </row>
    <row r="29" spans="2:31" s="123" customFormat="1">
      <c r="B29" s="20" t="s">
        <v>375</v>
      </c>
      <c r="C29" s="150"/>
      <c r="D29" s="150"/>
      <c r="E29" s="151"/>
      <c r="F29" s="147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18" t="e">
        <f>((P29/G29)^(1/($H$2-$H$1) ))-1</f>
        <v>#DIV/0!</v>
      </c>
      <c r="R29" s="31">
        <v>0.1</v>
      </c>
      <c r="S29" s="155">
        <f t="shared" ref="S29:S32" si="79">P29*(1+$R29)</f>
        <v>0</v>
      </c>
      <c r="T29" s="155">
        <f t="shared" ref="T29:T32" si="80">S29*(1+$R29)</f>
        <v>0</v>
      </c>
      <c r="U29" s="155">
        <f t="shared" ref="U29:U32" si="81">T29*(1+$R29)</f>
        <v>0</v>
      </c>
      <c r="V29" s="155">
        <f t="shared" ref="V29:V32" si="82">U29*(1+$R29)</f>
        <v>0</v>
      </c>
      <c r="W29" s="155">
        <f t="shared" ref="W29:W32" si="83">V29*(1+$R29)</f>
        <v>0</v>
      </c>
      <c r="X29" s="155">
        <f t="shared" ref="X29:X32" si="84">W29*(1+$R29)</f>
        <v>0</v>
      </c>
      <c r="Y29" s="155">
        <f t="shared" ref="Y29:Y32" si="85">X29*(1+$R29)</f>
        <v>0</v>
      </c>
      <c r="Z29" s="155">
        <f t="shared" ref="Z29:Z32" si="86">Y29*(1+$R29)</f>
        <v>0</v>
      </c>
      <c r="AA29" s="155">
        <f t="shared" ref="AA29:AA32" si="87">Z29*(1+$R29)</f>
        <v>0</v>
      </c>
      <c r="AB29" s="155">
        <f t="shared" ref="AB29:AB32" si="88">AA29*(1+$R29)</f>
        <v>0</v>
      </c>
      <c r="AC29" s="138" t="e">
        <f t="shared" ref="AC29:AC32" si="89">((AB29/G29)^(1/($AB$3-$H$1) ))-1</f>
        <v>#DIV/0!</v>
      </c>
      <c r="AD29" s="31">
        <f t="shared" si="17"/>
        <v>0.08</v>
      </c>
      <c r="AE29" s="146">
        <f t="shared" ref="AE29:AE32" si="90">(AB29*(1+AD29))/($C$1-AD29)</f>
        <v>0</v>
      </c>
    </row>
    <row r="30" spans="2:31" s="123" customFormat="1">
      <c r="B30" s="20" t="s">
        <v>376</v>
      </c>
      <c r="C30" s="150"/>
      <c r="D30" s="150"/>
      <c r="E30" s="151"/>
      <c r="F30" s="147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18" t="e">
        <f>((P30/G30)^(1/($H$2-$H$1) ))-1</f>
        <v>#DIV/0!</v>
      </c>
      <c r="R30" s="31">
        <v>0.1</v>
      </c>
      <c r="S30" s="155">
        <f t="shared" si="79"/>
        <v>0</v>
      </c>
      <c r="T30" s="155">
        <f t="shared" si="80"/>
        <v>0</v>
      </c>
      <c r="U30" s="155">
        <f t="shared" si="81"/>
        <v>0</v>
      </c>
      <c r="V30" s="155">
        <f t="shared" si="82"/>
        <v>0</v>
      </c>
      <c r="W30" s="155">
        <f t="shared" si="83"/>
        <v>0</v>
      </c>
      <c r="X30" s="155">
        <f t="shared" si="84"/>
        <v>0</v>
      </c>
      <c r="Y30" s="155">
        <f t="shared" si="85"/>
        <v>0</v>
      </c>
      <c r="Z30" s="155">
        <f t="shared" si="86"/>
        <v>0</v>
      </c>
      <c r="AA30" s="155">
        <f t="shared" si="87"/>
        <v>0</v>
      </c>
      <c r="AB30" s="155">
        <f t="shared" si="88"/>
        <v>0</v>
      </c>
      <c r="AC30" s="138" t="e">
        <f t="shared" si="89"/>
        <v>#DIV/0!</v>
      </c>
      <c r="AD30" s="31">
        <f t="shared" si="17"/>
        <v>0.08</v>
      </c>
      <c r="AE30" s="146">
        <f t="shared" si="90"/>
        <v>0</v>
      </c>
    </row>
    <row r="31" spans="2:31" s="123" customFormat="1">
      <c r="B31" s="20" t="s">
        <v>377</v>
      </c>
      <c r="C31" s="150"/>
      <c r="D31" s="150"/>
      <c r="E31" s="151"/>
      <c r="F31" s="147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18" t="e">
        <f>((P31/G31)^(1/($H$2-$H$1) ))-1</f>
        <v>#DIV/0!</v>
      </c>
      <c r="R31" s="31">
        <v>0.1</v>
      </c>
      <c r="S31" s="155">
        <f t="shared" si="79"/>
        <v>0</v>
      </c>
      <c r="T31" s="155">
        <f t="shared" si="80"/>
        <v>0</v>
      </c>
      <c r="U31" s="155">
        <f t="shared" si="81"/>
        <v>0</v>
      </c>
      <c r="V31" s="155">
        <f t="shared" si="82"/>
        <v>0</v>
      </c>
      <c r="W31" s="155">
        <f t="shared" si="83"/>
        <v>0</v>
      </c>
      <c r="X31" s="155">
        <f t="shared" si="84"/>
        <v>0</v>
      </c>
      <c r="Y31" s="155">
        <f t="shared" si="85"/>
        <v>0</v>
      </c>
      <c r="Z31" s="155">
        <f t="shared" si="86"/>
        <v>0</v>
      </c>
      <c r="AA31" s="155">
        <f t="shared" si="87"/>
        <v>0</v>
      </c>
      <c r="AB31" s="155">
        <f t="shared" si="88"/>
        <v>0</v>
      </c>
      <c r="AC31" s="138" t="e">
        <f t="shared" si="89"/>
        <v>#DIV/0!</v>
      </c>
      <c r="AD31" s="31">
        <f t="shared" si="17"/>
        <v>0.08</v>
      </c>
      <c r="AE31" s="146">
        <f t="shared" si="90"/>
        <v>0</v>
      </c>
    </row>
    <row r="32" spans="2:31">
      <c r="B32" s="20" t="s">
        <v>378</v>
      </c>
      <c r="C32" s="141"/>
      <c r="D32" s="141"/>
      <c r="E32" s="147"/>
      <c r="F32" s="147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18" t="e">
        <f>((P32/G32)^(1/($H$2-$H$1) ))-1</f>
        <v>#DIV/0!</v>
      </c>
      <c r="R32" s="31">
        <v>0.1</v>
      </c>
      <c r="S32" s="155">
        <f t="shared" si="79"/>
        <v>0</v>
      </c>
      <c r="T32" s="155">
        <f t="shared" si="80"/>
        <v>0</v>
      </c>
      <c r="U32" s="155">
        <f t="shared" si="81"/>
        <v>0</v>
      </c>
      <c r="V32" s="155">
        <f t="shared" si="82"/>
        <v>0</v>
      </c>
      <c r="W32" s="155">
        <f t="shared" si="83"/>
        <v>0</v>
      </c>
      <c r="X32" s="155">
        <f t="shared" si="84"/>
        <v>0</v>
      </c>
      <c r="Y32" s="155">
        <f t="shared" si="85"/>
        <v>0</v>
      </c>
      <c r="Z32" s="155">
        <f t="shared" si="86"/>
        <v>0</v>
      </c>
      <c r="AA32" s="155">
        <f t="shared" si="87"/>
        <v>0</v>
      </c>
      <c r="AB32" s="155">
        <f t="shared" si="88"/>
        <v>0</v>
      </c>
      <c r="AC32" s="138" t="e">
        <f t="shared" si="89"/>
        <v>#DIV/0!</v>
      </c>
      <c r="AD32" s="31">
        <f t="shared" si="17"/>
        <v>0.08</v>
      </c>
      <c r="AE32" s="146">
        <f t="shared" si="90"/>
        <v>0</v>
      </c>
    </row>
    <row r="33" spans="2:31">
      <c r="B33" s="20"/>
      <c r="C33" s="141"/>
      <c r="D33" s="141"/>
      <c r="E33" s="147"/>
      <c r="F33" s="147"/>
      <c r="G33" s="149" t="e">
        <f>(G32-F32)/G32</f>
        <v>#DIV/0!</v>
      </c>
      <c r="H33" s="149" t="e">
        <f>(H32-G32)/H32</f>
        <v>#DIV/0!</v>
      </c>
      <c r="I33" s="149" t="e">
        <f t="shared" ref="I33:P33" si="91">(I32-H32)/I32</f>
        <v>#DIV/0!</v>
      </c>
      <c r="J33" s="149" t="e">
        <f t="shared" si="91"/>
        <v>#DIV/0!</v>
      </c>
      <c r="K33" s="149" t="e">
        <f t="shared" si="91"/>
        <v>#DIV/0!</v>
      </c>
      <c r="L33" s="149" t="e">
        <f t="shared" si="91"/>
        <v>#DIV/0!</v>
      </c>
      <c r="M33" s="149" t="e">
        <f t="shared" si="91"/>
        <v>#DIV/0!</v>
      </c>
      <c r="N33" s="149" t="e">
        <f t="shared" si="91"/>
        <v>#DIV/0!</v>
      </c>
      <c r="O33" s="149" t="e">
        <f t="shared" si="91"/>
        <v>#DIV/0!</v>
      </c>
      <c r="P33" s="149" t="e">
        <f t="shared" si="91"/>
        <v>#DIV/0!</v>
      </c>
      <c r="Q33" s="3"/>
      <c r="R33" s="3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46"/>
    </row>
    <row r="34" spans="2:31">
      <c r="B34" s="20"/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28"/>
      <c r="R34" s="20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19"/>
      <c r="AD34" s="137"/>
      <c r="AE34" s="155"/>
    </row>
    <row r="35" spans="2:31">
      <c r="B35" s="20" t="s">
        <v>370</v>
      </c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18" t="e">
        <f>((P35/G35)^(1/($H$2-$H$1) ))-1</f>
        <v>#DIV/0!</v>
      </c>
      <c r="R35" s="31">
        <v>0.11</v>
      </c>
      <c r="S35" s="155">
        <f t="shared" ref="S35:S41" si="92">P35*(1+$R35)</f>
        <v>0</v>
      </c>
      <c r="T35" s="155">
        <f t="shared" ref="T35:AB41" si="93">S35*(1+$R35)</f>
        <v>0</v>
      </c>
      <c r="U35" s="155">
        <f t="shared" si="93"/>
        <v>0</v>
      </c>
      <c r="V35" s="155">
        <f t="shared" si="93"/>
        <v>0</v>
      </c>
      <c r="W35" s="155">
        <f t="shared" si="93"/>
        <v>0</v>
      </c>
      <c r="X35" s="155">
        <f t="shared" si="93"/>
        <v>0</v>
      </c>
      <c r="Y35" s="155">
        <f t="shared" si="93"/>
        <v>0</v>
      </c>
      <c r="Z35" s="155">
        <f t="shared" si="93"/>
        <v>0</v>
      </c>
      <c r="AA35" s="155">
        <f t="shared" si="93"/>
        <v>0</v>
      </c>
      <c r="AB35" s="155">
        <f t="shared" si="93"/>
        <v>0</v>
      </c>
      <c r="AC35" s="138" t="e">
        <f t="shared" ref="AC35:AC41" si="94">((AB35/G35)^(1/($AB$3-$H$1) ))-1</f>
        <v>#DIV/0!</v>
      </c>
      <c r="AD35" s="31">
        <v>0.05</v>
      </c>
      <c r="AE35" s="146">
        <f t="shared" si="1"/>
        <v>0</v>
      </c>
    </row>
    <row r="36" spans="2:31">
      <c r="B36" s="20"/>
      <c r="C36" s="141"/>
      <c r="D36" s="141"/>
      <c r="E36" s="147"/>
      <c r="F36" s="147"/>
      <c r="G36" s="149" t="e">
        <f>(G35-F35)/G35</f>
        <v>#DIV/0!</v>
      </c>
      <c r="H36" s="149" t="e">
        <f>(H35-G35)/H35</f>
        <v>#DIV/0!</v>
      </c>
      <c r="I36" s="149" t="e">
        <f t="shared" ref="I36:P36" si="95">(I35-H35)/I35</f>
        <v>#DIV/0!</v>
      </c>
      <c r="J36" s="149" t="e">
        <f t="shared" si="95"/>
        <v>#DIV/0!</v>
      </c>
      <c r="K36" s="149" t="e">
        <f t="shared" si="95"/>
        <v>#DIV/0!</v>
      </c>
      <c r="L36" s="149" t="e">
        <f t="shared" si="95"/>
        <v>#DIV/0!</v>
      </c>
      <c r="M36" s="149" t="e">
        <f t="shared" si="95"/>
        <v>#DIV/0!</v>
      </c>
      <c r="N36" s="149" t="e">
        <f t="shared" si="95"/>
        <v>#DIV/0!</v>
      </c>
      <c r="O36" s="149" t="e">
        <f t="shared" si="95"/>
        <v>#DIV/0!</v>
      </c>
      <c r="P36" s="149" t="e">
        <f t="shared" si="95"/>
        <v>#DIV/0!</v>
      </c>
      <c r="Q36" s="3"/>
      <c r="R36" s="3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39"/>
      <c r="AD36" s="128"/>
      <c r="AE36" s="146"/>
    </row>
    <row r="37" spans="2:31">
      <c r="B37" s="20" t="s">
        <v>371</v>
      </c>
      <c r="C37" s="141"/>
      <c r="D37" s="141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18" t="e">
        <f>((P37/G37)^(1/($H$2-$H$1) ))-1</f>
        <v>#DIV/0!</v>
      </c>
      <c r="R37" s="31">
        <v>0.1</v>
      </c>
      <c r="S37" s="155">
        <f t="shared" ref="S37" si="96">P37*(1+$R37)</f>
        <v>0</v>
      </c>
      <c r="T37" s="155">
        <f t="shared" ref="T37:AB37" si="97">S37*(1+$R37)</f>
        <v>0</v>
      </c>
      <c r="U37" s="155">
        <f t="shared" si="97"/>
        <v>0</v>
      </c>
      <c r="V37" s="155">
        <f t="shared" si="97"/>
        <v>0</v>
      </c>
      <c r="W37" s="155">
        <f t="shared" si="97"/>
        <v>0</v>
      </c>
      <c r="X37" s="155">
        <f t="shared" si="97"/>
        <v>0</v>
      </c>
      <c r="Y37" s="155">
        <f t="shared" si="97"/>
        <v>0</v>
      </c>
      <c r="Z37" s="155">
        <f t="shared" si="97"/>
        <v>0</v>
      </c>
      <c r="AA37" s="155">
        <f t="shared" si="97"/>
        <v>0</v>
      </c>
      <c r="AB37" s="155">
        <f t="shared" si="97"/>
        <v>0</v>
      </c>
      <c r="AC37" s="138" t="e">
        <f t="shared" ref="AC37" si="98">((AB37/G37)^(1/($AB$3-$H$1) ))-1</f>
        <v>#DIV/0!</v>
      </c>
      <c r="AD37" s="31">
        <v>0.05</v>
      </c>
      <c r="AE37" s="146">
        <f t="shared" si="1"/>
        <v>0</v>
      </c>
    </row>
    <row r="38" spans="2:31">
      <c r="B38" s="20"/>
      <c r="C38" s="141"/>
      <c r="D38" s="141"/>
      <c r="E38" s="147"/>
      <c r="F38" s="147"/>
      <c r="G38" s="149" t="e">
        <f>(G37-F37)/G37</f>
        <v>#DIV/0!</v>
      </c>
      <c r="H38" s="149" t="e">
        <f>(H37-G37)/H37</f>
        <v>#DIV/0!</v>
      </c>
      <c r="I38" s="149" t="e">
        <f t="shared" ref="I38:P38" si="99">(I37-H37)/I37</f>
        <v>#DIV/0!</v>
      </c>
      <c r="J38" s="149" t="e">
        <f t="shared" si="99"/>
        <v>#DIV/0!</v>
      </c>
      <c r="K38" s="149" t="e">
        <f t="shared" si="99"/>
        <v>#DIV/0!</v>
      </c>
      <c r="L38" s="149" t="e">
        <f t="shared" si="99"/>
        <v>#DIV/0!</v>
      </c>
      <c r="M38" s="149" t="e">
        <f t="shared" si="99"/>
        <v>#DIV/0!</v>
      </c>
      <c r="N38" s="149" t="e">
        <f t="shared" si="99"/>
        <v>#DIV/0!</v>
      </c>
      <c r="O38" s="149" t="e">
        <f t="shared" si="99"/>
        <v>#DIV/0!</v>
      </c>
      <c r="P38" s="149" t="e">
        <f t="shared" si="99"/>
        <v>#DIV/0!</v>
      </c>
      <c r="Q38" s="3"/>
      <c r="R38" s="3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39"/>
      <c r="AD38" s="128"/>
      <c r="AE38" s="146"/>
    </row>
    <row r="39" spans="2:31">
      <c r="B39" s="20" t="s">
        <v>372</v>
      </c>
      <c r="C39" s="141"/>
      <c r="D39" s="141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18" t="e">
        <f>((P39/G39)^(1/($H$2-$H$1) ))-1</f>
        <v>#DIV/0!</v>
      </c>
      <c r="R39" s="31">
        <v>0.1</v>
      </c>
      <c r="S39" s="155">
        <f t="shared" ref="S39" si="100">P39*(1+$R39)</f>
        <v>0</v>
      </c>
      <c r="T39" s="155">
        <f t="shared" ref="T39:AB39" si="101">S39*(1+$R39)</f>
        <v>0</v>
      </c>
      <c r="U39" s="155">
        <f t="shared" si="101"/>
        <v>0</v>
      </c>
      <c r="V39" s="155">
        <f t="shared" si="101"/>
        <v>0</v>
      </c>
      <c r="W39" s="155">
        <f t="shared" si="101"/>
        <v>0</v>
      </c>
      <c r="X39" s="155">
        <f t="shared" si="101"/>
        <v>0</v>
      </c>
      <c r="Y39" s="155">
        <f t="shared" si="101"/>
        <v>0</v>
      </c>
      <c r="Z39" s="155">
        <f t="shared" si="101"/>
        <v>0</v>
      </c>
      <c r="AA39" s="155">
        <f t="shared" si="101"/>
        <v>0</v>
      </c>
      <c r="AB39" s="155">
        <f t="shared" si="101"/>
        <v>0</v>
      </c>
      <c r="AC39" s="138" t="e">
        <f t="shared" ref="AC39" si="102">((AB39/G39)^(1/($AB$3-$H$1) ))-1</f>
        <v>#DIV/0!</v>
      </c>
      <c r="AD39" s="31">
        <v>0.05</v>
      </c>
      <c r="AE39" s="146">
        <f t="shared" si="1"/>
        <v>0</v>
      </c>
    </row>
    <row r="40" spans="2:31">
      <c r="B40" s="20"/>
      <c r="C40" s="141"/>
      <c r="D40" s="141"/>
      <c r="E40" s="147"/>
      <c r="F40" s="147"/>
      <c r="G40" s="149" t="e">
        <f>(G39-F39)/G39</f>
        <v>#DIV/0!</v>
      </c>
      <c r="H40" s="149" t="e">
        <f>(H39-G39)/H39</f>
        <v>#DIV/0!</v>
      </c>
      <c r="I40" s="149" t="e">
        <f t="shared" ref="I40:P40" si="103">(I39-H39)/I39</f>
        <v>#DIV/0!</v>
      </c>
      <c r="J40" s="149" t="e">
        <f t="shared" si="103"/>
        <v>#DIV/0!</v>
      </c>
      <c r="K40" s="149" t="e">
        <f t="shared" si="103"/>
        <v>#DIV/0!</v>
      </c>
      <c r="L40" s="149" t="e">
        <f t="shared" si="103"/>
        <v>#DIV/0!</v>
      </c>
      <c r="M40" s="149" t="e">
        <f t="shared" si="103"/>
        <v>#DIV/0!</v>
      </c>
      <c r="N40" s="149" t="e">
        <f t="shared" si="103"/>
        <v>#DIV/0!</v>
      </c>
      <c r="O40" s="149" t="e">
        <f t="shared" si="103"/>
        <v>#DIV/0!</v>
      </c>
      <c r="P40" s="149" t="e">
        <f t="shared" si="103"/>
        <v>#DIV/0!</v>
      </c>
      <c r="Q40" s="3"/>
      <c r="R40" s="3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28"/>
      <c r="AE40" s="146"/>
    </row>
    <row r="41" spans="2:31">
      <c r="B41" s="20" t="s">
        <v>373</v>
      </c>
      <c r="C41" s="141"/>
      <c r="D41" s="141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18" t="e">
        <f>((P41/G41)^(1/($H$2-$H$1) ))-1</f>
        <v>#DIV/0!</v>
      </c>
      <c r="R41" s="31">
        <v>0.1</v>
      </c>
      <c r="S41" s="155">
        <f t="shared" si="92"/>
        <v>0</v>
      </c>
      <c r="T41" s="155">
        <f t="shared" si="93"/>
        <v>0</v>
      </c>
      <c r="U41" s="155">
        <f t="shared" si="93"/>
        <v>0</v>
      </c>
      <c r="V41" s="155">
        <f t="shared" si="93"/>
        <v>0</v>
      </c>
      <c r="W41" s="155">
        <f t="shared" si="93"/>
        <v>0</v>
      </c>
      <c r="X41" s="155">
        <f t="shared" si="93"/>
        <v>0</v>
      </c>
      <c r="Y41" s="155">
        <f t="shared" si="93"/>
        <v>0</v>
      </c>
      <c r="Z41" s="155">
        <f t="shared" si="93"/>
        <v>0</v>
      </c>
      <c r="AA41" s="155">
        <f t="shared" si="93"/>
        <v>0</v>
      </c>
      <c r="AB41" s="155">
        <f t="shared" si="93"/>
        <v>0</v>
      </c>
      <c r="AC41" s="138" t="e">
        <f t="shared" si="94"/>
        <v>#DIV/0!</v>
      </c>
      <c r="AD41" s="31">
        <v>0.05</v>
      </c>
      <c r="AE41" s="146">
        <f t="shared" si="1"/>
        <v>0</v>
      </c>
    </row>
    <row r="42" spans="2:31">
      <c r="B42" s="20"/>
      <c r="C42" s="141"/>
      <c r="D42" s="141"/>
      <c r="E42" s="147"/>
      <c r="F42" s="147"/>
      <c r="G42" s="149" t="e">
        <f>(G41-F41)/G41</f>
        <v>#DIV/0!</v>
      </c>
      <c r="H42" s="149" t="e">
        <f>(H41-G41)/H41</f>
        <v>#DIV/0!</v>
      </c>
      <c r="I42" s="149" t="e">
        <f t="shared" ref="I42:P42" si="104">(I41-H41)/I41</f>
        <v>#DIV/0!</v>
      </c>
      <c r="J42" s="149" t="e">
        <f t="shared" si="104"/>
        <v>#DIV/0!</v>
      </c>
      <c r="K42" s="149" t="e">
        <f t="shared" si="104"/>
        <v>#DIV/0!</v>
      </c>
      <c r="L42" s="149" t="e">
        <f t="shared" si="104"/>
        <v>#DIV/0!</v>
      </c>
      <c r="M42" s="149" t="e">
        <f t="shared" si="104"/>
        <v>#DIV/0!</v>
      </c>
      <c r="N42" s="149" t="e">
        <f t="shared" si="104"/>
        <v>#DIV/0!</v>
      </c>
      <c r="O42" s="149" t="e">
        <f t="shared" si="104"/>
        <v>#DIV/0!</v>
      </c>
      <c r="P42" s="149" t="e">
        <f t="shared" si="104"/>
        <v>#DIV/0!</v>
      </c>
      <c r="Q42" s="3"/>
      <c r="R42" s="3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38"/>
      <c r="AD42" s="31"/>
      <c r="AE42" s="146"/>
    </row>
    <row r="43" spans="2:31">
      <c r="B43" s="20" t="s">
        <v>89</v>
      </c>
      <c r="C43" s="141"/>
      <c r="D43" s="141"/>
      <c r="E43" s="147"/>
      <c r="F43" s="147"/>
      <c r="G43" s="176"/>
      <c r="H43" s="176"/>
      <c r="I43" s="176"/>
      <c r="J43" s="143"/>
      <c r="K43" s="143"/>
      <c r="L43" s="177"/>
      <c r="M43" s="177"/>
      <c r="N43" s="177"/>
      <c r="O43" s="177"/>
      <c r="P43" s="177"/>
      <c r="Q43" s="118" t="e">
        <f>((P43/G43)^(1/($H$2-$H$1) ))-1</f>
        <v>#DIV/0!</v>
      </c>
      <c r="R43" s="31">
        <f t="shared" si="6"/>
        <v>0.12</v>
      </c>
      <c r="S43" s="155">
        <f t="shared" si="47"/>
        <v>0</v>
      </c>
      <c r="T43" s="155">
        <f t="shared" si="48"/>
        <v>0</v>
      </c>
      <c r="U43" s="155">
        <f t="shared" si="49"/>
        <v>0</v>
      </c>
      <c r="V43" s="155">
        <f t="shared" si="50"/>
        <v>0</v>
      </c>
      <c r="W43" s="155">
        <f t="shared" si="51"/>
        <v>0</v>
      </c>
      <c r="X43" s="155">
        <f t="shared" si="52"/>
        <v>0</v>
      </c>
      <c r="Y43" s="155">
        <f t="shared" si="53"/>
        <v>0</v>
      </c>
      <c r="Z43" s="155">
        <f t="shared" si="54"/>
        <v>0</v>
      </c>
      <c r="AA43" s="155">
        <f t="shared" si="55"/>
        <v>0</v>
      </c>
      <c r="AB43" s="155">
        <f t="shared" si="56"/>
        <v>0</v>
      </c>
      <c r="AC43" s="138" t="e">
        <f t="shared" si="19"/>
        <v>#DIV/0!</v>
      </c>
      <c r="AD43" s="31">
        <f t="shared" si="17"/>
        <v>0.08</v>
      </c>
      <c r="AE43" s="146">
        <f t="shared" si="1"/>
        <v>0</v>
      </c>
    </row>
    <row r="44" spans="2:31" s="123" customFormat="1">
      <c r="B44" s="23"/>
      <c r="C44" s="150"/>
      <c r="D44" s="150"/>
      <c r="E44" s="151"/>
      <c r="F44" s="151"/>
      <c r="G44" s="149" t="e">
        <f>(G43-F43)/G43</f>
        <v>#DIV/0!</v>
      </c>
      <c r="H44" s="149" t="e">
        <f>(H43-G43)/H43</f>
        <v>#DIV/0!</v>
      </c>
      <c r="I44" s="149" t="e">
        <f t="shared" ref="I44" si="105">(I43-H43)/I43</f>
        <v>#DIV/0!</v>
      </c>
      <c r="J44" s="149" t="e">
        <f t="shared" ref="J44" si="106">(J43-I43)/J43</f>
        <v>#DIV/0!</v>
      </c>
      <c r="K44" s="149" t="e">
        <f t="shared" ref="K44" si="107">(K43-J43)/K43</f>
        <v>#DIV/0!</v>
      </c>
      <c r="L44" s="149" t="e">
        <f t="shared" ref="L44" si="108">(L43-K43)/L43</f>
        <v>#DIV/0!</v>
      </c>
      <c r="M44" s="149" t="e">
        <f t="shared" ref="M44" si="109">(M43-L43)/M43</f>
        <v>#DIV/0!</v>
      </c>
      <c r="N44" s="149" t="e">
        <f t="shared" ref="N44" si="110">(N43-M43)/N43</f>
        <v>#DIV/0!</v>
      </c>
      <c r="O44" s="149" t="e">
        <f t="shared" ref="O44" si="111">(O43-N43)/O43</f>
        <v>#DIV/0!</v>
      </c>
      <c r="P44" s="149" t="e">
        <f t="shared" ref="P44" si="112">(P43-O43)/P43</f>
        <v>#DIV/0!</v>
      </c>
      <c r="Q44" s="128"/>
      <c r="R44" s="20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19"/>
      <c r="AD44" s="137"/>
      <c r="AE44" s="155"/>
    </row>
    <row r="45" spans="2:31">
      <c r="B45" s="20" t="s">
        <v>262</v>
      </c>
      <c r="C45" s="141"/>
      <c r="D45" s="141"/>
      <c r="E45" s="147"/>
      <c r="F45" s="147"/>
      <c r="G45" s="176"/>
      <c r="H45" s="176"/>
      <c r="I45" s="176"/>
      <c r="J45" s="143"/>
      <c r="K45" s="143"/>
      <c r="L45" s="177"/>
      <c r="M45" s="177"/>
      <c r="N45" s="177"/>
      <c r="O45" s="177"/>
      <c r="P45" s="177"/>
      <c r="Q45" s="118" t="e">
        <f>((P45/G45)^(1/($H$2-$H$1) ))-1</f>
        <v>#DIV/0!</v>
      </c>
      <c r="R45" s="31">
        <f t="shared" si="6"/>
        <v>0.12</v>
      </c>
      <c r="S45" s="155">
        <f t="shared" si="47"/>
        <v>0</v>
      </c>
      <c r="T45" s="155">
        <f t="shared" si="48"/>
        <v>0</v>
      </c>
      <c r="U45" s="155">
        <f t="shared" si="49"/>
        <v>0</v>
      </c>
      <c r="V45" s="155">
        <f t="shared" si="50"/>
        <v>0</v>
      </c>
      <c r="W45" s="155">
        <f t="shared" si="51"/>
        <v>0</v>
      </c>
      <c r="X45" s="155">
        <f t="shared" si="52"/>
        <v>0</v>
      </c>
      <c r="Y45" s="155">
        <f t="shared" si="53"/>
        <v>0</v>
      </c>
      <c r="Z45" s="155">
        <f t="shared" si="54"/>
        <v>0</v>
      </c>
      <c r="AA45" s="155">
        <f t="shared" si="55"/>
        <v>0</v>
      </c>
      <c r="AB45" s="155">
        <f t="shared" si="56"/>
        <v>0</v>
      </c>
      <c r="AC45" s="138" t="e">
        <f t="shared" si="19"/>
        <v>#DIV/0!</v>
      </c>
      <c r="AD45" s="31">
        <f t="shared" si="17"/>
        <v>0.08</v>
      </c>
      <c r="AE45" s="146">
        <f t="shared" si="1"/>
        <v>0</v>
      </c>
    </row>
    <row r="46" spans="2:31" s="123" customFormat="1">
      <c r="B46" s="23"/>
      <c r="C46" s="150"/>
      <c r="D46" s="150"/>
      <c r="E46" s="151"/>
      <c r="F46" s="151"/>
      <c r="G46" s="149" t="e">
        <f t="shared" ref="G46:P46" si="113">(G45-F45)/G45</f>
        <v>#DIV/0!</v>
      </c>
      <c r="H46" s="149" t="e">
        <f t="shared" si="113"/>
        <v>#DIV/0!</v>
      </c>
      <c r="I46" s="149" t="e">
        <f t="shared" si="113"/>
        <v>#DIV/0!</v>
      </c>
      <c r="J46" s="149" t="e">
        <f t="shared" si="113"/>
        <v>#DIV/0!</v>
      </c>
      <c r="K46" s="149" t="e">
        <f t="shared" si="113"/>
        <v>#DIV/0!</v>
      </c>
      <c r="L46" s="149" t="e">
        <f t="shared" si="113"/>
        <v>#DIV/0!</v>
      </c>
      <c r="M46" s="149" t="e">
        <f t="shared" si="113"/>
        <v>#DIV/0!</v>
      </c>
      <c r="N46" s="149" t="e">
        <f t="shared" si="113"/>
        <v>#DIV/0!</v>
      </c>
      <c r="O46" s="149" t="e">
        <f t="shared" si="113"/>
        <v>#DIV/0!</v>
      </c>
      <c r="P46" s="149" t="e">
        <f t="shared" si="113"/>
        <v>#DIV/0!</v>
      </c>
      <c r="Q46" s="128"/>
      <c r="R46" s="20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19"/>
      <c r="AD46" s="137"/>
      <c r="AE46" s="155"/>
    </row>
    <row r="47" spans="2:31">
      <c r="B47" s="20" t="s">
        <v>374</v>
      </c>
      <c r="C47" s="141"/>
      <c r="D47" s="141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18" t="e">
        <f>((P47/G47)^(1/($H$2-$H$1) ))-1</f>
        <v>#DIV/0!</v>
      </c>
      <c r="R47" s="31">
        <v>0.1</v>
      </c>
      <c r="S47" s="155">
        <f t="shared" ref="S47" si="114">P47*(1+$R47)</f>
        <v>0</v>
      </c>
      <c r="T47" s="155">
        <f t="shared" ref="T47:AB47" si="115">S47*(1+$R47)</f>
        <v>0</v>
      </c>
      <c r="U47" s="155">
        <f t="shared" si="115"/>
        <v>0</v>
      </c>
      <c r="V47" s="155">
        <f t="shared" si="115"/>
        <v>0</v>
      </c>
      <c r="W47" s="155">
        <f t="shared" si="115"/>
        <v>0</v>
      </c>
      <c r="X47" s="155">
        <f t="shared" si="115"/>
        <v>0</v>
      </c>
      <c r="Y47" s="155">
        <f t="shared" si="115"/>
        <v>0</v>
      </c>
      <c r="Z47" s="155">
        <f t="shared" si="115"/>
        <v>0</v>
      </c>
      <c r="AA47" s="155">
        <f t="shared" si="115"/>
        <v>0</v>
      </c>
      <c r="AB47" s="155">
        <f t="shared" si="115"/>
        <v>0</v>
      </c>
      <c r="AC47" s="138" t="e">
        <f t="shared" ref="AC47" si="116">((AB47/G47)^(1/($AB$3-$H$1) ))-1</f>
        <v>#DIV/0!</v>
      </c>
      <c r="AD47" s="31">
        <v>0.05</v>
      </c>
      <c r="AE47" s="146">
        <f t="shared" si="1"/>
        <v>0</v>
      </c>
    </row>
    <row r="48" spans="2:31">
      <c r="B48" s="20"/>
      <c r="C48" s="141"/>
      <c r="D48" s="141"/>
      <c r="E48" s="147"/>
      <c r="F48" s="147"/>
      <c r="G48" s="149" t="e">
        <f>(G47-F47)/G47</f>
        <v>#DIV/0!</v>
      </c>
      <c r="H48" s="149" t="e">
        <f>(H47-G47)/H47</f>
        <v>#DIV/0!</v>
      </c>
      <c r="I48" s="149" t="e">
        <f t="shared" ref="I48:P48" si="117">(I47-H47)/I47</f>
        <v>#DIV/0!</v>
      </c>
      <c r="J48" s="149" t="e">
        <f t="shared" si="117"/>
        <v>#DIV/0!</v>
      </c>
      <c r="K48" s="149" t="e">
        <f t="shared" si="117"/>
        <v>#DIV/0!</v>
      </c>
      <c r="L48" s="149" t="e">
        <f t="shared" si="117"/>
        <v>#DIV/0!</v>
      </c>
      <c r="M48" s="149" t="e">
        <f t="shared" si="117"/>
        <v>#DIV/0!</v>
      </c>
      <c r="N48" s="149" t="e">
        <f t="shared" si="117"/>
        <v>#DIV/0!</v>
      </c>
      <c r="O48" s="149" t="e">
        <f t="shared" si="117"/>
        <v>#DIV/0!</v>
      </c>
      <c r="P48" s="149" t="e">
        <f t="shared" si="117"/>
        <v>#DIV/0!</v>
      </c>
      <c r="Q48" s="3"/>
      <c r="R48" s="3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38"/>
      <c r="AD48" s="31"/>
      <c r="AE48" s="146"/>
    </row>
    <row r="49" spans="2:31" s="123" customFormat="1">
      <c r="B49" s="20" t="s">
        <v>327</v>
      </c>
      <c r="C49" s="150"/>
      <c r="D49" s="150"/>
      <c r="E49" s="151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18" t="e">
        <f>((P49/G49)^(1/($H$2-$H$1) ))-1</f>
        <v>#DIV/0!</v>
      </c>
      <c r="R49" s="31">
        <f t="shared" si="6"/>
        <v>0.12</v>
      </c>
      <c r="S49" s="155">
        <f t="shared" ref="S49" si="118">P49*(1+$R49)</f>
        <v>0</v>
      </c>
      <c r="T49" s="155">
        <f t="shared" ref="T49" si="119">S49*(1+$R49)</f>
        <v>0</v>
      </c>
      <c r="U49" s="155">
        <f t="shared" ref="U49" si="120">T49*(1+$R49)</f>
        <v>0</v>
      </c>
      <c r="V49" s="155">
        <f t="shared" ref="V49" si="121">U49*(1+$R49)</f>
        <v>0</v>
      </c>
      <c r="W49" s="155">
        <f t="shared" ref="W49" si="122">V49*(1+$R49)</f>
        <v>0</v>
      </c>
      <c r="X49" s="155">
        <f t="shared" ref="X49" si="123">W49*(1+$R49)</f>
        <v>0</v>
      </c>
      <c r="Y49" s="155">
        <f t="shared" ref="Y49" si="124">X49*(1+$R49)</f>
        <v>0</v>
      </c>
      <c r="Z49" s="155">
        <f t="shared" ref="Z49" si="125">Y49*(1+$R49)</f>
        <v>0</v>
      </c>
      <c r="AA49" s="155">
        <f t="shared" ref="AA49" si="126">Z49*(1+$R49)</f>
        <v>0</v>
      </c>
      <c r="AB49" s="155">
        <f t="shared" ref="AB49" si="127">AA49*(1+$R49)</f>
        <v>0</v>
      </c>
      <c r="AC49" s="138" t="e">
        <f t="shared" ref="AC49" si="128">((AB49/G49)^(1/($AB$3-$H$1) ))-1</f>
        <v>#DIV/0!</v>
      </c>
      <c r="AD49" s="31">
        <f t="shared" si="17"/>
        <v>0.08</v>
      </c>
      <c r="AE49" s="146">
        <f t="shared" ref="AE49" si="129">(AB49*(1+AD49))/($C$1-AD49)</f>
        <v>0</v>
      </c>
    </row>
    <row r="50" spans="2:31" s="123" customFormat="1">
      <c r="B50" s="23"/>
      <c r="C50" s="150"/>
      <c r="D50" s="150"/>
      <c r="E50" s="151"/>
      <c r="F50" s="151"/>
      <c r="G50" s="149" t="e">
        <f t="shared" ref="G50:P50" si="130">(G49-F49)/G49</f>
        <v>#DIV/0!</v>
      </c>
      <c r="H50" s="149" t="e">
        <f t="shared" si="130"/>
        <v>#DIV/0!</v>
      </c>
      <c r="I50" s="149" t="e">
        <f t="shared" si="130"/>
        <v>#DIV/0!</v>
      </c>
      <c r="J50" s="149" t="e">
        <f t="shared" si="130"/>
        <v>#DIV/0!</v>
      </c>
      <c r="K50" s="149" t="e">
        <f t="shared" si="130"/>
        <v>#DIV/0!</v>
      </c>
      <c r="L50" s="149" t="e">
        <f t="shared" si="130"/>
        <v>#DIV/0!</v>
      </c>
      <c r="M50" s="149" t="e">
        <f t="shared" si="130"/>
        <v>#DIV/0!</v>
      </c>
      <c r="N50" s="149" t="e">
        <f t="shared" si="130"/>
        <v>#DIV/0!</v>
      </c>
      <c r="O50" s="149" t="e">
        <f t="shared" si="130"/>
        <v>#DIV/0!</v>
      </c>
      <c r="P50" s="149" t="e">
        <f t="shared" si="130"/>
        <v>#DIV/0!</v>
      </c>
      <c r="Q50" s="128"/>
      <c r="R50" s="20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63"/>
      <c r="AD50" s="137"/>
      <c r="AE50" s="155"/>
    </row>
    <row r="51" spans="2:31">
      <c r="B51" s="20" t="s">
        <v>335</v>
      </c>
      <c r="C51" s="141"/>
      <c r="D51" s="141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18" t="e">
        <f>((P51/G51)^(1/($H$2-$H$1) ))-1</f>
        <v>#DIV/0!</v>
      </c>
      <c r="R51" s="31">
        <f t="shared" si="6"/>
        <v>0.12</v>
      </c>
      <c r="S51" s="155">
        <f>P51*(1+$R51)</f>
        <v>0</v>
      </c>
      <c r="T51" s="155">
        <f>S51*(1+$R51)</f>
        <v>0</v>
      </c>
      <c r="U51" s="155">
        <f t="shared" ref="U51:AB52" si="131">T51*(1+$R51)</f>
        <v>0</v>
      </c>
      <c r="V51" s="155">
        <f t="shared" si="131"/>
        <v>0</v>
      </c>
      <c r="W51" s="155">
        <f t="shared" si="131"/>
        <v>0</v>
      </c>
      <c r="X51" s="155">
        <f t="shared" si="131"/>
        <v>0</v>
      </c>
      <c r="Y51" s="155">
        <f t="shared" si="131"/>
        <v>0</v>
      </c>
      <c r="Z51" s="155">
        <f t="shared" si="131"/>
        <v>0</v>
      </c>
      <c r="AA51" s="155">
        <f t="shared" si="131"/>
        <v>0</v>
      </c>
      <c r="AB51" s="155">
        <f t="shared" si="131"/>
        <v>0</v>
      </c>
      <c r="AC51" s="138" t="e">
        <f t="shared" ref="AC51" si="132">((AB51/G51)^(1/($AB$3-$H$1) ))-1</f>
        <v>#DIV/0!</v>
      </c>
      <c r="AD51" s="31">
        <f t="shared" si="17"/>
        <v>0.08</v>
      </c>
      <c r="AE51" s="146">
        <f t="shared" si="1"/>
        <v>0</v>
      </c>
    </row>
    <row r="52" spans="2:31">
      <c r="B52" s="20" t="s">
        <v>334</v>
      </c>
      <c r="C52" s="141"/>
      <c r="D52" s="141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18" t="e">
        <f>((P52/G52)^(1/($H$2-$H$1) ))-1</f>
        <v>#DIV/0!</v>
      </c>
      <c r="R52" s="31">
        <f t="shared" si="6"/>
        <v>0.12</v>
      </c>
      <c r="S52" s="155">
        <f>P52*(1+$R52)</f>
        <v>0</v>
      </c>
      <c r="T52" s="155">
        <f>S52*(1+$R52)</f>
        <v>0</v>
      </c>
      <c r="U52" s="155">
        <f t="shared" si="131"/>
        <v>0</v>
      </c>
      <c r="V52" s="155">
        <f t="shared" si="131"/>
        <v>0</v>
      </c>
      <c r="W52" s="155">
        <f t="shared" si="131"/>
        <v>0</v>
      </c>
      <c r="X52" s="155">
        <f t="shared" si="131"/>
        <v>0</v>
      </c>
      <c r="Y52" s="155">
        <f t="shared" si="131"/>
        <v>0</v>
      </c>
      <c r="Z52" s="155">
        <f t="shared" si="131"/>
        <v>0</v>
      </c>
      <c r="AA52" s="155">
        <f t="shared" si="131"/>
        <v>0</v>
      </c>
      <c r="AB52" s="155">
        <f t="shared" si="131"/>
        <v>0</v>
      </c>
      <c r="AC52" s="138" t="e">
        <f t="shared" ref="AC52" si="133">((AB52/G52)^(1/($AB$3-$H$1) ))-1</f>
        <v>#DIV/0!</v>
      </c>
      <c r="AD52" s="31">
        <f t="shared" si="17"/>
        <v>0.08</v>
      </c>
      <c r="AE52" s="146">
        <f t="shared" si="1"/>
        <v>0</v>
      </c>
    </row>
    <row r="53" spans="2:31">
      <c r="B53" s="20" t="s">
        <v>317</v>
      </c>
      <c r="C53" s="141"/>
      <c r="D53" s="141"/>
      <c r="E53" s="147"/>
      <c r="F53" s="147"/>
      <c r="G53" s="176"/>
      <c r="H53" s="176"/>
      <c r="I53" s="176"/>
      <c r="J53" s="143"/>
      <c r="K53" s="143"/>
      <c r="L53" s="177"/>
      <c r="M53" s="177"/>
      <c r="N53" s="177"/>
      <c r="O53" s="177"/>
      <c r="P53" s="177"/>
      <c r="Q53" s="118" t="e">
        <f>((P53/G53)^(1/($H$2-$H$1) ))-1</f>
        <v>#DIV/0!</v>
      </c>
      <c r="R53" s="31">
        <f t="shared" si="6"/>
        <v>0.12</v>
      </c>
      <c r="S53" s="155">
        <f t="shared" si="47"/>
        <v>0</v>
      </c>
      <c r="T53" s="155">
        <f t="shared" si="48"/>
        <v>0</v>
      </c>
      <c r="U53" s="155">
        <f t="shared" si="49"/>
        <v>0</v>
      </c>
      <c r="V53" s="155">
        <f t="shared" si="50"/>
        <v>0</v>
      </c>
      <c r="W53" s="155">
        <f t="shared" si="51"/>
        <v>0</v>
      </c>
      <c r="X53" s="155">
        <f t="shared" si="52"/>
        <v>0</v>
      </c>
      <c r="Y53" s="155">
        <f t="shared" si="53"/>
        <v>0</v>
      </c>
      <c r="Z53" s="155">
        <f t="shared" si="54"/>
        <v>0</v>
      </c>
      <c r="AA53" s="155">
        <f t="shared" si="55"/>
        <v>0</v>
      </c>
      <c r="AB53" s="155">
        <f t="shared" si="56"/>
        <v>0</v>
      </c>
      <c r="AC53" s="138" t="e">
        <f t="shared" si="19"/>
        <v>#DIV/0!</v>
      </c>
      <c r="AD53" s="31">
        <f t="shared" si="17"/>
        <v>0.08</v>
      </c>
      <c r="AE53" s="146">
        <f t="shared" si="1"/>
        <v>0</v>
      </c>
    </row>
    <row r="54" spans="2:31">
      <c r="B54" s="20" t="s">
        <v>309</v>
      </c>
      <c r="C54" s="141"/>
      <c r="D54" s="141"/>
      <c r="E54" s="147"/>
      <c r="F54" s="147"/>
      <c r="G54" s="176"/>
      <c r="H54" s="176"/>
      <c r="I54" s="176"/>
      <c r="J54" s="143"/>
      <c r="K54" s="143"/>
      <c r="L54" s="177"/>
      <c r="M54" s="177"/>
      <c r="N54" s="177"/>
      <c r="O54" s="177"/>
      <c r="P54" s="177"/>
      <c r="Q54" s="118" t="e">
        <f>((P54/G54)^(1/($H$2-$H$1) ))-1</f>
        <v>#DIV/0!</v>
      </c>
      <c r="R54" s="31">
        <f t="shared" si="6"/>
        <v>0.12</v>
      </c>
      <c r="S54" s="155">
        <f t="shared" si="47"/>
        <v>0</v>
      </c>
      <c r="T54" s="155">
        <f t="shared" si="48"/>
        <v>0</v>
      </c>
      <c r="U54" s="155">
        <f t="shared" si="49"/>
        <v>0</v>
      </c>
      <c r="V54" s="155">
        <f t="shared" si="50"/>
        <v>0</v>
      </c>
      <c r="W54" s="155">
        <f t="shared" si="51"/>
        <v>0</v>
      </c>
      <c r="X54" s="155">
        <f t="shared" si="52"/>
        <v>0</v>
      </c>
      <c r="Y54" s="155">
        <f t="shared" si="53"/>
        <v>0</v>
      </c>
      <c r="Z54" s="155">
        <f t="shared" si="54"/>
        <v>0</v>
      </c>
      <c r="AA54" s="155">
        <f t="shared" si="55"/>
        <v>0</v>
      </c>
      <c r="AB54" s="155">
        <f t="shared" si="56"/>
        <v>0</v>
      </c>
      <c r="AC54" s="138" t="e">
        <f t="shared" si="19"/>
        <v>#DIV/0!</v>
      </c>
      <c r="AD54" s="31">
        <f t="shared" si="17"/>
        <v>0.08</v>
      </c>
      <c r="AE54" s="146">
        <f t="shared" si="1"/>
        <v>0</v>
      </c>
    </row>
    <row r="55" spans="2:31">
      <c r="B55" s="20"/>
      <c r="C55" s="141"/>
      <c r="D55" s="141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28"/>
      <c r="R55" s="20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39"/>
      <c r="AD55" s="137"/>
      <c r="AE55" s="155"/>
    </row>
    <row r="56" spans="2:31">
      <c r="B56" s="20" t="s">
        <v>379</v>
      </c>
      <c r="C56" s="141"/>
      <c r="D56" s="141"/>
      <c r="E56" s="147"/>
      <c r="F56" s="147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18" t="e">
        <f>((P56/G56)^(1/($H$2-$H$1) ))-1</f>
        <v>#DIV/0!</v>
      </c>
      <c r="R56" s="31">
        <v>0.1</v>
      </c>
      <c r="S56" s="155">
        <f t="shared" ref="S56:S59" si="134">P56*(1+$R56)</f>
        <v>0</v>
      </c>
      <c r="T56" s="155">
        <f t="shared" ref="T56:T59" si="135">S56*(1+$R56)</f>
        <v>0</v>
      </c>
      <c r="U56" s="155">
        <f t="shared" ref="U56:U59" si="136">T56*(1+$R56)</f>
        <v>0</v>
      </c>
      <c r="V56" s="155">
        <f t="shared" ref="V56:V59" si="137">U56*(1+$R56)</f>
        <v>0</v>
      </c>
      <c r="W56" s="155">
        <f t="shared" ref="W56:W59" si="138">V56*(1+$R56)</f>
        <v>0</v>
      </c>
      <c r="X56" s="155">
        <f t="shared" ref="X56:X59" si="139">W56*(1+$R56)</f>
        <v>0</v>
      </c>
      <c r="Y56" s="155">
        <f t="shared" ref="Y56:Y59" si="140">X56*(1+$R56)</f>
        <v>0</v>
      </c>
      <c r="Z56" s="155">
        <f t="shared" ref="Z56:Z59" si="141">Y56*(1+$R56)</f>
        <v>0</v>
      </c>
      <c r="AA56" s="155">
        <f t="shared" ref="AA56:AA59" si="142">Z56*(1+$R56)</f>
        <v>0</v>
      </c>
      <c r="AB56" s="155">
        <f t="shared" ref="AB56:AB59" si="143">AA56*(1+$R56)</f>
        <v>0</v>
      </c>
      <c r="AC56" s="138" t="e">
        <f t="shared" ref="AC56:AC59" si="144">((AB56/G56)^(1/($AB$3-$H$1) ))-1</f>
        <v>#DIV/0!</v>
      </c>
      <c r="AD56" s="31">
        <f t="shared" si="17"/>
        <v>0.08</v>
      </c>
      <c r="AE56" s="146">
        <f t="shared" ref="AE56:AE59" si="145">(AB56*(1+AD56))/($C$1-AD56)</f>
        <v>0</v>
      </c>
    </row>
    <row r="57" spans="2:31">
      <c r="B57" s="20" t="s">
        <v>380</v>
      </c>
      <c r="C57" s="141"/>
      <c r="D57" s="141"/>
      <c r="E57" s="147"/>
      <c r="F57" s="147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18" t="e">
        <f>((P57/G57)^(1/($H$2-$H$1) ))-1</f>
        <v>#DIV/0!</v>
      </c>
      <c r="R57" s="31">
        <v>0.1</v>
      </c>
      <c r="S57" s="155">
        <f t="shared" si="134"/>
        <v>0</v>
      </c>
      <c r="T57" s="155">
        <f t="shared" si="135"/>
        <v>0</v>
      </c>
      <c r="U57" s="155">
        <f t="shared" si="136"/>
        <v>0</v>
      </c>
      <c r="V57" s="155">
        <f t="shared" si="137"/>
        <v>0</v>
      </c>
      <c r="W57" s="155">
        <f t="shared" si="138"/>
        <v>0</v>
      </c>
      <c r="X57" s="155">
        <f t="shared" si="139"/>
        <v>0</v>
      </c>
      <c r="Y57" s="155">
        <f t="shared" si="140"/>
        <v>0</v>
      </c>
      <c r="Z57" s="155">
        <f t="shared" si="141"/>
        <v>0</v>
      </c>
      <c r="AA57" s="155">
        <f t="shared" si="142"/>
        <v>0</v>
      </c>
      <c r="AB57" s="155">
        <f t="shared" si="143"/>
        <v>0</v>
      </c>
      <c r="AC57" s="138" t="e">
        <f t="shared" si="144"/>
        <v>#DIV/0!</v>
      </c>
      <c r="AD57" s="31">
        <f t="shared" si="17"/>
        <v>0.08</v>
      </c>
      <c r="AE57" s="146">
        <f t="shared" si="145"/>
        <v>0</v>
      </c>
    </row>
    <row r="58" spans="2:31">
      <c r="B58" s="20" t="s">
        <v>381</v>
      </c>
      <c r="C58" s="141"/>
      <c r="D58" s="141"/>
      <c r="E58" s="147"/>
      <c r="F58" s="147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18" t="e">
        <f>((P58/G58)^(1/($H$2-$H$1) ))-1</f>
        <v>#DIV/0!</v>
      </c>
      <c r="R58" s="31">
        <v>0.1</v>
      </c>
      <c r="S58" s="155">
        <f t="shared" si="134"/>
        <v>0</v>
      </c>
      <c r="T58" s="155">
        <f t="shared" si="135"/>
        <v>0</v>
      </c>
      <c r="U58" s="155">
        <f t="shared" si="136"/>
        <v>0</v>
      </c>
      <c r="V58" s="155">
        <f t="shared" si="137"/>
        <v>0</v>
      </c>
      <c r="W58" s="155">
        <f t="shared" si="138"/>
        <v>0</v>
      </c>
      <c r="X58" s="155">
        <f t="shared" si="139"/>
        <v>0</v>
      </c>
      <c r="Y58" s="155">
        <f t="shared" si="140"/>
        <v>0</v>
      </c>
      <c r="Z58" s="155">
        <f t="shared" si="141"/>
        <v>0</v>
      </c>
      <c r="AA58" s="155">
        <f t="shared" si="142"/>
        <v>0</v>
      </c>
      <c r="AB58" s="155">
        <f t="shared" si="143"/>
        <v>0</v>
      </c>
      <c r="AC58" s="138" t="e">
        <f t="shared" si="144"/>
        <v>#DIV/0!</v>
      </c>
      <c r="AD58" s="31">
        <f t="shared" si="17"/>
        <v>0.08</v>
      </c>
      <c r="AE58" s="146">
        <f t="shared" si="145"/>
        <v>0</v>
      </c>
    </row>
    <row r="59" spans="2:31">
      <c r="B59" s="20" t="s">
        <v>382</v>
      </c>
      <c r="C59" s="141"/>
      <c r="D59" s="141"/>
      <c r="E59" s="147"/>
      <c r="F59" s="147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18" t="e">
        <f>((P59/G59)^(1/($H$2-$H$1) ))-1</f>
        <v>#DIV/0!</v>
      </c>
      <c r="R59" s="31">
        <v>0.1</v>
      </c>
      <c r="S59" s="155">
        <f t="shared" si="134"/>
        <v>0</v>
      </c>
      <c r="T59" s="155">
        <f t="shared" si="135"/>
        <v>0</v>
      </c>
      <c r="U59" s="155">
        <f t="shared" si="136"/>
        <v>0</v>
      </c>
      <c r="V59" s="155">
        <f t="shared" si="137"/>
        <v>0</v>
      </c>
      <c r="W59" s="155">
        <f t="shared" si="138"/>
        <v>0</v>
      </c>
      <c r="X59" s="155">
        <f t="shared" si="139"/>
        <v>0</v>
      </c>
      <c r="Y59" s="155">
        <f t="shared" si="140"/>
        <v>0</v>
      </c>
      <c r="Z59" s="155">
        <f t="shared" si="141"/>
        <v>0</v>
      </c>
      <c r="AA59" s="155">
        <f t="shared" si="142"/>
        <v>0</v>
      </c>
      <c r="AB59" s="155">
        <f t="shared" si="143"/>
        <v>0</v>
      </c>
      <c r="AC59" s="138" t="e">
        <f t="shared" si="144"/>
        <v>#DIV/0!</v>
      </c>
      <c r="AD59" s="31">
        <f t="shared" si="17"/>
        <v>0.08</v>
      </c>
      <c r="AE59" s="146">
        <f t="shared" si="145"/>
        <v>0</v>
      </c>
    </row>
    <row r="60" spans="2:31">
      <c r="B60" s="20"/>
      <c r="C60" s="141"/>
      <c r="D60" s="141"/>
      <c r="E60" s="147"/>
      <c r="F60" s="147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3"/>
      <c r="R60" s="3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3"/>
      <c r="AD60" s="3"/>
      <c r="AE60" s="146"/>
    </row>
    <row r="61" spans="2:31">
      <c r="B61" s="20" t="s">
        <v>279</v>
      </c>
      <c r="C61" s="141"/>
      <c r="D61" s="141"/>
      <c r="E61" s="147"/>
      <c r="F61" s="147"/>
      <c r="G61" s="176"/>
      <c r="H61" s="176"/>
      <c r="I61" s="176"/>
      <c r="J61" s="143"/>
      <c r="K61" s="143"/>
      <c r="L61" s="177"/>
      <c r="M61" s="177"/>
      <c r="N61" s="177"/>
      <c r="O61" s="177"/>
      <c r="P61" s="177"/>
      <c r="Q61" s="118" t="e">
        <f>((P61/G61)^(1/($H$2-$H$1) ))-1</f>
        <v>#DIV/0!</v>
      </c>
      <c r="R61" s="31">
        <f t="shared" si="6"/>
        <v>0.12</v>
      </c>
      <c r="S61" s="155">
        <f t="shared" ref="S61" si="146">P61*(1+$R61)</f>
        <v>0</v>
      </c>
      <c r="T61" s="155">
        <f t="shared" ref="T61" si="147">S61*(1+$R61)</f>
        <v>0</v>
      </c>
      <c r="U61" s="155">
        <f t="shared" ref="U61" si="148">T61*(1+$R61)</f>
        <v>0</v>
      </c>
      <c r="V61" s="155">
        <f t="shared" ref="V61" si="149">U61*(1+$R61)</f>
        <v>0</v>
      </c>
      <c r="W61" s="155">
        <f t="shared" si="51"/>
        <v>0</v>
      </c>
      <c r="X61" s="155">
        <f t="shared" si="52"/>
        <v>0</v>
      </c>
      <c r="Y61" s="155">
        <f t="shared" si="53"/>
        <v>0</v>
      </c>
      <c r="Z61" s="155">
        <f t="shared" si="54"/>
        <v>0</v>
      </c>
      <c r="AA61" s="155">
        <f t="shared" si="55"/>
        <v>0</v>
      </c>
      <c r="AB61" s="155">
        <f t="shared" si="56"/>
        <v>0</v>
      </c>
      <c r="AC61" s="138" t="e">
        <f t="shared" si="19"/>
        <v>#DIV/0!</v>
      </c>
      <c r="AD61" s="31">
        <f t="shared" si="17"/>
        <v>0.08</v>
      </c>
      <c r="AE61" s="146">
        <f t="shared" si="1"/>
        <v>0</v>
      </c>
    </row>
    <row r="62" spans="2:31" s="123" customFormat="1">
      <c r="B62" s="23"/>
      <c r="C62" s="150"/>
      <c r="D62" s="150"/>
      <c r="E62" s="151"/>
      <c r="F62" s="151"/>
      <c r="G62" s="149" t="e">
        <f>(G61-F61)/G61</f>
        <v>#DIV/0!</v>
      </c>
      <c r="H62" s="149" t="e">
        <f>(H61-G61)/H61</f>
        <v>#DIV/0!</v>
      </c>
      <c r="I62" s="149" t="e">
        <f t="shared" ref="I62" si="150">(I61-H61)/I61</f>
        <v>#DIV/0!</v>
      </c>
      <c r="J62" s="149" t="e">
        <f t="shared" ref="J62" si="151">(J61-I61)/J61</f>
        <v>#DIV/0!</v>
      </c>
      <c r="K62" s="149" t="e">
        <f t="shared" ref="K62" si="152">(K61-J61)/K61</f>
        <v>#DIV/0!</v>
      </c>
      <c r="L62" s="149" t="e">
        <f t="shared" ref="L62" si="153">(L61-K61)/L61</f>
        <v>#DIV/0!</v>
      </c>
      <c r="M62" s="149" t="e">
        <f t="shared" ref="M62" si="154">(M61-L61)/M61</f>
        <v>#DIV/0!</v>
      </c>
      <c r="N62" s="149" t="e">
        <f t="shared" ref="N62" si="155">(N61-M61)/N61</f>
        <v>#DIV/0!</v>
      </c>
      <c r="O62" s="149" t="e">
        <f t="shared" ref="O62" si="156">(O61-N61)/O61</f>
        <v>#DIV/0!</v>
      </c>
      <c r="P62" s="149" t="e">
        <f t="shared" ref="P62" si="157">(P61-O61)/P61</f>
        <v>#DIV/0!</v>
      </c>
      <c r="Q62" s="128"/>
      <c r="R62" s="20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39"/>
      <c r="AD62" s="137"/>
      <c r="AE62" s="157"/>
    </row>
    <row r="63" spans="2:31">
      <c r="B63" s="20" t="s">
        <v>257</v>
      </c>
      <c r="C63" s="141"/>
      <c r="D63" s="141"/>
      <c r="E63" s="147"/>
      <c r="F63" s="147"/>
      <c r="G63" s="176"/>
      <c r="H63" s="176"/>
      <c r="I63" s="176"/>
      <c r="J63" s="143"/>
      <c r="K63" s="143"/>
      <c r="L63" s="177"/>
      <c r="M63" s="177"/>
      <c r="N63" s="177"/>
      <c r="O63" s="177"/>
      <c r="P63" s="177"/>
      <c r="Q63" s="118" t="e">
        <f>((P63/G63)^(1/($H$2-$H$1) ))-1</f>
        <v>#DIV/0!</v>
      </c>
      <c r="R63" s="31">
        <f t="shared" si="6"/>
        <v>0.12</v>
      </c>
      <c r="S63" s="155">
        <f>P63*(1+$R63)</f>
        <v>0</v>
      </c>
      <c r="T63" s="155">
        <f t="shared" ref="T63:AB63" si="158">S63*(1+$R63)</f>
        <v>0</v>
      </c>
      <c r="U63" s="155">
        <f t="shared" si="158"/>
        <v>0</v>
      </c>
      <c r="V63" s="155">
        <f t="shared" si="158"/>
        <v>0</v>
      </c>
      <c r="W63" s="155">
        <f t="shared" si="158"/>
        <v>0</v>
      </c>
      <c r="X63" s="155">
        <f t="shared" si="158"/>
        <v>0</v>
      </c>
      <c r="Y63" s="155">
        <f t="shared" si="158"/>
        <v>0</v>
      </c>
      <c r="Z63" s="155">
        <f t="shared" si="158"/>
        <v>0</v>
      </c>
      <c r="AA63" s="155">
        <f t="shared" si="158"/>
        <v>0</v>
      </c>
      <c r="AB63" s="155">
        <f t="shared" si="158"/>
        <v>0</v>
      </c>
      <c r="AC63" s="138" t="e">
        <f t="shared" si="19"/>
        <v>#DIV/0!</v>
      </c>
      <c r="AD63" s="31">
        <f t="shared" si="17"/>
        <v>0.08</v>
      </c>
      <c r="AE63" s="146">
        <f t="shared" si="1"/>
        <v>0</v>
      </c>
    </row>
    <row r="64" spans="2:31" s="123" customFormat="1">
      <c r="B64" s="23"/>
      <c r="C64" s="150"/>
      <c r="D64" s="150"/>
      <c r="E64" s="151"/>
      <c r="F64" s="151"/>
      <c r="G64" s="149" t="e">
        <f>(G63-F63)/G63</f>
        <v>#DIV/0!</v>
      </c>
      <c r="H64" s="149" t="e">
        <f>(H63-G63)/H63</f>
        <v>#DIV/0!</v>
      </c>
      <c r="I64" s="149" t="e">
        <f t="shared" ref="I64" si="159">(I63-H63)/I63</f>
        <v>#DIV/0!</v>
      </c>
      <c r="J64" s="149" t="e">
        <f t="shared" ref="J64" si="160">(J63-I63)/J63</f>
        <v>#DIV/0!</v>
      </c>
      <c r="K64" s="149" t="e">
        <f t="shared" ref="K64" si="161">(K63-J63)/K63</f>
        <v>#DIV/0!</v>
      </c>
      <c r="L64" s="149" t="e">
        <f t="shared" ref="L64" si="162">(L63-K63)/L63</f>
        <v>#DIV/0!</v>
      </c>
      <c r="M64" s="149" t="e">
        <f t="shared" ref="M64" si="163">(M63-L63)/M63</f>
        <v>#DIV/0!</v>
      </c>
      <c r="N64" s="149" t="e">
        <f t="shared" ref="N64" si="164">(N63-M63)/N63</f>
        <v>#DIV/0!</v>
      </c>
      <c r="O64" s="149" t="e">
        <f t="shared" ref="O64" si="165">(O63-N63)/O63</f>
        <v>#DIV/0!</v>
      </c>
      <c r="P64" s="149" t="e">
        <f t="shared" ref="P64" si="166">(P63-O63)/P63</f>
        <v>#DIV/0!</v>
      </c>
      <c r="Q64" s="128"/>
      <c r="R64" s="20"/>
      <c r="S64" s="156"/>
      <c r="T64" s="156"/>
      <c r="U64" s="156"/>
      <c r="V64" s="156"/>
      <c r="W64" s="156"/>
      <c r="X64" s="156"/>
      <c r="Y64" s="156"/>
      <c r="Z64" s="156"/>
      <c r="AA64" s="156"/>
      <c r="AB64" s="156"/>
      <c r="AC64" s="139"/>
      <c r="AD64" s="137"/>
      <c r="AE64" s="157"/>
    </row>
    <row r="65" spans="2:31">
      <c r="B65" s="20" t="s">
        <v>239</v>
      </c>
      <c r="C65" s="142">
        <v>1</v>
      </c>
      <c r="D65" s="142">
        <v>1</v>
      </c>
      <c r="E65" s="143">
        <v>1</v>
      </c>
      <c r="F65" s="174"/>
      <c r="G65" s="176"/>
      <c r="H65" s="176"/>
      <c r="I65" s="176"/>
      <c r="J65" s="143"/>
      <c r="K65" s="143"/>
      <c r="L65" s="177"/>
      <c r="M65" s="177"/>
      <c r="N65" s="177"/>
      <c r="O65" s="177"/>
      <c r="P65" s="177"/>
      <c r="Q65" s="118" t="e">
        <f>((P65/G65)^(1/($H$2-$H$1) ))-1</f>
        <v>#DIV/0!</v>
      </c>
      <c r="R65" s="31">
        <v>0.15</v>
      </c>
      <c r="S65" s="155">
        <f>P65*(1+$R65)</f>
        <v>0</v>
      </c>
      <c r="T65" s="155">
        <f t="shared" ref="T65:AB66" si="167">S65*(1+$R65)</f>
        <v>0</v>
      </c>
      <c r="U65" s="155">
        <f t="shared" si="167"/>
        <v>0</v>
      </c>
      <c r="V65" s="155">
        <f t="shared" si="167"/>
        <v>0</v>
      </c>
      <c r="W65" s="155">
        <f t="shared" si="167"/>
        <v>0</v>
      </c>
      <c r="X65" s="155">
        <f t="shared" si="167"/>
        <v>0</v>
      </c>
      <c r="Y65" s="155">
        <f t="shared" si="167"/>
        <v>0</v>
      </c>
      <c r="Z65" s="155">
        <f t="shared" si="167"/>
        <v>0</v>
      </c>
      <c r="AA65" s="155">
        <f t="shared" si="167"/>
        <v>0</v>
      </c>
      <c r="AB65" s="155">
        <f t="shared" si="167"/>
        <v>0</v>
      </c>
      <c r="AC65" s="138" t="e">
        <f t="shared" si="19"/>
        <v>#DIV/0!</v>
      </c>
      <c r="AD65" s="31">
        <f t="shared" si="17"/>
        <v>0.08</v>
      </c>
      <c r="AE65" s="146">
        <f t="shared" si="1"/>
        <v>0</v>
      </c>
    </row>
    <row r="66" spans="2:31">
      <c r="B66" s="20" t="s">
        <v>383</v>
      </c>
      <c r="C66" s="147">
        <v>1</v>
      </c>
      <c r="D66" s="147">
        <v>1</v>
      </c>
      <c r="E66" s="147">
        <v>1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18" t="e">
        <f>((P66/G66)^(1/($H$2-$H$1) ))-1</f>
        <v>#DIV/0!</v>
      </c>
      <c r="R66" s="31">
        <v>0.1</v>
      </c>
      <c r="S66" s="155">
        <f t="shared" ref="S66" si="168">P66*(1+$R66)</f>
        <v>0</v>
      </c>
      <c r="T66" s="155">
        <f t="shared" si="167"/>
        <v>0</v>
      </c>
      <c r="U66" s="155">
        <f t="shared" si="167"/>
        <v>0</v>
      </c>
      <c r="V66" s="155">
        <f t="shared" si="167"/>
        <v>0</v>
      </c>
      <c r="W66" s="155">
        <f t="shared" si="167"/>
        <v>0</v>
      </c>
      <c r="X66" s="155">
        <f t="shared" si="167"/>
        <v>0</v>
      </c>
      <c r="Y66" s="155">
        <f t="shared" si="167"/>
        <v>0</v>
      </c>
      <c r="Z66" s="155">
        <f t="shared" si="167"/>
        <v>0</v>
      </c>
      <c r="AA66" s="155">
        <f t="shared" si="167"/>
        <v>0</v>
      </c>
      <c r="AB66" s="155">
        <f t="shared" si="167"/>
        <v>0</v>
      </c>
      <c r="AC66" s="138" t="e">
        <f t="shared" si="19"/>
        <v>#DIV/0!</v>
      </c>
      <c r="AD66" s="31">
        <v>0.08</v>
      </c>
      <c r="AE66" s="146">
        <f t="shared" si="1"/>
        <v>0</v>
      </c>
    </row>
    <row r="67" spans="2:31">
      <c r="B67" s="20" t="s">
        <v>283</v>
      </c>
      <c r="C67" s="145">
        <v>1</v>
      </c>
      <c r="D67" s="145">
        <v>1</v>
      </c>
      <c r="E67" s="145">
        <v>1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18" t="e">
        <f>((P67/G67)^(1/($H$2-$H$1) ))-1</f>
        <v>#DIV/0!</v>
      </c>
      <c r="R67" s="31">
        <v>0.05</v>
      </c>
      <c r="S67" s="155">
        <f t="shared" ref="S67" si="169">P67*(1+$R67)</f>
        <v>0</v>
      </c>
      <c r="T67" s="155">
        <f t="shared" ref="T67" si="170">S67*(1+$R67)</f>
        <v>0</v>
      </c>
      <c r="U67" s="155">
        <f t="shared" ref="U67" si="171">T67*(1+$R67)</f>
        <v>0</v>
      </c>
      <c r="V67" s="155">
        <f t="shared" ref="V67" si="172">U67*(1+$R67)</f>
        <v>0</v>
      </c>
      <c r="W67" s="155">
        <f t="shared" ref="W67" si="173">V67*(1+$R67)</f>
        <v>0</v>
      </c>
      <c r="X67" s="155">
        <f t="shared" ref="X67" si="174">W67*(1+$R67)</f>
        <v>0</v>
      </c>
      <c r="Y67" s="155">
        <f t="shared" ref="Y67" si="175">X67*(1+$R67)</f>
        <v>0</v>
      </c>
      <c r="Z67" s="155">
        <f t="shared" ref="Z67" si="176">Y67*(1+$R67)</f>
        <v>0</v>
      </c>
      <c r="AA67" s="155">
        <f t="shared" ref="AA67" si="177">Z67*(1+$R67)</f>
        <v>0</v>
      </c>
      <c r="AB67" s="155">
        <f t="shared" ref="AB67" si="178">AA67*(1+$R67)</f>
        <v>0</v>
      </c>
      <c r="AC67" s="138" t="e">
        <f t="shared" ref="AC67" si="179">((AB67/G67)^(1/($AB$3-$H$1) ))-1</f>
        <v>#DIV/0!</v>
      </c>
      <c r="AD67" s="31">
        <f t="shared" si="17"/>
        <v>0.08</v>
      </c>
      <c r="AE67" s="146">
        <f t="shared" si="1"/>
        <v>0</v>
      </c>
    </row>
    <row r="68" spans="2:31">
      <c r="B68" s="20"/>
      <c r="C68" s="20"/>
      <c r="D68" s="20"/>
      <c r="E68" s="127"/>
      <c r="F68" s="127"/>
      <c r="G68" s="127"/>
      <c r="H68" s="20"/>
      <c r="I68" s="20"/>
      <c r="J68" s="20"/>
      <c r="K68" s="20"/>
      <c r="L68" s="20"/>
      <c r="M68" s="20"/>
      <c r="N68" s="20"/>
      <c r="O68" s="20"/>
      <c r="P68" s="20"/>
      <c r="Q68" s="128"/>
      <c r="R68" s="128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39"/>
      <c r="AD68" s="137"/>
      <c r="AE68" s="155"/>
    </row>
    <row r="69" spans="2:31">
      <c r="B69" s="108" t="s">
        <v>243</v>
      </c>
      <c r="C69" s="20"/>
      <c r="D69" s="20"/>
      <c r="E69" s="127"/>
      <c r="F69" s="127"/>
      <c r="G69" s="127"/>
      <c r="H69" s="20"/>
      <c r="I69" s="20"/>
      <c r="J69" s="20"/>
      <c r="K69" s="20"/>
      <c r="L69" s="20"/>
      <c r="M69" s="20"/>
      <c r="N69" s="20"/>
      <c r="O69" s="20"/>
      <c r="P69" s="20"/>
      <c r="Q69" s="128"/>
      <c r="R69" s="128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39"/>
      <c r="AD69" s="137"/>
      <c r="AE69" s="155"/>
    </row>
    <row r="70" spans="2:31">
      <c r="B70" s="20" t="s">
        <v>304</v>
      </c>
      <c r="C70" s="133">
        <f t="shared" ref="C70:P70" si="180">C43/C65</f>
        <v>0</v>
      </c>
      <c r="D70" s="133">
        <f t="shared" si="180"/>
        <v>0</v>
      </c>
      <c r="E70" s="133">
        <f t="shared" si="180"/>
        <v>0</v>
      </c>
      <c r="F70" s="133" t="e">
        <f t="shared" si="180"/>
        <v>#DIV/0!</v>
      </c>
      <c r="G70" s="133" t="e">
        <f t="shared" si="180"/>
        <v>#DIV/0!</v>
      </c>
      <c r="H70" s="133" t="e">
        <f t="shared" si="180"/>
        <v>#DIV/0!</v>
      </c>
      <c r="I70" s="133" t="e">
        <f t="shared" si="180"/>
        <v>#DIV/0!</v>
      </c>
      <c r="J70" s="133" t="e">
        <f t="shared" si="180"/>
        <v>#DIV/0!</v>
      </c>
      <c r="K70" s="133" t="e">
        <f t="shared" si="180"/>
        <v>#DIV/0!</v>
      </c>
      <c r="L70" s="133" t="e">
        <f t="shared" si="180"/>
        <v>#DIV/0!</v>
      </c>
      <c r="M70" s="133" t="e">
        <f t="shared" si="180"/>
        <v>#DIV/0!</v>
      </c>
      <c r="N70" s="133" t="e">
        <f t="shared" si="180"/>
        <v>#DIV/0!</v>
      </c>
      <c r="O70" s="133" t="e">
        <f t="shared" si="180"/>
        <v>#DIV/0!</v>
      </c>
      <c r="P70" s="133" t="e">
        <f t="shared" si="180"/>
        <v>#DIV/0!</v>
      </c>
      <c r="Q70" s="118" t="e">
        <f>((P70/G70)^(1/($H$2-$H$1) ))-1</f>
        <v>#DIV/0!</v>
      </c>
      <c r="R70" s="128"/>
      <c r="S70" s="159" t="e">
        <f t="shared" ref="S70:AB70" si="181">S43/S65</f>
        <v>#DIV/0!</v>
      </c>
      <c r="T70" s="159" t="e">
        <f t="shared" si="181"/>
        <v>#DIV/0!</v>
      </c>
      <c r="U70" s="159" t="e">
        <f t="shared" si="181"/>
        <v>#DIV/0!</v>
      </c>
      <c r="V70" s="159" t="e">
        <f t="shared" si="181"/>
        <v>#DIV/0!</v>
      </c>
      <c r="W70" s="159" t="e">
        <f t="shared" si="181"/>
        <v>#DIV/0!</v>
      </c>
      <c r="X70" s="159" t="e">
        <f t="shared" si="181"/>
        <v>#DIV/0!</v>
      </c>
      <c r="Y70" s="159" t="e">
        <f t="shared" si="181"/>
        <v>#DIV/0!</v>
      </c>
      <c r="Z70" s="159" t="e">
        <f t="shared" si="181"/>
        <v>#DIV/0!</v>
      </c>
      <c r="AA70" s="159" t="e">
        <f t="shared" si="181"/>
        <v>#DIV/0!</v>
      </c>
      <c r="AB70" s="159" t="e">
        <f t="shared" si="181"/>
        <v>#DIV/0!</v>
      </c>
      <c r="AC70" s="138" t="e">
        <f t="shared" ref="AC70" si="182">((AB70/G70)^(1/($AB$3-$H$1) ))-1</f>
        <v>#DIV/0!</v>
      </c>
      <c r="AD70" s="31">
        <f t="shared" si="17"/>
        <v>0.08</v>
      </c>
      <c r="AE70" s="146" t="e">
        <f t="shared" ref="AE70" si="183">(AB70*(1+AD70))/($C$1-AD70)</f>
        <v>#DIV/0!</v>
      </c>
    </row>
    <row r="71" spans="2:31">
      <c r="B71" s="20" t="s">
        <v>305</v>
      </c>
      <c r="C71" s="133">
        <f t="shared" ref="C71:P71" si="184">C45/C65</f>
        <v>0</v>
      </c>
      <c r="D71" s="133">
        <f t="shared" si="184"/>
        <v>0</v>
      </c>
      <c r="E71" s="133">
        <f t="shared" si="184"/>
        <v>0</v>
      </c>
      <c r="F71" s="133" t="e">
        <f t="shared" si="184"/>
        <v>#DIV/0!</v>
      </c>
      <c r="G71" s="133" t="e">
        <f t="shared" si="184"/>
        <v>#DIV/0!</v>
      </c>
      <c r="H71" s="133" t="e">
        <f t="shared" si="184"/>
        <v>#DIV/0!</v>
      </c>
      <c r="I71" s="133" t="e">
        <f t="shared" si="184"/>
        <v>#DIV/0!</v>
      </c>
      <c r="J71" s="133" t="e">
        <f t="shared" si="184"/>
        <v>#DIV/0!</v>
      </c>
      <c r="K71" s="133" t="e">
        <f t="shared" si="184"/>
        <v>#DIV/0!</v>
      </c>
      <c r="L71" s="133" t="e">
        <f t="shared" si="184"/>
        <v>#DIV/0!</v>
      </c>
      <c r="M71" s="133" t="e">
        <f t="shared" si="184"/>
        <v>#DIV/0!</v>
      </c>
      <c r="N71" s="133" t="e">
        <f t="shared" si="184"/>
        <v>#DIV/0!</v>
      </c>
      <c r="O71" s="133" t="e">
        <f t="shared" si="184"/>
        <v>#DIV/0!</v>
      </c>
      <c r="P71" s="133" t="e">
        <f t="shared" si="184"/>
        <v>#DIV/0!</v>
      </c>
      <c r="Q71" s="118" t="e">
        <f>((P71/G71)^(1/($H$2-$H$1) ))-1</f>
        <v>#DIV/0!</v>
      </c>
      <c r="R71" s="128"/>
      <c r="S71" s="159" t="e">
        <f t="shared" ref="S71:AB71" si="185">S45/S65</f>
        <v>#DIV/0!</v>
      </c>
      <c r="T71" s="159" t="e">
        <f t="shared" si="185"/>
        <v>#DIV/0!</v>
      </c>
      <c r="U71" s="159" t="e">
        <f t="shared" si="185"/>
        <v>#DIV/0!</v>
      </c>
      <c r="V71" s="159" t="e">
        <f t="shared" si="185"/>
        <v>#DIV/0!</v>
      </c>
      <c r="W71" s="159" t="e">
        <f t="shared" si="185"/>
        <v>#DIV/0!</v>
      </c>
      <c r="X71" s="159" t="e">
        <f t="shared" si="185"/>
        <v>#DIV/0!</v>
      </c>
      <c r="Y71" s="159" t="e">
        <f t="shared" si="185"/>
        <v>#DIV/0!</v>
      </c>
      <c r="Z71" s="159" t="e">
        <f t="shared" si="185"/>
        <v>#DIV/0!</v>
      </c>
      <c r="AA71" s="159" t="e">
        <f t="shared" si="185"/>
        <v>#DIV/0!</v>
      </c>
      <c r="AB71" s="159" t="e">
        <f t="shared" si="185"/>
        <v>#DIV/0!</v>
      </c>
      <c r="AC71" s="138" t="e">
        <f t="shared" ref="AC71" si="186">((AB71/G71)^(1/($AB$3-$H$1) ))-1</f>
        <v>#DIV/0!</v>
      </c>
      <c r="AD71" s="31">
        <f t="shared" si="17"/>
        <v>0.08</v>
      </c>
      <c r="AE71" s="146" t="e">
        <f t="shared" ref="AE71" si="187">(AB71*(1+AD71))/($C$1-AD71)</f>
        <v>#DIV/0!</v>
      </c>
    </row>
    <row r="72" spans="2:31">
      <c r="B72" s="20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28"/>
      <c r="R72" s="128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19"/>
      <c r="AD72" s="137"/>
      <c r="AE72" s="146"/>
    </row>
    <row r="73" spans="2:31">
      <c r="B73" s="20" t="s">
        <v>258</v>
      </c>
      <c r="C73" s="25">
        <f t="shared" ref="C73:P73" si="188">C63/C65</f>
        <v>0</v>
      </c>
      <c r="D73" s="25">
        <f t="shared" si="188"/>
        <v>0</v>
      </c>
      <c r="E73" s="25">
        <f t="shared" si="188"/>
        <v>0</v>
      </c>
      <c r="F73" s="133" t="e">
        <f t="shared" si="188"/>
        <v>#DIV/0!</v>
      </c>
      <c r="G73" s="133" t="e">
        <f t="shared" si="188"/>
        <v>#DIV/0!</v>
      </c>
      <c r="H73" s="133" t="e">
        <f t="shared" si="188"/>
        <v>#DIV/0!</v>
      </c>
      <c r="I73" s="133" t="e">
        <f t="shared" si="188"/>
        <v>#DIV/0!</v>
      </c>
      <c r="J73" s="133" t="e">
        <f t="shared" si="188"/>
        <v>#DIV/0!</v>
      </c>
      <c r="K73" s="133" t="e">
        <f t="shared" si="188"/>
        <v>#DIV/0!</v>
      </c>
      <c r="L73" s="133" t="e">
        <f t="shared" si="188"/>
        <v>#DIV/0!</v>
      </c>
      <c r="M73" s="133" t="e">
        <f t="shared" si="188"/>
        <v>#DIV/0!</v>
      </c>
      <c r="N73" s="133" t="e">
        <f t="shared" si="188"/>
        <v>#DIV/0!</v>
      </c>
      <c r="O73" s="133" t="e">
        <f t="shared" si="188"/>
        <v>#DIV/0!</v>
      </c>
      <c r="P73" s="133" t="e">
        <f t="shared" si="188"/>
        <v>#DIV/0!</v>
      </c>
      <c r="Q73" s="118" t="e">
        <f>((P73/G73)^(1/($H$2-$H$1) ))-1</f>
        <v>#DIV/0!</v>
      </c>
      <c r="R73" s="128"/>
      <c r="S73" s="159" t="e">
        <f t="shared" ref="S73:AB73" si="189">S63/S65</f>
        <v>#DIV/0!</v>
      </c>
      <c r="T73" s="159" t="e">
        <f t="shared" si="189"/>
        <v>#DIV/0!</v>
      </c>
      <c r="U73" s="159" t="e">
        <f t="shared" si="189"/>
        <v>#DIV/0!</v>
      </c>
      <c r="V73" s="159" t="e">
        <f t="shared" si="189"/>
        <v>#DIV/0!</v>
      </c>
      <c r="W73" s="159" t="e">
        <f t="shared" si="189"/>
        <v>#DIV/0!</v>
      </c>
      <c r="X73" s="159" t="e">
        <f t="shared" si="189"/>
        <v>#DIV/0!</v>
      </c>
      <c r="Y73" s="159" t="e">
        <f t="shared" si="189"/>
        <v>#DIV/0!</v>
      </c>
      <c r="Z73" s="159" t="e">
        <f t="shared" si="189"/>
        <v>#DIV/0!</v>
      </c>
      <c r="AA73" s="159" t="e">
        <f t="shared" si="189"/>
        <v>#DIV/0!</v>
      </c>
      <c r="AB73" s="159" t="e">
        <f t="shared" si="189"/>
        <v>#DIV/0!</v>
      </c>
      <c r="AC73" s="138" t="e">
        <f t="shared" ref="AC73:AC86" si="190">((AB73/G73)^(1/($AB$3-$H$1) ))-1</f>
        <v>#DIV/0!</v>
      </c>
      <c r="AD73" s="31">
        <f t="shared" si="17"/>
        <v>0.08</v>
      </c>
      <c r="AE73" s="146" t="e">
        <f t="shared" ref="AE73:AE100" si="191">(AB73*(1+AD73))/($C$1-AD73)</f>
        <v>#DIV/0!</v>
      </c>
    </row>
    <row r="74" spans="2:31">
      <c r="B74" s="20" t="s">
        <v>245</v>
      </c>
      <c r="C74" s="25">
        <f t="shared" ref="C74:P74" si="192">C7/C65</f>
        <v>0</v>
      </c>
      <c r="D74" s="25">
        <f t="shared" si="192"/>
        <v>0</v>
      </c>
      <c r="E74" s="25">
        <f t="shared" si="192"/>
        <v>0</v>
      </c>
      <c r="F74" s="133" t="e">
        <f t="shared" si="192"/>
        <v>#DIV/0!</v>
      </c>
      <c r="G74" s="133" t="e">
        <f t="shared" si="192"/>
        <v>#DIV/0!</v>
      </c>
      <c r="H74" s="133" t="e">
        <f t="shared" si="192"/>
        <v>#DIV/0!</v>
      </c>
      <c r="I74" s="133" t="e">
        <f t="shared" si="192"/>
        <v>#DIV/0!</v>
      </c>
      <c r="J74" s="133" t="e">
        <f t="shared" si="192"/>
        <v>#DIV/0!</v>
      </c>
      <c r="K74" s="133" t="e">
        <f t="shared" si="192"/>
        <v>#DIV/0!</v>
      </c>
      <c r="L74" s="133" t="e">
        <f t="shared" si="192"/>
        <v>#DIV/0!</v>
      </c>
      <c r="M74" s="133" t="e">
        <f t="shared" si="192"/>
        <v>#DIV/0!</v>
      </c>
      <c r="N74" s="133" t="e">
        <f t="shared" si="192"/>
        <v>#DIV/0!</v>
      </c>
      <c r="O74" s="133" t="e">
        <f t="shared" si="192"/>
        <v>#DIV/0!</v>
      </c>
      <c r="P74" s="133" t="e">
        <f t="shared" si="192"/>
        <v>#DIV/0!</v>
      </c>
      <c r="Q74" s="118" t="e">
        <f>((P74/G74)^(1/($H$2-$H$1) ))-1</f>
        <v>#DIV/0!</v>
      </c>
      <c r="R74" s="128"/>
      <c r="S74" s="159" t="e">
        <f t="shared" ref="S74:AB74" si="193">S7/S65</f>
        <v>#DIV/0!</v>
      </c>
      <c r="T74" s="159" t="e">
        <f t="shared" si="193"/>
        <v>#DIV/0!</v>
      </c>
      <c r="U74" s="159" t="e">
        <f t="shared" si="193"/>
        <v>#DIV/0!</v>
      </c>
      <c r="V74" s="159" t="e">
        <f t="shared" si="193"/>
        <v>#DIV/0!</v>
      </c>
      <c r="W74" s="159" t="e">
        <f t="shared" si="193"/>
        <v>#DIV/0!</v>
      </c>
      <c r="X74" s="159" t="e">
        <f t="shared" si="193"/>
        <v>#DIV/0!</v>
      </c>
      <c r="Y74" s="159" t="e">
        <f t="shared" si="193"/>
        <v>#DIV/0!</v>
      </c>
      <c r="Z74" s="159" t="e">
        <f t="shared" si="193"/>
        <v>#DIV/0!</v>
      </c>
      <c r="AA74" s="159" t="e">
        <f t="shared" si="193"/>
        <v>#DIV/0!</v>
      </c>
      <c r="AB74" s="159" t="e">
        <f t="shared" si="193"/>
        <v>#DIV/0!</v>
      </c>
      <c r="AC74" s="138" t="e">
        <f t="shared" si="190"/>
        <v>#DIV/0!</v>
      </c>
      <c r="AD74" s="31">
        <f t="shared" si="17"/>
        <v>0.08</v>
      </c>
      <c r="AE74" s="146" t="e">
        <f t="shared" si="191"/>
        <v>#DIV/0!</v>
      </c>
    </row>
    <row r="75" spans="2:31">
      <c r="B75" s="20" t="s">
        <v>246</v>
      </c>
      <c r="C75" s="127">
        <f t="shared" ref="C75:P75" si="194">C6/C65</f>
        <v>0</v>
      </c>
      <c r="D75" s="127">
        <f t="shared" si="194"/>
        <v>0</v>
      </c>
      <c r="E75" s="127">
        <f t="shared" si="194"/>
        <v>0</v>
      </c>
      <c r="F75" s="144" t="e">
        <f t="shared" si="194"/>
        <v>#DIV/0!</v>
      </c>
      <c r="G75" s="144" t="e">
        <f t="shared" si="194"/>
        <v>#DIV/0!</v>
      </c>
      <c r="H75" s="144" t="e">
        <f t="shared" si="194"/>
        <v>#DIV/0!</v>
      </c>
      <c r="I75" s="144" t="e">
        <f t="shared" si="194"/>
        <v>#DIV/0!</v>
      </c>
      <c r="J75" s="144" t="e">
        <f t="shared" si="194"/>
        <v>#DIV/0!</v>
      </c>
      <c r="K75" s="144" t="e">
        <f t="shared" si="194"/>
        <v>#DIV/0!</v>
      </c>
      <c r="L75" s="144" t="e">
        <f t="shared" si="194"/>
        <v>#DIV/0!</v>
      </c>
      <c r="M75" s="144" t="e">
        <f t="shared" si="194"/>
        <v>#DIV/0!</v>
      </c>
      <c r="N75" s="144" t="e">
        <f t="shared" si="194"/>
        <v>#DIV/0!</v>
      </c>
      <c r="O75" s="144" t="e">
        <f t="shared" si="194"/>
        <v>#DIV/0!</v>
      </c>
      <c r="P75" s="144" t="e">
        <f t="shared" si="194"/>
        <v>#DIV/0!</v>
      </c>
      <c r="Q75" s="118" t="e">
        <f>((P75/G75)^(1/($H$2-$H$1) ))-1</f>
        <v>#DIV/0!</v>
      </c>
      <c r="R75" s="128"/>
      <c r="S75" s="158" t="e">
        <f t="shared" ref="S75:AB75" si="195">S6/S65</f>
        <v>#DIV/0!</v>
      </c>
      <c r="T75" s="158" t="e">
        <f t="shared" si="195"/>
        <v>#DIV/0!</v>
      </c>
      <c r="U75" s="158" t="e">
        <f t="shared" si="195"/>
        <v>#DIV/0!</v>
      </c>
      <c r="V75" s="158" t="e">
        <f t="shared" si="195"/>
        <v>#DIV/0!</v>
      </c>
      <c r="W75" s="158" t="e">
        <f t="shared" si="195"/>
        <v>#DIV/0!</v>
      </c>
      <c r="X75" s="158" t="e">
        <f t="shared" si="195"/>
        <v>#DIV/0!</v>
      </c>
      <c r="Y75" s="158" t="e">
        <f t="shared" si="195"/>
        <v>#DIV/0!</v>
      </c>
      <c r="Z75" s="158" t="e">
        <f t="shared" si="195"/>
        <v>#DIV/0!</v>
      </c>
      <c r="AA75" s="158" t="e">
        <f t="shared" si="195"/>
        <v>#DIV/0!</v>
      </c>
      <c r="AB75" s="158" t="e">
        <f t="shared" si="195"/>
        <v>#DIV/0!</v>
      </c>
      <c r="AC75" s="138" t="e">
        <f t="shared" si="190"/>
        <v>#DIV/0!</v>
      </c>
      <c r="AD75" s="31">
        <f t="shared" si="17"/>
        <v>0.08</v>
      </c>
      <c r="AE75" s="146" t="e">
        <f t="shared" si="191"/>
        <v>#DIV/0!</v>
      </c>
    </row>
    <row r="76" spans="2:31">
      <c r="B76" s="20" t="s">
        <v>247</v>
      </c>
      <c r="C76" s="127">
        <f t="shared" ref="C76:P76" si="196">C10/C65</f>
        <v>0</v>
      </c>
      <c r="D76" s="127">
        <f t="shared" si="196"/>
        <v>0</v>
      </c>
      <c r="E76" s="127">
        <f t="shared" si="196"/>
        <v>0</v>
      </c>
      <c r="F76" s="144" t="e">
        <f t="shared" si="196"/>
        <v>#DIV/0!</v>
      </c>
      <c r="G76" s="144" t="e">
        <f t="shared" si="196"/>
        <v>#DIV/0!</v>
      </c>
      <c r="H76" s="144" t="e">
        <f t="shared" si="196"/>
        <v>#DIV/0!</v>
      </c>
      <c r="I76" s="144" t="e">
        <f t="shared" si="196"/>
        <v>#DIV/0!</v>
      </c>
      <c r="J76" s="144" t="e">
        <f t="shared" si="196"/>
        <v>#DIV/0!</v>
      </c>
      <c r="K76" s="144" t="e">
        <f t="shared" si="196"/>
        <v>#DIV/0!</v>
      </c>
      <c r="L76" s="144" t="e">
        <f t="shared" si="196"/>
        <v>#DIV/0!</v>
      </c>
      <c r="M76" s="144" t="e">
        <f t="shared" si="196"/>
        <v>#DIV/0!</v>
      </c>
      <c r="N76" s="144" t="e">
        <f t="shared" si="196"/>
        <v>#DIV/0!</v>
      </c>
      <c r="O76" s="144" t="e">
        <f t="shared" si="196"/>
        <v>#DIV/0!</v>
      </c>
      <c r="P76" s="144" t="e">
        <f t="shared" si="196"/>
        <v>#DIV/0!</v>
      </c>
      <c r="Q76" s="118" t="e">
        <f>((P76/G76)^(1/($H$2-$H$1) ))-1</f>
        <v>#DIV/0!</v>
      </c>
      <c r="R76" s="128"/>
      <c r="S76" s="158" t="e">
        <f t="shared" ref="S76:AB76" si="197">S10/S65</f>
        <v>#DIV/0!</v>
      </c>
      <c r="T76" s="158" t="e">
        <f t="shared" si="197"/>
        <v>#DIV/0!</v>
      </c>
      <c r="U76" s="158" t="e">
        <f t="shared" si="197"/>
        <v>#DIV/0!</v>
      </c>
      <c r="V76" s="158" t="e">
        <f t="shared" si="197"/>
        <v>#DIV/0!</v>
      </c>
      <c r="W76" s="158" t="e">
        <f t="shared" si="197"/>
        <v>#DIV/0!</v>
      </c>
      <c r="X76" s="158" t="e">
        <f t="shared" si="197"/>
        <v>#DIV/0!</v>
      </c>
      <c r="Y76" s="158" t="e">
        <f t="shared" si="197"/>
        <v>#DIV/0!</v>
      </c>
      <c r="Z76" s="158" t="e">
        <f t="shared" si="197"/>
        <v>#DIV/0!</v>
      </c>
      <c r="AA76" s="158" t="e">
        <f t="shared" si="197"/>
        <v>#DIV/0!</v>
      </c>
      <c r="AB76" s="158" t="e">
        <f t="shared" si="197"/>
        <v>#DIV/0!</v>
      </c>
      <c r="AC76" s="138" t="e">
        <f t="shared" si="190"/>
        <v>#DIV/0!</v>
      </c>
      <c r="AD76" s="31">
        <f t="shared" si="17"/>
        <v>0.08</v>
      </c>
      <c r="AE76" s="146" t="e">
        <f t="shared" si="191"/>
        <v>#DIV/0!</v>
      </c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39"/>
      <c r="AD77" s="137"/>
      <c r="AE77" s="146"/>
    </row>
    <row r="78" spans="2:31">
      <c r="B78" s="20" t="s">
        <v>271</v>
      </c>
      <c r="C78" s="127">
        <f t="shared" ref="C78:P78" si="198">(C7-C10)/C65</f>
        <v>0</v>
      </c>
      <c r="D78" s="127">
        <f t="shared" si="198"/>
        <v>0</v>
      </c>
      <c r="E78" s="127">
        <f t="shared" si="198"/>
        <v>0</v>
      </c>
      <c r="F78" s="144" t="e">
        <f t="shared" si="198"/>
        <v>#DIV/0!</v>
      </c>
      <c r="G78" s="144" t="e">
        <f t="shared" si="198"/>
        <v>#DIV/0!</v>
      </c>
      <c r="H78" s="144" t="e">
        <f t="shared" si="198"/>
        <v>#DIV/0!</v>
      </c>
      <c r="I78" s="144" t="e">
        <f t="shared" si="198"/>
        <v>#DIV/0!</v>
      </c>
      <c r="J78" s="144" t="e">
        <f t="shared" si="198"/>
        <v>#DIV/0!</v>
      </c>
      <c r="K78" s="144" t="e">
        <f t="shared" si="198"/>
        <v>#DIV/0!</v>
      </c>
      <c r="L78" s="144" t="e">
        <f t="shared" si="198"/>
        <v>#DIV/0!</v>
      </c>
      <c r="M78" s="144" t="e">
        <f t="shared" si="198"/>
        <v>#DIV/0!</v>
      </c>
      <c r="N78" s="144" t="e">
        <f t="shared" si="198"/>
        <v>#DIV/0!</v>
      </c>
      <c r="O78" s="144" t="e">
        <f t="shared" si="198"/>
        <v>#DIV/0!</v>
      </c>
      <c r="P78" s="144" t="e">
        <f t="shared" si="198"/>
        <v>#DIV/0!</v>
      </c>
      <c r="Q78" s="118" t="e">
        <f>((P78/G78)^(1/($H$2-$H$1) ))-1</f>
        <v>#DIV/0!</v>
      </c>
      <c r="R78" s="128"/>
      <c r="S78" s="158" t="e">
        <f t="shared" ref="S78:AB78" si="199">(S7-S10)/S65</f>
        <v>#DIV/0!</v>
      </c>
      <c r="T78" s="158" t="e">
        <f t="shared" si="199"/>
        <v>#DIV/0!</v>
      </c>
      <c r="U78" s="158" t="e">
        <f t="shared" si="199"/>
        <v>#DIV/0!</v>
      </c>
      <c r="V78" s="158" t="e">
        <f t="shared" si="199"/>
        <v>#DIV/0!</v>
      </c>
      <c r="W78" s="158" t="e">
        <f t="shared" si="199"/>
        <v>#DIV/0!</v>
      </c>
      <c r="X78" s="158" t="e">
        <f t="shared" si="199"/>
        <v>#DIV/0!</v>
      </c>
      <c r="Y78" s="158" t="e">
        <f t="shared" si="199"/>
        <v>#DIV/0!</v>
      </c>
      <c r="Z78" s="158" t="e">
        <f t="shared" si="199"/>
        <v>#DIV/0!</v>
      </c>
      <c r="AA78" s="158" t="e">
        <f t="shared" si="199"/>
        <v>#DIV/0!</v>
      </c>
      <c r="AB78" s="158" t="e">
        <f t="shared" si="199"/>
        <v>#DIV/0!</v>
      </c>
      <c r="AC78" s="138" t="e">
        <f t="shared" si="190"/>
        <v>#DIV/0!</v>
      </c>
      <c r="AD78" s="31">
        <f t="shared" si="17"/>
        <v>0.08</v>
      </c>
      <c r="AE78" s="146" t="e">
        <f t="shared" si="191"/>
        <v>#DIV/0!</v>
      </c>
    </row>
    <row r="79" spans="2:31">
      <c r="B79" s="20" t="s">
        <v>272</v>
      </c>
      <c r="C79" s="127">
        <f t="shared" ref="C79:P79" si="200">(C7-C10-C9)/C65</f>
        <v>0</v>
      </c>
      <c r="D79" s="127">
        <f t="shared" si="200"/>
        <v>0</v>
      </c>
      <c r="E79" s="127">
        <f t="shared" si="200"/>
        <v>0</v>
      </c>
      <c r="F79" s="144" t="e">
        <f t="shared" si="200"/>
        <v>#DIV/0!</v>
      </c>
      <c r="G79" s="144" t="e">
        <f t="shared" si="200"/>
        <v>#DIV/0!</v>
      </c>
      <c r="H79" s="144" t="e">
        <f t="shared" si="200"/>
        <v>#DIV/0!</v>
      </c>
      <c r="I79" s="144" t="e">
        <f t="shared" si="200"/>
        <v>#DIV/0!</v>
      </c>
      <c r="J79" s="144" t="e">
        <f t="shared" si="200"/>
        <v>#DIV/0!</v>
      </c>
      <c r="K79" s="144" t="e">
        <f t="shared" si="200"/>
        <v>#DIV/0!</v>
      </c>
      <c r="L79" s="144" t="e">
        <f t="shared" si="200"/>
        <v>#DIV/0!</v>
      </c>
      <c r="M79" s="144" t="e">
        <f t="shared" si="200"/>
        <v>#DIV/0!</v>
      </c>
      <c r="N79" s="144" t="e">
        <f t="shared" si="200"/>
        <v>#DIV/0!</v>
      </c>
      <c r="O79" s="144" t="e">
        <f t="shared" si="200"/>
        <v>#DIV/0!</v>
      </c>
      <c r="P79" s="144" t="e">
        <f t="shared" si="200"/>
        <v>#DIV/0!</v>
      </c>
      <c r="Q79" s="118" t="e">
        <f>((P79/G79)^(1/($H$2-$H$1) ))-1</f>
        <v>#DIV/0!</v>
      </c>
      <c r="R79" s="128"/>
      <c r="S79" s="158" t="e">
        <f t="shared" ref="S79:AB79" si="201">(S7-S10-S9)/S65</f>
        <v>#DIV/0!</v>
      </c>
      <c r="T79" s="158" t="e">
        <f t="shared" si="201"/>
        <v>#DIV/0!</v>
      </c>
      <c r="U79" s="158" t="e">
        <f t="shared" si="201"/>
        <v>#DIV/0!</v>
      </c>
      <c r="V79" s="158" t="e">
        <f t="shared" si="201"/>
        <v>#DIV/0!</v>
      </c>
      <c r="W79" s="158" t="e">
        <f t="shared" si="201"/>
        <v>#DIV/0!</v>
      </c>
      <c r="X79" s="158" t="e">
        <f t="shared" si="201"/>
        <v>#DIV/0!</v>
      </c>
      <c r="Y79" s="158" t="e">
        <f t="shared" si="201"/>
        <v>#DIV/0!</v>
      </c>
      <c r="Z79" s="158" t="e">
        <f t="shared" si="201"/>
        <v>#DIV/0!</v>
      </c>
      <c r="AA79" s="158" t="e">
        <f t="shared" si="201"/>
        <v>#DIV/0!</v>
      </c>
      <c r="AB79" s="158" t="e">
        <f t="shared" si="201"/>
        <v>#DIV/0!</v>
      </c>
      <c r="AC79" s="138" t="e">
        <f t="shared" si="190"/>
        <v>#DIV/0!</v>
      </c>
      <c r="AD79" s="31">
        <f t="shared" si="17"/>
        <v>0.08</v>
      </c>
      <c r="AE79" s="146" t="e">
        <f t="shared" si="191"/>
        <v>#DIV/0!</v>
      </c>
    </row>
    <row r="80" spans="2:31">
      <c r="B80" s="20" t="s">
        <v>277</v>
      </c>
      <c r="C80" s="127">
        <f t="shared" ref="C80:P80" si="202">(C7+C16-C10-C9)/C65</f>
        <v>0</v>
      </c>
      <c r="D80" s="127">
        <f t="shared" si="202"/>
        <v>0</v>
      </c>
      <c r="E80" s="127">
        <f t="shared" si="202"/>
        <v>0</v>
      </c>
      <c r="F80" s="144" t="e">
        <f t="shared" si="202"/>
        <v>#DIV/0!</v>
      </c>
      <c r="G80" s="144" t="e">
        <f t="shared" si="202"/>
        <v>#DIV/0!</v>
      </c>
      <c r="H80" s="144" t="e">
        <f t="shared" si="202"/>
        <v>#DIV/0!</v>
      </c>
      <c r="I80" s="144" t="e">
        <f t="shared" si="202"/>
        <v>#DIV/0!</v>
      </c>
      <c r="J80" s="144" t="e">
        <f t="shared" si="202"/>
        <v>#DIV/0!</v>
      </c>
      <c r="K80" s="144" t="e">
        <f t="shared" si="202"/>
        <v>#DIV/0!</v>
      </c>
      <c r="L80" s="144" t="e">
        <f t="shared" si="202"/>
        <v>#DIV/0!</v>
      </c>
      <c r="M80" s="144" t="e">
        <f t="shared" si="202"/>
        <v>#DIV/0!</v>
      </c>
      <c r="N80" s="144" t="e">
        <f t="shared" si="202"/>
        <v>#DIV/0!</v>
      </c>
      <c r="O80" s="144" t="e">
        <f t="shared" si="202"/>
        <v>#DIV/0!</v>
      </c>
      <c r="P80" s="144" t="e">
        <f t="shared" si="202"/>
        <v>#DIV/0!</v>
      </c>
      <c r="Q80" s="118" t="e">
        <f>((P80/G80)^(1/($H$2-$H$1) ))-1</f>
        <v>#DIV/0!</v>
      </c>
      <c r="R80" s="128"/>
      <c r="S80" s="158" t="e">
        <f t="shared" ref="S80:AB80" si="203">(S7+S16-S10-S9)/S65</f>
        <v>#DIV/0!</v>
      </c>
      <c r="T80" s="158" t="e">
        <f t="shared" si="203"/>
        <v>#DIV/0!</v>
      </c>
      <c r="U80" s="158" t="e">
        <f t="shared" si="203"/>
        <v>#DIV/0!</v>
      </c>
      <c r="V80" s="158" t="e">
        <f t="shared" si="203"/>
        <v>#DIV/0!</v>
      </c>
      <c r="W80" s="158" t="e">
        <f t="shared" si="203"/>
        <v>#DIV/0!</v>
      </c>
      <c r="X80" s="158" t="e">
        <f t="shared" si="203"/>
        <v>#DIV/0!</v>
      </c>
      <c r="Y80" s="158" t="e">
        <f t="shared" si="203"/>
        <v>#DIV/0!</v>
      </c>
      <c r="Z80" s="158" t="e">
        <f t="shared" si="203"/>
        <v>#DIV/0!</v>
      </c>
      <c r="AA80" s="158" t="e">
        <f t="shared" si="203"/>
        <v>#DIV/0!</v>
      </c>
      <c r="AB80" s="158" t="e">
        <f t="shared" si="203"/>
        <v>#DIV/0!</v>
      </c>
      <c r="AC80" s="138" t="e">
        <f t="shared" si="190"/>
        <v>#DIV/0!</v>
      </c>
      <c r="AD80" s="31">
        <f t="shared" si="17"/>
        <v>0.08</v>
      </c>
      <c r="AE80" s="146" t="e">
        <f t="shared" si="191"/>
        <v>#DIV/0!</v>
      </c>
    </row>
    <row r="81" spans="2:31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39"/>
      <c r="AD81" s="137"/>
      <c r="AE81" s="155"/>
    </row>
    <row r="82" spans="2:31">
      <c r="B82" s="20" t="s">
        <v>248</v>
      </c>
      <c r="C82" s="127">
        <f t="shared" ref="C82:P82" si="204">C12/C65</f>
        <v>0</v>
      </c>
      <c r="D82" s="127">
        <f t="shared" si="204"/>
        <v>0</v>
      </c>
      <c r="E82" s="127">
        <f t="shared" si="204"/>
        <v>0</v>
      </c>
      <c r="F82" s="144" t="e">
        <f t="shared" si="204"/>
        <v>#DIV/0!</v>
      </c>
      <c r="G82" s="144" t="e">
        <f t="shared" si="204"/>
        <v>#DIV/0!</v>
      </c>
      <c r="H82" s="144" t="e">
        <f t="shared" si="204"/>
        <v>#DIV/0!</v>
      </c>
      <c r="I82" s="144" t="e">
        <f t="shared" si="204"/>
        <v>#DIV/0!</v>
      </c>
      <c r="J82" s="144" t="e">
        <f t="shared" si="204"/>
        <v>#DIV/0!</v>
      </c>
      <c r="K82" s="144" t="e">
        <f t="shared" si="204"/>
        <v>#DIV/0!</v>
      </c>
      <c r="L82" s="144" t="e">
        <f t="shared" si="204"/>
        <v>#DIV/0!</v>
      </c>
      <c r="M82" s="144" t="e">
        <f t="shared" si="204"/>
        <v>#DIV/0!</v>
      </c>
      <c r="N82" s="144" t="e">
        <f t="shared" si="204"/>
        <v>#DIV/0!</v>
      </c>
      <c r="O82" s="144" t="e">
        <f t="shared" si="204"/>
        <v>#DIV/0!</v>
      </c>
      <c r="P82" s="144" t="e">
        <f t="shared" si="204"/>
        <v>#DIV/0!</v>
      </c>
      <c r="Q82" s="118" t="e">
        <f>((P82/G82)^(1/($H$2-$H$1) ))-1</f>
        <v>#DIV/0!</v>
      </c>
      <c r="R82" s="128"/>
      <c r="S82" s="158" t="e">
        <f t="shared" ref="S82:AB82" si="205">S12/S65</f>
        <v>#DIV/0!</v>
      </c>
      <c r="T82" s="158" t="e">
        <f t="shared" si="205"/>
        <v>#DIV/0!</v>
      </c>
      <c r="U82" s="158" t="e">
        <f t="shared" si="205"/>
        <v>#DIV/0!</v>
      </c>
      <c r="V82" s="158" t="e">
        <f t="shared" si="205"/>
        <v>#DIV/0!</v>
      </c>
      <c r="W82" s="158" t="e">
        <f t="shared" si="205"/>
        <v>#DIV/0!</v>
      </c>
      <c r="X82" s="158" t="e">
        <f t="shared" si="205"/>
        <v>#DIV/0!</v>
      </c>
      <c r="Y82" s="158" t="e">
        <f t="shared" si="205"/>
        <v>#DIV/0!</v>
      </c>
      <c r="Z82" s="158" t="e">
        <f t="shared" si="205"/>
        <v>#DIV/0!</v>
      </c>
      <c r="AA82" s="158" t="e">
        <f t="shared" si="205"/>
        <v>#DIV/0!</v>
      </c>
      <c r="AB82" s="158" t="e">
        <f t="shared" si="205"/>
        <v>#DIV/0!</v>
      </c>
      <c r="AC82" s="138" t="e">
        <f t="shared" si="190"/>
        <v>#DIV/0!</v>
      </c>
      <c r="AD82" s="31">
        <f t="shared" si="17"/>
        <v>0.08</v>
      </c>
      <c r="AE82" s="146" t="e">
        <f t="shared" si="191"/>
        <v>#DIV/0!</v>
      </c>
    </row>
    <row r="83" spans="2:31">
      <c r="B83" s="20" t="s">
        <v>255</v>
      </c>
      <c r="C83" s="127">
        <f t="shared" ref="C83:P83" si="206">C15/C65</f>
        <v>0</v>
      </c>
      <c r="D83" s="127">
        <f t="shared" si="206"/>
        <v>0</v>
      </c>
      <c r="E83" s="127">
        <f t="shared" si="206"/>
        <v>0</v>
      </c>
      <c r="F83" s="144" t="e">
        <f t="shared" si="206"/>
        <v>#DIV/0!</v>
      </c>
      <c r="G83" s="144" t="e">
        <f t="shared" si="206"/>
        <v>#DIV/0!</v>
      </c>
      <c r="H83" s="144" t="e">
        <f t="shared" si="206"/>
        <v>#DIV/0!</v>
      </c>
      <c r="I83" s="144" t="e">
        <f t="shared" si="206"/>
        <v>#DIV/0!</v>
      </c>
      <c r="J83" s="144" t="e">
        <f t="shared" si="206"/>
        <v>#DIV/0!</v>
      </c>
      <c r="K83" s="144" t="e">
        <f t="shared" si="206"/>
        <v>#DIV/0!</v>
      </c>
      <c r="L83" s="144" t="e">
        <f t="shared" si="206"/>
        <v>#DIV/0!</v>
      </c>
      <c r="M83" s="144" t="e">
        <f t="shared" si="206"/>
        <v>#DIV/0!</v>
      </c>
      <c r="N83" s="144" t="e">
        <f t="shared" si="206"/>
        <v>#DIV/0!</v>
      </c>
      <c r="O83" s="144" t="e">
        <f t="shared" si="206"/>
        <v>#DIV/0!</v>
      </c>
      <c r="P83" s="144" t="e">
        <f t="shared" si="206"/>
        <v>#DIV/0!</v>
      </c>
      <c r="Q83" s="118" t="e">
        <f>((P83/G83)^(1/($H$2-$H$1) ))-1</f>
        <v>#DIV/0!</v>
      </c>
      <c r="R83" s="128"/>
      <c r="S83" s="158" t="e">
        <f t="shared" ref="S83:AB83" si="207">S15/S65</f>
        <v>#DIV/0!</v>
      </c>
      <c r="T83" s="158" t="e">
        <f t="shared" si="207"/>
        <v>#DIV/0!</v>
      </c>
      <c r="U83" s="158" t="e">
        <f t="shared" si="207"/>
        <v>#DIV/0!</v>
      </c>
      <c r="V83" s="158" t="e">
        <f t="shared" si="207"/>
        <v>#DIV/0!</v>
      </c>
      <c r="W83" s="158" t="e">
        <f t="shared" si="207"/>
        <v>#DIV/0!</v>
      </c>
      <c r="X83" s="158" t="e">
        <f t="shared" si="207"/>
        <v>#DIV/0!</v>
      </c>
      <c r="Y83" s="158" t="e">
        <f t="shared" si="207"/>
        <v>#DIV/0!</v>
      </c>
      <c r="Z83" s="158" t="e">
        <f t="shared" si="207"/>
        <v>#DIV/0!</v>
      </c>
      <c r="AA83" s="158" t="e">
        <f t="shared" si="207"/>
        <v>#DIV/0!</v>
      </c>
      <c r="AB83" s="158" t="e">
        <f t="shared" si="207"/>
        <v>#DIV/0!</v>
      </c>
      <c r="AC83" s="138" t="e">
        <f t="shared" si="190"/>
        <v>#DIV/0!</v>
      </c>
      <c r="AD83" s="31">
        <f t="shared" si="17"/>
        <v>0.08</v>
      </c>
      <c r="AE83" s="146" t="e">
        <f t="shared" si="191"/>
        <v>#DIV/0!</v>
      </c>
    </row>
    <row r="84" spans="2:31">
      <c r="B84" s="20" t="s">
        <v>256</v>
      </c>
      <c r="C84" s="127">
        <f>(C82+C83)</f>
        <v>0</v>
      </c>
      <c r="D84" s="127">
        <f t="shared" ref="D84:P84" si="208">(D82+D83)</f>
        <v>0</v>
      </c>
      <c r="E84" s="127">
        <f t="shared" si="208"/>
        <v>0</v>
      </c>
      <c r="F84" s="144" t="e">
        <f t="shared" si="208"/>
        <v>#DIV/0!</v>
      </c>
      <c r="G84" s="144" t="e">
        <f t="shared" si="208"/>
        <v>#DIV/0!</v>
      </c>
      <c r="H84" s="144" t="e">
        <f t="shared" si="208"/>
        <v>#DIV/0!</v>
      </c>
      <c r="I84" s="144" t="e">
        <f t="shared" si="208"/>
        <v>#DIV/0!</v>
      </c>
      <c r="J84" s="144" t="e">
        <f t="shared" si="208"/>
        <v>#DIV/0!</v>
      </c>
      <c r="K84" s="144" t="e">
        <f t="shared" si="208"/>
        <v>#DIV/0!</v>
      </c>
      <c r="L84" s="144" t="e">
        <f t="shared" si="208"/>
        <v>#DIV/0!</v>
      </c>
      <c r="M84" s="144" t="e">
        <f t="shared" si="208"/>
        <v>#DIV/0!</v>
      </c>
      <c r="N84" s="144" t="e">
        <f t="shared" si="208"/>
        <v>#DIV/0!</v>
      </c>
      <c r="O84" s="144" t="e">
        <f t="shared" ref="O84" si="209">(O82+O83)</f>
        <v>#DIV/0!</v>
      </c>
      <c r="P84" s="144" t="e">
        <f t="shared" si="208"/>
        <v>#DIV/0!</v>
      </c>
      <c r="Q84" s="118" t="e">
        <f>((P84/G84)^(1/($H$2-$H$1) ))-1</f>
        <v>#DIV/0!</v>
      </c>
      <c r="R84" s="128"/>
      <c r="S84" s="158" t="e">
        <f t="shared" ref="S84:AB84" si="210">(S82+S83)</f>
        <v>#DIV/0!</v>
      </c>
      <c r="T84" s="158" t="e">
        <f t="shared" si="210"/>
        <v>#DIV/0!</v>
      </c>
      <c r="U84" s="158" t="e">
        <f t="shared" si="210"/>
        <v>#DIV/0!</v>
      </c>
      <c r="V84" s="158" t="e">
        <f t="shared" si="210"/>
        <v>#DIV/0!</v>
      </c>
      <c r="W84" s="158" t="e">
        <f t="shared" si="210"/>
        <v>#DIV/0!</v>
      </c>
      <c r="X84" s="158" t="e">
        <f t="shared" si="210"/>
        <v>#DIV/0!</v>
      </c>
      <c r="Y84" s="158" t="e">
        <f t="shared" si="210"/>
        <v>#DIV/0!</v>
      </c>
      <c r="Z84" s="158" t="e">
        <f t="shared" si="210"/>
        <v>#DIV/0!</v>
      </c>
      <c r="AA84" s="158" t="e">
        <f t="shared" si="210"/>
        <v>#DIV/0!</v>
      </c>
      <c r="AB84" s="158" t="e">
        <f t="shared" si="210"/>
        <v>#DIV/0!</v>
      </c>
      <c r="AC84" s="138" t="e">
        <f t="shared" si="190"/>
        <v>#DIV/0!</v>
      </c>
      <c r="AD84" s="31">
        <f t="shared" si="17"/>
        <v>0.08</v>
      </c>
      <c r="AE84" s="146" t="e">
        <f t="shared" si="191"/>
        <v>#DIV/0!</v>
      </c>
    </row>
    <row r="85" spans="2:31">
      <c r="B85" s="20" t="s">
        <v>249</v>
      </c>
      <c r="C85" s="127">
        <f t="shared" ref="C85:P85" si="211">C16/C65</f>
        <v>0</v>
      </c>
      <c r="D85" s="127">
        <f t="shared" si="211"/>
        <v>0</v>
      </c>
      <c r="E85" s="127">
        <f t="shared" si="211"/>
        <v>0</v>
      </c>
      <c r="F85" s="144" t="e">
        <f t="shared" si="211"/>
        <v>#DIV/0!</v>
      </c>
      <c r="G85" s="144" t="e">
        <f t="shared" si="211"/>
        <v>#DIV/0!</v>
      </c>
      <c r="H85" s="144" t="e">
        <f t="shared" si="211"/>
        <v>#DIV/0!</v>
      </c>
      <c r="I85" s="144" t="e">
        <f t="shared" si="211"/>
        <v>#DIV/0!</v>
      </c>
      <c r="J85" s="144" t="e">
        <f t="shared" si="211"/>
        <v>#DIV/0!</v>
      </c>
      <c r="K85" s="144" t="e">
        <f t="shared" si="211"/>
        <v>#DIV/0!</v>
      </c>
      <c r="L85" s="144" t="e">
        <f t="shared" si="211"/>
        <v>#DIV/0!</v>
      </c>
      <c r="M85" s="144" t="e">
        <f t="shared" si="211"/>
        <v>#DIV/0!</v>
      </c>
      <c r="N85" s="144" t="e">
        <f t="shared" si="211"/>
        <v>#DIV/0!</v>
      </c>
      <c r="O85" s="144" t="e">
        <f t="shared" si="211"/>
        <v>#DIV/0!</v>
      </c>
      <c r="P85" s="144" t="e">
        <f t="shared" si="211"/>
        <v>#DIV/0!</v>
      </c>
      <c r="Q85" s="118" t="e">
        <f>((P85/G85)^(1/($H$2-$H$1) ))-1</f>
        <v>#DIV/0!</v>
      </c>
      <c r="R85" s="128"/>
      <c r="S85" s="158" t="e">
        <f t="shared" ref="S85:AB85" si="212">S16/S65</f>
        <v>#DIV/0!</v>
      </c>
      <c r="T85" s="158" t="e">
        <f t="shared" si="212"/>
        <v>#DIV/0!</v>
      </c>
      <c r="U85" s="158" t="e">
        <f t="shared" si="212"/>
        <v>#DIV/0!</v>
      </c>
      <c r="V85" s="158" t="e">
        <f t="shared" si="212"/>
        <v>#DIV/0!</v>
      </c>
      <c r="W85" s="158" t="e">
        <f t="shared" si="212"/>
        <v>#DIV/0!</v>
      </c>
      <c r="X85" s="158" t="e">
        <f t="shared" si="212"/>
        <v>#DIV/0!</v>
      </c>
      <c r="Y85" s="158" t="e">
        <f t="shared" si="212"/>
        <v>#DIV/0!</v>
      </c>
      <c r="Z85" s="158" t="e">
        <f t="shared" si="212"/>
        <v>#DIV/0!</v>
      </c>
      <c r="AA85" s="158" t="e">
        <f t="shared" si="212"/>
        <v>#DIV/0!</v>
      </c>
      <c r="AB85" s="158" t="e">
        <f t="shared" si="212"/>
        <v>#DIV/0!</v>
      </c>
      <c r="AC85" s="138" t="e">
        <f t="shared" si="190"/>
        <v>#DIV/0!</v>
      </c>
      <c r="AD85" s="31">
        <f t="shared" si="17"/>
        <v>0.08</v>
      </c>
      <c r="AE85" s="146" t="e">
        <f t="shared" si="191"/>
        <v>#DIV/0!</v>
      </c>
    </row>
    <row r="86" spans="2:31">
      <c r="B86" s="20" t="s">
        <v>250</v>
      </c>
      <c r="C86" s="127">
        <f t="shared" ref="C86:P86" si="213">C17/C65</f>
        <v>0</v>
      </c>
      <c r="D86" s="127">
        <f t="shared" si="213"/>
        <v>0</v>
      </c>
      <c r="E86" s="127">
        <f t="shared" si="213"/>
        <v>0</v>
      </c>
      <c r="F86" s="144" t="e">
        <f t="shared" si="213"/>
        <v>#DIV/0!</v>
      </c>
      <c r="G86" s="144" t="e">
        <f t="shared" si="213"/>
        <v>#DIV/0!</v>
      </c>
      <c r="H86" s="144" t="e">
        <f t="shared" si="213"/>
        <v>#DIV/0!</v>
      </c>
      <c r="I86" s="144" t="e">
        <f t="shared" si="213"/>
        <v>#DIV/0!</v>
      </c>
      <c r="J86" s="144" t="e">
        <f t="shared" si="213"/>
        <v>#DIV/0!</v>
      </c>
      <c r="K86" s="144" t="e">
        <f t="shared" si="213"/>
        <v>#DIV/0!</v>
      </c>
      <c r="L86" s="144" t="e">
        <f t="shared" si="213"/>
        <v>#DIV/0!</v>
      </c>
      <c r="M86" s="144" t="e">
        <f t="shared" si="213"/>
        <v>#DIV/0!</v>
      </c>
      <c r="N86" s="144" t="e">
        <f t="shared" si="213"/>
        <v>#DIV/0!</v>
      </c>
      <c r="O86" s="144" t="e">
        <f t="shared" si="213"/>
        <v>#DIV/0!</v>
      </c>
      <c r="P86" s="144" t="e">
        <f t="shared" si="213"/>
        <v>#DIV/0!</v>
      </c>
      <c r="Q86" s="118" t="e">
        <f>((P86/G86)^(1/($H$2-$H$1) ))-1</f>
        <v>#DIV/0!</v>
      </c>
      <c r="R86" s="128"/>
      <c r="S86" s="158" t="e">
        <f t="shared" ref="S86:AB86" si="214">S17/S65</f>
        <v>#DIV/0!</v>
      </c>
      <c r="T86" s="158" t="e">
        <f t="shared" si="214"/>
        <v>#DIV/0!</v>
      </c>
      <c r="U86" s="158" t="e">
        <f t="shared" si="214"/>
        <v>#DIV/0!</v>
      </c>
      <c r="V86" s="158" t="e">
        <f t="shared" si="214"/>
        <v>#DIV/0!</v>
      </c>
      <c r="W86" s="158" t="e">
        <f t="shared" si="214"/>
        <v>#DIV/0!</v>
      </c>
      <c r="X86" s="158" t="e">
        <f t="shared" si="214"/>
        <v>#DIV/0!</v>
      </c>
      <c r="Y86" s="158" t="e">
        <f t="shared" si="214"/>
        <v>#DIV/0!</v>
      </c>
      <c r="Z86" s="158" t="e">
        <f t="shared" si="214"/>
        <v>#DIV/0!</v>
      </c>
      <c r="AA86" s="158" t="e">
        <f t="shared" si="214"/>
        <v>#DIV/0!</v>
      </c>
      <c r="AB86" s="158" t="e">
        <f t="shared" si="214"/>
        <v>#DIV/0!</v>
      </c>
      <c r="AC86" s="138" t="e">
        <f t="shared" si="190"/>
        <v>#DIV/0!</v>
      </c>
      <c r="AD86" s="31">
        <f t="shared" si="17"/>
        <v>0.08</v>
      </c>
      <c r="AE86" s="146" t="e">
        <f t="shared" si="191"/>
        <v>#DIV/0!</v>
      </c>
    </row>
    <row r="87" spans="2:31">
      <c r="B87" s="20"/>
      <c r="C87" s="127"/>
      <c r="D87" s="127"/>
      <c r="E87" s="127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28"/>
      <c r="R87" s="128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39"/>
      <c r="AD87" s="139"/>
      <c r="AE87" s="146">
        <f t="shared" si="191"/>
        <v>0</v>
      </c>
    </row>
    <row r="88" spans="2:31">
      <c r="B88" s="20" t="s">
        <v>283</v>
      </c>
      <c r="C88" s="160">
        <f>C67</f>
        <v>1</v>
      </c>
      <c r="D88" s="160">
        <f t="shared" ref="D88:P88" si="215">D67</f>
        <v>1</v>
      </c>
      <c r="E88" s="160">
        <f t="shared" si="215"/>
        <v>1</v>
      </c>
      <c r="F88" s="160">
        <f t="shared" si="215"/>
        <v>0</v>
      </c>
      <c r="G88" s="160">
        <f t="shared" si="215"/>
        <v>0</v>
      </c>
      <c r="H88" s="160">
        <f t="shared" si="215"/>
        <v>0</v>
      </c>
      <c r="I88" s="160">
        <f t="shared" si="215"/>
        <v>0</v>
      </c>
      <c r="J88" s="160">
        <f t="shared" si="215"/>
        <v>0</v>
      </c>
      <c r="K88" s="160">
        <f t="shared" si="215"/>
        <v>0</v>
      </c>
      <c r="L88" s="160">
        <f t="shared" si="215"/>
        <v>0</v>
      </c>
      <c r="M88" s="160">
        <f t="shared" si="215"/>
        <v>0</v>
      </c>
      <c r="N88" s="160">
        <f t="shared" si="215"/>
        <v>0</v>
      </c>
      <c r="O88" s="160">
        <f t="shared" si="215"/>
        <v>0</v>
      </c>
      <c r="P88" s="160">
        <f t="shared" si="215"/>
        <v>0</v>
      </c>
      <c r="Q88" s="118" t="e">
        <f>((P88/G88)^(1/($H$2-$H$1) ))-1</f>
        <v>#DIV/0!</v>
      </c>
      <c r="R88" s="128"/>
      <c r="S88" s="160">
        <f t="shared" ref="S88:AB88" si="216">S67</f>
        <v>0</v>
      </c>
      <c r="T88" s="160">
        <f t="shared" si="216"/>
        <v>0</v>
      </c>
      <c r="U88" s="160">
        <f t="shared" si="216"/>
        <v>0</v>
      </c>
      <c r="V88" s="160">
        <f t="shared" si="216"/>
        <v>0</v>
      </c>
      <c r="W88" s="160">
        <f t="shared" si="216"/>
        <v>0</v>
      </c>
      <c r="X88" s="160">
        <f t="shared" si="216"/>
        <v>0</v>
      </c>
      <c r="Y88" s="160">
        <f t="shared" si="216"/>
        <v>0</v>
      </c>
      <c r="Z88" s="160">
        <f t="shared" si="216"/>
        <v>0</v>
      </c>
      <c r="AA88" s="160">
        <f t="shared" si="216"/>
        <v>0</v>
      </c>
      <c r="AB88" s="160">
        <f t="shared" si="216"/>
        <v>0</v>
      </c>
      <c r="AC88" s="138" t="e">
        <f t="shared" ref="AC88" si="217">((AB88/G88)^(1/($AB$3-$H$1) ))-1</f>
        <v>#DIV/0!</v>
      </c>
      <c r="AD88" s="31">
        <f t="shared" si="17"/>
        <v>0.08</v>
      </c>
      <c r="AE88" s="146">
        <f t="shared" si="191"/>
        <v>0</v>
      </c>
    </row>
    <row r="89" spans="2:31">
      <c r="B89" s="20"/>
      <c r="C89" s="127"/>
      <c r="D89" s="127"/>
      <c r="E89" s="127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28"/>
      <c r="R89" s="128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39"/>
      <c r="AD89" s="137"/>
      <c r="AE89" s="155"/>
    </row>
    <row r="90" spans="2:31">
      <c r="B90" s="20" t="s">
        <v>318</v>
      </c>
      <c r="C90" s="127">
        <f t="shared" ref="C90:P90" si="218">C24+C25</f>
        <v>0</v>
      </c>
      <c r="D90" s="127">
        <f t="shared" si="218"/>
        <v>0</v>
      </c>
      <c r="E90" s="127">
        <f t="shared" si="218"/>
        <v>0</v>
      </c>
      <c r="F90" s="144">
        <f t="shared" si="218"/>
        <v>0</v>
      </c>
      <c r="G90" s="144">
        <f t="shared" si="218"/>
        <v>0</v>
      </c>
      <c r="H90" s="144">
        <f t="shared" si="218"/>
        <v>0</v>
      </c>
      <c r="I90" s="144">
        <f t="shared" si="218"/>
        <v>0</v>
      </c>
      <c r="J90" s="144">
        <f t="shared" si="218"/>
        <v>0</v>
      </c>
      <c r="K90" s="144">
        <f t="shared" si="218"/>
        <v>0</v>
      </c>
      <c r="L90" s="144">
        <f t="shared" si="218"/>
        <v>0</v>
      </c>
      <c r="M90" s="144">
        <f t="shared" si="218"/>
        <v>0</v>
      </c>
      <c r="N90" s="144">
        <f t="shared" si="218"/>
        <v>0</v>
      </c>
      <c r="O90" s="144">
        <f t="shared" si="218"/>
        <v>0</v>
      </c>
      <c r="P90" s="144">
        <f t="shared" si="218"/>
        <v>0</v>
      </c>
      <c r="Q90" s="118" t="e">
        <f>((P90/G90)^(1/($H$2-$H$1) ))-1</f>
        <v>#DIV/0!</v>
      </c>
      <c r="R90" s="128"/>
      <c r="S90" s="144">
        <f t="shared" ref="S90:AB90" si="219">S24+S25</f>
        <v>0</v>
      </c>
      <c r="T90" s="144">
        <f t="shared" si="219"/>
        <v>0</v>
      </c>
      <c r="U90" s="144">
        <f t="shared" si="219"/>
        <v>0</v>
      </c>
      <c r="V90" s="144">
        <f t="shared" si="219"/>
        <v>0</v>
      </c>
      <c r="W90" s="144">
        <f t="shared" si="219"/>
        <v>0</v>
      </c>
      <c r="X90" s="144">
        <f t="shared" si="219"/>
        <v>0</v>
      </c>
      <c r="Y90" s="144">
        <f t="shared" si="219"/>
        <v>0</v>
      </c>
      <c r="Z90" s="144">
        <f t="shared" si="219"/>
        <v>0</v>
      </c>
      <c r="AA90" s="144">
        <f t="shared" si="219"/>
        <v>0</v>
      </c>
      <c r="AB90" s="144">
        <f t="shared" si="219"/>
        <v>0</v>
      </c>
      <c r="AC90" s="138" t="e">
        <f t="shared" ref="AC90:AC95" si="220">((AB90/G90)^(1/($AB$3-$H$1) ))-1</f>
        <v>#DIV/0!</v>
      </c>
      <c r="AD90" s="31">
        <f t="shared" si="17"/>
        <v>0.08</v>
      </c>
      <c r="AE90" s="146">
        <f t="shared" si="191"/>
        <v>0</v>
      </c>
    </row>
    <row r="91" spans="2:31">
      <c r="B91" s="20"/>
      <c r="C91" s="127"/>
      <c r="D91" s="127"/>
      <c r="E91" s="127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28"/>
      <c r="R91" s="128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39"/>
      <c r="AD91" s="137"/>
      <c r="AE91" s="146"/>
    </row>
    <row r="92" spans="2:31">
      <c r="B92" s="20" t="s">
        <v>319</v>
      </c>
      <c r="C92" s="127">
        <f t="shared" ref="C92:P92" si="221">C90/C65</f>
        <v>0</v>
      </c>
      <c r="D92" s="127">
        <f t="shared" si="221"/>
        <v>0</v>
      </c>
      <c r="E92" s="127">
        <f t="shared" si="221"/>
        <v>0</v>
      </c>
      <c r="F92" s="144" t="e">
        <f t="shared" si="221"/>
        <v>#DIV/0!</v>
      </c>
      <c r="G92" s="144" t="e">
        <f t="shared" si="221"/>
        <v>#DIV/0!</v>
      </c>
      <c r="H92" s="144" t="e">
        <f t="shared" si="221"/>
        <v>#DIV/0!</v>
      </c>
      <c r="I92" s="144" t="e">
        <f t="shared" si="221"/>
        <v>#DIV/0!</v>
      </c>
      <c r="J92" s="144" t="e">
        <f t="shared" si="221"/>
        <v>#DIV/0!</v>
      </c>
      <c r="K92" s="144" t="e">
        <f t="shared" si="221"/>
        <v>#DIV/0!</v>
      </c>
      <c r="L92" s="144" t="e">
        <f t="shared" si="221"/>
        <v>#DIV/0!</v>
      </c>
      <c r="M92" s="144" t="e">
        <f t="shared" si="221"/>
        <v>#DIV/0!</v>
      </c>
      <c r="N92" s="144" t="e">
        <f t="shared" si="221"/>
        <v>#DIV/0!</v>
      </c>
      <c r="O92" s="144" t="e">
        <f t="shared" si="221"/>
        <v>#DIV/0!</v>
      </c>
      <c r="P92" s="144" t="e">
        <f t="shared" si="221"/>
        <v>#DIV/0!</v>
      </c>
      <c r="Q92" s="118" t="e">
        <f>((P92/G92)^(1/($H$2-$H$1) ))-1</f>
        <v>#DIV/0!</v>
      </c>
      <c r="R92" s="128"/>
      <c r="S92" s="146" t="e">
        <f t="shared" ref="S92:AB92" si="222">S90/S65</f>
        <v>#DIV/0!</v>
      </c>
      <c r="T92" s="146" t="e">
        <f t="shared" si="222"/>
        <v>#DIV/0!</v>
      </c>
      <c r="U92" s="146" t="e">
        <f t="shared" si="222"/>
        <v>#DIV/0!</v>
      </c>
      <c r="V92" s="146" t="e">
        <f t="shared" si="222"/>
        <v>#DIV/0!</v>
      </c>
      <c r="W92" s="146" t="e">
        <f t="shared" si="222"/>
        <v>#DIV/0!</v>
      </c>
      <c r="X92" s="146" t="e">
        <f t="shared" si="222"/>
        <v>#DIV/0!</v>
      </c>
      <c r="Y92" s="146" t="e">
        <f t="shared" si="222"/>
        <v>#DIV/0!</v>
      </c>
      <c r="Z92" s="146" t="e">
        <f t="shared" si="222"/>
        <v>#DIV/0!</v>
      </c>
      <c r="AA92" s="146" t="e">
        <f t="shared" si="222"/>
        <v>#DIV/0!</v>
      </c>
      <c r="AB92" s="146" t="e">
        <f t="shared" si="222"/>
        <v>#DIV/0!</v>
      </c>
      <c r="AC92" s="138" t="e">
        <f t="shared" si="220"/>
        <v>#DIV/0!</v>
      </c>
      <c r="AD92" s="31">
        <f t="shared" si="17"/>
        <v>0.08</v>
      </c>
      <c r="AE92" s="146" t="e">
        <f t="shared" si="191"/>
        <v>#DIV/0!</v>
      </c>
    </row>
    <row r="93" spans="2:31">
      <c r="B93" s="20" t="s">
        <v>288</v>
      </c>
      <c r="C93" s="127">
        <f t="shared" ref="C93:P93" si="223">C24/C65</f>
        <v>0</v>
      </c>
      <c r="D93" s="127">
        <f t="shared" si="223"/>
        <v>0</v>
      </c>
      <c r="E93" s="127">
        <f t="shared" si="223"/>
        <v>0</v>
      </c>
      <c r="F93" s="144" t="e">
        <f t="shared" si="223"/>
        <v>#DIV/0!</v>
      </c>
      <c r="G93" s="144" t="e">
        <f t="shared" si="223"/>
        <v>#DIV/0!</v>
      </c>
      <c r="H93" s="144" t="e">
        <f t="shared" si="223"/>
        <v>#DIV/0!</v>
      </c>
      <c r="I93" s="144" t="e">
        <f t="shared" si="223"/>
        <v>#DIV/0!</v>
      </c>
      <c r="J93" s="144" t="e">
        <f t="shared" si="223"/>
        <v>#DIV/0!</v>
      </c>
      <c r="K93" s="144" t="e">
        <f t="shared" si="223"/>
        <v>#DIV/0!</v>
      </c>
      <c r="L93" s="144" t="e">
        <f t="shared" si="223"/>
        <v>#DIV/0!</v>
      </c>
      <c r="M93" s="144" t="e">
        <f t="shared" si="223"/>
        <v>#DIV/0!</v>
      </c>
      <c r="N93" s="144" t="e">
        <f t="shared" si="223"/>
        <v>#DIV/0!</v>
      </c>
      <c r="O93" s="144" t="e">
        <f t="shared" si="223"/>
        <v>#DIV/0!</v>
      </c>
      <c r="P93" s="144" t="e">
        <f t="shared" si="223"/>
        <v>#DIV/0!</v>
      </c>
      <c r="Q93" s="118" t="e">
        <f>((P93/G93)^(1/($H$2-$H$1) ))-1</f>
        <v>#DIV/0!</v>
      </c>
      <c r="R93" s="128"/>
      <c r="S93" s="146" t="e">
        <f t="shared" ref="S93:AB93" si="224">S24/S65</f>
        <v>#DIV/0!</v>
      </c>
      <c r="T93" s="146" t="e">
        <f t="shared" si="224"/>
        <v>#DIV/0!</v>
      </c>
      <c r="U93" s="146" t="e">
        <f t="shared" si="224"/>
        <v>#DIV/0!</v>
      </c>
      <c r="V93" s="146" t="e">
        <f t="shared" si="224"/>
        <v>#DIV/0!</v>
      </c>
      <c r="W93" s="146" t="e">
        <f t="shared" si="224"/>
        <v>#DIV/0!</v>
      </c>
      <c r="X93" s="146" t="e">
        <f t="shared" si="224"/>
        <v>#DIV/0!</v>
      </c>
      <c r="Y93" s="146" t="e">
        <f t="shared" si="224"/>
        <v>#DIV/0!</v>
      </c>
      <c r="Z93" s="146" t="e">
        <f t="shared" si="224"/>
        <v>#DIV/0!</v>
      </c>
      <c r="AA93" s="146" t="e">
        <f t="shared" si="224"/>
        <v>#DIV/0!</v>
      </c>
      <c r="AB93" s="146" t="e">
        <f t="shared" si="224"/>
        <v>#DIV/0!</v>
      </c>
      <c r="AC93" s="138" t="e">
        <f t="shared" si="220"/>
        <v>#DIV/0!</v>
      </c>
      <c r="AD93" s="31">
        <f t="shared" si="17"/>
        <v>0.08</v>
      </c>
      <c r="AE93" s="146" t="e">
        <f t="shared" si="191"/>
        <v>#DIV/0!</v>
      </c>
    </row>
    <row r="94" spans="2:31">
      <c r="B94" s="20" t="s">
        <v>289</v>
      </c>
      <c r="C94" s="127">
        <f t="shared" ref="C94:P94" si="225">C25/C65</f>
        <v>0</v>
      </c>
      <c r="D94" s="127">
        <f t="shared" si="225"/>
        <v>0</v>
      </c>
      <c r="E94" s="127">
        <f t="shared" si="225"/>
        <v>0</v>
      </c>
      <c r="F94" s="144" t="e">
        <f t="shared" si="225"/>
        <v>#DIV/0!</v>
      </c>
      <c r="G94" s="144" t="e">
        <f t="shared" si="225"/>
        <v>#DIV/0!</v>
      </c>
      <c r="H94" s="144" t="e">
        <f t="shared" si="225"/>
        <v>#DIV/0!</v>
      </c>
      <c r="I94" s="144" t="e">
        <f t="shared" si="225"/>
        <v>#DIV/0!</v>
      </c>
      <c r="J94" s="144" t="e">
        <f t="shared" si="225"/>
        <v>#DIV/0!</v>
      </c>
      <c r="K94" s="144" t="e">
        <f t="shared" si="225"/>
        <v>#DIV/0!</v>
      </c>
      <c r="L94" s="144" t="e">
        <f t="shared" si="225"/>
        <v>#DIV/0!</v>
      </c>
      <c r="M94" s="144" t="e">
        <f t="shared" si="225"/>
        <v>#DIV/0!</v>
      </c>
      <c r="N94" s="144" t="e">
        <f t="shared" si="225"/>
        <v>#DIV/0!</v>
      </c>
      <c r="O94" s="144" t="e">
        <f t="shared" si="225"/>
        <v>#DIV/0!</v>
      </c>
      <c r="P94" s="144" t="e">
        <f t="shared" si="225"/>
        <v>#DIV/0!</v>
      </c>
      <c r="Q94" s="118" t="e">
        <f>((P94/G94)^(1/($H$2-$H$1) ))-1</f>
        <v>#DIV/0!</v>
      </c>
      <c r="R94" s="128"/>
      <c r="S94" s="146" t="e">
        <f t="shared" ref="S94:AB94" si="226">S25/S65</f>
        <v>#DIV/0!</v>
      </c>
      <c r="T94" s="146" t="e">
        <f t="shared" si="226"/>
        <v>#DIV/0!</v>
      </c>
      <c r="U94" s="146" t="e">
        <f t="shared" si="226"/>
        <v>#DIV/0!</v>
      </c>
      <c r="V94" s="146" t="e">
        <f t="shared" si="226"/>
        <v>#DIV/0!</v>
      </c>
      <c r="W94" s="146" t="e">
        <f t="shared" si="226"/>
        <v>#DIV/0!</v>
      </c>
      <c r="X94" s="146" t="e">
        <f t="shared" si="226"/>
        <v>#DIV/0!</v>
      </c>
      <c r="Y94" s="146" t="e">
        <f t="shared" si="226"/>
        <v>#DIV/0!</v>
      </c>
      <c r="Z94" s="146" t="e">
        <f t="shared" si="226"/>
        <v>#DIV/0!</v>
      </c>
      <c r="AA94" s="146" t="e">
        <f t="shared" si="226"/>
        <v>#DIV/0!</v>
      </c>
      <c r="AB94" s="146" t="e">
        <f t="shared" si="226"/>
        <v>#DIV/0!</v>
      </c>
      <c r="AC94" s="138" t="e">
        <f t="shared" si="220"/>
        <v>#DIV/0!</v>
      </c>
      <c r="AD94" s="31">
        <f t="shared" si="17"/>
        <v>0.08</v>
      </c>
      <c r="AE94" s="146" t="e">
        <f t="shared" si="191"/>
        <v>#DIV/0!</v>
      </c>
    </row>
    <row r="95" spans="2:31">
      <c r="B95" s="20" t="s">
        <v>290</v>
      </c>
      <c r="C95" s="127">
        <f t="shared" ref="C95:P95" si="227">C26/C65</f>
        <v>0</v>
      </c>
      <c r="D95" s="127">
        <f t="shared" si="227"/>
        <v>0</v>
      </c>
      <c r="E95" s="127">
        <f t="shared" si="227"/>
        <v>0</v>
      </c>
      <c r="F95" s="144" t="e">
        <f t="shared" si="227"/>
        <v>#DIV/0!</v>
      </c>
      <c r="G95" s="144" t="e">
        <f t="shared" si="227"/>
        <v>#DIV/0!</v>
      </c>
      <c r="H95" s="144" t="e">
        <f t="shared" si="227"/>
        <v>#DIV/0!</v>
      </c>
      <c r="I95" s="144" t="e">
        <f t="shared" si="227"/>
        <v>#DIV/0!</v>
      </c>
      <c r="J95" s="144" t="e">
        <f t="shared" si="227"/>
        <v>#DIV/0!</v>
      </c>
      <c r="K95" s="144" t="e">
        <f t="shared" si="227"/>
        <v>#DIV/0!</v>
      </c>
      <c r="L95" s="144" t="e">
        <f t="shared" si="227"/>
        <v>#DIV/0!</v>
      </c>
      <c r="M95" s="144" t="e">
        <f t="shared" si="227"/>
        <v>#DIV/0!</v>
      </c>
      <c r="N95" s="144" t="e">
        <f t="shared" si="227"/>
        <v>#DIV/0!</v>
      </c>
      <c r="O95" s="144" t="e">
        <f t="shared" si="227"/>
        <v>#DIV/0!</v>
      </c>
      <c r="P95" s="144" t="e">
        <f t="shared" si="227"/>
        <v>#DIV/0!</v>
      </c>
      <c r="Q95" s="118" t="e">
        <f>((P95/G95)^(1/($H$2-$H$1) ))-1</f>
        <v>#DIV/0!</v>
      </c>
      <c r="R95" s="128"/>
      <c r="S95" s="146" t="e">
        <f t="shared" ref="S95:AB95" si="228">S26/S65</f>
        <v>#DIV/0!</v>
      </c>
      <c r="T95" s="146" t="e">
        <f t="shared" si="228"/>
        <v>#DIV/0!</v>
      </c>
      <c r="U95" s="146" t="e">
        <f t="shared" si="228"/>
        <v>#DIV/0!</v>
      </c>
      <c r="V95" s="146" t="e">
        <f t="shared" si="228"/>
        <v>#DIV/0!</v>
      </c>
      <c r="W95" s="146" t="e">
        <f t="shared" si="228"/>
        <v>#DIV/0!</v>
      </c>
      <c r="X95" s="146" t="e">
        <f t="shared" si="228"/>
        <v>#DIV/0!</v>
      </c>
      <c r="Y95" s="146" t="e">
        <f t="shared" si="228"/>
        <v>#DIV/0!</v>
      </c>
      <c r="Z95" s="146" t="e">
        <f t="shared" si="228"/>
        <v>#DIV/0!</v>
      </c>
      <c r="AA95" s="146" t="e">
        <f t="shared" si="228"/>
        <v>#DIV/0!</v>
      </c>
      <c r="AB95" s="146" t="e">
        <f t="shared" si="228"/>
        <v>#DIV/0!</v>
      </c>
      <c r="AC95" s="138" t="e">
        <f t="shared" si="220"/>
        <v>#DIV/0!</v>
      </c>
      <c r="AD95" s="31">
        <f t="shared" si="17"/>
        <v>0.08</v>
      </c>
      <c r="AE95" s="146" t="e">
        <f t="shared" si="191"/>
        <v>#DIV/0!</v>
      </c>
    </row>
    <row r="96" spans="2:31">
      <c r="B96" s="20" t="s">
        <v>297</v>
      </c>
      <c r="C96" s="127">
        <f t="shared" ref="C96:P96" si="229">C27/C65</f>
        <v>0</v>
      </c>
      <c r="D96" s="127">
        <f t="shared" si="229"/>
        <v>0</v>
      </c>
      <c r="E96" s="127">
        <f t="shared" si="229"/>
        <v>0</v>
      </c>
      <c r="F96" s="144" t="e">
        <f t="shared" si="229"/>
        <v>#DIV/0!</v>
      </c>
      <c r="G96" s="144" t="e">
        <f t="shared" si="229"/>
        <v>#DIV/0!</v>
      </c>
      <c r="H96" s="144" t="e">
        <f t="shared" si="229"/>
        <v>#DIV/0!</v>
      </c>
      <c r="I96" s="144" t="e">
        <f t="shared" si="229"/>
        <v>#DIV/0!</v>
      </c>
      <c r="J96" s="144" t="e">
        <f t="shared" si="229"/>
        <v>#DIV/0!</v>
      </c>
      <c r="K96" s="144" t="e">
        <f t="shared" si="229"/>
        <v>#DIV/0!</v>
      </c>
      <c r="L96" s="144" t="e">
        <f t="shared" si="229"/>
        <v>#DIV/0!</v>
      </c>
      <c r="M96" s="144" t="e">
        <f t="shared" si="229"/>
        <v>#DIV/0!</v>
      </c>
      <c r="N96" s="144" t="e">
        <f t="shared" si="229"/>
        <v>#DIV/0!</v>
      </c>
      <c r="O96" s="144" t="e">
        <f t="shared" si="229"/>
        <v>#DIV/0!</v>
      </c>
      <c r="P96" s="144" t="e">
        <f t="shared" si="229"/>
        <v>#DIV/0!</v>
      </c>
      <c r="Q96" s="118" t="e">
        <f>((P96/G96)^(1/($H$2-$H$1) ))-1</f>
        <v>#DIV/0!</v>
      </c>
      <c r="R96" s="128"/>
      <c r="S96" s="146" t="e">
        <f t="shared" ref="S96:AB96" si="230">S27/S65</f>
        <v>#DIV/0!</v>
      </c>
      <c r="T96" s="146" t="e">
        <f t="shared" si="230"/>
        <v>#DIV/0!</v>
      </c>
      <c r="U96" s="146" t="e">
        <f t="shared" si="230"/>
        <v>#DIV/0!</v>
      </c>
      <c r="V96" s="146" t="e">
        <f t="shared" si="230"/>
        <v>#DIV/0!</v>
      </c>
      <c r="W96" s="146" t="e">
        <f t="shared" si="230"/>
        <v>#DIV/0!</v>
      </c>
      <c r="X96" s="146" t="e">
        <f t="shared" si="230"/>
        <v>#DIV/0!</v>
      </c>
      <c r="Y96" s="146" t="e">
        <f t="shared" si="230"/>
        <v>#DIV/0!</v>
      </c>
      <c r="Z96" s="146" t="e">
        <f t="shared" si="230"/>
        <v>#DIV/0!</v>
      </c>
      <c r="AA96" s="146" t="e">
        <f t="shared" si="230"/>
        <v>#DIV/0!</v>
      </c>
      <c r="AB96" s="146" t="e">
        <f t="shared" si="230"/>
        <v>#DIV/0!</v>
      </c>
      <c r="AC96" s="138" t="e">
        <f t="shared" ref="AC96" si="231">((AB96/G96)^(1/($AB$3-$H$1) ))-1</f>
        <v>#DIV/0!</v>
      </c>
      <c r="AD96" s="31">
        <f t="shared" si="17"/>
        <v>0.08</v>
      </c>
      <c r="AE96" s="146" t="e">
        <f t="shared" si="191"/>
        <v>#DIV/0!</v>
      </c>
    </row>
    <row r="97" spans="2:31">
      <c r="B97" s="20"/>
      <c r="C97" s="127"/>
      <c r="D97" s="127"/>
      <c r="E97" s="127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28"/>
      <c r="R97" s="128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39"/>
      <c r="AD97" s="137"/>
      <c r="AE97" s="155"/>
    </row>
    <row r="98" spans="2:31">
      <c r="B98" s="20" t="s">
        <v>312</v>
      </c>
      <c r="C98" s="144">
        <f t="shared" ref="C98:P98" si="232">C61/C65</f>
        <v>0</v>
      </c>
      <c r="D98" s="144">
        <f t="shared" si="232"/>
        <v>0</v>
      </c>
      <c r="E98" s="144">
        <f t="shared" si="232"/>
        <v>0</v>
      </c>
      <c r="F98" s="144" t="e">
        <f t="shared" si="232"/>
        <v>#DIV/0!</v>
      </c>
      <c r="G98" s="144" t="e">
        <f t="shared" si="232"/>
        <v>#DIV/0!</v>
      </c>
      <c r="H98" s="144" t="e">
        <f t="shared" si="232"/>
        <v>#DIV/0!</v>
      </c>
      <c r="I98" s="144" t="e">
        <f t="shared" si="232"/>
        <v>#DIV/0!</v>
      </c>
      <c r="J98" s="144" t="e">
        <f t="shared" si="232"/>
        <v>#DIV/0!</v>
      </c>
      <c r="K98" s="144" t="e">
        <f t="shared" si="232"/>
        <v>#DIV/0!</v>
      </c>
      <c r="L98" s="144" t="e">
        <f t="shared" si="232"/>
        <v>#DIV/0!</v>
      </c>
      <c r="M98" s="144" t="e">
        <f t="shared" si="232"/>
        <v>#DIV/0!</v>
      </c>
      <c r="N98" s="144" t="e">
        <f t="shared" si="232"/>
        <v>#DIV/0!</v>
      </c>
      <c r="O98" s="144" t="e">
        <f t="shared" si="232"/>
        <v>#DIV/0!</v>
      </c>
      <c r="P98" s="144" t="e">
        <f t="shared" si="232"/>
        <v>#DIV/0!</v>
      </c>
      <c r="Q98" s="118" t="e">
        <f>((P98/G98)^(1/($H$2-$H$1) ))-1</f>
        <v>#DIV/0!</v>
      </c>
      <c r="R98" s="128"/>
      <c r="S98" s="144" t="e">
        <f t="shared" ref="S98:AB98" si="233">S61/S65</f>
        <v>#DIV/0!</v>
      </c>
      <c r="T98" s="144" t="e">
        <f t="shared" si="233"/>
        <v>#DIV/0!</v>
      </c>
      <c r="U98" s="144" t="e">
        <f t="shared" si="233"/>
        <v>#DIV/0!</v>
      </c>
      <c r="V98" s="144" t="e">
        <f t="shared" si="233"/>
        <v>#DIV/0!</v>
      </c>
      <c r="W98" s="144" t="e">
        <f t="shared" si="233"/>
        <v>#DIV/0!</v>
      </c>
      <c r="X98" s="144" t="e">
        <f t="shared" si="233"/>
        <v>#DIV/0!</v>
      </c>
      <c r="Y98" s="144" t="e">
        <f t="shared" si="233"/>
        <v>#DIV/0!</v>
      </c>
      <c r="Z98" s="144" t="e">
        <f t="shared" si="233"/>
        <v>#DIV/0!</v>
      </c>
      <c r="AA98" s="144" t="e">
        <f t="shared" si="233"/>
        <v>#DIV/0!</v>
      </c>
      <c r="AB98" s="144" t="e">
        <f t="shared" si="233"/>
        <v>#DIV/0!</v>
      </c>
      <c r="AC98" s="138" t="e">
        <f t="shared" ref="AC98:AC100" si="234">((AB98/G98)^(1/($AB$3-$H$1) ))-1</f>
        <v>#DIV/0!</v>
      </c>
      <c r="AD98" s="31">
        <f t="shared" si="17"/>
        <v>0.08</v>
      </c>
      <c r="AE98" s="146" t="e">
        <f t="shared" si="191"/>
        <v>#DIV/0!</v>
      </c>
    </row>
    <row r="99" spans="2:31">
      <c r="B99" s="20" t="s">
        <v>313</v>
      </c>
      <c r="C99" s="144">
        <f t="shared" ref="C99:P99" si="235">C63/C65</f>
        <v>0</v>
      </c>
      <c r="D99" s="144">
        <f t="shared" si="235"/>
        <v>0</v>
      </c>
      <c r="E99" s="144">
        <f t="shared" si="235"/>
        <v>0</v>
      </c>
      <c r="F99" s="144" t="e">
        <f t="shared" si="235"/>
        <v>#DIV/0!</v>
      </c>
      <c r="G99" s="144" t="e">
        <f t="shared" si="235"/>
        <v>#DIV/0!</v>
      </c>
      <c r="H99" s="144" t="e">
        <f t="shared" si="235"/>
        <v>#DIV/0!</v>
      </c>
      <c r="I99" s="144" t="e">
        <f t="shared" si="235"/>
        <v>#DIV/0!</v>
      </c>
      <c r="J99" s="144" t="e">
        <f t="shared" si="235"/>
        <v>#DIV/0!</v>
      </c>
      <c r="K99" s="144" t="e">
        <f t="shared" si="235"/>
        <v>#DIV/0!</v>
      </c>
      <c r="L99" s="144" t="e">
        <f t="shared" si="235"/>
        <v>#DIV/0!</v>
      </c>
      <c r="M99" s="144" t="e">
        <f t="shared" si="235"/>
        <v>#DIV/0!</v>
      </c>
      <c r="N99" s="144" t="e">
        <f t="shared" si="235"/>
        <v>#DIV/0!</v>
      </c>
      <c r="O99" s="144" t="e">
        <f t="shared" si="235"/>
        <v>#DIV/0!</v>
      </c>
      <c r="P99" s="144" t="e">
        <f t="shared" si="235"/>
        <v>#DIV/0!</v>
      </c>
      <c r="Q99" s="118" t="e">
        <f>((P99/G99)^(1/($H$2-$H$1) ))-1</f>
        <v>#DIV/0!</v>
      </c>
      <c r="R99" s="128"/>
      <c r="S99" s="144" t="e">
        <f t="shared" ref="S99:AB99" si="236">S63/S65</f>
        <v>#DIV/0!</v>
      </c>
      <c r="T99" s="144" t="e">
        <f t="shared" si="236"/>
        <v>#DIV/0!</v>
      </c>
      <c r="U99" s="144" t="e">
        <f t="shared" si="236"/>
        <v>#DIV/0!</v>
      </c>
      <c r="V99" s="144" t="e">
        <f t="shared" si="236"/>
        <v>#DIV/0!</v>
      </c>
      <c r="W99" s="144" t="e">
        <f t="shared" si="236"/>
        <v>#DIV/0!</v>
      </c>
      <c r="X99" s="144" t="e">
        <f t="shared" si="236"/>
        <v>#DIV/0!</v>
      </c>
      <c r="Y99" s="144" t="e">
        <f t="shared" si="236"/>
        <v>#DIV/0!</v>
      </c>
      <c r="Z99" s="144" t="e">
        <f t="shared" si="236"/>
        <v>#DIV/0!</v>
      </c>
      <c r="AA99" s="144" t="e">
        <f t="shared" si="236"/>
        <v>#DIV/0!</v>
      </c>
      <c r="AB99" s="144" t="e">
        <f t="shared" si="236"/>
        <v>#DIV/0!</v>
      </c>
      <c r="AC99" s="138" t="e">
        <f t="shared" si="234"/>
        <v>#DIV/0!</v>
      </c>
      <c r="AD99" s="31">
        <f t="shared" si="17"/>
        <v>0.08</v>
      </c>
      <c r="AE99" s="146" t="e">
        <f t="shared" si="191"/>
        <v>#DIV/0!</v>
      </c>
    </row>
    <row r="100" spans="2:31">
      <c r="B100" s="20" t="s">
        <v>314</v>
      </c>
      <c r="C100" s="144">
        <f t="shared" ref="C100:P100" si="237">C6/C65</f>
        <v>0</v>
      </c>
      <c r="D100" s="144">
        <f t="shared" si="237"/>
        <v>0</v>
      </c>
      <c r="E100" s="144">
        <f t="shared" si="237"/>
        <v>0</v>
      </c>
      <c r="F100" s="144" t="e">
        <f t="shared" si="237"/>
        <v>#DIV/0!</v>
      </c>
      <c r="G100" s="144" t="e">
        <f t="shared" si="237"/>
        <v>#DIV/0!</v>
      </c>
      <c r="H100" s="144" t="e">
        <f t="shared" si="237"/>
        <v>#DIV/0!</v>
      </c>
      <c r="I100" s="144" t="e">
        <f t="shared" si="237"/>
        <v>#DIV/0!</v>
      </c>
      <c r="J100" s="144" t="e">
        <f t="shared" si="237"/>
        <v>#DIV/0!</v>
      </c>
      <c r="K100" s="144" t="e">
        <f t="shared" si="237"/>
        <v>#DIV/0!</v>
      </c>
      <c r="L100" s="144" t="e">
        <f t="shared" si="237"/>
        <v>#DIV/0!</v>
      </c>
      <c r="M100" s="144" t="e">
        <f t="shared" si="237"/>
        <v>#DIV/0!</v>
      </c>
      <c r="N100" s="144" t="e">
        <f t="shared" si="237"/>
        <v>#DIV/0!</v>
      </c>
      <c r="O100" s="144" t="e">
        <f t="shared" si="237"/>
        <v>#DIV/0!</v>
      </c>
      <c r="P100" s="144" t="e">
        <f t="shared" si="237"/>
        <v>#DIV/0!</v>
      </c>
      <c r="Q100" s="118" t="e">
        <f>((P100/G100)^(1/($H$2-$H$1) ))-1</f>
        <v>#DIV/0!</v>
      </c>
      <c r="R100" s="128"/>
      <c r="S100" s="144" t="e">
        <f t="shared" ref="S100:AB100" si="238">S6/S65</f>
        <v>#DIV/0!</v>
      </c>
      <c r="T100" s="144" t="e">
        <f t="shared" si="238"/>
        <v>#DIV/0!</v>
      </c>
      <c r="U100" s="144" t="e">
        <f t="shared" si="238"/>
        <v>#DIV/0!</v>
      </c>
      <c r="V100" s="144" t="e">
        <f t="shared" si="238"/>
        <v>#DIV/0!</v>
      </c>
      <c r="W100" s="144" t="e">
        <f t="shared" si="238"/>
        <v>#DIV/0!</v>
      </c>
      <c r="X100" s="144" t="e">
        <f t="shared" si="238"/>
        <v>#DIV/0!</v>
      </c>
      <c r="Y100" s="144" t="e">
        <f t="shared" si="238"/>
        <v>#DIV/0!</v>
      </c>
      <c r="Z100" s="144" t="e">
        <f t="shared" si="238"/>
        <v>#DIV/0!</v>
      </c>
      <c r="AA100" s="144" t="e">
        <f t="shared" si="238"/>
        <v>#DIV/0!</v>
      </c>
      <c r="AB100" s="144" t="e">
        <f t="shared" si="238"/>
        <v>#DIV/0!</v>
      </c>
      <c r="AC100" s="138" t="e">
        <f t="shared" si="234"/>
        <v>#DIV/0!</v>
      </c>
      <c r="AD100" s="31">
        <f t="shared" ref="AD100" si="239">$L$1</f>
        <v>0.08</v>
      </c>
      <c r="AE100" s="146" t="e">
        <f t="shared" si="191"/>
        <v>#DIV/0!</v>
      </c>
    </row>
    <row r="101" spans="2:31">
      <c r="B101" s="20"/>
      <c r="C101" s="127"/>
      <c r="D101" s="127"/>
      <c r="E101" s="127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28"/>
      <c r="R101" s="128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39"/>
      <c r="AD101" s="20"/>
      <c r="AE101" s="155"/>
    </row>
    <row r="102" spans="2:31">
      <c r="B102" s="20"/>
      <c r="C102" s="127"/>
      <c r="D102" s="127"/>
      <c r="E102" s="127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28"/>
      <c r="R102" s="128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39"/>
      <c r="AD102" s="20"/>
      <c r="AE102" s="155"/>
    </row>
    <row r="103" spans="2:31">
      <c r="B103" s="108" t="s">
        <v>311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spans="2:31">
      <c r="B104" s="20" t="s">
        <v>310</v>
      </c>
      <c r="C104" s="153" t="e">
        <f t="shared" ref="C104:P104" si="240">C61/C43</f>
        <v>#DIV/0!</v>
      </c>
      <c r="D104" s="153" t="e">
        <f t="shared" si="240"/>
        <v>#DIV/0!</v>
      </c>
      <c r="E104" s="153" t="e">
        <f t="shared" si="240"/>
        <v>#DIV/0!</v>
      </c>
      <c r="F104" s="153" t="e">
        <f t="shared" si="240"/>
        <v>#DIV/0!</v>
      </c>
      <c r="G104" s="153" t="e">
        <f t="shared" si="240"/>
        <v>#DIV/0!</v>
      </c>
      <c r="H104" s="153" t="e">
        <f t="shared" si="240"/>
        <v>#DIV/0!</v>
      </c>
      <c r="I104" s="153" t="e">
        <f t="shared" si="240"/>
        <v>#DIV/0!</v>
      </c>
      <c r="J104" s="153" t="e">
        <f t="shared" si="240"/>
        <v>#DIV/0!</v>
      </c>
      <c r="K104" s="153" t="e">
        <f t="shared" si="240"/>
        <v>#DIV/0!</v>
      </c>
      <c r="L104" s="153" t="e">
        <f t="shared" si="240"/>
        <v>#DIV/0!</v>
      </c>
      <c r="M104" s="153" t="e">
        <f t="shared" si="240"/>
        <v>#DIV/0!</v>
      </c>
      <c r="N104" s="153" t="e">
        <f t="shared" si="240"/>
        <v>#DIV/0!</v>
      </c>
      <c r="O104" s="153" t="e">
        <f t="shared" si="240"/>
        <v>#DIV/0!</v>
      </c>
      <c r="P104" s="153" t="e">
        <f t="shared" si="240"/>
        <v>#DIV/0!</v>
      </c>
      <c r="Q104" s="118" t="e">
        <f t="shared" ref="Q104:Q134" si="241">((P104/G104)^(1/($H$2-$H$1) ))-1</f>
        <v>#DIV/0!</v>
      </c>
      <c r="R104" s="153"/>
      <c r="S104" s="153" t="e">
        <f t="shared" ref="S104:AB104" si="242">S61/S43</f>
        <v>#DIV/0!</v>
      </c>
      <c r="T104" s="153" t="e">
        <f t="shared" si="242"/>
        <v>#DIV/0!</v>
      </c>
      <c r="U104" s="153" t="e">
        <f t="shared" si="242"/>
        <v>#DIV/0!</v>
      </c>
      <c r="V104" s="153" t="e">
        <f t="shared" si="242"/>
        <v>#DIV/0!</v>
      </c>
      <c r="W104" s="153" t="e">
        <f t="shared" si="242"/>
        <v>#DIV/0!</v>
      </c>
      <c r="X104" s="153" t="e">
        <f t="shared" si="242"/>
        <v>#DIV/0!</v>
      </c>
      <c r="Y104" s="153" t="e">
        <f t="shared" si="242"/>
        <v>#DIV/0!</v>
      </c>
      <c r="Z104" s="153" t="e">
        <f t="shared" si="242"/>
        <v>#DIV/0!</v>
      </c>
      <c r="AA104" s="153" t="e">
        <f t="shared" si="242"/>
        <v>#DIV/0!</v>
      </c>
      <c r="AB104" s="153" t="e">
        <f t="shared" si="242"/>
        <v>#DIV/0!</v>
      </c>
      <c r="AC104" s="138" t="e">
        <f t="shared" ref="AC104:AC128" si="243">((AB104/G104)^(1/($AB$3-$H$1) ))-1</f>
        <v>#DIV/0!</v>
      </c>
      <c r="AD104" s="146"/>
      <c r="AE104" s="146"/>
    </row>
    <row r="105" spans="2:31">
      <c r="B105" s="20" t="s">
        <v>267</v>
      </c>
      <c r="C105" s="153" t="e">
        <f t="shared" ref="C105:P105" si="244">C63/C43</f>
        <v>#DIV/0!</v>
      </c>
      <c r="D105" s="153" t="e">
        <f t="shared" si="244"/>
        <v>#DIV/0!</v>
      </c>
      <c r="E105" s="153" t="e">
        <f t="shared" si="244"/>
        <v>#DIV/0!</v>
      </c>
      <c r="F105" s="153" t="e">
        <f t="shared" si="244"/>
        <v>#DIV/0!</v>
      </c>
      <c r="G105" s="153" t="e">
        <f t="shared" si="244"/>
        <v>#DIV/0!</v>
      </c>
      <c r="H105" s="153" t="e">
        <f t="shared" si="244"/>
        <v>#DIV/0!</v>
      </c>
      <c r="I105" s="153" t="e">
        <f t="shared" si="244"/>
        <v>#DIV/0!</v>
      </c>
      <c r="J105" s="153" t="e">
        <f t="shared" si="244"/>
        <v>#DIV/0!</v>
      </c>
      <c r="K105" s="153" t="e">
        <f t="shared" si="244"/>
        <v>#DIV/0!</v>
      </c>
      <c r="L105" s="153" t="e">
        <f t="shared" si="244"/>
        <v>#DIV/0!</v>
      </c>
      <c r="M105" s="153" t="e">
        <f t="shared" si="244"/>
        <v>#DIV/0!</v>
      </c>
      <c r="N105" s="153" t="e">
        <f t="shared" si="244"/>
        <v>#DIV/0!</v>
      </c>
      <c r="O105" s="153" t="e">
        <f t="shared" si="244"/>
        <v>#DIV/0!</v>
      </c>
      <c r="P105" s="153" t="e">
        <f t="shared" si="244"/>
        <v>#DIV/0!</v>
      </c>
      <c r="Q105" s="118" t="e">
        <f t="shared" si="241"/>
        <v>#DIV/0!</v>
      </c>
      <c r="R105" s="153"/>
      <c r="S105" s="153" t="e">
        <f t="shared" ref="S105:AB105" si="245">S63/S43</f>
        <v>#DIV/0!</v>
      </c>
      <c r="T105" s="153" t="e">
        <f t="shared" si="245"/>
        <v>#DIV/0!</v>
      </c>
      <c r="U105" s="153" t="e">
        <f t="shared" si="245"/>
        <v>#DIV/0!</v>
      </c>
      <c r="V105" s="153" t="e">
        <f t="shared" si="245"/>
        <v>#DIV/0!</v>
      </c>
      <c r="W105" s="153" t="e">
        <f t="shared" si="245"/>
        <v>#DIV/0!</v>
      </c>
      <c r="X105" s="153" t="e">
        <f t="shared" si="245"/>
        <v>#DIV/0!</v>
      </c>
      <c r="Y105" s="153" t="e">
        <f t="shared" si="245"/>
        <v>#DIV/0!</v>
      </c>
      <c r="Z105" s="153" t="e">
        <f t="shared" si="245"/>
        <v>#DIV/0!</v>
      </c>
      <c r="AA105" s="153" t="e">
        <f t="shared" si="245"/>
        <v>#DIV/0!</v>
      </c>
      <c r="AB105" s="153" t="e">
        <f t="shared" si="245"/>
        <v>#DIV/0!</v>
      </c>
      <c r="AC105" s="138" t="e">
        <f t="shared" si="243"/>
        <v>#DIV/0!</v>
      </c>
      <c r="AD105" s="146"/>
      <c r="AE105" s="146"/>
    </row>
    <row r="106" spans="2:31">
      <c r="B106" s="20" t="s">
        <v>364</v>
      </c>
      <c r="C106" s="153" t="e">
        <f t="shared" ref="C106:P106" si="246">C63/C7</f>
        <v>#DIV/0!</v>
      </c>
      <c r="D106" s="153" t="e">
        <f t="shared" si="246"/>
        <v>#DIV/0!</v>
      </c>
      <c r="E106" s="153" t="e">
        <f t="shared" si="246"/>
        <v>#DIV/0!</v>
      </c>
      <c r="F106" s="153" t="e">
        <f t="shared" si="246"/>
        <v>#DIV/0!</v>
      </c>
      <c r="G106" s="153" t="e">
        <f t="shared" si="246"/>
        <v>#DIV/0!</v>
      </c>
      <c r="H106" s="153" t="e">
        <f t="shared" si="246"/>
        <v>#DIV/0!</v>
      </c>
      <c r="I106" s="153" t="e">
        <f t="shared" si="246"/>
        <v>#DIV/0!</v>
      </c>
      <c r="J106" s="153" t="e">
        <f t="shared" si="246"/>
        <v>#DIV/0!</v>
      </c>
      <c r="K106" s="153" t="e">
        <f t="shared" si="246"/>
        <v>#DIV/0!</v>
      </c>
      <c r="L106" s="153" t="e">
        <f t="shared" si="246"/>
        <v>#DIV/0!</v>
      </c>
      <c r="M106" s="153" t="e">
        <f t="shared" si="246"/>
        <v>#DIV/0!</v>
      </c>
      <c r="N106" s="153" t="e">
        <f t="shared" si="246"/>
        <v>#DIV/0!</v>
      </c>
      <c r="O106" s="153" t="e">
        <f t="shared" si="246"/>
        <v>#DIV/0!</v>
      </c>
      <c r="P106" s="153" t="e">
        <f t="shared" si="246"/>
        <v>#DIV/0!</v>
      </c>
      <c r="Q106" s="118" t="e">
        <f t="shared" si="241"/>
        <v>#DIV/0!</v>
      </c>
      <c r="R106" s="20"/>
      <c r="S106" s="153" t="e">
        <f t="shared" ref="S106:AB106" si="247">S63/S7</f>
        <v>#DIV/0!</v>
      </c>
      <c r="T106" s="153" t="e">
        <f t="shared" si="247"/>
        <v>#DIV/0!</v>
      </c>
      <c r="U106" s="153" t="e">
        <f t="shared" si="247"/>
        <v>#DIV/0!</v>
      </c>
      <c r="V106" s="153" t="e">
        <f t="shared" si="247"/>
        <v>#DIV/0!</v>
      </c>
      <c r="W106" s="153" t="e">
        <f t="shared" si="247"/>
        <v>#DIV/0!</v>
      </c>
      <c r="X106" s="153" t="e">
        <f t="shared" si="247"/>
        <v>#DIV/0!</v>
      </c>
      <c r="Y106" s="153" t="e">
        <f t="shared" si="247"/>
        <v>#DIV/0!</v>
      </c>
      <c r="Z106" s="153" t="e">
        <f t="shared" si="247"/>
        <v>#DIV/0!</v>
      </c>
      <c r="AA106" s="153" t="e">
        <f t="shared" si="247"/>
        <v>#DIV/0!</v>
      </c>
      <c r="AB106" s="153" t="e">
        <f t="shared" si="247"/>
        <v>#DIV/0!</v>
      </c>
      <c r="AC106" s="138" t="e">
        <f t="shared" si="243"/>
        <v>#DIV/0!</v>
      </c>
      <c r="AD106" s="146"/>
      <c r="AE106" s="146"/>
    </row>
    <row r="107" spans="2:31">
      <c r="B107" s="20" t="s">
        <v>365</v>
      </c>
      <c r="C107" s="153" t="e">
        <f t="shared" ref="C107:P107" si="248">(C63)/(C7+C10)</f>
        <v>#DIV/0!</v>
      </c>
      <c r="D107" s="153" t="e">
        <f t="shared" si="248"/>
        <v>#DIV/0!</v>
      </c>
      <c r="E107" s="153" t="e">
        <f t="shared" si="248"/>
        <v>#DIV/0!</v>
      </c>
      <c r="F107" s="153" t="e">
        <f t="shared" si="248"/>
        <v>#DIV/0!</v>
      </c>
      <c r="G107" s="153" t="e">
        <f t="shared" si="248"/>
        <v>#DIV/0!</v>
      </c>
      <c r="H107" s="153" t="e">
        <f t="shared" si="248"/>
        <v>#DIV/0!</v>
      </c>
      <c r="I107" s="153" t="e">
        <f t="shared" si="248"/>
        <v>#DIV/0!</v>
      </c>
      <c r="J107" s="153" t="e">
        <f t="shared" si="248"/>
        <v>#DIV/0!</v>
      </c>
      <c r="K107" s="153" t="e">
        <f t="shared" si="248"/>
        <v>#DIV/0!</v>
      </c>
      <c r="L107" s="153" t="e">
        <f t="shared" si="248"/>
        <v>#DIV/0!</v>
      </c>
      <c r="M107" s="153" t="e">
        <f t="shared" si="248"/>
        <v>#DIV/0!</v>
      </c>
      <c r="N107" s="153" t="e">
        <f t="shared" si="248"/>
        <v>#DIV/0!</v>
      </c>
      <c r="O107" s="153" t="e">
        <f t="shared" si="248"/>
        <v>#DIV/0!</v>
      </c>
      <c r="P107" s="153" t="e">
        <f t="shared" si="248"/>
        <v>#DIV/0!</v>
      </c>
      <c r="Q107" s="118" t="e">
        <f t="shared" si="241"/>
        <v>#DIV/0!</v>
      </c>
      <c r="R107" s="20"/>
      <c r="S107" s="153" t="e">
        <f t="shared" ref="S107:AB107" si="249">(S63)/(S7+S10)</f>
        <v>#DIV/0!</v>
      </c>
      <c r="T107" s="153" t="e">
        <f t="shared" si="249"/>
        <v>#DIV/0!</v>
      </c>
      <c r="U107" s="153" t="e">
        <f t="shared" si="249"/>
        <v>#DIV/0!</v>
      </c>
      <c r="V107" s="153" t="e">
        <f t="shared" si="249"/>
        <v>#DIV/0!</v>
      </c>
      <c r="W107" s="153" t="e">
        <f t="shared" si="249"/>
        <v>#DIV/0!</v>
      </c>
      <c r="X107" s="153" t="e">
        <f t="shared" si="249"/>
        <v>#DIV/0!</v>
      </c>
      <c r="Y107" s="153" t="e">
        <f t="shared" si="249"/>
        <v>#DIV/0!</v>
      </c>
      <c r="Z107" s="153" t="e">
        <f t="shared" si="249"/>
        <v>#DIV/0!</v>
      </c>
      <c r="AA107" s="153" t="e">
        <f t="shared" si="249"/>
        <v>#DIV/0!</v>
      </c>
      <c r="AB107" s="153" t="e">
        <f t="shared" si="249"/>
        <v>#DIV/0!</v>
      </c>
      <c r="AC107" s="138" t="e">
        <f t="shared" si="243"/>
        <v>#DIV/0!</v>
      </c>
      <c r="AD107" s="146"/>
      <c r="AE107" s="146"/>
    </row>
    <row r="108" spans="2:31">
      <c r="B108" s="20" t="s">
        <v>321</v>
      </c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18" t="e">
        <f t="shared" si="241"/>
        <v>#DIV/0!</v>
      </c>
      <c r="R108" s="20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  <c r="AC108" s="3"/>
      <c r="AD108" s="146"/>
      <c r="AE108" s="146"/>
    </row>
    <row r="109" spans="2:31">
      <c r="B109" s="20" t="s">
        <v>326</v>
      </c>
      <c r="C109" s="153"/>
      <c r="D109" s="153"/>
      <c r="E109" s="153"/>
      <c r="F109" s="153"/>
      <c r="G109" s="153" t="e">
        <f>G49/G43</f>
        <v>#DIV/0!</v>
      </c>
      <c r="H109" s="153" t="e">
        <f t="shared" ref="H109:P109" si="250">H49/H43</f>
        <v>#DIV/0!</v>
      </c>
      <c r="I109" s="153" t="e">
        <f t="shared" si="250"/>
        <v>#DIV/0!</v>
      </c>
      <c r="J109" s="153" t="e">
        <f t="shared" si="250"/>
        <v>#DIV/0!</v>
      </c>
      <c r="K109" s="153" t="e">
        <f t="shared" si="250"/>
        <v>#DIV/0!</v>
      </c>
      <c r="L109" s="153" t="e">
        <f t="shared" si="250"/>
        <v>#DIV/0!</v>
      </c>
      <c r="M109" s="153" t="e">
        <f t="shared" si="250"/>
        <v>#DIV/0!</v>
      </c>
      <c r="N109" s="153" t="e">
        <f t="shared" si="250"/>
        <v>#DIV/0!</v>
      </c>
      <c r="O109" s="153" t="e">
        <f t="shared" si="250"/>
        <v>#DIV/0!</v>
      </c>
      <c r="P109" s="153" t="e">
        <f t="shared" si="250"/>
        <v>#DIV/0!</v>
      </c>
      <c r="Q109" s="118" t="e">
        <f t="shared" si="241"/>
        <v>#DIV/0!</v>
      </c>
      <c r="R109" s="20"/>
      <c r="S109" s="153" t="e">
        <f t="shared" ref="S109:AB109" si="251">S49/S43</f>
        <v>#DIV/0!</v>
      </c>
      <c r="T109" s="153" t="e">
        <f t="shared" si="251"/>
        <v>#DIV/0!</v>
      </c>
      <c r="U109" s="153" t="e">
        <f t="shared" si="251"/>
        <v>#DIV/0!</v>
      </c>
      <c r="V109" s="153" t="e">
        <f t="shared" si="251"/>
        <v>#DIV/0!</v>
      </c>
      <c r="W109" s="153" t="e">
        <f t="shared" si="251"/>
        <v>#DIV/0!</v>
      </c>
      <c r="X109" s="153" t="e">
        <f t="shared" si="251"/>
        <v>#DIV/0!</v>
      </c>
      <c r="Y109" s="153" t="e">
        <f t="shared" si="251"/>
        <v>#DIV/0!</v>
      </c>
      <c r="Z109" s="153" t="e">
        <f t="shared" si="251"/>
        <v>#DIV/0!</v>
      </c>
      <c r="AA109" s="153" t="e">
        <f t="shared" si="251"/>
        <v>#DIV/0!</v>
      </c>
      <c r="AB109" s="153" t="e">
        <f t="shared" si="251"/>
        <v>#DIV/0!</v>
      </c>
      <c r="AC109" s="138" t="e">
        <f t="shared" si="243"/>
        <v>#DIV/0!</v>
      </c>
      <c r="AD109" s="146"/>
      <c r="AE109" s="146"/>
    </row>
    <row r="110" spans="2:31">
      <c r="B110" s="20" t="s">
        <v>328</v>
      </c>
      <c r="C110" s="153"/>
      <c r="D110" s="153"/>
      <c r="E110" s="153"/>
      <c r="F110" s="153"/>
      <c r="G110" s="172" t="e">
        <f t="shared" ref="G110:P110" si="252">G49/G12</f>
        <v>#DIV/0!</v>
      </c>
      <c r="H110" s="172" t="e">
        <f t="shared" si="252"/>
        <v>#DIV/0!</v>
      </c>
      <c r="I110" s="172" t="e">
        <f t="shared" si="252"/>
        <v>#DIV/0!</v>
      </c>
      <c r="J110" s="172" t="e">
        <f t="shared" si="252"/>
        <v>#DIV/0!</v>
      </c>
      <c r="K110" s="172" t="e">
        <f t="shared" si="252"/>
        <v>#DIV/0!</v>
      </c>
      <c r="L110" s="172" t="e">
        <f t="shared" si="252"/>
        <v>#DIV/0!</v>
      </c>
      <c r="M110" s="172" t="e">
        <f t="shared" si="252"/>
        <v>#DIV/0!</v>
      </c>
      <c r="N110" s="172" t="e">
        <f t="shared" si="252"/>
        <v>#DIV/0!</v>
      </c>
      <c r="O110" s="172" t="e">
        <f t="shared" si="252"/>
        <v>#DIV/0!</v>
      </c>
      <c r="P110" s="172" t="e">
        <f t="shared" si="252"/>
        <v>#DIV/0!</v>
      </c>
      <c r="Q110" s="118" t="e">
        <f t="shared" si="241"/>
        <v>#DIV/0!</v>
      </c>
      <c r="R110" s="20"/>
      <c r="S110" s="153" t="e">
        <f t="shared" ref="S110:AB110" si="253">S49/S12</f>
        <v>#DIV/0!</v>
      </c>
      <c r="T110" s="153" t="e">
        <f t="shared" si="253"/>
        <v>#DIV/0!</v>
      </c>
      <c r="U110" s="153" t="e">
        <f t="shared" si="253"/>
        <v>#DIV/0!</v>
      </c>
      <c r="V110" s="153" t="e">
        <f t="shared" si="253"/>
        <v>#DIV/0!</v>
      </c>
      <c r="W110" s="153" t="e">
        <f t="shared" si="253"/>
        <v>#DIV/0!</v>
      </c>
      <c r="X110" s="153" t="e">
        <f t="shared" si="253"/>
        <v>#DIV/0!</v>
      </c>
      <c r="Y110" s="153" t="e">
        <f t="shared" si="253"/>
        <v>#DIV/0!</v>
      </c>
      <c r="Z110" s="153" t="e">
        <f t="shared" si="253"/>
        <v>#DIV/0!</v>
      </c>
      <c r="AA110" s="153" t="e">
        <f t="shared" si="253"/>
        <v>#DIV/0!</v>
      </c>
      <c r="AB110" s="153" t="e">
        <f t="shared" si="253"/>
        <v>#DIV/0!</v>
      </c>
      <c r="AC110" s="138" t="e">
        <f t="shared" si="243"/>
        <v>#DIV/0!</v>
      </c>
      <c r="AD110" s="146"/>
      <c r="AE110" s="146"/>
    </row>
    <row r="111" spans="2:31">
      <c r="B111" s="20" t="s">
        <v>329</v>
      </c>
      <c r="C111" s="153"/>
      <c r="D111" s="153"/>
      <c r="E111" s="153"/>
      <c r="F111" s="164">
        <f>F12+F15-F10</f>
        <v>0</v>
      </c>
      <c r="G111" s="164">
        <f>G12+G15-G10</f>
        <v>0</v>
      </c>
      <c r="H111" s="164">
        <f t="shared" ref="H111:P111" si="254">H12+H15-H10</f>
        <v>0</v>
      </c>
      <c r="I111" s="164">
        <f t="shared" si="254"/>
        <v>0</v>
      </c>
      <c r="J111" s="164">
        <f t="shared" si="254"/>
        <v>0</v>
      </c>
      <c r="K111" s="164">
        <f t="shared" si="254"/>
        <v>0</v>
      </c>
      <c r="L111" s="164">
        <f t="shared" si="254"/>
        <v>0</v>
      </c>
      <c r="M111" s="164">
        <f t="shared" si="254"/>
        <v>0</v>
      </c>
      <c r="N111" s="164">
        <f t="shared" si="254"/>
        <v>0</v>
      </c>
      <c r="O111" s="164">
        <f t="shared" si="254"/>
        <v>0</v>
      </c>
      <c r="P111" s="164">
        <f t="shared" si="254"/>
        <v>0</v>
      </c>
      <c r="Q111" s="118" t="e">
        <f t="shared" si="241"/>
        <v>#DIV/0!</v>
      </c>
      <c r="R111" s="20"/>
      <c r="S111" s="164">
        <f t="shared" ref="S111:AB111" si="255">S12+S15-S10</f>
        <v>0</v>
      </c>
      <c r="T111" s="164">
        <f t="shared" si="255"/>
        <v>0</v>
      </c>
      <c r="U111" s="164">
        <f t="shared" si="255"/>
        <v>0</v>
      </c>
      <c r="V111" s="164">
        <f t="shared" si="255"/>
        <v>0</v>
      </c>
      <c r="W111" s="164">
        <f t="shared" si="255"/>
        <v>0</v>
      </c>
      <c r="X111" s="164">
        <f t="shared" si="255"/>
        <v>0</v>
      </c>
      <c r="Y111" s="164">
        <f t="shared" si="255"/>
        <v>0</v>
      </c>
      <c r="Z111" s="164">
        <f t="shared" si="255"/>
        <v>0</v>
      </c>
      <c r="AA111" s="164">
        <f t="shared" si="255"/>
        <v>0</v>
      </c>
      <c r="AB111" s="164">
        <f t="shared" si="255"/>
        <v>0</v>
      </c>
      <c r="AC111" s="138" t="e">
        <f t="shared" si="243"/>
        <v>#DIV/0!</v>
      </c>
      <c r="AD111" s="146"/>
      <c r="AE111" s="146"/>
    </row>
    <row r="112" spans="2:31" ht="12" customHeight="1">
      <c r="B112" s="20" t="s">
        <v>324</v>
      </c>
      <c r="C112" s="20"/>
      <c r="D112" s="20"/>
      <c r="E112" s="20"/>
      <c r="F112" s="20"/>
      <c r="G112" s="153" t="e">
        <f t="shared" ref="G112:P112" si="256">G63/G22</f>
        <v>#DIV/0!</v>
      </c>
      <c r="H112" s="153" t="e">
        <f t="shared" si="256"/>
        <v>#DIV/0!</v>
      </c>
      <c r="I112" s="153" t="e">
        <f t="shared" si="256"/>
        <v>#DIV/0!</v>
      </c>
      <c r="J112" s="153" t="e">
        <f t="shared" si="256"/>
        <v>#DIV/0!</v>
      </c>
      <c r="K112" s="153" t="e">
        <f t="shared" si="256"/>
        <v>#DIV/0!</v>
      </c>
      <c r="L112" s="153" t="e">
        <f t="shared" si="256"/>
        <v>#DIV/0!</v>
      </c>
      <c r="M112" s="153" t="e">
        <f t="shared" si="256"/>
        <v>#DIV/0!</v>
      </c>
      <c r="N112" s="153" t="e">
        <f t="shared" si="256"/>
        <v>#DIV/0!</v>
      </c>
      <c r="O112" s="153" t="e">
        <f t="shared" si="256"/>
        <v>#DIV/0!</v>
      </c>
      <c r="P112" s="153" t="e">
        <f t="shared" si="256"/>
        <v>#DIV/0!</v>
      </c>
      <c r="Q112" s="118" t="e">
        <f t="shared" si="241"/>
        <v>#DIV/0!</v>
      </c>
      <c r="R112" s="20"/>
      <c r="S112" s="153" t="e">
        <f t="shared" ref="S112:AB112" si="257">S63/S22</f>
        <v>#DIV/0!</v>
      </c>
      <c r="T112" s="153" t="e">
        <f t="shared" si="257"/>
        <v>#DIV/0!</v>
      </c>
      <c r="U112" s="153" t="e">
        <f t="shared" si="257"/>
        <v>#DIV/0!</v>
      </c>
      <c r="V112" s="153" t="e">
        <f t="shared" si="257"/>
        <v>#DIV/0!</v>
      </c>
      <c r="W112" s="153" t="e">
        <f t="shared" si="257"/>
        <v>#DIV/0!</v>
      </c>
      <c r="X112" s="153" t="e">
        <f t="shared" si="257"/>
        <v>#DIV/0!</v>
      </c>
      <c r="Y112" s="153" t="e">
        <f t="shared" si="257"/>
        <v>#DIV/0!</v>
      </c>
      <c r="Z112" s="153" t="e">
        <f t="shared" si="257"/>
        <v>#DIV/0!</v>
      </c>
      <c r="AA112" s="153" t="e">
        <f t="shared" si="257"/>
        <v>#DIV/0!</v>
      </c>
      <c r="AB112" s="153" t="e">
        <f t="shared" si="257"/>
        <v>#DIV/0!</v>
      </c>
      <c r="AC112" s="138" t="e">
        <f t="shared" si="243"/>
        <v>#DIV/0!</v>
      </c>
      <c r="AD112" s="20"/>
      <c r="AE112" s="20"/>
    </row>
    <row r="113" spans="2:31">
      <c r="B113" s="20" t="s">
        <v>325</v>
      </c>
      <c r="C113" s="20"/>
      <c r="D113" s="20"/>
      <c r="E113" s="20"/>
      <c r="F113" s="20"/>
      <c r="G113" s="153" t="e">
        <f t="shared" ref="G113:P113" si="258">G63/G43</f>
        <v>#DIV/0!</v>
      </c>
      <c r="H113" s="153" t="e">
        <f t="shared" si="258"/>
        <v>#DIV/0!</v>
      </c>
      <c r="I113" s="153" t="e">
        <f t="shared" si="258"/>
        <v>#DIV/0!</v>
      </c>
      <c r="J113" s="153" t="e">
        <f t="shared" si="258"/>
        <v>#DIV/0!</v>
      </c>
      <c r="K113" s="153" t="e">
        <f t="shared" si="258"/>
        <v>#DIV/0!</v>
      </c>
      <c r="L113" s="153" t="e">
        <f t="shared" si="258"/>
        <v>#DIV/0!</v>
      </c>
      <c r="M113" s="153" t="e">
        <f t="shared" si="258"/>
        <v>#DIV/0!</v>
      </c>
      <c r="N113" s="153" t="e">
        <f t="shared" si="258"/>
        <v>#DIV/0!</v>
      </c>
      <c r="O113" s="153" t="e">
        <f t="shared" si="258"/>
        <v>#DIV/0!</v>
      </c>
      <c r="P113" s="153" t="e">
        <f t="shared" si="258"/>
        <v>#DIV/0!</v>
      </c>
      <c r="Q113" s="118" t="e">
        <f t="shared" si="241"/>
        <v>#DIV/0!</v>
      </c>
      <c r="R113" s="20"/>
      <c r="S113" s="153" t="e">
        <f t="shared" ref="S113:AB113" si="259">S63/S43</f>
        <v>#DIV/0!</v>
      </c>
      <c r="T113" s="153" t="e">
        <f t="shared" si="259"/>
        <v>#DIV/0!</v>
      </c>
      <c r="U113" s="153" t="e">
        <f t="shared" si="259"/>
        <v>#DIV/0!</v>
      </c>
      <c r="V113" s="153" t="e">
        <f t="shared" si="259"/>
        <v>#DIV/0!</v>
      </c>
      <c r="W113" s="153" t="e">
        <f t="shared" si="259"/>
        <v>#DIV/0!</v>
      </c>
      <c r="X113" s="153" t="e">
        <f t="shared" si="259"/>
        <v>#DIV/0!</v>
      </c>
      <c r="Y113" s="153" t="e">
        <f t="shared" si="259"/>
        <v>#DIV/0!</v>
      </c>
      <c r="Z113" s="153" t="e">
        <f t="shared" si="259"/>
        <v>#DIV/0!</v>
      </c>
      <c r="AA113" s="153" t="e">
        <f t="shared" si="259"/>
        <v>#DIV/0!</v>
      </c>
      <c r="AB113" s="153" t="e">
        <f t="shared" si="259"/>
        <v>#DIV/0!</v>
      </c>
      <c r="AC113" s="138" t="e">
        <f t="shared" si="243"/>
        <v>#DIV/0!</v>
      </c>
      <c r="AD113" s="20"/>
      <c r="AE113" s="20"/>
    </row>
    <row r="114" spans="2:31">
      <c r="B114" s="20" t="s">
        <v>351</v>
      </c>
      <c r="C114" s="20"/>
      <c r="D114" s="20"/>
      <c r="E114" s="153"/>
      <c r="F114" s="153"/>
      <c r="G114" s="153" t="e">
        <f t="shared" ref="G114:P114" si="260">G43/G22</f>
        <v>#DIV/0!</v>
      </c>
      <c r="H114" s="153" t="e">
        <f t="shared" si="260"/>
        <v>#DIV/0!</v>
      </c>
      <c r="I114" s="153" t="e">
        <f t="shared" si="260"/>
        <v>#DIV/0!</v>
      </c>
      <c r="J114" s="153" t="e">
        <f t="shared" si="260"/>
        <v>#DIV/0!</v>
      </c>
      <c r="K114" s="153" t="e">
        <f t="shared" si="260"/>
        <v>#DIV/0!</v>
      </c>
      <c r="L114" s="153" t="e">
        <f t="shared" si="260"/>
        <v>#DIV/0!</v>
      </c>
      <c r="M114" s="153" t="e">
        <f t="shared" si="260"/>
        <v>#DIV/0!</v>
      </c>
      <c r="N114" s="153" t="e">
        <f t="shared" si="260"/>
        <v>#DIV/0!</v>
      </c>
      <c r="O114" s="153" t="e">
        <f t="shared" si="260"/>
        <v>#DIV/0!</v>
      </c>
      <c r="P114" s="153" t="e">
        <f t="shared" si="260"/>
        <v>#DIV/0!</v>
      </c>
      <c r="Q114" s="118" t="e">
        <f t="shared" si="241"/>
        <v>#DIV/0!</v>
      </c>
      <c r="R114" s="20"/>
      <c r="S114" s="153" t="e">
        <f t="shared" ref="S114:AB114" si="261">S43/S22</f>
        <v>#DIV/0!</v>
      </c>
      <c r="T114" s="153" t="e">
        <f t="shared" si="261"/>
        <v>#DIV/0!</v>
      </c>
      <c r="U114" s="153" t="e">
        <f t="shared" si="261"/>
        <v>#DIV/0!</v>
      </c>
      <c r="V114" s="153" t="e">
        <f t="shared" si="261"/>
        <v>#DIV/0!</v>
      </c>
      <c r="W114" s="153" t="e">
        <f t="shared" si="261"/>
        <v>#DIV/0!</v>
      </c>
      <c r="X114" s="153" t="e">
        <f t="shared" si="261"/>
        <v>#DIV/0!</v>
      </c>
      <c r="Y114" s="153" t="e">
        <f t="shared" si="261"/>
        <v>#DIV/0!</v>
      </c>
      <c r="Z114" s="153" t="e">
        <f t="shared" si="261"/>
        <v>#DIV/0!</v>
      </c>
      <c r="AA114" s="153" t="e">
        <f t="shared" si="261"/>
        <v>#DIV/0!</v>
      </c>
      <c r="AB114" s="153" t="e">
        <f t="shared" si="261"/>
        <v>#DIV/0!</v>
      </c>
      <c r="AC114" s="138" t="e">
        <f t="shared" si="243"/>
        <v>#DIV/0!</v>
      </c>
      <c r="AD114" s="20"/>
      <c r="AE114" s="20"/>
    </row>
    <row r="115" spans="2:31">
      <c r="B115" s="20"/>
      <c r="C115" s="20"/>
      <c r="D115" s="20"/>
      <c r="E115" s="20"/>
      <c r="F115" s="20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28"/>
      <c r="R115" s="20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  <c r="AC115" s="128"/>
      <c r="AD115" s="20"/>
      <c r="AE115" s="20"/>
    </row>
    <row r="116" spans="2:31">
      <c r="B116" s="20" t="s">
        <v>337</v>
      </c>
      <c r="C116" s="20"/>
      <c r="D116" s="20"/>
      <c r="E116" s="166">
        <f t="shared" ref="E116:P116" si="262">E88*E65</f>
        <v>1</v>
      </c>
      <c r="F116" s="166">
        <f t="shared" si="262"/>
        <v>0</v>
      </c>
      <c r="G116" s="166">
        <f t="shared" si="262"/>
        <v>0</v>
      </c>
      <c r="H116" s="166">
        <f t="shared" si="262"/>
        <v>0</v>
      </c>
      <c r="I116" s="166">
        <f t="shared" si="262"/>
        <v>0</v>
      </c>
      <c r="J116" s="166">
        <f t="shared" si="262"/>
        <v>0</v>
      </c>
      <c r="K116" s="166">
        <f t="shared" si="262"/>
        <v>0</v>
      </c>
      <c r="L116" s="166">
        <f t="shared" si="262"/>
        <v>0</v>
      </c>
      <c r="M116" s="166">
        <f t="shared" si="262"/>
        <v>0</v>
      </c>
      <c r="N116" s="166">
        <f t="shared" si="262"/>
        <v>0</v>
      </c>
      <c r="O116" s="166">
        <f t="shared" si="262"/>
        <v>0</v>
      </c>
      <c r="P116" s="166">
        <f t="shared" si="262"/>
        <v>0</v>
      </c>
      <c r="Q116" s="118" t="e">
        <f t="shared" si="241"/>
        <v>#DIV/0!</v>
      </c>
      <c r="R116" s="20"/>
      <c r="S116" s="166">
        <f t="shared" ref="S116:AB116" si="263">S88*S65</f>
        <v>0</v>
      </c>
      <c r="T116" s="166">
        <f t="shared" si="263"/>
        <v>0</v>
      </c>
      <c r="U116" s="166">
        <f t="shared" si="263"/>
        <v>0</v>
      </c>
      <c r="V116" s="166">
        <f t="shared" si="263"/>
        <v>0</v>
      </c>
      <c r="W116" s="166">
        <f t="shared" si="263"/>
        <v>0</v>
      </c>
      <c r="X116" s="166">
        <f t="shared" si="263"/>
        <v>0</v>
      </c>
      <c r="Y116" s="166">
        <f t="shared" si="263"/>
        <v>0</v>
      </c>
      <c r="Z116" s="166">
        <f t="shared" si="263"/>
        <v>0</v>
      </c>
      <c r="AA116" s="166">
        <f t="shared" si="263"/>
        <v>0</v>
      </c>
      <c r="AB116" s="166">
        <f t="shared" si="263"/>
        <v>0</v>
      </c>
      <c r="AC116" s="138" t="e">
        <f t="shared" si="243"/>
        <v>#DIV/0!</v>
      </c>
      <c r="AD116" s="20"/>
      <c r="AE116" s="20"/>
    </row>
    <row r="117" spans="2:31">
      <c r="B117" s="20" t="s">
        <v>338</v>
      </c>
      <c r="C117" s="20"/>
      <c r="D117" s="20"/>
      <c r="E117" s="166">
        <f>(E116*0.17)+E116</f>
        <v>1.17</v>
      </c>
      <c r="F117" s="166">
        <f>(F116*0.17)+F116</f>
        <v>0</v>
      </c>
      <c r="G117" s="166">
        <f t="shared" ref="G117:P117" si="264">(G116*0.17)+G116</f>
        <v>0</v>
      </c>
      <c r="H117" s="166">
        <f t="shared" si="264"/>
        <v>0</v>
      </c>
      <c r="I117" s="166">
        <f t="shared" si="264"/>
        <v>0</v>
      </c>
      <c r="J117" s="166">
        <f t="shared" si="264"/>
        <v>0</v>
      </c>
      <c r="K117" s="166">
        <f t="shared" si="264"/>
        <v>0</v>
      </c>
      <c r="L117" s="166">
        <f t="shared" si="264"/>
        <v>0</v>
      </c>
      <c r="M117" s="166">
        <f t="shared" si="264"/>
        <v>0</v>
      </c>
      <c r="N117" s="166">
        <f t="shared" si="264"/>
        <v>0</v>
      </c>
      <c r="O117" s="166">
        <f t="shared" si="264"/>
        <v>0</v>
      </c>
      <c r="P117" s="166">
        <f t="shared" si="264"/>
        <v>0</v>
      </c>
      <c r="Q117" s="118" t="e">
        <f t="shared" si="241"/>
        <v>#DIV/0!</v>
      </c>
      <c r="R117" s="20"/>
      <c r="S117" s="166">
        <f t="shared" ref="S117:AB117" si="265">(S116*0.17)+S116</f>
        <v>0</v>
      </c>
      <c r="T117" s="166">
        <f t="shared" si="265"/>
        <v>0</v>
      </c>
      <c r="U117" s="166">
        <f t="shared" si="265"/>
        <v>0</v>
      </c>
      <c r="V117" s="166">
        <f t="shared" si="265"/>
        <v>0</v>
      </c>
      <c r="W117" s="166">
        <f t="shared" si="265"/>
        <v>0</v>
      </c>
      <c r="X117" s="166">
        <f t="shared" si="265"/>
        <v>0</v>
      </c>
      <c r="Y117" s="166">
        <f t="shared" si="265"/>
        <v>0</v>
      </c>
      <c r="Z117" s="166">
        <f t="shared" si="265"/>
        <v>0</v>
      </c>
      <c r="AA117" s="166">
        <f t="shared" si="265"/>
        <v>0</v>
      </c>
      <c r="AB117" s="166">
        <f t="shared" si="265"/>
        <v>0</v>
      </c>
      <c r="AC117" s="138" t="e">
        <f t="shared" si="243"/>
        <v>#DIV/0!</v>
      </c>
      <c r="AD117" s="20"/>
      <c r="AE117" s="20"/>
    </row>
    <row r="118" spans="2:31">
      <c r="B118" s="20" t="s">
        <v>339</v>
      </c>
      <c r="C118" s="20"/>
      <c r="D118" s="20"/>
      <c r="E118" s="20"/>
      <c r="F118" s="153" t="e">
        <f t="shared" ref="F118:P118" si="266">F117/F63</f>
        <v>#DIV/0!</v>
      </c>
      <c r="G118" s="153" t="e">
        <f t="shared" si="266"/>
        <v>#DIV/0!</v>
      </c>
      <c r="H118" s="153" t="e">
        <f t="shared" si="266"/>
        <v>#DIV/0!</v>
      </c>
      <c r="I118" s="153" t="e">
        <f t="shared" si="266"/>
        <v>#DIV/0!</v>
      </c>
      <c r="J118" s="153" t="e">
        <f t="shared" si="266"/>
        <v>#DIV/0!</v>
      </c>
      <c r="K118" s="153" t="e">
        <f t="shared" si="266"/>
        <v>#DIV/0!</v>
      </c>
      <c r="L118" s="153" t="e">
        <f t="shared" si="266"/>
        <v>#DIV/0!</v>
      </c>
      <c r="M118" s="153" t="e">
        <f t="shared" si="266"/>
        <v>#DIV/0!</v>
      </c>
      <c r="N118" s="153" t="e">
        <f t="shared" si="266"/>
        <v>#DIV/0!</v>
      </c>
      <c r="O118" s="153" t="e">
        <f t="shared" si="266"/>
        <v>#DIV/0!</v>
      </c>
      <c r="P118" s="153" t="e">
        <f t="shared" si="266"/>
        <v>#DIV/0!</v>
      </c>
      <c r="Q118" s="118" t="e">
        <f t="shared" si="241"/>
        <v>#DIV/0!</v>
      </c>
      <c r="R118" s="20"/>
      <c r="S118" s="153" t="e">
        <f t="shared" ref="S118:AB118" si="267">S117/S63</f>
        <v>#DIV/0!</v>
      </c>
      <c r="T118" s="153" t="e">
        <f t="shared" si="267"/>
        <v>#DIV/0!</v>
      </c>
      <c r="U118" s="153" t="e">
        <f t="shared" si="267"/>
        <v>#DIV/0!</v>
      </c>
      <c r="V118" s="153" t="e">
        <f t="shared" si="267"/>
        <v>#DIV/0!</v>
      </c>
      <c r="W118" s="153" t="e">
        <f t="shared" si="267"/>
        <v>#DIV/0!</v>
      </c>
      <c r="X118" s="153" t="e">
        <f t="shared" si="267"/>
        <v>#DIV/0!</v>
      </c>
      <c r="Y118" s="153" t="e">
        <f t="shared" si="267"/>
        <v>#DIV/0!</v>
      </c>
      <c r="Z118" s="153" t="e">
        <f t="shared" si="267"/>
        <v>#DIV/0!</v>
      </c>
      <c r="AA118" s="153" t="e">
        <f t="shared" si="267"/>
        <v>#DIV/0!</v>
      </c>
      <c r="AB118" s="153" t="e">
        <f t="shared" si="267"/>
        <v>#DIV/0!</v>
      </c>
      <c r="AC118" s="138" t="e">
        <f t="shared" si="243"/>
        <v>#DIV/0!</v>
      </c>
      <c r="AD118" s="20"/>
      <c r="AE118" s="20"/>
    </row>
    <row r="119" spans="2:31">
      <c r="B119" s="20" t="s">
        <v>332</v>
      </c>
      <c r="C119" s="20"/>
      <c r="D119" s="20"/>
      <c r="E119" s="20"/>
      <c r="F119" s="153" t="e">
        <f>1-F118</f>
        <v>#DIV/0!</v>
      </c>
      <c r="G119" s="153" t="e">
        <f>1-G118</f>
        <v>#DIV/0!</v>
      </c>
      <c r="H119" s="153" t="e">
        <f t="shared" ref="H119:P119" si="268">1-H118</f>
        <v>#DIV/0!</v>
      </c>
      <c r="I119" s="153" t="e">
        <f t="shared" si="268"/>
        <v>#DIV/0!</v>
      </c>
      <c r="J119" s="153" t="e">
        <f t="shared" si="268"/>
        <v>#DIV/0!</v>
      </c>
      <c r="K119" s="153" t="e">
        <f t="shared" si="268"/>
        <v>#DIV/0!</v>
      </c>
      <c r="L119" s="153" t="e">
        <f t="shared" si="268"/>
        <v>#DIV/0!</v>
      </c>
      <c r="M119" s="153" t="e">
        <f t="shared" si="268"/>
        <v>#DIV/0!</v>
      </c>
      <c r="N119" s="153" t="e">
        <f t="shared" si="268"/>
        <v>#DIV/0!</v>
      </c>
      <c r="O119" s="153" t="e">
        <f t="shared" si="268"/>
        <v>#DIV/0!</v>
      </c>
      <c r="P119" s="153" t="e">
        <f t="shared" si="268"/>
        <v>#DIV/0!</v>
      </c>
      <c r="Q119" s="118" t="e">
        <f t="shared" si="241"/>
        <v>#DIV/0!</v>
      </c>
      <c r="R119" s="20"/>
      <c r="S119" s="153" t="e">
        <f t="shared" ref="S119:AB119" si="269">1-S118</f>
        <v>#DIV/0!</v>
      </c>
      <c r="T119" s="153" t="e">
        <f t="shared" si="269"/>
        <v>#DIV/0!</v>
      </c>
      <c r="U119" s="153" t="e">
        <f t="shared" si="269"/>
        <v>#DIV/0!</v>
      </c>
      <c r="V119" s="153" t="e">
        <f t="shared" si="269"/>
        <v>#DIV/0!</v>
      </c>
      <c r="W119" s="153" t="e">
        <f t="shared" si="269"/>
        <v>#DIV/0!</v>
      </c>
      <c r="X119" s="153" t="e">
        <f t="shared" si="269"/>
        <v>#DIV/0!</v>
      </c>
      <c r="Y119" s="153" t="e">
        <f t="shared" si="269"/>
        <v>#DIV/0!</v>
      </c>
      <c r="Z119" s="153" t="e">
        <f t="shared" si="269"/>
        <v>#DIV/0!</v>
      </c>
      <c r="AA119" s="153" t="e">
        <f t="shared" si="269"/>
        <v>#DIV/0!</v>
      </c>
      <c r="AB119" s="153" t="e">
        <f t="shared" si="269"/>
        <v>#DIV/0!</v>
      </c>
      <c r="AC119" s="138" t="e">
        <f t="shared" si="243"/>
        <v>#DIV/0!</v>
      </c>
      <c r="AD119" s="20"/>
      <c r="AE119" s="20"/>
    </row>
    <row r="120" spans="2:31">
      <c r="B120" s="20"/>
      <c r="C120" s="20"/>
      <c r="D120" s="20"/>
      <c r="E120" s="20"/>
      <c r="F120" s="20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28"/>
      <c r="R120" s="20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  <c r="AC120" s="128"/>
      <c r="AD120" s="20"/>
      <c r="AE120" s="20"/>
    </row>
    <row r="121" spans="2:31">
      <c r="B121" s="20" t="s">
        <v>336</v>
      </c>
      <c r="C121" s="153"/>
      <c r="D121" s="153"/>
      <c r="E121" s="153"/>
      <c r="F121" s="153" t="e">
        <f>F51/F43</f>
        <v>#DIV/0!</v>
      </c>
      <c r="G121" s="153" t="e">
        <f>G51/G43</f>
        <v>#DIV/0!</v>
      </c>
      <c r="H121" s="153" t="e">
        <f t="shared" ref="H121:P121" si="270">H51/H43</f>
        <v>#DIV/0!</v>
      </c>
      <c r="I121" s="153" t="e">
        <f t="shared" si="270"/>
        <v>#DIV/0!</v>
      </c>
      <c r="J121" s="153" t="e">
        <f t="shared" si="270"/>
        <v>#DIV/0!</v>
      </c>
      <c r="K121" s="153" t="e">
        <f t="shared" si="270"/>
        <v>#DIV/0!</v>
      </c>
      <c r="L121" s="153" t="e">
        <f t="shared" si="270"/>
        <v>#DIV/0!</v>
      </c>
      <c r="M121" s="153" t="e">
        <f t="shared" si="270"/>
        <v>#DIV/0!</v>
      </c>
      <c r="N121" s="153" t="e">
        <f t="shared" si="270"/>
        <v>#DIV/0!</v>
      </c>
      <c r="O121" s="153" t="e">
        <f t="shared" si="270"/>
        <v>#DIV/0!</v>
      </c>
      <c r="P121" s="153" t="e">
        <f t="shared" si="270"/>
        <v>#DIV/0!</v>
      </c>
      <c r="Q121" s="118" t="e">
        <f t="shared" si="241"/>
        <v>#DIV/0!</v>
      </c>
      <c r="R121" s="20"/>
      <c r="S121" s="153" t="e">
        <f t="shared" ref="S121:AB121" si="271">S51/S43</f>
        <v>#DIV/0!</v>
      </c>
      <c r="T121" s="153" t="e">
        <f t="shared" si="271"/>
        <v>#DIV/0!</v>
      </c>
      <c r="U121" s="153" t="e">
        <f t="shared" si="271"/>
        <v>#DIV/0!</v>
      </c>
      <c r="V121" s="153" t="e">
        <f t="shared" si="271"/>
        <v>#DIV/0!</v>
      </c>
      <c r="W121" s="153" t="e">
        <f t="shared" si="271"/>
        <v>#DIV/0!</v>
      </c>
      <c r="X121" s="153" t="e">
        <f t="shared" si="271"/>
        <v>#DIV/0!</v>
      </c>
      <c r="Y121" s="153" t="e">
        <f t="shared" si="271"/>
        <v>#DIV/0!</v>
      </c>
      <c r="Z121" s="153" t="e">
        <f t="shared" si="271"/>
        <v>#DIV/0!</v>
      </c>
      <c r="AA121" s="153" t="e">
        <f t="shared" si="271"/>
        <v>#DIV/0!</v>
      </c>
      <c r="AB121" s="153" t="e">
        <f t="shared" si="271"/>
        <v>#DIV/0!</v>
      </c>
      <c r="AC121" s="138" t="e">
        <f t="shared" si="243"/>
        <v>#DIV/0!</v>
      </c>
      <c r="AD121" s="20"/>
      <c r="AE121" s="20"/>
    </row>
    <row r="122" spans="2:31">
      <c r="B122" s="20" t="s">
        <v>333</v>
      </c>
      <c r="C122" s="153"/>
      <c r="D122" s="153"/>
      <c r="E122" s="153"/>
      <c r="F122" s="153" t="e">
        <f>F52/F43</f>
        <v>#DIV/0!</v>
      </c>
      <c r="G122" s="153" t="e">
        <f>G52/G43</f>
        <v>#DIV/0!</v>
      </c>
      <c r="H122" s="153" t="e">
        <f t="shared" ref="H122:P122" si="272">H52/H43</f>
        <v>#DIV/0!</v>
      </c>
      <c r="I122" s="153" t="e">
        <f t="shared" si="272"/>
        <v>#DIV/0!</v>
      </c>
      <c r="J122" s="153" t="e">
        <f t="shared" si="272"/>
        <v>#DIV/0!</v>
      </c>
      <c r="K122" s="153" t="e">
        <f t="shared" si="272"/>
        <v>#DIV/0!</v>
      </c>
      <c r="L122" s="153" t="e">
        <f t="shared" si="272"/>
        <v>#DIV/0!</v>
      </c>
      <c r="M122" s="153" t="e">
        <f t="shared" si="272"/>
        <v>#DIV/0!</v>
      </c>
      <c r="N122" s="153" t="e">
        <f t="shared" si="272"/>
        <v>#DIV/0!</v>
      </c>
      <c r="O122" s="153" t="e">
        <f t="shared" si="272"/>
        <v>#DIV/0!</v>
      </c>
      <c r="P122" s="153" t="e">
        <f t="shared" si="272"/>
        <v>#DIV/0!</v>
      </c>
      <c r="Q122" s="118" t="e">
        <f t="shared" si="241"/>
        <v>#DIV/0!</v>
      </c>
      <c r="R122" s="20"/>
      <c r="S122" s="153" t="e">
        <f t="shared" ref="S122:AB122" si="273">S52/S43</f>
        <v>#DIV/0!</v>
      </c>
      <c r="T122" s="153" t="e">
        <f t="shared" si="273"/>
        <v>#DIV/0!</v>
      </c>
      <c r="U122" s="153" t="e">
        <f t="shared" si="273"/>
        <v>#DIV/0!</v>
      </c>
      <c r="V122" s="153" t="e">
        <f t="shared" si="273"/>
        <v>#DIV/0!</v>
      </c>
      <c r="W122" s="153" t="e">
        <f t="shared" si="273"/>
        <v>#DIV/0!</v>
      </c>
      <c r="X122" s="153" t="e">
        <f t="shared" si="273"/>
        <v>#DIV/0!</v>
      </c>
      <c r="Y122" s="153" t="e">
        <f t="shared" si="273"/>
        <v>#DIV/0!</v>
      </c>
      <c r="Z122" s="153" t="e">
        <f t="shared" si="273"/>
        <v>#DIV/0!</v>
      </c>
      <c r="AA122" s="153" t="e">
        <f t="shared" si="273"/>
        <v>#DIV/0!</v>
      </c>
      <c r="AB122" s="153" t="e">
        <f t="shared" si="273"/>
        <v>#DIV/0!</v>
      </c>
      <c r="AC122" s="138" t="e">
        <f t="shared" si="243"/>
        <v>#DIV/0!</v>
      </c>
      <c r="AD122" s="20"/>
      <c r="AE122" s="20"/>
    </row>
    <row r="123" spans="2:31">
      <c r="B123" s="20"/>
      <c r="C123" s="20"/>
      <c r="D123" s="20"/>
      <c r="E123" s="20"/>
      <c r="F123" s="20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28"/>
      <c r="R123" s="20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  <c r="AC123" s="128"/>
      <c r="AD123" s="20"/>
      <c r="AE123" s="20"/>
    </row>
    <row r="124" spans="2:31">
      <c r="B124" s="20" t="s">
        <v>357</v>
      </c>
      <c r="C124" s="20"/>
      <c r="D124" s="20"/>
      <c r="E124" s="20"/>
      <c r="F124" s="20"/>
      <c r="G124" s="153" t="e">
        <f>G45/G43</f>
        <v>#DIV/0!</v>
      </c>
      <c r="H124" s="153" t="e">
        <f t="shared" ref="H124:P124" si="274">H45/H43</f>
        <v>#DIV/0!</v>
      </c>
      <c r="I124" s="153" t="e">
        <f t="shared" si="274"/>
        <v>#DIV/0!</v>
      </c>
      <c r="J124" s="153" t="e">
        <f t="shared" si="274"/>
        <v>#DIV/0!</v>
      </c>
      <c r="K124" s="153" t="e">
        <f t="shared" si="274"/>
        <v>#DIV/0!</v>
      </c>
      <c r="L124" s="153" t="e">
        <f t="shared" si="274"/>
        <v>#DIV/0!</v>
      </c>
      <c r="M124" s="153" t="e">
        <f t="shared" si="274"/>
        <v>#DIV/0!</v>
      </c>
      <c r="N124" s="153" t="e">
        <f t="shared" si="274"/>
        <v>#DIV/0!</v>
      </c>
      <c r="O124" s="153" t="e">
        <f t="shared" si="274"/>
        <v>#DIV/0!</v>
      </c>
      <c r="P124" s="153" t="e">
        <f t="shared" si="274"/>
        <v>#DIV/0!</v>
      </c>
      <c r="Q124" s="118" t="e">
        <f t="shared" si="241"/>
        <v>#DIV/0!</v>
      </c>
      <c r="R124" s="20"/>
      <c r="S124" s="153" t="e">
        <f t="shared" ref="S124:AB124" si="275">S45/S43</f>
        <v>#DIV/0!</v>
      </c>
      <c r="T124" s="153" t="e">
        <f t="shared" si="275"/>
        <v>#DIV/0!</v>
      </c>
      <c r="U124" s="153" t="e">
        <f t="shared" si="275"/>
        <v>#DIV/0!</v>
      </c>
      <c r="V124" s="153" t="e">
        <f t="shared" si="275"/>
        <v>#DIV/0!</v>
      </c>
      <c r="W124" s="153" t="e">
        <f t="shared" si="275"/>
        <v>#DIV/0!</v>
      </c>
      <c r="X124" s="153" t="e">
        <f t="shared" si="275"/>
        <v>#DIV/0!</v>
      </c>
      <c r="Y124" s="153" t="e">
        <f t="shared" si="275"/>
        <v>#DIV/0!</v>
      </c>
      <c r="Z124" s="153" t="e">
        <f t="shared" si="275"/>
        <v>#DIV/0!</v>
      </c>
      <c r="AA124" s="153" t="e">
        <f t="shared" si="275"/>
        <v>#DIV/0!</v>
      </c>
      <c r="AB124" s="153" t="e">
        <f t="shared" si="275"/>
        <v>#DIV/0!</v>
      </c>
      <c r="AC124" s="138" t="e">
        <f t="shared" si="243"/>
        <v>#DIV/0!</v>
      </c>
      <c r="AD124" s="20"/>
      <c r="AE124" s="20"/>
    </row>
    <row r="125" spans="2:31">
      <c r="B125" s="20" t="str">
        <f>B53</f>
        <v>Top Expenses ( Raw material )</v>
      </c>
      <c r="C125" s="20"/>
      <c r="D125" s="20"/>
      <c r="E125" s="20"/>
      <c r="F125" s="20"/>
      <c r="G125" s="153" t="e">
        <f>G53/G43</f>
        <v>#DIV/0!</v>
      </c>
      <c r="H125" s="153" t="e">
        <f t="shared" ref="H125:P125" si="276">H53/H43</f>
        <v>#DIV/0!</v>
      </c>
      <c r="I125" s="153" t="e">
        <f t="shared" si="276"/>
        <v>#DIV/0!</v>
      </c>
      <c r="J125" s="153" t="e">
        <f t="shared" si="276"/>
        <v>#DIV/0!</v>
      </c>
      <c r="K125" s="153" t="e">
        <f t="shared" si="276"/>
        <v>#DIV/0!</v>
      </c>
      <c r="L125" s="153" t="e">
        <f t="shared" si="276"/>
        <v>#DIV/0!</v>
      </c>
      <c r="M125" s="153" t="e">
        <f t="shared" si="276"/>
        <v>#DIV/0!</v>
      </c>
      <c r="N125" s="153" t="e">
        <f t="shared" si="276"/>
        <v>#DIV/0!</v>
      </c>
      <c r="O125" s="153" t="e">
        <f t="shared" si="276"/>
        <v>#DIV/0!</v>
      </c>
      <c r="P125" s="153" t="e">
        <f t="shared" si="276"/>
        <v>#DIV/0!</v>
      </c>
      <c r="Q125" s="118" t="e">
        <f t="shared" si="241"/>
        <v>#DIV/0!</v>
      </c>
      <c r="R125" s="20"/>
      <c r="S125" s="153" t="e">
        <f t="shared" ref="S125:AB125" si="277">S53/S43</f>
        <v>#DIV/0!</v>
      </c>
      <c r="T125" s="153" t="e">
        <f t="shared" si="277"/>
        <v>#DIV/0!</v>
      </c>
      <c r="U125" s="153" t="e">
        <f t="shared" si="277"/>
        <v>#DIV/0!</v>
      </c>
      <c r="V125" s="153" t="e">
        <f t="shared" si="277"/>
        <v>#DIV/0!</v>
      </c>
      <c r="W125" s="153" t="e">
        <f t="shared" si="277"/>
        <v>#DIV/0!</v>
      </c>
      <c r="X125" s="153" t="e">
        <f t="shared" si="277"/>
        <v>#DIV/0!</v>
      </c>
      <c r="Y125" s="153" t="e">
        <f t="shared" si="277"/>
        <v>#DIV/0!</v>
      </c>
      <c r="Z125" s="153" t="e">
        <f t="shared" si="277"/>
        <v>#DIV/0!</v>
      </c>
      <c r="AA125" s="153" t="e">
        <f t="shared" si="277"/>
        <v>#DIV/0!</v>
      </c>
      <c r="AB125" s="153" t="e">
        <f t="shared" si="277"/>
        <v>#DIV/0!</v>
      </c>
      <c r="AC125" s="138" t="e">
        <f t="shared" si="243"/>
        <v>#DIV/0!</v>
      </c>
      <c r="AD125" s="20"/>
      <c r="AE125" s="20"/>
    </row>
    <row r="126" spans="2:31">
      <c r="B126" s="20" t="str">
        <f>B54</f>
        <v>2nd highest Expenses Comp. ( Empl )</v>
      </c>
      <c r="C126" s="20"/>
      <c r="D126" s="20"/>
      <c r="E126" s="20"/>
      <c r="F126" s="20"/>
      <c r="G126" s="153" t="e">
        <f>G54/G43</f>
        <v>#DIV/0!</v>
      </c>
      <c r="H126" s="153" t="e">
        <f t="shared" ref="H126:P126" si="278">H54/H43</f>
        <v>#DIV/0!</v>
      </c>
      <c r="I126" s="153" t="e">
        <f t="shared" si="278"/>
        <v>#DIV/0!</v>
      </c>
      <c r="J126" s="153" t="e">
        <f t="shared" si="278"/>
        <v>#DIV/0!</v>
      </c>
      <c r="K126" s="153" t="e">
        <f t="shared" si="278"/>
        <v>#DIV/0!</v>
      </c>
      <c r="L126" s="153" t="e">
        <f t="shared" si="278"/>
        <v>#DIV/0!</v>
      </c>
      <c r="M126" s="153" t="e">
        <f t="shared" si="278"/>
        <v>#DIV/0!</v>
      </c>
      <c r="N126" s="153" t="e">
        <f t="shared" si="278"/>
        <v>#DIV/0!</v>
      </c>
      <c r="O126" s="153" t="e">
        <f t="shared" si="278"/>
        <v>#DIV/0!</v>
      </c>
      <c r="P126" s="153" t="e">
        <f t="shared" si="278"/>
        <v>#DIV/0!</v>
      </c>
      <c r="Q126" s="118" t="e">
        <f t="shared" si="241"/>
        <v>#DIV/0!</v>
      </c>
      <c r="R126" s="20"/>
      <c r="S126" s="153" t="e">
        <f t="shared" ref="S126:AB126" si="279">S54/S43</f>
        <v>#DIV/0!</v>
      </c>
      <c r="T126" s="153" t="e">
        <f t="shared" si="279"/>
        <v>#DIV/0!</v>
      </c>
      <c r="U126" s="153" t="e">
        <f t="shared" si="279"/>
        <v>#DIV/0!</v>
      </c>
      <c r="V126" s="153" t="e">
        <f t="shared" si="279"/>
        <v>#DIV/0!</v>
      </c>
      <c r="W126" s="153" t="e">
        <f t="shared" si="279"/>
        <v>#DIV/0!</v>
      </c>
      <c r="X126" s="153" t="e">
        <f t="shared" si="279"/>
        <v>#DIV/0!</v>
      </c>
      <c r="Y126" s="153" t="e">
        <f t="shared" si="279"/>
        <v>#DIV/0!</v>
      </c>
      <c r="Z126" s="153" t="e">
        <f t="shared" si="279"/>
        <v>#DIV/0!</v>
      </c>
      <c r="AA126" s="153" t="e">
        <f t="shared" si="279"/>
        <v>#DIV/0!</v>
      </c>
      <c r="AB126" s="153" t="e">
        <f t="shared" si="279"/>
        <v>#DIV/0!</v>
      </c>
      <c r="AC126" s="138" t="e">
        <f t="shared" si="243"/>
        <v>#DIV/0!</v>
      </c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128"/>
      <c r="R127" s="128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39"/>
      <c r="AD127" s="20"/>
      <c r="AE127" s="20"/>
    </row>
    <row r="128" spans="2:31">
      <c r="B128" s="20" t="s">
        <v>358</v>
      </c>
      <c r="C128" s="20"/>
      <c r="D128" s="20"/>
      <c r="E128" s="20"/>
      <c r="F128" s="20"/>
      <c r="G128" s="20" t="e">
        <f>G16/G9</f>
        <v>#DIV/0!</v>
      </c>
      <c r="H128" s="20" t="e">
        <f t="shared" ref="H128:AB128" si="280">H16/H9</f>
        <v>#DIV/0!</v>
      </c>
      <c r="I128" s="20" t="e">
        <f t="shared" si="280"/>
        <v>#DIV/0!</v>
      </c>
      <c r="J128" s="20" t="e">
        <f t="shared" si="280"/>
        <v>#DIV/0!</v>
      </c>
      <c r="K128" s="20" t="e">
        <f t="shared" si="280"/>
        <v>#DIV/0!</v>
      </c>
      <c r="L128" s="20" t="e">
        <f t="shared" si="280"/>
        <v>#DIV/0!</v>
      </c>
      <c r="M128" s="20" t="e">
        <f t="shared" si="280"/>
        <v>#DIV/0!</v>
      </c>
      <c r="N128" s="20" t="e">
        <f t="shared" si="280"/>
        <v>#DIV/0!</v>
      </c>
      <c r="O128" s="20" t="e">
        <f t="shared" si="280"/>
        <v>#DIV/0!</v>
      </c>
      <c r="P128" s="20" t="e">
        <f t="shared" si="280"/>
        <v>#DIV/0!</v>
      </c>
      <c r="Q128" s="118" t="e">
        <f t="shared" si="241"/>
        <v>#DIV/0!</v>
      </c>
      <c r="R128" s="20"/>
      <c r="S128" s="20" t="e">
        <f t="shared" si="280"/>
        <v>#DIV/0!</v>
      </c>
      <c r="T128" s="20" t="e">
        <f t="shared" si="280"/>
        <v>#DIV/0!</v>
      </c>
      <c r="U128" s="20" t="e">
        <f t="shared" si="280"/>
        <v>#DIV/0!</v>
      </c>
      <c r="V128" s="20" t="e">
        <f t="shared" si="280"/>
        <v>#DIV/0!</v>
      </c>
      <c r="W128" s="20" t="e">
        <f t="shared" si="280"/>
        <v>#DIV/0!</v>
      </c>
      <c r="X128" s="20" t="e">
        <f t="shared" si="280"/>
        <v>#DIV/0!</v>
      </c>
      <c r="Y128" s="20" t="e">
        <f t="shared" si="280"/>
        <v>#DIV/0!</v>
      </c>
      <c r="Z128" s="20" t="e">
        <f t="shared" si="280"/>
        <v>#DIV/0!</v>
      </c>
      <c r="AA128" s="20" t="e">
        <f t="shared" si="280"/>
        <v>#DIV/0!</v>
      </c>
      <c r="AB128" s="20" t="e">
        <f t="shared" si="280"/>
        <v>#DIV/0!</v>
      </c>
      <c r="AC128" s="138" t="e">
        <f t="shared" si="243"/>
        <v>#DIV/0!</v>
      </c>
      <c r="AD128" s="20"/>
      <c r="AE128" s="20"/>
    </row>
    <row r="129" spans="2:31">
      <c r="B129" s="20" t="s">
        <v>359</v>
      </c>
      <c r="C129" s="20"/>
      <c r="D129" s="20"/>
      <c r="E129" s="20"/>
      <c r="F129" s="20"/>
      <c r="G129" s="20" t="e">
        <f>G12/G9</f>
        <v>#DIV/0!</v>
      </c>
      <c r="H129" s="20" t="e">
        <f t="shared" ref="H129:P129" si="281">H12/H9</f>
        <v>#DIV/0!</v>
      </c>
      <c r="I129" s="20" t="e">
        <f t="shared" si="281"/>
        <v>#DIV/0!</v>
      </c>
      <c r="J129" s="20" t="e">
        <f t="shared" si="281"/>
        <v>#DIV/0!</v>
      </c>
      <c r="K129" s="20" t="e">
        <f t="shared" si="281"/>
        <v>#DIV/0!</v>
      </c>
      <c r="L129" s="20" t="e">
        <f t="shared" si="281"/>
        <v>#DIV/0!</v>
      </c>
      <c r="M129" s="20" t="e">
        <f t="shared" si="281"/>
        <v>#DIV/0!</v>
      </c>
      <c r="N129" s="20" t="e">
        <f t="shared" si="281"/>
        <v>#DIV/0!</v>
      </c>
      <c r="O129" s="20" t="e">
        <f t="shared" si="281"/>
        <v>#DIV/0!</v>
      </c>
      <c r="P129" s="20" t="e">
        <f t="shared" si="281"/>
        <v>#DIV/0!</v>
      </c>
      <c r="Q129" s="118" t="e">
        <f t="shared" si="241"/>
        <v>#DIV/0!</v>
      </c>
      <c r="R129" s="128"/>
      <c r="S129" s="20" t="e">
        <f t="shared" ref="S129:AB129" si="282">S12/S9</f>
        <v>#DIV/0!</v>
      </c>
      <c r="T129" s="20" t="e">
        <f t="shared" si="282"/>
        <v>#DIV/0!</v>
      </c>
      <c r="U129" s="20" t="e">
        <f t="shared" si="282"/>
        <v>#DIV/0!</v>
      </c>
      <c r="V129" s="20" t="e">
        <f t="shared" si="282"/>
        <v>#DIV/0!</v>
      </c>
      <c r="W129" s="20" t="e">
        <f t="shared" si="282"/>
        <v>#DIV/0!</v>
      </c>
      <c r="X129" s="20" t="e">
        <f t="shared" si="282"/>
        <v>#DIV/0!</v>
      </c>
      <c r="Y129" s="20" t="e">
        <f t="shared" si="282"/>
        <v>#DIV/0!</v>
      </c>
      <c r="Z129" s="20" t="e">
        <f t="shared" si="282"/>
        <v>#DIV/0!</v>
      </c>
      <c r="AA129" s="20" t="e">
        <f t="shared" si="282"/>
        <v>#DIV/0!</v>
      </c>
      <c r="AB129" s="20" t="e">
        <f t="shared" si="282"/>
        <v>#DIV/0!</v>
      </c>
      <c r="AC129" s="118" t="e">
        <f t="shared" ref="AC129" si="283">((AB129/S129)^(1/($H$2-$H$1) ))-1</f>
        <v>#DIV/0!</v>
      </c>
      <c r="AD129" s="20"/>
      <c r="AE129" s="20"/>
    </row>
    <row r="130" spans="2:31">
      <c r="B130" s="20" t="s">
        <v>361</v>
      </c>
      <c r="C130" s="20"/>
      <c r="D130" s="20"/>
      <c r="E130" s="20"/>
      <c r="F130" s="20"/>
      <c r="G130" s="25">
        <f>G43/360</f>
        <v>0</v>
      </c>
      <c r="H130" s="25">
        <f t="shared" ref="H130:P130" si="284">H43/360</f>
        <v>0</v>
      </c>
      <c r="I130" s="25">
        <f t="shared" si="284"/>
        <v>0</v>
      </c>
      <c r="J130" s="25">
        <f t="shared" si="284"/>
        <v>0</v>
      </c>
      <c r="K130" s="25">
        <f t="shared" si="284"/>
        <v>0</v>
      </c>
      <c r="L130" s="25">
        <f t="shared" si="284"/>
        <v>0</v>
      </c>
      <c r="M130" s="25">
        <f t="shared" si="284"/>
        <v>0</v>
      </c>
      <c r="N130" s="25">
        <f t="shared" si="284"/>
        <v>0</v>
      </c>
      <c r="O130" s="25">
        <f t="shared" si="284"/>
        <v>0</v>
      </c>
      <c r="P130" s="25">
        <f t="shared" si="284"/>
        <v>0</v>
      </c>
      <c r="Q130" s="118" t="e">
        <f t="shared" si="241"/>
        <v>#DIV/0!</v>
      </c>
      <c r="R130" s="128"/>
      <c r="S130" s="25">
        <f t="shared" ref="S130:AB130" si="285">S43/360</f>
        <v>0</v>
      </c>
      <c r="T130" s="25">
        <f t="shared" si="285"/>
        <v>0</v>
      </c>
      <c r="U130" s="25">
        <f t="shared" si="285"/>
        <v>0</v>
      </c>
      <c r="V130" s="25">
        <f t="shared" si="285"/>
        <v>0</v>
      </c>
      <c r="W130" s="25">
        <f t="shared" si="285"/>
        <v>0</v>
      </c>
      <c r="X130" s="25">
        <f t="shared" si="285"/>
        <v>0</v>
      </c>
      <c r="Y130" s="25">
        <f t="shared" si="285"/>
        <v>0</v>
      </c>
      <c r="Z130" s="25">
        <f t="shared" si="285"/>
        <v>0</v>
      </c>
      <c r="AA130" s="25">
        <f t="shared" si="285"/>
        <v>0</v>
      </c>
      <c r="AB130" s="25">
        <f t="shared" si="285"/>
        <v>0</v>
      </c>
      <c r="AC130" s="118" t="e">
        <f t="shared" ref="AC130:AC134" si="286">((AB130/S130)^(1/($H$2-$H$1) ))-1</f>
        <v>#DIV/0!</v>
      </c>
      <c r="AD130" s="20"/>
      <c r="AE130" s="20"/>
    </row>
    <row r="131" spans="2:31">
      <c r="B131" s="20" t="s">
        <v>360</v>
      </c>
      <c r="C131" s="20"/>
      <c r="D131" s="20"/>
      <c r="E131" s="20"/>
      <c r="F131" s="20"/>
      <c r="G131" s="25">
        <f>G45/360</f>
        <v>0</v>
      </c>
      <c r="H131" s="25">
        <f t="shared" ref="H131:P131" si="287">H45/360</f>
        <v>0</v>
      </c>
      <c r="I131" s="25">
        <f t="shared" si="287"/>
        <v>0</v>
      </c>
      <c r="J131" s="25">
        <f t="shared" si="287"/>
        <v>0</v>
      </c>
      <c r="K131" s="25">
        <f t="shared" si="287"/>
        <v>0</v>
      </c>
      <c r="L131" s="25">
        <f t="shared" si="287"/>
        <v>0</v>
      </c>
      <c r="M131" s="25">
        <f t="shared" si="287"/>
        <v>0</v>
      </c>
      <c r="N131" s="25">
        <f t="shared" si="287"/>
        <v>0</v>
      </c>
      <c r="O131" s="25">
        <f t="shared" si="287"/>
        <v>0</v>
      </c>
      <c r="P131" s="25">
        <f t="shared" si="287"/>
        <v>0</v>
      </c>
      <c r="Q131" s="118" t="e">
        <f t="shared" si="241"/>
        <v>#DIV/0!</v>
      </c>
      <c r="R131" s="128"/>
      <c r="S131" s="25">
        <f t="shared" ref="S131:AB131" si="288">S45/360</f>
        <v>0</v>
      </c>
      <c r="T131" s="25">
        <f t="shared" si="288"/>
        <v>0</v>
      </c>
      <c r="U131" s="25">
        <f t="shared" si="288"/>
        <v>0</v>
      </c>
      <c r="V131" s="25">
        <f t="shared" si="288"/>
        <v>0</v>
      </c>
      <c r="W131" s="25">
        <f t="shared" si="288"/>
        <v>0</v>
      </c>
      <c r="X131" s="25">
        <f t="shared" si="288"/>
        <v>0</v>
      </c>
      <c r="Y131" s="25">
        <f t="shared" si="288"/>
        <v>0</v>
      </c>
      <c r="Z131" s="25">
        <f t="shared" si="288"/>
        <v>0</v>
      </c>
      <c r="AA131" s="25">
        <f t="shared" si="288"/>
        <v>0</v>
      </c>
      <c r="AB131" s="25">
        <f t="shared" si="288"/>
        <v>0</v>
      </c>
      <c r="AC131" s="118" t="e">
        <f t="shared" si="286"/>
        <v>#DIV/0!</v>
      </c>
      <c r="AD131" s="20"/>
      <c r="AE131" s="20"/>
    </row>
    <row r="132" spans="2:31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128"/>
      <c r="AD132" s="20"/>
      <c r="AE132" s="20"/>
    </row>
    <row r="133" spans="2:31">
      <c r="B133" s="20" t="s">
        <v>362</v>
      </c>
      <c r="C133" s="20"/>
      <c r="D133" s="20"/>
      <c r="E133" s="20"/>
      <c r="F133" s="20"/>
      <c r="G133" s="25" t="e">
        <f>G10/G7</f>
        <v>#DIV/0!</v>
      </c>
      <c r="H133" s="25" t="e">
        <f t="shared" ref="H133:P133" si="289">H10/H7</f>
        <v>#DIV/0!</v>
      </c>
      <c r="I133" s="25" t="e">
        <f t="shared" si="289"/>
        <v>#DIV/0!</v>
      </c>
      <c r="J133" s="25" t="e">
        <f t="shared" si="289"/>
        <v>#DIV/0!</v>
      </c>
      <c r="K133" s="25" t="e">
        <f t="shared" si="289"/>
        <v>#DIV/0!</v>
      </c>
      <c r="L133" s="25" t="e">
        <f t="shared" si="289"/>
        <v>#DIV/0!</v>
      </c>
      <c r="M133" s="25" t="e">
        <f t="shared" si="289"/>
        <v>#DIV/0!</v>
      </c>
      <c r="N133" s="25" t="e">
        <f t="shared" si="289"/>
        <v>#DIV/0!</v>
      </c>
      <c r="O133" s="25" t="e">
        <f t="shared" si="289"/>
        <v>#DIV/0!</v>
      </c>
      <c r="P133" s="25" t="e">
        <f t="shared" si="289"/>
        <v>#DIV/0!</v>
      </c>
      <c r="Q133" s="118" t="e">
        <f t="shared" si="241"/>
        <v>#DIV/0!</v>
      </c>
      <c r="R133" s="128"/>
      <c r="S133" s="25" t="e">
        <f t="shared" ref="S133:AB133" si="290">S10/S7</f>
        <v>#DIV/0!</v>
      </c>
      <c r="T133" s="25" t="e">
        <f t="shared" si="290"/>
        <v>#DIV/0!</v>
      </c>
      <c r="U133" s="25" t="e">
        <f t="shared" si="290"/>
        <v>#DIV/0!</v>
      </c>
      <c r="V133" s="25" t="e">
        <f t="shared" si="290"/>
        <v>#DIV/0!</v>
      </c>
      <c r="W133" s="25" t="e">
        <f t="shared" si="290"/>
        <v>#DIV/0!</v>
      </c>
      <c r="X133" s="25" t="e">
        <f t="shared" si="290"/>
        <v>#DIV/0!</v>
      </c>
      <c r="Y133" s="25" t="e">
        <f t="shared" si="290"/>
        <v>#DIV/0!</v>
      </c>
      <c r="Z133" s="25" t="e">
        <f t="shared" si="290"/>
        <v>#DIV/0!</v>
      </c>
      <c r="AA133" s="25" t="e">
        <f t="shared" si="290"/>
        <v>#DIV/0!</v>
      </c>
      <c r="AB133" s="25" t="e">
        <f t="shared" si="290"/>
        <v>#DIV/0!</v>
      </c>
      <c r="AC133" s="118" t="e">
        <f t="shared" si="286"/>
        <v>#DIV/0!</v>
      </c>
      <c r="AD133" s="20"/>
      <c r="AE133" s="20"/>
    </row>
    <row r="134" spans="2:31">
      <c r="B134" s="20" t="s">
        <v>363</v>
      </c>
      <c r="C134" s="20"/>
      <c r="D134" s="20"/>
      <c r="E134" s="20"/>
      <c r="F134" s="20"/>
      <c r="G134" s="25" t="e">
        <f>G10/(G10+G7)</f>
        <v>#DIV/0!</v>
      </c>
      <c r="H134" s="25" t="e">
        <f t="shared" ref="H134:P134" si="291">H10/(H10+H7)</f>
        <v>#DIV/0!</v>
      </c>
      <c r="I134" s="25" t="e">
        <f t="shared" si="291"/>
        <v>#DIV/0!</v>
      </c>
      <c r="J134" s="25" t="e">
        <f t="shared" si="291"/>
        <v>#DIV/0!</v>
      </c>
      <c r="K134" s="25" t="e">
        <f t="shared" si="291"/>
        <v>#DIV/0!</v>
      </c>
      <c r="L134" s="25" t="e">
        <f t="shared" si="291"/>
        <v>#DIV/0!</v>
      </c>
      <c r="M134" s="25" t="e">
        <f t="shared" si="291"/>
        <v>#DIV/0!</v>
      </c>
      <c r="N134" s="25" t="e">
        <f t="shared" si="291"/>
        <v>#DIV/0!</v>
      </c>
      <c r="O134" s="25" t="e">
        <f t="shared" si="291"/>
        <v>#DIV/0!</v>
      </c>
      <c r="P134" s="25" t="e">
        <f t="shared" si="291"/>
        <v>#DIV/0!</v>
      </c>
      <c r="Q134" s="118" t="e">
        <f t="shared" si="241"/>
        <v>#DIV/0!</v>
      </c>
      <c r="R134" s="128"/>
      <c r="S134" s="25" t="e">
        <f t="shared" ref="S134:AB134" si="292">S10/(S10+S7)</f>
        <v>#DIV/0!</v>
      </c>
      <c r="T134" s="25" t="e">
        <f t="shared" si="292"/>
        <v>#DIV/0!</v>
      </c>
      <c r="U134" s="25" t="e">
        <f t="shared" si="292"/>
        <v>#DIV/0!</v>
      </c>
      <c r="V134" s="25" t="e">
        <f t="shared" si="292"/>
        <v>#DIV/0!</v>
      </c>
      <c r="W134" s="25" t="e">
        <f t="shared" si="292"/>
        <v>#DIV/0!</v>
      </c>
      <c r="X134" s="25" t="e">
        <f t="shared" si="292"/>
        <v>#DIV/0!</v>
      </c>
      <c r="Y134" s="25" t="e">
        <f t="shared" si="292"/>
        <v>#DIV/0!</v>
      </c>
      <c r="Z134" s="25" t="e">
        <f t="shared" si="292"/>
        <v>#DIV/0!</v>
      </c>
      <c r="AA134" s="25" t="e">
        <f t="shared" si="292"/>
        <v>#DIV/0!</v>
      </c>
      <c r="AB134" s="25" t="e">
        <f t="shared" si="292"/>
        <v>#DIV/0!</v>
      </c>
      <c r="AC134" s="118" t="e">
        <f t="shared" si="286"/>
        <v>#DIV/0!</v>
      </c>
      <c r="AD134" s="20"/>
      <c r="AE134" s="20"/>
    </row>
    <row r="135" spans="2:31">
      <c r="B135" s="20"/>
      <c r="C135" s="20"/>
      <c r="D135" s="20"/>
      <c r="E135" s="20"/>
      <c r="F135" s="20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118"/>
      <c r="R135" s="128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138"/>
      <c r="AD135" s="20"/>
      <c r="AE135" s="20"/>
    </row>
    <row r="136" spans="2:3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128"/>
      <c r="R136" s="128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39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128"/>
      <c r="R137" s="128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39"/>
      <c r="AD137" s="20"/>
      <c r="AE137" s="20"/>
    </row>
    <row r="138" spans="2:31">
      <c r="B138" s="108" t="s">
        <v>244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3"/>
      <c r="R138" s="23"/>
      <c r="S138" s="122" t="s">
        <v>66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3" t="s">
        <v>281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5"/>
      <c r="Q139" s="161" t="e">
        <f>AVERAGE(G73:P73)</f>
        <v>#DIV/0!</v>
      </c>
      <c r="R139" s="23"/>
      <c r="S139" s="134"/>
      <c r="T139" s="20"/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 t="e">
        <f>S140+T140</f>
        <v>#DIV/0!</v>
      </c>
      <c r="S140" s="133" t="e">
        <f>PV($C$1, ($AB$3-$S$3), 0, -AB73)</f>
        <v>#DIV/0!</v>
      </c>
      <c r="T140" s="133" t="e">
        <f>PV($C$1, ($AB$3-$S$3), 0, -AE73)</f>
        <v>#DIV/0!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 t="s">
        <v>273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 t="e">
        <f t="shared" ref="R141:R159" si="293">S141+T141</f>
        <v>#DIV/0!</v>
      </c>
      <c r="S141" s="133" t="e">
        <f>PV($C$1, ($AB$3-$S$3), 0, -AB74)</f>
        <v>#DIV/0!</v>
      </c>
      <c r="T141" s="133" t="e">
        <f>PV($C$1, ($AB$3-$S$3), 0, -AE74)</f>
        <v>#DIV/0!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20" t="s">
        <v>274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 t="e">
        <f t="shared" si="293"/>
        <v>#DIV/0!</v>
      </c>
      <c r="S142" s="133" t="e">
        <f>PV($C$1, ($AB$3-$S$3), 0, -AB75)</f>
        <v>#DIV/0!</v>
      </c>
      <c r="T142" s="133" t="e">
        <f>PV($C$1, ($AB$3-$S$3), 0, -AE75)</f>
        <v>#DIV/0!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275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 t="e">
        <f t="shared" si="293"/>
        <v>#DIV/0!</v>
      </c>
      <c r="S143" s="133" t="e">
        <f>PV($C$1, ($AB$3-$S$3), 0, -AB76)</f>
        <v>#DIV/0!</v>
      </c>
      <c r="T143" s="133" t="e">
        <f>PV($C$1, ($AB$3-$S$3), 0, -AE76)</f>
        <v>#DIV/0!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0" t="s">
        <v>276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 t="e">
        <f t="shared" si="293"/>
        <v>#DIV/0!</v>
      </c>
      <c r="S144" s="133" t="e">
        <f>PV($C$1, ($AB$3-$S$3), 0, -AB82)</f>
        <v>#DIV/0!</v>
      </c>
      <c r="T144" s="133" t="e">
        <f>PV($C$1, ($AB$3-$S$3), 0, -AE82)</f>
        <v>#DIV/0!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/>
      <c r="S145" s="133"/>
      <c r="T145" s="20"/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 t="s">
        <v>271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 t="e">
        <f t="shared" si="293"/>
        <v>#DIV/0!</v>
      </c>
      <c r="S146" s="133" t="e">
        <f>PV($C$1, ($AB$3-$S$3), 0, -AB78)</f>
        <v>#DIV/0!</v>
      </c>
      <c r="T146" s="133" t="e">
        <f>PV($C$1, ($AB$3-$S$3), 0, -$AE$78)</f>
        <v>#DIV/0!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272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 t="e">
        <f t="shared" si="293"/>
        <v>#DIV/0!</v>
      </c>
      <c r="S147" s="133" t="e">
        <f>PV($C$1, ($AB$3-$S$3), 0, -AB79)</f>
        <v>#DIV/0!</v>
      </c>
      <c r="T147" s="133" t="e">
        <f>PV($C$1, ($AB$3-$S$3), 0, -$AE$79)</f>
        <v>#DIV/0!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277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 t="e">
        <f t="shared" si="293"/>
        <v>#DIV/0!</v>
      </c>
      <c r="S148" s="133" t="e">
        <f>PV($C$1, ($AB$3-$S$3), 0, -AB80)</f>
        <v>#DIV/0!</v>
      </c>
      <c r="T148" s="133" t="e">
        <f>PV($C$1, ($AB$3-$S$3), 0, -$AE$80)</f>
        <v>#DIV/0!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/>
      <c r="S149" s="133"/>
      <c r="T149" s="20"/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249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 t="e">
        <f t="shared" si="293"/>
        <v>#DIV/0!</v>
      </c>
      <c r="S150" s="133" t="e">
        <f>PV($C$1, ($AB$3-$S$3), 0, -AB85)</f>
        <v>#DIV/0!</v>
      </c>
      <c r="T150" s="133" t="e">
        <f>PV($C$1, ($AB$3-$S$3), 0, -AE85)</f>
        <v>#DIV/0!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 t="s">
        <v>250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 t="e">
        <f t="shared" si="293"/>
        <v>#DIV/0!</v>
      </c>
      <c r="S151" s="133" t="e">
        <f>PV($C$1, ($AB$3-$S$3), 0, -AB86)</f>
        <v>#DIV/0!</v>
      </c>
      <c r="T151" s="133" t="e">
        <f>PV($C$1, ($AB$3-$S$3), 0, -AE86)</f>
        <v>#DIV/0!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/>
      <c r="S152" s="133"/>
      <c r="T152" s="133"/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 t="s">
        <v>294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>
        <f t="shared" ref="R153" si="294">S153+T153</f>
        <v>0</v>
      </c>
      <c r="S153" s="133">
        <f>PV($C$1, ($AB$3-$S$3), 0, -AB12)</f>
        <v>0</v>
      </c>
      <c r="T153" s="133">
        <f>PV($C$1, ($AB$3-$S$3), 0, -AE12)</f>
        <v>0</v>
      </c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20" t="s">
        <v>295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 t="e">
        <f>S154+T154</f>
        <v>#DIV/0!</v>
      </c>
      <c r="S154" s="140" t="e">
        <f>S153/P65</f>
        <v>#DIV/0!</v>
      </c>
      <c r="T154" s="140" t="e">
        <f>T153/P65</f>
        <v>#DIV/0!</v>
      </c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/>
      <c r="S155" s="140"/>
      <c r="T155" s="140"/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>
      <c r="B156" s="108" t="s">
        <v>298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>
      <c r="B157" s="20" t="s">
        <v>283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ref="R157" si="295">S157+T157</f>
        <v>0</v>
      </c>
      <c r="S157" s="133">
        <f>PV($C$1, ($AB$3-$S$3), 0, -AB88)+PV($C$1, ($AA$3-$S$3), 0, -AB88)+PV($C$1, ($Z$3-$S$3), 0, -AB88)+PV($C$1, ($Y$3-$S$3), 0, -AB88)+PV($C$1, ($X$3-$S$3), 0, -AB88)+PV($C$1, ($W$3-$S$3), 0, -AB88)+PV($C$1, ($V$3-$S$3), 0, -AB88)+PV($C$1, ($U$3-$S$3), 0, -AB88)+PV($C$1, ($T$3-$S$3), 0, -AB88)+PV($C$1, ($S$3-$S$3), 0, -AB88)</f>
        <v>0</v>
      </c>
      <c r="T157" s="133">
        <f>PV($C$1, ($AB$3-$S$3), 0, -AE88)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>
      <c r="B158" s="23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>
      <c r="B159" s="20" t="s">
        <v>291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si="293"/>
        <v>0</v>
      </c>
      <c r="S159" s="133">
        <f>PV($C$1, ($AB$3-$S$3), 0, -AB90)+PV($C$1, ($AA$3-$S$3), 0, -AB90)+PV($C$1, ($Z$3-$S$3), 0, -AB90)+PV($C$1, ($Y$3-$S$3), 0, -AB90)+PV($C$1, ($X$3-$S$3), 0, -AB90)+PV($C$1, ($W$3-$S$3), 0, -AB90)+PV($C$1, ($V$3-$S$3), 0, -AB90)+PV($C$1, ($U$3-$S$3), 0, -AB90)+PV($C$1, ($T$3-$S$3), 0, -AB90)+PV($C$1, ($S$3-$S$3), 0, -AB90)</f>
        <v>0</v>
      </c>
      <c r="T159" s="133">
        <f>PV($C$1, ($AB$3-$S$3), 0, -AE90)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/>
      <c r="S160" s="133"/>
      <c r="T160" s="133"/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>
      <c r="B161" s="20" t="s">
        <v>287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 t="e">
        <f t="shared" ref="R161:R164" si="296">S161+T161</f>
        <v>#DIV/0!</v>
      </c>
      <c r="S161" s="133" t="e">
        <f>PV($C$1, ($AB$3-$S$3), 0, -AB92)+PV($C$1, ($AA$3-$S$3), 0, -AB92)+PV($C$1, ($Z$3-$S$3), 0, -AB92)+PV($C$1, ($Y$3-$S$3), 0, -AB92)+PV($C$1, ($X$3-$S$3), 0, -AB92)+PV($C$1, ($W$3-$S$3), 0, -AB92)+PV($C$1, ($V$3-$S$3), 0, -AB92)+PV($C$1, ($U$3-$S$3), 0, -AB92)+PV($C$1, ($T$3-$S$3), 0, -AB92)+PV($C$1, ($S$3-$S$3), 0, -AB92)</f>
        <v>#DIV/0!</v>
      </c>
      <c r="T161" s="133" t="e">
        <f>PV($C$1, ($AB$3-$S$3), 0, -AE92)</f>
        <v>#DIV/0!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>
      <c r="B162" s="20" t="s">
        <v>288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 t="e">
        <f t="shared" si="296"/>
        <v>#DIV/0!</v>
      </c>
      <c r="S162" s="133" t="e">
        <f>PV($C$1, ($AB$3-$S$3), 0, -AB93)+PV($C$1, ($AA$3-$S$3), 0, -AB93)+PV($C$1, ($Z$3-$S$3), 0, -AB93)+PV($C$1, ($Y$3-$S$3), 0, -AB93)+PV($C$1, ($X$3-$S$3), 0, -AB93)+PV($C$1, ($W$3-$S$3), 0, -AB93)+PV($C$1, ($V$3-$S$3), 0, -AB93)+PV($C$1, ($U$3-$S$3), 0, -AB93)+PV($C$1, ($T$3-$S$3), 0, -AB93)+PV($C$1, ($S$3-$S$3), 0, -AB93)</f>
        <v>#DIV/0!</v>
      </c>
      <c r="T162" s="133" t="e">
        <f>PV($C$1, ($AB$3-$S$3), 0, -AE93)</f>
        <v>#DIV/0!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>
      <c r="B163" s="20" t="s">
        <v>289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 t="e">
        <f t="shared" si="296"/>
        <v>#DIV/0!</v>
      </c>
      <c r="S163" s="133" t="e">
        <f>PV($C$1, ($AB$3-$S$3), 0, -AB94)+PV($C$1, ($AA$3-$S$3), 0, -AB94)+PV($C$1, ($Z$3-$S$3), 0, -AB94)+PV($C$1, ($Y$3-$S$3), 0, -AB94)+PV($C$1, ($X$3-$S$3), 0, -AB94)+PV($C$1, ($W$3-$S$3), 0, -AB94)+PV($C$1, ($V$3-$S$3), 0, -AB94)+PV($C$1, ($U$3-$S$3), 0, -AB94)+PV($C$1, ($T$3-$S$3), 0, -AB94)+PV($C$1, ($S$3-$S$3), 0, -AB94)</f>
        <v>#DIV/0!</v>
      </c>
      <c r="T163" s="133" t="e">
        <f>PV($C$1, ($AB$3-$S$3), 0, -AE94)</f>
        <v>#DIV/0!</v>
      </c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>
      <c r="B164" s="20" t="s">
        <v>290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 t="e">
        <f t="shared" si="296"/>
        <v>#DIV/0!</v>
      </c>
      <c r="S164" s="133" t="e">
        <f>PV($C$1, ($AB$3-$S$3), 0, -AB95)+PV($C$1, ($AA$3-$S$3), 0, -AB95)+PV($C$1, ($Z$3-$S$3), 0, -AB95)+PV($C$1, ($Y$3-$S$3), 0, -AB95)+PV($C$1, ($X$3-$S$3), 0, -AB95)+PV($C$1, ($W$3-$S$3), 0, -AB95)+PV($C$1, ($V$3-$S$3), 0, -AB95)+PV($C$1, ($U$3-$S$3), 0, -AB95)+PV($C$1, ($T$3-$S$3), 0, -AB95)+PV($C$1, ($S$3-$S$3), 0, -AB95)</f>
        <v>#DIV/0!</v>
      </c>
      <c r="T164" s="133" t="e">
        <f>PV($C$1, ($AB$3-$S$3), 0, -AE95)</f>
        <v>#DIV/0!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40"/>
      <c r="S165" s="133"/>
      <c r="T165" s="133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>
      <c r="B166" s="20" t="s">
        <v>299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40" t="e">
        <f>S166+T166</f>
        <v>#DIV/0!</v>
      </c>
      <c r="S166" s="133" t="e">
        <f>PV($C$1, ($AB$3-$S$3), 0, -AB96)+PV($C$1, ($AA$3-$S$3), 0, -AB96)+PV($C$1, ($Z$3-$S$3), 0, -AB96)+PV($C$1, ($Y$3-$S$3), 0, -AB96)+PV($C$1, ($X$3-$S$3), 0, -AB96)+PV($C$1, ($W$3-$S$3), 0, -AB96)+PV($C$1, ($V$3-$S$3), 0, -AB96)+PV($C$1, ($U$3-$S$3), 0, -AB96)+PV($C$1, ($T$3-$S$3), 0, -AB96)+PV($C$1, ($S$3-$S$3), 0, -AB96)</f>
        <v>#DIV/0!</v>
      </c>
      <c r="T166" s="133" t="e">
        <f>PV($C$1, ($AB$3-$S$3), 0, -AE96)</f>
        <v>#DIV/0!</v>
      </c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21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108" t="s">
        <v>251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204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0</v>
      </c>
      <c r="O169" s="22">
        <v>0</v>
      </c>
      <c r="P169" s="22">
        <v>0</v>
      </c>
      <c r="Q169" s="118" t="e">
        <f t="shared" ref="Q169:Q174" si="297">((P169/G169)^(1/($H$2-$H$1) ))-1</f>
        <v>#DIV/0!</v>
      </c>
      <c r="R169" s="31">
        <f>L2-3%</f>
        <v>0.09</v>
      </c>
      <c r="S169" s="119">
        <f t="shared" ref="S169" si="298">P169*(1+$R169)</f>
        <v>0</v>
      </c>
      <c r="T169" s="119">
        <f t="shared" ref="T169:AB169" si="299">S169*(1+$R169)</f>
        <v>0</v>
      </c>
      <c r="U169" s="119">
        <f t="shared" si="299"/>
        <v>0</v>
      </c>
      <c r="V169" s="119">
        <f t="shared" si="299"/>
        <v>0</v>
      </c>
      <c r="W169" s="119">
        <f t="shared" si="299"/>
        <v>0</v>
      </c>
      <c r="X169" s="119">
        <f t="shared" si="299"/>
        <v>0</v>
      </c>
      <c r="Y169" s="119">
        <f t="shared" si="299"/>
        <v>0</v>
      </c>
      <c r="Z169" s="119">
        <f t="shared" si="299"/>
        <v>0</v>
      </c>
      <c r="AA169" s="119">
        <f t="shared" si="299"/>
        <v>0</v>
      </c>
      <c r="AB169" s="119">
        <f t="shared" si="299"/>
        <v>0</v>
      </c>
      <c r="AC169" s="138" t="e">
        <f t="shared" ref="AC169:AC174" si="300">((AB169/G169)^(1/($AB$3-$H$1) ))-1</f>
        <v>#DIV/0!</v>
      </c>
      <c r="AD169" s="31">
        <v>0.08</v>
      </c>
      <c r="AE169" s="127" t="e">
        <f t="shared" ref="AE169:AE175" si="301">(AB169*(1+AC169))/($C$1-AD169)</f>
        <v>#DIV/0!</v>
      </c>
    </row>
    <row r="170" spans="2:31">
      <c r="B170" s="20"/>
      <c r="C170" s="25" t="e">
        <f t="shared" ref="C170:O170" si="302">C169/C70</f>
        <v>#DIV/0!</v>
      </c>
      <c r="D170" s="25" t="e">
        <f t="shared" si="302"/>
        <v>#DIV/0!</v>
      </c>
      <c r="E170" s="25" t="e">
        <f t="shared" si="302"/>
        <v>#DIV/0!</v>
      </c>
      <c r="F170" s="25" t="e">
        <f t="shared" si="302"/>
        <v>#DIV/0!</v>
      </c>
      <c r="G170" s="25" t="e">
        <f t="shared" si="302"/>
        <v>#DIV/0!</v>
      </c>
      <c r="H170" s="25" t="e">
        <f t="shared" si="302"/>
        <v>#DIV/0!</v>
      </c>
      <c r="I170" s="25" t="e">
        <f t="shared" si="302"/>
        <v>#DIV/0!</v>
      </c>
      <c r="J170" s="25" t="e">
        <f t="shared" si="302"/>
        <v>#DIV/0!</v>
      </c>
      <c r="K170" s="25" t="e">
        <f t="shared" si="302"/>
        <v>#DIV/0!</v>
      </c>
      <c r="L170" s="25" t="e">
        <f t="shared" si="302"/>
        <v>#DIV/0!</v>
      </c>
      <c r="M170" s="25" t="e">
        <f t="shared" si="302"/>
        <v>#DIV/0!</v>
      </c>
      <c r="N170" s="25" t="e">
        <f t="shared" si="302"/>
        <v>#DIV/0!</v>
      </c>
      <c r="O170" s="25" t="e">
        <f t="shared" si="302"/>
        <v>#DIV/0!</v>
      </c>
      <c r="P170" s="25" t="e">
        <f>P169/P70</f>
        <v>#DIV/0!</v>
      </c>
      <c r="Q170" s="118" t="e">
        <f t="shared" ref="Q170" si="303">((P170/G170)^(1/($H$2-$H$1) ))-1</f>
        <v>#DIV/0!</v>
      </c>
      <c r="R170" s="128"/>
      <c r="S170" s="25" t="e">
        <f>S169/S70</f>
        <v>#DIV/0!</v>
      </c>
      <c r="T170" s="25" t="e">
        <f t="shared" ref="T170:AB170" si="304">T169/T70</f>
        <v>#DIV/0!</v>
      </c>
      <c r="U170" s="25" t="e">
        <f t="shared" si="304"/>
        <v>#DIV/0!</v>
      </c>
      <c r="V170" s="25" t="e">
        <f t="shared" si="304"/>
        <v>#DIV/0!</v>
      </c>
      <c r="W170" s="25" t="e">
        <f t="shared" si="304"/>
        <v>#DIV/0!</v>
      </c>
      <c r="X170" s="25" t="e">
        <f t="shared" si="304"/>
        <v>#DIV/0!</v>
      </c>
      <c r="Y170" s="25" t="e">
        <f t="shared" si="304"/>
        <v>#DIV/0!</v>
      </c>
      <c r="Z170" s="25" t="e">
        <f t="shared" si="304"/>
        <v>#DIV/0!</v>
      </c>
      <c r="AA170" s="25" t="e">
        <f t="shared" si="304"/>
        <v>#DIV/0!</v>
      </c>
      <c r="AB170" s="25" t="e">
        <f t="shared" si="304"/>
        <v>#DIV/0!</v>
      </c>
      <c r="AC170" s="138" t="e">
        <f t="shared" ref="AC170" si="305">((AB170/G170)^(1/($AB$3-$H$1) ))-1</f>
        <v>#DIV/0!</v>
      </c>
      <c r="AD170" s="31">
        <v>0.08</v>
      </c>
      <c r="AE170" s="127" t="e">
        <f t="shared" ref="AE170" si="306">(AB170*(1+AC170))/($C$1-AD170)</f>
        <v>#DIV/0!</v>
      </c>
    </row>
    <row r="171" spans="2:31">
      <c r="B171" s="20" t="s">
        <v>42</v>
      </c>
      <c r="C171" s="25" t="e">
        <f t="shared" ref="C171:P171" si="307">C169/C73</f>
        <v>#DIV/0!</v>
      </c>
      <c r="D171" s="25" t="e">
        <f t="shared" si="307"/>
        <v>#DIV/0!</v>
      </c>
      <c r="E171" s="25" t="e">
        <f t="shared" si="307"/>
        <v>#DIV/0!</v>
      </c>
      <c r="F171" s="25" t="e">
        <f t="shared" si="307"/>
        <v>#DIV/0!</v>
      </c>
      <c r="G171" s="25" t="e">
        <f t="shared" si="307"/>
        <v>#DIV/0!</v>
      </c>
      <c r="H171" s="25" t="e">
        <f t="shared" si="307"/>
        <v>#DIV/0!</v>
      </c>
      <c r="I171" s="25" t="e">
        <f t="shared" si="307"/>
        <v>#DIV/0!</v>
      </c>
      <c r="J171" s="25" t="e">
        <f t="shared" si="307"/>
        <v>#DIV/0!</v>
      </c>
      <c r="K171" s="25" t="e">
        <f t="shared" si="307"/>
        <v>#DIV/0!</v>
      </c>
      <c r="L171" s="25" t="e">
        <f t="shared" si="307"/>
        <v>#DIV/0!</v>
      </c>
      <c r="M171" s="25" t="e">
        <f t="shared" si="307"/>
        <v>#DIV/0!</v>
      </c>
      <c r="N171" s="25" t="e">
        <f t="shared" si="307"/>
        <v>#DIV/0!</v>
      </c>
      <c r="O171" s="25" t="e">
        <f t="shared" si="307"/>
        <v>#DIV/0!</v>
      </c>
      <c r="P171" s="25" t="e">
        <f t="shared" si="307"/>
        <v>#DIV/0!</v>
      </c>
      <c r="Q171" s="118" t="e">
        <f t="shared" si="297"/>
        <v>#DIV/0!</v>
      </c>
      <c r="R171" s="128"/>
      <c r="S171" s="119" t="e">
        <f t="shared" ref="S171:AB171" si="308">S169/S73</f>
        <v>#DIV/0!</v>
      </c>
      <c r="T171" s="119" t="e">
        <f t="shared" si="308"/>
        <v>#DIV/0!</v>
      </c>
      <c r="U171" s="119" t="e">
        <f t="shared" si="308"/>
        <v>#DIV/0!</v>
      </c>
      <c r="V171" s="119" t="e">
        <f t="shared" si="308"/>
        <v>#DIV/0!</v>
      </c>
      <c r="W171" s="119" t="e">
        <f t="shared" si="308"/>
        <v>#DIV/0!</v>
      </c>
      <c r="X171" s="119" t="e">
        <f t="shared" si="308"/>
        <v>#DIV/0!</v>
      </c>
      <c r="Y171" s="119" t="e">
        <f t="shared" si="308"/>
        <v>#DIV/0!</v>
      </c>
      <c r="Z171" s="119" t="e">
        <f t="shared" si="308"/>
        <v>#DIV/0!</v>
      </c>
      <c r="AA171" s="119" t="e">
        <f t="shared" si="308"/>
        <v>#DIV/0!</v>
      </c>
      <c r="AB171" s="119" t="e">
        <f t="shared" si="308"/>
        <v>#DIV/0!</v>
      </c>
      <c r="AC171" s="138" t="e">
        <f t="shared" si="300"/>
        <v>#DIV/0!</v>
      </c>
      <c r="AD171" s="31">
        <v>0.08</v>
      </c>
      <c r="AE171" s="127" t="e">
        <f t="shared" si="301"/>
        <v>#DIV/0!</v>
      </c>
    </row>
    <row r="172" spans="2:31">
      <c r="B172" s="20" t="s">
        <v>259</v>
      </c>
      <c r="C172" s="25" t="e">
        <f t="shared" ref="C172:P172" si="309">C169/C75</f>
        <v>#DIV/0!</v>
      </c>
      <c r="D172" s="25" t="e">
        <f t="shared" si="309"/>
        <v>#DIV/0!</v>
      </c>
      <c r="E172" s="25" t="e">
        <f t="shared" si="309"/>
        <v>#DIV/0!</v>
      </c>
      <c r="F172" s="25" t="e">
        <f t="shared" si="309"/>
        <v>#DIV/0!</v>
      </c>
      <c r="G172" s="25" t="e">
        <f t="shared" si="309"/>
        <v>#DIV/0!</v>
      </c>
      <c r="H172" s="25" t="e">
        <f t="shared" si="309"/>
        <v>#DIV/0!</v>
      </c>
      <c r="I172" s="25" t="e">
        <f t="shared" si="309"/>
        <v>#DIV/0!</v>
      </c>
      <c r="J172" s="25" t="e">
        <f t="shared" si="309"/>
        <v>#DIV/0!</v>
      </c>
      <c r="K172" s="25" t="e">
        <f t="shared" si="309"/>
        <v>#DIV/0!</v>
      </c>
      <c r="L172" s="25" t="e">
        <f t="shared" si="309"/>
        <v>#DIV/0!</v>
      </c>
      <c r="M172" s="25" t="e">
        <f t="shared" si="309"/>
        <v>#DIV/0!</v>
      </c>
      <c r="N172" s="25" t="e">
        <f t="shared" si="309"/>
        <v>#DIV/0!</v>
      </c>
      <c r="O172" s="25" t="e">
        <f t="shared" si="309"/>
        <v>#DIV/0!</v>
      </c>
      <c r="P172" s="25" t="e">
        <f t="shared" si="309"/>
        <v>#DIV/0!</v>
      </c>
      <c r="Q172" s="118" t="e">
        <f t="shared" si="297"/>
        <v>#DIV/0!</v>
      </c>
      <c r="R172" s="128"/>
      <c r="S172" s="119" t="e">
        <f t="shared" ref="S172:AB172" si="310">S169/S75</f>
        <v>#DIV/0!</v>
      </c>
      <c r="T172" s="119" t="e">
        <f t="shared" si="310"/>
        <v>#DIV/0!</v>
      </c>
      <c r="U172" s="119" t="e">
        <f t="shared" si="310"/>
        <v>#DIV/0!</v>
      </c>
      <c r="V172" s="119" t="e">
        <f t="shared" si="310"/>
        <v>#DIV/0!</v>
      </c>
      <c r="W172" s="119" t="e">
        <f t="shared" si="310"/>
        <v>#DIV/0!</v>
      </c>
      <c r="X172" s="119" t="e">
        <f t="shared" si="310"/>
        <v>#DIV/0!</v>
      </c>
      <c r="Y172" s="119" t="e">
        <f t="shared" si="310"/>
        <v>#DIV/0!</v>
      </c>
      <c r="Z172" s="119" t="e">
        <f t="shared" si="310"/>
        <v>#DIV/0!</v>
      </c>
      <c r="AA172" s="119" t="e">
        <f t="shared" si="310"/>
        <v>#DIV/0!</v>
      </c>
      <c r="AB172" s="119" t="e">
        <f t="shared" si="310"/>
        <v>#DIV/0!</v>
      </c>
      <c r="AC172" s="138" t="e">
        <f t="shared" si="300"/>
        <v>#DIV/0!</v>
      </c>
      <c r="AD172" s="31">
        <v>0.08</v>
      </c>
      <c r="AE172" s="127" t="e">
        <f t="shared" si="301"/>
        <v>#DIV/0!</v>
      </c>
    </row>
    <row r="173" spans="2:31">
      <c r="B173" s="20" t="s">
        <v>260</v>
      </c>
      <c r="C173" s="25" t="e">
        <f t="shared" ref="C173:P173" si="311">C169/C84</f>
        <v>#DIV/0!</v>
      </c>
      <c r="D173" s="25" t="e">
        <f t="shared" si="311"/>
        <v>#DIV/0!</v>
      </c>
      <c r="E173" s="25" t="e">
        <f t="shared" si="311"/>
        <v>#DIV/0!</v>
      </c>
      <c r="F173" s="25" t="e">
        <f t="shared" si="311"/>
        <v>#DIV/0!</v>
      </c>
      <c r="G173" s="25" t="e">
        <f t="shared" si="311"/>
        <v>#DIV/0!</v>
      </c>
      <c r="H173" s="25" t="e">
        <f t="shared" si="311"/>
        <v>#DIV/0!</v>
      </c>
      <c r="I173" s="25" t="e">
        <f t="shared" si="311"/>
        <v>#DIV/0!</v>
      </c>
      <c r="J173" s="25" t="e">
        <f t="shared" si="311"/>
        <v>#DIV/0!</v>
      </c>
      <c r="K173" s="25" t="e">
        <f t="shared" si="311"/>
        <v>#DIV/0!</v>
      </c>
      <c r="L173" s="25" t="e">
        <f t="shared" si="311"/>
        <v>#DIV/0!</v>
      </c>
      <c r="M173" s="25" t="e">
        <f t="shared" si="311"/>
        <v>#DIV/0!</v>
      </c>
      <c r="N173" s="25" t="e">
        <f t="shared" si="311"/>
        <v>#DIV/0!</v>
      </c>
      <c r="O173" s="25" t="e">
        <f t="shared" si="311"/>
        <v>#DIV/0!</v>
      </c>
      <c r="P173" s="25" t="e">
        <f t="shared" si="311"/>
        <v>#DIV/0!</v>
      </c>
      <c r="Q173" s="118" t="e">
        <f t="shared" si="297"/>
        <v>#DIV/0!</v>
      </c>
      <c r="R173" s="128"/>
      <c r="S173" s="119" t="e">
        <f t="shared" ref="S173:AB173" si="312">S169/S84</f>
        <v>#DIV/0!</v>
      </c>
      <c r="T173" s="119" t="e">
        <f t="shared" si="312"/>
        <v>#DIV/0!</v>
      </c>
      <c r="U173" s="119" t="e">
        <f t="shared" si="312"/>
        <v>#DIV/0!</v>
      </c>
      <c r="V173" s="119" t="e">
        <f t="shared" si="312"/>
        <v>#DIV/0!</v>
      </c>
      <c r="W173" s="119" t="e">
        <f t="shared" si="312"/>
        <v>#DIV/0!</v>
      </c>
      <c r="X173" s="119" t="e">
        <f t="shared" si="312"/>
        <v>#DIV/0!</v>
      </c>
      <c r="Y173" s="119" t="e">
        <f t="shared" si="312"/>
        <v>#DIV/0!</v>
      </c>
      <c r="Z173" s="119" t="e">
        <f t="shared" si="312"/>
        <v>#DIV/0!</v>
      </c>
      <c r="AA173" s="119" t="e">
        <f t="shared" si="312"/>
        <v>#DIV/0!</v>
      </c>
      <c r="AB173" s="119" t="e">
        <f t="shared" si="312"/>
        <v>#DIV/0!</v>
      </c>
      <c r="AC173" s="138" t="e">
        <f t="shared" si="300"/>
        <v>#DIV/0!</v>
      </c>
      <c r="AD173" s="31">
        <v>0.08</v>
      </c>
      <c r="AE173" s="127" t="e">
        <f t="shared" si="301"/>
        <v>#DIV/0!</v>
      </c>
    </row>
    <row r="174" spans="2:31">
      <c r="B174" s="20" t="s">
        <v>261</v>
      </c>
      <c r="C174" s="25" t="e">
        <f t="shared" ref="C174:P174" si="313">C169/C86</f>
        <v>#DIV/0!</v>
      </c>
      <c r="D174" s="25" t="e">
        <f t="shared" si="313"/>
        <v>#DIV/0!</v>
      </c>
      <c r="E174" s="25" t="e">
        <f t="shared" si="313"/>
        <v>#DIV/0!</v>
      </c>
      <c r="F174" s="25" t="e">
        <f t="shared" si="313"/>
        <v>#DIV/0!</v>
      </c>
      <c r="G174" s="25" t="e">
        <f t="shared" si="313"/>
        <v>#DIV/0!</v>
      </c>
      <c r="H174" s="25" t="e">
        <f t="shared" si="313"/>
        <v>#DIV/0!</v>
      </c>
      <c r="I174" s="25" t="e">
        <f t="shared" si="313"/>
        <v>#DIV/0!</v>
      </c>
      <c r="J174" s="25" t="e">
        <f t="shared" si="313"/>
        <v>#DIV/0!</v>
      </c>
      <c r="K174" s="25" t="e">
        <f t="shared" si="313"/>
        <v>#DIV/0!</v>
      </c>
      <c r="L174" s="25" t="e">
        <f t="shared" si="313"/>
        <v>#DIV/0!</v>
      </c>
      <c r="M174" s="25" t="e">
        <f t="shared" si="313"/>
        <v>#DIV/0!</v>
      </c>
      <c r="N174" s="25" t="e">
        <f t="shared" si="313"/>
        <v>#DIV/0!</v>
      </c>
      <c r="O174" s="25" t="e">
        <f t="shared" si="313"/>
        <v>#DIV/0!</v>
      </c>
      <c r="P174" s="25" t="e">
        <f t="shared" si="313"/>
        <v>#DIV/0!</v>
      </c>
      <c r="Q174" s="118" t="e">
        <f t="shared" si="297"/>
        <v>#DIV/0!</v>
      </c>
      <c r="R174" s="128"/>
      <c r="S174" s="119" t="e">
        <f t="shared" ref="S174:AB174" si="314">S169/S86</f>
        <v>#DIV/0!</v>
      </c>
      <c r="T174" s="119" t="e">
        <f t="shared" si="314"/>
        <v>#DIV/0!</v>
      </c>
      <c r="U174" s="119" t="e">
        <f t="shared" si="314"/>
        <v>#DIV/0!</v>
      </c>
      <c r="V174" s="119" t="e">
        <f t="shared" si="314"/>
        <v>#DIV/0!</v>
      </c>
      <c r="W174" s="119" t="e">
        <f t="shared" si="314"/>
        <v>#DIV/0!</v>
      </c>
      <c r="X174" s="119" t="e">
        <f t="shared" si="314"/>
        <v>#DIV/0!</v>
      </c>
      <c r="Y174" s="119" t="e">
        <f t="shared" si="314"/>
        <v>#DIV/0!</v>
      </c>
      <c r="Z174" s="119" t="e">
        <f t="shared" si="314"/>
        <v>#DIV/0!</v>
      </c>
      <c r="AA174" s="119" t="e">
        <f t="shared" si="314"/>
        <v>#DIV/0!</v>
      </c>
      <c r="AB174" s="119" t="e">
        <f t="shared" si="314"/>
        <v>#DIV/0!</v>
      </c>
      <c r="AC174" s="138" t="e">
        <f t="shared" si="300"/>
        <v>#DIV/0!</v>
      </c>
      <c r="AD174" s="31">
        <v>0.08</v>
      </c>
      <c r="AE174" s="127" t="e">
        <f t="shared" si="301"/>
        <v>#DIV/0!</v>
      </c>
    </row>
    <row r="175" spans="2:31">
      <c r="B175" s="20" t="s">
        <v>282</v>
      </c>
      <c r="C175" s="25" t="e">
        <f>C171/C127</f>
        <v>#DIV/0!</v>
      </c>
      <c r="D175" s="25" t="e">
        <f>D171/D127</f>
        <v>#DIV/0!</v>
      </c>
      <c r="E175" s="25" t="e">
        <f>E171/E127</f>
        <v>#DIV/0!</v>
      </c>
      <c r="F175" s="25" t="e">
        <f>F171/F127</f>
        <v>#DIV/0!</v>
      </c>
      <c r="G175" s="25" t="e">
        <f t="shared" ref="G175:P175" si="315">G169/G80</f>
        <v>#DIV/0!</v>
      </c>
      <c r="H175" s="25" t="e">
        <f t="shared" si="315"/>
        <v>#DIV/0!</v>
      </c>
      <c r="I175" s="25" t="e">
        <f t="shared" si="315"/>
        <v>#DIV/0!</v>
      </c>
      <c r="J175" s="25" t="e">
        <f t="shared" si="315"/>
        <v>#DIV/0!</v>
      </c>
      <c r="K175" s="25" t="e">
        <f t="shared" si="315"/>
        <v>#DIV/0!</v>
      </c>
      <c r="L175" s="25" t="e">
        <f t="shared" si="315"/>
        <v>#DIV/0!</v>
      </c>
      <c r="M175" s="25" t="e">
        <f t="shared" si="315"/>
        <v>#DIV/0!</v>
      </c>
      <c r="N175" s="25" t="e">
        <f t="shared" si="315"/>
        <v>#DIV/0!</v>
      </c>
      <c r="O175" s="25" t="e">
        <f t="shared" si="315"/>
        <v>#DIV/0!</v>
      </c>
      <c r="P175" s="25" t="e">
        <f t="shared" si="315"/>
        <v>#DIV/0!</v>
      </c>
      <c r="Q175" s="118" t="e">
        <f t="shared" ref="Q175" si="316">((P175/G175)^(1/($H$2-$H$1) ))-1</f>
        <v>#DIV/0!</v>
      </c>
      <c r="R175" s="128"/>
      <c r="S175" s="135" t="e">
        <f t="shared" ref="S175:AB175" si="317">S169/S80</f>
        <v>#DIV/0!</v>
      </c>
      <c r="T175" s="135" t="e">
        <f t="shared" si="317"/>
        <v>#DIV/0!</v>
      </c>
      <c r="U175" s="135" t="e">
        <f t="shared" si="317"/>
        <v>#DIV/0!</v>
      </c>
      <c r="V175" s="135" t="e">
        <f t="shared" si="317"/>
        <v>#DIV/0!</v>
      </c>
      <c r="W175" s="135" t="e">
        <f t="shared" si="317"/>
        <v>#DIV/0!</v>
      </c>
      <c r="X175" s="135" t="e">
        <f t="shared" si="317"/>
        <v>#DIV/0!</v>
      </c>
      <c r="Y175" s="135" t="e">
        <f t="shared" si="317"/>
        <v>#DIV/0!</v>
      </c>
      <c r="Z175" s="135" t="e">
        <f t="shared" si="317"/>
        <v>#DIV/0!</v>
      </c>
      <c r="AA175" s="135" t="e">
        <f t="shared" si="317"/>
        <v>#DIV/0!</v>
      </c>
      <c r="AB175" s="135" t="e">
        <f t="shared" si="317"/>
        <v>#DIV/0!</v>
      </c>
      <c r="AC175" s="138" t="e">
        <f t="shared" ref="AC175" si="318">((AB175/G175)^(1/($AB$3-$H$1) ))-1</f>
        <v>#DIV/0!</v>
      </c>
      <c r="AD175" s="31">
        <v>0.08</v>
      </c>
      <c r="AE175" s="127" t="e">
        <f t="shared" si="301"/>
        <v>#DIV/0!</v>
      </c>
    </row>
    <row r="176" spans="2:31">
      <c r="B176" s="20" t="s">
        <v>322</v>
      </c>
      <c r="C176" s="162" t="e">
        <f t="shared" ref="C176:P176" si="319">C73/C169</f>
        <v>#DIV/0!</v>
      </c>
      <c r="D176" s="162" t="e">
        <f t="shared" si="319"/>
        <v>#DIV/0!</v>
      </c>
      <c r="E176" s="162" t="e">
        <f t="shared" si="319"/>
        <v>#DIV/0!</v>
      </c>
      <c r="F176" s="162" t="e">
        <f t="shared" si="319"/>
        <v>#DIV/0!</v>
      </c>
      <c r="G176" s="162" t="e">
        <f t="shared" si="319"/>
        <v>#DIV/0!</v>
      </c>
      <c r="H176" s="162" t="e">
        <f t="shared" si="319"/>
        <v>#DIV/0!</v>
      </c>
      <c r="I176" s="162" t="e">
        <f t="shared" si="319"/>
        <v>#DIV/0!</v>
      </c>
      <c r="J176" s="162" t="e">
        <f t="shared" si="319"/>
        <v>#DIV/0!</v>
      </c>
      <c r="K176" s="162" t="e">
        <f t="shared" si="319"/>
        <v>#DIV/0!</v>
      </c>
      <c r="L176" s="162" t="e">
        <f t="shared" si="319"/>
        <v>#DIV/0!</v>
      </c>
      <c r="M176" s="162" t="e">
        <f t="shared" si="319"/>
        <v>#DIV/0!</v>
      </c>
      <c r="N176" s="162" t="e">
        <f t="shared" si="319"/>
        <v>#DIV/0!</v>
      </c>
      <c r="O176" s="162" t="e">
        <f t="shared" si="319"/>
        <v>#DIV/0!</v>
      </c>
      <c r="P176" s="162" t="e">
        <f t="shared" si="319"/>
        <v>#DIV/0!</v>
      </c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8"/>
      <c r="AD176" s="31"/>
      <c r="AE176" s="127"/>
    </row>
    <row r="177" spans="2:31">
      <c r="B177" s="20" t="s">
        <v>323</v>
      </c>
      <c r="C177" s="153" t="e">
        <f t="shared" ref="C177:P177" si="320">C67/C169</f>
        <v>#DIV/0!</v>
      </c>
      <c r="D177" s="153" t="e">
        <f t="shared" si="320"/>
        <v>#DIV/0!</v>
      </c>
      <c r="E177" s="153" t="e">
        <f t="shared" si="320"/>
        <v>#DIV/0!</v>
      </c>
      <c r="F177" s="153" t="e">
        <f t="shared" si="320"/>
        <v>#DIV/0!</v>
      </c>
      <c r="G177" s="153" t="e">
        <f t="shared" si="320"/>
        <v>#DIV/0!</v>
      </c>
      <c r="H177" s="153" t="e">
        <f t="shared" si="320"/>
        <v>#DIV/0!</v>
      </c>
      <c r="I177" s="153" t="e">
        <f t="shared" si="320"/>
        <v>#DIV/0!</v>
      </c>
      <c r="J177" s="153" t="e">
        <f t="shared" si="320"/>
        <v>#DIV/0!</v>
      </c>
      <c r="K177" s="153" t="e">
        <f t="shared" si="320"/>
        <v>#DIV/0!</v>
      </c>
      <c r="L177" s="153" t="e">
        <f t="shared" si="320"/>
        <v>#DIV/0!</v>
      </c>
      <c r="M177" s="153" t="e">
        <f t="shared" si="320"/>
        <v>#DIV/0!</v>
      </c>
      <c r="N177" s="153" t="e">
        <f t="shared" si="320"/>
        <v>#DIV/0!</v>
      </c>
      <c r="O177" s="153" t="e">
        <f t="shared" si="320"/>
        <v>#DIV/0!</v>
      </c>
      <c r="P177" s="153" t="e">
        <f t="shared" si="320"/>
        <v>#DIV/0!</v>
      </c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8"/>
      <c r="AD177" s="31"/>
      <c r="AE177" s="127"/>
    </row>
    <row r="178" spans="2:31">
      <c r="B178" s="20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28"/>
      <c r="R178" s="128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8"/>
      <c r="AD178" s="31"/>
      <c r="AE178" s="127"/>
    </row>
    <row r="179" spans="2:31">
      <c r="B179" s="20"/>
      <c r="C179" s="129"/>
      <c r="D179" s="129"/>
      <c r="E179" s="129"/>
      <c r="F179" s="129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28"/>
      <c r="R179" s="128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7"/>
      <c r="AD179" s="20"/>
      <c r="AE179" s="127"/>
    </row>
    <row r="180" spans="2:31">
      <c r="B180" s="108" t="s">
        <v>302</v>
      </c>
      <c r="C180" s="20"/>
      <c r="D180" s="20"/>
      <c r="E180" s="20"/>
      <c r="F180" s="20"/>
      <c r="G180" s="20"/>
      <c r="H180" s="20"/>
      <c r="I180" s="20"/>
      <c r="J180" s="20"/>
      <c r="K180" s="185" t="s">
        <v>354</v>
      </c>
      <c r="L180" s="186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31">
      <c r="B181" s="20" t="s">
        <v>300</v>
      </c>
      <c r="C181" s="20" t="s">
        <v>315</v>
      </c>
      <c r="D181" s="20"/>
      <c r="E181" s="20"/>
      <c r="F181" s="20"/>
      <c r="G181" s="20"/>
      <c r="H181" s="20"/>
      <c r="I181" s="20"/>
      <c r="J181" s="20"/>
      <c r="K181" s="20" t="s">
        <v>355</v>
      </c>
      <c r="L181" s="22">
        <v>1</v>
      </c>
      <c r="M181" s="20"/>
      <c r="N181" s="20"/>
      <c r="O181" s="20"/>
      <c r="P181" s="128" t="e">
        <f>(P169-R157)/P169</f>
        <v>#DIV/0!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31">
      <c r="B182" s="20" t="s">
        <v>352</v>
      </c>
      <c r="C182" s="20" t="s">
        <v>315</v>
      </c>
      <c r="D182" s="20"/>
      <c r="E182" s="20"/>
      <c r="F182" s="20"/>
      <c r="G182" s="20"/>
      <c r="H182" s="20"/>
      <c r="I182" s="20"/>
      <c r="J182" s="20"/>
      <c r="K182" s="173">
        <f>L181</f>
        <v>1</v>
      </c>
      <c r="L182" s="20"/>
      <c r="M182" s="128" t="e">
        <f>(P169-(K182*R148))/P169</f>
        <v>#DIV/0!</v>
      </c>
      <c r="N182" s="20"/>
      <c r="O182" s="20"/>
      <c r="P182" s="128" t="e">
        <f>(P169-R148)/P169</f>
        <v>#DIV/0!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31">
      <c r="B183" s="20" t="s">
        <v>353</v>
      </c>
      <c r="C183" s="20" t="s">
        <v>315</v>
      </c>
      <c r="D183" s="20"/>
      <c r="E183" s="20"/>
      <c r="F183" s="20"/>
      <c r="G183" s="20"/>
      <c r="H183" s="20"/>
      <c r="I183" s="20"/>
      <c r="J183" s="20"/>
      <c r="K183" s="173">
        <f>L181</f>
        <v>1</v>
      </c>
      <c r="L183" s="20"/>
      <c r="M183" s="128" t="e">
        <f>(P169-(K182*R141))/P169</f>
        <v>#DIV/0!</v>
      </c>
      <c r="N183" s="20"/>
      <c r="O183" s="20"/>
      <c r="P183" s="128" t="e">
        <f>(P169-R141)/P169</f>
        <v>#DIV/0!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31">
      <c r="B184" s="20" t="s">
        <v>356</v>
      </c>
      <c r="C184" s="20" t="s">
        <v>315</v>
      </c>
      <c r="D184" s="20"/>
      <c r="E184" s="20"/>
      <c r="F184" s="20"/>
      <c r="G184" s="20"/>
      <c r="H184" s="20"/>
      <c r="I184" s="20"/>
      <c r="J184" s="20"/>
      <c r="K184" s="173">
        <f>L181</f>
        <v>1</v>
      </c>
      <c r="L184" s="20"/>
      <c r="M184" s="128" t="e">
        <f>(P169-(K182*R154))/P169</f>
        <v>#DIV/0!</v>
      </c>
      <c r="N184" s="20"/>
      <c r="O184" s="20"/>
      <c r="P184" s="128" t="e">
        <f>(P169-R154)/P169</f>
        <v>#DIV/0!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137"/>
      <c r="AD184" s="20"/>
      <c r="AE184" s="20"/>
    </row>
    <row r="185" spans="2:31">
      <c r="B185" s="20" t="s">
        <v>301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5" t="e">
        <f>P169/R140</f>
        <v>#DIV/0!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137"/>
      <c r="AD185" s="20"/>
      <c r="AE185" s="20"/>
    </row>
    <row r="186" spans="2:31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</row>
    <row r="187" spans="2:31">
      <c r="B187" s="108" t="s">
        <v>303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</row>
    <row r="188" spans="2:31">
      <c r="B188" s="20" t="s">
        <v>306</v>
      </c>
      <c r="C188" s="25" t="e">
        <f t="shared" ref="C188:P188" si="321">C10/C7</f>
        <v>#DIV/0!</v>
      </c>
      <c r="D188" s="25" t="e">
        <f t="shared" si="321"/>
        <v>#DIV/0!</v>
      </c>
      <c r="E188" s="25" t="e">
        <f t="shared" si="321"/>
        <v>#DIV/0!</v>
      </c>
      <c r="F188" s="25" t="e">
        <f t="shared" si="321"/>
        <v>#DIV/0!</v>
      </c>
      <c r="G188" s="25" t="e">
        <f t="shared" si="321"/>
        <v>#DIV/0!</v>
      </c>
      <c r="H188" s="25" t="e">
        <f t="shared" si="321"/>
        <v>#DIV/0!</v>
      </c>
      <c r="I188" s="25" t="e">
        <f t="shared" si="321"/>
        <v>#DIV/0!</v>
      </c>
      <c r="J188" s="25" t="e">
        <f t="shared" si="321"/>
        <v>#DIV/0!</v>
      </c>
      <c r="K188" s="25" t="e">
        <f t="shared" si="321"/>
        <v>#DIV/0!</v>
      </c>
      <c r="L188" s="25" t="e">
        <f t="shared" si="321"/>
        <v>#DIV/0!</v>
      </c>
      <c r="M188" s="25" t="e">
        <f t="shared" si="321"/>
        <v>#DIV/0!</v>
      </c>
      <c r="N188" s="25" t="e">
        <f t="shared" si="321"/>
        <v>#DIV/0!</v>
      </c>
      <c r="O188" s="25" t="e">
        <f t="shared" si="321"/>
        <v>#DIV/0!</v>
      </c>
      <c r="P188" s="25" t="e">
        <f t="shared" si="321"/>
        <v>#DIV/0!</v>
      </c>
      <c r="Q188" s="118" t="e">
        <f t="shared" ref="Q188:Q190" si="322">((P188/G188)^(1/($H$2-$H$1) ))-1</f>
        <v>#DIV/0!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</row>
    <row r="189" spans="2:31">
      <c r="B189" s="20" t="s">
        <v>307</v>
      </c>
      <c r="C189" s="112" t="e">
        <f>C10/C12</f>
        <v>#DIV/0!</v>
      </c>
      <c r="D189" s="112" t="e">
        <f>D10/D12</f>
        <v>#DIV/0!</v>
      </c>
      <c r="E189" s="112" t="e">
        <f>E10/E12</f>
        <v>#DIV/0!</v>
      </c>
      <c r="F189" s="112" t="e">
        <f>F10/F12</f>
        <v>#DIV/0!</v>
      </c>
      <c r="G189" s="112" t="e">
        <f>G10/G12</f>
        <v>#DIV/0!</v>
      </c>
      <c r="H189" s="112" t="e">
        <f t="shared" ref="H189:P189" si="323">H10/H12</f>
        <v>#DIV/0!</v>
      </c>
      <c r="I189" s="112" t="e">
        <f t="shared" si="323"/>
        <v>#DIV/0!</v>
      </c>
      <c r="J189" s="112" t="e">
        <f t="shared" si="323"/>
        <v>#DIV/0!</v>
      </c>
      <c r="K189" s="112" t="e">
        <f t="shared" si="323"/>
        <v>#DIV/0!</v>
      </c>
      <c r="L189" s="112" t="e">
        <f t="shared" si="323"/>
        <v>#DIV/0!</v>
      </c>
      <c r="M189" s="112" t="e">
        <f t="shared" si="323"/>
        <v>#DIV/0!</v>
      </c>
      <c r="N189" s="112" t="e">
        <f t="shared" si="323"/>
        <v>#DIV/0!</v>
      </c>
      <c r="O189" s="112" t="e">
        <f t="shared" si="323"/>
        <v>#DIV/0!</v>
      </c>
      <c r="P189" s="112" t="e">
        <f t="shared" si="323"/>
        <v>#DIV/0!</v>
      </c>
      <c r="Q189" s="118" t="e">
        <f t="shared" si="322"/>
        <v>#DIV/0!</v>
      </c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31">
      <c r="B190" s="20" t="s">
        <v>308</v>
      </c>
      <c r="C190" s="25" t="e">
        <f>C10/(C12+C15)</f>
        <v>#DIV/0!</v>
      </c>
      <c r="D190" s="25" t="e">
        <f>D10/(D12+D15)</f>
        <v>#DIV/0!</v>
      </c>
      <c r="E190" s="25" t="e">
        <f>E10/(E12+E15)</f>
        <v>#DIV/0!</v>
      </c>
      <c r="F190" s="25" t="e">
        <f>F10/(F12+F15)</f>
        <v>#DIV/0!</v>
      </c>
      <c r="G190" s="25" t="e">
        <f>G10/(G12+G15)</f>
        <v>#DIV/0!</v>
      </c>
      <c r="H190" s="25" t="e">
        <f t="shared" ref="H190:P190" si="324">H10/(H12+H15)</f>
        <v>#DIV/0!</v>
      </c>
      <c r="I190" s="25" t="e">
        <f t="shared" si="324"/>
        <v>#DIV/0!</v>
      </c>
      <c r="J190" s="25" t="e">
        <f t="shared" si="324"/>
        <v>#DIV/0!</v>
      </c>
      <c r="K190" s="25" t="e">
        <f t="shared" si="324"/>
        <v>#DIV/0!</v>
      </c>
      <c r="L190" s="25" t="e">
        <f t="shared" si="324"/>
        <v>#DIV/0!</v>
      </c>
      <c r="M190" s="25" t="e">
        <f t="shared" si="324"/>
        <v>#DIV/0!</v>
      </c>
      <c r="N190" s="25" t="e">
        <f t="shared" si="324"/>
        <v>#DIV/0!</v>
      </c>
      <c r="O190" s="25" t="e">
        <f t="shared" si="324"/>
        <v>#DIV/0!</v>
      </c>
      <c r="P190" s="25" t="e">
        <f t="shared" si="324"/>
        <v>#DIV/0!</v>
      </c>
      <c r="Q190" s="118" t="e">
        <f t="shared" si="322"/>
        <v>#DIV/0!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31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31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>
      <c r="B193" s="20"/>
      <c r="C193" s="20"/>
      <c r="D193" s="20"/>
      <c r="E193" s="20"/>
      <c r="F193" s="20"/>
      <c r="G193" s="20"/>
      <c r="H193" s="20"/>
      <c r="I193" s="182" t="s">
        <v>340</v>
      </c>
      <c r="J193" s="183"/>
      <c r="K193" s="184"/>
      <c r="L193" s="23" t="s">
        <v>343</v>
      </c>
      <c r="M193" s="20"/>
      <c r="N193" s="20"/>
      <c r="O193" s="182" t="s">
        <v>341</v>
      </c>
      <c r="P193" s="183"/>
      <c r="Q193" s="184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>
      <c r="B194" s="20"/>
      <c r="C194" s="20"/>
      <c r="D194" s="20"/>
      <c r="E194" s="20"/>
      <c r="F194" s="20"/>
      <c r="G194" s="20"/>
      <c r="H194" s="20"/>
      <c r="I194" s="167" t="s">
        <v>342</v>
      </c>
      <c r="J194" s="167"/>
      <c r="K194" s="167" t="s">
        <v>0</v>
      </c>
      <c r="L194" s="23" t="s">
        <v>384</v>
      </c>
      <c r="M194" s="20"/>
      <c r="N194" s="20"/>
      <c r="O194" s="167" t="s">
        <v>342</v>
      </c>
      <c r="P194" s="167"/>
      <c r="Q194" s="167" t="s">
        <v>0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>
      <c r="B195" s="20"/>
      <c r="C195" s="20"/>
      <c r="D195" s="20"/>
      <c r="E195" s="20"/>
      <c r="F195" s="20"/>
      <c r="G195" s="20"/>
      <c r="H195" s="20"/>
      <c r="I195" s="168" t="s">
        <v>344</v>
      </c>
      <c r="J195" s="168"/>
      <c r="K195" s="21">
        <v>100</v>
      </c>
      <c r="L195" s="169">
        <f>K195</f>
        <v>100</v>
      </c>
      <c r="M195" s="20"/>
      <c r="N195" s="20"/>
      <c r="O195" s="168" t="s">
        <v>344</v>
      </c>
      <c r="P195" s="168"/>
      <c r="Q195" s="21">
        <v>0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>
      <c r="B196" s="20"/>
      <c r="C196" s="20"/>
      <c r="D196" s="20"/>
      <c r="E196" s="20"/>
      <c r="F196" s="20"/>
      <c r="G196" s="20"/>
      <c r="H196" s="20"/>
      <c r="I196" s="168" t="s">
        <v>345</v>
      </c>
      <c r="J196" s="168"/>
      <c r="K196" s="21">
        <v>1</v>
      </c>
      <c r="L196" s="169">
        <f>K196</f>
        <v>1</v>
      </c>
      <c r="M196" s="20"/>
      <c r="N196" s="20"/>
      <c r="O196" s="168" t="s">
        <v>345</v>
      </c>
      <c r="P196" s="168"/>
      <c r="Q196" s="21">
        <v>0</v>
      </c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>
      <c r="B197" s="20"/>
      <c r="C197" s="20"/>
      <c r="D197" s="20"/>
      <c r="E197" s="20"/>
      <c r="F197" s="20"/>
      <c r="G197" s="20"/>
      <c r="H197" s="20"/>
      <c r="I197" s="168" t="s">
        <v>346</v>
      </c>
      <c r="J197" s="168"/>
      <c r="K197" s="169">
        <f>K195*K196</f>
        <v>100</v>
      </c>
      <c r="L197" s="169">
        <f>K197</f>
        <v>100</v>
      </c>
      <c r="M197" s="20"/>
      <c r="N197" s="20"/>
      <c r="O197" s="168" t="s">
        <v>347</v>
      </c>
      <c r="P197" s="168"/>
      <c r="Q197" s="169">
        <f>Q195*Q196</f>
        <v>0</v>
      </c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>
      <c r="B198" s="20"/>
      <c r="C198" s="20"/>
      <c r="D198" s="20"/>
      <c r="E198" s="20"/>
      <c r="F198" s="20"/>
      <c r="G198" s="20"/>
      <c r="H198" s="20"/>
      <c r="I198" s="168" t="s">
        <v>348</v>
      </c>
      <c r="J198" s="168"/>
      <c r="K198" s="21">
        <v>600</v>
      </c>
      <c r="L198" s="21">
        <v>1400</v>
      </c>
      <c r="M198" s="20"/>
      <c r="N198" s="20"/>
      <c r="O198" s="168" t="s">
        <v>348</v>
      </c>
      <c r="P198" s="168"/>
      <c r="Q198" s="21">
        <v>0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>
      <c r="B199" s="20"/>
      <c r="C199" s="20"/>
      <c r="D199" s="20"/>
      <c r="E199" s="20"/>
      <c r="F199" s="20"/>
      <c r="G199" s="20"/>
      <c r="H199" s="20"/>
      <c r="I199" s="168" t="s">
        <v>349</v>
      </c>
      <c r="J199" s="168"/>
      <c r="K199" s="169">
        <f>K198*K196</f>
        <v>600</v>
      </c>
      <c r="L199" s="169">
        <f>L198*K196</f>
        <v>1400</v>
      </c>
      <c r="M199" s="20"/>
      <c r="N199" s="20"/>
      <c r="O199" s="168" t="s">
        <v>345</v>
      </c>
      <c r="P199" s="168"/>
      <c r="Q199" s="21">
        <v>0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>
      <c r="B200" s="20"/>
      <c r="C200" s="20"/>
      <c r="D200" s="20"/>
      <c r="E200" s="20"/>
      <c r="F200" s="20"/>
      <c r="G200" s="20"/>
      <c r="H200" s="20"/>
      <c r="I200" s="168"/>
      <c r="J200" s="168"/>
      <c r="K200" s="169"/>
      <c r="L200" s="169"/>
      <c r="M200" s="20"/>
      <c r="N200" s="20"/>
      <c r="O200" s="168" t="s">
        <v>347</v>
      </c>
      <c r="P200" s="168"/>
      <c r="Q200" s="169">
        <f>Q199*Q198</f>
        <v>0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>
      <c r="B201" s="20"/>
      <c r="C201" s="20"/>
      <c r="D201" s="20"/>
      <c r="E201" s="20"/>
      <c r="F201" s="20"/>
      <c r="G201" s="20"/>
      <c r="H201" s="20"/>
      <c r="I201" s="168"/>
      <c r="J201" s="168"/>
      <c r="K201" s="169"/>
      <c r="L201" s="169"/>
      <c r="M201" s="20"/>
      <c r="N201" s="20"/>
      <c r="O201" s="168"/>
      <c r="P201" s="168"/>
      <c r="Q201" s="169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>
      <c r="B202" s="20"/>
      <c r="C202" s="20"/>
      <c r="D202" s="20"/>
      <c r="E202" s="20"/>
      <c r="F202" s="20"/>
      <c r="G202" s="20"/>
      <c r="H202" s="20"/>
      <c r="I202" s="170" t="s">
        <v>350</v>
      </c>
      <c r="J202" s="170"/>
      <c r="K202" s="171">
        <f>K199/K197</f>
        <v>6</v>
      </c>
      <c r="L202" s="171">
        <f>L199/L197</f>
        <v>14</v>
      </c>
      <c r="M202" s="20"/>
      <c r="N202" s="20"/>
      <c r="O202" s="170" t="s">
        <v>350</v>
      </c>
      <c r="P202" s="170"/>
      <c r="Q202" s="171" t="e">
        <f>Q200/Q197</f>
        <v>#DIV/0!</v>
      </c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</sheetData>
  <mergeCells count="5">
    <mergeCell ref="AD2:AE2"/>
    <mergeCell ref="AD3:AE3"/>
    <mergeCell ref="I193:K193"/>
    <mergeCell ref="O193:Q193"/>
    <mergeCell ref="K180:L180"/>
  </mergeCells>
  <pageMargins left="0.7" right="0.7" top="0.75" bottom="0.75" header="0.3" footer="0.3"/>
  <pageSetup orientation="portrait" r:id="rId1"/>
  <ignoredErrors>
    <ignoredError sqref="C171" evalError="1"/>
    <ignoredError sqref="T5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87" t="s">
        <v>27</v>
      </c>
      <c r="K5" s="187"/>
      <c r="M5" s="187" t="s">
        <v>65</v>
      </c>
      <c r="N5" s="187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87" t="s">
        <v>36</v>
      </c>
      <c r="K14" s="187"/>
      <c r="L14" s="187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87" t="s">
        <v>27</v>
      </c>
      <c r="S5" s="187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87" t="s">
        <v>36</v>
      </c>
      <c r="S14" s="187"/>
      <c r="T14" s="187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87" t="s">
        <v>27</v>
      </c>
      <c r="C2" s="187"/>
      <c r="E2" s="187" t="s">
        <v>65</v>
      </c>
      <c r="F2" s="187"/>
      <c r="H2" s="191" t="s">
        <v>36</v>
      </c>
      <c r="I2" s="192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88" t="s">
        <v>68</v>
      </c>
      <c r="E10" s="189"/>
      <c r="F10" s="189"/>
      <c r="G10" s="189"/>
      <c r="H10" s="190"/>
      <c r="I10" s="188" t="s">
        <v>72</v>
      </c>
      <c r="J10" s="189"/>
      <c r="K10" s="189"/>
      <c r="L10" s="190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2013-12-31T09:02:36Z</dcterms:modified>
</cp:coreProperties>
</file>
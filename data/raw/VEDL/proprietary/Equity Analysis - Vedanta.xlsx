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N12" i="18"/>
  <c r="M12"/>
  <c r="I12"/>
  <c r="H47" l="1"/>
  <c r="H45"/>
  <c r="H43"/>
  <c r="H42"/>
  <c r="H41"/>
  <c r="H40"/>
  <c r="H38"/>
  <c r="H36"/>
  <c r="H29"/>
  <c r="R129" l="1"/>
  <c r="Q129"/>
  <c r="P129"/>
  <c r="O129"/>
  <c r="N129"/>
  <c r="M129"/>
  <c r="L129"/>
  <c r="K129"/>
  <c r="J129"/>
  <c r="I129"/>
  <c r="H129"/>
  <c r="AF47"/>
  <c r="T47"/>
  <c r="U47" s="1"/>
  <c r="V47" s="1"/>
  <c r="W47" s="1"/>
  <c r="X47" s="1"/>
  <c r="Y47" s="1"/>
  <c r="Z47" s="1"/>
  <c r="AA47" s="1"/>
  <c r="AB47" s="1"/>
  <c r="AC47" s="1"/>
  <c r="AD47" s="1"/>
  <c r="S47"/>
  <c r="R48"/>
  <c r="Q48"/>
  <c r="P48"/>
  <c r="O48"/>
  <c r="N48"/>
  <c r="M48"/>
  <c r="L48"/>
  <c r="K48"/>
  <c r="J48"/>
  <c r="I48"/>
  <c r="H48"/>
  <c r="R130"/>
  <c r="Q130"/>
  <c r="P130"/>
  <c r="O130"/>
  <c r="N130"/>
  <c r="M130"/>
  <c r="L130"/>
  <c r="K130"/>
  <c r="J130"/>
  <c r="I130"/>
  <c r="H130"/>
  <c r="U57"/>
  <c r="S129" l="1"/>
  <c r="S130"/>
  <c r="AE47"/>
  <c r="AG47"/>
  <c r="R126"/>
  <c r="Q126"/>
  <c r="P126"/>
  <c r="O126"/>
  <c r="N126"/>
  <c r="M126"/>
  <c r="L126"/>
  <c r="K126"/>
  <c r="J126"/>
  <c r="I126"/>
  <c r="I46"/>
  <c r="T49"/>
  <c r="H49"/>
  <c r="S49" s="1"/>
  <c r="R46"/>
  <c r="Q46"/>
  <c r="P46"/>
  <c r="O46"/>
  <c r="N46"/>
  <c r="M46"/>
  <c r="L46"/>
  <c r="K46"/>
  <c r="J46"/>
  <c r="H46"/>
  <c r="R44"/>
  <c r="Q44"/>
  <c r="P44"/>
  <c r="O44"/>
  <c r="N44"/>
  <c r="M44"/>
  <c r="L44"/>
  <c r="K44"/>
  <c r="J44"/>
  <c r="H44"/>
  <c r="R39"/>
  <c r="Q39"/>
  <c r="P39"/>
  <c r="O39"/>
  <c r="N39"/>
  <c r="M39"/>
  <c r="L39"/>
  <c r="K39"/>
  <c r="J39"/>
  <c r="I39"/>
  <c r="R37"/>
  <c r="Q37"/>
  <c r="P37"/>
  <c r="O37"/>
  <c r="N37"/>
  <c r="M37"/>
  <c r="L37"/>
  <c r="K37"/>
  <c r="J37"/>
  <c r="I44"/>
  <c r="H39"/>
  <c r="H126"/>
  <c r="H37" l="1"/>
  <c r="I3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31"/>
  <c r="I128"/>
  <c r="I127"/>
  <c r="H132"/>
  <c r="H128"/>
  <c r="H131"/>
  <c r="H127"/>
  <c r="R125"/>
  <c r="Q125"/>
  <c r="P125"/>
  <c r="O125"/>
  <c r="N125"/>
  <c r="M125"/>
  <c r="L125"/>
  <c r="K125"/>
  <c r="J125"/>
  <c r="I125"/>
  <c r="H125"/>
  <c r="R124"/>
  <c r="Q124"/>
  <c r="P124"/>
  <c r="O124"/>
  <c r="N124"/>
  <c r="M124"/>
  <c r="L124"/>
  <c r="K124"/>
  <c r="J124"/>
  <c r="I124"/>
  <c r="H124"/>
  <c r="AF49"/>
  <c r="AF45"/>
  <c r="AF43"/>
  <c r="AF42"/>
  <c r="AF41"/>
  <c r="AF40"/>
  <c r="AF38"/>
  <c r="AF36"/>
  <c r="T40"/>
  <c r="U40" s="1"/>
  <c r="V40" s="1"/>
  <c r="W40" s="1"/>
  <c r="X40" s="1"/>
  <c r="Y40" s="1"/>
  <c r="Z40" s="1"/>
  <c r="AA40" s="1"/>
  <c r="AB40" s="1"/>
  <c r="AC40" s="1"/>
  <c r="AD40" s="1"/>
  <c r="S40"/>
  <c r="U49"/>
  <c r="V49" s="1"/>
  <c r="W49" s="1"/>
  <c r="X49" s="1"/>
  <c r="Y49" s="1"/>
  <c r="Z49" s="1"/>
  <c r="AA49" s="1"/>
  <c r="AB49" s="1"/>
  <c r="AC49" s="1"/>
  <c r="AD49" s="1"/>
  <c r="T45"/>
  <c r="U45" s="1"/>
  <c r="V45" s="1"/>
  <c r="W45" s="1"/>
  <c r="X45" s="1"/>
  <c r="Y45" s="1"/>
  <c r="Z45" s="1"/>
  <c r="AA45" s="1"/>
  <c r="AB45" s="1"/>
  <c r="AC45" s="1"/>
  <c r="AD45" s="1"/>
  <c r="S45"/>
  <c r="S131" l="1"/>
  <c r="S127"/>
  <c r="S132"/>
  <c r="S128"/>
  <c r="S126"/>
  <c r="S125"/>
  <c r="S124"/>
  <c r="AE49"/>
  <c r="AE45"/>
  <c r="AE40"/>
  <c r="T43"/>
  <c r="U43" s="1"/>
  <c r="V43" s="1"/>
  <c r="W43" s="1"/>
  <c r="X43" s="1"/>
  <c r="Y43" s="1"/>
  <c r="Z43" s="1"/>
  <c r="AA43" s="1"/>
  <c r="AB43" s="1"/>
  <c r="AC43" s="1"/>
  <c r="AD43" s="1"/>
  <c r="AE43" s="1"/>
  <c r="S43"/>
  <c r="T42"/>
  <c r="U42" s="1"/>
  <c r="V42" s="1"/>
  <c r="W42" s="1"/>
  <c r="X42" s="1"/>
  <c r="Y42" s="1"/>
  <c r="Z42" s="1"/>
  <c r="AA42" s="1"/>
  <c r="AB42" s="1"/>
  <c r="AC42" s="1"/>
  <c r="AD42" s="1"/>
  <c r="AE42" s="1"/>
  <c r="S42"/>
  <c r="T41"/>
  <c r="U41" s="1"/>
  <c r="V41" s="1"/>
  <c r="W41" s="1"/>
  <c r="X41" s="1"/>
  <c r="Y41" s="1"/>
  <c r="Z41" s="1"/>
  <c r="AA41" s="1"/>
  <c r="AB41" s="1"/>
  <c r="AC41" s="1"/>
  <c r="AD41" s="1"/>
  <c r="S41"/>
  <c r="T38"/>
  <c r="U38" s="1"/>
  <c r="S38"/>
  <c r="T36"/>
  <c r="U36" s="1"/>
  <c r="S36"/>
  <c r="V38" l="1"/>
  <c r="U127"/>
  <c r="V36"/>
  <c r="U126"/>
  <c r="U128"/>
  <c r="AE41"/>
  <c r="B215"/>
  <c r="AF227"/>
  <c r="AF224"/>
  <c r="AF226"/>
  <c r="AF225"/>
  <c r="AF222"/>
  <c r="AF221"/>
  <c r="AF220"/>
  <c r="AF219"/>
  <c r="AF214"/>
  <c r="AF217"/>
  <c r="AF216"/>
  <c r="AF215"/>
  <c r="AF212"/>
  <c r="AF211"/>
  <c r="AF208"/>
  <c r="AF207"/>
  <c r="AF210"/>
  <c r="AF209"/>
  <c r="AF206"/>
  <c r="AF205"/>
  <c r="AF204"/>
  <c r="AF203"/>
  <c r="AF202"/>
  <c r="AF201"/>
  <c r="AG224"/>
  <c r="W38" l="1"/>
  <c r="V127"/>
  <c r="W36"/>
  <c r="V126"/>
  <c r="V128"/>
  <c r="AG225"/>
  <c r="R212"/>
  <c r="Q212"/>
  <c r="P212"/>
  <c r="O212"/>
  <c r="N212"/>
  <c r="M212"/>
  <c r="L212"/>
  <c r="K212"/>
  <c r="J212"/>
  <c r="I212"/>
  <c r="H212"/>
  <c r="X38" l="1"/>
  <c r="W127"/>
  <c r="X36"/>
  <c r="W128"/>
  <c r="W126"/>
  <c r="S212"/>
  <c r="R60"/>
  <c r="Q60"/>
  <c r="P60"/>
  <c r="O60"/>
  <c r="N60"/>
  <c r="M60"/>
  <c r="L60"/>
  <c r="K60"/>
  <c r="J60"/>
  <c r="I60"/>
  <c r="H60"/>
  <c r="R58"/>
  <c r="Q58"/>
  <c r="P58"/>
  <c r="O58"/>
  <c r="N58"/>
  <c r="M58"/>
  <c r="L58"/>
  <c r="K58"/>
  <c r="J58"/>
  <c r="I58"/>
  <c r="H58"/>
  <c r="R56"/>
  <c r="Q56"/>
  <c r="P56"/>
  <c r="O56"/>
  <c r="N56"/>
  <c r="M56"/>
  <c r="L56"/>
  <c r="K56"/>
  <c r="J56"/>
  <c r="I56"/>
  <c r="H56"/>
  <c r="R54"/>
  <c r="Q54"/>
  <c r="P54"/>
  <c r="O54"/>
  <c r="N54"/>
  <c r="M54"/>
  <c r="L54"/>
  <c r="K54"/>
  <c r="J54"/>
  <c r="I54"/>
  <c r="H54"/>
  <c r="R52"/>
  <c r="Q52"/>
  <c r="P52"/>
  <c r="O52"/>
  <c r="N52"/>
  <c r="M52"/>
  <c r="L52"/>
  <c r="K52"/>
  <c r="J52"/>
  <c r="I52"/>
  <c r="H52"/>
  <c r="R30"/>
  <c r="Q30"/>
  <c r="P30"/>
  <c r="O30"/>
  <c r="N30"/>
  <c r="M30"/>
  <c r="L30"/>
  <c r="K30"/>
  <c r="J30"/>
  <c r="I30"/>
  <c r="H30"/>
  <c r="R28"/>
  <c r="Q28"/>
  <c r="P28"/>
  <c r="O28"/>
  <c r="N28"/>
  <c r="M28"/>
  <c r="L28"/>
  <c r="K28"/>
  <c r="J28"/>
  <c r="I28"/>
  <c r="H28"/>
  <c r="R26"/>
  <c r="Q26"/>
  <c r="P26"/>
  <c r="O26"/>
  <c r="N26"/>
  <c r="M26"/>
  <c r="L26"/>
  <c r="K26"/>
  <c r="J26"/>
  <c r="I26"/>
  <c r="H26"/>
  <c r="R11"/>
  <c r="Q11"/>
  <c r="P11"/>
  <c r="O11"/>
  <c r="N11"/>
  <c r="M11"/>
  <c r="L11"/>
  <c r="K11"/>
  <c r="J11"/>
  <c r="I11"/>
  <c r="H11"/>
  <c r="R8"/>
  <c r="Q8"/>
  <c r="P8"/>
  <c r="O8"/>
  <c r="N8"/>
  <c r="M8"/>
  <c r="L8"/>
  <c r="K8"/>
  <c r="J8"/>
  <c r="I8"/>
  <c r="H8"/>
  <c r="Y38" l="1"/>
  <c r="X127"/>
  <c r="Y36"/>
  <c r="X128"/>
  <c r="X126"/>
  <c r="R102"/>
  <c r="Q102"/>
  <c r="P102"/>
  <c r="O102"/>
  <c r="N102"/>
  <c r="M102"/>
  <c r="L102"/>
  <c r="K102"/>
  <c r="J102"/>
  <c r="I102"/>
  <c r="H102"/>
  <c r="Z38" l="1"/>
  <c r="Y127"/>
  <c r="Z36"/>
  <c r="Y126"/>
  <c r="Y128"/>
  <c r="T170"/>
  <c r="U220" s="1"/>
  <c r="R170"/>
  <c r="U225" s="1"/>
  <c r="S102"/>
  <c r="C1"/>
  <c r="AA38" l="1"/>
  <c r="Z127"/>
  <c r="AA36"/>
  <c r="Z126"/>
  <c r="Z128"/>
  <c r="AG45"/>
  <c r="AG40"/>
  <c r="AG49"/>
  <c r="AG41"/>
  <c r="AG42"/>
  <c r="AG43"/>
  <c r="L225"/>
  <c r="L226" s="1"/>
  <c r="L227" s="1"/>
  <c r="U221"/>
  <c r="U222" s="1"/>
  <c r="U219"/>
  <c r="R225"/>
  <c r="Q225"/>
  <c r="Q224" s="1"/>
  <c r="U226"/>
  <c r="U227" s="1"/>
  <c r="U224"/>
  <c r="P225"/>
  <c r="K225"/>
  <c r="J225"/>
  <c r="O225"/>
  <c r="I225"/>
  <c r="N225"/>
  <c r="H225"/>
  <c r="M225"/>
  <c r="Q237"/>
  <c r="N220"/>
  <c r="Q220"/>
  <c r="Q219" s="1"/>
  <c r="M220"/>
  <c r="I220"/>
  <c r="P220"/>
  <c r="L220"/>
  <c r="H220"/>
  <c r="O220"/>
  <c r="K220"/>
  <c r="R220"/>
  <c r="J220"/>
  <c r="AF71"/>
  <c r="AF70"/>
  <c r="AF68"/>
  <c r="H71"/>
  <c r="H205" s="1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R71"/>
  <c r="R205" s="1"/>
  <c r="H70"/>
  <c r="H204" s="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AB38" l="1"/>
  <c r="AA127"/>
  <c r="AB36"/>
  <c r="AA128"/>
  <c r="AA126"/>
  <c r="L224"/>
  <c r="Q226"/>
  <c r="Q227" s="1"/>
  <c r="K221"/>
  <c r="K222" s="1"/>
  <c r="K219"/>
  <c r="P221"/>
  <c r="P222" s="1"/>
  <c r="P219"/>
  <c r="N221"/>
  <c r="N222" s="1"/>
  <c r="N219"/>
  <c r="M226"/>
  <c r="M227" s="1"/>
  <c r="M224"/>
  <c r="O226"/>
  <c r="O227" s="1"/>
  <c r="O224"/>
  <c r="O221"/>
  <c r="O222" s="1"/>
  <c r="O219"/>
  <c r="I221"/>
  <c r="I222" s="1"/>
  <c r="I219"/>
  <c r="H226"/>
  <c r="H227" s="1"/>
  <c r="H224"/>
  <c r="S224" s="1"/>
  <c r="J226"/>
  <c r="J227" s="1"/>
  <c r="J224"/>
  <c r="J221"/>
  <c r="J222" s="1"/>
  <c r="J219"/>
  <c r="H221"/>
  <c r="H222" s="1"/>
  <c r="H219"/>
  <c r="S219" s="1"/>
  <c r="M221"/>
  <c r="M222" s="1"/>
  <c r="M219"/>
  <c r="S225"/>
  <c r="N226"/>
  <c r="N227" s="1"/>
  <c r="N224"/>
  <c r="K226"/>
  <c r="K227" s="1"/>
  <c r="K224"/>
  <c r="R221"/>
  <c r="R222" s="1"/>
  <c r="R219"/>
  <c r="L221"/>
  <c r="L222" s="1"/>
  <c r="L219"/>
  <c r="I226"/>
  <c r="I227" s="1"/>
  <c r="I224"/>
  <c r="P226"/>
  <c r="P227" s="1"/>
  <c r="P224"/>
  <c r="R226"/>
  <c r="R227" s="1"/>
  <c r="R224"/>
  <c r="Q221"/>
  <c r="S220"/>
  <c r="S204"/>
  <c r="S71"/>
  <c r="Q205"/>
  <c r="S205" s="1"/>
  <c r="S70"/>
  <c r="AC38" l="1"/>
  <c r="AB127"/>
  <c r="AC36"/>
  <c r="AB128"/>
  <c r="AB126"/>
  <c r="S227"/>
  <c r="S226"/>
  <c r="Q222"/>
  <c r="S222" s="1"/>
  <c r="S221"/>
  <c r="H147"/>
  <c r="I147"/>
  <c r="J147"/>
  <c r="K147"/>
  <c r="L147"/>
  <c r="M147"/>
  <c r="N147"/>
  <c r="O147"/>
  <c r="P147"/>
  <c r="Q147"/>
  <c r="R147"/>
  <c r="R146"/>
  <c r="AD38" l="1"/>
  <c r="AC127"/>
  <c r="AD36"/>
  <c r="AC126"/>
  <c r="AC128"/>
  <c r="S147"/>
  <c r="I254"/>
  <c r="I251"/>
  <c r="I252"/>
  <c r="I253"/>
  <c r="AE38" l="1"/>
  <c r="AD127"/>
  <c r="AE127" s="1"/>
  <c r="AG38"/>
  <c r="AD126"/>
  <c r="AE126" s="1"/>
  <c r="AD128"/>
  <c r="AE128" s="1"/>
  <c r="AE36"/>
  <c r="AG36"/>
  <c r="R243"/>
  <c r="R242"/>
  <c r="R241"/>
  <c r="R211"/>
  <c r="R66"/>
  <c r="R202" s="1"/>
  <c r="R67"/>
  <c r="R68"/>
  <c r="R110" s="1"/>
  <c r="R72"/>
  <c r="R214" s="1"/>
  <c r="R73"/>
  <c r="R74"/>
  <c r="R75"/>
  <c r="R206" s="1"/>
  <c r="R76"/>
  <c r="R78"/>
  <c r="R79"/>
  <c r="R80"/>
  <c r="R209" s="1"/>
  <c r="R82"/>
  <c r="R83"/>
  <c r="R85"/>
  <c r="R86"/>
  <c r="R208" s="1"/>
  <c r="R88"/>
  <c r="R139" s="1"/>
  <c r="R140" s="1"/>
  <c r="R90"/>
  <c r="R92" s="1"/>
  <c r="R93"/>
  <c r="R94"/>
  <c r="R95"/>
  <c r="R96"/>
  <c r="R98"/>
  <c r="R164" s="1"/>
  <c r="R99"/>
  <c r="R100"/>
  <c r="R105"/>
  <c r="R106"/>
  <c r="R107"/>
  <c r="R108"/>
  <c r="R109"/>
  <c r="R112"/>
  <c r="R118" s="1"/>
  <c r="R113"/>
  <c r="R119" s="1"/>
  <c r="R114"/>
  <c r="R120" s="1"/>
  <c r="R115"/>
  <c r="R121" s="1"/>
  <c r="R116"/>
  <c r="R122" s="1"/>
  <c r="R134"/>
  <c r="R135"/>
  <c r="R136"/>
  <c r="R137"/>
  <c r="R145"/>
  <c r="R149"/>
  <c r="R150"/>
  <c r="R151"/>
  <c r="R154"/>
  <c r="R155"/>
  <c r="R156"/>
  <c r="R157"/>
  <c r="R159"/>
  <c r="R160"/>
  <c r="R162"/>
  <c r="R163" s="1"/>
  <c r="R166"/>
  <c r="R167"/>
  <c r="U17"/>
  <c r="U19"/>
  <c r="U24"/>
  <c r="S59"/>
  <c r="S57"/>
  <c r="S55"/>
  <c r="S53"/>
  <c r="S51"/>
  <c r="S34"/>
  <c r="S33"/>
  <c r="S32"/>
  <c r="S31"/>
  <c r="S29"/>
  <c r="S27"/>
  <c r="S25"/>
  <c r="S23"/>
  <c r="S22"/>
  <c r="S21"/>
  <c r="S20"/>
  <c r="S18"/>
  <c r="S16"/>
  <c r="S15"/>
  <c r="S14"/>
  <c r="S13"/>
  <c r="S12"/>
  <c r="S10"/>
  <c r="S9"/>
  <c r="S7"/>
  <c r="S6"/>
  <c r="Q238" l="1"/>
  <c r="R203"/>
  <c r="R84"/>
  <c r="R207" s="1"/>
  <c r="R141"/>
  <c r="R142" s="1"/>
  <c r="R143"/>
  <c r="I68"/>
  <c r="I110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H68"/>
  <c r="H110" s="1"/>
  <c r="R216" l="1"/>
  <c r="R217" s="1"/>
  <c r="R215"/>
  <c r="I238"/>
  <c r="S110"/>
  <c r="S68"/>
  <c r="T59"/>
  <c r="U59" s="1"/>
  <c r="L234" l="1"/>
  <c r="L233"/>
  <c r="L232"/>
  <c r="L231"/>
  <c r="AF53" l="1"/>
  <c r="T53"/>
  <c r="U53" l="1"/>
  <c r="V53" l="1"/>
  <c r="L238"/>
  <c r="U238" s="1"/>
  <c r="U239" s="1"/>
  <c r="L237"/>
  <c r="W53" l="1"/>
  <c r="V252"/>
  <c r="V253" s="1"/>
  <c r="D250"/>
  <c r="H264" s="1"/>
  <c r="L264" s="1"/>
  <c r="I250"/>
  <c r="M134"/>
  <c r="K134"/>
  <c r="I134"/>
  <c r="H134"/>
  <c r="J134"/>
  <c r="L134"/>
  <c r="N134"/>
  <c r="O134"/>
  <c r="P134"/>
  <c r="Q134"/>
  <c r="I167"/>
  <c r="J167"/>
  <c r="K167"/>
  <c r="L167"/>
  <c r="M167"/>
  <c r="N167"/>
  <c r="O167"/>
  <c r="P167"/>
  <c r="Q167"/>
  <c r="I166"/>
  <c r="J166"/>
  <c r="K166"/>
  <c r="L166"/>
  <c r="M166"/>
  <c r="N166"/>
  <c r="O166"/>
  <c r="P166"/>
  <c r="Q166"/>
  <c r="H268"/>
  <c r="H269" s="1"/>
  <c r="AF73"/>
  <c r="I73"/>
  <c r="J73"/>
  <c r="K73"/>
  <c r="L73"/>
  <c r="M73"/>
  <c r="N73"/>
  <c r="O73"/>
  <c r="P73"/>
  <c r="Q73"/>
  <c r="H73"/>
  <c r="I259"/>
  <c r="D258"/>
  <c r="H265" s="1"/>
  <c r="L265" s="1"/>
  <c r="I257"/>
  <c r="J257" s="1"/>
  <c r="K257" s="1"/>
  <c r="K258" s="1"/>
  <c r="I255"/>
  <c r="I249"/>
  <c r="I248"/>
  <c r="J248" s="1"/>
  <c r="K248" s="1"/>
  <c r="X53" l="1"/>
  <c r="H270"/>
  <c r="H267"/>
  <c r="D260"/>
  <c r="L268"/>
  <c r="S73"/>
  <c r="L267"/>
  <c r="J249"/>
  <c r="K249" s="1"/>
  <c r="J259"/>
  <c r="K259" s="1"/>
  <c r="K260" s="1"/>
  <c r="I109"/>
  <c r="J109"/>
  <c r="K109"/>
  <c r="L109"/>
  <c r="M109"/>
  <c r="N109"/>
  <c r="O109"/>
  <c r="P109"/>
  <c r="Q109"/>
  <c r="H109"/>
  <c r="H167"/>
  <c r="H166"/>
  <c r="AF14"/>
  <c r="T14"/>
  <c r="V249"/>
  <c r="V248"/>
  <c r="P249"/>
  <c r="P252" s="1"/>
  <c r="P248"/>
  <c r="I116"/>
  <c r="I122" s="1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H116"/>
  <c r="H122" s="1"/>
  <c r="I113"/>
  <c r="I119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H113"/>
  <c r="H119" s="1"/>
  <c r="I114"/>
  <c r="I120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H114"/>
  <c r="H120" s="1"/>
  <c r="I162"/>
  <c r="I163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H162"/>
  <c r="H163" s="1"/>
  <c r="Y53" l="1"/>
  <c r="S122"/>
  <c r="S119"/>
  <c r="U14"/>
  <c r="V14" s="1"/>
  <c r="W14" s="1"/>
  <c r="X14" s="1"/>
  <c r="Y14" s="1"/>
  <c r="Z14" s="1"/>
  <c r="AA14" s="1"/>
  <c r="AB14" s="1"/>
  <c r="AC14" s="1"/>
  <c r="AD14" s="1"/>
  <c r="S120"/>
  <c r="J250"/>
  <c r="K250" s="1"/>
  <c r="S166"/>
  <c r="S167"/>
  <c r="S109"/>
  <c r="S116"/>
  <c r="S113"/>
  <c r="S163"/>
  <c r="S162"/>
  <c r="S114"/>
  <c r="Q108"/>
  <c r="Q107"/>
  <c r="I108"/>
  <c r="J108"/>
  <c r="K108"/>
  <c r="L108"/>
  <c r="M108"/>
  <c r="N108"/>
  <c r="O108"/>
  <c r="P108"/>
  <c r="H108"/>
  <c r="H107"/>
  <c r="I160"/>
  <c r="J160"/>
  <c r="K160"/>
  <c r="L160"/>
  <c r="M160"/>
  <c r="N160"/>
  <c r="O160"/>
  <c r="P160"/>
  <c r="Q160"/>
  <c r="H160"/>
  <c r="I159"/>
  <c r="J159"/>
  <c r="K159"/>
  <c r="L159"/>
  <c r="M159"/>
  <c r="N159"/>
  <c r="O159"/>
  <c r="P159"/>
  <c r="Q159"/>
  <c r="H159"/>
  <c r="I156"/>
  <c r="J156"/>
  <c r="K156"/>
  <c r="L156"/>
  <c r="M156"/>
  <c r="N156"/>
  <c r="O156"/>
  <c r="P156"/>
  <c r="Q156"/>
  <c r="H156"/>
  <c r="I157"/>
  <c r="J157"/>
  <c r="K157"/>
  <c r="L157"/>
  <c r="M157"/>
  <c r="N157"/>
  <c r="O157"/>
  <c r="P157"/>
  <c r="Q157"/>
  <c r="H157"/>
  <c r="I155"/>
  <c r="J155"/>
  <c r="K155"/>
  <c r="L155"/>
  <c r="M155"/>
  <c r="N155"/>
  <c r="O155"/>
  <c r="P155"/>
  <c r="Q155"/>
  <c r="H155"/>
  <c r="I154"/>
  <c r="J154"/>
  <c r="K154"/>
  <c r="L154"/>
  <c r="M154"/>
  <c r="N154"/>
  <c r="O154"/>
  <c r="P154"/>
  <c r="Q154"/>
  <c r="H154"/>
  <c r="I151"/>
  <c r="J151"/>
  <c r="K151"/>
  <c r="L151"/>
  <c r="M151"/>
  <c r="N151"/>
  <c r="O151"/>
  <c r="P151"/>
  <c r="Q151"/>
  <c r="H151"/>
  <c r="I150"/>
  <c r="J150"/>
  <c r="K150"/>
  <c r="L150"/>
  <c r="M150"/>
  <c r="N150"/>
  <c r="O150"/>
  <c r="P150"/>
  <c r="Q150"/>
  <c r="H150"/>
  <c r="I149"/>
  <c r="J149"/>
  <c r="K149"/>
  <c r="L149"/>
  <c r="M149"/>
  <c r="N149"/>
  <c r="O149"/>
  <c r="P149"/>
  <c r="Q149"/>
  <c r="H149"/>
  <c r="B151"/>
  <c r="B150"/>
  <c r="AF32"/>
  <c r="T32"/>
  <c r="H137"/>
  <c r="I137"/>
  <c r="J137"/>
  <c r="K137"/>
  <c r="L137"/>
  <c r="M137"/>
  <c r="N137"/>
  <c r="O137"/>
  <c r="P137"/>
  <c r="Q137"/>
  <c r="U253"/>
  <c r="O252"/>
  <c r="U250"/>
  <c r="V250" s="1"/>
  <c r="V255" s="1"/>
  <c r="O250"/>
  <c r="P250" s="1"/>
  <c r="P255" s="1"/>
  <c r="I146"/>
  <c r="J146"/>
  <c r="K146"/>
  <c r="L146"/>
  <c r="M146"/>
  <c r="N146"/>
  <c r="O146"/>
  <c r="P146"/>
  <c r="Q146"/>
  <c r="H146"/>
  <c r="I145"/>
  <c r="J145"/>
  <c r="K145"/>
  <c r="L145"/>
  <c r="M145"/>
  <c r="N145"/>
  <c r="O145"/>
  <c r="P145"/>
  <c r="Q145"/>
  <c r="H145"/>
  <c r="J251" l="1"/>
  <c r="K251" s="1"/>
  <c r="J252" s="1"/>
  <c r="K252" s="1"/>
  <c r="J253" s="1"/>
  <c r="K253" s="1"/>
  <c r="J254" s="1"/>
  <c r="K254" s="1"/>
  <c r="J255" s="1"/>
  <c r="K255" s="1"/>
  <c r="K256" s="1"/>
  <c r="Z53"/>
  <c r="AE14"/>
  <c r="AG14"/>
  <c r="U32"/>
  <c r="V32" s="1"/>
  <c r="W32" s="1"/>
  <c r="X32" s="1"/>
  <c r="Y32" s="1"/>
  <c r="Z32" s="1"/>
  <c r="AA32" s="1"/>
  <c r="AB32" s="1"/>
  <c r="AC32" s="1"/>
  <c r="AD32" s="1"/>
  <c r="AE32" s="1"/>
  <c r="S157"/>
  <c r="S108"/>
  <c r="S154"/>
  <c r="S160"/>
  <c r="S159"/>
  <c r="S155"/>
  <c r="S156"/>
  <c r="S149"/>
  <c r="S150"/>
  <c r="S151"/>
  <c r="S137"/>
  <c r="O255"/>
  <c r="U255"/>
  <c r="S146"/>
  <c r="S145"/>
  <c r="T9"/>
  <c r="U9" s="1"/>
  <c r="T10"/>
  <c r="U10" s="1"/>
  <c r="T12"/>
  <c r="U12" s="1"/>
  <c r="T13"/>
  <c r="U13" s="1"/>
  <c r="T15"/>
  <c r="U15" s="1"/>
  <c r="T16"/>
  <c r="U16" s="1"/>
  <c r="T18"/>
  <c r="U18" s="1"/>
  <c r="T20"/>
  <c r="U20" s="1"/>
  <c r="T21"/>
  <c r="U21" s="1"/>
  <c r="T22"/>
  <c r="U22" s="1"/>
  <c r="T23"/>
  <c r="U23" s="1"/>
  <c r="T25"/>
  <c r="U25" s="1"/>
  <c r="U129" s="1"/>
  <c r="T27"/>
  <c r="U27" s="1"/>
  <c r="T29"/>
  <c r="U29" s="1"/>
  <c r="T31"/>
  <c r="T33"/>
  <c r="U33" s="1"/>
  <c r="T34"/>
  <c r="U34" s="1"/>
  <c r="T51"/>
  <c r="U51" s="1"/>
  <c r="T55"/>
  <c r="U55" s="1"/>
  <c r="U130" s="1"/>
  <c r="T7"/>
  <c r="U7" s="1"/>
  <c r="T6"/>
  <c r="U6" s="1"/>
  <c r="AF9"/>
  <c r="AF10"/>
  <c r="AF11"/>
  <c r="AF12"/>
  <c r="AF13"/>
  <c r="AF15"/>
  <c r="AF16"/>
  <c r="AF18"/>
  <c r="AF20"/>
  <c r="AF21"/>
  <c r="AF22"/>
  <c r="AF23"/>
  <c r="AF25"/>
  <c r="AF27"/>
  <c r="AF29"/>
  <c r="AF31"/>
  <c r="AF33"/>
  <c r="AF34"/>
  <c r="AF51"/>
  <c r="AF55"/>
  <c r="AF57"/>
  <c r="AF59"/>
  <c r="AF66"/>
  <c r="AF67"/>
  <c r="AF72"/>
  <c r="AF74"/>
  <c r="AF75"/>
  <c r="AF76"/>
  <c r="AF78"/>
  <c r="AF79"/>
  <c r="AF80"/>
  <c r="AF82"/>
  <c r="AF83"/>
  <c r="AF84"/>
  <c r="AF85"/>
  <c r="AF87"/>
  <c r="AF88"/>
  <c r="AF90"/>
  <c r="AF92"/>
  <c r="AF93"/>
  <c r="AF94"/>
  <c r="AF95"/>
  <c r="AF96"/>
  <c r="AF98"/>
  <c r="AF99"/>
  <c r="AF100"/>
  <c r="AF7"/>
  <c r="AF6"/>
  <c r="U132" l="1"/>
  <c r="U131"/>
  <c r="U124"/>
  <c r="U125"/>
  <c r="U68"/>
  <c r="U110" s="1"/>
  <c r="AA53"/>
  <c r="AG32"/>
  <c r="U31"/>
  <c r="S134"/>
  <c r="I112"/>
  <c r="I118" s="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I115"/>
  <c r="I121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H115"/>
  <c r="H121" s="1"/>
  <c r="H112"/>
  <c r="H118" s="1"/>
  <c r="AB53" l="1"/>
  <c r="V31"/>
  <c r="U147"/>
  <c r="S118"/>
  <c r="S121"/>
  <c r="V29"/>
  <c r="S115"/>
  <c r="S112"/>
  <c r="I136"/>
  <c r="J136"/>
  <c r="K136"/>
  <c r="L136"/>
  <c r="M136"/>
  <c r="N136"/>
  <c r="O136"/>
  <c r="P136"/>
  <c r="Q136"/>
  <c r="H136"/>
  <c r="I135"/>
  <c r="J135"/>
  <c r="K135"/>
  <c r="L135"/>
  <c r="M135"/>
  <c r="N135"/>
  <c r="O135"/>
  <c r="P135"/>
  <c r="Q135"/>
  <c r="H135"/>
  <c r="AC53" l="1"/>
  <c r="W31"/>
  <c r="W29"/>
  <c r="S135"/>
  <c r="S136"/>
  <c r="AG87"/>
  <c r="AD53" l="1"/>
  <c r="X31"/>
  <c r="X29"/>
  <c r="H211"/>
  <c r="I211"/>
  <c r="J211"/>
  <c r="K211"/>
  <c r="L211"/>
  <c r="M211"/>
  <c r="N211"/>
  <c r="O211"/>
  <c r="P211"/>
  <c r="Q211"/>
  <c r="C9" i="15"/>
  <c r="H88" i="18"/>
  <c r="H139" s="1"/>
  <c r="H140" s="1"/>
  <c r="H143" s="1"/>
  <c r="I8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AE53" l="1"/>
  <c r="AG53"/>
  <c r="Y31"/>
  <c r="U88"/>
  <c r="Y29"/>
  <c r="S211"/>
  <c r="O141"/>
  <c r="O142" s="1"/>
  <c r="K141"/>
  <c r="K142" s="1"/>
  <c r="M141"/>
  <c r="M142" s="1"/>
  <c r="I141"/>
  <c r="I142" s="1"/>
  <c r="N141"/>
  <c r="N142" s="1"/>
  <c r="J141"/>
  <c r="J142" s="1"/>
  <c r="P141"/>
  <c r="P142" s="1"/>
  <c r="L141"/>
  <c r="L142" s="1"/>
  <c r="H141"/>
  <c r="H142" s="1"/>
  <c r="Q140"/>
  <c r="Q143" s="1"/>
  <c r="S143" s="1"/>
  <c r="S139"/>
  <c r="V59"/>
  <c r="Z31" l="1"/>
  <c r="W59"/>
  <c r="Z29"/>
  <c r="Q141"/>
  <c r="S140"/>
  <c r="V88"/>
  <c r="H98"/>
  <c r="H164" s="1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H99"/>
  <c r="I99"/>
  <c r="J99"/>
  <c r="K99"/>
  <c r="L99"/>
  <c r="M99"/>
  <c r="N99"/>
  <c r="O99"/>
  <c r="P99"/>
  <c r="H100"/>
  <c r="I100"/>
  <c r="J100"/>
  <c r="K100"/>
  <c r="L100"/>
  <c r="M100"/>
  <c r="N100"/>
  <c r="O100"/>
  <c r="P100"/>
  <c r="Q100"/>
  <c r="Q99"/>
  <c r="Q98"/>
  <c r="Q164" s="1"/>
  <c r="I107"/>
  <c r="J107"/>
  <c r="K107"/>
  <c r="L107"/>
  <c r="M107"/>
  <c r="N107"/>
  <c r="O107"/>
  <c r="P107"/>
  <c r="H106"/>
  <c r="I106"/>
  <c r="J106"/>
  <c r="K106"/>
  <c r="L106"/>
  <c r="M106"/>
  <c r="N106"/>
  <c r="O106"/>
  <c r="P106"/>
  <c r="H105"/>
  <c r="I105"/>
  <c r="J105"/>
  <c r="K105"/>
  <c r="L105"/>
  <c r="M105"/>
  <c r="N105"/>
  <c r="O105"/>
  <c r="P105"/>
  <c r="Q106"/>
  <c r="AA31" l="1"/>
  <c r="X59"/>
  <c r="W88"/>
  <c r="S164"/>
  <c r="AA29"/>
  <c r="S100"/>
  <c r="S98"/>
  <c r="S99"/>
  <c r="S106"/>
  <c r="S107"/>
  <c r="Q105"/>
  <c r="S105" s="1"/>
  <c r="I243"/>
  <c r="J243"/>
  <c r="K243"/>
  <c r="L243"/>
  <c r="M243"/>
  <c r="N243"/>
  <c r="O243"/>
  <c r="P243"/>
  <c r="Q243"/>
  <c r="H243"/>
  <c r="I242"/>
  <c r="J242"/>
  <c r="K242"/>
  <c r="L242"/>
  <c r="M242"/>
  <c r="N242"/>
  <c r="O242"/>
  <c r="P242"/>
  <c r="Q242"/>
  <c r="H242"/>
  <c r="I241"/>
  <c r="J241"/>
  <c r="K241"/>
  <c r="L241"/>
  <c r="M241"/>
  <c r="N241"/>
  <c r="O241"/>
  <c r="P241"/>
  <c r="Q241"/>
  <c r="H241"/>
  <c r="I67"/>
  <c r="J67"/>
  <c r="K67"/>
  <c r="L67"/>
  <c r="M67"/>
  <c r="N67"/>
  <c r="O67"/>
  <c r="P67"/>
  <c r="Q67"/>
  <c r="H67"/>
  <c r="H72"/>
  <c r="H214" s="1"/>
  <c r="I66"/>
  <c r="I202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H66"/>
  <c r="H202" s="1"/>
  <c r="U113"/>
  <c r="U119" s="1"/>
  <c r="AB31" l="1"/>
  <c r="Y59"/>
  <c r="X88"/>
  <c r="S202"/>
  <c r="AB29"/>
  <c r="V51"/>
  <c r="S243"/>
  <c r="S67"/>
  <c r="S66"/>
  <c r="S242"/>
  <c r="S241"/>
  <c r="V113" l="1"/>
  <c r="V119" s="1"/>
  <c r="AC31"/>
  <c r="Z59"/>
  <c r="Y88"/>
  <c r="AC29"/>
  <c r="W51"/>
  <c r="J95"/>
  <c r="K95"/>
  <c r="L95"/>
  <c r="M95"/>
  <c r="N95"/>
  <c r="O95"/>
  <c r="P95"/>
  <c r="Q95"/>
  <c r="J96"/>
  <c r="K96"/>
  <c r="L96"/>
  <c r="M96"/>
  <c r="N96"/>
  <c r="O96"/>
  <c r="P96"/>
  <c r="Q96"/>
  <c r="J90"/>
  <c r="J92" s="1"/>
  <c r="K90"/>
  <c r="K92" s="1"/>
  <c r="L90"/>
  <c r="L92" s="1"/>
  <c r="M90"/>
  <c r="M92" s="1"/>
  <c r="N90"/>
  <c r="N92" s="1"/>
  <c r="O90"/>
  <c r="O92" s="1"/>
  <c r="P90"/>
  <c r="P92" s="1"/>
  <c r="Q90"/>
  <c r="Q92" s="1"/>
  <c r="J93"/>
  <c r="K93"/>
  <c r="L93"/>
  <c r="M93"/>
  <c r="N93"/>
  <c r="O93"/>
  <c r="P93"/>
  <c r="Q93"/>
  <c r="J94"/>
  <c r="K94"/>
  <c r="L94"/>
  <c r="M94"/>
  <c r="N94"/>
  <c r="O94"/>
  <c r="P94"/>
  <c r="Q94"/>
  <c r="H93"/>
  <c r="H94"/>
  <c r="H95"/>
  <c r="H96"/>
  <c r="I96"/>
  <c r="I95"/>
  <c r="V22"/>
  <c r="W22" s="1"/>
  <c r="X22" s="1"/>
  <c r="Y22" s="1"/>
  <c r="Z22" s="1"/>
  <c r="AA22" s="1"/>
  <c r="AB22" s="1"/>
  <c r="AC22" s="1"/>
  <c r="AD22" s="1"/>
  <c r="H90"/>
  <c r="H92" s="1"/>
  <c r="I90"/>
  <c r="I92" s="1"/>
  <c r="I94"/>
  <c r="I93"/>
  <c r="S93" l="1"/>
  <c r="W113"/>
  <c r="W119" s="1"/>
  <c r="AD31"/>
  <c r="AE31" s="1"/>
  <c r="AA59"/>
  <c r="Z88"/>
  <c r="V23"/>
  <c r="U116"/>
  <c r="U122" s="1"/>
  <c r="AD29"/>
  <c r="AE22"/>
  <c r="AG22"/>
  <c r="X51"/>
  <c r="S95"/>
  <c r="S96"/>
  <c r="S94"/>
  <c r="S92"/>
  <c r="S90"/>
  <c r="V21"/>
  <c r="S88"/>
  <c r="S201"/>
  <c r="AG31" l="1"/>
  <c r="X113"/>
  <c r="X119" s="1"/>
  <c r="AA88"/>
  <c r="AB59"/>
  <c r="W23"/>
  <c r="V116"/>
  <c r="V122" s="1"/>
  <c r="AG29"/>
  <c r="AE29"/>
  <c r="V20"/>
  <c r="U90"/>
  <c r="W21"/>
  <c r="C19" i="15"/>
  <c r="V9" i="18"/>
  <c r="W9" s="1"/>
  <c r="X9" s="1"/>
  <c r="Y9" s="1"/>
  <c r="Z9" s="1"/>
  <c r="AA9" s="1"/>
  <c r="AB9" s="1"/>
  <c r="AC9" s="1"/>
  <c r="AD9" s="1"/>
  <c r="AG9" s="1"/>
  <c r="U109"/>
  <c r="V33"/>
  <c r="W33" s="1"/>
  <c r="X33" s="1"/>
  <c r="Y33" s="1"/>
  <c r="Z33" s="1"/>
  <c r="AA33" s="1"/>
  <c r="AB33" s="1"/>
  <c r="AC33" s="1"/>
  <c r="AD33" s="1"/>
  <c r="AG33" s="1"/>
  <c r="V34"/>
  <c r="W34" s="1"/>
  <c r="X34" s="1"/>
  <c r="Y34" s="1"/>
  <c r="Z34" s="1"/>
  <c r="AA34" s="1"/>
  <c r="AB34" s="1"/>
  <c r="AC34" s="1"/>
  <c r="AD34" s="1"/>
  <c r="AG34" s="1"/>
  <c r="Y51"/>
  <c r="P86"/>
  <c r="P208" s="1"/>
  <c r="P85"/>
  <c r="P83"/>
  <c r="P82"/>
  <c r="P80"/>
  <c r="P209" s="1"/>
  <c r="P79"/>
  <c r="P78"/>
  <c r="P76"/>
  <c r="P75"/>
  <c r="P206" s="1"/>
  <c r="P74"/>
  <c r="P72"/>
  <c r="P214" s="1"/>
  <c r="Y113" l="1"/>
  <c r="Y119" s="1"/>
  <c r="AB88"/>
  <c r="AC59"/>
  <c r="V90"/>
  <c r="U156"/>
  <c r="U166"/>
  <c r="U157"/>
  <c r="U167"/>
  <c r="X23"/>
  <c r="W116"/>
  <c r="W122" s="1"/>
  <c r="U150"/>
  <c r="U151"/>
  <c r="U149"/>
  <c r="U137"/>
  <c r="Q142"/>
  <c r="S142" s="1"/>
  <c r="S141"/>
  <c r="U112"/>
  <c r="U118" s="1"/>
  <c r="U146"/>
  <c r="U145"/>
  <c r="V18"/>
  <c r="P203"/>
  <c r="W20"/>
  <c r="V27"/>
  <c r="Z51"/>
  <c r="V25"/>
  <c r="V129" s="1"/>
  <c r="U105"/>
  <c r="X21"/>
  <c r="AE33"/>
  <c r="AE34"/>
  <c r="AE9"/>
  <c r="P84"/>
  <c r="P207" s="1"/>
  <c r="H80"/>
  <c r="H209" s="1"/>
  <c r="I80"/>
  <c r="I209" s="1"/>
  <c r="J80"/>
  <c r="J209" s="1"/>
  <c r="K80"/>
  <c r="K209" s="1"/>
  <c r="L80"/>
  <c r="L209" s="1"/>
  <c r="M80"/>
  <c r="M209" s="1"/>
  <c r="N80"/>
  <c r="N209" s="1"/>
  <c r="O80"/>
  <c r="O209" s="1"/>
  <c r="Q80"/>
  <c r="V124" l="1"/>
  <c r="V125"/>
  <c r="P216"/>
  <c r="P217" s="1"/>
  <c r="P215"/>
  <c r="Z113"/>
  <c r="Z119" s="1"/>
  <c r="V109"/>
  <c r="V147"/>
  <c r="AD59"/>
  <c r="AC88"/>
  <c r="V157"/>
  <c r="V167"/>
  <c r="V156"/>
  <c r="V166"/>
  <c r="Y23"/>
  <c r="X116"/>
  <c r="X122" s="1"/>
  <c r="V149"/>
  <c r="V151"/>
  <c r="V150"/>
  <c r="V137"/>
  <c r="V112"/>
  <c r="V118" s="1"/>
  <c r="V146"/>
  <c r="V145"/>
  <c r="W18"/>
  <c r="X20"/>
  <c r="W90"/>
  <c r="W27"/>
  <c r="W25"/>
  <c r="V105"/>
  <c r="AA51"/>
  <c r="Y21"/>
  <c r="Q209"/>
  <c r="S209" s="1"/>
  <c r="S80"/>
  <c r="H79"/>
  <c r="I79"/>
  <c r="J79"/>
  <c r="K79"/>
  <c r="L79"/>
  <c r="M79"/>
  <c r="N79"/>
  <c r="O79"/>
  <c r="Q79"/>
  <c r="H78"/>
  <c r="I78"/>
  <c r="J78"/>
  <c r="K78"/>
  <c r="L78"/>
  <c r="M78"/>
  <c r="N78"/>
  <c r="O78"/>
  <c r="Q78"/>
  <c r="W125" l="1"/>
  <c r="W129"/>
  <c r="W147"/>
  <c r="W124"/>
  <c r="AA113"/>
  <c r="AA119" s="1"/>
  <c r="AG59"/>
  <c r="AD88"/>
  <c r="AE59"/>
  <c r="W156"/>
  <c r="W166"/>
  <c r="W157"/>
  <c r="W167"/>
  <c r="W109"/>
  <c r="Z23"/>
  <c r="Y116"/>
  <c r="Y122" s="1"/>
  <c r="W151"/>
  <c r="W150"/>
  <c r="W149"/>
  <c r="W137"/>
  <c r="W112"/>
  <c r="W118" s="1"/>
  <c r="W146"/>
  <c r="W145"/>
  <c r="X18"/>
  <c r="Y20"/>
  <c r="X90"/>
  <c r="X27"/>
  <c r="X25"/>
  <c r="X129" s="1"/>
  <c r="W105"/>
  <c r="AB51"/>
  <c r="Z21"/>
  <c r="S78"/>
  <c r="S79"/>
  <c r="C46" i="15"/>
  <c r="X124" i="18" l="1"/>
  <c r="X125"/>
  <c r="AB113"/>
  <c r="AB119" s="1"/>
  <c r="X109"/>
  <c r="X147"/>
  <c r="U188"/>
  <c r="R230" s="1"/>
  <c r="AG88"/>
  <c r="V188" s="1"/>
  <c r="AE88"/>
  <c r="X157"/>
  <c r="X167"/>
  <c r="X156"/>
  <c r="X166"/>
  <c r="AA23"/>
  <c r="Z116"/>
  <c r="Z122" s="1"/>
  <c r="X137"/>
  <c r="X151"/>
  <c r="X150"/>
  <c r="X149"/>
  <c r="X112"/>
  <c r="X118" s="1"/>
  <c r="X146"/>
  <c r="X145"/>
  <c r="Y18"/>
  <c r="Z20"/>
  <c r="Y90"/>
  <c r="Y27"/>
  <c r="Y25"/>
  <c r="X105"/>
  <c r="AC51"/>
  <c r="AA21"/>
  <c r="I72"/>
  <c r="I214" s="1"/>
  <c r="J72"/>
  <c r="J214" s="1"/>
  <c r="K72"/>
  <c r="K214" s="1"/>
  <c r="L72"/>
  <c r="L214" s="1"/>
  <c r="M72"/>
  <c r="M214" s="1"/>
  <c r="N72"/>
  <c r="N214" s="1"/>
  <c r="O72"/>
  <c r="O214" s="1"/>
  <c r="Q72"/>
  <c r="Q214" s="1"/>
  <c r="S214" s="1"/>
  <c r="H86"/>
  <c r="I86"/>
  <c r="I208" s="1"/>
  <c r="J86"/>
  <c r="J208" s="1"/>
  <c r="K86"/>
  <c r="K208" s="1"/>
  <c r="L86"/>
  <c r="L208" s="1"/>
  <c r="M86"/>
  <c r="M208" s="1"/>
  <c r="N86"/>
  <c r="N208" s="1"/>
  <c r="O86"/>
  <c r="Q86"/>
  <c r="H85"/>
  <c r="I85"/>
  <c r="J85"/>
  <c r="K85"/>
  <c r="L85"/>
  <c r="M85"/>
  <c r="N85"/>
  <c r="O85"/>
  <c r="Q85"/>
  <c r="H83"/>
  <c r="I83"/>
  <c r="J83"/>
  <c r="K83"/>
  <c r="L83"/>
  <c r="M83"/>
  <c r="N83"/>
  <c r="O83"/>
  <c r="Q83"/>
  <c r="H82"/>
  <c r="I82"/>
  <c r="J82"/>
  <c r="K82"/>
  <c r="L82"/>
  <c r="M82"/>
  <c r="N82"/>
  <c r="O82"/>
  <c r="Q82"/>
  <c r="H76"/>
  <c r="I76"/>
  <c r="J76"/>
  <c r="K76"/>
  <c r="L76"/>
  <c r="M76"/>
  <c r="N76"/>
  <c r="O76"/>
  <c r="Q76"/>
  <c r="H75"/>
  <c r="I75"/>
  <c r="I206" s="1"/>
  <c r="J75"/>
  <c r="J206" s="1"/>
  <c r="K75"/>
  <c r="K206" s="1"/>
  <c r="L75"/>
  <c r="L206" s="1"/>
  <c r="M75"/>
  <c r="M206" s="1"/>
  <c r="N75"/>
  <c r="N206" s="1"/>
  <c r="O75"/>
  <c r="Q75"/>
  <c r="H74"/>
  <c r="I74"/>
  <c r="J74"/>
  <c r="K74"/>
  <c r="L74"/>
  <c r="M74"/>
  <c r="N74"/>
  <c r="O74"/>
  <c r="Q74"/>
  <c r="U154"/>
  <c r="U162"/>
  <c r="U163" s="1"/>
  <c r="U114"/>
  <c r="U120" s="1"/>
  <c r="Y125" l="1"/>
  <c r="Y129"/>
  <c r="Y147"/>
  <c r="Y124"/>
  <c r="S170"/>
  <c r="U237" s="1"/>
  <c r="U236" s="1"/>
  <c r="U211"/>
  <c r="AC113"/>
  <c r="AC119" s="1"/>
  <c r="U134"/>
  <c r="T188"/>
  <c r="Q230" s="1"/>
  <c r="Y156"/>
  <c r="Y166"/>
  <c r="Y109"/>
  <c r="Y157"/>
  <c r="Y167"/>
  <c r="AB23"/>
  <c r="AA116"/>
  <c r="AA122" s="1"/>
  <c r="U107"/>
  <c r="U108"/>
  <c r="U160"/>
  <c r="U159"/>
  <c r="U115"/>
  <c r="U121" s="1"/>
  <c r="U155"/>
  <c r="I203"/>
  <c r="Y137"/>
  <c r="Y150"/>
  <c r="Y149"/>
  <c r="Y151"/>
  <c r="U136"/>
  <c r="Y112"/>
  <c r="Y118" s="1"/>
  <c r="Y146"/>
  <c r="Y145"/>
  <c r="U135"/>
  <c r="Z18"/>
  <c r="Q203"/>
  <c r="L203"/>
  <c r="K203"/>
  <c r="N203"/>
  <c r="J203"/>
  <c r="AA20"/>
  <c r="Z90"/>
  <c r="I84"/>
  <c r="I207" s="1"/>
  <c r="Z27"/>
  <c r="V12"/>
  <c r="V15"/>
  <c r="V154" s="1"/>
  <c r="V13"/>
  <c r="V10"/>
  <c r="V16"/>
  <c r="V162" s="1"/>
  <c r="V163" s="1"/>
  <c r="V6"/>
  <c r="V7"/>
  <c r="Z25"/>
  <c r="Z129" s="1"/>
  <c r="Y105"/>
  <c r="V55"/>
  <c r="V130" s="1"/>
  <c r="U106"/>
  <c r="AD51"/>
  <c r="M84"/>
  <c r="M207" s="1"/>
  <c r="L84"/>
  <c r="L207" s="1"/>
  <c r="K84"/>
  <c r="K207" s="1"/>
  <c r="AB21"/>
  <c r="V201"/>
  <c r="J84"/>
  <c r="J207" s="1"/>
  <c r="S74"/>
  <c r="H206"/>
  <c r="S75"/>
  <c r="S76"/>
  <c r="S83"/>
  <c r="S85"/>
  <c r="H203"/>
  <c r="S72"/>
  <c r="H208"/>
  <c r="S86"/>
  <c r="H84"/>
  <c r="S82"/>
  <c r="O206"/>
  <c r="O203"/>
  <c r="O208"/>
  <c r="Q206"/>
  <c r="M203"/>
  <c r="O84"/>
  <c r="N84"/>
  <c r="N207" s="1"/>
  <c r="Q208"/>
  <c r="Q84"/>
  <c r="C6" i="12"/>
  <c r="C26" i="15"/>
  <c r="C58"/>
  <c r="C57"/>
  <c r="C54"/>
  <c r="C53"/>
  <c r="C50"/>
  <c r="C49"/>
  <c r="C45"/>
  <c r="V132" i="18" l="1"/>
  <c r="V131"/>
  <c r="Z124"/>
  <c r="Z125"/>
  <c r="V211"/>
  <c r="V220"/>
  <c r="V225"/>
  <c r="H216"/>
  <c r="H217" s="1"/>
  <c r="H215"/>
  <c r="N216"/>
  <c r="N217" s="1"/>
  <c r="N215"/>
  <c r="L216"/>
  <c r="L217" s="1"/>
  <c r="L215"/>
  <c r="O216"/>
  <c r="O217" s="1"/>
  <c r="O215"/>
  <c r="I216"/>
  <c r="I217" s="1"/>
  <c r="I215"/>
  <c r="J216"/>
  <c r="J217" s="1"/>
  <c r="J215"/>
  <c r="K216"/>
  <c r="K217" s="1"/>
  <c r="K215"/>
  <c r="Q216"/>
  <c r="Q217" s="1"/>
  <c r="Q215"/>
  <c r="M216"/>
  <c r="M217" s="1"/>
  <c r="M215"/>
  <c r="Z109"/>
  <c r="Z147"/>
  <c r="V114"/>
  <c r="V120" s="1"/>
  <c r="V68"/>
  <c r="V110" s="1"/>
  <c r="V238"/>
  <c r="W238" s="1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V134"/>
  <c r="Z156"/>
  <c r="Z166"/>
  <c r="Z157"/>
  <c r="Z167"/>
  <c r="AG51"/>
  <c r="AD113"/>
  <c r="AC23"/>
  <c r="AB116"/>
  <c r="AB122" s="1"/>
  <c r="V160"/>
  <c r="V159"/>
  <c r="V115"/>
  <c r="V121" s="1"/>
  <c r="V155"/>
  <c r="V108"/>
  <c r="Z149"/>
  <c r="Z150"/>
  <c r="Z151"/>
  <c r="Z137"/>
  <c r="Z112"/>
  <c r="Z118" s="1"/>
  <c r="Z146"/>
  <c r="Z145"/>
  <c r="V135"/>
  <c r="V136"/>
  <c r="AA18"/>
  <c r="AB20"/>
  <c r="AA90"/>
  <c r="AA27"/>
  <c r="W15"/>
  <c r="W154" s="1"/>
  <c r="W13"/>
  <c r="W12"/>
  <c r="W16"/>
  <c r="W162" s="1"/>
  <c r="W163" s="1"/>
  <c r="W10"/>
  <c r="W7"/>
  <c r="W6"/>
  <c r="AE51"/>
  <c r="AA25"/>
  <c r="AA129" s="1"/>
  <c r="Z105"/>
  <c r="W55"/>
  <c r="W130" s="1"/>
  <c r="V107"/>
  <c r="V106"/>
  <c r="AC21"/>
  <c r="W201"/>
  <c r="S206"/>
  <c r="S203"/>
  <c r="S208"/>
  <c r="H207"/>
  <c r="S84"/>
  <c r="O207"/>
  <c r="Q207"/>
  <c r="C16" i="15"/>
  <c r="C21"/>
  <c r="C10"/>
  <c r="S217" i="18" l="1"/>
  <c r="W131"/>
  <c r="W132"/>
  <c r="AA124"/>
  <c r="AA125"/>
  <c r="S215"/>
  <c r="V226"/>
  <c r="V227" s="1"/>
  <c r="V224"/>
  <c r="V221"/>
  <c r="V222" s="1"/>
  <c r="V219"/>
  <c r="W211"/>
  <c r="W225"/>
  <c r="W220"/>
  <c r="S216"/>
  <c r="AA109"/>
  <c r="AA147"/>
  <c r="W114"/>
  <c r="W120" s="1"/>
  <c r="W68"/>
  <c r="W110" s="1"/>
  <c r="V239"/>
  <c r="W239" s="1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E113"/>
  <c r="AD119"/>
  <c r="AE119" s="1"/>
  <c r="V237"/>
  <c r="W237" s="1"/>
  <c r="X237" s="1"/>
  <c r="Y237" s="1"/>
  <c r="Z237" s="1"/>
  <c r="AA237" s="1"/>
  <c r="AB237" s="1"/>
  <c r="AC237" s="1"/>
  <c r="AD237" s="1"/>
  <c r="AE237" s="1"/>
  <c r="W134"/>
  <c r="AA156"/>
  <c r="AA166"/>
  <c r="AA157"/>
  <c r="AA167"/>
  <c r="AD23"/>
  <c r="AC116"/>
  <c r="AC122" s="1"/>
  <c r="W115"/>
  <c r="W121" s="1"/>
  <c r="W155"/>
  <c r="W160"/>
  <c r="W159"/>
  <c r="W108"/>
  <c r="AA151"/>
  <c r="AA150"/>
  <c r="AA149"/>
  <c r="AA137"/>
  <c r="AA112"/>
  <c r="AA118" s="1"/>
  <c r="AA146"/>
  <c r="AA145"/>
  <c r="W135"/>
  <c r="W136"/>
  <c r="AB18"/>
  <c r="AC20"/>
  <c r="AB90"/>
  <c r="AB27"/>
  <c r="X13"/>
  <c r="X12"/>
  <c r="X15"/>
  <c r="X154" s="1"/>
  <c r="X10"/>
  <c r="X16"/>
  <c r="X162" s="1"/>
  <c r="X163" s="1"/>
  <c r="X6"/>
  <c r="X7"/>
  <c r="X55"/>
  <c r="X130" s="1"/>
  <c r="W107"/>
  <c r="W106"/>
  <c r="AB25"/>
  <c r="AB129" s="1"/>
  <c r="AA105"/>
  <c r="AD21"/>
  <c r="AG21" s="1"/>
  <c r="X201"/>
  <c r="S207"/>
  <c r="D31" i="8"/>
  <c r="D29"/>
  <c r="D28"/>
  <c r="D13"/>
  <c r="D30" s="1"/>
  <c r="E14"/>
  <c r="F14" s="1"/>
  <c r="G14" s="1"/>
  <c r="H14" s="1"/>
  <c r="I14" s="1"/>
  <c r="X132" i="18" l="1"/>
  <c r="X131"/>
  <c r="AB124"/>
  <c r="AB125"/>
  <c r="W221"/>
  <c r="W222" s="1"/>
  <c r="W219"/>
  <c r="W226"/>
  <c r="W227" s="1"/>
  <c r="W224"/>
  <c r="X211"/>
  <c r="X220"/>
  <c r="X225"/>
  <c r="AB109"/>
  <c r="AB147"/>
  <c r="X114"/>
  <c r="X120" s="1"/>
  <c r="X68"/>
  <c r="X110" s="1"/>
  <c r="V236"/>
  <c r="W236" s="1"/>
  <c r="X236" s="1"/>
  <c r="Y236" s="1"/>
  <c r="Z236" s="1"/>
  <c r="AA236" s="1"/>
  <c r="AB236" s="1"/>
  <c r="AC236" s="1"/>
  <c r="AD236" s="1"/>
  <c r="AE236" s="1"/>
  <c r="AF237"/>
  <c r="AG237" s="1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X134"/>
  <c r="AB156"/>
  <c r="AB166"/>
  <c r="AB157"/>
  <c r="AB167"/>
  <c r="AG23"/>
  <c r="AD116"/>
  <c r="AE23"/>
  <c r="X108"/>
  <c r="X159"/>
  <c r="X160"/>
  <c r="X115"/>
  <c r="X121" s="1"/>
  <c r="X155"/>
  <c r="AB151"/>
  <c r="AB150"/>
  <c r="AB149"/>
  <c r="AB137"/>
  <c r="AB112"/>
  <c r="AB118" s="1"/>
  <c r="AB146"/>
  <c r="AB145"/>
  <c r="X136"/>
  <c r="X135"/>
  <c r="AC18"/>
  <c r="AD20"/>
  <c r="AC90"/>
  <c r="AC27"/>
  <c r="Y12"/>
  <c r="Y15"/>
  <c r="Y154" s="1"/>
  <c r="Y13"/>
  <c r="Y16"/>
  <c r="Y162" s="1"/>
  <c r="Y163" s="1"/>
  <c r="Y10"/>
  <c r="Y7"/>
  <c r="Y6"/>
  <c r="AC25"/>
  <c r="AB105"/>
  <c r="Y55"/>
  <c r="Y130" s="1"/>
  <c r="X106"/>
  <c r="X107"/>
  <c r="AE21"/>
  <c r="Y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C125" i="18" l="1"/>
  <c r="AC129"/>
  <c r="Y132"/>
  <c r="Y131"/>
  <c r="AC147"/>
  <c r="AC124"/>
  <c r="X226"/>
  <c r="X227" s="1"/>
  <c r="X224"/>
  <c r="X221"/>
  <c r="X222" s="1"/>
  <c r="X219"/>
  <c r="Y211"/>
  <c r="Y225"/>
  <c r="Y220"/>
  <c r="Y114"/>
  <c r="Y120" s="1"/>
  <c r="Y68"/>
  <c r="Y110" s="1"/>
  <c r="AF236"/>
  <c r="AG236" s="1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E116"/>
  <c r="AD122"/>
  <c r="AE122" s="1"/>
  <c r="Y134"/>
  <c r="AC156"/>
  <c r="AC166"/>
  <c r="AC157"/>
  <c r="AC167"/>
  <c r="AG20"/>
  <c r="AC109"/>
  <c r="Y160"/>
  <c r="Y159"/>
  <c r="Y115"/>
  <c r="Y121" s="1"/>
  <c r="Y155"/>
  <c r="Y108"/>
  <c r="AC150"/>
  <c r="AC149"/>
  <c r="AC151"/>
  <c r="AC137"/>
  <c r="AC112"/>
  <c r="AC118" s="1"/>
  <c r="AC146"/>
  <c r="AC145"/>
  <c r="Y136"/>
  <c r="Y135"/>
  <c r="AD18"/>
  <c r="AE20"/>
  <c r="AD90"/>
  <c r="AD27"/>
  <c r="AD167" s="1"/>
  <c r="AE167" s="1"/>
  <c r="Z15"/>
  <c r="Z154" s="1"/>
  <c r="Z13"/>
  <c r="Z12"/>
  <c r="Z10"/>
  <c r="Z16"/>
  <c r="Z162" s="1"/>
  <c r="Z163" s="1"/>
  <c r="Z6"/>
  <c r="Z7"/>
  <c r="Z55"/>
  <c r="Z130" s="1"/>
  <c r="Y107"/>
  <c r="Y106"/>
  <c r="AD25"/>
  <c r="AD129" s="1"/>
  <c r="AE129" s="1"/>
  <c r="AC105"/>
  <c r="Z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Z132" i="18" l="1"/>
  <c r="Z131"/>
  <c r="AD124"/>
  <c r="AE124" s="1"/>
  <c r="AD125"/>
  <c r="AE125" s="1"/>
  <c r="Y221"/>
  <c r="Y222" s="1"/>
  <c r="Y219"/>
  <c r="Y226"/>
  <c r="Y227" s="1"/>
  <c r="Y224"/>
  <c r="Z211"/>
  <c r="Z225"/>
  <c r="Z220"/>
  <c r="AD109"/>
  <c r="AE109" s="1"/>
  <c r="AD147"/>
  <c r="AE147" s="1"/>
  <c r="Z114"/>
  <c r="Z120" s="1"/>
  <c r="Z68"/>
  <c r="Z110" s="1"/>
  <c r="Z134"/>
  <c r="AD156"/>
  <c r="AE156" s="1"/>
  <c r="AD166"/>
  <c r="AE166" s="1"/>
  <c r="Z115"/>
  <c r="Z121" s="1"/>
  <c r="Z155"/>
  <c r="Z160"/>
  <c r="Z159"/>
  <c r="AG27"/>
  <c r="AD157"/>
  <c r="AE157" s="1"/>
  <c r="Z108"/>
  <c r="AD149"/>
  <c r="AE149" s="1"/>
  <c r="AD151"/>
  <c r="AE151" s="1"/>
  <c r="AD150"/>
  <c r="AE150" s="1"/>
  <c r="N32" i="9"/>
  <c r="N33" s="1"/>
  <c r="N34" s="1"/>
  <c r="N35" s="1"/>
  <c r="N36" s="1"/>
  <c r="N37" s="1"/>
  <c r="N38" s="1"/>
  <c r="N39" s="1"/>
  <c r="N40" s="1"/>
  <c r="N41" s="1"/>
  <c r="N42" s="1"/>
  <c r="M45"/>
  <c r="AD137" i="18"/>
  <c r="AE137" s="1"/>
  <c r="AD112"/>
  <c r="AD146"/>
  <c r="AE146" s="1"/>
  <c r="AD145"/>
  <c r="AE145" s="1"/>
  <c r="Z136"/>
  <c r="Z135"/>
  <c r="AG25"/>
  <c r="AG18"/>
  <c r="AE18"/>
  <c r="U190"/>
  <c r="AG90"/>
  <c r="AE90"/>
  <c r="M32" i="9"/>
  <c r="M33" s="1"/>
  <c r="M34" s="1"/>
  <c r="M35" s="1"/>
  <c r="M36" s="1"/>
  <c r="M37" s="1"/>
  <c r="M38" s="1"/>
  <c r="M39" s="1"/>
  <c r="M40" s="1"/>
  <c r="M41" s="1"/>
  <c r="P32"/>
  <c r="AE27" i="18"/>
  <c r="AA12"/>
  <c r="AA15"/>
  <c r="AA154" s="1"/>
  <c r="AA13"/>
  <c r="AA10"/>
  <c r="AA16"/>
  <c r="AA162" s="1"/>
  <c r="AA163" s="1"/>
  <c r="AA7"/>
  <c r="AA6"/>
  <c r="AE25"/>
  <c r="AD105"/>
  <c r="AE105" s="1"/>
  <c r="AA55"/>
  <c r="AA130" s="1"/>
  <c r="Z107"/>
  <c r="Z106"/>
  <c r="O31" i="9"/>
  <c r="O32" s="1"/>
  <c r="AA201" i="18"/>
  <c r="P31" i="11"/>
  <c r="N32"/>
  <c r="T19" i="9"/>
  <c r="D22"/>
  <c r="AA131" i="18" l="1"/>
  <c r="AA132"/>
  <c r="Z221"/>
  <c r="Z222" s="1"/>
  <c r="Z219"/>
  <c r="Z226"/>
  <c r="Z227" s="1"/>
  <c r="Z224"/>
  <c r="AA211"/>
  <c r="AA220"/>
  <c r="AA225"/>
  <c r="AA114"/>
  <c r="AA120" s="1"/>
  <c r="AA68"/>
  <c r="AA110" s="1"/>
  <c r="AE112"/>
  <c r="AD118"/>
  <c r="AE118" s="1"/>
  <c r="AA134"/>
  <c r="AA160"/>
  <c r="AA159"/>
  <c r="AA115"/>
  <c r="AA121" s="1"/>
  <c r="AA155"/>
  <c r="AA108"/>
  <c r="AA135"/>
  <c r="AA136"/>
  <c r="V190"/>
  <c r="T190" s="1"/>
  <c r="AB13"/>
  <c r="AB12"/>
  <c r="AB15"/>
  <c r="AB154" s="1"/>
  <c r="AB10"/>
  <c r="AB16"/>
  <c r="AB162" s="1"/>
  <c r="AB163" s="1"/>
  <c r="AB6"/>
  <c r="AB7"/>
  <c r="AB55"/>
  <c r="AB130" s="1"/>
  <c r="AA107"/>
  <c r="AA106"/>
  <c r="AB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B132" i="18" l="1"/>
  <c r="AB131"/>
  <c r="AA226"/>
  <c r="AA227" s="1"/>
  <c r="AA224"/>
  <c r="AA221"/>
  <c r="AA222" s="1"/>
  <c r="AA219"/>
  <c r="AB211"/>
  <c r="AB225"/>
  <c r="AB220"/>
  <c r="AB114"/>
  <c r="AB120" s="1"/>
  <c r="AB68"/>
  <c r="AB110" s="1"/>
  <c r="AB134"/>
  <c r="AB115"/>
  <c r="AB121" s="1"/>
  <c r="AB155"/>
  <c r="AB159"/>
  <c r="AB160"/>
  <c r="AB108"/>
  <c r="AB135"/>
  <c r="AB136"/>
  <c r="AC12"/>
  <c r="AC15"/>
  <c r="AC154" s="1"/>
  <c r="AC13"/>
  <c r="AC10"/>
  <c r="AC16"/>
  <c r="AC162" s="1"/>
  <c r="AC163" s="1"/>
  <c r="AC7"/>
  <c r="AC6"/>
  <c r="AC55"/>
  <c r="AC130" s="1"/>
  <c r="AB106"/>
  <c r="AB107"/>
  <c r="AC201"/>
  <c r="N34" i="11"/>
  <c r="O33"/>
  <c r="D25" i="8"/>
  <c r="D23"/>
  <c r="AC132" i="18" l="1"/>
  <c r="AC131"/>
  <c r="AB221"/>
  <c r="AB222" s="1"/>
  <c r="AB219"/>
  <c r="AB226"/>
  <c r="AB227" s="1"/>
  <c r="AB224"/>
  <c r="AC211"/>
  <c r="AC225"/>
  <c r="AC220"/>
  <c r="AC114"/>
  <c r="AC120" s="1"/>
  <c r="AC68"/>
  <c r="AC110" s="1"/>
  <c r="AC134"/>
  <c r="AC108"/>
  <c r="AC159"/>
  <c r="AC160"/>
  <c r="AC115"/>
  <c r="AC121" s="1"/>
  <c r="AC155"/>
  <c r="AC135"/>
  <c r="AC136"/>
  <c r="AD15"/>
  <c r="AD13"/>
  <c r="AG13" s="1"/>
  <c r="AD12"/>
  <c r="AD155" s="1"/>
  <c r="AE155" s="1"/>
  <c r="AD10"/>
  <c r="AD16"/>
  <c r="AD6"/>
  <c r="AG6" s="1"/>
  <c r="AD7"/>
  <c r="AG7" s="1"/>
  <c r="AD55"/>
  <c r="AD130" s="1"/>
  <c r="AE130" s="1"/>
  <c r="AC107"/>
  <c r="AC106"/>
  <c r="AD201"/>
  <c r="N35" i="11"/>
  <c r="O34"/>
  <c r="D35" i="8"/>
  <c r="E5"/>
  <c r="E18" s="1"/>
  <c r="D18"/>
  <c r="D19"/>
  <c r="D21"/>
  <c r="D20"/>
  <c r="AD132" i="18" l="1"/>
  <c r="AE132" s="1"/>
  <c r="AD131"/>
  <c r="AE131" s="1"/>
  <c r="AC221"/>
  <c r="AC222" s="1"/>
  <c r="AC219"/>
  <c r="AC226"/>
  <c r="AC227" s="1"/>
  <c r="AC224"/>
  <c r="AD211"/>
  <c r="AE211" s="1"/>
  <c r="AG211" s="1"/>
  <c r="AG227" s="1"/>
  <c r="AD225"/>
  <c r="AD224" s="1"/>
  <c r="AE224" s="1"/>
  <c r="AD220"/>
  <c r="AD219" s="1"/>
  <c r="AE219" s="1"/>
  <c r="AD114"/>
  <c r="AD120" s="1"/>
  <c r="AE120" s="1"/>
  <c r="AD68"/>
  <c r="AD134"/>
  <c r="AE134" s="1"/>
  <c r="AG16"/>
  <c r="AD162"/>
  <c r="AD160"/>
  <c r="AE160" s="1"/>
  <c r="AD159"/>
  <c r="AE159" s="1"/>
  <c r="AG15"/>
  <c r="AD154"/>
  <c r="AE154" s="1"/>
  <c r="AD108"/>
  <c r="AE108" s="1"/>
  <c r="AG10"/>
  <c r="AG12"/>
  <c r="AD115"/>
  <c r="AG55"/>
  <c r="AD135"/>
  <c r="AE135" s="1"/>
  <c r="AD136"/>
  <c r="AE136" s="1"/>
  <c r="AE15"/>
  <c r="AE13"/>
  <c r="U184"/>
  <c r="AE12"/>
  <c r="AE10"/>
  <c r="AE16"/>
  <c r="AE7"/>
  <c r="AE6"/>
  <c r="AD107"/>
  <c r="AE107" s="1"/>
  <c r="AD106"/>
  <c r="AE106" s="1"/>
  <c r="AE55"/>
  <c r="AE201"/>
  <c r="AG201" s="1"/>
  <c r="N36" i="11"/>
  <c r="O35"/>
  <c r="F5" i="8"/>
  <c r="G5" s="1"/>
  <c r="H5" s="1"/>
  <c r="I5" s="1"/>
  <c r="AD221" i="18" l="1"/>
  <c r="AE220"/>
  <c r="AE225"/>
  <c r="AD226"/>
  <c r="AE68"/>
  <c r="AG68"/>
  <c r="AE114"/>
  <c r="AD110"/>
  <c r="AE110" s="1"/>
  <c r="AE115"/>
  <c r="AD121"/>
  <c r="AE121" s="1"/>
  <c r="AE162"/>
  <c r="AD163"/>
  <c r="AE163" s="1"/>
  <c r="V184"/>
  <c r="V185" s="1"/>
  <c r="U185"/>
  <c r="R233" s="1"/>
  <c r="N37" i="11"/>
  <c r="O36"/>
  <c r="F18" i="8"/>
  <c r="G18"/>
  <c r="AE221" i="18" l="1"/>
  <c r="AD222"/>
  <c r="AE222" s="1"/>
  <c r="AD227"/>
  <c r="AE227" s="1"/>
  <c r="AE226"/>
  <c r="T184"/>
  <c r="T185"/>
  <c r="N38" i="11"/>
  <c r="O37"/>
  <c r="H18" i="8"/>
  <c r="N233" i="18" l="1"/>
  <c r="Q233"/>
  <c r="N39" i="11"/>
  <c r="O38"/>
  <c r="I18" i="8"/>
  <c r="N40" i="11" l="1"/>
  <c r="O39"/>
  <c r="N41" l="1"/>
  <c r="O40"/>
  <c r="N42" l="1"/>
  <c r="O41"/>
  <c r="U212" i="18"/>
  <c r="U93"/>
  <c r="U74"/>
  <c r="U79"/>
  <c r="U100"/>
  <c r="U102"/>
  <c r="U95"/>
  <c r="U92"/>
  <c r="U78"/>
  <c r="U73"/>
  <c r="U67"/>
  <c r="U85"/>
  <c r="U99"/>
  <c r="U83"/>
  <c r="U76"/>
  <c r="U94"/>
  <c r="U96"/>
  <c r="U80"/>
  <c r="U209" s="1"/>
  <c r="U66"/>
  <c r="U202" s="1"/>
  <c r="U71"/>
  <c r="U205" s="1"/>
  <c r="U86"/>
  <c r="U208" s="1"/>
  <c r="U98"/>
  <c r="U164" s="1"/>
  <c r="U70"/>
  <c r="U204" s="1"/>
  <c r="U82"/>
  <c r="U139"/>
  <c r="U140" s="1"/>
  <c r="U72"/>
  <c r="U214" s="1"/>
  <c r="U75"/>
  <c r="U206" s="1"/>
  <c r="V57"/>
  <c r="U84" l="1"/>
  <c r="U207" s="1"/>
  <c r="V76"/>
  <c r="V99"/>
  <c r="V83"/>
  <c r="V95"/>
  <c r="V79"/>
  <c r="V78"/>
  <c r="V212"/>
  <c r="V94"/>
  <c r="V74"/>
  <c r="V98"/>
  <c r="V164" s="1"/>
  <c r="V86"/>
  <c r="V208" s="1"/>
  <c r="V70"/>
  <c r="V204" s="1"/>
  <c r="V139"/>
  <c r="V140" s="1"/>
  <c r="V92"/>
  <c r="V73"/>
  <c r="V102"/>
  <c r="V85"/>
  <c r="V100"/>
  <c r="V93"/>
  <c r="V96"/>
  <c r="V67"/>
  <c r="V75"/>
  <c r="V206" s="1"/>
  <c r="V66"/>
  <c r="V202" s="1"/>
  <c r="V80"/>
  <c r="V209" s="1"/>
  <c r="V71"/>
  <c r="V205" s="1"/>
  <c r="V72"/>
  <c r="V214" s="1"/>
  <c r="W57"/>
  <c r="V82"/>
  <c r="U141"/>
  <c r="U142" s="1"/>
  <c r="U143"/>
  <c r="U203"/>
  <c r="V84" l="1"/>
  <c r="V207" s="1"/>
  <c r="U216"/>
  <c r="U217" s="1"/>
  <c r="U215"/>
  <c r="W93"/>
  <c r="W70"/>
  <c r="W204" s="1"/>
  <c r="W94"/>
  <c r="W95"/>
  <c r="W99"/>
  <c r="W79"/>
  <c r="W76"/>
  <c r="W102"/>
  <c r="W85"/>
  <c r="W83"/>
  <c r="W66"/>
  <c r="W202" s="1"/>
  <c r="W75"/>
  <c r="W206" s="1"/>
  <c r="W71"/>
  <c r="W205" s="1"/>
  <c r="W74"/>
  <c r="W73"/>
  <c r="W92"/>
  <c r="W96"/>
  <c r="W67"/>
  <c r="W80"/>
  <c r="W209" s="1"/>
  <c r="W100"/>
  <c r="W78"/>
  <c r="W212"/>
  <c r="W98"/>
  <c r="W164" s="1"/>
  <c r="W86"/>
  <c r="W208" s="1"/>
  <c r="W82"/>
  <c r="W139"/>
  <c r="W140" s="1"/>
  <c r="W72"/>
  <c r="W214" s="1"/>
  <c r="X57"/>
  <c r="V203"/>
  <c r="V143"/>
  <c r="V141"/>
  <c r="V142" s="1"/>
  <c r="V216" l="1"/>
  <c r="V217" s="1"/>
  <c r="V215"/>
  <c r="X93"/>
  <c r="X212"/>
  <c r="X67"/>
  <c r="X94"/>
  <c r="X79"/>
  <c r="X74"/>
  <c r="X78"/>
  <c r="X92"/>
  <c r="X98"/>
  <c r="X164" s="1"/>
  <c r="X70"/>
  <c r="X204" s="1"/>
  <c r="X71"/>
  <c r="X205" s="1"/>
  <c r="X86"/>
  <c r="X208" s="1"/>
  <c r="X102"/>
  <c r="X73"/>
  <c r="X96"/>
  <c r="X100"/>
  <c r="X99"/>
  <c r="X76"/>
  <c r="X95"/>
  <c r="X85"/>
  <c r="X83"/>
  <c r="X80"/>
  <c r="X209" s="1"/>
  <c r="X66"/>
  <c r="X202" s="1"/>
  <c r="X139"/>
  <c r="X140" s="1"/>
  <c r="X72"/>
  <c r="X214" s="1"/>
  <c r="X75"/>
  <c r="X206" s="1"/>
  <c r="Y57"/>
  <c r="X82"/>
  <c r="W203"/>
  <c r="W141"/>
  <c r="W142" s="1"/>
  <c r="W143"/>
  <c r="W84"/>
  <c r="W207" s="1"/>
  <c r="W216" l="1"/>
  <c r="W217" s="1"/>
  <c r="W215"/>
  <c r="X203"/>
  <c r="X84"/>
  <c r="X207" s="1"/>
  <c r="X143"/>
  <c r="X141"/>
  <c r="X142" s="1"/>
  <c r="Y73"/>
  <c r="Y94"/>
  <c r="Y83"/>
  <c r="Y93"/>
  <c r="Y92"/>
  <c r="Y78"/>
  <c r="Y67"/>
  <c r="Y76"/>
  <c r="Y75"/>
  <c r="Y206" s="1"/>
  <c r="Y66"/>
  <c r="Y202" s="1"/>
  <c r="Y98"/>
  <c r="Y164" s="1"/>
  <c r="Y212"/>
  <c r="Y96"/>
  <c r="Y74"/>
  <c r="Y102"/>
  <c r="Y95"/>
  <c r="Y79"/>
  <c r="Y85"/>
  <c r="Y99"/>
  <c r="Y100"/>
  <c r="Y70"/>
  <c r="Y204" s="1"/>
  <c r="Y71"/>
  <c r="Y205" s="1"/>
  <c r="Y86"/>
  <c r="Y208" s="1"/>
  <c r="Y80"/>
  <c r="Y209" s="1"/>
  <c r="Y82"/>
  <c r="Y72"/>
  <c r="Y214" s="1"/>
  <c r="Y139"/>
  <c r="Y140" s="1"/>
  <c r="Z57"/>
  <c r="Y84" l="1"/>
  <c r="Y207" s="1"/>
  <c r="X216"/>
  <c r="X217" s="1"/>
  <c r="X215"/>
  <c r="Z73"/>
  <c r="Z76"/>
  <c r="Z78"/>
  <c r="Z67"/>
  <c r="Z80"/>
  <c r="Z209" s="1"/>
  <c r="Z92"/>
  <c r="Z85"/>
  <c r="Z93"/>
  <c r="Z83"/>
  <c r="Z71"/>
  <c r="Z205" s="1"/>
  <c r="Z66"/>
  <c r="Z202" s="1"/>
  <c r="Z75"/>
  <c r="Z206" s="1"/>
  <c r="Z95"/>
  <c r="Z94"/>
  <c r="Z74"/>
  <c r="Z100"/>
  <c r="Z86"/>
  <c r="Z208" s="1"/>
  <c r="Z102"/>
  <c r="Z212"/>
  <c r="Z99"/>
  <c r="Z96"/>
  <c r="Z79"/>
  <c r="Z98"/>
  <c r="Z164" s="1"/>
  <c r="Z70"/>
  <c r="Z204" s="1"/>
  <c r="AA57"/>
  <c r="Z139"/>
  <c r="Z140" s="1"/>
  <c r="Z82"/>
  <c r="Z72"/>
  <c r="Z214" s="1"/>
  <c r="Y141"/>
  <c r="Y142" s="1"/>
  <c r="Y143"/>
  <c r="Y203"/>
  <c r="Y216" l="1"/>
  <c r="Y217" s="1"/>
  <c r="Y215"/>
  <c r="Z84"/>
  <c r="Z207" s="1"/>
  <c r="AA92"/>
  <c r="AA79"/>
  <c r="AA212"/>
  <c r="AA78"/>
  <c r="AA80"/>
  <c r="AA209" s="1"/>
  <c r="AA95"/>
  <c r="AA67"/>
  <c r="AA83"/>
  <c r="AA100"/>
  <c r="AA98"/>
  <c r="AA164" s="1"/>
  <c r="AA66"/>
  <c r="AA202" s="1"/>
  <c r="AA99"/>
  <c r="AA74"/>
  <c r="AA76"/>
  <c r="AA96"/>
  <c r="AA86"/>
  <c r="AA208" s="1"/>
  <c r="AA73"/>
  <c r="AA102"/>
  <c r="AA94"/>
  <c r="AA93"/>
  <c r="AA85"/>
  <c r="AA70"/>
  <c r="AA204" s="1"/>
  <c r="AA71"/>
  <c r="AA205" s="1"/>
  <c r="AA75"/>
  <c r="AA206" s="1"/>
  <c r="AA139"/>
  <c r="AA140" s="1"/>
  <c r="AA72"/>
  <c r="AA214" s="1"/>
  <c r="AA82"/>
  <c r="AB57"/>
  <c r="Z203"/>
  <c r="Z141"/>
  <c r="Z142" s="1"/>
  <c r="Z143"/>
  <c r="Z216" l="1"/>
  <c r="Z217" s="1"/>
  <c r="Z215"/>
  <c r="AA84"/>
  <c r="AA207" s="1"/>
  <c r="AA143"/>
  <c r="AA141"/>
  <c r="AA142" s="1"/>
  <c r="AB92"/>
  <c r="AB94"/>
  <c r="AB76"/>
  <c r="AB96"/>
  <c r="AB66"/>
  <c r="AB202" s="1"/>
  <c r="AB74"/>
  <c r="AB83"/>
  <c r="AB100"/>
  <c r="AB95"/>
  <c r="AB70"/>
  <c r="AB204" s="1"/>
  <c r="AB80"/>
  <c r="AB209" s="1"/>
  <c r="AB85"/>
  <c r="AB79"/>
  <c r="AB212"/>
  <c r="AB99"/>
  <c r="AB102"/>
  <c r="AB93"/>
  <c r="AB67"/>
  <c r="AB73"/>
  <c r="AB78"/>
  <c r="AB71"/>
  <c r="AB205" s="1"/>
  <c r="AB86"/>
  <c r="AB208" s="1"/>
  <c r="AB98"/>
  <c r="AB164" s="1"/>
  <c r="AB75"/>
  <c r="AB206" s="1"/>
  <c r="AB139"/>
  <c r="AB140" s="1"/>
  <c r="AB82"/>
  <c r="AB72"/>
  <c r="AB214" s="1"/>
  <c r="AC57"/>
  <c r="AA203"/>
  <c r="AA216" l="1"/>
  <c r="AA217" s="1"/>
  <c r="AA215"/>
  <c r="AB203"/>
  <c r="AB84"/>
  <c r="AB207" s="1"/>
  <c r="AB141"/>
  <c r="AB142" s="1"/>
  <c r="AB143"/>
  <c r="AC79"/>
  <c r="AC92"/>
  <c r="AC83"/>
  <c r="AC73"/>
  <c r="AC98"/>
  <c r="AC164" s="1"/>
  <c r="AC100"/>
  <c r="AC93"/>
  <c r="AC99"/>
  <c r="AC76"/>
  <c r="AC66"/>
  <c r="AC202" s="1"/>
  <c r="AC86"/>
  <c r="AC208" s="1"/>
  <c r="AC96"/>
  <c r="AC71"/>
  <c r="AC205" s="1"/>
  <c r="AC102"/>
  <c r="AC94"/>
  <c r="AC95"/>
  <c r="AC85"/>
  <c r="AC78"/>
  <c r="AC67"/>
  <c r="AC212"/>
  <c r="AC74"/>
  <c r="AC70"/>
  <c r="AC204" s="1"/>
  <c r="AC80"/>
  <c r="AC209" s="1"/>
  <c r="AC75"/>
  <c r="AC206" s="1"/>
  <c r="AC139"/>
  <c r="AC140" s="1"/>
  <c r="AC72"/>
  <c r="AC214" s="1"/>
  <c r="AD57"/>
  <c r="AC82"/>
  <c r="AB216" l="1"/>
  <c r="AB217" s="1"/>
  <c r="AB215"/>
  <c r="AC84"/>
  <c r="AC207" s="1"/>
  <c r="AC203"/>
  <c r="AD212"/>
  <c r="AD99"/>
  <c r="AD100"/>
  <c r="AD67"/>
  <c r="AE57"/>
  <c r="AD73"/>
  <c r="AG57"/>
  <c r="AD102"/>
  <c r="AD98"/>
  <c r="AD70"/>
  <c r="AD66"/>
  <c r="AD71"/>
  <c r="AD75"/>
  <c r="AD85"/>
  <c r="AD72"/>
  <c r="AD214" s="1"/>
  <c r="AD86"/>
  <c r="AD93"/>
  <c r="AD95"/>
  <c r="AD80"/>
  <c r="AD82"/>
  <c r="AD78"/>
  <c r="AD83"/>
  <c r="AD94"/>
  <c r="AD92"/>
  <c r="AD76"/>
  <c r="AD96"/>
  <c r="AD139"/>
  <c r="AD74"/>
  <c r="AD79"/>
  <c r="AC143"/>
  <c r="AC141"/>
  <c r="AC142" s="1"/>
  <c r="AC216" l="1"/>
  <c r="AC217" s="1"/>
  <c r="AC215"/>
  <c r="AD140"/>
  <c r="AE139"/>
  <c r="AE94"/>
  <c r="U194"/>
  <c r="AG94"/>
  <c r="V194" s="1"/>
  <c r="AG80"/>
  <c r="V179" s="1"/>
  <c r="AD209"/>
  <c r="AE80"/>
  <c r="U179"/>
  <c r="AE72"/>
  <c r="AG72"/>
  <c r="V171" s="1"/>
  <c r="U171"/>
  <c r="AD203"/>
  <c r="AD215" s="1"/>
  <c r="AE215" s="1"/>
  <c r="AG66"/>
  <c r="AE66"/>
  <c r="AD202"/>
  <c r="AE100"/>
  <c r="AG100"/>
  <c r="U198"/>
  <c r="AG96"/>
  <c r="V198" s="1"/>
  <c r="AE96"/>
  <c r="AG83"/>
  <c r="AE83"/>
  <c r="AG95"/>
  <c r="V195" s="1"/>
  <c r="AE95"/>
  <c r="U195"/>
  <c r="AE85"/>
  <c r="U181"/>
  <c r="AG85"/>
  <c r="V181" s="1"/>
  <c r="AE70"/>
  <c r="AG70"/>
  <c r="AD204"/>
  <c r="AE73"/>
  <c r="AG73"/>
  <c r="AG99"/>
  <c r="AE99"/>
  <c r="AE79"/>
  <c r="AG79"/>
  <c r="V178" s="1"/>
  <c r="U178"/>
  <c r="AE76"/>
  <c r="U174"/>
  <c r="AG76"/>
  <c r="V174" s="1"/>
  <c r="U177"/>
  <c r="AE78"/>
  <c r="AG78"/>
  <c r="V177" s="1"/>
  <c r="AE93"/>
  <c r="U193"/>
  <c r="AG93"/>
  <c r="V193" s="1"/>
  <c r="AE75"/>
  <c r="AG75"/>
  <c r="V173" s="1"/>
  <c r="AD206"/>
  <c r="U173"/>
  <c r="AG98"/>
  <c r="AE98"/>
  <c r="AD164"/>
  <c r="AE164" s="1"/>
  <c r="AE212"/>
  <c r="AG212" s="1"/>
  <c r="U172"/>
  <c r="AG74"/>
  <c r="V172" s="1"/>
  <c r="AE74"/>
  <c r="AE92"/>
  <c r="U192"/>
  <c r="AG92"/>
  <c r="V192" s="1"/>
  <c r="AE82"/>
  <c r="AG82"/>
  <c r="V175" s="1"/>
  <c r="U175"/>
  <c r="AD84"/>
  <c r="AE86"/>
  <c r="AD208"/>
  <c r="U182"/>
  <c r="AG86"/>
  <c r="V182" s="1"/>
  <c r="AE71"/>
  <c r="AG71"/>
  <c r="AD205"/>
  <c r="AE67"/>
  <c r="AG67"/>
  <c r="T175" l="1"/>
  <c r="V196"/>
  <c r="AE214"/>
  <c r="AG214" s="1"/>
  <c r="T192"/>
  <c r="T177"/>
  <c r="T173"/>
  <c r="T181"/>
  <c r="AG84"/>
  <c r="AD207"/>
  <c r="AE84"/>
  <c r="AE206"/>
  <c r="AG206" s="1"/>
  <c r="U196"/>
  <c r="T193"/>
  <c r="T178"/>
  <c r="R234"/>
  <c r="T198"/>
  <c r="AG226"/>
  <c r="T194"/>
  <c r="AE205"/>
  <c r="AG205" s="1"/>
  <c r="T182"/>
  <c r="R232"/>
  <c r="T172"/>
  <c r="T195"/>
  <c r="AE209"/>
  <c r="AG209" s="1"/>
  <c r="AE208"/>
  <c r="AG208" s="1"/>
  <c r="AG222" s="1"/>
  <c r="T174"/>
  <c r="AD216"/>
  <c r="AE203"/>
  <c r="AG203" s="1"/>
  <c r="AG216" s="1"/>
  <c r="AE204"/>
  <c r="AG204" s="1"/>
  <c r="AG217" s="1"/>
  <c r="AE202"/>
  <c r="AG202" s="1"/>
  <c r="AG215" s="1"/>
  <c r="T171"/>
  <c r="Q235" s="1"/>
  <c r="Q236" s="1"/>
  <c r="R235"/>
  <c r="R236" s="1"/>
  <c r="T179"/>
  <c r="R231"/>
  <c r="AD143"/>
  <c r="AE140"/>
  <c r="AD141"/>
  <c r="AG220" l="1"/>
  <c r="AG219"/>
  <c r="AE216"/>
  <c r="AD217"/>
  <c r="AE217" s="1"/>
  <c r="T196"/>
  <c r="AE141"/>
  <c r="AD142"/>
  <c r="AE142" s="1"/>
  <c r="Q231"/>
  <c r="N231"/>
  <c r="N232"/>
  <c r="Q232"/>
  <c r="N234"/>
  <c r="Q234"/>
  <c r="AE207"/>
  <c r="AG207" s="1"/>
  <c r="AG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R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<sst xmlns="http://schemas.openxmlformats.org/spreadsheetml/2006/main" count="701" uniqueCount="498">
  <si>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</si>
  <si>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</si>
  <si>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</si>
  <si>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</si>
  <si>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</si>
  <si>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</si>
  <si>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</si>
  <si>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</si>
  <si>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</si>
  <si>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</si>
  <si>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</si>
  <si>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</si>
  <si>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</si>
  <si>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</si>
  <si>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</si>
  <si>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</si>
  <si>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</si>
  <si>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</si>
  <si>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</si>
  <si>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</si>
  <si>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</si>
  <si>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</si>
  <si>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</si>
  <si>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</si>
  <si>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</si>
  <si>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</si>
  <si>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</si>
  <si>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</si>
  <si>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</si>
  <si>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</si>
  <si>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</si>
  <si>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</si>
  <si>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</si>
  <si>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</si>
  <si>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</si>
  <si>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</si>
  <si>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</si>
  <si>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</si>
  <si>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</si>
  <si>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</si>
  <si>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</si>
  <si>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</si>
  <si>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</si>
  <si>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</si>
  <si>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</si>
  <si>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</si>
  <si>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</si>
  <si>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</si>
  <si>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</si>
  <si>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</si>
  <si>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</si>
  <si>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</si>
  <si>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</si>
  <si>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</si>
  <si>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</si>
  <si>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</si>
  <si>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</si>
  <si>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</si>
  <si>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</si>
  <si>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</si>
  <si>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</si>
  <si>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</si>
  <si>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</si>
  <si>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</si>
  <si>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</si>
  <si>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</si>
  <si>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</si>
  <si>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</si>
  <si>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</si>
  <si>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</si>
  <si>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</si>
  <si>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</si>
  <si>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</si>
  <si>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</si>
  <si>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</si>
  <si>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</si>
  <si>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</si>
  <si>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</si>
  <si>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</si>
  <si>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</si>
  <si>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</si>
  <si>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</si>
  <si>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</si>
  <si>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</si>
  <si>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</si>
  <si>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</si>
  <si>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</si>
  <si>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</si>
  <si>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</si>
  <si>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</si>
  <si>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</si>
  <si>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</si>
  <si>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</si>
  <si>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</si>
  <si>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</si>
  <si>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</si>
  <si>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</si>
  <si>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</si>
  <si>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</si>
  <si>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</si>
  <si>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</si>
  <si>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</si>
  <si>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</si>
  <si>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</si>
  <si>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</si>
  <si>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</si>
  <si>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</si>
  <si>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</si>
  <si>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</si>
  <si>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</si>
  <si>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</si>
  <si>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</si>
  <si>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</si>
  <si>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</si>
  <si>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</si>
  <si>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</si>
  <si>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</si>
  <si>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</si>
  <si>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</si>
  <si>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</si>
  <si>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</si>
  <si>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</si>
  <si>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</si>
  <si>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</si>
  <si>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</si>
  <si>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</si>
  <si>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</si>
  <si>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</si>
  <si>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</si>
  <si>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</si>
  <si>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</si>
  <si>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</si>
  <si>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</si>
  <si>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</si>
  <si>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</si>
  <si>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</si>
  <si>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</si>
  <si>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</si>
  <si>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</si>
  <si>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</si>
  <si>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</si>
  <si>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</si>
  <si>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</si>
  <si>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</si>
  <si>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</si>
  <si>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</si>
  <si>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</si>
  <si>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</si>
  <si>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</si>
  <si>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</si>
  <si>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</si>
  <si>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</si>
  <si>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</si>
  <si>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</si>
  <si>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</si>
  <si>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</si>
  <si>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</si>
  <si>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</si>
  <si>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</si>
  <si>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</si>
  <si>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</si>
  <si>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</si>
  <si>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</si>
  <si>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</si>
  <si>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</si>
  <si>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</si>
  <si>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</si>
  <si>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</si>
  <si>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</si>
  <si>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</si>
  <si>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</si>
  <si>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</si>
  <si>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</si>
  <si>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</si>
  <si>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</si>
  <si>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</si>
  <si>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</si>
  <si>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</si>
  <si>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</si>
  <si>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</si>
  <si>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</si>
  <si>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</si>
  <si>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</si>
  <si>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</si>
  <si>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</si>
  <si>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</si>
  <si>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</si>
  <si>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</si>
  <si>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</si>
  <si>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</si>
  <si>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</si>
  <si>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</si>
  <si>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</si>
  <si>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</si>
  <si>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</si>
  <si>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</si>
  <si>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</si>
  <si>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</si>
  <si>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</si>
  <si>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</si>
  <si>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</si>
  <si>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</si>
  <si>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</si>
  <si>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</si>
  <si>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</si>
  <si>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</si>
  <si>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</si>
  <si>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</si>
  <si>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</si>
  <si>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</si>
  <si>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</si>
  <si>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</si>
  <si>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</si>
  <si>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</si>
  <si>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</si>
  <si>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</si>
  <si>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</si>
  <si>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</si>
  <si>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</si>
  <si>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</si>
  <si>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</si>
  <si>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</si>
  <si>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</si>
  <si>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</si>
  <si>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</si>
  <si>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</si>
  <si>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</si>
  <si>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</si>
  <si>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</si>
  <si>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</si>
  <si>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</si>
  <si>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</si>
  <si>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</si>
  <si>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</si>
  <si>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</si>
  <si>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</si>
  <si>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</si>
  <si>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</si>
  <si>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</si>
  <si>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</si>
  <si>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</si>
  <si>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</si>
  <si>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</si>
  <si>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</si>
  <si>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</si>
  <si>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</si>
  <si>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</si>
  <si>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</si>
  <si>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</si>
  <si>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</si>
  <si>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</si>
  <si>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</si>
  <si>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</si>
  <si>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</si>
  <si>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</si>
  <si>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</si>
  <si>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</si>
  <si>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</si>
  <si>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</si>
  <si>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</si>
  <si>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</si>
  <si>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</si>
  <si>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</si>
  <si>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</si>
  <si>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</si>
  <si>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</si>
  <si>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</si>
  <si>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</si>
  <si>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</si>
  <si>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</si>
  <si>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</si>
  <si>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</si>
  <si>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</si>
  <si>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</si>
  <si>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</si>
  <si>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</si>
  <si>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</si>
  <si>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</si>
  <si>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</si>
  <si>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</si>
  <si>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</si>
  <si>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</si>
  <si>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</si>
  <si>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</si>
  <si>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</si>
  <si>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</si>
  <si>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</si>
  <si>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</si>
  <si>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</si>
  <si>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</si>
  <si>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</si>
  <si>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</si>
  <si>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</si>
  <si>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</si>
  <si>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</si>
  <si>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</si>
  <si>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</si>
  <si>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</si>
  <si>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</si>
  <si>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</si>
  <si>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</si>
  <si>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</si>
  <si>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</si>
  <si>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</si>
  <si>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</si>
  <si>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</si>
  <si>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</si>
  <si>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</si>
  <si>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</si>
  <si>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</si>
  <si>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</si>
  <si>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</si>
  <si>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</si>
  <si>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</si>
  <si>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</si>
  <si>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</si>
  <si>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</si>
  <si>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</si>
  <si>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</si>
  <si>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</si>
  <si>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</si>
  <si>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</si>
  <si>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</si>
  <si>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</si>
  <si>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</si>
  <si>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</si>
  <si>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</si>
  <si>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</si>
  <si>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</si>
  <si>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</si>
  <si>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</si>
  <si>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</si>
  <si>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</si>
  <si>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</si>
  <si>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</si>
  <si>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</si>
  <si>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</si>
  <si>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</si>
  <si>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</si>
  <si>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</si>
  <si>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</si>
  <si>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</si>
  <si>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</si>
  <si>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</si>
  <si>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</si>
  <si>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</si>
  <si>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</si>
  <si>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</si>
  <si>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</si>
  <si>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</si>
  <si>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</si>
  <si>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</si>
  <si>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</si>
  <si>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</si>
  <si>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</si>
  <si>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</si>
  <si>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</si>
  <si>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</si>
  <si>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</si>
  <si>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</si>
  <si>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</si>
  <si>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</si>
  <si>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</si>
  <si>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</si>
  <si>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</si>
  <si>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</si>
  <si>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</si>
  <si>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</si>
  <si>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</si>
  <si>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</si>
  <si>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</si>
  <si>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</si>
  <si>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</si>
  <si>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</si>
  <si>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</si>
  <si>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</si>
  <si>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</si>
  <si>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</si>
  <si>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</si>
  <si>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</si>
  <si>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</si>
  <si>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</si>
  <si>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</si>
  <si>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</si>
  <si>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</si>
  <si>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</si>
  <si>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</si>
  <si>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</si>
  <si>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</si>
  <si>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</si>
  <si>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</si>
  <si>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</si>
  <si>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</si>
  <si>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</si>
  <si>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</si>
  <si>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</si>
  <si>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</si>
  <si>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</si>
  <si>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</si>
  <si>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</si>
  <si>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</si>
  <si>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</si>
  <si>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</si>
  <si>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</si>
  <si>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</si>
  <si>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</si>
  <si>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</si>
  <si>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</si>
  <si>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</si>
  <si>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</si>
  <si>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</si>
  <si>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</si>
  <si>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</si>
  <si>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</si>
  <si>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</si>
  <si>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</si>
  <si>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</si>
  <si>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</si>
  <si>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</si>
  <si>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</si>
  <si>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</si>
  <si>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</si>
  <si>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</si>
  <si>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</si>
  <si>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</si>
  <si>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</si>
  <si>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</si>
  <si>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</si>
  <si>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</si>
  <si>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</si>
  <si>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</si>
  <si>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</si>
  <si>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</si>
  <si>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</si>
  <si>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</si>
  <si>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</si>
  <si>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</si>
  <si>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</si>
  <si>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</si>
  <si>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</si>
  <si>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</si>
  <si>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</si>
  <si>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</si>
  <si>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</si>
  <si>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</si>
  <si>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</si>
  <si>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</si>
  <si>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</si>
  <si>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</si>
  <si>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</si>
  <si>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</si>
  <si>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</si>
  <si>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</si>
  <si>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</si>
  <si>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</si>
  <si>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</si>
  <si>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</si>
  <si>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</si>
  <si>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</si>
  <si>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</si>
  <si>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</si>
  <si>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</si>
  <si>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</si>
  <si>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</si>
  <si>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</si>
  <si>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</si>
  <si>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</si>
  <si>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</si>
  <si>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</si>
  <si>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</si>
  <si>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</si>
  <si>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</si>
  <si>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</si>
  <si>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</si>
  <si>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</si>
  <si>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</si>
  <si>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</si>
  <si>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</si>
  <si>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</si>
  <si>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</si>
  <si>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</si>
  <si>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</si>
  <si>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</si>
  <si>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</si>
  <si>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</si>
  <si>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</si>
  <si>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</si>
  <si>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</si>
  <si>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</si>
  <si>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</si>
  <si>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</si>
  <si>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</si>
  <si>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</si>
  <si>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</si>
  <si>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</si>
  <si>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</si>
  <si>
    <t>1x1</t>
  </si>
  <si>
    <t>10x1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</si>
</sst>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7878912"/>
        <c:axId val="67880448"/>
      </c:lineChart>
      <c:catAx>
        <c:axId val="67878912"/>
        <c:scaling>
          <c:orientation val="minMax"/>
        </c:scaling>
        <c:axPos val="b"/>
        <c:tickLblPos val="nextTo"/>
        <c:crossAx val="67880448"/>
        <c:crosses val="autoZero"/>
        <c:auto val="1"/>
        <c:lblAlgn val="ctr"/>
        <c:lblOffset val="100"/>
      </c:catAx>
      <c:valAx>
        <c:axId val="67880448"/>
        <c:scaling>
          <c:orientation val="minMax"/>
        </c:scaling>
        <c:axPos val="l"/>
        <c:majorGridlines/>
        <c:numFmt formatCode="General" sourceLinked="1"/>
        <c:tickLblPos val="nextTo"/>
        <c:crossAx val="6787891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72"/>
  <sheetViews>
    <sheetView tabSelected="1" zoomScale="80" zoomScaleNormal="80" workbookViewId="0">
      <pane xSplit="2" ySplit="3" topLeftCell="F102" activePane="bottomRight" state="frozen"/>
      <selection pane="topRight" activeCell="C1" sqref="C1"/>
      <selection pane="bottomLeft" activeCell="A5" sqref="A5"/>
      <selection pane="bottomRight" activeCell="M118" sqref="M118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" style="104" bestFit="1" customWidth="1"/>
    <col min="8" max="8" width="13.5703125" style="104" bestFit="1" customWidth="1"/>
    <col min="9" max="9" width="11.28515625" style="104" bestFit="1" customWidth="1"/>
    <col min="10" max="17" width="12.28515625" style="104" bestFit="1" customWidth="1"/>
    <col min="18" max="18" width="10.7109375" style="104" customWidth="1"/>
    <col min="19" max="19" width="9.42578125" style="104" bestFit="1" customWidth="1"/>
    <col min="20" max="20" width="10.85546875" style="104" bestFit="1" customWidth="1"/>
    <col min="21" max="22" width="9.7109375" style="104" bestFit="1" customWidth="1"/>
    <col min="23" max="29" width="8" style="104" bestFit="1" customWidth="1"/>
    <col min="30" max="30" width="11.28515625" style="104" bestFit="1" customWidth="1"/>
    <col min="31" max="31" width="9.28515625" style="104" bestFit="1" customWidth="1"/>
    <col min="32" max="32" width="9" style="104" customWidth="1"/>
    <col min="33" max="33" width="10.7109375" style="104" customWidth="1"/>
    <col min="34" max="16384" width="9.140625" style="104"/>
  </cols>
  <sheetData>
    <row r="1" spans="2:33">
      <c r="B1" s="123" t="s">
        <v>241</v>
      </c>
      <c r="C1" s="124">
        <f>Q2</f>
        <v>0.22</v>
      </c>
      <c r="G1" s="104" t="s">
        <v>252</v>
      </c>
      <c r="I1" s="126">
        <v>2004</v>
      </c>
      <c r="K1" s="104" t="s">
        <v>325</v>
      </c>
      <c r="M1" s="162">
        <v>0.05</v>
      </c>
      <c r="O1" s="104" t="s">
        <v>396</v>
      </c>
      <c r="Q1" s="162">
        <v>0.05</v>
      </c>
    </row>
    <row r="2" spans="2:33">
      <c r="B2" s="151" t="s">
        <v>314</v>
      </c>
      <c r="C2" s="120"/>
      <c r="G2" s="104" t="s">
        <v>253</v>
      </c>
      <c r="I2" s="126">
        <v>2015</v>
      </c>
      <c r="K2" s="104" t="s">
        <v>326</v>
      </c>
      <c r="M2" s="162">
        <v>0.12</v>
      </c>
      <c r="O2" s="104" t="s">
        <v>464</v>
      </c>
      <c r="Q2" s="162">
        <v>0.22</v>
      </c>
      <c r="U2" s="115" t="s">
        <v>11</v>
      </c>
      <c r="V2" s="115" t="s">
        <v>12</v>
      </c>
      <c r="W2" s="115" t="s">
        <v>13</v>
      </c>
      <c r="X2" s="115" t="s">
        <v>14</v>
      </c>
      <c r="Y2" s="115" t="s">
        <v>15</v>
      </c>
      <c r="Z2" s="115" t="s">
        <v>234</v>
      </c>
      <c r="AA2" s="115" t="s">
        <v>235</v>
      </c>
      <c r="AB2" s="115" t="s">
        <v>236</v>
      </c>
      <c r="AC2" s="115" t="s">
        <v>237</v>
      </c>
      <c r="AD2" s="115" t="s">
        <v>238</v>
      </c>
      <c r="AF2" s="209" t="s">
        <v>290</v>
      </c>
      <c r="AG2" s="210"/>
    </row>
    <row r="3" spans="2:33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6" t="s">
        <v>1</v>
      </c>
      <c r="T3" s="116" t="s">
        <v>254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15">
        <v>2025</v>
      </c>
      <c r="AE3" s="135" t="s">
        <v>1</v>
      </c>
      <c r="AF3" s="211" t="s">
        <v>291</v>
      </c>
      <c r="AG3" s="212"/>
    </row>
    <row r="4" spans="2:33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36"/>
      <c r="AF4" s="20"/>
      <c r="AG4" s="20"/>
    </row>
    <row r="5" spans="2:33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20"/>
      <c r="T5" s="20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36"/>
      <c r="AF5" s="20"/>
      <c r="AG5" s="152"/>
    </row>
    <row r="6" spans="2:33">
      <c r="B6" s="20" t="s">
        <v>16</v>
      </c>
      <c r="C6" s="140"/>
      <c r="D6" s="140"/>
      <c r="E6" s="146"/>
      <c r="F6" s="146"/>
      <c r="G6" s="146">
        <v>365</v>
      </c>
      <c r="H6" s="146">
        <v>722</v>
      </c>
      <c r="I6" s="146">
        <v>1117</v>
      </c>
      <c r="J6" s="146">
        <v>1583</v>
      </c>
      <c r="K6" s="146">
        <v>2925</v>
      </c>
      <c r="L6" s="146">
        <v>4637</v>
      </c>
      <c r="M6" s="146">
        <v>7834</v>
      </c>
      <c r="N6" s="146">
        <v>12723</v>
      </c>
      <c r="O6" s="146">
        <v>15031</v>
      </c>
      <c r="P6" s="146">
        <v>17388</v>
      </c>
      <c r="Q6" s="203">
        <v>72712</v>
      </c>
      <c r="R6" s="203">
        <v>53578</v>
      </c>
      <c r="S6" s="118">
        <f>((R6/H6)^(1/($I$2-$I$1) ))-1</f>
        <v>0.47924750515644932</v>
      </c>
      <c r="T6" s="31">
        <f>$M$2</f>
        <v>0.12</v>
      </c>
      <c r="U6" s="152">
        <f>R6*(1+$T6)</f>
        <v>60007.360000000008</v>
      </c>
      <c r="V6" s="152">
        <f>U6*(1+$T6)</f>
        <v>67208.243200000012</v>
      </c>
      <c r="W6" s="152">
        <f t="shared" ref="W6:AD6" si="0">V6*(1+$T6)</f>
        <v>75273.232384000017</v>
      </c>
      <c r="X6" s="152">
        <f t="shared" si="0"/>
        <v>84306.020270080029</v>
      </c>
      <c r="Y6" s="152">
        <f t="shared" si="0"/>
        <v>94422.742702489646</v>
      </c>
      <c r="Z6" s="152">
        <f t="shared" si="0"/>
        <v>105753.47182678842</v>
      </c>
      <c r="AA6" s="152">
        <f t="shared" si="0"/>
        <v>118443.88844600304</v>
      </c>
      <c r="AB6" s="152">
        <f t="shared" si="0"/>
        <v>132657.15505952341</v>
      </c>
      <c r="AC6" s="152">
        <f t="shared" si="0"/>
        <v>148576.01366666623</v>
      </c>
      <c r="AD6" s="152">
        <f t="shared" si="0"/>
        <v>166405.1353066662</v>
      </c>
      <c r="AE6" s="137">
        <f>((AD6/H6)^(1/($AD$3-$I$1) ))-1</f>
        <v>0.29570509929988487</v>
      </c>
      <c r="AF6" s="31">
        <f>$M$1</f>
        <v>0.05</v>
      </c>
      <c r="AG6" s="145">
        <f t="shared" ref="AG6:AG59" si="1">(AD6*(1+AF6))/($C$1-AF6)</f>
        <v>1027796.4239529384</v>
      </c>
    </row>
    <row r="7" spans="2:33">
      <c r="B7" s="20" t="s">
        <v>240</v>
      </c>
      <c r="C7" s="140"/>
      <c r="D7" s="140"/>
      <c r="E7" s="146"/>
      <c r="F7" s="146"/>
      <c r="G7" s="146">
        <v>384</v>
      </c>
      <c r="H7" s="146">
        <v>761</v>
      </c>
      <c r="I7" s="146">
        <v>1156</v>
      </c>
      <c r="J7" s="146">
        <v>1623</v>
      </c>
      <c r="K7" s="146">
        <v>2964</v>
      </c>
      <c r="L7" s="146">
        <v>4715</v>
      </c>
      <c r="M7" s="146">
        <v>7917</v>
      </c>
      <c r="N7" s="146">
        <v>12810</v>
      </c>
      <c r="O7" s="146">
        <v>15118</v>
      </c>
      <c r="P7" s="146">
        <v>17475</v>
      </c>
      <c r="Q7" s="203">
        <v>73008</v>
      </c>
      <c r="R7" s="203">
        <v>53875</v>
      </c>
      <c r="S7" s="118">
        <f>((R7/H7)^(1/($I$2-$I$1) ))-1</f>
        <v>0.47292982758447577</v>
      </c>
      <c r="T7" s="31">
        <f>$M$2</f>
        <v>0.12</v>
      </c>
      <c r="U7" s="152">
        <f t="shared" ref="U7:U59" si="2">R7*(1+$T7)</f>
        <v>60340.000000000007</v>
      </c>
      <c r="V7" s="152">
        <f t="shared" ref="V7:AD7" si="3">U7*(1+$T7)</f>
        <v>67580.800000000017</v>
      </c>
      <c r="W7" s="152">
        <f t="shared" si="3"/>
        <v>75690.496000000028</v>
      </c>
      <c r="X7" s="152">
        <f t="shared" si="3"/>
        <v>84773.355520000041</v>
      </c>
      <c r="Y7" s="152">
        <f t="shared" si="3"/>
        <v>94946.15818240006</v>
      </c>
      <c r="Z7" s="152">
        <f t="shared" si="3"/>
        <v>106339.69716428808</v>
      </c>
      <c r="AA7" s="152">
        <f t="shared" si="3"/>
        <v>119100.46082400266</v>
      </c>
      <c r="AB7" s="152">
        <f t="shared" si="3"/>
        <v>133392.51612288298</v>
      </c>
      <c r="AC7" s="152">
        <f t="shared" si="3"/>
        <v>149399.61805762895</v>
      </c>
      <c r="AD7" s="152">
        <f t="shared" si="3"/>
        <v>167327.57222454445</v>
      </c>
      <c r="AE7" s="137">
        <f>((AD7/H7)^(1/($AD$3-$I$1) ))-1</f>
        <v>0.29280349291243257</v>
      </c>
      <c r="AF7" s="31">
        <f>$M$1</f>
        <v>0.05</v>
      </c>
      <c r="AG7" s="145">
        <f t="shared" si="1"/>
        <v>1033493.8284457158</v>
      </c>
    </row>
    <row r="8" spans="2:33">
      <c r="B8" s="20"/>
      <c r="C8" s="140"/>
      <c r="D8" s="140"/>
      <c r="E8" s="146"/>
      <c r="F8" s="146"/>
      <c r="G8" s="146"/>
      <c r="H8" s="149">
        <f t="shared" ref="H8:R8" si="4">(H7-G7)/G7</f>
        <v>0.98177083333333337</v>
      </c>
      <c r="I8" s="149">
        <f t="shared" si="4"/>
        <v>0.51905387647831802</v>
      </c>
      <c r="J8" s="149">
        <f t="shared" si="4"/>
        <v>0.40397923875432529</v>
      </c>
      <c r="K8" s="149">
        <f t="shared" si="4"/>
        <v>0.82624768946395566</v>
      </c>
      <c r="L8" s="149">
        <f t="shared" si="4"/>
        <v>0.59075573549257765</v>
      </c>
      <c r="M8" s="149">
        <f t="shared" si="4"/>
        <v>0.67910922587486744</v>
      </c>
      <c r="N8" s="149">
        <f t="shared" si="4"/>
        <v>0.61803713527851456</v>
      </c>
      <c r="O8" s="149">
        <f t="shared" si="4"/>
        <v>0.18017174082747853</v>
      </c>
      <c r="P8" s="149">
        <f t="shared" si="4"/>
        <v>0.15590686598756448</v>
      </c>
      <c r="Q8" s="149">
        <f t="shared" si="4"/>
        <v>3.1778540772532189</v>
      </c>
      <c r="R8" s="149">
        <f t="shared" si="4"/>
        <v>-0.26206717072101687</v>
      </c>
      <c r="S8" s="128"/>
      <c r="T8" s="20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36"/>
      <c r="AF8" s="136"/>
      <c r="AG8" s="145"/>
    </row>
    <row r="9" spans="2:33">
      <c r="B9" s="20" t="s">
        <v>269</v>
      </c>
      <c r="C9" s="140"/>
      <c r="D9" s="140"/>
      <c r="E9" s="146"/>
      <c r="F9" s="146"/>
      <c r="G9" s="146">
        <v>233</v>
      </c>
      <c r="H9" s="146">
        <v>417</v>
      </c>
      <c r="I9" s="146">
        <v>652</v>
      </c>
      <c r="J9" s="146">
        <v>634</v>
      </c>
      <c r="K9" s="146">
        <v>869</v>
      </c>
      <c r="L9" s="146">
        <v>414</v>
      </c>
      <c r="M9" s="146">
        <v>912</v>
      </c>
      <c r="N9" s="146">
        <v>1374</v>
      </c>
      <c r="O9" s="146">
        <v>1312</v>
      </c>
      <c r="P9" s="146">
        <v>867</v>
      </c>
      <c r="Q9" s="203">
        <v>29549</v>
      </c>
      <c r="R9" s="203">
        <v>25116</v>
      </c>
      <c r="S9" s="118">
        <f>((R9/H9)^(1/($I$2-$I$1) ))-1</f>
        <v>0.4514474304098175</v>
      </c>
      <c r="T9" s="31">
        <f t="shared" ref="T9:T55" si="5">$M$2</f>
        <v>0.12</v>
      </c>
      <c r="U9" s="152">
        <f t="shared" si="2"/>
        <v>28129.920000000002</v>
      </c>
      <c r="V9" s="152">
        <f t="shared" ref="V9" si="6">U9*(1+$T9)</f>
        <v>31505.510400000006</v>
      </c>
      <c r="W9" s="152">
        <f t="shared" ref="W9" si="7">V9*(1+$T9)</f>
        <v>35286.17164800001</v>
      </c>
      <c r="X9" s="152">
        <f t="shared" ref="X9" si="8">W9*(1+$T9)</f>
        <v>39520.512245760016</v>
      </c>
      <c r="Y9" s="152">
        <f t="shared" ref="Y9" si="9">X9*(1+$T9)</f>
        <v>44262.973715251224</v>
      </c>
      <c r="Z9" s="152">
        <f t="shared" ref="Z9" si="10">Y9*(1+$T9)</f>
        <v>49574.530561081374</v>
      </c>
      <c r="AA9" s="152">
        <f t="shared" ref="AA9" si="11">Z9*(1+$T9)</f>
        <v>55523.474228411142</v>
      </c>
      <c r="AB9" s="152">
        <f t="shared" ref="AB9" si="12">AA9*(1+$T9)</f>
        <v>62186.291135820487</v>
      </c>
      <c r="AC9" s="152">
        <f t="shared" ref="AC9" si="13">AB9*(1+$T9)</f>
        <v>69648.646072118951</v>
      </c>
      <c r="AD9" s="152">
        <f t="shared" ref="AD9" si="14">AC9*(1+$T9)</f>
        <v>78006.483600773237</v>
      </c>
      <c r="AE9" s="137">
        <f>((AD9/H9)^(1/($AD$3-$I$1) ))-1</f>
        <v>0.28289236724231337</v>
      </c>
      <c r="AF9" s="31">
        <f t="shared" ref="AF9:AF99" si="15">$M$1</f>
        <v>0.05</v>
      </c>
      <c r="AG9" s="145">
        <f t="shared" si="1"/>
        <v>481804.75165183475</v>
      </c>
    </row>
    <row r="10" spans="2:33">
      <c r="B10" s="20" t="s">
        <v>4</v>
      </c>
      <c r="C10" s="140"/>
      <c r="D10" s="140"/>
      <c r="E10" s="146"/>
      <c r="F10" s="146"/>
      <c r="G10" s="146">
        <v>92</v>
      </c>
      <c r="H10" s="146">
        <v>23</v>
      </c>
      <c r="I10" s="146">
        <v>10</v>
      </c>
      <c r="J10" s="146">
        <v>0</v>
      </c>
      <c r="K10" s="146">
        <v>0</v>
      </c>
      <c r="L10" s="146">
        <v>1.91</v>
      </c>
      <c r="M10" s="146">
        <v>1960</v>
      </c>
      <c r="N10" s="146">
        <v>983</v>
      </c>
      <c r="O10" s="146">
        <v>3734</v>
      </c>
      <c r="P10" s="146">
        <v>4501</v>
      </c>
      <c r="Q10" s="203">
        <v>72360</v>
      </c>
      <c r="R10" s="203">
        <v>71965</v>
      </c>
      <c r="S10" s="118">
        <f>((R10/H10)^(1/($I$2-$I$1) ))-1</f>
        <v>1.078562294703064</v>
      </c>
      <c r="T10" s="31">
        <f t="shared" si="5"/>
        <v>0.12</v>
      </c>
      <c r="U10" s="152">
        <f t="shared" si="2"/>
        <v>80600.800000000003</v>
      </c>
      <c r="V10" s="152">
        <f t="shared" ref="V10:AD10" si="16">U10*(1+$T10)</f>
        <v>90272.896000000008</v>
      </c>
      <c r="W10" s="152">
        <f t="shared" si="16"/>
        <v>101105.64352000001</v>
      </c>
      <c r="X10" s="152">
        <f t="shared" si="16"/>
        <v>113238.32074240003</v>
      </c>
      <c r="Y10" s="152">
        <f t="shared" si="16"/>
        <v>126826.91923148805</v>
      </c>
      <c r="Z10" s="152">
        <f t="shared" si="16"/>
        <v>142046.14953926663</v>
      </c>
      <c r="AA10" s="152">
        <f t="shared" si="16"/>
        <v>159091.68748397863</v>
      </c>
      <c r="AB10" s="152">
        <f t="shared" si="16"/>
        <v>178182.68998205609</v>
      </c>
      <c r="AC10" s="152">
        <f t="shared" si="16"/>
        <v>199564.61277990285</v>
      </c>
      <c r="AD10" s="152">
        <f t="shared" si="16"/>
        <v>223512.36631349122</v>
      </c>
      <c r="AE10" s="137">
        <f t="shared" ref="AE10:AE57" si="17">((AD10/H10)^(1/($AD$3-$I$1) ))-1</f>
        <v>0.54840463574615494</v>
      </c>
      <c r="AF10" s="31">
        <f t="shared" si="15"/>
        <v>0.05</v>
      </c>
      <c r="AG10" s="145">
        <f t="shared" si="1"/>
        <v>1380517.5566421519</v>
      </c>
    </row>
    <row r="11" spans="2:33">
      <c r="B11" s="20"/>
      <c r="C11" s="140"/>
      <c r="D11" s="140"/>
      <c r="E11" s="146"/>
      <c r="F11" s="146"/>
      <c r="G11" s="146"/>
      <c r="H11" s="149">
        <f t="shared" ref="H11:R11" si="18">(H10-G10)/G10</f>
        <v>-0.75</v>
      </c>
      <c r="I11" s="149">
        <f t="shared" si="18"/>
        <v>-0.56521739130434778</v>
      </c>
      <c r="J11" s="149">
        <f t="shared" si="18"/>
        <v>-1</v>
      </c>
      <c r="K11" s="149" t="e">
        <f t="shared" si="18"/>
        <v>#DIV/0!</v>
      </c>
      <c r="L11" s="149" t="e">
        <f t="shared" si="18"/>
        <v>#DIV/0!</v>
      </c>
      <c r="M11" s="149">
        <f t="shared" si="18"/>
        <v>1025.1780104712043</v>
      </c>
      <c r="N11" s="149">
        <f t="shared" si="18"/>
        <v>-0.49846938775510202</v>
      </c>
      <c r="O11" s="149">
        <f t="shared" si="18"/>
        <v>2.7985757884028484</v>
      </c>
      <c r="P11" s="149">
        <f t="shared" si="18"/>
        <v>0.20540974825923941</v>
      </c>
      <c r="Q11" s="149">
        <f t="shared" si="18"/>
        <v>15.07642746056432</v>
      </c>
      <c r="R11" s="149">
        <f t="shared" si="18"/>
        <v>-5.4588170259812054E-3</v>
      </c>
      <c r="S11" s="128"/>
      <c r="T11" s="20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19"/>
      <c r="AF11" s="31">
        <f t="shared" si="15"/>
        <v>0.05</v>
      </c>
      <c r="AG11" s="152"/>
    </row>
    <row r="12" spans="2:33">
      <c r="B12" s="20" t="s">
        <v>2</v>
      </c>
      <c r="C12" s="140"/>
      <c r="D12" s="140"/>
      <c r="E12" s="146"/>
      <c r="F12" s="146"/>
      <c r="G12" s="146">
        <v>83</v>
      </c>
      <c r="H12" s="146">
        <v>17</v>
      </c>
      <c r="I12" s="146">
        <f>17+20</f>
        <v>37</v>
      </c>
      <c r="J12" s="146">
        <v>21</v>
      </c>
      <c r="K12" s="146">
        <v>21</v>
      </c>
      <c r="L12" s="146">
        <v>17.72</v>
      </c>
      <c r="M12" s="146">
        <f>38.13+2353</f>
        <v>2391.13</v>
      </c>
      <c r="N12" s="146">
        <f>897</f>
        <v>897</v>
      </c>
      <c r="O12" s="146">
        <v>98</v>
      </c>
      <c r="P12" s="146">
        <v>36</v>
      </c>
      <c r="Q12" s="203">
        <v>7684</v>
      </c>
      <c r="R12" s="203">
        <v>5696</v>
      </c>
      <c r="S12" s="118">
        <f>((R12/H12)^(1/($I$2-$I$1) ))-1</f>
        <v>0.69651014068508466</v>
      </c>
      <c r="T12" s="31">
        <f t="shared" si="5"/>
        <v>0.12</v>
      </c>
      <c r="U12" s="152">
        <f t="shared" si="2"/>
        <v>6379.52</v>
      </c>
      <c r="V12" s="152">
        <f t="shared" ref="V12:AD12" si="19">U12*(1+$T12)</f>
        <v>7145.0624000000016</v>
      </c>
      <c r="W12" s="152">
        <f t="shared" si="19"/>
        <v>8002.4698880000024</v>
      </c>
      <c r="X12" s="152">
        <f t="shared" si="19"/>
        <v>8962.7662745600028</v>
      </c>
      <c r="Y12" s="152">
        <f t="shared" si="19"/>
        <v>10038.298227507205</v>
      </c>
      <c r="Z12" s="152">
        <f t="shared" si="19"/>
        <v>11242.894014808071</v>
      </c>
      <c r="AA12" s="152">
        <f t="shared" si="19"/>
        <v>12592.041296585041</v>
      </c>
      <c r="AB12" s="152">
        <f t="shared" si="19"/>
        <v>14103.086252175248</v>
      </c>
      <c r="AC12" s="152">
        <f t="shared" si="19"/>
        <v>15795.456602436279</v>
      </c>
      <c r="AD12" s="152">
        <f t="shared" si="19"/>
        <v>17690.911394728635</v>
      </c>
      <c r="AE12" s="137">
        <f t="shared" si="17"/>
        <v>0.39213391431880584</v>
      </c>
      <c r="AF12" s="31">
        <f t="shared" si="15"/>
        <v>0.05</v>
      </c>
      <c r="AG12" s="145">
        <f t="shared" si="1"/>
        <v>109267.39390861806</v>
      </c>
    </row>
    <row r="13" spans="2:33">
      <c r="B13" s="20" t="s">
        <v>218</v>
      </c>
      <c r="C13" s="140"/>
      <c r="D13" s="140"/>
      <c r="E13" s="146"/>
      <c r="F13" s="146"/>
      <c r="G13" s="146">
        <v>0.03</v>
      </c>
      <c r="H13" s="146">
        <v>304</v>
      </c>
      <c r="I13" s="146">
        <v>474</v>
      </c>
      <c r="J13" s="146">
        <v>845</v>
      </c>
      <c r="K13" s="146">
        <v>2051</v>
      </c>
      <c r="L13" s="146">
        <v>3125</v>
      </c>
      <c r="M13" s="146">
        <v>4564</v>
      </c>
      <c r="N13" s="146">
        <v>8799</v>
      </c>
      <c r="O13" s="146">
        <v>14166</v>
      </c>
      <c r="P13" s="146">
        <v>16058</v>
      </c>
      <c r="Q13" s="203">
        <v>37909</v>
      </c>
      <c r="R13" s="203">
        <v>39606</v>
      </c>
      <c r="S13" s="118">
        <f>((R13/H13)^(1/($I$2-$I$1) ))-1</f>
        <v>0.55690635324944182</v>
      </c>
      <c r="T13" s="31">
        <f t="shared" si="5"/>
        <v>0.12</v>
      </c>
      <c r="U13" s="152">
        <f t="shared" si="2"/>
        <v>44358.720000000001</v>
      </c>
      <c r="V13" s="152">
        <f t="shared" ref="V13:AD13" si="20">U13*(1+$T13)</f>
        <v>49681.766400000008</v>
      </c>
      <c r="W13" s="152">
        <f t="shared" si="20"/>
        <v>55643.578368000017</v>
      </c>
      <c r="X13" s="152">
        <f t="shared" si="20"/>
        <v>62320.807772160028</v>
      </c>
      <c r="Y13" s="152">
        <f t="shared" si="20"/>
        <v>69799.304704819238</v>
      </c>
      <c r="Z13" s="152">
        <f t="shared" si="20"/>
        <v>78175.22126939756</v>
      </c>
      <c r="AA13" s="152">
        <f t="shared" si="20"/>
        <v>87556.247821725279</v>
      </c>
      <c r="AB13" s="152">
        <f t="shared" si="20"/>
        <v>98062.997560332326</v>
      </c>
      <c r="AC13" s="152">
        <f t="shared" si="20"/>
        <v>109830.55726757222</v>
      </c>
      <c r="AD13" s="152">
        <f t="shared" si="20"/>
        <v>123010.2241396809</v>
      </c>
      <c r="AE13" s="137">
        <f t="shared" si="17"/>
        <v>0.33090199922008501</v>
      </c>
      <c r="AF13" s="31">
        <f t="shared" si="15"/>
        <v>0.05</v>
      </c>
      <c r="AG13" s="145">
        <f t="shared" si="1"/>
        <v>759769.03145097033</v>
      </c>
    </row>
    <row r="14" spans="2:33">
      <c r="B14" s="20" t="s">
        <v>371</v>
      </c>
      <c r="C14" s="140"/>
      <c r="D14" s="140"/>
      <c r="E14" s="146"/>
      <c r="F14" s="146"/>
      <c r="G14" s="146">
        <v>170</v>
      </c>
      <c r="H14" s="203">
        <v>189</v>
      </c>
      <c r="I14" s="203">
        <v>332</v>
      </c>
      <c r="J14" s="203">
        <v>298</v>
      </c>
      <c r="K14" s="203">
        <v>312</v>
      </c>
      <c r="L14" s="203">
        <v>264</v>
      </c>
      <c r="M14" s="203">
        <v>501</v>
      </c>
      <c r="N14" s="203">
        <v>737</v>
      </c>
      <c r="O14" s="203">
        <v>875</v>
      </c>
      <c r="P14" s="203">
        <v>960</v>
      </c>
      <c r="Q14" s="203">
        <v>9033</v>
      </c>
      <c r="R14" s="203">
        <v>8725</v>
      </c>
      <c r="S14" s="118">
        <f>((R14/H14)^(1/($I$2-$I$1) ))-1</f>
        <v>0.4167731904898162</v>
      </c>
      <c r="T14" s="31">
        <f t="shared" si="5"/>
        <v>0.12</v>
      </c>
      <c r="U14" s="152">
        <f t="shared" si="2"/>
        <v>9772.0000000000018</v>
      </c>
      <c r="V14" s="152">
        <f t="shared" ref="V14" si="21">U14*(1+$T14)</f>
        <v>10944.640000000003</v>
      </c>
      <c r="W14" s="152">
        <f t="shared" ref="W14" si="22">V14*(1+$T14)</f>
        <v>12257.996800000004</v>
      </c>
      <c r="X14" s="152">
        <f t="shared" ref="X14" si="23">W14*(1+$T14)</f>
        <v>13728.956416000006</v>
      </c>
      <c r="Y14" s="152">
        <f t="shared" ref="Y14" si="24">X14*(1+$T14)</f>
        <v>15376.431185920008</v>
      </c>
      <c r="Z14" s="152">
        <f t="shared" ref="Z14" si="25">Y14*(1+$T14)</f>
        <v>17221.602928230412</v>
      </c>
      <c r="AA14" s="152">
        <f t="shared" ref="AA14" si="26">Z14*(1+$T14)</f>
        <v>19288.195279618063</v>
      </c>
      <c r="AB14" s="152">
        <f t="shared" ref="AB14" si="27">AA14*(1+$T14)</f>
        <v>21602.778713172233</v>
      </c>
      <c r="AC14" s="152">
        <f t="shared" ref="AC14" si="28">AB14*(1+$T14)</f>
        <v>24195.112158752901</v>
      </c>
      <c r="AD14" s="152">
        <f t="shared" ref="AD14" si="29">AC14*(1+$T14)</f>
        <v>27098.52561780325</v>
      </c>
      <c r="AE14" s="137">
        <f t="shared" ref="AE14" si="30">((AD14/H14)^(1/($AD$3-$I$1) ))-1</f>
        <v>0.26674648400329448</v>
      </c>
      <c r="AF14" s="31">
        <f t="shared" si="15"/>
        <v>0.05</v>
      </c>
      <c r="AG14" s="145">
        <f t="shared" ref="AG14" si="31">(AD14*(1+AF14))/($C$1-AF14)</f>
        <v>167373.24646290243</v>
      </c>
    </row>
    <row r="15" spans="2:33">
      <c r="B15" s="20" t="s">
        <v>19</v>
      </c>
      <c r="C15" s="140"/>
      <c r="D15" s="140"/>
      <c r="E15" s="146"/>
      <c r="F15" s="146"/>
      <c r="G15" s="146">
        <v>413</v>
      </c>
      <c r="H15" s="146">
        <v>417</v>
      </c>
      <c r="I15" s="146">
        <v>652</v>
      </c>
      <c r="J15" s="146">
        <v>634</v>
      </c>
      <c r="K15" s="146">
        <v>869</v>
      </c>
      <c r="L15" s="146">
        <v>1693</v>
      </c>
      <c r="M15" s="146">
        <v>4424</v>
      </c>
      <c r="N15" s="146">
        <v>3838</v>
      </c>
      <c r="O15" s="146">
        <v>2090</v>
      </c>
      <c r="P15" s="146">
        <v>1971</v>
      </c>
      <c r="Q15" s="203">
        <v>21371</v>
      </c>
      <c r="R15" s="203">
        <v>18026</v>
      </c>
      <c r="S15" s="118">
        <f>((R15/H15)^(1/($I$2-$I$1) ))-1</f>
        <v>0.40833429660373577</v>
      </c>
      <c r="T15" s="31">
        <f t="shared" si="5"/>
        <v>0.12</v>
      </c>
      <c r="U15" s="152">
        <f t="shared" si="2"/>
        <v>20189.120000000003</v>
      </c>
      <c r="V15" s="152">
        <f t="shared" ref="V15:AD15" si="32">U15*(1+$T15)</f>
        <v>22611.814400000007</v>
      </c>
      <c r="W15" s="152">
        <f t="shared" si="32"/>
        <v>25325.232128000011</v>
      </c>
      <c r="X15" s="152">
        <f t="shared" si="32"/>
        <v>28364.259983360014</v>
      </c>
      <c r="Y15" s="152">
        <f t="shared" si="32"/>
        <v>31767.97118136322</v>
      </c>
      <c r="Z15" s="152">
        <f t="shared" si="32"/>
        <v>35580.12772312681</v>
      </c>
      <c r="AA15" s="152">
        <f t="shared" si="32"/>
        <v>39849.743049902034</v>
      </c>
      <c r="AB15" s="152">
        <f t="shared" si="32"/>
        <v>44631.712215890286</v>
      </c>
      <c r="AC15" s="152">
        <f t="shared" si="32"/>
        <v>49987.517681797122</v>
      </c>
      <c r="AD15" s="152">
        <f t="shared" si="32"/>
        <v>55986.019803612784</v>
      </c>
      <c r="AE15" s="137">
        <f t="shared" si="17"/>
        <v>0.26278857704259884</v>
      </c>
      <c r="AF15" s="31">
        <f t="shared" si="15"/>
        <v>0.05</v>
      </c>
      <c r="AG15" s="145">
        <f t="shared" si="1"/>
        <v>345796.00466937316</v>
      </c>
    </row>
    <row r="16" spans="2:33">
      <c r="B16" s="20" t="s">
        <v>23</v>
      </c>
      <c r="C16" s="140"/>
      <c r="D16" s="140"/>
      <c r="E16" s="146"/>
      <c r="F16" s="146"/>
      <c r="G16" s="146">
        <v>152</v>
      </c>
      <c r="H16" s="146">
        <v>145</v>
      </c>
      <c r="I16" s="146">
        <v>290</v>
      </c>
      <c r="J16" s="146">
        <v>303</v>
      </c>
      <c r="K16" s="146">
        <v>422</v>
      </c>
      <c r="L16" s="146">
        <v>1032</v>
      </c>
      <c r="M16" s="146">
        <v>3101</v>
      </c>
      <c r="N16" s="146">
        <v>2035</v>
      </c>
      <c r="O16" s="146">
        <v>541</v>
      </c>
      <c r="P16" s="146">
        <v>1059</v>
      </c>
      <c r="Q16" s="203">
        <v>10923</v>
      </c>
      <c r="R16" s="203">
        <v>12909</v>
      </c>
      <c r="S16" s="118">
        <f>((R16/H16)^(1/($I$2-$I$1) ))-1</f>
        <v>0.50393653230428614</v>
      </c>
      <c r="T16" s="31">
        <f t="shared" si="5"/>
        <v>0.12</v>
      </c>
      <c r="U16" s="152">
        <f t="shared" si="2"/>
        <v>14458.080000000002</v>
      </c>
      <c r="V16" s="152">
        <f t="shared" ref="V16:AD16" si="33">U16*(1+$T16)</f>
        <v>16193.049600000004</v>
      </c>
      <c r="W16" s="152">
        <f t="shared" si="33"/>
        <v>18136.215552000005</v>
      </c>
      <c r="X16" s="152">
        <f t="shared" si="33"/>
        <v>20312.561418240006</v>
      </c>
      <c r="Y16" s="152">
        <f t="shared" si="33"/>
        <v>22750.068788428809</v>
      </c>
      <c r="Z16" s="152">
        <f t="shared" si="33"/>
        <v>25480.07704304027</v>
      </c>
      <c r="AA16" s="152">
        <f t="shared" si="33"/>
        <v>28537.686288205106</v>
      </c>
      <c r="AB16" s="152">
        <f t="shared" si="33"/>
        <v>31962.208642789723</v>
      </c>
      <c r="AC16" s="152">
        <f t="shared" si="33"/>
        <v>35797.67367992449</v>
      </c>
      <c r="AD16" s="152">
        <f t="shared" si="33"/>
        <v>40093.394521515431</v>
      </c>
      <c r="AE16" s="137">
        <f t="shared" si="17"/>
        <v>0.30698817510619736</v>
      </c>
      <c r="AF16" s="31">
        <f t="shared" si="15"/>
        <v>0.05</v>
      </c>
      <c r="AG16" s="145">
        <f t="shared" si="1"/>
        <v>247635.67204465414</v>
      </c>
    </row>
    <row r="17" spans="2:33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28"/>
      <c r="T17" s="20"/>
      <c r="U17" s="152">
        <f t="shared" si="2"/>
        <v>0</v>
      </c>
      <c r="V17" s="152"/>
      <c r="W17" s="152"/>
      <c r="X17" s="152"/>
      <c r="Y17" s="152"/>
      <c r="Z17" s="152"/>
      <c r="AA17" s="152"/>
      <c r="AB17" s="152"/>
      <c r="AC17" s="152"/>
      <c r="AD17" s="152"/>
      <c r="AE17" s="138"/>
      <c r="AF17" s="136"/>
      <c r="AG17" s="152"/>
    </row>
    <row r="18" spans="2:33">
      <c r="B18" s="20" t="s">
        <v>277</v>
      </c>
      <c r="C18" s="140"/>
      <c r="D18" s="140"/>
      <c r="E18" s="146"/>
      <c r="F18" s="146"/>
      <c r="G18" s="146">
        <v>320</v>
      </c>
      <c r="H18" s="146">
        <v>320</v>
      </c>
      <c r="I18" s="146">
        <v>345</v>
      </c>
      <c r="J18" s="146">
        <v>460</v>
      </c>
      <c r="K18" s="146">
        <v>476</v>
      </c>
      <c r="L18" s="146">
        <v>544</v>
      </c>
      <c r="M18" s="146">
        <v>2176</v>
      </c>
      <c r="N18" s="146">
        <v>2415</v>
      </c>
      <c r="O18" s="146">
        <v>3307</v>
      </c>
      <c r="P18" s="146">
        <v>4136</v>
      </c>
      <c r="Q18" s="203">
        <v>87205</v>
      </c>
      <c r="R18" s="203">
        <v>70107</v>
      </c>
      <c r="S18" s="118">
        <f>((R18/H18)^(1/($I$2-$I$1) ))-1</f>
        <v>0.63223563443205166</v>
      </c>
      <c r="T18" s="31">
        <f t="shared" si="5"/>
        <v>0.12</v>
      </c>
      <c r="U18" s="152">
        <f t="shared" si="2"/>
        <v>78519.840000000011</v>
      </c>
      <c r="V18" s="152">
        <f t="shared" ref="V18:V34" si="34">U18*(1+$T18)</f>
        <v>87942.220800000025</v>
      </c>
      <c r="W18" s="152">
        <f t="shared" ref="W18:W34" si="35">V18*(1+$T18)</f>
        <v>98495.287296000039</v>
      </c>
      <c r="X18" s="152">
        <f t="shared" ref="X18:X34" si="36">W18*(1+$T18)</f>
        <v>110314.72177152005</v>
      </c>
      <c r="Y18" s="152">
        <f t="shared" ref="Y18:Y51" si="37">X18*(1+$T18)</f>
        <v>123552.48838410247</v>
      </c>
      <c r="Z18" s="152">
        <f t="shared" ref="Z18:Z51" si="38">Y18*(1+$T18)</f>
        <v>138378.78699019479</v>
      </c>
      <c r="AA18" s="152">
        <f t="shared" ref="AA18:AA51" si="39">Z18*(1+$T18)</f>
        <v>154984.24142901818</v>
      </c>
      <c r="AB18" s="152">
        <f t="shared" ref="AB18:AB51" si="40">AA18*(1+$T18)</f>
        <v>173582.35040050038</v>
      </c>
      <c r="AC18" s="152">
        <f t="shared" ref="AC18:AC51" si="41">AB18*(1+$T18)</f>
        <v>194412.23244856045</v>
      </c>
      <c r="AD18" s="152">
        <f t="shared" ref="AD18:AD51" si="42">AC18*(1+$T18)</f>
        <v>217741.70034238772</v>
      </c>
      <c r="AE18" s="137">
        <f t="shared" si="17"/>
        <v>0.36425275539097335</v>
      </c>
      <c r="AF18" s="31">
        <f t="shared" si="15"/>
        <v>0.05</v>
      </c>
      <c r="AG18" s="145">
        <f t="shared" si="1"/>
        <v>1344875.2079971007</v>
      </c>
    </row>
    <row r="19" spans="2:33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28"/>
      <c r="T19" s="20"/>
      <c r="U19" s="152">
        <f t="shared" si="2"/>
        <v>0</v>
      </c>
      <c r="V19" s="152"/>
      <c r="W19" s="152"/>
      <c r="X19" s="152"/>
      <c r="Y19" s="152"/>
      <c r="Z19" s="152"/>
      <c r="AA19" s="152"/>
      <c r="AB19" s="152"/>
      <c r="AC19" s="152"/>
      <c r="AD19" s="152"/>
      <c r="AE19" s="138"/>
      <c r="AF19" s="136"/>
      <c r="AG19" s="152"/>
    </row>
    <row r="20" spans="2:33">
      <c r="B20" s="20" t="s">
        <v>283</v>
      </c>
      <c r="C20" s="140"/>
      <c r="D20" s="140"/>
      <c r="E20" s="146"/>
      <c r="F20" s="146"/>
      <c r="G20" s="146">
        <v>105</v>
      </c>
      <c r="H20" s="146">
        <v>346</v>
      </c>
      <c r="I20" s="146">
        <v>392</v>
      </c>
      <c r="J20" s="146">
        <v>584</v>
      </c>
      <c r="K20" s="146">
        <v>1306</v>
      </c>
      <c r="L20" s="146">
        <v>2078</v>
      </c>
      <c r="M20" s="146">
        <v>2003</v>
      </c>
      <c r="N20" s="146">
        <v>2953</v>
      </c>
      <c r="O20" s="146">
        <v>1538</v>
      </c>
      <c r="P20" s="146">
        <v>-128</v>
      </c>
      <c r="Q20" s="203">
        <v>2832</v>
      </c>
      <c r="R20" s="203">
        <v>4240</v>
      </c>
      <c r="S20" s="118">
        <f>((R20/H20)^(1/($I$2-$I$1) ))-1</f>
        <v>0.2558432409628284</v>
      </c>
      <c r="T20" s="31">
        <f t="shared" si="5"/>
        <v>0.12</v>
      </c>
      <c r="U20" s="152">
        <f t="shared" si="2"/>
        <v>4748.8</v>
      </c>
      <c r="V20" s="152">
        <f t="shared" ref="V20:V22" si="43">U20*(1+$T20)</f>
        <v>5318.6560000000009</v>
      </c>
      <c r="W20" s="152">
        <f t="shared" ref="W20:W22" si="44">V20*(1+$T20)</f>
        <v>5956.8947200000011</v>
      </c>
      <c r="X20" s="152">
        <f t="shared" ref="X20:X22" si="45">W20*(1+$T20)</f>
        <v>6671.7220864000019</v>
      </c>
      <c r="Y20" s="152">
        <f t="shared" ref="Y20:Y22" si="46">X20*(1+$T20)</f>
        <v>7472.3287367680032</v>
      </c>
      <c r="Z20" s="152">
        <f t="shared" ref="Z20:Z22" si="47">Y20*(1+$T20)</f>
        <v>8369.0081851801642</v>
      </c>
      <c r="AA20" s="152">
        <f t="shared" ref="AA20:AA22" si="48">Z20*(1+$T20)</f>
        <v>9373.2891674017847</v>
      </c>
      <c r="AB20" s="152">
        <f t="shared" ref="AB20:AB22" si="49">AA20*(1+$T20)</f>
        <v>10498.083867490001</v>
      </c>
      <c r="AC20" s="152">
        <f t="shared" ref="AC20:AC22" si="50">AB20*(1+$T20)</f>
        <v>11757.853931588801</v>
      </c>
      <c r="AD20" s="152">
        <f t="shared" ref="AD20:AD22" si="51">AC20*(1+$T20)</f>
        <v>13168.796403379458</v>
      </c>
      <c r="AE20" s="137">
        <f t="shared" ref="AE20:AE22" si="52">((AD20/H20)^(1/($AD$3-$I$1) ))-1</f>
        <v>0.18921526553335388</v>
      </c>
      <c r="AF20" s="31">
        <f t="shared" si="15"/>
        <v>0.05</v>
      </c>
      <c r="AG20" s="145">
        <f t="shared" si="1"/>
        <v>81336.683667931953</v>
      </c>
    </row>
    <row r="21" spans="2:33">
      <c r="B21" s="20" t="s">
        <v>284</v>
      </c>
      <c r="C21" s="140"/>
      <c r="D21" s="140"/>
      <c r="E21" s="146"/>
      <c r="F21" s="146"/>
      <c r="G21" s="146">
        <v>-29.46</v>
      </c>
      <c r="H21" s="146">
        <v>-318</v>
      </c>
      <c r="I21" s="146">
        <v>-210</v>
      </c>
      <c r="J21" s="146">
        <v>-411</v>
      </c>
      <c r="K21" s="146">
        <v>-1124</v>
      </c>
      <c r="L21" s="146">
        <v>-939</v>
      </c>
      <c r="M21" s="146">
        <v>-4695</v>
      </c>
      <c r="N21" s="146">
        <v>-2396</v>
      </c>
      <c r="O21" s="146">
        <v>-4035</v>
      </c>
      <c r="P21" s="146">
        <v>-313</v>
      </c>
      <c r="Q21" s="146">
        <v>-2541</v>
      </c>
      <c r="R21" s="146">
        <v>1877</v>
      </c>
      <c r="S21" s="118">
        <f>((R21/H21)^(1/($I$2-$I$1) ))-1</f>
        <v>-2.1751526563286774</v>
      </c>
      <c r="T21" s="31">
        <f t="shared" si="5"/>
        <v>0.12</v>
      </c>
      <c r="U21" s="152">
        <f t="shared" si="2"/>
        <v>2102.2400000000002</v>
      </c>
      <c r="V21" s="152">
        <f t="shared" si="43"/>
        <v>2354.5088000000005</v>
      </c>
      <c r="W21" s="152">
        <f t="shared" si="44"/>
        <v>2637.049856000001</v>
      </c>
      <c r="X21" s="152">
        <f t="shared" si="45"/>
        <v>2953.4958387200013</v>
      </c>
      <c r="Y21" s="152">
        <f t="shared" si="46"/>
        <v>3307.9153393664019</v>
      </c>
      <c r="Z21" s="152">
        <f t="shared" si="47"/>
        <v>3704.8651800903704</v>
      </c>
      <c r="AA21" s="152">
        <f t="shared" si="48"/>
        <v>4149.4490017012149</v>
      </c>
      <c r="AB21" s="152">
        <f t="shared" si="49"/>
        <v>4647.3828819053615</v>
      </c>
      <c r="AC21" s="152">
        <f t="shared" si="50"/>
        <v>5205.068827734005</v>
      </c>
      <c r="AD21" s="152">
        <f t="shared" si="51"/>
        <v>5829.6770870620858</v>
      </c>
      <c r="AE21" s="137">
        <f t="shared" si="52"/>
        <v>-2.1485587336472851</v>
      </c>
      <c r="AF21" s="31">
        <f t="shared" si="15"/>
        <v>0.05</v>
      </c>
      <c r="AG21" s="145">
        <f t="shared" si="1"/>
        <v>36006.829067148181</v>
      </c>
    </row>
    <row r="22" spans="2:33">
      <c r="B22" s="20" t="s">
        <v>285</v>
      </c>
      <c r="C22" s="140"/>
      <c r="D22" s="140"/>
      <c r="E22" s="146"/>
      <c r="F22" s="146"/>
      <c r="G22" s="146">
        <v>-14.76</v>
      </c>
      <c r="H22" s="146">
        <v>-80.099999999999994</v>
      </c>
      <c r="I22" s="146">
        <v>-160</v>
      </c>
      <c r="J22" s="146">
        <v>-189</v>
      </c>
      <c r="K22" s="146">
        <v>-183</v>
      </c>
      <c r="L22" s="146">
        <v>-1139</v>
      </c>
      <c r="M22" s="146">
        <v>2706</v>
      </c>
      <c r="N22" s="146">
        <v>-412</v>
      </c>
      <c r="O22" s="146">
        <v>1692</v>
      </c>
      <c r="P22" s="146">
        <v>394</v>
      </c>
      <c r="Q22" s="146">
        <v>-505</v>
      </c>
      <c r="R22" s="146">
        <v>-6193</v>
      </c>
      <c r="S22" s="118">
        <f>((R22/H22)^(1/($I$2-$I$1) ))-1</f>
        <v>0.48477545150725598</v>
      </c>
      <c r="T22" s="31">
        <f t="shared" si="5"/>
        <v>0.12</v>
      </c>
      <c r="U22" s="152">
        <f t="shared" si="2"/>
        <v>-6936.1600000000008</v>
      </c>
      <c r="V22" s="152">
        <f t="shared" si="43"/>
        <v>-7768.499200000002</v>
      </c>
      <c r="W22" s="152">
        <f t="shared" si="44"/>
        <v>-8700.7191040000034</v>
      </c>
      <c r="X22" s="152">
        <f t="shared" si="45"/>
        <v>-9744.8053964800056</v>
      </c>
      <c r="Y22" s="152">
        <f t="shared" si="46"/>
        <v>-10914.182044057607</v>
      </c>
      <c r="Z22" s="152">
        <f t="shared" si="47"/>
        <v>-12223.883889344521</v>
      </c>
      <c r="AA22" s="152">
        <f t="shared" si="48"/>
        <v>-13690.749956065865</v>
      </c>
      <c r="AB22" s="152">
        <f t="shared" si="49"/>
        <v>-15333.639950793771</v>
      </c>
      <c r="AC22" s="152">
        <f t="shared" si="50"/>
        <v>-17173.676744889024</v>
      </c>
      <c r="AD22" s="152">
        <f t="shared" si="51"/>
        <v>-19234.517954275711</v>
      </c>
      <c r="AE22" s="137">
        <f t="shared" si="52"/>
        <v>0.29823915788632127</v>
      </c>
      <c r="AF22" s="31">
        <f t="shared" si="15"/>
        <v>0.05</v>
      </c>
      <c r="AG22" s="145">
        <f t="shared" si="1"/>
        <v>-118801.43442346764</v>
      </c>
    </row>
    <row r="23" spans="2:33">
      <c r="B23" s="20" t="s">
        <v>294</v>
      </c>
      <c r="C23" s="140"/>
      <c r="D23" s="140"/>
      <c r="E23" s="146"/>
      <c r="F23" s="146"/>
      <c r="G23" s="146">
        <v>62.47</v>
      </c>
      <c r="H23" s="146">
        <v>9.9600000000000009</v>
      </c>
      <c r="I23" s="146">
        <v>31.14</v>
      </c>
      <c r="J23" s="146">
        <v>14.43</v>
      </c>
      <c r="K23" s="146">
        <v>13.16</v>
      </c>
      <c r="L23" s="146">
        <v>8.64</v>
      </c>
      <c r="M23" s="146">
        <v>23</v>
      </c>
      <c r="N23" s="146">
        <v>178</v>
      </c>
      <c r="O23" s="146">
        <v>62.5</v>
      </c>
      <c r="P23" s="146">
        <v>15.55</v>
      </c>
      <c r="Q23" s="146">
        <v>-215</v>
      </c>
      <c r="R23" s="146">
        <v>-76</v>
      </c>
      <c r="S23" s="118">
        <f>((R23/H23)^(1/($I$2-$I$1) ))-1</f>
        <v>-2.2029074230633645</v>
      </c>
      <c r="T23" s="31">
        <f t="shared" si="5"/>
        <v>0.12</v>
      </c>
      <c r="U23" s="152">
        <f t="shared" si="2"/>
        <v>-85.12</v>
      </c>
      <c r="V23" s="152">
        <f t="shared" ref="V23" si="53">U23*(1+$T23)</f>
        <v>-95.334400000000016</v>
      </c>
      <c r="W23" s="152">
        <f t="shared" ref="W23" si="54">V23*(1+$T23)</f>
        <v>-106.77452800000003</v>
      </c>
      <c r="X23" s="152">
        <f t="shared" ref="X23" si="55">W23*(1+$T23)</f>
        <v>-119.58747136000005</v>
      </c>
      <c r="Y23" s="152">
        <f t="shared" ref="Y23" si="56">X23*(1+$T23)</f>
        <v>-133.93796792320006</v>
      </c>
      <c r="Z23" s="152">
        <f t="shared" ref="Z23" si="57">Y23*(1+$T23)</f>
        <v>-150.01052407398407</v>
      </c>
      <c r="AA23" s="152">
        <f t="shared" ref="AA23" si="58">Z23*(1+$T23)</f>
        <v>-168.01178696286217</v>
      </c>
      <c r="AB23" s="152">
        <f t="shared" ref="AB23" si="59">AA23*(1+$T23)</f>
        <v>-188.17320139840567</v>
      </c>
      <c r="AC23" s="152">
        <f t="shared" ref="AC23" si="60">AB23*(1+$T23)</f>
        <v>-210.75398556621437</v>
      </c>
      <c r="AD23" s="152">
        <f t="shared" ref="AD23" si="61">AC23*(1+$T23)</f>
        <v>-236.04446383416013</v>
      </c>
      <c r="AE23" s="137">
        <f t="shared" ref="AE23" si="62">((AD23/H23)^(1/($AD$3-$I$1) ))-1</f>
        <v>-2.1626889544699539</v>
      </c>
      <c r="AF23" s="31">
        <f t="shared" si="15"/>
        <v>0.05</v>
      </c>
      <c r="AG23" s="145">
        <f t="shared" si="1"/>
        <v>-1457.9216883874597</v>
      </c>
    </row>
    <row r="24" spans="2:33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28"/>
      <c r="T24" s="20"/>
      <c r="U24" s="152">
        <f t="shared" si="2"/>
        <v>0</v>
      </c>
      <c r="V24" s="152"/>
      <c r="W24" s="152"/>
      <c r="X24" s="152"/>
      <c r="Y24" s="152"/>
      <c r="Z24" s="152"/>
      <c r="AA24" s="152"/>
      <c r="AB24" s="152"/>
      <c r="AC24" s="152"/>
      <c r="AD24" s="152"/>
      <c r="AE24" s="119"/>
      <c r="AF24" s="136"/>
      <c r="AG24" s="152"/>
    </row>
    <row r="25" spans="2:33">
      <c r="B25" s="20" t="s">
        <v>89</v>
      </c>
      <c r="C25" s="140"/>
      <c r="D25" s="140"/>
      <c r="E25" s="146"/>
      <c r="F25" s="146"/>
      <c r="G25" s="146">
        <v>888</v>
      </c>
      <c r="H25" s="146">
        <v>1660</v>
      </c>
      <c r="I25" s="146">
        <v>1961</v>
      </c>
      <c r="J25" s="146">
        <v>2268</v>
      </c>
      <c r="K25" s="146">
        <v>3934</v>
      </c>
      <c r="L25" s="146">
        <v>5352</v>
      </c>
      <c r="M25" s="146">
        <v>7215</v>
      </c>
      <c r="N25" s="146">
        <v>10774</v>
      </c>
      <c r="O25" s="146">
        <v>9112</v>
      </c>
      <c r="P25" s="146">
        <v>3127</v>
      </c>
      <c r="Q25" s="203">
        <v>68769</v>
      </c>
      <c r="R25" s="203">
        <v>54502</v>
      </c>
      <c r="S25" s="118">
        <f>((R25/H25)^(1/($I$2-$I$1) ))-1</f>
        <v>0.3735543546896285</v>
      </c>
      <c r="T25" s="31">
        <f t="shared" si="5"/>
        <v>0.12</v>
      </c>
      <c r="U25" s="152">
        <f t="shared" si="2"/>
        <v>61042.240000000005</v>
      </c>
      <c r="V25" s="152">
        <f t="shared" si="34"/>
        <v>68367.308800000013</v>
      </c>
      <c r="W25" s="152">
        <f t="shared" si="35"/>
        <v>76571.385856000023</v>
      </c>
      <c r="X25" s="152">
        <f t="shared" si="36"/>
        <v>85759.952158720029</v>
      </c>
      <c r="Y25" s="152">
        <f t="shared" si="37"/>
        <v>96051.146417766446</v>
      </c>
      <c r="Z25" s="152">
        <f t="shared" si="38"/>
        <v>107577.28398789842</v>
      </c>
      <c r="AA25" s="152">
        <f t="shared" si="39"/>
        <v>120486.55806644625</v>
      </c>
      <c r="AB25" s="152">
        <f t="shared" si="40"/>
        <v>134944.9450344198</v>
      </c>
      <c r="AC25" s="152">
        <f t="shared" si="41"/>
        <v>151138.33843855018</v>
      </c>
      <c r="AD25" s="152">
        <f t="shared" si="42"/>
        <v>169274.93905117622</v>
      </c>
      <c r="AE25" s="137">
        <f t="shared" si="17"/>
        <v>0.24635604025458679</v>
      </c>
      <c r="AF25" s="31">
        <f t="shared" si="15"/>
        <v>0.05</v>
      </c>
      <c r="AG25" s="145">
        <f t="shared" si="1"/>
        <v>1045521.682374912</v>
      </c>
    </row>
    <row r="26" spans="2:33" s="123" customFormat="1">
      <c r="B26" s="23"/>
      <c r="C26" s="147"/>
      <c r="D26" s="147"/>
      <c r="E26" s="148"/>
      <c r="F26" s="148"/>
      <c r="G26" s="148"/>
      <c r="H26" s="149">
        <f t="shared" ref="H26:R26" si="63">(H25-G25)/G25</f>
        <v>0.86936936936936937</v>
      </c>
      <c r="I26" s="149">
        <f t="shared" si="63"/>
        <v>0.18132530120481927</v>
      </c>
      <c r="J26" s="149">
        <f t="shared" si="63"/>
        <v>0.15655277919428862</v>
      </c>
      <c r="K26" s="149">
        <f t="shared" si="63"/>
        <v>0.73456790123456794</v>
      </c>
      <c r="L26" s="149">
        <f t="shared" si="63"/>
        <v>0.36044738179969499</v>
      </c>
      <c r="M26" s="149">
        <f t="shared" si="63"/>
        <v>0.34809417040358742</v>
      </c>
      <c r="N26" s="149">
        <f t="shared" si="63"/>
        <v>0.49327789327789329</v>
      </c>
      <c r="O26" s="149">
        <f t="shared" si="63"/>
        <v>-0.15426025617226657</v>
      </c>
      <c r="P26" s="149">
        <f t="shared" si="63"/>
        <v>-0.6568261633011413</v>
      </c>
      <c r="Q26" s="149">
        <f t="shared" si="63"/>
        <v>20.992005116725295</v>
      </c>
      <c r="R26" s="149">
        <f t="shared" si="63"/>
        <v>-0.20746266486352863</v>
      </c>
      <c r="S26" s="128"/>
      <c r="T26" s="20"/>
      <c r="U26" s="152"/>
      <c r="V26" s="153"/>
      <c r="W26" s="153"/>
      <c r="X26" s="153"/>
      <c r="Y26" s="153"/>
      <c r="Z26" s="153"/>
      <c r="AA26" s="153"/>
      <c r="AB26" s="153"/>
      <c r="AC26" s="153"/>
      <c r="AD26" s="153"/>
      <c r="AE26" s="119"/>
      <c r="AF26" s="136"/>
      <c r="AG26" s="152"/>
    </row>
    <row r="27" spans="2:33">
      <c r="B27" s="20" t="s">
        <v>261</v>
      </c>
      <c r="C27" s="140"/>
      <c r="D27" s="140"/>
      <c r="E27" s="146"/>
      <c r="F27" s="146"/>
      <c r="G27" s="146">
        <v>596</v>
      </c>
      <c r="H27" s="146">
        <v>722</v>
      </c>
      <c r="I27" s="146">
        <v>838</v>
      </c>
      <c r="J27" s="146">
        <v>961</v>
      </c>
      <c r="K27" s="146">
        <v>1232</v>
      </c>
      <c r="L27" s="146">
        <v>2032</v>
      </c>
      <c r="M27" s="146">
        <v>2899</v>
      </c>
      <c r="N27" s="146">
        <v>4992</v>
      </c>
      <c r="O27" s="146">
        <v>5443</v>
      </c>
      <c r="P27" s="146">
        <v>2629</v>
      </c>
      <c r="Q27" s="203">
        <v>47299</v>
      </c>
      <c r="R27" s="203">
        <v>51609</v>
      </c>
      <c r="S27" s="118">
        <f>((R27/H27)^(1/($I$2-$I$1) ))-1</f>
        <v>0.47422091348039963</v>
      </c>
      <c r="T27" s="31">
        <f t="shared" si="5"/>
        <v>0.12</v>
      </c>
      <c r="U27" s="152">
        <f t="shared" si="2"/>
        <v>57802.080000000009</v>
      </c>
      <c r="V27" s="152">
        <f t="shared" si="34"/>
        <v>64738.329600000019</v>
      </c>
      <c r="W27" s="152">
        <f t="shared" si="35"/>
        <v>72506.929152000026</v>
      </c>
      <c r="X27" s="152">
        <f t="shared" si="36"/>
        <v>81207.76065024003</v>
      </c>
      <c r="Y27" s="152">
        <f t="shared" si="37"/>
        <v>90952.691928268847</v>
      </c>
      <c r="Z27" s="152">
        <f t="shared" si="38"/>
        <v>101867.01495966112</v>
      </c>
      <c r="AA27" s="152">
        <f t="shared" si="39"/>
        <v>114091.05675482046</v>
      </c>
      <c r="AB27" s="152">
        <f t="shared" si="40"/>
        <v>127781.98356539893</v>
      </c>
      <c r="AC27" s="152">
        <f t="shared" si="41"/>
        <v>143115.8215932468</v>
      </c>
      <c r="AD27" s="152">
        <f t="shared" si="42"/>
        <v>160289.72018443645</v>
      </c>
      <c r="AE27" s="137">
        <f t="shared" si="17"/>
        <v>0.29339694871316535</v>
      </c>
      <c r="AF27" s="31">
        <f t="shared" si="15"/>
        <v>0.05</v>
      </c>
      <c r="AG27" s="145">
        <f t="shared" si="1"/>
        <v>990024.74231563695</v>
      </c>
    </row>
    <row r="28" spans="2:33" s="123" customFormat="1">
      <c r="B28" s="23"/>
      <c r="C28" s="147"/>
      <c r="D28" s="147"/>
      <c r="E28" s="148"/>
      <c r="F28" s="148"/>
      <c r="G28" s="148"/>
      <c r="H28" s="149">
        <f t="shared" ref="H28:R28" si="64">(H27-G27)/G27</f>
        <v>0.21140939597315436</v>
      </c>
      <c r="I28" s="149">
        <f t="shared" si="64"/>
        <v>0.16066481994459833</v>
      </c>
      <c r="J28" s="149">
        <f t="shared" si="64"/>
        <v>0.1467780429594272</v>
      </c>
      <c r="K28" s="149">
        <f t="shared" si="64"/>
        <v>0.28199791883454733</v>
      </c>
      <c r="L28" s="149">
        <f t="shared" si="64"/>
        <v>0.64935064935064934</v>
      </c>
      <c r="M28" s="149">
        <f t="shared" si="64"/>
        <v>0.42667322834645671</v>
      </c>
      <c r="N28" s="149">
        <f t="shared" si="64"/>
        <v>0.72197309417040356</v>
      </c>
      <c r="O28" s="149">
        <f t="shared" si="64"/>
        <v>9.034455128205128E-2</v>
      </c>
      <c r="P28" s="149">
        <f t="shared" si="64"/>
        <v>-0.51699430461142748</v>
      </c>
      <c r="Q28" s="149">
        <f t="shared" si="64"/>
        <v>16.99125142639787</v>
      </c>
      <c r="R28" s="149">
        <f t="shared" si="64"/>
        <v>9.1122433878094669E-2</v>
      </c>
      <c r="S28" s="128"/>
      <c r="T28" s="20"/>
      <c r="U28" s="152"/>
      <c r="V28" s="153"/>
      <c r="W28" s="153"/>
      <c r="X28" s="153"/>
      <c r="Y28" s="153"/>
      <c r="Z28" s="153"/>
      <c r="AA28" s="153"/>
      <c r="AB28" s="153"/>
      <c r="AC28" s="153"/>
      <c r="AD28" s="153"/>
      <c r="AE28" s="119"/>
      <c r="AF28" s="136"/>
      <c r="AG28" s="152"/>
    </row>
    <row r="29" spans="2:33" s="123" customFormat="1">
      <c r="B29" s="20" t="s">
        <v>322</v>
      </c>
      <c r="C29" s="147"/>
      <c r="D29" s="147"/>
      <c r="E29" s="148"/>
      <c r="F29" s="148"/>
      <c r="G29" s="146"/>
      <c r="H29" s="203">
        <f>I29</f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87</v>
      </c>
      <c r="O29" s="203">
        <v>433</v>
      </c>
      <c r="P29" s="203">
        <v>475</v>
      </c>
      <c r="Q29" s="203">
        <v>5094</v>
      </c>
      <c r="R29" s="203">
        <v>5658</v>
      </c>
      <c r="S29" s="118" t="e">
        <f>((R29/H29)^(1/($I$2-$I$1) ))-1</f>
        <v>#DIV/0!</v>
      </c>
      <c r="T29" s="31">
        <f t="shared" si="5"/>
        <v>0.12</v>
      </c>
      <c r="U29" s="152">
        <f t="shared" si="2"/>
        <v>6336.9600000000009</v>
      </c>
      <c r="V29" s="152">
        <f t="shared" ref="V29" si="65">U29*(1+$T29)</f>
        <v>7097.3952000000018</v>
      </c>
      <c r="W29" s="152">
        <f t="shared" ref="W29" si="66">V29*(1+$T29)</f>
        <v>7949.0826240000024</v>
      </c>
      <c r="X29" s="152">
        <f t="shared" ref="X29" si="67">W29*(1+$T29)</f>
        <v>8902.9725388800034</v>
      </c>
      <c r="Y29" s="152">
        <f t="shared" ref="Y29" si="68">X29*(1+$T29)</f>
        <v>9971.3292435456042</v>
      </c>
      <c r="Z29" s="152">
        <f t="shared" ref="Z29" si="69">Y29*(1+$T29)</f>
        <v>11167.888752771078</v>
      </c>
      <c r="AA29" s="152">
        <f t="shared" ref="AA29" si="70">Z29*(1+$T29)</f>
        <v>12508.035403103608</v>
      </c>
      <c r="AB29" s="152">
        <f t="shared" ref="AB29" si="71">AA29*(1+$T29)</f>
        <v>14008.999651476042</v>
      </c>
      <c r="AC29" s="152">
        <f t="shared" ref="AC29" si="72">AB29*(1+$T29)</f>
        <v>15690.079609653169</v>
      </c>
      <c r="AD29" s="152">
        <f t="shared" ref="AD29" si="73">AC29*(1+$T29)</f>
        <v>17572.889162811549</v>
      </c>
      <c r="AE29" s="137" t="e">
        <f t="shared" ref="AE29" si="74">((AD29/H29)^(1/($AD$3-$I$1) ))-1</f>
        <v>#DIV/0!</v>
      </c>
      <c r="AF29" s="31">
        <f t="shared" si="15"/>
        <v>0.05</v>
      </c>
      <c r="AG29" s="145">
        <f t="shared" ref="AG29" si="75">(AD29*(1+AF29))/($C$1-AF29)</f>
        <v>108538.43306442429</v>
      </c>
    </row>
    <row r="30" spans="2:33" s="123" customFormat="1">
      <c r="B30" s="23"/>
      <c r="C30" s="147"/>
      <c r="D30" s="147"/>
      <c r="E30" s="148"/>
      <c r="F30" s="148"/>
      <c r="G30" s="148"/>
      <c r="H30" s="149" t="e">
        <f t="shared" ref="H30:R30" si="76">(H29-G29)/G29</f>
        <v>#DIV/0!</v>
      </c>
      <c r="I30" s="149" t="e">
        <f t="shared" si="76"/>
        <v>#DIV/0!</v>
      </c>
      <c r="J30" s="149" t="e">
        <f t="shared" si="76"/>
        <v>#DIV/0!</v>
      </c>
      <c r="K30" s="149" t="e">
        <f t="shared" si="76"/>
        <v>#DIV/0!</v>
      </c>
      <c r="L30" s="149" t="e">
        <f t="shared" si="76"/>
        <v>#DIV/0!</v>
      </c>
      <c r="M30" s="149" t="e">
        <f t="shared" si="76"/>
        <v>#DIV/0!</v>
      </c>
      <c r="N30" s="149" t="e">
        <f t="shared" si="76"/>
        <v>#DIV/0!</v>
      </c>
      <c r="O30" s="149">
        <f t="shared" si="76"/>
        <v>3.9770114942528734</v>
      </c>
      <c r="P30" s="149">
        <f t="shared" si="76"/>
        <v>9.6997690531177835E-2</v>
      </c>
      <c r="Q30" s="149">
        <f t="shared" si="76"/>
        <v>9.7242105263157903</v>
      </c>
      <c r="R30" s="149">
        <f t="shared" si="76"/>
        <v>0.11071849234393404</v>
      </c>
      <c r="S30" s="128"/>
      <c r="T30" s="20"/>
      <c r="U30" s="152"/>
      <c r="V30" s="153"/>
      <c r="W30" s="153"/>
      <c r="X30" s="153"/>
      <c r="Y30" s="153"/>
      <c r="Z30" s="153"/>
      <c r="AA30" s="153"/>
      <c r="AB30" s="153"/>
      <c r="AC30" s="153"/>
      <c r="AD30" s="153"/>
      <c r="AE30" s="160"/>
      <c r="AF30" s="136"/>
      <c r="AG30" s="152"/>
    </row>
    <row r="31" spans="2:33">
      <c r="B31" s="20" t="s">
        <v>330</v>
      </c>
      <c r="C31" s="140"/>
      <c r="D31" s="140"/>
      <c r="E31" s="146"/>
      <c r="F31" s="146"/>
      <c r="G31" s="146">
        <v>0</v>
      </c>
      <c r="H31" s="146">
        <v>0</v>
      </c>
      <c r="I31" s="146">
        <v>0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203">
        <v>0</v>
      </c>
      <c r="R31" s="203">
        <v>0</v>
      </c>
      <c r="S31" s="118" t="e">
        <f>((R31/H31)^(1/($I$2-$I$1) ))-1</f>
        <v>#DIV/0!</v>
      </c>
      <c r="T31" s="31">
        <f t="shared" si="5"/>
        <v>0.12</v>
      </c>
      <c r="U31" s="152">
        <f t="shared" si="2"/>
        <v>0</v>
      </c>
      <c r="V31" s="152">
        <f>U31*(1+$T31)</f>
        <v>0</v>
      </c>
      <c r="W31" s="152">
        <f t="shared" ref="W31:AD32" si="77">V31*(1+$T31)</f>
        <v>0</v>
      </c>
      <c r="X31" s="152">
        <f t="shared" si="77"/>
        <v>0</v>
      </c>
      <c r="Y31" s="152">
        <f t="shared" si="77"/>
        <v>0</v>
      </c>
      <c r="Z31" s="152">
        <f t="shared" si="77"/>
        <v>0</v>
      </c>
      <c r="AA31" s="152">
        <f t="shared" si="77"/>
        <v>0</v>
      </c>
      <c r="AB31" s="152">
        <f t="shared" si="77"/>
        <v>0</v>
      </c>
      <c r="AC31" s="152">
        <f t="shared" si="77"/>
        <v>0</v>
      </c>
      <c r="AD31" s="152">
        <f t="shared" si="77"/>
        <v>0</v>
      </c>
      <c r="AE31" s="137" t="e">
        <f t="shared" ref="AE31" si="78">((AD31/H31)^(1/($AD$3-$I$1) ))-1</f>
        <v>#DIV/0!</v>
      </c>
      <c r="AF31" s="31">
        <f t="shared" si="15"/>
        <v>0.05</v>
      </c>
      <c r="AG31" s="145">
        <f t="shared" si="1"/>
        <v>0</v>
      </c>
    </row>
    <row r="32" spans="2:33">
      <c r="B32" s="20" t="s">
        <v>329</v>
      </c>
      <c r="C32" s="140"/>
      <c r="D32" s="140"/>
      <c r="E32" s="146"/>
      <c r="F32" s="146"/>
      <c r="G32" s="146">
        <v>0</v>
      </c>
      <c r="H32" s="146">
        <v>0</v>
      </c>
      <c r="I32" s="146">
        <v>0</v>
      </c>
      <c r="J32" s="146">
        <v>0</v>
      </c>
      <c r="K32" s="146">
        <v>0</v>
      </c>
      <c r="L32" s="146">
        <v>0</v>
      </c>
      <c r="M32" s="146">
        <v>0</v>
      </c>
      <c r="N32" s="146">
        <v>0</v>
      </c>
      <c r="O32" s="146">
        <v>0</v>
      </c>
      <c r="P32" s="146">
        <v>0</v>
      </c>
      <c r="Q32" s="203">
        <v>0</v>
      </c>
      <c r="R32" s="203">
        <v>0</v>
      </c>
      <c r="S32" s="118" t="e">
        <f>((R32/H32)^(1/($I$2-$I$1) ))-1</f>
        <v>#DIV/0!</v>
      </c>
      <c r="T32" s="31">
        <f t="shared" si="5"/>
        <v>0.12</v>
      </c>
      <c r="U32" s="152">
        <f t="shared" si="2"/>
        <v>0</v>
      </c>
      <c r="V32" s="152">
        <f>U32*(1+$T32)</f>
        <v>0</v>
      </c>
      <c r="W32" s="152">
        <f t="shared" si="77"/>
        <v>0</v>
      </c>
      <c r="X32" s="152">
        <f t="shared" si="77"/>
        <v>0</v>
      </c>
      <c r="Y32" s="152">
        <f t="shared" si="77"/>
        <v>0</v>
      </c>
      <c r="Z32" s="152">
        <f t="shared" si="77"/>
        <v>0</v>
      </c>
      <c r="AA32" s="152">
        <f t="shared" si="77"/>
        <v>0</v>
      </c>
      <c r="AB32" s="152">
        <f t="shared" si="77"/>
        <v>0</v>
      </c>
      <c r="AC32" s="152">
        <f t="shared" si="77"/>
        <v>0</v>
      </c>
      <c r="AD32" s="152">
        <f t="shared" si="77"/>
        <v>0</v>
      </c>
      <c r="AE32" s="137" t="e">
        <f t="shared" ref="AE32" si="79">((AD32/H32)^(1/($AD$3-$I$1) ))-1</f>
        <v>#DIV/0!</v>
      </c>
      <c r="AF32" s="31">
        <f t="shared" si="15"/>
        <v>0.05</v>
      </c>
      <c r="AG32" s="145">
        <f t="shared" si="1"/>
        <v>0</v>
      </c>
    </row>
    <row r="33" spans="1:33">
      <c r="B33" s="20" t="s">
        <v>489</v>
      </c>
      <c r="C33" s="140"/>
      <c r="D33" s="140"/>
      <c r="E33" s="146"/>
      <c r="F33" s="146"/>
      <c r="G33" s="146">
        <v>306</v>
      </c>
      <c r="H33" s="146">
        <v>419</v>
      </c>
      <c r="I33" s="146">
        <v>515</v>
      </c>
      <c r="J33" s="146">
        <v>589</v>
      </c>
      <c r="K33" s="146">
        <v>650</v>
      </c>
      <c r="L33" s="146">
        <v>699</v>
      </c>
      <c r="M33" s="146">
        <v>899</v>
      </c>
      <c r="N33" s="146">
        <v>1201</v>
      </c>
      <c r="O33" s="146">
        <v>1289</v>
      </c>
      <c r="P33" s="146">
        <v>1120</v>
      </c>
      <c r="Q33" s="203">
        <v>26056</v>
      </c>
      <c r="R33" s="203">
        <v>26818</v>
      </c>
      <c r="S33" s="118">
        <f>((R33/H33)^(1/($I$2-$I$1) ))-1</f>
        <v>0.45949000093143333</v>
      </c>
      <c r="T33" s="31">
        <f t="shared" si="5"/>
        <v>0.12</v>
      </c>
      <c r="U33" s="152">
        <f t="shared" si="2"/>
        <v>30036.160000000003</v>
      </c>
      <c r="V33" s="152">
        <f t="shared" si="34"/>
        <v>33640.499200000006</v>
      </c>
      <c r="W33" s="152">
        <f t="shared" si="35"/>
        <v>37677.35910400001</v>
      </c>
      <c r="X33" s="152">
        <f t="shared" si="36"/>
        <v>42198.642196480017</v>
      </c>
      <c r="Y33" s="152">
        <f t="shared" si="37"/>
        <v>47262.479260057626</v>
      </c>
      <c r="Z33" s="152">
        <f t="shared" si="38"/>
        <v>52933.976771264548</v>
      </c>
      <c r="AA33" s="152">
        <f t="shared" si="39"/>
        <v>59286.053983816302</v>
      </c>
      <c r="AB33" s="152">
        <f t="shared" si="40"/>
        <v>66400.380461874258</v>
      </c>
      <c r="AC33" s="152">
        <f t="shared" si="41"/>
        <v>74368.426117299183</v>
      </c>
      <c r="AD33" s="152">
        <f t="shared" si="42"/>
        <v>83292.637251375098</v>
      </c>
      <c r="AE33" s="137">
        <f t="shared" si="17"/>
        <v>0.28661101800541466</v>
      </c>
      <c r="AF33" s="31">
        <f t="shared" si="15"/>
        <v>0.05</v>
      </c>
      <c r="AG33" s="145">
        <f t="shared" si="1"/>
        <v>514454.52419966977</v>
      </c>
    </row>
    <row r="34" spans="1:33">
      <c r="B34" s="20" t="s">
        <v>307</v>
      </c>
      <c r="C34" s="140"/>
      <c r="D34" s="140"/>
      <c r="E34" s="146"/>
      <c r="F34" s="146"/>
      <c r="G34" s="146"/>
      <c r="H34" s="146">
        <v>187</v>
      </c>
      <c r="I34" s="146">
        <v>209</v>
      </c>
      <c r="J34" s="146">
        <v>242</v>
      </c>
      <c r="K34" s="146">
        <v>446</v>
      </c>
      <c r="L34" s="146">
        <v>1028</v>
      </c>
      <c r="M34" s="146">
        <v>1298</v>
      </c>
      <c r="N34" s="146">
        <v>943</v>
      </c>
      <c r="O34" s="146">
        <v>668</v>
      </c>
      <c r="P34" s="146">
        <v>194</v>
      </c>
      <c r="Q34" s="203">
        <v>2702</v>
      </c>
      <c r="R34" s="203">
        <v>2915</v>
      </c>
      <c r="S34" s="118">
        <f>((R34/H34)^(1/($I$2-$I$1) ))-1</f>
        <v>0.28361885145453058</v>
      </c>
      <c r="T34" s="31">
        <f t="shared" si="5"/>
        <v>0.12</v>
      </c>
      <c r="U34" s="152">
        <f t="shared" si="2"/>
        <v>3264.8</v>
      </c>
      <c r="V34" s="152">
        <f t="shared" si="34"/>
        <v>3656.5760000000005</v>
      </c>
      <c r="W34" s="152">
        <f t="shared" si="35"/>
        <v>4095.3651200000008</v>
      </c>
      <c r="X34" s="152">
        <f t="shared" si="36"/>
        <v>4586.8089344000018</v>
      </c>
      <c r="Y34" s="152">
        <f t="shared" si="37"/>
        <v>5137.2260065280025</v>
      </c>
      <c r="Z34" s="152">
        <f t="shared" si="38"/>
        <v>5753.6931273113632</v>
      </c>
      <c r="AA34" s="152">
        <f t="shared" si="39"/>
        <v>6444.1363025887276</v>
      </c>
      <c r="AB34" s="152">
        <f t="shared" si="40"/>
        <v>7217.4326588993754</v>
      </c>
      <c r="AC34" s="152">
        <f t="shared" si="41"/>
        <v>8083.5245779673014</v>
      </c>
      <c r="AD34" s="152">
        <f t="shared" si="42"/>
        <v>9053.5475273233787</v>
      </c>
      <c r="AE34" s="137">
        <f t="shared" si="17"/>
        <v>0.20292072824346907</v>
      </c>
      <c r="AF34" s="31">
        <f t="shared" si="15"/>
        <v>0.05</v>
      </c>
      <c r="AG34" s="145">
        <f t="shared" si="1"/>
        <v>55918.97002170323</v>
      </c>
    </row>
    <row r="35" spans="1:33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38"/>
      <c r="AF35" s="136"/>
      <c r="AG35" s="152"/>
    </row>
    <row r="36" spans="1:33">
      <c r="A36" s="205" t="s">
        <v>482</v>
      </c>
      <c r="B36" s="200" t="s">
        <v>476</v>
      </c>
      <c r="C36" s="140"/>
      <c r="D36" s="140"/>
      <c r="E36" s="146"/>
      <c r="F36" s="146"/>
      <c r="G36" s="146"/>
      <c r="H36" s="203">
        <f>I36</f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118" t="e">
        <f t="shared" ref="S36:S45" si="80">((R36/H36)^(1/($I$2-$I$1) ))-1</f>
        <v>#DIV/0!</v>
      </c>
      <c r="T36" s="31">
        <f t="shared" si="5"/>
        <v>0.12</v>
      </c>
      <c r="U36" s="152">
        <f t="shared" ref="U36:U49" si="81">R36*(1+$T36)</f>
        <v>0</v>
      </c>
      <c r="V36" s="152">
        <f t="shared" ref="V36:V49" si="82">U36*(1+$T36)</f>
        <v>0</v>
      </c>
      <c r="W36" s="152">
        <f t="shared" ref="W36:W49" si="83">V36*(1+$T36)</f>
        <v>0</v>
      </c>
      <c r="X36" s="152">
        <f t="shared" ref="X36:X49" si="84">W36*(1+$T36)</f>
        <v>0</v>
      </c>
      <c r="Y36" s="152">
        <f t="shared" ref="Y36:Y49" si="85">X36*(1+$T36)</f>
        <v>0</v>
      </c>
      <c r="Z36" s="152">
        <f t="shared" ref="Z36:Z49" si="86">Y36*(1+$T36)</f>
        <v>0</v>
      </c>
      <c r="AA36" s="152">
        <f t="shared" ref="AA36:AA49" si="87">Z36*(1+$T36)</f>
        <v>0</v>
      </c>
      <c r="AB36" s="152">
        <f t="shared" ref="AB36:AB49" si="88">AA36*(1+$T36)</f>
        <v>0</v>
      </c>
      <c r="AC36" s="152">
        <f t="shared" ref="AC36:AC49" si="89">AB36*(1+$T36)</f>
        <v>0</v>
      </c>
      <c r="AD36" s="152">
        <f t="shared" ref="AD36:AD49" si="90">AC36*(1+$T36)</f>
        <v>0</v>
      </c>
      <c r="AE36" s="137" t="e">
        <f t="shared" ref="AE36:AE49" si="91">((AD36/H36)^(1/($AD$3-$I$1) ))-1</f>
        <v>#DIV/0!</v>
      </c>
      <c r="AF36" s="31">
        <f t="shared" si="15"/>
        <v>0.05</v>
      </c>
      <c r="AG36" s="145">
        <f t="shared" ref="AG36:AG49" si="92">(AD36*(1+AF36))/($C$1-AF36)</f>
        <v>0</v>
      </c>
    </row>
    <row r="37" spans="1:33">
      <c r="A37" s="205"/>
      <c r="B37" s="200"/>
      <c r="C37" s="140"/>
      <c r="D37" s="140"/>
      <c r="E37" s="146"/>
      <c r="F37" s="146"/>
      <c r="G37" s="146"/>
      <c r="H37" s="149" t="e">
        <f t="shared" ref="H37" si="93">(H36-G36)/G36</f>
        <v>#DIV/0!</v>
      </c>
      <c r="I37" s="149" t="e">
        <f t="shared" ref="I37" si="94">(I36-H36)/H36</f>
        <v>#DIV/0!</v>
      </c>
      <c r="J37" s="149" t="e">
        <f t="shared" ref="J37" si="95">(J36-I36)/I36</f>
        <v>#DIV/0!</v>
      </c>
      <c r="K37" s="149" t="e">
        <f t="shared" ref="K37" si="96">(K36-J36)/J36</f>
        <v>#DIV/0!</v>
      </c>
      <c r="L37" s="149" t="e">
        <f t="shared" ref="L37" si="97">(L36-K36)/K36</f>
        <v>#DIV/0!</v>
      </c>
      <c r="M37" s="149" t="e">
        <f t="shared" ref="M37" si="98">(M36-L36)/L36</f>
        <v>#DIV/0!</v>
      </c>
      <c r="N37" s="149" t="e">
        <f t="shared" ref="N37" si="99">(N36-M36)/M36</f>
        <v>#DIV/0!</v>
      </c>
      <c r="O37" s="149" t="e">
        <f t="shared" ref="O37" si="100">(O36-N36)/N36</f>
        <v>#DIV/0!</v>
      </c>
      <c r="P37" s="149" t="e">
        <f t="shared" ref="P37" si="101">(P36-O36)/O36</f>
        <v>#DIV/0!</v>
      </c>
      <c r="Q37" s="149" t="e">
        <f t="shared" ref="Q37" si="102">(Q36-P36)/P36</f>
        <v>#DIV/0!</v>
      </c>
      <c r="R37" s="149" t="e">
        <f t="shared" ref="R37" si="103">(R36-Q36)/Q36</f>
        <v>#DIV/0!</v>
      </c>
      <c r="S37" s="128"/>
      <c r="T37" s="20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45"/>
    </row>
    <row r="38" spans="1:33">
      <c r="A38" s="205"/>
      <c r="B38" s="200" t="s">
        <v>477</v>
      </c>
      <c r="C38" s="140"/>
      <c r="D38" s="140"/>
      <c r="E38" s="146"/>
      <c r="F38" s="146"/>
      <c r="G38" s="146"/>
      <c r="H38" s="203">
        <f>I38</f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118" t="e">
        <f t="shared" si="80"/>
        <v>#DIV/0!</v>
      </c>
      <c r="T38" s="31">
        <f t="shared" si="5"/>
        <v>0.12</v>
      </c>
      <c r="U38" s="152">
        <f t="shared" si="81"/>
        <v>0</v>
      </c>
      <c r="V38" s="152">
        <f t="shared" si="82"/>
        <v>0</v>
      </c>
      <c r="W38" s="152">
        <f t="shared" si="83"/>
        <v>0</v>
      </c>
      <c r="X38" s="152">
        <f t="shared" si="84"/>
        <v>0</v>
      </c>
      <c r="Y38" s="152">
        <f t="shared" si="85"/>
        <v>0</v>
      </c>
      <c r="Z38" s="152">
        <f t="shared" si="86"/>
        <v>0</v>
      </c>
      <c r="AA38" s="152">
        <f t="shared" si="87"/>
        <v>0</v>
      </c>
      <c r="AB38" s="152">
        <f t="shared" si="88"/>
        <v>0</v>
      </c>
      <c r="AC38" s="152">
        <f t="shared" si="89"/>
        <v>0</v>
      </c>
      <c r="AD38" s="152">
        <f t="shared" si="90"/>
        <v>0</v>
      </c>
      <c r="AE38" s="137" t="e">
        <f t="shared" si="91"/>
        <v>#DIV/0!</v>
      </c>
      <c r="AF38" s="31">
        <f t="shared" si="15"/>
        <v>0.05</v>
      </c>
      <c r="AG38" s="145">
        <f t="shared" si="92"/>
        <v>0</v>
      </c>
    </row>
    <row r="39" spans="1:33">
      <c r="A39" s="205"/>
      <c r="B39" s="200"/>
      <c r="C39" s="140"/>
      <c r="D39" s="140"/>
      <c r="E39" s="146"/>
      <c r="F39" s="146"/>
      <c r="G39" s="146"/>
      <c r="H39" s="149" t="e">
        <f t="shared" ref="H39" si="104">(H38-G38)/G38</f>
        <v>#DIV/0!</v>
      </c>
      <c r="I39" s="149" t="e">
        <f t="shared" ref="I39" si="105">(I38-H38)/H38</f>
        <v>#DIV/0!</v>
      </c>
      <c r="J39" s="149" t="e">
        <f t="shared" ref="J39" si="106">(J38-I38)/I38</f>
        <v>#DIV/0!</v>
      </c>
      <c r="K39" s="149" t="e">
        <f t="shared" ref="K39" si="107">(K38-J38)/J38</f>
        <v>#DIV/0!</v>
      </c>
      <c r="L39" s="149" t="e">
        <f t="shared" ref="L39" si="108">(L38-K38)/K38</f>
        <v>#DIV/0!</v>
      </c>
      <c r="M39" s="149" t="e">
        <f t="shared" ref="M39" si="109">(M38-L38)/L38</f>
        <v>#DIV/0!</v>
      </c>
      <c r="N39" s="149" t="e">
        <f t="shared" ref="N39" si="110">(N38-M38)/M38</f>
        <v>#DIV/0!</v>
      </c>
      <c r="O39" s="149" t="e">
        <f t="shared" ref="O39" si="111">(O38-N38)/N38</f>
        <v>#DIV/0!</v>
      </c>
      <c r="P39" s="149" t="e">
        <f t="shared" ref="P39" si="112">(P38-O38)/O38</f>
        <v>#DIV/0!</v>
      </c>
      <c r="Q39" s="149" t="e">
        <f t="shared" ref="Q39" si="113">(Q38-P38)/P38</f>
        <v>#DIV/0!</v>
      </c>
      <c r="R39" s="149" t="e">
        <f t="shared" ref="R39" si="114">(R38-Q38)/Q38</f>
        <v>#DIV/0!</v>
      </c>
      <c r="S39" s="128"/>
      <c r="T39" s="20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45"/>
    </row>
    <row r="40" spans="1:33">
      <c r="A40" s="205"/>
      <c r="B40" s="200" t="s">
        <v>481</v>
      </c>
      <c r="C40" s="140"/>
      <c r="D40" s="140"/>
      <c r="E40" s="146"/>
      <c r="F40" s="146"/>
      <c r="G40" s="146"/>
      <c r="H40" s="203">
        <f>I40</f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118" t="e">
        <f t="shared" si="80"/>
        <v>#DIV/0!</v>
      </c>
      <c r="T40" s="31">
        <f t="shared" si="5"/>
        <v>0.12</v>
      </c>
      <c r="U40" s="152">
        <f t="shared" si="81"/>
        <v>0</v>
      </c>
      <c r="V40" s="152">
        <f t="shared" si="82"/>
        <v>0</v>
      </c>
      <c r="W40" s="152">
        <f t="shared" si="83"/>
        <v>0</v>
      </c>
      <c r="X40" s="152">
        <f t="shared" si="84"/>
        <v>0</v>
      </c>
      <c r="Y40" s="152">
        <f t="shared" si="85"/>
        <v>0</v>
      </c>
      <c r="Z40" s="152">
        <f t="shared" si="86"/>
        <v>0</v>
      </c>
      <c r="AA40" s="152">
        <f t="shared" si="87"/>
        <v>0</v>
      </c>
      <c r="AB40" s="152">
        <f t="shared" si="88"/>
        <v>0</v>
      </c>
      <c r="AC40" s="152">
        <f t="shared" si="89"/>
        <v>0</v>
      </c>
      <c r="AD40" s="152">
        <f t="shared" si="90"/>
        <v>0</v>
      </c>
      <c r="AE40" s="137" t="e">
        <f t="shared" si="91"/>
        <v>#DIV/0!</v>
      </c>
      <c r="AF40" s="31">
        <f t="shared" si="15"/>
        <v>0.05</v>
      </c>
      <c r="AG40" s="145">
        <f t="shared" si="92"/>
        <v>0</v>
      </c>
    </row>
    <row r="41" spans="1:33">
      <c r="A41" s="205"/>
      <c r="B41" s="200" t="s">
        <v>478</v>
      </c>
      <c r="C41" s="140"/>
      <c r="D41" s="140"/>
      <c r="E41" s="146"/>
      <c r="F41" s="146"/>
      <c r="G41" s="146"/>
      <c r="H41" s="203">
        <f>I41</f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118" t="e">
        <f t="shared" si="80"/>
        <v>#DIV/0!</v>
      </c>
      <c r="T41" s="31">
        <f t="shared" si="5"/>
        <v>0.12</v>
      </c>
      <c r="U41" s="152">
        <f t="shared" si="81"/>
        <v>0</v>
      </c>
      <c r="V41" s="152">
        <f t="shared" si="82"/>
        <v>0</v>
      </c>
      <c r="W41" s="152">
        <f t="shared" si="83"/>
        <v>0</v>
      </c>
      <c r="X41" s="152">
        <f t="shared" si="84"/>
        <v>0</v>
      </c>
      <c r="Y41" s="152">
        <f t="shared" si="85"/>
        <v>0</v>
      </c>
      <c r="Z41" s="152">
        <f t="shared" si="86"/>
        <v>0</v>
      </c>
      <c r="AA41" s="152">
        <f t="shared" si="87"/>
        <v>0</v>
      </c>
      <c r="AB41" s="152">
        <f t="shared" si="88"/>
        <v>0</v>
      </c>
      <c r="AC41" s="152">
        <f t="shared" si="89"/>
        <v>0</v>
      </c>
      <c r="AD41" s="152">
        <f t="shared" si="90"/>
        <v>0</v>
      </c>
      <c r="AE41" s="137" t="e">
        <f t="shared" si="91"/>
        <v>#DIV/0!</v>
      </c>
      <c r="AF41" s="31">
        <f t="shared" si="15"/>
        <v>0.05</v>
      </c>
      <c r="AG41" s="145">
        <f t="shared" si="92"/>
        <v>0</v>
      </c>
    </row>
    <row r="42" spans="1:33">
      <c r="A42" s="205"/>
      <c r="B42" s="200" t="s">
        <v>480</v>
      </c>
      <c r="C42" s="140"/>
      <c r="D42" s="140"/>
      <c r="E42" s="146"/>
      <c r="F42" s="146"/>
      <c r="G42" s="146"/>
      <c r="H42" s="203">
        <f>I42</f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118" t="e">
        <f t="shared" si="80"/>
        <v>#DIV/0!</v>
      </c>
      <c r="T42" s="31">
        <f t="shared" si="5"/>
        <v>0.12</v>
      </c>
      <c r="U42" s="152">
        <f t="shared" si="81"/>
        <v>0</v>
      </c>
      <c r="V42" s="152">
        <f t="shared" si="82"/>
        <v>0</v>
      </c>
      <c r="W42" s="152">
        <f t="shared" si="83"/>
        <v>0</v>
      </c>
      <c r="X42" s="152">
        <f t="shared" si="84"/>
        <v>0</v>
      </c>
      <c r="Y42" s="152">
        <f t="shared" si="85"/>
        <v>0</v>
      </c>
      <c r="Z42" s="152">
        <f t="shared" si="86"/>
        <v>0</v>
      </c>
      <c r="AA42" s="152">
        <f t="shared" si="87"/>
        <v>0</v>
      </c>
      <c r="AB42" s="152">
        <f t="shared" si="88"/>
        <v>0</v>
      </c>
      <c r="AC42" s="152">
        <f t="shared" si="89"/>
        <v>0</v>
      </c>
      <c r="AD42" s="152">
        <f t="shared" si="90"/>
        <v>0</v>
      </c>
      <c r="AE42" s="137" t="e">
        <f t="shared" si="91"/>
        <v>#DIV/0!</v>
      </c>
      <c r="AF42" s="31">
        <f t="shared" si="15"/>
        <v>0.05</v>
      </c>
      <c r="AG42" s="145">
        <f t="shared" si="92"/>
        <v>0</v>
      </c>
    </row>
    <row r="43" spans="1:33">
      <c r="A43" s="205"/>
      <c r="B43" s="200" t="s">
        <v>479</v>
      </c>
      <c r="C43" s="140"/>
      <c r="D43" s="140"/>
      <c r="E43" s="146"/>
      <c r="F43" s="146"/>
      <c r="G43" s="146"/>
      <c r="H43" s="203">
        <f>I43</f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118" t="e">
        <f t="shared" si="80"/>
        <v>#DIV/0!</v>
      </c>
      <c r="T43" s="31">
        <f t="shared" si="5"/>
        <v>0.12</v>
      </c>
      <c r="U43" s="152">
        <f t="shared" si="81"/>
        <v>0</v>
      </c>
      <c r="V43" s="152">
        <f t="shared" si="82"/>
        <v>0</v>
      </c>
      <c r="W43" s="152">
        <f t="shared" si="83"/>
        <v>0</v>
      </c>
      <c r="X43" s="152">
        <f t="shared" si="84"/>
        <v>0</v>
      </c>
      <c r="Y43" s="152">
        <f t="shared" si="85"/>
        <v>0</v>
      </c>
      <c r="Z43" s="152">
        <f t="shared" si="86"/>
        <v>0</v>
      </c>
      <c r="AA43" s="152">
        <f t="shared" si="87"/>
        <v>0</v>
      </c>
      <c r="AB43" s="152">
        <f t="shared" si="88"/>
        <v>0</v>
      </c>
      <c r="AC43" s="152">
        <f t="shared" si="89"/>
        <v>0</v>
      </c>
      <c r="AD43" s="152">
        <f t="shared" si="90"/>
        <v>0</v>
      </c>
      <c r="AE43" s="137" t="e">
        <f t="shared" si="91"/>
        <v>#DIV/0!</v>
      </c>
      <c r="AF43" s="31">
        <f t="shared" si="15"/>
        <v>0.05</v>
      </c>
      <c r="AG43" s="145">
        <f t="shared" si="92"/>
        <v>0</v>
      </c>
    </row>
    <row r="44" spans="1:33">
      <c r="A44" s="205"/>
      <c r="B44" s="200"/>
      <c r="C44" s="140"/>
      <c r="D44" s="140"/>
      <c r="E44" s="146"/>
      <c r="F44" s="146"/>
      <c r="G44" s="146"/>
      <c r="H44" s="149" t="e">
        <f t="shared" ref="H44" si="115">(H43-G43)/G43</f>
        <v>#DIV/0!</v>
      </c>
      <c r="I44" s="149" t="e">
        <f t="shared" ref="I44" si="116">(I43-H43)/H43</f>
        <v>#DIV/0!</v>
      </c>
      <c r="J44" s="149" t="e">
        <f t="shared" ref="J44" si="117">(J43-I43)/I43</f>
        <v>#DIV/0!</v>
      </c>
      <c r="K44" s="149" t="e">
        <f t="shared" ref="K44" si="118">(K43-J43)/J43</f>
        <v>#DIV/0!</v>
      </c>
      <c r="L44" s="149" t="e">
        <f t="shared" ref="L44" si="119">(L43-K43)/K43</f>
        <v>#DIV/0!</v>
      </c>
      <c r="M44" s="149" t="e">
        <f t="shared" ref="M44" si="120">(M43-L43)/L43</f>
        <v>#DIV/0!</v>
      </c>
      <c r="N44" s="149" t="e">
        <f t="shared" ref="N44" si="121">(N43-M43)/M43</f>
        <v>#DIV/0!</v>
      </c>
      <c r="O44" s="149" t="e">
        <f t="shared" ref="O44" si="122">(O43-N43)/N43</f>
        <v>#DIV/0!</v>
      </c>
      <c r="P44" s="149" t="e">
        <f t="shared" ref="P44" si="123">(P43-O43)/O43</f>
        <v>#DIV/0!</v>
      </c>
      <c r="Q44" s="149" t="e">
        <f t="shared" ref="Q44" si="124">(Q43-P43)/P43</f>
        <v>#DIV/0!</v>
      </c>
      <c r="R44" s="149" t="e">
        <f t="shared" ref="R44" si="125">(R43-Q43)/Q43</f>
        <v>#DIV/0!</v>
      </c>
      <c r="S44" s="128"/>
      <c r="T44" s="20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45"/>
    </row>
    <row r="45" spans="1:33">
      <c r="A45" s="205"/>
      <c r="B45" s="200" t="s">
        <v>218</v>
      </c>
      <c r="C45" s="140"/>
      <c r="D45" s="140"/>
      <c r="E45" s="146"/>
      <c r="F45" s="146"/>
      <c r="G45" s="146"/>
      <c r="H45" s="203">
        <f>I45</f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118" t="e">
        <f t="shared" si="80"/>
        <v>#DIV/0!</v>
      </c>
      <c r="T45" s="31">
        <f t="shared" si="5"/>
        <v>0.12</v>
      </c>
      <c r="U45" s="152">
        <f t="shared" si="81"/>
        <v>0</v>
      </c>
      <c r="V45" s="152">
        <f t="shared" si="82"/>
        <v>0</v>
      </c>
      <c r="W45" s="152">
        <f t="shared" si="83"/>
        <v>0</v>
      </c>
      <c r="X45" s="152">
        <f t="shared" si="84"/>
        <v>0</v>
      </c>
      <c r="Y45" s="152">
        <f t="shared" si="85"/>
        <v>0</v>
      </c>
      <c r="Z45" s="152">
        <f t="shared" si="86"/>
        <v>0</v>
      </c>
      <c r="AA45" s="152">
        <f t="shared" si="87"/>
        <v>0</v>
      </c>
      <c r="AB45" s="152">
        <f t="shared" si="88"/>
        <v>0</v>
      </c>
      <c r="AC45" s="152">
        <f t="shared" si="89"/>
        <v>0</v>
      </c>
      <c r="AD45" s="152">
        <f t="shared" si="90"/>
        <v>0</v>
      </c>
      <c r="AE45" s="137" t="e">
        <f t="shared" si="91"/>
        <v>#DIV/0!</v>
      </c>
      <c r="AF45" s="31">
        <f t="shared" si="15"/>
        <v>0.05</v>
      </c>
      <c r="AG45" s="145">
        <f t="shared" si="92"/>
        <v>0</v>
      </c>
    </row>
    <row r="46" spans="1:33">
      <c r="A46" s="201"/>
      <c r="B46" s="200"/>
      <c r="C46" s="140"/>
      <c r="D46" s="140"/>
      <c r="E46" s="146"/>
      <c r="F46" s="146"/>
      <c r="G46" s="146"/>
      <c r="H46" s="149" t="e">
        <f t="shared" ref="H46" si="126">(H45-G45)/G45</f>
        <v>#DIV/0!</v>
      </c>
      <c r="I46" s="149" t="e">
        <f t="shared" ref="I46" si="127">(I45-H45)/H45</f>
        <v>#DIV/0!</v>
      </c>
      <c r="J46" s="149" t="e">
        <f t="shared" ref="J46" si="128">(J45-I45)/I45</f>
        <v>#DIV/0!</v>
      </c>
      <c r="K46" s="149" t="e">
        <f t="shared" ref="K46" si="129">(K45-J45)/J45</f>
        <v>#DIV/0!</v>
      </c>
      <c r="L46" s="149" t="e">
        <f t="shared" ref="L46" si="130">(L45-K45)/K45</f>
        <v>#DIV/0!</v>
      </c>
      <c r="M46" s="149" t="e">
        <f t="shared" ref="M46" si="131">(M45-L45)/L45</f>
        <v>#DIV/0!</v>
      </c>
      <c r="N46" s="149" t="e">
        <f t="shared" ref="N46" si="132">(N45-M45)/M45</f>
        <v>#DIV/0!</v>
      </c>
      <c r="O46" s="149" t="e">
        <f t="shared" ref="O46" si="133">(O45-N45)/N45</f>
        <v>#DIV/0!</v>
      </c>
      <c r="P46" s="149" t="e">
        <f t="shared" ref="P46" si="134">(P45-O45)/O45</f>
        <v>#DIV/0!</v>
      </c>
      <c r="Q46" s="149" t="e">
        <f t="shared" ref="Q46" si="135">(Q45-P45)/P45</f>
        <v>#DIV/0!</v>
      </c>
      <c r="R46" s="149" t="e">
        <f t="shared" ref="R46" si="136">(R45-Q45)/Q45</f>
        <v>#DIV/0!</v>
      </c>
      <c r="S46" s="128"/>
      <c r="T46" s="20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45"/>
    </row>
    <row r="47" spans="1:33">
      <c r="A47" s="201"/>
      <c r="B47" s="200" t="s">
        <v>493</v>
      </c>
      <c r="C47" s="140"/>
      <c r="D47" s="140"/>
      <c r="E47" s="146"/>
      <c r="F47" s="146"/>
      <c r="G47" s="146"/>
      <c r="H47" s="203">
        <f>I47</f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118" t="e">
        <f t="shared" ref="S47" si="137">((R47/H47)^(1/($I$2-$I$1) ))-1</f>
        <v>#DIV/0!</v>
      </c>
      <c r="T47" s="31">
        <f t="shared" si="5"/>
        <v>0.12</v>
      </c>
      <c r="U47" s="152">
        <f t="shared" ref="U47" si="138">R47*(1+$T47)</f>
        <v>0</v>
      </c>
      <c r="V47" s="152">
        <f t="shared" ref="V47" si="139">U47*(1+$T47)</f>
        <v>0</v>
      </c>
      <c r="W47" s="152">
        <f t="shared" ref="W47" si="140">V47*(1+$T47)</f>
        <v>0</v>
      </c>
      <c r="X47" s="152">
        <f t="shared" ref="X47" si="141">W47*(1+$T47)</f>
        <v>0</v>
      </c>
      <c r="Y47" s="152">
        <f t="shared" ref="Y47" si="142">X47*(1+$T47)</f>
        <v>0</v>
      </c>
      <c r="Z47" s="152">
        <f t="shared" ref="Z47" si="143">Y47*(1+$T47)</f>
        <v>0</v>
      </c>
      <c r="AA47" s="152">
        <f t="shared" ref="AA47" si="144">Z47*(1+$T47)</f>
        <v>0</v>
      </c>
      <c r="AB47" s="152">
        <f t="shared" ref="AB47" si="145">AA47*(1+$T47)</f>
        <v>0</v>
      </c>
      <c r="AC47" s="152">
        <f t="shared" ref="AC47" si="146">AB47*(1+$T47)</f>
        <v>0</v>
      </c>
      <c r="AD47" s="152">
        <f t="shared" ref="AD47" si="147">AC47*(1+$T47)</f>
        <v>0</v>
      </c>
      <c r="AE47" s="137" t="e">
        <f t="shared" ref="AE47" si="148">((AD47/H47)^(1/($AD$3-$I$1) ))-1</f>
        <v>#DIV/0!</v>
      </c>
      <c r="AF47" s="31">
        <f t="shared" si="15"/>
        <v>0.05</v>
      </c>
      <c r="AG47" s="145">
        <f t="shared" si="92"/>
        <v>0</v>
      </c>
    </row>
    <row r="48" spans="1:33">
      <c r="A48" s="201"/>
      <c r="B48" s="200"/>
      <c r="C48" s="140"/>
      <c r="D48" s="140"/>
      <c r="E48" s="146"/>
      <c r="F48" s="146"/>
      <c r="G48" s="146"/>
      <c r="H48" s="149" t="e">
        <f t="shared" ref="H48" si="149">(H47-G47)/G47</f>
        <v>#DIV/0!</v>
      </c>
      <c r="I48" s="149" t="e">
        <f t="shared" ref="I48" si="150">(I47-H47)/H47</f>
        <v>#DIV/0!</v>
      </c>
      <c r="J48" s="149" t="e">
        <f t="shared" ref="J48" si="151">(J47-I47)/I47</f>
        <v>#DIV/0!</v>
      </c>
      <c r="K48" s="149" t="e">
        <f t="shared" ref="K48" si="152">(K47-J47)/J47</f>
        <v>#DIV/0!</v>
      </c>
      <c r="L48" s="149" t="e">
        <f t="shared" ref="L48" si="153">(L47-K47)/K47</f>
        <v>#DIV/0!</v>
      </c>
      <c r="M48" s="149" t="e">
        <f t="shared" ref="M48" si="154">(M47-L47)/L47</f>
        <v>#DIV/0!</v>
      </c>
      <c r="N48" s="149" t="e">
        <f t="shared" ref="N48" si="155">(N47-M47)/M47</f>
        <v>#DIV/0!</v>
      </c>
      <c r="O48" s="149" t="e">
        <f t="shared" ref="O48" si="156">(O47-N47)/N47</f>
        <v>#DIV/0!</v>
      </c>
      <c r="P48" s="149" t="e">
        <f t="shared" ref="P48" si="157">(P47-O47)/O47</f>
        <v>#DIV/0!</v>
      </c>
      <c r="Q48" s="149" t="e">
        <f t="shared" ref="Q48" si="158">(Q47-P47)/P47</f>
        <v>#DIV/0!</v>
      </c>
      <c r="R48" s="149" t="e">
        <f t="shared" ref="R48" si="159">(R47-Q47)/Q47</f>
        <v>#DIV/0!</v>
      </c>
      <c r="S48" s="128"/>
      <c r="T48" s="20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45"/>
    </row>
    <row r="49" spans="1:33">
      <c r="A49" s="201"/>
      <c r="B49" s="200" t="s">
        <v>483</v>
      </c>
      <c r="C49" s="140"/>
      <c r="D49" s="140"/>
      <c r="E49" s="146"/>
      <c r="F49" s="146"/>
      <c r="G49" s="146"/>
      <c r="H49" s="203">
        <f>I49</f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118" t="e">
        <f t="shared" ref="S49" si="160">((R49/H49)^(1/($I$2-$I$1) ))-1</f>
        <v>#DIV/0!</v>
      </c>
      <c r="T49" s="31">
        <f t="shared" si="5"/>
        <v>0.12</v>
      </c>
      <c r="U49" s="152">
        <f t="shared" si="81"/>
        <v>0</v>
      </c>
      <c r="V49" s="152">
        <f t="shared" si="82"/>
        <v>0</v>
      </c>
      <c r="W49" s="152">
        <f t="shared" si="83"/>
        <v>0</v>
      </c>
      <c r="X49" s="152">
        <f t="shared" si="84"/>
        <v>0</v>
      </c>
      <c r="Y49" s="152">
        <f t="shared" si="85"/>
        <v>0</v>
      </c>
      <c r="Z49" s="152">
        <f t="shared" si="86"/>
        <v>0</v>
      </c>
      <c r="AA49" s="152">
        <f t="shared" si="87"/>
        <v>0</v>
      </c>
      <c r="AB49" s="152">
        <f t="shared" si="88"/>
        <v>0</v>
      </c>
      <c r="AC49" s="152">
        <f t="shared" si="89"/>
        <v>0</v>
      </c>
      <c r="AD49" s="152">
        <f t="shared" si="90"/>
        <v>0</v>
      </c>
      <c r="AE49" s="137" t="e">
        <f t="shared" si="91"/>
        <v>#DIV/0!</v>
      </c>
      <c r="AF49" s="31">
        <f t="shared" si="15"/>
        <v>0.05</v>
      </c>
      <c r="AG49" s="145">
        <f t="shared" si="92"/>
        <v>0</v>
      </c>
    </row>
    <row r="50" spans="1:33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28"/>
      <c r="T50" s="20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38"/>
      <c r="AF50" s="136"/>
      <c r="AG50" s="152"/>
    </row>
    <row r="51" spans="1:33">
      <c r="B51" s="20" t="s">
        <v>278</v>
      </c>
      <c r="C51" s="140"/>
      <c r="D51" s="140"/>
      <c r="E51" s="146"/>
      <c r="F51" s="146"/>
      <c r="G51" s="146">
        <v>288.89999999999998</v>
      </c>
      <c r="H51" s="146">
        <v>918</v>
      </c>
      <c r="I51" s="146">
        <v>1103</v>
      </c>
      <c r="J51" s="146">
        <v>1256</v>
      </c>
      <c r="K51" s="146">
        <v>2598</v>
      </c>
      <c r="L51" s="146">
        <v>3252</v>
      </c>
      <c r="M51" s="146">
        <v>3865</v>
      </c>
      <c r="N51" s="146">
        <v>5191</v>
      </c>
      <c r="O51" s="146">
        <v>3500</v>
      </c>
      <c r="P51" s="146">
        <v>465</v>
      </c>
      <c r="Q51" s="203">
        <v>19624</v>
      </c>
      <c r="R51" s="203">
        <v>22044</v>
      </c>
      <c r="S51" s="118">
        <f>((R51/H51)^(1/($I$2-$I$1) ))-1</f>
        <v>0.33504297968284691</v>
      </c>
      <c r="T51" s="31">
        <f t="shared" si="5"/>
        <v>0.12</v>
      </c>
      <c r="U51" s="152">
        <f t="shared" si="2"/>
        <v>24689.280000000002</v>
      </c>
      <c r="V51" s="152">
        <f t="shared" ref="V51" si="161">U51*(1+$T51)</f>
        <v>27651.993600000005</v>
      </c>
      <c r="W51" s="152">
        <f t="shared" ref="W51" si="162">V51*(1+$T51)</f>
        <v>30970.232832000009</v>
      </c>
      <c r="X51" s="152">
        <f t="shared" ref="X51" si="163">W51*(1+$T51)</f>
        <v>34686.660771840012</v>
      </c>
      <c r="Y51" s="152">
        <f t="shared" si="37"/>
        <v>38849.06006446082</v>
      </c>
      <c r="Z51" s="152">
        <f t="shared" si="38"/>
        <v>43510.947272196121</v>
      </c>
      <c r="AA51" s="152">
        <f t="shared" si="39"/>
        <v>48732.260944859663</v>
      </c>
      <c r="AB51" s="152">
        <f t="shared" si="40"/>
        <v>54580.132258242826</v>
      </c>
      <c r="AC51" s="152">
        <f t="shared" si="41"/>
        <v>61129.748129231972</v>
      </c>
      <c r="AD51" s="152">
        <f t="shared" si="42"/>
        <v>68465.317904739815</v>
      </c>
      <c r="AE51" s="137">
        <f t="shared" si="17"/>
        <v>0.2279275953500941</v>
      </c>
      <c r="AF51" s="31">
        <f t="shared" si="15"/>
        <v>0.05</v>
      </c>
      <c r="AG51" s="145">
        <f t="shared" si="1"/>
        <v>422874.02235280484</v>
      </c>
    </row>
    <row r="52" spans="1:33" s="123" customFormat="1">
      <c r="B52" s="23"/>
      <c r="C52" s="147"/>
      <c r="D52" s="147"/>
      <c r="E52" s="148"/>
      <c r="F52" s="148"/>
      <c r="G52" s="148"/>
      <c r="H52" s="149">
        <f t="shared" ref="H52:R52" si="164">(H51-G51)/G51</f>
        <v>2.1775700934579443</v>
      </c>
      <c r="I52" s="149">
        <f t="shared" si="164"/>
        <v>0.20152505446623092</v>
      </c>
      <c r="J52" s="149">
        <f t="shared" si="164"/>
        <v>0.13871260199456029</v>
      </c>
      <c r="K52" s="149">
        <f t="shared" si="164"/>
        <v>1.0684713375796178</v>
      </c>
      <c r="L52" s="149">
        <f t="shared" si="164"/>
        <v>0.25173210161662818</v>
      </c>
      <c r="M52" s="149">
        <f t="shared" si="164"/>
        <v>0.18849938499384994</v>
      </c>
      <c r="N52" s="149">
        <f t="shared" si="164"/>
        <v>0.34307891332470891</v>
      </c>
      <c r="O52" s="149">
        <f t="shared" si="164"/>
        <v>-0.32575611635523022</v>
      </c>
      <c r="P52" s="149">
        <f t="shared" si="164"/>
        <v>-0.8671428571428571</v>
      </c>
      <c r="Q52" s="149">
        <f t="shared" si="164"/>
        <v>41.202150537634409</v>
      </c>
      <c r="R52" s="149">
        <f t="shared" si="164"/>
        <v>0.12331838565022421</v>
      </c>
      <c r="S52" s="128"/>
      <c r="T52" s="20"/>
      <c r="U52" s="152"/>
      <c r="V52" s="153"/>
      <c r="W52" s="153"/>
      <c r="X52" s="153"/>
      <c r="Y52" s="153"/>
      <c r="Z52" s="153"/>
      <c r="AA52" s="153"/>
      <c r="AB52" s="153"/>
      <c r="AC52" s="153"/>
      <c r="AD52" s="153"/>
      <c r="AE52" s="138"/>
      <c r="AF52" s="136"/>
      <c r="AG52" s="154"/>
    </row>
    <row r="53" spans="1:33" s="123" customFormat="1">
      <c r="B53" s="20" t="s">
        <v>398</v>
      </c>
      <c r="C53" s="147"/>
      <c r="D53" s="147"/>
      <c r="E53" s="148"/>
      <c r="F53" s="148"/>
      <c r="G53" s="146">
        <v>291</v>
      </c>
      <c r="H53" s="146">
        <v>938</v>
      </c>
      <c r="I53" s="146">
        <v>1103</v>
      </c>
      <c r="J53" s="146">
        <v>1256</v>
      </c>
      <c r="K53" s="146">
        <v>2598</v>
      </c>
      <c r="L53" s="146">
        <v>3252</v>
      </c>
      <c r="M53" s="146">
        <v>3865</v>
      </c>
      <c r="N53" s="146">
        <v>5191</v>
      </c>
      <c r="O53" s="146">
        <v>3500</v>
      </c>
      <c r="P53" s="146">
        <v>465</v>
      </c>
      <c r="Q53" s="203">
        <v>9492</v>
      </c>
      <c r="R53" s="203">
        <v>-9925</v>
      </c>
      <c r="S53" s="118">
        <f>((R53/H53)^(1/($I$2-$I$1) ))-1</f>
        <v>-2.23919279522466</v>
      </c>
      <c r="T53" s="31">
        <f t="shared" si="5"/>
        <v>0.12</v>
      </c>
      <c r="U53" s="152">
        <f t="shared" si="2"/>
        <v>-11116.000000000002</v>
      </c>
      <c r="V53" s="152">
        <f t="shared" ref="V53" si="165">U53*(1+$T53)</f>
        <v>-12449.920000000004</v>
      </c>
      <c r="W53" s="152">
        <f t="shared" ref="W53" si="166">V53*(1+$T53)</f>
        <v>-13943.910400000006</v>
      </c>
      <c r="X53" s="152">
        <f t="shared" ref="X53" si="167">W53*(1+$T53)</f>
        <v>-15617.179648000008</v>
      </c>
      <c r="Y53" s="152">
        <f t="shared" ref="Y53" si="168">X53*(1+$T53)</f>
        <v>-17491.241205760012</v>
      </c>
      <c r="Z53" s="152">
        <f t="shared" ref="Z53" si="169">Y53*(1+$T53)</f>
        <v>-19590.190150451217</v>
      </c>
      <c r="AA53" s="152">
        <f t="shared" ref="AA53" si="170">Z53*(1+$T53)</f>
        <v>-21941.012968505365</v>
      </c>
      <c r="AB53" s="152">
        <f t="shared" ref="AB53" si="171">AA53*(1+$T53)</f>
        <v>-24573.93452472601</v>
      </c>
      <c r="AC53" s="152">
        <f t="shared" ref="AC53" si="172">AB53*(1+$T53)</f>
        <v>-27522.806667693134</v>
      </c>
      <c r="AD53" s="152">
        <f t="shared" ref="AD53" si="173">AC53*(1+$T53)</f>
        <v>-30825.543467816315</v>
      </c>
      <c r="AE53" s="137">
        <f t="shared" ref="AE53" si="174">((AD53/H53)^(1/($AD$3-$I$1) ))-1</f>
        <v>-2.1809300828261398</v>
      </c>
      <c r="AF53" s="31">
        <f t="shared" si="15"/>
        <v>0.05</v>
      </c>
      <c r="AG53" s="145">
        <f t="shared" ref="AG53" si="175">(AD53*(1+AF53))/($C$1-AF53)</f>
        <v>-190393.06259533609</v>
      </c>
    </row>
    <row r="54" spans="1:33" s="123" customFormat="1">
      <c r="B54" s="23"/>
      <c r="C54" s="147"/>
      <c r="D54" s="147"/>
      <c r="E54" s="148"/>
      <c r="F54" s="148"/>
      <c r="G54" s="148"/>
      <c r="H54" s="149">
        <f t="shared" ref="H54:R54" si="176">(H53-G53)/G53</f>
        <v>2.2233676975945018</v>
      </c>
      <c r="I54" s="149">
        <f t="shared" si="176"/>
        <v>0.17590618336886993</v>
      </c>
      <c r="J54" s="149">
        <f t="shared" si="176"/>
        <v>0.13871260199456029</v>
      </c>
      <c r="K54" s="149">
        <f t="shared" si="176"/>
        <v>1.0684713375796178</v>
      </c>
      <c r="L54" s="149">
        <f t="shared" si="176"/>
        <v>0.25173210161662818</v>
      </c>
      <c r="M54" s="149">
        <f t="shared" si="176"/>
        <v>0.18849938499384994</v>
      </c>
      <c r="N54" s="149">
        <f t="shared" si="176"/>
        <v>0.34307891332470891</v>
      </c>
      <c r="O54" s="149">
        <f t="shared" si="176"/>
        <v>-0.32575611635523022</v>
      </c>
      <c r="P54" s="149">
        <f t="shared" si="176"/>
        <v>-0.8671428571428571</v>
      </c>
      <c r="Q54" s="149">
        <f t="shared" si="176"/>
        <v>19.412903225806453</v>
      </c>
      <c r="R54" s="149">
        <f t="shared" si="176"/>
        <v>-2.0456173619890432</v>
      </c>
      <c r="S54" s="128"/>
      <c r="T54" s="20"/>
      <c r="U54" s="152"/>
      <c r="V54" s="153"/>
      <c r="W54" s="153"/>
      <c r="X54" s="153"/>
      <c r="Y54" s="153"/>
      <c r="Z54" s="153"/>
      <c r="AA54" s="153"/>
      <c r="AB54" s="153"/>
      <c r="AC54" s="153"/>
      <c r="AD54" s="153"/>
      <c r="AE54" s="138"/>
      <c r="AF54" s="136"/>
      <c r="AG54" s="154"/>
    </row>
    <row r="55" spans="1:33">
      <c r="B55" s="20" t="s">
        <v>399</v>
      </c>
      <c r="C55" s="140"/>
      <c r="D55" s="140"/>
      <c r="E55" s="146"/>
      <c r="F55" s="146"/>
      <c r="G55" s="146">
        <v>168</v>
      </c>
      <c r="H55" s="146">
        <v>476</v>
      </c>
      <c r="I55" s="146">
        <v>574</v>
      </c>
      <c r="J55" s="146">
        <v>651</v>
      </c>
      <c r="K55" s="146">
        <v>1549</v>
      </c>
      <c r="L55" s="146">
        <v>1995</v>
      </c>
      <c r="M55" s="146">
        <v>2626</v>
      </c>
      <c r="N55" s="146">
        <v>4222</v>
      </c>
      <c r="O55" s="146">
        <v>2761</v>
      </c>
      <c r="P55" s="146">
        <v>2312</v>
      </c>
      <c r="Q55" s="203">
        <v>10339</v>
      </c>
      <c r="R55" s="203">
        <v>-11373</v>
      </c>
      <c r="S55" s="118">
        <f>((R55/H55)^(1/($I$2-$I$1) ))-1</f>
        <v>-2.3344339998663686</v>
      </c>
      <c r="T55" s="31">
        <f t="shared" si="5"/>
        <v>0.12</v>
      </c>
      <c r="U55" s="152">
        <f t="shared" si="2"/>
        <v>-12737.760000000002</v>
      </c>
      <c r="V55" s="152">
        <f t="shared" ref="V55:AD55" si="177">U55*(1+$T55)</f>
        <v>-14266.291200000003</v>
      </c>
      <c r="W55" s="152">
        <f t="shared" si="177"/>
        <v>-15978.246144000006</v>
      </c>
      <c r="X55" s="152">
        <f t="shared" si="177"/>
        <v>-17895.635681280008</v>
      </c>
      <c r="Y55" s="152">
        <f t="shared" si="177"/>
        <v>-20043.111963033611</v>
      </c>
      <c r="Z55" s="152">
        <f t="shared" si="177"/>
        <v>-22448.285398597647</v>
      </c>
      <c r="AA55" s="152">
        <f t="shared" si="177"/>
        <v>-25142.079646429367</v>
      </c>
      <c r="AB55" s="152">
        <f t="shared" si="177"/>
        <v>-28159.129204000892</v>
      </c>
      <c r="AC55" s="152">
        <f t="shared" si="177"/>
        <v>-31538.224708481001</v>
      </c>
      <c r="AD55" s="152">
        <f t="shared" si="177"/>
        <v>-35322.811673498727</v>
      </c>
      <c r="AE55" s="137">
        <f t="shared" si="17"/>
        <v>-2.2276341677396294</v>
      </c>
      <c r="AF55" s="31">
        <f t="shared" si="15"/>
        <v>0.05</v>
      </c>
      <c r="AG55" s="145">
        <f t="shared" si="1"/>
        <v>-218170.30739513924</v>
      </c>
    </row>
    <row r="56" spans="1:33" s="123" customFormat="1">
      <c r="B56" s="23"/>
      <c r="C56" s="147"/>
      <c r="D56" s="147"/>
      <c r="E56" s="148"/>
      <c r="F56" s="148"/>
      <c r="G56" s="148"/>
      <c r="H56" s="149">
        <f t="shared" ref="H56:R56" si="178">(H55-G55)/G55</f>
        <v>1.8333333333333333</v>
      </c>
      <c r="I56" s="149">
        <f t="shared" si="178"/>
        <v>0.20588235294117646</v>
      </c>
      <c r="J56" s="149">
        <f t="shared" si="178"/>
        <v>0.13414634146341464</v>
      </c>
      <c r="K56" s="149">
        <f t="shared" si="178"/>
        <v>1.379416282642089</v>
      </c>
      <c r="L56" s="149">
        <f t="shared" si="178"/>
        <v>0.28792769528728213</v>
      </c>
      <c r="M56" s="149">
        <f t="shared" si="178"/>
        <v>0.31629072681704262</v>
      </c>
      <c r="N56" s="149">
        <f t="shared" si="178"/>
        <v>0.6077684691546078</v>
      </c>
      <c r="O56" s="149">
        <f t="shared" si="178"/>
        <v>-0.34604452865940311</v>
      </c>
      <c r="P56" s="149">
        <f t="shared" si="178"/>
        <v>-0.16262223831944947</v>
      </c>
      <c r="Q56" s="149">
        <f t="shared" si="178"/>
        <v>3.4718858131487891</v>
      </c>
      <c r="R56" s="149">
        <f t="shared" si="178"/>
        <v>-2.1000096721152914</v>
      </c>
      <c r="S56" s="128"/>
      <c r="T56" s="20"/>
      <c r="U56" s="152"/>
      <c r="V56" s="153"/>
      <c r="W56" s="153"/>
      <c r="X56" s="153"/>
      <c r="Y56" s="153"/>
      <c r="Z56" s="153"/>
      <c r="AA56" s="153"/>
      <c r="AB56" s="153"/>
      <c r="AC56" s="153"/>
      <c r="AD56" s="153"/>
      <c r="AE56" s="138"/>
      <c r="AF56" s="136"/>
      <c r="AG56" s="154"/>
    </row>
    <row r="57" spans="1:33">
      <c r="B57" s="20" t="s">
        <v>239</v>
      </c>
      <c r="C57" s="141"/>
      <c r="D57" s="141"/>
      <c r="E57" s="144"/>
      <c r="F57" s="144"/>
      <c r="G57" s="146">
        <v>1.96</v>
      </c>
      <c r="H57" s="146">
        <v>3.9361999999999999</v>
      </c>
      <c r="I57" s="146">
        <v>3.9361999999999999</v>
      </c>
      <c r="J57" s="146">
        <v>3.9361999999999999</v>
      </c>
      <c r="K57" s="146">
        <v>78.72</v>
      </c>
      <c r="L57" s="146">
        <v>83.09</v>
      </c>
      <c r="M57" s="146">
        <v>83.09</v>
      </c>
      <c r="N57" s="146">
        <v>86.91</v>
      </c>
      <c r="O57" s="146">
        <v>86.91</v>
      </c>
      <c r="P57" s="146">
        <v>86.91</v>
      </c>
      <c r="Q57" s="203">
        <v>296.5</v>
      </c>
      <c r="R57" s="203">
        <v>296.7</v>
      </c>
      <c r="S57" s="118">
        <f>((R57/H57)^(1/($I$2-$I$1) ))-1</f>
        <v>0.48135182617002248</v>
      </c>
      <c r="T57" s="31">
        <v>0.02</v>
      </c>
      <c r="U57" s="152">
        <f t="shared" si="2"/>
        <v>302.63400000000001</v>
      </c>
      <c r="V57" s="152">
        <f>U57*(1+$T57)</f>
        <v>308.68668000000002</v>
      </c>
      <c r="W57" s="152">
        <f t="shared" ref="W57:AD57" si="179">V57*(1+$T57)</f>
        <v>314.86041360000002</v>
      </c>
      <c r="X57" s="152">
        <f t="shared" si="179"/>
        <v>321.15762187199999</v>
      </c>
      <c r="Y57" s="152">
        <f t="shared" si="179"/>
        <v>327.58077430944002</v>
      </c>
      <c r="Z57" s="152">
        <f t="shared" si="179"/>
        <v>334.1323897956288</v>
      </c>
      <c r="AA57" s="152">
        <f t="shared" si="179"/>
        <v>340.8150375915414</v>
      </c>
      <c r="AB57" s="152">
        <f t="shared" si="179"/>
        <v>347.63133834337225</v>
      </c>
      <c r="AC57" s="152">
        <f t="shared" si="179"/>
        <v>354.58396511023972</v>
      </c>
      <c r="AD57" s="152">
        <f t="shared" si="179"/>
        <v>361.67564441244451</v>
      </c>
      <c r="AE57" s="137">
        <f t="shared" si="17"/>
        <v>0.24018855559025432</v>
      </c>
      <c r="AF57" s="31">
        <f t="shared" si="15"/>
        <v>0.05</v>
      </c>
      <c r="AG57" s="145">
        <f t="shared" si="1"/>
        <v>2233.8789801945104</v>
      </c>
    </row>
    <row r="58" spans="1:33">
      <c r="B58" s="20"/>
      <c r="C58" s="141"/>
      <c r="D58" s="141"/>
      <c r="E58" s="142"/>
      <c r="F58" s="142"/>
      <c r="G58" s="146"/>
      <c r="H58" s="149">
        <f t="shared" ref="H58:R58" si="180">(H57-G57)/G57</f>
        <v>1.0082653061224489</v>
      </c>
      <c r="I58" s="149">
        <f t="shared" si="180"/>
        <v>0</v>
      </c>
      <c r="J58" s="149">
        <f t="shared" si="180"/>
        <v>0</v>
      </c>
      <c r="K58" s="149">
        <f t="shared" si="180"/>
        <v>18.998983791474011</v>
      </c>
      <c r="L58" s="149">
        <f t="shared" si="180"/>
        <v>5.5513211382113882E-2</v>
      </c>
      <c r="M58" s="149">
        <f t="shared" si="180"/>
        <v>0</v>
      </c>
      <c r="N58" s="149">
        <f t="shared" si="180"/>
        <v>4.5974244794800737E-2</v>
      </c>
      <c r="O58" s="149">
        <f t="shared" si="180"/>
        <v>0</v>
      </c>
      <c r="P58" s="149">
        <f t="shared" si="180"/>
        <v>0</v>
      </c>
      <c r="Q58" s="149">
        <f t="shared" si="180"/>
        <v>2.4115751927281095</v>
      </c>
      <c r="R58" s="149">
        <f t="shared" si="180"/>
        <v>6.7453625632373903E-4</v>
      </c>
      <c r="S58" s="128"/>
      <c r="T58" s="20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38"/>
      <c r="AF58" s="136"/>
      <c r="AG58" s="145"/>
    </row>
    <row r="59" spans="1:33">
      <c r="B59" s="20" t="s">
        <v>282</v>
      </c>
      <c r="C59" s="144"/>
      <c r="D59" s="144"/>
      <c r="E59" s="144"/>
      <c r="F59" s="144"/>
      <c r="G59" s="144">
        <v>10</v>
      </c>
      <c r="H59" s="144">
        <v>22.504000000000001</v>
      </c>
      <c r="I59" s="144">
        <v>40</v>
      </c>
      <c r="J59" s="144">
        <v>45</v>
      </c>
      <c r="K59" s="144">
        <v>2.25</v>
      </c>
      <c r="L59" s="144">
        <v>3.25</v>
      </c>
      <c r="M59" s="144">
        <v>3.25</v>
      </c>
      <c r="N59" s="144">
        <v>3.5</v>
      </c>
      <c r="O59" s="144">
        <v>4</v>
      </c>
      <c r="P59" s="144">
        <v>0.1</v>
      </c>
      <c r="Q59" s="144">
        <v>3.25</v>
      </c>
      <c r="R59" s="144">
        <v>4.0999999999999996</v>
      </c>
      <c r="S59" s="118">
        <f>((R59/H59)^(1/($I$2-$I$1) ))-1</f>
        <v>-0.14340620999012688</v>
      </c>
      <c r="T59" s="31">
        <f>Q1</f>
        <v>0.05</v>
      </c>
      <c r="U59" s="152">
        <f t="shared" si="2"/>
        <v>4.3049999999999997</v>
      </c>
      <c r="V59" s="152">
        <f t="shared" ref="V59" si="181">U59*(1+$T59)</f>
        <v>4.5202499999999999</v>
      </c>
      <c r="W59" s="152">
        <f t="shared" ref="W59" si="182">V59*(1+$T59)</f>
        <v>4.7462625000000003</v>
      </c>
      <c r="X59" s="152">
        <f t="shared" ref="X59" si="183">W59*(1+$T59)</f>
        <v>4.9835756250000003</v>
      </c>
      <c r="Y59" s="152">
        <f t="shared" ref="Y59" si="184">X59*(1+$T59)</f>
        <v>5.2327544062500007</v>
      </c>
      <c r="Z59" s="152">
        <f t="shared" ref="Z59" si="185">Y59*(1+$T59)</f>
        <v>5.4943921265625013</v>
      </c>
      <c r="AA59" s="152">
        <f t="shared" ref="AA59" si="186">Z59*(1+$T59)</f>
        <v>5.769111732890627</v>
      </c>
      <c r="AB59" s="152">
        <f t="shared" ref="AB59" si="187">AA59*(1+$T59)</f>
        <v>6.0575673195351589</v>
      </c>
      <c r="AC59" s="152">
        <f t="shared" ref="AC59" si="188">AB59*(1+$T59)</f>
        <v>6.3604456855119169</v>
      </c>
      <c r="AD59" s="152">
        <f t="shared" ref="AD59" si="189">AC59*(1+$T59)</f>
        <v>6.6784679697875129</v>
      </c>
      <c r="AE59" s="137">
        <f t="shared" ref="AE59" si="190">((AD59/H59)^(1/($AD$3-$I$1) ))-1</f>
        <v>-5.6206447583456609E-2</v>
      </c>
      <c r="AF59" s="31">
        <f t="shared" si="15"/>
        <v>0.05</v>
      </c>
      <c r="AG59" s="145">
        <f t="shared" si="1"/>
        <v>41.249360989864059</v>
      </c>
    </row>
    <row r="60" spans="1:33">
      <c r="B60" s="20"/>
      <c r="C60" s="144"/>
      <c r="D60" s="144"/>
      <c r="E60" s="144"/>
      <c r="F60" s="144"/>
      <c r="G60" s="146"/>
      <c r="H60" s="149">
        <f t="shared" ref="H60:R60" si="191">(H59-G59)/G59</f>
        <v>1.2504000000000002</v>
      </c>
      <c r="I60" s="149">
        <f t="shared" si="191"/>
        <v>0.77746178457163162</v>
      </c>
      <c r="J60" s="149">
        <f t="shared" si="191"/>
        <v>0.125</v>
      </c>
      <c r="K60" s="149">
        <f t="shared" si="191"/>
        <v>-0.95</v>
      </c>
      <c r="L60" s="149">
        <f t="shared" si="191"/>
        <v>0.44444444444444442</v>
      </c>
      <c r="M60" s="149">
        <f t="shared" si="191"/>
        <v>0</v>
      </c>
      <c r="N60" s="149">
        <f t="shared" si="191"/>
        <v>7.6923076923076927E-2</v>
      </c>
      <c r="O60" s="149">
        <f t="shared" si="191"/>
        <v>0.14285714285714285</v>
      </c>
      <c r="P60" s="149">
        <f t="shared" si="191"/>
        <v>-0.97499999999999998</v>
      </c>
      <c r="Q60" s="149">
        <f t="shared" si="191"/>
        <v>31.499999999999996</v>
      </c>
      <c r="R60" s="149">
        <f t="shared" si="191"/>
        <v>0.26153846153846144</v>
      </c>
      <c r="S60" s="128"/>
      <c r="T60" s="20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38"/>
      <c r="AF60" s="136"/>
      <c r="AG60" s="145"/>
    </row>
    <row r="61" spans="1:33">
      <c r="B61" s="20" t="s">
        <v>424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 t="s">
        <v>497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28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38"/>
      <c r="AF61" s="136"/>
      <c r="AG61" s="152"/>
    </row>
    <row r="62" spans="1:33">
      <c r="B62" s="20" t="s">
        <v>422</v>
      </c>
      <c r="C62" s="20"/>
      <c r="D62" s="20"/>
      <c r="E62" s="127"/>
      <c r="F62" s="127"/>
      <c r="G62" s="146" t="s">
        <v>496</v>
      </c>
      <c r="H62" s="146">
        <v>0</v>
      </c>
      <c r="I62" s="146">
        <v>0</v>
      </c>
      <c r="J62" s="146">
        <v>0</v>
      </c>
      <c r="K62" s="146" t="s">
        <v>496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28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38"/>
      <c r="AF62" s="136"/>
      <c r="AG62" s="152"/>
    </row>
    <row r="63" spans="1:33">
      <c r="B63" s="20" t="s">
        <v>423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28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38"/>
      <c r="AF63" s="136"/>
      <c r="AG63" s="152"/>
    </row>
    <row r="64" spans="1:33">
      <c r="B64" s="20"/>
      <c r="C64" s="20"/>
      <c r="D64" s="20"/>
      <c r="E64" s="127"/>
      <c r="F64" s="127"/>
      <c r="G64" s="127"/>
      <c r="H64" s="127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28"/>
      <c r="T64" s="128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38"/>
      <c r="AF64" s="136"/>
      <c r="AG64" s="152"/>
    </row>
    <row r="65" spans="2:33">
      <c r="B65" s="108" t="s">
        <v>243</v>
      </c>
      <c r="C65" s="20"/>
      <c r="D65" s="20"/>
      <c r="E65" s="127"/>
      <c r="F65" s="127"/>
      <c r="G65" s="127"/>
      <c r="H65" s="127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28"/>
      <c r="T65" s="128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38"/>
      <c r="AF65" s="136"/>
      <c r="AG65" s="152"/>
    </row>
    <row r="66" spans="2:33">
      <c r="B66" s="20" t="s">
        <v>302</v>
      </c>
      <c r="C66" s="133"/>
      <c r="D66" s="133"/>
      <c r="E66" s="133"/>
      <c r="F66" s="133"/>
      <c r="G66" s="133"/>
      <c r="H66" s="133">
        <f t="shared" ref="H66:Q66" si="192">H25/H57</f>
        <v>421.7265382856562</v>
      </c>
      <c r="I66" s="133">
        <f t="shared" si="192"/>
        <v>498.19622986636858</v>
      </c>
      <c r="J66" s="133">
        <f t="shared" si="192"/>
        <v>576.19023423606529</v>
      </c>
      <c r="K66" s="133">
        <f t="shared" si="192"/>
        <v>49.974593495934961</v>
      </c>
      <c r="L66" s="133">
        <f t="shared" si="192"/>
        <v>64.412083283186902</v>
      </c>
      <c r="M66" s="133">
        <f t="shared" si="192"/>
        <v>86.833553977614628</v>
      </c>
      <c r="N66" s="133">
        <f t="shared" si="192"/>
        <v>123.96732251754689</v>
      </c>
      <c r="O66" s="133">
        <f t="shared" si="192"/>
        <v>104.84409158900012</v>
      </c>
      <c r="P66" s="133">
        <f t="shared" si="192"/>
        <v>35.979749165803703</v>
      </c>
      <c r="Q66" s="133">
        <f t="shared" si="192"/>
        <v>231.93591905564924</v>
      </c>
      <c r="R66" s="133">
        <f t="shared" ref="R66" si="193">R25/R57</f>
        <v>183.69396697000337</v>
      </c>
      <c r="S66" s="118">
        <f>((Q66/H66)^(1/($I$2-$I$1) ))-1</f>
        <v>-5.2903394542079263E-2</v>
      </c>
      <c r="T66" s="128"/>
      <c r="U66" s="156">
        <f t="shared" ref="U66:AD66" si="194">U25/U57</f>
        <v>201.70317941804294</v>
      </c>
      <c r="V66" s="156">
        <f t="shared" si="194"/>
        <v>221.47800092961577</v>
      </c>
      <c r="W66" s="156">
        <f t="shared" si="194"/>
        <v>243.19153043251933</v>
      </c>
      <c r="X66" s="156">
        <f t="shared" si="194"/>
        <v>267.03383733766827</v>
      </c>
      <c r="Y66" s="156">
        <f t="shared" si="194"/>
        <v>293.2136253119495</v>
      </c>
      <c r="Z66" s="156">
        <f t="shared" si="194"/>
        <v>321.96005916606225</v>
      </c>
      <c r="AA66" s="156">
        <f t="shared" si="194"/>
        <v>353.52477084900954</v>
      </c>
      <c r="AB66" s="156">
        <f t="shared" si="194"/>
        <v>388.18406210871632</v>
      </c>
      <c r="AC66" s="156">
        <f t="shared" si="194"/>
        <v>426.24132309976699</v>
      </c>
      <c r="AD66" s="156">
        <f t="shared" si="194"/>
        <v>468.02968810954809</v>
      </c>
      <c r="AE66" s="137">
        <f t="shared" ref="AE66" si="195">((AD66/H66)^(1/($AD$3-$I$1) ))-1</f>
        <v>4.9730217526458009E-3</v>
      </c>
      <c r="AF66" s="31">
        <f t="shared" si="15"/>
        <v>0.05</v>
      </c>
      <c r="AG66" s="145">
        <f t="shared" ref="AG66:AG67" si="196">(AD66*(1+AF66))/($C$1-AF66)</f>
        <v>2890.7716030295624</v>
      </c>
    </row>
    <row r="67" spans="2:33">
      <c r="B67" s="20" t="s">
        <v>303</v>
      </c>
      <c r="C67" s="133"/>
      <c r="D67" s="133"/>
      <c r="E67" s="133"/>
      <c r="F67" s="133"/>
      <c r="G67" s="133"/>
      <c r="H67" s="133">
        <f t="shared" ref="H67:Q67" si="197">H27/H57</f>
        <v>183.42563894111072</v>
      </c>
      <c r="I67" s="133">
        <f t="shared" si="197"/>
        <v>212.89568619480718</v>
      </c>
      <c r="J67" s="133">
        <f t="shared" si="197"/>
        <v>244.14409836898531</v>
      </c>
      <c r="K67" s="133">
        <f t="shared" si="197"/>
        <v>15.650406504065041</v>
      </c>
      <c r="L67" s="133">
        <f t="shared" si="197"/>
        <v>24.455409796606087</v>
      </c>
      <c r="M67" s="133">
        <f t="shared" si="197"/>
        <v>34.889878445059573</v>
      </c>
      <c r="N67" s="133">
        <f t="shared" si="197"/>
        <v>57.438729720400417</v>
      </c>
      <c r="O67" s="133">
        <f t="shared" si="197"/>
        <v>62.628005983201014</v>
      </c>
      <c r="P67" s="133">
        <f t="shared" si="197"/>
        <v>30.249683580715683</v>
      </c>
      <c r="Q67" s="133">
        <f t="shared" si="197"/>
        <v>159.52445193929174</v>
      </c>
      <c r="R67" s="133">
        <f t="shared" ref="R67" si="198">R27/R57</f>
        <v>173.94337714863499</v>
      </c>
      <c r="S67" s="118">
        <f>((Q67/H67)^(1/($I$2-$I$1) ))-1</f>
        <v>-1.2611808253604195E-2</v>
      </c>
      <c r="T67" s="128"/>
      <c r="U67" s="156">
        <f t="shared" ref="U67:AD67" si="199">U27/U57</f>
        <v>190.99664941810903</v>
      </c>
      <c r="V67" s="156">
        <f t="shared" si="199"/>
        <v>209.72181112576681</v>
      </c>
      <c r="W67" s="156">
        <f t="shared" si="199"/>
        <v>230.28277300084198</v>
      </c>
      <c r="X67" s="156">
        <f t="shared" si="199"/>
        <v>252.85951545190494</v>
      </c>
      <c r="Y67" s="156">
        <f t="shared" si="199"/>
        <v>277.64966402562112</v>
      </c>
      <c r="Z67" s="156">
        <f t="shared" si="199"/>
        <v>304.8702193222507</v>
      </c>
      <c r="AA67" s="156">
        <f t="shared" si="199"/>
        <v>334.75945651070663</v>
      </c>
      <c r="AB67" s="156">
        <f t="shared" si="199"/>
        <v>367.5790110705799</v>
      </c>
      <c r="AC67" s="156">
        <f t="shared" si="199"/>
        <v>403.61616901867592</v>
      </c>
      <c r="AD67" s="156">
        <f t="shared" si="199"/>
        <v>443.1863816675658</v>
      </c>
      <c r="AE67" s="137">
        <f t="shared" ref="AE67" si="200">((AD67/H67)^(1/($AD$3-$I$1) ))-1</f>
        <v>4.2903470511052255E-2</v>
      </c>
      <c r="AF67" s="31">
        <f t="shared" si="15"/>
        <v>0.05</v>
      </c>
      <c r="AG67" s="145">
        <f t="shared" si="196"/>
        <v>2737.3276514761419</v>
      </c>
    </row>
    <row r="68" spans="2:33">
      <c r="B68" s="20" t="s">
        <v>425</v>
      </c>
      <c r="C68" s="133"/>
      <c r="D68" s="133"/>
      <c r="E68" s="133"/>
      <c r="F68" s="133"/>
      <c r="G68" s="133"/>
      <c r="H68" s="133">
        <f>H53-H55</f>
        <v>462</v>
      </c>
      <c r="I68" s="133">
        <f t="shared" ref="I68:Q68" si="201">I53-I55</f>
        <v>529</v>
      </c>
      <c r="J68" s="133">
        <f t="shared" si="201"/>
        <v>605</v>
      </c>
      <c r="K68" s="133">
        <f t="shared" si="201"/>
        <v>1049</v>
      </c>
      <c r="L68" s="133">
        <f t="shared" si="201"/>
        <v>1257</v>
      </c>
      <c r="M68" s="133">
        <f t="shared" si="201"/>
        <v>1239</v>
      </c>
      <c r="N68" s="133">
        <f t="shared" si="201"/>
        <v>969</v>
      </c>
      <c r="O68" s="133">
        <f t="shared" si="201"/>
        <v>739</v>
      </c>
      <c r="P68" s="133">
        <f t="shared" si="201"/>
        <v>-1847</v>
      </c>
      <c r="Q68" s="133">
        <f t="shared" si="201"/>
        <v>-847</v>
      </c>
      <c r="R68" s="133">
        <f t="shared" ref="R68" si="202">R53-R55</f>
        <v>1448</v>
      </c>
      <c r="S68" s="118">
        <f>((Q68/H68)^(1/($I$2-$I$1) ))-1</f>
        <v>-2.0566497132717263</v>
      </c>
      <c r="T68" s="128"/>
      <c r="U68" s="133">
        <f t="shared" ref="U68:AD68" si="203">U53-U55</f>
        <v>1621.7600000000002</v>
      </c>
      <c r="V68" s="133">
        <f t="shared" si="203"/>
        <v>1816.3711999999996</v>
      </c>
      <c r="W68" s="133">
        <f t="shared" si="203"/>
        <v>2034.335744</v>
      </c>
      <c r="X68" s="133">
        <f t="shared" si="203"/>
        <v>2278.4560332799992</v>
      </c>
      <c r="Y68" s="133">
        <f t="shared" si="203"/>
        <v>2551.8707572735984</v>
      </c>
      <c r="Z68" s="133">
        <f t="shared" si="203"/>
        <v>2858.0952481464301</v>
      </c>
      <c r="AA68" s="133">
        <f t="shared" si="203"/>
        <v>3201.0666779240019</v>
      </c>
      <c r="AB68" s="133">
        <f t="shared" si="203"/>
        <v>3585.1946792748822</v>
      </c>
      <c r="AC68" s="133">
        <f t="shared" si="203"/>
        <v>4015.4180407878666</v>
      </c>
      <c r="AD68" s="133">
        <f t="shared" si="203"/>
        <v>4497.2682056824124</v>
      </c>
      <c r="AE68" s="137">
        <f t="shared" ref="AE68" si="204">((AD68/H68)^(1/($AD$3-$I$1) ))-1</f>
        <v>0.11445421007434575</v>
      </c>
      <c r="AF68" s="31">
        <f t="shared" si="15"/>
        <v>0.05</v>
      </c>
      <c r="AG68" s="145">
        <f t="shared" ref="AG68" si="205">(AD68*(1+AF68))/($C$1-AF68)</f>
        <v>27777.244799803138</v>
      </c>
    </row>
    <row r="69" spans="2:33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28"/>
      <c r="T69" s="128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19"/>
      <c r="AF69" s="136"/>
      <c r="AG69" s="145"/>
    </row>
    <row r="70" spans="2:33">
      <c r="B70" s="20" t="s">
        <v>460</v>
      </c>
      <c r="C70" s="133"/>
      <c r="D70" s="133"/>
      <c r="E70" s="133"/>
      <c r="F70" s="133"/>
      <c r="G70" s="133"/>
      <c r="H70" s="25">
        <f t="shared" ref="H70:Q70" si="206">H51/H57</f>
        <v>233.21985671459785</v>
      </c>
      <c r="I70" s="25">
        <f t="shared" si="206"/>
        <v>280.21950104161374</v>
      </c>
      <c r="J70" s="25">
        <f t="shared" si="206"/>
        <v>319.08947716071339</v>
      </c>
      <c r="K70" s="25">
        <f t="shared" si="206"/>
        <v>33.003048780487802</v>
      </c>
      <c r="L70" s="25">
        <f t="shared" si="206"/>
        <v>39.138283788662896</v>
      </c>
      <c r="M70" s="25">
        <f t="shared" si="206"/>
        <v>46.515826212540617</v>
      </c>
      <c r="N70" s="25">
        <f t="shared" si="206"/>
        <v>59.728454723276954</v>
      </c>
      <c r="O70" s="25">
        <f t="shared" si="206"/>
        <v>40.271545276723046</v>
      </c>
      <c r="P70" s="25">
        <f t="shared" si="206"/>
        <v>5.3503624439074908</v>
      </c>
      <c r="Q70" s="25">
        <f t="shared" si="206"/>
        <v>66.18549747048904</v>
      </c>
      <c r="R70" s="25">
        <f>R51/R57</f>
        <v>74.297269969666331</v>
      </c>
      <c r="S70" s="118">
        <f t="shared" ref="S70:S76" si="207">((Q70/H70)^(1/($I$2-$I$1) ))-1</f>
        <v>-0.1081897018829906</v>
      </c>
      <c r="T70" s="128"/>
      <c r="U70" s="112">
        <f>U51/U57</f>
        <v>81.581316045123813</v>
      </c>
      <c r="V70" s="112">
        <f t="shared" ref="V70:AD70" si="208">V51/V57</f>
        <v>89.57948428484184</v>
      </c>
      <c r="W70" s="112">
        <f t="shared" si="208"/>
        <v>98.361786665708706</v>
      </c>
      <c r="X70" s="112">
        <f t="shared" si="208"/>
        <v>108.00509908391545</v>
      </c>
      <c r="Y70" s="112">
        <f t="shared" si="208"/>
        <v>118.5938342882209</v>
      </c>
      <c r="Z70" s="112">
        <f t="shared" si="208"/>
        <v>130.2206807870661</v>
      </c>
      <c r="AA70" s="112">
        <f t="shared" si="208"/>
        <v>142.9874141975628</v>
      </c>
      <c r="AB70" s="112">
        <f t="shared" si="208"/>
        <v>157.00578813850032</v>
      </c>
      <c r="AC70" s="112">
        <f t="shared" si="208"/>
        <v>172.39851246580429</v>
      </c>
      <c r="AD70" s="112">
        <f t="shared" si="208"/>
        <v>189.30032741343217</v>
      </c>
      <c r="AE70" s="137">
        <f t="shared" ref="AE70:AE71" si="209">((AD70/H70)^(1/($AD$3-$I$1) ))-1</f>
        <v>-9.8863678308374059E-3</v>
      </c>
      <c r="AF70" s="31">
        <f t="shared" si="15"/>
        <v>0.05</v>
      </c>
      <c r="AG70" s="145">
        <f t="shared" ref="AG70:AG71" si="210">(AD70*(1+AF70))/($C$1-AF70)</f>
        <v>1169.2079046123752</v>
      </c>
    </row>
    <row r="71" spans="2:33">
      <c r="B71" s="20" t="s">
        <v>461</v>
      </c>
      <c r="C71" s="133"/>
      <c r="D71" s="133"/>
      <c r="E71" s="133"/>
      <c r="F71" s="133"/>
      <c r="G71" s="133"/>
      <c r="H71" s="25">
        <f t="shared" ref="H71:Q71" si="211">H53/H57</f>
        <v>238.30089934454551</v>
      </c>
      <c r="I71" s="25">
        <f t="shared" si="211"/>
        <v>280.21950104161374</v>
      </c>
      <c r="J71" s="25">
        <f t="shared" si="211"/>
        <v>319.08947716071339</v>
      </c>
      <c r="K71" s="25">
        <f t="shared" si="211"/>
        <v>33.003048780487802</v>
      </c>
      <c r="L71" s="25">
        <f t="shared" si="211"/>
        <v>39.138283788662896</v>
      </c>
      <c r="M71" s="25">
        <f t="shared" si="211"/>
        <v>46.515826212540617</v>
      </c>
      <c r="N71" s="25">
        <f t="shared" si="211"/>
        <v>59.728454723276954</v>
      </c>
      <c r="O71" s="25">
        <f t="shared" si="211"/>
        <v>40.271545276723046</v>
      </c>
      <c r="P71" s="25">
        <f t="shared" si="211"/>
        <v>5.3503624439074908</v>
      </c>
      <c r="Q71" s="25">
        <f t="shared" si="211"/>
        <v>32.013490725126474</v>
      </c>
      <c r="R71" s="25">
        <f>R53/R57</f>
        <v>-33.451297607010453</v>
      </c>
      <c r="S71" s="118">
        <f t="shared" si="207"/>
        <v>-0.16680602124443111</v>
      </c>
      <c r="T71" s="128"/>
      <c r="U71" s="112">
        <f>U53/U57</f>
        <v>-36.730836588089907</v>
      </c>
      <c r="V71" s="112">
        <f t="shared" ref="V71:AD71" si="212">V53/V57</f>
        <v>-40.33189899868696</v>
      </c>
      <c r="W71" s="112">
        <f t="shared" si="212"/>
        <v>-44.28600674365628</v>
      </c>
      <c r="X71" s="112">
        <f t="shared" si="212"/>
        <v>-48.627772110681413</v>
      </c>
      <c r="Y71" s="112">
        <f t="shared" si="212"/>
        <v>-53.39520074898352</v>
      </c>
      <c r="Z71" s="112">
        <f t="shared" si="212"/>
        <v>-58.63002435182505</v>
      </c>
      <c r="AA71" s="112">
        <f t="shared" si="212"/>
        <v>-64.378065954945157</v>
      </c>
      <c r="AB71" s="112">
        <f t="shared" si="212"/>
        <v>-70.689641048567225</v>
      </c>
      <c r="AC71" s="112">
        <f t="shared" si="212"/>
        <v>-77.619998014113037</v>
      </c>
      <c r="AD71" s="112">
        <f t="shared" si="212"/>
        <v>-85.229801740986872</v>
      </c>
      <c r="AE71" s="137">
        <f t="shared" si="209"/>
        <v>-1.9522181748114009</v>
      </c>
      <c r="AF71" s="31">
        <f t="shared" si="15"/>
        <v>0.05</v>
      </c>
      <c r="AG71" s="145">
        <f t="shared" si="210"/>
        <v>-526.41936369433074</v>
      </c>
    </row>
    <row r="72" spans="2:33">
      <c r="B72" s="20" t="s">
        <v>257</v>
      </c>
      <c r="C72" s="25"/>
      <c r="D72" s="25"/>
      <c r="E72" s="25"/>
      <c r="F72" s="25"/>
      <c r="G72" s="133"/>
      <c r="H72" s="133">
        <f t="shared" ref="H72:Q72" si="213">H55/H57</f>
        <v>120.92881459275443</v>
      </c>
      <c r="I72" s="133">
        <f t="shared" si="213"/>
        <v>145.82592347949799</v>
      </c>
      <c r="J72" s="133">
        <f t="shared" si="213"/>
        <v>165.38793760479652</v>
      </c>
      <c r="K72" s="133">
        <f t="shared" si="213"/>
        <v>19.677337398373982</v>
      </c>
      <c r="L72" s="133">
        <f t="shared" si="213"/>
        <v>24.010109519797808</v>
      </c>
      <c r="M72" s="133">
        <f t="shared" si="213"/>
        <v>31.60428451077145</v>
      </c>
      <c r="N72" s="133">
        <f t="shared" si="213"/>
        <v>48.578989759521349</v>
      </c>
      <c r="O72" s="133">
        <f t="shared" si="213"/>
        <v>31.768496145437812</v>
      </c>
      <c r="P72" s="133">
        <f t="shared" si="213"/>
        <v>26.602232194223912</v>
      </c>
      <c r="Q72" s="133">
        <f t="shared" si="213"/>
        <v>34.870151770657671</v>
      </c>
      <c r="R72" s="133">
        <f t="shared" ref="R72" si="214">R55/R57</f>
        <v>-38.331648129423662</v>
      </c>
      <c r="S72" s="118">
        <f t="shared" si="207"/>
        <v>-0.10689568915503389</v>
      </c>
      <c r="T72" s="128"/>
      <c r="U72" s="156">
        <f t="shared" ref="U72:AD72" si="215">U55/U57</f>
        <v>-42.089652847994614</v>
      </c>
      <c r="V72" s="156">
        <f t="shared" si="215"/>
        <v>-46.216089401719579</v>
      </c>
      <c r="W72" s="156">
        <f t="shared" si="215"/>
        <v>-50.747078558750914</v>
      </c>
      <c r="X72" s="156">
        <f t="shared" si="215"/>
        <v>-55.722282339020623</v>
      </c>
      <c r="Y72" s="156">
        <f t="shared" si="215"/>
        <v>-61.185251195787352</v>
      </c>
      <c r="Z72" s="156">
        <f t="shared" si="215"/>
        <v>-67.183805234590039</v>
      </c>
      <c r="AA72" s="156">
        <f t="shared" si="215"/>
        <v>-73.770452806608674</v>
      </c>
      <c r="AB72" s="156">
        <f t="shared" si="215"/>
        <v>-81.002850140589914</v>
      </c>
      <c r="AC72" s="156">
        <f t="shared" si="215"/>
        <v>-88.944306036726189</v>
      </c>
      <c r="AD72" s="156">
        <f t="shared" si="215"/>
        <v>-97.664336040326802</v>
      </c>
      <c r="AE72" s="137">
        <f t="shared" ref="AE72:AE86" si="216">((AD72/H72)^(1/($AD$3-$I$1) ))-1</f>
        <v>-1.9898770329769335</v>
      </c>
      <c r="AF72" s="31">
        <f t="shared" si="15"/>
        <v>0.05</v>
      </c>
      <c r="AG72" s="145">
        <f t="shared" ref="AG72:AG100" si="217">(AD72*(1+AF72))/($C$1-AF72)</f>
        <v>-603.22089907260681</v>
      </c>
    </row>
    <row r="73" spans="2:33">
      <c r="B73" s="20" t="s">
        <v>386</v>
      </c>
      <c r="C73" s="133"/>
      <c r="D73" s="133"/>
      <c r="E73" s="133"/>
      <c r="F73" s="133"/>
      <c r="G73" s="133"/>
      <c r="H73" s="133">
        <f>H20/H57</f>
        <v>87.902037498094614</v>
      </c>
      <c r="I73" s="133">
        <f t="shared" ref="I73:Q73" si="218">I20/I57</f>
        <v>99.588435546974239</v>
      </c>
      <c r="J73" s="133">
        <f t="shared" si="218"/>
        <v>148.36644479447182</v>
      </c>
      <c r="K73" s="133">
        <f t="shared" si="218"/>
        <v>16.590447154471544</v>
      </c>
      <c r="L73" s="133">
        <f t="shared" si="218"/>
        <v>25.00902635696233</v>
      </c>
      <c r="M73" s="133">
        <f t="shared" si="218"/>
        <v>24.106390660729328</v>
      </c>
      <c r="N73" s="133">
        <f t="shared" si="218"/>
        <v>33.977678057760905</v>
      </c>
      <c r="O73" s="133">
        <f t="shared" si="218"/>
        <v>17.696467610171442</v>
      </c>
      <c r="P73" s="133">
        <f t="shared" si="218"/>
        <v>-1.4727879415487286</v>
      </c>
      <c r="Q73" s="133">
        <f t="shared" si="218"/>
        <v>9.5514333895446875</v>
      </c>
      <c r="R73" s="133">
        <f t="shared" ref="R73" si="219">R20/R57</f>
        <v>14.290529154027638</v>
      </c>
      <c r="S73" s="118">
        <f t="shared" si="207"/>
        <v>-0.18272170636120777</v>
      </c>
      <c r="T73" s="128"/>
      <c r="U73" s="133">
        <f t="shared" ref="U73:AD73" si="220">U20/U57</f>
        <v>15.691561424030347</v>
      </c>
      <c r="V73" s="133">
        <f t="shared" si="220"/>
        <v>17.229949798935284</v>
      </c>
      <c r="W73" s="133">
        <f t="shared" si="220"/>
        <v>18.919160563536785</v>
      </c>
      <c r="X73" s="133">
        <f t="shared" si="220"/>
        <v>20.77398022662863</v>
      </c>
      <c r="Y73" s="133">
        <f t="shared" si="220"/>
        <v>22.810644954729476</v>
      </c>
      <c r="Z73" s="133">
        <f t="shared" si="220"/>
        <v>25.046982695389232</v>
      </c>
      <c r="AA73" s="133">
        <f t="shared" si="220"/>
        <v>27.502569234152883</v>
      </c>
      <c r="AB73" s="133">
        <f t="shared" si="220"/>
        <v>30.198899551226699</v>
      </c>
      <c r="AC73" s="133">
        <f t="shared" si="220"/>
        <v>33.159575977817546</v>
      </c>
      <c r="AD73" s="133">
        <f t="shared" si="220"/>
        <v>36.410514799172212</v>
      </c>
      <c r="AE73" s="137">
        <f t="shared" ref="AE73" si="221">((AD73/H73)^(1/($AD$3-$I$1) ))-1</f>
        <v>-4.110124208704713E-2</v>
      </c>
      <c r="AF73" s="31">
        <f t="shared" si="15"/>
        <v>0.05</v>
      </c>
      <c r="AG73" s="145">
        <f t="shared" si="217"/>
        <v>224.8884737595931</v>
      </c>
    </row>
    <row r="74" spans="2:33">
      <c r="B74" s="20" t="s">
        <v>245</v>
      </c>
      <c r="C74" s="25"/>
      <c r="D74" s="25"/>
      <c r="E74" s="25"/>
      <c r="F74" s="25"/>
      <c r="G74" s="133"/>
      <c r="H74" s="133">
        <f t="shared" ref="H74:Q74" si="222">H7/H57</f>
        <v>193.33367206950868</v>
      </c>
      <c r="I74" s="133">
        <f t="shared" si="222"/>
        <v>293.68426401097508</v>
      </c>
      <c r="J74" s="133">
        <f t="shared" si="222"/>
        <v>412.32660942025302</v>
      </c>
      <c r="K74" s="133">
        <f t="shared" si="222"/>
        <v>37.652439024390247</v>
      </c>
      <c r="L74" s="133">
        <f t="shared" si="222"/>
        <v>56.745697436514618</v>
      </c>
      <c r="M74" s="133">
        <f t="shared" si="222"/>
        <v>95.282224094355513</v>
      </c>
      <c r="N74" s="133">
        <f t="shared" si="222"/>
        <v>147.39385571280636</v>
      </c>
      <c r="O74" s="133">
        <f t="shared" si="222"/>
        <v>173.95006328385688</v>
      </c>
      <c r="P74" s="133">
        <f t="shared" si="222"/>
        <v>201.07007248878151</v>
      </c>
      <c r="Q74" s="133">
        <f t="shared" si="222"/>
        <v>246.23271500843171</v>
      </c>
      <c r="R74" s="133">
        <f t="shared" ref="R74" si="223">R7/R57</f>
        <v>181.58072126727333</v>
      </c>
      <c r="S74" s="118">
        <f t="shared" si="207"/>
        <v>2.2230729364582702E-2</v>
      </c>
      <c r="T74" s="128"/>
      <c r="U74" s="156">
        <f t="shared" ref="U74:AD74" si="224">U7/U57</f>
        <v>199.38275276406486</v>
      </c>
      <c r="V74" s="156">
        <f t="shared" si="224"/>
        <v>218.93008146642418</v>
      </c>
      <c r="W74" s="156">
        <f t="shared" si="224"/>
        <v>240.39381494352463</v>
      </c>
      <c r="X74" s="156">
        <f t="shared" si="224"/>
        <v>263.96183601641923</v>
      </c>
      <c r="Y74" s="156">
        <f t="shared" si="224"/>
        <v>289.84044739057799</v>
      </c>
      <c r="Z74" s="156">
        <f t="shared" si="224"/>
        <v>318.25617752690925</v>
      </c>
      <c r="AA74" s="156">
        <f t="shared" si="224"/>
        <v>349.45776355895919</v>
      </c>
      <c r="AB74" s="156">
        <f t="shared" si="224"/>
        <v>383.71832861375907</v>
      </c>
      <c r="AC74" s="156">
        <f t="shared" si="224"/>
        <v>421.33777259550016</v>
      </c>
      <c r="AD74" s="156">
        <f t="shared" si="224"/>
        <v>462.64539735976496</v>
      </c>
      <c r="AE74" s="137">
        <f t="shared" si="216"/>
        <v>4.2424949887669872E-2</v>
      </c>
      <c r="AF74" s="31">
        <f t="shared" si="15"/>
        <v>0.05</v>
      </c>
      <c r="AG74" s="145">
        <f t="shared" si="217"/>
        <v>2857.5156895750192</v>
      </c>
    </row>
    <row r="75" spans="2:33">
      <c r="B75" s="20" t="s">
        <v>246</v>
      </c>
      <c r="C75" s="127"/>
      <c r="D75" s="127"/>
      <c r="E75" s="127"/>
      <c r="F75" s="127"/>
      <c r="G75" s="143"/>
      <c r="H75" s="143">
        <f t="shared" ref="H75:Q75" si="225">H6/H57</f>
        <v>183.42563894111072</v>
      </c>
      <c r="I75" s="143">
        <f t="shared" si="225"/>
        <v>283.77623088257712</v>
      </c>
      <c r="J75" s="143">
        <f t="shared" si="225"/>
        <v>402.1645241603577</v>
      </c>
      <c r="K75" s="143">
        <f t="shared" si="225"/>
        <v>37.157012195121951</v>
      </c>
      <c r="L75" s="143">
        <f t="shared" si="225"/>
        <v>55.806956312432298</v>
      </c>
      <c r="M75" s="143">
        <f t="shared" si="225"/>
        <v>94.283307257190998</v>
      </c>
      <c r="N75" s="143">
        <f t="shared" si="225"/>
        <v>146.39282015878496</v>
      </c>
      <c r="O75" s="143">
        <f t="shared" si="225"/>
        <v>172.94902772983548</v>
      </c>
      <c r="P75" s="143">
        <f t="shared" si="225"/>
        <v>200.06903693476011</v>
      </c>
      <c r="Q75" s="143">
        <f t="shared" si="225"/>
        <v>245.2344013490725</v>
      </c>
      <c r="R75" s="143">
        <f t="shared" ref="R75" si="226">R6/R57</f>
        <v>180.57971014492753</v>
      </c>
      <c r="S75" s="118">
        <f t="shared" si="207"/>
        <v>2.675204724590019E-2</v>
      </c>
      <c r="T75" s="128"/>
      <c r="U75" s="155">
        <f t="shared" ref="U75:AD75" si="227">U6/U57</f>
        <v>198.28360329639105</v>
      </c>
      <c r="V75" s="155">
        <f t="shared" si="227"/>
        <v>217.7231722470176</v>
      </c>
      <c r="W75" s="155">
        <f t="shared" si="227"/>
        <v>239.0685812908429</v>
      </c>
      <c r="X75" s="155">
        <f t="shared" si="227"/>
        <v>262.50667749582755</v>
      </c>
      <c r="Y75" s="155">
        <f t="shared" si="227"/>
        <v>288.24262626992828</v>
      </c>
      <c r="Z75" s="155">
        <f t="shared" si="227"/>
        <v>316.50170727678409</v>
      </c>
      <c r="AA75" s="155">
        <f t="shared" si="227"/>
        <v>347.53128642156685</v>
      </c>
      <c r="AB75" s="155">
        <f t="shared" si="227"/>
        <v>381.60298116877925</v>
      </c>
      <c r="AC75" s="155">
        <f t="shared" si="227"/>
        <v>419.01503814611056</v>
      </c>
      <c r="AD75" s="155">
        <f t="shared" si="227"/>
        <v>460.09494384670967</v>
      </c>
      <c r="AE75" s="137">
        <f t="shared" si="216"/>
        <v>4.4764599269510486E-2</v>
      </c>
      <c r="AF75" s="31">
        <f t="shared" si="15"/>
        <v>0.05</v>
      </c>
      <c r="AG75" s="145">
        <f t="shared" si="217"/>
        <v>2841.7628884649721</v>
      </c>
    </row>
    <row r="76" spans="2:33">
      <c r="B76" s="20" t="s">
        <v>247</v>
      </c>
      <c r="C76" s="127"/>
      <c r="D76" s="127"/>
      <c r="E76" s="127"/>
      <c r="F76" s="127"/>
      <c r="G76" s="143"/>
      <c r="H76" s="143">
        <f t="shared" ref="H76:Q76" si="228">H10/H57</f>
        <v>5.8431990244398149</v>
      </c>
      <c r="I76" s="143">
        <f t="shared" si="228"/>
        <v>2.5405213149738328</v>
      </c>
      <c r="J76" s="143">
        <f t="shared" si="228"/>
        <v>0</v>
      </c>
      <c r="K76" s="143">
        <f t="shared" si="228"/>
        <v>0</v>
      </c>
      <c r="L76" s="143">
        <f t="shared" si="228"/>
        <v>2.2987122397400406E-2</v>
      </c>
      <c r="M76" s="143">
        <f t="shared" si="228"/>
        <v>23.58887952822241</v>
      </c>
      <c r="N76" s="143">
        <f t="shared" si="228"/>
        <v>11.310551144862503</v>
      </c>
      <c r="O76" s="143">
        <f t="shared" si="228"/>
        <v>42.963985732366815</v>
      </c>
      <c r="P76" s="143">
        <f t="shared" si="228"/>
        <v>51.789207225865837</v>
      </c>
      <c r="Q76" s="143">
        <f t="shared" si="228"/>
        <v>244.04721753794266</v>
      </c>
      <c r="R76" s="143">
        <f t="shared" ref="R76" si="229">R10/R57</f>
        <v>242.55139871924504</v>
      </c>
      <c r="S76" s="118">
        <f t="shared" si="207"/>
        <v>0.40393681305019657</v>
      </c>
      <c r="T76" s="128"/>
      <c r="U76" s="155">
        <f t="shared" ref="U76:AD76" si="230">U10/U57</f>
        <v>266.33094761328863</v>
      </c>
      <c r="V76" s="155">
        <f t="shared" si="230"/>
        <v>292.44182483027777</v>
      </c>
      <c r="W76" s="155">
        <f t="shared" si="230"/>
        <v>321.11259197050106</v>
      </c>
      <c r="X76" s="155">
        <f t="shared" si="230"/>
        <v>352.59421863427576</v>
      </c>
      <c r="Y76" s="155">
        <f t="shared" si="230"/>
        <v>387.16227928469499</v>
      </c>
      <c r="Z76" s="155">
        <f t="shared" si="230"/>
        <v>425.11936548907687</v>
      </c>
      <c r="AA76" s="155">
        <f t="shared" si="230"/>
        <v>466.79773465467269</v>
      </c>
      <c r="AB76" s="155">
        <f t="shared" si="230"/>
        <v>512.56221844434651</v>
      </c>
      <c r="AC76" s="155">
        <f t="shared" si="230"/>
        <v>562.81341633104716</v>
      </c>
      <c r="AD76" s="155">
        <f t="shared" si="230"/>
        <v>617.99120224585579</v>
      </c>
      <c r="AE76" s="137">
        <f t="shared" si="216"/>
        <v>0.24852356423270527</v>
      </c>
      <c r="AF76" s="31">
        <f t="shared" si="15"/>
        <v>0.05</v>
      </c>
      <c r="AG76" s="145">
        <f t="shared" si="217"/>
        <v>3817.0044844596978</v>
      </c>
    </row>
    <row r="77" spans="2:33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28"/>
      <c r="T77" s="128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38"/>
      <c r="AF77" s="136"/>
      <c r="AG77" s="145"/>
    </row>
    <row r="78" spans="2:33">
      <c r="B78" s="20" t="s">
        <v>270</v>
      </c>
      <c r="C78" s="127"/>
      <c r="D78" s="127"/>
      <c r="E78" s="127"/>
      <c r="F78" s="127"/>
      <c r="G78" s="143"/>
      <c r="H78" s="143">
        <f t="shared" ref="H78:Q78" si="231">(H7-H10)/H57</f>
        <v>187.49047304506885</v>
      </c>
      <c r="I78" s="143">
        <f t="shared" si="231"/>
        <v>291.1437426960012</v>
      </c>
      <c r="J78" s="143">
        <f t="shared" si="231"/>
        <v>412.32660942025302</v>
      </c>
      <c r="K78" s="143">
        <f t="shared" si="231"/>
        <v>37.652439024390247</v>
      </c>
      <c r="L78" s="143">
        <f t="shared" si="231"/>
        <v>56.722710314117222</v>
      </c>
      <c r="M78" s="143">
        <f t="shared" si="231"/>
        <v>71.693344566133106</v>
      </c>
      <c r="N78" s="143">
        <f t="shared" si="231"/>
        <v>136.08330456794386</v>
      </c>
      <c r="O78" s="143">
        <f t="shared" si="231"/>
        <v>130.98607755149004</v>
      </c>
      <c r="P78" s="143">
        <f t="shared" si="231"/>
        <v>149.28086526291565</v>
      </c>
      <c r="Q78" s="143">
        <f t="shared" si="231"/>
        <v>2.1854974704890386</v>
      </c>
      <c r="R78" s="143">
        <f t="shared" ref="R78" si="232">(R7-R10)/R57</f>
        <v>-60.970677451971689</v>
      </c>
      <c r="S78" s="118">
        <f>((Q78/H78)^(1/($I$2-$I$1) ))-1</f>
        <v>-0.33283425974728187</v>
      </c>
      <c r="T78" s="128"/>
      <c r="U78" s="155">
        <f t="shared" ref="U78:AD78" si="233">(U7-U10)/U57</f>
        <v>-66.948194849223796</v>
      </c>
      <c r="V78" s="155">
        <f t="shared" si="233"/>
        <v>-73.511743363853569</v>
      </c>
      <c r="W78" s="155">
        <f t="shared" si="233"/>
        <v>-80.718777026976454</v>
      </c>
      <c r="X78" s="155">
        <f t="shared" si="233"/>
        <v>-88.632382617856521</v>
      </c>
      <c r="Y78" s="155">
        <f t="shared" si="233"/>
        <v>-97.321831894116954</v>
      </c>
      <c r="Z78" s="155">
        <f t="shared" si="233"/>
        <v>-106.86318796216764</v>
      </c>
      <c r="AA78" s="155">
        <f t="shared" si="233"/>
        <v>-117.33997109571349</v>
      </c>
      <c r="AB78" s="155">
        <f t="shared" si="233"/>
        <v>-128.84388983058741</v>
      </c>
      <c r="AC78" s="155">
        <f t="shared" si="233"/>
        <v>-141.47564373554698</v>
      </c>
      <c r="AD78" s="155">
        <f t="shared" si="233"/>
        <v>-155.34580488609083</v>
      </c>
      <c r="AE78" s="137">
        <f t="shared" si="216"/>
        <v>-1.9910840609024234</v>
      </c>
      <c r="AF78" s="31">
        <f t="shared" si="15"/>
        <v>0.05</v>
      </c>
      <c r="AG78" s="145">
        <f t="shared" si="217"/>
        <v>-959.48879488467878</v>
      </c>
    </row>
    <row r="79" spans="2:33">
      <c r="B79" s="20" t="s">
        <v>271</v>
      </c>
      <c r="C79" s="127"/>
      <c r="D79" s="127"/>
      <c r="E79" s="127"/>
      <c r="F79" s="127"/>
      <c r="G79" s="143"/>
      <c r="H79" s="143">
        <f t="shared" ref="H79:Q79" si="234">(H7-H10-H9)/H57</f>
        <v>81.550734210660025</v>
      </c>
      <c r="I79" s="143">
        <f t="shared" si="234"/>
        <v>125.50175295970733</v>
      </c>
      <c r="J79" s="143">
        <f t="shared" si="234"/>
        <v>251.25755805091205</v>
      </c>
      <c r="K79" s="143">
        <f t="shared" si="234"/>
        <v>26.613313008130081</v>
      </c>
      <c r="L79" s="143">
        <f t="shared" si="234"/>
        <v>51.740161270911059</v>
      </c>
      <c r="M79" s="143">
        <f t="shared" si="234"/>
        <v>60.717294499939818</v>
      </c>
      <c r="N79" s="143">
        <f t="shared" si="234"/>
        <v>120.27384650788173</v>
      </c>
      <c r="O79" s="143">
        <f t="shared" si="234"/>
        <v>115.89000115061559</v>
      </c>
      <c r="P79" s="143">
        <f t="shared" si="234"/>
        <v>139.30502819008169</v>
      </c>
      <c r="Q79" s="143">
        <f t="shared" si="234"/>
        <v>-97.473861720067447</v>
      </c>
      <c r="R79" s="143">
        <f t="shared" ref="R79" si="235">(R7-R10-R9)/R57</f>
        <v>-145.62184024266938</v>
      </c>
      <c r="S79" s="118">
        <f>((Q79/H79)^(1/($I$2-$I$1) ))-1</f>
        <v>-2.0163466152521119</v>
      </c>
      <c r="T79" s="128"/>
      <c r="U79" s="155">
        <f t="shared" ref="U79:AD79" si="236">(U7-U10-U9)/U57</f>
        <v>-159.89849124685264</v>
      </c>
      <c r="V79" s="155">
        <f t="shared" si="236"/>
        <v>-175.57481391811268</v>
      </c>
      <c r="W79" s="155">
        <f t="shared" si="236"/>
        <v>-192.78803096890803</v>
      </c>
      <c r="X79" s="155">
        <f t="shared" si="236"/>
        <v>-211.68881831880105</v>
      </c>
      <c r="Y79" s="155">
        <f t="shared" si="236"/>
        <v>-232.44262403633056</v>
      </c>
      <c r="Z79" s="155">
        <f t="shared" si="236"/>
        <v>-255.23111658891196</v>
      </c>
      <c r="AA79" s="155">
        <f t="shared" si="236"/>
        <v>-280.25377507802102</v>
      </c>
      <c r="AB79" s="155">
        <f t="shared" si="236"/>
        <v>-307.72963537978785</v>
      </c>
      <c r="AC79" s="155">
        <f t="shared" si="236"/>
        <v>-337.89920747584551</v>
      </c>
      <c r="AD79" s="155">
        <f t="shared" si="236"/>
        <v>-371.02658075779118</v>
      </c>
      <c r="AE79" s="137">
        <f t="shared" si="216"/>
        <v>-2.0748113530762624</v>
      </c>
      <c r="AF79" s="31">
        <f t="shared" si="15"/>
        <v>0.05</v>
      </c>
      <c r="AG79" s="145">
        <f t="shared" si="217"/>
        <v>-2291.6347635040047</v>
      </c>
    </row>
    <row r="80" spans="2:33">
      <c r="B80" s="20" t="s">
        <v>276</v>
      </c>
      <c r="C80" s="127"/>
      <c r="D80" s="127"/>
      <c r="E80" s="127"/>
      <c r="F80" s="127"/>
      <c r="G80" s="143"/>
      <c r="H80" s="143">
        <f t="shared" ref="H80:Q80" si="237">(H7+H15-H10-H9)/H57</f>
        <v>187.49047304506885</v>
      </c>
      <c r="I80" s="143">
        <f t="shared" si="237"/>
        <v>291.1437426960012</v>
      </c>
      <c r="J80" s="143">
        <f t="shared" si="237"/>
        <v>412.32660942025302</v>
      </c>
      <c r="K80" s="143">
        <f t="shared" si="237"/>
        <v>37.652439024390247</v>
      </c>
      <c r="L80" s="143">
        <f t="shared" si="237"/>
        <v>72.115657720543993</v>
      </c>
      <c r="M80" s="143">
        <f t="shared" si="237"/>
        <v>113.9607654350704</v>
      </c>
      <c r="N80" s="143">
        <f t="shared" si="237"/>
        <v>164.43447244275688</v>
      </c>
      <c r="O80" s="143">
        <f t="shared" si="237"/>
        <v>139.93786675871593</v>
      </c>
      <c r="P80" s="143">
        <f t="shared" si="237"/>
        <v>161.98366125877345</v>
      </c>
      <c r="Q80" s="143">
        <f t="shared" si="237"/>
        <v>-25.39629005059022</v>
      </c>
      <c r="R80" s="143">
        <f t="shared" ref="R80" si="238">(R7+R15-R10-R9)/R57</f>
        <v>-84.866868891135837</v>
      </c>
      <c r="S80" s="118">
        <f>((Q80/H80)^(1/($I$2-$I$1) ))-1</f>
        <v>-1.8338192471726416</v>
      </c>
      <c r="T80" s="128"/>
      <c r="U80" s="155">
        <f t="shared" ref="U80:AD80" si="239">(U7+U15-U10-U9)/U57</f>
        <v>-93.187150154972656</v>
      </c>
      <c r="V80" s="155">
        <f t="shared" si="239"/>
        <v>-102.32314526820527</v>
      </c>
      <c r="W80" s="155">
        <f t="shared" si="239"/>
        <v>-112.35482617685278</v>
      </c>
      <c r="X80" s="155">
        <f t="shared" si="239"/>
        <v>-123.3700052137992</v>
      </c>
      <c r="Y80" s="155">
        <f t="shared" si="239"/>
        <v>-135.46510376417169</v>
      </c>
      <c r="Z80" s="155">
        <f t="shared" si="239"/>
        <v>-148.74599629007082</v>
      </c>
      <c r="AA80" s="155">
        <f t="shared" si="239"/>
        <v>-163.32893710282292</v>
      </c>
      <c r="AB80" s="155">
        <f t="shared" si="239"/>
        <v>-179.34157799525653</v>
      </c>
      <c r="AC80" s="155">
        <f t="shared" si="239"/>
        <v>-196.92408564185035</v>
      </c>
      <c r="AD80" s="155">
        <f t="shared" si="239"/>
        <v>-216.23036854791414</v>
      </c>
      <c r="AE80" s="137">
        <f t="shared" si="216"/>
        <v>-2.0068143665083884</v>
      </c>
      <c r="AF80" s="31">
        <f t="shared" si="15"/>
        <v>0.05</v>
      </c>
      <c r="AG80" s="145">
        <f t="shared" si="217"/>
        <v>-1335.54051161947</v>
      </c>
    </row>
    <row r="81" spans="2:33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28"/>
      <c r="T81" s="128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38"/>
      <c r="AF81" s="136"/>
      <c r="AG81" s="152"/>
    </row>
    <row r="82" spans="2:33">
      <c r="B82" s="20" t="s">
        <v>248</v>
      </c>
      <c r="C82" s="127"/>
      <c r="D82" s="127"/>
      <c r="E82" s="127"/>
      <c r="F82" s="127"/>
      <c r="G82" s="143"/>
      <c r="H82" s="143">
        <f t="shared" ref="H82:Q82" si="240">H12/H57</f>
        <v>4.3188862354555155</v>
      </c>
      <c r="I82" s="143">
        <f t="shared" si="240"/>
        <v>9.3999288654031812</v>
      </c>
      <c r="J82" s="143">
        <f t="shared" si="240"/>
        <v>5.335094761445049</v>
      </c>
      <c r="K82" s="143">
        <f t="shared" si="240"/>
        <v>0.26676829268292684</v>
      </c>
      <c r="L82" s="143">
        <f t="shared" si="240"/>
        <v>0.21326272716331687</v>
      </c>
      <c r="M82" s="143">
        <f t="shared" si="240"/>
        <v>28.77759056444819</v>
      </c>
      <c r="N82" s="143">
        <f t="shared" si="240"/>
        <v>10.32102174663445</v>
      </c>
      <c r="O82" s="143">
        <f t="shared" si="240"/>
        <v>1.1276032677482453</v>
      </c>
      <c r="P82" s="143">
        <f t="shared" si="240"/>
        <v>0.41422160856057993</v>
      </c>
      <c r="Q82" s="143">
        <f t="shared" si="240"/>
        <v>25.915682967959526</v>
      </c>
      <c r="R82" s="143">
        <f t="shared" ref="R82" si="241">R12/R57</f>
        <v>19.19784293899562</v>
      </c>
      <c r="S82" s="118">
        <f>((Q82/H82)^(1/($I$2-$I$1) ))-1</f>
        <v>0.17691372277523554</v>
      </c>
      <c r="T82" s="128"/>
      <c r="U82" s="155">
        <f t="shared" ref="U82:AD82" si="242">U12/U57</f>
        <v>21.079984403603031</v>
      </c>
      <c r="V82" s="155">
        <f t="shared" si="242"/>
        <v>23.146649541211175</v>
      </c>
      <c r="W82" s="155">
        <f t="shared" si="242"/>
        <v>25.415928907996587</v>
      </c>
      <c r="X82" s="155">
        <f t="shared" si="242"/>
        <v>27.907686644074687</v>
      </c>
      <c r="Y82" s="155">
        <f t="shared" si="242"/>
        <v>30.643734354278088</v>
      </c>
      <c r="Z82" s="155">
        <f t="shared" si="242"/>
        <v>33.648022036070067</v>
      </c>
      <c r="AA82" s="155">
        <f t="shared" si="242"/>
        <v>36.946847725880858</v>
      </c>
      <c r="AB82" s="155">
        <f t="shared" si="242"/>
        <v>40.569087699006438</v>
      </c>
      <c r="AC82" s="155">
        <f t="shared" si="242"/>
        <v>44.546449238124715</v>
      </c>
      <c r="AD82" s="155">
        <f t="shared" si="242"/>
        <v>48.913748183038912</v>
      </c>
      <c r="AE82" s="137">
        <f t="shared" si="216"/>
        <v>0.12251794942280769</v>
      </c>
      <c r="AF82" s="31">
        <f t="shared" si="15"/>
        <v>0.05</v>
      </c>
      <c r="AG82" s="145">
        <f t="shared" si="217"/>
        <v>302.11432701288743</v>
      </c>
    </row>
    <row r="83" spans="2:33">
      <c r="B83" s="20" t="s">
        <v>255</v>
      </c>
      <c r="C83" s="127"/>
      <c r="D83" s="127"/>
      <c r="E83" s="127"/>
      <c r="F83" s="127"/>
      <c r="G83" s="143"/>
      <c r="H83" s="143">
        <f t="shared" ref="H83:Q83" si="243">H13/H57</f>
        <v>77.231847975204516</v>
      </c>
      <c r="I83" s="143">
        <f t="shared" si="243"/>
        <v>120.42071032975967</v>
      </c>
      <c r="J83" s="143">
        <f t="shared" si="243"/>
        <v>214.67405111528888</v>
      </c>
      <c r="K83" s="143">
        <f t="shared" si="243"/>
        <v>26.054369918699187</v>
      </c>
      <c r="L83" s="143">
        <f t="shared" si="243"/>
        <v>37.609820676375016</v>
      </c>
      <c r="M83" s="143">
        <f t="shared" si="243"/>
        <v>54.928390901432181</v>
      </c>
      <c r="N83" s="143">
        <f t="shared" si="243"/>
        <v>101.24266482568174</v>
      </c>
      <c r="O83" s="143">
        <f t="shared" si="243"/>
        <v>162.99620296858819</v>
      </c>
      <c r="P83" s="143">
        <f t="shared" si="243"/>
        <v>184.76584972960535</v>
      </c>
      <c r="Q83" s="143">
        <f t="shared" si="243"/>
        <v>127.85497470489038</v>
      </c>
      <c r="R83" s="143">
        <f t="shared" ref="R83" si="244">R13/R57</f>
        <v>133.48837209302326</v>
      </c>
      <c r="S83" s="118">
        <f>((Q83/H83)^(1/($I$2-$I$1) ))-1</f>
        <v>4.6892112226997407E-2</v>
      </c>
      <c r="T83" s="128"/>
      <c r="U83" s="155">
        <f t="shared" ref="U83:AD83" si="245">U13/U57</f>
        <v>146.57546739626082</v>
      </c>
      <c r="V83" s="155">
        <f t="shared" si="245"/>
        <v>160.94561125863936</v>
      </c>
      <c r="W83" s="155">
        <f t="shared" si="245"/>
        <v>176.72459275458442</v>
      </c>
      <c r="X83" s="155">
        <f t="shared" si="245"/>
        <v>194.05053322072018</v>
      </c>
      <c r="Y83" s="155">
        <f t="shared" si="245"/>
        <v>213.07509530118296</v>
      </c>
      <c r="Z83" s="155">
        <f t="shared" si="245"/>
        <v>233.96481052678919</v>
      </c>
      <c r="AA83" s="155">
        <f t="shared" si="245"/>
        <v>256.90253704902346</v>
      </c>
      <c r="AB83" s="155">
        <f t="shared" si="245"/>
        <v>282.08906028912378</v>
      </c>
      <c r="AC83" s="155">
        <f t="shared" si="245"/>
        <v>309.7448505135477</v>
      </c>
      <c r="AD83" s="155">
        <f t="shared" si="245"/>
        <v>340.11199272075828</v>
      </c>
      <c r="AE83" s="137">
        <f t="shared" si="216"/>
        <v>7.3144880446551763E-2</v>
      </c>
      <c r="AF83" s="31">
        <f t="shared" si="15"/>
        <v>0.05</v>
      </c>
      <c r="AG83" s="145">
        <f t="shared" si="217"/>
        <v>2100.6917197458602</v>
      </c>
    </row>
    <row r="84" spans="2:33">
      <c r="B84" s="20" t="s">
        <v>256</v>
      </c>
      <c r="C84" s="127"/>
      <c r="D84" s="127"/>
      <c r="E84" s="127"/>
      <c r="F84" s="127"/>
      <c r="G84" s="143"/>
      <c r="H84" s="143">
        <f t="shared" ref="H84:Q84" si="246">(H82+H83)</f>
        <v>81.550734210660039</v>
      </c>
      <c r="I84" s="143">
        <f t="shared" si="246"/>
        <v>129.82063919516284</v>
      </c>
      <c r="J84" s="143">
        <f t="shared" si="246"/>
        <v>220.00914587673392</v>
      </c>
      <c r="K84" s="143">
        <f t="shared" si="246"/>
        <v>26.321138211382113</v>
      </c>
      <c r="L84" s="143">
        <f t="shared" si="246"/>
        <v>37.823083403538334</v>
      </c>
      <c r="M84" s="143">
        <f t="shared" si="246"/>
        <v>83.70598146588037</v>
      </c>
      <c r="N84" s="143">
        <f t="shared" si="246"/>
        <v>111.56368657231619</v>
      </c>
      <c r="O84" s="143">
        <f t="shared" si="246"/>
        <v>164.12380623633643</v>
      </c>
      <c r="P84" s="143">
        <f t="shared" ref="P84" si="247">(P82+P83)</f>
        <v>185.18007133816593</v>
      </c>
      <c r="Q84" s="143">
        <f t="shared" si="246"/>
        <v>153.77065767284989</v>
      </c>
      <c r="R84" s="143">
        <f t="shared" ref="R84" si="248">(R82+R83)</f>
        <v>152.68621503201888</v>
      </c>
      <c r="S84" s="118">
        <f>((Q84/H84)^(1/($I$2-$I$1) ))-1</f>
        <v>5.9352531552568477E-2</v>
      </c>
      <c r="T84" s="128"/>
      <c r="U84" s="155">
        <f t="shared" ref="U84:AD84" si="249">(U82+U83)</f>
        <v>167.65545179986384</v>
      </c>
      <c r="V84" s="155">
        <f t="shared" si="249"/>
        <v>184.09226079985052</v>
      </c>
      <c r="W84" s="155">
        <f t="shared" si="249"/>
        <v>202.14052166258102</v>
      </c>
      <c r="X84" s="155">
        <f t="shared" si="249"/>
        <v>221.95821986479487</v>
      </c>
      <c r="Y84" s="155">
        <f t="shared" si="249"/>
        <v>243.71882965546104</v>
      </c>
      <c r="Z84" s="155">
        <f t="shared" si="249"/>
        <v>267.61283256285924</v>
      </c>
      <c r="AA84" s="155">
        <f t="shared" si="249"/>
        <v>293.84938477490431</v>
      </c>
      <c r="AB84" s="155">
        <f t="shared" si="249"/>
        <v>322.65814798813022</v>
      </c>
      <c r="AC84" s="155">
        <f t="shared" si="249"/>
        <v>354.2912997516724</v>
      </c>
      <c r="AD84" s="155">
        <f t="shared" si="249"/>
        <v>389.02574090379721</v>
      </c>
      <c r="AE84" s="137">
        <f t="shared" si="216"/>
        <v>7.7238649610326116E-2</v>
      </c>
      <c r="AF84" s="31">
        <f t="shared" si="15"/>
        <v>0.05</v>
      </c>
      <c r="AG84" s="145">
        <f t="shared" si="217"/>
        <v>2402.8060467587479</v>
      </c>
    </row>
    <row r="85" spans="2:33">
      <c r="B85" s="20" t="s">
        <v>249</v>
      </c>
      <c r="C85" s="127"/>
      <c r="D85" s="127"/>
      <c r="E85" s="127"/>
      <c r="F85" s="127"/>
      <c r="G85" s="143"/>
      <c r="H85" s="143">
        <f t="shared" ref="H85:Q85" si="250">H15/H57</f>
        <v>105.93973883440883</v>
      </c>
      <c r="I85" s="143">
        <f t="shared" si="250"/>
        <v>165.64198973629388</v>
      </c>
      <c r="J85" s="143">
        <f t="shared" si="250"/>
        <v>161.069051369341</v>
      </c>
      <c r="K85" s="143">
        <f t="shared" si="250"/>
        <v>11.039126016260163</v>
      </c>
      <c r="L85" s="143">
        <f t="shared" si="250"/>
        <v>20.375496449632926</v>
      </c>
      <c r="M85" s="143">
        <f t="shared" si="250"/>
        <v>53.243470935130581</v>
      </c>
      <c r="N85" s="143">
        <f t="shared" si="250"/>
        <v>44.160625934875156</v>
      </c>
      <c r="O85" s="143">
        <f t="shared" si="250"/>
        <v>24.047865608100334</v>
      </c>
      <c r="P85" s="143">
        <f t="shared" si="250"/>
        <v>22.678633068691752</v>
      </c>
      <c r="Q85" s="143">
        <f t="shared" si="250"/>
        <v>72.077571669477237</v>
      </c>
      <c r="R85" s="143">
        <f t="shared" ref="R85" si="251">R15/R57</f>
        <v>60.754971351533541</v>
      </c>
      <c r="S85" s="118">
        <f>((Q85/H85)^(1/($I$2-$I$1) ))-1</f>
        <v>-3.440577658396704E-2</v>
      </c>
      <c r="T85" s="128"/>
      <c r="U85" s="155">
        <f t="shared" ref="U85:AD85" si="252">U15/U57</f>
        <v>66.711341091879973</v>
      </c>
      <c r="V85" s="155">
        <f t="shared" si="252"/>
        <v>73.25166864990743</v>
      </c>
      <c r="W85" s="155">
        <f t="shared" si="252"/>
        <v>80.433204792055221</v>
      </c>
      <c r="X85" s="155">
        <f t="shared" si="252"/>
        <v>88.318813105001823</v>
      </c>
      <c r="Y85" s="155">
        <f t="shared" si="252"/>
        <v>96.97752027215887</v>
      </c>
      <c r="Z85" s="155">
        <f t="shared" si="252"/>
        <v>106.48512029884114</v>
      </c>
      <c r="AA85" s="155">
        <f t="shared" si="252"/>
        <v>116.92483797519812</v>
      </c>
      <c r="AB85" s="155">
        <f t="shared" si="252"/>
        <v>128.38805738453129</v>
      </c>
      <c r="AC85" s="155">
        <f t="shared" si="252"/>
        <v>140.97512183399513</v>
      </c>
      <c r="AD85" s="155">
        <f t="shared" si="252"/>
        <v>154.79621220987701</v>
      </c>
      <c r="AE85" s="137">
        <f t="shared" si="216"/>
        <v>1.8223052736999756E-2</v>
      </c>
      <c r="AF85" s="31">
        <f t="shared" si="15"/>
        <v>0.05</v>
      </c>
      <c r="AG85" s="145">
        <f t="shared" si="217"/>
        <v>956.09425188453463</v>
      </c>
    </row>
    <row r="86" spans="2:33">
      <c r="B86" s="20" t="s">
        <v>250</v>
      </c>
      <c r="C86" s="127"/>
      <c r="D86" s="127"/>
      <c r="E86" s="127"/>
      <c r="F86" s="127"/>
      <c r="G86" s="143"/>
      <c r="H86" s="143">
        <f t="shared" ref="H86:Q86" si="253">H16/H57</f>
        <v>36.837559067120573</v>
      </c>
      <c r="I86" s="143">
        <f t="shared" si="253"/>
        <v>73.675118134241146</v>
      </c>
      <c r="J86" s="143">
        <f t="shared" si="253"/>
        <v>76.977795843707128</v>
      </c>
      <c r="K86" s="143">
        <f t="shared" si="253"/>
        <v>5.3607723577235777</v>
      </c>
      <c r="L86" s="143">
        <f t="shared" si="253"/>
        <v>12.420267180166084</v>
      </c>
      <c r="M86" s="143">
        <f t="shared" si="253"/>
        <v>37.320977253580452</v>
      </c>
      <c r="N86" s="143">
        <f t="shared" si="253"/>
        <v>23.415027039466114</v>
      </c>
      <c r="O86" s="143">
        <f t="shared" si="253"/>
        <v>6.2248302842020484</v>
      </c>
      <c r="P86" s="143">
        <f t="shared" si="253"/>
        <v>12.185018985157059</v>
      </c>
      <c r="Q86" s="143">
        <f t="shared" si="253"/>
        <v>36.839797639123105</v>
      </c>
      <c r="R86" s="143">
        <f t="shared" ref="R86" si="254">R16/R57</f>
        <v>43.508594539939331</v>
      </c>
      <c r="S86" s="118">
        <f>((Q86/H86)^(1/($I$2-$I$1) ))-1</f>
        <v>5.5242782031061921E-6</v>
      </c>
      <c r="T86" s="128"/>
      <c r="U86" s="155">
        <f t="shared" ref="U86:AD86" si="255">U16/U57</f>
        <v>47.774143024247117</v>
      </c>
      <c r="V86" s="155">
        <f t="shared" si="255"/>
        <v>52.457882536428208</v>
      </c>
      <c r="W86" s="155">
        <f t="shared" si="255"/>
        <v>57.60081219686235</v>
      </c>
      <c r="X86" s="155">
        <f t="shared" si="255"/>
        <v>63.247950647535134</v>
      </c>
      <c r="Y86" s="155">
        <f t="shared" si="255"/>
        <v>69.448730122783687</v>
      </c>
      <c r="Z86" s="155">
        <f t="shared" si="255"/>
        <v>76.257429154429161</v>
      </c>
      <c r="AA86" s="155">
        <f t="shared" si="255"/>
        <v>83.733647698981045</v>
      </c>
      <c r="AB86" s="155">
        <f t="shared" si="255"/>
        <v>91.942828845939971</v>
      </c>
      <c r="AC86" s="155">
        <f t="shared" si="255"/>
        <v>100.9568316739733</v>
      </c>
      <c r="AD86" s="155">
        <f t="shared" si="255"/>
        <v>110.85456026946088</v>
      </c>
      <c r="AE86" s="137">
        <f t="shared" si="216"/>
        <v>5.386247052098514E-2</v>
      </c>
      <c r="AF86" s="136"/>
      <c r="AG86" s="145">
        <f t="shared" si="217"/>
        <v>503.88436486118582</v>
      </c>
    </row>
    <row r="87" spans="2:33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28"/>
      <c r="T87" s="128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38"/>
      <c r="AF87" s="31">
        <f t="shared" si="15"/>
        <v>0.05</v>
      </c>
      <c r="AG87" s="145">
        <f t="shared" si="217"/>
        <v>0</v>
      </c>
    </row>
    <row r="88" spans="2:33">
      <c r="B88" s="20" t="s">
        <v>282</v>
      </c>
      <c r="C88" s="157"/>
      <c r="D88" s="157"/>
      <c r="E88" s="157"/>
      <c r="F88" s="157"/>
      <c r="G88" s="157"/>
      <c r="H88" s="157">
        <f t="shared" ref="H88:Q88" si="256">H59</f>
        <v>22.504000000000001</v>
      </c>
      <c r="I88" s="157">
        <f t="shared" si="256"/>
        <v>40</v>
      </c>
      <c r="J88" s="157">
        <f t="shared" si="256"/>
        <v>45</v>
      </c>
      <c r="K88" s="157">
        <f t="shared" si="256"/>
        <v>2.25</v>
      </c>
      <c r="L88" s="157">
        <f t="shared" si="256"/>
        <v>3.25</v>
      </c>
      <c r="M88" s="157">
        <f t="shared" si="256"/>
        <v>3.25</v>
      </c>
      <c r="N88" s="157">
        <f t="shared" si="256"/>
        <v>3.5</v>
      </c>
      <c r="O88" s="157">
        <f t="shared" si="256"/>
        <v>4</v>
      </c>
      <c r="P88" s="157">
        <f t="shared" si="256"/>
        <v>0.1</v>
      </c>
      <c r="Q88" s="157">
        <f t="shared" si="256"/>
        <v>3.25</v>
      </c>
      <c r="R88" s="157">
        <f t="shared" ref="R88" si="257">R59</f>
        <v>4.0999999999999996</v>
      </c>
      <c r="S88" s="118">
        <f>((Q88/H88)^(1/($I$2-$I$1) ))-1</f>
        <v>-0.16130867820789119</v>
      </c>
      <c r="T88" s="128"/>
      <c r="U88" s="157">
        <f t="shared" ref="U88:AD88" si="258">U59</f>
        <v>4.3049999999999997</v>
      </c>
      <c r="V88" s="157">
        <f t="shared" si="258"/>
        <v>4.5202499999999999</v>
      </c>
      <c r="W88" s="157">
        <f t="shared" si="258"/>
        <v>4.7462625000000003</v>
      </c>
      <c r="X88" s="157">
        <f t="shared" si="258"/>
        <v>4.9835756250000003</v>
      </c>
      <c r="Y88" s="157">
        <f t="shared" si="258"/>
        <v>5.2327544062500007</v>
      </c>
      <c r="Z88" s="157">
        <f t="shared" si="258"/>
        <v>5.4943921265625013</v>
      </c>
      <c r="AA88" s="157">
        <f t="shared" si="258"/>
        <v>5.769111732890627</v>
      </c>
      <c r="AB88" s="157">
        <f t="shared" si="258"/>
        <v>6.0575673195351589</v>
      </c>
      <c r="AC88" s="157">
        <f t="shared" si="258"/>
        <v>6.3604456855119169</v>
      </c>
      <c r="AD88" s="157">
        <f t="shared" si="258"/>
        <v>6.6784679697875129</v>
      </c>
      <c r="AE88" s="137">
        <f t="shared" ref="AE88" si="259">((AD88/H88)^(1/($AD$3-$I$1) ))-1</f>
        <v>-5.6206447583456609E-2</v>
      </c>
      <c r="AF88" s="31">
        <f t="shared" si="15"/>
        <v>0.05</v>
      </c>
      <c r="AG88" s="145">
        <f t="shared" si="217"/>
        <v>41.249360989864059</v>
      </c>
    </row>
    <row r="89" spans="2:33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28"/>
      <c r="T89" s="128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38"/>
      <c r="AF89" s="136"/>
      <c r="AG89" s="152"/>
    </row>
    <row r="90" spans="2:33">
      <c r="B90" s="20" t="s">
        <v>315</v>
      </c>
      <c r="C90" s="127"/>
      <c r="D90" s="127"/>
      <c r="E90" s="127"/>
      <c r="F90" s="127"/>
      <c r="G90" s="143"/>
      <c r="H90" s="143">
        <f t="shared" ref="H90:Q90" si="260">H20+H21</f>
        <v>28</v>
      </c>
      <c r="I90" s="143">
        <f t="shared" si="260"/>
        <v>182</v>
      </c>
      <c r="J90" s="143">
        <f t="shared" si="260"/>
        <v>173</v>
      </c>
      <c r="K90" s="143">
        <f t="shared" si="260"/>
        <v>182</v>
      </c>
      <c r="L90" s="143">
        <f t="shared" si="260"/>
        <v>1139</v>
      </c>
      <c r="M90" s="143">
        <f t="shared" si="260"/>
        <v>-2692</v>
      </c>
      <c r="N90" s="143">
        <f t="shared" si="260"/>
        <v>557</v>
      </c>
      <c r="O90" s="143">
        <f t="shared" si="260"/>
        <v>-2497</v>
      </c>
      <c r="P90" s="143">
        <f t="shared" si="260"/>
        <v>-441</v>
      </c>
      <c r="Q90" s="143">
        <f t="shared" si="260"/>
        <v>291</v>
      </c>
      <c r="R90" s="143">
        <f t="shared" ref="R90" si="261">R20+R21</f>
        <v>6117</v>
      </c>
      <c r="S90" s="118">
        <f>((Q90/H90)^(1/($I$2-$I$1) ))-1</f>
        <v>0.23717304922769422</v>
      </c>
      <c r="T90" s="128"/>
      <c r="U90" s="143">
        <f t="shared" ref="U90:AD90" si="262">U20+U21</f>
        <v>6851.0400000000009</v>
      </c>
      <c r="V90" s="143">
        <f t="shared" si="262"/>
        <v>7673.1648000000014</v>
      </c>
      <c r="W90" s="143">
        <f t="shared" si="262"/>
        <v>8593.9445760000017</v>
      </c>
      <c r="X90" s="143">
        <f t="shared" si="262"/>
        <v>9625.2179251200032</v>
      </c>
      <c r="Y90" s="143">
        <f t="shared" si="262"/>
        <v>10780.244076134404</v>
      </c>
      <c r="Z90" s="143">
        <f t="shared" si="262"/>
        <v>12073.873365270534</v>
      </c>
      <c r="AA90" s="143">
        <f t="shared" si="262"/>
        <v>13522.738169102999</v>
      </c>
      <c r="AB90" s="143">
        <f t="shared" si="262"/>
        <v>15145.466749395362</v>
      </c>
      <c r="AC90" s="143">
        <f t="shared" si="262"/>
        <v>16962.922759322806</v>
      </c>
      <c r="AD90" s="143">
        <f t="shared" si="262"/>
        <v>18998.473490441545</v>
      </c>
      <c r="AE90" s="137">
        <f t="shared" ref="AE90:AE95" si="263">((AD90/H90)^(1/($AD$3-$I$1) ))-1</f>
        <v>0.36406863393873357</v>
      </c>
      <c r="AF90" s="31">
        <f t="shared" si="15"/>
        <v>0.05</v>
      </c>
      <c r="AG90" s="145">
        <f t="shared" si="217"/>
        <v>117343.51273508015</v>
      </c>
    </row>
    <row r="91" spans="2:33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28"/>
      <c r="T91" s="128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38"/>
      <c r="AF91" s="136"/>
      <c r="AG91" s="145"/>
    </row>
    <row r="92" spans="2:33">
      <c r="B92" s="20" t="s">
        <v>316</v>
      </c>
      <c r="C92" s="127"/>
      <c r="D92" s="127"/>
      <c r="E92" s="127"/>
      <c r="F92" s="127"/>
      <c r="G92" s="143"/>
      <c r="H92" s="143">
        <f t="shared" ref="H92:Q92" si="264">H90/H57</f>
        <v>7.1134596819267317</v>
      </c>
      <c r="I92" s="143">
        <f t="shared" si="264"/>
        <v>46.237487932523756</v>
      </c>
      <c r="J92" s="143">
        <f t="shared" si="264"/>
        <v>43.951018749047307</v>
      </c>
      <c r="K92" s="143">
        <f t="shared" si="264"/>
        <v>2.3119918699186992</v>
      </c>
      <c r="L92" s="143">
        <f t="shared" si="264"/>
        <v>13.708027440125164</v>
      </c>
      <c r="M92" s="143">
        <f t="shared" si="264"/>
        <v>-32.398603923456491</v>
      </c>
      <c r="N92" s="143">
        <f t="shared" si="264"/>
        <v>6.4089287768956398</v>
      </c>
      <c r="O92" s="143">
        <f t="shared" si="264"/>
        <v>-28.730871015993557</v>
      </c>
      <c r="P92" s="143">
        <f t="shared" si="264"/>
        <v>-5.0742147048671038</v>
      </c>
      <c r="Q92" s="143">
        <f t="shared" si="264"/>
        <v>0.98145025295109611</v>
      </c>
      <c r="R92" s="143">
        <f t="shared" ref="R92" si="265">R90/R57</f>
        <v>20.616784630940344</v>
      </c>
      <c r="S92" s="118">
        <f>((Q92/H92)^(1/($I$2-$I$1) ))-1</f>
        <v>-0.16478390251463126</v>
      </c>
      <c r="T92" s="128"/>
      <c r="U92" s="145">
        <f t="shared" ref="U92:AD92" si="266">U90/U57</f>
        <v>22.638038026130577</v>
      </c>
      <c r="V92" s="145">
        <f t="shared" si="266"/>
        <v>24.857453518888477</v>
      </c>
      <c r="W92" s="145">
        <f t="shared" si="266"/>
        <v>27.294458765838328</v>
      </c>
      <c r="X92" s="145">
        <f t="shared" si="266"/>
        <v>29.970386095822484</v>
      </c>
      <c r="Y92" s="145">
        <f t="shared" si="266"/>
        <v>32.908659242471742</v>
      </c>
      <c r="Z92" s="145">
        <f t="shared" si="266"/>
        <v>36.134998383890547</v>
      </c>
      <c r="AA92" s="145">
        <f t="shared" si="266"/>
        <v>39.677645284271975</v>
      </c>
      <c r="AB92" s="145">
        <f t="shared" si="266"/>
        <v>43.567610508220213</v>
      </c>
      <c r="AC92" s="145">
        <f t="shared" si="266"/>
        <v>47.838944871771218</v>
      </c>
      <c r="AD92" s="145">
        <f t="shared" si="266"/>
        <v>52.529037506258597</v>
      </c>
      <c r="AE92" s="137">
        <f t="shared" si="263"/>
        <v>9.9888099910355965E-2</v>
      </c>
      <c r="AF92" s="31">
        <f t="shared" si="15"/>
        <v>0.05</v>
      </c>
      <c r="AG92" s="145">
        <f t="shared" si="217"/>
        <v>324.44405518571489</v>
      </c>
    </row>
    <row r="93" spans="2:33">
      <c r="B93" s="20" t="s">
        <v>286</v>
      </c>
      <c r="C93" s="127"/>
      <c r="D93" s="127"/>
      <c r="E93" s="127"/>
      <c r="F93" s="127"/>
      <c r="G93" s="143"/>
      <c r="H93" s="143">
        <f t="shared" ref="H93:Q93" si="267">H20/H57</f>
        <v>87.902037498094614</v>
      </c>
      <c r="I93" s="143">
        <f t="shared" si="267"/>
        <v>99.588435546974239</v>
      </c>
      <c r="J93" s="143">
        <f t="shared" si="267"/>
        <v>148.36644479447182</v>
      </c>
      <c r="K93" s="143">
        <f t="shared" si="267"/>
        <v>16.590447154471544</v>
      </c>
      <c r="L93" s="143">
        <f t="shared" si="267"/>
        <v>25.00902635696233</v>
      </c>
      <c r="M93" s="143">
        <f t="shared" si="267"/>
        <v>24.106390660729328</v>
      </c>
      <c r="N93" s="143">
        <f t="shared" si="267"/>
        <v>33.977678057760905</v>
      </c>
      <c r="O93" s="143">
        <f t="shared" si="267"/>
        <v>17.696467610171442</v>
      </c>
      <c r="P93" s="143">
        <f t="shared" si="267"/>
        <v>-1.4727879415487286</v>
      </c>
      <c r="Q93" s="143">
        <f t="shared" si="267"/>
        <v>9.5514333895446875</v>
      </c>
      <c r="R93" s="143">
        <f t="shared" ref="R93" si="268">R20/R57</f>
        <v>14.290529154027638</v>
      </c>
      <c r="S93" s="118">
        <f>((Q93/H93)^(1/($I$2-$I$1) ))-1</f>
        <v>-0.18272170636120777</v>
      </c>
      <c r="T93" s="128"/>
      <c r="U93" s="145">
        <f t="shared" ref="U93:AD93" si="269">U20/U57</f>
        <v>15.691561424030347</v>
      </c>
      <c r="V93" s="145">
        <f t="shared" si="269"/>
        <v>17.229949798935284</v>
      </c>
      <c r="W93" s="145">
        <f t="shared" si="269"/>
        <v>18.919160563536785</v>
      </c>
      <c r="X93" s="145">
        <f t="shared" si="269"/>
        <v>20.77398022662863</v>
      </c>
      <c r="Y93" s="145">
        <f t="shared" si="269"/>
        <v>22.810644954729476</v>
      </c>
      <c r="Z93" s="145">
        <f t="shared" si="269"/>
        <v>25.046982695389232</v>
      </c>
      <c r="AA93" s="145">
        <f t="shared" si="269"/>
        <v>27.502569234152883</v>
      </c>
      <c r="AB93" s="145">
        <f t="shared" si="269"/>
        <v>30.198899551226699</v>
      </c>
      <c r="AC93" s="145">
        <f t="shared" si="269"/>
        <v>33.159575977817546</v>
      </c>
      <c r="AD93" s="145">
        <f t="shared" si="269"/>
        <v>36.410514799172212</v>
      </c>
      <c r="AE93" s="137">
        <f t="shared" si="263"/>
        <v>-4.110124208704713E-2</v>
      </c>
      <c r="AF93" s="31">
        <f t="shared" si="15"/>
        <v>0.05</v>
      </c>
      <c r="AG93" s="145">
        <f t="shared" si="217"/>
        <v>224.8884737595931</v>
      </c>
    </row>
    <row r="94" spans="2:33">
      <c r="B94" s="20" t="s">
        <v>287</v>
      </c>
      <c r="C94" s="127"/>
      <c r="D94" s="127"/>
      <c r="E94" s="127"/>
      <c r="F94" s="127"/>
      <c r="G94" s="143"/>
      <c r="H94" s="143">
        <f t="shared" ref="H94:Q94" si="270">H21/H57</f>
        <v>-80.788577816167873</v>
      </c>
      <c r="I94" s="143">
        <f t="shared" si="270"/>
        <v>-53.350947614450483</v>
      </c>
      <c r="J94" s="143">
        <f t="shared" si="270"/>
        <v>-104.41542604542452</v>
      </c>
      <c r="K94" s="143">
        <f t="shared" si="270"/>
        <v>-14.278455284552846</v>
      </c>
      <c r="L94" s="143">
        <f t="shared" si="270"/>
        <v>-11.300998916837164</v>
      </c>
      <c r="M94" s="143">
        <f t="shared" si="270"/>
        <v>-56.504994584185823</v>
      </c>
      <c r="N94" s="143">
        <f t="shared" si="270"/>
        <v>-27.568749280865266</v>
      </c>
      <c r="O94" s="143">
        <f t="shared" si="270"/>
        <v>-46.427338626165003</v>
      </c>
      <c r="P94" s="143">
        <f t="shared" si="270"/>
        <v>-3.6014267633183756</v>
      </c>
      <c r="Q94" s="143">
        <f t="shared" si="270"/>
        <v>-8.5699831365935921</v>
      </c>
      <c r="R94" s="143">
        <f t="shared" ref="R94" si="271">R21/R57</f>
        <v>6.3262554769127064</v>
      </c>
      <c r="S94" s="118">
        <f>((Q94/H94)^(1/($I$2-$I$1) ))-1</f>
        <v>-0.1845057381980284</v>
      </c>
      <c r="T94" s="128"/>
      <c r="U94" s="145">
        <f t="shared" ref="U94:AD94" si="272">U21/U57</f>
        <v>6.9464766021002271</v>
      </c>
      <c r="V94" s="145">
        <f t="shared" si="272"/>
        <v>7.6275037199531912</v>
      </c>
      <c r="W94" s="145">
        <f t="shared" si="272"/>
        <v>8.3752982023015452</v>
      </c>
      <c r="X94" s="145">
        <f t="shared" si="272"/>
        <v>9.1964058691938551</v>
      </c>
      <c r="Y94" s="145">
        <f t="shared" si="272"/>
        <v>10.098014287742272</v>
      </c>
      <c r="Z94" s="145">
        <f t="shared" si="272"/>
        <v>11.08801568850132</v>
      </c>
      <c r="AA94" s="145">
        <f t="shared" si="272"/>
        <v>12.175076050119095</v>
      </c>
      <c r="AB94" s="145">
        <f t="shared" si="272"/>
        <v>13.368710956993517</v>
      </c>
      <c r="AC94" s="145">
        <f t="shared" si="272"/>
        <v>14.679368893953667</v>
      </c>
      <c r="AD94" s="145">
        <f t="shared" si="272"/>
        <v>16.118522707086377</v>
      </c>
      <c r="AE94" s="137">
        <f t="shared" si="263"/>
        <v>-1.9261162171429982</v>
      </c>
      <c r="AF94" s="31">
        <f t="shared" si="15"/>
        <v>0.05</v>
      </c>
      <c r="AG94" s="145">
        <f t="shared" si="217"/>
        <v>99.555581426121748</v>
      </c>
    </row>
    <row r="95" spans="2:33">
      <c r="B95" s="20" t="s">
        <v>288</v>
      </c>
      <c r="C95" s="127"/>
      <c r="D95" s="127"/>
      <c r="E95" s="127"/>
      <c r="F95" s="127"/>
      <c r="G95" s="143"/>
      <c r="H95" s="143">
        <f t="shared" ref="H95:Q95" si="273">H22/H57</f>
        <v>-20.349575732940398</v>
      </c>
      <c r="I95" s="143">
        <f t="shared" si="273"/>
        <v>-40.648341039581325</v>
      </c>
      <c r="J95" s="143">
        <f t="shared" si="273"/>
        <v>-48.015852853005441</v>
      </c>
      <c r="K95" s="143">
        <f t="shared" si="273"/>
        <v>-2.3246951219512195</v>
      </c>
      <c r="L95" s="143">
        <f t="shared" si="273"/>
        <v>-13.708027440125164</v>
      </c>
      <c r="M95" s="143">
        <f t="shared" si="273"/>
        <v>32.567095920086651</v>
      </c>
      <c r="N95" s="143">
        <f t="shared" si="273"/>
        <v>-4.7405361868599707</v>
      </c>
      <c r="O95" s="143">
        <f t="shared" si="273"/>
        <v>19.468415602347257</v>
      </c>
      <c r="P95" s="143">
        <f t="shared" si="273"/>
        <v>4.5334253825796802</v>
      </c>
      <c r="Q95" s="143">
        <f t="shared" si="273"/>
        <v>-1.703204047217538</v>
      </c>
      <c r="R95" s="143">
        <f t="shared" ref="R95" si="274">R22/R57</f>
        <v>-20.872935625210651</v>
      </c>
      <c r="S95" s="118">
        <f>((Q95/H95)^(1/($I$2-$I$1) ))-1</f>
        <v>-0.20188648407856935</v>
      </c>
      <c r="T95" s="128"/>
      <c r="U95" s="145">
        <f t="shared" ref="U95:AD95" si="275">U22/U57</f>
        <v>-22.9193018629764</v>
      </c>
      <c r="V95" s="145">
        <f t="shared" si="275"/>
        <v>-25.166292241699583</v>
      </c>
      <c r="W95" s="145">
        <f t="shared" si="275"/>
        <v>-27.633575794807388</v>
      </c>
      <c r="X95" s="145">
        <f t="shared" si="275"/>
        <v>-30.342749892337533</v>
      </c>
      <c r="Y95" s="145">
        <f t="shared" si="275"/>
        <v>-33.317529293547089</v>
      </c>
      <c r="Z95" s="145">
        <f t="shared" si="275"/>
        <v>-36.583953734090933</v>
      </c>
      <c r="AA95" s="145">
        <f t="shared" si="275"/>
        <v>-40.170615864884162</v>
      </c>
      <c r="AB95" s="145">
        <f t="shared" si="275"/>
        <v>-44.108911537912029</v>
      </c>
      <c r="AC95" s="145">
        <f t="shared" si="275"/>
        <v>-48.433314629864185</v>
      </c>
      <c r="AD95" s="145">
        <f t="shared" si="275"/>
        <v>-53.181678809262642</v>
      </c>
      <c r="AE95" s="137">
        <f t="shared" si="263"/>
        <v>4.6807884199865368E-2</v>
      </c>
      <c r="AF95" s="31">
        <f t="shared" si="15"/>
        <v>0.05</v>
      </c>
      <c r="AG95" s="145">
        <f t="shared" si="217"/>
        <v>-328.47507499838696</v>
      </c>
    </row>
    <row r="96" spans="2:33">
      <c r="B96" s="20" t="s">
        <v>295</v>
      </c>
      <c r="C96" s="127"/>
      <c r="D96" s="127"/>
      <c r="E96" s="127"/>
      <c r="F96" s="127"/>
      <c r="G96" s="143"/>
      <c r="H96" s="143">
        <f t="shared" ref="H96:Q96" si="276">H23/H57</f>
        <v>2.5303592297139375</v>
      </c>
      <c r="I96" s="143">
        <f t="shared" si="276"/>
        <v>7.9111833748285152</v>
      </c>
      <c r="J96" s="143">
        <f t="shared" si="276"/>
        <v>3.6659722575072404</v>
      </c>
      <c r="K96" s="143">
        <f t="shared" si="276"/>
        <v>0.16717479674796748</v>
      </c>
      <c r="L96" s="143">
        <f t="shared" si="276"/>
        <v>0.10398363220604165</v>
      </c>
      <c r="M96" s="143">
        <f t="shared" si="276"/>
        <v>0.27680828017812009</v>
      </c>
      <c r="N96" s="143">
        <f t="shared" si="276"/>
        <v>2.0480957312162009</v>
      </c>
      <c r="O96" s="143">
        <f t="shared" si="276"/>
        <v>0.71913473708434017</v>
      </c>
      <c r="P96" s="143">
        <f t="shared" si="276"/>
        <v>0.17892072258658384</v>
      </c>
      <c r="Q96" s="143">
        <f t="shared" si="276"/>
        <v>-0.72512647554806076</v>
      </c>
      <c r="R96" s="143">
        <f t="shared" ref="R96" si="277">R23/R57</f>
        <v>-0.25615099427030674</v>
      </c>
      <c r="S96" s="118">
        <f>((Q96/H96)^(1/($I$2-$I$1) ))-1</f>
        <v>-1.8926010973839866</v>
      </c>
      <c r="T96" s="128"/>
      <c r="U96" s="145">
        <f t="shared" ref="U96:AD96" si="278">U23/U57</f>
        <v>-0.28126383684582695</v>
      </c>
      <c r="V96" s="145">
        <f t="shared" si="278"/>
        <v>-0.30883872281110414</v>
      </c>
      <c r="W96" s="145">
        <f t="shared" si="278"/>
        <v>-0.3391170289690556</v>
      </c>
      <c r="X96" s="145">
        <f t="shared" si="278"/>
        <v>-0.37236379651504153</v>
      </c>
      <c r="Y96" s="145">
        <f t="shared" si="278"/>
        <v>-0.40887005107533969</v>
      </c>
      <c r="Z96" s="145">
        <f t="shared" si="278"/>
        <v>-0.44895535020037303</v>
      </c>
      <c r="AA96" s="145">
        <f t="shared" si="278"/>
        <v>-0.4929705806121743</v>
      </c>
      <c r="AB96" s="145">
        <f t="shared" si="278"/>
        <v>-0.54130102969179927</v>
      </c>
      <c r="AC96" s="145">
        <f t="shared" si="278"/>
        <v>-0.59436975809295611</v>
      </c>
      <c r="AD96" s="145">
        <f t="shared" si="278"/>
        <v>-0.65264130300403034</v>
      </c>
      <c r="AE96" s="137">
        <f t="shared" ref="AE96" si="279">((AD96/H96)^(1/($AD$3-$I$1) ))-1</f>
        <v>-1.9375098239933237</v>
      </c>
      <c r="AF96" s="31">
        <f t="shared" si="15"/>
        <v>0.05</v>
      </c>
      <c r="AG96" s="145">
        <f t="shared" si="217"/>
        <v>-4.0310198126719525</v>
      </c>
    </row>
    <row r="97" spans="2:33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28"/>
      <c r="T97" s="128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38"/>
      <c r="AF97" s="136"/>
      <c r="AG97" s="152"/>
    </row>
    <row r="98" spans="2:33">
      <c r="B98" s="20" t="s">
        <v>310</v>
      </c>
      <c r="C98" s="143"/>
      <c r="D98" s="143"/>
      <c r="E98" s="143"/>
      <c r="F98" s="143"/>
      <c r="G98" s="143"/>
      <c r="H98" s="143">
        <f t="shared" ref="H98:Q98" si="280">H51/H57</f>
        <v>233.21985671459785</v>
      </c>
      <c r="I98" s="143">
        <f t="shared" si="280"/>
        <v>280.21950104161374</v>
      </c>
      <c r="J98" s="143">
        <f t="shared" si="280"/>
        <v>319.08947716071339</v>
      </c>
      <c r="K98" s="143">
        <f t="shared" si="280"/>
        <v>33.003048780487802</v>
      </c>
      <c r="L98" s="143">
        <f t="shared" si="280"/>
        <v>39.138283788662896</v>
      </c>
      <c r="M98" s="143">
        <f t="shared" si="280"/>
        <v>46.515826212540617</v>
      </c>
      <c r="N98" s="143">
        <f t="shared" si="280"/>
        <v>59.728454723276954</v>
      </c>
      <c r="O98" s="143">
        <f t="shared" si="280"/>
        <v>40.271545276723046</v>
      </c>
      <c r="P98" s="143">
        <f t="shared" si="280"/>
        <v>5.3503624439074908</v>
      </c>
      <c r="Q98" s="143">
        <f t="shared" si="280"/>
        <v>66.18549747048904</v>
      </c>
      <c r="R98" s="143">
        <f t="shared" ref="R98" si="281">R51/R57</f>
        <v>74.297269969666331</v>
      </c>
      <c r="S98" s="118">
        <f>((Q98/H98)^(1/($I$2-$I$1) ))-1</f>
        <v>-0.1081897018829906</v>
      </c>
      <c r="T98" s="128"/>
      <c r="U98" s="143">
        <f t="shared" ref="U98:AD98" si="282">U51/U57</f>
        <v>81.581316045123813</v>
      </c>
      <c r="V98" s="143">
        <f t="shared" si="282"/>
        <v>89.57948428484184</v>
      </c>
      <c r="W98" s="143">
        <f t="shared" si="282"/>
        <v>98.361786665708706</v>
      </c>
      <c r="X98" s="143">
        <f t="shared" si="282"/>
        <v>108.00509908391545</v>
      </c>
      <c r="Y98" s="143">
        <f t="shared" si="282"/>
        <v>118.5938342882209</v>
      </c>
      <c r="Z98" s="143">
        <f t="shared" si="282"/>
        <v>130.2206807870661</v>
      </c>
      <c r="AA98" s="143">
        <f t="shared" si="282"/>
        <v>142.9874141975628</v>
      </c>
      <c r="AB98" s="143">
        <f t="shared" si="282"/>
        <v>157.00578813850032</v>
      </c>
      <c r="AC98" s="143">
        <f t="shared" si="282"/>
        <v>172.39851246580429</v>
      </c>
      <c r="AD98" s="143">
        <f t="shared" si="282"/>
        <v>189.30032741343217</v>
      </c>
      <c r="AE98" s="137">
        <f t="shared" ref="AE98:AE100" si="283">((AD98/H98)^(1/($AD$3-$I$1) ))-1</f>
        <v>-9.8863678308374059E-3</v>
      </c>
      <c r="AF98" s="31">
        <f t="shared" si="15"/>
        <v>0.05</v>
      </c>
      <c r="AG98" s="145">
        <f t="shared" si="217"/>
        <v>1169.2079046123752</v>
      </c>
    </row>
    <row r="99" spans="2:33">
      <c r="B99" s="20" t="s">
        <v>311</v>
      </c>
      <c r="C99" s="143"/>
      <c r="D99" s="143"/>
      <c r="E99" s="143"/>
      <c r="F99" s="143"/>
      <c r="G99" s="143"/>
      <c r="H99" s="143">
        <f t="shared" ref="H99:Q99" si="284">H55/H57</f>
        <v>120.92881459275443</v>
      </c>
      <c r="I99" s="143">
        <f t="shared" si="284"/>
        <v>145.82592347949799</v>
      </c>
      <c r="J99" s="143">
        <f t="shared" si="284"/>
        <v>165.38793760479652</v>
      </c>
      <c r="K99" s="143">
        <f t="shared" si="284"/>
        <v>19.677337398373982</v>
      </c>
      <c r="L99" s="143">
        <f t="shared" si="284"/>
        <v>24.010109519797808</v>
      </c>
      <c r="M99" s="143">
        <f t="shared" si="284"/>
        <v>31.60428451077145</v>
      </c>
      <c r="N99" s="143">
        <f t="shared" si="284"/>
        <v>48.578989759521349</v>
      </c>
      <c r="O99" s="143">
        <f t="shared" si="284"/>
        <v>31.768496145437812</v>
      </c>
      <c r="P99" s="143">
        <f t="shared" si="284"/>
        <v>26.602232194223912</v>
      </c>
      <c r="Q99" s="143">
        <f t="shared" si="284"/>
        <v>34.870151770657671</v>
      </c>
      <c r="R99" s="143">
        <f t="shared" ref="R99" si="285">R55/R57</f>
        <v>-38.331648129423662</v>
      </c>
      <c r="S99" s="118">
        <f>((Q99/H99)^(1/($I$2-$I$1) ))-1</f>
        <v>-0.10689568915503389</v>
      </c>
      <c r="T99" s="128"/>
      <c r="U99" s="143">
        <f t="shared" ref="U99:AD99" si="286">U55/U57</f>
        <v>-42.089652847994614</v>
      </c>
      <c r="V99" s="143">
        <f t="shared" si="286"/>
        <v>-46.216089401719579</v>
      </c>
      <c r="W99" s="143">
        <f t="shared" si="286"/>
        <v>-50.747078558750914</v>
      </c>
      <c r="X99" s="143">
        <f t="shared" si="286"/>
        <v>-55.722282339020623</v>
      </c>
      <c r="Y99" s="143">
        <f t="shared" si="286"/>
        <v>-61.185251195787352</v>
      </c>
      <c r="Z99" s="143">
        <f t="shared" si="286"/>
        <v>-67.183805234590039</v>
      </c>
      <c r="AA99" s="143">
        <f t="shared" si="286"/>
        <v>-73.770452806608674</v>
      </c>
      <c r="AB99" s="143">
        <f t="shared" si="286"/>
        <v>-81.002850140589914</v>
      </c>
      <c r="AC99" s="143">
        <f t="shared" si="286"/>
        <v>-88.944306036726189</v>
      </c>
      <c r="AD99" s="143">
        <f t="shared" si="286"/>
        <v>-97.664336040326802</v>
      </c>
      <c r="AE99" s="137">
        <f t="shared" si="283"/>
        <v>-1.9898770329769335</v>
      </c>
      <c r="AF99" s="31">
        <f t="shared" si="15"/>
        <v>0.05</v>
      </c>
      <c r="AG99" s="145">
        <f t="shared" si="217"/>
        <v>-603.22089907260681</v>
      </c>
    </row>
    <row r="100" spans="2:33">
      <c r="B100" s="20" t="s">
        <v>312</v>
      </c>
      <c r="C100" s="143"/>
      <c r="D100" s="143"/>
      <c r="E100" s="143"/>
      <c r="F100" s="143"/>
      <c r="G100" s="143"/>
      <c r="H100" s="143">
        <f t="shared" ref="H100:Q100" si="287">H6/H57</f>
        <v>183.42563894111072</v>
      </c>
      <c r="I100" s="143">
        <f t="shared" si="287"/>
        <v>283.77623088257712</v>
      </c>
      <c r="J100" s="143">
        <f t="shared" si="287"/>
        <v>402.1645241603577</v>
      </c>
      <c r="K100" s="143">
        <f t="shared" si="287"/>
        <v>37.157012195121951</v>
      </c>
      <c r="L100" s="143">
        <f t="shared" si="287"/>
        <v>55.806956312432298</v>
      </c>
      <c r="M100" s="143">
        <f t="shared" si="287"/>
        <v>94.283307257190998</v>
      </c>
      <c r="N100" s="143">
        <f t="shared" si="287"/>
        <v>146.39282015878496</v>
      </c>
      <c r="O100" s="143">
        <f t="shared" si="287"/>
        <v>172.94902772983548</v>
      </c>
      <c r="P100" s="143">
        <f t="shared" si="287"/>
        <v>200.06903693476011</v>
      </c>
      <c r="Q100" s="143">
        <f t="shared" si="287"/>
        <v>245.2344013490725</v>
      </c>
      <c r="R100" s="143">
        <f t="shared" ref="R100" si="288">R6/R57</f>
        <v>180.57971014492753</v>
      </c>
      <c r="S100" s="118">
        <f>((Q100/H100)^(1/($I$2-$I$1) ))-1</f>
        <v>2.675204724590019E-2</v>
      </c>
      <c r="T100" s="128"/>
      <c r="U100" s="143">
        <f t="shared" ref="U100:AD100" si="289">U6/U57</f>
        <v>198.28360329639105</v>
      </c>
      <c r="V100" s="143">
        <f t="shared" si="289"/>
        <v>217.7231722470176</v>
      </c>
      <c r="W100" s="143">
        <f t="shared" si="289"/>
        <v>239.0685812908429</v>
      </c>
      <c r="X100" s="143">
        <f t="shared" si="289"/>
        <v>262.50667749582755</v>
      </c>
      <c r="Y100" s="143">
        <f t="shared" si="289"/>
        <v>288.24262626992828</v>
      </c>
      <c r="Z100" s="143">
        <f t="shared" si="289"/>
        <v>316.50170727678409</v>
      </c>
      <c r="AA100" s="143">
        <f t="shared" si="289"/>
        <v>347.53128642156685</v>
      </c>
      <c r="AB100" s="143">
        <f t="shared" si="289"/>
        <v>381.60298116877925</v>
      </c>
      <c r="AC100" s="143">
        <f t="shared" si="289"/>
        <v>419.01503814611056</v>
      </c>
      <c r="AD100" s="143">
        <f t="shared" si="289"/>
        <v>460.09494384670967</v>
      </c>
      <c r="AE100" s="137">
        <f t="shared" si="283"/>
        <v>4.4764599269510486E-2</v>
      </c>
      <c r="AF100" s="31">
        <f t="shared" ref="AF100" si="290">$M$1</f>
        <v>0.05</v>
      </c>
      <c r="AG100" s="145">
        <f t="shared" si="217"/>
        <v>2841.7628884649721</v>
      </c>
    </row>
    <row r="101" spans="2:33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28"/>
      <c r="T101" s="128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38"/>
      <c r="AF101" s="20"/>
      <c r="AG101" s="152"/>
    </row>
    <row r="102" spans="2:33">
      <c r="B102" s="20" t="s">
        <v>465</v>
      </c>
      <c r="C102" s="127"/>
      <c r="D102" s="127"/>
      <c r="E102" s="127"/>
      <c r="F102" s="127"/>
      <c r="G102" s="143"/>
      <c r="H102" s="143">
        <f t="shared" ref="H102:R102" si="291">H55/$R$57</f>
        <v>1.6043141220087631</v>
      </c>
      <c r="I102" s="143">
        <f t="shared" si="291"/>
        <v>1.934614088304685</v>
      </c>
      <c r="J102" s="143">
        <f t="shared" si="291"/>
        <v>2.1941354903943378</v>
      </c>
      <c r="K102" s="143">
        <f t="shared" si="291"/>
        <v>5.2207617121671728</v>
      </c>
      <c r="L102" s="143">
        <f t="shared" si="291"/>
        <v>6.7239635995955513</v>
      </c>
      <c r="M102" s="143">
        <f t="shared" si="291"/>
        <v>8.8506909336029658</v>
      </c>
      <c r="N102" s="143">
        <f t="shared" si="291"/>
        <v>14.229861813279408</v>
      </c>
      <c r="O102" s="143">
        <f t="shared" si="291"/>
        <v>9.305695989214696</v>
      </c>
      <c r="P102" s="143">
        <f t="shared" si="291"/>
        <v>7.7923828783282776</v>
      </c>
      <c r="Q102" s="143">
        <f t="shared" si="291"/>
        <v>34.846646444219751</v>
      </c>
      <c r="R102" s="143">
        <f t="shared" si="291"/>
        <v>-38.331648129423662</v>
      </c>
      <c r="S102" s="118">
        <f>((Q102/H102)^(1/($I$2-$I$1) ))-1</f>
        <v>0.32292060324642047</v>
      </c>
      <c r="T102" s="128"/>
      <c r="U102" s="143">
        <f t="shared" ref="U102:AD102" si="292">U55/U57</f>
        <v>-42.089652847994614</v>
      </c>
      <c r="V102" s="143">
        <f t="shared" si="292"/>
        <v>-46.216089401719579</v>
      </c>
      <c r="W102" s="143">
        <f t="shared" si="292"/>
        <v>-50.747078558750914</v>
      </c>
      <c r="X102" s="143">
        <f t="shared" si="292"/>
        <v>-55.722282339020623</v>
      </c>
      <c r="Y102" s="143">
        <f t="shared" si="292"/>
        <v>-61.185251195787352</v>
      </c>
      <c r="Z102" s="143">
        <f t="shared" si="292"/>
        <v>-67.183805234590039</v>
      </c>
      <c r="AA102" s="143">
        <f t="shared" si="292"/>
        <v>-73.770452806608674</v>
      </c>
      <c r="AB102" s="143">
        <f t="shared" si="292"/>
        <v>-81.002850140589914</v>
      </c>
      <c r="AC102" s="143">
        <f t="shared" si="292"/>
        <v>-88.944306036726189</v>
      </c>
      <c r="AD102" s="143">
        <f t="shared" si="292"/>
        <v>-97.664336040326802</v>
      </c>
      <c r="AE102" s="138"/>
      <c r="AF102" s="20"/>
      <c r="AG102" s="152"/>
    </row>
    <row r="103" spans="2:33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28"/>
      <c r="T103" s="128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38"/>
      <c r="AF103" s="20"/>
      <c r="AG103" s="152"/>
    </row>
    <row r="104" spans="2:33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2:33">
      <c r="B105" s="20" t="s">
        <v>308</v>
      </c>
      <c r="C105" s="150"/>
      <c r="D105" s="150"/>
      <c r="E105" s="150"/>
      <c r="F105" s="150"/>
      <c r="G105" s="150"/>
      <c r="H105" s="150">
        <f t="shared" ref="H105:Q105" si="293">H51/H25</f>
        <v>0.55301204819277106</v>
      </c>
      <c r="I105" s="150">
        <f t="shared" si="293"/>
        <v>0.56246812850586436</v>
      </c>
      <c r="J105" s="150">
        <f t="shared" si="293"/>
        <v>0.55379188712522043</v>
      </c>
      <c r="K105" s="150">
        <f t="shared" si="293"/>
        <v>0.66039654295882055</v>
      </c>
      <c r="L105" s="150">
        <f t="shared" si="293"/>
        <v>0.6076233183856502</v>
      </c>
      <c r="M105" s="150">
        <f t="shared" si="293"/>
        <v>0.5356895356895357</v>
      </c>
      <c r="N105" s="150">
        <f t="shared" si="293"/>
        <v>0.48180805643215147</v>
      </c>
      <c r="O105" s="150">
        <f t="shared" si="293"/>
        <v>0.38410886742756806</v>
      </c>
      <c r="P105" s="150">
        <f t="shared" si="293"/>
        <v>0.14870482890949793</v>
      </c>
      <c r="Q105" s="150">
        <f t="shared" si="293"/>
        <v>0.28536113655862377</v>
      </c>
      <c r="R105" s="150">
        <f t="shared" ref="R105" si="294">R51/R25</f>
        <v>0.40446222156985062</v>
      </c>
      <c r="S105" s="118">
        <f t="shared" ref="S105:S167" si="295">((Q105/H105)^(1/($I$2-$I$1) ))-1</f>
        <v>-5.8374517469820697E-2</v>
      </c>
      <c r="T105" s="150"/>
      <c r="U105" s="150">
        <f t="shared" ref="U105:AD105" si="296">U51/U25</f>
        <v>0.40446222156985068</v>
      </c>
      <c r="V105" s="150">
        <f t="shared" si="296"/>
        <v>0.40446222156985062</v>
      </c>
      <c r="W105" s="150">
        <f t="shared" si="296"/>
        <v>0.40446222156985062</v>
      </c>
      <c r="X105" s="150">
        <f t="shared" si="296"/>
        <v>0.40446222156985068</v>
      </c>
      <c r="Y105" s="150">
        <f t="shared" si="296"/>
        <v>0.40446222156985068</v>
      </c>
      <c r="Z105" s="150">
        <f t="shared" si="296"/>
        <v>0.40446222156985068</v>
      </c>
      <c r="AA105" s="150">
        <f t="shared" si="296"/>
        <v>0.40446222156985068</v>
      </c>
      <c r="AB105" s="150">
        <f t="shared" si="296"/>
        <v>0.40446222156985073</v>
      </c>
      <c r="AC105" s="150">
        <f t="shared" si="296"/>
        <v>0.40446222156985073</v>
      </c>
      <c r="AD105" s="150">
        <f t="shared" si="296"/>
        <v>0.40446222156985073</v>
      </c>
      <c r="AE105" s="137">
        <f t="shared" ref="AE105:AE154" si="297">((AD105/H105)^(1/($AD$3-$I$1) ))-1</f>
        <v>-1.4785859184128891E-2</v>
      </c>
      <c r="AF105" s="145"/>
      <c r="AG105" s="145"/>
    </row>
    <row r="106" spans="2:33">
      <c r="B106" s="20" t="s">
        <v>266</v>
      </c>
      <c r="C106" s="150"/>
      <c r="D106" s="150"/>
      <c r="E106" s="150"/>
      <c r="F106" s="150"/>
      <c r="G106" s="150"/>
      <c r="H106" s="150">
        <f t="shared" ref="H106:Q106" si="298">H55/H25</f>
        <v>0.28674698795180725</v>
      </c>
      <c r="I106" s="150">
        <f t="shared" si="298"/>
        <v>0.29270780214176439</v>
      </c>
      <c r="J106" s="150">
        <f t="shared" si="298"/>
        <v>0.28703703703703703</v>
      </c>
      <c r="K106" s="150">
        <f t="shared" si="298"/>
        <v>0.39374682257244537</v>
      </c>
      <c r="L106" s="150">
        <f t="shared" si="298"/>
        <v>0.37275784753363228</v>
      </c>
      <c r="M106" s="150">
        <f t="shared" si="298"/>
        <v>0.36396396396396397</v>
      </c>
      <c r="N106" s="150">
        <f t="shared" si="298"/>
        <v>0.39186931501763506</v>
      </c>
      <c r="O106" s="150">
        <f t="shared" si="298"/>
        <v>0.30300702370500437</v>
      </c>
      <c r="P106" s="150">
        <f t="shared" si="298"/>
        <v>0.73936680524464338</v>
      </c>
      <c r="Q106" s="150">
        <f t="shared" si="298"/>
        <v>0.15034390495717548</v>
      </c>
      <c r="R106" s="150">
        <f t="shared" ref="R106" si="299">R55/R25</f>
        <v>-0.20867124142233312</v>
      </c>
      <c r="S106" s="118">
        <f t="shared" si="295"/>
        <v>-5.7008223133530711E-2</v>
      </c>
      <c r="T106" s="150"/>
      <c r="U106" s="150">
        <f t="shared" ref="U106:AD106" si="300">U55/U25</f>
        <v>-0.20867124142233315</v>
      </c>
      <c r="V106" s="150">
        <f t="shared" si="300"/>
        <v>-0.20867124142233312</v>
      </c>
      <c r="W106" s="150">
        <f t="shared" si="300"/>
        <v>-0.20867124142233315</v>
      </c>
      <c r="X106" s="150">
        <f t="shared" si="300"/>
        <v>-0.20867124142233315</v>
      </c>
      <c r="Y106" s="150">
        <f t="shared" si="300"/>
        <v>-0.20867124142233315</v>
      </c>
      <c r="Z106" s="150">
        <f t="shared" si="300"/>
        <v>-0.20867124142233315</v>
      </c>
      <c r="AA106" s="150">
        <f t="shared" si="300"/>
        <v>-0.20867124142233315</v>
      </c>
      <c r="AB106" s="150">
        <f t="shared" si="300"/>
        <v>-0.20867124142233315</v>
      </c>
      <c r="AC106" s="150">
        <f t="shared" si="300"/>
        <v>-0.20867124142233315</v>
      </c>
      <c r="AD106" s="150">
        <f t="shared" si="300"/>
        <v>-0.20867124142233318</v>
      </c>
      <c r="AE106" s="137">
        <f t="shared" si="297"/>
        <v>-1.9849787124142049</v>
      </c>
      <c r="AF106" s="145"/>
      <c r="AG106" s="145"/>
    </row>
    <row r="107" spans="2:33">
      <c r="B107" s="20" t="s">
        <v>357</v>
      </c>
      <c r="C107" s="150"/>
      <c r="D107" s="150"/>
      <c r="E107" s="150"/>
      <c r="F107" s="150"/>
      <c r="G107" s="150"/>
      <c r="H107" s="150">
        <f>H55/H7</f>
        <v>0.62549277266754266</v>
      </c>
      <c r="I107" s="150">
        <f t="shared" ref="I107:P107" si="301">I55/I7</f>
        <v>0.49653979238754326</v>
      </c>
      <c r="J107" s="150">
        <f t="shared" si="301"/>
        <v>0.40110905730129393</v>
      </c>
      <c r="K107" s="150">
        <f t="shared" si="301"/>
        <v>0.5226045883940621</v>
      </c>
      <c r="L107" s="150">
        <f t="shared" si="301"/>
        <v>0.42311770943796395</v>
      </c>
      <c r="M107" s="150">
        <f t="shared" si="301"/>
        <v>0.33169129720853857</v>
      </c>
      <c r="N107" s="150">
        <f t="shared" si="301"/>
        <v>0.32958626073380171</v>
      </c>
      <c r="O107" s="150">
        <f t="shared" si="301"/>
        <v>0.18262997751025267</v>
      </c>
      <c r="P107" s="150">
        <f t="shared" si="301"/>
        <v>0.1323032904148784</v>
      </c>
      <c r="Q107" s="150">
        <f t="shared" ref="Q107:R107" si="302">Q55/Q7</f>
        <v>0.14161461757615604</v>
      </c>
      <c r="R107" s="150">
        <f t="shared" si="302"/>
        <v>-0.21109976798143851</v>
      </c>
      <c r="S107" s="118">
        <f t="shared" si="295"/>
        <v>-0.12631827121835926</v>
      </c>
      <c r="T107" s="20"/>
      <c r="U107" s="150">
        <f t="shared" ref="U107" si="303">U55/U7</f>
        <v>-0.21109976798143854</v>
      </c>
      <c r="V107" s="150">
        <f t="shared" ref="V107:AD107" si="304">V55/V7</f>
        <v>-0.21109976798143851</v>
      </c>
      <c r="W107" s="150">
        <f t="shared" si="304"/>
        <v>-0.21109976798143851</v>
      </c>
      <c r="X107" s="150">
        <f t="shared" si="304"/>
        <v>-0.21109976798143851</v>
      </c>
      <c r="Y107" s="150">
        <f t="shared" si="304"/>
        <v>-0.21109976798143848</v>
      </c>
      <c r="Z107" s="150">
        <f t="shared" si="304"/>
        <v>-0.21109976798143851</v>
      </c>
      <c r="AA107" s="150">
        <f t="shared" si="304"/>
        <v>-0.21109976798143851</v>
      </c>
      <c r="AB107" s="150">
        <f t="shared" si="304"/>
        <v>-0.21109976798143851</v>
      </c>
      <c r="AC107" s="150">
        <f t="shared" si="304"/>
        <v>-0.21109976798143851</v>
      </c>
      <c r="AD107" s="150">
        <f t="shared" si="304"/>
        <v>-0.21109976798143851</v>
      </c>
      <c r="AE107" s="137">
        <f t="shared" si="297"/>
        <v>-1.9495906953144218</v>
      </c>
      <c r="AF107" s="145"/>
      <c r="AG107" s="145"/>
    </row>
    <row r="108" spans="2:33">
      <c r="B108" s="20" t="s">
        <v>358</v>
      </c>
      <c r="C108" s="150"/>
      <c r="D108" s="150"/>
      <c r="E108" s="150"/>
      <c r="F108" s="150"/>
      <c r="G108" s="150"/>
      <c r="H108" s="150">
        <f>(H55)/(H7+H10)</f>
        <v>0.6071428571428571</v>
      </c>
      <c r="I108" s="150">
        <f t="shared" ref="I108:P108" si="305">(I55)/(I7+I10)</f>
        <v>0.4922813036020583</v>
      </c>
      <c r="J108" s="150">
        <f t="shared" si="305"/>
        <v>0.40110905730129393</v>
      </c>
      <c r="K108" s="150">
        <f t="shared" si="305"/>
        <v>0.5226045883940621</v>
      </c>
      <c r="L108" s="150">
        <f t="shared" si="305"/>
        <v>0.42294637803138074</v>
      </c>
      <c r="M108" s="150">
        <f t="shared" si="305"/>
        <v>0.26587020350308799</v>
      </c>
      <c r="N108" s="150">
        <f t="shared" si="305"/>
        <v>0.306097295729718</v>
      </c>
      <c r="O108" s="150">
        <f t="shared" si="305"/>
        <v>0.14645660937831531</v>
      </c>
      <c r="P108" s="150">
        <f t="shared" si="305"/>
        <v>0.10520567892246087</v>
      </c>
      <c r="Q108" s="150">
        <f t="shared" ref="Q108:R108" si="306">(Q55)/(Q7+Q10)</f>
        <v>7.1122943151174955E-2</v>
      </c>
      <c r="R108" s="150">
        <f t="shared" si="306"/>
        <v>-9.0376668785759701E-2</v>
      </c>
      <c r="S108" s="118">
        <f t="shared" si="295"/>
        <v>-0.17711702813451602</v>
      </c>
      <c r="T108" s="20"/>
      <c r="U108" s="150">
        <f t="shared" ref="U108:AD108" si="307">(U55)/(U7+U10)</f>
        <v>-9.0376668785759701E-2</v>
      </c>
      <c r="V108" s="150">
        <f t="shared" si="307"/>
        <v>-9.0376668785759701E-2</v>
      </c>
      <c r="W108" s="150">
        <f t="shared" si="307"/>
        <v>-9.0376668785759715E-2</v>
      </c>
      <c r="X108" s="150">
        <f t="shared" si="307"/>
        <v>-9.0376668785759715E-2</v>
      </c>
      <c r="Y108" s="150">
        <f t="shared" si="307"/>
        <v>-9.0376668785759687E-2</v>
      </c>
      <c r="Z108" s="150">
        <f t="shared" si="307"/>
        <v>-9.0376668785759701E-2</v>
      </c>
      <c r="AA108" s="150">
        <f t="shared" si="307"/>
        <v>-9.0376668785759701E-2</v>
      </c>
      <c r="AB108" s="150">
        <f t="shared" si="307"/>
        <v>-9.0376668785759687E-2</v>
      </c>
      <c r="AC108" s="150">
        <f t="shared" si="307"/>
        <v>-9.0376668785759701E-2</v>
      </c>
      <c r="AD108" s="150">
        <f t="shared" si="307"/>
        <v>-9.0376668785759701E-2</v>
      </c>
      <c r="AE108" s="137">
        <f t="shared" si="297"/>
        <v>-1.9132882664991075</v>
      </c>
      <c r="AF108" s="145"/>
      <c r="AG108" s="145"/>
    </row>
    <row r="109" spans="2:33">
      <c r="B109" s="20" t="s">
        <v>374</v>
      </c>
      <c r="C109" s="150"/>
      <c r="D109" s="150"/>
      <c r="E109" s="150"/>
      <c r="F109" s="150"/>
      <c r="G109" s="150"/>
      <c r="H109" s="150">
        <f>H20/H25</f>
        <v>0.20843373493975903</v>
      </c>
      <c r="I109" s="150">
        <f t="shared" ref="I109:Q109" si="308">I20/I25</f>
        <v>0.19989801121876594</v>
      </c>
      <c r="J109" s="150">
        <f t="shared" si="308"/>
        <v>0.25749559082892415</v>
      </c>
      <c r="K109" s="150">
        <f t="shared" si="308"/>
        <v>0.33197763091001525</v>
      </c>
      <c r="L109" s="150">
        <f t="shared" si="308"/>
        <v>0.38826606875934228</v>
      </c>
      <c r="M109" s="150">
        <f t="shared" si="308"/>
        <v>0.27761607761607759</v>
      </c>
      <c r="N109" s="150">
        <f t="shared" si="308"/>
        <v>0.27408576201967699</v>
      </c>
      <c r="O109" s="150">
        <f t="shared" si="308"/>
        <v>0.16878841088674276</v>
      </c>
      <c r="P109" s="150">
        <f t="shared" si="308"/>
        <v>-4.0933802366485451E-2</v>
      </c>
      <c r="Q109" s="150">
        <f t="shared" si="308"/>
        <v>4.1181346246128341E-2</v>
      </c>
      <c r="R109" s="150">
        <f t="shared" ref="R109" si="309">R20/R25</f>
        <v>7.7795310263843523E-2</v>
      </c>
      <c r="S109" s="118">
        <f t="shared" si="295"/>
        <v>-0.13706976782623082</v>
      </c>
      <c r="T109" s="20"/>
      <c r="U109" s="150">
        <f t="shared" ref="U109:AD109" si="310">U20/U25</f>
        <v>7.7795310263843523E-2</v>
      </c>
      <c r="V109" s="150">
        <f t="shared" si="310"/>
        <v>7.7795310263843523E-2</v>
      </c>
      <c r="W109" s="150">
        <f t="shared" si="310"/>
        <v>7.7795310263843523E-2</v>
      </c>
      <c r="X109" s="150">
        <f t="shared" si="310"/>
        <v>7.7795310263843523E-2</v>
      </c>
      <c r="Y109" s="150">
        <f t="shared" si="310"/>
        <v>7.7795310263843523E-2</v>
      </c>
      <c r="Z109" s="150">
        <f t="shared" si="310"/>
        <v>7.7795310263843523E-2</v>
      </c>
      <c r="AA109" s="150">
        <f t="shared" si="310"/>
        <v>7.7795310263843523E-2</v>
      </c>
      <c r="AB109" s="150">
        <f t="shared" si="310"/>
        <v>7.7795310263843537E-2</v>
      </c>
      <c r="AC109" s="150">
        <f t="shared" si="310"/>
        <v>7.7795310263843537E-2</v>
      </c>
      <c r="AD109" s="150">
        <f t="shared" si="310"/>
        <v>7.7795310263843537E-2</v>
      </c>
      <c r="AE109" s="137">
        <f t="shared" si="297"/>
        <v>-4.584626934496272E-2</v>
      </c>
      <c r="AF109" s="145"/>
      <c r="AG109" s="145"/>
    </row>
    <row r="110" spans="2:33">
      <c r="B110" s="20" t="s">
        <v>426</v>
      </c>
      <c r="C110" s="150"/>
      <c r="D110" s="150"/>
      <c r="E110" s="150"/>
      <c r="F110" s="150"/>
      <c r="G110" s="150"/>
      <c r="H110" s="150">
        <f>H68/H25</f>
        <v>0.27831325301204818</v>
      </c>
      <c r="I110" s="150">
        <f t="shared" ref="I110:Q110" si="311">I68/I25</f>
        <v>0.26976032636409997</v>
      </c>
      <c r="J110" s="150">
        <f t="shared" si="311"/>
        <v>0.26675485008818345</v>
      </c>
      <c r="K110" s="150">
        <f t="shared" si="311"/>
        <v>0.26664972038637519</v>
      </c>
      <c r="L110" s="150">
        <f t="shared" si="311"/>
        <v>0.23486547085201795</v>
      </c>
      <c r="M110" s="150">
        <f t="shared" si="311"/>
        <v>0.17172557172557174</v>
      </c>
      <c r="N110" s="150">
        <f t="shared" si="311"/>
        <v>8.9938741414516424E-2</v>
      </c>
      <c r="O110" s="150">
        <f t="shared" si="311"/>
        <v>8.1101843722563655E-2</v>
      </c>
      <c r="P110" s="150">
        <f t="shared" si="311"/>
        <v>-0.5906619763351455</v>
      </c>
      <c r="Q110" s="150">
        <f t="shared" si="311"/>
        <v>-1.2316596140702933E-2</v>
      </c>
      <c r="R110" s="150">
        <f t="shared" ref="R110" si="312">R68/R25</f>
        <v>2.6567832373123924E-2</v>
      </c>
      <c r="S110" s="118">
        <f t="shared" si="295"/>
        <v>-1.7531910745046799</v>
      </c>
      <c r="T110" s="20"/>
      <c r="U110" s="150">
        <f t="shared" ref="U110:AD110" si="313">U68/U25</f>
        <v>2.6567832373123924E-2</v>
      </c>
      <c r="V110" s="150">
        <f t="shared" si="313"/>
        <v>2.656783237312391E-2</v>
      </c>
      <c r="W110" s="150">
        <f t="shared" si="313"/>
        <v>2.6567832373123913E-2</v>
      </c>
      <c r="X110" s="150">
        <f t="shared" si="313"/>
        <v>2.6567832373123903E-2</v>
      </c>
      <c r="Y110" s="150">
        <f t="shared" si="313"/>
        <v>2.6567832373123892E-2</v>
      </c>
      <c r="Z110" s="150">
        <f t="shared" si="313"/>
        <v>2.6567832373123889E-2</v>
      </c>
      <c r="AA110" s="150">
        <f t="shared" si="313"/>
        <v>2.6567832373123889E-2</v>
      </c>
      <c r="AB110" s="150">
        <f t="shared" si="313"/>
        <v>2.6567832373123889E-2</v>
      </c>
      <c r="AC110" s="150">
        <f t="shared" si="313"/>
        <v>2.6567832373123879E-2</v>
      </c>
      <c r="AD110" s="150">
        <f t="shared" si="313"/>
        <v>2.6567832373123886E-2</v>
      </c>
      <c r="AE110" s="137">
        <f t="shared" si="297"/>
        <v>-0.10582997628293933</v>
      </c>
      <c r="AF110" s="145"/>
      <c r="AG110" s="145"/>
    </row>
    <row r="111" spans="2:33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2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3"/>
      <c r="AF111" s="145"/>
      <c r="AG111" s="145"/>
    </row>
    <row r="112" spans="2:33">
      <c r="B112" s="20" t="s">
        <v>321</v>
      </c>
      <c r="C112" s="150"/>
      <c r="D112" s="150"/>
      <c r="E112" s="150"/>
      <c r="F112" s="150"/>
      <c r="G112" s="150"/>
      <c r="H112" s="150">
        <f>H29/H25</f>
        <v>0</v>
      </c>
      <c r="I112" s="150">
        <f t="shared" ref="I112:Q112" si="314">I29/I25</f>
        <v>0</v>
      </c>
      <c r="J112" s="150">
        <f t="shared" si="314"/>
        <v>0</v>
      </c>
      <c r="K112" s="150">
        <f t="shared" si="314"/>
        <v>0</v>
      </c>
      <c r="L112" s="150">
        <f t="shared" si="314"/>
        <v>0</v>
      </c>
      <c r="M112" s="150">
        <f t="shared" si="314"/>
        <v>0</v>
      </c>
      <c r="N112" s="150">
        <f t="shared" si="314"/>
        <v>8.0749953591980686E-3</v>
      </c>
      <c r="O112" s="150">
        <f t="shared" si="314"/>
        <v>4.7519754170324849E-2</v>
      </c>
      <c r="P112" s="150">
        <f t="shared" si="314"/>
        <v>0.15190278221937958</v>
      </c>
      <c r="Q112" s="150">
        <f t="shared" si="314"/>
        <v>7.407407407407407E-2</v>
      </c>
      <c r="R112" s="150">
        <f t="shared" ref="R112" si="315">R29/R25</f>
        <v>0.10381270412094969</v>
      </c>
      <c r="S112" s="118" t="e">
        <f t="shared" si="295"/>
        <v>#DIV/0!</v>
      </c>
      <c r="T112" s="20"/>
      <c r="U112" s="150">
        <f t="shared" ref="U112:AD112" si="316">U29/U25</f>
        <v>0.1038127041209497</v>
      </c>
      <c r="V112" s="150">
        <f t="shared" si="316"/>
        <v>0.1038127041209497</v>
      </c>
      <c r="W112" s="150">
        <f t="shared" si="316"/>
        <v>0.10381270412094969</v>
      </c>
      <c r="X112" s="150">
        <f t="shared" si="316"/>
        <v>0.1038127041209497</v>
      </c>
      <c r="Y112" s="150">
        <f t="shared" si="316"/>
        <v>0.10381270412094969</v>
      </c>
      <c r="Z112" s="150">
        <f t="shared" si="316"/>
        <v>0.10381270412094969</v>
      </c>
      <c r="AA112" s="150">
        <f t="shared" si="316"/>
        <v>0.10381270412094969</v>
      </c>
      <c r="AB112" s="150">
        <f t="shared" si="316"/>
        <v>0.1038127041209497</v>
      </c>
      <c r="AC112" s="150">
        <f t="shared" si="316"/>
        <v>0.1038127041209497</v>
      </c>
      <c r="AD112" s="150">
        <f t="shared" si="316"/>
        <v>0.10381270412094969</v>
      </c>
      <c r="AE112" s="137" t="e">
        <f t="shared" si="297"/>
        <v>#DIV/0!</v>
      </c>
      <c r="AF112" s="145"/>
      <c r="AG112" s="145"/>
    </row>
    <row r="113" spans="1:33">
      <c r="B113" s="20" t="s">
        <v>367</v>
      </c>
      <c r="C113" s="150"/>
      <c r="D113" s="150"/>
      <c r="E113" s="150"/>
      <c r="F113" s="150"/>
      <c r="G113" s="150"/>
      <c r="H113" s="150">
        <f>H29/H51</f>
        <v>0</v>
      </c>
      <c r="I113" s="150">
        <f t="shared" ref="I113:Q113" si="317">I29/I51</f>
        <v>0</v>
      </c>
      <c r="J113" s="150">
        <f t="shared" si="317"/>
        <v>0</v>
      </c>
      <c r="K113" s="150">
        <f t="shared" si="317"/>
        <v>0</v>
      </c>
      <c r="L113" s="150">
        <f t="shared" si="317"/>
        <v>0</v>
      </c>
      <c r="M113" s="150">
        <f t="shared" si="317"/>
        <v>0</v>
      </c>
      <c r="N113" s="150">
        <f t="shared" si="317"/>
        <v>1.6759776536312849E-2</v>
      </c>
      <c r="O113" s="150">
        <f t="shared" si="317"/>
        <v>0.12371428571428572</v>
      </c>
      <c r="P113" s="150">
        <f t="shared" si="317"/>
        <v>1.021505376344086</v>
      </c>
      <c r="Q113" s="150">
        <f t="shared" si="317"/>
        <v>0.25958010599266207</v>
      </c>
      <c r="R113" s="150">
        <f t="shared" ref="R113" si="318">R29/R51</f>
        <v>0.25666848121937941</v>
      </c>
      <c r="S113" s="118" t="e">
        <f t="shared" ref="S113" si="319">((Q113/H113)^(1/($I$2-$I$1) ))-1</f>
        <v>#DIV/0!</v>
      </c>
      <c r="T113" s="20"/>
      <c r="U113" s="150">
        <f t="shared" ref="U113:AD113" si="320">U29/U51</f>
        <v>0.25666848121937946</v>
      </c>
      <c r="V113" s="150">
        <f t="shared" si="320"/>
        <v>0.25666848121937946</v>
      </c>
      <c r="W113" s="150">
        <f t="shared" si="320"/>
        <v>0.25666848121937941</v>
      </c>
      <c r="X113" s="150">
        <f t="shared" si="320"/>
        <v>0.25666848121937941</v>
      </c>
      <c r="Y113" s="150">
        <f t="shared" si="320"/>
        <v>0.25666848121937941</v>
      </c>
      <c r="Z113" s="150">
        <f t="shared" si="320"/>
        <v>0.25666848121937941</v>
      </c>
      <c r="AA113" s="150">
        <f t="shared" si="320"/>
        <v>0.25666848121937941</v>
      </c>
      <c r="AB113" s="150">
        <f t="shared" si="320"/>
        <v>0.25666848121937941</v>
      </c>
      <c r="AC113" s="150">
        <f t="shared" si="320"/>
        <v>0.25666848121937941</v>
      </c>
      <c r="AD113" s="150">
        <f t="shared" si="320"/>
        <v>0.25666848121937935</v>
      </c>
      <c r="AE113" s="137" t="e">
        <f t="shared" ref="AE113" si="321">((AD113/H113)^(1/($AD$3-$I$1) ))-1</f>
        <v>#DIV/0!</v>
      </c>
      <c r="AF113" s="145"/>
      <c r="AG113" s="145"/>
    </row>
    <row r="114" spans="1:33" ht="12" customHeight="1">
      <c r="B114" s="20" t="s">
        <v>366</v>
      </c>
      <c r="C114" s="150"/>
      <c r="D114" s="150"/>
      <c r="E114" s="150"/>
      <c r="F114" s="150"/>
      <c r="G114" s="150"/>
      <c r="H114" s="169">
        <f t="shared" ref="H114:Q114" si="322">H29/H55</f>
        <v>0</v>
      </c>
      <c r="I114" s="169">
        <f t="shared" si="322"/>
        <v>0</v>
      </c>
      <c r="J114" s="169">
        <f t="shared" si="322"/>
        <v>0</v>
      </c>
      <c r="K114" s="169">
        <f t="shared" si="322"/>
        <v>0</v>
      </c>
      <c r="L114" s="169">
        <f t="shared" si="322"/>
        <v>0</v>
      </c>
      <c r="M114" s="169">
        <f t="shared" si="322"/>
        <v>0</v>
      </c>
      <c r="N114" s="169">
        <f t="shared" si="322"/>
        <v>2.0606347702510658E-2</v>
      </c>
      <c r="O114" s="169">
        <f t="shared" si="322"/>
        <v>0.15682723650851141</v>
      </c>
      <c r="P114" s="169">
        <f t="shared" si="322"/>
        <v>0.20544982698961939</v>
      </c>
      <c r="Q114" s="169">
        <f t="shared" si="322"/>
        <v>0.4926975529548312</v>
      </c>
      <c r="R114" s="169">
        <f t="shared" ref="R114" si="323">R29/R55</f>
        <v>-0.49749406489053022</v>
      </c>
      <c r="S114" s="118" t="e">
        <f t="shared" ref="S114" si="324">((Q114/H114)^(1/($I$2-$I$1) ))-1</f>
        <v>#DIV/0!</v>
      </c>
      <c r="T114" s="20"/>
      <c r="U114" s="169">
        <f t="shared" ref="U114:AD114" si="325">U29/U55</f>
        <v>-0.49749406489053022</v>
      </c>
      <c r="V114" s="169">
        <f t="shared" si="325"/>
        <v>-0.49749406489053022</v>
      </c>
      <c r="W114" s="169">
        <f t="shared" si="325"/>
        <v>-0.49749406489053016</v>
      </c>
      <c r="X114" s="169">
        <f t="shared" si="325"/>
        <v>-0.49749406489053016</v>
      </c>
      <c r="Y114" s="169">
        <f t="shared" si="325"/>
        <v>-0.49749406489053016</v>
      </c>
      <c r="Z114" s="169">
        <f t="shared" si="325"/>
        <v>-0.49749406489053011</v>
      </c>
      <c r="AA114" s="169">
        <f t="shared" si="325"/>
        <v>-0.49749406489053011</v>
      </c>
      <c r="AB114" s="169">
        <f t="shared" si="325"/>
        <v>-0.49749406489053016</v>
      </c>
      <c r="AC114" s="169">
        <f t="shared" si="325"/>
        <v>-0.49749406489053016</v>
      </c>
      <c r="AD114" s="169">
        <f t="shared" si="325"/>
        <v>-0.49749406489053005</v>
      </c>
      <c r="AE114" s="137" t="e">
        <f t="shared" ref="AE114" si="326">((AD114/H114)^(1/($AD$3-$I$1) ))-1</f>
        <v>#DIV/0!</v>
      </c>
      <c r="AF114" s="145"/>
      <c r="AG114" s="145"/>
    </row>
    <row r="115" spans="1:33" ht="12" customHeight="1">
      <c r="B115" s="20" t="s">
        <v>323</v>
      </c>
      <c r="C115" s="150"/>
      <c r="D115" s="150"/>
      <c r="E115" s="150"/>
      <c r="F115" s="150"/>
      <c r="G115" s="150"/>
      <c r="H115" s="169">
        <f t="shared" ref="H115:Q115" si="327">H29/H12</f>
        <v>0</v>
      </c>
      <c r="I115" s="169">
        <f t="shared" si="327"/>
        <v>0</v>
      </c>
      <c r="J115" s="169">
        <f t="shared" si="327"/>
        <v>0</v>
      </c>
      <c r="K115" s="169">
        <f t="shared" si="327"/>
        <v>0</v>
      </c>
      <c r="L115" s="169">
        <f t="shared" si="327"/>
        <v>0</v>
      </c>
      <c r="M115" s="169">
        <f t="shared" si="327"/>
        <v>0</v>
      </c>
      <c r="N115" s="169">
        <f t="shared" si="327"/>
        <v>9.6989966555183951E-2</v>
      </c>
      <c r="O115" s="169">
        <f t="shared" si="327"/>
        <v>4.4183673469387754</v>
      </c>
      <c r="P115" s="169">
        <f t="shared" si="327"/>
        <v>13.194444444444445</v>
      </c>
      <c r="Q115" s="169">
        <f t="shared" si="327"/>
        <v>0.66293597084851641</v>
      </c>
      <c r="R115" s="169">
        <f t="shared" ref="R115" si="328">R29/R12</f>
        <v>0.9933286516853933</v>
      </c>
      <c r="S115" s="118" t="e">
        <f t="shared" si="295"/>
        <v>#DIV/0!</v>
      </c>
      <c r="T115" s="20"/>
      <c r="U115" s="150">
        <f t="shared" ref="U115:AD115" si="329">U29/U12</f>
        <v>0.9933286516853933</v>
      </c>
      <c r="V115" s="150">
        <f t="shared" si="329"/>
        <v>0.9933286516853933</v>
      </c>
      <c r="W115" s="150">
        <f t="shared" si="329"/>
        <v>0.9933286516853933</v>
      </c>
      <c r="X115" s="150">
        <f t="shared" si="329"/>
        <v>0.9933286516853933</v>
      </c>
      <c r="Y115" s="150">
        <f t="shared" si="329"/>
        <v>0.99332865168539319</v>
      </c>
      <c r="Z115" s="150">
        <f t="shared" si="329"/>
        <v>0.99332865168539319</v>
      </c>
      <c r="AA115" s="150">
        <f t="shared" si="329"/>
        <v>0.99332865168539308</v>
      </c>
      <c r="AB115" s="150">
        <f t="shared" si="329"/>
        <v>0.99332865168539308</v>
      </c>
      <c r="AC115" s="150">
        <f t="shared" si="329"/>
        <v>0.99332865168539308</v>
      </c>
      <c r="AD115" s="150">
        <f t="shared" si="329"/>
        <v>0.99332865168539286</v>
      </c>
      <c r="AE115" s="137" t="e">
        <f t="shared" si="297"/>
        <v>#DIV/0!</v>
      </c>
      <c r="AF115" s="145"/>
      <c r="AG115" s="145"/>
    </row>
    <row r="116" spans="1:33" ht="12" customHeight="1">
      <c r="B116" s="20" t="s">
        <v>368</v>
      </c>
      <c r="C116" s="150"/>
      <c r="D116" s="150"/>
      <c r="E116" s="150"/>
      <c r="F116" s="150"/>
      <c r="G116" s="150"/>
      <c r="H116" s="169">
        <f>H29/H23</f>
        <v>0</v>
      </c>
      <c r="I116" s="169">
        <f t="shared" ref="I116:Q116" si="330">I29/I23</f>
        <v>0</v>
      </c>
      <c r="J116" s="169">
        <f t="shared" si="330"/>
        <v>0</v>
      </c>
      <c r="K116" s="169">
        <f t="shared" si="330"/>
        <v>0</v>
      </c>
      <c r="L116" s="169">
        <f t="shared" si="330"/>
        <v>0</v>
      </c>
      <c r="M116" s="169">
        <f t="shared" si="330"/>
        <v>0</v>
      </c>
      <c r="N116" s="169">
        <f t="shared" si="330"/>
        <v>0.4887640449438202</v>
      </c>
      <c r="O116" s="169">
        <f t="shared" si="330"/>
        <v>6.9279999999999999</v>
      </c>
      <c r="P116" s="169">
        <f t="shared" si="330"/>
        <v>30.546623794212216</v>
      </c>
      <c r="Q116" s="169">
        <f t="shared" si="330"/>
        <v>-23.693023255813955</v>
      </c>
      <c r="R116" s="169">
        <f t="shared" ref="R116" si="331">R29/R23</f>
        <v>-74.44736842105263</v>
      </c>
      <c r="S116" s="118" t="e">
        <f t="shared" ref="S116" si="332">((Q116/H116)^(1/($I$2-$I$1) ))-1</f>
        <v>#DIV/0!</v>
      </c>
      <c r="T116" s="20"/>
      <c r="U116" s="169">
        <f t="shared" ref="U116:AD116" si="333">U29/U23</f>
        <v>-74.447368421052644</v>
      </c>
      <c r="V116" s="169">
        <f t="shared" si="333"/>
        <v>-74.44736842105263</v>
      </c>
      <c r="W116" s="169">
        <f t="shared" si="333"/>
        <v>-74.44736842105263</v>
      </c>
      <c r="X116" s="169">
        <f t="shared" si="333"/>
        <v>-74.44736842105263</v>
      </c>
      <c r="Y116" s="169">
        <f t="shared" si="333"/>
        <v>-74.44736842105263</v>
      </c>
      <c r="Z116" s="169">
        <f t="shared" si="333"/>
        <v>-74.44736842105263</v>
      </c>
      <c r="AA116" s="169">
        <f t="shared" si="333"/>
        <v>-74.44736842105263</v>
      </c>
      <c r="AB116" s="169">
        <f t="shared" si="333"/>
        <v>-74.44736842105263</v>
      </c>
      <c r="AC116" s="169">
        <f t="shared" si="333"/>
        <v>-74.44736842105263</v>
      </c>
      <c r="AD116" s="169">
        <f t="shared" si="333"/>
        <v>-74.447368421052616</v>
      </c>
      <c r="AE116" s="137" t="e">
        <f t="shared" ref="AE116" si="334">((AD116/H116)^(1/($AD$3-$I$1) ))-1</f>
        <v>#DIV/0!</v>
      </c>
      <c r="AF116" s="145"/>
      <c r="AG116" s="145"/>
    </row>
    <row r="117" spans="1:33" ht="12" customHeight="1">
      <c r="B117" s="20"/>
      <c r="C117" s="150"/>
      <c r="D117" s="150"/>
      <c r="E117" s="150"/>
      <c r="F117" s="150"/>
      <c r="G117" s="150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2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45"/>
      <c r="AG117" s="145"/>
    </row>
    <row r="118" spans="1:33" ht="12" customHeight="1">
      <c r="B118" s="20" t="s">
        <v>400</v>
      </c>
      <c r="C118" s="150"/>
      <c r="D118" s="150"/>
      <c r="E118" s="150"/>
      <c r="F118" s="150"/>
      <c r="G118" s="150"/>
      <c r="H118" s="127" t="e">
        <f>1/H112</f>
        <v>#DIV/0!</v>
      </c>
      <c r="I118" s="127" t="e">
        <f t="shared" ref="I118:Q118" si="335">1/I112</f>
        <v>#DIV/0!</v>
      </c>
      <c r="J118" s="127" t="e">
        <f t="shared" si="335"/>
        <v>#DIV/0!</v>
      </c>
      <c r="K118" s="127" t="e">
        <f t="shared" si="335"/>
        <v>#DIV/0!</v>
      </c>
      <c r="L118" s="127" t="e">
        <f t="shared" si="335"/>
        <v>#DIV/0!</v>
      </c>
      <c r="M118" s="127" t="e">
        <f t="shared" si="335"/>
        <v>#DIV/0!</v>
      </c>
      <c r="N118" s="127">
        <f t="shared" si="335"/>
        <v>123.83908045977013</v>
      </c>
      <c r="O118" s="127">
        <f t="shared" si="335"/>
        <v>21.043879907621246</v>
      </c>
      <c r="P118" s="127">
        <f t="shared" si="335"/>
        <v>6.5831578947368428</v>
      </c>
      <c r="Q118" s="127">
        <f t="shared" si="335"/>
        <v>13.5</v>
      </c>
      <c r="R118" s="127">
        <f t="shared" ref="R118" si="336">1/R112</f>
        <v>9.6327324142806656</v>
      </c>
      <c r="S118" s="118" t="e">
        <f t="shared" si="295"/>
        <v>#DIV/0!</v>
      </c>
      <c r="T118" s="20"/>
      <c r="U118" s="127">
        <f t="shared" ref="U118:AD118" si="337">1/U112</f>
        <v>9.6327324142806638</v>
      </c>
      <c r="V118" s="127">
        <f t="shared" si="337"/>
        <v>9.6327324142806638</v>
      </c>
      <c r="W118" s="127">
        <f t="shared" si="337"/>
        <v>9.6327324142806656</v>
      </c>
      <c r="X118" s="127">
        <f t="shared" si="337"/>
        <v>9.6327324142806638</v>
      </c>
      <c r="Y118" s="127">
        <f t="shared" si="337"/>
        <v>9.6327324142806656</v>
      </c>
      <c r="Z118" s="127">
        <f t="shared" si="337"/>
        <v>9.6327324142806656</v>
      </c>
      <c r="AA118" s="127">
        <f t="shared" si="337"/>
        <v>9.6327324142806656</v>
      </c>
      <c r="AB118" s="127">
        <f t="shared" si="337"/>
        <v>9.6327324142806638</v>
      </c>
      <c r="AC118" s="127">
        <f t="shared" si="337"/>
        <v>9.6327324142806638</v>
      </c>
      <c r="AD118" s="127">
        <f t="shared" si="337"/>
        <v>9.6327324142806656</v>
      </c>
      <c r="AE118" s="137" t="e">
        <f t="shared" si="297"/>
        <v>#DIV/0!</v>
      </c>
      <c r="AF118" s="145"/>
      <c r="AG118" s="145"/>
    </row>
    <row r="119" spans="1:33" ht="12" customHeight="1">
      <c r="B119" s="20" t="s">
        <v>401</v>
      </c>
      <c r="C119" s="150"/>
      <c r="D119" s="150"/>
      <c r="E119" s="150"/>
      <c r="F119" s="150"/>
      <c r="G119" s="150"/>
      <c r="H119" s="127" t="e">
        <f t="shared" ref="H119:Q122" si="338">1/H113</f>
        <v>#DIV/0!</v>
      </c>
      <c r="I119" s="127" t="e">
        <f t="shared" si="338"/>
        <v>#DIV/0!</v>
      </c>
      <c r="J119" s="127" t="e">
        <f t="shared" si="338"/>
        <v>#DIV/0!</v>
      </c>
      <c r="K119" s="127" t="e">
        <f t="shared" si="338"/>
        <v>#DIV/0!</v>
      </c>
      <c r="L119" s="127" t="e">
        <f t="shared" si="338"/>
        <v>#DIV/0!</v>
      </c>
      <c r="M119" s="127" t="e">
        <f t="shared" si="338"/>
        <v>#DIV/0!</v>
      </c>
      <c r="N119" s="127">
        <f t="shared" si="338"/>
        <v>59.666666666666664</v>
      </c>
      <c r="O119" s="127">
        <f t="shared" si="338"/>
        <v>8.0831408775981526</v>
      </c>
      <c r="P119" s="127">
        <f t="shared" si="338"/>
        <v>0.97894736842105268</v>
      </c>
      <c r="Q119" s="127">
        <f t="shared" si="338"/>
        <v>3.852375343541421</v>
      </c>
      <c r="R119" s="127">
        <f t="shared" ref="R119" si="339">1/R113</f>
        <v>3.896076352067869</v>
      </c>
      <c r="S119" s="118" t="e">
        <f t="shared" si="295"/>
        <v>#DIV/0!</v>
      </c>
      <c r="T119" s="20"/>
      <c r="U119" s="127">
        <f t="shared" ref="U119:AD119" si="340">1/U113</f>
        <v>3.8960763520678681</v>
      </c>
      <c r="V119" s="127">
        <f t="shared" si="340"/>
        <v>3.8960763520678681</v>
      </c>
      <c r="W119" s="127">
        <f t="shared" si="340"/>
        <v>3.896076352067869</v>
      </c>
      <c r="X119" s="127">
        <f t="shared" si="340"/>
        <v>3.896076352067869</v>
      </c>
      <c r="Y119" s="127">
        <f t="shared" si="340"/>
        <v>3.896076352067869</v>
      </c>
      <c r="Z119" s="127">
        <f t="shared" si="340"/>
        <v>3.896076352067869</v>
      </c>
      <c r="AA119" s="127">
        <f t="shared" si="340"/>
        <v>3.896076352067869</v>
      </c>
      <c r="AB119" s="127">
        <f t="shared" si="340"/>
        <v>3.896076352067869</v>
      </c>
      <c r="AC119" s="127">
        <f t="shared" si="340"/>
        <v>3.896076352067869</v>
      </c>
      <c r="AD119" s="127">
        <f t="shared" si="340"/>
        <v>3.8960763520678694</v>
      </c>
      <c r="AE119" s="137" t="e">
        <f t="shared" si="297"/>
        <v>#DIV/0!</v>
      </c>
      <c r="AF119" s="145"/>
      <c r="AG119" s="145"/>
    </row>
    <row r="120" spans="1:33" ht="12" customHeight="1">
      <c r="B120" s="20" t="s">
        <v>402</v>
      </c>
      <c r="C120" s="150"/>
      <c r="D120" s="150"/>
      <c r="E120" s="150"/>
      <c r="F120" s="150"/>
      <c r="G120" s="150"/>
      <c r="H120" s="127" t="e">
        <f t="shared" si="338"/>
        <v>#DIV/0!</v>
      </c>
      <c r="I120" s="127" t="e">
        <f t="shared" si="338"/>
        <v>#DIV/0!</v>
      </c>
      <c r="J120" s="127" t="e">
        <f t="shared" si="338"/>
        <v>#DIV/0!</v>
      </c>
      <c r="K120" s="127" t="e">
        <f t="shared" si="338"/>
        <v>#DIV/0!</v>
      </c>
      <c r="L120" s="127" t="e">
        <f t="shared" si="338"/>
        <v>#DIV/0!</v>
      </c>
      <c r="M120" s="127" t="e">
        <f t="shared" si="338"/>
        <v>#DIV/0!</v>
      </c>
      <c r="N120" s="127">
        <f t="shared" si="338"/>
        <v>48.52873563218391</v>
      </c>
      <c r="O120" s="127">
        <f t="shared" si="338"/>
        <v>6.3764434180138565</v>
      </c>
      <c r="P120" s="127">
        <f t="shared" si="338"/>
        <v>4.8673684210526309</v>
      </c>
      <c r="Q120" s="127">
        <f t="shared" si="338"/>
        <v>2.0296427169218689</v>
      </c>
      <c r="R120" s="127">
        <f t="shared" ref="R120" si="341">1/R114</f>
        <v>-2.0100742311770943</v>
      </c>
      <c r="S120" s="118" t="e">
        <f t="shared" si="295"/>
        <v>#DIV/0!</v>
      </c>
      <c r="T120" s="20"/>
      <c r="U120" s="127">
        <f t="shared" ref="U120:AD120" si="342">1/U114</f>
        <v>-2.0100742311770943</v>
      </c>
      <c r="V120" s="127">
        <f t="shared" si="342"/>
        <v>-2.0100742311770943</v>
      </c>
      <c r="W120" s="127">
        <f t="shared" si="342"/>
        <v>-2.0100742311770947</v>
      </c>
      <c r="X120" s="127">
        <f t="shared" si="342"/>
        <v>-2.0100742311770947</v>
      </c>
      <c r="Y120" s="127">
        <f t="shared" si="342"/>
        <v>-2.0100742311770947</v>
      </c>
      <c r="Z120" s="127">
        <f t="shared" si="342"/>
        <v>-2.0100742311770947</v>
      </c>
      <c r="AA120" s="127">
        <f t="shared" si="342"/>
        <v>-2.0100742311770947</v>
      </c>
      <c r="AB120" s="127">
        <f t="shared" si="342"/>
        <v>-2.0100742311770947</v>
      </c>
      <c r="AC120" s="127">
        <f t="shared" si="342"/>
        <v>-2.0100742311770947</v>
      </c>
      <c r="AD120" s="127">
        <f t="shared" si="342"/>
        <v>-2.0100742311770952</v>
      </c>
      <c r="AE120" s="137" t="e">
        <f t="shared" si="297"/>
        <v>#DIV/0!</v>
      </c>
      <c r="AF120" s="145"/>
      <c r="AG120" s="145"/>
    </row>
    <row r="121" spans="1:33" ht="12" customHeight="1">
      <c r="B121" s="20" t="s">
        <v>403</v>
      </c>
      <c r="C121" s="150"/>
      <c r="D121" s="150"/>
      <c r="E121" s="150"/>
      <c r="F121" s="150"/>
      <c r="G121" s="150"/>
      <c r="H121" s="127" t="e">
        <f t="shared" si="338"/>
        <v>#DIV/0!</v>
      </c>
      <c r="I121" s="127" t="e">
        <f t="shared" si="338"/>
        <v>#DIV/0!</v>
      </c>
      <c r="J121" s="127" t="e">
        <f t="shared" si="338"/>
        <v>#DIV/0!</v>
      </c>
      <c r="K121" s="127" t="e">
        <f t="shared" si="338"/>
        <v>#DIV/0!</v>
      </c>
      <c r="L121" s="127" t="e">
        <f t="shared" si="338"/>
        <v>#DIV/0!</v>
      </c>
      <c r="M121" s="127" t="e">
        <f t="shared" si="338"/>
        <v>#DIV/0!</v>
      </c>
      <c r="N121" s="127">
        <f t="shared" si="338"/>
        <v>10.310344827586206</v>
      </c>
      <c r="O121" s="127">
        <f t="shared" si="338"/>
        <v>0.22632794457274827</v>
      </c>
      <c r="P121" s="127">
        <f t="shared" si="338"/>
        <v>7.5789473684210532E-2</v>
      </c>
      <c r="Q121" s="127">
        <f t="shared" si="338"/>
        <v>1.5084413034943069</v>
      </c>
      <c r="R121" s="127">
        <f t="shared" ref="R121" si="343">1/R115</f>
        <v>1.0067161541180629</v>
      </c>
      <c r="S121" s="118" t="e">
        <f t="shared" si="295"/>
        <v>#DIV/0!</v>
      </c>
      <c r="T121" s="20"/>
      <c r="U121" s="127">
        <f t="shared" ref="U121:AD121" si="344">1/U115</f>
        <v>1.0067161541180629</v>
      </c>
      <c r="V121" s="127">
        <f t="shared" si="344"/>
        <v>1.0067161541180629</v>
      </c>
      <c r="W121" s="127">
        <f t="shared" si="344"/>
        <v>1.0067161541180629</v>
      </c>
      <c r="X121" s="127">
        <f t="shared" si="344"/>
        <v>1.0067161541180629</v>
      </c>
      <c r="Y121" s="127">
        <f t="shared" si="344"/>
        <v>1.0067161541180629</v>
      </c>
      <c r="Z121" s="127">
        <f t="shared" si="344"/>
        <v>1.0067161541180629</v>
      </c>
      <c r="AA121" s="127">
        <f t="shared" si="344"/>
        <v>1.0067161541180631</v>
      </c>
      <c r="AB121" s="127">
        <f t="shared" si="344"/>
        <v>1.0067161541180631</v>
      </c>
      <c r="AC121" s="127">
        <f t="shared" si="344"/>
        <v>1.0067161541180631</v>
      </c>
      <c r="AD121" s="127">
        <f t="shared" si="344"/>
        <v>1.0067161541180634</v>
      </c>
      <c r="AE121" s="137" t="e">
        <f t="shared" si="297"/>
        <v>#DIV/0!</v>
      </c>
      <c r="AF121" s="145"/>
      <c r="AG121" s="145"/>
    </row>
    <row r="122" spans="1:33" ht="12" customHeight="1">
      <c r="B122" s="20" t="s">
        <v>404</v>
      </c>
      <c r="C122" s="150"/>
      <c r="D122" s="150"/>
      <c r="E122" s="150"/>
      <c r="F122" s="150"/>
      <c r="G122" s="150"/>
      <c r="H122" s="127" t="e">
        <f t="shared" si="338"/>
        <v>#DIV/0!</v>
      </c>
      <c r="I122" s="127" t="e">
        <f t="shared" si="338"/>
        <v>#DIV/0!</v>
      </c>
      <c r="J122" s="127" t="e">
        <f t="shared" si="338"/>
        <v>#DIV/0!</v>
      </c>
      <c r="K122" s="127" t="e">
        <f t="shared" si="338"/>
        <v>#DIV/0!</v>
      </c>
      <c r="L122" s="127" t="e">
        <f t="shared" si="338"/>
        <v>#DIV/0!</v>
      </c>
      <c r="M122" s="127" t="e">
        <f t="shared" si="338"/>
        <v>#DIV/0!</v>
      </c>
      <c r="N122" s="127">
        <f t="shared" si="338"/>
        <v>2.0459770114942528</v>
      </c>
      <c r="O122" s="127">
        <f t="shared" si="338"/>
        <v>0.14434180138568128</v>
      </c>
      <c r="P122" s="127">
        <f t="shared" si="338"/>
        <v>3.2736842105263161E-2</v>
      </c>
      <c r="Q122" s="127">
        <f t="shared" si="338"/>
        <v>-4.2206517471535136E-2</v>
      </c>
      <c r="R122" s="127">
        <f t="shared" ref="R122" si="345">1/R116</f>
        <v>-1.343230823612584E-2</v>
      </c>
      <c r="S122" s="118" t="e">
        <f t="shared" si="295"/>
        <v>#DIV/0!</v>
      </c>
      <c r="T122" s="20"/>
      <c r="U122" s="127">
        <f t="shared" ref="U122:AD122" si="346">1/U116</f>
        <v>-1.3432308236125838E-2</v>
      </c>
      <c r="V122" s="127">
        <f t="shared" si="346"/>
        <v>-1.343230823612584E-2</v>
      </c>
      <c r="W122" s="127">
        <f t="shared" si="346"/>
        <v>-1.343230823612584E-2</v>
      </c>
      <c r="X122" s="127">
        <f t="shared" si="346"/>
        <v>-1.343230823612584E-2</v>
      </c>
      <c r="Y122" s="127">
        <f t="shared" si="346"/>
        <v>-1.343230823612584E-2</v>
      </c>
      <c r="Z122" s="127">
        <f t="shared" si="346"/>
        <v>-1.343230823612584E-2</v>
      </c>
      <c r="AA122" s="127">
        <f t="shared" si="346"/>
        <v>-1.343230823612584E-2</v>
      </c>
      <c r="AB122" s="127">
        <f t="shared" si="346"/>
        <v>-1.343230823612584E-2</v>
      </c>
      <c r="AC122" s="127">
        <f t="shared" si="346"/>
        <v>-1.343230823612584E-2</v>
      </c>
      <c r="AD122" s="127">
        <f t="shared" si="346"/>
        <v>-1.3432308236125842E-2</v>
      </c>
      <c r="AE122" s="137" t="e">
        <f t="shared" si="297"/>
        <v>#DIV/0!</v>
      </c>
      <c r="AF122" s="145"/>
      <c r="AG122" s="145"/>
    </row>
    <row r="123" spans="1:33" ht="12" customHeight="1">
      <c r="B123" s="20"/>
      <c r="C123" s="150"/>
      <c r="D123" s="150"/>
      <c r="E123" s="150"/>
      <c r="F123" s="150"/>
      <c r="G123" s="150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2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45"/>
      <c r="AG123" s="145"/>
    </row>
    <row r="124" spans="1:33" ht="12" customHeight="1">
      <c r="A124" s="205" t="s">
        <v>482</v>
      </c>
      <c r="B124" s="200" t="s">
        <v>490</v>
      </c>
      <c r="C124" s="150"/>
      <c r="D124" s="150"/>
      <c r="E124" s="150"/>
      <c r="F124" s="150"/>
      <c r="G124" s="150"/>
      <c r="H124" s="169" t="e">
        <f t="shared" ref="H124:R124" si="347">H25/(H36+H38)</f>
        <v>#DIV/0!</v>
      </c>
      <c r="I124" s="169" t="e">
        <f t="shared" si="347"/>
        <v>#DIV/0!</v>
      </c>
      <c r="J124" s="169" t="e">
        <f t="shared" si="347"/>
        <v>#DIV/0!</v>
      </c>
      <c r="K124" s="169" t="e">
        <f t="shared" si="347"/>
        <v>#DIV/0!</v>
      </c>
      <c r="L124" s="169" t="e">
        <f t="shared" si="347"/>
        <v>#DIV/0!</v>
      </c>
      <c r="M124" s="169" t="e">
        <f t="shared" si="347"/>
        <v>#DIV/0!</v>
      </c>
      <c r="N124" s="169" t="e">
        <f t="shared" si="347"/>
        <v>#DIV/0!</v>
      </c>
      <c r="O124" s="169" t="e">
        <f t="shared" si="347"/>
        <v>#DIV/0!</v>
      </c>
      <c r="P124" s="169" t="e">
        <f t="shared" si="347"/>
        <v>#DIV/0!</v>
      </c>
      <c r="Q124" s="169" t="e">
        <f t="shared" si="347"/>
        <v>#DIV/0!</v>
      </c>
      <c r="R124" s="169" t="e">
        <f t="shared" si="347"/>
        <v>#DIV/0!</v>
      </c>
      <c r="S124" s="118" t="e">
        <f t="shared" ref="S124:S132" si="348">((Q124/H124)^(1/($I$2-$I$1) ))-1</f>
        <v>#DIV/0!</v>
      </c>
      <c r="T124" s="20"/>
      <c r="U124" s="169" t="e">
        <f t="shared" ref="U124:AD124" si="349">U25/(U36+U38)</f>
        <v>#DIV/0!</v>
      </c>
      <c r="V124" s="169" t="e">
        <f t="shared" si="349"/>
        <v>#DIV/0!</v>
      </c>
      <c r="W124" s="169" t="e">
        <f t="shared" si="349"/>
        <v>#DIV/0!</v>
      </c>
      <c r="X124" s="169" t="e">
        <f t="shared" si="349"/>
        <v>#DIV/0!</v>
      </c>
      <c r="Y124" s="169" t="e">
        <f t="shared" si="349"/>
        <v>#DIV/0!</v>
      </c>
      <c r="Z124" s="169" t="e">
        <f t="shared" si="349"/>
        <v>#DIV/0!</v>
      </c>
      <c r="AA124" s="169" t="e">
        <f t="shared" si="349"/>
        <v>#DIV/0!</v>
      </c>
      <c r="AB124" s="169" t="e">
        <f t="shared" si="349"/>
        <v>#DIV/0!</v>
      </c>
      <c r="AC124" s="169" t="e">
        <f t="shared" si="349"/>
        <v>#DIV/0!</v>
      </c>
      <c r="AD124" s="169" t="e">
        <f t="shared" si="349"/>
        <v>#DIV/0!</v>
      </c>
      <c r="AE124" s="137" t="e">
        <f t="shared" ref="AE124:AE132" si="350">((AD124/H124)^(1/($AD$3-$I$1) ))-1</f>
        <v>#DIV/0!</v>
      </c>
      <c r="AF124" s="145"/>
      <c r="AG124" s="145"/>
    </row>
    <row r="125" spans="1:33" ht="12" customHeight="1">
      <c r="A125" s="205"/>
      <c r="B125" s="200" t="s">
        <v>484</v>
      </c>
      <c r="C125" s="150"/>
      <c r="D125" s="150"/>
      <c r="E125" s="150"/>
      <c r="F125" s="150"/>
      <c r="G125" s="150"/>
      <c r="H125" s="169" t="e">
        <f t="shared" ref="H125:R125" si="351">H25/H43</f>
        <v>#DIV/0!</v>
      </c>
      <c r="I125" s="169" t="e">
        <f t="shared" si="351"/>
        <v>#DIV/0!</v>
      </c>
      <c r="J125" s="169" t="e">
        <f t="shared" si="351"/>
        <v>#DIV/0!</v>
      </c>
      <c r="K125" s="169" t="e">
        <f t="shared" si="351"/>
        <v>#DIV/0!</v>
      </c>
      <c r="L125" s="169" t="e">
        <f t="shared" si="351"/>
        <v>#DIV/0!</v>
      </c>
      <c r="M125" s="169" t="e">
        <f t="shared" si="351"/>
        <v>#DIV/0!</v>
      </c>
      <c r="N125" s="169" t="e">
        <f t="shared" si="351"/>
        <v>#DIV/0!</v>
      </c>
      <c r="O125" s="169" t="e">
        <f t="shared" si="351"/>
        <v>#DIV/0!</v>
      </c>
      <c r="P125" s="169" t="e">
        <f t="shared" si="351"/>
        <v>#DIV/0!</v>
      </c>
      <c r="Q125" s="169" t="e">
        <f t="shared" si="351"/>
        <v>#DIV/0!</v>
      </c>
      <c r="R125" s="169" t="e">
        <f t="shared" si="351"/>
        <v>#DIV/0!</v>
      </c>
      <c r="S125" s="118" t="e">
        <f t="shared" si="348"/>
        <v>#DIV/0!</v>
      </c>
      <c r="T125" s="20"/>
      <c r="U125" s="169" t="e">
        <f t="shared" ref="U125:AD125" si="352">U25/U43</f>
        <v>#DIV/0!</v>
      </c>
      <c r="V125" s="169" t="e">
        <f t="shared" si="352"/>
        <v>#DIV/0!</v>
      </c>
      <c r="W125" s="169" t="e">
        <f t="shared" si="352"/>
        <v>#DIV/0!</v>
      </c>
      <c r="X125" s="169" t="e">
        <f t="shared" si="352"/>
        <v>#DIV/0!</v>
      </c>
      <c r="Y125" s="169" t="e">
        <f t="shared" si="352"/>
        <v>#DIV/0!</v>
      </c>
      <c r="Z125" s="169" t="e">
        <f t="shared" si="352"/>
        <v>#DIV/0!</v>
      </c>
      <c r="AA125" s="169" t="e">
        <f t="shared" si="352"/>
        <v>#DIV/0!</v>
      </c>
      <c r="AB125" s="169" t="e">
        <f t="shared" si="352"/>
        <v>#DIV/0!</v>
      </c>
      <c r="AC125" s="169" t="e">
        <f t="shared" si="352"/>
        <v>#DIV/0!</v>
      </c>
      <c r="AD125" s="169" t="e">
        <f t="shared" si="352"/>
        <v>#DIV/0!</v>
      </c>
      <c r="AE125" s="137" t="e">
        <f t="shared" si="350"/>
        <v>#DIV/0!</v>
      </c>
      <c r="AF125" s="145"/>
      <c r="AG125" s="145"/>
    </row>
    <row r="126" spans="1:33" ht="12" customHeight="1">
      <c r="A126" s="205"/>
      <c r="B126" s="200" t="s">
        <v>491</v>
      </c>
      <c r="C126" s="150"/>
      <c r="D126" s="150"/>
      <c r="E126" s="150"/>
      <c r="F126" s="150"/>
      <c r="G126" s="150"/>
      <c r="H126" s="169" t="e">
        <f t="shared" ref="H126:R126" si="353">H43/(H36)</f>
        <v>#DIV/0!</v>
      </c>
      <c r="I126" s="169" t="e">
        <f t="shared" si="353"/>
        <v>#DIV/0!</v>
      </c>
      <c r="J126" s="169" t="e">
        <f t="shared" si="353"/>
        <v>#DIV/0!</v>
      </c>
      <c r="K126" s="169" t="e">
        <f t="shared" si="353"/>
        <v>#DIV/0!</v>
      </c>
      <c r="L126" s="169" t="e">
        <f t="shared" si="353"/>
        <v>#DIV/0!</v>
      </c>
      <c r="M126" s="169" t="e">
        <f t="shared" si="353"/>
        <v>#DIV/0!</v>
      </c>
      <c r="N126" s="169" t="e">
        <f t="shared" si="353"/>
        <v>#DIV/0!</v>
      </c>
      <c r="O126" s="169" t="e">
        <f t="shared" si="353"/>
        <v>#DIV/0!</v>
      </c>
      <c r="P126" s="169" t="e">
        <f t="shared" si="353"/>
        <v>#DIV/0!</v>
      </c>
      <c r="Q126" s="169" t="e">
        <f t="shared" si="353"/>
        <v>#DIV/0!</v>
      </c>
      <c r="R126" s="169" t="e">
        <f t="shared" si="353"/>
        <v>#DIV/0!</v>
      </c>
      <c r="S126" s="118" t="e">
        <f t="shared" si="348"/>
        <v>#DIV/0!</v>
      </c>
      <c r="T126" s="20"/>
      <c r="U126" s="169" t="e">
        <f t="shared" ref="U126:AD126" si="354">U43/(U36+U38)</f>
        <v>#DIV/0!</v>
      </c>
      <c r="V126" s="169" t="e">
        <f t="shared" si="354"/>
        <v>#DIV/0!</v>
      </c>
      <c r="W126" s="169" t="e">
        <f t="shared" si="354"/>
        <v>#DIV/0!</v>
      </c>
      <c r="X126" s="169" t="e">
        <f t="shared" si="354"/>
        <v>#DIV/0!</v>
      </c>
      <c r="Y126" s="169" t="e">
        <f t="shared" si="354"/>
        <v>#DIV/0!</v>
      </c>
      <c r="Z126" s="169" t="e">
        <f t="shared" si="354"/>
        <v>#DIV/0!</v>
      </c>
      <c r="AA126" s="169" t="e">
        <f t="shared" si="354"/>
        <v>#DIV/0!</v>
      </c>
      <c r="AB126" s="169" t="e">
        <f t="shared" si="354"/>
        <v>#DIV/0!</v>
      </c>
      <c r="AC126" s="169" t="e">
        <f t="shared" si="354"/>
        <v>#DIV/0!</v>
      </c>
      <c r="AD126" s="169" t="e">
        <f t="shared" si="354"/>
        <v>#DIV/0!</v>
      </c>
      <c r="AE126" s="137" t="e">
        <f t="shared" si="350"/>
        <v>#DIV/0!</v>
      </c>
      <c r="AF126" s="145"/>
      <c r="AG126" s="145"/>
    </row>
    <row r="127" spans="1:33" ht="12" customHeight="1">
      <c r="A127" s="205"/>
      <c r="B127" s="200" t="s">
        <v>488</v>
      </c>
      <c r="C127" s="150"/>
      <c r="D127" s="150"/>
      <c r="E127" s="150"/>
      <c r="F127" s="150"/>
      <c r="G127" s="150"/>
      <c r="H127" s="169" t="e">
        <f t="shared" ref="H127:R127" si="355">H43/H38</f>
        <v>#DIV/0!</v>
      </c>
      <c r="I127" s="169" t="e">
        <f t="shared" si="355"/>
        <v>#DIV/0!</v>
      </c>
      <c r="J127" s="169" t="e">
        <f t="shared" si="355"/>
        <v>#DIV/0!</v>
      </c>
      <c r="K127" s="169" t="e">
        <f t="shared" si="355"/>
        <v>#DIV/0!</v>
      </c>
      <c r="L127" s="169" t="e">
        <f t="shared" si="355"/>
        <v>#DIV/0!</v>
      </c>
      <c r="M127" s="169" t="e">
        <f t="shared" si="355"/>
        <v>#DIV/0!</v>
      </c>
      <c r="N127" s="169" t="e">
        <f t="shared" si="355"/>
        <v>#DIV/0!</v>
      </c>
      <c r="O127" s="169" t="e">
        <f t="shared" si="355"/>
        <v>#DIV/0!</v>
      </c>
      <c r="P127" s="169" t="e">
        <f t="shared" si="355"/>
        <v>#DIV/0!</v>
      </c>
      <c r="Q127" s="169" t="e">
        <f t="shared" si="355"/>
        <v>#DIV/0!</v>
      </c>
      <c r="R127" s="169" t="e">
        <f t="shared" si="355"/>
        <v>#DIV/0!</v>
      </c>
      <c r="S127" s="118" t="e">
        <f t="shared" si="348"/>
        <v>#DIV/0!</v>
      </c>
      <c r="T127" s="20"/>
      <c r="U127" s="169" t="e">
        <f t="shared" ref="U127:AD127" si="356">U43/U38</f>
        <v>#DIV/0!</v>
      </c>
      <c r="V127" s="169" t="e">
        <f t="shared" si="356"/>
        <v>#DIV/0!</v>
      </c>
      <c r="W127" s="169" t="e">
        <f t="shared" si="356"/>
        <v>#DIV/0!</v>
      </c>
      <c r="X127" s="169" t="e">
        <f t="shared" si="356"/>
        <v>#DIV/0!</v>
      </c>
      <c r="Y127" s="169" t="e">
        <f t="shared" si="356"/>
        <v>#DIV/0!</v>
      </c>
      <c r="Z127" s="169" t="e">
        <f t="shared" si="356"/>
        <v>#DIV/0!</v>
      </c>
      <c r="AA127" s="169" t="e">
        <f t="shared" si="356"/>
        <v>#DIV/0!</v>
      </c>
      <c r="AB127" s="169" t="e">
        <f t="shared" si="356"/>
        <v>#DIV/0!</v>
      </c>
      <c r="AC127" s="169" t="e">
        <f t="shared" si="356"/>
        <v>#DIV/0!</v>
      </c>
      <c r="AD127" s="169" t="e">
        <f t="shared" si="356"/>
        <v>#DIV/0!</v>
      </c>
      <c r="AE127" s="137" t="e">
        <f t="shared" si="350"/>
        <v>#DIV/0!</v>
      </c>
      <c r="AF127" s="145"/>
      <c r="AG127" s="145"/>
    </row>
    <row r="128" spans="1:33" ht="12" customHeight="1">
      <c r="A128" s="205"/>
      <c r="B128" s="200" t="s">
        <v>487</v>
      </c>
      <c r="C128" s="150"/>
      <c r="D128" s="150"/>
      <c r="E128" s="150"/>
      <c r="F128" s="150"/>
      <c r="G128" s="150"/>
      <c r="H128" s="169" t="e">
        <f t="shared" ref="H128:R128" si="357">H43/(H36+H38)</f>
        <v>#DIV/0!</v>
      </c>
      <c r="I128" s="169" t="e">
        <f t="shared" si="357"/>
        <v>#DIV/0!</v>
      </c>
      <c r="J128" s="169" t="e">
        <f t="shared" si="357"/>
        <v>#DIV/0!</v>
      </c>
      <c r="K128" s="169" t="e">
        <f t="shared" si="357"/>
        <v>#DIV/0!</v>
      </c>
      <c r="L128" s="169" t="e">
        <f t="shared" si="357"/>
        <v>#DIV/0!</v>
      </c>
      <c r="M128" s="169" t="e">
        <f t="shared" si="357"/>
        <v>#DIV/0!</v>
      </c>
      <c r="N128" s="169" t="e">
        <f t="shared" si="357"/>
        <v>#DIV/0!</v>
      </c>
      <c r="O128" s="169" t="e">
        <f t="shared" si="357"/>
        <v>#DIV/0!</v>
      </c>
      <c r="P128" s="169" t="e">
        <f t="shared" si="357"/>
        <v>#DIV/0!</v>
      </c>
      <c r="Q128" s="169" t="e">
        <f t="shared" si="357"/>
        <v>#DIV/0!</v>
      </c>
      <c r="R128" s="169" t="e">
        <f t="shared" si="357"/>
        <v>#DIV/0!</v>
      </c>
      <c r="S128" s="118" t="e">
        <f>((Q128/H128)^(1/($I$2-$I$1) ))-1</f>
        <v>#DIV/0!</v>
      </c>
      <c r="T128" s="20"/>
      <c r="U128" s="169" t="e">
        <f t="shared" ref="U128:AD128" si="358">U43/(U36+U38)</f>
        <v>#DIV/0!</v>
      </c>
      <c r="V128" s="169" t="e">
        <f t="shared" si="358"/>
        <v>#DIV/0!</v>
      </c>
      <c r="W128" s="169" t="e">
        <f t="shared" si="358"/>
        <v>#DIV/0!</v>
      </c>
      <c r="X128" s="169" t="e">
        <f t="shared" si="358"/>
        <v>#DIV/0!</v>
      </c>
      <c r="Y128" s="169" t="e">
        <f t="shared" si="358"/>
        <v>#DIV/0!</v>
      </c>
      <c r="Z128" s="169" t="e">
        <f t="shared" si="358"/>
        <v>#DIV/0!</v>
      </c>
      <c r="AA128" s="169" t="e">
        <f t="shared" si="358"/>
        <v>#DIV/0!</v>
      </c>
      <c r="AB128" s="169" t="e">
        <f t="shared" si="358"/>
        <v>#DIV/0!</v>
      </c>
      <c r="AC128" s="169" t="e">
        <f t="shared" si="358"/>
        <v>#DIV/0!</v>
      </c>
      <c r="AD128" s="169" t="e">
        <f t="shared" si="358"/>
        <v>#DIV/0!</v>
      </c>
      <c r="AE128" s="137" t="e">
        <f>((AD128/H128)^(1/($AD$3-$I$1) ))-1</f>
        <v>#DIV/0!</v>
      </c>
      <c r="AF128" s="145"/>
      <c r="AG128" s="145"/>
    </row>
    <row r="129" spans="1:33" ht="12" customHeight="1">
      <c r="A129" s="205"/>
      <c r="B129" s="200" t="s">
        <v>494</v>
      </c>
      <c r="C129" s="150"/>
      <c r="D129" s="150"/>
      <c r="E129" s="150"/>
      <c r="F129" s="150"/>
      <c r="G129" s="150"/>
      <c r="H129" s="169">
        <f t="shared" ref="H129:R129" si="359">H47/H25</f>
        <v>0</v>
      </c>
      <c r="I129" s="169">
        <f t="shared" si="359"/>
        <v>0</v>
      </c>
      <c r="J129" s="169">
        <f t="shared" si="359"/>
        <v>0</v>
      </c>
      <c r="K129" s="169">
        <f t="shared" si="359"/>
        <v>0</v>
      </c>
      <c r="L129" s="169">
        <f t="shared" si="359"/>
        <v>0</v>
      </c>
      <c r="M129" s="169">
        <f t="shared" si="359"/>
        <v>0</v>
      </c>
      <c r="N129" s="169">
        <f t="shared" si="359"/>
        <v>0</v>
      </c>
      <c r="O129" s="169">
        <f t="shared" si="359"/>
        <v>0</v>
      </c>
      <c r="P129" s="169">
        <f t="shared" si="359"/>
        <v>0</v>
      </c>
      <c r="Q129" s="169">
        <f t="shared" si="359"/>
        <v>0</v>
      </c>
      <c r="R129" s="169">
        <f t="shared" si="359"/>
        <v>0</v>
      </c>
      <c r="S129" s="118" t="e">
        <f>((Q129/H129)^(1/($I$2-$I$1) ))-1</f>
        <v>#DIV/0!</v>
      </c>
      <c r="T129" s="20"/>
      <c r="U129" s="169">
        <f t="shared" ref="U129:AD129" si="360">U47/U25</f>
        <v>0</v>
      </c>
      <c r="V129" s="169">
        <f t="shared" si="360"/>
        <v>0</v>
      </c>
      <c r="W129" s="169">
        <f t="shared" si="360"/>
        <v>0</v>
      </c>
      <c r="X129" s="169">
        <f t="shared" si="360"/>
        <v>0</v>
      </c>
      <c r="Y129" s="169">
        <f t="shared" si="360"/>
        <v>0</v>
      </c>
      <c r="Z129" s="169">
        <f t="shared" si="360"/>
        <v>0</v>
      </c>
      <c r="AA129" s="169">
        <f t="shared" si="360"/>
        <v>0</v>
      </c>
      <c r="AB129" s="169">
        <f t="shared" si="360"/>
        <v>0</v>
      </c>
      <c r="AC129" s="169">
        <f t="shared" si="360"/>
        <v>0</v>
      </c>
      <c r="AD129" s="169">
        <f t="shared" si="360"/>
        <v>0</v>
      </c>
      <c r="AE129" s="137" t="e">
        <f>((AD129/H129)^(1/($AD$3-$I$1) ))-1</f>
        <v>#DIV/0!</v>
      </c>
      <c r="AF129" s="145"/>
      <c r="AG129" s="145"/>
    </row>
    <row r="130" spans="1:33" ht="12" customHeight="1">
      <c r="A130" s="205"/>
      <c r="B130" s="200" t="s">
        <v>492</v>
      </c>
      <c r="C130" s="150"/>
      <c r="D130" s="150"/>
      <c r="E130" s="150"/>
      <c r="F130" s="150"/>
      <c r="G130" s="150"/>
      <c r="H130" s="204" t="e">
        <f t="shared" ref="H130:R130" si="361">H55/H49</f>
        <v>#DIV/0!</v>
      </c>
      <c r="I130" s="204" t="e">
        <f t="shared" si="361"/>
        <v>#DIV/0!</v>
      </c>
      <c r="J130" s="204" t="e">
        <f t="shared" si="361"/>
        <v>#DIV/0!</v>
      </c>
      <c r="K130" s="204" t="e">
        <f t="shared" si="361"/>
        <v>#DIV/0!</v>
      </c>
      <c r="L130" s="204" t="e">
        <f t="shared" si="361"/>
        <v>#DIV/0!</v>
      </c>
      <c r="M130" s="204" t="e">
        <f t="shared" si="361"/>
        <v>#DIV/0!</v>
      </c>
      <c r="N130" s="204" t="e">
        <f t="shared" si="361"/>
        <v>#DIV/0!</v>
      </c>
      <c r="O130" s="204" t="e">
        <f t="shared" si="361"/>
        <v>#DIV/0!</v>
      </c>
      <c r="P130" s="204" t="e">
        <f t="shared" si="361"/>
        <v>#DIV/0!</v>
      </c>
      <c r="Q130" s="204" t="e">
        <f t="shared" si="361"/>
        <v>#DIV/0!</v>
      </c>
      <c r="R130" s="204" t="e">
        <f t="shared" si="361"/>
        <v>#DIV/0!</v>
      </c>
      <c r="S130" s="118" t="e">
        <f>((Q130/H130)^(1/($I$2-$I$1) ))-1</f>
        <v>#DIV/0!</v>
      </c>
      <c r="T130" s="20"/>
      <c r="U130" s="204" t="e">
        <f t="shared" ref="U130:AD130" si="362">U55/U49</f>
        <v>#DIV/0!</v>
      </c>
      <c r="V130" s="204" t="e">
        <f t="shared" si="362"/>
        <v>#DIV/0!</v>
      </c>
      <c r="W130" s="204" t="e">
        <f t="shared" si="362"/>
        <v>#DIV/0!</v>
      </c>
      <c r="X130" s="204" t="e">
        <f t="shared" si="362"/>
        <v>#DIV/0!</v>
      </c>
      <c r="Y130" s="204" t="e">
        <f t="shared" si="362"/>
        <v>#DIV/0!</v>
      </c>
      <c r="Z130" s="204" t="e">
        <f t="shared" si="362"/>
        <v>#DIV/0!</v>
      </c>
      <c r="AA130" s="204" t="e">
        <f t="shared" si="362"/>
        <v>#DIV/0!</v>
      </c>
      <c r="AB130" s="204" t="e">
        <f t="shared" si="362"/>
        <v>#DIV/0!</v>
      </c>
      <c r="AC130" s="204" t="e">
        <f t="shared" si="362"/>
        <v>#DIV/0!</v>
      </c>
      <c r="AD130" s="204" t="e">
        <f t="shared" si="362"/>
        <v>#DIV/0!</v>
      </c>
      <c r="AE130" s="137" t="e">
        <f>((AD130/H130)^(1/($AD$3-$I$1) ))-1</f>
        <v>#DIV/0!</v>
      </c>
      <c r="AF130" s="145"/>
      <c r="AG130" s="145"/>
    </row>
    <row r="131" spans="1:33" ht="12" customHeight="1">
      <c r="A131" s="205"/>
      <c r="B131" s="200" t="s">
        <v>485</v>
      </c>
      <c r="C131" s="150"/>
      <c r="D131" s="150"/>
      <c r="E131" s="150"/>
      <c r="F131" s="150"/>
      <c r="G131" s="150"/>
      <c r="H131" s="169" t="e">
        <f t="shared" ref="H131:R131" si="363">H55/H43</f>
        <v>#DIV/0!</v>
      </c>
      <c r="I131" s="169" t="e">
        <f t="shared" si="363"/>
        <v>#DIV/0!</v>
      </c>
      <c r="J131" s="169" t="e">
        <f t="shared" si="363"/>
        <v>#DIV/0!</v>
      </c>
      <c r="K131" s="169" t="e">
        <f t="shared" si="363"/>
        <v>#DIV/0!</v>
      </c>
      <c r="L131" s="169" t="e">
        <f t="shared" si="363"/>
        <v>#DIV/0!</v>
      </c>
      <c r="M131" s="169" t="e">
        <f t="shared" si="363"/>
        <v>#DIV/0!</v>
      </c>
      <c r="N131" s="169" t="e">
        <f t="shared" si="363"/>
        <v>#DIV/0!</v>
      </c>
      <c r="O131" s="169" t="e">
        <f t="shared" si="363"/>
        <v>#DIV/0!</v>
      </c>
      <c r="P131" s="169" t="e">
        <f t="shared" si="363"/>
        <v>#DIV/0!</v>
      </c>
      <c r="Q131" s="169" t="e">
        <f t="shared" si="363"/>
        <v>#DIV/0!</v>
      </c>
      <c r="R131" s="169" t="e">
        <f t="shared" si="363"/>
        <v>#DIV/0!</v>
      </c>
      <c r="S131" s="118" t="e">
        <f t="shared" si="348"/>
        <v>#DIV/0!</v>
      </c>
      <c r="T131" s="20"/>
      <c r="U131" s="169" t="e">
        <f t="shared" ref="U131:AD131" si="364">U55/U43</f>
        <v>#DIV/0!</v>
      </c>
      <c r="V131" s="169" t="e">
        <f t="shared" si="364"/>
        <v>#DIV/0!</v>
      </c>
      <c r="W131" s="169" t="e">
        <f t="shared" si="364"/>
        <v>#DIV/0!</v>
      </c>
      <c r="X131" s="169" t="e">
        <f t="shared" si="364"/>
        <v>#DIV/0!</v>
      </c>
      <c r="Y131" s="169" t="e">
        <f t="shared" si="364"/>
        <v>#DIV/0!</v>
      </c>
      <c r="Z131" s="169" t="e">
        <f t="shared" si="364"/>
        <v>#DIV/0!</v>
      </c>
      <c r="AA131" s="169" t="e">
        <f t="shared" si="364"/>
        <v>#DIV/0!</v>
      </c>
      <c r="AB131" s="169" t="e">
        <f t="shared" si="364"/>
        <v>#DIV/0!</v>
      </c>
      <c r="AC131" s="169" t="e">
        <f t="shared" si="364"/>
        <v>#DIV/0!</v>
      </c>
      <c r="AD131" s="169" t="e">
        <f t="shared" si="364"/>
        <v>#DIV/0!</v>
      </c>
      <c r="AE131" s="137" t="e">
        <f t="shared" si="350"/>
        <v>#DIV/0!</v>
      </c>
      <c r="AF131" s="145"/>
      <c r="AG131" s="145"/>
    </row>
    <row r="132" spans="1:33" ht="12" customHeight="1">
      <c r="A132" s="205"/>
      <c r="B132" s="200" t="s">
        <v>486</v>
      </c>
      <c r="C132" s="150"/>
      <c r="D132" s="150"/>
      <c r="E132" s="150"/>
      <c r="F132" s="150"/>
      <c r="G132" s="150"/>
      <c r="H132" s="169" t="e">
        <f t="shared" ref="H132:R132" si="365">H55/(H36+H38)</f>
        <v>#DIV/0!</v>
      </c>
      <c r="I132" s="169" t="e">
        <f t="shared" si="365"/>
        <v>#DIV/0!</v>
      </c>
      <c r="J132" s="169" t="e">
        <f t="shared" si="365"/>
        <v>#DIV/0!</v>
      </c>
      <c r="K132" s="169" t="e">
        <f t="shared" si="365"/>
        <v>#DIV/0!</v>
      </c>
      <c r="L132" s="169" t="e">
        <f t="shared" si="365"/>
        <v>#DIV/0!</v>
      </c>
      <c r="M132" s="169" t="e">
        <f t="shared" si="365"/>
        <v>#DIV/0!</v>
      </c>
      <c r="N132" s="169" t="e">
        <f t="shared" si="365"/>
        <v>#DIV/0!</v>
      </c>
      <c r="O132" s="169" t="e">
        <f t="shared" si="365"/>
        <v>#DIV/0!</v>
      </c>
      <c r="P132" s="169" t="e">
        <f t="shared" si="365"/>
        <v>#DIV/0!</v>
      </c>
      <c r="Q132" s="169" t="e">
        <f t="shared" si="365"/>
        <v>#DIV/0!</v>
      </c>
      <c r="R132" s="169" t="e">
        <f t="shared" si="365"/>
        <v>#DIV/0!</v>
      </c>
      <c r="S132" s="118" t="e">
        <f t="shared" si="348"/>
        <v>#DIV/0!</v>
      </c>
      <c r="T132" s="20"/>
      <c r="U132" s="169" t="e">
        <f t="shared" ref="U132:AD132" si="366">U55/(U36+U38)</f>
        <v>#DIV/0!</v>
      </c>
      <c r="V132" s="169" t="e">
        <f t="shared" si="366"/>
        <v>#DIV/0!</v>
      </c>
      <c r="W132" s="169" t="e">
        <f t="shared" si="366"/>
        <v>#DIV/0!</v>
      </c>
      <c r="X132" s="169" t="e">
        <f t="shared" si="366"/>
        <v>#DIV/0!</v>
      </c>
      <c r="Y132" s="169" t="e">
        <f t="shared" si="366"/>
        <v>#DIV/0!</v>
      </c>
      <c r="Z132" s="169" t="e">
        <f t="shared" si="366"/>
        <v>#DIV/0!</v>
      </c>
      <c r="AA132" s="169" t="e">
        <f t="shared" si="366"/>
        <v>#DIV/0!</v>
      </c>
      <c r="AB132" s="169" t="e">
        <f t="shared" si="366"/>
        <v>#DIV/0!</v>
      </c>
      <c r="AC132" s="169" t="e">
        <f t="shared" si="366"/>
        <v>#DIV/0!</v>
      </c>
      <c r="AD132" s="169" t="e">
        <f t="shared" si="366"/>
        <v>#DIV/0!</v>
      </c>
      <c r="AE132" s="137" t="e">
        <f t="shared" si="350"/>
        <v>#DIV/0!</v>
      </c>
      <c r="AF132" s="145"/>
      <c r="AG132" s="145"/>
    </row>
    <row r="133" spans="1:33" ht="12" customHeight="1">
      <c r="B133" s="20"/>
      <c r="C133" s="150"/>
      <c r="D133" s="150"/>
      <c r="E133" s="150"/>
      <c r="F133" s="150"/>
      <c r="G133" s="150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2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202"/>
      <c r="AF133" s="145"/>
      <c r="AG133" s="145"/>
    </row>
    <row r="134" spans="1:33">
      <c r="B134" s="20" t="s">
        <v>324</v>
      </c>
      <c r="C134" s="150"/>
      <c r="D134" s="150"/>
      <c r="E134" s="150"/>
      <c r="F134" s="150"/>
      <c r="G134" s="161"/>
      <c r="H134" s="161">
        <f t="shared" ref="H134:R134" si="367">H10-(H12+H13)</f>
        <v>-298</v>
      </c>
      <c r="I134" s="161">
        <f t="shared" si="367"/>
        <v>-501</v>
      </c>
      <c r="J134" s="161">
        <f t="shared" si="367"/>
        <v>-866</v>
      </c>
      <c r="K134" s="161">
        <f t="shared" si="367"/>
        <v>-2072</v>
      </c>
      <c r="L134" s="161">
        <f t="shared" si="367"/>
        <v>-3140.81</v>
      </c>
      <c r="M134" s="161">
        <f t="shared" si="367"/>
        <v>-4995.13</v>
      </c>
      <c r="N134" s="161">
        <f t="shared" si="367"/>
        <v>-8713</v>
      </c>
      <c r="O134" s="161">
        <f t="shared" si="367"/>
        <v>-10530</v>
      </c>
      <c r="P134" s="161">
        <f t="shared" si="367"/>
        <v>-11593</v>
      </c>
      <c r="Q134" s="161">
        <f t="shared" si="367"/>
        <v>26767</v>
      </c>
      <c r="R134" s="161">
        <f t="shared" si="367"/>
        <v>26663</v>
      </c>
      <c r="S134" s="118">
        <f t="shared" si="295"/>
        <v>-2.5051518344904267</v>
      </c>
      <c r="T134" s="20"/>
      <c r="U134" s="161">
        <f t="shared" ref="U134:AD134" si="368">U10-(U12+U13)</f>
        <v>29862.559999999998</v>
      </c>
      <c r="V134" s="161">
        <f t="shared" si="368"/>
        <v>33446.067199999998</v>
      </c>
      <c r="W134" s="161">
        <f t="shared" si="368"/>
        <v>37459.595263999996</v>
      </c>
      <c r="X134" s="161">
        <f t="shared" si="368"/>
        <v>41954.746695680005</v>
      </c>
      <c r="Y134" s="161">
        <f t="shared" si="368"/>
        <v>46989.316299161612</v>
      </c>
      <c r="Z134" s="161">
        <f t="shared" si="368"/>
        <v>52628.034255060993</v>
      </c>
      <c r="AA134" s="161">
        <f t="shared" si="368"/>
        <v>58943.398365668312</v>
      </c>
      <c r="AB134" s="161">
        <f t="shared" si="368"/>
        <v>66016.606169548526</v>
      </c>
      <c r="AC134" s="161">
        <f t="shared" si="368"/>
        <v>73938.598909894354</v>
      </c>
      <c r="AD134" s="161">
        <f t="shared" si="368"/>
        <v>82811.230779081699</v>
      </c>
      <c r="AE134" s="137">
        <f t="shared" si="297"/>
        <v>-2.3072989235820316</v>
      </c>
      <c r="AF134" s="145"/>
      <c r="AG134" s="145"/>
    </row>
    <row r="135" spans="1:33" ht="12" customHeight="1">
      <c r="B135" s="20" t="s">
        <v>319</v>
      </c>
      <c r="C135" s="20"/>
      <c r="D135" s="20"/>
      <c r="E135" s="20"/>
      <c r="F135" s="20"/>
      <c r="G135" s="20"/>
      <c r="H135" s="150">
        <f t="shared" ref="H135:R135" si="369">H55/H18</f>
        <v>1.4875</v>
      </c>
      <c r="I135" s="150">
        <f t="shared" si="369"/>
        <v>1.663768115942029</v>
      </c>
      <c r="J135" s="150">
        <f t="shared" si="369"/>
        <v>1.4152173913043478</v>
      </c>
      <c r="K135" s="150">
        <f t="shared" si="369"/>
        <v>3.2542016806722689</v>
      </c>
      <c r="L135" s="150">
        <f t="shared" si="369"/>
        <v>3.6672794117647061</v>
      </c>
      <c r="M135" s="150">
        <f t="shared" si="369"/>
        <v>1.2068014705882353</v>
      </c>
      <c r="N135" s="150">
        <f t="shared" si="369"/>
        <v>1.7482401656314699</v>
      </c>
      <c r="O135" s="150">
        <f t="shared" si="369"/>
        <v>0.83489567583912916</v>
      </c>
      <c r="P135" s="150">
        <f t="shared" si="369"/>
        <v>0.55899419729206967</v>
      </c>
      <c r="Q135" s="150">
        <f t="shared" si="369"/>
        <v>0.1185597156126369</v>
      </c>
      <c r="R135" s="150">
        <f t="shared" si="369"/>
        <v>-0.16222345842783173</v>
      </c>
      <c r="S135" s="118">
        <f t="shared" si="295"/>
        <v>-0.20542561336905918</v>
      </c>
      <c r="T135" s="20"/>
      <c r="U135" s="150">
        <f t="shared" ref="U135:AD135" si="370">U55/U18</f>
        <v>-0.16222345842783176</v>
      </c>
      <c r="V135" s="150">
        <f t="shared" si="370"/>
        <v>-0.16222345842783173</v>
      </c>
      <c r="W135" s="150">
        <f t="shared" si="370"/>
        <v>-0.16222345842783173</v>
      </c>
      <c r="X135" s="150">
        <f t="shared" si="370"/>
        <v>-0.16222345842783173</v>
      </c>
      <c r="Y135" s="150">
        <f t="shared" si="370"/>
        <v>-0.16222345842783173</v>
      </c>
      <c r="Z135" s="150">
        <f t="shared" si="370"/>
        <v>-0.16222345842783173</v>
      </c>
      <c r="AA135" s="150">
        <f t="shared" si="370"/>
        <v>-0.16222345842783173</v>
      </c>
      <c r="AB135" s="150">
        <f t="shared" si="370"/>
        <v>-0.16222345842783173</v>
      </c>
      <c r="AC135" s="150">
        <f t="shared" si="370"/>
        <v>-0.1622234584278317</v>
      </c>
      <c r="AD135" s="150">
        <f t="shared" si="370"/>
        <v>-0.16222345842783173</v>
      </c>
      <c r="AE135" s="137">
        <f t="shared" si="297"/>
        <v>-1.8998583018348452</v>
      </c>
      <c r="AF135" s="20"/>
      <c r="AG135" s="20"/>
    </row>
    <row r="136" spans="1:33">
      <c r="B136" s="20" t="s">
        <v>320</v>
      </c>
      <c r="C136" s="20"/>
      <c r="D136" s="20"/>
      <c r="E136" s="20"/>
      <c r="F136" s="20"/>
      <c r="G136" s="20"/>
      <c r="H136" s="150">
        <f t="shared" ref="H136:R136" si="371">H55/H25</f>
        <v>0.28674698795180725</v>
      </c>
      <c r="I136" s="150">
        <f t="shared" si="371"/>
        <v>0.29270780214176439</v>
      </c>
      <c r="J136" s="150">
        <f t="shared" si="371"/>
        <v>0.28703703703703703</v>
      </c>
      <c r="K136" s="150">
        <f t="shared" si="371"/>
        <v>0.39374682257244537</v>
      </c>
      <c r="L136" s="150">
        <f t="shared" si="371"/>
        <v>0.37275784753363228</v>
      </c>
      <c r="M136" s="150">
        <f t="shared" si="371"/>
        <v>0.36396396396396397</v>
      </c>
      <c r="N136" s="150">
        <f t="shared" si="371"/>
        <v>0.39186931501763506</v>
      </c>
      <c r="O136" s="150">
        <f t="shared" si="371"/>
        <v>0.30300702370500437</v>
      </c>
      <c r="P136" s="150">
        <f t="shared" si="371"/>
        <v>0.73936680524464338</v>
      </c>
      <c r="Q136" s="150">
        <f t="shared" si="371"/>
        <v>0.15034390495717548</v>
      </c>
      <c r="R136" s="150">
        <f t="shared" si="371"/>
        <v>-0.20867124142233312</v>
      </c>
      <c r="S136" s="118">
        <f t="shared" si="295"/>
        <v>-5.7008223133530711E-2</v>
      </c>
      <c r="T136" s="20"/>
      <c r="U136" s="150">
        <f t="shared" ref="U136:AD136" si="372">U55/U25</f>
        <v>-0.20867124142233315</v>
      </c>
      <c r="V136" s="150">
        <f t="shared" si="372"/>
        <v>-0.20867124142233312</v>
      </c>
      <c r="W136" s="150">
        <f t="shared" si="372"/>
        <v>-0.20867124142233315</v>
      </c>
      <c r="X136" s="150">
        <f t="shared" si="372"/>
        <v>-0.20867124142233315</v>
      </c>
      <c r="Y136" s="150">
        <f t="shared" si="372"/>
        <v>-0.20867124142233315</v>
      </c>
      <c r="Z136" s="150">
        <f t="shared" si="372"/>
        <v>-0.20867124142233315</v>
      </c>
      <c r="AA136" s="150">
        <f t="shared" si="372"/>
        <v>-0.20867124142233315</v>
      </c>
      <c r="AB136" s="150">
        <f t="shared" si="372"/>
        <v>-0.20867124142233315</v>
      </c>
      <c r="AC136" s="150">
        <f t="shared" si="372"/>
        <v>-0.20867124142233315</v>
      </c>
      <c r="AD136" s="150">
        <f t="shared" si="372"/>
        <v>-0.20867124142233318</v>
      </c>
      <c r="AE136" s="137">
        <f t="shared" si="297"/>
        <v>-1.9849787124142049</v>
      </c>
      <c r="AF136" s="20"/>
      <c r="AG136" s="20"/>
    </row>
    <row r="137" spans="1:33">
      <c r="B137" s="20" t="s">
        <v>346</v>
      </c>
      <c r="C137" s="20"/>
      <c r="D137" s="20"/>
      <c r="E137" s="150"/>
      <c r="F137" s="150"/>
      <c r="G137" s="150"/>
      <c r="H137" s="150">
        <f t="shared" ref="H137:R137" si="373">H25/H18</f>
        <v>5.1875</v>
      </c>
      <c r="I137" s="150">
        <f t="shared" si="373"/>
        <v>5.6840579710144929</v>
      </c>
      <c r="J137" s="150">
        <f t="shared" si="373"/>
        <v>4.9304347826086961</v>
      </c>
      <c r="K137" s="150">
        <f t="shared" si="373"/>
        <v>8.264705882352942</v>
      </c>
      <c r="L137" s="150">
        <f t="shared" si="373"/>
        <v>9.8382352941176467</v>
      </c>
      <c r="M137" s="150">
        <f t="shared" si="373"/>
        <v>3.3157169117647061</v>
      </c>
      <c r="N137" s="150">
        <f t="shared" si="373"/>
        <v>4.4612836438923393</v>
      </c>
      <c r="O137" s="150">
        <f t="shared" si="373"/>
        <v>2.7553674024795889</v>
      </c>
      <c r="P137" s="150">
        <f t="shared" si="373"/>
        <v>0.75604448742746611</v>
      </c>
      <c r="Q137" s="150">
        <f t="shared" si="373"/>
        <v>0.78859010377845307</v>
      </c>
      <c r="R137" s="150">
        <f t="shared" si="373"/>
        <v>0.77741167073188122</v>
      </c>
      <c r="S137" s="118">
        <f t="shared" si="295"/>
        <v>-0.15738990930410302</v>
      </c>
      <c r="T137" s="20"/>
      <c r="U137" s="150">
        <f t="shared" ref="U137:AD137" si="374">U25/U18</f>
        <v>0.77741167073188122</v>
      </c>
      <c r="V137" s="150">
        <f t="shared" si="374"/>
        <v>0.77741167073188122</v>
      </c>
      <c r="W137" s="150">
        <f t="shared" si="374"/>
        <v>0.77741167073188122</v>
      </c>
      <c r="X137" s="150">
        <f t="shared" si="374"/>
        <v>0.77741167073188111</v>
      </c>
      <c r="Y137" s="150">
        <f t="shared" si="374"/>
        <v>0.77741167073188122</v>
      </c>
      <c r="Z137" s="150">
        <f t="shared" si="374"/>
        <v>0.77741167073188111</v>
      </c>
      <c r="AA137" s="150">
        <f t="shared" si="374"/>
        <v>0.77741167073188111</v>
      </c>
      <c r="AB137" s="150">
        <f t="shared" si="374"/>
        <v>0.777411670731881</v>
      </c>
      <c r="AC137" s="150">
        <f t="shared" si="374"/>
        <v>0.777411670731881</v>
      </c>
      <c r="AD137" s="150">
        <f t="shared" si="374"/>
        <v>0.777411670731881</v>
      </c>
      <c r="AE137" s="137">
        <f t="shared" si="297"/>
        <v>-8.6418528143341833E-2</v>
      </c>
      <c r="AF137" s="20"/>
      <c r="AG137" s="20"/>
    </row>
    <row r="138" spans="1:33">
      <c r="B138" s="20"/>
      <c r="C138" s="20"/>
      <c r="D138" s="20"/>
      <c r="E138" s="20"/>
      <c r="F138" s="20"/>
      <c r="G138" s="2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28"/>
      <c r="T138" s="2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28"/>
      <c r="AF138" s="20"/>
      <c r="AG138" s="20"/>
    </row>
    <row r="139" spans="1:33">
      <c r="B139" s="20" t="s">
        <v>332</v>
      </c>
      <c r="C139" s="20"/>
      <c r="D139" s="20"/>
      <c r="E139" s="163"/>
      <c r="F139" s="163"/>
      <c r="G139" s="163"/>
      <c r="H139" s="163">
        <f t="shared" ref="H139:R139" si="375">H88*H57</f>
        <v>88.580244800000003</v>
      </c>
      <c r="I139" s="163">
        <f t="shared" si="375"/>
        <v>157.44800000000001</v>
      </c>
      <c r="J139" s="163">
        <f t="shared" si="375"/>
        <v>177.12899999999999</v>
      </c>
      <c r="K139" s="163">
        <f t="shared" si="375"/>
        <v>177.12</v>
      </c>
      <c r="L139" s="163">
        <f t="shared" si="375"/>
        <v>270.04250000000002</v>
      </c>
      <c r="M139" s="163">
        <f t="shared" si="375"/>
        <v>270.04250000000002</v>
      </c>
      <c r="N139" s="163">
        <f t="shared" si="375"/>
        <v>304.185</v>
      </c>
      <c r="O139" s="163">
        <f t="shared" si="375"/>
        <v>347.64</v>
      </c>
      <c r="P139" s="163">
        <f t="shared" si="375"/>
        <v>8.6910000000000007</v>
      </c>
      <c r="Q139" s="163">
        <f t="shared" si="375"/>
        <v>963.625</v>
      </c>
      <c r="R139" s="163">
        <f t="shared" si="375"/>
        <v>1216.4699999999998</v>
      </c>
      <c r="S139" s="118">
        <f t="shared" si="295"/>
        <v>0.24232076353212917</v>
      </c>
      <c r="T139" s="20"/>
      <c r="U139" s="163">
        <f t="shared" ref="U139:AD139" si="376">U88*U57</f>
        <v>1302.8393699999999</v>
      </c>
      <c r="V139" s="163">
        <f t="shared" si="376"/>
        <v>1395.34096527</v>
      </c>
      <c r="W139" s="163">
        <f t="shared" si="376"/>
        <v>1494.4101738041702</v>
      </c>
      <c r="X139" s="163">
        <f t="shared" si="376"/>
        <v>1600.5132961442662</v>
      </c>
      <c r="Y139" s="163">
        <f t="shared" si="376"/>
        <v>1714.1497401705092</v>
      </c>
      <c r="Z139" s="163">
        <f t="shared" si="376"/>
        <v>1835.8543717226155</v>
      </c>
      <c r="AA139" s="163">
        <f t="shared" si="376"/>
        <v>1966.2000321149217</v>
      </c>
      <c r="AB139" s="163">
        <f t="shared" si="376"/>
        <v>2105.8002343950811</v>
      </c>
      <c r="AC139" s="163">
        <f t="shared" si="376"/>
        <v>2255.3120510371323</v>
      </c>
      <c r="AD139" s="163">
        <f t="shared" si="376"/>
        <v>2415.4392066607688</v>
      </c>
      <c r="AE139" s="137">
        <f t="shared" si="297"/>
        <v>0.17048196254686787</v>
      </c>
      <c r="AF139" s="20"/>
      <c r="AG139" s="20"/>
    </row>
    <row r="140" spans="1:33">
      <c r="B140" s="20" t="s">
        <v>333</v>
      </c>
      <c r="C140" s="20"/>
      <c r="D140" s="20"/>
      <c r="E140" s="163"/>
      <c r="F140" s="163"/>
      <c r="G140" s="163"/>
      <c r="H140" s="163">
        <f t="shared" ref="H140:Q140" si="377">(H139*0.17)+H139</f>
        <v>103.63888641600001</v>
      </c>
      <c r="I140" s="163">
        <f t="shared" si="377"/>
        <v>184.21416000000002</v>
      </c>
      <c r="J140" s="163">
        <f t="shared" si="377"/>
        <v>207.24092999999999</v>
      </c>
      <c r="K140" s="163">
        <f t="shared" si="377"/>
        <v>207.2304</v>
      </c>
      <c r="L140" s="163">
        <f t="shared" si="377"/>
        <v>315.949725</v>
      </c>
      <c r="M140" s="163">
        <f t="shared" si="377"/>
        <v>315.949725</v>
      </c>
      <c r="N140" s="163">
        <f t="shared" si="377"/>
        <v>355.89645000000002</v>
      </c>
      <c r="O140" s="163">
        <f t="shared" si="377"/>
        <v>406.73879999999997</v>
      </c>
      <c r="P140" s="163">
        <f t="shared" si="377"/>
        <v>10.168470000000001</v>
      </c>
      <c r="Q140" s="163">
        <f t="shared" si="377"/>
        <v>1127.4412500000001</v>
      </c>
      <c r="R140" s="163">
        <f t="shared" ref="R140" si="378">(R139*0.17)+R139</f>
        <v>1423.2698999999998</v>
      </c>
      <c r="S140" s="118">
        <f t="shared" si="295"/>
        <v>0.24232076353212917</v>
      </c>
      <c r="T140" s="20"/>
      <c r="U140" s="163">
        <f t="shared" ref="U140:AD140" si="379">(U139*0.17)+U139</f>
        <v>1524.3220629</v>
      </c>
      <c r="V140" s="163">
        <f t="shared" si="379"/>
        <v>1632.5489293659</v>
      </c>
      <c r="W140" s="163">
        <f t="shared" si="379"/>
        <v>1748.4599033508791</v>
      </c>
      <c r="X140" s="163">
        <f t="shared" si="379"/>
        <v>1872.6005564887914</v>
      </c>
      <c r="Y140" s="163">
        <f t="shared" si="379"/>
        <v>2005.5551959994957</v>
      </c>
      <c r="Z140" s="163">
        <f t="shared" si="379"/>
        <v>2147.9496149154602</v>
      </c>
      <c r="AA140" s="163">
        <f t="shared" si="379"/>
        <v>2300.4540375744582</v>
      </c>
      <c r="AB140" s="163">
        <f t="shared" si="379"/>
        <v>2463.7862742422449</v>
      </c>
      <c r="AC140" s="163">
        <f t="shared" si="379"/>
        <v>2638.7150997134449</v>
      </c>
      <c r="AD140" s="163">
        <f t="shared" si="379"/>
        <v>2826.0638717930997</v>
      </c>
      <c r="AE140" s="137">
        <f t="shared" si="297"/>
        <v>0.17048196254686787</v>
      </c>
      <c r="AF140" s="20"/>
      <c r="AG140" s="20"/>
    </row>
    <row r="141" spans="1:33">
      <c r="B141" s="20" t="s">
        <v>334</v>
      </c>
      <c r="C141" s="20"/>
      <c r="D141" s="20"/>
      <c r="E141" s="20"/>
      <c r="F141" s="20"/>
      <c r="G141" s="150"/>
      <c r="H141" s="150">
        <f t="shared" ref="H141:R141" si="380">H140/H55</f>
        <v>0.21772875297478994</v>
      </c>
      <c r="I141" s="150">
        <f t="shared" si="380"/>
        <v>0.32093059233449484</v>
      </c>
      <c r="J141" s="150">
        <f t="shared" si="380"/>
        <v>0.31834244239631337</v>
      </c>
      <c r="K141" s="150">
        <f t="shared" si="380"/>
        <v>0.13378334409296319</v>
      </c>
      <c r="L141" s="150">
        <f t="shared" si="380"/>
        <v>0.15837078947368421</v>
      </c>
      <c r="M141" s="150">
        <f t="shared" si="380"/>
        <v>0.12031596534653466</v>
      </c>
      <c r="N141" s="150">
        <f t="shared" si="380"/>
        <v>8.4295701089531036E-2</v>
      </c>
      <c r="O141" s="150">
        <f t="shared" si="380"/>
        <v>0.14731575516117348</v>
      </c>
      <c r="P141" s="150">
        <f t="shared" si="380"/>
        <v>4.3981271626297586E-3</v>
      </c>
      <c r="Q141" s="150">
        <f t="shared" si="380"/>
        <v>0.10904741754521714</v>
      </c>
      <c r="R141" s="150">
        <f t="shared" si="380"/>
        <v>-0.12514463202321285</v>
      </c>
      <c r="S141" s="118">
        <f t="shared" si="295"/>
        <v>-6.0925681795642839E-2</v>
      </c>
      <c r="T141" s="20"/>
      <c r="U141" s="150">
        <f t="shared" ref="U141:AD141" si="381">U140/U55</f>
        <v>-0.11966955437219728</v>
      </c>
      <c r="V141" s="150">
        <f t="shared" si="381"/>
        <v>-0.11443401136841365</v>
      </c>
      <c r="W141" s="150">
        <f t="shared" si="381"/>
        <v>-0.10942752337104555</v>
      </c>
      <c r="X141" s="150">
        <f t="shared" si="381"/>
        <v>-0.1046400692235623</v>
      </c>
      <c r="Y141" s="150">
        <f t="shared" si="381"/>
        <v>-0.10006206619503144</v>
      </c>
      <c r="Z141" s="150">
        <f t="shared" si="381"/>
        <v>-9.5684350798998813E-2</v>
      </c>
      <c r="AA141" s="150">
        <f t="shared" si="381"/>
        <v>-9.1498160451542618E-2</v>
      </c>
      <c r="AB141" s="150">
        <f t="shared" si="381"/>
        <v>-8.7495115931787631E-2</v>
      </c>
      <c r="AC141" s="150">
        <f t="shared" si="381"/>
        <v>-8.3667204609771936E-2</v>
      </c>
      <c r="AD141" s="150">
        <f t="shared" si="381"/>
        <v>-8.0006764408094413E-2</v>
      </c>
      <c r="AE141" s="137">
        <f t="shared" si="297"/>
        <v>-1.9534452472123736</v>
      </c>
      <c r="AF141" s="20"/>
      <c r="AG141" s="20"/>
    </row>
    <row r="142" spans="1:33">
      <c r="B142" s="20" t="s">
        <v>327</v>
      </c>
      <c r="C142" s="20"/>
      <c r="D142" s="20"/>
      <c r="E142" s="20"/>
      <c r="F142" s="20"/>
      <c r="G142" s="150"/>
      <c r="H142" s="150">
        <f>1-H141</f>
        <v>0.78227124702521</v>
      </c>
      <c r="I142" s="150">
        <f t="shared" ref="I142:Q142" si="382">1-I141</f>
        <v>0.67906940766550516</v>
      </c>
      <c r="J142" s="150">
        <f t="shared" si="382"/>
        <v>0.68165755760368663</v>
      </c>
      <c r="K142" s="150">
        <f t="shared" si="382"/>
        <v>0.86621665590703678</v>
      </c>
      <c r="L142" s="150">
        <f t="shared" si="382"/>
        <v>0.84162921052631579</v>
      </c>
      <c r="M142" s="150">
        <f t="shared" si="382"/>
        <v>0.87968403465346534</v>
      </c>
      <c r="N142" s="150">
        <f t="shared" si="382"/>
        <v>0.91570429891046901</v>
      </c>
      <c r="O142" s="150">
        <f t="shared" si="382"/>
        <v>0.85268424483882654</v>
      </c>
      <c r="P142" s="150">
        <f t="shared" si="382"/>
        <v>0.99560187283737023</v>
      </c>
      <c r="Q142" s="150">
        <f t="shared" si="382"/>
        <v>0.89095258245478282</v>
      </c>
      <c r="R142" s="150">
        <f t="shared" ref="R142" si="383">1-R141</f>
        <v>1.1251446320232128</v>
      </c>
      <c r="S142" s="118">
        <f t="shared" si="295"/>
        <v>1.1896540670734757E-2</v>
      </c>
      <c r="T142" s="20"/>
      <c r="U142" s="150">
        <f t="shared" ref="U142:AD142" si="384">1-U141</f>
        <v>1.1196695543721973</v>
      </c>
      <c r="V142" s="150">
        <f t="shared" si="384"/>
        <v>1.1144340113684137</v>
      </c>
      <c r="W142" s="150">
        <f t="shared" si="384"/>
        <v>1.1094275233710456</v>
      </c>
      <c r="X142" s="150">
        <f t="shared" si="384"/>
        <v>1.1046400692235623</v>
      </c>
      <c r="Y142" s="150">
        <f t="shared" si="384"/>
        <v>1.1000620661950316</v>
      </c>
      <c r="Z142" s="150">
        <f t="shared" si="384"/>
        <v>1.0956843507989988</v>
      </c>
      <c r="AA142" s="150">
        <f t="shared" si="384"/>
        <v>1.0914981604515426</v>
      </c>
      <c r="AB142" s="150">
        <f t="shared" si="384"/>
        <v>1.0874951159317876</v>
      </c>
      <c r="AC142" s="150">
        <f t="shared" si="384"/>
        <v>1.083667204609772</v>
      </c>
      <c r="AD142" s="150">
        <f t="shared" si="384"/>
        <v>1.0800067644080944</v>
      </c>
      <c r="AE142" s="137">
        <f t="shared" si="297"/>
        <v>1.5476687145377754E-2</v>
      </c>
      <c r="AF142" s="20"/>
      <c r="AG142" s="20"/>
    </row>
    <row r="143" spans="1:33">
      <c r="B143" s="20" t="s">
        <v>450</v>
      </c>
      <c r="C143" s="20"/>
      <c r="D143" s="20"/>
      <c r="E143" s="20"/>
      <c r="F143" s="20"/>
      <c r="G143" s="150"/>
      <c r="H143" s="150">
        <f t="shared" ref="H143:R143" si="385">H140/H20</f>
        <v>0.29953435380346821</v>
      </c>
      <c r="I143" s="150">
        <f t="shared" si="385"/>
        <v>0.4699340816326531</v>
      </c>
      <c r="J143" s="150">
        <f t="shared" si="385"/>
        <v>0.35486460616438353</v>
      </c>
      <c r="K143" s="150">
        <f t="shared" si="385"/>
        <v>0.15867565084226645</v>
      </c>
      <c r="L143" s="150">
        <f t="shared" si="385"/>
        <v>0.15204510346487007</v>
      </c>
      <c r="M143" s="150">
        <f t="shared" si="385"/>
        <v>0.15773825511732401</v>
      </c>
      <c r="N143" s="150">
        <f t="shared" si="385"/>
        <v>0.12052030138841856</v>
      </c>
      <c r="O143" s="150">
        <f t="shared" si="385"/>
        <v>0.2644595578673602</v>
      </c>
      <c r="P143" s="150">
        <f t="shared" si="385"/>
        <v>-7.9441171875000008E-2</v>
      </c>
      <c r="Q143" s="150">
        <f t="shared" si="385"/>
        <v>0.39810778601694918</v>
      </c>
      <c r="R143" s="150">
        <f t="shared" si="385"/>
        <v>0.33567686320754714</v>
      </c>
      <c r="S143" s="118">
        <f t="shared" si="295"/>
        <v>2.6200412172919352E-2</v>
      </c>
      <c r="T143" s="20"/>
      <c r="U143" s="150">
        <f t="shared" ref="U143:AD143" si="386">U140/U20</f>
        <v>0.32099100044221696</v>
      </c>
      <c r="V143" s="150">
        <f t="shared" si="386"/>
        <v>0.30694764417286996</v>
      </c>
      <c r="W143" s="150">
        <f t="shared" si="386"/>
        <v>0.2935186847403069</v>
      </c>
      <c r="X143" s="150">
        <f t="shared" si="386"/>
        <v>0.28067724228291846</v>
      </c>
      <c r="Y143" s="150">
        <f t="shared" si="386"/>
        <v>0.26839761293304071</v>
      </c>
      <c r="Z143" s="150">
        <f t="shared" si="386"/>
        <v>0.25665521736722019</v>
      </c>
      <c r="AA143" s="150">
        <f t="shared" si="386"/>
        <v>0.24542655160740434</v>
      </c>
      <c r="AB143" s="150">
        <f t="shared" si="386"/>
        <v>0.23468913997458038</v>
      </c>
      <c r="AC143" s="150">
        <f t="shared" si="386"/>
        <v>0.22442149010069254</v>
      </c>
      <c r="AD143" s="150">
        <f t="shared" si="386"/>
        <v>0.21460304990878723</v>
      </c>
      <c r="AE143" s="137" t="s">
        <v>451</v>
      </c>
      <c r="AF143" s="20"/>
      <c r="AG143" s="20"/>
    </row>
    <row r="144" spans="1:33">
      <c r="B144" s="20"/>
      <c r="C144" s="20"/>
      <c r="D144" s="20"/>
      <c r="E144" s="20"/>
      <c r="F144" s="20"/>
      <c r="G144" s="2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28"/>
      <c r="T144" s="2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28"/>
      <c r="AF144" s="20"/>
      <c r="AG144" s="20"/>
    </row>
    <row r="145" spans="2:33">
      <c r="B145" s="20" t="s">
        <v>331</v>
      </c>
      <c r="C145" s="150"/>
      <c r="D145" s="150"/>
      <c r="E145" s="150"/>
      <c r="F145" s="150"/>
      <c r="G145" s="150"/>
      <c r="H145" s="150">
        <f t="shared" ref="H145:R145" si="387">H31/H25</f>
        <v>0</v>
      </c>
      <c r="I145" s="150">
        <f t="shared" si="387"/>
        <v>0</v>
      </c>
      <c r="J145" s="150">
        <f t="shared" si="387"/>
        <v>0</v>
      </c>
      <c r="K145" s="150">
        <f t="shared" si="387"/>
        <v>0</v>
      </c>
      <c r="L145" s="150">
        <f t="shared" si="387"/>
        <v>0</v>
      </c>
      <c r="M145" s="150">
        <f t="shared" si="387"/>
        <v>0</v>
      </c>
      <c r="N145" s="150">
        <f t="shared" si="387"/>
        <v>0</v>
      </c>
      <c r="O145" s="150">
        <f t="shared" si="387"/>
        <v>0</v>
      </c>
      <c r="P145" s="150">
        <f t="shared" si="387"/>
        <v>0</v>
      </c>
      <c r="Q145" s="150">
        <f t="shared" si="387"/>
        <v>0</v>
      </c>
      <c r="R145" s="150">
        <f t="shared" si="387"/>
        <v>0</v>
      </c>
      <c r="S145" s="118" t="e">
        <f t="shared" si="295"/>
        <v>#DIV/0!</v>
      </c>
      <c r="T145" s="20"/>
      <c r="U145" s="150">
        <f t="shared" ref="U145:AD145" si="388">U31/U25</f>
        <v>0</v>
      </c>
      <c r="V145" s="150">
        <f t="shared" si="388"/>
        <v>0</v>
      </c>
      <c r="W145" s="150">
        <f t="shared" si="388"/>
        <v>0</v>
      </c>
      <c r="X145" s="150">
        <f t="shared" si="388"/>
        <v>0</v>
      </c>
      <c r="Y145" s="150">
        <f t="shared" si="388"/>
        <v>0</v>
      </c>
      <c r="Z145" s="150">
        <f t="shared" si="388"/>
        <v>0</v>
      </c>
      <c r="AA145" s="150">
        <f t="shared" si="388"/>
        <v>0</v>
      </c>
      <c r="AB145" s="150">
        <f t="shared" si="388"/>
        <v>0</v>
      </c>
      <c r="AC145" s="150">
        <f t="shared" si="388"/>
        <v>0</v>
      </c>
      <c r="AD145" s="150">
        <f t="shared" si="388"/>
        <v>0</v>
      </c>
      <c r="AE145" s="137" t="e">
        <f t="shared" si="297"/>
        <v>#DIV/0!</v>
      </c>
      <c r="AF145" s="20"/>
      <c r="AG145" s="20"/>
    </row>
    <row r="146" spans="2:33">
      <c r="B146" s="20" t="s">
        <v>328</v>
      </c>
      <c r="C146" s="150"/>
      <c r="D146" s="150"/>
      <c r="E146" s="150"/>
      <c r="F146" s="150"/>
      <c r="G146" s="150"/>
      <c r="H146" s="150">
        <f t="shared" ref="H146:R146" si="389">H32/H25</f>
        <v>0</v>
      </c>
      <c r="I146" s="150">
        <f t="shared" si="389"/>
        <v>0</v>
      </c>
      <c r="J146" s="150">
        <f t="shared" si="389"/>
        <v>0</v>
      </c>
      <c r="K146" s="150">
        <f t="shared" si="389"/>
        <v>0</v>
      </c>
      <c r="L146" s="150">
        <f t="shared" si="389"/>
        <v>0</v>
      </c>
      <c r="M146" s="150">
        <f t="shared" si="389"/>
        <v>0</v>
      </c>
      <c r="N146" s="150">
        <f t="shared" si="389"/>
        <v>0</v>
      </c>
      <c r="O146" s="150">
        <f t="shared" si="389"/>
        <v>0</v>
      </c>
      <c r="P146" s="150">
        <f t="shared" si="389"/>
        <v>0</v>
      </c>
      <c r="Q146" s="150">
        <f t="shared" si="389"/>
        <v>0</v>
      </c>
      <c r="R146" s="150">
        <f t="shared" si="389"/>
        <v>0</v>
      </c>
      <c r="S146" s="118" t="e">
        <f t="shared" si="295"/>
        <v>#DIV/0!</v>
      </c>
      <c r="T146" s="20"/>
      <c r="U146" s="150">
        <f t="shared" ref="U146:AD146" si="390">U32/U25</f>
        <v>0</v>
      </c>
      <c r="V146" s="150">
        <f t="shared" si="390"/>
        <v>0</v>
      </c>
      <c r="W146" s="150">
        <f t="shared" si="390"/>
        <v>0</v>
      </c>
      <c r="X146" s="150">
        <f t="shared" si="390"/>
        <v>0</v>
      </c>
      <c r="Y146" s="150">
        <f t="shared" si="390"/>
        <v>0</v>
      </c>
      <c r="Z146" s="150">
        <f t="shared" si="390"/>
        <v>0</v>
      </c>
      <c r="AA146" s="150">
        <f t="shared" si="390"/>
        <v>0</v>
      </c>
      <c r="AB146" s="150">
        <f t="shared" si="390"/>
        <v>0</v>
      </c>
      <c r="AC146" s="150">
        <f t="shared" si="390"/>
        <v>0</v>
      </c>
      <c r="AD146" s="150">
        <f t="shared" si="390"/>
        <v>0</v>
      </c>
      <c r="AE146" s="137" t="e">
        <f t="shared" si="297"/>
        <v>#DIV/0!</v>
      </c>
      <c r="AF146" s="20"/>
      <c r="AG146" s="20"/>
    </row>
    <row r="147" spans="2:33">
      <c r="B147" s="20" t="s">
        <v>458</v>
      </c>
      <c r="C147" s="150"/>
      <c r="D147" s="150"/>
      <c r="E147" s="150"/>
      <c r="F147" s="150"/>
      <c r="G147" s="150"/>
      <c r="H147" s="150">
        <f t="shared" ref="H147:R147" si="391">(H31+H32)/H25</f>
        <v>0</v>
      </c>
      <c r="I147" s="150">
        <f t="shared" si="391"/>
        <v>0</v>
      </c>
      <c r="J147" s="150">
        <f t="shared" si="391"/>
        <v>0</v>
      </c>
      <c r="K147" s="150">
        <f t="shared" si="391"/>
        <v>0</v>
      </c>
      <c r="L147" s="150">
        <f t="shared" si="391"/>
        <v>0</v>
      </c>
      <c r="M147" s="150">
        <f t="shared" si="391"/>
        <v>0</v>
      </c>
      <c r="N147" s="150">
        <f t="shared" si="391"/>
        <v>0</v>
      </c>
      <c r="O147" s="150">
        <f t="shared" si="391"/>
        <v>0</v>
      </c>
      <c r="P147" s="150">
        <f t="shared" si="391"/>
        <v>0</v>
      </c>
      <c r="Q147" s="150">
        <f t="shared" si="391"/>
        <v>0</v>
      </c>
      <c r="R147" s="150">
        <f t="shared" si="391"/>
        <v>0</v>
      </c>
      <c r="S147" s="118" t="e">
        <f t="shared" si="295"/>
        <v>#DIV/0!</v>
      </c>
      <c r="T147" s="20"/>
      <c r="U147" s="150">
        <f t="shared" ref="U147:AD147" si="392">(U31+U32)/U25</f>
        <v>0</v>
      </c>
      <c r="V147" s="150">
        <f t="shared" si="392"/>
        <v>0</v>
      </c>
      <c r="W147" s="150">
        <f t="shared" si="392"/>
        <v>0</v>
      </c>
      <c r="X147" s="150">
        <f t="shared" si="392"/>
        <v>0</v>
      </c>
      <c r="Y147" s="150">
        <f t="shared" si="392"/>
        <v>0</v>
      </c>
      <c r="Z147" s="150">
        <f t="shared" si="392"/>
        <v>0</v>
      </c>
      <c r="AA147" s="150">
        <f t="shared" si="392"/>
        <v>0</v>
      </c>
      <c r="AB147" s="150">
        <f t="shared" si="392"/>
        <v>0</v>
      </c>
      <c r="AC147" s="150">
        <f t="shared" si="392"/>
        <v>0</v>
      </c>
      <c r="AD147" s="150">
        <f t="shared" si="392"/>
        <v>0</v>
      </c>
      <c r="AE147" s="137" t="e">
        <f t="shared" si="297"/>
        <v>#DIV/0!</v>
      </c>
      <c r="AF147" s="20"/>
      <c r="AG147" s="20"/>
    </row>
    <row r="148" spans="2:33">
      <c r="B148" s="20"/>
      <c r="C148" s="20"/>
      <c r="D148" s="20"/>
      <c r="E148" s="20"/>
      <c r="F148" s="20"/>
      <c r="G148" s="2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28"/>
      <c r="T148" s="2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28"/>
      <c r="AF148" s="20"/>
      <c r="AG148" s="20"/>
    </row>
    <row r="149" spans="2:33">
      <c r="B149" s="20" t="s">
        <v>352</v>
      </c>
      <c r="C149" s="20"/>
      <c r="D149" s="20"/>
      <c r="E149" s="20"/>
      <c r="F149" s="20"/>
      <c r="G149" s="20"/>
      <c r="H149" s="150">
        <f t="shared" ref="H149:R149" si="393">H27/H25</f>
        <v>0.43493975903614457</v>
      </c>
      <c r="I149" s="150">
        <f t="shared" si="393"/>
        <v>0.42733299337072922</v>
      </c>
      <c r="J149" s="150">
        <f t="shared" si="393"/>
        <v>0.42372134038800707</v>
      </c>
      <c r="K149" s="150">
        <f t="shared" si="393"/>
        <v>0.31316725978647686</v>
      </c>
      <c r="L149" s="150">
        <f t="shared" si="393"/>
        <v>0.37967115097159942</v>
      </c>
      <c r="M149" s="150">
        <f t="shared" si="393"/>
        <v>0.40180180180180181</v>
      </c>
      <c r="N149" s="150">
        <f t="shared" si="393"/>
        <v>0.46333766474846855</v>
      </c>
      <c r="O149" s="150">
        <f t="shared" si="393"/>
        <v>0.59734416154521508</v>
      </c>
      <c r="P149" s="150">
        <f t="shared" si="393"/>
        <v>0.84074192516789259</v>
      </c>
      <c r="Q149" s="150">
        <f t="shared" si="393"/>
        <v>0.68779537291512161</v>
      </c>
      <c r="R149" s="150">
        <f t="shared" si="393"/>
        <v>0.94691937910535395</v>
      </c>
      <c r="S149" s="118">
        <f t="shared" si="295"/>
        <v>4.2542213810379037E-2</v>
      </c>
      <c r="T149" s="20"/>
      <c r="U149" s="150">
        <f t="shared" ref="U149:AD149" si="394">U27/U25</f>
        <v>0.94691937910535395</v>
      </c>
      <c r="V149" s="150">
        <f t="shared" si="394"/>
        <v>0.94691937910535406</v>
      </c>
      <c r="W149" s="150">
        <f t="shared" si="394"/>
        <v>0.94691937910535395</v>
      </c>
      <c r="X149" s="150">
        <f t="shared" si="394"/>
        <v>0.94691937910535395</v>
      </c>
      <c r="Y149" s="150">
        <f t="shared" si="394"/>
        <v>0.94691937910535395</v>
      </c>
      <c r="Z149" s="150">
        <f t="shared" si="394"/>
        <v>0.94691937910535395</v>
      </c>
      <c r="AA149" s="150">
        <f t="shared" si="394"/>
        <v>0.94691937910535395</v>
      </c>
      <c r="AB149" s="150">
        <f t="shared" si="394"/>
        <v>0.94691937910535406</v>
      </c>
      <c r="AC149" s="150">
        <f t="shared" si="394"/>
        <v>0.94691937910535406</v>
      </c>
      <c r="AD149" s="150">
        <f t="shared" si="394"/>
        <v>0.94691937910535418</v>
      </c>
      <c r="AE149" s="137">
        <f t="shared" si="297"/>
        <v>3.7742753225610937E-2</v>
      </c>
      <c r="AF149" s="20"/>
      <c r="AG149" s="20"/>
    </row>
    <row r="150" spans="2:33">
      <c r="B150" s="20" t="str">
        <f>B33</f>
        <v>Top Expenses ( Interest Out gol )</v>
      </c>
      <c r="C150" s="20"/>
      <c r="D150" s="20"/>
      <c r="E150" s="20"/>
      <c r="F150" s="20"/>
      <c r="G150" s="20"/>
      <c r="H150" s="150">
        <f t="shared" ref="H150:R150" si="395">H33/H25</f>
        <v>0.25240963855421689</v>
      </c>
      <c r="I150" s="150">
        <f t="shared" si="395"/>
        <v>0.26262111167771546</v>
      </c>
      <c r="J150" s="150">
        <f t="shared" si="395"/>
        <v>0.25970017636684306</v>
      </c>
      <c r="K150" s="150">
        <f t="shared" si="395"/>
        <v>0.1652262328418912</v>
      </c>
      <c r="L150" s="150">
        <f t="shared" si="395"/>
        <v>0.13060538116591927</v>
      </c>
      <c r="M150" s="150">
        <f t="shared" si="395"/>
        <v>0.1246015246015246</v>
      </c>
      <c r="N150" s="150">
        <f t="shared" si="395"/>
        <v>0.11147206237237794</v>
      </c>
      <c r="O150" s="150">
        <f t="shared" si="395"/>
        <v>0.14146180860403862</v>
      </c>
      <c r="P150" s="150">
        <f t="shared" si="395"/>
        <v>0.35817077070674769</v>
      </c>
      <c r="Q150" s="150">
        <f t="shared" si="395"/>
        <v>0.37889165176169493</v>
      </c>
      <c r="R150" s="150">
        <f t="shared" si="395"/>
        <v>0.4920553374188103</v>
      </c>
      <c r="S150" s="118">
        <f t="shared" si="295"/>
        <v>3.7617268937450543E-2</v>
      </c>
      <c r="T150" s="20"/>
      <c r="U150" s="150">
        <f t="shared" ref="U150:AD150" si="396">U33/U25</f>
        <v>0.49205533741881036</v>
      </c>
      <c r="V150" s="150">
        <f t="shared" si="396"/>
        <v>0.4920553374188103</v>
      </c>
      <c r="W150" s="150">
        <f t="shared" si="396"/>
        <v>0.4920553374188103</v>
      </c>
      <c r="X150" s="150">
        <f t="shared" si="396"/>
        <v>0.49205533741881036</v>
      </c>
      <c r="Y150" s="150">
        <f t="shared" si="396"/>
        <v>0.49205533741881036</v>
      </c>
      <c r="Z150" s="150">
        <f t="shared" si="396"/>
        <v>0.49205533741881041</v>
      </c>
      <c r="AA150" s="150">
        <f t="shared" si="396"/>
        <v>0.49205533741881041</v>
      </c>
      <c r="AB150" s="150">
        <f t="shared" si="396"/>
        <v>0.49205533741881041</v>
      </c>
      <c r="AC150" s="150">
        <f t="shared" si="396"/>
        <v>0.49205533741881047</v>
      </c>
      <c r="AD150" s="150">
        <f t="shared" si="396"/>
        <v>0.49205533741881052</v>
      </c>
      <c r="AE150" s="137">
        <f t="shared" si="297"/>
        <v>3.2298136688618362E-2</v>
      </c>
      <c r="AF150" s="20"/>
      <c r="AG150" s="20"/>
    </row>
    <row r="151" spans="2:33">
      <c r="B151" s="20" t="str">
        <f>B34</f>
        <v>2nd highest Expenses Comp. ( Empl )</v>
      </c>
      <c r="C151" s="20"/>
      <c r="D151" s="20"/>
      <c r="E151" s="20"/>
      <c r="F151" s="20"/>
      <c r="G151" s="20"/>
      <c r="H151" s="150">
        <f t="shared" ref="H151:R151" si="397">H34/H25</f>
        <v>0.11265060240963855</v>
      </c>
      <c r="I151" s="150">
        <f t="shared" si="397"/>
        <v>0.10657827638959715</v>
      </c>
      <c r="J151" s="150">
        <f t="shared" si="397"/>
        <v>0.10670194003527336</v>
      </c>
      <c r="K151" s="150">
        <f t="shared" si="397"/>
        <v>0.11337061514997458</v>
      </c>
      <c r="L151" s="150">
        <f t="shared" si="397"/>
        <v>0.1920777279521674</v>
      </c>
      <c r="M151" s="150">
        <f t="shared" si="397"/>
        <v>0.1799029799029799</v>
      </c>
      <c r="N151" s="150">
        <f t="shared" si="397"/>
        <v>8.7525524410618158E-2</v>
      </c>
      <c r="O151" s="150">
        <f t="shared" si="397"/>
        <v>7.3309920983318705E-2</v>
      </c>
      <c r="P151" s="150">
        <f t="shared" si="397"/>
        <v>6.2040294211704511E-2</v>
      </c>
      <c r="Q151" s="150">
        <f t="shared" si="397"/>
        <v>3.9290959589349854E-2</v>
      </c>
      <c r="R151" s="150">
        <f t="shared" si="397"/>
        <v>5.3484275806392423E-2</v>
      </c>
      <c r="S151" s="118">
        <f t="shared" si="295"/>
        <v>-9.1312685601238508E-2</v>
      </c>
      <c r="T151" s="20"/>
      <c r="U151" s="150">
        <f t="shared" ref="U151:AD151" si="398">U34/U25</f>
        <v>5.3484275806392423E-2</v>
      </c>
      <c r="V151" s="150">
        <f t="shared" si="398"/>
        <v>5.3484275806392423E-2</v>
      </c>
      <c r="W151" s="150">
        <f t="shared" si="398"/>
        <v>5.3484275806392423E-2</v>
      </c>
      <c r="X151" s="150">
        <f t="shared" si="398"/>
        <v>5.348427580639243E-2</v>
      </c>
      <c r="Y151" s="150">
        <f t="shared" si="398"/>
        <v>5.3484275806392423E-2</v>
      </c>
      <c r="Z151" s="150">
        <f t="shared" si="398"/>
        <v>5.348427580639243E-2</v>
      </c>
      <c r="AA151" s="150">
        <f t="shared" si="398"/>
        <v>5.348427580639243E-2</v>
      </c>
      <c r="AB151" s="150">
        <f t="shared" si="398"/>
        <v>5.348427580639243E-2</v>
      </c>
      <c r="AC151" s="150">
        <f t="shared" si="398"/>
        <v>5.3484275806392437E-2</v>
      </c>
      <c r="AD151" s="150">
        <f t="shared" si="398"/>
        <v>5.3484275806392437E-2</v>
      </c>
      <c r="AE151" s="137">
        <f t="shared" si="297"/>
        <v>-3.4849842748180815E-2</v>
      </c>
      <c r="AF151" s="20"/>
      <c r="AG151" s="20"/>
    </row>
    <row r="152" spans="2:33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28"/>
      <c r="T152" s="128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38"/>
      <c r="AF152" s="20"/>
      <c r="AG152" s="20"/>
    </row>
    <row r="153" spans="2:33">
      <c r="B153" s="108" t="s">
        <v>360</v>
      </c>
      <c r="C153" s="20"/>
      <c r="D153" s="20"/>
      <c r="E153" s="20"/>
      <c r="F153" s="20"/>
      <c r="G153" s="20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118"/>
      <c r="T153" s="128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137"/>
      <c r="AF153" s="20"/>
      <c r="AG153" s="20"/>
    </row>
    <row r="154" spans="2:33">
      <c r="B154" s="20" t="s">
        <v>363</v>
      </c>
      <c r="C154" s="20"/>
      <c r="D154" s="20"/>
      <c r="E154" s="20"/>
      <c r="F154" s="20"/>
      <c r="G154" s="20"/>
      <c r="H154" s="25">
        <f t="shared" ref="H154:R154" si="399">H15/H9</f>
        <v>1</v>
      </c>
      <c r="I154" s="25">
        <f t="shared" si="399"/>
        <v>1</v>
      </c>
      <c r="J154" s="25">
        <f t="shared" si="399"/>
        <v>1</v>
      </c>
      <c r="K154" s="25">
        <f t="shared" si="399"/>
        <v>1</v>
      </c>
      <c r="L154" s="25">
        <f t="shared" si="399"/>
        <v>4.0893719806763285</v>
      </c>
      <c r="M154" s="25">
        <f t="shared" si="399"/>
        <v>4.8508771929824563</v>
      </c>
      <c r="N154" s="25">
        <f t="shared" si="399"/>
        <v>2.7933042212518195</v>
      </c>
      <c r="O154" s="25">
        <f t="shared" si="399"/>
        <v>1.5929878048780488</v>
      </c>
      <c r="P154" s="25">
        <f t="shared" si="399"/>
        <v>2.273356401384083</v>
      </c>
      <c r="Q154" s="25">
        <f t="shared" si="399"/>
        <v>0.72323936512233922</v>
      </c>
      <c r="R154" s="25">
        <f t="shared" si="399"/>
        <v>0.71770982640547853</v>
      </c>
      <c r="S154" s="118">
        <f t="shared" si="295"/>
        <v>-2.9026315678770342E-2</v>
      </c>
      <c r="T154" s="20"/>
      <c r="U154" s="20">
        <f t="shared" ref="U154:AD154" si="400">U15/U9</f>
        <v>0.71770982640547865</v>
      </c>
      <c r="V154" s="20">
        <f t="shared" si="400"/>
        <v>0.71770982640547865</v>
      </c>
      <c r="W154" s="20">
        <f t="shared" si="400"/>
        <v>0.71770982640547865</v>
      </c>
      <c r="X154" s="20">
        <f t="shared" si="400"/>
        <v>0.71770982640547865</v>
      </c>
      <c r="Y154" s="20">
        <f t="shared" si="400"/>
        <v>0.71770982640547865</v>
      </c>
      <c r="Z154" s="20">
        <f t="shared" si="400"/>
        <v>0.71770982640547865</v>
      </c>
      <c r="AA154" s="20">
        <f t="shared" si="400"/>
        <v>0.71770982640547876</v>
      </c>
      <c r="AB154" s="20">
        <f t="shared" si="400"/>
        <v>0.71770982640547876</v>
      </c>
      <c r="AC154" s="20">
        <f t="shared" si="400"/>
        <v>0.71770982640547876</v>
      </c>
      <c r="AD154" s="20">
        <f t="shared" si="400"/>
        <v>0.71770982640547876</v>
      </c>
      <c r="AE154" s="137">
        <f t="shared" si="297"/>
        <v>-1.5670675664653966E-2</v>
      </c>
      <c r="AF154" s="20"/>
      <c r="AG154" s="20"/>
    </row>
    <row r="155" spans="2:33">
      <c r="B155" s="20" t="s">
        <v>353</v>
      </c>
      <c r="C155" s="20"/>
      <c r="D155" s="20"/>
      <c r="E155" s="20"/>
      <c r="F155" s="20"/>
      <c r="G155" s="20"/>
      <c r="H155" s="25">
        <f t="shared" ref="H155:R155" si="401">H12/H9</f>
        <v>4.0767386091127102E-2</v>
      </c>
      <c r="I155" s="25">
        <f t="shared" si="401"/>
        <v>5.674846625766871E-2</v>
      </c>
      <c r="J155" s="25">
        <f t="shared" si="401"/>
        <v>3.3123028391167195E-2</v>
      </c>
      <c r="K155" s="25">
        <f t="shared" si="401"/>
        <v>2.4165707710011506E-2</v>
      </c>
      <c r="L155" s="25">
        <f t="shared" si="401"/>
        <v>4.2801932367149756E-2</v>
      </c>
      <c r="M155" s="25">
        <f t="shared" si="401"/>
        <v>2.6218530701754386</v>
      </c>
      <c r="N155" s="25">
        <f t="shared" si="401"/>
        <v>0.65283842794759828</v>
      </c>
      <c r="O155" s="25">
        <f t="shared" si="401"/>
        <v>7.4695121951219509E-2</v>
      </c>
      <c r="P155" s="25">
        <f t="shared" si="401"/>
        <v>4.1522491349480967E-2</v>
      </c>
      <c r="Q155" s="25">
        <f t="shared" si="401"/>
        <v>0.26004264103692171</v>
      </c>
      <c r="R155" s="25">
        <f t="shared" si="401"/>
        <v>0.22678770504857462</v>
      </c>
      <c r="S155" s="118">
        <f t="shared" si="295"/>
        <v>0.18347047426248131</v>
      </c>
      <c r="T155" s="128"/>
      <c r="U155" s="20">
        <f t="shared" ref="U155:AD155" si="402">U12/U9</f>
        <v>0.22678770504857462</v>
      </c>
      <c r="V155" s="20">
        <f t="shared" si="402"/>
        <v>0.22678770504857462</v>
      </c>
      <c r="W155" s="20">
        <f t="shared" si="402"/>
        <v>0.22678770504857462</v>
      </c>
      <c r="X155" s="20">
        <f t="shared" si="402"/>
        <v>0.22678770504857459</v>
      </c>
      <c r="Y155" s="20">
        <f t="shared" si="402"/>
        <v>0.22678770504857459</v>
      </c>
      <c r="Z155" s="20">
        <f t="shared" si="402"/>
        <v>0.22678770504857462</v>
      </c>
      <c r="AA155" s="20">
        <f t="shared" si="402"/>
        <v>0.22678770504857462</v>
      </c>
      <c r="AB155" s="20">
        <f t="shared" si="402"/>
        <v>0.22678770504857462</v>
      </c>
      <c r="AC155" s="20">
        <f t="shared" si="402"/>
        <v>0.22678770504857465</v>
      </c>
      <c r="AD155" s="20">
        <f t="shared" si="402"/>
        <v>0.22678770504857462</v>
      </c>
      <c r="AE155" s="118">
        <f t="shared" ref="AE155" si="403">((AD155/U155)^(1/($I$2-$I$1) ))-1</f>
        <v>0</v>
      </c>
      <c r="AF155" s="20"/>
      <c r="AG155" s="20"/>
    </row>
    <row r="156" spans="2:33">
      <c r="B156" s="20" t="s">
        <v>355</v>
      </c>
      <c r="C156" s="20"/>
      <c r="D156" s="20"/>
      <c r="E156" s="20"/>
      <c r="F156" s="20"/>
      <c r="G156" s="20"/>
      <c r="H156" s="25">
        <f t="shared" ref="H156:R156" si="404">H25/360</f>
        <v>4.6111111111111107</v>
      </c>
      <c r="I156" s="25">
        <f t="shared" si="404"/>
        <v>5.447222222222222</v>
      </c>
      <c r="J156" s="25">
        <f t="shared" si="404"/>
        <v>6.3</v>
      </c>
      <c r="K156" s="25">
        <f t="shared" si="404"/>
        <v>10.927777777777777</v>
      </c>
      <c r="L156" s="25">
        <f t="shared" si="404"/>
        <v>14.866666666666667</v>
      </c>
      <c r="M156" s="25">
        <f t="shared" si="404"/>
        <v>20.041666666666668</v>
      </c>
      <c r="N156" s="25">
        <f t="shared" si="404"/>
        <v>29.927777777777777</v>
      </c>
      <c r="O156" s="25">
        <f t="shared" si="404"/>
        <v>25.31111111111111</v>
      </c>
      <c r="P156" s="25">
        <f t="shared" si="404"/>
        <v>8.6861111111111118</v>
      </c>
      <c r="Q156" s="25">
        <f t="shared" si="404"/>
        <v>191.02500000000001</v>
      </c>
      <c r="R156" s="25">
        <f t="shared" si="404"/>
        <v>151.39444444444445</v>
      </c>
      <c r="S156" s="118">
        <f t="shared" si="295"/>
        <v>0.40289728468517727</v>
      </c>
      <c r="T156" s="128"/>
      <c r="U156" s="25">
        <f t="shared" ref="U156:AD156" si="405">U25/360</f>
        <v>169.56177777777779</v>
      </c>
      <c r="V156" s="25">
        <f t="shared" si="405"/>
        <v>189.90919111111114</v>
      </c>
      <c r="W156" s="25">
        <f t="shared" si="405"/>
        <v>212.69829404444451</v>
      </c>
      <c r="X156" s="25">
        <f t="shared" si="405"/>
        <v>238.22208932977784</v>
      </c>
      <c r="Y156" s="25">
        <f t="shared" si="405"/>
        <v>266.80874004935123</v>
      </c>
      <c r="Z156" s="25">
        <f t="shared" si="405"/>
        <v>298.8257888552734</v>
      </c>
      <c r="AA156" s="25">
        <f t="shared" si="405"/>
        <v>334.68488351790626</v>
      </c>
      <c r="AB156" s="25">
        <f t="shared" si="405"/>
        <v>374.84706954005497</v>
      </c>
      <c r="AC156" s="25">
        <f t="shared" si="405"/>
        <v>419.82871788486165</v>
      </c>
      <c r="AD156" s="25">
        <f t="shared" si="405"/>
        <v>470.20816403104504</v>
      </c>
      <c r="AE156" s="118">
        <f t="shared" ref="AE156:AE167" si="406">((AD156/U156)^(1/($I$2-$I$1) ))-1</f>
        <v>9.7158295908255088E-2</v>
      </c>
      <c r="AF156" s="20"/>
      <c r="AG156" s="20"/>
    </row>
    <row r="157" spans="2:33">
      <c r="B157" s="20" t="s">
        <v>354</v>
      </c>
      <c r="C157" s="20"/>
      <c r="D157" s="20"/>
      <c r="E157" s="20"/>
      <c r="F157" s="20"/>
      <c r="G157" s="20"/>
      <c r="H157" s="25">
        <f t="shared" ref="H157:R157" si="407">H27/360</f>
        <v>2.0055555555555555</v>
      </c>
      <c r="I157" s="25">
        <f t="shared" si="407"/>
        <v>2.3277777777777779</v>
      </c>
      <c r="J157" s="25">
        <f t="shared" si="407"/>
        <v>2.6694444444444443</v>
      </c>
      <c r="K157" s="25">
        <f t="shared" si="407"/>
        <v>3.4222222222222221</v>
      </c>
      <c r="L157" s="25">
        <f t="shared" si="407"/>
        <v>5.6444444444444448</v>
      </c>
      <c r="M157" s="25">
        <f t="shared" si="407"/>
        <v>8.0527777777777771</v>
      </c>
      <c r="N157" s="25">
        <f t="shared" si="407"/>
        <v>13.866666666666667</v>
      </c>
      <c r="O157" s="25">
        <f t="shared" si="407"/>
        <v>15.119444444444444</v>
      </c>
      <c r="P157" s="25">
        <f t="shared" si="407"/>
        <v>7.302777777777778</v>
      </c>
      <c r="Q157" s="25">
        <f t="shared" si="407"/>
        <v>131.38611111111112</v>
      </c>
      <c r="R157" s="25">
        <f t="shared" si="407"/>
        <v>143.35833333333332</v>
      </c>
      <c r="S157" s="118">
        <f t="shared" si="295"/>
        <v>0.46257964092425419</v>
      </c>
      <c r="T157" s="128"/>
      <c r="U157" s="25">
        <f t="shared" ref="U157:AD157" si="408">U27/360</f>
        <v>160.56133333333335</v>
      </c>
      <c r="V157" s="25">
        <f t="shared" si="408"/>
        <v>179.82869333333338</v>
      </c>
      <c r="W157" s="25">
        <f t="shared" si="408"/>
        <v>201.40813653333342</v>
      </c>
      <c r="X157" s="25">
        <f t="shared" si="408"/>
        <v>225.57711291733341</v>
      </c>
      <c r="Y157" s="25">
        <f t="shared" si="408"/>
        <v>252.64636646741346</v>
      </c>
      <c r="Z157" s="25">
        <f t="shared" si="408"/>
        <v>282.9639304435031</v>
      </c>
      <c r="AA157" s="25">
        <f t="shared" si="408"/>
        <v>316.91960209672351</v>
      </c>
      <c r="AB157" s="25">
        <f t="shared" si="408"/>
        <v>354.94995434833038</v>
      </c>
      <c r="AC157" s="25">
        <f t="shared" si="408"/>
        <v>397.54394887013001</v>
      </c>
      <c r="AD157" s="25">
        <f t="shared" si="408"/>
        <v>445.2492227345457</v>
      </c>
      <c r="AE157" s="118">
        <f t="shared" si="406"/>
        <v>9.7158295908255088E-2</v>
      </c>
      <c r="AF157" s="20"/>
      <c r="AG157" s="20"/>
    </row>
    <row r="158" spans="2:33">
      <c r="B158" s="20"/>
      <c r="C158" s="20"/>
      <c r="D158" s="20"/>
      <c r="E158" s="20"/>
      <c r="F158" s="20"/>
      <c r="G158" s="20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128"/>
      <c r="AF158" s="20"/>
      <c r="AG158" s="20"/>
    </row>
    <row r="159" spans="2:33">
      <c r="B159" s="20" t="s">
        <v>364</v>
      </c>
      <c r="C159" s="20"/>
      <c r="D159" s="20"/>
      <c r="E159" s="20"/>
      <c r="F159" s="20"/>
      <c r="G159" s="20"/>
      <c r="H159" s="25">
        <f t="shared" ref="H159:R159" si="409">H10/H7</f>
        <v>3.0223390275952694E-2</v>
      </c>
      <c r="I159" s="25">
        <f t="shared" si="409"/>
        <v>8.6505190311418692E-3</v>
      </c>
      <c r="J159" s="25">
        <f t="shared" si="409"/>
        <v>0</v>
      </c>
      <c r="K159" s="25">
        <f t="shared" si="409"/>
        <v>0</v>
      </c>
      <c r="L159" s="25">
        <f t="shared" si="409"/>
        <v>4.0509013785790032E-4</v>
      </c>
      <c r="M159" s="25">
        <f t="shared" si="409"/>
        <v>0.24756852343059241</v>
      </c>
      <c r="N159" s="25">
        <f t="shared" si="409"/>
        <v>7.6736924277907889E-2</v>
      </c>
      <c r="O159" s="25">
        <f t="shared" si="409"/>
        <v>0.24699034263791506</v>
      </c>
      <c r="P159" s="25">
        <f t="shared" si="409"/>
        <v>0.25756795422031475</v>
      </c>
      <c r="Q159" s="25">
        <f t="shared" si="409"/>
        <v>0.99112426035502954</v>
      </c>
      <c r="R159" s="25">
        <f t="shared" si="409"/>
        <v>1.3357772621809745</v>
      </c>
      <c r="S159" s="118">
        <f t="shared" si="295"/>
        <v>0.3734050177917092</v>
      </c>
      <c r="T159" s="128"/>
      <c r="U159" s="25">
        <f t="shared" ref="U159:AD159" si="410">U10/U7</f>
        <v>1.3357772621809743</v>
      </c>
      <c r="V159" s="25">
        <f t="shared" si="410"/>
        <v>1.3357772621809743</v>
      </c>
      <c r="W159" s="25">
        <f t="shared" si="410"/>
        <v>1.335777262180974</v>
      </c>
      <c r="X159" s="25">
        <f t="shared" si="410"/>
        <v>1.3357772621809743</v>
      </c>
      <c r="Y159" s="25">
        <f t="shared" si="410"/>
        <v>1.3357772621809743</v>
      </c>
      <c r="Z159" s="25">
        <f t="shared" si="410"/>
        <v>1.335777262180974</v>
      </c>
      <c r="AA159" s="25">
        <f t="shared" si="410"/>
        <v>1.335777262180974</v>
      </c>
      <c r="AB159" s="25">
        <f t="shared" si="410"/>
        <v>1.3357772621809743</v>
      </c>
      <c r="AC159" s="25">
        <f t="shared" si="410"/>
        <v>1.3357772621809743</v>
      </c>
      <c r="AD159" s="25">
        <f t="shared" si="410"/>
        <v>1.3357772621809743</v>
      </c>
      <c r="AE159" s="118">
        <f t="shared" si="406"/>
        <v>0</v>
      </c>
      <c r="AF159" s="20"/>
      <c r="AG159" s="20"/>
    </row>
    <row r="160" spans="2:33">
      <c r="B160" s="20" t="s">
        <v>356</v>
      </c>
      <c r="C160" s="20"/>
      <c r="D160" s="20"/>
      <c r="E160" s="20"/>
      <c r="F160" s="20"/>
      <c r="G160" s="20"/>
      <c r="H160" s="25">
        <f t="shared" ref="H160:R160" si="411">H10/(H10+H7)</f>
        <v>2.9336734693877552E-2</v>
      </c>
      <c r="I160" s="25">
        <f t="shared" si="411"/>
        <v>8.5763293310463125E-3</v>
      </c>
      <c r="J160" s="25">
        <f t="shared" si="411"/>
        <v>0</v>
      </c>
      <c r="K160" s="25">
        <f t="shared" si="411"/>
        <v>0</v>
      </c>
      <c r="L160" s="25">
        <f t="shared" si="411"/>
        <v>4.0492610628568279E-4</v>
      </c>
      <c r="M160" s="25">
        <f t="shared" si="411"/>
        <v>0.19844082211197733</v>
      </c>
      <c r="N160" s="25">
        <f t="shared" si="411"/>
        <v>7.1268034510258829E-2</v>
      </c>
      <c r="O160" s="25">
        <f t="shared" si="411"/>
        <v>0.19806917037980054</v>
      </c>
      <c r="P160" s="25">
        <f t="shared" si="411"/>
        <v>0.20481434291954859</v>
      </c>
      <c r="Q160" s="25">
        <f t="shared" si="411"/>
        <v>0.49777117384843983</v>
      </c>
      <c r="R160" s="25">
        <f t="shared" si="411"/>
        <v>0.57187698664971387</v>
      </c>
      <c r="S160" s="118">
        <f t="shared" si="295"/>
        <v>0.29355068943861173</v>
      </c>
      <c r="T160" s="128"/>
      <c r="U160" s="25">
        <f t="shared" ref="U160:AD160" si="412">U10/(U10+U7)</f>
        <v>0.57187698664971387</v>
      </c>
      <c r="V160" s="25">
        <f t="shared" si="412"/>
        <v>0.57187698664971387</v>
      </c>
      <c r="W160" s="25">
        <f t="shared" si="412"/>
        <v>0.57187698664971387</v>
      </c>
      <c r="X160" s="25">
        <f t="shared" si="412"/>
        <v>0.57187698664971387</v>
      </c>
      <c r="Y160" s="25">
        <f t="shared" si="412"/>
        <v>0.57187698664971387</v>
      </c>
      <c r="Z160" s="25">
        <f t="shared" si="412"/>
        <v>0.57187698664971387</v>
      </c>
      <c r="AA160" s="25">
        <f t="shared" si="412"/>
        <v>0.57187698664971376</v>
      </c>
      <c r="AB160" s="25">
        <f t="shared" si="412"/>
        <v>0.57187698664971387</v>
      </c>
      <c r="AC160" s="25">
        <f t="shared" si="412"/>
        <v>0.57187698664971387</v>
      </c>
      <c r="AD160" s="25">
        <f t="shared" si="412"/>
        <v>0.57187698664971387</v>
      </c>
      <c r="AE160" s="118">
        <f t="shared" si="406"/>
        <v>0</v>
      </c>
      <c r="AF160" s="20"/>
      <c r="AG160" s="20"/>
    </row>
    <row r="161" spans="2:33">
      <c r="B161" s="20"/>
      <c r="C161" s="20"/>
      <c r="D161" s="20"/>
      <c r="E161" s="20"/>
      <c r="F161" s="20"/>
      <c r="G161" s="2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128"/>
      <c r="T161" s="128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136"/>
      <c r="AF161" s="20"/>
      <c r="AG161" s="20"/>
    </row>
    <row r="162" spans="2:33">
      <c r="B162" s="20" t="s">
        <v>361</v>
      </c>
      <c r="C162" s="20"/>
      <c r="D162" s="20"/>
      <c r="E162" s="20"/>
      <c r="F162" s="20"/>
      <c r="G162" s="20"/>
      <c r="H162" s="25">
        <f t="shared" ref="H162:R162" si="413">H16</f>
        <v>145</v>
      </c>
      <c r="I162" s="25">
        <f t="shared" si="413"/>
        <v>290</v>
      </c>
      <c r="J162" s="25">
        <f t="shared" si="413"/>
        <v>303</v>
      </c>
      <c r="K162" s="25">
        <f t="shared" si="413"/>
        <v>422</v>
      </c>
      <c r="L162" s="25">
        <f t="shared" si="413"/>
        <v>1032</v>
      </c>
      <c r="M162" s="25">
        <f t="shared" si="413"/>
        <v>3101</v>
      </c>
      <c r="N162" s="25">
        <f t="shared" si="413"/>
        <v>2035</v>
      </c>
      <c r="O162" s="25">
        <f t="shared" si="413"/>
        <v>541</v>
      </c>
      <c r="P162" s="25">
        <f t="shared" si="413"/>
        <v>1059</v>
      </c>
      <c r="Q162" s="25">
        <f t="shared" si="413"/>
        <v>10923</v>
      </c>
      <c r="R162" s="25">
        <f t="shared" si="413"/>
        <v>12909</v>
      </c>
      <c r="S162" s="118">
        <f t="shared" si="295"/>
        <v>0.48126920379126958</v>
      </c>
      <c r="T162" s="128"/>
      <c r="U162" s="25">
        <f t="shared" ref="U162:AD162" si="414">U16</f>
        <v>14458.080000000002</v>
      </c>
      <c r="V162" s="25">
        <f t="shared" si="414"/>
        <v>16193.049600000004</v>
      </c>
      <c r="W162" s="25">
        <f t="shared" si="414"/>
        <v>18136.215552000005</v>
      </c>
      <c r="X162" s="25">
        <f t="shared" si="414"/>
        <v>20312.561418240006</v>
      </c>
      <c r="Y162" s="25">
        <f t="shared" si="414"/>
        <v>22750.068788428809</v>
      </c>
      <c r="Z162" s="25">
        <f t="shared" si="414"/>
        <v>25480.07704304027</v>
      </c>
      <c r="AA162" s="25">
        <f t="shared" si="414"/>
        <v>28537.686288205106</v>
      </c>
      <c r="AB162" s="25">
        <f t="shared" si="414"/>
        <v>31962.208642789723</v>
      </c>
      <c r="AC162" s="25">
        <f t="shared" si="414"/>
        <v>35797.67367992449</v>
      </c>
      <c r="AD162" s="25">
        <f t="shared" si="414"/>
        <v>40093.394521515431</v>
      </c>
      <c r="AE162" s="118">
        <f t="shared" si="406"/>
        <v>9.7158295908255088E-2</v>
      </c>
      <c r="AF162" s="20"/>
      <c r="AG162" s="20"/>
    </row>
    <row r="163" spans="2:33">
      <c r="B163" s="20" t="s">
        <v>362</v>
      </c>
      <c r="C163" s="20"/>
      <c r="D163" s="20"/>
      <c r="E163" s="20"/>
      <c r="F163" s="20"/>
      <c r="G163" s="20"/>
      <c r="H163" s="119">
        <f t="shared" ref="H163:R163" si="415">H162*365/H25</f>
        <v>31.882530120481928</v>
      </c>
      <c r="I163" s="119">
        <f t="shared" si="415"/>
        <v>53.977562468128504</v>
      </c>
      <c r="J163" s="119">
        <f t="shared" si="415"/>
        <v>48.763227513227513</v>
      </c>
      <c r="K163" s="119">
        <f t="shared" si="415"/>
        <v>39.153533299440774</v>
      </c>
      <c r="L163" s="119">
        <f t="shared" si="415"/>
        <v>70.381165919282509</v>
      </c>
      <c r="M163" s="119">
        <f t="shared" si="415"/>
        <v>156.87664587664588</v>
      </c>
      <c r="N163" s="119">
        <f t="shared" si="415"/>
        <v>68.941433079636155</v>
      </c>
      <c r="O163" s="119">
        <f t="shared" si="415"/>
        <v>21.670873573309922</v>
      </c>
      <c r="P163" s="119">
        <f t="shared" si="415"/>
        <v>123.61208826351135</v>
      </c>
      <c r="Q163" s="119">
        <f t="shared" si="415"/>
        <v>57.97517776905292</v>
      </c>
      <c r="R163" s="119">
        <f t="shared" si="415"/>
        <v>86.451598106491502</v>
      </c>
      <c r="S163" s="118">
        <f t="shared" si="295"/>
        <v>5.5864331595509187E-2</v>
      </c>
      <c r="T163" s="128"/>
      <c r="U163" s="119">
        <f t="shared" ref="U163:AD163" si="416">U162*365/U25</f>
        <v>86.451598106491502</v>
      </c>
      <c r="V163" s="119">
        <f t="shared" si="416"/>
        <v>86.451598106491502</v>
      </c>
      <c r="W163" s="119">
        <f t="shared" si="416"/>
        <v>86.451598106491502</v>
      </c>
      <c r="X163" s="119">
        <f t="shared" si="416"/>
        <v>86.451598106491502</v>
      </c>
      <c r="Y163" s="119">
        <f t="shared" si="416"/>
        <v>86.451598106491502</v>
      </c>
      <c r="Z163" s="119">
        <f t="shared" si="416"/>
        <v>86.451598106491502</v>
      </c>
      <c r="AA163" s="119">
        <f t="shared" si="416"/>
        <v>86.451598106491502</v>
      </c>
      <c r="AB163" s="119">
        <f t="shared" si="416"/>
        <v>86.451598106491517</v>
      </c>
      <c r="AC163" s="119">
        <f t="shared" si="416"/>
        <v>86.451598106491517</v>
      </c>
      <c r="AD163" s="119">
        <f t="shared" si="416"/>
        <v>86.451598106491502</v>
      </c>
      <c r="AE163" s="118">
        <f t="shared" si="406"/>
        <v>0</v>
      </c>
      <c r="AF163" s="20"/>
      <c r="AG163" s="20"/>
    </row>
    <row r="164" spans="2:33">
      <c r="B164" s="20" t="s">
        <v>365</v>
      </c>
      <c r="C164" s="20"/>
      <c r="D164" s="20"/>
      <c r="E164" s="20"/>
      <c r="F164" s="20"/>
      <c r="G164" s="20"/>
      <c r="H164" s="133" t="e">
        <f t="shared" ref="H164:R164" si="417">H98/H29</f>
        <v>#DIV/0!</v>
      </c>
      <c r="I164" s="133" t="e">
        <f t="shared" si="417"/>
        <v>#DIV/0!</v>
      </c>
      <c r="J164" s="133" t="e">
        <f t="shared" si="417"/>
        <v>#DIV/0!</v>
      </c>
      <c r="K164" s="133" t="e">
        <f t="shared" si="417"/>
        <v>#DIV/0!</v>
      </c>
      <c r="L164" s="133" t="e">
        <f t="shared" si="417"/>
        <v>#DIV/0!</v>
      </c>
      <c r="M164" s="133" t="e">
        <f t="shared" si="417"/>
        <v>#DIV/0!</v>
      </c>
      <c r="N164" s="133">
        <f t="shared" si="417"/>
        <v>0.68653396233651676</v>
      </c>
      <c r="O164" s="133">
        <f t="shared" si="417"/>
        <v>9.3005878237235676E-2</v>
      </c>
      <c r="P164" s="133">
        <f t="shared" si="417"/>
        <v>1.1263920934542086E-2</v>
      </c>
      <c r="Q164" s="133">
        <f t="shared" si="417"/>
        <v>1.299283421093228E-2</v>
      </c>
      <c r="R164" s="133">
        <f t="shared" si="417"/>
        <v>1.3131366201779132E-2</v>
      </c>
      <c r="S164" s="118" t="e">
        <f t="shared" si="295"/>
        <v>#DIV/0!</v>
      </c>
      <c r="T164" s="128"/>
      <c r="U164" s="133">
        <f t="shared" ref="U164:AD164" si="418">U98/U29</f>
        <v>1.2873888433116794E-2</v>
      </c>
      <c r="V164" s="133">
        <f t="shared" si="418"/>
        <v>1.262145924815372E-2</v>
      </c>
      <c r="W164" s="133">
        <f t="shared" si="418"/>
        <v>1.2373979655052669E-2</v>
      </c>
      <c r="X164" s="133">
        <f t="shared" si="418"/>
        <v>1.2131352602992812E-2</v>
      </c>
      <c r="Y164" s="133">
        <f t="shared" si="418"/>
        <v>1.1893482944110601E-2</v>
      </c>
      <c r="Z164" s="133">
        <f t="shared" si="418"/>
        <v>1.1660277396186863E-2</v>
      </c>
      <c r="AA164" s="133">
        <f t="shared" si="418"/>
        <v>1.1431644506065554E-2</v>
      </c>
      <c r="AB164" s="133">
        <f t="shared" si="418"/>
        <v>1.1207494613789757E-2</v>
      </c>
      <c r="AC164" s="133">
        <f t="shared" si="418"/>
        <v>1.0987739817440938E-2</v>
      </c>
      <c r="AD164" s="133">
        <f t="shared" si="418"/>
        <v>1.0772293938667587E-2</v>
      </c>
      <c r="AE164" s="118">
        <f t="shared" si="406"/>
        <v>-1.6071600788121199E-2</v>
      </c>
      <c r="AF164" s="20"/>
      <c r="AG164" s="20"/>
    </row>
    <row r="165" spans="2:33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28"/>
      <c r="T165" s="128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136"/>
      <c r="AF165" s="20"/>
      <c r="AG165" s="20"/>
    </row>
    <row r="166" spans="2:33">
      <c r="B166" s="20" t="s">
        <v>372</v>
      </c>
      <c r="C166" s="20"/>
      <c r="D166" s="20"/>
      <c r="E166" s="20"/>
      <c r="F166" s="20"/>
      <c r="G166" s="20"/>
      <c r="H166" s="178">
        <f t="shared" ref="H166:R166" si="419">H25/H14</f>
        <v>8.7830687830687832</v>
      </c>
      <c r="I166" s="178">
        <f t="shared" si="419"/>
        <v>5.9066265060240966</v>
      </c>
      <c r="J166" s="178">
        <f t="shared" si="419"/>
        <v>7.6107382550335574</v>
      </c>
      <c r="K166" s="178">
        <f t="shared" si="419"/>
        <v>12.608974358974359</v>
      </c>
      <c r="L166" s="178">
        <f t="shared" si="419"/>
        <v>20.272727272727273</v>
      </c>
      <c r="M166" s="178">
        <f t="shared" si="419"/>
        <v>14.401197604790418</v>
      </c>
      <c r="N166" s="178">
        <f t="shared" si="419"/>
        <v>14.618724559023066</v>
      </c>
      <c r="O166" s="178">
        <f t="shared" si="419"/>
        <v>10.413714285714287</v>
      </c>
      <c r="P166" s="178">
        <f t="shared" si="419"/>
        <v>3.2572916666666667</v>
      </c>
      <c r="Q166" s="178">
        <f t="shared" si="419"/>
        <v>7.6130853537030889</v>
      </c>
      <c r="R166" s="178">
        <f t="shared" si="419"/>
        <v>6.2466475644699138</v>
      </c>
      <c r="S166" s="118">
        <f t="shared" si="295"/>
        <v>-1.2912037101023843E-2</v>
      </c>
      <c r="T166" s="128"/>
      <c r="U166" s="20">
        <f t="shared" ref="U166:AD166" si="420">U25/U14</f>
        <v>6.2466475644699138</v>
      </c>
      <c r="V166" s="20">
        <f t="shared" si="420"/>
        <v>6.2466475644699138</v>
      </c>
      <c r="W166" s="20">
        <f t="shared" si="420"/>
        <v>6.2466475644699138</v>
      </c>
      <c r="X166" s="20">
        <f t="shared" si="420"/>
        <v>6.2466475644699129</v>
      </c>
      <c r="Y166" s="20">
        <f t="shared" si="420"/>
        <v>6.2466475644699138</v>
      </c>
      <c r="Z166" s="20">
        <f t="shared" si="420"/>
        <v>6.2466475644699129</v>
      </c>
      <c r="AA166" s="20">
        <f t="shared" si="420"/>
        <v>6.2466475644699129</v>
      </c>
      <c r="AB166" s="20">
        <f t="shared" si="420"/>
        <v>6.2466475644699129</v>
      </c>
      <c r="AC166" s="20">
        <f t="shared" si="420"/>
        <v>6.2466475644699129</v>
      </c>
      <c r="AD166" s="20">
        <f t="shared" si="420"/>
        <v>6.2466475644699129</v>
      </c>
      <c r="AE166" s="118">
        <f t="shared" si="406"/>
        <v>0</v>
      </c>
      <c r="AF166" s="20"/>
      <c r="AG166" s="20"/>
    </row>
    <row r="167" spans="2:33">
      <c r="B167" s="20" t="s">
        <v>373</v>
      </c>
      <c r="C167" s="20"/>
      <c r="D167" s="20"/>
      <c r="E167" s="20"/>
      <c r="F167" s="20"/>
      <c r="G167" s="20"/>
      <c r="H167" s="178">
        <f t="shared" ref="H167:R167" si="421">H27/H14</f>
        <v>3.82010582010582</v>
      </c>
      <c r="I167" s="178">
        <f t="shared" si="421"/>
        <v>2.5240963855421685</v>
      </c>
      <c r="J167" s="178">
        <f t="shared" si="421"/>
        <v>3.2248322147651005</v>
      </c>
      <c r="K167" s="178">
        <f t="shared" si="421"/>
        <v>3.9487179487179489</v>
      </c>
      <c r="L167" s="178">
        <f t="shared" si="421"/>
        <v>7.6969696969696972</v>
      </c>
      <c r="M167" s="178">
        <f t="shared" si="421"/>
        <v>5.7864271457085827</v>
      </c>
      <c r="N167" s="178">
        <f t="shared" si="421"/>
        <v>6.7734056987788334</v>
      </c>
      <c r="O167" s="178">
        <f t="shared" si="421"/>
        <v>6.2205714285714286</v>
      </c>
      <c r="P167" s="178">
        <f t="shared" si="421"/>
        <v>2.7385416666666669</v>
      </c>
      <c r="Q167" s="178">
        <f t="shared" si="421"/>
        <v>5.2362448798848664</v>
      </c>
      <c r="R167" s="178">
        <f t="shared" si="421"/>
        <v>5.9150716332378224</v>
      </c>
      <c r="S167" s="118">
        <f t="shared" si="295"/>
        <v>2.908087006627591E-2</v>
      </c>
      <c r="T167" s="128"/>
      <c r="U167" s="20">
        <f t="shared" ref="U167:AD167" si="422">U27/U14</f>
        <v>5.9150716332378224</v>
      </c>
      <c r="V167" s="20">
        <f t="shared" si="422"/>
        <v>5.9150716332378224</v>
      </c>
      <c r="W167" s="20">
        <f t="shared" si="422"/>
        <v>5.9150716332378224</v>
      </c>
      <c r="X167" s="20">
        <f t="shared" si="422"/>
        <v>5.9150716332378215</v>
      </c>
      <c r="Y167" s="20">
        <f t="shared" si="422"/>
        <v>5.9150716332378224</v>
      </c>
      <c r="Z167" s="20">
        <f t="shared" si="422"/>
        <v>5.9150716332378215</v>
      </c>
      <c r="AA167" s="20">
        <f t="shared" si="422"/>
        <v>5.9150716332378215</v>
      </c>
      <c r="AB167" s="20">
        <f t="shared" si="422"/>
        <v>5.9150716332378215</v>
      </c>
      <c r="AC167" s="20">
        <f t="shared" si="422"/>
        <v>5.9150716332378215</v>
      </c>
      <c r="AD167" s="20">
        <f t="shared" si="422"/>
        <v>5.9150716332378224</v>
      </c>
      <c r="AE167" s="118">
        <f t="shared" si="406"/>
        <v>0</v>
      </c>
      <c r="AF167" s="20"/>
      <c r="AG167" s="20"/>
    </row>
    <row r="168" spans="2:33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28"/>
      <c r="T168" s="128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36"/>
      <c r="AF168" s="20"/>
      <c r="AG168" s="20"/>
    </row>
    <row r="169" spans="2:33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3" t="s">
        <v>471</v>
      </c>
      <c r="S169" s="23"/>
      <c r="T169" s="23" t="s">
        <v>472</v>
      </c>
      <c r="U169" s="122" t="s">
        <v>66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136"/>
      <c r="AF169" s="20"/>
      <c r="AG169" s="20"/>
    </row>
    <row r="170" spans="2:33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5"/>
      <c r="R170" s="133">
        <f>AVERAGE(N102:R102)</f>
        <v>5.5685877991236952</v>
      </c>
      <c r="S170" s="158">
        <f>AVERAGE(H72:R72)</f>
        <v>55.538420804219022</v>
      </c>
      <c r="T170" s="158">
        <f>AVERAGE(H102:R102)</f>
        <v>4.9428562674265413</v>
      </c>
      <c r="U170" s="192" t="s">
        <v>427</v>
      </c>
      <c r="V170" s="193" t="s">
        <v>428</v>
      </c>
      <c r="W170" s="20"/>
      <c r="X170" s="20"/>
      <c r="Y170" s="20"/>
      <c r="Z170" s="20"/>
      <c r="AA170" s="20"/>
      <c r="AB170" s="20"/>
      <c r="AC170" s="20"/>
      <c r="AD170" s="20"/>
      <c r="AE170" s="136"/>
      <c r="AF170" s="20"/>
      <c r="AG170" s="20"/>
    </row>
    <row r="171" spans="2:33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139">
        <f>U171+V171</f>
        <v>-117.05997718540426</v>
      </c>
      <c r="U171" s="133">
        <f>PV($C$1, ($AD$3-$U$3), 0, -AD72)</f>
        <v>-16.31163616517928</v>
      </c>
      <c r="V171" s="133">
        <f>PV($C$1, ($AD$3-$U$3), 0, -AG72)</f>
        <v>-100.74834102022498</v>
      </c>
      <c r="W171" s="20"/>
      <c r="X171" s="20"/>
      <c r="Y171" s="20"/>
      <c r="Z171" s="20"/>
      <c r="AA171" s="20"/>
      <c r="AB171" s="20"/>
      <c r="AC171" s="20"/>
      <c r="AD171" s="20"/>
      <c r="AE171" s="136"/>
      <c r="AF171" s="20"/>
      <c r="AG171" s="20"/>
    </row>
    <row r="172" spans="2:33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139">
        <f t="shared" ref="T172:T190" si="423">U172+V172</f>
        <v>554.52442371086386</v>
      </c>
      <c r="U172" s="133">
        <f>PV($C$1, ($AD$3-$U$3), 0, -AD74)</f>
        <v>77.269796746595773</v>
      </c>
      <c r="V172" s="133">
        <f>PV($C$1, ($AD$3-$U$3), 0, -AG74)</f>
        <v>477.25462696426808</v>
      </c>
      <c r="W172" s="20"/>
      <c r="X172" s="20"/>
      <c r="Y172" s="20"/>
      <c r="Z172" s="20"/>
      <c r="AA172" s="20"/>
      <c r="AB172" s="20"/>
      <c r="AC172" s="20"/>
      <c r="AD172" s="20"/>
      <c r="AE172" s="136"/>
      <c r="AF172" s="20"/>
      <c r="AG172" s="20"/>
    </row>
    <row r="173" spans="2:33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139">
        <f t="shared" si="423"/>
        <v>551.46746308270372</v>
      </c>
      <c r="U173" s="133">
        <f>PV($C$1, ($AD$3-$U$3), 0, -AD75)</f>
        <v>76.843826822999688</v>
      </c>
      <c r="V173" s="133">
        <f>PV($C$1, ($AD$3-$U$3), 0, -AG75)</f>
        <v>474.62363625970403</v>
      </c>
      <c r="W173" s="20"/>
      <c r="X173" s="20"/>
      <c r="Y173" s="20"/>
      <c r="Z173" s="20"/>
      <c r="AA173" s="20"/>
      <c r="AB173" s="20"/>
      <c r="AC173" s="20"/>
      <c r="AD173" s="20"/>
      <c r="AE173" s="136"/>
      <c r="AF173" s="20"/>
      <c r="AG173" s="20"/>
    </row>
    <row r="174" spans="2:33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139">
        <f t="shared" si="423"/>
        <v>740.72111651698026</v>
      </c>
      <c r="U174" s="133">
        <f>PV($C$1, ($AD$3-$U$3), 0, -AD76)</f>
        <v>103.21523754744807</v>
      </c>
      <c r="V174" s="133">
        <f>PV($C$1, ($AD$3-$U$3), 0, -AG76)</f>
        <v>637.5058789695322</v>
      </c>
      <c r="W174" s="20"/>
      <c r="X174" s="20"/>
      <c r="Y174" s="20"/>
      <c r="Z174" s="20"/>
      <c r="AA174" s="20"/>
      <c r="AB174" s="20"/>
      <c r="AC174" s="20"/>
      <c r="AD174" s="20"/>
      <c r="AE174" s="136"/>
      <c r="AF174" s="20"/>
      <c r="AG174" s="20"/>
    </row>
    <row r="175" spans="2:33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139">
        <f t="shared" si="423"/>
        <v>58.627770161616354</v>
      </c>
      <c r="U175" s="133">
        <f>PV($C$1, ($AD$3-$U$3), 0, -AD82)</f>
        <v>8.1694433831760485</v>
      </c>
      <c r="V175" s="133">
        <f>PV($C$1, ($AD$3-$U$3), 0, -AG82)</f>
        <v>50.458326778440302</v>
      </c>
      <c r="W175" s="20"/>
      <c r="X175" s="20"/>
      <c r="Y175" s="20"/>
      <c r="Z175" s="20"/>
      <c r="AA175" s="20"/>
      <c r="AB175" s="20"/>
      <c r="AC175" s="20"/>
      <c r="AD175" s="20"/>
      <c r="AE175" s="136"/>
      <c r="AF175" s="20"/>
      <c r="AG175" s="20"/>
    </row>
    <row r="176" spans="2:33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139"/>
      <c r="U176" s="133"/>
      <c r="V176" s="20"/>
      <c r="W176" s="20"/>
      <c r="X176" s="20"/>
      <c r="Y176" s="20"/>
      <c r="Z176" s="20"/>
      <c r="AA176" s="20"/>
      <c r="AB176" s="20"/>
      <c r="AC176" s="20"/>
      <c r="AD176" s="20"/>
      <c r="AE176" s="136"/>
      <c r="AF176" s="20"/>
      <c r="AG176" s="20"/>
    </row>
    <row r="177" spans="2:33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139">
        <f t="shared" si="423"/>
        <v>-186.19669280611643</v>
      </c>
      <c r="U177" s="133">
        <f>PV($C$1, ($AD$3-$U$3), 0, -AD78)</f>
        <v>-25.945440800852285</v>
      </c>
      <c r="V177" s="133">
        <f>PV($C$1, ($AD$3-$U$3), 0, -$AG$78)</f>
        <v>-160.25125200526415</v>
      </c>
      <c r="W177" s="20"/>
      <c r="X177" s="20"/>
      <c r="Y177" s="20"/>
      <c r="Z177" s="20"/>
      <c r="AA177" s="20"/>
      <c r="AB177" s="20"/>
      <c r="AC177" s="20"/>
      <c r="AD177" s="20"/>
      <c r="AE177" s="136"/>
      <c r="AF177" s="20"/>
      <c r="AG177" s="20"/>
    </row>
    <row r="178" spans="2:33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139">
        <f t="shared" si="423"/>
        <v>-444.71057542183911</v>
      </c>
      <c r="U178" s="133">
        <f>PV($C$1, ($AD$3-$U$3), 0, -AD79)</f>
        <v>-61.967867066977568</v>
      </c>
      <c r="V178" s="133">
        <f>PV($C$1, ($AD$3-$U$3), 0, -$AG$79)</f>
        <v>-382.74270835486152</v>
      </c>
      <c r="W178" s="20"/>
      <c r="X178" s="20"/>
      <c r="Y178" s="20"/>
      <c r="Z178" s="20"/>
      <c r="AA178" s="20"/>
      <c r="AB178" s="20"/>
      <c r="AC178" s="20"/>
      <c r="AD178" s="20"/>
      <c r="AE178" s="136"/>
      <c r="AF178" s="20"/>
      <c r="AG178" s="20"/>
    </row>
    <row r="179" spans="2:33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139">
        <f t="shared" si="423"/>
        <v>-259.17262160630247</v>
      </c>
      <c r="U179" s="133">
        <f>PV($C$1, ($AD$3-$U$3), 0, -AD80)</f>
        <v>-36.114217764812629</v>
      </c>
      <c r="V179" s="133">
        <f>PV($C$1, ($AD$3-$U$3), 0, -$AG$80)</f>
        <v>-223.05840384148982</v>
      </c>
      <c r="W179" s="20"/>
      <c r="X179" s="20"/>
      <c r="Y179" s="20"/>
      <c r="Z179" s="20"/>
      <c r="AA179" s="20"/>
      <c r="AB179" s="20"/>
      <c r="AC179" s="20"/>
      <c r="AD179" s="20"/>
      <c r="AE179" s="136"/>
      <c r="AF179" s="20"/>
      <c r="AG179" s="20"/>
    </row>
    <row r="180" spans="2:33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139"/>
      <c r="U180" s="133"/>
      <c r="V180" s="20"/>
      <c r="W180" s="20"/>
      <c r="X180" s="20"/>
      <c r="Y180" s="20"/>
      <c r="Z180" s="20"/>
      <c r="AA180" s="20"/>
      <c r="AB180" s="20"/>
      <c r="AC180" s="20"/>
      <c r="AD180" s="20"/>
      <c r="AE180" s="136"/>
      <c r="AF180" s="20"/>
      <c r="AG180" s="20"/>
    </row>
    <row r="181" spans="2:33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139">
        <f t="shared" si="423"/>
        <v>185.53795381553658</v>
      </c>
      <c r="U181" s="133">
        <f>PV($C$1, ($AD$3-$U$3), 0, -AD85)</f>
        <v>25.853649302164932</v>
      </c>
      <c r="V181" s="133">
        <f>PV($C$1, ($AD$3-$U$3), 0, -AG85)</f>
        <v>159.68430451337164</v>
      </c>
      <c r="W181" s="20"/>
      <c r="X181" s="20"/>
      <c r="Y181" s="20"/>
      <c r="Z181" s="20"/>
      <c r="AA181" s="20"/>
      <c r="AB181" s="20"/>
      <c r="AC181" s="20"/>
      <c r="AD181" s="20"/>
      <c r="AE181" s="136"/>
      <c r="AF181" s="20"/>
      <c r="AG181" s="20"/>
    </row>
    <row r="182" spans="2:33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139">
        <f t="shared" si="423"/>
        <v>102.67205092311342</v>
      </c>
      <c r="U182" s="133">
        <f>PV($C$1, ($AD$3-$U$3), 0, -AD86)</f>
        <v>18.514632133676191</v>
      </c>
      <c r="V182" s="133">
        <f>PV($C$1, ($AD$3-$U$3), 0, -AG86)</f>
        <v>84.15741878943723</v>
      </c>
      <c r="W182" s="20"/>
      <c r="X182" s="20"/>
      <c r="Y182" s="20"/>
      <c r="Z182" s="20"/>
      <c r="AA182" s="20"/>
      <c r="AB182" s="20"/>
      <c r="AC182" s="20"/>
      <c r="AD182" s="20"/>
      <c r="AE182" s="136"/>
      <c r="AF182" s="20"/>
      <c r="AG182" s="20"/>
    </row>
    <row r="183" spans="2:33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139"/>
      <c r="U183" s="133"/>
      <c r="V183" s="133"/>
      <c r="W183" s="20"/>
      <c r="X183" s="20"/>
      <c r="Y183" s="20"/>
      <c r="Z183" s="20"/>
      <c r="AA183" s="20"/>
      <c r="AB183" s="20"/>
      <c r="AC183" s="20"/>
      <c r="AD183" s="20"/>
      <c r="AE183" s="136"/>
      <c r="AF183" s="20"/>
      <c r="AG183" s="20"/>
    </row>
    <row r="184" spans="2:33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139">
        <f t="shared" ref="T184" si="424">U184+V184</f>
        <v>21204.236553667281</v>
      </c>
      <c r="U184" s="133">
        <f>PV($C$1, ($AD$3-$U$3), 0, -AD12)</f>
        <v>2954.6887001011778</v>
      </c>
      <c r="V184" s="133">
        <f>PV($C$1, ($AD$3-$U$3), 0, -AG12)</f>
        <v>18249.547853566102</v>
      </c>
      <c r="W184" s="20"/>
      <c r="X184" s="20"/>
      <c r="Y184" s="20"/>
      <c r="Z184" s="20"/>
      <c r="AA184" s="20"/>
      <c r="AB184" s="20"/>
      <c r="AC184" s="20"/>
      <c r="AD184" s="20"/>
      <c r="AE184" s="136"/>
      <c r="AF184" s="20"/>
      <c r="AG184" s="20"/>
    </row>
    <row r="185" spans="2:33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139">
        <f>U185+V185</f>
        <v>71.515131715572608</v>
      </c>
      <c r="U185" s="139">
        <f>U184/Q57</f>
        <v>9.965223271842083</v>
      </c>
      <c r="V185" s="139">
        <f>V184/Q57</f>
        <v>61.54990844373053</v>
      </c>
      <c r="W185" s="20"/>
      <c r="X185" s="20"/>
      <c r="Y185" s="20"/>
      <c r="Z185" s="20"/>
      <c r="AA185" s="20"/>
      <c r="AB185" s="20"/>
      <c r="AC185" s="20"/>
      <c r="AD185" s="20"/>
      <c r="AE185" s="136"/>
      <c r="AF185" s="20"/>
      <c r="AG185" s="20"/>
    </row>
    <row r="186" spans="2:33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139"/>
      <c r="U186" s="139"/>
      <c r="V186" s="139"/>
      <c r="W186" s="20"/>
      <c r="X186" s="20"/>
      <c r="Y186" s="20"/>
      <c r="Z186" s="20"/>
      <c r="AA186" s="20"/>
      <c r="AB186" s="20"/>
      <c r="AC186" s="20"/>
      <c r="AD186" s="20"/>
      <c r="AE186" s="136"/>
      <c r="AF186" s="20"/>
      <c r="AG186" s="20"/>
    </row>
    <row r="187" spans="2:33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139"/>
      <c r="U187" s="133"/>
      <c r="V187" s="133"/>
      <c r="W187" s="20"/>
      <c r="X187" s="20"/>
      <c r="Y187" s="20"/>
      <c r="Z187" s="20"/>
      <c r="AA187" s="20"/>
      <c r="AB187" s="20"/>
      <c r="AC187" s="20"/>
      <c r="AD187" s="20"/>
      <c r="AE187" s="136"/>
      <c r="AF187" s="20"/>
      <c r="AG187" s="20"/>
    </row>
    <row r="188" spans="2:33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139">
        <f t="shared" ref="T188" si="425">U188+V188</f>
        <v>38.854408239662682</v>
      </c>
      <c r="U188" s="133">
        <f>PV($C$1, ($AD$3-$U$3), 0, -AD88)+PV($C$1, ($AC$3-$U$3), 0, -AD88)+PV($C$1, ($AB$3-$U$3), 0, -AD88)+PV($C$1, ($AA$3-$U$3), 0, -AD88)+PV($C$1, ($Z$3-$U$3), 0, -AD88)+PV($C$1, ($Y$3-$U$3), 0, -AD88)+PV($C$1, ($X$3-$U$3), 0, -AD88)+PV($C$1, ($W$3-$U$3), 0, -AD88)+PV($C$1, ($V$3-$U$3), 0, -AD88)+PV($C$1, ($U$3-$U$3), 0, -AD88)</f>
        <v>31.965050304182775</v>
      </c>
      <c r="V188" s="133">
        <f>PV($C$1, ($AD$3-$U$3), 0, -AG88)</f>
        <v>6.889357935479909</v>
      </c>
      <c r="W188" s="20"/>
      <c r="X188" s="20"/>
      <c r="Y188" s="20"/>
      <c r="Z188" s="20"/>
      <c r="AA188" s="20"/>
      <c r="AB188" s="20"/>
      <c r="AC188" s="20"/>
      <c r="AD188" s="20"/>
      <c r="AE188" s="136"/>
      <c r="AF188" s="20"/>
      <c r="AG188" s="20"/>
    </row>
    <row r="189" spans="2:33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139"/>
      <c r="U189" s="133"/>
      <c r="V189" s="133"/>
      <c r="W189" s="20"/>
      <c r="X189" s="20"/>
      <c r="Y189" s="20"/>
      <c r="Z189" s="20"/>
      <c r="AA189" s="20"/>
      <c r="AB189" s="20"/>
      <c r="AC189" s="20"/>
      <c r="AD189" s="20"/>
      <c r="AE189" s="136"/>
      <c r="AF189" s="20"/>
      <c r="AG189" s="20"/>
    </row>
    <row r="190" spans="2:33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139">
        <f t="shared" si="423"/>
        <v>110530.50613814824</v>
      </c>
      <c r="U190" s="133">
        <f>PV($C$1, ($AD$3-$U$3), 0, -AD90)+PV($C$1, ($AC$3-$U$3), 0, -AD90)+PV($C$1, ($AB$3-$U$3), 0, -AD90)+PV($C$1, ($AA$3-$U$3), 0, -AD90)+PV($C$1, ($Z$3-$U$3), 0, -AD90)+PV($C$1, ($Y$3-$U$3), 0, -AD90)+PV($C$1, ($X$3-$U$3), 0, -AD90)+PV($C$1, ($W$3-$U$3), 0, -AD90)+PV($C$1, ($V$3-$U$3), 0, -AD90)+PV($C$1, ($U$3-$U$3), 0, -AD90)</f>
        <v>90932.106520826637</v>
      </c>
      <c r="V190" s="133">
        <f>PV($C$1, ($AD$3-$U$3), 0, -AG90)</f>
        <v>19598.3996173216</v>
      </c>
      <c r="W190" s="20"/>
      <c r="X190" s="20"/>
      <c r="Y190" s="20"/>
      <c r="Z190" s="20"/>
      <c r="AA190" s="20"/>
      <c r="AB190" s="20"/>
      <c r="AC190" s="20"/>
      <c r="AD190" s="20"/>
      <c r="AE190" s="136"/>
      <c r="AF190" s="20"/>
      <c r="AG190" s="20"/>
    </row>
    <row r="191" spans="2:33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139"/>
      <c r="U191" s="133"/>
      <c r="V191" s="133"/>
      <c r="W191" s="20"/>
      <c r="X191" s="20"/>
      <c r="Y191" s="20"/>
      <c r="Z191" s="20"/>
      <c r="AA191" s="20"/>
      <c r="AB191" s="20"/>
      <c r="AC191" s="20"/>
      <c r="AD191" s="20"/>
      <c r="AE191" s="136"/>
      <c r="AF191" s="20"/>
      <c r="AG191" s="20"/>
    </row>
    <row r="192" spans="2:33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39">
        <f t="shared" ref="T192:T195" si="426">U192+V192</f>
        <v>305.60671653107613</v>
      </c>
      <c r="U192" s="133">
        <f>PV($C$1, ($AD$3-$U$3), 0, -AD92)+PV($C$1, ($AC$3-$U$3), 0, -AD92)+PV($C$1, ($AB$3-$U$3), 0, -AD92)+PV($C$1, ($AA$3-$U$3), 0, -AD92)+PV($C$1, ($Z$3-$U$3), 0, -AD92)+PV($C$1, ($Y$3-$U$3), 0, -AD92)+PV($C$1, ($X$3-$U$3), 0, -AD92)+PV($C$1, ($W$3-$U$3), 0, -AD92)+PV($C$1, ($V$3-$U$3), 0, -AD92)+PV($C$1, ($U$3-$U$3), 0, -AD92)</f>
        <v>251.41893828252989</v>
      </c>
      <c r="V192" s="133">
        <f>PV($C$1, ($AD$3-$U$3), 0, -AG92)</f>
        <v>54.187778248546216</v>
      </c>
      <c r="W192" s="20"/>
      <c r="X192" s="20"/>
      <c r="Y192" s="20"/>
      <c r="Z192" s="20"/>
      <c r="AA192" s="20"/>
      <c r="AB192" s="20"/>
      <c r="AC192" s="20"/>
      <c r="AD192" s="20"/>
      <c r="AE192" s="136"/>
      <c r="AF192" s="20"/>
      <c r="AG192" s="20"/>
    </row>
    <row r="193" spans="2:33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39">
        <f t="shared" si="426"/>
        <v>211.83136800584646</v>
      </c>
      <c r="U193" s="133">
        <f>PV($C$1, ($AD$3-$U$3), 0, -AD93)+PV($C$1, ($AC$3-$U$3), 0, -AD93)+PV($C$1, ($AB$3-$U$3), 0, -AD93)+PV($C$1, ($AA$3-$U$3), 0, -AD93)+PV($C$1, ($Z$3-$U$3), 0, -AD93)+PV($C$1, ($Y$3-$U$3), 0, -AD93)+PV($C$1, ($X$3-$U$3), 0, -AD93)+PV($C$1, ($W$3-$U$3), 0, -AD93)+PV($C$1, ($V$3-$U$3), 0, -AD93)+PV($C$1, ($U$3-$U$3), 0, -AD93)</f>
        <v>174.27109666796252</v>
      </c>
      <c r="V193" s="133">
        <f>PV($C$1, ($AD$3-$U$3), 0, -AG93)</f>
        <v>37.560271337883918</v>
      </c>
      <c r="W193" s="20"/>
      <c r="X193" s="20"/>
      <c r="Y193" s="20"/>
      <c r="Z193" s="20"/>
      <c r="AA193" s="20"/>
      <c r="AB193" s="20"/>
      <c r="AC193" s="20"/>
      <c r="AD193" s="20"/>
      <c r="AE193" s="136"/>
      <c r="AF193" s="20"/>
      <c r="AG193" s="20"/>
    </row>
    <row r="194" spans="2:33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139">
        <f t="shared" si="426"/>
        <v>93.77534852522966</v>
      </c>
      <c r="U194" s="133">
        <f>PV($C$1, ($AD$3-$U$3), 0, -AD94)+PV($C$1, ($AC$3-$U$3), 0, -AD94)+PV($C$1, ($AB$3-$U$3), 0, -AD94)+PV($C$1, ($AA$3-$U$3), 0, -AD94)+PV($C$1, ($Z$3-$U$3), 0, -AD94)+PV($C$1, ($Y$3-$U$3), 0, -AD94)+PV($C$1, ($X$3-$U$3), 0, -AD94)+PV($C$1, ($W$3-$U$3), 0, -AD94)+PV($C$1, ($V$3-$U$3), 0, -AD94)+PV($C$1, ($U$3-$U$3), 0, -AD94)</f>
        <v>77.147841614567369</v>
      </c>
      <c r="V194" s="133">
        <f>PV($C$1, ($AD$3-$U$3), 0, -AG94)</f>
        <v>16.627506910662291</v>
      </c>
      <c r="W194" s="20"/>
      <c r="X194" s="20"/>
      <c r="Y194" s="20"/>
      <c r="Z194" s="20"/>
      <c r="AA194" s="20"/>
      <c r="AB194" s="20"/>
      <c r="AC194" s="20"/>
      <c r="AD194" s="20"/>
      <c r="AE194" s="136"/>
      <c r="AF194" s="20"/>
      <c r="AG194" s="20"/>
    </row>
    <row r="195" spans="2:33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139">
        <f t="shared" si="426"/>
        <v>-309.40369388212446</v>
      </c>
      <c r="U195" s="133">
        <f>PV($C$1, ($AD$3-$U$3), 0, -AD95)+PV($C$1, ($AC$3-$U$3), 0, -AD95)+PV($C$1, ($AB$3-$U$3), 0, -AD95)+PV($C$1, ($AA$3-$U$3), 0, -AD95)+PV($C$1, ($Z$3-$U$3), 0, -AD95)+PV($C$1, ($Y$3-$U$3), 0, -AD95)+PV($C$1, ($X$3-$U$3), 0, -AD95)+PV($C$1, ($W$3-$U$3), 0, -AD95)+PV($C$1, ($V$3-$U$3), 0, -AD95)+PV($C$1, ($U$3-$U$3), 0, -AD95)</f>
        <v>-254.54266548695574</v>
      </c>
      <c r="V195" s="133">
        <f>PV($C$1, ($AD$3-$U$3), 0, -AG95)</f>
        <v>-54.861028395168688</v>
      </c>
      <c r="W195" s="20"/>
      <c r="X195" s="20"/>
      <c r="Y195" s="20"/>
      <c r="Z195" s="20"/>
      <c r="AA195" s="20"/>
      <c r="AB195" s="20"/>
      <c r="AC195" s="20"/>
      <c r="AD195" s="20"/>
      <c r="AE195" s="136"/>
      <c r="AF195" s="20"/>
      <c r="AG195" s="20"/>
    </row>
    <row r="196" spans="2:33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110">
        <f>T193+T194+T195</f>
        <v>-3.7969773510483265</v>
      </c>
      <c r="U196" s="110">
        <f t="shared" ref="U196:V196" si="427">U193+U194+U195</f>
        <v>-3.1237272044258475</v>
      </c>
      <c r="V196" s="110">
        <f t="shared" si="427"/>
        <v>-0.67325014662247895</v>
      </c>
      <c r="W196" s="20"/>
      <c r="X196" s="20"/>
      <c r="Y196" s="20"/>
      <c r="Z196" s="20"/>
      <c r="AA196" s="20"/>
      <c r="AB196" s="20"/>
      <c r="AC196" s="20"/>
      <c r="AD196" s="20"/>
      <c r="AE196" s="136"/>
      <c r="AF196" s="20"/>
      <c r="AG196" s="20"/>
    </row>
    <row r="197" spans="2:33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139"/>
      <c r="U197" s="133"/>
      <c r="V197" s="133"/>
      <c r="W197" s="20"/>
      <c r="X197" s="20"/>
      <c r="Y197" s="20"/>
      <c r="Z197" s="20"/>
      <c r="AA197" s="20"/>
      <c r="AB197" s="20"/>
      <c r="AC197" s="20"/>
      <c r="AD197" s="20"/>
      <c r="AE197" s="136"/>
      <c r="AF197" s="20"/>
      <c r="AG197" s="20"/>
    </row>
    <row r="198" spans="2:33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139">
        <f>U198+V198</f>
        <v>-3.7969773510481919</v>
      </c>
      <c r="U198" s="133">
        <f>PV($C$1, ($AD$3-$U$3), 0, -AD96)+PV($C$1, ($AC$3-$U$3), 0, -AD96)+PV($C$1, ($AB$3-$U$3), 0, -AD96)+PV($C$1, ($AA$3-$U$3), 0, -AD96)+PV($C$1, ($Z$3-$U$3), 0, -AD96)+PV($C$1, ($Y$3-$U$3), 0, -AD96)+PV($C$1, ($X$3-$U$3), 0, -AD96)+PV($C$1, ($W$3-$U$3), 0, -AD96)+PV($C$1, ($V$3-$U$3), 0, -AD96)+PV($C$1, ($U$3-$U$3), 0, -AD96)</f>
        <v>-3.123727204425744</v>
      </c>
      <c r="V198" s="133">
        <f>PV($C$1, ($AD$3-$U$3), 0, -AG96)</f>
        <v>-0.67325014662244775</v>
      </c>
      <c r="W198" s="20"/>
      <c r="X198" s="20"/>
      <c r="Y198" s="20"/>
      <c r="Z198" s="20"/>
      <c r="AA198" s="20"/>
      <c r="AB198" s="20"/>
      <c r="AC198" s="20"/>
      <c r="AD198" s="20"/>
      <c r="AE198" s="136"/>
      <c r="AF198" s="20"/>
      <c r="AG198" s="20"/>
    </row>
    <row r="199" spans="2:33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181">
        <v>41729</v>
      </c>
      <c r="Q199" s="20">
        <v>200</v>
      </c>
      <c r="R199" s="20"/>
      <c r="S199" s="20"/>
      <c r="T199" s="20"/>
      <c r="U199" s="121"/>
      <c r="V199" s="20"/>
      <c r="W199" s="20"/>
      <c r="X199" s="20"/>
      <c r="Y199" s="20"/>
      <c r="Z199" s="20"/>
      <c r="AA199" s="20"/>
      <c r="AB199" s="20"/>
      <c r="AC199" s="20"/>
      <c r="AD199" s="20"/>
      <c r="AE199" s="136"/>
      <c r="AF199" s="20"/>
      <c r="AG199" s="20"/>
    </row>
    <row r="200" spans="2:33">
      <c r="B200" s="108" t="s">
        <v>251</v>
      </c>
      <c r="C200" s="20"/>
      <c r="D200" s="20"/>
      <c r="E200" s="20"/>
      <c r="F200" s="20"/>
      <c r="G200" s="199" t="s">
        <v>470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23" t="s">
        <v>388</v>
      </c>
      <c r="Q200" s="20">
        <v>87</v>
      </c>
      <c r="R200" s="20"/>
      <c r="S200" s="20" t="s">
        <v>495</v>
      </c>
      <c r="T200" s="23" t="s">
        <v>389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136"/>
      <c r="AF200" s="20"/>
      <c r="AG200" s="20"/>
    </row>
    <row r="201" spans="2:33">
      <c r="B201" s="20" t="s">
        <v>204</v>
      </c>
      <c r="C201" s="22">
        <v>0</v>
      </c>
      <c r="D201" s="22">
        <v>0</v>
      </c>
      <c r="E201" s="22">
        <v>0</v>
      </c>
      <c r="F201" s="22"/>
      <c r="G201" s="22">
        <v>14</v>
      </c>
      <c r="H201" s="22">
        <v>14250</v>
      </c>
      <c r="I201" s="22">
        <v>14</v>
      </c>
      <c r="J201" s="22">
        <v>200</v>
      </c>
      <c r="K201" s="22">
        <v>200</v>
      </c>
      <c r="L201" s="22">
        <v>200</v>
      </c>
      <c r="M201" s="22">
        <v>200</v>
      </c>
      <c r="N201" s="22">
        <v>200</v>
      </c>
      <c r="O201" s="22">
        <v>200</v>
      </c>
      <c r="P201" s="22">
        <v>138</v>
      </c>
      <c r="Q201" s="22">
        <v>190</v>
      </c>
      <c r="R201" s="22">
        <v>87</v>
      </c>
      <c r="S201" s="118">
        <f t="shared" ref="S201:S208" si="428">((Q201/H201)^(1/($I$2-$I$1) ))-1</f>
        <v>-0.32463292385451625</v>
      </c>
      <c r="T201" s="31">
        <v>0</v>
      </c>
      <c r="U201" s="195">
        <v>50</v>
      </c>
      <c r="V201" s="119">
        <f t="shared" ref="V201:AD201" si="429">U201*(1+$T201)</f>
        <v>50</v>
      </c>
      <c r="W201" s="119">
        <f t="shared" si="429"/>
        <v>50</v>
      </c>
      <c r="X201" s="119">
        <f t="shared" si="429"/>
        <v>50</v>
      </c>
      <c r="Y201" s="119">
        <f t="shared" si="429"/>
        <v>50</v>
      </c>
      <c r="Z201" s="119">
        <f t="shared" si="429"/>
        <v>50</v>
      </c>
      <c r="AA201" s="119">
        <f t="shared" si="429"/>
        <v>50</v>
      </c>
      <c r="AB201" s="119">
        <f t="shared" si="429"/>
        <v>50</v>
      </c>
      <c r="AC201" s="119">
        <f t="shared" si="429"/>
        <v>50</v>
      </c>
      <c r="AD201" s="119">
        <f t="shared" si="429"/>
        <v>50</v>
      </c>
      <c r="AE201" s="137">
        <f t="shared" ref="AE201:AE208" si="430">((AD201/H201)^(1/($AD$3-$I$1) ))-1</f>
        <v>-0.2359836973081354</v>
      </c>
      <c r="AF201" s="31">
        <f t="shared" ref="AF201:AF208" si="431">$M$1</f>
        <v>0.05</v>
      </c>
      <c r="AG201" s="127">
        <f t="shared" ref="AG201:AG212" si="432">(AD201*(1+AE201))/($C$1-AF201)</f>
        <v>224.71067726231311</v>
      </c>
    </row>
    <row r="202" spans="2:33">
      <c r="B202" s="20" t="s">
        <v>359</v>
      </c>
      <c r="C202" s="25"/>
      <c r="D202" s="25"/>
      <c r="E202" s="25"/>
      <c r="F202" s="25"/>
      <c r="G202" s="25"/>
      <c r="H202" s="25">
        <f t="shared" ref="H202:R202" si="433">H201/H66</f>
        <v>33.789668674698795</v>
      </c>
      <c r="I202" s="25">
        <f t="shared" si="433"/>
        <v>2.8101376848546661E-2</v>
      </c>
      <c r="J202" s="25">
        <f t="shared" si="433"/>
        <v>0.34710758377425038</v>
      </c>
      <c r="K202" s="25">
        <f t="shared" si="433"/>
        <v>4.0020335536349769</v>
      </c>
      <c r="L202" s="25">
        <f t="shared" si="433"/>
        <v>3.1050074738415545</v>
      </c>
      <c r="M202" s="25">
        <f t="shared" si="433"/>
        <v>2.3032571032571036</v>
      </c>
      <c r="N202" s="25">
        <f t="shared" si="433"/>
        <v>1.6133283831446072</v>
      </c>
      <c r="O202" s="25">
        <f t="shared" si="433"/>
        <v>1.9075943810359965</v>
      </c>
      <c r="P202" s="25">
        <f t="shared" si="433"/>
        <v>3.835490885833067</v>
      </c>
      <c r="Q202" s="25">
        <f t="shared" si="433"/>
        <v>0.81919178699704809</v>
      </c>
      <c r="R202" s="25">
        <f t="shared" si="433"/>
        <v>0.47361381233716193</v>
      </c>
      <c r="S202" s="118">
        <f t="shared" ref="S202" si="434">((Q202/H202)^(1/($I$2-$I$1) ))-1</f>
        <v>-0.28690793288299865</v>
      </c>
      <c r="T202" s="128"/>
      <c r="U202" s="25">
        <f t="shared" ref="U202:AD202" si="435">U201/U66</f>
        <v>0.24788900276267711</v>
      </c>
      <c r="V202" s="25">
        <f t="shared" si="435"/>
        <v>0.22575605608743807</v>
      </c>
      <c r="W202" s="25">
        <f t="shared" si="435"/>
        <v>0.20559926536534534</v>
      </c>
      <c r="X202" s="25">
        <f t="shared" si="435"/>
        <v>0.18724218810058238</v>
      </c>
      <c r="Y202" s="25">
        <f t="shared" si="435"/>
        <v>0.17052413559160179</v>
      </c>
      <c r="Z202" s="25">
        <f t="shared" si="435"/>
        <v>0.1552987663423516</v>
      </c>
      <c r="AA202" s="25">
        <f t="shared" si="435"/>
        <v>0.14143280506178449</v>
      </c>
      <c r="AB202" s="25">
        <f t="shared" si="435"/>
        <v>0.1288048760384109</v>
      </c>
      <c r="AC202" s="25">
        <f t="shared" si="435"/>
        <v>0.11730444067783848</v>
      </c>
      <c r="AD202" s="25">
        <f t="shared" si="435"/>
        <v>0.10683082990303147</v>
      </c>
      <c r="AE202" s="137">
        <f t="shared" ref="AE202" si="436">((AD202/H202)^(1/($AD$3-$I$1) ))-1</f>
        <v>-0.23976436565487014</v>
      </c>
      <c r="AF202" s="31">
        <f t="shared" si="431"/>
        <v>0.05</v>
      </c>
      <c r="AG202" s="127">
        <f t="shared" ref="AG202" si="437">(AD202*(1+AE202))/($C$1-AF202)</f>
        <v>0.47774472787616362</v>
      </c>
    </row>
    <row r="203" spans="2:33">
      <c r="B203" s="20" t="s">
        <v>387</v>
      </c>
      <c r="C203" s="25"/>
      <c r="D203" s="25"/>
      <c r="E203" s="25"/>
      <c r="F203" s="25"/>
      <c r="G203" s="25"/>
      <c r="H203" s="25">
        <f t="shared" ref="H203:R203" si="438">H201/H72</f>
        <v>117.83792016806723</v>
      </c>
      <c r="I203" s="25">
        <f t="shared" si="438"/>
        <v>9.6004878048780495E-2</v>
      </c>
      <c r="J203" s="25">
        <f t="shared" si="438"/>
        <v>1.2092780337941627</v>
      </c>
      <c r="K203" s="25">
        <f t="shared" si="438"/>
        <v>10.163976759199484</v>
      </c>
      <c r="L203" s="25">
        <f t="shared" si="438"/>
        <v>8.3298245614035089</v>
      </c>
      <c r="M203" s="25">
        <f t="shared" si="438"/>
        <v>6.3282559025133285</v>
      </c>
      <c r="N203" s="25">
        <f t="shared" si="438"/>
        <v>4.1170061582188531</v>
      </c>
      <c r="O203" s="25">
        <f t="shared" si="438"/>
        <v>6.2955450923578411</v>
      </c>
      <c r="P203" s="25">
        <f t="shared" si="438"/>
        <v>5.1875346020761244</v>
      </c>
      <c r="Q203" s="25">
        <f t="shared" si="438"/>
        <v>5.4487861495309025</v>
      </c>
      <c r="R203" s="25">
        <f t="shared" si="438"/>
        <v>-2.2696649960432604</v>
      </c>
      <c r="S203" s="118">
        <f t="shared" si="428"/>
        <v>-0.24379821265612434</v>
      </c>
      <c r="T203" s="128"/>
      <c r="U203" s="119">
        <f t="shared" ref="U203:AD203" si="439">U201/U72</f>
        <v>-1.1879404228058934</v>
      </c>
      <c r="V203" s="119">
        <f t="shared" si="439"/>
        <v>-1.0818743136267959</v>
      </c>
      <c r="W203" s="119">
        <f t="shared" si="439"/>
        <v>-0.98527839276726037</v>
      </c>
      <c r="X203" s="119">
        <f t="shared" si="439"/>
        <v>-0.89730710769875477</v>
      </c>
      <c r="Y203" s="119">
        <f t="shared" si="439"/>
        <v>-0.81719040165422308</v>
      </c>
      <c r="Z203" s="119">
        <f t="shared" si="439"/>
        <v>-0.74422697293509599</v>
      </c>
      <c r="AA203" s="119">
        <f t="shared" si="439"/>
        <v>-0.67777813606589099</v>
      </c>
      <c r="AB203" s="119">
        <f t="shared" si="439"/>
        <v>-0.61726223106000788</v>
      </c>
      <c r="AC203" s="119">
        <f t="shared" si="439"/>
        <v>-0.56214953185822136</v>
      </c>
      <c r="AD203" s="119">
        <f t="shared" si="439"/>
        <v>-0.5119576093708802</v>
      </c>
      <c r="AE203" s="137">
        <f t="shared" si="430"/>
        <v>-1.7718295073421184</v>
      </c>
      <c r="AF203" s="31">
        <f t="shared" si="431"/>
        <v>0.05</v>
      </c>
      <c r="AG203" s="127">
        <f t="shared" si="432"/>
        <v>2.3243764083575011</v>
      </c>
    </row>
    <row r="204" spans="2:33">
      <c r="B204" s="20" t="s">
        <v>462</v>
      </c>
      <c r="C204" s="25"/>
      <c r="D204" s="25"/>
      <c r="E204" s="25"/>
      <c r="F204" s="25"/>
      <c r="G204" s="25"/>
      <c r="H204" s="25">
        <f t="shared" ref="H204:R204" si="440">H201/H70</f>
        <v>61.101143790849669</v>
      </c>
      <c r="I204" s="25">
        <f t="shared" si="440"/>
        <v>4.9960834088848598E-2</v>
      </c>
      <c r="J204" s="25">
        <f t="shared" si="440"/>
        <v>0.62678343949044579</v>
      </c>
      <c r="K204" s="25">
        <f t="shared" si="440"/>
        <v>6.0600461893764441</v>
      </c>
      <c r="L204" s="25">
        <f t="shared" si="440"/>
        <v>5.1100861008610083</v>
      </c>
      <c r="M204" s="25">
        <f t="shared" si="440"/>
        <v>4.2996119016817591</v>
      </c>
      <c r="N204" s="25">
        <f t="shared" si="440"/>
        <v>3.3484877672895395</v>
      </c>
      <c r="O204" s="25">
        <f t="shared" si="440"/>
        <v>4.9662857142857142</v>
      </c>
      <c r="P204" s="25">
        <f t="shared" si="440"/>
        <v>25.79264516129032</v>
      </c>
      <c r="Q204" s="25">
        <f t="shared" si="440"/>
        <v>2.8707195271096615</v>
      </c>
      <c r="R204" s="25">
        <f t="shared" si="440"/>
        <v>1.170971692977681</v>
      </c>
      <c r="S204" s="118">
        <f t="shared" si="428"/>
        <v>-0.24270096726683843</v>
      </c>
      <c r="T204" s="128"/>
      <c r="U204" s="25">
        <f t="shared" ref="U204:AD204" si="441">U201/U70</f>
        <v>0.61288543043782562</v>
      </c>
      <c r="V204" s="25">
        <f t="shared" si="441"/>
        <v>0.55816351700587685</v>
      </c>
      <c r="W204" s="25">
        <f t="shared" si="441"/>
        <v>0.50832748870178068</v>
      </c>
      <c r="X204" s="25">
        <f t="shared" si="441"/>
        <v>0.46294110578197872</v>
      </c>
      <c r="Y204" s="25">
        <f t="shared" si="441"/>
        <v>0.42160707848001633</v>
      </c>
      <c r="Z204" s="25">
        <f t="shared" si="441"/>
        <v>0.38396358933001484</v>
      </c>
      <c r="AA204" s="25">
        <f t="shared" si="441"/>
        <v>0.34968112599697776</v>
      </c>
      <c r="AB204" s="25">
        <f t="shared" si="441"/>
        <v>0.31845959689010472</v>
      </c>
      <c r="AC204" s="25">
        <f t="shared" si="441"/>
        <v>0.29002570431063107</v>
      </c>
      <c r="AD204" s="25">
        <f t="shared" si="441"/>
        <v>0.264130552140039</v>
      </c>
      <c r="AE204" s="137">
        <f t="shared" ref="AE204:AE205" si="442">((AD204/H204)^(1/($AD$3-$I$1) ))-1</f>
        <v>-0.22835493031437115</v>
      </c>
      <c r="AF204" s="31">
        <f t="shared" si="431"/>
        <v>0.05</v>
      </c>
      <c r="AG204" s="127">
        <f t="shared" ref="AG204:AG205" si="443">(AD204*(1+AE204))/($C$1-AF204)</f>
        <v>1.1989119900717884</v>
      </c>
    </row>
    <row r="205" spans="2:33">
      <c r="B205" s="20" t="s">
        <v>463</v>
      </c>
      <c r="C205" s="25"/>
      <c r="D205" s="25"/>
      <c r="E205" s="25"/>
      <c r="F205" s="25"/>
      <c r="G205" s="25"/>
      <c r="H205" s="25">
        <f t="shared" ref="H205:R205" si="444">H201/H71</f>
        <v>59.798347547974409</v>
      </c>
      <c r="I205" s="25">
        <f t="shared" si="444"/>
        <v>4.9960834088848598E-2</v>
      </c>
      <c r="J205" s="25">
        <f t="shared" si="444"/>
        <v>0.62678343949044579</v>
      </c>
      <c r="K205" s="25">
        <f t="shared" si="444"/>
        <v>6.0600461893764441</v>
      </c>
      <c r="L205" s="25">
        <f t="shared" si="444"/>
        <v>5.1100861008610083</v>
      </c>
      <c r="M205" s="25">
        <f t="shared" si="444"/>
        <v>4.2996119016817591</v>
      </c>
      <c r="N205" s="25">
        <f t="shared" si="444"/>
        <v>3.3484877672895395</v>
      </c>
      <c r="O205" s="25">
        <f t="shared" si="444"/>
        <v>4.9662857142857142</v>
      </c>
      <c r="P205" s="25">
        <f t="shared" si="444"/>
        <v>25.79264516129032</v>
      </c>
      <c r="Q205" s="25">
        <f t="shared" si="444"/>
        <v>5.9349978929624951</v>
      </c>
      <c r="R205" s="25">
        <f t="shared" si="444"/>
        <v>-2.6007959697732992</v>
      </c>
      <c r="S205" s="118">
        <f t="shared" si="428"/>
        <v>-0.18942395964720038</v>
      </c>
      <c r="T205" s="128"/>
      <c r="U205" s="25">
        <f t="shared" ref="U205:AD205" si="445">U201/U71</f>
        <v>-1.3612540482187836</v>
      </c>
      <c r="V205" s="25">
        <f t="shared" si="445"/>
        <v>-1.2397135081992492</v>
      </c>
      <c r="W205" s="25">
        <f t="shared" si="445"/>
        <v>-1.1290248021100304</v>
      </c>
      <c r="X205" s="25">
        <f t="shared" si="445"/>
        <v>-1.0282190162073488</v>
      </c>
      <c r="Y205" s="25">
        <f t="shared" si="445"/>
        <v>-0.93641374690312118</v>
      </c>
      <c r="Z205" s="25">
        <f t="shared" si="445"/>
        <v>-0.85280537664391376</v>
      </c>
      <c r="AA205" s="25">
        <f t="shared" si="445"/>
        <v>-0.77666203944356427</v>
      </c>
      <c r="AB205" s="25">
        <f t="shared" si="445"/>
        <v>-0.70731721449324614</v>
      </c>
      <c r="AC205" s="25">
        <f t="shared" si="445"/>
        <v>-0.64416389177063482</v>
      </c>
      <c r="AD205" s="25">
        <f t="shared" si="445"/>
        <v>-0.58664925857682804</v>
      </c>
      <c r="AE205" s="137">
        <f t="shared" si="442"/>
        <v>-1.8023542533655039</v>
      </c>
      <c r="AF205" s="31">
        <f t="shared" si="431"/>
        <v>0.05</v>
      </c>
      <c r="AG205" s="127">
        <f t="shared" si="443"/>
        <v>2.7688266344284549</v>
      </c>
    </row>
    <row r="206" spans="2:33">
      <c r="B206" s="20" t="s">
        <v>258</v>
      </c>
      <c r="C206" s="25"/>
      <c r="D206" s="25"/>
      <c r="E206" s="25"/>
      <c r="F206" s="25"/>
      <c r="G206" s="25"/>
      <c r="H206" s="25">
        <f t="shared" ref="H206:R206" si="446">H201/H75</f>
        <v>77.688157894736847</v>
      </c>
      <c r="I206" s="25">
        <f t="shared" si="446"/>
        <v>4.9334646374216647E-2</v>
      </c>
      <c r="J206" s="25">
        <f t="shared" si="446"/>
        <v>0.49730890713834491</v>
      </c>
      <c r="K206" s="25">
        <f t="shared" si="446"/>
        <v>5.3825641025641024</v>
      </c>
      <c r="L206" s="25">
        <f t="shared" si="446"/>
        <v>3.5837826180720298</v>
      </c>
      <c r="M206" s="25">
        <f t="shared" si="446"/>
        <v>2.1212662752106204</v>
      </c>
      <c r="N206" s="25">
        <f t="shared" si="446"/>
        <v>1.366187219995284</v>
      </c>
      <c r="O206" s="25">
        <f t="shared" si="446"/>
        <v>1.1564100858226332</v>
      </c>
      <c r="P206" s="25">
        <f t="shared" si="446"/>
        <v>0.68976190476190469</v>
      </c>
      <c r="Q206" s="25">
        <f t="shared" si="446"/>
        <v>0.77476895147981084</v>
      </c>
      <c r="R206" s="25">
        <f t="shared" si="446"/>
        <v>0.48178170144462279</v>
      </c>
      <c r="S206" s="118">
        <f t="shared" si="428"/>
        <v>-0.34222962792521427</v>
      </c>
      <c r="T206" s="128"/>
      <c r="U206" s="119">
        <f t="shared" ref="U206:AD206" si="447">U201/U75</f>
        <v>0.2521640678743407</v>
      </c>
      <c r="V206" s="119">
        <f t="shared" si="447"/>
        <v>0.22964941895698887</v>
      </c>
      <c r="W206" s="119">
        <f t="shared" si="447"/>
        <v>0.20914500655011484</v>
      </c>
      <c r="X206" s="119">
        <f t="shared" si="447"/>
        <v>0.1904713452509974</v>
      </c>
      <c r="Y206" s="119">
        <f t="shared" si="447"/>
        <v>0.1734649751393012</v>
      </c>
      <c r="Z206" s="119">
        <f t="shared" si="447"/>
        <v>0.157977030930435</v>
      </c>
      <c r="AA206" s="119">
        <f t="shared" si="447"/>
        <v>0.14387193888307473</v>
      </c>
      <c r="AB206" s="119">
        <f t="shared" si="447"/>
        <v>0.13102623005422878</v>
      </c>
      <c r="AC206" s="119">
        <f t="shared" si="447"/>
        <v>0.11932745951367263</v>
      </c>
      <c r="AD206" s="119">
        <f t="shared" si="447"/>
        <v>0.1086732220570947</v>
      </c>
      <c r="AE206" s="137">
        <f t="shared" si="430"/>
        <v>-0.26871918973321118</v>
      </c>
      <c r="AF206" s="31">
        <f t="shared" si="431"/>
        <v>0.05</v>
      </c>
      <c r="AG206" s="127">
        <f t="shared" si="432"/>
        <v>0.46747436400126408</v>
      </c>
    </row>
    <row r="207" spans="2:33">
      <c r="B207" s="20" t="s">
        <v>259</v>
      </c>
      <c r="C207" s="25"/>
      <c r="D207" s="25"/>
      <c r="E207" s="25"/>
      <c r="F207" s="25"/>
      <c r="G207" s="25"/>
      <c r="H207" s="25">
        <f t="shared" ref="H207:R207" si="448">H201/H84</f>
        <v>174.73785046728969</v>
      </c>
      <c r="I207" s="25">
        <f t="shared" si="448"/>
        <v>0.10784109589041097</v>
      </c>
      <c r="J207" s="25">
        <f t="shared" si="448"/>
        <v>0.90905311778290987</v>
      </c>
      <c r="K207" s="25">
        <f t="shared" si="448"/>
        <v>7.5984555984555984</v>
      </c>
      <c r="L207" s="25">
        <f t="shared" si="448"/>
        <v>5.2877761938702781</v>
      </c>
      <c r="M207" s="25">
        <f t="shared" si="448"/>
        <v>2.3893155124347065</v>
      </c>
      <c r="N207" s="25">
        <f t="shared" si="448"/>
        <v>1.7926980198019802</v>
      </c>
      <c r="O207" s="25">
        <f t="shared" si="448"/>
        <v>1.2185922602355581</v>
      </c>
      <c r="P207" s="25">
        <f t="shared" si="448"/>
        <v>0.74522057909780037</v>
      </c>
      <c r="Q207" s="25">
        <f t="shared" si="448"/>
        <v>1.2356063430789817</v>
      </c>
      <c r="R207" s="25">
        <f t="shared" si="448"/>
        <v>0.56979603549512159</v>
      </c>
      <c r="S207" s="118">
        <f t="shared" si="428"/>
        <v>-0.36247183441788011</v>
      </c>
      <c r="T207" s="128"/>
      <c r="U207" s="119">
        <f t="shared" ref="U207:AD207" si="449">U201/U84</f>
        <v>0.2982306836027423</v>
      </c>
      <c r="V207" s="119">
        <f t="shared" si="449"/>
        <v>0.27160294399535451</v>
      </c>
      <c r="W207" s="119">
        <f t="shared" si="449"/>
        <v>0.24735268113862638</v>
      </c>
      <c r="X207" s="119">
        <f t="shared" si="449"/>
        <v>0.22526762032267755</v>
      </c>
      <c r="Y207" s="119">
        <f t="shared" si="449"/>
        <v>0.20515443993672422</v>
      </c>
      <c r="Z207" s="119">
        <f t="shared" si="449"/>
        <v>0.18683707922808807</v>
      </c>
      <c r="AA207" s="119">
        <f t="shared" si="449"/>
        <v>0.17015519715415162</v>
      </c>
      <c r="AB207" s="119">
        <f t="shared" si="449"/>
        <v>0.15496276883681664</v>
      </c>
      <c r="AC207" s="119">
        <f t="shared" si="449"/>
        <v>0.14112680733352945</v>
      </c>
      <c r="AD207" s="119">
        <f t="shared" si="449"/>
        <v>0.12852619953589287</v>
      </c>
      <c r="AE207" s="137">
        <f t="shared" si="430"/>
        <v>-0.29076411901092181</v>
      </c>
      <c r="AF207" s="31">
        <f t="shared" si="431"/>
        <v>0.05</v>
      </c>
      <c r="AG207" s="127">
        <f t="shared" si="432"/>
        <v>0.53620819034127676</v>
      </c>
    </row>
    <row r="208" spans="2:33">
      <c r="B208" s="20" t="s">
        <v>260</v>
      </c>
      <c r="C208" s="25"/>
      <c r="D208" s="25"/>
      <c r="E208" s="25"/>
      <c r="F208" s="25"/>
      <c r="G208" s="25"/>
      <c r="H208" s="25">
        <f t="shared" ref="H208:R208" si="450">H201/H86</f>
        <v>386.83344827586205</v>
      </c>
      <c r="I208" s="25">
        <f t="shared" si="450"/>
        <v>0.19002344827586207</v>
      </c>
      <c r="J208" s="25">
        <f t="shared" si="450"/>
        <v>2.5981518151815184</v>
      </c>
      <c r="K208" s="25">
        <f t="shared" si="450"/>
        <v>37.308056872037909</v>
      </c>
      <c r="L208" s="25">
        <f t="shared" si="450"/>
        <v>16.102713178294575</v>
      </c>
      <c r="M208" s="25">
        <f t="shared" si="450"/>
        <v>5.3589164785553054</v>
      </c>
      <c r="N208" s="25">
        <f t="shared" si="450"/>
        <v>8.5415233415233409</v>
      </c>
      <c r="O208" s="25">
        <f t="shared" si="450"/>
        <v>32.129390018484287</v>
      </c>
      <c r="P208" s="25">
        <f t="shared" si="450"/>
        <v>11.325382436260623</v>
      </c>
      <c r="Q208" s="25">
        <f t="shared" si="450"/>
        <v>5.1574658976471666</v>
      </c>
      <c r="R208" s="25">
        <f t="shared" si="450"/>
        <v>1.9996049267952591</v>
      </c>
      <c r="S208" s="118">
        <f t="shared" si="428"/>
        <v>-0.32463665474952375</v>
      </c>
      <c r="T208" s="128"/>
      <c r="U208" s="119">
        <f t="shared" ref="U208:AD208" si="451">U201/U86</f>
        <v>1.0465912486305233</v>
      </c>
      <c r="V208" s="119">
        <f t="shared" si="451"/>
        <v>0.9531456014313695</v>
      </c>
      <c r="W208" s="119">
        <f t="shared" si="451"/>
        <v>0.86804331558928294</v>
      </c>
      <c r="X208" s="119">
        <f t="shared" si="451"/>
        <v>0.790539448125954</v>
      </c>
      <c r="Y208" s="119">
        <f t="shared" si="451"/>
        <v>0.7199555688289937</v>
      </c>
      <c r="Z208" s="119">
        <f t="shared" si="451"/>
        <v>0.65567382161211918</v>
      </c>
      <c r="AA208" s="119">
        <f t="shared" si="451"/>
        <v>0.5971315161110371</v>
      </c>
      <c r="AB208" s="119">
        <f t="shared" si="451"/>
        <v>0.54381620217255155</v>
      </c>
      <c r="AC208" s="119">
        <f t="shared" si="451"/>
        <v>0.49526118412143094</v>
      </c>
      <c r="AD208" s="119">
        <f t="shared" si="451"/>
        <v>0.45104143553916032</v>
      </c>
      <c r="AE208" s="137">
        <f t="shared" si="430"/>
        <v>-0.2750322513010951</v>
      </c>
      <c r="AF208" s="31">
        <f t="shared" si="431"/>
        <v>0.05</v>
      </c>
      <c r="AG208" s="127">
        <f t="shared" si="432"/>
        <v>1.9234734946632195</v>
      </c>
    </row>
    <row r="209" spans="2:33">
      <c r="B209" s="20" t="s">
        <v>281</v>
      </c>
      <c r="C209" s="25"/>
      <c r="D209" s="25"/>
      <c r="E209" s="25"/>
      <c r="F209" s="25"/>
      <c r="G209" s="25"/>
      <c r="H209" s="180">
        <f t="shared" ref="H209:R209" si="452">H201/H80</f>
        <v>76.003861788617883</v>
      </c>
      <c r="I209" s="180">
        <f t="shared" si="452"/>
        <v>4.8086212914485171E-2</v>
      </c>
      <c r="J209" s="180">
        <f t="shared" si="452"/>
        <v>0.48505237215033892</v>
      </c>
      <c r="K209" s="180">
        <f t="shared" si="452"/>
        <v>5.3117408906882586</v>
      </c>
      <c r="L209" s="180">
        <f t="shared" si="452"/>
        <v>2.7733228305983388</v>
      </c>
      <c r="M209" s="180">
        <f t="shared" si="452"/>
        <v>1.7549899672615905</v>
      </c>
      <c r="N209" s="180">
        <f t="shared" si="452"/>
        <v>1.2162899727100971</v>
      </c>
      <c r="O209" s="180">
        <f t="shared" si="452"/>
        <v>1.4292057227429698</v>
      </c>
      <c r="P209" s="180">
        <f t="shared" si="452"/>
        <v>0.85193777525216641</v>
      </c>
      <c r="Q209" s="180">
        <f t="shared" si="452"/>
        <v>-7.4814077025232404</v>
      </c>
      <c r="R209" s="180">
        <f t="shared" si="452"/>
        <v>-1.025135027799841</v>
      </c>
      <c r="S209" s="118">
        <f t="shared" ref="S209:S227" si="453">((Q209/H209)^(1/($I$2-$I$1) ))-1</f>
        <v>-1.8099682016642746</v>
      </c>
      <c r="T209" s="128"/>
      <c r="U209" s="134">
        <f t="shared" ref="U209:AD209" si="454">U201/U80</f>
        <v>-0.53655466356518788</v>
      </c>
      <c r="V209" s="134">
        <f t="shared" si="454"/>
        <v>-0.488647997175439</v>
      </c>
      <c r="W209" s="134">
        <f t="shared" si="454"/>
        <v>-0.44501871171334645</v>
      </c>
      <c r="X209" s="134">
        <f t="shared" si="454"/>
        <v>-0.40528489816751173</v>
      </c>
      <c r="Y209" s="134">
        <f t="shared" si="454"/>
        <v>-0.36909874654541242</v>
      </c>
      <c r="Z209" s="134">
        <f t="shared" si="454"/>
        <v>-0.33614350131814358</v>
      </c>
      <c r="AA209" s="134">
        <f t="shared" si="454"/>
        <v>-0.30613068870045207</v>
      </c>
      <c r="AB209" s="134">
        <f t="shared" si="454"/>
        <v>-0.27879759149505456</v>
      </c>
      <c r="AC209" s="134">
        <f t="shared" si="454"/>
        <v>-0.25390494939728181</v>
      </c>
      <c r="AD209" s="134">
        <f t="shared" si="454"/>
        <v>-0.23123486462966733</v>
      </c>
      <c r="AE209" s="137">
        <f t="shared" ref="AE209" si="455">((AD209/H209)^(1/($AD$3-$I$1) ))-1</f>
        <v>-1.7588452530146719</v>
      </c>
      <c r="AF209" s="31">
        <f t="shared" ref="AF209:AF212" si="456">$M$1</f>
        <v>0.05</v>
      </c>
      <c r="AG209" s="127">
        <f t="shared" si="432"/>
        <v>1.0321851726806666</v>
      </c>
    </row>
    <row r="210" spans="2:33">
      <c r="B210" s="20"/>
      <c r="C210" s="25"/>
      <c r="D210" s="25"/>
      <c r="E210" s="25"/>
      <c r="F210" s="25"/>
      <c r="G210" s="25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28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7"/>
      <c r="AF210" s="31">
        <f t="shared" si="456"/>
        <v>0.05</v>
      </c>
      <c r="AG210" s="127"/>
    </row>
    <row r="211" spans="2:33">
      <c r="B211" s="20" t="s">
        <v>318</v>
      </c>
      <c r="C211" s="150"/>
      <c r="D211" s="150"/>
      <c r="E211" s="150"/>
      <c r="F211" s="150"/>
      <c r="G211" s="150"/>
      <c r="H211" s="150">
        <f t="shared" ref="H211:R211" si="457">H59/H201</f>
        <v>1.5792280701754386E-3</v>
      </c>
      <c r="I211" s="150">
        <f t="shared" si="457"/>
        <v>2.8571428571428572</v>
      </c>
      <c r="J211" s="150">
        <f t="shared" si="457"/>
        <v>0.22500000000000001</v>
      </c>
      <c r="K211" s="150">
        <f t="shared" si="457"/>
        <v>1.125E-2</v>
      </c>
      <c r="L211" s="150">
        <f t="shared" si="457"/>
        <v>1.6250000000000001E-2</v>
      </c>
      <c r="M211" s="150">
        <f t="shared" si="457"/>
        <v>1.6250000000000001E-2</v>
      </c>
      <c r="N211" s="150">
        <f t="shared" si="457"/>
        <v>1.7500000000000002E-2</v>
      </c>
      <c r="O211" s="150">
        <f t="shared" si="457"/>
        <v>0.02</v>
      </c>
      <c r="P211" s="150">
        <f t="shared" si="457"/>
        <v>7.246376811594203E-4</v>
      </c>
      <c r="Q211" s="150">
        <f t="shared" si="457"/>
        <v>1.7105263157894738E-2</v>
      </c>
      <c r="R211" s="150">
        <f t="shared" si="457"/>
        <v>4.7126436781609195E-2</v>
      </c>
      <c r="S211" s="118">
        <f t="shared" si="453"/>
        <v>0.24183033407367738</v>
      </c>
      <c r="T211" s="128"/>
      <c r="U211" s="150">
        <f t="shared" ref="U211:AD211" si="458">U59/U201</f>
        <v>8.6099999999999996E-2</v>
      </c>
      <c r="V211" s="150">
        <f t="shared" si="458"/>
        <v>9.0404999999999999E-2</v>
      </c>
      <c r="W211" s="150">
        <f t="shared" si="458"/>
        <v>9.4925250000000003E-2</v>
      </c>
      <c r="X211" s="150">
        <f t="shared" si="458"/>
        <v>9.9671512500000004E-2</v>
      </c>
      <c r="Y211" s="150">
        <f t="shared" si="458"/>
        <v>0.10465508812500002</v>
      </c>
      <c r="Z211" s="150">
        <f t="shared" si="458"/>
        <v>0.10988784253125003</v>
      </c>
      <c r="AA211" s="150">
        <f t="shared" si="458"/>
        <v>0.11538223465781254</v>
      </c>
      <c r="AB211" s="150">
        <f t="shared" si="458"/>
        <v>0.12115134639070319</v>
      </c>
      <c r="AC211" s="150">
        <f t="shared" si="458"/>
        <v>0.12720891371023835</v>
      </c>
      <c r="AD211" s="150">
        <f t="shared" si="458"/>
        <v>0.13356935939575026</v>
      </c>
      <c r="AE211" s="137">
        <f t="shared" ref="AE211:AE216" si="459">((AD211/H211)^(1/($AD$3-$I$1) ))-1</f>
        <v>0.23530551519812892</v>
      </c>
      <c r="AF211" s="31">
        <f t="shared" si="456"/>
        <v>0.05</v>
      </c>
      <c r="AG211" s="127">
        <f t="shared" si="432"/>
        <v>0.97058215484147847</v>
      </c>
    </row>
    <row r="212" spans="2:33">
      <c r="B212" s="20" t="s">
        <v>153</v>
      </c>
      <c r="C212" s="150"/>
      <c r="D212" s="150"/>
      <c r="E212" s="150"/>
      <c r="F212" s="150"/>
      <c r="G212" s="150"/>
      <c r="H212" s="163">
        <f t="shared" ref="H212:R212" si="460">H201*H57</f>
        <v>56090.85</v>
      </c>
      <c r="I212" s="163">
        <f t="shared" si="460"/>
        <v>55.1068</v>
      </c>
      <c r="J212" s="163">
        <f t="shared" si="460"/>
        <v>787.24</v>
      </c>
      <c r="K212" s="163">
        <f t="shared" si="460"/>
        <v>15744</v>
      </c>
      <c r="L212" s="163">
        <f t="shared" si="460"/>
        <v>16618</v>
      </c>
      <c r="M212" s="163">
        <f t="shared" si="460"/>
        <v>16618</v>
      </c>
      <c r="N212" s="163">
        <f t="shared" si="460"/>
        <v>17382</v>
      </c>
      <c r="O212" s="163">
        <f t="shared" si="460"/>
        <v>17382</v>
      </c>
      <c r="P212" s="163">
        <f t="shared" si="460"/>
        <v>11993.58</v>
      </c>
      <c r="Q212" s="163">
        <f t="shared" si="460"/>
        <v>56335</v>
      </c>
      <c r="R212" s="163">
        <f t="shared" si="460"/>
        <v>25812.899999999998</v>
      </c>
      <c r="S212" s="118">
        <f t="shared" si="453"/>
        <v>3.9492468898139066E-4</v>
      </c>
      <c r="T212" s="128"/>
      <c r="U212" s="163">
        <f t="shared" ref="U212:AD212" si="461">U201*U57</f>
        <v>15131.7</v>
      </c>
      <c r="V212" s="163">
        <f t="shared" si="461"/>
        <v>15434.334000000001</v>
      </c>
      <c r="W212" s="163">
        <f t="shared" si="461"/>
        <v>15743.020680000001</v>
      </c>
      <c r="X212" s="163">
        <f t="shared" si="461"/>
        <v>16057.881093599999</v>
      </c>
      <c r="Y212" s="163">
        <f t="shared" si="461"/>
        <v>16379.038715472001</v>
      </c>
      <c r="Z212" s="163">
        <f t="shared" si="461"/>
        <v>16706.619489781438</v>
      </c>
      <c r="AA212" s="163">
        <f t="shared" si="461"/>
        <v>17040.75187957707</v>
      </c>
      <c r="AB212" s="163">
        <f t="shared" si="461"/>
        <v>17381.566917168613</v>
      </c>
      <c r="AC212" s="163">
        <f t="shared" si="461"/>
        <v>17729.198255511987</v>
      </c>
      <c r="AD212" s="163">
        <f t="shared" si="461"/>
        <v>18083.782220622226</v>
      </c>
      <c r="AE212" s="137">
        <f t="shared" si="459"/>
        <v>-5.2475725117170025E-2</v>
      </c>
      <c r="AF212" s="31">
        <f t="shared" si="456"/>
        <v>0.05</v>
      </c>
      <c r="AG212" s="127">
        <f t="shared" si="432"/>
        <v>100793.07432784757</v>
      </c>
    </row>
    <row r="213" spans="2:33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28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</row>
    <row r="214" spans="2:33">
      <c r="B214" s="20" t="s">
        <v>369</v>
      </c>
      <c r="C214" s="159"/>
      <c r="D214" s="159"/>
      <c r="E214" s="159"/>
      <c r="F214" s="159"/>
      <c r="G214" s="159"/>
      <c r="H214" s="159">
        <f t="shared" ref="H214:R214" si="462">H72/H201</f>
        <v>8.4862326030003109E-3</v>
      </c>
      <c r="I214" s="159">
        <f t="shared" si="462"/>
        <v>10.416137391392713</v>
      </c>
      <c r="J214" s="159">
        <f t="shared" si="462"/>
        <v>0.82693968802398254</v>
      </c>
      <c r="K214" s="159">
        <f t="shared" si="462"/>
        <v>9.8386686991869907E-2</v>
      </c>
      <c r="L214" s="159">
        <f t="shared" si="462"/>
        <v>0.12005054759898905</v>
      </c>
      <c r="M214" s="159">
        <f t="shared" si="462"/>
        <v>0.15802142255385726</v>
      </c>
      <c r="N214" s="159">
        <f t="shared" si="462"/>
        <v>0.24289494879760676</v>
      </c>
      <c r="O214" s="159">
        <f t="shared" si="462"/>
        <v>0.15884248072718907</v>
      </c>
      <c r="P214" s="159">
        <f t="shared" si="462"/>
        <v>0.19276979850886894</v>
      </c>
      <c r="Q214" s="159">
        <f t="shared" si="462"/>
        <v>0.18352711458240881</v>
      </c>
      <c r="R214" s="159">
        <f t="shared" si="462"/>
        <v>-0.44059365666004208</v>
      </c>
      <c r="S214" s="118">
        <f t="shared" ref="S214" si="463">((Q214/H214)^(1/($I$2-$I$1) ))-1</f>
        <v>0.32239835548717011</v>
      </c>
      <c r="T214" s="128"/>
      <c r="U214" s="159">
        <f t="shared" ref="U214:AD214" si="464">U72/U201</f>
        <v>-0.84179305695989226</v>
      </c>
      <c r="V214" s="159">
        <f t="shared" si="464"/>
        <v>-0.92432178803439158</v>
      </c>
      <c r="W214" s="159">
        <f t="shared" si="464"/>
        <v>-1.0149415711750183</v>
      </c>
      <c r="X214" s="159">
        <f t="shared" si="464"/>
        <v>-1.1144456467804125</v>
      </c>
      <c r="Y214" s="159">
        <f t="shared" si="464"/>
        <v>-1.223705023915747</v>
      </c>
      <c r="Z214" s="159">
        <f t="shared" si="464"/>
        <v>-1.3436761046918009</v>
      </c>
      <c r="AA214" s="159">
        <f t="shared" si="464"/>
        <v>-1.4754090561321735</v>
      </c>
      <c r="AB214" s="159">
        <f t="shared" si="464"/>
        <v>-1.6200570028117982</v>
      </c>
      <c r="AC214" s="159">
        <f t="shared" si="464"/>
        <v>-1.7788861207345237</v>
      </c>
      <c r="AD214" s="159">
        <f t="shared" si="464"/>
        <v>-1.9532867208065361</v>
      </c>
      <c r="AE214" s="137">
        <f t="shared" ref="AE214" si="465">((AD214/H214)^(1/($AD$3-$I$1) ))-1</f>
        <v>-2.2956229199420122</v>
      </c>
      <c r="AF214" s="31">
        <f t="shared" ref="AF214" si="466">$M$1</f>
        <v>0.05</v>
      </c>
      <c r="AG214" s="127">
        <f t="shared" ref="AG214" si="467">(AD214*(1+AE214))/($C$1-AF214)</f>
        <v>14.886606145266603</v>
      </c>
    </row>
    <row r="215" spans="2:33">
      <c r="B215" s="20" t="str">
        <f>B203</f>
        <v>P/E (how many years it will take to recover invested amount)</v>
      </c>
      <c r="C215" s="150"/>
      <c r="D215" s="150"/>
      <c r="E215" s="150"/>
      <c r="F215" s="150"/>
      <c r="G215" s="150"/>
      <c r="H215" s="179">
        <f t="shared" ref="H215:R215" si="468">H203</f>
        <v>117.83792016806723</v>
      </c>
      <c r="I215" s="179">
        <f t="shared" si="468"/>
        <v>9.6004878048780495E-2</v>
      </c>
      <c r="J215" s="179">
        <f t="shared" si="468"/>
        <v>1.2092780337941627</v>
      </c>
      <c r="K215" s="179">
        <f t="shared" si="468"/>
        <v>10.163976759199484</v>
      </c>
      <c r="L215" s="179">
        <f t="shared" si="468"/>
        <v>8.3298245614035089</v>
      </c>
      <c r="M215" s="179">
        <f t="shared" si="468"/>
        <v>6.3282559025133285</v>
      </c>
      <c r="N215" s="179">
        <f t="shared" si="468"/>
        <v>4.1170061582188531</v>
      </c>
      <c r="O215" s="179">
        <f t="shared" si="468"/>
        <v>6.2955450923578411</v>
      </c>
      <c r="P215" s="179">
        <f t="shared" si="468"/>
        <v>5.1875346020761244</v>
      </c>
      <c r="Q215" s="179">
        <f t="shared" si="468"/>
        <v>5.4487861495309025</v>
      </c>
      <c r="R215" s="179">
        <f t="shared" si="468"/>
        <v>-2.2696649960432604</v>
      </c>
      <c r="S215" s="118">
        <f t="shared" si="453"/>
        <v>-0.24379821265612434</v>
      </c>
      <c r="T215" s="128"/>
      <c r="U215" s="150">
        <f t="shared" ref="U215:AD215" si="469">U203</f>
        <v>-1.1879404228058934</v>
      </c>
      <c r="V215" s="150">
        <f t="shared" si="469"/>
        <v>-1.0818743136267959</v>
      </c>
      <c r="W215" s="150">
        <f t="shared" si="469"/>
        <v>-0.98527839276726037</v>
      </c>
      <c r="X215" s="150">
        <f t="shared" si="469"/>
        <v>-0.89730710769875477</v>
      </c>
      <c r="Y215" s="150">
        <f t="shared" si="469"/>
        <v>-0.81719040165422308</v>
      </c>
      <c r="Z215" s="150">
        <f t="shared" si="469"/>
        <v>-0.74422697293509599</v>
      </c>
      <c r="AA215" s="150">
        <f t="shared" si="469"/>
        <v>-0.67777813606589099</v>
      </c>
      <c r="AB215" s="150">
        <f t="shared" si="469"/>
        <v>-0.61726223106000788</v>
      </c>
      <c r="AC215" s="150">
        <f t="shared" si="469"/>
        <v>-0.56214953185822136</v>
      </c>
      <c r="AD215" s="150">
        <f t="shared" si="469"/>
        <v>-0.5119576093708802</v>
      </c>
      <c r="AE215" s="137">
        <f t="shared" ref="AE215" si="470">((AD215/H215)^(1/($AD$3-$I$1) ))-1</f>
        <v>-1.7718295073421184</v>
      </c>
      <c r="AF215" s="31">
        <f t="shared" ref="AF215:AF217" si="471">$M$1</f>
        <v>0.05</v>
      </c>
      <c r="AG215" s="179">
        <f>(AG202)/($M$2*100)</f>
        <v>3.9812060656346966E-2</v>
      </c>
    </row>
    <row r="216" spans="2:33">
      <c r="B216" s="20" t="s">
        <v>444</v>
      </c>
      <c r="C216" s="179"/>
      <c r="D216" s="179"/>
      <c r="E216" s="179"/>
      <c r="F216" s="179"/>
      <c r="G216" s="179"/>
      <c r="H216" s="179">
        <f t="shared" ref="H216:R216" si="472">(H203)/($M$2*100)</f>
        <v>9.8198266806722696</v>
      </c>
      <c r="I216" s="179">
        <f t="shared" si="472"/>
        <v>8.0004065040650413E-3</v>
      </c>
      <c r="J216" s="179">
        <f t="shared" si="472"/>
        <v>0.10077316948284688</v>
      </c>
      <c r="K216" s="179">
        <f t="shared" si="472"/>
        <v>0.84699806326662364</v>
      </c>
      <c r="L216" s="179">
        <f t="shared" si="472"/>
        <v>0.69415204678362574</v>
      </c>
      <c r="M216" s="179">
        <f t="shared" si="472"/>
        <v>0.52735465854277741</v>
      </c>
      <c r="N216" s="179">
        <f t="shared" si="472"/>
        <v>0.34308384651823776</v>
      </c>
      <c r="O216" s="179">
        <f t="shared" si="472"/>
        <v>0.52462875769648676</v>
      </c>
      <c r="P216" s="179">
        <f t="shared" si="472"/>
        <v>0.43229455017301038</v>
      </c>
      <c r="Q216" s="179">
        <f t="shared" si="472"/>
        <v>0.45406551246090854</v>
      </c>
      <c r="R216" s="179">
        <f t="shared" si="472"/>
        <v>-0.18913874967027169</v>
      </c>
      <c r="S216" s="118">
        <f t="shared" si="453"/>
        <v>-0.24379821265612434</v>
      </c>
      <c r="T216" s="128"/>
      <c r="U216" s="179">
        <f t="shared" ref="U216:AD216" si="473">(U203)/($M$2*100)</f>
        <v>-9.8995035233824455E-2</v>
      </c>
      <c r="V216" s="179">
        <f t="shared" si="473"/>
        <v>-9.0156192802232984E-2</v>
      </c>
      <c r="W216" s="179">
        <f t="shared" si="473"/>
        <v>-8.2106532730605031E-2</v>
      </c>
      <c r="X216" s="179">
        <f t="shared" si="473"/>
        <v>-7.4775592308229569E-2</v>
      </c>
      <c r="Y216" s="179">
        <f t="shared" si="473"/>
        <v>-6.8099200137851923E-2</v>
      </c>
      <c r="Z216" s="179">
        <f t="shared" si="473"/>
        <v>-6.2018914411258001E-2</v>
      </c>
      <c r="AA216" s="179">
        <f t="shared" si="473"/>
        <v>-5.6481511338824252E-2</v>
      </c>
      <c r="AB216" s="179">
        <f t="shared" si="473"/>
        <v>-5.1438519255000655E-2</v>
      </c>
      <c r="AC216" s="179">
        <f t="shared" si="473"/>
        <v>-4.6845794321518447E-2</v>
      </c>
      <c r="AD216" s="179">
        <f t="shared" si="473"/>
        <v>-4.2663134114240019E-2</v>
      </c>
      <c r="AE216" s="137">
        <f t="shared" si="459"/>
        <v>-1.7718295073421184</v>
      </c>
      <c r="AF216" s="31">
        <f t="shared" si="471"/>
        <v>0.05</v>
      </c>
      <c r="AG216" s="179">
        <f>(AG203)/($M$2*100)</f>
        <v>0.19369803402979177</v>
      </c>
    </row>
    <row r="217" spans="2:33">
      <c r="B217" s="20" t="s">
        <v>445</v>
      </c>
      <c r="C217" s="150"/>
      <c r="D217" s="150"/>
      <c r="E217" s="150"/>
      <c r="F217" s="150"/>
      <c r="G217" s="150"/>
      <c r="H217" s="150">
        <f t="shared" ref="H217:Q217" si="474">H216-1</f>
        <v>8.8198266806722696</v>
      </c>
      <c r="I217" s="150">
        <f t="shared" si="474"/>
        <v>-0.99199959349593492</v>
      </c>
      <c r="J217" s="150">
        <f t="shared" si="474"/>
        <v>-0.89922683051715313</v>
      </c>
      <c r="K217" s="150">
        <f t="shared" si="474"/>
        <v>-0.15300193673337636</v>
      </c>
      <c r="L217" s="150">
        <f t="shared" si="474"/>
        <v>-0.30584795321637426</v>
      </c>
      <c r="M217" s="150">
        <f t="shared" si="474"/>
        <v>-0.47264534145722259</v>
      </c>
      <c r="N217" s="150">
        <f t="shared" si="474"/>
        <v>-0.65691615348176224</v>
      </c>
      <c r="O217" s="150">
        <f t="shared" si="474"/>
        <v>-0.47537124230351324</v>
      </c>
      <c r="P217" s="150">
        <f t="shared" si="474"/>
        <v>-0.56770544982698956</v>
      </c>
      <c r="Q217" s="150">
        <f t="shared" si="474"/>
        <v>-0.54593448753909146</v>
      </c>
      <c r="R217" s="150">
        <f>R216-1</f>
        <v>-1.1891387496702717</v>
      </c>
      <c r="S217" s="118">
        <f t="shared" si="453"/>
        <v>-1.7765202234710591</v>
      </c>
      <c r="T217" s="128"/>
      <c r="U217" s="150">
        <f t="shared" ref="U217:AD217" si="475">U216-1</f>
        <v>-1.0989950352338245</v>
      </c>
      <c r="V217" s="150">
        <f t="shared" si="475"/>
        <v>-1.090156192802233</v>
      </c>
      <c r="W217" s="150">
        <f t="shared" si="475"/>
        <v>-1.082106532730605</v>
      </c>
      <c r="X217" s="150">
        <f t="shared" si="475"/>
        <v>-1.0747755923082296</v>
      </c>
      <c r="Y217" s="150">
        <f t="shared" si="475"/>
        <v>-1.068099200137852</v>
      </c>
      <c r="Z217" s="150">
        <f t="shared" si="475"/>
        <v>-1.062018914411258</v>
      </c>
      <c r="AA217" s="150">
        <f t="shared" si="475"/>
        <v>-1.0564815113388242</v>
      </c>
      <c r="AB217" s="150">
        <f t="shared" si="475"/>
        <v>-1.0514385192550006</v>
      </c>
      <c r="AC217" s="150">
        <f t="shared" si="475"/>
        <v>-1.0468457943215184</v>
      </c>
      <c r="AD217" s="150">
        <f t="shared" si="475"/>
        <v>-1.0426631341142401</v>
      </c>
      <c r="AE217" s="137">
        <f t="shared" ref="AE217" si="476">((AD217/H217)^(1/($AD$3-$I$1) ))-1</f>
        <v>-1.9033209730739</v>
      </c>
      <c r="AF217" s="31">
        <f t="shared" si="471"/>
        <v>0.05</v>
      </c>
      <c r="AG217" s="179">
        <f>(AG204)/($M$2*100)</f>
        <v>9.9909332505982371E-2</v>
      </c>
    </row>
    <row r="218" spans="2:33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28"/>
      <c r="T218" s="128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34"/>
      <c r="AE218" s="136"/>
      <c r="AF218" s="20"/>
      <c r="AG218" s="127"/>
    </row>
    <row r="219" spans="2:33">
      <c r="B219" s="20" t="s">
        <v>473</v>
      </c>
      <c r="C219" s="150"/>
      <c r="D219" s="150"/>
      <c r="E219" s="150"/>
      <c r="F219" s="150"/>
      <c r="G219" s="150"/>
      <c r="H219" s="150">
        <f t="shared" ref="H219:R219" si="477">1/H220</f>
        <v>3.468671064860731E-4</v>
      </c>
      <c r="I219" s="150">
        <f t="shared" si="477"/>
        <v>0.35306116195903864</v>
      </c>
      <c r="J219" s="150">
        <f t="shared" si="477"/>
        <v>2.4714281337132708E-2</v>
      </c>
      <c r="K219" s="150">
        <f t="shared" si="477"/>
        <v>2.4714281337132708E-2</v>
      </c>
      <c r="L219" s="150">
        <f t="shared" si="477"/>
        <v>2.4714281337132708E-2</v>
      </c>
      <c r="M219" s="150">
        <f t="shared" si="477"/>
        <v>2.4714281337132708E-2</v>
      </c>
      <c r="N219" s="150">
        <f t="shared" si="477"/>
        <v>2.4714281337132708E-2</v>
      </c>
      <c r="O219" s="150">
        <f t="shared" si="477"/>
        <v>2.4714281337132708E-2</v>
      </c>
      <c r="P219" s="150">
        <f t="shared" si="477"/>
        <v>3.5817799039322765E-2</v>
      </c>
      <c r="Q219" s="150">
        <f t="shared" si="477"/>
        <v>2.601503298645548E-2</v>
      </c>
      <c r="R219" s="150">
        <f t="shared" si="477"/>
        <v>5.6814439855477482E-2</v>
      </c>
      <c r="S219" s="118">
        <f t="shared" ref="S219" si="478">((Q219/H219)^(1/($I$2-$I$1) ))-1</f>
        <v>0.48067626527975094</v>
      </c>
      <c r="T219" s="128"/>
      <c r="U219" s="150">
        <f t="shared" ref="U219:AD219" si="479">1/U220</f>
        <v>9.8857125348530833E-2</v>
      </c>
      <c r="V219" s="150">
        <f t="shared" si="479"/>
        <v>9.8857125348530833E-2</v>
      </c>
      <c r="W219" s="150">
        <f t="shared" si="479"/>
        <v>9.8857125348530833E-2</v>
      </c>
      <c r="X219" s="150">
        <f t="shared" si="479"/>
        <v>9.8857125348530833E-2</v>
      </c>
      <c r="Y219" s="150">
        <f t="shared" si="479"/>
        <v>9.8857125348530833E-2</v>
      </c>
      <c r="Z219" s="150">
        <f t="shared" si="479"/>
        <v>9.8857125348530833E-2</v>
      </c>
      <c r="AA219" s="150">
        <f t="shared" si="479"/>
        <v>9.8857125348530833E-2</v>
      </c>
      <c r="AB219" s="150">
        <f t="shared" si="479"/>
        <v>9.8857125348530833E-2</v>
      </c>
      <c r="AC219" s="150">
        <f t="shared" si="479"/>
        <v>9.8857125348530833E-2</v>
      </c>
      <c r="AD219" s="150">
        <f t="shared" si="479"/>
        <v>9.8857125348530833E-2</v>
      </c>
      <c r="AE219" s="137">
        <f t="shared" ref="AE219" si="480">((AD219/H219)^(1/($AD$3-$I$1) ))-1</f>
        <v>0.30887259404896494</v>
      </c>
      <c r="AF219" s="31">
        <f t="shared" ref="AF219:AF222" si="481">$M$1</f>
        <v>0.05</v>
      </c>
      <c r="AG219" s="179">
        <f>(AG206)/($M$2*100)</f>
        <v>3.8956197000105337E-2</v>
      </c>
    </row>
    <row r="220" spans="2:33">
      <c r="B220" s="20" t="s">
        <v>474</v>
      </c>
      <c r="C220" s="129"/>
      <c r="D220" s="129"/>
      <c r="E220" s="129"/>
      <c r="F220" s="129"/>
      <c r="G220" s="129"/>
      <c r="H220" s="134">
        <f t="shared" ref="H220:R220" si="482">H201/$T$170</f>
        <v>2882.9484874783034</v>
      </c>
      <c r="I220" s="134">
        <f t="shared" si="482"/>
        <v>2.8323704438383333</v>
      </c>
      <c r="J220" s="134">
        <f t="shared" si="482"/>
        <v>40.462434911976189</v>
      </c>
      <c r="K220" s="134">
        <f t="shared" si="482"/>
        <v>40.462434911976189</v>
      </c>
      <c r="L220" s="134">
        <f t="shared" si="482"/>
        <v>40.462434911976189</v>
      </c>
      <c r="M220" s="134">
        <f t="shared" si="482"/>
        <v>40.462434911976189</v>
      </c>
      <c r="N220" s="134">
        <f t="shared" si="482"/>
        <v>40.462434911976189</v>
      </c>
      <c r="O220" s="134">
        <f t="shared" si="482"/>
        <v>40.462434911976189</v>
      </c>
      <c r="P220" s="134">
        <f t="shared" si="482"/>
        <v>27.91908008926357</v>
      </c>
      <c r="Q220" s="134">
        <f t="shared" si="482"/>
        <v>38.439313166377381</v>
      </c>
      <c r="R220" s="134">
        <f t="shared" si="482"/>
        <v>17.601159186709644</v>
      </c>
      <c r="S220" s="118">
        <f t="shared" si="453"/>
        <v>-0.32463292385451625</v>
      </c>
      <c r="T220" s="128"/>
      <c r="U220" s="134">
        <f t="shared" ref="U220:AD220" si="483">U201/$T$170</f>
        <v>10.115608727994047</v>
      </c>
      <c r="V220" s="134">
        <f t="shared" si="483"/>
        <v>10.115608727994047</v>
      </c>
      <c r="W220" s="134">
        <f t="shared" si="483"/>
        <v>10.115608727994047</v>
      </c>
      <c r="X220" s="134">
        <f t="shared" si="483"/>
        <v>10.115608727994047</v>
      </c>
      <c r="Y220" s="134">
        <f t="shared" si="483"/>
        <v>10.115608727994047</v>
      </c>
      <c r="Z220" s="134">
        <f t="shared" si="483"/>
        <v>10.115608727994047</v>
      </c>
      <c r="AA220" s="134">
        <f t="shared" si="483"/>
        <v>10.115608727994047</v>
      </c>
      <c r="AB220" s="134">
        <f t="shared" si="483"/>
        <v>10.115608727994047</v>
      </c>
      <c r="AC220" s="134">
        <f t="shared" si="483"/>
        <v>10.115608727994047</v>
      </c>
      <c r="AD220" s="134">
        <f t="shared" si="483"/>
        <v>10.115608727994047</v>
      </c>
      <c r="AE220" s="137">
        <f t="shared" ref="AE220:AE222" si="484">((AD220/H220)^(1/($AD$3-$I$1) ))-1</f>
        <v>-0.2359836973081354</v>
      </c>
      <c r="AF220" s="31">
        <f t="shared" si="481"/>
        <v>0.05</v>
      </c>
      <c r="AG220" s="179">
        <f>(AG206)/($M$2*100)</f>
        <v>3.8956197000105337E-2</v>
      </c>
    </row>
    <row r="221" spans="2:33">
      <c r="B221" s="20" t="s">
        <v>468</v>
      </c>
      <c r="C221" s="129"/>
      <c r="D221" s="129"/>
      <c r="E221" s="129"/>
      <c r="F221" s="129"/>
      <c r="G221" s="129"/>
      <c r="H221" s="179">
        <f t="shared" ref="H221:R221" si="485">(H220)/($M$2*100)</f>
        <v>240.24570728985861</v>
      </c>
      <c r="I221" s="179">
        <f t="shared" si="485"/>
        <v>0.23603087031986111</v>
      </c>
      <c r="J221" s="179">
        <f t="shared" si="485"/>
        <v>3.3718695759980157</v>
      </c>
      <c r="K221" s="179">
        <f t="shared" si="485"/>
        <v>3.3718695759980157</v>
      </c>
      <c r="L221" s="179">
        <f t="shared" si="485"/>
        <v>3.3718695759980157</v>
      </c>
      <c r="M221" s="179">
        <f t="shared" si="485"/>
        <v>3.3718695759980157</v>
      </c>
      <c r="N221" s="179">
        <f t="shared" si="485"/>
        <v>3.3718695759980157</v>
      </c>
      <c r="O221" s="179">
        <f t="shared" si="485"/>
        <v>3.3718695759980157</v>
      </c>
      <c r="P221" s="179">
        <f t="shared" si="485"/>
        <v>2.326590007438631</v>
      </c>
      <c r="Q221" s="179">
        <f t="shared" si="485"/>
        <v>3.2032760971981151</v>
      </c>
      <c r="R221" s="179">
        <f t="shared" si="485"/>
        <v>1.4667632655591369</v>
      </c>
      <c r="S221" s="118">
        <f t="shared" si="453"/>
        <v>-0.32463292385451625</v>
      </c>
      <c r="T221" s="128"/>
      <c r="U221" s="179">
        <f t="shared" ref="U221:AD221" si="486">(U220)/($M$2*100)</f>
        <v>0.84296739399950393</v>
      </c>
      <c r="V221" s="179">
        <f t="shared" si="486"/>
        <v>0.84296739399950393</v>
      </c>
      <c r="W221" s="179">
        <f t="shared" si="486"/>
        <v>0.84296739399950393</v>
      </c>
      <c r="X221" s="179">
        <f t="shared" si="486"/>
        <v>0.84296739399950393</v>
      </c>
      <c r="Y221" s="179">
        <f t="shared" si="486"/>
        <v>0.84296739399950393</v>
      </c>
      <c r="Z221" s="179">
        <f t="shared" si="486"/>
        <v>0.84296739399950393</v>
      </c>
      <c r="AA221" s="179">
        <f t="shared" si="486"/>
        <v>0.84296739399950393</v>
      </c>
      <c r="AB221" s="179">
        <f t="shared" si="486"/>
        <v>0.84296739399950393</v>
      </c>
      <c r="AC221" s="179">
        <f t="shared" si="486"/>
        <v>0.84296739399950393</v>
      </c>
      <c r="AD221" s="179">
        <f t="shared" si="486"/>
        <v>0.84296739399950393</v>
      </c>
      <c r="AE221" s="137">
        <f t="shared" si="484"/>
        <v>-0.2359836973081354</v>
      </c>
      <c r="AF221" s="31">
        <f t="shared" si="481"/>
        <v>0.05</v>
      </c>
      <c r="AG221" s="179">
        <f>(AG207)/($M$2*100)</f>
        <v>4.4684015861773063E-2</v>
      </c>
    </row>
    <row r="222" spans="2:33">
      <c r="B222" s="20" t="s">
        <v>469</v>
      </c>
      <c r="C222" s="129"/>
      <c r="D222" s="129"/>
      <c r="E222" s="129"/>
      <c r="F222" s="129"/>
      <c r="G222" s="129"/>
      <c r="H222" s="150">
        <f t="shared" ref="H222:R222" si="487">H221-1</f>
        <v>239.24570728985861</v>
      </c>
      <c r="I222" s="150">
        <f t="shared" si="487"/>
        <v>-0.76396912968013886</v>
      </c>
      <c r="J222" s="150">
        <f t="shared" si="487"/>
        <v>2.3718695759980157</v>
      </c>
      <c r="K222" s="150">
        <f t="shared" si="487"/>
        <v>2.3718695759980157</v>
      </c>
      <c r="L222" s="150">
        <f t="shared" si="487"/>
        <v>2.3718695759980157</v>
      </c>
      <c r="M222" s="150">
        <f t="shared" si="487"/>
        <v>2.3718695759980157</v>
      </c>
      <c r="N222" s="150">
        <f t="shared" si="487"/>
        <v>2.3718695759980157</v>
      </c>
      <c r="O222" s="150">
        <f t="shared" si="487"/>
        <v>2.3718695759980157</v>
      </c>
      <c r="P222" s="150">
        <f t="shared" si="487"/>
        <v>1.326590007438631</v>
      </c>
      <c r="Q222" s="150">
        <f t="shared" si="487"/>
        <v>2.2032760971981151</v>
      </c>
      <c r="R222" s="150">
        <f t="shared" si="487"/>
        <v>0.46676326555913694</v>
      </c>
      <c r="S222" s="118">
        <f t="shared" si="453"/>
        <v>-0.34697542615358479</v>
      </c>
      <c r="T222" s="128"/>
      <c r="U222" s="150">
        <f t="shared" ref="U222:AD222" si="488">U221-1</f>
        <v>-0.15703260600049607</v>
      </c>
      <c r="V222" s="150">
        <f t="shared" si="488"/>
        <v>-0.15703260600049607</v>
      </c>
      <c r="W222" s="150">
        <f t="shared" si="488"/>
        <v>-0.15703260600049607</v>
      </c>
      <c r="X222" s="150">
        <f t="shared" si="488"/>
        <v>-0.15703260600049607</v>
      </c>
      <c r="Y222" s="150">
        <f t="shared" si="488"/>
        <v>-0.15703260600049607</v>
      </c>
      <c r="Z222" s="150">
        <f t="shared" si="488"/>
        <v>-0.15703260600049607</v>
      </c>
      <c r="AA222" s="150">
        <f t="shared" si="488"/>
        <v>-0.15703260600049607</v>
      </c>
      <c r="AB222" s="150">
        <f t="shared" si="488"/>
        <v>-0.15703260600049607</v>
      </c>
      <c r="AC222" s="150">
        <f t="shared" si="488"/>
        <v>-0.15703260600049607</v>
      </c>
      <c r="AD222" s="150">
        <f t="shared" si="488"/>
        <v>-0.15703260600049607</v>
      </c>
      <c r="AE222" s="137">
        <f t="shared" si="484"/>
        <v>-1.7054000867745884</v>
      </c>
      <c r="AF222" s="31">
        <f t="shared" si="481"/>
        <v>0.05</v>
      </c>
      <c r="AG222" s="179">
        <f>(AG208)/($M$2*100)</f>
        <v>0.16028945788860163</v>
      </c>
    </row>
    <row r="223" spans="2:33">
      <c r="B223" s="20"/>
      <c r="C223" s="129"/>
      <c r="D223" s="129"/>
      <c r="E223" s="129"/>
      <c r="F223" s="129"/>
      <c r="G223" s="129"/>
      <c r="H223" s="134"/>
      <c r="I223" s="134"/>
      <c r="J223" s="134"/>
      <c r="K223" s="134"/>
      <c r="L223" s="197"/>
      <c r="M223" s="198"/>
      <c r="N223" s="134"/>
      <c r="O223" s="134"/>
      <c r="P223" s="134"/>
      <c r="Q223" s="134"/>
      <c r="R223" s="134"/>
      <c r="S223" s="128"/>
      <c r="T223" s="128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6"/>
      <c r="AF223" s="20"/>
      <c r="AG223" s="20"/>
    </row>
    <row r="224" spans="2:33">
      <c r="B224" s="20" t="s">
        <v>473</v>
      </c>
      <c r="C224" s="129"/>
      <c r="D224" s="129"/>
      <c r="E224" s="129"/>
      <c r="F224" s="129"/>
      <c r="G224" s="129"/>
      <c r="H224" s="150">
        <f t="shared" ref="H224:R224" si="489">1/H225</f>
        <v>3.9077809116657515E-4</v>
      </c>
      <c r="I224" s="150">
        <f t="shared" si="489"/>
        <v>0.39775627136597824</v>
      </c>
      <c r="J224" s="150">
        <f t="shared" si="489"/>
        <v>2.7842938995618478E-2</v>
      </c>
      <c r="K224" s="150">
        <f t="shared" si="489"/>
        <v>2.7842938995618478E-2</v>
      </c>
      <c r="L224" s="150">
        <f t="shared" si="489"/>
        <v>2.7842938995618478E-2</v>
      </c>
      <c r="M224" s="150">
        <f t="shared" si="489"/>
        <v>2.7842938995618478E-2</v>
      </c>
      <c r="N224" s="150">
        <f t="shared" si="489"/>
        <v>2.7842938995618478E-2</v>
      </c>
      <c r="O224" s="150">
        <f t="shared" si="489"/>
        <v>2.7842938995618478E-2</v>
      </c>
      <c r="P224" s="150">
        <f t="shared" si="489"/>
        <v>4.0352085500896341E-2</v>
      </c>
      <c r="Q224" s="150">
        <f t="shared" si="489"/>
        <v>2.9308356837493135E-2</v>
      </c>
      <c r="R224" s="150">
        <f t="shared" si="489"/>
        <v>6.4006756311766611E-2</v>
      </c>
      <c r="S224" s="118">
        <f t="shared" ref="S224" si="490">((Q224/H224)^(1/($I$2-$I$1) ))-1</f>
        <v>0.48067626527975094</v>
      </c>
      <c r="T224" s="128"/>
      <c r="U224" s="150">
        <f t="shared" ref="U224:AD224" si="491">1/U225</f>
        <v>0.11137175598247391</v>
      </c>
      <c r="V224" s="150">
        <f t="shared" si="491"/>
        <v>0.11137175598247391</v>
      </c>
      <c r="W224" s="150">
        <f t="shared" si="491"/>
        <v>0.11137175598247391</v>
      </c>
      <c r="X224" s="150">
        <f t="shared" si="491"/>
        <v>0.11137175598247391</v>
      </c>
      <c r="Y224" s="150">
        <f t="shared" si="491"/>
        <v>0.11137175598247391</v>
      </c>
      <c r="Z224" s="150">
        <f t="shared" si="491"/>
        <v>0.11137175598247391</v>
      </c>
      <c r="AA224" s="150">
        <f t="shared" si="491"/>
        <v>0.11137175598247391</v>
      </c>
      <c r="AB224" s="150">
        <f t="shared" si="491"/>
        <v>0.11137175598247391</v>
      </c>
      <c r="AC224" s="150">
        <f t="shared" si="491"/>
        <v>0.11137175598247391</v>
      </c>
      <c r="AD224" s="150">
        <f t="shared" si="491"/>
        <v>0.11137175598247391</v>
      </c>
      <c r="AE224" s="137">
        <f t="shared" ref="AE224" si="492">((AD224/H224)^(1/($AD$3-$I$1) ))-1</f>
        <v>0.30887259404896494</v>
      </c>
      <c r="AF224" s="31">
        <f t="shared" ref="AF224" si="493">$M$1</f>
        <v>0.05</v>
      </c>
      <c r="AG224" s="179">
        <f>(AG210)/($M$2*100)</f>
        <v>0</v>
      </c>
    </row>
    <row r="225" spans="2:47">
      <c r="B225" s="20" t="s">
        <v>475</v>
      </c>
      <c r="C225" s="129"/>
      <c r="D225" s="129"/>
      <c r="E225" s="129"/>
      <c r="F225" s="129"/>
      <c r="G225" s="129"/>
      <c r="H225" s="134">
        <f t="shared" ref="H225:R225" si="494">H201/$R$170</f>
        <v>2558.9970947827132</v>
      </c>
      <c r="I225" s="134">
        <f t="shared" si="494"/>
        <v>2.5141024089093325</v>
      </c>
      <c r="J225" s="134">
        <f t="shared" si="494"/>
        <v>35.915748698704746</v>
      </c>
      <c r="K225" s="134">
        <f t="shared" si="494"/>
        <v>35.915748698704746</v>
      </c>
      <c r="L225" s="134">
        <f t="shared" si="494"/>
        <v>35.915748698704746</v>
      </c>
      <c r="M225" s="134">
        <f t="shared" si="494"/>
        <v>35.915748698704746</v>
      </c>
      <c r="N225" s="134">
        <f t="shared" si="494"/>
        <v>35.915748698704746</v>
      </c>
      <c r="O225" s="134">
        <f t="shared" si="494"/>
        <v>35.915748698704746</v>
      </c>
      <c r="P225" s="134">
        <f t="shared" si="494"/>
        <v>24.781866602106277</v>
      </c>
      <c r="Q225" s="134">
        <f t="shared" si="494"/>
        <v>34.119961263769511</v>
      </c>
      <c r="R225" s="134">
        <f t="shared" si="494"/>
        <v>15.623350683936566</v>
      </c>
      <c r="S225" s="118">
        <f t="shared" si="453"/>
        <v>-0.32463292385451625</v>
      </c>
      <c r="T225" s="128"/>
      <c r="U225" s="134">
        <f t="shared" ref="U225:AD225" si="495">U201/$R$170</f>
        <v>8.9789371746761866</v>
      </c>
      <c r="V225" s="134">
        <f t="shared" si="495"/>
        <v>8.9789371746761866</v>
      </c>
      <c r="W225" s="134">
        <f t="shared" si="495"/>
        <v>8.9789371746761866</v>
      </c>
      <c r="X225" s="134">
        <f t="shared" si="495"/>
        <v>8.9789371746761866</v>
      </c>
      <c r="Y225" s="134">
        <f t="shared" si="495"/>
        <v>8.9789371746761866</v>
      </c>
      <c r="Z225" s="134">
        <f t="shared" si="495"/>
        <v>8.9789371746761866</v>
      </c>
      <c r="AA225" s="134">
        <f t="shared" si="495"/>
        <v>8.9789371746761866</v>
      </c>
      <c r="AB225" s="134">
        <f t="shared" si="495"/>
        <v>8.9789371746761866</v>
      </c>
      <c r="AC225" s="134">
        <f t="shared" si="495"/>
        <v>8.9789371746761866</v>
      </c>
      <c r="AD225" s="134">
        <f t="shared" si="495"/>
        <v>8.9789371746761866</v>
      </c>
      <c r="AE225" s="137">
        <f t="shared" ref="AE225:AE227" si="496">((AD225/H225)^(1/($AD$3-$I$1) ))-1</f>
        <v>-0.2359836973081354</v>
      </c>
      <c r="AF225" s="31">
        <f t="shared" ref="AF225:AF227" si="497">$M$1</f>
        <v>0.05</v>
      </c>
      <c r="AG225" s="179">
        <f>(AG210)/($M$2*100)</f>
        <v>0</v>
      </c>
    </row>
    <row r="226" spans="2:47">
      <c r="B226" s="20" t="s">
        <v>468</v>
      </c>
      <c r="C226" s="129"/>
      <c r="D226" s="129"/>
      <c r="E226" s="129"/>
      <c r="F226" s="129"/>
      <c r="G226" s="129"/>
      <c r="H226" s="179">
        <f t="shared" ref="H226:R226" si="498">(H225)/($M$2*100)</f>
        <v>213.24975789855944</v>
      </c>
      <c r="I226" s="179">
        <f t="shared" si="498"/>
        <v>0.20950853407577771</v>
      </c>
      <c r="J226" s="179">
        <f t="shared" si="498"/>
        <v>2.9929790582253957</v>
      </c>
      <c r="K226" s="179">
        <f t="shared" si="498"/>
        <v>2.9929790582253957</v>
      </c>
      <c r="L226" s="179">
        <f t="shared" si="498"/>
        <v>2.9929790582253957</v>
      </c>
      <c r="M226" s="179">
        <f t="shared" si="498"/>
        <v>2.9929790582253957</v>
      </c>
      <c r="N226" s="179">
        <f t="shared" si="498"/>
        <v>2.9929790582253957</v>
      </c>
      <c r="O226" s="179">
        <f t="shared" si="498"/>
        <v>2.9929790582253957</v>
      </c>
      <c r="P226" s="179">
        <f t="shared" si="498"/>
        <v>2.0651555501755232</v>
      </c>
      <c r="Q226" s="179">
        <f t="shared" si="498"/>
        <v>2.8433301053141258</v>
      </c>
      <c r="R226" s="179">
        <f t="shared" si="498"/>
        <v>1.3019458903280472</v>
      </c>
      <c r="S226" s="118">
        <f t="shared" si="453"/>
        <v>-0.32463292385451625</v>
      </c>
      <c r="T226" s="128"/>
      <c r="U226" s="179">
        <f t="shared" ref="U226:AD226" si="499">(U225)/($M$2*100)</f>
        <v>0.74824476455634892</v>
      </c>
      <c r="V226" s="179">
        <f t="shared" si="499"/>
        <v>0.74824476455634892</v>
      </c>
      <c r="W226" s="179">
        <f t="shared" si="499"/>
        <v>0.74824476455634892</v>
      </c>
      <c r="X226" s="179">
        <f t="shared" si="499"/>
        <v>0.74824476455634892</v>
      </c>
      <c r="Y226" s="179">
        <f t="shared" si="499"/>
        <v>0.74824476455634892</v>
      </c>
      <c r="Z226" s="179">
        <f t="shared" si="499"/>
        <v>0.74824476455634892</v>
      </c>
      <c r="AA226" s="179">
        <f t="shared" si="499"/>
        <v>0.74824476455634892</v>
      </c>
      <c r="AB226" s="179">
        <f t="shared" si="499"/>
        <v>0.74824476455634892</v>
      </c>
      <c r="AC226" s="179">
        <f t="shared" si="499"/>
        <v>0.74824476455634892</v>
      </c>
      <c r="AD226" s="179">
        <f t="shared" si="499"/>
        <v>0.74824476455634892</v>
      </c>
      <c r="AE226" s="137">
        <f t="shared" si="496"/>
        <v>-0.2359836973081354</v>
      </c>
      <c r="AF226" s="31">
        <f t="shared" si="497"/>
        <v>0.05</v>
      </c>
      <c r="AG226" s="179" t="e">
        <f>(#REF!)/($M$2*100)</f>
        <v>#REF!</v>
      </c>
    </row>
    <row r="227" spans="2:47">
      <c r="B227" s="20" t="s">
        <v>469</v>
      </c>
      <c r="C227" s="129"/>
      <c r="D227" s="129"/>
      <c r="E227" s="129"/>
      <c r="F227" s="129"/>
      <c r="G227" s="129"/>
      <c r="H227" s="150">
        <f t="shared" ref="H227:R227" si="500">H226-1</f>
        <v>212.24975789855944</v>
      </c>
      <c r="I227" s="150">
        <f t="shared" si="500"/>
        <v>-0.79049146592422226</v>
      </c>
      <c r="J227" s="150">
        <f t="shared" si="500"/>
        <v>1.9929790582253957</v>
      </c>
      <c r="K227" s="150">
        <f t="shared" si="500"/>
        <v>1.9929790582253957</v>
      </c>
      <c r="L227" s="150">
        <f t="shared" si="500"/>
        <v>1.9929790582253957</v>
      </c>
      <c r="M227" s="150">
        <f t="shared" si="500"/>
        <v>1.9929790582253957</v>
      </c>
      <c r="N227" s="150">
        <f t="shared" si="500"/>
        <v>1.9929790582253957</v>
      </c>
      <c r="O227" s="150">
        <f t="shared" si="500"/>
        <v>1.9929790582253957</v>
      </c>
      <c r="P227" s="150">
        <f t="shared" si="500"/>
        <v>1.0651555501755232</v>
      </c>
      <c r="Q227" s="150">
        <f t="shared" si="500"/>
        <v>1.8433301053141258</v>
      </c>
      <c r="R227" s="150">
        <f t="shared" si="500"/>
        <v>0.3019458903280472</v>
      </c>
      <c r="S227" s="118">
        <f t="shared" si="453"/>
        <v>-0.35044762677172725</v>
      </c>
      <c r="T227" s="128"/>
      <c r="U227" s="150">
        <f t="shared" ref="U227:AD227" si="501">U226-1</f>
        <v>-0.25175523544365108</v>
      </c>
      <c r="V227" s="150">
        <f t="shared" si="501"/>
        <v>-0.25175523544365108</v>
      </c>
      <c r="W227" s="150">
        <f t="shared" si="501"/>
        <v>-0.25175523544365108</v>
      </c>
      <c r="X227" s="150">
        <f t="shared" si="501"/>
        <v>-0.25175523544365108</v>
      </c>
      <c r="Y227" s="150">
        <f t="shared" si="501"/>
        <v>-0.25175523544365108</v>
      </c>
      <c r="Z227" s="150">
        <f t="shared" si="501"/>
        <v>-0.25175523544365108</v>
      </c>
      <c r="AA227" s="150">
        <f t="shared" si="501"/>
        <v>-0.25175523544365108</v>
      </c>
      <c r="AB227" s="150">
        <f t="shared" si="501"/>
        <v>-0.25175523544365108</v>
      </c>
      <c r="AC227" s="150">
        <f t="shared" si="501"/>
        <v>-0.25175523544365108</v>
      </c>
      <c r="AD227" s="150">
        <f t="shared" si="501"/>
        <v>-0.25175523544365108</v>
      </c>
      <c r="AE227" s="137">
        <f t="shared" si="496"/>
        <v>-1.7255593104555109</v>
      </c>
      <c r="AF227" s="31">
        <f t="shared" si="497"/>
        <v>0.05</v>
      </c>
      <c r="AG227" s="179">
        <f>(AG211)/($M$2*100)</f>
        <v>8.0881846236789873E-2</v>
      </c>
    </row>
    <row r="228" spans="2:47">
      <c r="B228" s="20"/>
      <c r="C228" s="129"/>
      <c r="D228" s="129"/>
      <c r="E228" s="129"/>
      <c r="F228" s="129"/>
      <c r="G228" s="129"/>
      <c r="H228" s="134"/>
      <c r="I228" s="134"/>
      <c r="J228" s="134"/>
      <c r="K228" s="134"/>
      <c r="L228" s="197"/>
      <c r="M228" s="198"/>
      <c r="N228" s="134"/>
      <c r="O228" s="134"/>
      <c r="P228" s="134"/>
      <c r="Q228" s="134"/>
      <c r="R228" s="134"/>
      <c r="S228" s="128"/>
      <c r="T228" s="128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6"/>
      <c r="AF228" s="20"/>
      <c r="AG228" s="20"/>
    </row>
    <row r="229" spans="2:47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16" t="s">
        <v>349</v>
      </c>
      <c r="M229" s="217"/>
      <c r="N229" s="20"/>
      <c r="O229" s="20"/>
      <c r="P229" s="20"/>
      <c r="Q229" s="108" t="s">
        <v>428</v>
      </c>
      <c r="R229" s="108" t="s">
        <v>427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136"/>
      <c r="AF229" s="20"/>
      <c r="AG229" s="20"/>
    </row>
    <row r="230" spans="2:47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/>
      <c r="L230" s="20" t="s">
        <v>350</v>
      </c>
      <c r="M230" s="22">
        <v>1</v>
      </c>
      <c r="N230" s="20"/>
      <c r="O230" s="20"/>
      <c r="P230" s="20"/>
      <c r="Q230" s="128">
        <f>(R201-T188)/R201</f>
        <v>0.55339760644065883</v>
      </c>
      <c r="R230" s="128">
        <f>(R201-U188)/R201</f>
        <v>0.6325856286875543</v>
      </c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136"/>
      <c r="AF230" s="20"/>
      <c r="AG230" s="20"/>
    </row>
    <row r="231" spans="2:47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20"/>
      <c r="L231" s="170">
        <f>$M$230</f>
        <v>1</v>
      </c>
      <c r="M231" s="20"/>
      <c r="N231" s="128">
        <f>(Q201-(L231*T179))/Q201</f>
        <v>2.3640664295068552</v>
      </c>
      <c r="O231" s="20"/>
      <c r="P231" s="20"/>
      <c r="Q231" s="128">
        <f>(R201-T179)/R201</f>
        <v>3.9789956506471547</v>
      </c>
      <c r="R231" s="128">
        <f>(R201-U179)/R201</f>
        <v>1.4151059513196853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136"/>
      <c r="AF231" s="20"/>
      <c r="AG231" s="20"/>
    </row>
    <row r="232" spans="2:47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20"/>
      <c r="L232" s="170">
        <f>$M$230</f>
        <v>1</v>
      </c>
      <c r="M232" s="20"/>
      <c r="N232" s="128">
        <f>(Q201-(L232*T172))/Q201</f>
        <v>-1.9185495984782308</v>
      </c>
      <c r="O232" s="20"/>
      <c r="P232" s="20"/>
      <c r="Q232" s="128">
        <f>(R201-T172)/R201</f>
        <v>-5.3738439506995848</v>
      </c>
      <c r="R232" s="128">
        <f>(R201-U172)/R201</f>
        <v>0.11184141670579571</v>
      </c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136"/>
      <c r="AF232" s="20"/>
      <c r="AG232" s="20"/>
    </row>
    <row r="233" spans="2:47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20"/>
      <c r="L233" s="170">
        <f>$M$230</f>
        <v>1</v>
      </c>
      <c r="M233" s="20"/>
      <c r="N233" s="128">
        <f>(Q201-(L233*T185))/Q201</f>
        <v>0.62360456991803892</v>
      </c>
      <c r="O233" s="20"/>
      <c r="P233" s="20"/>
      <c r="Q233" s="128">
        <f>(R201-T185)/R201</f>
        <v>0.1779869917750275</v>
      </c>
      <c r="R233" s="128">
        <f>(R201-U185)/R201</f>
        <v>0.88545720377193016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136"/>
      <c r="AF233" s="20"/>
      <c r="AG233" s="20"/>
    </row>
    <row r="234" spans="2:47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20"/>
      <c r="L234" s="170">
        <f>$M$230</f>
        <v>1</v>
      </c>
      <c r="M234" s="20"/>
      <c r="N234" s="128">
        <f>(Q201-(L234*T198))/Q201</f>
        <v>1.0199840913213063</v>
      </c>
      <c r="O234" s="20"/>
      <c r="P234" s="20"/>
      <c r="Q234" s="128">
        <f>(R201-T198)/R201</f>
        <v>1.0436434178281402</v>
      </c>
      <c r="R234" s="128">
        <f>(R201-U198)/R201</f>
        <v>1.0359049103956983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136"/>
      <c r="AF234" s="20"/>
      <c r="AG234" s="20"/>
    </row>
    <row r="235" spans="2:47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5">
        <f>R201/T171</f>
        <v>-0.74320875581759194</v>
      </c>
      <c r="R235" s="25">
        <f>R201/U171</f>
        <v>-5.3336157770438959</v>
      </c>
      <c r="S235" s="20"/>
      <c r="T235" s="20"/>
      <c r="U235" s="115" t="s">
        <v>11</v>
      </c>
      <c r="V235" s="115" t="s">
        <v>12</v>
      </c>
      <c r="W235" s="115" t="s">
        <v>13</v>
      </c>
      <c r="X235" s="115" t="s">
        <v>14</v>
      </c>
      <c r="Y235" s="115" t="s">
        <v>15</v>
      </c>
      <c r="Z235" s="115" t="s">
        <v>234</v>
      </c>
      <c r="AA235" s="115" t="s">
        <v>235</v>
      </c>
      <c r="AB235" s="115" t="s">
        <v>236</v>
      </c>
      <c r="AC235" s="115" t="s">
        <v>237</v>
      </c>
      <c r="AD235" s="115" t="s">
        <v>238</v>
      </c>
      <c r="AE235" s="115" t="s">
        <v>405</v>
      </c>
      <c r="AF235" s="115" t="s">
        <v>406</v>
      </c>
      <c r="AG235" s="115" t="s">
        <v>407</v>
      </c>
      <c r="AH235" s="115" t="s">
        <v>408</v>
      </c>
      <c r="AI235" s="115" t="s">
        <v>409</v>
      </c>
      <c r="AJ235" s="115" t="s">
        <v>410</v>
      </c>
      <c r="AK235" s="115" t="s">
        <v>411</v>
      </c>
      <c r="AL235" s="115" t="s">
        <v>412</v>
      </c>
      <c r="AM235" s="115" t="s">
        <v>413</v>
      </c>
      <c r="AN235" s="115" t="s">
        <v>414</v>
      </c>
      <c r="AO235" s="115" t="s">
        <v>415</v>
      </c>
      <c r="AP235" s="115" t="s">
        <v>416</v>
      </c>
      <c r="AQ235" s="115" t="s">
        <v>417</v>
      </c>
      <c r="AR235" s="115" t="s">
        <v>418</v>
      </c>
      <c r="AS235" s="115" t="s">
        <v>419</v>
      </c>
      <c r="AT235" s="115" t="s">
        <v>420</v>
      </c>
      <c r="AU235" s="115" t="s">
        <v>421</v>
      </c>
    </row>
    <row r="236" spans="2:47">
      <c r="B236" s="20" t="s">
        <v>369</v>
      </c>
      <c r="C236" s="20"/>
      <c r="D236" s="20"/>
      <c r="E236" s="20"/>
      <c r="F236" s="20"/>
      <c r="G236" s="20"/>
      <c r="H236" s="187" t="s">
        <v>446</v>
      </c>
      <c r="I236" s="188"/>
      <c r="J236" s="187" t="s">
        <v>447</v>
      </c>
      <c r="K236" s="188"/>
      <c r="L236" s="20"/>
      <c r="M236" s="187" t="s">
        <v>448</v>
      </c>
      <c r="N236" s="188"/>
      <c r="O236" s="187" t="s">
        <v>449</v>
      </c>
      <c r="P236" s="188"/>
      <c r="Q236" s="150">
        <f>1/Q235</f>
        <v>-1.3455169791425778</v>
      </c>
      <c r="R236" s="150">
        <f>1/R235</f>
        <v>-0.18749007086412967</v>
      </c>
      <c r="S236" s="20"/>
      <c r="T236" s="20"/>
      <c r="U236" s="129">
        <f>R201-U237</f>
        <v>28.684658155570027</v>
      </c>
      <c r="V236" s="183">
        <f>U236-V237</f>
        <v>-32.546450781081447</v>
      </c>
      <c r="W236" s="183">
        <f t="shared" ref="W236:Y236" si="502">V236-W237</f>
        <v>-96.839115164565499</v>
      </c>
      <c r="X236" s="183">
        <f t="shared" si="502"/>
        <v>-164.34641276722374</v>
      </c>
      <c r="Y236" s="183">
        <f t="shared" si="502"/>
        <v>-235.22907525001492</v>
      </c>
      <c r="Z236" s="183">
        <f>Y236-Z237</f>
        <v>-309.65587085694563</v>
      </c>
      <c r="AA236" s="183">
        <f t="shared" ref="AA236:AD236" si="503">Z236-AA237</f>
        <v>-387.80400624422293</v>
      </c>
      <c r="AB236" s="183">
        <f t="shared" si="503"/>
        <v>-469.85954840086407</v>
      </c>
      <c r="AC236" s="183">
        <f t="shared" si="503"/>
        <v>-556.01786766533723</v>
      </c>
      <c r="AD236" s="183">
        <f t="shared" si="503"/>
        <v>-646.48410289303411</v>
      </c>
      <c r="AE236" s="183">
        <f t="shared" ref="AE236" si="504">AD236-AE237</f>
        <v>-741.47364988211586</v>
      </c>
      <c r="AF236" s="183">
        <f t="shared" ref="AF236" si="505">AE236-AF237</f>
        <v>-841.21267422065171</v>
      </c>
      <c r="AG236" s="183">
        <f t="shared" ref="AG236" si="506">AF236-AG237</f>
        <v>-945.93864977611429</v>
      </c>
      <c r="AH236" s="183">
        <f t="shared" ref="AH236" si="507">AG236-AH237</f>
        <v>-1055.9009241093499</v>
      </c>
      <c r="AI236" s="183">
        <f t="shared" ref="AI236" si="508">AH236-AI237</f>
        <v>-1171.3613121592475</v>
      </c>
      <c r="AJ236" s="183">
        <f t="shared" ref="AJ236" si="509">AI236-AJ237</f>
        <v>-1292.5947196116399</v>
      </c>
      <c r="AK236" s="183">
        <f t="shared" ref="AK236" si="510">AJ236-AK237</f>
        <v>-1419.8897974366519</v>
      </c>
      <c r="AL236" s="183">
        <f t="shared" ref="AL236" si="511">AK236-AL237</f>
        <v>-1553.5496291529146</v>
      </c>
      <c r="AM236" s="183">
        <f t="shared" ref="AM236" si="512">AL236-AM237</f>
        <v>-1693.8924524549905</v>
      </c>
      <c r="AN236" s="183">
        <f t="shared" ref="AN236" si="513">AM236-AN237</f>
        <v>-1841.2524169221701</v>
      </c>
      <c r="AO236" s="183">
        <f t="shared" ref="AO236" si="514">AN236-AO237</f>
        <v>-1995.9803796127087</v>
      </c>
      <c r="AP236" s="183">
        <f t="shared" ref="AP236" si="515">AO236-AP237</f>
        <v>-2158.4447404377743</v>
      </c>
      <c r="AQ236" s="183">
        <f t="shared" ref="AQ236" si="516">AP236-AQ237</f>
        <v>-2329.0323193040931</v>
      </c>
      <c r="AR236" s="183">
        <f t="shared" ref="AR236" si="517">AQ236-AR237</f>
        <v>-2508.1492771137277</v>
      </c>
      <c r="AS236" s="183">
        <f t="shared" ref="AS236" si="518">AR236-AS237</f>
        <v>-2696.2220828138443</v>
      </c>
      <c r="AT236" s="183">
        <f t="shared" ref="AT236" si="519">AS236-AT237</f>
        <v>-2893.6985287989664</v>
      </c>
      <c r="AU236" s="183">
        <f t="shared" ref="AU236" si="520">AT236-AU237</f>
        <v>-3101.0487970833447</v>
      </c>
    </row>
    <row r="237" spans="2:47">
      <c r="B237" s="20" t="s">
        <v>394</v>
      </c>
      <c r="C237" s="20"/>
      <c r="D237" s="20"/>
      <c r="E237" s="20"/>
      <c r="F237" s="20"/>
      <c r="G237" s="20"/>
      <c r="H237" s="189">
        <v>0</v>
      </c>
      <c r="I237" s="188"/>
      <c r="J237" s="189">
        <v>0.05</v>
      </c>
      <c r="K237" s="188"/>
      <c r="L237" s="182">
        <f>Q1</f>
        <v>0.05</v>
      </c>
      <c r="M237" s="189">
        <v>0.12</v>
      </c>
      <c r="N237" s="188"/>
      <c r="O237" s="189">
        <v>0.2</v>
      </c>
      <c r="P237" s="196" t="s">
        <v>280</v>
      </c>
      <c r="Q237" s="179">
        <f>R201/T170</f>
        <v>17.601159186709644</v>
      </c>
      <c r="R237" s="179" t="s">
        <v>467</v>
      </c>
      <c r="S237" s="20"/>
      <c r="T237" s="20"/>
      <c r="U237" s="184">
        <f>S170*(1+$L$237)</f>
        <v>58.315341844429973</v>
      </c>
      <c r="V237" s="184">
        <f>U237*(1+$L$237)</f>
        <v>61.231108936651474</v>
      </c>
      <c r="W237" s="184">
        <f t="shared" ref="W237:AD237" si="521">V237*(1+$L$237)</f>
        <v>64.292664383484052</v>
      </c>
      <c r="X237" s="184">
        <f t="shared" si="521"/>
        <v>67.507297602658255</v>
      </c>
      <c r="Y237" s="184">
        <f t="shared" si="521"/>
        <v>70.882662482791176</v>
      </c>
      <c r="Z237" s="184">
        <f t="shared" si="521"/>
        <v>74.426795606930739</v>
      </c>
      <c r="AA237" s="184">
        <f t="shared" si="521"/>
        <v>78.148135387277279</v>
      </c>
      <c r="AB237" s="184">
        <f t="shared" si="521"/>
        <v>82.055542156641152</v>
      </c>
      <c r="AC237" s="184">
        <f t="shared" si="521"/>
        <v>86.158319264473221</v>
      </c>
      <c r="AD237" s="184">
        <f t="shared" si="521"/>
        <v>90.466235227696885</v>
      </c>
      <c r="AE237" s="184">
        <f t="shared" ref="AE237" si="522">AD237*(1+$L$237)</f>
        <v>94.989546989081731</v>
      </c>
      <c r="AF237" s="184">
        <f t="shared" ref="AF237" si="523">AE237*(1+$L$237)</f>
        <v>99.739024338535827</v>
      </c>
      <c r="AG237" s="184">
        <f t="shared" ref="AG237" si="524">AF237*(1+$L$237)</f>
        <v>104.72597555546263</v>
      </c>
      <c r="AH237" s="184">
        <f t="shared" ref="AH237" si="525">AG237*(1+$L$237)</f>
        <v>109.96227433323575</v>
      </c>
      <c r="AI237" s="184">
        <f t="shared" ref="AI237" si="526">AH237*(1+$L$237)</f>
        <v>115.46038804989755</v>
      </c>
      <c r="AJ237" s="184">
        <f t="shared" ref="AJ237" si="527">AI237*(1+$L$237)</f>
        <v>121.23340745239243</v>
      </c>
      <c r="AK237" s="184">
        <f t="shared" ref="AK237" si="528">AJ237*(1+$L$237)</f>
        <v>127.29507782501206</v>
      </c>
      <c r="AL237" s="184">
        <f t="shared" ref="AL237" si="529">AK237*(1+$L$237)</f>
        <v>133.65983171626266</v>
      </c>
      <c r="AM237" s="184">
        <f t="shared" ref="AM237" si="530">AL237*(1+$L$237)</f>
        <v>140.3428233020758</v>
      </c>
      <c r="AN237" s="184">
        <f t="shared" ref="AN237" si="531">AM237*(1+$L$237)</f>
        <v>147.35996446717959</v>
      </c>
      <c r="AO237" s="184">
        <f t="shared" ref="AO237" si="532">AN237*(1+$L$237)</f>
        <v>154.72796269053859</v>
      </c>
      <c r="AP237" s="184">
        <f t="shared" ref="AP237" si="533">AO237*(1+$L$237)</f>
        <v>162.46436082506551</v>
      </c>
      <c r="AQ237" s="184">
        <f t="shared" ref="AQ237" si="534">AP237*(1+$L$237)</f>
        <v>170.58757886631881</v>
      </c>
      <c r="AR237" s="184">
        <f t="shared" ref="AR237" si="535">AQ237*(1+$L$237)</f>
        <v>179.11695780963475</v>
      </c>
      <c r="AS237" s="184">
        <f t="shared" ref="AS237" si="536">AR237*(1+$L$237)</f>
        <v>188.0728057001165</v>
      </c>
      <c r="AT237" s="184">
        <f t="shared" ref="AT237" si="537">AS237*(1+$L$237)</f>
        <v>197.47644598512233</v>
      </c>
      <c r="AU237" s="184">
        <f t="shared" ref="AU237" si="538">AT237*(1+$L$237)</f>
        <v>207.35026828437844</v>
      </c>
    </row>
    <row r="238" spans="2:47">
      <c r="B238" s="20" t="s">
        <v>393</v>
      </c>
      <c r="C238" s="20"/>
      <c r="D238" s="20"/>
      <c r="E238" s="23" t="s">
        <v>389</v>
      </c>
      <c r="F238" s="23"/>
      <c r="G238" s="22"/>
      <c r="H238" s="189">
        <v>0</v>
      </c>
      <c r="I238" s="190">
        <f>R203</f>
        <v>-2.2696649960432604</v>
      </c>
      <c r="J238" s="189">
        <v>0.05</v>
      </c>
      <c r="K238" s="188"/>
      <c r="L238" s="182">
        <f>Q1</f>
        <v>0.05</v>
      </c>
      <c r="M238" s="189">
        <v>0.12</v>
      </c>
      <c r="N238" s="188"/>
      <c r="O238" s="189">
        <v>0.2</v>
      </c>
      <c r="P238" s="196" t="s">
        <v>466</v>
      </c>
      <c r="Q238" s="179">
        <f>R201/R72</f>
        <v>-2.2696649960432604</v>
      </c>
      <c r="R238" s="179" t="s">
        <v>467</v>
      </c>
      <c r="S238" s="20"/>
      <c r="T238" s="20"/>
      <c r="U238" s="184">
        <f>R72*(1+$L$238)</f>
        <v>-40.248230535894848</v>
      </c>
      <c r="V238" s="184">
        <f>U238*(1+$L$238)</f>
        <v>-42.260642062689591</v>
      </c>
      <c r="W238" s="184">
        <f t="shared" ref="W238:AD238" si="539">V238*(1+$L$238)</f>
        <v>-44.37367416582407</v>
      </c>
      <c r="X238" s="184">
        <f t="shared" si="539"/>
        <v>-46.592357874115272</v>
      </c>
      <c r="Y238" s="184">
        <f t="shared" si="539"/>
        <v>-48.921975767821039</v>
      </c>
      <c r="Z238" s="184">
        <f t="shared" si="539"/>
        <v>-51.368074556212093</v>
      </c>
      <c r="AA238" s="184">
        <f t="shared" si="539"/>
        <v>-53.936478284022698</v>
      </c>
      <c r="AB238" s="184">
        <f t="shared" si="539"/>
        <v>-56.633302198223838</v>
      </c>
      <c r="AC238" s="184">
        <f t="shared" si="539"/>
        <v>-59.46496730813503</v>
      </c>
      <c r="AD238" s="184">
        <f t="shared" si="539"/>
        <v>-62.438215673541784</v>
      </c>
      <c r="AE238" s="184">
        <f t="shared" ref="AE238" si="540">AD238*(1+$L$238)</f>
        <v>-65.560126457218871</v>
      </c>
      <c r="AF238" s="184">
        <f t="shared" ref="AF238" si="541">AE238*(1+$L$238)</f>
        <v>-68.838132780079818</v>
      </c>
      <c r="AG238" s="184">
        <f t="shared" ref="AG238" si="542">AF238*(1+$L$238)</f>
        <v>-72.280039419083806</v>
      </c>
      <c r="AH238" s="184">
        <f t="shared" ref="AH238" si="543">AG238*(1+$L$238)</f>
        <v>-75.894041390037998</v>
      </c>
      <c r="AI238" s="184">
        <f t="shared" ref="AI238" si="544">AH238*(1+$L$238)</f>
        <v>-79.688743459539907</v>
      </c>
      <c r="AJ238" s="184">
        <f t="shared" ref="AJ238" si="545">AI238*(1+$L$238)</f>
        <v>-83.673180632516903</v>
      </c>
      <c r="AK238" s="184">
        <f t="shared" ref="AK238" si="546">AJ238*(1+$L$238)</f>
        <v>-87.856839664142754</v>
      </c>
      <c r="AL238" s="184">
        <f t="shared" ref="AL238" si="547">AK238*(1+$L$238)</f>
        <v>-92.249681647349902</v>
      </c>
      <c r="AM238" s="184">
        <f t="shared" ref="AM238" si="548">AL238*(1+$L$238)</f>
        <v>-96.862165729717404</v>
      </c>
      <c r="AN238" s="184">
        <f t="shared" ref="AN238" si="549">AM238*(1+$L$238)</f>
        <v>-101.70527401620328</v>
      </c>
      <c r="AO238" s="184">
        <f t="shared" ref="AO238" si="550">AN238*(1+$L$238)</f>
        <v>-106.79053771701345</v>
      </c>
      <c r="AP238" s="184">
        <f t="shared" ref="AP238" si="551">AO238*(1+$L$238)</f>
        <v>-112.13006460286412</v>
      </c>
      <c r="AQ238" s="184">
        <f t="shared" ref="AQ238" si="552">AP238*(1+$L$238)</f>
        <v>-117.73656783300734</v>
      </c>
      <c r="AR238" s="184">
        <f t="shared" ref="AR238" si="553">AQ238*(1+$L$238)</f>
        <v>-123.62339622465771</v>
      </c>
      <c r="AS238" s="184">
        <f t="shared" ref="AS238" si="554">AR238*(1+$L$238)</f>
        <v>-129.80456603589059</v>
      </c>
      <c r="AT238" s="184">
        <f t="shared" ref="AT238" si="555">AS238*(1+$L$238)</f>
        <v>-136.29479433768512</v>
      </c>
      <c r="AU238" s="184">
        <f t="shared" ref="AU238" si="556">AT238*(1+$L$238)</f>
        <v>-143.10953405456939</v>
      </c>
    </row>
    <row r="239" spans="2:47">
      <c r="B239" s="20"/>
      <c r="C239" s="20"/>
      <c r="D239" s="20"/>
      <c r="E239" s="23" t="s">
        <v>452</v>
      </c>
      <c r="F239" s="23"/>
      <c r="G239" s="22"/>
      <c r="H239" s="189">
        <v>0</v>
      </c>
      <c r="I239" s="190"/>
      <c r="J239" s="189">
        <v>0.05</v>
      </c>
      <c r="K239" s="188"/>
      <c r="L239" s="188"/>
      <c r="M239" s="189">
        <v>0.12</v>
      </c>
      <c r="N239" s="188"/>
      <c r="O239" s="189">
        <v>0.2</v>
      </c>
      <c r="P239" s="20"/>
      <c r="Q239" s="20"/>
      <c r="R239" s="20"/>
      <c r="S239" s="20"/>
      <c r="T239" s="20"/>
      <c r="U239" s="129">
        <f>R201-U238</f>
        <v>127.24823053589485</v>
      </c>
      <c r="V239" s="183">
        <f>U239-V238</f>
        <v>169.50887259858445</v>
      </c>
      <c r="W239" s="183">
        <f t="shared" ref="W239:AB239" si="557">V239-W238</f>
        <v>213.88254676440852</v>
      </c>
      <c r="X239" s="183">
        <f t="shared" si="557"/>
        <v>260.47490463852381</v>
      </c>
      <c r="Y239" s="183">
        <f t="shared" si="557"/>
        <v>309.39688040634485</v>
      </c>
      <c r="Z239" s="183">
        <f t="shared" si="557"/>
        <v>360.76495496255694</v>
      </c>
      <c r="AA239" s="183">
        <f t="shared" si="557"/>
        <v>414.70143324657965</v>
      </c>
      <c r="AB239" s="183">
        <f t="shared" si="557"/>
        <v>471.33473544480347</v>
      </c>
      <c r="AC239" s="183">
        <f>AB239-AC238</f>
        <v>530.79970275293852</v>
      </c>
      <c r="AD239" s="183">
        <f t="shared" ref="AD239" si="558">AC239-AD238</f>
        <v>593.23791842648029</v>
      </c>
      <c r="AE239" s="183">
        <f t="shared" ref="AE239" si="559">AD239-AE238</f>
        <v>658.79804488369916</v>
      </c>
      <c r="AF239" s="183">
        <f t="shared" ref="AF239" si="560">AE239-AF238</f>
        <v>727.63617766377899</v>
      </c>
      <c r="AG239" s="183">
        <f t="shared" ref="AG239" si="561">AF239-AG238</f>
        <v>799.91621708286277</v>
      </c>
      <c r="AH239" s="183">
        <f t="shared" ref="AH239" si="562">AG239-AH238</f>
        <v>875.81025847290073</v>
      </c>
      <c r="AI239" s="183">
        <f t="shared" ref="AI239" si="563">AH239-AI238</f>
        <v>955.49900193244059</v>
      </c>
      <c r="AJ239" s="183">
        <f t="shared" ref="AJ239" si="564">AI239-AJ238</f>
        <v>1039.1721825649574</v>
      </c>
      <c r="AK239" s="183">
        <f t="shared" ref="AK239" si="565">AJ239-AK238</f>
        <v>1127.0290222291003</v>
      </c>
      <c r="AL239" s="183">
        <f t="shared" ref="AL239" si="566">AK239-AL238</f>
        <v>1219.2787038764502</v>
      </c>
      <c r="AM239" s="183">
        <f t="shared" ref="AM239" si="567">AL239-AM238</f>
        <v>1316.1408696061676</v>
      </c>
      <c r="AN239" s="183">
        <f t="shared" ref="AN239" si="568">AM239-AN238</f>
        <v>1417.8461436223708</v>
      </c>
      <c r="AO239" s="183">
        <f t="shared" ref="AO239" si="569">AN239-AO238</f>
        <v>1524.6366813393843</v>
      </c>
      <c r="AP239" s="183">
        <f t="shared" ref="AP239" si="570">AO239-AP238</f>
        <v>1636.7667459422485</v>
      </c>
      <c r="AQ239" s="183">
        <f t="shared" ref="AQ239" si="571">AP239-AQ238</f>
        <v>1754.5033137752557</v>
      </c>
      <c r="AR239" s="183">
        <f t="shared" ref="AR239" si="572">AQ239-AR238</f>
        <v>1878.1267099999134</v>
      </c>
      <c r="AS239" s="183">
        <f t="shared" ref="AS239" si="573">AR239-AS238</f>
        <v>2007.9312760358039</v>
      </c>
      <c r="AT239" s="183">
        <f t="shared" ref="AT239" si="574">AS239-AT238</f>
        <v>2144.2260703734892</v>
      </c>
      <c r="AU239" s="183">
        <f t="shared" ref="AU239" si="575">AT239-AU238</f>
        <v>2287.3356044280586</v>
      </c>
    </row>
    <row r="240" spans="2:47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spans="2:33">
      <c r="B241" s="20" t="s">
        <v>304</v>
      </c>
      <c r="C241" s="25"/>
      <c r="D241" s="25"/>
      <c r="E241" s="25"/>
      <c r="F241" s="25"/>
      <c r="G241" s="25"/>
      <c r="H241" s="25">
        <f t="shared" ref="H241:R241" si="576">H10/H7</f>
        <v>3.0223390275952694E-2</v>
      </c>
      <c r="I241" s="25">
        <f t="shared" si="576"/>
        <v>8.6505190311418692E-3</v>
      </c>
      <c r="J241" s="25">
        <f t="shared" si="576"/>
        <v>0</v>
      </c>
      <c r="K241" s="25">
        <f t="shared" si="576"/>
        <v>0</v>
      </c>
      <c r="L241" s="25">
        <f t="shared" si="576"/>
        <v>4.0509013785790032E-4</v>
      </c>
      <c r="M241" s="25">
        <f t="shared" si="576"/>
        <v>0.24756852343059241</v>
      </c>
      <c r="N241" s="25">
        <f t="shared" si="576"/>
        <v>7.6736924277907889E-2</v>
      </c>
      <c r="O241" s="25">
        <f t="shared" si="576"/>
        <v>0.24699034263791506</v>
      </c>
      <c r="P241" s="25">
        <f t="shared" si="576"/>
        <v>0.25756795422031475</v>
      </c>
      <c r="Q241" s="25">
        <f t="shared" si="576"/>
        <v>0.99112426035502954</v>
      </c>
      <c r="R241" s="25">
        <f t="shared" si="576"/>
        <v>1.3357772621809745</v>
      </c>
      <c r="S241" s="118">
        <f t="shared" ref="S241:S243" si="577">((Q241/H241)^(1/($I$2-$I$1) ))-1</f>
        <v>0.3734050177917092</v>
      </c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spans="2:33">
      <c r="B242" s="20" t="s">
        <v>305</v>
      </c>
      <c r="C242" s="112"/>
      <c r="D242" s="112"/>
      <c r="E242" s="112"/>
      <c r="F242" s="112"/>
      <c r="G242" s="112"/>
      <c r="H242" s="112">
        <f t="shared" ref="H242:R242" si="578">H10/H12</f>
        <v>1.3529411764705883</v>
      </c>
      <c r="I242" s="112">
        <f t="shared" si="578"/>
        <v>0.27027027027027029</v>
      </c>
      <c r="J242" s="112">
        <f t="shared" si="578"/>
        <v>0</v>
      </c>
      <c r="K242" s="112">
        <f t="shared" si="578"/>
        <v>0</v>
      </c>
      <c r="L242" s="112">
        <f t="shared" si="578"/>
        <v>0.10778781038374718</v>
      </c>
      <c r="M242" s="112">
        <f t="shared" si="578"/>
        <v>0.81969612693580018</v>
      </c>
      <c r="N242" s="112">
        <f t="shared" si="578"/>
        <v>1.0958751393534003</v>
      </c>
      <c r="O242" s="112">
        <f t="shared" si="578"/>
        <v>38.102040816326529</v>
      </c>
      <c r="P242" s="112">
        <f t="shared" si="578"/>
        <v>125.02777777777777</v>
      </c>
      <c r="Q242" s="112">
        <f t="shared" si="578"/>
        <v>9.416970327954191</v>
      </c>
      <c r="R242" s="112">
        <f t="shared" si="578"/>
        <v>12.634304775280899</v>
      </c>
      <c r="S242" s="118">
        <f t="shared" si="577"/>
        <v>0.19289696932042433</v>
      </c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2:33">
      <c r="B243" s="20" t="s">
        <v>306</v>
      </c>
      <c r="C243" s="25"/>
      <c r="D243" s="25"/>
      <c r="E243" s="25"/>
      <c r="F243" s="25"/>
      <c r="G243" s="25"/>
      <c r="H243" s="25">
        <f t="shared" ref="H243:R243" si="579">H10/(H12+H13)</f>
        <v>7.1651090342679122E-2</v>
      </c>
      <c r="I243" s="25">
        <f t="shared" si="579"/>
        <v>1.9569471624266144E-2</v>
      </c>
      <c r="J243" s="25">
        <f t="shared" si="579"/>
        <v>0</v>
      </c>
      <c r="K243" s="25">
        <f t="shared" si="579"/>
        <v>0</v>
      </c>
      <c r="L243" s="25">
        <f t="shared" si="579"/>
        <v>6.0775379289278078E-4</v>
      </c>
      <c r="M243" s="25">
        <f t="shared" si="579"/>
        <v>0.28180637888867643</v>
      </c>
      <c r="N243" s="25">
        <f t="shared" si="579"/>
        <v>0.10138201320132013</v>
      </c>
      <c r="O243" s="25">
        <f t="shared" si="579"/>
        <v>0.26177790241166571</v>
      </c>
      <c r="P243" s="25">
        <f t="shared" si="579"/>
        <v>0.27966944202808502</v>
      </c>
      <c r="Q243" s="25">
        <f t="shared" si="579"/>
        <v>1.5870857368455684</v>
      </c>
      <c r="R243" s="25">
        <f t="shared" si="579"/>
        <v>1.5885612114255441</v>
      </c>
      <c r="S243" s="118">
        <f t="shared" si="577"/>
        <v>0.32527819704419958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spans="2:33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2:33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spans="2:33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173"/>
      <c r="L246" s="20"/>
      <c r="M246" s="213" t="s">
        <v>335</v>
      </c>
      <c r="N246" s="214"/>
      <c r="O246" s="215"/>
      <c r="P246" s="23" t="s">
        <v>338</v>
      </c>
      <c r="Q246" s="20"/>
      <c r="R246" s="136"/>
      <c r="S246" s="213" t="s">
        <v>336</v>
      </c>
      <c r="T246" s="214"/>
      <c r="U246" s="215"/>
      <c r="V246" s="23" t="s">
        <v>338</v>
      </c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2:33">
      <c r="B247" s="20"/>
      <c r="C247" s="164" t="s">
        <v>337</v>
      </c>
      <c r="D247" s="164" t="s">
        <v>0</v>
      </c>
      <c r="E247" s="164" t="s">
        <v>376</v>
      </c>
      <c r="F247" s="164"/>
      <c r="G247" s="164" t="s">
        <v>377</v>
      </c>
      <c r="H247" s="164" t="s">
        <v>378</v>
      </c>
      <c r="I247" s="164" t="s">
        <v>379</v>
      </c>
      <c r="J247" s="164" t="s">
        <v>380</v>
      </c>
      <c r="K247" s="164" t="s">
        <v>381</v>
      </c>
      <c r="L247" s="20"/>
      <c r="M247" s="164" t="s">
        <v>337</v>
      </c>
      <c r="N247" s="164"/>
      <c r="O247" s="164" t="s">
        <v>0</v>
      </c>
      <c r="P247" s="164" t="s">
        <v>370</v>
      </c>
      <c r="Q247" s="20"/>
      <c r="R247" s="20"/>
      <c r="S247" s="164" t="s">
        <v>337</v>
      </c>
      <c r="T247" s="164"/>
      <c r="U247" s="164" t="s">
        <v>0</v>
      </c>
      <c r="V247" s="164" t="s">
        <v>370</v>
      </c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spans="2:33">
      <c r="B248" s="20"/>
      <c r="C248" s="165" t="s">
        <v>339</v>
      </c>
      <c r="D248" s="21">
        <v>1</v>
      </c>
      <c r="E248" s="174" t="s">
        <v>382</v>
      </c>
      <c r="F248" s="174"/>
      <c r="G248" s="22">
        <v>1</v>
      </c>
      <c r="H248" s="22">
        <v>1</v>
      </c>
      <c r="I248" s="165">
        <f>G248/H248</f>
        <v>1</v>
      </c>
      <c r="J248" s="165">
        <f>I248*D249</f>
        <v>1</v>
      </c>
      <c r="K248" s="175">
        <f>J248+D249</f>
        <v>2</v>
      </c>
      <c r="L248" s="20"/>
      <c r="M248" s="165" t="s">
        <v>339</v>
      </c>
      <c r="N248" s="165"/>
      <c r="O248" s="21">
        <v>1</v>
      </c>
      <c r="P248" s="171">
        <f>O248</f>
        <v>1</v>
      </c>
      <c r="Q248" s="20"/>
      <c r="R248" s="20"/>
      <c r="S248" s="165" t="s">
        <v>339</v>
      </c>
      <c r="T248" s="165"/>
      <c r="U248" s="21">
        <v>1</v>
      </c>
      <c r="V248" s="171">
        <f>U248</f>
        <v>1</v>
      </c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spans="2:33">
      <c r="B249" s="20"/>
      <c r="C249" s="165" t="s">
        <v>340</v>
      </c>
      <c r="D249" s="21">
        <v>1</v>
      </c>
      <c r="E249" s="174" t="s">
        <v>383</v>
      </c>
      <c r="F249" s="174"/>
      <c r="G249" s="22">
        <v>1</v>
      </c>
      <c r="H249" s="22">
        <v>1</v>
      </c>
      <c r="I249" s="165">
        <f>G249/H249</f>
        <v>1</v>
      </c>
      <c r="J249" s="165">
        <f>I249*K248</f>
        <v>2</v>
      </c>
      <c r="K249" s="165">
        <f>J249+K248</f>
        <v>4</v>
      </c>
      <c r="L249" s="20"/>
      <c r="M249" s="165" t="s">
        <v>340</v>
      </c>
      <c r="N249" s="165"/>
      <c r="O249" s="21">
        <v>1</v>
      </c>
      <c r="P249" s="171">
        <f>O249</f>
        <v>1</v>
      </c>
      <c r="Q249" s="20"/>
      <c r="R249" s="20"/>
      <c r="S249" s="165" t="s">
        <v>340</v>
      </c>
      <c r="T249" s="165"/>
      <c r="U249" s="21">
        <v>1</v>
      </c>
      <c r="V249" s="171">
        <f>U249</f>
        <v>1</v>
      </c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2:33">
      <c r="B250" s="20"/>
      <c r="C250" s="165" t="s">
        <v>342</v>
      </c>
      <c r="D250" s="166">
        <f>D248*D249</f>
        <v>1</v>
      </c>
      <c r="E250" s="174" t="s">
        <v>395</v>
      </c>
      <c r="F250" s="174"/>
      <c r="G250" s="22">
        <v>0</v>
      </c>
      <c r="H250" s="22">
        <v>1</v>
      </c>
      <c r="I250" s="165">
        <f>G250/H250</f>
        <v>0</v>
      </c>
      <c r="J250" s="165">
        <f>I250*K249</f>
        <v>0</v>
      </c>
      <c r="K250" s="165">
        <f>J250+K249</f>
        <v>4</v>
      </c>
      <c r="L250" s="20"/>
      <c r="M250" s="165" t="s">
        <v>341</v>
      </c>
      <c r="N250" s="165"/>
      <c r="O250" s="166">
        <f>O248*O249</f>
        <v>1</v>
      </c>
      <c r="P250" s="171">
        <f>O250</f>
        <v>1</v>
      </c>
      <c r="Q250" s="20"/>
      <c r="R250" s="20"/>
      <c r="S250" s="165" t="s">
        <v>342</v>
      </c>
      <c r="T250" s="165"/>
      <c r="U250" s="166">
        <f>U248*U249</f>
        <v>1</v>
      </c>
      <c r="V250" s="171">
        <f>U250</f>
        <v>1</v>
      </c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spans="2:33">
      <c r="B251" s="20"/>
      <c r="C251" s="165"/>
      <c r="D251" s="166"/>
      <c r="E251" s="174" t="s">
        <v>453</v>
      </c>
      <c r="F251" s="174"/>
      <c r="G251" s="22">
        <v>0</v>
      </c>
      <c r="H251" s="22">
        <v>1</v>
      </c>
      <c r="I251" s="165">
        <f t="shared" ref="I251:I254" si="580">G251/H251</f>
        <v>0</v>
      </c>
      <c r="J251" s="165">
        <f t="shared" ref="J251:J253" si="581">I251*K250</f>
        <v>0</v>
      </c>
      <c r="K251" s="165">
        <f t="shared" ref="K251:K253" si="582">J251+K250</f>
        <v>4</v>
      </c>
      <c r="L251" s="20"/>
      <c r="M251" s="165" t="s">
        <v>343</v>
      </c>
      <c r="N251" s="165"/>
      <c r="O251" s="21">
        <v>1</v>
      </c>
      <c r="P251" s="21">
        <v>1</v>
      </c>
      <c r="Q251" s="20"/>
      <c r="R251" s="20"/>
      <c r="S251" s="165" t="s">
        <v>343</v>
      </c>
      <c r="T251" s="165"/>
      <c r="U251" s="21">
        <v>1</v>
      </c>
      <c r="V251" s="21">
        <v>1</v>
      </c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2:33">
      <c r="B252" s="20"/>
      <c r="C252" s="165"/>
      <c r="D252" s="166"/>
      <c r="E252" s="174" t="s">
        <v>454</v>
      </c>
      <c r="F252" s="174"/>
      <c r="G252" s="22">
        <v>0</v>
      </c>
      <c r="H252" s="22">
        <v>1</v>
      </c>
      <c r="I252" s="165">
        <f t="shared" si="580"/>
        <v>0</v>
      </c>
      <c r="J252" s="165">
        <f t="shared" si="581"/>
        <v>0</v>
      </c>
      <c r="K252" s="165">
        <f t="shared" si="582"/>
        <v>4</v>
      </c>
      <c r="L252" s="20"/>
      <c r="M252" s="165" t="s">
        <v>344</v>
      </c>
      <c r="N252" s="165"/>
      <c r="O252" s="166">
        <f>O251*O249</f>
        <v>1</v>
      </c>
      <c r="P252" s="166">
        <f>P251*P249</f>
        <v>1</v>
      </c>
      <c r="Q252" s="20"/>
      <c r="R252" s="20"/>
      <c r="S252" s="165" t="s">
        <v>340</v>
      </c>
      <c r="T252" s="165"/>
      <c r="U252" s="21">
        <v>1</v>
      </c>
      <c r="V252" s="127">
        <f>U252</f>
        <v>1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spans="2:33">
      <c r="B253" s="20"/>
      <c r="C253" s="165"/>
      <c r="D253" s="166"/>
      <c r="E253" s="174" t="s">
        <v>455</v>
      </c>
      <c r="F253" s="174"/>
      <c r="G253" s="22">
        <v>0</v>
      </c>
      <c r="H253" s="22">
        <v>1</v>
      </c>
      <c r="I253" s="165">
        <f t="shared" si="580"/>
        <v>0</v>
      </c>
      <c r="J253" s="165">
        <f t="shared" si="581"/>
        <v>0</v>
      </c>
      <c r="K253" s="165">
        <f t="shared" si="582"/>
        <v>4</v>
      </c>
      <c r="L253" s="20"/>
      <c r="M253" s="165"/>
      <c r="N253" s="165"/>
      <c r="O253" s="166"/>
      <c r="P253" s="166"/>
      <c r="Q253" s="20"/>
      <c r="R253" s="20"/>
      <c r="S253" s="165" t="s">
        <v>342</v>
      </c>
      <c r="T253" s="165"/>
      <c r="U253" s="166">
        <f>U252*U251</f>
        <v>1</v>
      </c>
      <c r="V253" s="166">
        <f>V252*V251</f>
        <v>1</v>
      </c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2:33">
      <c r="B254" s="20"/>
      <c r="C254" s="165"/>
      <c r="D254" s="166"/>
      <c r="E254" s="174" t="s">
        <v>384</v>
      </c>
      <c r="F254" s="174"/>
      <c r="G254" s="22">
        <v>10</v>
      </c>
      <c r="H254" s="22">
        <v>1</v>
      </c>
      <c r="I254" s="165">
        <f t="shared" si="580"/>
        <v>10</v>
      </c>
      <c r="J254" s="165">
        <f>I254*K253</f>
        <v>40</v>
      </c>
      <c r="K254" s="165">
        <f>J254</f>
        <v>40</v>
      </c>
      <c r="L254" s="20"/>
      <c r="M254" s="165"/>
      <c r="N254" s="165"/>
      <c r="O254" s="166"/>
      <c r="P254" s="166"/>
      <c r="Q254" s="20"/>
      <c r="R254" s="20"/>
      <c r="S254" s="165"/>
      <c r="T254" s="165"/>
      <c r="U254" s="166"/>
      <c r="V254" s="166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spans="2:33">
      <c r="B255" s="20"/>
      <c r="C255" s="165"/>
      <c r="D255" s="166"/>
      <c r="E255" s="174" t="s">
        <v>456</v>
      </c>
      <c r="F255" s="174"/>
      <c r="G255" s="22">
        <v>0</v>
      </c>
      <c r="H255" s="22">
        <v>1</v>
      </c>
      <c r="I255" s="165">
        <f>G255/H255</f>
        <v>0</v>
      </c>
      <c r="J255" s="165">
        <f>I255*K254</f>
        <v>0</v>
      </c>
      <c r="K255" s="165">
        <f>J255</f>
        <v>0</v>
      </c>
      <c r="L255" s="20"/>
      <c r="M255" s="167" t="s">
        <v>345</v>
      </c>
      <c r="N255" s="167"/>
      <c r="O255" s="168">
        <f>O252/O250</f>
        <v>1</v>
      </c>
      <c r="P255" s="168">
        <f>P252/P250</f>
        <v>1</v>
      </c>
      <c r="Q255" s="20"/>
      <c r="R255" s="20"/>
      <c r="S255" s="167" t="s">
        <v>345</v>
      </c>
      <c r="T255" s="167"/>
      <c r="U255" s="168">
        <f>U253/U250</f>
        <v>1</v>
      </c>
      <c r="V255" s="168">
        <f>V253/V250</f>
        <v>1</v>
      </c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spans="2:33">
      <c r="B256" s="20"/>
      <c r="C256" s="165" t="s">
        <v>343</v>
      </c>
      <c r="D256" s="21">
        <v>1</v>
      </c>
      <c r="E256" s="174"/>
      <c r="F256" s="174"/>
      <c r="G256" s="165"/>
      <c r="H256" s="165"/>
      <c r="I256" s="167" t="s">
        <v>385</v>
      </c>
      <c r="J256" s="165"/>
      <c r="K256" s="165">
        <f>K255</f>
        <v>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2:33">
      <c r="B257" s="20"/>
      <c r="C257" s="165" t="s">
        <v>340</v>
      </c>
      <c r="D257" s="21">
        <v>1</v>
      </c>
      <c r="E257" s="174" t="s">
        <v>384</v>
      </c>
      <c r="F257" s="174"/>
      <c r="G257" s="22">
        <v>10</v>
      </c>
      <c r="H257" s="22">
        <v>2</v>
      </c>
      <c r="I257" s="165">
        <f>G257/H257</f>
        <v>5</v>
      </c>
      <c r="J257" s="175">
        <f>I257*D249</f>
        <v>5</v>
      </c>
      <c r="K257" s="175">
        <f>J257</f>
        <v>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spans="2:33">
      <c r="B258" s="20"/>
      <c r="C258" s="165" t="s">
        <v>342</v>
      </c>
      <c r="D258" s="166">
        <f>D257*D256</f>
        <v>1</v>
      </c>
      <c r="E258" s="165"/>
      <c r="F258" s="165"/>
      <c r="G258" s="165"/>
      <c r="H258" s="165"/>
      <c r="I258" s="167" t="s">
        <v>385</v>
      </c>
      <c r="J258" s="165"/>
      <c r="K258" s="165">
        <f>K257</f>
        <v>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2:33">
      <c r="B259" s="20"/>
      <c r="C259" s="165"/>
      <c r="D259" s="166"/>
      <c r="E259" s="174" t="s">
        <v>384</v>
      </c>
      <c r="F259" s="174"/>
      <c r="G259" s="22">
        <v>10</v>
      </c>
      <c r="H259" s="22">
        <v>2</v>
      </c>
      <c r="I259" s="165">
        <f>G259/H259</f>
        <v>5</v>
      </c>
      <c r="J259" s="165">
        <f>I259*K258</f>
        <v>25</v>
      </c>
      <c r="K259" s="165">
        <f>J259</f>
        <v>25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spans="2:33">
      <c r="B260" s="20"/>
      <c r="C260" s="167" t="s">
        <v>345</v>
      </c>
      <c r="D260" s="168">
        <f>D258/D250</f>
        <v>1</v>
      </c>
      <c r="E260" s="174"/>
      <c r="F260" s="174"/>
      <c r="G260" s="165"/>
      <c r="H260" s="165"/>
      <c r="I260" s="167" t="s">
        <v>385</v>
      </c>
      <c r="J260" s="165"/>
      <c r="K260" s="165">
        <f>K259</f>
        <v>25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spans="2:33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spans="2:33">
      <c r="B262" s="20"/>
      <c r="C262" s="20"/>
      <c r="D262" s="136"/>
      <c r="E262" s="176"/>
      <c r="F262" s="176"/>
      <c r="G262" s="176"/>
      <c r="H262" s="177"/>
      <c r="I262" s="20"/>
      <c r="J262" s="136"/>
      <c r="K262" s="176"/>
      <c r="L262" s="177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spans="2:33" ht="14.25">
      <c r="B263" s="20"/>
      <c r="C263" s="20"/>
      <c r="D263" s="206" t="s">
        <v>27</v>
      </c>
      <c r="E263" s="207"/>
      <c r="F263" s="207"/>
      <c r="G263" s="207"/>
      <c r="H263" s="208"/>
      <c r="I263" s="20"/>
      <c r="J263" s="206" t="s">
        <v>390</v>
      </c>
      <c r="K263" s="207"/>
      <c r="L263" s="208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spans="2:33">
      <c r="B264" s="20"/>
      <c r="C264" s="20"/>
      <c r="D264" s="20" t="s">
        <v>28</v>
      </c>
      <c r="E264" s="127"/>
      <c r="F264" s="127"/>
      <c r="G264" s="127"/>
      <c r="H264" s="21">
        <f>D250</f>
        <v>1</v>
      </c>
      <c r="I264" s="20"/>
      <c r="J264" s="20" t="s">
        <v>28</v>
      </c>
      <c r="K264" s="127"/>
      <c r="L264" s="21">
        <f>H264</f>
        <v>1</v>
      </c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spans="2:33">
      <c r="B265" s="20"/>
      <c r="C265" s="20"/>
      <c r="D265" s="20" t="s">
        <v>29</v>
      </c>
      <c r="E265" s="127"/>
      <c r="F265" s="127"/>
      <c r="G265" s="127"/>
      <c r="H265" s="21">
        <f>D258</f>
        <v>1</v>
      </c>
      <c r="I265" s="20"/>
      <c r="J265" s="20" t="s">
        <v>29</v>
      </c>
      <c r="K265" s="20"/>
      <c r="L265" s="21">
        <f>H265</f>
        <v>1</v>
      </c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spans="2:33">
      <c r="B266" s="20"/>
      <c r="C266" s="20"/>
      <c r="D266" s="20" t="s">
        <v>30</v>
      </c>
      <c r="E266" s="20"/>
      <c r="F266" s="20"/>
      <c r="G266" s="20"/>
      <c r="H266" s="22">
        <v>10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spans="2:33">
      <c r="B267" s="20"/>
      <c r="C267" s="20"/>
      <c r="D267" s="23" t="s">
        <v>31</v>
      </c>
      <c r="E267" s="3"/>
      <c r="F267" s="3"/>
      <c r="G267" s="3"/>
      <c r="H267" s="3">
        <f>((H265/H264)^(1/H266))-1</f>
        <v>0</v>
      </c>
      <c r="I267" s="20"/>
      <c r="J267" s="23" t="s">
        <v>391</v>
      </c>
      <c r="K267" s="23"/>
      <c r="L267" s="191">
        <f>(L265-L264)/L264</f>
        <v>0</v>
      </c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spans="2:33">
      <c r="B268" s="20"/>
      <c r="C268" s="20"/>
      <c r="D268" s="23" t="s">
        <v>32</v>
      </c>
      <c r="E268" s="163"/>
      <c r="F268" s="163"/>
      <c r="G268" s="163"/>
      <c r="H268" s="24">
        <f>H266*12</f>
        <v>120</v>
      </c>
      <c r="I268" s="20"/>
      <c r="J268" s="23" t="s">
        <v>392</v>
      </c>
      <c r="K268" s="23"/>
      <c r="L268" s="23">
        <f>L265/L264</f>
        <v>1</v>
      </c>
    </row>
    <row r="269" spans="2:33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0"/>
      <c r="J269" s="20"/>
      <c r="K269" s="20"/>
      <c r="L269" s="20"/>
    </row>
    <row r="270" spans="2:33">
      <c r="B270" s="20"/>
      <c r="C270" s="20"/>
      <c r="D270" s="23" t="s">
        <v>33</v>
      </c>
      <c r="E270" s="3"/>
      <c r="F270" s="3"/>
      <c r="G270" s="3"/>
      <c r="H270" s="3">
        <f>((H265/H264)^(1/H269))-1</f>
        <v>0</v>
      </c>
      <c r="I270" s="20"/>
      <c r="J270" s="20"/>
      <c r="K270" s="20"/>
      <c r="L270" s="20"/>
    </row>
    <row r="271" spans="2:33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spans="2:33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</sheetData>
  <mergeCells count="9">
    <mergeCell ref="A36:A45"/>
    <mergeCell ref="A124:A132"/>
    <mergeCell ref="D263:H263"/>
    <mergeCell ref="J263:L263"/>
    <mergeCell ref="AF2:AG2"/>
    <mergeCell ref="AF3:AG3"/>
    <mergeCell ref="M246:O246"/>
    <mergeCell ref="S246:U246"/>
    <mergeCell ref="L229:M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429</v>
      </c>
      <c r="C3" s="225"/>
      <c r="F3" s="224" t="s">
        <v>430</v>
      </c>
      <c r="G3" s="225"/>
    </row>
    <row r="4" spans="2:7">
      <c r="B4" s="186" t="s">
        <v>431</v>
      </c>
      <c r="C4" s="186"/>
      <c r="F4" s="186" t="s">
        <v>432</v>
      </c>
      <c r="G4" s="186"/>
    </row>
    <row r="5" spans="2:7">
      <c r="B5" s="186" t="s">
        <v>433</v>
      </c>
      <c r="C5" s="186"/>
      <c r="F5" s="186" t="s">
        <v>291</v>
      </c>
      <c r="G5" s="186"/>
    </row>
    <row r="6" spans="2:7">
      <c r="B6" s="186" t="s">
        <v>434</v>
      </c>
      <c r="C6" s="186"/>
      <c r="F6" s="186" t="s">
        <v>435</v>
      </c>
      <c r="G6" s="186"/>
    </row>
    <row r="7" spans="2:7">
      <c r="B7" s="186" t="s">
        <v>436</v>
      </c>
      <c r="C7" s="186"/>
      <c r="F7" s="186" t="s">
        <v>437</v>
      </c>
      <c r="G7" s="186"/>
    </row>
    <row r="8" spans="2:7">
      <c r="B8" s="186" t="s">
        <v>438</v>
      </c>
      <c r="C8" s="186"/>
      <c r="F8" s="186" t="s">
        <v>439</v>
      </c>
      <c r="G8" s="186"/>
    </row>
    <row r="9" spans="2:7">
      <c r="B9" s="186" t="s">
        <v>440</v>
      </c>
      <c r="C9" s="186"/>
      <c r="F9" s="186" t="s">
        <v>441</v>
      </c>
      <c r="G9" s="186"/>
    </row>
    <row r="10" spans="2:7">
      <c r="B10" s="186" t="s">
        <v>439</v>
      </c>
      <c r="C10" s="186"/>
      <c r="F10" s="186"/>
      <c r="G10" s="186"/>
    </row>
    <row r="11" spans="2:7">
      <c r="B11" s="186" t="s">
        <v>442</v>
      </c>
      <c r="C11" s="186"/>
      <c r="F11" s="186"/>
      <c r="G11" s="186"/>
    </row>
    <row r="12" spans="2:7">
      <c r="B12" s="186" t="s">
        <v>443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2015-08-24T04:07:26Z</dcterms:modified>
</cp:coreProperties>
</file>
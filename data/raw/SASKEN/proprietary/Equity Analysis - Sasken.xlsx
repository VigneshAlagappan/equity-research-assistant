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Sheet1" sheetId="11" r:id="rId4"/>
    <sheet name="IOB" sheetId="9" r:id="rId5"/>
    <sheet name="BV calc" sheetId="8" r:id="rId6"/>
    <sheet name="Template" sheetId="12" r:id="rId7"/>
  </sheets>
  <calcPr calcId="145621"/>
</workbook>
</file>

<file path=xl/calcChain.xml><?xml version="1.0" encoding="utf-8"?>
<calcChain xmlns="http://schemas.openxmlformats.org/spreadsheetml/2006/main">
  <c r="P42" i="18" l="1"/>
  <c r="P43" i="18"/>
  <c r="P44" i="18"/>
  <c r="P45" i="18"/>
  <c r="P46" i="18"/>
  <c r="P47" i="18"/>
  <c r="P41" i="18"/>
  <c r="P35" i="18"/>
  <c r="P36" i="18"/>
  <c r="P37" i="18"/>
  <c r="P38" i="18"/>
  <c r="P34" i="18"/>
  <c r="P32" i="18"/>
  <c r="P31" i="18"/>
  <c r="P27" i="18"/>
  <c r="P28" i="18"/>
  <c r="P29" i="18"/>
  <c r="P26" i="18"/>
  <c r="P21" i="18"/>
  <c r="P18" i="18"/>
  <c r="P19" i="18"/>
  <c r="P16" i="18"/>
  <c r="P8" i="18"/>
  <c r="P9" i="18"/>
  <c r="P10" i="18"/>
  <c r="P11" i="18"/>
  <c r="P12" i="18"/>
  <c r="P13" i="18"/>
  <c r="P14" i="18"/>
  <c r="P7" i="18"/>
  <c r="P17" i="18"/>
  <c r="AB47" i="18"/>
  <c r="AB46" i="18"/>
  <c r="AB45" i="18"/>
  <c r="AB44" i="18"/>
  <c r="AB43" i="18"/>
  <c r="AB42" i="18"/>
  <c r="AB41" i="18"/>
  <c r="AB38" i="18"/>
  <c r="AB37" i="18"/>
  <c r="AB36" i="18"/>
  <c r="AB35" i="18"/>
  <c r="AB34" i="18"/>
  <c r="AB32" i="18"/>
  <c r="AB31" i="18"/>
  <c r="AB29" i="18"/>
  <c r="AB28" i="18"/>
  <c r="AB26" i="18"/>
  <c r="AB23" i="18"/>
  <c r="AB21" i="18"/>
  <c r="AB14" i="18"/>
  <c r="AB13" i="18"/>
  <c r="AB12" i="18"/>
  <c r="AB11" i="18"/>
  <c r="AB10" i="18"/>
  <c r="AB8" i="18"/>
  <c r="AB7" i="18"/>
  <c r="O14" i="18"/>
  <c r="N14" i="18"/>
  <c r="D32" i="18"/>
  <c r="E32" i="18"/>
  <c r="F32" i="18"/>
  <c r="G32" i="18"/>
  <c r="H32" i="18"/>
  <c r="I32" i="18"/>
  <c r="J32" i="18"/>
  <c r="K32" i="18"/>
  <c r="L32" i="18"/>
  <c r="M32" i="18"/>
  <c r="N32" i="18"/>
  <c r="O32" i="18"/>
  <c r="C32" i="18"/>
  <c r="D31" i="18"/>
  <c r="E31" i="18"/>
  <c r="F31" i="18"/>
  <c r="G31" i="18"/>
  <c r="H31" i="18"/>
  <c r="I31" i="18"/>
  <c r="J31" i="18"/>
  <c r="K31" i="18"/>
  <c r="L31" i="18"/>
  <c r="M31" i="18"/>
  <c r="N31" i="18"/>
  <c r="O31" i="18"/>
  <c r="C31" i="18"/>
  <c r="R32" i="18"/>
  <c r="S32" i="18" s="1"/>
  <c r="T32" i="18" s="1"/>
  <c r="U32" i="18" s="1"/>
  <c r="V32" i="18" s="1"/>
  <c r="W32" i="18" s="1"/>
  <c r="X32" i="18" s="1"/>
  <c r="Y32" i="18" s="1"/>
  <c r="Z32" i="18" s="1"/>
  <c r="AA32" i="18" s="1"/>
  <c r="R31" i="18"/>
  <c r="S31" i="18" s="1"/>
  <c r="T31" i="18" s="1"/>
  <c r="U31" i="18" s="1"/>
  <c r="V31" i="18" s="1"/>
  <c r="W31" i="18" s="1"/>
  <c r="X31" i="18" s="1"/>
  <c r="Y31" i="18" s="1"/>
  <c r="Z31" i="18" s="1"/>
  <c r="AA31" i="18" s="1"/>
  <c r="R58" i="18" l="1"/>
  <c r="R57" i="18"/>
  <c r="C45" i="15"/>
  <c r="P23" i="18"/>
  <c r="R45" i="18" l="1"/>
  <c r="S45" i="18" s="1"/>
  <c r="T45" i="18" s="1"/>
  <c r="U45" i="18" s="1"/>
  <c r="V45" i="18" s="1"/>
  <c r="W45" i="18" s="1"/>
  <c r="X45" i="18" s="1"/>
  <c r="Y45" i="18" s="1"/>
  <c r="Z45" i="18" s="1"/>
  <c r="AA45" i="18" s="1"/>
  <c r="P65" i="18"/>
  <c r="R65" i="18" s="1"/>
  <c r="S65" i="18" s="1"/>
  <c r="T65" i="18" s="1"/>
  <c r="U65" i="18" s="1"/>
  <c r="V65" i="18" s="1"/>
  <c r="W65" i="18" s="1"/>
  <c r="X65" i="18" s="1"/>
  <c r="Y65" i="18" s="1"/>
  <c r="Z65" i="18" s="1"/>
  <c r="AA65" i="18" s="1"/>
  <c r="AB65" i="18" s="1"/>
  <c r="D69" i="18"/>
  <c r="E69" i="18"/>
  <c r="F69" i="18"/>
  <c r="G69" i="18"/>
  <c r="H69" i="18"/>
  <c r="I69" i="18"/>
  <c r="J69" i="18"/>
  <c r="K69" i="18"/>
  <c r="C69" i="18"/>
  <c r="D68" i="18"/>
  <c r="E68" i="18"/>
  <c r="F68" i="18"/>
  <c r="G68" i="18"/>
  <c r="H68" i="18"/>
  <c r="I68" i="18"/>
  <c r="J68" i="18"/>
  <c r="K68" i="18"/>
  <c r="C68" i="18"/>
  <c r="D67" i="18"/>
  <c r="E67" i="18"/>
  <c r="F67" i="18"/>
  <c r="G67" i="18"/>
  <c r="H67" i="18"/>
  <c r="I67" i="18"/>
  <c r="J67" i="18"/>
  <c r="K67" i="18"/>
  <c r="C67" i="18"/>
  <c r="D66" i="18"/>
  <c r="E66" i="18"/>
  <c r="F66" i="18"/>
  <c r="G66" i="18"/>
  <c r="H66" i="18"/>
  <c r="I66" i="18"/>
  <c r="J66" i="18"/>
  <c r="K66" i="18"/>
  <c r="C66" i="18"/>
  <c r="C26" i="18"/>
  <c r="D26" i="18"/>
  <c r="E26" i="18"/>
  <c r="F26" i="18"/>
  <c r="G26" i="18"/>
  <c r="H26" i="18"/>
  <c r="I26" i="18"/>
  <c r="J26" i="18"/>
  <c r="K26" i="18"/>
  <c r="L26" i="18"/>
  <c r="M26" i="18"/>
  <c r="M66" i="18" s="1"/>
  <c r="N26" i="18"/>
  <c r="N66" i="18" s="1"/>
  <c r="O26" i="18"/>
  <c r="O66" i="18" s="1"/>
  <c r="D38" i="18"/>
  <c r="E38" i="18"/>
  <c r="F38" i="18"/>
  <c r="G38" i="18"/>
  <c r="H38" i="18"/>
  <c r="I38" i="18"/>
  <c r="J38" i="18"/>
  <c r="K38" i="18"/>
  <c r="L38" i="18"/>
  <c r="L69" i="18" s="1"/>
  <c r="M38" i="18"/>
  <c r="M69" i="18" s="1"/>
  <c r="N38" i="18"/>
  <c r="N69" i="18" s="1"/>
  <c r="O38" i="18"/>
  <c r="D37" i="18"/>
  <c r="E37" i="18"/>
  <c r="F37" i="18"/>
  <c r="G37" i="18"/>
  <c r="H37" i="18"/>
  <c r="I37" i="18"/>
  <c r="J37" i="18"/>
  <c r="K37" i="18"/>
  <c r="L37" i="18"/>
  <c r="M37" i="18"/>
  <c r="N37" i="18"/>
  <c r="O37" i="18"/>
  <c r="D36" i="18"/>
  <c r="H36" i="18"/>
  <c r="D35" i="18"/>
  <c r="E35" i="18"/>
  <c r="F35" i="18"/>
  <c r="G35" i="18"/>
  <c r="H35" i="18"/>
  <c r="I35" i="18"/>
  <c r="J35" i="18"/>
  <c r="K35" i="18"/>
  <c r="L35" i="18"/>
  <c r="M35" i="18"/>
  <c r="N35" i="18"/>
  <c r="O35" i="18"/>
  <c r="D34" i="18"/>
  <c r="E34" i="18"/>
  <c r="E36" i="18" s="1"/>
  <c r="F34" i="18"/>
  <c r="F36" i="18" s="1"/>
  <c r="G34" i="18"/>
  <c r="G36" i="18" s="1"/>
  <c r="H34" i="18"/>
  <c r="I34" i="18"/>
  <c r="I36" i="18" s="1"/>
  <c r="J34" i="18"/>
  <c r="J36" i="18" s="1"/>
  <c r="K34" i="18"/>
  <c r="K36" i="18" s="1"/>
  <c r="L34" i="18"/>
  <c r="L36" i="18" s="1"/>
  <c r="L68" i="18" s="1"/>
  <c r="M34" i="18"/>
  <c r="N34" i="18"/>
  <c r="O34" i="18"/>
  <c r="D29" i="18"/>
  <c r="E29" i="18"/>
  <c r="F29" i="18"/>
  <c r="G29" i="18"/>
  <c r="H29" i="18"/>
  <c r="I29" i="18"/>
  <c r="J29" i="18"/>
  <c r="K29" i="18"/>
  <c r="L29" i="18"/>
  <c r="M29" i="18"/>
  <c r="N29" i="18"/>
  <c r="O29" i="18"/>
  <c r="D28" i="18"/>
  <c r="E28" i="18"/>
  <c r="F28" i="18"/>
  <c r="G28" i="18"/>
  <c r="H28" i="18"/>
  <c r="I28" i="18"/>
  <c r="J28" i="18"/>
  <c r="K28" i="18"/>
  <c r="L28" i="18"/>
  <c r="L67" i="18" s="1"/>
  <c r="M28" i="18"/>
  <c r="M67" i="18" s="1"/>
  <c r="N28" i="18"/>
  <c r="N67" i="18" s="1"/>
  <c r="O28" i="18"/>
  <c r="C38" i="18"/>
  <c r="C37" i="18"/>
  <c r="C35" i="18"/>
  <c r="C34" i="18"/>
  <c r="C36" i="18" s="1"/>
  <c r="C29" i="18"/>
  <c r="C28" i="18"/>
  <c r="D27" i="18"/>
  <c r="E27" i="18"/>
  <c r="F27" i="18"/>
  <c r="G27" i="18"/>
  <c r="H27" i="18"/>
  <c r="I27" i="18"/>
  <c r="J27" i="18"/>
  <c r="K27" i="18"/>
  <c r="L27" i="18"/>
  <c r="M27" i="18"/>
  <c r="N27" i="18"/>
  <c r="O27" i="18"/>
  <c r="C27" i="18"/>
  <c r="R13" i="18"/>
  <c r="S13" i="18" s="1"/>
  <c r="T13" i="18" s="1"/>
  <c r="U13" i="18" s="1"/>
  <c r="V13" i="18" s="1"/>
  <c r="W13" i="18" s="1"/>
  <c r="X13" i="18" s="1"/>
  <c r="Y13" i="18" s="1"/>
  <c r="Z13" i="18" s="1"/>
  <c r="AA13" i="18" s="1"/>
  <c r="R14" i="18"/>
  <c r="S14" i="18" s="1"/>
  <c r="T14" i="18" s="1"/>
  <c r="U14" i="18" s="1"/>
  <c r="V14" i="18" s="1"/>
  <c r="W14" i="18" s="1"/>
  <c r="X14" i="18" s="1"/>
  <c r="Y14" i="18" s="1"/>
  <c r="Z14" i="18" s="1"/>
  <c r="AA14" i="18" s="1"/>
  <c r="R21" i="18"/>
  <c r="S21" i="18" s="1"/>
  <c r="T21" i="18" s="1"/>
  <c r="U21" i="18" s="1"/>
  <c r="V21" i="18" s="1"/>
  <c r="W21" i="18" s="1"/>
  <c r="X21" i="18" s="1"/>
  <c r="Y21" i="18" s="1"/>
  <c r="Z21" i="18" s="1"/>
  <c r="AA21" i="18" s="1"/>
  <c r="R10" i="18"/>
  <c r="S10" i="18" s="1"/>
  <c r="T10" i="18" s="1"/>
  <c r="U10" i="18" s="1"/>
  <c r="V10" i="18" s="1"/>
  <c r="W10" i="18" s="1"/>
  <c r="X10" i="18" s="1"/>
  <c r="Y10" i="18" s="1"/>
  <c r="Z10" i="18" s="1"/>
  <c r="AA10" i="18" s="1"/>
  <c r="R11" i="18"/>
  <c r="S11" i="18" s="1"/>
  <c r="T11" i="18" s="1"/>
  <c r="U11" i="18" s="1"/>
  <c r="V11" i="18" s="1"/>
  <c r="W11" i="18" s="1"/>
  <c r="X11" i="18" s="1"/>
  <c r="Y11" i="18" s="1"/>
  <c r="Z11" i="18" s="1"/>
  <c r="AA11" i="18" s="1"/>
  <c r="R12" i="18"/>
  <c r="S12" i="18" s="1"/>
  <c r="T12" i="18" s="1"/>
  <c r="U12" i="18" s="1"/>
  <c r="V12" i="18" s="1"/>
  <c r="W12" i="18" s="1"/>
  <c r="X12" i="18" s="1"/>
  <c r="Y12" i="18" s="1"/>
  <c r="Z12" i="18" s="1"/>
  <c r="AA12" i="18" s="1"/>
  <c r="R8" i="18"/>
  <c r="S8" i="18" s="1"/>
  <c r="T8" i="18" s="1"/>
  <c r="U8" i="18" s="1"/>
  <c r="V8" i="18" s="1"/>
  <c r="W8" i="18" s="1"/>
  <c r="X8" i="18" s="1"/>
  <c r="Y8" i="18" s="1"/>
  <c r="Z8" i="18" s="1"/>
  <c r="AA8" i="18" s="1"/>
  <c r="R7" i="18"/>
  <c r="S7" i="18" s="1"/>
  <c r="T7" i="18" s="1"/>
  <c r="U7" i="18" s="1"/>
  <c r="V7" i="18" s="1"/>
  <c r="W7" i="18" s="1"/>
  <c r="X7" i="18" s="1"/>
  <c r="Y7" i="18" s="1"/>
  <c r="Z7" i="18" s="1"/>
  <c r="AA7" i="18" s="1"/>
  <c r="R37" i="18" l="1"/>
  <c r="S37" i="18" s="1"/>
  <c r="T37" i="18" s="1"/>
  <c r="U37" i="18" s="1"/>
  <c r="V37" i="18" s="1"/>
  <c r="W37" i="18" s="1"/>
  <c r="X37" i="18" s="1"/>
  <c r="Y37" i="18" s="1"/>
  <c r="Z37" i="18" s="1"/>
  <c r="AA37" i="18" s="1"/>
  <c r="R38" i="18"/>
  <c r="S38" i="18" s="1"/>
  <c r="T38" i="18" s="1"/>
  <c r="U38" i="18" s="1"/>
  <c r="V38" i="18" s="1"/>
  <c r="W38" i="18" s="1"/>
  <c r="X38" i="18" s="1"/>
  <c r="Y38" i="18" s="1"/>
  <c r="Z38" i="18" s="1"/>
  <c r="AA38" i="18" s="1"/>
  <c r="R29" i="18"/>
  <c r="S29" i="18" s="1"/>
  <c r="T29" i="18" s="1"/>
  <c r="U29" i="18" s="1"/>
  <c r="V29" i="18" s="1"/>
  <c r="W29" i="18" s="1"/>
  <c r="X29" i="18" s="1"/>
  <c r="Y29" i="18" s="1"/>
  <c r="Z29" i="18" s="1"/>
  <c r="AA29" i="18" s="1"/>
  <c r="O67" i="18"/>
  <c r="R34" i="18"/>
  <c r="S34" i="18" s="1"/>
  <c r="T34" i="18" s="1"/>
  <c r="U34" i="18" s="1"/>
  <c r="V34" i="18" s="1"/>
  <c r="W34" i="18" s="1"/>
  <c r="X34" i="18" s="1"/>
  <c r="Y34" i="18" s="1"/>
  <c r="Z34" i="18" s="1"/>
  <c r="AA34" i="18" s="1"/>
  <c r="L66" i="18"/>
  <c r="P66" i="18"/>
  <c r="R66" i="18" s="1"/>
  <c r="S66" i="18" s="1"/>
  <c r="T66" i="18" s="1"/>
  <c r="U66" i="18" s="1"/>
  <c r="V66" i="18" s="1"/>
  <c r="W66" i="18" s="1"/>
  <c r="X66" i="18" s="1"/>
  <c r="Y66" i="18" s="1"/>
  <c r="Z66" i="18" s="1"/>
  <c r="AA66" i="18" s="1"/>
  <c r="AB66" i="18" s="1"/>
  <c r="N36" i="18"/>
  <c r="N68" i="18" s="1"/>
  <c r="R35" i="18"/>
  <c r="S35" i="18" s="1"/>
  <c r="T35" i="18" s="1"/>
  <c r="U35" i="18" s="1"/>
  <c r="V35" i="18" s="1"/>
  <c r="W35" i="18" s="1"/>
  <c r="X35" i="18" s="1"/>
  <c r="Y35" i="18" s="1"/>
  <c r="Z35" i="18" s="1"/>
  <c r="AA35" i="18" s="1"/>
  <c r="M36" i="18"/>
  <c r="M68" i="18" s="1"/>
  <c r="O69" i="18"/>
  <c r="P69" i="18" s="1"/>
  <c r="R69" i="18" s="1"/>
  <c r="S69" i="18" s="1"/>
  <c r="T69" i="18" s="1"/>
  <c r="U69" i="18" s="1"/>
  <c r="V69" i="18" s="1"/>
  <c r="W69" i="18" s="1"/>
  <c r="X69" i="18" s="1"/>
  <c r="Y69" i="18" s="1"/>
  <c r="Z69" i="18" s="1"/>
  <c r="AA69" i="18" s="1"/>
  <c r="AB69" i="18" s="1"/>
  <c r="P67" i="18"/>
  <c r="R67" i="18" s="1"/>
  <c r="S67" i="18" s="1"/>
  <c r="T67" i="18" s="1"/>
  <c r="U67" i="18" s="1"/>
  <c r="V67" i="18" s="1"/>
  <c r="W67" i="18" s="1"/>
  <c r="X67" i="18" s="1"/>
  <c r="Y67" i="18" s="1"/>
  <c r="Z67" i="18" s="1"/>
  <c r="AA67" i="18" s="1"/>
  <c r="AB67" i="18" s="1"/>
  <c r="O36" i="18"/>
  <c r="R46" i="18"/>
  <c r="S46" i="18" s="1"/>
  <c r="T46" i="18" s="1"/>
  <c r="U46" i="18" s="1"/>
  <c r="V46" i="18" s="1"/>
  <c r="W46" i="18" s="1"/>
  <c r="X46" i="18" s="1"/>
  <c r="Y46" i="18" s="1"/>
  <c r="Z46" i="18" s="1"/>
  <c r="AA46" i="18" s="1"/>
  <c r="R47" i="18"/>
  <c r="S47" i="18" s="1"/>
  <c r="T47" i="18" s="1"/>
  <c r="U47" i="18" s="1"/>
  <c r="V47" i="18" s="1"/>
  <c r="W47" i="18" s="1"/>
  <c r="X47" i="18" s="1"/>
  <c r="Y47" i="18" s="1"/>
  <c r="Z47" i="18" s="1"/>
  <c r="AA47" i="18" s="1"/>
  <c r="R23" i="18"/>
  <c r="S23" i="18" s="1"/>
  <c r="T23" i="18" s="1"/>
  <c r="U23" i="18" s="1"/>
  <c r="V23" i="18" s="1"/>
  <c r="W23" i="18" s="1"/>
  <c r="X23" i="18" s="1"/>
  <c r="Y23" i="18" s="1"/>
  <c r="Z23" i="18" s="1"/>
  <c r="AA23" i="18" s="1"/>
  <c r="C6" i="12"/>
  <c r="C25" i="15"/>
  <c r="C57" i="15"/>
  <c r="C56" i="15"/>
  <c r="C53" i="15"/>
  <c r="C52" i="15"/>
  <c r="C49" i="15"/>
  <c r="C48" i="15"/>
  <c r="C44" i="15"/>
  <c r="O68" i="18" l="1"/>
  <c r="P68" i="18" s="1"/>
  <c r="R68" i="18" s="1"/>
  <c r="S68" i="18" s="1"/>
  <c r="T68" i="18" s="1"/>
  <c r="U68" i="18" s="1"/>
  <c r="V68" i="18" s="1"/>
  <c r="W68" i="18" s="1"/>
  <c r="X68" i="18" s="1"/>
  <c r="Y68" i="18" s="1"/>
  <c r="Z68" i="18" s="1"/>
  <c r="AA68" i="18" s="1"/>
  <c r="AB68" i="18" s="1"/>
  <c r="R36" i="18"/>
  <c r="S36" i="18" s="1"/>
  <c r="T36" i="18" s="1"/>
  <c r="U36" i="18" s="1"/>
  <c r="V36" i="18" s="1"/>
  <c r="W36" i="18" s="1"/>
  <c r="X36" i="18" s="1"/>
  <c r="Y36" i="18" s="1"/>
  <c r="Z36" i="18" s="1"/>
  <c r="AA36" i="18" s="1"/>
  <c r="R44" i="18"/>
  <c r="S44" i="18" s="1"/>
  <c r="T44" i="18" s="1"/>
  <c r="U44" i="18" s="1"/>
  <c r="V44" i="18" s="1"/>
  <c r="W44" i="18" s="1"/>
  <c r="X44" i="18" s="1"/>
  <c r="Y44" i="18" s="1"/>
  <c r="Z44" i="18" s="1"/>
  <c r="AA44" i="18" s="1"/>
  <c r="R28" i="18"/>
  <c r="S28" i="18" s="1"/>
  <c r="T28" i="18" s="1"/>
  <c r="U28" i="18" s="1"/>
  <c r="V28" i="18" s="1"/>
  <c r="W28" i="18" s="1"/>
  <c r="X28" i="18" s="1"/>
  <c r="Y28" i="18" s="1"/>
  <c r="Z28" i="18" s="1"/>
  <c r="AA28" i="18" s="1"/>
  <c r="R41" i="18"/>
  <c r="S41" i="18" s="1"/>
  <c r="T41" i="18" s="1"/>
  <c r="U41" i="18" s="1"/>
  <c r="V41" i="18" s="1"/>
  <c r="W41" i="18" s="1"/>
  <c r="X41" i="18" s="1"/>
  <c r="Y41" i="18" s="1"/>
  <c r="Z41" i="18" s="1"/>
  <c r="AA41" i="18" s="1"/>
  <c r="R26" i="18"/>
  <c r="S26" i="18" s="1"/>
  <c r="T26" i="18" s="1"/>
  <c r="U26" i="18" s="1"/>
  <c r="V26" i="18" s="1"/>
  <c r="W26" i="18" s="1"/>
  <c r="X26" i="18" s="1"/>
  <c r="Y26" i="18" s="1"/>
  <c r="Z26" i="18" s="1"/>
  <c r="AA26" i="18" s="1"/>
  <c r="R43" i="18"/>
  <c r="S43" i="18" s="1"/>
  <c r="T43" i="18" s="1"/>
  <c r="U43" i="18" s="1"/>
  <c r="V43" i="18" s="1"/>
  <c r="W43" i="18" s="1"/>
  <c r="X43" i="18" s="1"/>
  <c r="Y43" i="18" s="1"/>
  <c r="Z43" i="18" s="1"/>
  <c r="AA43" i="18" s="1"/>
  <c r="R42" i="18"/>
  <c r="S42" i="18" s="1"/>
  <c r="T42" i="18" s="1"/>
  <c r="U42" i="18" s="1"/>
  <c r="V42" i="18" s="1"/>
  <c r="W42" i="18" s="1"/>
  <c r="X42" i="18" s="1"/>
  <c r="Y42" i="18" s="1"/>
  <c r="Z42" i="18" s="1"/>
  <c r="AA42" i="18" s="1"/>
  <c r="R60" i="18"/>
  <c r="R27" i="18"/>
  <c r="S27" i="18" s="1"/>
  <c r="T27" i="18" s="1"/>
  <c r="U27" i="18" s="1"/>
  <c r="V27" i="18" s="1"/>
  <c r="W27" i="18" s="1"/>
  <c r="X27" i="18" s="1"/>
  <c r="Y27" i="18" s="1"/>
  <c r="Z27" i="18" s="1"/>
  <c r="AA27" i="18" s="1"/>
  <c r="AB27" i="18" s="1"/>
  <c r="C15" i="15"/>
  <c r="C20" i="15"/>
  <c r="C9" i="15"/>
  <c r="R51" i="18" l="1"/>
  <c r="R52" i="18"/>
  <c r="R62" i="18"/>
  <c r="R55" i="18"/>
  <c r="R54" i="18"/>
  <c r="R53" i="18"/>
  <c r="D31" i="8"/>
  <c r="D29" i="8"/>
  <c r="D28" i="8"/>
  <c r="D13" i="8"/>
  <c r="D30" i="8" s="1"/>
  <c r="E14" i="8"/>
  <c r="F14" i="8" s="1"/>
  <c r="G14" i="8" s="1"/>
  <c r="H14" i="8" s="1"/>
  <c r="I14" i="8" s="1"/>
  <c r="K37" i="12" l="1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G40" i="12" l="1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G39" i="11"/>
  <c r="K39" i="11" s="1"/>
  <c r="F39" i="1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42" i="9"/>
  <c r="O32" i="9"/>
  <c r="P32" i="9"/>
  <c r="P31" i="9"/>
  <c r="O31" i="9"/>
  <c r="N33" i="9"/>
  <c r="N34" i="9" s="1"/>
  <c r="N35" i="9" s="1"/>
  <c r="N36" i="9" s="1"/>
  <c r="N37" i="9" s="1"/>
  <c r="N38" i="9" s="1"/>
  <c r="N39" i="9" s="1"/>
  <c r="N40" i="9" s="1"/>
  <c r="N41" i="9" s="1"/>
  <c r="N32" i="9"/>
  <c r="N31" i="9"/>
  <c r="M34" i="9"/>
  <c r="M35" i="9"/>
  <c r="M36" i="9"/>
  <c r="M37" i="9"/>
  <c r="M38" i="9" s="1"/>
  <c r="M39" i="9" s="1"/>
  <c r="M40" i="9" s="1"/>
  <c r="M41" i="9" s="1"/>
  <c r="M33" i="9"/>
  <c r="M45" i="9"/>
  <c r="M32" i="9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P31" i="11" l="1"/>
  <c r="N32" i="11"/>
  <c r="T19" i="9"/>
  <c r="D22" i="9"/>
  <c r="N33" i="11" l="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N34" i="11" l="1"/>
  <c r="O33" i="11"/>
  <c r="D25" i="8"/>
  <c r="D23" i="8"/>
  <c r="N35" i="11" l="1"/>
  <c r="O34" i="11"/>
  <c r="D35" i="8"/>
  <c r="E5" i="8"/>
  <c r="E18" i="8" s="1"/>
  <c r="D18" i="8"/>
  <c r="D19" i="8"/>
  <c r="D21" i="8"/>
  <c r="D20" i="8"/>
  <c r="N36" i="11" l="1"/>
  <c r="O35" i="11"/>
  <c r="F5" i="8"/>
  <c r="G5" i="8" s="1"/>
  <c r="H5" i="8" s="1"/>
  <c r="I5" i="8" s="1"/>
  <c r="N37" i="11" l="1"/>
  <c r="O36" i="11"/>
  <c r="F18" i="8"/>
  <c r="G18" i="8"/>
  <c r="N38" i="11" l="1"/>
  <c r="O37" i="11"/>
  <c r="H18" i="8"/>
  <c r="N39" i="11" l="1"/>
  <c r="O38" i="11"/>
  <c r="I18" i="8"/>
  <c r="N40" i="11" l="1"/>
  <c r="O39" i="11"/>
  <c r="N41" i="11" l="1"/>
  <c r="O40" i="11"/>
  <c r="N42" i="11" l="1"/>
  <c r="O41" i="11"/>
</calcChain>
</file>

<file path=xl/sharedStrings.xml><?xml version="1.0" encoding="utf-8"?>
<sst xmlns="http://schemas.openxmlformats.org/spreadsheetml/2006/main" count="422" uniqueCount="280">
  <si>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</si>
  <si>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</si>
  <si>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</si>
  <si>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</si>
  <si>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</si>
  <si>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</si>
  <si>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</si>
  <si>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</si>
  <si>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</si>
  <si>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</si>
  <si>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</si>
  <si>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</si>
  <si>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</si>
  <si>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</si>
  <si>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</si>
  <si>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</si>
  <si>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</si>
  <si>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</si>
  <si>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</si>
  <si>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</si>
  <si>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</si>
  <si>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</si>
  <si>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</si>
  <si>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</si>
  <si>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</si>
  <si>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</si>
  <si>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</si>
  <si>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</si>
  <si>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</si>
  <si>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</si>
  <si>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</si>
  <si>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</si>
  <si>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</si>
  <si>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</si>
  <si>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</si>
  <si>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</si>
  <si>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</si>
  <si>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</si>
  <si>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</si>
  <si>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</si>
  <si>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</si>
  <si>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</si>
  <si>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</si>
  <si>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</si>
  <si>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</si>
  <si>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</si>
  <si>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</si>
  <si>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</si>
  <si>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</si>
  <si>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</si>
  <si>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</si>
  <si>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</si>
  <si>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</si>
  <si>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</si>
  <si>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</si>
  <si>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</si>
  <si>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</si>
  <si>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</si>
  <si>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</si>
  <si>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</si>
  <si>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</si>
  <si>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</si>
  <si>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</si>
  <si>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</si>
  <si>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</si>
  <si>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</si>
  <si>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</si>
  <si>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</si>
  <si>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</si>
  <si>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</si>
  <si>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</si>
  <si>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</si>
  <si>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</si>
  <si>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</si>
  <si>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</si>
  <si>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</si>
  <si>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</si>
  <si>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</si>
  <si>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</si>
  <si>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</si>
  <si>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</si>
  <si>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</si>
  <si>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</si>
  <si>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</si>
  <si>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</si>
  <si>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</si>
  <si>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</si>
  <si>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</si>
  <si>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</si>
  <si>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</si>
  <si>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</si>
  <si>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</si>
  <si>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</si>
  <si>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</si>
  <si>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</si>
  <si>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</si>
  <si>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</si>
  <si>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</si>
  <si>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</si>
  <si>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</si>
  <si>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</si>
  <si>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</si>
  <si>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</si>
  <si>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</si>
  <si>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</si>
  <si>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</si>
  <si>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</si>
  <si>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</si>
  <si>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</si>
  <si>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</si>
  <si>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</si>
  <si>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</si>
  <si>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</si>
  <si>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</si>
  <si>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</si>
  <si>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</si>
  <si>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</si>
  <si>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</si>
  <si>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</si>
  <si>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</si>
  <si>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</si>
  <si>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</si>
  <si>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</si>
  <si>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</si>
  <si>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</si>
  <si>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</si>
  <si>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</si>
  <si>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</si>
  <si>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</si>
  <si>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</si>
  <si>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</si>
  <si>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</si>
  <si>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</si>
  <si>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</si>
  <si>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</si>
  <si>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</si>
  <si>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</si>
  <si>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</si>
  <si>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</si>
  <si>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</si>
  <si>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</si>
  <si>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</si>
  <si>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</si>
  <si>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</si>
  <si>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</si>
  <si>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</si>
  <si>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</si>
  <si>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</si>
  <si>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</si>
  <si>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</si>
  <si>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</si>
  <si>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</si>
  <si>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</si>
  <si>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</si>
  <si>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</si>
  <si>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</si>
  <si>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</si>
  <si>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</si>
  <si>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</si>
  <si>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</si>
  <si>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</si>
  <si>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</si>
  <si>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</si>
  <si>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</si>
  <si>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</si>
  <si>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</si>
  <si>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</si>
  <si>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</si>
  <si>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</si>
  <si>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</si>
  <si>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</si>
  <si>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</si>
  <si>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</si>
  <si>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</si>
  <si>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</si>
  <si>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</si>
  <si>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</si>
  <si>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</si>
  <si>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</si>
  <si>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</si>
  <si>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</si>
  <si>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</si>
  <si>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</si>
  <si>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</si>
  <si>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</si>
  <si>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</si>
  <si>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</si>
  <si>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</si>
  <si>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</si>
  <si>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</si>
  <si>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</si>
  <si>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</si>
  <si>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</si>
  <si>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</si>
  <si>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</si>
  <si>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</si>
  <si>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</si>
  <si>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</si>
  <si>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</si>
  <si>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</si>
  <si>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</si>
  <si>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</si>
  <si>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</si>
  <si>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</si>
  <si>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</si>
  <si>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</si>
  <si>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</si>
  <si>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</si>
  <si>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</si>
  <si>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</si>
  <si>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</si>
  <si>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</si>
  <si>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</si>
  <si>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</si>
  <si>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</si>
  <si>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</si>
  <si>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</si>
  <si>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</si>
  <si>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</si>
  <si>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</si>
  <si>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</si>
  <si>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</si>
  <si>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</si>
  <si>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</si>
  <si>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</si>
  <si>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</si>
  <si>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</si>
  <si>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</si>
  <si>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</si>
  <si>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</si>
  <si>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</si>
  <si>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</si>
  <si>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</si>
  <si>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</si>
  <si>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</si>
  <si>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</si>
  <si>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</si>
  <si>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</si>
  <si>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</si>
  <si>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</si>
  <si>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</si>
  <si>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</si>
  <si>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</si>
  <si>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</si>
  <si>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</si>
  <si>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</si>
  <si>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</si>
  <si>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</si>
  <si>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</si>
  <si>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</si>
  <si>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</si>
  <si>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</si>
  <si>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</si>
  <si>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</si>
  <si>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</si>
  <si>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</si>
  <si>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</si>
  <si>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</si>
  <si>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</si>
  <si>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</si>
  <si>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</si>
  <si>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</si>
  <si>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</si>
  <si>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DB Reality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</si>
  <si>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</si>
  <si>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</si>
  <si>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</si>
  <si>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</si>
  <si>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</si>
  <si>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</si>
  <si>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</si>
  <si>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Top Expenses ( Employee )</t>
  </si>
  <si>
    <t>2nd highest Expenses Comp. ( others )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</si>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</sst>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2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" fontId="4" fillId="5" borderId="1" xfId="2" applyNumberFormat="1" applyFont="1" applyFill="1" applyBorder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" fontId="4" fillId="5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43" fontId="4" fillId="5" borderId="1" xfId="2" applyNumberFormat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1">
                  <c:v>2.61</c:v>
                </c:pt>
                <c:pt idx="2">
                  <c:v>5.18</c:v>
                </c:pt>
                <c:pt idx="3">
                  <c:v>9.35</c:v>
                </c:pt>
                <c:pt idx="4">
                  <c:v>9.41</c:v>
                </c:pt>
                <c:pt idx="5">
                  <c:v>11.96</c:v>
                </c:pt>
                <c:pt idx="6">
                  <c:v>14.38</c:v>
                </c:pt>
                <c:pt idx="7">
                  <c:v>18.510000000000002</c:v>
                </c:pt>
                <c:pt idx="8">
                  <c:v>22.07</c:v>
                </c:pt>
                <c:pt idx="9">
                  <c:v>24.34</c:v>
                </c:pt>
                <c:pt idx="10">
                  <c:v>12.98</c:v>
                </c:pt>
                <c:pt idx="11">
                  <c:v>17.329999999999998</c:v>
                </c:pt>
                <c:pt idx="12">
                  <c:v>13.18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68288"/>
        <c:axId val="69069824"/>
      </c:lineChart>
      <c:catAx>
        <c:axId val="69068288"/>
        <c:scaling>
          <c:orientation val="minMax"/>
        </c:scaling>
        <c:delete val="0"/>
        <c:axPos val="b"/>
        <c:majorTickMark val="out"/>
        <c:minorTickMark val="none"/>
        <c:tickLblPos val="nextTo"/>
        <c:crossAx val="69069824"/>
        <c:crosses val="autoZero"/>
        <c:auto val="1"/>
        <c:lblAlgn val="ctr"/>
        <c:lblOffset val="100"/>
        <c:noMultiLvlLbl val="0"/>
      </c:catAx>
      <c:valAx>
        <c:axId val="69069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9068288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3"/>
  <sheetViews>
    <sheetView topLeftCell="A34" zoomScale="80" zoomScaleNormal="80" workbookViewId="0">
      <selection activeCell="C70" sqref="C70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263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136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1">
        <v>125</v>
      </c>
      <c r="D7" s="20"/>
      <c r="E7" s="20"/>
      <c r="F7" s="20"/>
      <c r="G7" s="20"/>
    </row>
    <row r="8" spans="2:7" x14ac:dyDescent="0.2">
      <c r="B8" s="20" t="s">
        <v>25</v>
      </c>
      <c r="C8" s="131">
        <v>136</v>
      </c>
      <c r="D8" s="20"/>
      <c r="E8" s="20"/>
      <c r="F8" s="20"/>
      <c r="G8" s="20"/>
    </row>
    <row r="9" spans="2:7" x14ac:dyDescent="0.2">
      <c r="B9" s="20" t="s">
        <v>100</v>
      </c>
      <c r="C9" s="110">
        <f>C7/C8</f>
        <v>0.91911764705882348</v>
      </c>
      <c r="D9" s="20" t="s">
        <v>270</v>
      </c>
      <c r="E9" s="20"/>
      <c r="F9" s="20"/>
      <c r="G9" s="20"/>
    </row>
    <row r="10" spans="2:7" x14ac:dyDescent="0.2">
      <c r="B10" s="20"/>
      <c r="C10" s="20"/>
      <c r="D10" s="20"/>
      <c r="E10" s="20"/>
      <c r="F10" s="20"/>
      <c r="G10" s="20"/>
    </row>
    <row r="11" spans="2:7" x14ac:dyDescent="0.2">
      <c r="B11" s="108" t="s">
        <v>101</v>
      </c>
      <c r="C11" s="20"/>
      <c r="D11" s="20"/>
      <c r="E11" s="20"/>
      <c r="F11" s="20"/>
      <c r="G11" s="20"/>
    </row>
    <row r="12" spans="2:7" x14ac:dyDescent="0.2">
      <c r="B12" s="20" t="s">
        <v>25</v>
      </c>
      <c r="C12" s="131">
        <v>136</v>
      </c>
      <c r="D12" s="20"/>
      <c r="E12" s="20"/>
      <c r="F12" s="20"/>
      <c r="G12" s="20"/>
    </row>
    <row r="13" spans="2:7" x14ac:dyDescent="0.2">
      <c r="B13" s="20" t="s">
        <v>102</v>
      </c>
      <c r="C13" s="131">
        <v>136</v>
      </c>
      <c r="D13" s="20"/>
      <c r="E13" s="20"/>
      <c r="F13" s="20"/>
      <c r="G13" s="20"/>
    </row>
    <row r="14" spans="2:7" x14ac:dyDescent="0.2">
      <c r="B14" s="20" t="s">
        <v>103</v>
      </c>
      <c r="C14" s="131">
        <v>100</v>
      </c>
      <c r="D14" s="20"/>
      <c r="E14" s="20"/>
      <c r="F14" s="20"/>
      <c r="G14" s="20"/>
    </row>
    <row r="15" spans="2:7" x14ac:dyDescent="0.2">
      <c r="B15" s="20" t="s">
        <v>104</v>
      </c>
      <c r="C15" s="20">
        <f>C14*C12</f>
        <v>13600</v>
      </c>
      <c r="D15" s="20" t="s">
        <v>270</v>
      </c>
      <c r="E15" s="20"/>
      <c r="F15" s="20"/>
      <c r="G15" s="20"/>
    </row>
    <row r="16" spans="2:7" x14ac:dyDescent="0.2">
      <c r="B16" s="20"/>
      <c r="C16" s="20"/>
      <c r="D16" s="20"/>
      <c r="E16" s="20"/>
      <c r="F16" s="20"/>
      <c r="G16" s="20"/>
    </row>
    <row r="17" spans="2:7" x14ac:dyDescent="0.2">
      <c r="B17" s="108" t="s">
        <v>112</v>
      </c>
      <c r="C17" s="20"/>
      <c r="D17" s="20"/>
      <c r="E17" s="20"/>
      <c r="F17" s="20"/>
      <c r="G17" s="20"/>
    </row>
    <row r="18" spans="2:7" x14ac:dyDescent="0.2">
      <c r="B18" s="20" t="s">
        <v>114</v>
      </c>
      <c r="C18" s="131">
        <v>136</v>
      </c>
      <c r="D18" s="20"/>
      <c r="E18" s="20"/>
      <c r="F18" s="20"/>
      <c r="G18" s="20"/>
    </row>
    <row r="19" spans="2:7" x14ac:dyDescent="0.2">
      <c r="B19" s="20" t="s">
        <v>115</v>
      </c>
      <c r="C19" s="111">
        <v>0.08</v>
      </c>
      <c r="D19" s="20"/>
      <c r="E19" s="20"/>
      <c r="F19" s="20"/>
      <c r="G19" s="20"/>
    </row>
    <row r="20" spans="2:7" x14ac:dyDescent="0.2">
      <c r="B20" s="20" t="s">
        <v>116</v>
      </c>
      <c r="C20" s="112">
        <f>C18/C19</f>
        <v>1700</v>
      </c>
      <c r="D20" s="20" t="s">
        <v>270</v>
      </c>
      <c r="E20" s="20"/>
      <c r="F20" s="20"/>
      <c r="G20" s="20"/>
    </row>
    <row r="21" spans="2:7" x14ac:dyDescent="0.2">
      <c r="B21" s="20"/>
      <c r="C21" s="20"/>
      <c r="D21" s="20"/>
      <c r="E21" s="20"/>
      <c r="F21" s="20"/>
      <c r="G21" s="20"/>
    </row>
    <row r="22" spans="2:7" x14ac:dyDescent="0.2">
      <c r="B22" s="108" t="s">
        <v>227</v>
      </c>
      <c r="C22" s="20"/>
      <c r="D22" s="20"/>
      <c r="E22" s="20"/>
      <c r="F22" s="20"/>
      <c r="G22" s="20"/>
    </row>
    <row r="23" spans="2:7" x14ac:dyDescent="0.2">
      <c r="B23" s="20" t="s">
        <v>99</v>
      </c>
      <c r="C23" s="131">
        <v>125</v>
      </c>
      <c r="D23" s="20"/>
      <c r="E23" s="20"/>
      <c r="F23" s="20"/>
      <c r="G23" s="20"/>
    </row>
    <row r="24" spans="2:7" x14ac:dyDescent="0.2">
      <c r="B24" s="20" t="s">
        <v>114</v>
      </c>
      <c r="C24" s="131">
        <v>136</v>
      </c>
      <c r="D24" s="20"/>
      <c r="E24" s="20"/>
      <c r="F24" s="20"/>
      <c r="G24" s="20"/>
    </row>
    <row r="25" spans="2:7" x14ac:dyDescent="0.2">
      <c r="B25" s="20" t="s">
        <v>228</v>
      </c>
      <c r="C25" s="20">
        <f>C23/C24</f>
        <v>0.91911764705882348</v>
      </c>
      <c r="D25" s="20"/>
      <c r="E25" s="20"/>
      <c r="F25" s="20"/>
      <c r="G25" s="20"/>
    </row>
    <row r="26" spans="2:7" x14ac:dyDescent="0.2">
      <c r="B26" s="20" t="s">
        <v>77</v>
      </c>
      <c r="C26" s="131">
        <v>136</v>
      </c>
      <c r="D26" s="20"/>
      <c r="E26" s="20"/>
      <c r="F26" s="20"/>
      <c r="G26" s="20"/>
    </row>
    <row r="27" spans="2:7" x14ac:dyDescent="0.2">
      <c r="B27" s="20" t="s">
        <v>229</v>
      </c>
      <c r="C27" s="132">
        <v>1</v>
      </c>
      <c r="D27" s="20"/>
      <c r="E27" s="20"/>
      <c r="F27" s="20"/>
      <c r="G27" s="20"/>
    </row>
    <row r="28" spans="2:7" x14ac:dyDescent="0.2">
      <c r="B28" s="20" t="s">
        <v>230</v>
      </c>
      <c r="C28" s="22">
        <v>139.13</v>
      </c>
      <c r="D28" s="20"/>
      <c r="E28" s="20"/>
      <c r="F28" s="20"/>
      <c r="G28" s="20"/>
    </row>
    <row r="29" spans="2:7" x14ac:dyDescent="0.2">
      <c r="B29" s="20" t="s">
        <v>231</v>
      </c>
      <c r="C29" s="133">
        <v>2.5499999999999998E-2</v>
      </c>
      <c r="D29" s="20"/>
      <c r="E29" s="20"/>
      <c r="F29" s="20"/>
      <c r="G29" s="20"/>
    </row>
    <row r="30" spans="2:7" x14ac:dyDescent="0.2">
      <c r="B30" s="20" t="s">
        <v>232</v>
      </c>
      <c r="C30" s="133">
        <v>3.1899999999999998E-2</v>
      </c>
      <c r="D30" s="20"/>
      <c r="E30" s="20"/>
      <c r="F30" s="20"/>
      <c r="G30" s="20"/>
    </row>
    <row r="31" spans="2:7" x14ac:dyDescent="0.2">
      <c r="B31" s="20" t="s">
        <v>233</v>
      </c>
      <c r="C31" s="133"/>
      <c r="D31" s="20"/>
      <c r="E31" s="20"/>
      <c r="F31" s="20"/>
      <c r="G31" s="20"/>
    </row>
    <row r="32" spans="2:7" x14ac:dyDescent="0.2">
      <c r="B32" s="20" t="s">
        <v>269</v>
      </c>
      <c r="C32" s="133">
        <v>3.44E-2</v>
      </c>
      <c r="D32" s="20"/>
      <c r="E32" s="20"/>
      <c r="F32" s="20"/>
      <c r="G32" s="20"/>
    </row>
    <row r="33" spans="2:7" x14ac:dyDescent="0.2">
      <c r="B33" s="20" t="s">
        <v>268</v>
      </c>
      <c r="C33" s="133">
        <v>0.1241</v>
      </c>
      <c r="D33" s="20"/>
      <c r="E33" s="20"/>
      <c r="F33" s="20"/>
      <c r="G33" s="20"/>
    </row>
    <row r="34" spans="2:7" x14ac:dyDescent="0.2">
      <c r="B34" s="20"/>
      <c r="C34" s="20"/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108" t="s">
        <v>187</v>
      </c>
      <c r="C36" s="20"/>
      <c r="D36" s="20"/>
      <c r="E36" s="20"/>
      <c r="F36" s="20"/>
      <c r="G36" s="20"/>
    </row>
    <row r="37" spans="2:7" x14ac:dyDescent="0.2">
      <c r="B37" s="20" t="s">
        <v>215</v>
      </c>
      <c r="C37" s="131">
        <v>3141.2</v>
      </c>
      <c r="D37" s="20"/>
      <c r="E37" s="20"/>
      <c r="F37" s="20"/>
      <c r="G37" s="20"/>
    </row>
    <row r="38" spans="2:7" x14ac:dyDescent="0.2">
      <c r="B38" s="20" t="s">
        <v>216</v>
      </c>
      <c r="C38" s="131">
        <v>3384.26</v>
      </c>
      <c r="D38" s="20"/>
      <c r="E38" s="20"/>
      <c r="F38" s="20"/>
      <c r="G38" s="20"/>
    </row>
    <row r="39" spans="2:7" x14ac:dyDescent="0.2">
      <c r="B39" s="20" t="s">
        <v>34</v>
      </c>
      <c r="C39" s="131">
        <v>92.03</v>
      </c>
      <c r="D39" s="20"/>
      <c r="E39" s="20"/>
      <c r="F39" s="20"/>
      <c r="G39" s="20"/>
    </row>
    <row r="40" spans="2:7" x14ac:dyDescent="0.2">
      <c r="B40" s="20" t="s">
        <v>217</v>
      </c>
      <c r="C40" s="131">
        <v>31.09</v>
      </c>
      <c r="D40" s="20"/>
      <c r="E40" s="20"/>
      <c r="F40" s="20"/>
      <c r="G40" s="20"/>
    </row>
    <row r="41" spans="2:7" x14ac:dyDescent="0.2">
      <c r="B41" s="20" t="s">
        <v>218</v>
      </c>
      <c r="C41" s="131">
        <v>1005.03</v>
      </c>
      <c r="D41" s="20"/>
      <c r="E41" s="20"/>
      <c r="F41" s="20"/>
      <c r="G41" s="20"/>
    </row>
    <row r="42" spans="2:7" x14ac:dyDescent="0.2">
      <c r="B42" s="20"/>
      <c r="C42" s="20"/>
      <c r="D42" s="20"/>
      <c r="E42" s="20"/>
      <c r="F42" s="20"/>
      <c r="G42" s="20"/>
    </row>
    <row r="43" spans="2:7" x14ac:dyDescent="0.2">
      <c r="B43" s="23" t="s">
        <v>212</v>
      </c>
      <c r="C43" s="131">
        <v>281.95</v>
      </c>
      <c r="D43" s="20"/>
      <c r="E43" s="20"/>
      <c r="F43" s="20"/>
      <c r="G43" s="20"/>
    </row>
    <row r="44" spans="2:7" x14ac:dyDescent="0.2">
      <c r="B44" s="20" t="s">
        <v>264</v>
      </c>
      <c r="C44" s="25">
        <f>C43/(C40+C41)</f>
        <v>0.27212098984673594</v>
      </c>
      <c r="D44" s="20" t="s">
        <v>220</v>
      </c>
      <c r="E44" s="20"/>
      <c r="F44" s="20"/>
      <c r="G44" s="20"/>
    </row>
    <row r="45" spans="2:7" x14ac:dyDescent="0.2">
      <c r="B45" s="20" t="s">
        <v>223</v>
      </c>
      <c r="C45" s="25">
        <f>C43/C39</f>
        <v>3.0636748886232748</v>
      </c>
      <c r="D45" s="20" t="s">
        <v>221</v>
      </c>
      <c r="E45" s="20"/>
      <c r="F45" s="20"/>
      <c r="G45" s="20"/>
    </row>
    <row r="46" spans="2:7" x14ac:dyDescent="0.2">
      <c r="B46" s="20"/>
      <c r="C46" s="25"/>
      <c r="D46" s="20"/>
      <c r="E46" s="20"/>
      <c r="F46" s="20"/>
      <c r="G46" s="20"/>
    </row>
    <row r="47" spans="2:7" x14ac:dyDescent="0.2">
      <c r="B47" s="23" t="s">
        <v>213</v>
      </c>
      <c r="C47" s="131">
        <v>171.6</v>
      </c>
      <c r="D47" s="20"/>
      <c r="E47" s="20"/>
      <c r="F47" s="20"/>
      <c r="G47" s="20"/>
    </row>
    <row r="48" spans="2:7" x14ac:dyDescent="0.2">
      <c r="B48" s="20" t="s">
        <v>265</v>
      </c>
      <c r="C48" s="25">
        <f>C47/(C40+C41)</f>
        <v>0.16561788209859862</v>
      </c>
      <c r="D48" s="20" t="s">
        <v>220</v>
      </c>
      <c r="E48" s="20"/>
      <c r="F48" s="20"/>
      <c r="G48" s="20"/>
    </row>
    <row r="49" spans="2:7" x14ac:dyDescent="0.2">
      <c r="B49" s="20" t="s">
        <v>224</v>
      </c>
      <c r="C49" s="25">
        <f>C47/C39</f>
        <v>1.8646093665109202</v>
      </c>
      <c r="D49" s="20" t="s">
        <v>222</v>
      </c>
      <c r="E49" s="20"/>
      <c r="F49" s="20"/>
      <c r="G49" s="20"/>
    </row>
    <row r="50" spans="2:7" x14ac:dyDescent="0.2">
      <c r="B50" s="20"/>
      <c r="C50" s="25"/>
      <c r="D50" s="20"/>
      <c r="E50" s="20"/>
      <c r="F50" s="20"/>
      <c r="G50" s="20"/>
    </row>
    <row r="51" spans="2:7" x14ac:dyDescent="0.2">
      <c r="B51" s="23" t="s">
        <v>214</v>
      </c>
      <c r="C51" s="131">
        <v>110.33</v>
      </c>
      <c r="D51" s="20"/>
      <c r="E51" s="20"/>
      <c r="F51" s="20"/>
      <c r="G51" s="20"/>
    </row>
    <row r="52" spans="2:7" x14ac:dyDescent="0.2">
      <c r="B52" s="20" t="s">
        <v>266</v>
      </c>
      <c r="C52" s="25">
        <f>C51/(C40+C41)</f>
        <v>0.10648380496467591</v>
      </c>
      <c r="D52" s="20" t="s">
        <v>220</v>
      </c>
      <c r="E52" s="20"/>
      <c r="F52" s="20"/>
      <c r="G52" s="20"/>
    </row>
    <row r="53" spans="2:7" x14ac:dyDescent="0.2">
      <c r="B53" s="20" t="s">
        <v>225</v>
      </c>
      <c r="C53" s="25">
        <f>C51/C39</f>
        <v>1.1988482016733673</v>
      </c>
      <c r="D53" s="20" t="s">
        <v>222</v>
      </c>
      <c r="E53" s="20"/>
      <c r="F53" s="20"/>
      <c r="G53" s="20"/>
    </row>
    <row r="54" spans="2:7" x14ac:dyDescent="0.2">
      <c r="B54" s="20"/>
      <c r="C54" s="20"/>
      <c r="D54" s="20"/>
      <c r="E54" s="20"/>
      <c r="F54" s="20"/>
      <c r="G54" s="20"/>
    </row>
    <row r="55" spans="2:7" x14ac:dyDescent="0.2">
      <c r="B55" s="23" t="s">
        <v>219</v>
      </c>
      <c r="C55" s="131">
        <v>1320.99</v>
      </c>
      <c r="D55" s="20"/>
      <c r="E55" s="20"/>
      <c r="F55" s="20"/>
      <c r="G55" s="20"/>
    </row>
    <row r="56" spans="2:7" x14ac:dyDescent="0.2">
      <c r="B56" s="20" t="s">
        <v>267</v>
      </c>
      <c r="C56" s="25">
        <f>C55/(C40+C41)</f>
        <v>1.2749391962320968</v>
      </c>
      <c r="D56" s="20" t="s">
        <v>220</v>
      </c>
      <c r="E56" s="20"/>
      <c r="F56" s="20"/>
      <c r="G56" s="20"/>
    </row>
    <row r="57" spans="2:7" x14ac:dyDescent="0.2">
      <c r="B57" s="20" t="s">
        <v>226</v>
      </c>
      <c r="C57" s="25">
        <f>C55/C39</f>
        <v>14.353906334890796</v>
      </c>
      <c r="D57" s="20" t="s">
        <v>222</v>
      </c>
      <c r="E57" s="20"/>
      <c r="F57" s="20"/>
      <c r="G57" s="20"/>
    </row>
    <row r="58" spans="2:7" x14ac:dyDescent="0.2">
      <c r="B58" s="20"/>
      <c r="C58" s="20"/>
      <c r="D58" s="20"/>
      <c r="E58" s="20"/>
      <c r="F58" s="20"/>
      <c r="G58" s="20"/>
    </row>
    <row r="59" spans="2:7" x14ac:dyDescent="0.2">
      <c r="B59" s="20"/>
      <c r="C59" s="25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0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74"/>
  <sheetViews>
    <sheetView tabSelected="1" topLeftCell="A10" zoomScale="80" zoomScaleNormal="80" workbookViewId="0">
      <selection activeCell="Q28" sqref="Q28"/>
    </sheetView>
  </sheetViews>
  <sheetFormatPr defaultRowHeight="12.75" x14ac:dyDescent="0.2"/>
  <cols>
    <col min="1" max="1" width="4.7109375" style="104" customWidth="1"/>
    <col min="2" max="2" width="41" style="104" bestFit="1" customWidth="1"/>
    <col min="3" max="4" width="8.140625" style="104" bestFit="1" customWidth="1"/>
    <col min="5" max="14" width="8.7109375" style="104" bestFit="1" customWidth="1"/>
    <col min="15" max="15" width="9.42578125" style="104" bestFit="1" customWidth="1"/>
    <col min="16" max="16" width="9.85546875" style="104" bestFit="1" customWidth="1"/>
    <col min="17" max="17" width="10.5703125" style="104" bestFit="1" customWidth="1"/>
    <col min="18" max="18" width="12" style="104" bestFit="1" customWidth="1"/>
    <col min="19" max="16384" width="9.140625" style="104"/>
  </cols>
  <sheetData>
    <row r="2" spans="2:28" x14ac:dyDescent="0.2">
      <c r="B2" s="123" t="s">
        <v>241</v>
      </c>
      <c r="C2" s="124">
        <v>0.22</v>
      </c>
      <c r="F2" s="104" t="s">
        <v>252</v>
      </c>
      <c r="H2" s="126">
        <v>2011</v>
      </c>
    </row>
    <row r="3" spans="2:28" x14ac:dyDescent="0.2">
      <c r="C3" s="120"/>
      <c r="F3" s="104" t="s">
        <v>253</v>
      </c>
      <c r="H3" s="126">
        <v>2012</v>
      </c>
      <c r="R3" s="115" t="s">
        <v>11</v>
      </c>
      <c r="S3" s="115" t="s">
        <v>12</v>
      </c>
      <c r="T3" s="115" t="s">
        <v>13</v>
      </c>
      <c r="U3" s="115" t="s">
        <v>14</v>
      </c>
      <c r="V3" s="115" t="s">
        <v>15</v>
      </c>
      <c r="W3" s="115" t="s">
        <v>234</v>
      </c>
      <c r="X3" s="115" t="s">
        <v>235</v>
      </c>
      <c r="Y3" s="115" t="s">
        <v>236</v>
      </c>
      <c r="Z3" s="115" t="s">
        <v>237</v>
      </c>
      <c r="AA3" s="115" t="s">
        <v>238</v>
      </c>
    </row>
    <row r="4" spans="2:28" x14ac:dyDescent="0.2">
      <c r="B4" s="20"/>
      <c r="C4" s="114">
        <v>2000</v>
      </c>
      <c r="D4" s="114">
        <v>2001</v>
      </c>
      <c r="E4" s="114">
        <v>2002</v>
      </c>
      <c r="F4" s="114">
        <v>2003</v>
      </c>
      <c r="G4" s="114">
        <v>2004</v>
      </c>
      <c r="H4" s="114">
        <v>2005</v>
      </c>
      <c r="I4" s="114">
        <v>2006</v>
      </c>
      <c r="J4" s="114">
        <v>2007</v>
      </c>
      <c r="K4" s="114">
        <v>2008</v>
      </c>
      <c r="L4" s="114">
        <v>2009</v>
      </c>
      <c r="M4" s="114">
        <v>2010</v>
      </c>
      <c r="N4" s="114">
        <v>2011</v>
      </c>
      <c r="O4" s="114">
        <v>2012</v>
      </c>
      <c r="P4" s="116" t="s">
        <v>1</v>
      </c>
      <c r="Q4" s="116" t="s">
        <v>254</v>
      </c>
      <c r="R4" s="115">
        <v>2013</v>
      </c>
      <c r="S4" s="115">
        <v>2014</v>
      </c>
      <c r="T4" s="115">
        <v>2015</v>
      </c>
      <c r="U4" s="115">
        <v>2016</v>
      </c>
      <c r="V4" s="115">
        <v>2017</v>
      </c>
      <c r="W4" s="115">
        <v>2018</v>
      </c>
      <c r="X4" s="115">
        <v>2019</v>
      </c>
      <c r="Y4" s="115">
        <v>2020</v>
      </c>
      <c r="Z4" s="115">
        <v>2021</v>
      </c>
      <c r="AA4" s="115">
        <v>2022</v>
      </c>
      <c r="AB4" s="116" t="s">
        <v>1</v>
      </c>
    </row>
    <row r="5" spans="2:28" x14ac:dyDescent="0.2"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20"/>
    </row>
    <row r="6" spans="2:28" x14ac:dyDescent="0.2">
      <c r="B6" s="108" t="s">
        <v>242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20"/>
    </row>
    <row r="7" spans="2:28" x14ac:dyDescent="0.2">
      <c r="B7" s="20" t="s">
        <v>16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>
        <v>398.84</v>
      </c>
      <c r="O7" s="134">
        <v>433.32</v>
      </c>
      <c r="P7" s="118">
        <f>((O7/N7)^(1/($H$3-$H$2) ))-1</f>
        <v>8.6450707050446329E-2</v>
      </c>
      <c r="Q7" s="31">
        <v>0.1</v>
      </c>
      <c r="R7" s="119">
        <f>O7*(1+$Q7)</f>
        <v>476.65200000000004</v>
      </c>
      <c r="S7" s="119">
        <f>R7*(1+$Q7)</f>
        <v>524.31720000000007</v>
      </c>
      <c r="T7" s="119">
        <f t="shared" ref="T7:AA7" si="0">S7*(1+$Q7)</f>
        <v>576.74892000000011</v>
      </c>
      <c r="U7" s="119">
        <f t="shared" si="0"/>
        <v>634.42381200000023</v>
      </c>
      <c r="V7" s="119">
        <f t="shared" si="0"/>
        <v>697.86619320000034</v>
      </c>
      <c r="W7" s="119">
        <f t="shared" si="0"/>
        <v>767.65281252000045</v>
      </c>
      <c r="X7" s="119">
        <f t="shared" si="0"/>
        <v>844.41809377200059</v>
      </c>
      <c r="Y7" s="119">
        <f t="shared" si="0"/>
        <v>928.8599031492007</v>
      </c>
      <c r="Z7" s="119">
        <f t="shared" si="0"/>
        <v>1021.7458934641209</v>
      </c>
      <c r="AA7" s="119">
        <f t="shared" si="0"/>
        <v>1123.920482810533</v>
      </c>
      <c r="AB7" s="118">
        <f>((AA7/N7)^(1/($AA$4-$H$2) ))-1</f>
        <v>9.8761295105201041E-2</v>
      </c>
    </row>
    <row r="8" spans="2:28" x14ac:dyDescent="0.2">
      <c r="B8" s="20" t="s">
        <v>240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>
        <v>426.35</v>
      </c>
      <c r="O8" s="134">
        <v>459.33</v>
      </c>
      <c r="P8" s="118">
        <f t="shared" ref="P8:P16" si="1">((O8/N8)^(1/($H$3-$H$2) ))-1</f>
        <v>7.7354286384425874E-2</v>
      </c>
      <c r="Q8" s="31">
        <v>0.1</v>
      </c>
      <c r="R8" s="119">
        <f t="shared" ref="R8:R14" si="2">O8*(1+$Q8)</f>
        <v>505.26300000000003</v>
      </c>
      <c r="S8" s="119">
        <f t="shared" ref="S8:AA8" si="3">R8*(1+$Q8)</f>
        <v>555.78930000000003</v>
      </c>
      <c r="T8" s="119">
        <f t="shared" si="3"/>
        <v>611.36823000000004</v>
      </c>
      <c r="U8" s="119">
        <f t="shared" si="3"/>
        <v>672.50505300000009</v>
      </c>
      <c r="V8" s="119">
        <f t="shared" si="3"/>
        <v>739.75555830000019</v>
      </c>
      <c r="W8" s="119">
        <f t="shared" si="3"/>
        <v>813.73111413000026</v>
      </c>
      <c r="X8" s="119">
        <f t="shared" si="3"/>
        <v>895.10422554300033</v>
      </c>
      <c r="Y8" s="119">
        <f t="shared" si="3"/>
        <v>984.61464809730046</v>
      </c>
      <c r="Z8" s="119">
        <f t="shared" si="3"/>
        <v>1083.0761129070306</v>
      </c>
      <c r="AA8" s="119">
        <f t="shared" si="3"/>
        <v>1191.3837241977337</v>
      </c>
      <c r="AB8" s="118">
        <f>((AA8/N8)^(1/($AA$4-$H$2) ))-1</f>
        <v>9.7921777760777262E-2</v>
      </c>
    </row>
    <row r="9" spans="2:28" x14ac:dyDescent="0.2">
      <c r="B9" s="20" t="s">
        <v>273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>
        <v>113.54</v>
      </c>
      <c r="O9" s="134">
        <v>93.88</v>
      </c>
      <c r="P9" s="118">
        <f t="shared" si="1"/>
        <v>-0.17315483530033482</v>
      </c>
      <c r="Q9" s="31">
        <v>0.1</v>
      </c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8"/>
    </row>
    <row r="10" spans="2:28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>
        <v>2.8435999999999999</v>
      </c>
      <c r="O10" s="20">
        <v>4.79</v>
      </c>
      <c r="P10" s="118">
        <f t="shared" si="1"/>
        <v>0.68448445632297106</v>
      </c>
      <c r="Q10" s="31">
        <v>0.1</v>
      </c>
      <c r="R10" s="119">
        <f t="shared" si="2"/>
        <v>5.2690000000000001</v>
      </c>
      <c r="S10" s="119">
        <f t="shared" ref="S10:AA10" si="4">R10*(1+$Q10)</f>
        <v>5.7959000000000005</v>
      </c>
      <c r="T10" s="119">
        <f t="shared" si="4"/>
        <v>6.375490000000001</v>
      </c>
      <c r="U10" s="119">
        <f t="shared" si="4"/>
        <v>7.0130390000000018</v>
      </c>
      <c r="V10" s="119">
        <f t="shared" si="4"/>
        <v>7.7143429000000028</v>
      </c>
      <c r="W10" s="119">
        <f t="shared" si="4"/>
        <v>8.4857771900000039</v>
      </c>
      <c r="X10" s="119">
        <f t="shared" si="4"/>
        <v>9.3343549090000053</v>
      </c>
      <c r="Y10" s="119">
        <f t="shared" si="4"/>
        <v>10.267790399900006</v>
      </c>
      <c r="Z10" s="119">
        <f t="shared" si="4"/>
        <v>11.294569439890008</v>
      </c>
      <c r="AA10" s="119">
        <f t="shared" si="4"/>
        <v>12.42402638387901</v>
      </c>
      <c r="AB10" s="118">
        <f>((AA10/N10)^(1/($AA$4-$H$2) ))-1</f>
        <v>0.14345117100463356</v>
      </c>
    </row>
    <row r="11" spans="2:28" x14ac:dyDescent="0.2">
      <c r="B11" s="20" t="s">
        <v>2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>
        <v>47.61</v>
      </c>
      <c r="O11" s="134">
        <v>36.86</v>
      </c>
      <c r="P11" s="118">
        <f t="shared" si="1"/>
        <v>-0.22579290065112367</v>
      </c>
      <c r="Q11" s="31">
        <v>0.1</v>
      </c>
      <c r="R11" s="119">
        <f t="shared" si="2"/>
        <v>40.545999999999999</v>
      </c>
      <c r="S11" s="119">
        <f t="shared" ref="S11:AA11" si="5">R11*(1+$Q11)</f>
        <v>44.6006</v>
      </c>
      <c r="T11" s="119">
        <f t="shared" si="5"/>
        <v>49.060660000000006</v>
      </c>
      <c r="U11" s="119">
        <f t="shared" si="5"/>
        <v>53.966726000000008</v>
      </c>
      <c r="V11" s="119">
        <f t="shared" si="5"/>
        <v>59.363398600000011</v>
      </c>
      <c r="W11" s="119">
        <f t="shared" si="5"/>
        <v>65.299738460000015</v>
      </c>
      <c r="X11" s="119">
        <f t="shared" si="5"/>
        <v>71.829712306000019</v>
      </c>
      <c r="Y11" s="119">
        <f t="shared" si="5"/>
        <v>79.012683536600022</v>
      </c>
      <c r="Z11" s="119">
        <f t="shared" si="5"/>
        <v>86.913951890260037</v>
      </c>
      <c r="AA11" s="119">
        <f t="shared" si="5"/>
        <v>95.605347079286048</v>
      </c>
      <c r="AB11" s="118">
        <f>((AA11/N11)^(1/($AA$4-$H$2) ))-1</f>
        <v>6.5432200416581709E-2</v>
      </c>
    </row>
    <row r="12" spans="2:28" x14ac:dyDescent="0.2">
      <c r="B12" s="20" t="s">
        <v>218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>
        <v>136.46</v>
      </c>
      <c r="O12" s="134">
        <v>147.61000000000001</v>
      </c>
      <c r="P12" s="118">
        <f t="shared" si="1"/>
        <v>8.1708925692510759E-2</v>
      </c>
      <c r="Q12" s="31">
        <v>0.1</v>
      </c>
      <c r="R12" s="119">
        <f t="shared" si="2"/>
        <v>162.37100000000004</v>
      </c>
      <c r="S12" s="119">
        <f t="shared" ref="S12:AA12" si="6">R12*(1+$Q12)</f>
        <v>178.60810000000006</v>
      </c>
      <c r="T12" s="119">
        <f t="shared" si="6"/>
        <v>196.46891000000008</v>
      </c>
      <c r="U12" s="119">
        <f t="shared" si="6"/>
        <v>216.11580100000012</v>
      </c>
      <c r="V12" s="119">
        <f t="shared" si="6"/>
        <v>237.72738110000014</v>
      </c>
      <c r="W12" s="119">
        <f t="shared" si="6"/>
        <v>261.50011921000021</v>
      </c>
      <c r="X12" s="119">
        <f t="shared" si="6"/>
        <v>287.65013113100025</v>
      </c>
      <c r="Y12" s="119">
        <f t="shared" si="6"/>
        <v>316.4151442441003</v>
      </c>
      <c r="Z12" s="119">
        <f t="shared" si="6"/>
        <v>348.05665866851035</v>
      </c>
      <c r="AA12" s="119">
        <f t="shared" si="6"/>
        <v>382.86232453536144</v>
      </c>
      <c r="AB12" s="118">
        <f>((AA12/N12)^(1/($AA$4-$H$2) ))-1</f>
        <v>9.8324472320772127E-2</v>
      </c>
    </row>
    <row r="13" spans="2:28" x14ac:dyDescent="0.2">
      <c r="B13" s="20" t="s">
        <v>19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>
        <v>329.28</v>
      </c>
      <c r="O13" s="134">
        <v>335.4</v>
      </c>
      <c r="P13" s="118">
        <f t="shared" si="1"/>
        <v>1.8586005830903751E-2</v>
      </c>
      <c r="Q13" s="31">
        <v>0.1</v>
      </c>
      <c r="R13" s="119">
        <f t="shared" si="2"/>
        <v>368.94</v>
      </c>
      <c r="S13" s="119">
        <f t="shared" ref="S13:AA13" si="7">R13*(1+$Q13)</f>
        <v>405.834</v>
      </c>
      <c r="T13" s="119">
        <f t="shared" si="7"/>
        <v>446.41740000000004</v>
      </c>
      <c r="U13" s="119">
        <f t="shared" si="7"/>
        <v>491.05914000000007</v>
      </c>
      <c r="V13" s="119">
        <f t="shared" si="7"/>
        <v>540.16505400000017</v>
      </c>
      <c r="W13" s="119">
        <f t="shared" si="7"/>
        <v>594.1815594000002</v>
      </c>
      <c r="X13" s="119">
        <f t="shared" si="7"/>
        <v>653.59971534000022</v>
      </c>
      <c r="Y13" s="119">
        <f t="shared" si="7"/>
        <v>718.95968687400034</v>
      </c>
      <c r="Z13" s="119">
        <f t="shared" si="7"/>
        <v>790.85565556140045</v>
      </c>
      <c r="AA13" s="119">
        <f t="shared" si="7"/>
        <v>869.94122111754052</v>
      </c>
      <c r="AB13" s="118">
        <f>((AA13/N13)^(1/($AA$4-$H$2) ))-1</f>
        <v>9.2337335575762403E-2</v>
      </c>
    </row>
    <row r="14" spans="2:28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134">
        <f>N13-N9</f>
        <v>215.73999999999995</v>
      </c>
      <c r="O14" s="134">
        <f>O13-O9</f>
        <v>241.51999999999998</v>
      </c>
      <c r="P14" s="118">
        <f t="shared" si="1"/>
        <v>0.11949568925558562</v>
      </c>
      <c r="Q14" s="31">
        <v>0.1</v>
      </c>
      <c r="R14" s="119">
        <f t="shared" si="2"/>
        <v>265.67200000000003</v>
      </c>
      <c r="S14" s="119">
        <f t="shared" ref="S14:AA14" si="8">R14*(1+$Q14)</f>
        <v>292.23920000000004</v>
      </c>
      <c r="T14" s="119">
        <f t="shared" si="8"/>
        <v>321.46312000000006</v>
      </c>
      <c r="U14" s="119">
        <f t="shared" si="8"/>
        <v>353.60943200000008</v>
      </c>
      <c r="V14" s="119">
        <f t="shared" si="8"/>
        <v>388.97037520000015</v>
      </c>
      <c r="W14" s="119">
        <f t="shared" si="8"/>
        <v>427.86741272000017</v>
      </c>
      <c r="X14" s="119">
        <f t="shared" si="8"/>
        <v>470.6541539920002</v>
      </c>
      <c r="Y14" s="119">
        <f t="shared" si="8"/>
        <v>517.71956939120025</v>
      </c>
      <c r="Z14" s="119">
        <f t="shared" si="8"/>
        <v>569.49152633032031</v>
      </c>
      <c r="AA14" s="119">
        <f t="shared" si="8"/>
        <v>626.44067896335241</v>
      </c>
      <c r="AB14" s="118">
        <f>((AA14/N14)^(1/($AA$4-$H$2) ))-1</f>
        <v>0.10175821631673809</v>
      </c>
    </row>
    <row r="15" spans="2:28" x14ac:dyDescent="0.2"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129"/>
      <c r="Q15" s="12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8"/>
    </row>
    <row r="16" spans="2:28" x14ac:dyDescent="0.2">
      <c r="B16" s="20" t="s">
        <v>89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>
        <v>564.38</v>
      </c>
      <c r="O16" s="134">
        <v>546.29999999999995</v>
      </c>
      <c r="P16" s="118">
        <f t="shared" si="1"/>
        <v>-3.2035153619901613E-2</v>
      </c>
      <c r="Q16" s="31">
        <v>0.1</v>
      </c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8"/>
    </row>
    <row r="17" spans="2:28" x14ac:dyDescent="0.2">
      <c r="B17" s="20" t="s">
        <v>262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>
        <v>483.17</v>
      </c>
      <c r="O17" s="134">
        <v>466.4</v>
      </c>
      <c r="P17" s="118">
        <f>((O17/N17)^(1/($H$3-$H$2) ))-1</f>
        <v>-3.470828072934995E-2</v>
      </c>
      <c r="Q17" s="31">
        <v>0.1</v>
      </c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8"/>
    </row>
    <row r="18" spans="2:28" x14ac:dyDescent="0.2">
      <c r="B18" s="20" t="s">
        <v>271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>
        <v>335.42</v>
      </c>
      <c r="O18" s="134">
        <v>332.81</v>
      </c>
      <c r="P18" s="118">
        <f t="shared" ref="P18:P21" si="9">((O18/N18)^(1/($H$3-$H$2) ))-1</f>
        <v>-7.781289130045943E-3</v>
      </c>
      <c r="Q18" s="31">
        <v>0.1</v>
      </c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8"/>
    </row>
    <row r="19" spans="2:28" x14ac:dyDescent="0.2">
      <c r="B19" s="20" t="s">
        <v>272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>
        <v>111.82</v>
      </c>
      <c r="O19" s="134">
        <v>105.9</v>
      </c>
      <c r="P19" s="118">
        <f t="shared" si="9"/>
        <v>-5.2942228581648987E-2</v>
      </c>
      <c r="Q19" s="31">
        <v>0.1</v>
      </c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8"/>
    </row>
    <row r="20" spans="2:28" x14ac:dyDescent="0.2"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129"/>
      <c r="Q20" s="12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8"/>
    </row>
    <row r="21" spans="2:28" x14ac:dyDescent="0.2">
      <c r="B21" s="20" t="s">
        <v>257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>
        <v>73.28</v>
      </c>
      <c r="O21" s="134">
        <v>64</v>
      </c>
      <c r="P21" s="118">
        <f t="shared" si="9"/>
        <v>-0.1266375545851528</v>
      </c>
      <c r="Q21" s="31">
        <v>0.1</v>
      </c>
      <c r="R21" s="119">
        <f>O21*(1+$Q21)</f>
        <v>70.400000000000006</v>
      </c>
      <c r="S21" s="119">
        <f t="shared" ref="S21:AA21" si="10">R21*(1+$Q21)</f>
        <v>77.440000000000012</v>
      </c>
      <c r="T21" s="119">
        <f t="shared" si="10"/>
        <v>85.184000000000026</v>
      </c>
      <c r="U21" s="119">
        <f t="shared" si="10"/>
        <v>93.70240000000004</v>
      </c>
      <c r="V21" s="119">
        <f t="shared" si="10"/>
        <v>103.07264000000005</v>
      </c>
      <c r="W21" s="119">
        <f t="shared" si="10"/>
        <v>113.37990400000007</v>
      </c>
      <c r="X21" s="119">
        <f t="shared" si="10"/>
        <v>124.71789440000009</v>
      </c>
      <c r="Y21" s="119">
        <f t="shared" si="10"/>
        <v>137.1896838400001</v>
      </c>
      <c r="Z21" s="119">
        <f t="shared" si="10"/>
        <v>150.90865222400012</v>
      </c>
      <c r="AA21" s="119">
        <f t="shared" si="10"/>
        <v>165.99951744640015</v>
      </c>
      <c r="AB21" s="118">
        <f>((AA21/N21)^(1/($AA$4-$H$2) ))-1</f>
        <v>7.7168787067156464E-2</v>
      </c>
    </row>
    <row r="22" spans="2:28" x14ac:dyDescent="0.2"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129"/>
      <c r="Q22" s="12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8"/>
    </row>
    <row r="23" spans="2:28" x14ac:dyDescent="0.2">
      <c r="B23" s="20" t="s">
        <v>239</v>
      </c>
      <c r="C23" s="119">
        <v>1</v>
      </c>
      <c r="D23" s="119">
        <v>1</v>
      </c>
      <c r="E23" s="127">
        <v>1</v>
      </c>
      <c r="F23" s="127">
        <v>1</v>
      </c>
      <c r="G23" s="127">
        <v>1</v>
      </c>
      <c r="H23" s="119">
        <v>1</v>
      </c>
      <c r="I23" s="119">
        <v>1</v>
      </c>
      <c r="J23" s="119">
        <v>1</v>
      </c>
      <c r="K23" s="119">
        <v>1</v>
      </c>
      <c r="L23" s="112">
        <v>2.82</v>
      </c>
      <c r="M23" s="112">
        <v>2.82</v>
      </c>
      <c r="N23" s="112">
        <v>2.82</v>
      </c>
      <c r="O23" s="112">
        <v>2.61</v>
      </c>
      <c r="P23" s="118">
        <f t="shared" ref="P8:P23" si="11">((O23/L23)^(1/($H$3-$H$2) ))-1</f>
        <v>-7.446808510638292E-2</v>
      </c>
      <c r="Q23" s="31">
        <v>0.1</v>
      </c>
      <c r="R23" s="119">
        <f t="shared" ref="R23" si="12">O23*(1+$Q23)</f>
        <v>2.871</v>
      </c>
      <c r="S23" s="119">
        <f t="shared" ref="S23:AA23" si="13">R23*(1+$Q23)</f>
        <v>3.1581000000000001</v>
      </c>
      <c r="T23" s="119">
        <f t="shared" si="13"/>
        <v>3.4739100000000005</v>
      </c>
      <c r="U23" s="119">
        <f t="shared" si="13"/>
        <v>3.8213010000000009</v>
      </c>
      <c r="V23" s="119">
        <f t="shared" si="13"/>
        <v>4.2034311000000013</v>
      </c>
      <c r="W23" s="119">
        <f t="shared" si="13"/>
        <v>4.6237742100000014</v>
      </c>
      <c r="X23" s="119">
        <f t="shared" si="13"/>
        <v>5.0861516310000017</v>
      </c>
      <c r="Y23" s="119">
        <f t="shared" si="13"/>
        <v>5.5947667941000025</v>
      </c>
      <c r="Z23" s="119">
        <f t="shared" si="13"/>
        <v>6.1542434735100029</v>
      </c>
      <c r="AA23" s="119">
        <f t="shared" si="13"/>
        <v>6.7696678208610042</v>
      </c>
      <c r="AB23" s="118">
        <f>((AA23/N23)^(1/($AA$4-$H$2) ))-1</f>
        <v>8.2865173536545544E-2</v>
      </c>
    </row>
    <row r="24" spans="2:28" x14ac:dyDescent="0.2">
      <c r="B24" s="20"/>
      <c r="C24" s="20"/>
      <c r="D24" s="20"/>
      <c r="E24" s="128"/>
      <c r="F24" s="128"/>
      <c r="G24" s="128"/>
      <c r="H24" s="20"/>
      <c r="I24" s="20"/>
      <c r="J24" s="20"/>
      <c r="K24" s="20"/>
      <c r="L24" s="20"/>
      <c r="M24" s="20"/>
      <c r="N24" s="20"/>
      <c r="O24" s="20"/>
      <c r="P24" s="129"/>
      <c r="Q24" s="12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8"/>
    </row>
    <row r="25" spans="2:28" x14ac:dyDescent="0.2">
      <c r="B25" s="108" t="s">
        <v>243</v>
      </c>
      <c r="C25" s="20"/>
      <c r="D25" s="20"/>
      <c r="E25" s="128"/>
      <c r="F25" s="128"/>
      <c r="G25" s="128"/>
      <c r="H25" s="20"/>
      <c r="I25" s="20"/>
      <c r="J25" s="20"/>
      <c r="K25" s="20"/>
      <c r="L25" s="20"/>
      <c r="M25" s="20"/>
      <c r="N25" s="20"/>
      <c r="O25" s="20"/>
      <c r="P25" s="129"/>
      <c r="Q25" s="12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8"/>
    </row>
    <row r="26" spans="2:28" x14ac:dyDescent="0.2">
      <c r="B26" s="20" t="s">
        <v>258</v>
      </c>
      <c r="C26" s="25">
        <f t="shared" ref="C26:M26" si="14">C21/C23</f>
        <v>0</v>
      </c>
      <c r="D26" s="25">
        <f t="shared" si="14"/>
        <v>0</v>
      </c>
      <c r="E26" s="25">
        <f t="shared" si="14"/>
        <v>0</v>
      </c>
      <c r="F26" s="25">
        <f t="shared" si="14"/>
        <v>0</v>
      </c>
      <c r="G26" s="25">
        <f t="shared" si="14"/>
        <v>0</v>
      </c>
      <c r="H26" s="25">
        <f t="shared" si="14"/>
        <v>0</v>
      </c>
      <c r="I26" s="25">
        <f t="shared" si="14"/>
        <v>0</v>
      </c>
      <c r="J26" s="25">
        <f t="shared" si="14"/>
        <v>0</v>
      </c>
      <c r="K26" s="25">
        <f t="shared" si="14"/>
        <v>0</v>
      </c>
      <c r="L26" s="25">
        <f t="shared" si="14"/>
        <v>0</v>
      </c>
      <c r="M26" s="25">
        <f t="shared" si="14"/>
        <v>0</v>
      </c>
      <c r="N26" s="25">
        <f>N21/N23</f>
        <v>25.98581560283688</v>
      </c>
      <c r="O26" s="25">
        <f>O21/O23</f>
        <v>24.521072796934867</v>
      </c>
      <c r="P26" s="118">
        <f t="shared" ref="P26:P38" si="15">((O26/N26)^(1/($H$3-$H$2) ))-1</f>
        <v>-5.6367013000050203E-2</v>
      </c>
      <c r="Q26" s="31">
        <v>0.1</v>
      </c>
      <c r="R26" s="119">
        <f t="shared" ref="R26:R29" si="16">O26*(1+$Q26)</f>
        <v>26.973180076628356</v>
      </c>
      <c r="S26" s="119">
        <f t="shared" ref="S26:AA29" si="17">R26*(1+$Q26)</f>
        <v>29.670498084291193</v>
      </c>
      <c r="T26" s="119">
        <f t="shared" si="17"/>
        <v>32.637547892720313</v>
      </c>
      <c r="U26" s="119">
        <f t="shared" si="17"/>
        <v>35.901302681992348</v>
      </c>
      <c r="V26" s="119">
        <f t="shared" si="17"/>
        <v>39.491432950191587</v>
      </c>
      <c r="W26" s="119">
        <f t="shared" si="17"/>
        <v>43.44057624521075</v>
      </c>
      <c r="X26" s="119">
        <f t="shared" si="17"/>
        <v>47.784633869731827</v>
      </c>
      <c r="Y26" s="119">
        <f t="shared" si="17"/>
        <v>52.563097256705014</v>
      </c>
      <c r="Z26" s="119">
        <f t="shared" si="17"/>
        <v>57.819406982375519</v>
      </c>
      <c r="AA26" s="119">
        <f t="shared" si="17"/>
        <v>63.601347680613074</v>
      </c>
      <c r="AB26" s="118">
        <f>((AA26/N26)^(1/($AA$4-$H$2) ))-1</f>
        <v>8.477355136082676E-2</v>
      </c>
    </row>
    <row r="27" spans="2:28" x14ac:dyDescent="0.2">
      <c r="B27" s="20" t="s">
        <v>245</v>
      </c>
      <c r="C27" s="25">
        <f t="shared" ref="C27:O27" si="18">C8/C23</f>
        <v>0</v>
      </c>
      <c r="D27" s="25">
        <f t="shared" si="18"/>
        <v>0</v>
      </c>
      <c r="E27" s="25">
        <f t="shared" si="18"/>
        <v>0</v>
      </c>
      <c r="F27" s="25">
        <f t="shared" si="18"/>
        <v>0</v>
      </c>
      <c r="G27" s="25">
        <f t="shared" si="18"/>
        <v>0</v>
      </c>
      <c r="H27" s="25">
        <f t="shared" si="18"/>
        <v>0</v>
      </c>
      <c r="I27" s="25">
        <f t="shared" si="18"/>
        <v>0</v>
      </c>
      <c r="J27" s="25">
        <f t="shared" si="18"/>
        <v>0</v>
      </c>
      <c r="K27" s="25">
        <f t="shared" si="18"/>
        <v>0</v>
      </c>
      <c r="L27" s="25">
        <f t="shared" si="18"/>
        <v>0</v>
      </c>
      <c r="M27" s="25">
        <f t="shared" si="18"/>
        <v>0</v>
      </c>
      <c r="N27" s="25">
        <f t="shared" si="18"/>
        <v>151.18794326241135</v>
      </c>
      <c r="O27" s="25">
        <f t="shared" si="18"/>
        <v>175.98850574712645</v>
      </c>
      <c r="P27" s="118">
        <f t="shared" si="15"/>
        <v>0.1640379645992649</v>
      </c>
      <c r="Q27" s="31">
        <v>-0.2</v>
      </c>
      <c r="R27" s="119">
        <f t="shared" si="16"/>
        <v>140.79080459770117</v>
      </c>
      <c r="S27" s="119">
        <f t="shared" si="17"/>
        <v>112.63264367816095</v>
      </c>
      <c r="T27" s="119">
        <f t="shared" si="17"/>
        <v>90.106114942528762</v>
      </c>
      <c r="U27" s="119">
        <f t="shared" si="17"/>
        <v>72.084891954023007</v>
      </c>
      <c r="V27" s="119">
        <f t="shared" si="17"/>
        <v>57.667913563218406</v>
      </c>
      <c r="W27" s="119">
        <f t="shared" si="17"/>
        <v>46.134330850574727</v>
      </c>
      <c r="X27" s="119">
        <f t="shared" si="17"/>
        <v>36.907464680459782</v>
      </c>
      <c r="Y27" s="119">
        <f t="shared" si="17"/>
        <v>29.525971744367826</v>
      </c>
      <c r="Z27" s="119">
        <f t="shared" si="17"/>
        <v>23.620777395494262</v>
      </c>
      <c r="AA27" s="119">
        <f t="shared" si="17"/>
        <v>18.896621916395411</v>
      </c>
      <c r="AB27" s="118">
        <f>((AA27/N27)^(1/($AA$4-$H$2) ))-1</f>
        <v>-0.17225417039167801</v>
      </c>
    </row>
    <row r="28" spans="2:28" x14ac:dyDescent="0.2">
      <c r="B28" s="20" t="s">
        <v>246</v>
      </c>
      <c r="C28" s="128">
        <f t="shared" ref="C28:O28" si="19">C7/C23</f>
        <v>0</v>
      </c>
      <c r="D28" s="128">
        <f t="shared" si="19"/>
        <v>0</v>
      </c>
      <c r="E28" s="128">
        <f t="shared" si="19"/>
        <v>0</v>
      </c>
      <c r="F28" s="128">
        <f t="shared" si="19"/>
        <v>0</v>
      </c>
      <c r="G28" s="128">
        <f t="shared" si="19"/>
        <v>0</v>
      </c>
      <c r="H28" s="128">
        <f t="shared" si="19"/>
        <v>0</v>
      </c>
      <c r="I28" s="128">
        <f t="shared" si="19"/>
        <v>0</v>
      </c>
      <c r="J28" s="128">
        <f t="shared" si="19"/>
        <v>0</v>
      </c>
      <c r="K28" s="128">
        <f t="shared" si="19"/>
        <v>0</v>
      </c>
      <c r="L28" s="128">
        <f t="shared" si="19"/>
        <v>0</v>
      </c>
      <c r="M28" s="128">
        <f t="shared" si="19"/>
        <v>0</v>
      </c>
      <c r="N28" s="128">
        <f t="shared" si="19"/>
        <v>141.43262411347519</v>
      </c>
      <c r="O28" s="128">
        <f t="shared" si="19"/>
        <v>166.02298850574712</v>
      </c>
      <c r="P28" s="118">
        <f t="shared" si="15"/>
        <v>0.17386628118094194</v>
      </c>
      <c r="Q28" s="31">
        <v>0.1</v>
      </c>
      <c r="R28" s="119">
        <f t="shared" si="16"/>
        <v>182.62528735632185</v>
      </c>
      <c r="S28" s="119">
        <f t="shared" si="17"/>
        <v>200.88781609195405</v>
      </c>
      <c r="T28" s="119">
        <f t="shared" si="17"/>
        <v>220.97659770114947</v>
      </c>
      <c r="U28" s="119">
        <f t="shared" si="17"/>
        <v>243.07425747126445</v>
      </c>
      <c r="V28" s="119">
        <f t="shared" si="17"/>
        <v>267.38168321839089</v>
      </c>
      <c r="W28" s="119">
        <f t="shared" si="17"/>
        <v>294.11985154023</v>
      </c>
      <c r="X28" s="119">
        <f t="shared" si="17"/>
        <v>323.531836694253</v>
      </c>
      <c r="Y28" s="119">
        <f t="shared" si="17"/>
        <v>355.88502036367834</v>
      </c>
      <c r="Z28" s="119">
        <f t="shared" si="17"/>
        <v>391.47352240004619</v>
      </c>
      <c r="AA28" s="119">
        <f t="shared" si="17"/>
        <v>430.62087464005083</v>
      </c>
      <c r="AB28" s="118">
        <f>((AA28/N28)^(1/($AA$4-$H$2) ))-1</f>
        <v>0.1065185015565997</v>
      </c>
    </row>
    <row r="29" spans="2:28" x14ac:dyDescent="0.2">
      <c r="B29" s="20" t="s">
        <v>247</v>
      </c>
      <c r="C29" s="128">
        <f t="shared" ref="C29:O29" si="20">C10/C23</f>
        <v>0</v>
      </c>
      <c r="D29" s="128">
        <f t="shared" si="20"/>
        <v>0</v>
      </c>
      <c r="E29" s="128">
        <f t="shared" si="20"/>
        <v>0</v>
      </c>
      <c r="F29" s="128">
        <f t="shared" si="20"/>
        <v>0</v>
      </c>
      <c r="G29" s="128">
        <f t="shared" si="20"/>
        <v>0</v>
      </c>
      <c r="H29" s="128">
        <f t="shared" si="20"/>
        <v>0</v>
      </c>
      <c r="I29" s="128">
        <f t="shared" si="20"/>
        <v>0</v>
      </c>
      <c r="J29" s="128">
        <f t="shared" si="20"/>
        <v>0</v>
      </c>
      <c r="K29" s="128">
        <f t="shared" si="20"/>
        <v>0</v>
      </c>
      <c r="L29" s="128">
        <f t="shared" si="20"/>
        <v>0</v>
      </c>
      <c r="M29" s="128">
        <f t="shared" si="20"/>
        <v>0</v>
      </c>
      <c r="N29" s="141">
        <f t="shared" si="20"/>
        <v>1.0083687943262412</v>
      </c>
      <c r="O29" s="141">
        <f t="shared" si="20"/>
        <v>1.835249042145594</v>
      </c>
      <c r="P29" s="118">
        <f t="shared" si="15"/>
        <v>0.82001768844091116</v>
      </c>
      <c r="Q29" s="31">
        <v>0.1</v>
      </c>
      <c r="R29" s="119">
        <f t="shared" si="16"/>
        <v>2.0187739463601537</v>
      </c>
      <c r="S29" s="119">
        <f t="shared" si="17"/>
        <v>2.2206513409961692</v>
      </c>
      <c r="T29" s="119">
        <f t="shared" si="17"/>
        <v>2.4427164750957862</v>
      </c>
      <c r="U29" s="119">
        <f t="shared" si="17"/>
        <v>2.6869881226053649</v>
      </c>
      <c r="V29" s="119">
        <f t="shared" si="17"/>
        <v>2.9556869348659016</v>
      </c>
      <c r="W29" s="119">
        <f t="shared" si="17"/>
        <v>3.2512556283524918</v>
      </c>
      <c r="X29" s="119">
        <f t="shared" si="17"/>
        <v>3.5763811911877412</v>
      </c>
      <c r="Y29" s="119">
        <f t="shared" si="17"/>
        <v>3.9340193103065157</v>
      </c>
      <c r="Z29" s="119">
        <f t="shared" si="17"/>
        <v>4.3274212413371673</v>
      </c>
      <c r="AA29" s="119">
        <f t="shared" si="17"/>
        <v>4.7601633654708841</v>
      </c>
      <c r="AB29" s="118">
        <f>((AA29/N29)^(1/($AA$4-$H$2) ))-1</f>
        <v>0.15152388601570199</v>
      </c>
    </row>
    <row r="30" spans="2:28" x14ac:dyDescent="0.2">
      <c r="B30" s="20"/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9"/>
      <c r="Q30" s="12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8"/>
    </row>
    <row r="31" spans="2:28" x14ac:dyDescent="0.2">
      <c r="B31" s="20" t="s">
        <v>274</v>
      </c>
      <c r="C31" s="128">
        <f>(C8-C10)/C23</f>
        <v>0</v>
      </c>
      <c r="D31" s="128">
        <f t="shared" ref="D31:O31" si="21">(D8-D10)/D23</f>
        <v>0</v>
      </c>
      <c r="E31" s="128">
        <f t="shared" si="21"/>
        <v>0</v>
      </c>
      <c r="F31" s="128">
        <f t="shared" si="21"/>
        <v>0</v>
      </c>
      <c r="G31" s="128">
        <f t="shared" si="21"/>
        <v>0</v>
      </c>
      <c r="H31" s="128">
        <f t="shared" si="21"/>
        <v>0</v>
      </c>
      <c r="I31" s="128">
        <f t="shared" si="21"/>
        <v>0</v>
      </c>
      <c r="J31" s="128">
        <f t="shared" si="21"/>
        <v>0</v>
      </c>
      <c r="K31" s="128">
        <f t="shared" si="21"/>
        <v>0</v>
      </c>
      <c r="L31" s="128">
        <f t="shared" si="21"/>
        <v>0</v>
      </c>
      <c r="M31" s="128">
        <f t="shared" si="21"/>
        <v>0</v>
      </c>
      <c r="N31" s="128">
        <f t="shared" si="21"/>
        <v>150.17957446808512</v>
      </c>
      <c r="O31" s="128">
        <f t="shared" si="21"/>
        <v>174.15325670498083</v>
      </c>
      <c r="P31" s="118">
        <f t="shared" si="15"/>
        <v>0.15963344097762366</v>
      </c>
      <c r="Q31" s="31">
        <v>0.1</v>
      </c>
      <c r="R31" s="119">
        <f t="shared" ref="R31" si="22">O31*(1+$Q31)</f>
        <v>191.56858237547894</v>
      </c>
      <c r="S31" s="119">
        <f t="shared" ref="S31" si="23">R31*(1+$Q31)</f>
        <v>210.72544061302685</v>
      </c>
      <c r="T31" s="119">
        <f t="shared" ref="T31" si="24">S31*(1+$Q31)</f>
        <v>231.79798467432954</v>
      </c>
      <c r="U31" s="119">
        <f t="shared" ref="U31" si="25">T31*(1+$Q31)</f>
        <v>254.97778314176253</v>
      </c>
      <c r="V31" s="119">
        <f t="shared" ref="V31" si="26">U31*(1+$Q31)</f>
        <v>280.47556145593882</v>
      </c>
      <c r="W31" s="119">
        <f t="shared" ref="W31" si="27">V31*(1+$Q31)</f>
        <v>308.5231176015327</v>
      </c>
      <c r="X31" s="119">
        <f t="shared" ref="X31" si="28">W31*(1+$Q31)</f>
        <v>339.37542936168597</v>
      </c>
      <c r="Y31" s="119">
        <f t="shared" ref="Y31" si="29">X31*(1+$Q31)</f>
        <v>373.31297229785463</v>
      </c>
      <c r="Z31" s="119">
        <f t="shared" ref="Z31" si="30">Y31*(1+$Q31)</f>
        <v>410.64426952764012</v>
      </c>
      <c r="AA31" s="119">
        <f t="shared" ref="AA31" si="31">Z31*(1+$Q31)</f>
        <v>451.70869648040417</v>
      </c>
      <c r="AB31" s="118">
        <f>((AA31/N31)^(1/($AA$4-$H$2) ))-1</f>
        <v>0.10529206692698145</v>
      </c>
    </row>
    <row r="32" spans="2:28" x14ac:dyDescent="0.2">
      <c r="B32" s="20" t="s">
        <v>275</v>
      </c>
      <c r="C32" s="128">
        <f>(C8-C10-C9)/C23</f>
        <v>0</v>
      </c>
      <c r="D32" s="128">
        <f t="shared" ref="D32:O32" si="32">(D8-D10-D9)/D23</f>
        <v>0</v>
      </c>
      <c r="E32" s="128">
        <f t="shared" si="32"/>
        <v>0</v>
      </c>
      <c r="F32" s="128">
        <f t="shared" si="32"/>
        <v>0</v>
      </c>
      <c r="G32" s="128">
        <f t="shared" si="32"/>
        <v>0</v>
      </c>
      <c r="H32" s="128">
        <f t="shared" si="32"/>
        <v>0</v>
      </c>
      <c r="I32" s="128">
        <f t="shared" si="32"/>
        <v>0</v>
      </c>
      <c r="J32" s="128">
        <f t="shared" si="32"/>
        <v>0</v>
      </c>
      <c r="K32" s="128">
        <f t="shared" si="32"/>
        <v>0</v>
      </c>
      <c r="L32" s="128">
        <f t="shared" si="32"/>
        <v>0</v>
      </c>
      <c r="M32" s="128">
        <f t="shared" si="32"/>
        <v>0</v>
      </c>
      <c r="N32" s="128">
        <f t="shared" si="32"/>
        <v>109.91716312056739</v>
      </c>
      <c r="O32" s="128">
        <f t="shared" si="32"/>
        <v>138.18390804597701</v>
      </c>
      <c r="P32" s="118">
        <f t="shared" si="15"/>
        <v>0.25716406903991884</v>
      </c>
      <c r="Q32" s="31">
        <v>0.1</v>
      </c>
      <c r="R32" s="119">
        <f t="shared" ref="R32" si="33">O32*(1+$Q32)</f>
        <v>152.00229885057473</v>
      </c>
      <c r="S32" s="119">
        <f t="shared" ref="S32" si="34">R32*(1+$Q32)</f>
        <v>167.20252873563223</v>
      </c>
      <c r="T32" s="119">
        <f t="shared" ref="T32" si="35">S32*(1+$Q32)</f>
        <v>183.92278160919545</v>
      </c>
      <c r="U32" s="119">
        <f t="shared" ref="U32" si="36">T32*(1+$Q32)</f>
        <v>202.31505977011503</v>
      </c>
      <c r="V32" s="119">
        <f t="shared" ref="V32" si="37">U32*(1+$Q32)</f>
        <v>222.54656574712655</v>
      </c>
      <c r="W32" s="119">
        <f t="shared" ref="W32" si="38">V32*(1+$Q32)</f>
        <v>244.80122232183922</v>
      </c>
      <c r="X32" s="119">
        <f t="shared" ref="X32" si="39">W32*(1+$Q32)</f>
        <v>269.28134455402318</v>
      </c>
      <c r="Y32" s="119">
        <f t="shared" ref="Y32" si="40">X32*(1+$Q32)</f>
        <v>296.20947900942554</v>
      </c>
      <c r="Z32" s="119">
        <f t="shared" ref="Z32" si="41">Y32*(1+$Q32)</f>
        <v>325.83042691036809</v>
      </c>
      <c r="AA32" s="119">
        <f t="shared" ref="AA32" si="42">Z32*(1+$Q32)</f>
        <v>358.41346960140493</v>
      </c>
      <c r="AB32" s="118">
        <f>((AA32/N32)^(1/($AA$4-$H$2) ))-1</f>
        <v>0.11343622444991741</v>
      </c>
    </row>
    <row r="33" spans="2:28" x14ac:dyDescent="0.2">
      <c r="B33" s="20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9"/>
      <c r="Q33" s="12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8"/>
    </row>
    <row r="34" spans="2:28" x14ac:dyDescent="0.2">
      <c r="B34" s="20" t="s">
        <v>248</v>
      </c>
      <c r="C34" s="128">
        <f t="shared" ref="C34:O34" si="43">C11/C23</f>
        <v>0</v>
      </c>
      <c r="D34" s="128">
        <f t="shared" si="43"/>
        <v>0</v>
      </c>
      <c r="E34" s="128">
        <f t="shared" si="43"/>
        <v>0</v>
      </c>
      <c r="F34" s="128">
        <f t="shared" si="43"/>
        <v>0</v>
      </c>
      <c r="G34" s="128">
        <f t="shared" si="43"/>
        <v>0</v>
      </c>
      <c r="H34" s="128">
        <f t="shared" si="43"/>
        <v>0</v>
      </c>
      <c r="I34" s="128">
        <f t="shared" si="43"/>
        <v>0</v>
      </c>
      <c r="J34" s="128">
        <f t="shared" si="43"/>
        <v>0</v>
      </c>
      <c r="K34" s="128">
        <f t="shared" si="43"/>
        <v>0</v>
      </c>
      <c r="L34" s="128">
        <f t="shared" si="43"/>
        <v>0</v>
      </c>
      <c r="M34" s="128">
        <f t="shared" si="43"/>
        <v>0</v>
      </c>
      <c r="N34" s="128">
        <f t="shared" si="43"/>
        <v>16.882978723404257</v>
      </c>
      <c r="O34" s="128">
        <f t="shared" si="43"/>
        <v>14.122605363984675</v>
      </c>
      <c r="P34" s="118">
        <f t="shared" si="15"/>
        <v>-0.1635003754161567</v>
      </c>
      <c r="Q34" s="31">
        <v>0.1</v>
      </c>
      <c r="R34" s="119">
        <f t="shared" ref="R34:R38" si="44">O34*(1+$Q34)</f>
        <v>15.534865900383144</v>
      </c>
      <c r="S34" s="119">
        <f t="shared" ref="S34:AA38" si="45">R34*(1+$Q34)</f>
        <v>17.08835249042146</v>
      </c>
      <c r="T34" s="119">
        <f t="shared" si="45"/>
        <v>18.79718773946361</v>
      </c>
      <c r="U34" s="119">
        <f t="shared" si="45"/>
        <v>20.676906513409971</v>
      </c>
      <c r="V34" s="119">
        <f t="shared" si="45"/>
        <v>22.744597164750971</v>
      </c>
      <c r="W34" s="119">
        <f t="shared" si="45"/>
        <v>25.019056881226071</v>
      </c>
      <c r="X34" s="119">
        <f t="shared" si="45"/>
        <v>27.520962569348679</v>
      </c>
      <c r="Y34" s="119">
        <f t="shared" si="45"/>
        <v>30.273058826283549</v>
      </c>
      <c r="Z34" s="119">
        <f t="shared" si="45"/>
        <v>33.300364708911907</v>
      </c>
      <c r="AA34" s="119">
        <f t="shared" si="45"/>
        <v>36.630401179803101</v>
      </c>
      <c r="AB34" s="118">
        <f>((AA34/N34)^(1/($AA$4-$H$2) ))-1</f>
        <v>7.2954104924337848E-2</v>
      </c>
    </row>
    <row r="35" spans="2:28" x14ac:dyDescent="0.2">
      <c r="B35" s="20" t="s">
        <v>255</v>
      </c>
      <c r="C35" s="128">
        <f t="shared" ref="C35:O35" si="46">C12/C23</f>
        <v>0</v>
      </c>
      <c r="D35" s="128">
        <f t="shared" si="46"/>
        <v>0</v>
      </c>
      <c r="E35" s="128">
        <f t="shared" si="46"/>
        <v>0</v>
      </c>
      <c r="F35" s="128">
        <f t="shared" si="46"/>
        <v>0</v>
      </c>
      <c r="G35" s="128">
        <f t="shared" si="46"/>
        <v>0</v>
      </c>
      <c r="H35" s="128">
        <f t="shared" si="46"/>
        <v>0</v>
      </c>
      <c r="I35" s="128">
        <f t="shared" si="46"/>
        <v>0</v>
      </c>
      <c r="J35" s="128">
        <f t="shared" si="46"/>
        <v>0</v>
      </c>
      <c r="K35" s="128">
        <f t="shared" si="46"/>
        <v>0</v>
      </c>
      <c r="L35" s="128">
        <f t="shared" si="46"/>
        <v>0</v>
      </c>
      <c r="M35" s="128">
        <f t="shared" si="46"/>
        <v>0</v>
      </c>
      <c r="N35" s="128">
        <f t="shared" si="46"/>
        <v>48.390070921985824</v>
      </c>
      <c r="O35" s="128">
        <f t="shared" si="46"/>
        <v>56.555555555555564</v>
      </c>
      <c r="P35" s="118">
        <f t="shared" si="15"/>
        <v>0.16874297718501152</v>
      </c>
      <c r="Q35" s="31">
        <v>0.1</v>
      </c>
      <c r="R35" s="119">
        <f t="shared" si="44"/>
        <v>62.211111111111123</v>
      </c>
      <c r="S35" s="119">
        <f t="shared" si="45"/>
        <v>68.432222222222236</v>
      </c>
      <c r="T35" s="119">
        <f t="shared" si="45"/>
        <v>75.27544444444446</v>
      </c>
      <c r="U35" s="119">
        <f t="shared" si="45"/>
        <v>82.802988888888919</v>
      </c>
      <c r="V35" s="119">
        <f t="shared" si="45"/>
        <v>91.083287777777812</v>
      </c>
      <c r="W35" s="119">
        <f t="shared" si="45"/>
        <v>100.1916165555556</v>
      </c>
      <c r="X35" s="119">
        <f t="shared" si="45"/>
        <v>110.21077821111116</v>
      </c>
      <c r="Y35" s="119">
        <f t="shared" si="45"/>
        <v>121.23185603222228</v>
      </c>
      <c r="Z35" s="119">
        <f t="shared" si="45"/>
        <v>133.35504163544451</v>
      </c>
      <c r="AA35" s="119">
        <f t="shared" si="45"/>
        <v>146.69054579898898</v>
      </c>
      <c r="AB35" s="118">
        <f>((AA35/N35)^(1/($AA$4-$H$2) ))-1</f>
        <v>0.10607859482251181</v>
      </c>
    </row>
    <row r="36" spans="2:28" x14ac:dyDescent="0.2">
      <c r="B36" s="20" t="s">
        <v>256</v>
      </c>
      <c r="C36" s="128">
        <f>(C34+C35)</f>
        <v>0</v>
      </c>
      <c r="D36" s="128">
        <f t="shared" ref="D36:O36" si="47">(D34+D35)</f>
        <v>0</v>
      </c>
      <c r="E36" s="128">
        <f t="shared" si="47"/>
        <v>0</v>
      </c>
      <c r="F36" s="128">
        <f t="shared" si="47"/>
        <v>0</v>
      </c>
      <c r="G36" s="128">
        <f t="shared" si="47"/>
        <v>0</v>
      </c>
      <c r="H36" s="128">
        <f t="shared" si="47"/>
        <v>0</v>
      </c>
      <c r="I36" s="128">
        <f t="shared" si="47"/>
        <v>0</v>
      </c>
      <c r="J36" s="128">
        <f t="shared" si="47"/>
        <v>0</v>
      </c>
      <c r="K36" s="128">
        <f t="shared" si="47"/>
        <v>0</v>
      </c>
      <c r="L36" s="128">
        <f t="shared" si="47"/>
        <v>0</v>
      </c>
      <c r="M36" s="128">
        <f t="shared" si="47"/>
        <v>0</v>
      </c>
      <c r="N36" s="128">
        <f t="shared" si="47"/>
        <v>65.273049645390074</v>
      </c>
      <c r="O36" s="128">
        <f t="shared" si="47"/>
        <v>70.678160919540232</v>
      </c>
      <c r="P36" s="118">
        <f t="shared" si="15"/>
        <v>8.2807702467015076E-2</v>
      </c>
      <c r="Q36" s="31">
        <v>0.1</v>
      </c>
      <c r="R36" s="119">
        <f t="shared" si="44"/>
        <v>77.745977011494261</v>
      </c>
      <c r="S36" s="119">
        <f t="shared" si="45"/>
        <v>85.520574712643693</v>
      </c>
      <c r="T36" s="119">
        <f t="shared" si="45"/>
        <v>94.07263218390807</v>
      </c>
      <c r="U36" s="119">
        <f t="shared" si="45"/>
        <v>103.47989540229888</v>
      </c>
      <c r="V36" s="119">
        <f t="shared" si="45"/>
        <v>113.82788494252878</v>
      </c>
      <c r="W36" s="119">
        <f t="shared" si="45"/>
        <v>125.21067343678168</v>
      </c>
      <c r="X36" s="119">
        <f t="shared" si="45"/>
        <v>137.73174078045986</v>
      </c>
      <c r="Y36" s="119">
        <f t="shared" si="45"/>
        <v>151.50491485850586</v>
      </c>
      <c r="Z36" s="119">
        <f t="shared" si="45"/>
        <v>166.65540634435646</v>
      </c>
      <c r="AA36" s="119">
        <f t="shared" si="45"/>
        <v>183.32094697879214</v>
      </c>
      <c r="AB36" s="118">
        <f>((AA36/N36)^(1/($AA$4-$H$2) ))-1</f>
        <v>9.8425848657737403E-2</v>
      </c>
    </row>
    <row r="37" spans="2:28" x14ac:dyDescent="0.2">
      <c r="B37" s="20" t="s">
        <v>249</v>
      </c>
      <c r="C37" s="128">
        <f t="shared" ref="C37:O37" si="48">C13/C23</f>
        <v>0</v>
      </c>
      <c r="D37" s="128">
        <f t="shared" si="48"/>
        <v>0</v>
      </c>
      <c r="E37" s="128">
        <f t="shared" si="48"/>
        <v>0</v>
      </c>
      <c r="F37" s="128">
        <f t="shared" si="48"/>
        <v>0</v>
      </c>
      <c r="G37" s="128">
        <f t="shared" si="48"/>
        <v>0</v>
      </c>
      <c r="H37" s="128">
        <f t="shared" si="48"/>
        <v>0</v>
      </c>
      <c r="I37" s="128">
        <f t="shared" si="48"/>
        <v>0</v>
      </c>
      <c r="J37" s="128">
        <f t="shared" si="48"/>
        <v>0</v>
      </c>
      <c r="K37" s="128">
        <f t="shared" si="48"/>
        <v>0</v>
      </c>
      <c r="L37" s="128">
        <f t="shared" si="48"/>
        <v>0</v>
      </c>
      <c r="M37" s="128">
        <f t="shared" si="48"/>
        <v>0</v>
      </c>
      <c r="N37" s="128">
        <f t="shared" si="48"/>
        <v>116.76595744680851</v>
      </c>
      <c r="O37" s="128">
        <f t="shared" si="48"/>
        <v>128.50574712643677</v>
      </c>
      <c r="P37" s="118">
        <f t="shared" si="15"/>
        <v>0.1005412017023557</v>
      </c>
      <c r="Q37" s="31">
        <v>0.1</v>
      </c>
      <c r="R37" s="119">
        <f t="shared" si="44"/>
        <v>141.35632183908046</v>
      </c>
      <c r="S37" s="119">
        <f t="shared" si="45"/>
        <v>155.49195402298852</v>
      </c>
      <c r="T37" s="119">
        <f t="shared" si="45"/>
        <v>171.04114942528739</v>
      </c>
      <c r="U37" s="119">
        <f t="shared" si="45"/>
        <v>188.14526436781614</v>
      </c>
      <c r="V37" s="119">
        <f t="shared" si="45"/>
        <v>206.95979080459776</v>
      </c>
      <c r="W37" s="119">
        <f t="shared" si="45"/>
        <v>227.65576988505757</v>
      </c>
      <c r="X37" s="119">
        <f t="shared" si="45"/>
        <v>250.42134687356335</v>
      </c>
      <c r="Y37" s="119">
        <f t="shared" si="45"/>
        <v>275.46348156091972</v>
      </c>
      <c r="Z37" s="119">
        <f t="shared" si="45"/>
        <v>303.00982971701171</v>
      </c>
      <c r="AA37" s="119">
        <f t="shared" si="45"/>
        <v>333.31081268871293</v>
      </c>
      <c r="AB37" s="118">
        <f>((AA37/N37)^(1/($AA$4-$H$2) ))-1</f>
        <v>0.10004918915522509</v>
      </c>
    </row>
    <row r="38" spans="2:28" x14ac:dyDescent="0.2">
      <c r="B38" s="20" t="s">
        <v>250</v>
      </c>
      <c r="C38" s="128">
        <f t="shared" ref="C38:O38" si="49">C14/C23</f>
        <v>0</v>
      </c>
      <c r="D38" s="128">
        <f t="shared" si="49"/>
        <v>0</v>
      </c>
      <c r="E38" s="128">
        <f t="shared" si="49"/>
        <v>0</v>
      </c>
      <c r="F38" s="128">
        <f t="shared" si="49"/>
        <v>0</v>
      </c>
      <c r="G38" s="128">
        <f t="shared" si="49"/>
        <v>0</v>
      </c>
      <c r="H38" s="128">
        <f t="shared" si="49"/>
        <v>0</v>
      </c>
      <c r="I38" s="128">
        <f t="shared" si="49"/>
        <v>0</v>
      </c>
      <c r="J38" s="128">
        <f t="shared" si="49"/>
        <v>0</v>
      </c>
      <c r="K38" s="128">
        <f t="shared" si="49"/>
        <v>0</v>
      </c>
      <c r="L38" s="128">
        <f t="shared" si="49"/>
        <v>0</v>
      </c>
      <c r="M38" s="128">
        <f t="shared" si="49"/>
        <v>0</v>
      </c>
      <c r="N38" s="128">
        <f t="shared" si="49"/>
        <v>76.503546099290773</v>
      </c>
      <c r="O38" s="128">
        <f t="shared" si="49"/>
        <v>92.536398467432946</v>
      </c>
      <c r="P38" s="118">
        <f t="shared" si="15"/>
        <v>0.20957005505775905</v>
      </c>
      <c r="Q38" s="31">
        <v>0.1</v>
      </c>
      <c r="R38" s="119">
        <f t="shared" si="44"/>
        <v>101.79003831417624</v>
      </c>
      <c r="S38" s="119">
        <f t="shared" si="45"/>
        <v>111.96904214559387</v>
      </c>
      <c r="T38" s="119">
        <f t="shared" si="45"/>
        <v>123.16594636015327</v>
      </c>
      <c r="U38" s="119">
        <f t="shared" si="45"/>
        <v>135.48254099616861</v>
      </c>
      <c r="V38" s="119">
        <f t="shared" si="45"/>
        <v>149.03079509578549</v>
      </c>
      <c r="W38" s="119">
        <f t="shared" si="45"/>
        <v>163.93387460536405</v>
      </c>
      <c r="X38" s="119">
        <f t="shared" si="45"/>
        <v>180.32726206590047</v>
      </c>
      <c r="Y38" s="119">
        <f t="shared" si="45"/>
        <v>198.35998827249054</v>
      </c>
      <c r="Z38" s="119">
        <f t="shared" si="45"/>
        <v>218.19598709973963</v>
      </c>
      <c r="AA38" s="119">
        <f t="shared" si="45"/>
        <v>240.0155858097136</v>
      </c>
      <c r="AB38" s="118">
        <f>((AA38/N38)^(1/($AA$4-$H$2) ))-1</f>
        <v>0.10953658090017182</v>
      </c>
    </row>
    <row r="39" spans="2:28" x14ac:dyDescent="0.2"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129"/>
      <c r="Q39" s="12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29"/>
    </row>
    <row r="40" spans="2:28" x14ac:dyDescent="0.2">
      <c r="B40" s="108" t="s">
        <v>83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129"/>
      <c r="Q40" s="12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29"/>
    </row>
    <row r="41" spans="2:28" x14ac:dyDescent="0.2">
      <c r="B41" s="20" t="s">
        <v>82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118" t="e">
        <f t="shared" ref="P41:P47" si="50">((O41/N41)^(1/($H$3-$H$2) ))-1</f>
        <v>#DIV/0!</v>
      </c>
      <c r="Q41" s="31">
        <v>0.1</v>
      </c>
      <c r="R41" s="119">
        <f t="shared" ref="R41:R47" si="51">O41*(1+$Q41)</f>
        <v>0</v>
      </c>
      <c r="S41" s="119">
        <f t="shared" ref="S41:AA47" si="52">R41*(1+$Q41)</f>
        <v>0</v>
      </c>
      <c r="T41" s="119">
        <f t="shared" si="52"/>
        <v>0</v>
      </c>
      <c r="U41" s="119">
        <f t="shared" si="52"/>
        <v>0</v>
      </c>
      <c r="V41" s="119">
        <f t="shared" si="52"/>
        <v>0</v>
      </c>
      <c r="W41" s="119">
        <f t="shared" si="52"/>
        <v>0</v>
      </c>
      <c r="X41" s="119">
        <f t="shared" si="52"/>
        <v>0</v>
      </c>
      <c r="Y41" s="119">
        <f t="shared" si="52"/>
        <v>0</v>
      </c>
      <c r="Z41" s="119">
        <f t="shared" si="52"/>
        <v>0</v>
      </c>
      <c r="AA41" s="119">
        <f t="shared" si="52"/>
        <v>0</v>
      </c>
      <c r="AB41" s="118" t="e">
        <f>((AA41/N41)^(1/($AA$4-$H$2) ))-1</f>
        <v>#DIV/0!</v>
      </c>
    </row>
    <row r="42" spans="2:28" x14ac:dyDescent="0.2">
      <c r="B42" s="20" t="s">
        <v>84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118" t="e">
        <f t="shared" si="50"/>
        <v>#DIV/0!</v>
      </c>
      <c r="Q42" s="31">
        <v>0.1</v>
      </c>
      <c r="R42" s="119">
        <f t="shared" si="51"/>
        <v>0</v>
      </c>
      <c r="S42" s="119">
        <f t="shared" si="52"/>
        <v>0</v>
      </c>
      <c r="T42" s="119">
        <f t="shared" si="52"/>
        <v>0</v>
      </c>
      <c r="U42" s="119">
        <f t="shared" si="52"/>
        <v>0</v>
      </c>
      <c r="V42" s="119">
        <f t="shared" si="52"/>
        <v>0</v>
      </c>
      <c r="W42" s="119">
        <f t="shared" si="52"/>
        <v>0</v>
      </c>
      <c r="X42" s="119">
        <f t="shared" si="52"/>
        <v>0</v>
      </c>
      <c r="Y42" s="119">
        <f t="shared" si="52"/>
        <v>0</v>
      </c>
      <c r="Z42" s="119">
        <f t="shared" si="52"/>
        <v>0</v>
      </c>
      <c r="AA42" s="119">
        <f t="shared" si="52"/>
        <v>0</v>
      </c>
      <c r="AB42" s="118" t="e">
        <f>((AA42/N42)^(1/($AA$4-$H$2) ))-1</f>
        <v>#DIV/0!</v>
      </c>
    </row>
    <row r="43" spans="2:28" x14ac:dyDescent="0.2">
      <c r="B43" s="20" t="s">
        <v>85</v>
      </c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118" t="e">
        <f t="shared" si="50"/>
        <v>#DIV/0!</v>
      </c>
      <c r="Q43" s="31">
        <v>0.1</v>
      </c>
      <c r="R43" s="119">
        <f t="shared" si="51"/>
        <v>0</v>
      </c>
      <c r="S43" s="119">
        <f t="shared" si="52"/>
        <v>0</v>
      </c>
      <c r="T43" s="119">
        <f t="shared" si="52"/>
        <v>0</v>
      </c>
      <c r="U43" s="119">
        <f t="shared" si="52"/>
        <v>0</v>
      </c>
      <c r="V43" s="119">
        <f t="shared" si="52"/>
        <v>0</v>
      </c>
      <c r="W43" s="119">
        <f t="shared" si="52"/>
        <v>0</v>
      </c>
      <c r="X43" s="119">
        <f t="shared" si="52"/>
        <v>0</v>
      </c>
      <c r="Y43" s="119">
        <f t="shared" si="52"/>
        <v>0</v>
      </c>
      <c r="Z43" s="119">
        <f t="shared" si="52"/>
        <v>0</v>
      </c>
      <c r="AA43" s="119">
        <f t="shared" si="52"/>
        <v>0</v>
      </c>
      <c r="AB43" s="118" t="e">
        <f>((AA43/N43)^(1/($AA$4-$H$2) ))-1</f>
        <v>#DIV/0!</v>
      </c>
    </row>
    <row r="44" spans="2:28" x14ac:dyDescent="0.2">
      <c r="B44" s="20" t="s">
        <v>81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118" t="e">
        <f t="shared" si="50"/>
        <v>#DIV/0!</v>
      </c>
      <c r="Q44" s="31">
        <v>0.1</v>
      </c>
      <c r="R44" s="119">
        <f t="shared" si="51"/>
        <v>0</v>
      </c>
      <c r="S44" s="119">
        <f t="shared" si="52"/>
        <v>0</v>
      </c>
      <c r="T44" s="119">
        <f t="shared" si="52"/>
        <v>0</v>
      </c>
      <c r="U44" s="119">
        <f t="shared" si="52"/>
        <v>0</v>
      </c>
      <c r="V44" s="119">
        <f t="shared" si="52"/>
        <v>0</v>
      </c>
      <c r="W44" s="119">
        <f t="shared" si="52"/>
        <v>0</v>
      </c>
      <c r="X44" s="119">
        <f t="shared" si="52"/>
        <v>0</v>
      </c>
      <c r="Y44" s="119">
        <f t="shared" si="52"/>
        <v>0</v>
      </c>
      <c r="Z44" s="119">
        <f t="shared" si="52"/>
        <v>0</v>
      </c>
      <c r="AA44" s="119">
        <f t="shared" si="52"/>
        <v>0</v>
      </c>
      <c r="AB44" s="118" t="e">
        <f>((AA44/N44)^(1/($AA$4-$H$2) ))-1</f>
        <v>#DIV/0!</v>
      </c>
    </row>
    <row r="45" spans="2:28" x14ac:dyDescent="0.2">
      <c r="B45" s="20" t="s">
        <v>78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118" t="e">
        <f t="shared" si="50"/>
        <v>#DIV/0!</v>
      </c>
      <c r="Q45" s="31">
        <v>0.1</v>
      </c>
      <c r="R45" s="119">
        <f t="shared" si="51"/>
        <v>0</v>
      </c>
      <c r="S45" s="119">
        <f t="shared" si="52"/>
        <v>0</v>
      </c>
      <c r="T45" s="119">
        <f t="shared" si="52"/>
        <v>0</v>
      </c>
      <c r="U45" s="119">
        <f t="shared" si="52"/>
        <v>0</v>
      </c>
      <c r="V45" s="119">
        <f t="shared" si="52"/>
        <v>0</v>
      </c>
      <c r="W45" s="119">
        <f t="shared" si="52"/>
        <v>0</v>
      </c>
      <c r="X45" s="119">
        <f t="shared" si="52"/>
        <v>0</v>
      </c>
      <c r="Y45" s="119">
        <f t="shared" si="52"/>
        <v>0</v>
      </c>
      <c r="Z45" s="119">
        <f t="shared" si="52"/>
        <v>0</v>
      </c>
      <c r="AA45" s="119">
        <f t="shared" si="52"/>
        <v>0</v>
      </c>
      <c r="AB45" s="118" t="e">
        <f>((AA45/N45)^(1/($AA$4-$H$2) ))-1</f>
        <v>#DIV/0!</v>
      </c>
    </row>
    <row r="46" spans="2:28" x14ac:dyDescent="0.2">
      <c r="B46" s="20" t="s">
        <v>79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118" t="e">
        <f t="shared" si="50"/>
        <v>#DIV/0!</v>
      </c>
      <c r="Q46" s="31">
        <v>0.1</v>
      </c>
      <c r="R46" s="119">
        <f t="shared" si="51"/>
        <v>0</v>
      </c>
      <c r="S46" s="119">
        <f t="shared" si="52"/>
        <v>0</v>
      </c>
      <c r="T46" s="119">
        <f t="shared" si="52"/>
        <v>0</v>
      </c>
      <c r="U46" s="119">
        <f t="shared" si="52"/>
        <v>0</v>
      </c>
      <c r="V46" s="119">
        <f t="shared" si="52"/>
        <v>0</v>
      </c>
      <c r="W46" s="119">
        <f t="shared" si="52"/>
        <v>0</v>
      </c>
      <c r="X46" s="119">
        <f t="shared" si="52"/>
        <v>0</v>
      </c>
      <c r="Y46" s="119">
        <f t="shared" si="52"/>
        <v>0</v>
      </c>
      <c r="Z46" s="119">
        <f t="shared" si="52"/>
        <v>0</v>
      </c>
      <c r="AA46" s="119">
        <f t="shared" si="52"/>
        <v>0</v>
      </c>
      <c r="AB46" s="118" t="e">
        <f>((AA46/N46)^(1/($AA$4-$H$2) ))-1</f>
        <v>#DIV/0!</v>
      </c>
    </row>
    <row r="47" spans="2:28" x14ac:dyDescent="0.2">
      <c r="B47" s="20" t="s">
        <v>80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118" t="e">
        <f t="shared" si="50"/>
        <v>#DIV/0!</v>
      </c>
      <c r="Q47" s="31">
        <v>0.1</v>
      </c>
      <c r="R47" s="119">
        <f t="shared" si="51"/>
        <v>0</v>
      </c>
      <c r="S47" s="119">
        <f t="shared" si="52"/>
        <v>0</v>
      </c>
      <c r="T47" s="119">
        <f t="shared" si="52"/>
        <v>0</v>
      </c>
      <c r="U47" s="119">
        <f t="shared" si="52"/>
        <v>0</v>
      </c>
      <c r="V47" s="119">
        <f t="shared" si="52"/>
        <v>0</v>
      </c>
      <c r="W47" s="119">
        <f t="shared" si="52"/>
        <v>0</v>
      </c>
      <c r="X47" s="119">
        <f t="shared" si="52"/>
        <v>0</v>
      </c>
      <c r="Y47" s="119">
        <f t="shared" si="52"/>
        <v>0</v>
      </c>
      <c r="Z47" s="119">
        <f t="shared" si="52"/>
        <v>0</v>
      </c>
      <c r="AA47" s="119">
        <f t="shared" si="52"/>
        <v>0</v>
      </c>
      <c r="AB47" s="118" t="e">
        <f>((AA47/N47)^(1/($AA$4-$H$2) ))-1</f>
        <v>#DIV/0!</v>
      </c>
    </row>
    <row r="48" spans="2:28" x14ac:dyDescent="0.2"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spans="2:28" x14ac:dyDescent="0.2"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spans="2:28" x14ac:dyDescent="0.2">
      <c r="B50" s="108" t="s">
        <v>244</v>
      </c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3"/>
      <c r="Q50" s="23"/>
      <c r="R50" s="122" t="s">
        <v>66</v>
      </c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spans="2:28" x14ac:dyDescent="0.2">
      <c r="B51" s="20" t="s">
        <v>25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121">
        <f>PV($C$2, ($AA$4-$R$4), 0, -AA26)</f>
        <v>10.622526963710243</v>
      </c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spans="2:28" x14ac:dyDescent="0.2">
      <c r="B52" s="20" t="s">
        <v>276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121">
        <f>PV($C$2, ($AA$4-$R$4), 0, -AA27)</f>
        <v>3.1560632463002753</v>
      </c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spans="2:28" x14ac:dyDescent="0.2">
      <c r="B53" s="20" t="s">
        <v>277</v>
      </c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121">
        <f>PV($C$2, ($AA$4-$R$4), 0, -AA28)</f>
        <v>71.921146623670651</v>
      </c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spans="2:28" x14ac:dyDescent="0.2">
      <c r="B54" s="20" t="s">
        <v>278</v>
      </c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121">
        <f>PV($C$2, ($AA$4-$R$4), 0, -AA29)</f>
        <v>0.79502975244018848</v>
      </c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spans="2:28" x14ac:dyDescent="0.2">
      <c r="B55" s="20" t="s">
        <v>279</v>
      </c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121">
        <f>PV($C$2, ($AA$4-$R$4), 0, -AA34)</f>
        <v>6.11791162316187</v>
      </c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spans="2:28" x14ac:dyDescent="0.2"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121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spans="2:28" x14ac:dyDescent="0.2">
      <c r="B57" s="20" t="s">
        <v>274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121">
        <f>PV($C$2, ($AA$4-$R$4), 0, -AA31)</f>
        <v>75.443178220075851</v>
      </c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spans="2:28" x14ac:dyDescent="0.2">
      <c r="B58" s="20" t="s">
        <v>275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121">
        <f>PV($C$2, ($AA$4-$R$4), 0, -AA32)</f>
        <v>59.861258980183393</v>
      </c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spans="2:28" x14ac:dyDescent="0.2"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121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spans="2:28" x14ac:dyDescent="0.2">
      <c r="B60" s="20" t="s">
        <v>249</v>
      </c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121">
        <f>PV($C$2, ($AA$4-$R$4), 0, -AA37)</f>
        <v>55.668680369194</v>
      </c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spans="2:28" x14ac:dyDescent="0.2"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121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spans="2:28" x14ac:dyDescent="0.2">
      <c r="B62" s="20" t="s">
        <v>250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121">
        <f>PV($C$2, ($AA$4-$R$4), 0, -AA38)</f>
        <v>40.086761129301536</v>
      </c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spans="2:28" x14ac:dyDescent="0.2"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121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spans="2:28" x14ac:dyDescent="0.2">
      <c r="B64" s="108" t="s">
        <v>251</v>
      </c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spans="2:28" x14ac:dyDescent="0.2">
      <c r="B65" s="20" t="s">
        <v>204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>
        <v>455</v>
      </c>
      <c r="N65" s="22">
        <v>115</v>
      </c>
      <c r="O65" s="22">
        <v>1200</v>
      </c>
      <c r="P65" s="118">
        <f t="shared" ref="P65:P69" si="53">((O65/M65)^(1/($H$3-$H$2) ))-1</f>
        <v>1.6373626373626373</v>
      </c>
      <c r="Q65" s="31">
        <v>0.1</v>
      </c>
      <c r="R65" s="119">
        <f t="shared" ref="R65:R69" si="54">O65*(1+$Q65)</f>
        <v>1320</v>
      </c>
      <c r="S65" s="119">
        <f t="shared" ref="S65:AA69" si="55">R65*(1+$Q65)</f>
        <v>1452.0000000000002</v>
      </c>
      <c r="T65" s="119">
        <f t="shared" si="55"/>
        <v>1597.2000000000003</v>
      </c>
      <c r="U65" s="119">
        <f t="shared" si="55"/>
        <v>1756.9200000000005</v>
      </c>
      <c r="V65" s="119">
        <f t="shared" si="55"/>
        <v>1932.6120000000008</v>
      </c>
      <c r="W65" s="119">
        <f t="shared" si="55"/>
        <v>2125.8732000000009</v>
      </c>
      <c r="X65" s="119">
        <f t="shared" si="55"/>
        <v>2338.460520000001</v>
      </c>
      <c r="Y65" s="119">
        <f t="shared" si="55"/>
        <v>2572.3065720000013</v>
      </c>
      <c r="Z65" s="119">
        <f t="shared" si="55"/>
        <v>2829.5372292000015</v>
      </c>
      <c r="AA65" s="119">
        <f t="shared" si="55"/>
        <v>3112.490952120002</v>
      </c>
      <c r="AB65" s="118">
        <f t="shared" ref="AB65:AB69" si="56">((AA65/M65)^(1/($AA$4-$H$2) ))-1</f>
        <v>0.19101678463912952</v>
      </c>
    </row>
    <row r="66" spans="2:28" x14ac:dyDescent="0.2">
      <c r="B66" s="20" t="s">
        <v>42</v>
      </c>
      <c r="C66" s="25" t="e">
        <f>C65/C26</f>
        <v>#DIV/0!</v>
      </c>
      <c r="D66" s="25" t="e">
        <f t="shared" ref="D66:O66" si="57">D65/D26</f>
        <v>#DIV/0!</v>
      </c>
      <c r="E66" s="25" t="e">
        <f t="shared" si="57"/>
        <v>#DIV/0!</v>
      </c>
      <c r="F66" s="25" t="e">
        <f t="shared" si="57"/>
        <v>#DIV/0!</v>
      </c>
      <c r="G66" s="25" t="e">
        <f t="shared" si="57"/>
        <v>#DIV/0!</v>
      </c>
      <c r="H66" s="25" t="e">
        <f t="shared" si="57"/>
        <v>#DIV/0!</v>
      </c>
      <c r="I66" s="25" t="e">
        <f t="shared" si="57"/>
        <v>#DIV/0!</v>
      </c>
      <c r="J66" s="25" t="e">
        <f t="shared" si="57"/>
        <v>#DIV/0!</v>
      </c>
      <c r="K66" s="25" t="e">
        <f t="shared" si="57"/>
        <v>#DIV/0!</v>
      </c>
      <c r="L66" s="25" t="e">
        <f t="shared" si="57"/>
        <v>#DIV/0!</v>
      </c>
      <c r="M66" s="25" t="e">
        <f t="shared" si="57"/>
        <v>#DIV/0!</v>
      </c>
      <c r="N66" s="25">
        <f t="shared" si="57"/>
        <v>4.4254912663755457</v>
      </c>
      <c r="O66" s="25">
        <f t="shared" si="57"/>
        <v>48.9375</v>
      </c>
      <c r="P66" s="118" t="e">
        <f t="shared" si="53"/>
        <v>#DIV/0!</v>
      </c>
      <c r="Q66" s="31">
        <v>0.1</v>
      </c>
      <c r="R66" s="119">
        <f t="shared" si="54"/>
        <v>53.831250000000004</v>
      </c>
      <c r="S66" s="119">
        <f t="shared" si="55"/>
        <v>59.214375000000011</v>
      </c>
      <c r="T66" s="119">
        <f t="shared" si="55"/>
        <v>65.135812500000014</v>
      </c>
      <c r="U66" s="119">
        <f t="shared" si="55"/>
        <v>71.649393750000016</v>
      </c>
      <c r="V66" s="119">
        <f t="shared" si="55"/>
        <v>78.814333125000019</v>
      </c>
      <c r="W66" s="119">
        <f t="shared" si="55"/>
        <v>86.695766437500026</v>
      </c>
      <c r="X66" s="119">
        <f t="shared" si="55"/>
        <v>95.365343081250032</v>
      </c>
      <c r="Y66" s="119">
        <f t="shared" si="55"/>
        <v>104.90187738937504</v>
      </c>
      <c r="Z66" s="119">
        <f t="shared" si="55"/>
        <v>115.39206512831255</v>
      </c>
      <c r="AA66" s="119">
        <f t="shared" si="55"/>
        <v>126.93127164114382</v>
      </c>
      <c r="AB66" s="118" t="e">
        <f t="shared" si="56"/>
        <v>#DIV/0!</v>
      </c>
    </row>
    <row r="67" spans="2:28" x14ac:dyDescent="0.2">
      <c r="B67" s="20" t="s">
        <v>259</v>
      </c>
      <c r="C67" s="25" t="e">
        <f>C65/C28</f>
        <v>#DIV/0!</v>
      </c>
      <c r="D67" s="25" t="e">
        <f t="shared" ref="D67:O67" si="58">D65/D28</f>
        <v>#DIV/0!</v>
      </c>
      <c r="E67" s="25" t="e">
        <f t="shared" si="58"/>
        <v>#DIV/0!</v>
      </c>
      <c r="F67" s="25" t="e">
        <f t="shared" si="58"/>
        <v>#DIV/0!</v>
      </c>
      <c r="G67" s="25" t="e">
        <f t="shared" si="58"/>
        <v>#DIV/0!</v>
      </c>
      <c r="H67" s="25" t="e">
        <f t="shared" si="58"/>
        <v>#DIV/0!</v>
      </c>
      <c r="I67" s="25" t="e">
        <f t="shared" si="58"/>
        <v>#DIV/0!</v>
      </c>
      <c r="J67" s="25" t="e">
        <f t="shared" si="58"/>
        <v>#DIV/0!</v>
      </c>
      <c r="K67" s="25" t="e">
        <f t="shared" si="58"/>
        <v>#DIV/0!</v>
      </c>
      <c r="L67" s="25" t="e">
        <f t="shared" si="58"/>
        <v>#DIV/0!</v>
      </c>
      <c r="M67" s="25" t="e">
        <f t="shared" si="58"/>
        <v>#DIV/0!</v>
      </c>
      <c r="N67" s="25">
        <f t="shared" si="58"/>
        <v>0.81310801323839133</v>
      </c>
      <c r="O67" s="25">
        <f t="shared" si="58"/>
        <v>7.2279147050678487</v>
      </c>
      <c r="P67" s="118" t="e">
        <f t="shared" si="53"/>
        <v>#DIV/0!</v>
      </c>
      <c r="Q67" s="31">
        <v>0.1</v>
      </c>
      <c r="R67" s="119">
        <f t="shared" si="54"/>
        <v>7.9507061755746342</v>
      </c>
      <c r="S67" s="119">
        <f t="shared" si="55"/>
        <v>8.745776793132098</v>
      </c>
      <c r="T67" s="119">
        <f t="shared" si="55"/>
        <v>9.6203544724453085</v>
      </c>
      <c r="U67" s="119">
        <f t="shared" si="55"/>
        <v>10.58238991968984</v>
      </c>
      <c r="V67" s="119">
        <f t="shared" si="55"/>
        <v>11.640628911658824</v>
      </c>
      <c r="W67" s="119">
        <f t="shared" si="55"/>
        <v>12.804691802824708</v>
      </c>
      <c r="X67" s="119">
        <f t="shared" si="55"/>
        <v>14.08516098310718</v>
      </c>
      <c r="Y67" s="119">
        <f t="shared" si="55"/>
        <v>15.4936770814179</v>
      </c>
      <c r="Z67" s="119">
        <f t="shared" si="55"/>
        <v>17.043044789559691</v>
      </c>
      <c r="AA67" s="119">
        <f t="shared" si="55"/>
        <v>18.747349268515663</v>
      </c>
      <c r="AB67" s="118" t="e">
        <f t="shared" si="56"/>
        <v>#DIV/0!</v>
      </c>
    </row>
    <row r="68" spans="2:28" x14ac:dyDescent="0.2">
      <c r="B68" s="20" t="s">
        <v>260</v>
      </c>
      <c r="C68" s="130" t="e">
        <f>C65/C36</f>
        <v>#DIV/0!</v>
      </c>
      <c r="D68" s="130" t="e">
        <f t="shared" ref="D68:O68" si="59">D65/D36</f>
        <v>#DIV/0!</v>
      </c>
      <c r="E68" s="130" t="e">
        <f t="shared" si="59"/>
        <v>#DIV/0!</v>
      </c>
      <c r="F68" s="130" t="e">
        <f t="shared" si="59"/>
        <v>#DIV/0!</v>
      </c>
      <c r="G68" s="130" t="e">
        <f t="shared" si="59"/>
        <v>#DIV/0!</v>
      </c>
      <c r="H68" s="130" t="e">
        <f t="shared" si="59"/>
        <v>#DIV/0!</v>
      </c>
      <c r="I68" s="130" t="e">
        <f t="shared" si="59"/>
        <v>#DIV/0!</v>
      </c>
      <c r="J68" s="130" t="e">
        <f t="shared" si="59"/>
        <v>#DIV/0!</v>
      </c>
      <c r="K68" s="130" t="e">
        <f t="shared" si="59"/>
        <v>#DIV/0!</v>
      </c>
      <c r="L68" s="130" t="e">
        <f t="shared" si="59"/>
        <v>#DIV/0!</v>
      </c>
      <c r="M68" s="25" t="e">
        <f t="shared" si="59"/>
        <v>#DIV/0!</v>
      </c>
      <c r="N68" s="25">
        <f t="shared" si="59"/>
        <v>1.7618297386863693</v>
      </c>
      <c r="O68" s="25">
        <f t="shared" si="59"/>
        <v>16.978370466742557</v>
      </c>
      <c r="P68" s="118" t="e">
        <f t="shared" si="53"/>
        <v>#DIV/0!</v>
      </c>
      <c r="Q68" s="31">
        <v>0.1</v>
      </c>
      <c r="R68" s="119">
        <f t="shared" si="54"/>
        <v>18.676207513416816</v>
      </c>
      <c r="S68" s="119">
        <f t="shared" si="55"/>
        <v>20.543828264758499</v>
      </c>
      <c r="T68" s="119">
        <f t="shared" si="55"/>
        <v>22.598211091234351</v>
      </c>
      <c r="U68" s="119">
        <f t="shared" si="55"/>
        <v>24.858032200357787</v>
      </c>
      <c r="V68" s="119">
        <f t="shared" si="55"/>
        <v>27.343835420393567</v>
      </c>
      <c r="W68" s="119">
        <f t="shared" si="55"/>
        <v>30.078218962432928</v>
      </c>
      <c r="X68" s="119">
        <f t="shared" si="55"/>
        <v>33.08604085867622</v>
      </c>
      <c r="Y68" s="119">
        <f t="shared" si="55"/>
        <v>36.394644944543849</v>
      </c>
      <c r="Z68" s="119">
        <f t="shared" si="55"/>
        <v>40.034109438998236</v>
      </c>
      <c r="AA68" s="119">
        <f t="shared" si="55"/>
        <v>44.037520382898066</v>
      </c>
      <c r="AB68" s="118" t="e">
        <f t="shared" si="56"/>
        <v>#DIV/0!</v>
      </c>
    </row>
    <row r="69" spans="2:28" x14ac:dyDescent="0.2">
      <c r="B69" s="20" t="s">
        <v>261</v>
      </c>
      <c r="C69" s="130" t="e">
        <f>C65/C38</f>
        <v>#DIV/0!</v>
      </c>
      <c r="D69" s="130" t="e">
        <f t="shared" ref="D69:O69" si="60">D65/D38</f>
        <v>#DIV/0!</v>
      </c>
      <c r="E69" s="130" t="e">
        <f t="shared" si="60"/>
        <v>#DIV/0!</v>
      </c>
      <c r="F69" s="130" t="e">
        <f t="shared" si="60"/>
        <v>#DIV/0!</v>
      </c>
      <c r="G69" s="130" t="e">
        <f t="shared" si="60"/>
        <v>#DIV/0!</v>
      </c>
      <c r="H69" s="130" t="e">
        <f t="shared" si="60"/>
        <v>#DIV/0!</v>
      </c>
      <c r="I69" s="130" t="e">
        <f t="shared" si="60"/>
        <v>#DIV/0!</v>
      </c>
      <c r="J69" s="130" t="e">
        <f t="shared" si="60"/>
        <v>#DIV/0!</v>
      </c>
      <c r="K69" s="130" t="e">
        <f t="shared" si="60"/>
        <v>#DIV/0!</v>
      </c>
      <c r="L69" s="130" t="e">
        <f t="shared" si="60"/>
        <v>#DIV/0!</v>
      </c>
      <c r="M69" s="25" t="e">
        <f t="shared" si="60"/>
        <v>#DIV/0!</v>
      </c>
      <c r="N69" s="25">
        <f t="shared" si="60"/>
        <v>1.5031982942430706</v>
      </c>
      <c r="O69" s="25">
        <f t="shared" si="60"/>
        <v>12.967870155680689</v>
      </c>
      <c r="P69" s="118" t="e">
        <f t="shared" si="53"/>
        <v>#DIV/0!</v>
      </c>
      <c r="Q69" s="31">
        <v>0.1</v>
      </c>
      <c r="R69" s="119">
        <f t="shared" si="54"/>
        <v>14.264657171248759</v>
      </c>
      <c r="S69" s="119">
        <f t="shared" si="55"/>
        <v>15.691122888373636</v>
      </c>
      <c r="T69" s="119">
        <f t="shared" si="55"/>
        <v>17.260235177211001</v>
      </c>
      <c r="U69" s="119">
        <f t="shared" si="55"/>
        <v>18.986258694932104</v>
      </c>
      <c r="V69" s="119">
        <f t="shared" si="55"/>
        <v>20.884884564425317</v>
      </c>
      <c r="W69" s="119">
        <f t="shared" si="55"/>
        <v>22.97337302086785</v>
      </c>
      <c r="X69" s="119">
        <f t="shared" si="55"/>
        <v>25.270710322954638</v>
      </c>
      <c r="Y69" s="119">
        <f t="shared" si="55"/>
        <v>27.797781355250105</v>
      </c>
      <c r="Z69" s="119">
        <f t="shared" si="55"/>
        <v>30.577559490775119</v>
      </c>
      <c r="AA69" s="119">
        <f t="shared" si="55"/>
        <v>33.635315439852633</v>
      </c>
      <c r="AB69" s="118" t="e">
        <f t="shared" si="56"/>
        <v>#DIV/0!</v>
      </c>
    </row>
    <row r="70" spans="2:28" x14ac:dyDescent="0.2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spans="2:28" x14ac:dyDescent="0.2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spans="2:28" x14ac:dyDescent="0.2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spans="2:28" x14ac:dyDescent="0.2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spans="2:28" x14ac:dyDescent="0.2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</sheetData>
  <pageMargins left="0.7" right="0.7" top="0.75" bottom="0.75" header="0.3" footer="0.3"/>
  <pageSetup orientation="portrait" r:id="rId1"/>
  <ignoredErrors>
    <ignoredError sqref="C66 R41:AA47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35" t="s">
        <v>27</v>
      </c>
      <c r="K5" s="135"/>
      <c r="M5" s="135" t="s">
        <v>65</v>
      </c>
      <c r="N5" s="135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35" t="s">
        <v>36</v>
      </c>
      <c r="K14" s="135"/>
      <c r="L14" s="135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D20" sqref="D2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R5" s="135" t="s">
        <v>27</v>
      </c>
      <c r="S5" s="135"/>
    </row>
    <row r="6" spans="2:20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R14" s="135" t="s">
        <v>36</v>
      </c>
      <c r="S14" s="135"/>
      <c r="T14" s="135"/>
    </row>
    <row r="15" spans="2:20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B1" zoomScale="80" zoomScaleNormal="80" workbookViewId="0">
      <selection activeCell="C33" sqref="C33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zoomScale="90" zoomScaleNormal="90" workbookViewId="0">
      <selection activeCell="C7" sqref="C7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135" t="s">
        <v>27</v>
      </c>
      <c r="C2" s="135"/>
      <c r="E2" s="135" t="s">
        <v>65</v>
      </c>
      <c r="F2" s="135"/>
      <c r="H2" s="139" t="s">
        <v>36</v>
      </c>
      <c r="I2" s="140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136" t="s">
        <v>68</v>
      </c>
      <c r="E10" s="137"/>
      <c r="F10" s="137"/>
      <c r="G10" s="137"/>
      <c r="H10" s="138"/>
      <c r="I10" s="136" t="s">
        <v>72</v>
      </c>
      <c r="J10" s="137"/>
      <c r="K10" s="137"/>
      <c r="L10" s="138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Sheet1</vt:lpstr>
      <vt:lpstr>IOB</vt:lpstr>
      <vt:lpstr>BV calc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2012-11-29T17:16:14Z</dcterms:modified>
</cp:coreProperties>
</file>
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B191" i="18" l="1"/>
  <c r="AE203" i="18"/>
  <c r="AE200" i="18"/>
  <c r="AE202" i="18"/>
  <c r="AE201" i="18"/>
  <c r="AE198" i="18"/>
  <c r="AE197" i="18"/>
  <c r="AE196" i="18"/>
  <c r="AE195" i="18"/>
  <c r="AE190" i="18"/>
  <c r="AE193" i="18"/>
  <c r="AE192" i="18"/>
  <c r="AE191" i="18"/>
  <c r="AE188" i="18"/>
  <c r="AE187" i="18"/>
  <c r="AE184" i="18"/>
  <c r="AE183" i="18"/>
  <c r="AE186" i="18"/>
  <c r="AE185" i="18"/>
  <c r="AE182" i="18"/>
  <c r="AE181" i="18"/>
  <c r="AE180" i="18"/>
  <c r="AE179" i="18"/>
  <c r="AE178" i="18"/>
  <c r="AE177" i="18"/>
  <c r="AF200" i="18"/>
  <c r="AF201" i="18" l="1"/>
  <c r="T42" i="18"/>
  <c r="Q188" i="18"/>
  <c r="P188" i="18"/>
  <c r="O188" i="18"/>
  <c r="N188" i="18"/>
  <c r="M188" i="18"/>
  <c r="L188" i="18"/>
  <c r="K188" i="18"/>
  <c r="J188" i="18"/>
  <c r="I188" i="18"/>
  <c r="H188" i="18"/>
  <c r="G188" i="18"/>
  <c r="R188" i="18" l="1"/>
  <c r="Q45" i="18"/>
  <c r="P45" i="18"/>
  <c r="O45" i="18"/>
  <c r="N45" i="18"/>
  <c r="M45" i="18"/>
  <c r="L45" i="18"/>
  <c r="K45" i="18"/>
  <c r="J45" i="18"/>
  <c r="I45" i="18"/>
  <c r="H45" i="18"/>
  <c r="G45" i="18"/>
  <c r="Q43" i="18"/>
  <c r="P43" i="18"/>
  <c r="O43" i="18"/>
  <c r="N43" i="18"/>
  <c r="M43" i="18"/>
  <c r="L43" i="18"/>
  <c r="K43" i="18"/>
  <c r="J43" i="18"/>
  <c r="I43" i="18"/>
  <c r="H43" i="18"/>
  <c r="G43" i="18"/>
  <c r="Q41" i="18"/>
  <c r="P41" i="18"/>
  <c r="O41" i="18"/>
  <c r="N41" i="18"/>
  <c r="M41" i="18"/>
  <c r="L41" i="18"/>
  <c r="K41" i="18"/>
  <c r="J41" i="18"/>
  <c r="I41" i="18"/>
  <c r="H41" i="18"/>
  <c r="G41" i="18"/>
  <c r="Q39" i="18"/>
  <c r="P39" i="18"/>
  <c r="O39" i="18"/>
  <c r="N39" i="18"/>
  <c r="M39" i="18"/>
  <c r="L39" i="18"/>
  <c r="K39" i="18"/>
  <c r="J39" i="18"/>
  <c r="I39" i="18"/>
  <c r="H39" i="18"/>
  <c r="G39" i="18"/>
  <c r="Q37" i="18"/>
  <c r="P37" i="18"/>
  <c r="O37" i="18"/>
  <c r="N37" i="18"/>
  <c r="M37" i="18"/>
  <c r="L37" i="18"/>
  <c r="K37" i="18"/>
  <c r="J37" i="18"/>
  <c r="I37" i="18"/>
  <c r="H37" i="18"/>
  <c r="G37" i="18"/>
  <c r="Q30" i="18"/>
  <c r="P30" i="18"/>
  <c r="O30" i="18"/>
  <c r="N30" i="18"/>
  <c r="M30" i="18"/>
  <c r="L30" i="18"/>
  <c r="K30" i="18"/>
  <c r="J30" i="18"/>
  <c r="I30" i="18"/>
  <c r="H30" i="18"/>
  <c r="G30" i="18"/>
  <c r="Q28" i="18"/>
  <c r="P28" i="18"/>
  <c r="O28" i="18"/>
  <c r="N28" i="18"/>
  <c r="M28" i="18"/>
  <c r="L28" i="18"/>
  <c r="K28" i="18"/>
  <c r="J28" i="18"/>
  <c r="I28" i="18"/>
  <c r="H28" i="18"/>
  <c r="G28" i="18"/>
  <c r="Q26" i="18"/>
  <c r="P26" i="18"/>
  <c r="O26" i="18"/>
  <c r="N26" i="18"/>
  <c r="M26" i="18"/>
  <c r="L26" i="18"/>
  <c r="K26" i="18"/>
  <c r="J26" i="18"/>
  <c r="I26" i="18"/>
  <c r="H26" i="18"/>
  <c r="G26" i="18"/>
  <c r="Q11" i="18"/>
  <c r="P11" i="18"/>
  <c r="O11" i="18"/>
  <c r="N11" i="18"/>
  <c r="M11" i="18"/>
  <c r="L11" i="18"/>
  <c r="K11" i="18"/>
  <c r="J11" i="18"/>
  <c r="I11" i="18"/>
  <c r="H11" i="18"/>
  <c r="G11" i="18"/>
  <c r="Q8" i="18"/>
  <c r="P8" i="18"/>
  <c r="O8" i="18"/>
  <c r="N8" i="18"/>
  <c r="M8" i="18"/>
  <c r="L8" i="18"/>
  <c r="K8" i="18"/>
  <c r="J8" i="18"/>
  <c r="I8" i="18"/>
  <c r="H8" i="18"/>
  <c r="G8" i="18"/>
  <c r="Q87" i="18" l="1"/>
  <c r="P87" i="18"/>
  <c r="O87" i="18"/>
  <c r="N87" i="18"/>
  <c r="M87" i="18"/>
  <c r="L87" i="18"/>
  <c r="K87" i="18"/>
  <c r="J87" i="18"/>
  <c r="I87" i="18"/>
  <c r="H87" i="18"/>
  <c r="G87" i="18"/>
  <c r="S146" i="18" l="1"/>
  <c r="T196" i="18" s="1"/>
  <c r="Q146" i="18"/>
  <c r="T201" i="18" s="1"/>
  <c r="R87" i="18"/>
  <c r="C1" i="18"/>
  <c r="K201" i="18" l="1"/>
  <c r="K202" i="18" s="1"/>
  <c r="K203" i="18" s="1"/>
  <c r="T197" i="18"/>
  <c r="T198" i="18" s="1"/>
  <c r="T195" i="18"/>
  <c r="Q201" i="18"/>
  <c r="P201" i="18"/>
  <c r="P200" i="18" s="1"/>
  <c r="T202" i="18"/>
  <c r="T203" i="18" s="1"/>
  <c r="T200" i="18"/>
  <c r="O201" i="18"/>
  <c r="J201" i="18"/>
  <c r="I201" i="18"/>
  <c r="N201" i="18"/>
  <c r="H201" i="18"/>
  <c r="M201" i="18"/>
  <c r="G201" i="18"/>
  <c r="L201" i="18"/>
  <c r="P213" i="18"/>
  <c r="M196" i="18"/>
  <c r="P196" i="18"/>
  <c r="P195" i="18" s="1"/>
  <c r="L196" i="18"/>
  <c r="H196" i="18"/>
  <c r="O196" i="18"/>
  <c r="K196" i="18"/>
  <c r="G196" i="18"/>
  <c r="N196" i="18"/>
  <c r="J196" i="18"/>
  <c r="Q196" i="18"/>
  <c r="I196" i="18"/>
  <c r="AE56" i="18"/>
  <c r="AE55" i="18"/>
  <c r="AE53" i="18"/>
  <c r="G56" i="18"/>
  <c r="G181" i="18" s="1"/>
  <c r="H56" i="18"/>
  <c r="H181" i="18" s="1"/>
  <c r="I56" i="18"/>
  <c r="I181" i="18" s="1"/>
  <c r="J56" i="18"/>
  <c r="J181" i="18" s="1"/>
  <c r="K56" i="18"/>
  <c r="K181" i="18" s="1"/>
  <c r="L56" i="18"/>
  <c r="L181" i="18" s="1"/>
  <c r="M56" i="18"/>
  <c r="M181" i="18" s="1"/>
  <c r="N56" i="18"/>
  <c r="N181" i="18" s="1"/>
  <c r="O56" i="18"/>
  <c r="O181" i="18" s="1"/>
  <c r="P56" i="18"/>
  <c r="Q56" i="18"/>
  <c r="Q181" i="18" s="1"/>
  <c r="G55" i="18"/>
  <c r="G180" i="18" s="1"/>
  <c r="H55" i="18"/>
  <c r="H180" i="18" s="1"/>
  <c r="I55" i="18"/>
  <c r="I180" i="18" s="1"/>
  <c r="J55" i="18"/>
  <c r="J180" i="18" s="1"/>
  <c r="K55" i="18"/>
  <c r="K180" i="18" s="1"/>
  <c r="L55" i="18"/>
  <c r="L180" i="18" s="1"/>
  <c r="M55" i="18"/>
  <c r="M180" i="18" s="1"/>
  <c r="N55" i="18"/>
  <c r="N180" i="18" s="1"/>
  <c r="O55" i="18"/>
  <c r="O180" i="18" s="1"/>
  <c r="P55" i="18"/>
  <c r="P180" i="18" s="1"/>
  <c r="Q55" i="18"/>
  <c r="Q180" i="18" s="1"/>
  <c r="K200" i="18" l="1"/>
  <c r="P202" i="18"/>
  <c r="P203" i="18" s="1"/>
  <c r="J197" i="18"/>
  <c r="J198" i="18" s="1"/>
  <c r="J195" i="18"/>
  <c r="O197" i="18"/>
  <c r="O198" i="18" s="1"/>
  <c r="O195" i="18"/>
  <c r="M197" i="18"/>
  <c r="M198" i="18" s="1"/>
  <c r="M195" i="18"/>
  <c r="L202" i="18"/>
  <c r="L203" i="18" s="1"/>
  <c r="L200" i="18"/>
  <c r="N202" i="18"/>
  <c r="N203" i="18" s="1"/>
  <c r="N200" i="18"/>
  <c r="N197" i="18"/>
  <c r="N198" i="18" s="1"/>
  <c r="N195" i="18"/>
  <c r="H197" i="18"/>
  <c r="H198" i="18" s="1"/>
  <c r="H195" i="18"/>
  <c r="G202" i="18"/>
  <c r="G203" i="18" s="1"/>
  <c r="G200" i="18"/>
  <c r="R200" i="18" s="1"/>
  <c r="I202" i="18"/>
  <c r="I203" i="18" s="1"/>
  <c r="I200" i="18"/>
  <c r="I197" i="18"/>
  <c r="I198" i="18" s="1"/>
  <c r="I195" i="18"/>
  <c r="G197" i="18"/>
  <c r="G198" i="18" s="1"/>
  <c r="G195" i="18"/>
  <c r="L197" i="18"/>
  <c r="L198" i="18" s="1"/>
  <c r="L195" i="18"/>
  <c r="R201" i="18"/>
  <c r="M202" i="18"/>
  <c r="M203" i="18" s="1"/>
  <c r="M200" i="18"/>
  <c r="J202" i="18"/>
  <c r="J203" i="18" s="1"/>
  <c r="J200" i="18"/>
  <c r="Q197" i="18"/>
  <c r="Q198" i="18" s="1"/>
  <c r="Q195" i="18"/>
  <c r="K197" i="18"/>
  <c r="K198" i="18" s="1"/>
  <c r="K195" i="18"/>
  <c r="R195" i="18"/>
  <c r="H202" i="18"/>
  <c r="H203" i="18" s="1"/>
  <c r="H200" i="18"/>
  <c r="O202" i="18"/>
  <c r="O203" i="18" s="1"/>
  <c r="O200" i="18"/>
  <c r="Q202" i="18"/>
  <c r="Q203" i="18" s="1"/>
  <c r="Q200" i="18"/>
  <c r="P197" i="18"/>
  <c r="R196" i="18"/>
  <c r="R180" i="18"/>
  <c r="R56" i="18"/>
  <c r="P181" i="18"/>
  <c r="R181" i="18" s="1"/>
  <c r="R55" i="18"/>
  <c r="R203" i="18" l="1"/>
  <c r="R202" i="18"/>
  <c r="P198" i="18"/>
  <c r="R198" i="18" s="1"/>
  <c r="R197" i="18"/>
  <c r="G123" i="18"/>
  <c r="H123" i="18"/>
  <c r="I123" i="18"/>
  <c r="J123" i="18"/>
  <c r="K123" i="18"/>
  <c r="L123" i="18"/>
  <c r="M123" i="18"/>
  <c r="N123" i="18"/>
  <c r="O123" i="18"/>
  <c r="P123" i="18"/>
  <c r="Q123" i="18"/>
  <c r="Q122" i="18"/>
  <c r="R123" i="18" l="1"/>
  <c r="H230" i="18"/>
  <c r="H227" i="18"/>
  <c r="H228" i="18"/>
  <c r="H229" i="18"/>
  <c r="Q219" i="18" l="1"/>
  <c r="Q218" i="18"/>
  <c r="Q217" i="18"/>
  <c r="Q187" i="18"/>
  <c r="Q51" i="18"/>
  <c r="Q178" i="18" s="1"/>
  <c r="Q52" i="18"/>
  <c r="Q53" i="18"/>
  <c r="Q95" i="18" s="1"/>
  <c r="Q57" i="18"/>
  <c r="Q190" i="18" s="1"/>
  <c r="Q58" i="18"/>
  <c r="Q59" i="18"/>
  <c r="Q60" i="18"/>
  <c r="Q182" i="18" s="1"/>
  <c r="Q61" i="18"/>
  <c r="Q63" i="18"/>
  <c r="Q64" i="18"/>
  <c r="Q65" i="18"/>
  <c r="Q185" i="18" s="1"/>
  <c r="Q67" i="18"/>
  <c r="Q68" i="18"/>
  <c r="Q70" i="18"/>
  <c r="Q71" i="18"/>
  <c r="Q184" i="18" s="1"/>
  <c r="Q73" i="18"/>
  <c r="Q115" i="18" s="1"/>
  <c r="Q116" i="18" s="1"/>
  <c r="Q75" i="18"/>
  <c r="Q77" i="18" s="1"/>
  <c r="Q78" i="18"/>
  <c r="Q79" i="18"/>
  <c r="Q80" i="18"/>
  <c r="Q81" i="18"/>
  <c r="Q83" i="18"/>
  <c r="Q140" i="18" s="1"/>
  <c r="Q84" i="18"/>
  <c r="Q85" i="18"/>
  <c r="Q90" i="18"/>
  <c r="Q91" i="18"/>
  <c r="Q92" i="18"/>
  <c r="Q93" i="18"/>
  <c r="Q94" i="18"/>
  <c r="Q97" i="18"/>
  <c r="Q103" i="18" s="1"/>
  <c r="Q98" i="18"/>
  <c r="Q104" i="18" s="1"/>
  <c r="Q99" i="18"/>
  <c r="Q105" i="18" s="1"/>
  <c r="Q100" i="18"/>
  <c r="Q106" i="18" s="1"/>
  <c r="Q101" i="18"/>
  <c r="Q107" i="18" s="1"/>
  <c r="Q110" i="18"/>
  <c r="Q111" i="18"/>
  <c r="Q112" i="18"/>
  <c r="Q113" i="18"/>
  <c r="Q121" i="18"/>
  <c r="Q125" i="18"/>
  <c r="Q126" i="18"/>
  <c r="Q127" i="18"/>
  <c r="Q130" i="18"/>
  <c r="Q131" i="18"/>
  <c r="Q132" i="18"/>
  <c r="Q133" i="18"/>
  <c r="Q135" i="18"/>
  <c r="Q136" i="18"/>
  <c r="Q138" i="18"/>
  <c r="Q139" i="18" s="1"/>
  <c r="Q142" i="18"/>
  <c r="Q143" i="18"/>
  <c r="T17" i="18"/>
  <c r="T19" i="18"/>
  <c r="T24" i="18"/>
  <c r="T35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P214" i="18" l="1"/>
  <c r="Q179" i="18"/>
  <c r="Q69" i="18"/>
  <c r="Q183" i="18" s="1"/>
  <c r="Q117" i="18"/>
  <c r="Q118" i="18" s="1"/>
  <c r="Q119" i="18"/>
  <c r="H53" i="18"/>
  <c r="H95" i="18" s="1"/>
  <c r="I53" i="18"/>
  <c r="I95" i="18" s="1"/>
  <c r="J53" i="18"/>
  <c r="J95" i="18" s="1"/>
  <c r="K53" i="18"/>
  <c r="K95" i="18" s="1"/>
  <c r="L53" i="18"/>
  <c r="L95" i="18" s="1"/>
  <c r="M53" i="18"/>
  <c r="M95" i="18" s="1"/>
  <c r="N53" i="18"/>
  <c r="N95" i="18" s="1"/>
  <c r="O53" i="18"/>
  <c r="O95" i="18" s="1"/>
  <c r="P53" i="18"/>
  <c r="P95" i="18" s="1"/>
  <c r="G53" i="18"/>
  <c r="G95" i="18" s="1"/>
  <c r="Q192" i="18" l="1"/>
  <c r="Q193" i="18" s="1"/>
  <c r="Q191" i="18"/>
  <c r="H214" i="18"/>
  <c r="R95" i="18"/>
  <c r="R53" i="18"/>
  <c r="S44" i="18"/>
  <c r="T44" i="18" s="1"/>
  <c r="K210" i="18" l="1"/>
  <c r="K209" i="18"/>
  <c r="K208" i="18"/>
  <c r="K207" i="18"/>
  <c r="AE38" i="18" l="1"/>
  <c r="S38" i="18"/>
  <c r="T38" i="18" l="1"/>
  <c r="U38" i="18" l="1"/>
  <c r="K214" i="18"/>
  <c r="T214" i="18" s="1"/>
  <c r="T215" i="18" s="1"/>
  <c r="K213" i="18"/>
  <c r="V38" i="18" l="1"/>
  <c r="U228" i="18"/>
  <c r="U229" i="18" s="1"/>
  <c r="D226" i="18"/>
  <c r="G240" i="18" s="1"/>
  <c r="K240" i="18" s="1"/>
  <c r="H226" i="18"/>
  <c r="L110" i="18"/>
  <c r="J110" i="18"/>
  <c r="H110" i="18"/>
  <c r="G110" i="18"/>
  <c r="I110" i="18"/>
  <c r="K110" i="18"/>
  <c r="M110" i="18"/>
  <c r="N110" i="18"/>
  <c r="O110" i="18"/>
  <c r="P110" i="18"/>
  <c r="H143" i="18"/>
  <c r="I143" i="18"/>
  <c r="J143" i="18"/>
  <c r="K143" i="18"/>
  <c r="L143" i="18"/>
  <c r="M143" i="18"/>
  <c r="N143" i="18"/>
  <c r="O143" i="18"/>
  <c r="P143" i="18"/>
  <c r="H142" i="18"/>
  <c r="I142" i="18"/>
  <c r="J142" i="18"/>
  <c r="K142" i="18"/>
  <c r="L142" i="18"/>
  <c r="M142" i="18"/>
  <c r="N142" i="18"/>
  <c r="O142" i="18"/>
  <c r="P142" i="18"/>
  <c r="G244" i="18"/>
  <c r="G245" i="18" s="1"/>
  <c r="AE58" i="18"/>
  <c r="H58" i="18"/>
  <c r="I58" i="18"/>
  <c r="J58" i="18"/>
  <c r="K58" i="18"/>
  <c r="L58" i="18"/>
  <c r="M58" i="18"/>
  <c r="N58" i="18"/>
  <c r="O58" i="18"/>
  <c r="P58" i="18"/>
  <c r="G58" i="18"/>
  <c r="H235" i="18"/>
  <c r="D234" i="18"/>
  <c r="G241" i="18" s="1"/>
  <c r="K241" i="18" s="1"/>
  <c r="H233" i="18"/>
  <c r="I233" i="18" s="1"/>
  <c r="J233" i="18" s="1"/>
  <c r="J234" i="18" s="1"/>
  <c r="H231" i="18"/>
  <c r="H225" i="18"/>
  <c r="H224" i="18"/>
  <c r="I224" i="18" s="1"/>
  <c r="J224" i="18" s="1"/>
  <c r="W38" i="18" l="1"/>
  <c r="G246" i="18"/>
  <c r="G243" i="18"/>
  <c r="D236" i="18"/>
  <c r="K244" i="18"/>
  <c r="R58" i="18"/>
  <c r="K243" i="18"/>
  <c r="I225" i="18"/>
  <c r="J225" i="18" s="1"/>
  <c r="I235" i="18"/>
  <c r="J235" i="18" s="1"/>
  <c r="J236" i="18" s="1"/>
  <c r="H94" i="18"/>
  <c r="I94" i="18"/>
  <c r="J94" i="18"/>
  <c r="K94" i="18"/>
  <c r="L94" i="18"/>
  <c r="M94" i="18"/>
  <c r="N94" i="18"/>
  <c r="O94" i="18"/>
  <c r="P94" i="18"/>
  <c r="G94" i="18"/>
  <c r="G143" i="18"/>
  <c r="G142" i="18"/>
  <c r="AE14" i="18"/>
  <c r="S14" i="18"/>
  <c r="U225" i="18"/>
  <c r="U224" i="18"/>
  <c r="O225" i="18"/>
  <c r="O228" i="18" s="1"/>
  <c r="O224" i="18"/>
  <c r="H101" i="18"/>
  <c r="H107" i="18" s="1"/>
  <c r="I101" i="18"/>
  <c r="I107" i="18" s="1"/>
  <c r="J101" i="18"/>
  <c r="J107" i="18" s="1"/>
  <c r="K101" i="18"/>
  <c r="K107" i="18" s="1"/>
  <c r="L101" i="18"/>
  <c r="L107" i="18" s="1"/>
  <c r="M101" i="18"/>
  <c r="M107" i="18" s="1"/>
  <c r="N101" i="18"/>
  <c r="N107" i="18" s="1"/>
  <c r="O101" i="18"/>
  <c r="O107" i="18" s="1"/>
  <c r="P101" i="18"/>
  <c r="P107" i="18" s="1"/>
  <c r="G101" i="18"/>
  <c r="G107" i="18" s="1"/>
  <c r="H98" i="18"/>
  <c r="H104" i="18" s="1"/>
  <c r="I98" i="18"/>
  <c r="I104" i="18" s="1"/>
  <c r="J98" i="18"/>
  <c r="J104" i="18" s="1"/>
  <c r="K98" i="18"/>
  <c r="K104" i="18" s="1"/>
  <c r="L98" i="18"/>
  <c r="L104" i="18" s="1"/>
  <c r="M98" i="18"/>
  <c r="M104" i="18" s="1"/>
  <c r="N98" i="18"/>
  <c r="N104" i="18" s="1"/>
  <c r="O98" i="18"/>
  <c r="O104" i="18" s="1"/>
  <c r="P98" i="18"/>
  <c r="P104" i="18" s="1"/>
  <c r="G98" i="18"/>
  <c r="G104" i="18" s="1"/>
  <c r="H99" i="18"/>
  <c r="H105" i="18" s="1"/>
  <c r="I99" i="18"/>
  <c r="I105" i="18" s="1"/>
  <c r="J99" i="18"/>
  <c r="J105" i="18" s="1"/>
  <c r="K99" i="18"/>
  <c r="K105" i="18" s="1"/>
  <c r="L99" i="18"/>
  <c r="L105" i="18" s="1"/>
  <c r="M99" i="18"/>
  <c r="M105" i="18" s="1"/>
  <c r="N99" i="18"/>
  <c r="N105" i="18" s="1"/>
  <c r="O99" i="18"/>
  <c r="O105" i="18" s="1"/>
  <c r="P99" i="18"/>
  <c r="P105" i="18" s="1"/>
  <c r="G99" i="18"/>
  <c r="G105" i="18" s="1"/>
  <c r="H138" i="18"/>
  <c r="H139" i="18" s="1"/>
  <c r="I138" i="18"/>
  <c r="I139" i="18" s="1"/>
  <c r="J138" i="18"/>
  <c r="J139" i="18" s="1"/>
  <c r="K138" i="18"/>
  <c r="K139" i="18" s="1"/>
  <c r="L138" i="18"/>
  <c r="L139" i="18" s="1"/>
  <c r="M138" i="18"/>
  <c r="M139" i="18" s="1"/>
  <c r="N138" i="18"/>
  <c r="N139" i="18" s="1"/>
  <c r="O138" i="18"/>
  <c r="O139" i="18" s="1"/>
  <c r="P138" i="18"/>
  <c r="P139" i="18" s="1"/>
  <c r="G138" i="18"/>
  <c r="G139" i="18" s="1"/>
  <c r="X38" i="18" l="1"/>
  <c r="R107" i="18"/>
  <c r="R104" i="18"/>
  <c r="T14" i="18"/>
  <c r="U14" i="18" s="1"/>
  <c r="V14" i="18" s="1"/>
  <c r="W14" i="18" s="1"/>
  <c r="X14" i="18" s="1"/>
  <c r="Y14" i="18" s="1"/>
  <c r="Z14" i="18" s="1"/>
  <c r="AA14" i="18" s="1"/>
  <c r="AB14" i="18" s="1"/>
  <c r="AC14" i="18" s="1"/>
  <c r="R105" i="18"/>
  <c r="I226" i="18"/>
  <c r="J226" i="18" s="1"/>
  <c r="R142" i="18"/>
  <c r="R143" i="18"/>
  <c r="R94" i="18"/>
  <c r="R101" i="18"/>
  <c r="R98" i="18"/>
  <c r="R139" i="18"/>
  <c r="R138" i="18"/>
  <c r="R99" i="18"/>
  <c r="P93" i="18"/>
  <c r="P92" i="18"/>
  <c r="H93" i="18"/>
  <c r="I93" i="18"/>
  <c r="J93" i="18"/>
  <c r="K93" i="18"/>
  <c r="L93" i="18"/>
  <c r="M93" i="18"/>
  <c r="N93" i="18"/>
  <c r="O93" i="18"/>
  <c r="G93" i="18"/>
  <c r="G92" i="18"/>
  <c r="H136" i="18"/>
  <c r="I136" i="18"/>
  <c r="J136" i="18"/>
  <c r="K136" i="18"/>
  <c r="L136" i="18"/>
  <c r="M136" i="18"/>
  <c r="N136" i="18"/>
  <c r="O136" i="18"/>
  <c r="P136" i="18"/>
  <c r="G136" i="18"/>
  <c r="H135" i="18"/>
  <c r="I135" i="18"/>
  <c r="J135" i="18"/>
  <c r="K135" i="18"/>
  <c r="L135" i="18"/>
  <c r="M135" i="18"/>
  <c r="N135" i="18"/>
  <c r="O135" i="18"/>
  <c r="P135" i="18"/>
  <c r="G135" i="18"/>
  <c r="H132" i="18"/>
  <c r="I132" i="18"/>
  <c r="J132" i="18"/>
  <c r="K132" i="18"/>
  <c r="L132" i="18"/>
  <c r="M132" i="18"/>
  <c r="N132" i="18"/>
  <c r="O132" i="18"/>
  <c r="P132" i="18"/>
  <c r="G132" i="18"/>
  <c r="H133" i="18"/>
  <c r="I133" i="18"/>
  <c r="J133" i="18"/>
  <c r="K133" i="18"/>
  <c r="L133" i="18"/>
  <c r="M133" i="18"/>
  <c r="N133" i="18"/>
  <c r="O133" i="18"/>
  <c r="P133" i="18"/>
  <c r="G133" i="18"/>
  <c r="H131" i="18"/>
  <c r="I131" i="18"/>
  <c r="J131" i="18"/>
  <c r="K131" i="18"/>
  <c r="L131" i="18"/>
  <c r="M131" i="18"/>
  <c r="N131" i="18"/>
  <c r="O131" i="18"/>
  <c r="P131" i="18"/>
  <c r="G131" i="18"/>
  <c r="H130" i="18"/>
  <c r="I130" i="18"/>
  <c r="J130" i="18"/>
  <c r="K130" i="18"/>
  <c r="L130" i="18"/>
  <c r="M130" i="18"/>
  <c r="N130" i="18"/>
  <c r="O130" i="18"/>
  <c r="P130" i="18"/>
  <c r="G130" i="18"/>
  <c r="H127" i="18"/>
  <c r="I127" i="18"/>
  <c r="J127" i="18"/>
  <c r="K127" i="18"/>
  <c r="L127" i="18"/>
  <c r="M127" i="18"/>
  <c r="N127" i="18"/>
  <c r="O127" i="18"/>
  <c r="P127" i="18"/>
  <c r="G127" i="18"/>
  <c r="H126" i="18"/>
  <c r="I126" i="18"/>
  <c r="J126" i="18"/>
  <c r="K126" i="18"/>
  <c r="L126" i="18"/>
  <c r="M126" i="18"/>
  <c r="N126" i="18"/>
  <c r="O126" i="18"/>
  <c r="P126" i="18"/>
  <c r="G126" i="18"/>
  <c r="H125" i="18"/>
  <c r="I125" i="18"/>
  <c r="J125" i="18"/>
  <c r="K125" i="18"/>
  <c r="L125" i="18"/>
  <c r="M125" i="18"/>
  <c r="N125" i="18"/>
  <c r="O125" i="18"/>
  <c r="P125" i="18"/>
  <c r="G125" i="18"/>
  <c r="B127" i="18"/>
  <c r="B126" i="18"/>
  <c r="AE32" i="18"/>
  <c r="S32" i="18"/>
  <c r="G113" i="18"/>
  <c r="H113" i="18"/>
  <c r="I113" i="18"/>
  <c r="J113" i="18"/>
  <c r="K113" i="18"/>
  <c r="L113" i="18"/>
  <c r="M113" i="18"/>
  <c r="N113" i="18"/>
  <c r="O113" i="18"/>
  <c r="P113" i="18"/>
  <c r="T229" i="18"/>
  <c r="N228" i="18"/>
  <c r="T226" i="18"/>
  <c r="U226" i="18" s="1"/>
  <c r="U231" i="18" s="1"/>
  <c r="N226" i="18"/>
  <c r="O226" i="18" s="1"/>
  <c r="O231" i="18" s="1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I227" i="18" l="1"/>
  <c r="J227" i="18" s="1"/>
  <c r="I228" i="18" s="1"/>
  <c r="J228" i="18" s="1"/>
  <c r="I229" i="18" s="1"/>
  <c r="J229" i="18" s="1"/>
  <c r="I230" i="18" s="1"/>
  <c r="J230" i="18" s="1"/>
  <c r="I231" i="18" s="1"/>
  <c r="J231" i="18" s="1"/>
  <c r="J232" i="18" s="1"/>
  <c r="Y38" i="18"/>
  <c r="AD14" i="18"/>
  <c r="AF14" i="18"/>
  <c r="T32" i="18"/>
  <c r="U32" i="18" s="1"/>
  <c r="V32" i="18" s="1"/>
  <c r="W32" i="18" s="1"/>
  <c r="X32" i="18" s="1"/>
  <c r="Y32" i="18" s="1"/>
  <c r="Z32" i="18" s="1"/>
  <c r="AA32" i="18" s="1"/>
  <c r="AB32" i="18" s="1"/>
  <c r="AC32" i="18" s="1"/>
  <c r="AD32" i="18" s="1"/>
  <c r="R133" i="18"/>
  <c r="R93" i="18"/>
  <c r="R130" i="18"/>
  <c r="R136" i="18"/>
  <c r="R135" i="18"/>
  <c r="R131" i="18"/>
  <c r="R132" i="18"/>
  <c r="R125" i="18"/>
  <c r="R126" i="18"/>
  <c r="R127" i="18"/>
  <c r="R113" i="18"/>
  <c r="N231" i="18"/>
  <c r="T231" i="18"/>
  <c r="R122" i="18"/>
  <c r="R121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S40" i="18"/>
  <c r="T40" i="18" s="1"/>
  <c r="S7" i="18"/>
  <c r="T7" i="18" s="1"/>
  <c r="S6" i="18"/>
  <c r="T6" i="18" s="1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1" i="18"/>
  <c r="AE52" i="18"/>
  <c r="AE57" i="18"/>
  <c r="AE59" i="18"/>
  <c r="AE60" i="18"/>
  <c r="AE61" i="18"/>
  <c r="AE63" i="18"/>
  <c r="AE64" i="18"/>
  <c r="AE65" i="18"/>
  <c r="AE67" i="18"/>
  <c r="AE68" i="18"/>
  <c r="AE69" i="18"/>
  <c r="AE70" i="18"/>
  <c r="AE72" i="18"/>
  <c r="AE73" i="18"/>
  <c r="AE75" i="18"/>
  <c r="AE77" i="18"/>
  <c r="AE78" i="18"/>
  <c r="AE79" i="18"/>
  <c r="AE80" i="18"/>
  <c r="AE81" i="18"/>
  <c r="AE83" i="18"/>
  <c r="AE84" i="18"/>
  <c r="AE85" i="18"/>
  <c r="AE7" i="18"/>
  <c r="AE6" i="18"/>
  <c r="T53" i="18" l="1"/>
  <c r="T95" i="18" s="1"/>
  <c r="Z38" i="18"/>
  <c r="AF32" i="18"/>
  <c r="T31" i="18"/>
  <c r="R110" i="18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H100" i="18"/>
  <c r="H106" i="18" s="1"/>
  <c r="I100" i="18"/>
  <c r="I106" i="18" s="1"/>
  <c r="J100" i="18"/>
  <c r="J106" i="18" s="1"/>
  <c r="K100" i="18"/>
  <c r="K106" i="18" s="1"/>
  <c r="L100" i="18"/>
  <c r="L106" i="18" s="1"/>
  <c r="M100" i="18"/>
  <c r="M106" i="18" s="1"/>
  <c r="N100" i="18"/>
  <c r="N106" i="18" s="1"/>
  <c r="O100" i="18"/>
  <c r="O106" i="18" s="1"/>
  <c r="P100" i="18"/>
  <c r="P106" i="18" s="1"/>
  <c r="G100" i="18"/>
  <c r="G106" i="18" s="1"/>
  <c r="G97" i="18"/>
  <c r="G103" i="18" s="1"/>
  <c r="AA38" i="18" l="1"/>
  <c r="U31" i="18"/>
  <c r="T123" i="18"/>
  <c r="R103" i="18"/>
  <c r="R106" i="18"/>
  <c r="U29" i="18"/>
  <c r="R100" i="18"/>
  <c r="R97" i="18"/>
  <c r="H112" i="18"/>
  <c r="I112" i="18"/>
  <c r="J112" i="18"/>
  <c r="K112" i="18"/>
  <c r="L112" i="18"/>
  <c r="M112" i="18"/>
  <c r="N112" i="18"/>
  <c r="O112" i="18"/>
  <c r="P112" i="18"/>
  <c r="G112" i="18"/>
  <c r="H111" i="18"/>
  <c r="I111" i="18"/>
  <c r="J111" i="18"/>
  <c r="K111" i="18"/>
  <c r="L111" i="18"/>
  <c r="M111" i="18"/>
  <c r="N111" i="18"/>
  <c r="O111" i="18"/>
  <c r="P111" i="18"/>
  <c r="G111" i="18"/>
  <c r="AB38" i="18" l="1"/>
  <c r="V31" i="18"/>
  <c r="V29" i="18"/>
  <c r="R111" i="18"/>
  <c r="R112" i="18"/>
  <c r="AF72" i="18"/>
  <c r="AC38" i="18" l="1"/>
  <c r="W31" i="18"/>
  <c r="W29" i="18"/>
  <c r="G187" i="18"/>
  <c r="H187" i="18"/>
  <c r="I187" i="18"/>
  <c r="J187" i="18"/>
  <c r="K187" i="18"/>
  <c r="L187" i="18"/>
  <c r="M187" i="18"/>
  <c r="N187" i="18"/>
  <c r="O187" i="18"/>
  <c r="P187" i="18"/>
  <c r="C9" i="15"/>
  <c r="G73" i="18"/>
  <c r="G115" i="18" s="1"/>
  <c r="G116" i="18" s="1"/>
  <c r="G119" i="18" s="1"/>
  <c r="H73" i="18"/>
  <c r="H115" i="18" s="1"/>
  <c r="H116" i="18" s="1"/>
  <c r="H119" i="18" s="1"/>
  <c r="I73" i="18"/>
  <c r="I115" i="18" s="1"/>
  <c r="I116" i="18" s="1"/>
  <c r="I119" i="18" s="1"/>
  <c r="J73" i="18"/>
  <c r="J115" i="18" s="1"/>
  <c r="J116" i="18" s="1"/>
  <c r="J119" i="18" s="1"/>
  <c r="K73" i="18"/>
  <c r="K115" i="18" s="1"/>
  <c r="K116" i="18" s="1"/>
  <c r="K119" i="18" s="1"/>
  <c r="L73" i="18"/>
  <c r="L115" i="18" s="1"/>
  <c r="L116" i="18" s="1"/>
  <c r="L119" i="18" s="1"/>
  <c r="M73" i="18"/>
  <c r="M115" i="18" s="1"/>
  <c r="M116" i="18" s="1"/>
  <c r="M119" i="18" s="1"/>
  <c r="N73" i="18"/>
  <c r="N115" i="18" s="1"/>
  <c r="N116" i="18" s="1"/>
  <c r="N119" i="18" s="1"/>
  <c r="O73" i="18"/>
  <c r="O115" i="18" s="1"/>
  <c r="O116" i="18" s="1"/>
  <c r="O119" i="18" s="1"/>
  <c r="P73" i="18"/>
  <c r="P115" i="18" s="1"/>
  <c r="AD38" i="18" l="1"/>
  <c r="AF38" i="18"/>
  <c r="X31" i="18"/>
  <c r="T73" i="18"/>
  <c r="X29" i="18"/>
  <c r="R187" i="18"/>
  <c r="N117" i="18"/>
  <c r="N118" i="18" s="1"/>
  <c r="J117" i="18"/>
  <c r="J118" i="18" s="1"/>
  <c r="L117" i="18"/>
  <c r="L118" i="18" s="1"/>
  <c r="H117" i="18"/>
  <c r="H118" i="18" s="1"/>
  <c r="M117" i="18"/>
  <c r="M118" i="18" s="1"/>
  <c r="I117" i="18"/>
  <c r="I118" i="18" s="1"/>
  <c r="O117" i="18"/>
  <c r="O118" i="18" s="1"/>
  <c r="K117" i="18"/>
  <c r="K118" i="18" s="1"/>
  <c r="G117" i="18"/>
  <c r="G118" i="18" s="1"/>
  <c r="P116" i="18"/>
  <c r="P119" i="18" s="1"/>
  <c r="R119" i="18" s="1"/>
  <c r="R115" i="18"/>
  <c r="U44" i="18"/>
  <c r="Y31" i="18" l="1"/>
  <c r="V44" i="18"/>
  <c r="Y29" i="18"/>
  <c r="P117" i="18"/>
  <c r="R116" i="18"/>
  <c r="U73" i="18"/>
  <c r="G83" i="18"/>
  <c r="G140" i="18" s="1"/>
  <c r="H83" i="18"/>
  <c r="H140" i="18" s="1"/>
  <c r="I83" i="18"/>
  <c r="I140" i="18" s="1"/>
  <c r="J83" i="18"/>
  <c r="J140" i="18" s="1"/>
  <c r="K83" i="18"/>
  <c r="K140" i="18" s="1"/>
  <c r="L83" i="18"/>
  <c r="L140" i="18" s="1"/>
  <c r="M83" i="18"/>
  <c r="M140" i="18" s="1"/>
  <c r="N83" i="18"/>
  <c r="N140" i="18" s="1"/>
  <c r="O83" i="18"/>
  <c r="O140" i="18" s="1"/>
  <c r="G84" i="18"/>
  <c r="H84" i="18"/>
  <c r="I84" i="18"/>
  <c r="J84" i="18"/>
  <c r="K84" i="18"/>
  <c r="L84" i="18"/>
  <c r="M84" i="18"/>
  <c r="N84" i="18"/>
  <c r="O84" i="18"/>
  <c r="G85" i="18"/>
  <c r="H85" i="18"/>
  <c r="I85" i="18"/>
  <c r="J85" i="18"/>
  <c r="K85" i="18"/>
  <c r="L85" i="18"/>
  <c r="M85" i="18"/>
  <c r="N85" i="18"/>
  <c r="O85" i="18"/>
  <c r="P85" i="18"/>
  <c r="P84" i="18"/>
  <c r="P83" i="18"/>
  <c r="P140" i="18" s="1"/>
  <c r="H92" i="18"/>
  <c r="I92" i="18"/>
  <c r="J92" i="18"/>
  <c r="K92" i="18"/>
  <c r="L92" i="18"/>
  <c r="M92" i="18"/>
  <c r="N92" i="18"/>
  <c r="O92" i="18"/>
  <c r="G91" i="18"/>
  <c r="H91" i="18"/>
  <c r="I91" i="18"/>
  <c r="J91" i="18"/>
  <c r="K91" i="18"/>
  <c r="L91" i="18"/>
  <c r="M91" i="18"/>
  <c r="N91" i="18"/>
  <c r="O91" i="18"/>
  <c r="G90" i="18"/>
  <c r="H90" i="18"/>
  <c r="I90" i="18"/>
  <c r="J90" i="18"/>
  <c r="K90" i="18"/>
  <c r="L90" i="18"/>
  <c r="M90" i="18"/>
  <c r="N90" i="18"/>
  <c r="O90" i="18"/>
  <c r="P91" i="18"/>
  <c r="Z31" i="18" l="1"/>
  <c r="W44" i="18"/>
  <c r="V73" i="18"/>
  <c r="R140" i="18"/>
  <c r="Z29" i="18"/>
  <c r="R85" i="18"/>
  <c r="R83" i="18"/>
  <c r="R84" i="18"/>
  <c r="R91" i="18"/>
  <c r="R92" i="18"/>
  <c r="P90" i="18"/>
  <c r="R90" i="18" s="1"/>
  <c r="H219" i="18"/>
  <c r="I219" i="18"/>
  <c r="J219" i="18"/>
  <c r="K219" i="18"/>
  <c r="L219" i="18"/>
  <c r="M219" i="18"/>
  <c r="N219" i="18"/>
  <c r="O219" i="18"/>
  <c r="P219" i="18"/>
  <c r="G219" i="18"/>
  <c r="H218" i="18"/>
  <c r="I218" i="18"/>
  <c r="J218" i="18"/>
  <c r="K218" i="18"/>
  <c r="L218" i="18"/>
  <c r="M218" i="18"/>
  <c r="N218" i="18"/>
  <c r="O218" i="18"/>
  <c r="P218" i="18"/>
  <c r="G218" i="18"/>
  <c r="H217" i="18"/>
  <c r="I217" i="18"/>
  <c r="J217" i="18"/>
  <c r="K217" i="18"/>
  <c r="L217" i="18"/>
  <c r="M217" i="18"/>
  <c r="N217" i="18"/>
  <c r="O217" i="18"/>
  <c r="P217" i="18"/>
  <c r="G217" i="18"/>
  <c r="H52" i="18"/>
  <c r="I52" i="18"/>
  <c r="J52" i="18"/>
  <c r="K52" i="18"/>
  <c r="L52" i="18"/>
  <c r="M52" i="18"/>
  <c r="N52" i="18"/>
  <c r="O52" i="18"/>
  <c r="P52" i="18"/>
  <c r="G52" i="18"/>
  <c r="G57" i="18"/>
  <c r="G190" i="18" s="1"/>
  <c r="H51" i="18"/>
  <c r="H178" i="18" s="1"/>
  <c r="I51" i="18"/>
  <c r="I178" i="18" s="1"/>
  <c r="J51" i="18"/>
  <c r="J178" i="18" s="1"/>
  <c r="K51" i="18"/>
  <c r="K178" i="18" s="1"/>
  <c r="L51" i="18"/>
  <c r="L178" i="18" s="1"/>
  <c r="M51" i="18"/>
  <c r="M178" i="18" s="1"/>
  <c r="N51" i="18"/>
  <c r="N178" i="18" s="1"/>
  <c r="O51" i="18"/>
  <c r="O178" i="18" s="1"/>
  <c r="P51" i="18"/>
  <c r="P178" i="18" s="1"/>
  <c r="G51" i="18"/>
  <c r="G178" i="18" s="1"/>
  <c r="T98" i="18"/>
  <c r="T104" i="18" s="1"/>
  <c r="AA31" i="18" l="1"/>
  <c r="X44" i="18"/>
  <c r="W73" i="18"/>
  <c r="R178" i="18"/>
  <c r="AA29" i="18"/>
  <c r="U36" i="18"/>
  <c r="R219" i="18"/>
  <c r="R52" i="18"/>
  <c r="R51" i="18"/>
  <c r="R218" i="18"/>
  <c r="R217" i="18"/>
  <c r="U98" i="18" l="1"/>
  <c r="U104" i="18" s="1"/>
  <c r="AB31" i="18"/>
  <c r="Y44" i="18"/>
  <c r="X73" i="18"/>
  <c r="AB29" i="18"/>
  <c r="V36" i="18"/>
  <c r="I80" i="18"/>
  <c r="J80" i="18"/>
  <c r="K80" i="18"/>
  <c r="L80" i="18"/>
  <c r="M80" i="18"/>
  <c r="N80" i="18"/>
  <c r="O80" i="18"/>
  <c r="P80" i="18"/>
  <c r="I81" i="18"/>
  <c r="J81" i="18"/>
  <c r="K81" i="18"/>
  <c r="L81" i="18"/>
  <c r="M81" i="18"/>
  <c r="N81" i="18"/>
  <c r="O81" i="18"/>
  <c r="P81" i="18"/>
  <c r="I75" i="18"/>
  <c r="I77" i="18" s="1"/>
  <c r="J75" i="18"/>
  <c r="J77" i="18" s="1"/>
  <c r="K75" i="18"/>
  <c r="K77" i="18" s="1"/>
  <c r="L75" i="18"/>
  <c r="L77" i="18" s="1"/>
  <c r="M75" i="18"/>
  <c r="M77" i="18" s="1"/>
  <c r="N75" i="18"/>
  <c r="N77" i="18" s="1"/>
  <c r="O75" i="18"/>
  <c r="O77" i="18" s="1"/>
  <c r="P75" i="18"/>
  <c r="P77" i="18" s="1"/>
  <c r="I78" i="18"/>
  <c r="J78" i="18"/>
  <c r="K78" i="18"/>
  <c r="L78" i="18"/>
  <c r="M78" i="18"/>
  <c r="N78" i="18"/>
  <c r="O78" i="18"/>
  <c r="P78" i="18"/>
  <c r="I79" i="18"/>
  <c r="J79" i="18"/>
  <c r="K79" i="18"/>
  <c r="L79" i="18"/>
  <c r="M79" i="18"/>
  <c r="N79" i="18"/>
  <c r="O79" i="18"/>
  <c r="P79" i="18"/>
  <c r="G78" i="18"/>
  <c r="G79" i="18"/>
  <c r="G80" i="18"/>
  <c r="G81" i="18"/>
  <c r="H81" i="18"/>
  <c r="H80" i="18"/>
  <c r="U22" i="18"/>
  <c r="V22" i="18" s="1"/>
  <c r="W22" i="18" s="1"/>
  <c r="X22" i="18" s="1"/>
  <c r="Y22" i="18" s="1"/>
  <c r="Z22" i="18" s="1"/>
  <c r="AA22" i="18" s="1"/>
  <c r="AB22" i="18" s="1"/>
  <c r="AC22" i="18" s="1"/>
  <c r="G75" i="18"/>
  <c r="G77" i="18" s="1"/>
  <c r="H75" i="18"/>
  <c r="H77" i="18" s="1"/>
  <c r="H79" i="18"/>
  <c r="H78" i="18"/>
  <c r="R78" i="18" l="1"/>
  <c r="V98" i="18"/>
  <c r="V104" i="18" s="1"/>
  <c r="AC31" i="18"/>
  <c r="AD31" i="18" s="1"/>
  <c r="Z44" i="18"/>
  <c r="Y73" i="18"/>
  <c r="U23" i="18"/>
  <c r="T101" i="18"/>
  <c r="T107" i="18" s="1"/>
  <c r="AC29" i="18"/>
  <c r="AD22" i="18"/>
  <c r="AF22" i="18"/>
  <c r="W36" i="18"/>
  <c r="R80" i="18"/>
  <c r="R81" i="18"/>
  <c r="R79" i="18"/>
  <c r="R77" i="18"/>
  <c r="R75" i="18"/>
  <c r="U21" i="18"/>
  <c r="R73" i="18"/>
  <c r="R177" i="18"/>
  <c r="AF31" i="18" l="1"/>
  <c r="W98" i="18"/>
  <c r="W104" i="18" s="1"/>
  <c r="Z73" i="18"/>
  <c r="AA44" i="18"/>
  <c r="V23" i="18"/>
  <c r="U101" i="18"/>
  <c r="U107" i="18" s="1"/>
  <c r="AF29" i="18"/>
  <c r="AD29" i="18"/>
  <c r="U20" i="18"/>
  <c r="T75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4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O71" i="18"/>
  <c r="O184" i="18" s="1"/>
  <c r="O70" i="18"/>
  <c r="O68" i="18"/>
  <c r="O67" i="18"/>
  <c r="O65" i="18"/>
  <c r="O185" i="18" s="1"/>
  <c r="O64" i="18"/>
  <c r="O63" i="18"/>
  <c r="O61" i="18"/>
  <c r="O60" i="18"/>
  <c r="O182" i="18" s="1"/>
  <c r="O59" i="18"/>
  <c r="O57" i="18"/>
  <c r="O190" i="18" s="1"/>
  <c r="X98" i="18" l="1"/>
  <c r="X104" i="18" s="1"/>
  <c r="AA73" i="18"/>
  <c r="AB44" i="18"/>
  <c r="U75" i="18"/>
  <c r="T132" i="18"/>
  <c r="T142" i="18"/>
  <c r="T133" i="18"/>
  <c r="T143" i="18"/>
  <c r="W23" i="18"/>
  <c r="V101" i="18"/>
  <c r="V107" i="18" s="1"/>
  <c r="T126" i="18"/>
  <c r="T127" i="18"/>
  <c r="T125" i="18"/>
  <c r="T113" i="18"/>
  <c r="P118" i="18"/>
  <c r="R118" i="18" s="1"/>
  <c r="R117" i="18"/>
  <c r="T97" i="18"/>
  <c r="T103" i="18" s="1"/>
  <c r="T122" i="18"/>
  <c r="T121" i="18"/>
  <c r="U18" i="18"/>
  <c r="O179" i="18"/>
  <c r="V20" i="18"/>
  <c r="U27" i="18"/>
  <c r="Y36" i="18"/>
  <c r="U25" i="18"/>
  <c r="T90" i="18"/>
  <c r="W21" i="18"/>
  <c r="AD33" i="18"/>
  <c r="AD34" i="18"/>
  <c r="AD9" i="18"/>
  <c r="O69" i="18"/>
  <c r="O183" i="18" s="1"/>
  <c r="G65" i="18"/>
  <c r="G185" i="18" s="1"/>
  <c r="H65" i="18"/>
  <c r="H185" i="18" s="1"/>
  <c r="I65" i="18"/>
  <c r="I185" i="18" s="1"/>
  <c r="J65" i="18"/>
  <c r="J185" i="18" s="1"/>
  <c r="K65" i="18"/>
  <c r="K185" i="18" s="1"/>
  <c r="L65" i="18"/>
  <c r="L185" i="18" s="1"/>
  <c r="M65" i="18"/>
  <c r="M185" i="18" s="1"/>
  <c r="N65" i="18"/>
  <c r="N185" i="18" s="1"/>
  <c r="P65" i="18"/>
  <c r="O192" i="18" l="1"/>
  <c r="O193" i="18" s="1"/>
  <c r="O191" i="18"/>
  <c r="Y98" i="18"/>
  <c r="Y104" i="18" s="1"/>
  <c r="U94" i="18"/>
  <c r="U123" i="18"/>
  <c r="AC44" i="18"/>
  <c r="AB73" i="18"/>
  <c r="U133" i="18"/>
  <c r="U143" i="18"/>
  <c r="U132" i="18"/>
  <c r="U142" i="18"/>
  <c r="X23" i="18"/>
  <c r="W101" i="18"/>
  <c r="W107" i="18" s="1"/>
  <c r="U125" i="18"/>
  <c r="U127" i="18"/>
  <c r="U126" i="18"/>
  <c r="U113" i="18"/>
  <c r="U97" i="18"/>
  <c r="U103" i="18" s="1"/>
  <c r="U122" i="18"/>
  <c r="U121" i="18"/>
  <c r="V18" i="18"/>
  <c r="W20" i="18"/>
  <c r="V75" i="18"/>
  <c r="V27" i="18"/>
  <c r="V25" i="18"/>
  <c r="V123" i="18" s="1"/>
  <c r="U90" i="18"/>
  <c r="Z36" i="18"/>
  <c r="X21" i="18"/>
  <c r="P185" i="18"/>
  <c r="R185" i="18" s="1"/>
  <c r="R65" i="18"/>
  <c r="G64" i="18"/>
  <c r="H64" i="18"/>
  <c r="I64" i="18"/>
  <c r="J64" i="18"/>
  <c r="K64" i="18"/>
  <c r="L64" i="18"/>
  <c r="M64" i="18"/>
  <c r="N64" i="18"/>
  <c r="P64" i="18"/>
  <c r="G63" i="18"/>
  <c r="H63" i="18"/>
  <c r="I63" i="18"/>
  <c r="J63" i="18"/>
  <c r="K63" i="18"/>
  <c r="L63" i="18"/>
  <c r="M63" i="18"/>
  <c r="N63" i="18"/>
  <c r="P63" i="18"/>
  <c r="Z98" i="18" l="1"/>
  <c r="Z104" i="18" s="1"/>
  <c r="AF44" i="18"/>
  <c r="AC73" i="18"/>
  <c r="AD44" i="18"/>
  <c r="V132" i="18"/>
  <c r="V142" i="18"/>
  <c r="V133" i="18"/>
  <c r="V143" i="18"/>
  <c r="V94" i="18"/>
  <c r="Y23" i="18"/>
  <c r="X101" i="18"/>
  <c r="X107" i="18" s="1"/>
  <c r="V127" i="18"/>
  <c r="V126" i="18"/>
  <c r="V125" i="18"/>
  <c r="V113" i="18"/>
  <c r="V97" i="18"/>
  <c r="V103" i="18" s="1"/>
  <c r="V122" i="18"/>
  <c r="V121" i="18"/>
  <c r="W18" i="18"/>
  <c r="X20" i="18"/>
  <c r="W75" i="18"/>
  <c r="W27" i="18"/>
  <c r="W25" i="18"/>
  <c r="V90" i="18"/>
  <c r="AA36" i="18"/>
  <c r="Y21" i="18"/>
  <c r="R63" i="18"/>
  <c r="R64" i="18"/>
  <c r="C46" i="15"/>
  <c r="AA98" i="18" l="1"/>
  <c r="AA104" i="18" s="1"/>
  <c r="W94" i="18"/>
  <c r="W123" i="18"/>
  <c r="T164" i="18"/>
  <c r="Q206" i="18" s="1"/>
  <c r="AF73" i="18"/>
  <c r="U164" i="18" s="1"/>
  <c r="AD73" i="18"/>
  <c r="W133" i="18"/>
  <c r="W143" i="18"/>
  <c r="W132" i="18"/>
  <c r="W142" i="18"/>
  <c r="Z23" i="18"/>
  <c r="Y101" i="18"/>
  <c r="Y107" i="18" s="1"/>
  <c r="W113" i="18"/>
  <c r="W127" i="18"/>
  <c r="W126" i="18"/>
  <c r="W125" i="18"/>
  <c r="W97" i="18"/>
  <c r="W103" i="18" s="1"/>
  <c r="W122" i="18"/>
  <c r="W121" i="18"/>
  <c r="X18" i="18"/>
  <c r="Y20" i="18"/>
  <c r="X75" i="18"/>
  <c r="X27" i="18"/>
  <c r="X25" i="18"/>
  <c r="X123" i="18" s="1"/>
  <c r="W90" i="18"/>
  <c r="AB36" i="18"/>
  <c r="Z21" i="18"/>
  <c r="H57" i="18"/>
  <c r="H190" i="18" s="1"/>
  <c r="I57" i="18"/>
  <c r="I190" i="18" s="1"/>
  <c r="J57" i="18"/>
  <c r="J190" i="18" s="1"/>
  <c r="K57" i="18"/>
  <c r="K190" i="18" s="1"/>
  <c r="L57" i="18"/>
  <c r="L190" i="18" s="1"/>
  <c r="M57" i="18"/>
  <c r="M190" i="18" s="1"/>
  <c r="N57" i="18"/>
  <c r="N190" i="18" s="1"/>
  <c r="P57" i="18"/>
  <c r="P190" i="18" s="1"/>
  <c r="R190" i="18" s="1"/>
  <c r="G71" i="18"/>
  <c r="H71" i="18"/>
  <c r="H184" i="18" s="1"/>
  <c r="I71" i="18"/>
  <c r="I184" i="18" s="1"/>
  <c r="J71" i="18"/>
  <c r="J184" i="18" s="1"/>
  <c r="K71" i="18"/>
  <c r="K184" i="18" s="1"/>
  <c r="L71" i="18"/>
  <c r="L184" i="18" s="1"/>
  <c r="M71" i="18"/>
  <c r="M184" i="18" s="1"/>
  <c r="N71" i="18"/>
  <c r="P71" i="18"/>
  <c r="G70" i="18"/>
  <c r="H70" i="18"/>
  <c r="I70" i="18"/>
  <c r="J70" i="18"/>
  <c r="K70" i="18"/>
  <c r="L70" i="18"/>
  <c r="M70" i="18"/>
  <c r="N70" i="18"/>
  <c r="P70" i="18"/>
  <c r="G68" i="18"/>
  <c r="H68" i="18"/>
  <c r="I68" i="18"/>
  <c r="J68" i="18"/>
  <c r="K68" i="18"/>
  <c r="L68" i="18"/>
  <c r="M68" i="18"/>
  <c r="N68" i="18"/>
  <c r="P68" i="18"/>
  <c r="G67" i="18"/>
  <c r="H67" i="18"/>
  <c r="I67" i="18"/>
  <c r="J67" i="18"/>
  <c r="K67" i="18"/>
  <c r="L67" i="18"/>
  <c r="M67" i="18"/>
  <c r="N67" i="18"/>
  <c r="P67" i="18"/>
  <c r="G61" i="18"/>
  <c r="H61" i="18"/>
  <c r="I61" i="18"/>
  <c r="J61" i="18"/>
  <c r="K61" i="18"/>
  <c r="L61" i="18"/>
  <c r="M61" i="18"/>
  <c r="N61" i="18"/>
  <c r="P61" i="18"/>
  <c r="G60" i="18"/>
  <c r="H60" i="18"/>
  <c r="H182" i="18" s="1"/>
  <c r="I60" i="18"/>
  <c r="I182" i="18" s="1"/>
  <c r="J60" i="18"/>
  <c r="J182" i="18" s="1"/>
  <c r="K60" i="18"/>
  <c r="K182" i="18" s="1"/>
  <c r="L60" i="18"/>
  <c r="L182" i="18" s="1"/>
  <c r="M60" i="18"/>
  <c r="M182" i="18" s="1"/>
  <c r="N60" i="18"/>
  <c r="P60" i="18"/>
  <c r="G59" i="18"/>
  <c r="H59" i="18"/>
  <c r="I59" i="18"/>
  <c r="J59" i="18"/>
  <c r="K59" i="18"/>
  <c r="L59" i="18"/>
  <c r="M59" i="18"/>
  <c r="N59" i="18"/>
  <c r="P59" i="18"/>
  <c r="T130" i="18"/>
  <c r="T138" i="18"/>
  <c r="T139" i="18" s="1"/>
  <c r="T99" i="18"/>
  <c r="T105" i="18" s="1"/>
  <c r="R146" i="18" l="1"/>
  <c r="T213" i="18" s="1"/>
  <c r="T212" i="18" s="1"/>
  <c r="T187" i="18"/>
  <c r="AB98" i="18"/>
  <c r="AB104" i="18" s="1"/>
  <c r="T110" i="18"/>
  <c r="S164" i="18"/>
  <c r="P206" i="18" s="1"/>
  <c r="X132" i="18"/>
  <c r="X142" i="18"/>
  <c r="X94" i="18"/>
  <c r="X133" i="18"/>
  <c r="X143" i="18"/>
  <c r="AA23" i="18"/>
  <c r="Z101" i="18"/>
  <c r="Z107" i="18" s="1"/>
  <c r="T92" i="18"/>
  <c r="T93" i="18"/>
  <c r="T136" i="18"/>
  <c r="T135" i="18"/>
  <c r="T100" i="18"/>
  <c r="T106" i="18" s="1"/>
  <c r="T131" i="18"/>
  <c r="H179" i="18"/>
  <c r="X113" i="18"/>
  <c r="X126" i="18"/>
  <c r="X125" i="18"/>
  <c r="X127" i="18"/>
  <c r="T112" i="18"/>
  <c r="X97" i="18"/>
  <c r="X103" i="18" s="1"/>
  <c r="X122" i="18"/>
  <c r="X121" i="18"/>
  <c r="T111" i="18"/>
  <c r="Y18" i="18"/>
  <c r="P179" i="18"/>
  <c r="K179" i="18"/>
  <c r="J179" i="18"/>
  <c r="M179" i="18"/>
  <c r="I179" i="18"/>
  <c r="Z20" i="18"/>
  <c r="Y75" i="18"/>
  <c r="H69" i="18"/>
  <c r="H183" i="18" s="1"/>
  <c r="Y27" i="18"/>
  <c r="U12" i="18"/>
  <c r="U15" i="18"/>
  <c r="U130" i="18" s="1"/>
  <c r="U13" i="18"/>
  <c r="U10" i="18"/>
  <c r="U16" i="18"/>
  <c r="U138" i="18" s="1"/>
  <c r="U139" i="18" s="1"/>
  <c r="U6" i="18"/>
  <c r="U7" i="18"/>
  <c r="Y25" i="18"/>
  <c r="X90" i="18"/>
  <c r="U40" i="18"/>
  <c r="T91" i="18"/>
  <c r="AC36" i="18"/>
  <c r="L69" i="18"/>
  <c r="L183" i="18" s="1"/>
  <c r="K69" i="18"/>
  <c r="K183" i="18" s="1"/>
  <c r="J69" i="18"/>
  <c r="J183" i="18" s="1"/>
  <c r="AA21" i="18"/>
  <c r="U177" i="18"/>
  <c r="I69" i="18"/>
  <c r="I183" i="18" s="1"/>
  <c r="R59" i="18"/>
  <c r="G182" i="18"/>
  <c r="R60" i="18"/>
  <c r="R61" i="18"/>
  <c r="R68" i="18"/>
  <c r="R70" i="18"/>
  <c r="G179" i="18"/>
  <c r="R57" i="18"/>
  <c r="G184" i="18"/>
  <c r="R71" i="18"/>
  <c r="G69" i="18"/>
  <c r="R67" i="18"/>
  <c r="N182" i="18"/>
  <c r="N179" i="18"/>
  <c r="N184" i="18"/>
  <c r="P182" i="18"/>
  <c r="L179" i="18"/>
  <c r="N69" i="18"/>
  <c r="M69" i="18"/>
  <c r="M183" i="18" s="1"/>
  <c r="P184" i="18"/>
  <c r="P69" i="18"/>
  <c r="C6" i="12"/>
  <c r="C26" i="15"/>
  <c r="C58" i="15"/>
  <c r="C57" i="15"/>
  <c r="C54" i="15"/>
  <c r="C53" i="15"/>
  <c r="C50" i="15"/>
  <c r="C49" i="15"/>
  <c r="C45" i="15"/>
  <c r="U187" i="18" l="1"/>
  <c r="U196" i="18"/>
  <c r="U201" i="18"/>
  <c r="G192" i="18"/>
  <c r="G193" i="18" s="1"/>
  <c r="G191" i="18"/>
  <c r="M192" i="18"/>
  <c r="M193" i="18" s="1"/>
  <c r="M191" i="18"/>
  <c r="K192" i="18"/>
  <c r="K193" i="18" s="1"/>
  <c r="K191" i="18"/>
  <c r="N192" i="18"/>
  <c r="N193" i="18" s="1"/>
  <c r="N191" i="18"/>
  <c r="H192" i="18"/>
  <c r="H193" i="18" s="1"/>
  <c r="H191" i="18"/>
  <c r="I192" i="18"/>
  <c r="I193" i="18" s="1"/>
  <c r="I191" i="18"/>
  <c r="J192" i="18"/>
  <c r="J193" i="18" s="1"/>
  <c r="J191" i="18"/>
  <c r="P192" i="18"/>
  <c r="P193" i="18" s="1"/>
  <c r="P191" i="18"/>
  <c r="L192" i="18"/>
  <c r="L193" i="18" s="1"/>
  <c r="L191" i="18"/>
  <c r="Y94" i="18"/>
  <c r="Y123" i="18"/>
  <c r="U99" i="18"/>
  <c r="U105" i="18" s="1"/>
  <c r="U53" i="18"/>
  <c r="U95" i="18" s="1"/>
  <c r="U214" i="18"/>
  <c r="V214" i="18" s="1"/>
  <c r="W214" i="18" s="1"/>
  <c r="X214" i="18" s="1"/>
  <c r="Y214" i="18" s="1"/>
  <c r="Z214" i="18" s="1"/>
  <c r="AA214" i="18" s="1"/>
  <c r="AB214" i="18" s="1"/>
  <c r="AC214" i="18" s="1"/>
  <c r="AD214" i="18" s="1"/>
  <c r="AE214" i="18" s="1"/>
  <c r="AF214" i="18" s="1"/>
  <c r="AG214" i="18" s="1"/>
  <c r="AH214" i="18" s="1"/>
  <c r="AI214" i="18" s="1"/>
  <c r="AJ214" i="18" s="1"/>
  <c r="AK214" i="18" s="1"/>
  <c r="AL214" i="18" s="1"/>
  <c r="AM214" i="18" s="1"/>
  <c r="AN214" i="18" s="1"/>
  <c r="AO214" i="18" s="1"/>
  <c r="AP214" i="18" s="1"/>
  <c r="AQ214" i="18" s="1"/>
  <c r="AR214" i="18" s="1"/>
  <c r="AS214" i="18" s="1"/>
  <c r="AT214" i="18" s="1"/>
  <c r="U110" i="18"/>
  <c r="Y132" i="18"/>
  <c r="Y142" i="18"/>
  <c r="Y133" i="18"/>
  <c r="Y143" i="18"/>
  <c r="AF36" i="18"/>
  <c r="AC98" i="18"/>
  <c r="AB23" i="18"/>
  <c r="AA101" i="18"/>
  <c r="AA107" i="18" s="1"/>
  <c r="U136" i="18"/>
  <c r="U135" i="18"/>
  <c r="U100" i="18"/>
  <c r="U106" i="18" s="1"/>
  <c r="U131" i="18"/>
  <c r="U93" i="18"/>
  <c r="Y125" i="18"/>
  <c r="Y126" i="18"/>
  <c r="Y127" i="18"/>
  <c r="Y113" i="18"/>
  <c r="Y97" i="18"/>
  <c r="Y103" i="18" s="1"/>
  <c r="Y122" i="18"/>
  <c r="Y121" i="18"/>
  <c r="U111" i="18"/>
  <c r="U112" i="18"/>
  <c r="Z18" i="18"/>
  <c r="AA20" i="18"/>
  <c r="Z75" i="18"/>
  <c r="Z27" i="18"/>
  <c r="V15" i="18"/>
  <c r="V130" i="18" s="1"/>
  <c r="V13" i="18"/>
  <c r="V12" i="18"/>
  <c r="V16" i="18"/>
  <c r="V138" i="18" s="1"/>
  <c r="V139" i="18" s="1"/>
  <c r="V10" i="18"/>
  <c r="V7" i="18"/>
  <c r="V6" i="18"/>
  <c r="AD36" i="18"/>
  <c r="Z25" i="18"/>
  <c r="Y90" i="18"/>
  <c r="V40" i="18"/>
  <c r="U92" i="18"/>
  <c r="U91" i="18"/>
  <c r="AB21" i="18"/>
  <c r="V177" i="18"/>
  <c r="R182" i="18"/>
  <c r="R179" i="18"/>
  <c r="R184" i="18"/>
  <c r="G183" i="18"/>
  <c r="R69" i="18"/>
  <c r="N183" i="18"/>
  <c r="P183" i="18"/>
  <c r="C16" i="15"/>
  <c r="C21" i="15"/>
  <c r="C10" i="15"/>
  <c r="R193" i="18" l="1"/>
  <c r="R191" i="18"/>
  <c r="U202" i="18"/>
  <c r="U203" i="18" s="1"/>
  <c r="U200" i="18"/>
  <c r="U197" i="18"/>
  <c r="U198" i="18" s="1"/>
  <c r="U195" i="18"/>
  <c r="V187" i="18"/>
  <c r="V201" i="18"/>
  <c r="V196" i="18"/>
  <c r="R192" i="18"/>
  <c r="Z94" i="18"/>
  <c r="Z123" i="18"/>
  <c r="V99" i="18"/>
  <c r="V105" i="18" s="1"/>
  <c r="V53" i="18"/>
  <c r="V95" i="18" s="1"/>
  <c r="U215" i="18"/>
  <c r="V215" i="18" s="1"/>
  <c r="W215" i="18" s="1"/>
  <c r="X215" i="18" s="1"/>
  <c r="Y215" i="18" s="1"/>
  <c r="Z215" i="18" s="1"/>
  <c r="AA215" i="18" s="1"/>
  <c r="AB215" i="18" s="1"/>
  <c r="AC215" i="18" s="1"/>
  <c r="AD215" i="18" s="1"/>
  <c r="AE215" i="18" s="1"/>
  <c r="AF215" i="18" s="1"/>
  <c r="AG215" i="18" s="1"/>
  <c r="AH215" i="18" s="1"/>
  <c r="AI215" i="18" s="1"/>
  <c r="AJ215" i="18" s="1"/>
  <c r="AK215" i="18" s="1"/>
  <c r="AL215" i="18" s="1"/>
  <c r="AM215" i="18" s="1"/>
  <c r="AN215" i="18" s="1"/>
  <c r="AO215" i="18" s="1"/>
  <c r="AP215" i="18" s="1"/>
  <c r="AQ215" i="18" s="1"/>
  <c r="AR215" i="18" s="1"/>
  <c r="AS215" i="18" s="1"/>
  <c r="AT215" i="18" s="1"/>
  <c r="AD98" i="18"/>
  <c r="AC104" i="18"/>
  <c r="AD104" i="18" s="1"/>
  <c r="U213" i="18"/>
  <c r="V213" i="18" s="1"/>
  <c r="W213" i="18" s="1"/>
  <c r="X213" i="18" s="1"/>
  <c r="Y213" i="18" s="1"/>
  <c r="Z213" i="18" s="1"/>
  <c r="AA213" i="18" s="1"/>
  <c r="AB213" i="18" s="1"/>
  <c r="AC213" i="18" s="1"/>
  <c r="AD213" i="18" s="1"/>
  <c r="V110" i="18"/>
  <c r="Z132" i="18"/>
  <c r="Z142" i="18"/>
  <c r="Z133" i="18"/>
  <c r="Z143" i="18"/>
  <c r="AC23" i="18"/>
  <c r="AB101" i="18"/>
  <c r="AB107" i="18" s="1"/>
  <c r="V100" i="18"/>
  <c r="V106" i="18" s="1"/>
  <c r="V131" i="18"/>
  <c r="V136" i="18"/>
  <c r="V135" i="18"/>
  <c r="V93" i="18"/>
  <c r="Z127" i="18"/>
  <c r="Z126" i="18"/>
  <c r="Z125" i="18"/>
  <c r="Z113" i="18"/>
  <c r="Z97" i="18"/>
  <c r="Z103" i="18" s="1"/>
  <c r="Z122" i="18"/>
  <c r="Z121" i="18"/>
  <c r="V111" i="18"/>
  <c r="V112" i="18"/>
  <c r="AA18" i="18"/>
  <c r="AB20" i="18"/>
  <c r="AA75" i="18"/>
  <c r="AA27" i="18"/>
  <c r="W13" i="18"/>
  <c r="W12" i="18"/>
  <c r="W15" i="18"/>
  <c r="W130" i="18" s="1"/>
  <c r="W10" i="18"/>
  <c r="W16" i="18"/>
  <c r="W138" i="18" s="1"/>
  <c r="W139" i="18" s="1"/>
  <c r="W6" i="18"/>
  <c r="W7" i="18"/>
  <c r="W40" i="18"/>
  <c r="V92" i="18"/>
  <c r="V91" i="18"/>
  <c r="AA25" i="18"/>
  <c r="Z90" i="18"/>
  <c r="AC21" i="18"/>
  <c r="AF21" i="18" s="1"/>
  <c r="W177" i="18"/>
  <c r="R183" i="18"/>
  <c r="D31" i="8"/>
  <c r="D29" i="8"/>
  <c r="D28" i="8"/>
  <c r="D13" i="8"/>
  <c r="D30" i="8" s="1"/>
  <c r="E14" i="8"/>
  <c r="F14" i="8" s="1"/>
  <c r="G14" i="8" s="1"/>
  <c r="H14" i="8" s="1"/>
  <c r="I14" i="8" s="1"/>
  <c r="V197" i="18" l="1"/>
  <c r="V198" i="18" s="1"/>
  <c r="V195" i="18"/>
  <c r="V202" i="18"/>
  <c r="V203" i="18" s="1"/>
  <c r="V200" i="18"/>
  <c r="W187" i="18"/>
  <c r="W196" i="18"/>
  <c r="W201" i="18"/>
  <c r="AA94" i="18"/>
  <c r="AA123" i="18"/>
  <c r="W99" i="18"/>
  <c r="W105" i="18" s="1"/>
  <c r="W53" i="18"/>
  <c r="W95" i="18" s="1"/>
  <c r="U212" i="18"/>
  <c r="V212" i="18" s="1"/>
  <c r="W212" i="18" s="1"/>
  <c r="X212" i="18" s="1"/>
  <c r="Y212" i="18" s="1"/>
  <c r="Z212" i="18" s="1"/>
  <c r="AA212" i="18" s="1"/>
  <c r="AB212" i="18" s="1"/>
  <c r="AC212" i="18" s="1"/>
  <c r="AD212" i="18" s="1"/>
  <c r="AE213" i="18"/>
  <c r="AF213" i="18" s="1"/>
  <c r="AG213" i="18" s="1"/>
  <c r="AH213" i="18" s="1"/>
  <c r="AI213" i="18" s="1"/>
  <c r="AJ213" i="18" s="1"/>
  <c r="AK213" i="18" s="1"/>
  <c r="AL213" i="18" s="1"/>
  <c r="AM213" i="18" s="1"/>
  <c r="AN213" i="18" s="1"/>
  <c r="AO213" i="18" s="1"/>
  <c r="AP213" i="18" s="1"/>
  <c r="AQ213" i="18" s="1"/>
  <c r="AR213" i="18" s="1"/>
  <c r="AS213" i="18" s="1"/>
  <c r="AT213" i="18" s="1"/>
  <c r="W110" i="18"/>
  <c r="AA132" i="18"/>
  <c r="AA142" i="18"/>
  <c r="AA133" i="18"/>
  <c r="AA143" i="18"/>
  <c r="AF23" i="18"/>
  <c r="AC101" i="18"/>
  <c r="AD23" i="18"/>
  <c r="W93" i="18"/>
  <c r="W135" i="18"/>
  <c r="W136" i="18"/>
  <c r="W100" i="18"/>
  <c r="W106" i="18" s="1"/>
  <c r="W131" i="18"/>
  <c r="AA127" i="18"/>
  <c r="AA126" i="18"/>
  <c r="AA125" i="18"/>
  <c r="AA113" i="18"/>
  <c r="AA97" i="18"/>
  <c r="AA103" i="18" s="1"/>
  <c r="AA122" i="18"/>
  <c r="AA121" i="18"/>
  <c r="W112" i="18"/>
  <c r="W111" i="18"/>
  <c r="AB18" i="18"/>
  <c r="AC20" i="18"/>
  <c r="AB75" i="18"/>
  <c r="AB27" i="18"/>
  <c r="X12" i="18"/>
  <c r="X15" i="18"/>
  <c r="X130" i="18" s="1"/>
  <c r="X13" i="18"/>
  <c r="X16" i="18"/>
  <c r="X138" i="18" s="1"/>
  <c r="X139" i="18" s="1"/>
  <c r="X10" i="18"/>
  <c r="X7" i="18"/>
  <c r="X6" i="18"/>
  <c r="AB25" i="18"/>
  <c r="AB123" i="18" s="1"/>
  <c r="AA90" i="18"/>
  <c r="X40" i="18"/>
  <c r="W91" i="18"/>
  <c r="W92" i="18"/>
  <c r="AD21" i="18"/>
  <c r="X177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W202" i="18" l="1"/>
  <c r="W203" i="18" s="1"/>
  <c r="W200" i="18"/>
  <c r="W197" i="18"/>
  <c r="W198" i="18" s="1"/>
  <c r="W195" i="18"/>
  <c r="X187" i="18"/>
  <c r="X201" i="18"/>
  <c r="X196" i="18"/>
  <c r="X99" i="18"/>
  <c r="X105" i="18" s="1"/>
  <c r="X53" i="18"/>
  <c r="X95" i="18" s="1"/>
  <c r="AE212" i="18"/>
  <c r="AF212" i="18" s="1"/>
  <c r="AG212" i="18" s="1"/>
  <c r="AH212" i="18" s="1"/>
  <c r="AI212" i="18" s="1"/>
  <c r="AJ212" i="18" s="1"/>
  <c r="AK212" i="18" s="1"/>
  <c r="AL212" i="18" s="1"/>
  <c r="AM212" i="18" s="1"/>
  <c r="AN212" i="18" s="1"/>
  <c r="AO212" i="18" s="1"/>
  <c r="AP212" i="18" s="1"/>
  <c r="AQ212" i="18" s="1"/>
  <c r="AR212" i="18" s="1"/>
  <c r="AS212" i="18" s="1"/>
  <c r="AT212" i="18" s="1"/>
  <c r="AD101" i="18"/>
  <c r="AC107" i="18"/>
  <c r="AD107" i="18" s="1"/>
  <c r="X110" i="18"/>
  <c r="AB132" i="18"/>
  <c r="AB142" i="18"/>
  <c r="AB133" i="18"/>
  <c r="AB143" i="18"/>
  <c r="AF20" i="18"/>
  <c r="AB94" i="18"/>
  <c r="X136" i="18"/>
  <c r="X135" i="18"/>
  <c r="X100" i="18"/>
  <c r="X106" i="18" s="1"/>
  <c r="X131" i="18"/>
  <c r="X93" i="18"/>
  <c r="AB126" i="18"/>
  <c r="AB125" i="18"/>
  <c r="AB127" i="18"/>
  <c r="AB113" i="18"/>
  <c r="AB97" i="18"/>
  <c r="AB103" i="18" s="1"/>
  <c r="AB122" i="18"/>
  <c r="AB121" i="18"/>
  <c r="X112" i="18"/>
  <c r="X111" i="18"/>
  <c r="AC18" i="18"/>
  <c r="AD20" i="18"/>
  <c r="AC75" i="18"/>
  <c r="AC27" i="18"/>
  <c r="AC143" i="18" s="1"/>
  <c r="AD143" i="18" s="1"/>
  <c r="Y15" i="18"/>
  <c r="Y130" i="18" s="1"/>
  <c r="Y13" i="18"/>
  <c r="Y12" i="18"/>
  <c r="Y10" i="18"/>
  <c r="Y16" i="18"/>
  <c r="Y138" i="18" s="1"/>
  <c r="Y139" i="18" s="1"/>
  <c r="Y6" i="18"/>
  <c r="Y7" i="18"/>
  <c r="Y40" i="18"/>
  <c r="X92" i="18"/>
  <c r="X91" i="18"/>
  <c r="AC25" i="18"/>
  <c r="AB90" i="18"/>
  <c r="Y177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197" i="18" l="1"/>
  <c r="X198" i="18" s="1"/>
  <c r="X195" i="18"/>
  <c r="X202" i="18"/>
  <c r="X203" i="18" s="1"/>
  <c r="X200" i="18"/>
  <c r="Y187" i="18"/>
  <c r="Y201" i="18"/>
  <c r="Y196" i="18"/>
  <c r="AC94" i="18"/>
  <c r="AD94" i="18" s="1"/>
  <c r="AC123" i="18"/>
  <c r="AD123" i="18" s="1"/>
  <c r="Y99" i="18"/>
  <c r="Y105" i="18" s="1"/>
  <c r="Y53" i="18"/>
  <c r="Y95" i="18" s="1"/>
  <c r="Y110" i="18"/>
  <c r="AC132" i="18"/>
  <c r="AD132" i="18" s="1"/>
  <c r="AC142" i="18"/>
  <c r="AD142" i="18" s="1"/>
  <c r="Y100" i="18"/>
  <c r="Y106" i="18" s="1"/>
  <c r="Y131" i="18"/>
  <c r="Y136" i="18"/>
  <c r="Y135" i="18"/>
  <c r="AF27" i="18"/>
  <c r="AC133" i="18"/>
  <c r="AD133" i="18" s="1"/>
  <c r="Y93" i="18"/>
  <c r="AC125" i="18"/>
  <c r="AD125" i="18" s="1"/>
  <c r="AC127" i="18"/>
  <c r="AD127" i="18" s="1"/>
  <c r="AC126" i="18"/>
  <c r="AD126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13" i="18"/>
  <c r="AD113" i="18" s="1"/>
  <c r="AC97" i="18"/>
  <c r="AC122" i="18"/>
  <c r="AD122" i="18" s="1"/>
  <c r="AC121" i="18"/>
  <c r="AD121" i="18" s="1"/>
  <c r="Y112" i="18"/>
  <c r="Y111" i="18"/>
  <c r="AF25" i="18"/>
  <c r="AF18" i="18"/>
  <c r="AD18" i="18"/>
  <c r="T166" i="18"/>
  <c r="AF75" i="18"/>
  <c r="AD75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AD27" i="18"/>
  <c r="Z12" i="18"/>
  <c r="Z15" i="18"/>
  <c r="Z130" i="18" s="1"/>
  <c r="Z13" i="18"/>
  <c r="Z10" i="18"/>
  <c r="Z16" i="18"/>
  <c r="Z138" i="18" s="1"/>
  <c r="Z139" i="18" s="1"/>
  <c r="Z7" i="18"/>
  <c r="Z6" i="18"/>
  <c r="AD25" i="18"/>
  <c r="AC90" i="18"/>
  <c r="AD90" i="18" s="1"/>
  <c r="Z40" i="18"/>
  <c r="Y92" i="18"/>
  <c r="Y91" i="18"/>
  <c r="O31" i="9"/>
  <c r="O32" i="9" s="1"/>
  <c r="Z177" i="18"/>
  <c r="P31" i="11"/>
  <c r="N32" i="11"/>
  <c r="T19" i="9"/>
  <c r="D22" i="9"/>
  <c r="Y197" i="18" l="1"/>
  <c r="Y198" i="18" s="1"/>
  <c r="Y195" i="18"/>
  <c r="Y202" i="18"/>
  <c r="Y203" i="18" s="1"/>
  <c r="Y200" i="18"/>
  <c r="Z187" i="18"/>
  <c r="Z196" i="18"/>
  <c r="Z201" i="18"/>
  <c r="Z99" i="18"/>
  <c r="Z105" i="18" s="1"/>
  <c r="Z53" i="18"/>
  <c r="Z95" i="18" s="1"/>
  <c r="AD97" i="18"/>
  <c r="AC103" i="18"/>
  <c r="AD103" i="18" s="1"/>
  <c r="Z110" i="18"/>
  <c r="Z136" i="18"/>
  <c r="Z135" i="18"/>
  <c r="Z100" i="18"/>
  <c r="Z106" i="18" s="1"/>
  <c r="Z131" i="18"/>
  <c r="Z93" i="18"/>
  <c r="Z111" i="18"/>
  <c r="Z112" i="18"/>
  <c r="U166" i="18"/>
  <c r="S166" i="18" s="1"/>
  <c r="AA13" i="18"/>
  <c r="AA12" i="18"/>
  <c r="AA15" i="18"/>
  <c r="AA130" i="18" s="1"/>
  <c r="AA10" i="18"/>
  <c r="AA16" i="18"/>
  <c r="AA138" i="18" s="1"/>
  <c r="AA139" i="18" s="1"/>
  <c r="AA6" i="18"/>
  <c r="AA7" i="18"/>
  <c r="AA40" i="18"/>
  <c r="Z92" i="18"/>
  <c r="Z91" i="18"/>
  <c r="AA177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202" i="18" l="1"/>
  <c r="Z203" i="18" s="1"/>
  <c r="Z200" i="18"/>
  <c r="Z197" i="18"/>
  <c r="Z198" i="18" s="1"/>
  <c r="Z195" i="18"/>
  <c r="AA187" i="18"/>
  <c r="AA201" i="18"/>
  <c r="AA196" i="18"/>
  <c r="AA99" i="18"/>
  <c r="AA105" i="18" s="1"/>
  <c r="AA53" i="18"/>
  <c r="AA95" i="18" s="1"/>
  <c r="AA110" i="18"/>
  <c r="AA100" i="18"/>
  <c r="AA106" i="18" s="1"/>
  <c r="AA131" i="18"/>
  <c r="AA135" i="18"/>
  <c r="AA136" i="18"/>
  <c r="AA93" i="18"/>
  <c r="AA111" i="18"/>
  <c r="AA112" i="18"/>
  <c r="AB12" i="18"/>
  <c r="AB15" i="18"/>
  <c r="AB130" i="18" s="1"/>
  <c r="AB13" i="18"/>
  <c r="AB10" i="18"/>
  <c r="AB16" i="18"/>
  <c r="AB138" i="18" s="1"/>
  <c r="AB139" i="18" s="1"/>
  <c r="AB7" i="18"/>
  <c r="AB6" i="18"/>
  <c r="AB40" i="18"/>
  <c r="AA91" i="18"/>
  <c r="AA92" i="18"/>
  <c r="AB177" i="18"/>
  <c r="N34" i="11"/>
  <c r="O33" i="11"/>
  <c r="D25" i="8"/>
  <c r="D23" i="8"/>
  <c r="AA197" i="18" l="1"/>
  <c r="AA198" i="18" s="1"/>
  <c r="AA195" i="18"/>
  <c r="AA202" i="18"/>
  <c r="AA203" i="18" s="1"/>
  <c r="AA200" i="18"/>
  <c r="AB187" i="18"/>
  <c r="AB201" i="18"/>
  <c r="AB196" i="18"/>
  <c r="AB99" i="18"/>
  <c r="AB105" i="18" s="1"/>
  <c r="AB53" i="18"/>
  <c r="AB95" i="18" s="1"/>
  <c r="AB110" i="18"/>
  <c r="AB93" i="18"/>
  <c r="AB135" i="18"/>
  <c r="AB136" i="18"/>
  <c r="AB100" i="18"/>
  <c r="AB106" i="18" s="1"/>
  <c r="AB131" i="18"/>
  <c r="AB111" i="18"/>
  <c r="AB112" i="18"/>
  <c r="AC15" i="18"/>
  <c r="AC13" i="18"/>
  <c r="AF13" i="18" s="1"/>
  <c r="AC12" i="18"/>
  <c r="AC131" i="18" s="1"/>
  <c r="AD131" i="18" s="1"/>
  <c r="AC10" i="18"/>
  <c r="AC16" i="18"/>
  <c r="AC6" i="18"/>
  <c r="AF6" i="18" s="1"/>
  <c r="AC7" i="18"/>
  <c r="AF7" i="18" s="1"/>
  <c r="AC40" i="18"/>
  <c r="AB92" i="18"/>
  <c r="AB91" i="18"/>
  <c r="AC177" i="18"/>
  <c r="N35" i="11"/>
  <c r="O34" i="11"/>
  <c r="D35" i="8"/>
  <c r="E5" i="8"/>
  <c r="E18" i="8" s="1"/>
  <c r="D18" i="8"/>
  <c r="D19" i="8"/>
  <c r="D21" i="8"/>
  <c r="D20" i="8"/>
  <c r="AB197" i="18" l="1"/>
  <c r="AB198" i="18" s="1"/>
  <c r="AB195" i="18"/>
  <c r="AB202" i="18"/>
  <c r="AB203" i="18" s="1"/>
  <c r="AB200" i="18"/>
  <c r="AC187" i="18"/>
  <c r="AD187" i="18" s="1"/>
  <c r="AF187" i="18" s="1"/>
  <c r="AF203" i="18" s="1"/>
  <c r="AC201" i="18"/>
  <c r="AC200" i="18" s="1"/>
  <c r="AD200" i="18" s="1"/>
  <c r="AC196" i="18"/>
  <c r="AC195" i="18" s="1"/>
  <c r="AD195" i="18" s="1"/>
  <c r="AC99" i="18"/>
  <c r="AC105" i="18" s="1"/>
  <c r="AD105" i="18" s="1"/>
  <c r="AC53" i="18"/>
  <c r="AC110" i="18"/>
  <c r="AD110" i="18" s="1"/>
  <c r="AF16" i="18"/>
  <c r="AC138" i="18"/>
  <c r="AC136" i="18"/>
  <c r="AD136" i="18" s="1"/>
  <c r="AC135" i="18"/>
  <c r="AD135" i="18" s="1"/>
  <c r="AF15" i="18"/>
  <c r="AC130" i="18"/>
  <c r="AD130" i="18" s="1"/>
  <c r="AC93" i="18"/>
  <c r="AD93" i="18" s="1"/>
  <c r="AF10" i="18"/>
  <c r="AF12" i="18"/>
  <c r="AC100" i="18"/>
  <c r="AF40" i="18"/>
  <c r="AC111" i="18"/>
  <c r="AD111" i="18" s="1"/>
  <c r="AC112" i="18"/>
  <c r="AD112" i="18" s="1"/>
  <c r="AD15" i="18"/>
  <c r="AD13" i="18"/>
  <c r="T160" i="18"/>
  <c r="AD12" i="18"/>
  <c r="AD10" i="18"/>
  <c r="AD16" i="18"/>
  <c r="AD7" i="18"/>
  <c r="AD6" i="18"/>
  <c r="AC92" i="18"/>
  <c r="AD92" i="18" s="1"/>
  <c r="AC91" i="18"/>
  <c r="AD91" i="18" s="1"/>
  <c r="AD40" i="18"/>
  <c r="AD177" i="18"/>
  <c r="AF177" i="18" s="1"/>
  <c r="N36" i="11"/>
  <c r="O35" i="11"/>
  <c r="F5" i="8"/>
  <c r="G5" i="8" s="1"/>
  <c r="H5" i="8" s="1"/>
  <c r="I5" i="8" s="1"/>
  <c r="AC197" i="18" l="1"/>
  <c r="AD196" i="18"/>
  <c r="AD201" i="18"/>
  <c r="AC202" i="18"/>
  <c r="AD53" i="18"/>
  <c r="AF53" i="18"/>
  <c r="AD99" i="18"/>
  <c r="AC95" i="18"/>
  <c r="AD95" i="18" s="1"/>
  <c r="AD100" i="18"/>
  <c r="AC106" i="18"/>
  <c r="AD106" i="18" s="1"/>
  <c r="AD138" i="18"/>
  <c r="AC139" i="18"/>
  <c r="AD139" i="18" s="1"/>
  <c r="U160" i="18"/>
  <c r="U161" i="18" s="1"/>
  <c r="T161" i="18"/>
  <c r="Q209" i="18" s="1"/>
  <c r="N37" i="11"/>
  <c r="O36" i="11"/>
  <c r="F18" i="8"/>
  <c r="G18" i="8"/>
  <c r="AD197" i="18" l="1"/>
  <c r="AC198" i="18"/>
  <c r="AD198" i="18" s="1"/>
  <c r="AC203" i="18"/>
  <c r="AD203" i="18" s="1"/>
  <c r="AD202" i="18"/>
  <c r="S160" i="18"/>
  <c r="S161" i="18"/>
  <c r="N38" i="11"/>
  <c r="O37" i="11"/>
  <c r="H18" i="8"/>
  <c r="M209" i="18" l="1"/>
  <c r="P209" i="18"/>
  <c r="N39" i="11"/>
  <c r="O38" i="11"/>
  <c r="I18" i="8"/>
  <c r="N40" i="11" l="1"/>
  <c r="O39" i="11"/>
  <c r="N41" i="11" l="1"/>
  <c r="O40" i="11"/>
  <c r="N42" i="11" l="1"/>
  <c r="O41" i="11"/>
  <c r="T188" i="18"/>
  <c r="T78" i="18"/>
  <c r="T59" i="18"/>
  <c r="T64" i="18"/>
  <c r="T85" i="18"/>
  <c r="T87" i="18"/>
  <c r="T80" i="18"/>
  <c r="T77" i="18"/>
  <c r="T63" i="18"/>
  <c r="T58" i="18"/>
  <c r="T52" i="18"/>
  <c r="T70" i="18"/>
  <c r="T84" i="18"/>
  <c r="T68" i="18"/>
  <c r="T61" i="18"/>
  <c r="T79" i="18"/>
  <c r="T81" i="18"/>
  <c r="T65" i="18"/>
  <c r="T185" i="18" s="1"/>
  <c r="T51" i="18"/>
  <c r="T178" i="18" s="1"/>
  <c r="T56" i="18"/>
  <c r="T181" i="18" s="1"/>
  <c r="T71" i="18"/>
  <c r="T184" i="18" s="1"/>
  <c r="T83" i="18"/>
  <c r="T140" i="18" s="1"/>
  <c r="T55" i="18"/>
  <c r="T180" i="18" s="1"/>
  <c r="T67" i="18"/>
  <c r="T115" i="18"/>
  <c r="T116" i="18" s="1"/>
  <c r="T57" i="18"/>
  <c r="T190" i="18" s="1"/>
  <c r="T60" i="18"/>
  <c r="T182" i="18" s="1"/>
  <c r="U42" i="18"/>
  <c r="T69" i="18" l="1"/>
  <c r="T183" i="18" s="1"/>
  <c r="U61" i="18"/>
  <c r="U84" i="18"/>
  <c r="U68" i="18"/>
  <c r="U80" i="18"/>
  <c r="U64" i="18"/>
  <c r="U63" i="18"/>
  <c r="U188" i="18"/>
  <c r="U79" i="18"/>
  <c r="U59" i="18"/>
  <c r="U83" i="18"/>
  <c r="U140" i="18" s="1"/>
  <c r="U71" i="18"/>
  <c r="U184" i="18" s="1"/>
  <c r="U55" i="18"/>
  <c r="U180" i="18" s="1"/>
  <c r="U115" i="18"/>
  <c r="U116" i="18" s="1"/>
  <c r="U77" i="18"/>
  <c r="U58" i="18"/>
  <c r="U87" i="18"/>
  <c r="U70" i="18"/>
  <c r="U85" i="18"/>
  <c r="U78" i="18"/>
  <c r="U81" i="18"/>
  <c r="U52" i="18"/>
  <c r="U60" i="18"/>
  <c r="U182" i="18" s="1"/>
  <c r="U51" i="18"/>
  <c r="U178" i="18" s="1"/>
  <c r="U65" i="18"/>
  <c r="U185" i="18" s="1"/>
  <c r="U56" i="18"/>
  <c r="U181" i="18" s="1"/>
  <c r="U57" i="18"/>
  <c r="U190" i="18" s="1"/>
  <c r="V42" i="18"/>
  <c r="U67" i="18"/>
  <c r="T117" i="18"/>
  <c r="T118" i="18" s="1"/>
  <c r="T119" i="18"/>
  <c r="T179" i="18"/>
  <c r="U69" i="18" l="1"/>
  <c r="U183" i="18" s="1"/>
  <c r="T192" i="18"/>
  <c r="T193" i="18" s="1"/>
  <c r="T191" i="18"/>
  <c r="V78" i="18"/>
  <c r="V55" i="18"/>
  <c r="V180" i="18" s="1"/>
  <c r="V79" i="18"/>
  <c r="V80" i="18"/>
  <c r="V84" i="18"/>
  <c r="V64" i="18"/>
  <c r="V61" i="18"/>
  <c r="V87" i="18"/>
  <c r="V70" i="18"/>
  <c r="V68" i="18"/>
  <c r="V51" i="18"/>
  <c r="V178" i="18" s="1"/>
  <c r="V60" i="18"/>
  <c r="V182" i="18" s="1"/>
  <c r="V56" i="18"/>
  <c r="V181" i="18" s="1"/>
  <c r="V59" i="18"/>
  <c r="V58" i="18"/>
  <c r="V77" i="18"/>
  <c r="V81" i="18"/>
  <c r="V52" i="18"/>
  <c r="V65" i="18"/>
  <c r="V185" i="18" s="1"/>
  <c r="V85" i="18"/>
  <c r="V63" i="18"/>
  <c r="V188" i="18"/>
  <c r="V83" i="18"/>
  <c r="V140" i="18" s="1"/>
  <c r="V71" i="18"/>
  <c r="V184" i="18" s="1"/>
  <c r="V67" i="18"/>
  <c r="V115" i="18"/>
  <c r="V116" i="18" s="1"/>
  <c r="V57" i="18"/>
  <c r="V190" i="18" s="1"/>
  <c r="W42" i="18"/>
  <c r="U179" i="18"/>
  <c r="U119" i="18"/>
  <c r="U117" i="18"/>
  <c r="U118" i="18" s="1"/>
  <c r="U192" i="18" l="1"/>
  <c r="U193" i="18" s="1"/>
  <c r="U191" i="18"/>
  <c r="W78" i="18"/>
  <c r="W188" i="18"/>
  <c r="W52" i="18"/>
  <c r="W79" i="18"/>
  <c r="W64" i="18"/>
  <c r="W59" i="18"/>
  <c r="W63" i="18"/>
  <c r="W77" i="18"/>
  <c r="W83" i="18"/>
  <c r="W140" i="18" s="1"/>
  <c r="W55" i="18"/>
  <c r="W180" i="18" s="1"/>
  <c r="W56" i="18"/>
  <c r="W181" i="18" s="1"/>
  <c r="W71" i="18"/>
  <c r="W184" i="18" s="1"/>
  <c r="W87" i="18"/>
  <c r="W58" i="18"/>
  <c r="W81" i="18"/>
  <c r="W85" i="18"/>
  <c r="W84" i="18"/>
  <c r="W61" i="18"/>
  <c r="W80" i="18"/>
  <c r="W70" i="18"/>
  <c r="W68" i="18"/>
  <c r="W65" i="18"/>
  <c r="W185" i="18" s="1"/>
  <c r="W51" i="18"/>
  <c r="W178" i="18" s="1"/>
  <c r="W115" i="18"/>
  <c r="W116" i="18" s="1"/>
  <c r="W57" i="18"/>
  <c r="W190" i="18" s="1"/>
  <c r="W60" i="18"/>
  <c r="W182" i="18" s="1"/>
  <c r="X42" i="18"/>
  <c r="W67" i="18"/>
  <c r="V179" i="18"/>
  <c r="V117" i="18"/>
  <c r="V118" i="18" s="1"/>
  <c r="V119" i="18"/>
  <c r="V69" i="18"/>
  <c r="V183" i="18" s="1"/>
  <c r="V192" i="18" l="1"/>
  <c r="V193" i="18" s="1"/>
  <c r="V191" i="18"/>
  <c r="W179" i="18"/>
  <c r="W69" i="18"/>
  <c r="W183" i="18" s="1"/>
  <c r="W119" i="18"/>
  <c r="W117" i="18"/>
  <c r="W118" i="18" s="1"/>
  <c r="X58" i="18"/>
  <c r="X79" i="18"/>
  <c r="X68" i="18"/>
  <c r="X78" i="18"/>
  <c r="X77" i="18"/>
  <c r="X63" i="18"/>
  <c r="X52" i="18"/>
  <c r="X61" i="18"/>
  <c r="X60" i="18"/>
  <c r="X182" i="18" s="1"/>
  <c r="X51" i="18"/>
  <c r="X178" i="18" s="1"/>
  <c r="X83" i="18"/>
  <c r="X140" i="18" s="1"/>
  <c r="X188" i="18"/>
  <c r="X81" i="18"/>
  <c r="X59" i="18"/>
  <c r="X87" i="18"/>
  <c r="X80" i="18"/>
  <c r="X64" i="18"/>
  <c r="X70" i="18"/>
  <c r="X84" i="18"/>
  <c r="X85" i="18"/>
  <c r="X55" i="18"/>
  <c r="X180" i="18" s="1"/>
  <c r="X56" i="18"/>
  <c r="X181" i="18" s="1"/>
  <c r="X71" i="18"/>
  <c r="X184" i="18" s="1"/>
  <c r="X65" i="18"/>
  <c r="X185" i="18" s="1"/>
  <c r="X67" i="18"/>
  <c r="X57" i="18"/>
  <c r="X190" i="18" s="1"/>
  <c r="X115" i="18"/>
  <c r="X116" i="18" s="1"/>
  <c r="Y42" i="18"/>
  <c r="X69" i="18" l="1"/>
  <c r="X183" i="18" s="1"/>
  <c r="W192" i="18"/>
  <c r="W193" i="18" s="1"/>
  <c r="W191" i="18"/>
  <c r="Y58" i="18"/>
  <c r="Y61" i="18"/>
  <c r="Y63" i="18"/>
  <c r="Y52" i="18"/>
  <c r="Y65" i="18"/>
  <c r="Y185" i="18" s="1"/>
  <c r="Y77" i="18"/>
  <c r="Y70" i="18"/>
  <c r="Y78" i="18"/>
  <c r="Y68" i="18"/>
  <c r="Y56" i="18"/>
  <c r="Y181" i="18" s="1"/>
  <c r="Y51" i="18"/>
  <c r="Y178" i="18" s="1"/>
  <c r="Y60" i="18"/>
  <c r="Y182" i="18" s="1"/>
  <c r="Y80" i="18"/>
  <c r="Y79" i="18"/>
  <c r="Y59" i="18"/>
  <c r="Y85" i="18"/>
  <c r="Y71" i="18"/>
  <c r="Y184" i="18" s="1"/>
  <c r="Y87" i="18"/>
  <c r="Y188" i="18"/>
  <c r="Y84" i="18"/>
  <c r="Y81" i="18"/>
  <c r="Y64" i="18"/>
  <c r="Y83" i="18"/>
  <c r="Y140" i="18" s="1"/>
  <c r="Y55" i="18"/>
  <c r="Y180" i="18" s="1"/>
  <c r="Z42" i="18"/>
  <c r="Y115" i="18"/>
  <c r="Y116" i="18" s="1"/>
  <c r="Y67" i="18"/>
  <c r="Y57" i="18"/>
  <c r="Y190" i="18" s="1"/>
  <c r="X117" i="18"/>
  <c r="X118" i="18" s="1"/>
  <c r="X119" i="18"/>
  <c r="X179" i="18"/>
  <c r="X192" i="18" l="1"/>
  <c r="X193" i="18" s="1"/>
  <c r="X191" i="18"/>
  <c r="Y69" i="18"/>
  <c r="Y183" i="18" s="1"/>
  <c r="Z77" i="18"/>
  <c r="Z64" i="18"/>
  <c r="Z188" i="18"/>
  <c r="Z63" i="18"/>
  <c r="Z65" i="18"/>
  <c r="Z185" i="18" s="1"/>
  <c r="Z80" i="18"/>
  <c r="Z52" i="18"/>
  <c r="Z68" i="18"/>
  <c r="Z85" i="18"/>
  <c r="Z83" i="18"/>
  <c r="Z140" i="18" s="1"/>
  <c r="Z51" i="18"/>
  <c r="Z178" i="18" s="1"/>
  <c r="Z84" i="18"/>
  <c r="Z59" i="18"/>
  <c r="Z61" i="18"/>
  <c r="Z81" i="18"/>
  <c r="Z71" i="18"/>
  <c r="Z184" i="18" s="1"/>
  <c r="Z58" i="18"/>
  <c r="Z87" i="18"/>
  <c r="Z79" i="18"/>
  <c r="Z78" i="18"/>
  <c r="Z70" i="18"/>
  <c r="Z55" i="18"/>
  <c r="Z180" i="18" s="1"/>
  <c r="Z56" i="18"/>
  <c r="Z181" i="18" s="1"/>
  <c r="Z60" i="18"/>
  <c r="Z182" i="18" s="1"/>
  <c r="Z115" i="18"/>
  <c r="Z116" i="18" s="1"/>
  <c r="Z57" i="18"/>
  <c r="Z190" i="18" s="1"/>
  <c r="Z67" i="18"/>
  <c r="AA42" i="18"/>
  <c r="Y179" i="18"/>
  <c r="Y117" i="18"/>
  <c r="Y118" i="18" s="1"/>
  <c r="Y119" i="18"/>
  <c r="Y192" i="18" l="1"/>
  <c r="Y193" i="18" s="1"/>
  <c r="Y191" i="18"/>
  <c r="Z69" i="18"/>
  <c r="Z183" i="18" s="1"/>
  <c r="Z119" i="18"/>
  <c r="Z117" i="18"/>
  <c r="Z118" i="18" s="1"/>
  <c r="AA77" i="18"/>
  <c r="AA79" i="18"/>
  <c r="AA61" i="18"/>
  <c r="AA81" i="18"/>
  <c r="AA51" i="18"/>
  <c r="AA178" i="18" s="1"/>
  <c r="AA59" i="18"/>
  <c r="AA68" i="18"/>
  <c r="AA85" i="18"/>
  <c r="AA80" i="18"/>
  <c r="AA55" i="18"/>
  <c r="AA180" i="18" s="1"/>
  <c r="AA65" i="18"/>
  <c r="AA185" i="18" s="1"/>
  <c r="AA70" i="18"/>
  <c r="AA64" i="18"/>
  <c r="AA188" i="18"/>
  <c r="AA84" i="18"/>
  <c r="AA87" i="18"/>
  <c r="AA78" i="18"/>
  <c r="AA52" i="18"/>
  <c r="AA58" i="18"/>
  <c r="AA63" i="18"/>
  <c r="AA56" i="18"/>
  <c r="AA181" i="18" s="1"/>
  <c r="AA71" i="18"/>
  <c r="AA184" i="18" s="1"/>
  <c r="AA83" i="18"/>
  <c r="AA140" i="18" s="1"/>
  <c r="AA60" i="18"/>
  <c r="AA182" i="18" s="1"/>
  <c r="AA115" i="18"/>
  <c r="AA116" i="18" s="1"/>
  <c r="AA67" i="18"/>
  <c r="AA57" i="18"/>
  <c r="AA190" i="18" s="1"/>
  <c r="AB42" i="18"/>
  <c r="Z179" i="18"/>
  <c r="Z192" i="18" l="1"/>
  <c r="Z193" i="18" s="1"/>
  <c r="Z191" i="18"/>
  <c r="AA179" i="18"/>
  <c r="AA69" i="18"/>
  <c r="AA183" i="18" s="1"/>
  <c r="AA117" i="18"/>
  <c r="AA118" i="18" s="1"/>
  <c r="AA119" i="18"/>
  <c r="AB64" i="18"/>
  <c r="AB77" i="18"/>
  <c r="AB68" i="18"/>
  <c r="AB58" i="18"/>
  <c r="AB83" i="18"/>
  <c r="AB140" i="18" s="1"/>
  <c r="AB85" i="18"/>
  <c r="AB78" i="18"/>
  <c r="AB84" i="18"/>
  <c r="AB61" i="18"/>
  <c r="AB51" i="18"/>
  <c r="AB178" i="18" s="1"/>
  <c r="AB71" i="18"/>
  <c r="AB184" i="18" s="1"/>
  <c r="AB81" i="18"/>
  <c r="AB56" i="18"/>
  <c r="AB181" i="18" s="1"/>
  <c r="AB87" i="18"/>
  <c r="AB79" i="18"/>
  <c r="AB80" i="18"/>
  <c r="AB70" i="18"/>
  <c r="AB63" i="18"/>
  <c r="AB52" i="18"/>
  <c r="AB188" i="18"/>
  <c r="AB59" i="18"/>
  <c r="AB55" i="18"/>
  <c r="AB180" i="18" s="1"/>
  <c r="AB65" i="18"/>
  <c r="AB185" i="18" s="1"/>
  <c r="AB60" i="18"/>
  <c r="AB182" i="18" s="1"/>
  <c r="AB115" i="18"/>
  <c r="AB116" i="18" s="1"/>
  <c r="AB57" i="18"/>
  <c r="AB190" i="18" s="1"/>
  <c r="AC42" i="18"/>
  <c r="AB67" i="18"/>
  <c r="AA192" i="18" l="1"/>
  <c r="AA193" i="18" s="1"/>
  <c r="AA191" i="18"/>
  <c r="AB69" i="18"/>
  <c r="AB183" i="18" s="1"/>
  <c r="AB179" i="18"/>
  <c r="AC188" i="18"/>
  <c r="AC84" i="18"/>
  <c r="AC85" i="18"/>
  <c r="AC52" i="18"/>
  <c r="AD42" i="18"/>
  <c r="AC58" i="18"/>
  <c r="AF42" i="18"/>
  <c r="AC87" i="18"/>
  <c r="AC83" i="18"/>
  <c r="AC55" i="18"/>
  <c r="AC51" i="18"/>
  <c r="AC56" i="18"/>
  <c r="AC60" i="18"/>
  <c r="AC70" i="18"/>
  <c r="AC57" i="18"/>
  <c r="AC190" i="18" s="1"/>
  <c r="AC71" i="18"/>
  <c r="AC78" i="18"/>
  <c r="AC80" i="18"/>
  <c r="AC65" i="18"/>
  <c r="AC67" i="18"/>
  <c r="AC63" i="18"/>
  <c r="AC68" i="18"/>
  <c r="AC79" i="18"/>
  <c r="AC77" i="18"/>
  <c r="AC61" i="18"/>
  <c r="AC81" i="18"/>
  <c r="AC115" i="18"/>
  <c r="AC59" i="18"/>
  <c r="AC64" i="18"/>
  <c r="AB119" i="18"/>
  <c r="AB117" i="18"/>
  <c r="AB118" i="18" s="1"/>
  <c r="AB192" i="18" l="1"/>
  <c r="AB193" i="18" s="1"/>
  <c r="AB191" i="18"/>
  <c r="AC116" i="18"/>
  <c r="AD115" i="18"/>
  <c r="AD79" i="18"/>
  <c r="T170" i="18"/>
  <c r="AF79" i="18"/>
  <c r="U170" i="18" s="1"/>
  <c r="AF65" i="18"/>
  <c r="U155" i="18" s="1"/>
  <c r="AC185" i="18"/>
  <c r="AD65" i="18"/>
  <c r="T155" i="18"/>
  <c r="AD57" i="18"/>
  <c r="AF57" i="18"/>
  <c r="U147" i="18" s="1"/>
  <c r="T147" i="18"/>
  <c r="AC179" i="18"/>
  <c r="AC191" i="18" s="1"/>
  <c r="AD191" i="18" s="1"/>
  <c r="AF51" i="18"/>
  <c r="AD51" i="18"/>
  <c r="AC178" i="18"/>
  <c r="AD85" i="18"/>
  <c r="AF85" i="18"/>
  <c r="T174" i="18"/>
  <c r="AF81" i="18"/>
  <c r="U174" i="18" s="1"/>
  <c r="AD81" i="18"/>
  <c r="AF68" i="18"/>
  <c r="AD68" i="18"/>
  <c r="AF80" i="18"/>
  <c r="U171" i="18" s="1"/>
  <c r="AD80" i="18"/>
  <c r="T171" i="18"/>
  <c r="AD70" i="18"/>
  <c r="T157" i="18"/>
  <c r="AF70" i="18"/>
  <c r="U157" i="18" s="1"/>
  <c r="AD55" i="18"/>
  <c r="AF55" i="18"/>
  <c r="AC180" i="18"/>
  <c r="AD58" i="18"/>
  <c r="AF58" i="18"/>
  <c r="AF84" i="18"/>
  <c r="AD84" i="18"/>
  <c r="AD64" i="18"/>
  <c r="AF64" i="18"/>
  <c r="U154" i="18" s="1"/>
  <c r="T154" i="18"/>
  <c r="AD61" i="18"/>
  <c r="T150" i="18"/>
  <c r="AF61" i="18"/>
  <c r="U150" i="18" s="1"/>
  <c r="T153" i="18"/>
  <c r="AD63" i="18"/>
  <c r="AF63" i="18"/>
  <c r="U153" i="18" s="1"/>
  <c r="AD78" i="18"/>
  <c r="T169" i="18"/>
  <c r="AF78" i="18"/>
  <c r="U169" i="18" s="1"/>
  <c r="AD60" i="18"/>
  <c r="AF60" i="18"/>
  <c r="U149" i="18" s="1"/>
  <c r="AC182" i="18"/>
  <c r="T149" i="18"/>
  <c r="AF83" i="18"/>
  <c r="AD83" i="18"/>
  <c r="AC140" i="18"/>
  <c r="AD140" i="18" s="1"/>
  <c r="AD188" i="18"/>
  <c r="AF188" i="18" s="1"/>
  <c r="T148" i="18"/>
  <c r="AF59" i="18"/>
  <c r="U148" i="18" s="1"/>
  <c r="AD59" i="18"/>
  <c r="AD77" i="18"/>
  <c r="T168" i="18"/>
  <c r="AF77" i="18"/>
  <c r="U168" i="18" s="1"/>
  <c r="AD67" i="18"/>
  <c r="AF67" i="18"/>
  <c r="U151" i="18" s="1"/>
  <c r="T151" i="18"/>
  <c r="AC69" i="18"/>
  <c r="AD71" i="18"/>
  <c r="AC184" i="18"/>
  <c r="T158" i="18"/>
  <c r="AF71" i="18"/>
  <c r="U158" i="18" s="1"/>
  <c r="AD56" i="18"/>
  <c r="AF56" i="18"/>
  <c r="AC181" i="18"/>
  <c r="AD52" i="18"/>
  <c r="AF52" i="18"/>
  <c r="S151" i="18" l="1"/>
  <c r="U172" i="18"/>
  <c r="AD190" i="18"/>
  <c r="AF190" i="18" s="1"/>
  <c r="S168" i="18"/>
  <c r="S153" i="18"/>
  <c r="S149" i="18"/>
  <c r="S157" i="18"/>
  <c r="AF69" i="18"/>
  <c r="AC183" i="18"/>
  <c r="AD69" i="18"/>
  <c r="AD182" i="18"/>
  <c r="AF182" i="18" s="1"/>
  <c r="T172" i="18"/>
  <c r="S169" i="18"/>
  <c r="S154" i="18"/>
  <c r="Q210" i="18"/>
  <c r="S174" i="18"/>
  <c r="AF202" i="18"/>
  <c r="S170" i="18"/>
  <c r="AD181" i="18"/>
  <c r="AF181" i="18" s="1"/>
  <c r="S158" i="18"/>
  <c r="Q208" i="18"/>
  <c r="S148" i="18"/>
  <c r="S171" i="18"/>
  <c r="AD185" i="18"/>
  <c r="AF185" i="18" s="1"/>
  <c r="AD184" i="18"/>
  <c r="AF184" i="18" s="1"/>
  <c r="AF198" i="18" s="1"/>
  <c r="S150" i="18"/>
  <c r="AC192" i="18"/>
  <c r="AD179" i="18"/>
  <c r="AF179" i="18" s="1"/>
  <c r="AF192" i="18" s="1"/>
  <c r="AD180" i="18"/>
  <c r="AF180" i="18" s="1"/>
  <c r="AF193" i="18" s="1"/>
  <c r="AD178" i="18"/>
  <c r="AF178" i="18" s="1"/>
  <c r="AF191" i="18" s="1"/>
  <c r="S147" i="18"/>
  <c r="P211" i="18" s="1"/>
  <c r="P212" i="18" s="1"/>
  <c r="Q211" i="18"/>
  <c r="Q212" i="18" s="1"/>
  <c r="S155" i="18"/>
  <c r="Q207" i="18"/>
  <c r="AC119" i="18"/>
  <c r="AD116" i="18"/>
  <c r="AC117" i="18"/>
  <c r="AF196" i="18" l="1"/>
  <c r="AF195" i="18"/>
  <c r="AD192" i="18"/>
  <c r="AC193" i="18"/>
  <c r="AD193" i="18" s="1"/>
  <c r="S172" i="18"/>
  <c r="AD117" i="18"/>
  <c r="AC118" i="18"/>
  <c r="AD118" i="18" s="1"/>
  <c r="P207" i="18"/>
  <c r="M207" i="18"/>
  <c r="M208" i="18"/>
  <c r="P208" i="18"/>
  <c r="M210" i="18"/>
  <c r="P210" i="18"/>
  <c r="AD183" i="18"/>
  <c r="AF183" i="18" s="1"/>
  <c r="AF197" i="18" s="1"/>
</calcChain>
</file>

<file path=xl/comments1.xml><?xml version="1.0" encoding="utf-8"?>
<comments xmlns="http://schemas.openxmlformats.org/spreadsheetml/2006/main">
  <authors>
    <author>Author</author>
  </authors>
  <commentList>
    <comment ref="B14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Q146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S146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B17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9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19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0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<sst xmlns="http://schemas.openxmlformats.org/spreadsheetml/2006/main" count="677" uniqueCount="477">
  <si>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</si>
  <si>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</si>
  <si>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</si>
  <si>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</si>
  <si>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</si>
  <si>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</si>
  <si>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</si>
  <si>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</si>
  <si>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</si>
  <si>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</si>
  <si>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</si>
  <si>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</si>
  <si>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</si>
  <si>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</si>
  <si>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</si>
  <si>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</si>
  <si>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</si>
  <si>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</si>
  <si>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</si>
  <si>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</si>
  <si>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</si>
  <si>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</si>
  <si>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</si>
  <si>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</si>
  <si>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</si>
  <si>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</si>
  <si>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</si>
  <si>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</si>
  <si>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</si>
  <si>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</si>
  <si>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</si>
  <si>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</si>
  <si>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</si>
  <si>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</si>
  <si>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</si>
  <si>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</si>
  <si>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</si>
  <si>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</si>
  <si>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</si>
  <si>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</si>
  <si>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</si>
  <si>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</si>
  <si>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</si>
  <si>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</si>
  <si>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</si>
  <si>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</si>
  <si>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</si>
  <si>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</si>
  <si>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</si>
  <si>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</si>
  <si>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</si>
  <si>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</si>
  <si>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</si>
  <si>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</si>
  <si>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</si>
  <si>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</si>
  <si>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</si>
  <si>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</si>
  <si>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</si>
  <si>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</si>
  <si>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</si>
  <si>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</si>
  <si>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</si>
  <si>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</si>
  <si>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</si>
  <si>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</si>
  <si>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</si>
  <si>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</si>
  <si>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</si>
  <si>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</si>
  <si>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</si>
  <si>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</si>
  <si>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</si>
  <si>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</si>
  <si>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</si>
  <si>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</si>
  <si>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</si>
  <si>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</si>
  <si>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</si>
  <si>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</si>
  <si>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</si>
  <si>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</si>
  <si>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</si>
  <si>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</si>
  <si>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</si>
  <si>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</si>
  <si>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</si>
  <si>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</si>
  <si>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</si>
  <si>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</si>
  <si>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</si>
  <si>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</si>
  <si>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</si>
  <si>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</si>
  <si>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</si>
  <si>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</si>
  <si>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</si>
  <si>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</si>
  <si>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</si>
  <si>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</si>
  <si>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</si>
  <si>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</si>
  <si>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</si>
  <si>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</si>
  <si>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</si>
  <si>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</si>
  <si>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</si>
  <si>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</si>
  <si>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</si>
  <si>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</si>
  <si>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</si>
  <si>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</si>
  <si>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</si>
  <si>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</si>
  <si>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</si>
  <si>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</si>
  <si>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</si>
  <si>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</si>
  <si>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</si>
  <si>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</si>
  <si>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</si>
  <si>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</si>
  <si>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</si>
  <si>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</si>
  <si>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</si>
  <si>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</si>
  <si>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</si>
  <si>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</si>
  <si>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</si>
  <si>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</si>
  <si>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</si>
  <si>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</si>
  <si>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</si>
  <si>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</si>
  <si>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</si>
  <si>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</si>
  <si>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</si>
  <si>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</si>
  <si>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</si>
  <si>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</si>
  <si>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</si>
  <si>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</si>
  <si>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</si>
  <si>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</si>
  <si>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</si>
  <si>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</si>
  <si>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</si>
  <si>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</si>
  <si>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</si>
  <si>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</si>
  <si>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</si>
  <si>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</si>
  <si>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</si>
  <si>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</si>
  <si>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</si>
  <si>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</si>
  <si>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</si>
  <si>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</si>
  <si>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</si>
  <si>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</si>
  <si>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</si>
  <si>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</si>
  <si>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</si>
  <si>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</si>
  <si>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</si>
  <si>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</si>
  <si>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</si>
  <si>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</si>
  <si>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</si>
  <si>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</si>
  <si>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</si>
  <si>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</si>
  <si>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</si>
  <si>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</si>
  <si>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</si>
  <si>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</si>
  <si>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</si>
  <si>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</si>
  <si>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</si>
  <si>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</si>
  <si>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</si>
  <si>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</si>
  <si>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</si>
  <si>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</si>
  <si>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</si>
  <si>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</si>
  <si>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</si>
  <si>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</si>
  <si>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</si>
  <si>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</si>
  <si>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</si>
  <si>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</si>
  <si>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</si>
  <si>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</si>
  <si>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</si>
  <si>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</si>
  <si>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</si>
  <si>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</si>
  <si>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</si>
  <si>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</si>
  <si>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</si>
  <si>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</si>
  <si>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</si>
  <si>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</si>
  <si>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</si>
  <si>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</si>
  <si>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</si>
  <si>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</si>
  <si>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</si>
  <si>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</si>
  <si>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</si>
  <si>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</si>
  <si>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</si>
  <si>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</si>
  <si>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</si>
  <si>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</si>
  <si>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</si>
  <si>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</si>
  <si>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</si>
  <si>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</si>
  <si>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</si>
  <si>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</si>
  <si>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</si>
  <si>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</si>
  <si>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</si>
  <si>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</si>
  <si>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</si>
  <si>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</si>
  <si>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</si>
  <si>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</si>
  <si>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</si>
  <si>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</si>
  <si>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</si>
  <si>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</si>
  <si>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</si>
  <si>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</si>
  <si>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</si>
  <si>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</si>
  <si>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</si>
  <si>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</si>
  <si>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</si>
  <si>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</si>
  <si>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</si>
  <si>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</si>
  <si>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</si>
  <si>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</si>
  <si>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</si>
  <si>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</si>
  <si>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</si>
  <si>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</si>
  <si>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</si>
  <si>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</si>
  <si>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</si>
  <si>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</si>
  <si>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</si>
  <si>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</si>
  <si>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</si>
  <si>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</si>
  <si>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</si>
  <si>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</si>
  <si>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</si>
  <si>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</si>
  <si>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</si>
  <si>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</si>
  <si>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</si>
  <si>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</si>
  <si>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</si>
  <si>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</si>
  <si>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</si>
  <si>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</si>
  <si>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</si>
  <si>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</si>
  <si>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</si>
  <si>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</si>
  <si>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</si>
  <si>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</si>
  <si>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</si>
  <si>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</si>
  <si>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</si>
  <si>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</si>
  <si>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</si>
  <si>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</si>
  <si>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</si>
  <si>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</si>
  <si>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</si>
  <si>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</si>
  <si>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</si>
  <si>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</si>
  <si>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</si>
  <si>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</si>
  <si>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</si>
  <si>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</si>
  <si>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</si>
  <si>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</si>
  <si>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</si>
  <si>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</si>
  <si>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</si>
  <si>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</si>
  <si>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</si>
  <si>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</si>
  <si>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</si>
  <si>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</si>
  <si>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</si>
  <si>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</si>
  <si>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</si>
  <si>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</si>
  <si>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</si>
  <si>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</si>
  <si>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</si>
  <si>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</si>
  <si>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</si>
  <si>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</si>
  <si>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</si>
  <si>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</si>
  <si>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</si>
  <si>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</si>
  <si>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</si>
  <si>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</si>
  <si>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</si>
  <si>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</si>
  <si>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</si>
  <si>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</si>
  <si>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</si>
  <si>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</si>
  <si>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</si>
  <si>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</si>
  <si>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</si>
  <si>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</si>
  <si>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</si>
  <si>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</si>
  <si>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</si>
  <si>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</si>
  <si>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</si>
  <si>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</si>
  <si>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</si>
  <si>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</si>
  <si>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</si>
  <si>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</si>
  <si>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</si>
  <si>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</si>
  <si>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</si>
  <si>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</si>
  <si>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</si>
  <si>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</si>
  <si>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</si>
  <si>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</si>
  <si>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</si>
  <si>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</si>
  <si>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</si>
  <si>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</si>
  <si>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</si>
  <si>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</si>
  <si>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</si>
  <si>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</si>
  <si>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</si>
  <si>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</si>
  <si>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</si>
  <si>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</si>
  <si>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</si>
  <si>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</si>
  <si>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</si>
  <si>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</si>
  <si>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</si>
  <si>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</si>
  <si>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</si>
  <si>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</si>
  <si>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</si>
  <si>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</si>
  <si>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</si>
  <si>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</si>
  <si>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</si>
  <si>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</si>
  <si>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</si>
  <si>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</si>
  <si>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</si>
  <si>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</si>
  <si>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</si>
  <si>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</si>
  <si>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</si>
  <si>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</si>
  <si>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</si>
  <si>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</si>
  <si>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</si>
  <si>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</si>
  <si>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</si>
  <si>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</si>
  <si>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</si>
  <si>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</si>
  <si>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</si>
  <si>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</si>
  <si>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</si>
  <si>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</si>
  <si>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</si>
  <si>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</si>
  <si>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</si>
  <si>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</si>
  <si>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</si>
  <si>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</si>
  <si>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</si>
  <si>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</si>
  <si>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</si>
  <si>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</si>
  <si>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</si>
  <si>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</si>
  <si>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</si>
  <si>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</si>
  <si>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</si>
  <si>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</si>
  <si>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</si>
  <si>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</si>
  <si>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</si>
  <si>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</si>
  <si>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</si>
  <si>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</si>
  <si>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</si>
  <si>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</si>
  <si>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</si>
  <si>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</si>
  <si>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</si>
  <si>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</si>
  <si>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</si>
  <si>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</si>
  <si>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</si>
  <si>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</si>
  <si>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</si>
  <si>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</si>
  <si>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</si>
  <si>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</si>
  <si>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</si>
  <si>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</si>
  <si>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</si>
  <si>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</si>
  <si>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</si>
  <si>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</si>
  <si>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</si>
  <si>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</si>
  <si>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</si>
  <si>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</si>
  <si>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</si>
  <si>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</si>
  <si>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</si>
  <si>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</si>
  <si>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</si>
  <si>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</si>
  <si>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</si>
  <si>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</si>
  <si>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</si>
  <si>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</si>
  <si>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</si>
  <si>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</si>
  <si>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</si>
  <si>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</si>
  <si>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</si>
  <si>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</si>
  <si>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</si>
  <si>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</si>
  <si>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</si>
  <si>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</si>
  <si>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</si>
  <si>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</si>
  <si>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</si>
  <si>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</si>
  <si>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</si>
  <si>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</si>
  <si>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</si>
  <si>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</si>
  <si>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</si>
  <si>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</si>
  <si>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</si>
  <si>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PEG (avg)</t>
  </si>
  <si>
    <t>Discount/Prem to PEG (avg)</t>
  </si>
  <si>
    <t>Temp</t>
  </si>
  <si>
    <t>Avg 5 yrs</t>
  </si>
  <si>
    <t>Avg 10 yrs</t>
  </si>
  <si>
    <t>Earnings Yield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</si>
  <si>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10 years</t>
    </r>
    <r>
      <rPr>
        <sz val="10"/>
        <color theme="1"/>
        <rFont val="Cambria"/>
        <family val="1"/>
        <scheme val="major"/>
      </rPr>
      <t>)</t>
    </r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</si>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</sst>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1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8" fillId="5" borderId="1" xfId="0" applyFont="1" applyFill="1" applyBorder="1" applyAlignment="1">
      <alignment horizontal="right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174" fontId="8" fillId="5" borderId="1" xfId="2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62656"/>
        <c:axId val="39864192"/>
      </c:lineChart>
      <c:catAx>
        <c:axId val="39862656"/>
        <c:scaling>
          <c:orientation val="minMax"/>
        </c:scaling>
        <c:delete val="0"/>
        <c:axPos val="b"/>
        <c:majorTickMark val="out"/>
        <c:minorTickMark val="none"/>
        <c:tickLblPos val="nextTo"/>
        <c:crossAx val="39864192"/>
        <c:crosses val="autoZero"/>
        <c:auto val="1"/>
        <c:lblAlgn val="ctr"/>
        <c:lblOffset val="100"/>
        <c:noMultiLvlLbl val="0"/>
      </c:catAx>
      <c:valAx>
        <c:axId val="39864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862656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318</v>
      </c>
      <c r="C9" s="150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48"/>
  <sheetViews>
    <sheetView tabSelected="1" zoomScale="80" zoomScaleNormal="80" workbookViewId="0">
      <pane xSplit="2" ySplit="3" topLeftCell="C174" activePane="bottomRight" state="frozen"/>
      <selection pane="topRight" activeCell="C1" sqref="C1"/>
      <selection pane="bottomLeft" activeCell="A5" sqref="A5"/>
      <selection pane="bottomRight" activeCell="Q178" sqref="Q178"/>
    </sheetView>
  </sheetViews>
  <sheetFormatPr defaultRowHeight="12.75" x14ac:dyDescent="0.2"/>
  <cols>
    <col min="1" max="1" width="4.7109375" style="104" customWidth="1"/>
    <col min="2" max="2" width="37.140625" style="104" customWidth="1"/>
    <col min="3" max="3" width="7.85546875" style="104" customWidth="1"/>
    <col min="4" max="4" width="11.28515625" style="104" customWidth="1"/>
    <col min="5" max="5" width="8.42578125" style="104" bestFit="1" customWidth="1"/>
    <col min="6" max="6" width="9" style="104" bestFit="1" customWidth="1"/>
    <col min="7" max="7" width="13.5703125" style="104" bestFit="1" customWidth="1"/>
    <col min="8" max="8" width="11.28515625" style="104" bestFit="1" customWidth="1"/>
    <col min="9" max="16" width="12.2851562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f>P2</f>
        <v>0.22</v>
      </c>
      <c r="F1" s="104" t="s">
        <v>252</v>
      </c>
      <c r="H1" s="126">
        <v>2004</v>
      </c>
      <c r="J1" s="104" t="s">
        <v>326</v>
      </c>
      <c r="L1" s="162">
        <v>0.05</v>
      </c>
      <c r="N1" s="104" t="s">
        <v>397</v>
      </c>
      <c r="P1" s="162">
        <v>0.05</v>
      </c>
    </row>
    <row r="2" spans="2:32" x14ac:dyDescent="0.2">
      <c r="B2" s="151" t="s">
        <v>314</v>
      </c>
      <c r="C2" s="120"/>
      <c r="F2" s="104" t="s">
        <v>253</v>
      </c>
      <c r="H2" s="126">
        <v>2014</v>
      </c>
      <c r="J2" s="104" t="s">
        <v>327</v>
      </c>
      <c r="L2" s="162">
        <v>0.12</v>
      </c>
      <c r="N2" s="104" t="s">
        <v>465</v>
      </c>
      <c r="P2" s="162">
        <v>0.22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203" t="s">
        <v>290</v>
      </c>
      <c r="AF2" s="204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5" t="s">
        <v>1</v>
      </c>
      <c r="AE3" s="205" t="s">
        <v>291</v>
      </c>
      <c r="AF3" s="206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6"/>
      <c r="AE4" s="20"/>
      <c r="AF4" s="20"/>
    </row>
    <row r="5" spans="2:32" x14ac:dyDescent="0.2">
      <c r="B5" s="108" t="s">
        <v>242</v>
      </c>
      <c r="C5" s="20"/>
      <c r="D5" s="20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20"/>
      <c r="S5" s="20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36"/>
      <c r="AE5" s="20"/>
      <c r="AF5" s="152"/>
    </row>
    <row r="6" spans="2:32" x14ac:dyDescent="0.2">
      <c r="B6" s="20" t="s">
        <v>16</v>
      </c>
      <c r="C6" s="140"/>
      <c r="D6" s="140"/>
      <c r="E6" s="146"/>
      <c r="F6" s="146"/>
      <c r="G6" s="146">
        <v>6</v>
      </c>
      <c r="H6" s="146">
        <v>7</v>
      </c>
      <c r="I6" s="146">
        <v>8</v>
      </c>
      <c r="J6" s="146">
        <v>11</v>
      </c>
      <c r="K6" s="146">
        <v>15</v>
      </c>
      <c r="L6" s="146">
        <v>21</v>
      </c>
      <c r="M6" s="146">
        <v>34</v>
      </c>
      <c r="N6" s="146">
        <v>41</v>
      </c>
      <c r="O6" s="146">
        <v>46</v>
      </c>
      <c r="P6" s="146">
        <v>50</v>
      </c>
      <c r="Q6" s="146">
        <v>51</v>
      </c>
      <c r="R6" s="118">
        <f>((Q6/G6)^(1/($H$2-$H$1) ))-1</f>
        <v>0.23863084998110362</v>
      </c>
      <c r="S6" s="31">
        <f>$L$2</f>
        <v>0.12</v>
      </c>
      <c r="T6" s="152">
        <f>Q6*(1+$S6)</f>
        <v>57.120000000000005</v>
      </c>
      <c r="U6" s="152">
        <f>T6*(1+$S6)</f>
        <v>63.97440000000001</v>
      </c>
      <c r="V6" s="152">
        <f t="shared" ref="V6:AC6" si="0">U6*(1+$S6)</f>
        <v>71.651328000000021</v>
      </c>
      <c r="W6" s="152">
        <f t="shared" si="0"/>
        <v>80.249487360000032</v>
      </c>
      <c r="X6" s="152">
        <f t="shared" si="0"/>
        <v>89.879425843200039</v>
      </c>
      <c r="Y6" s="152">
        <f t="shared" si="0"/>
        <v>100.66495694438406</v>
      </c>
      <c r="Z6" s="152">
        <f t="shared" si="0"/>
        <v>112.74475177771016</v>
      </c>
      <c r="AA6" s="152">
        <f t="shared" si="0"/>
        <v>126.2741219910354</v>
      </c>
      <c r="AB6" s="152">
        <f t="shared" si="0"/>
        <v>141.42701662995967</v>
      </c>
      <c r="AC6" s="152">
        <f t="shared" si="0"/>
        <v>158.39825862555483</v>
      </c>
      <c r="AD6" s="137">
        <f>((AC6/G6)^(1/($AC$3-$H$1) ))-1</f>
        <v>0.17782280160422936</v>
      </c>
      <c r="AE6" s="31">
        <f>$L$1</f>
        <v>0.05</v>
      </c>
      <c r="AF6" s="145">
        <f t="shared" ref="AF6:AF44" si="1">(AC6*(1+AE6))/($C$1-AE6)</f>
        <v>978.34218562842693</v>
      </c>
    </row>
    <row r="7" spans="2:32" x14ac:dyDescent="0.2">
      <c r="B7" s="20" t="s">
        <v>240</v>
      </c>
      <c r="C7" s="140"/>
      <c r="D7" s="140"/>
      <c r="E7" s="146"/>
      <c r="F7" s="146"/>
      <c r="G7" s="146">
        <v>11</v>
      </c>
      <c r="H7" s="146">
        <v>12</v>
      </c>
      <c r="I7" s="146">
        <v>14</v>
      </c>
      <c r="J7" s="146">
        <v>17</v>
      </c>
      <c r="K7" s="146">
        <v>20</v>
      </c>
      <c r="L7" s="146">
        <v>27</v>
      </c>
      <c r="M7" s="146">
        <v>39</v>
      </c>
      <c r="N7" s="146">
        <v>46</v>
      </c>
      <c r="O7" s="146">
        <v>52</v>
      </c>
      <c r="P7" s="146">
        <v>55</v>
      </c>
      <c r="Q7" s="146">
        <v>56</v>
      </c>
      <c r="R7" s="118">
        <f>((Q7/G7)^(1/($H$2-$H$1) ))-1</f>
        <v>0.17673733882009146</v>
      </c>
      <c r="S7" s="31">
        <f>$L$2</f>
        <v>0.12</v>
      </c>
      <c r="T7" s="152">
        <f t="shared" ref="T7:T44" si="2">Q7*(1+$S7)</f>
        <v>62.720000000000006</v>
      </c>
      <c r="U7" s="152">
        <f t="shared" ref="U7:AC7" si="3">T7*(1+$S7)</f>
        <v>70.246400000000008</v>
      </c>
      <c r="V7" s="152">
        <f t="shared" si="3"/>
        <v>78.675968000000012</v>
      </c>
      <c r="W7" s="152">
        <f t="shared" si="3"/>
        <v>88.117084160000019</v>
      </c>
      <c r="X7" s="152">
        <f t="shared" si="3"/>
        <v>98.691134259200027</v>
      </c>
      <c r="Y7" s="152">
        <f t="shared" si="3"/>
        <v>110.53407037030404</v>
      </c>
      <c r="Z7" s="152">
        <f t="shared" si="3"/>
        <v>123.79815881474053</v>
      </c>
      <c r="AA7" s="152">
        <f t="shared" si="3"/>
        <v>138.6539378725094</v>
      </c>
      <c r="AB7" s="152">
        <f t="shared" si="3"/>
        <v>155.29241041721053</v>
      </c>
      <c r="AC7" s="152">
        <f t="shared" si="3"/>
        <v>173.92749966727581</v>
      </c>
      <c r="AD7" s="137">
        <f>((AC7/G7)^(1/($AC$3-$H$1) ))-1</f>
        <v>0.1480182139140922</v>
      </c>
      <c r="AE7" s="31">
        <f>$L$1</f>
        <v>0.05</v>
      </c>
      <c r="AF7" s="145">
        <f t="shared" si="1"/>
        <v>1074.258086180233</v>
      </c>
    </row>
    <row r="8" spans="2:32" x14ac:dyDescent="0.2">
      <c r="B8" s="20"/>
      <c r="C8" s="140"/>
      <c r="D8" s="140"/>
      <c r="E8" s="146"/>
      <c r="F8" s="146"/>
      <c r="G8" s="149" t="e">
        <f t="shared" ref="G8:Q8" si="4">(G7-F7)/F7</f>
        <v>#DIV/0!</v>
      </c>
      <c r="H8" s="149">
        <f t="shared" si="4"/>
        <v>9.0909090909090912E-2</v>
      </c>
      <c r="I8" s="149">
        <f t="shared" si="4"/>
        <v>0.16666666666666666</v>
      </c>
      <c r="J8" s="149">
        <f t="shared" si="4"/>
        <v>0.21428571428571427</v>
      </c>
      <c r="K8" s="149">
        <f t="shared" si="4"/>
        <v>0.17647058823529413</v>
      </c>
      <c r="L8" s="149">
        <f t="shared" si="4"/>
        <v>0.35</v>
      </c>
      <c r="M8" s="149">
        <f t="shared" si="4"/>
        <v>0.44444444444444442</v>
      </c>
      <c r="N8" s="149">
        <f t="shared" si="4"/>
        <v>0.17948717948717949</v>
      </c>
      <c r="O8" s="149">
        <f t="shared" si="4"/>
        <v>0.13043478260869565</v>
      </c>
      <c r="P8" s="149">
        <f t="shared" si="4"/>
        <v>5.7692307692307696E-2</v>
      </c>
      <c r="Q8" s="149">
        <f t="shared" si="4"/>
        <v>1.8181818181818181E-2</v>
      </c>
      <c r="R8" s="128"/>
      <c r="S8" s="20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36"/>
      <c r="AE8" s="136"/>
      <c r="AF8" s="145"/>
    </row>
    <row r="9" spans="2:32" x14ac:dyDescent="0.2">
      <c r="B9" s="20" t="s">
        <v>269</v>
      </c>
      <c r="C9" s="140"/>
      <c r="D9" s="140"/>
      <c r="E9" s="146"/>
      <c r="F9" s="146"/>
      <c r="G9" s="146">
        <v>22</v>
      </c>
      <c r="H9" s="146">
        <v>23</v>
      </c>
      <c r="I9" s="146">
        <v>22</v>
      </c>
      <c r="J9" s="146">
        <v>30</v>
      </c>
      <c r="K9" s="146">
        <v>36</v>
      </c>
      <c r="L9" s="146">
        <v>37</v>
      </c>
      <c r="M9" s="146">
        <v>44</v>
      </c>
      <c r="N9" s="146">
        <v>57</v>
      </c>
      <c r="O9" s="146">
        <v>67</v>
      </c>
      <c r="P9" s="146">
        <v>70</v>
      </c>
      <c r="Q9" s="146">
        <v>89</v>
      </c>
      <c r="R9" s="118">
        <f>((Q9/G9)^(1/($H$2-$H$1) ))-1</f>
        <v>0.14999706665529833</v>
      </c>
      <c r="S9" s="31">
        <f t="shared" ref="S9:S40" si="5">$L$2</f>
        <v>0.12</v>
      </c>
      <c r="T9" s="152">
        <f t="shared" si="2"/>
        <v>99.68</v>
      </c>
      <c r="U9" s="152">
        <f t="shared" ref="U9" si="6">T9*(1+$S9)</f>
        <v>111.64160000000003</v>
      </c>
      <c r="V9" s="152">
        <f t="shared" ref="V9" si="7">U9*(1+$S9)</f>
        <v>125.03859200000004</v>
      </c>
      <c r="W9" s="152">
        <f t="shared" ref="W9" si="8">V9*(1+$S9)</f>
        <v>140.04322304000004</v>
      </c>
      <c r="X9" s="152">
        <f t="shared" ref="X9" si="9">W9*(1+$S9)</f>
        <v>156.84840980480007</v>
      </c>
      <c r="Y9" s="152">
        <f t="shared" ref="Y9" si="10">X9*(1+$S9)</f>
        <v>175.67021898137611</v>
      </c>
      <c r="Z9" s="152">
        <f t="shared" ref="Z9" si="11">Y9*(1+$S9)</f>
        <v>196.75064525914127</v>
      </c>
      <c r="AA9" s="152">
        <f t="shared" ref="AA9" si="12">Z9*(1+$S9)</f>
        <v>220.36072269023825</v>
      </c>
      <c r="AB9" s="152">
        <f t="shared" ref="AB9" si="13">AA9*(1+$S9)</f>
        <v>246.80400941306686</v>
      </c>
      <c r="AC9" s="152">
        <f t="shared" ref="AC9" si="14">AB9*(1+$S9)</f>
        <v>276.42049054263492</v>
      </c>
      <c r="AD9" s="137">
        <f>((AC9/G9)^(1/($AC$3-$H$1) ))-1</f>
        <v>0.13489942931254228</v>
      </c>
      <c r="AE9" s="31">
        <f t="shared" ref="AE9:AE84" si="15">$L$1</f>
        <v>0.05</v>
      </c>
      <c r="AF9" s="145">
        <f t="shared" si="1"/>
        <v>1707.3030298221572</v>
      </c>
    </row>
    <row r="10" spans="2:32" x14ac:dyDescent="0.2">
      <c r="B10" s="20" t="s">
        <v>4</v>
      </c>
      <c r="C10" s="140"/>
      <c r="D10" s="140"/>
      <c r="E10" s="146"/>
      <c r="F10" s="146"/>
      <c r="G10" s="146">
        <v>25</v>
      </c>
      <c r="H10" s="146">
        <v>21</v>
      </c>
      <c r="I10" s="146">
        <v>15</v>
      </c>
      <c r="J10" s="146">
        <v>11</v>
      </c>
      <c r="K10" s="146">
        <v>8</v>
      </c>
      <c r="L10" s="146">
        <v>9</v>
      </c>
      <c r="M10" s="146">
        <v>12</v>
      </c>
      <c r="N10" s="146">
        <v>20</v>
      </c>
      <c r="O10" s="146">
        <v>12</v>
      </c>
      <c r="P10" s="146">
        <v>11</v>
      </c>
      <c r="Q10" s="146">
        <v>0.01</v>
      </c>
      <c r="R10" s="118">
        <f>((Q10/G10)^(1/($H$2-$H$1) ))-1</f>
        <v>-0.54269494807267371</v>
      </c>
      <c r="S10" s="31">
        <f t="shared" si="5"/>
        <v>0.12</v>
      </c>
      <c r="T10" s="152">
        <f t="shared" si="2"/>
        <v>1.1200000000000002E-2</v>
      </c>
      <c r="U10" s="152">
        <f t="shared" ref="U10:AC10" si="16">T10*(1+$S10)</f>
        <v>1.2544000000000003E-2</v>
      </c>
      <c r="V10" s="152">
        <f t="shared" si="16"/>
        <v>1.4049280000000004E-2</v>
      </c>
      <c r="W10" s="152">
        <f t="shared" si="16"/>
        <v>1.5735193600000006E-2</v>
      </c>
      <c r="X10" s="152">
        <f t="shared" si="16"/>
        <v>1.762341683200001E-2</v>
      </c>
      <c r="Y10" s="152">
        <f t="shared" si="16"/>
        <v>1.9738226851840013E-2</v>
      </c>
      <c r="Z10" s="152">
        <f t="shared" si="16"/>
        <v>2.2106814074060815E-2</v>
      </c>
      <c r="AA10" s="152">
        <f t="shared" si="16"/>
        <v>2.4759631762948115E-2</v>
      </c>
      <c r="AB10" s="152">
        <f t="shared" si="16"/>
        <v>2.773078757450189E-2</v>
      </c>
      <c r="AC10" s="152">
        <f t="shared" si="16"/>
        <v>3.105848208344212E-2</v>
      </c>
      <c r="AD10" s="137">
        <f t="shared" ref="AD10:AD42" si="17">((AC10/G10)^(1/($AC$3-$H$1) ))-1</f>
        <v>-0.28433132096017677</v>
      </c>
      <c r="AE10" s="31">
        <f t="shared" si="15"/>
        <v>0.05</v>
      </c>
      <c r="AF10" s="145">
        <f t="shared" si="1"/>
        <v>0.19183180110361311</v>
      </c>
    </row>
    <row r="11" spans="2:32" x14ac:dyDescent="0.2">
      <c r="B11" s="20"/>
      <c r="C11" s="140"/>
      <c r="D11" s="140"/>
      <c r="E11" s="146"/>
      <c r="F11" s="146"/>
      <c r="G11" s="149" t="e">
        <f t="shared" ref="G11:Q11" si="18">(G10-F10)/F10</f>
        <v>#DIV/0!</v>
      </c>
      <c r="H11" s="149">
        <f t="shared" si="18"/>
        <v>-0.16</v>
      </c>
      <c r="I11" s="149">
        <f t="shared" si="18"/>
        <v>-0.2857142857142857</v>
      </c>
      <c r="J11" s="149">
        <f t="shared" si="18"/>
        <v>-0.26666666666666666</v>
      </c>
      <c r="K11" s="149">
        <f t="shared" si="18"/>
        <v>-0.27272727272727271</v>
      </c>
      <c r="L11" s="149">
        <f t="shared" si="18"/>
        <v>0.125</v>
      </c>
      <c r="M11" s="149">
        <f t="shared" si="18"/>
        <v>0.33333333333333331</v>
      </c>
      <c r="N11" s="149">
        <f t="shared" si="18"/>
        <v>0.66666666666666663</v>
      </c>
      <c r="O11" s="149">
        <f t="shared" si="18"/>
        <v>-0.4</v>
      </c>
      <c r="P11" s="149">
        <f t="shared" si="18"/>
        <v>-8.3333333333333329E-2</v>
      </c>
      <c r="Q11" s="149">
        <f t="shared" si="18"/>
        <v>-0.99909090909090914</v>
      </c>
      <c r="R11" s="128"/>
      <c r="S11" s="20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19"/>
      <c r="AE11" s="31">
        <f t="shared" si="15"/>
        <v>0.05</v>
      </c>
      <c r="AF11" s="152"/>
    </row>
    <row r="12" spans="2:32" x14ac:dyDescent="0.2">
      <c r="B12" s="20" t="s">
        <v>2</v>
      </c>
      <c r="C12" s="140"/>
      <c r="D12" s="140"/>
      <c r="E12" s="146"/>
      <c r="F12" s="146"/>
      <c r="G12" s="146">
        <v>2</v>
      </c>
      <c r="H12" s="146">
        <v>2</v>
      </c>
      <c r="I12" s="146">
        <v>2</v>
      </c>
      <c r="J12" s="146">
        <v>3</v>
      </c>
      <c r="K12" s="146">
        <v>4</v>
      </c>
      <c r="L12" s="146">
        <v>15</v>
      </c>
      <c r="M12" s="146">
        <v>39</v>
      </c>
      <c r="N12" s="146">
        <v>45</v>
      </c>
      <c r="O12" s="146">
        <v>50</v>
      </c>
      <c r="P12" s="146">
        <v>51</v>
      </c>
      <c r="Q12" s="146">
        <v>52</v>
      </c>
      <c r="R12" s="118">
        <f>((Q12/G12)^(1/($H$2-$H$1) ))-1</f>
        <v>0.38515168542124156</v>
      </c>
      <c r="S12" s="31">
        <f t="shared" si="5"/>
        <v>0.12</v>
      </c>
      <c r="T12" s="152">
        <f t="shared" si="2"/>
        <v>58.240000000000009</v>
      </c>
      <c r="U12" s="152">
        <f t="shared" ref="U12:AC12" si="19">T12*(1+$S12)</f>
        <v>65.228800000000021</v>
      </c>
      <c r="V12" s="152">
        <f t="shared" si="19"/>
        <v>73.056256000000033</v>
      </c>
      <c r="W12" s="152">
        <f t="shared" si="19"/>
        <v>81.823006720000052</v>
      </c>
      <c r="X12" s="152">
        <f t="shared" si="19"/>
        <v>91.641767526400074</v>
      </c>
      <c r="Y12" s="152">
        <f t="shared" si="19"/>
        <v>102.63877962956809</v>
      </c>
      <c r="Z12" s="152">
        <f t="shared" si="19"/>
        <v>114.95543318511628</v>
      </c>
      <c r="AA12" s="152">
        <f t="shared" si="19"/>
        <v>128.75008516733024</v>
      </c>
      <c r="AB12" s="152">
        <f t="shared" si="19"/>
        <v>144.20009538740987</v>
      </c>
      <c r="AC12" s="152">
        <f t="shared" si="19"/>
        <v>161.50410683389907</v>
      </c>
      <c r="AD12" s="137">
        <f t="shared" si="17"/>
        <v>0.24553999842308993</v>
      </c>
      <c r="AE12" s="31">
        <f t="shared" si="15"/>
        <v>0.05</v>
      </c>
      <c r="AF12" s="145">
        <f t="shared" si="1"/>
        <v>997.52536573878854</v>
      </c>
    </row>
    <row r="13" spans="2:32" x14ac:dyDescent="0.2">
      <c r="B13" s="20" t="s">
        <v>218</v>
      </c>
      <c r="C13" s="140"/>
      <c r="D13" s="140"/>
      <c r="E13" s="146"/>
      <c r="F13" s="146"/>
      <c r="G13" s="146">
        <v>0.1</v>
      </c>
      <c r="H13" s="146">
        <v>0.1</v>
      </c>
      <c r="I13" s="146">
        <v>0.1</v>
      </c>
      <c r="J13" s="146">
        <v>0.1</v>
      </c>
      <c r="K13" s="146">
        <v>0.1</v>
      </c>
      <c r="L13" s="146">
        <v>0.1</v>
      </c>
      <c r="M13" s="146">
        <v>0.1</v>
      </c>
      <c r="N13" s="146">
        <v>0.1</v>
      </c>
      <c r="O13" s="146">
        <v>0.1</v>
      </c>
      <c r="P13" s="146">
        <v>0.08</v>
      </c>
      <c r="Q13" s="146">
        <v>0.01</v>
      </c>
      <c r="R13" s="118">
        <f>((Q13/G13)^(1/($H$2-$H$1) ))-1</f>
        <v>-0.20567176527571851</v>
      </c>
      <c r="S13" s="31">
        <f t="shared" si="5"/>
        <v>0.12</v>
      </c>
      <c r="T13" s="152">
        <f t="shared" si="2"/>
        <v>1.1200000000000002E-2</v>
      </c>
      <c r="U13" s="152">
        <f t="shared" ref="U13:AC13" si="20">T13*(1+$S13)</f>
        <v>1.2544000000000003E-2</v>
      </c>
      <c r="V13" s="152">
        <f t="shared" si="20"/>
        <v>1.4049280000000004E-2</v>
      </c>
      <c r="W13" s="152">
        <f t="shared" si="20"/>
        <v>1.5735193600000006E-2</v>
      </c>
      <c r="X13" s="152">
        <f t="shared" si="20"/>
        <v>1.762341683200001E-2</v>
      </c>
      <c r="Y13" s="152">
        <f t="shared" si="20"/>
        <v>1.9738226851840013E-2</v>
      </c>
      <c r="Z13" s="152">
        <f t="shared" si="20"/>
        <v>2.2106814074060815E-2</v>
      </c>
      <c r="AA13" s="152">
        <f t="shared" si="20"/>
        <v>2.4759631762948115E-2</v>
      </c>
      <c r="AB13" s="152">
        <f t="shared" si="20"/>
        <v>2.773078757450189E-2</v>
      </c>
      <c r="AC13" s="152">
        <f t="shared" si="20"/>
        <v>3.105848208344212E-2</v>
      </c>
      <c r="AD13" s="137">
        <f t="shared" si="17"/>
        <v>-5.6788664778038567E-2</v>
      </c>
      <c r="AE13" s="31">
        <f t="shared" si="15"/>
        <v>0.05</v>
      </c>
      <c r="AF13" s="145">
        <f t="shared" si="1"/>
        <v>0.19183180110361311</v>
      </c>
    </row>
    <row r="14" spans="2:32" x14ac:dyDescent="0.2">
      <c r="B14" s="20" t="s">
        <v>372</v>
      </c>
      <c r="C14" s="140"/>
      <c r="D14" s="140"/>
      <c r="E14" s="146"/>
      <c r="F14" s="146"/>
      <c r="G14" s="146">
        <v>19</v>
      </c>
      <c r="H14" s="146">
        <v>24</v>
      </c>
      <c r="I14" s="146">
        <v>20</v>
      </c>
      <c r="J14" s="146">
        <v>21</v>
      </c>
      <c r="K14" s="146">
        <v>27</v>
      </c>
      <c r="L14" s="146">
        <v>25</v>
      </c>
      <c r="M14" s="146">
        <v>31</v>
      </c>
      <c r="N14" s="146">
        <v>39</v>
      </c>
      <c r="O14" s="146">
        <v>48</v>
      </c>
      <c r="P14" s="146">
        <v>48</v>
      </c>
      <c r="Q14" s="146">
        <v>63</v>
      </c>
      <c r="R14" s="118">
        <f>((Q14/G14)^(1/($H$2-$H$1) ))-1</f>
        <v>0.12734980707900689</v>
      </c>
      <c r="S14" s="31">
        <f t="shared" si="5"/>
        <v>0.12</v>
      </c>
      <c r="T14" s="152">
        <f t="shared" si="2"/>
        <v>70.56</v>
      </c>
      <c r="U14" s="152">
        <f t="shared" ref="U14" si="21">T14*(1+$S14)</f>
        <v>79.027200000000008</v>
      </c>
      <c r="V14" s="152">
        <f t="shared" ref="V14" si="22">U14*(1+$S14)</f>
        <v>88.510464000000013</v>
      </c>
      <c r="W14" s="152">
        <f t="shared" ref="W14" si="23">V14*(1+$S14)</f>
        <v>99.131719680000018</v>
      </c>
      <c r="X14" s="152">
        <f t="shared" ref="X14" si="24">W14*(1+$S14)</f>
        <v>111.02752604160003</v>
      </c>
      <c r="Y14" s="152">
        <f t="shared" ref="Y14" si="25">X14*(1+$S14)</f>
        <v>124.35082916659204</v>
      </c>
      <c r="Z14" s="152">
        <f t="shared" ref="Z14" si="26">Y14*(1+$S14)</f>
        <v>139.27292866658308</v>
      </c>
      <c r="AA14" s="152">
        <f t="shared" ref="AA14" si="27">Z14*(1+$S14)</f>
        <v>155.98568010657306</v>
      </c>
      <c r="AB14" s="152">
        <f t="shared" ref="AB14" si="28">AA14*(1+$S14)</f>
        <v>174.70396171936184</v>
      </c>
      <c r="AC14" s="152">
        <f t="shared" ref="AC14" si="29">AB14*(1+$S14)</f>
        <v>195.66843712568527</v>
      </c>
      <c r="AD14" s="137">
        <f t="shared" ref="AD14" si="30">((AC14/G14)^(1/($AC$3-$H$1) ))-1</f>
        <v>0.12366889426044336</v>
      </c>
      <c r="AE14" s="31">
        <f t="shared" si="15"/>
        <v>0.05</v>
      </c>
      <c r="AF14" s="145">
        <f t="shared" ref="AF14" si="31">(AC14*(1+AE14))/($C$1-AE14)</f>
        <v>1208.5403469527621</v>
      </c>
    </row>
    <row r="15" spans="2:32" x14ac:dyDescent="0.2">
      <c r="B15" s="20" t="s">
        <v>19</v>
      </c>
      <c r="C15" s="140"/>
      <c r="D15" s="140"/>
      <c r="E15" s="146"/>
      <c r="F15" s="146"/>
      <c r="G15" s="146">
        <v>38</v>
      </c>
      <c r="H15" s="146">
        <v>39</v>
      </c>
      <c r="I15" s="146">
        <v>36</v>
      </c>
      <c r="J15" s="146">
        <v>45</v>
      </c>
      <c r="K15" s="146">
        <v>51</v>
      </c>
      <c r="L15" s="146">
        <v>54</v>
      </c>
      <c r="M15" s="146">
        <v>62</v>
      </c>
      <c r="N15" s="146">
        <v>80</v>
      </c>
      <c r="O15" s="146">
        <v>81</v>
      </c>
      <c r="P15" s="146">
        <v>140</v>
      </c>
      <c r="Q15" s="146">
        <v>153</v>
      </c>
      <c r="R15" s="118">
        <f>((Q15/G15)^(1/($H$2-$H$1) ))-1</f>
        <v>0.14945184954035451</v>
      </c>
      <c r="S15" s="31">
        <f t="shared" si="5"/>
        <v>0.12</v>
      </c>
      <c r="T15" s="152">
        <f t="shared" si="2"/>
        <v>171.36</v>
      </c>
      <c r="U15" s="152">
        <f t="shared" ref="U15:AC15" si="32">T15*(1+$S15)</f>
        <v>191.92320000000004</v>
      </c>
      <c r="V15" s="152">
        <f t="shared" si="32"/>
        <v>214.95398400000005</v>
      </c>
      <c r="W15" s="152">
        <f t="shared" si="32"/>
        <v>240.74846208000008</v>
      </c>
      <c r="X15" s="152">
        <f t="shared" si="32"/>
        <v>269.63827752960009</v>
      </c>
      <c r="Y15" s="152">
        <f t="shared" si="32"/>
        <v>301.99487083315211</v>
      </c>
      <c r="Z15" s="152">
        <f t="shared" si="32"/>
        <v>338.23425533313036</v>
      </c>
      <c r="AA15" s="152">
        <f t="shared" si="32"/>
        <v>378.82236597310606</v>
      </c>
      <c r="AB15" s="152">
        <f t="shared" si="32"/>
        <v>424.28104988987883</v>
      </c>
      <c r="AC15" s="152">
        <f t="shared" si="32"/>
        <v>475.19477587666432</v>
      </c>
      <c r="AD15" s="137">
        <f t="shared" si="17"/>
        <v>0.13463036777851012</v>
      </c>
      <c r="AE15" s="31">
        <f t="shared" si="15"/>
        <v>0.05</v>
      </c>
      <c r="AF15" s="145">
        <f t="shared" si="1"/>
        <v>2935.0265568852801</v>
      </c>
    </row>
    <row r="16" spans="2:32" x14ac:dyDescent="0.2">
      <c r="B16" s="20" t="s">
        <v>23</v>
      </c>
      <c r="C16" s="140"/>
      <c r="D16" s="140"/>
      <c r="E16" s="146"/>
      <c r="F16" s="146"/>
      <c r="G16" s="146">
        <v>21</v>
      </c>
      <c r="H16" s="146">
        <v>19</v>
      </c>
      <c r="I16" s="146">
        <v>14</v>
      </c>
      <c r="J16" s="146">
        <v>13</v>
      </c>
      <c r="K16" s="146">
        <v>13</v>
      </c>
      <c r="L16" s="146">
        <v>20</v>
      </c>
      <c r="M16" s="146">
        <v>34</v>
      </c>
      <c r="N16" s="146">
        <v>48</v>
      </c>
      <c r="O16" s="146">
        <v>43</v>
      </c>
      <c r="P16" s="146">
        <v>45</v>
      </c>
      <c r="Q16" s="146">
        <v>32</v>
      </c>
      <c r="R16" s="118">
        <f>((Q16/G16)^(1/($H$2-$H$1) ))-1</f>
        <v>4.3021038032194703E-2</v>
      </c>
      <c r="S16" s="31">
        <f t="shared" si="5"/>
        <v>0.12</v>
      </c>
      <c r="T16" s="152">
        <f t="shared" si="2"/>
        <v>35.840000000000003</v>
      </c>
      <c r="U16" s="152">
        <f t="shared" ref="U16:AC16" si="33">T16*(1+$S16)</f>
        <v>40.140800000000006</v>
      </c>
      <c r="V16" s="152">
        <f t="shared" si="33"/>
        <v>44.957696000000013</v>
      </c>
      <c r="W16" s="152">
        <f t="shared" si="33"/>
        <v>50.352619520000019</v>
      </c>
      <c r="X16" s="152">
        <f t="shared" si="33"/>
        <v>56.394933862400023</v>
      </c>
      <c r="Y16" s="152">
        <f t="shared" si="33"/>
        <v>63.162325925888034</v>
      </c>
      <c r="Z16" s="152">
        <f t="shared" si="33"/>
        <v>70.741805036994606</v>
      </c>
      <c r="AA16" s="152">
        <f t="shared" si="33"/>
        <v>79.230821641433963</v>
      </c>
      <c r="AB16" s="152">
        <f t="shared" si="33"/>
        <v>88.738520238406053</v>
      </c>
      <c r="AC16" s="152">
        <f t="shared" si="33"/>
        <v>99.387142667014786</v>
      </c>
      <c r="AD16" s="137">
        <f t="shared" si="17"/>
        <v>8.0825408008184274E-2</v>
      </c>
      <c r="AE16" s="31">
        <f t="shared" si="15"/>
        <v>0.05</v>
      </c>
      <c r="AF16" s="145">
        <f t="shared" si="1"/>
        <v>613.86176353156202</v>
      </c>
    </row>
    <row r="17" spans="2:32" x14ac:dyDescent="0.2">
      <c r="B17" s="20"/>
      <c r="C17" s="140"/>
      <c r="D17" s="140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28"/>
      <c r="S17" s="20"/>
      <c r="T17" s="152">
        <f t="shared" si="2"/>
        <v>0</v>
      </c>
      <c r="U17" s="152"/>
      <c r="V17" s="152"/>
      <c r="W17" s="152"/>
      <c r="X17" s="152"/>
      <c r="Y17" s="152"/>
      <c r="Z17" s="152"/>
      <c r="AA17" s="152"/>
      <c r="AB17" s="152"/>
      <c r="AC17" s="152"/>
      <c r="AD17" s="138"/>
      <c r="AE17" s="136"/>
      <c r="AF17" s="152"/>
    </row>
    <row r="18" spans="2:32" x14ac:dyDescent="0.2">
      <c r="B18" s="20" t="s">
        <v>277</v>
      </c>
      <c r="C18" s="140"/>
      <c r="D18" s="140"/>
      <c r="E18" s="146"/>
      <c r="F18" s="146"/>
      <c r="G18" s="146">
        <v>14</v>
      </c>
      <c r="H18" s="146">
        <v>14</v>
      </c>
      <c r="I18" s="146">
        <v>14</v>
      </c>
      <c r="J18" s="146">
        <v>14</v>
      </c>
      <c r="K18" s="146">
        <v>14</v>
      </c>
      <c r="L18" s="146">
        <v>14</v>
      </c>
      <c r="M18" s="146">
        <v>16</v>
      </c>
      <c r="N18" s="146">
        <v>17</v>
      </c>
      <c r="O18" s="146">
        <v>20</v>
      </c>
      <c r="P18" s="146">
        <v>20</v>
      </c>
      <c r="Q18" s="146">
        <v>23</v>
      </c>
      <c r="R18" s="118">
        <f>((Q18/G18)^(1/($H$2-$H$1) ))-1</f>
        <v>5.089658325849622E-2</v>
      </c>
      <c r="S18" s="31">
        <f t="shared" si="5"/>
        <v>0.12</v>
      </c>
      <c r="T18" s="152">
        <f t="shared" si="2"/>
        <v>25.76</v>
      </c>
      <c r="U18" s="152">
        <f t="shared" ref="U18:U34" si="34">T18*(1+$S18)</f>
        <v>28.851200000000006</v>
      </c>
      <c r="V18" s="152">
        <f t="shared" ref="V18:V34" si="35">U18*(1+$S18)</f>
        <v>32.313344000000008</v>
      </c>
      <c r="W18" s="152">
        <f t="shared" ref="W18:W34" si="36">V18*(1+$S18)</f>
        <v>36.190945280000015</v>
      </c>
      <c r="X18" s="152">
        <f t="shared" ref="X18:X36" si="37">W18*(1+$S18)</f>
        <v>40.533858713600019</v>
      </c>
      <c r="Y18" s="152">
        <f t="shared" ref="Y18:Y36" si="38">X18*(1+$S18)</f>
        <v>45.397921759232027</v>
      </c>
      <c r="Z18" s="152">
        <f t="shared" ref="Z18:Z36" si="39">Y18*(1+$S18)</f>
        <v>50.845672370339877</v>
      </c>
      <c r="AA18" s="152">
        <f t="shared" ref="AA18:AA36" si="40">Z18*(1+$S18)</f>
        <v>56.947153054780664</v>
      </c>
      <c r="AB18" s="152">
        <f t="shared" ref="AB18:AB36" si="41">AA18*(1+$S18)</f>
        <v>63.78081142135435</v>
      </c>
      <c r="AC18" s="152">
        <f t="shared" ref="AC18:AC36" si="42">AB18*(1+$S18)</f>
        <v>71.434508791916883</v>
      </c>
      <c r="AD18" s="137">
        <f t="shared" si="17"/>
        <v>8.4898231747805974E-2</v>
      </c>
      <c r="AE18" s="31">
        <f t="shared" si="15"/>
        <v>0.05</v>
      </c>
      <c r="AF18" s="145">
        <f t="shared" si="1"/>
        <v>441.21314253831025</v>
      </c>
    </row>
    <row r="19" spans="2:32" x14ac:dyDescent="0.2">
      <c r="B19" s="20"/>
      <c r="C19" s="140"/>
      <c r="D19" s="140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28"/>
      <c r="S19" s="20"/>
      <c r="T19" s="152">
        <f t="shared" si="2"/>
        <v>0</v>
      </c>
      <c r="U19" s="152"/>
      <c r="V19" s="152"/>
      <c r="W19" s="152"/>
      <c r="X19" s="152"/>
      <c r="Y19" s="152"/>
      <c r="Z19" s="152"/>
      <c r="AA19" s="152"/>
      <c r="AB19" s="152"/>
      <c r="AC19" s="152"/>
      <c r="AD19" s="138"/>
      <c r="AE19" s="136"/>
      <c r="AF19" s="152"/>
    </row>
    <row r="20" spans="2:32" x14ac:dyDescent="0.2">
      <c r="B20" s="20" t="s">
        <v>283</v>
      </c>
      <c r="C20" s="140"/>
      <c r="D20" s="140"/>
      <c r="E20" s="146"/>
      <c r="F20" s="146"/>
      <c r="G20" s="146">
        <v>4</v>
      </c>
      <c r="H20" s="146">
        <v>8</v>
      </c>
      <c r="I20" s="146">
        <v>12</v>
      </c>
      <c r="J20" s="146">
        <v>11</v>
      </c>
      <c r="K20" s="146">
        <v>11</v>
      </c>
      <c r="L20" s="146">
        <v>16</v>
      </c>
      <c r="M20" s="146">
        <v>38</v>
      </c>
      <c r="N20" s="146">
        <v>24</v>
      </c>
      <c r="O20" s="146">
        <v>33</v>
      </c>
      <c r="P20" s="146">
        <v>23</v>
      </c>
      <c r="Q20" s="146">
        <v>33</v>
      </c>
      <c r="R20" s="118">
        <f>((Q20/G20)^(1/($H$2-$H$1) ))-1</f>
        <v>0.23493868371626792</v>
      </c>
      <c r="S20" s="31">
        <f t="shared" si="5"/>
        <v>0.12</v>
      </c>
      <c r="T20" s="152">
        <f t="shared" si="2"/>
        <v>36.96</v>
      </c>
      <c r="U20" s="152">
        <f t="shared" ref="U20:U22" si="43">T20*(1+$S20)</f>
        <v>41.395200000000003</v>
      </c>
      <c r="V20" s="152">
        <f t="shared" ref="V20:V22" si="44">U20*(1+$S20)</f>
        <v>46.362624000000011</v>
      </c>
      <c r="W20" s="152">
        <f t="shared" ref="W20:W22" si="45">V20*(1+$S20)</f>
        <v>51.926138880000018</v>
      </c>
      <c r="X20" s="152">
        <f t="shared" ref="X20:X22" si="46">W20*(1+$S20)</f>
        <v>58.157275545600022</v>
      </c>
      <c r="Y20" s="152">
        <f t="shared" ref="Y20:Y22" si="47">X20*(1+$S20)</f>
        <v>65.136148611072031</v>
      </c>
      <c r="Z20" s="152">
        <f t="shared" ref="Z20:Z22" si="48">Y20*(1+$S20)</f>
        <v>72.952486444400677</v>
      </c>
      <c r="AA20" s="152">
        <f t="shared" ref="AA20:AA22" si="49">Z20*(1+$S20)</f>
        <v>81.70678481772876</v>
      </c>
      <c r="AB20" s="152">
        <f t="shared" ref="AB20:AB22" si="50">AA20*(1+$S20)</f>
        <v>91.511598995856218</v>
      </c>
      <c r="AC20" s="152">
        <f t="shared" ref="AC20:AC22" si="51">AB20*(1+$S20)</f>
        <v>102.49299087535897</v>
      </c>
      <c r="AD20" s="137">
        <f t="shared" ref="AD20:AD22" si="52">((AC20/G20)^(1/($AC$3-$H$1) ))-1</f>
        <v>0.17606603801071485</v>
      </c>
      <c r="AE20" s="31">
        <f t="shared" si="15"/>
        <v>0.05</v>
      </c>
      <c r="AF20" s="145">
        <f t="shared" si="1"/>
        <v>633.04494364192317</v>
      </c>
    </row>
    <row r="21" spans="2:32" x14ac:dyDescent="0.2">
      <c r="B21" s="20" t="s">
        <v>284</v>
      </c>
      <c r="C21" s="140"/>
      <c r="D21" s="140"/>
      <c r="E21" s="146"/>
      <c r="F21" s="146"/>
      <c r="G21" s="146">
        <v>0.4</v>
      </c>
      <c r="H21" s="146">
        <v>-1</v>
      </c>
      <c r="I21" s="146">
        <v>-1</v>
      </c>
      <c r="J21" s="146">
        <v>-2</v>
      </c>
      <c r="K21" s="146">
        <v>-2</v>
      </c>
      <c r="L21" s="146">
        <v>1</v>
      </c>
      <c r="M21" s="146">
        <v>-3</v>
      </c>
      <c r="N21" s="146">
        <v>-0.3</v>
      </c>
      <c r="O21" s="146">
        <v>-2</v>
      </c>
      <c r="P21" s="146">
        <v>2</v>
      </c>
      <c r="Q21" s="146">
        <v>-0.67</v>
      </c>
      <c r="R21" s="118" t="e">
        <f>((Q21/G21)^(1/($H$2-$H$1) ))-1</f>
        <v>#NUM!</v>
      </c>
      <c r="S21" s="31">
        <f t="shared" si="5"/>
        <v>0.12</v>
      </c>
      <c r="T21" s="152">
        <f t="shared" si="2"/>
        <v>-0.75040000000000007</v>
      </c>
      <c r="U21" s="152">
        <f t="shared" si="43"/>
        <v>-0.84044800000000019</v>
      </c>
      <c r="V21" s="152">
        <f t="shared" si="44"/>
        <v>-0.94130176000000032</v>
      </c>
      <c r="W21" s="152">
        <f t="shared" si="45"/>
        <v>-1.0542579712000004</v>
      </c>
      <c r="X21" s="152">
        <f t="shared" si="46"/>
        <v>-1.1807689277440006</v>
      </c>
      <c r="Y21" s="152">
        <f t="shared" si="47"/>
        <v>-1.3224611990732806</v>
      </c>
      <c r="Z21" s="152">
        <f t="shared" si="48"/>
        <v>-1.4811565429620746</v>
      </c>
      <c r="AA21" s="152">
        <f t="shared" si="49"/>
        <v>-1.6588953281175236</v>
      </c>
      <c r="AB21" s="152">
        <f t="shared" si="50"/>
        <v>-1.8579627674916266</v>
      </c>
      <c r="AC21" s="152">
        <f t="shared" si="51"/>
        <v>-2.0809182995906221</v>
      </c>
      <c r="AD21" s="137" t="e">
        <f t="shared" si="52"/>
        <v>#NUM!</v>
      </c>
      <c r="AE21" s="31">
        <f t="shared" si="15"/>
        <v>0.05</v>
      </c>
      <c r="AF21" s="145">
        <f t="shared" si="1"/>
        <v>-12.85273067394208</v>
      </c>
    </row>
    <row r="22" spans="2:32" x14ac:dyDescent="0.2">
      <c r="B22" s="20" t="s">
        <v>285</v>
      </c>
      <c r="C22" s="140"/>
      <c r="D22" s="140"/>
      <c r="E22" s="146"/>
      <c r="F22" s="146"/>
      <c r="G22" s="146">
        <v>-4</v>
      </c>
      <c r="H22" s="146">
        <v>-8</v>
      </c>
      <c r="I22" s="146">
        <v>-10</v>
      </c>
      <c r="J22" s="146">
        <v>-8</v>
      </c>
      <c r="K22" s="146">
        <v>-9</v>
      </c>
      <c r="L22" s="146">
        <v>-7</v>
      </c>
      <c r="M22" s="146">
        <v>-10</v>
      </c>
      <c r="N22" s="146">
        <v>-18</v>
      </c>
      <c r="O22" s="146">
        <v>-27</v>
      </c>
      <c r="P22" s="146">
        <v>-25</v>
      </c>
      <c r="Q22" s="146">
        <v>-32</v>
      </c>
      <c r="R22" s="118">
        <f>((Q22/G22)^(1/($H$2-$H$1) ))-1</f>
        <v>0.23114441334491631</v>
      </c>
      <c r="S22" s="31">
        <f t="shared" si="5"/>
        <v>0.12</v>
      </c>
      <c r="T22" s="152">
        <f t="shared" si="2"/>
        <v>-35.840000000000003</v>
      </c>
      <c r="U22" s="152">
        <f t="shared" si="43"/>
        <v>-40.140800000000006</v>
      </c>
      <c r="V22" s="152">
        <f t="shared" si="44"/>
        <v>-44.957696000000013</v>
      </c>
      <c r="W22" s="152">
        <f t="shared" si="45"/>
        <v>-50.352619520000019</v>
      </c>
      <c r="X22" s="152">
        <f t="shared" si="46"/>
        <v>-56.394933862400023</v>
      </c>
      <c r="Y22" s="152">
        <f t="shared" si="47"/>
        <v>-63.162325925888034</v>
      </c>
      <c r="Z22" s="152">
        <f t="shared" si="48"/>
        <v>-70.741805036994606</v>
      </c>
      <c r="AA22" s="152">
        <f t="shared" si="49"/>
        <v>-79.230821641433963</v>
      </c>
      <c r="AB22" s="152">
        <f t="shared" si="50"/>
        <v>-88.738520238406053</v>
      </c>
      <c r="AC22" s="152">
        <f t="shared" si="51"/>
        <v>-99.387142667014786</v>
      </c>
      <c r="AD22" s="137">
        <f t="shared" si="52"/>
        <v>0.17425795417629875</v>
      </c>
      <c r="AE22" s="31">
        <f t="shared" si="15"/>
        <v>0.05</v>
      </c>
      <c r="AF22" s="145">
        <f t="shared" si="1"/>
        <v>-613.86176353156202</v>
      </c>
    </row>
    <row r="23" spans="2:32" x14ac:dyDescent="0.2">
      <c r="B23" s="20" t="s">
        <v>294</v>
      </c>
      <c r="C23" s="140"/>
      <c r="D23" s="140"/>
      <c r="E23" s="146"/>
      <c r="F23" s="146"/>
      <c r="G23" s="146">
        <v>2</v>
      </c>
      <c r="H23" s="146">
        <v>2</v>
      </c>
      <c r="I23" s="146">
        <v>2</v>
      </c>
      <c r="J23" s="146">
        <v>3</v>
      </c>
      <c r="K23" s="146">
        <v>4</v>
      </c>
      <c r="L23" s="146">
        <v>14</v>
      </c>
      <c r="M23" s="146">
        <v>39</v>
      </c>
      <c r="N23" s="146">
        <v>47</v>
      </c>
      <c r="O23" s="146">
        <v>50</v>
      </c>
      <c r="P23" s="146">
        <v>50</v>
      </c>
      <c r="Q23" s="146">
        <v>50</v>
      </c>
      <c r="R23" s="118">
        <f>((Q23/G23)^(1/($H$2-$H$1) ))-1</f>
        <v>0.3797296614612149</v>
      </c>
      <c r="S23" s="31">
        <f t="shared" si="5"/>
        <v>0.12</v>
      </c>
      <c r="T23" s="152">
        <f t="shared" si="2"/>
        <v>56.000000000000007</v>
      </c>
      <c r="U23" s="152">
        <f t="shared" ref="U23" si="53">T23*(1+$S23)</f>
        <v>62.720000000000013</v>
      </c>
      <c r="V23" s="152">
        <f t="shared" ref="V23" si="54">U23*(1+$S23)</f>
        <v>70.246400000000023</v>
      </c>
      <c r="W23" s="152">
        <f t="shared" ref="W23" si="55">V23*(1+$S23)</f>
        <v>78.675968000000026</v>
      </c>
      <c r="X23" s="152">
        <f t="shared" ref="X23" si="56">W23*(1+$S23)</f>
        <v>88.117084160000033</v>
      </c>
      <c r="Y23" s="152">
        <f t="shared" ref="Y23" si="57">X23*(1+$S23)</f>
        <v>98.691134259200041</v>
      </c>
      <c r="Z23" s="152">
        <f t="shared" ref="Z23" si="58">Y23*(1+$S23)</f>
        <v>110.53407037030405</v>
      </c>
      <c r="AA23" s="152">
        <f t="shared" ref="AA23" si="59">Z23*(1+$S23)</f>
        <v>123.79815881474055</v>
      </c>
      <c r="AB23" s="152">
        <f t="shared" ref="AB23" si="60">AA23*(1+$S23)</f>
        <v>138.65393787250943</v>
      </c>
      <c r="AC23" s="152">
        <f t="shared" ref="AC23" si="61">AB23*(1+$S23)</f>
        <v>155.29241041721059</v>
      </c>
      <c r="AD23" s="137">
        <f t="shared" ref="AD23" si="62">((AC23/G23)^(1/($AC$3-$H$1) ))-1</f>
        <v>0.24309984347057201</v>
      </c>
      <c r="AE23" s="31">
        <f t="shared" si="15"/>
        <v>0.05</v>
      </c>
      <c r="AF23" s="145">
        <f t="shared" si="1"/>
        <v>959.15900551806556</v>
      </c>
    </row>
    <row r="24" spans="2:32" x14ac:dyDescent="0.2">
      <c r="B24" s="20"/>
      <c r="C24" s="140"/>
      <c r="D24" s="140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28"/>
      <c r="S24" s="20"/>
      <c r="T24" s="152">
        <f t="shared" si="2"/>
        <v>0</v>
      </c>
      <c r="U24" s="152"/>
      <c r="V24" s="152"/>
      <c r="W24" s="152"/>
      <c r="X24" s="152"/>
      <c r="Y24" s="152"/>
      <c r="Z24" s="152"/>
      <c r="AA24" s="152"/>
      <c r="AB24" s="152"/>
      <c r="AC24" s="152"/>
      <c r="AD24" s="119"/>
      <c r="AE24" s="136"/>
      <c r="AF24" s="152"/>
    </row>
    <row r="25" spans="2:32" x14ac:dyDescent="0.2">
      <c r="B25" s="20" t="s">
        <v>89</v>
      </c>
      <c r="C25" s="140"/>
      <c r="D25" s="140"/>
      <c r="E25" s="146"/>
      <c r="F25" s="146"/>
      <c r="G25" s="146">
        <v>103</v>
      </c>
      <c r="H25" s="146">
        <v>122</v>
      </c>
      <c r="I25" s="146">
        <v>133</v>
      </c>
      <c r="J25" s="146">
        <v>173</v>
      </c>
      <c r="K25" s="146">
        <v>208</v>
      </c>
      <c r="L25" s="146">
        <v>243</v>
      </c>
      <c r="M25" s="146">
        <v>291</v>
      </c>
      <c r="N25" s="146">
        <v>342</v>
      </c>
      <c r="O25" s="146">
        <v>378</v>
      </c>
      <c r="P25" s="146">
        <v>434</v>
      </c>
      <c r="Q25" s="146">
        <v>477</v>
      </c>
      <c r="R25" s="118">
        <f>((Q25/G25)^(1/($H$2-$H$1) ))-1</f>
        <v>0.1656498588685229</v>
      </c>
      <c r="S25" s="31">
        <f t="shared" si="5"/>
        <v>0.12</v>
      </c>
      <c r="T25" s="152">
        <f t="shared" si="2"/>
        <v>534.24</v>
      </c>
      <c r="U25" s="152">
        <f t="shared" si="34"/>
        <v>598.3488000000001</v>
      </c>
      <c r="V25" s="152">
        <f t="shared" si="35"/>
        <v>670.15065600000014</v>
      </c>
      <c r="W25" s="152">
        <f t="shared" si="36"/>
        <v>750.56873472000018</v>
      </c>
      <c r="X25" s="152">
        <f t="shared" si="37"/>
        <v>840.63698288640023</v>
      </c>
      <c r="Y25" s="152">
        <f t="shared" si="38"/>
        <v>941.51342083276836</v>
      </c>
      <c r="Z25" s="152">
        <f t="shared" si="39"/>
        <v>1054.4950313327006</v>
      </c>
      <c r="AA25" s="152">
        <f t="shared" si="40"/>
        <v>1181.0344350926248</v>
      </c>
      <c r="AB25" s="152">
        <f t="shared" si="41"/>
        <v>1322.7585673037399</v>
      </c>
      <c r="AC25" s="152">
        <f t="shared" si="42"/>
        <v>1481.4895953801888</v>
      </c>
      <c r="AD25" s="137">
        <f t="shared" si="17"/>
        <v>0.14259697266041527</v>
      </c>
      <c r="AE25" s="31">
        <f t="shared" si="15"/>
        <v>0.05</v>
      </c>
      <c r="AF25" s="145">
        <f t="shared" si="1"/>
        <v>9150.3769126423431</v>
      </c>
    </row>
    <row r="26" spans="2:32" s="123" customFormat="1" x14ac:dyDescent="0.2">
      <c r="B26" s="23"/>
      <c r="C26" s="147"/>
      <c r="D26" s="147"/>
      <c r="E26" s="148"/>
      <c r="F26" s="148"/>
      <c r="G26" s="149" t="e">
        <f t="shared" ref="G26:Q26" si="63">(G25-F25)/F25</f>
        <v>#DIV/0!</v>
      </c>
      <c r="H26" s="149">
        <f t="shared" si="63"/>
        <v>0.18446601941747573</v>
      </c>
      <c r="I26" s="149">
        <f t="shared" si="63"/>
        <v>9.0163934426229511E-2</v>
      </c>
      <c r="J26" s="149">
        <f t="shared" si="63"/>
        <v>0.3007518796992481</v>
      </c>
      <c r="K26" s="149">
        <f t="shared" si="63"/>
        <v>0.20231213872832371</v>
      </c>
      <c r="L26" s="149">
        <f t="shared" si="63"/>
        <v>0.16826923076923078</v>
      </c>
      <c r="M26" s="149">
        <f t="shared" si="63"/>
        <v>0.19753086419753085</v>
      </c>
      <c r="N26" s="149">
        <f t="shared" si="63"/>
        <v>0.17525773195876287</v>
      </c>
      <c r="O26" s="149">
        <f t="shared" si="63"/>
        <v>0.10526315789473684</v>
      </c>
      <c r="P26" s="149">
        <f t="shared" si="63"/>
        <v>0.14814814814814814</v>
      </c>
      <c r="Q26" s="149">
        <f t="shared" si="63"/>
        <v>9.9078341013824886E-2</v>
      </c>
      <c r="R26" s="128"/>
      <c r="S26" s="20"/>
      <c r="T26" s="152"/>
      <c r="U26" s="153"/>
      <c r="V26" s="153"/>
      <c r="W26" s="153"/>
      <c r="X26" s="153"/>
      <c r="Y26" s="153"/>
      <c r="Z26" s="153"/>
      <c r="AA26" s="153"/>
      <c r="AB26" s="153"/>
      <c r="AC26" s="153"/>
      <c r="AD26" s="119"/>
      <c r="AE26" s="136"/>
      <c r="AF26" s="152"/>
    </row>
    <row r="27" spans="2:32" x14ac:dyDescent="0.2">
      <c r="B27" s="20" t="s">
        <v>261</v>
      </c>
      <c r="C27" s="140"/>
      <c r="D27" s="140"/>
      <c r="E27" s="146"/>
      <c r="F27" s="146"/>
      <c r="G27" s="146">
        <v>97</v>
      </c>
      <c r="H27" s="146">
        <v>115</v>
      </c>
      <c r="I27" s="146">
        <v>124</v>
      </c>
      <c r="J27" s="146">
        <v>159</v>
      </c>
      <c r="K27" s="146">
        <v>187</v>
      </c>
      <c r="L27" s="146">
        <v>210</v>
      </c>
      <c r="M27" s="146">
        <v>231</v>
      </c>
      <c r="N27" s="146">
        <v>290</v>
      </c>
      <c r="O27" s="146">
        <v>328</v>
      </c>
      <c r="P27" s="146">
        <v>378</v>
      </c>
      <c r="Q27" s="146">
        <v>413</v>
      </c>
      <c r="R27" s="118">
        <f>((Q27/G27)^(1/($H$2-$H$1) ))-1</f>
        <v>0.15589352712570959</v>
      </c>
      <c r="S27" s="31">
        <f t="shared" si="5"/>
        <v>0.12</v>
      </c>
      <c r="T27" s="152">
        <f t="shared" si="2"/>
        <v>462.56000000000006</v>
      </c>
      <c r="U27" s="152">
        <f t="shared" si="34"/>
        <v>518.06720000000007</v>
      </c>
      <c r="V27" s="152">
        <f t="shared" si="35"/>
        <v>580.23526400000014</v>
      </c>
      <c r="W27" s="152">
        <f t="shared" si="36"/>
        <v>649.86349568000026</v>
      </c>
      <c r="X27" s="152">
        <f t="shared" si="37"/>
        <v>727.8471151616003</v>
      </c>
      <c r="Y27" s="152">
        <f t="shared" si="38"/>
        <v>815.18876898099245</v>
      </c>
      <c r="Z27" s="152">
        <f t="shared" si="39"/>
        <v>913.01142125871161</v>
      </c>
      <c r="AA27" s="152">
        <f t="shared" si="40"/>
        <v>1022.5727918097571</v>
      </c>
      <c r="AB27" s="152">
        <f t="shared" si="41"/>
        <v>1145.281526826928</v>
      </c>
      <c r="AC27" s="152">
        <f t="shared" si="42"/>
        <v>1282.7153100461594</v>
      </c>
      <c r="AD27" s="137">
        <f t="shared" si="17"/>
        <v>0.13780523393979638</v>
      </c>
      <c r="AE27" s="31">
        <f t="shared" si="15"/>
        <v>0.05</v>
      </c>
      <c r="AF27" s="145">
        <f t="shared" si="1"/>
        <v>7922.6533855792204</v>
      </c>
    </row>
    <row r="28" spans="2:32" s="123" customFormat="1" x14ac:dyDescent="0.2">
      <c r="B28" s="23"/>
      <c r="C28" s="147"/>
      <c r="D28" s="147"/>
      <c r="E28" s="148"/>
      <c r="F28" s="148"/>
      <c r="G28" s="149" t="e">
        <f t="shared" ref="G28:Q28" si="64">(G27-F27)/F27</f>
        <v>#DIV/0!</v>
      </c>
      <c r="H28" s="149">
        <f t="shared" si="64"/>
        <v>0.18556701030927836</v>
      </c>
      <c r="I28" s="149">
        <f t="shared" si="64"/>
        <v>7.8260869565217397E-2</v>
      </c>
      <c r="J28" s="149">
        <f t="shared" si="64"/>
        <v>0.28225806451612906</v>
      </c>
      <c r="K28" s="149">
        <f t="shared" si="64"/>
        <v>0.1761006289308176</v>
      </c>
      <c r="L28" s="149">
        <f t="shared" si="64"/>
        <v>0.12299465240641712</v>
      </c>
      <c r="M28" s="149">
        <f t="shared" si="64"/>
        <v>0.1</v>
      </c>
      <c r="N28" s="149">
        <f t="shared" si="64"/>
        <v>0.25541125541125542</v>
      </c>
      <c r="O28" s="149">
        <f t="shared" si="64"/>
        <v>0.1310344827586207</v>
      </c>
      <c r="P28" s="149">
        <f t="shared" si="64"/>
        <v>0.1524390243902439</v>
      </c>
      <c r="Q28" s="149">
        <f t="shared" si="64"/>
        <v>9.2592592592592587E-2</v>
      </c>
      <c r="R28" s="128"/>
      <c r="S28" s="20"/>
      <c r="T28" s="152"/>
      <c r="U28" s="153"/>
      <c r="V28" s="153"/>
      <c r="W28" s="153"/>
      <c r="X28" s="153"/>
      <c r="Y28" s="153"/>
      <c r="Z28" s="153"/>
      <c r="AA28" s="153"/>
      <c r="AB28" s="153"/>
      <c r="AC28" s="153"/>
      <c r="AD28" s="119"/>
      <c r="AE28" s="136"/>
      <c r="AF28" s="152"/>
    </row>
    <row r="29" spans="2:32" s="123" customFormat="1" x14ac:dyDescent="0.2">
      <c r="B29" s="20" t="s">
        <v>323</v>
      </c>
      <c r="C29" s="147"/>
      <c r="D29" s="147"/>
      <c r="E29" s="148"/>
      <c r="F29" s="146"/>
      <c r="G29" s="146">
        <v>4</v>
      </c>
      <c r="H29" s="146">
        <v>3</v>
      </c>
      <c r="I29" s="146">
        <v>2</v>
      </c>
      <c r="J29" s="146">
        <v>2</v>
      </c>
      <c r="K29" s="146">
        <v>1</v>
      </c>
      <c r="L29" s="146">
        <v>1</v>
      </c>
      <c r="M29" s="146">
        <v>2</v>
      </c>
      <c r="N29" s="146">
        <v>2</v>
      </c>
      <c r="O29" s="146">
        <v>3</v>
      </c>
      <c r="P29" s="146">
        <v>3</v>
      </c>
      <c r="Q29" s="146">
        <v>4</v>
      </c>
      <c r="R29" s="118">
        <f>((Q29/G29)^(1/($H$2-$H$1) ))-1</f>
        <v>0</v>
      </c>
      <c r="S29" s="31">
        <f t="shared" si="5"/>
        <v>0.12</v>
      </c>
      <c r="T29" s="152">
        <f t="shared" si="2"/>
        <v>4.4800000000000004</v>
      </c>
      <c r="U29" s="152">
        <f t="shared" ref="U29" si="65">T29*(1+$S29)</f>
        <v>5.0176000000000007</v>
      </c>
      <c r="V29" s="152">
        <f t="shared" ref="V29" si="66">U29*(1+$S29)</f>
        <v>5.6197120000000016</v>
      </c>
      <c r="W29" s="152">
        <f t="shared" ref="W29" si="67">V29*(1+$S29)</f>
        <v>6.2940774400000024</v>
      </c>
      <c r="X29" s="152">
        <f t="shared" ref="X29" si="68">W29*(1+$S29)</f>
        <v>7.0493667328000029</v>
      </c>
      <c r="Y29" s="152">
        <f t="shared" ref="Y29" si="69">X29*(1+$S29)</f>
        <v>7.8952907407360042</v>
      </c>
      <c r="Z29" s="152">
        <f t="shared" ref="Z29" si="70">Y29*(1+$S29)</f>
        <v>8.8427256296243257</v>
      </c>
      <c r="AA29" s="152">
        <f t="shared" ref="AA29" si="71">Z29*(1+$S29)</f>
        <v>9.9038527051792453</v>
      </c>
      <c r="AB29" s="152">
        <f t="shared" ref="AB29" si="72">AA29*(1+$S29)</f>
        <v>11.092315029800757</v>
      </c>
      <c r="AC29" s="152">
        <f t="shared" ref="AC29" si="73">AB29*(1+$S29)</f>
        <v>12.423392833376848</v>
      </c>
      <c r="AD29" s="137">
        <f t="shared" ref="AD29" si="74">((AC29/G29)^(1/($AC$3-$H$1) ))-1</f>
        <v>5.8300524425836331E-2</v>
      </c>
      <c r="AE29" s="31">
        <f t="shared" si="15"/>
        <v>0.05</v>
      </c>
      <c r="AF29" s="145">
        <f t="shared" ref="AF29" si="75">(AC29*(1+AE29))/($C$1-AE29)</f>
        <v>76.732720441445252</v>
      </c>
    </row>
    <row r="30" spans="2:32" s="123" customFormat="1" x14ac:dyDescent="0.2">
      <c r="B30" s="23"/>
      <c r="C30" s="147"/>
      <c r="D30" s="147"/>
      <c r="E30" s="148"/>
      <c r="F30" s="148"/>
      <c r="G30" s="149" t="e">
        <f t="shared" ref="G30:Q30" si="76">(G29-F29)/F29</f>
        <v>#DIV/0!</v>
      </c>
      <c r="H30" s="149">
        <f t="shared" si="76"/>
        <v>-0.25</v>
      </c>
      <c r="I30" s="149">
        <f t="shared" si="76"/>
        <v>-0.33333333333333331</v>
      </c>
      <c r="J30" s="149">
        <f t="shared" si="76"/>
        <v>0</v>
      </c>
      <c r="K30" s="149">
        <f t="shared" si="76"/>
        <v>-0.5</v>
      </c>
      <c r="L30" s="149">
        <f t="shared" si="76"/>
        <v>0</v>
      </c>
      <c r="M30" s="149">
        <f t="shared" si="76"/>
        <v>1</v>
      </c>
      <c r="N30" s="149">
        <f t="shared" si="76"/>
        <v>0</v>
      </c>
      <c r="O30" s="149">
        <f t="shared" si="76"/>
        <v>0.5</v>
      </c>
      <c r="P30" s="149">
        <f t="shared" si="76"/>
        <v>0</v>
      </c>
      <c r="Q30" s="149">
        <f t="shared" si="76"/>
        <v>0.33333333333333331</v>
      </c>
      <c r="R30" s="128"/>
      <c r="S30" s="20"/>
      <c r="T30" s="152"/>
      <c r="U30" s="153"/>
      <c r="V30" s="153"/>
      <c r="W30" s="153"/>
      <c r="X30" s="153"/>
      <c r="Y30" s="153"/>
      <c r="Z30" s="153"/>
      <c r="AA30" s="153"/>
      <c r="AB30" s="153"/>
      <c r="AC30" s="153"/>
      <c r="AD30" s="160"/>
      <c r="AE30" s="136"/>
      <c r="AF30" s="152"/>
    </row>
    <row r="31" spans="2:32" x14ac:dyDescent="0.2">
      <c r="B31" s="20" t="s">
        <v>331</v>
      </c>
      <c r="C31" s="140"/>
      <c r="D31" s="140"/>
      <c r="E31" s="146"/>
      <c r="F31" s="146"/>
      <c r="G31" s="146"/>
      <c r="H31" s="146">
        <v>0</v>
      </c>
      <c r="I31" s="146"/>
      <c r="J31" s="146"/>
      <c r="K31" s="146"/>
      <c r="L31" s="146"/>
      <c r="M31" s="146">
        <v>0</v>
      </c>
      <c r="N31" s="146"/>
      <c r="O31" s="146"/>
      <c r="P31" s="146"/>
      <c r="Q31" s="146"/>
      <c r="R31" s="118" t="e">
        <f>((Q31/G31)^(1/($H$2-$H$1) ))-1</f>
        <v>#DIV/0!</v>
      </c>
      <c r="S31" s="31">
        <f t="shared" si="5"/>
        <v>0.12</v>
      </c>
      <c r="T31" s="152">
        <f t="shared" si="2"/>
        <v>0</v>
      </c>
      <c r="U31" s="152">
        <f>T31*(1+$S31)</f>
        <v>0</v>
      </c>
      <c r="V31" s="152">
        <f t="shared" ref="V31:AC32" si="77">U31*(1+$S31)</f>
        <v>0</v>
      </c>
      <c r="W31" s="152">
        <f t="shared" si="77"/>
        <v>0</v>
      </c>
      <c r="X31" s="152">
        <f t="shared" si="77"/>
        <v>0</v>
      </c>
      <c r="Y31" s="152">
        <f t="shared" si="77"/>
        <v>0</v>
      </c>
      <c r="Z31" s="152">
        <f t="shared" si="77"/>
        <v>0</v>
      </c>
      <c r="AA31" s="152">
        <f t="shared" si="77"/>
        <v>0</v>
      </c>
      <c r="AB31" s="152">
        <f t="shared" si="77"/>
        <v>0</v>
      </c>
      <c r="AC31" s="152">
        <f t="shared" si="77"/>
        <v>0</v>
      </c>
      <c r="AD31" s="137" t="e">
        <f t="shared" ref="AD31" si="78">((AC31/G31)^(1/($AC$3-$H$1) ))-1</f>
        <v>#DIV/0!</v>
      </c>
      <c r="AE31" s="31">
        <f t="shared" si="15"/>
        <v>0.05</v>
      </c>
      <c r="AF31" s="145">
        <f t="shared" si="1"/>
        <v>0</v>
      </c>
    </row>
    <row r="32" spans="2:32" x14ac:dyDescent="0.2">
      <c r="B32" s="20" t="s">
        <v>330</v>
      </c>
      <c r="C32" s="140"/>
      <c r="D32" s="140"/>
      <c r="E32" s="146"/>
      <c r="F32" s="146"/>
      <c r="G32" s="146"/>
      <c r="H32" s="146">
        <v>0</v>
      </c>
      <c r="I32" s="146"/>
      <c r="J32" s="146"/>
      <c r="K32" s="146"/>
      <c r="L32" s="146"/>
      <c r="M32" s="146">
        <v>0</v>
      </c>
      <c r="N32" s="146"/>
      <c r="O32" s="146"/>
      <c r="P32" s="146"/>
      <c r="Q32" s="146"/>
      <c r="R32" s="118" t="e">
        <f>((Q32/G32)^(1/($H$2-$H$1) ))-1</f>
        <v>#DIV/0!</v>
      </c>
      <c r="S32" s="31">
        <f t="shared" si="5"/>
        <v>0.12</v>
      </c>
      <c r="T32" s="152">
        <f t="shared" si="2"/>
        <v>0</v>
      </c>
      <c r="U32" s="152">
        <f>T32*(1+$S32)</f>
        <v>0</v>
      </c>
      <c r="V32" s="152">
        <f t="shared" si="77"/>
        <v>0</v>
      </c>
      <c r="W32" s="152">
        <f t="shared" si="77"/>
        <v>0</v>
      </c>
      <c r="X32" s="152">
        <f t="shared" si="77"/>
        <v>0</v>
      </c>
      <c r="Y32" s="152">
        <f t="shared" si="77"/>
        <v>0</v>
      </c>
      <c r="Z32" s="152">
        <f t="shared" si="77"/>
        <v>0</v>
      </c>
      <c r="AA32" s="152">
        <f t="shared" si="77"/>
        <v>0</v>
      </c>
      <c r="AB32" s="152">
        <f t="shared" si="77"/>
        <v>0</v>
      </c>
      <c r="AC32" s="152">
        <f t="shared" si="77"/>
        <v>0</v>
      </c>
      <c r="AD32" s="137" t="e">
        <f t="shared" ref="AD32" si="79">((AC32/G32)^(1/($AC$3-$H$1) ))-1</f>
        <v>#DIV/0!</v>
      </c>
      <c r="AE32" s="31">
        <f t="shared" si="15"/>
        <v>0.05</v>
      </c>
      <c r="AF32" s="145">
        <f t="shared" si="1"/>
        <v>0</v>
      </c>
    </row>
    <row r="33" spans="2:32" x14ac:dyDescent="0.2">
      <c r="B33" s="20" t="s">
        <v>315</v>
      </c>
      <c r="C33" s="140"/>
      <c r="D33" s="140"/>
      <c r="E33" s="146"/>
      <c r="F33" s="146"/>
      <c r="G33" s="146">
        <v>42</v>
      </c>
      <c r="H33" s="146">
        <v>54</v>
      </c>
      <c r="I33" s="146">
        <v>57</v>
      </c>
      <c r="J33" s="146">
        <v>83</v>
      </c>
      <c r="K33" s="146">
        <v>98</v>
      </c>
      <c r="L33" s="146">
        <v>107</v>
      </c>
      <c r="M33" s="146">
        <v>110</v>
      </c>
      <c r="N33" s="146">
        <v>144</v>
      </c>
      <c r="O33" s="146">
        <v>168</v>
      </c>
      <c r="P33" s="146">
        <v>217</v>
      </c>
      <c r="Q33" s="146">
        <v>207</v>
      </c>
      <c r="R33" s="118">
        <f>((Q33/G33)^(1/($H$2-$H$1) ))-1</f>
        <v>0.17293003008785823</v>
      </c>
      <c r="S33" s="31">
        <f t="shared" si="5"/>
        <v>0.12</v>
      </c>
      <c r="T33" s="152">
        <f t="shared" si="2"/>
        <v>231.84000000000003</v>
      </c>
      <c r="U33" s="152">
        <f t="shared" si="34"/>
        <v>259.66080000000005</v>
      </c>
      <c r="V33" s="152">
        <f t="shared" si="35"/>
        <v>290.82009600000009</v>
      </c>
      <c r="W33" s="152">
        <f t="shared" si="36"/>
        <v>325.71850752000012</v>
      </c>
      <c r="X33" s="152">
        <f t="shared" si="37"/>
        <v>364.80472842240016</v>
      </c>
      <c r="Y33" s="152">
        <f t="shared" si="38"/>
        <v>408.58129583308823</v>
      </c>
      <c r="Z33" s="152">
        <f t="shared" si="39"/>
        <v>457.61105133305887</v>
      </c>
      <c r="AA33" s="152">
        <f t="shared" si="40"/>
        <v>512.52437749302601</v>
      </c>
      <c r="AB33" s="152">
        <f t="shared" si="41"/>
        <v>574.02730279218918</v>
      </c>
      <c r="AC33" s="152">
        <f t="shared" si="42"/>
        <v>642.91057912725194</v>
      </c>
      <c r="AD33" s="137">
        <f t="shared" si="17"/>
        <v>0.14615951494475721</v>
      </c>
      <c r="AE33" s="31">
        <f t="shared" si="15"/>
        <v>0.05</v>
      </c>
      <c r="AF33" s="145">
        <f t="shared" si="1"/>
        <v>3970.9182828447924</v>
      </c>
    </row>
    <row r="34" spans="2:32" x14ac:dyDescent="0.2">
      <c r="B34" s="20" t="s">
        <v>307</v>
      </c>
      <c r="C34" s="140"/>
      <c r="D34" s="140"/>
      <c r="E34" s="146"/>
      <c r="F34" s="146"/>
      <c r="G34" s="146">
        <v>21</v>
      </c>
      <c r="H34" s="146">
        <v>21</v>
      </c>
      <c r="I34" s="146">
        <v>24</v>
      </c>
      <c r="J34" s="146">
        <v>25</v>
      </c>
      <c r="K34" s="146">
        <v>28</v>
      </c>
      <c r="L34" s="146">
        <v>31</v>
      </c>
      <c r="M34" s="146">
        <v>34</v>
      </c>
      <c r="N34" s="146">
        <v>38</v>
      </c>
      <c r="O34" s="146">
        <v>45</v>
      </c>
      <c r="P34" s="146">
        <v>48</v>
      </c>
      <c r="Q34" s="146">
        <v>57</v>
      </c>
      <c r="R34" s="118">
        <f>((Q34/G34)^(1/($H$2-$H$1) ))-1</f>
        <v>0.10500834061722086</v>
      </c>
      <c r="S34" s="31">
        <f t="shared" si="5"/>
        <v>0.12</v>
      </c>
      <c r="T34" s="152">
        <f t="shared" si="2"/>
        <v>63.84</v>
      </c>
      <c r="U34" s="152">
        <f t="shared" si="34"/>
        <v>71.500800000000012</v>
      </c>
      <c r="V34" s="152">
        <f t="shared" si="35"/>
        <v>80.080896000000024</v>
      </c>
      <c r="W34" s="152">
        <f t="shared" si="36"/>
        <v>89.690603520000039</v>
      </c>
      <c r="X34" s="152">
        <f t="shared" si="37"/>
        <v>100.45347594240005</v>
      </c>
      <c r="Y34" s="152">
        <f t="shared" si="38"/>
        <v>112.50789305548807</v>
      </c>
      <c r="Z34" s="152">
        <f t="shared" si="39"/>
        <v>126.00884022214665</v>
      </c>
      <c r="AA34" s="152">
        <f t="shared" si="40"/>
        <v>141.12990104880424</v>
      </c>
      <c r="AB34" s="152">
        <f t="shared" si="41"/>
        <v>158.06548917466077</v>
      </c>
      <c r="AC34" s="152">
        <f t="shared" si="42"/>
        <v>177.03334787562008</v>
      </c>
      <c r="AD34" s="137">
        <f t="shared" si="17"/>
        <v>0.11247891732440829</v>
      </c>
      <c r="AE34" s="31">
        <f t="shared" si="15"/>
        <v>0.05</v>
      </c>
      <c r="AF34" s="145">
        <f t="shared" si="1"/>
        <v>1093.4412662905947</v>
      </c>
    </row>
    <row r="35" spans="2:32" x14ac:dyDescent="0.2">
      <c r="B35" s="20"/>
      <c r="C35" s="140"/>
      <c r="D35" s="140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28"/>
      <c r="S35" s="20"/>
      <c r="T35" s="152">
        <f t="shared" si="2"/>
        <v>0</v>
      </c>
      <c r="U35" s="152"/>
      <c r="V35" s="152"/>
      <c r="W35" s="152"/>
      <c r="X35" s="152"/>
      <c r="Y35" s="152"/>
      <c r="Z35" s="152"/>
      <c r="AA35" s="152"/>
      <c r="AB35" s="152"/>
      <c r="AC35" s="152"/>
      <c r="AD35" s="138"/>
      <c r="AE35" s="136"/>
      <c r="AF35" s="152"/>
    </row>
    <row r="36" spans="2:32" x14ac:dyDescent="0.2">
      <c r="B36" s="20" t="s">
        <v>278</v>
      </c>
      <c r="C36" s="140"/>
      <c r="D36" s="140"/>
      <c r="E36" s="146"/>
      <c r="F36" s="146"/>
      <c r="G36" s="146">
        <v>6</v>
      </c>
      <c r="H36" s="146">
        <v>8</v>
      </c>
      <c r="I36" s="146">
        <v>9</v>
      </c>
      <c r="J36" s="146">
        <v>15</v>
      </c>
      <c r="K36" s="146">
        <v>20</v>
      </c>
      <c r="L36" s="146">
        <v>29</v>
      </c>
      <c r="M36" s="146">
        <v>56</v>
      </c>
      <c r="N36" s="146">
        <v>47</v>
      </c>
      <c r="O36" s="146">
        <v>46</v>
      </c>
      <c r="P36" s="146">
        <v>51</v>
      </c>
      <c r="Q36" s="146">
        <v>59</v>
      </c>
      <c r="R36" s="118">
        <f>((Q36/G36)^(1/($H$2-$H$1) ))-1</f>
        <v>0.25681129806505476</v>
      </c>
      <c r="S36" s="31">
        <f t="shared" si="5"/>
        <v>0.12</v>
      </c>
      <c r="T36" s="152">
        <f t="shared" si="2"/>
        <v>66.080000000000013</v>
      </c>
      <c r="U36" s="152">
        <f t="shared" ref="U36" si="80">T36*(1+$S36)</f>
        <v>74.00960000000002</v>
      </c>
      <c r="V36" s="152">
        <f t="shared" ref="V36" si="81">U36*(1+$S36)</f>
        <v>82.890752000000035</v>
      </c>
      <c r="W36" s="152">
        <f t="shared" ref="W36" si="82">V36*(1+$S36)</f>
        <v>92.837642240000051</v>
      </c>
      <c r="X36" s="152">
        <f t="shared" si="37"/>
        <v>103.97815930880007</v>
      </c>
      <c r="Y36" s="152">
        <f t="shared" si="38"/>
        <v>116.45553842585609</v>
      </c>
      <c r="Z36" s="152">
        <f t="shared" si="39"/>
        <v>130.43020303695883</v>
      </c>
      <c r="AA36" s="152">
        <f t="shared" si="40"/>
        <v>146.08182740139389</v>
      </c>
      <c r="AB36" s="152">
        <f t="shared" si="41"/>
        <v>163.61164668956118</v>
      </c>
      <c r="AC36" s="152">
        <f t="shared" si="42"/>
        <v>183.24504429230853</v>
      </c>
      <c r="AD36" s="137">
        <f t="shared" si="17"/>
        <v>0.18643527165743912</v>
      </c>
      <c r="AE36" s="31">
        <f t="shared" si="15"/>
        <v>0.05</v>
      </c>
      <c r="AF36" s="145">
        <f t="shared" si="1"/>
        <v>1131.8076265113175</v>
      </c>
    </row>
    <row r="37" spans="2:32" s="123" customFormat="1" x14ac:dyDescent="0.2">
      <c r="B37" s="23"/>
      <c r="C37" s="147"/>
      <c r="D37" s="147"/>
      <c r="E37" s="148"/>
      <c r="F37" s="148"/>
      <c r="G37" s="149" t="e">
        <f t="shared" ref="G37:Q37" si="83">(G36-F36)/F36</f>
        <v>#DIV/0!</v>
      </c>
      <c r="H37" s="149">
        <f t="shared" si="83"/>
        <v>0.33333333333333331</v>
      </c>
      <c r="I37" s="149">
        <f t="shared" si="83"/>
        <v>0.125</v>
      </c>
      <c r="J37" s="149">
        <f t="shared" si="83"/>
        <v>0.66666666666666663</v>
      </c>
      <c r="K37" s="149">
        <f t="shared" si="83"/>
        <v>0.33333333333333331</v>
      </c>
      <c r="L37" s="149">
        <f t="shared" si="83"/>
        <v>0.45</v>
      </c>
      <c r="M37" s="149">
        <f t="shared" si="83"/>
        <v>0.93103448275862066</v>
      </c>
      <c r="N37" s="149">
        <f t="shared" si="83"/>
        <v>-0.16071428571428573</v>
      </c>
      <c r="O37" s="149">
        <f t="shared" si="83"/>
        <v>-2.1276595744680851E-2</v>
      </c>
      <c r="P37" s="149">
        <f t="shared" si="83"/>
        <v>0.10869565217391304</v>
      </c>
      <c r="Q37" s="149">
        <f t="shared" si="83"/>
        <v>0.15686274509803921</v>
      </c>
      <c r="R37" s="128"/>
      <c r="S37" s="20"/>
      <c r="T37" s="152"/>
      <c r="U37" s="153"/>
      <c r="V37" s="153"/>
      <c r="W37" s="153"/>
      <c r="X37" s="153"/>
      <c r="Y37" s="153"/>
      <c r="Z37" s="153"/>
      <c r="AA37" s="153"/>
      <c r="AB37" s="153"/>
      <c r="AC37" s="153"/>
      <c r="AD37" s="138"/>
      <c r="AE37" s="136"/>
      <c r="AF37" s="154"/>
    </row>
    <row r="38" spans="2:32" s="123" customFormat="1" x14ac:dyDescent="0.2">
      <c r="B38" s="20" t="s">
        <v>399</v>
      </c>
      <c r="C38" s="147"/>
      <c r="D38" s="147"/>
      <c r="E38" s="148"/>
      <c r="F38" s="148"/>
      <c r="G38" s="146">
        <v>0.88</v>
      </c>
      <c r="H38" s="146">
        <v>3</v>
      </c>
      <c r="I38" s="146">
        <v>6</v>
      </c>
      <c r="J38" s="146">
        <v>12</v>
      </c>
      <c r="K38" s="146">
        <v>18</v>
      </c>
      <c r="L38" s="146">
        <v>29</v>
      </c>
      <c r="M38" s="146">
        <v>56</v>
      </c>
      <c r="N38" s="146">
        <v>48</v>
      </c>
      <c r="O38" s="146">
        <v>45</v>
      </c>
      <c r="P38" s="146">
        <v>50</v>
      </c>
      <c r="Q38" s="146">
        <v>57</v>
      </c>
      <c r="R38" s="118">
        <f>((Q38/G38)^(1/($H$2-$H$1) ))-1</f>
        <v>0.51753675426918422</v>
      </c>
      <c r="S38" s="31">
        <f t="shared" si="5"/>
        <v>0.12</v>
      </c>
      <c r="T38" s="152">
        <f t="shared" si="2"/>
        <v>63.84</v>
      </c>
      <c r="U38" s="152">
        <f t="shared" ref="U38" si="84">T38*(1+$S38)</f>
        <v>71.500800000000012</v>
      </c>
      <c r="V38" s="152">
        <f t="shared" ref="V38" si="85">U38*(1+$S38)</f>
        <v>80.080896000000024</v>
      </c>
      <c r="W38" s="152">
        <f t="shared" ref="W38" si="86">V38*(1+$S38)</f>
        <v>89.690603520000039</v>
      </c>
      <c r="X38" s="152">
        <f t="shared" ref="X38" si="87">W38*(1+$S38)</f>
        <v>100.45347594240005</v>
      </c>
      <c r="Y38" s="152">
        <f t="shared" ref="Y38" si="88">X38*(1+$S38)</f>
        <v>112.50789305548807</v>
      </c>
      <c r="Z38" s="152">
        <f t="shared" ref="Z38" si="89">Y38*(1+$S38)</f>
        <v>126.00884022214665</v>
      </c>
      <c r="AA38" s="152">
        <f t="shared" ref="AA38" si="90">Z38*(1+$S38)</f>
        <v>141.12990104880424</v>
      </c>
      <c r="AB38" s="152">
        <f t="shared" ref="AB38" si="91">AA38*(1+$S38)</f>
        <v>158.06548917466077</v>
      </c>
      <c r="AC38" s="152">
        <f t="shared" ref="AC38" si="92">AB38*(1+$S38)</f>
        <v>177.03334787562008</v>
      </c>
      <c r="AD38" s="137">
        <f t="shared" ref="AD38" si="93">((AC38/G38)^(1/($AC$3-$H$1) ))-1</f>
        <v>0.30370286675357372</v>
      </c>
      <c r="AE38" s="31">
        <f t="shared" si="15"/>
        <v>0.05</v>
      </c>
      <c r="AF38" s="145">
        <f t="shared" ref="AF38" si="94">(AC38*(1+AE38))/($C$1-AE38)</f>
        <v>1093.4412662905947</v>
      </c>
    </row>
    <row r="39" spans="2:32" s="123" customFormat="1" x14ac:dyDescent="0.2">
      <c r="B39" s="23"/>
      <c r="C39" s="147"/>
      <c r="D39" s="147"/>
      <c r="E39" s="148"/>
      <c r="F39" s="148"/>
      <c r="G39" s="149" t="e">
        <f t="shared" ref="G39:Q39" si="95">(G38-F38)/F38</f>
        <v>#DIV/0!</v>
      </c>
      <c r="H39" s="149">
        <f t="shared" si="95"/>
        <v>2.4090909090909092</v>
      </c>
      <c r="I39" s="149">
        <f t="shared" si="95"/>
        <v>1</v>
      </c>
      <c r="J39" s="149">
        <f t="shared" si="95"/>
        <v>1</v>
      </c>
      <c r="K39" s="149">
        <f t="shared" si="95"/>
        <v>0.5</v>
      </c>
      <c r="L39" s="149">
        <f t="shared" si="95"/>
        <v>0.61111111111111116</v>
      </c>
      <c r="M39" s="149">
        <f t="shared" si="95"/>
        <v>0.93103448275862066</v>
      </c>
      <c r="N39" s="149">
        <f t="shared" si="95"/>
        <v>-0.14285714285714285</v>
      </c>
      <c r="O39" s="149">
        <f t="shared" si="95"/>
        <v>-6.25E-2</v>
      </c>
      <c r="P39" s="149">
        <f t="shared" si="95"/>
        <v>0.1111111111111111</v>
      </c>
      <c r="Q39" s="149">
        <f t="shared" si="95"/>
        <v>0.14000000000000001</v>
      </c>
      <c r="R39" s="128"/>
      <c r="S39" s="20"/>
      <c r="T39" s="152"/>
      <c r="U39" s="153"/>
      <c r="V39" s="153"/>
      <c r="W39" s="153"/>
      <c r="X39" s="153"/>
      <c r="Y39" s="153"/>
      <c r="Z39" s="153"/>
      <c r="AA39" s="153"/>
      <c r="AB39" s="153"/>
      <c r="AC39" s="153"/>
      <c r="AD39" s="138"/>
      <c r="AE39" s="136"/>
      <c r="AF39" s="154"/>
    </row>
    <row r="40" spans="2:32" x14ac:dyDescent="0.2">
      <c r="B40" s="20" t="s">
        <v>400</v>
      </c>
      <c r="C40" s="140"/>
      <c r="D40" s="140"/>
      <c r="E40" s="146"/>
      <c r="F40" s="146"/>
      <c r="G40" s="146">
        <v>0.8</v>
      </c>
      <c r="H40" s="146">
        <v>3</v>
      </c>
      <c r="I40" s="146">
        <v>4</v>
      </c>
      <c r="J40" s="146">
        <v>7</v>
      </c>
      <c r="K40" s="146">
        <v>11</v>
      </c>
      <c r="L40" s="146">
        <v>19</v>
      </c>
      <c r="M40" s="146">
        <v>37</v>
      </c>
      <c r="N40" s="146">
        <v>32</v>
      </c>
      <c r="O40" s="146">
        <v>30</v>
      </c>
      <c r="P40" s="146">
        <v>34</v>
      </c>
      <c r="Q40" s="146">
        <v>38</v>
      </c>
      <c r="R40" s="118">
        <f>((Q40/G40)^(1/($H$2-$H$1) ))-1</f>
        <v>0.47119202140403549</v>
      </c>
      <c r="S40" s="31">
        <f t="shared" si="5"/>
        <v>0.12</v>
      </c>
      <c r="T40" s="152">
        <f t="shared" si="2"/>
        <v>42.56</v>
      </c>
      <c r="U40" s="152">
        <f t="shared" ref="U40:AC40" si="96">T40*(1+$S40)</f>
        <v>47.667200000000008</v>
      </c>
      <c r="V40" s="152">
        <f t="shared" si="96"/>
        <v>53.387264000000016</v>
      </c>
      <c r="W40" s="152">
        <f t="shared" si="96"/>
        <v>59.793735680000026</v>
      </c>
      <c r="X40" s="152">
        <f t="shared" si="96"/>
        <v>66.968983961600031</v>
      </c>
      <c r="Y40" s="152">
        <f t="shared" si="96"/>
        <v>75.005262036992036</v>
      </c>
      <c r="Z40" s="152">
        <f t="shared" si="96"/>
        <v>84.005893481431087</v>
      </c>
      <c r="AA40" s="152">
        <f t="shared" si="96"/>
        <v>94.086600699202833</v>
      </c>
      <c r="AB40" s="152">
        <f t="shared" si="96"/>
        <v>105.37699278310718</v>
      </c>
      <c r="AC40" s="152">
        <f t="shared" si="96"/>
        <v>118.02223191708006</v>
      </c>
      <c r="AD40" s="137">
        <f t="shared" si="17"/>
        <v>0.28364132995651081</v>
      </c>
      <c r="AE40" s="31">
        <f t="shared" si="15"/>
        <v>0.05</v>
      </c>
      <c r="AF40" s="145">
        <f t="shared" si="1"/>
        <v>728.96084419372983</v>
      </c>
    </row>
    <row r="41" spans="2:32" s="123" customFormat="1" x14ac:dyDescent="0.2">
      <c r="B41" s="23"/>
      <c r="C41" s="147"/>
      <c r="D41" s="147"/>
      <c r="E41" s="148"/>
      <c r="F41" s="148"/>
      <c r="G41" s="149" t="e">
        <f t="shared" ref="G41:Q41" si="97">(G40-F40)/F40</f>
        <v>#DIV/0!</v>
      </c>
      <c r="H41" s="149">
        <f t="shared" si="97"/>
        <v>2.75</v>
      </c>
      <c r="I41" s="149">
        <f t="shared" si="97"/>
        <v>0.33333333333333331</v>
      </c>
      <c r="J41" s="149">
        <f t="shared" si="97"/>
        <v>0.75</v>
      </c>
      <c r="K41" s="149">
        <f t="shared" si="97"/>
        <v>0.5714285714285714</v>
      </c>
      <c r="L41" s="149">
        <f t="shared" si="97"/>
        <v>0.72727272727272729</v>
      </c>
      <c r="M41" s="149">
        <f t="shared" si="97"/>
        <v>0.94736842105263153</v>
      </c>
      <c r="N41" s="149">
        <f t="shared" si="97"/>
        <v>-0.13513513513513514</v>
      </c>
      <c r="O41" s="149">
        <f t="shared" si="97"/>
        <v>-6.25E-2</v>
      </c>
      <c r="P41" s="149">
        <f t="shared" si="97"/>
        <v>0.13333333333333333</v>
      </c>
      <c r="Q41" s="149">
        <f t="shared" si="97"/>
        <v>0.11764705882352941</v>
      </c>
      <c r="R41" s="128"/>
      <c r="S41" s="20"/>
      <c r="T41" s="152"/>
      <c r="U41" s="153"/>
      <c r="V41" s="153"/>
      <c r="W41" s="153"/>
      <c r="X41" s="153"/>
      <c r="Y41" s="153"/>
      <c r="Z41" s="153"/>
      <c r="AA41" s="153"/>
      <c r="AB41" s="153"/>
      <c r="AC41" s="153"/>
      <c r="AD41" s="138"/>
      <c r="AE41" s="136"/>
      <c r="AF41" s="154"/>
    </row>
    <row r="42" spans="2:32" x14ac:dyDescent="0.2">
      <c r="B42" s="20" t="s">
        <v>239</v>
      </c>
      <c r="C42" s="141"/>
      <c r="D42" s="141"/>
      <c r="E42" s="144"/>
      <c r="F42" s="144"/>
      <c r="G42" s="146">
        <v>0.52800000000000002</v>
      </c>
      <c r="H42" s="220">
        <v>0.52880000000000005</v>
      </c>
      <c r="I42" s="220">
        <v>0.52800000000000002</v>
      </c>
      <c r="J42" s="220">
        <v>0.52800000000000002</v>
      </c>
      <c r="K42" s="220">
        <v>0.52800000000000002</v>
      </c>
      <c r="L42" s="220">
        <v>0.52800000000000002</v>
      </c>
      <c r="M42" s="220">
        <v>0.52880000000000005</v>
      </c>
      <c r="N42" s="220">
        <v>0.52880000000000005</v>
      </c>
      <c r="O42" s="220">
        <v>0.52880000000000005</v>
      </c>
      <c r="P42" s="220">
        <v>0.52880000000000005</v>
      </c>
      <c r="Q42" s="220">
        <v>0.52880000000000005</v>
      </c>
      <c r="R42" s="118">
        <f>((Q42/G42)^(1/($H$2-$H$1) ))-1</f>
        <v>1.5141194475298825E-4</v>
      </c>
      <c r="S42" s="31">
        <v>0.02</v>
      </c>
      <c r="T42" s="152">
        <f t="shared" si="2"/>
        <v>0.53937600000000008</v>
      </c>
      <c r="U42" s="152">
        <f>T42*(1+$S42)</f>
        <v>0.55016352000000013</v>
      </c>
      <c r="V42" s="152">
        <f t="shared" ref="V42:AC42" si="98">U42*(1+$S42)</f>
        <v>0.56116679040000017</v>
      </c>
      <c r="W42" s="152">
        <f t="shared" si="98"/>
        <v>0.57239012620800023</v>
      </c>
      <c r="X42" s="152">
        <f t="shared" si="98"/>
        <v>0.58383792873216023</v>
      </c>
      <c r="Y42" s="152">
        <f t="shared" si="98"/>
        <v>0.59551468730680346</v>
      </c>
      <c r="Z42" s="152">
        <f t="shared" si="98"/>
        <v>0.60742498105293952</v>
      </c>
      <c r="AA42" s="152">
        <f t="shared" si="98"/>
        <v>0.61957348067399831</v>
      </c>
      <c r="AB42" s="152">
        <f t="shared" si="98"/>
        <v>0.63196495028747823</v>
      </c>
      <c r="AC42" s="152">
        <f t="shared" si="98"/>
        <v>0.64460424929322779</v>
      </c>
      <c r="AD42" s="137">
        <f t="shared" si="17"/>
        <v>1.0026950226402764E-2</v>
      </c>
      <c r="AE42" s="31">
        <f t="shared" si="15"/>
        <v>0.05</v>
      </c>
      <c r="AF42" s="145">
        <f t="shared" si="1"/>
        <v>3.9813791868111132</v>
      </c>
    </row>
    <row r="43" spans="2:32" x14ac:dyDescent="0.2">
      <c r="B43" s="20"/>
      <c r="C43" s="141"/>
      <c r="D43" s="141"/>
      <c r="E43" s="142"/>
      <c r="F43" s="146"/>
      <c r="G43" s="149" t="e">
        <f t="shared" ref="G43:Q43" si="99">(G42-F42)/F42</f>
        <v>#DIV/0!</v>
      </c>
      <c r="H43" s="149">
        <f t="shared" si="99"/>
        <v>1.5151515151515585E-3</v>
      </c>
      <c r="I43" s="149">
        <f t="shared" si="99"/>
        <v>-1.5128593040847633E-3</v>
      </c>
      <c r="J43" s="149">
        <f t="shared" si="99"/>
        <v>0</v>
      </c>
      <c r="K43" s="149">
        <f t="shared" si="99"/>
        <v>0</v>
      </c>
      <c r="L43" s="149">
        <f t="shared" si="99"/>
        <v>0</v>
      </c>
      <c r="M43" s="149">
        <f t="shared" si="99"/>
        <v>1.5151515151515585E-3</v>
      </c>
      <c r="N43" s="149">
        <f t="shared" si="99"/>
        <v>0</v>
      </c>
      <c r="O43" s="149">
        <f t="shared" si="99"/>
        <v>0</v>
      </c>
      <c r="P43" s="149">
        <f t="shared" si="99"/>
        <v>0</v>
      </c>
      <c r="Q43" s="149">
        <f t="shared" si="99"/>
        <v>0</v>
      </c>
      <c r="R43" s="128"/>
      <c r="S43" s="20"/>
      <c r="T43" s="152"/>
      <c r="U43" s="152"/>
      <c r="V43" s="152"/>
      <c r="W43" s="152"/>
      <c r="X43" s="152"/>
      <c r="Y43" s="152"/>
      <c r="Z43" s="152"/>
      <c r="AA43" s="152"/>
      <c r="AB43" s="152"/>
      <c r="AC43" s="152"/>
      <c r="AD43" s="138"/>
      <c r="AE43" s="136"/>
      <c r="AF43" s="145"/>
    </row>
    <row r="44" spans="2:32" x14ac:dyDescent="0.2">
      <c r="B44" s="20" t="s">
        <v>282</v>
      </c>
      <c r="C44" s="144"/>
      <c r="D44" s="144"/>
      <c r="E44" s="144"/>
      <c r="F44" s="146"/>
      <c r="G44" s="146">
        <v>1</v>
      </c>
      <c r="H44" s="146">
        <v>3</v>
      </c>
      <c r="I44" s="146">
        <v>5</v>
      </c>
      <c r="J44" s="146">
        <v>7</v>
      </c>
      <c r="K44" s="146">
        <v>10</v>
      </c>
      <c r="L44" s="146">
        <v>20</v>
      </c>
      <c r="M44" s="146">
        <v>40</v>
      </c>
      <c r="N44" s="146">
        <v>40</v>
      </c>
      <c r="O44" s="146">
        <v>40</v>
      </c>
      <c r="P44" s="146">
        <v>50</v>
      </c>
      <c r="Q44" s="146">
        <v>60</v>
      </c>
      <c r="R44" s="118">
        <f>((Q44/G44)^(1/($H$2-$H$1) ))-1</f>
        <v>0.50596585461492261</v>
      </c>
      <c r="S44" s="31">
        <f>P1</f>
        <v>0.05</v>
      </c>
      <c r="T44" s="152">
        <f t="shared" si="2"/>
        <v>63</v>
      </c>
      <c r="U44" s="152">
        <f t="shared" ref="U44" si="100">T44*(1+$S44)</f>
        <v>66.150000000000006</v>
      </c>
      <c r="V44" s="152">
        <f t="shared" ref="V44" si="101">U44*(1+$S44)</f>
        <v>69.45750000000001</v>
      </c>
      <c r="W44" s="152">
        <f t="shared" ref="W44" si="102">V44*(1+$S44)</f>
        <v>72.930375000000012</v>
      </c>
      <c r="X44" s="152">
        <f t="shared" ref="X44" si="103">W44*(1+$S44)</f>
        <v>76.576893750000011</v>
      </c>
      <c r="Y44" s="152">
        <f t="shared" ref="Y44" si="104">X44*(1+$S44)</f>
        <v>80.40573843750002</v>
      </c>
      <c r="Z44" s="152">
        <f t="shared" ref="Z44" si="105">Y44*(1+$S44)</f>
        <v>84.426025359375018</v>
      </c>
      <c r="AA44" s="152">
        <f t="shared" ref="AA44" si="106">Z44*(1+$S44)</f>
        <v>88.647326627343773</v>
      </c>
      <c r="AB44" s="152">
        <f t="shared" ref="AB44" si="107">AA44*(1+$S44)</f>
        <v>93.079692958710964</v>
      </c>
      <c r="AC44" s="152">
        <f t="shared" ref="AC44" si="108">AB44*(1+$S44)</f>
        <v>97.733677606646523</v>
      </c>
      <c r="AD44" s="137">
        <f t="shared" ref="AD44" si="109">((AC44/G44)^(1/($AC$3-$H$1) ))-1</f>
        <v>0.25748325927054339</v>
      </c>
      <c r="AE44" s="31">
        <f t="shared" si="15"/>
        <v>0.05</v>
      </c>
      <c r="AF44" s="145">
        <f t="shared" si="1"/>
        <v>603.6491852175227</v>
      </c>
    </row>
    <row r="45" spans="2:32" x14ac:dyDescent="0.2">
      <c r="B45" s="20"/>
      <c r="C45" s="144"/>
      <c r="D45" s="144"/>
      <c r="E45" s="144"/>
      <c r="F45" s="146"/>
      <c r="G45" s="149" t="e">
        <f t="shared" ref="G45:Q45" si="110">(G44-F44)/F44</f>
        <v>#DIV/0!</v>
      </c>
      <c r="H45" s="149">
        <f t="shared" si="110"/>
        <v>2</v>
      </c>
      <c r="I45" s="149">
        <f t="shared" si="110"/>
        <v>0.66666666666666663</v>
      </c>
      <c r="J45" s="149">
        <f t="shared" si="110"/>
        <v>0.4</v>
      </c>
      <c r="K45" s="149">
        <f t="shared" si="110"/>
        <v>0.42857142857142855</v>
      </c>
      <c r="L45" s="149">
        <f t="shared" si="110"/>
        <v>1</v>
      </c>
      <c r="M45" s="149">
        <f t="shared" si="110"/>
        <v>1</v>
      </c>
      <c r="N45" s="149">
        <f t="shared" si="110"/>
        <v>0</v>
      </c>
      <c r="O45" s="149">
        <f t="shared" si="110"/>
        <v>0</v>
      </c>
      <c r="P45" s="149">
        <f t="shared" si="110"/>
        <v>0.25</v>
      </c>
      <c r="Q45" s="149">
        <f t="shared" si="110"/>
        <v>0.2</v>
      </c>
      <c r="R45" s="128"/>
      <c r="S45" s="20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38"/>
      <c r="AE45" s="136"/>
      <c r="AF45" s="145"/>
    </row>
    <row r="46" spans="2:32" x14ac:dyDescent="0.2">
      <c r="B46" s="20" t="s">
        <v>425</v>
      </c>
      <c r="C46" s="20"/>
      <c r="D46" s="20"/>
      <c r="E46" s="127"/>
      <c r="F46" s="127"/>
      <c r="G46" s="146">
        <v>0</v>
      </c>
      <c r="H46" s="146">
        <v>0</v>
      </c>
      <c r="I46" s="146">
        <v>0</v>
      </c>
      <c r="J46" s="146">
        <v>0</v>
      </c>
      <c r="K46" s="146">
        <v>0</v>
      </c>
      <c r="L46" s="146">
        <v>0</v>
      </c>
      <c r="M46" s="146">
        <v>0</v>
      </c>
      <c r="N46" s="146">
        <v>0</v>
      </c>
      <c r="O46" s="146">
        <v>0</v>
      </c>
      <c r="P46" s="146">
        <v>0</v>
      </c>
      <c r="Q46" s="146">
        <v>0</v>
      </c>
      <c r="R46" s="146">
        <v>0</v>
      </c>
      <c r="S46" s="128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38"/>
      <c r="AE46" s="136"/>
      <c r="AF46" s="152"/>
    </row>
    <row r="47" spans="2:32" x14ac:dyDescent="0.2">
      <c r="B47" s="20" t="s">
        <v>423</v>
      </c>
      <c r="C47" s="20"/>
      <c r="D47" s="20"/>
      <c r="E47" s="127"/>
      <c r="F47" s="127"/>
      <c r="G47" s="146">
        <v>0</v>
      </c>
      <c r="H47" s="146">
        <v>0</v>
      </c>
      <c r="I47" s="146">
        <v>0</v>
      </c>
      <c r="J47" s="146">
        <v>0</v>
      </c>
      <c r="K47" s="146">
        <v>0</v>
      </c>
      <c r="L47" s="146">
        <v>0</v>
      </c>
      <c r="M47" s="146">
        <v>0</v>
      </c>
      <c r="N47" s="146">
        <v>0</v>
      </c>
      <c r="O47" s="146">
        <v>0</v>
      </c>
      <c r="P47" s="146">
        <v>0</v>
      </c>
      <c r="Q47" s="146">
        <v>0</v>
      </c>
      <c r="R47" s="146">
        <v>0</v>
      </c>
      <c r="S47" s="128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38"/>
      <c r="AE47" s="136"/>
      <c r="AF47" s="152"/>
    </row>
    <row r="48" spans="2:32" x14ac:dyDescent="0.2">
      <c r="B48" s="20" t="s">
        <v>424</v>
      </c>
      <c r="C48" s="20"/>
      <c r="D48" s="20"/>
      <c r="E48" s="127"/>
      <c r="F48" s="127"/>
      <c r="G48" s="146">
        <v>0</v>
      </c>
      <c r="H48" s="146">
        <v>0</v>
      </c>
      <c r="I48" s="146">
        <v>0</v>
      </c>
      <c r="J48" s="146">
        <v>0</v>
      </c>
      <c r="K48" s="146">
        <v>0</v>
      </c>
      <c r="L48" s="146">
        <v>0</v>
      </c>
      <c r="M48" s="146">
        <v>0</v>
      </c>
      <c r="N48" s="146">
        <v>0</v>
      </c>
      <c r="O48" s="146">
        <v>0</v>
      </c>
      <c r="P48" s="146">
        <v>0</v>
      </c>
      <c r="Q48" s="146">
        <v>0</v>
      </c>
      <c r="R48" s="146">
        <v>0</v>
      </c>
      <c r="S48" s="128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38"/>
      <c r="AE48" s="136"/>
      <c r="AF48" s="152"/>
    </row>
    <row r="49" spans="2:32" x14ac:dyDescent="0.2">
      <c r="B49" s="20"/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38"/>
      <c r="AE49" s="136"/>
      <c r="AF49" s="152"/>
    </row>
    <row r="50" spans="2:32" x14ac:dyDescent="0.2">
      <c r="B50" s="108" t="s">
        <v>243</v>
      </c>
      <c r="C50" s="20"/>
      <c r="D50" s="20"/>
      <c r="E50" s="127"/>
      <c r="F50" s="127"/>
      <c r="G50" s="127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128"/>
      <c r="S50" s="128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38"/>
      <c r="AE50" s="136"/>
      <c r="AF50" s="152"/>
    </row>
    <row r="51" spans="2:32" x14ac:dyDescent="0.2">
      <c r="B51" s="20" t="s">
        <v>302</v>
      </c>
      <c r="C51" s="133"/>
      <c r="D51" s="133"/>
      <c r="E51" s="133"/>
      <c r="F51" s="133"/>
      <c r="G51" s="133">
        <f t="shared" ref="G51:P51" si="111">G25/G42</f>
        <v>195.07575757575756</v>
      </c>
      <c r="H51" s="133">
        <f t="shared" si="111"/>
        <v>230.71104387291979</v>
      </c>
      <c r="I51" s="133">
        <f t="shared" si="111"/>
        <v>251.89393939393938</v>
      </c>
      <c r="J51" s="133">
        <f t="shared" si="111"/>
        <v>327.65151515151513</v>
      </c>
      <c r="K51" s="133">
        <f t="shared" si="111"/>
        <v>393.93939393939394</v>
      </c>
      <c r="L51" s="133">
        <f t="shared" si="111"/>
        <v>460.22727272727269</v>
      </c>
      <c r="M51" s="133">
        <f t="shared" si="111"/>
        <v>550.3025718608169</v>
      </c>
      <c r="N51" s="133">
        <f t="shared" si="111"/>
        <v>646.74735249621779</v>
      </c>
      <c r="O51" s="133">
        <f t="shared" si="111"/>
        <v>714.82602118003024</v>
      </c>
      <c r="P51" s="133">
        <f t="shared" si="111"/>
        <v>820.72617246596064</v>
      </c>
      <c r="Q51" s="133">
        <f t="shared" ref="Q51" si="112">Q25/Q42</f>
        <v>902.04236006051428</v>
      </c>
      <c r="R51" s="118">
        <f>((P51/G51)^(1/($H$2-$H$1) ))-1</f>
        <v>0.15451478264922613</v>
      </c>
      <c r="S51" s="128"/>
      <c r="T51" s="156">
        <f t="shared" ref="T51:AC51" si="113">T25/T42</f>
        <v>990.47788555664306</v>
      </c>
      <c r="U51" s="156">
        <f t="shared" si="113"/>
        <v>1087.5835606112159</v>
      </c>
      <c r="V51" s="156">
        <f t="shared" si="113"/>
        <v>1194.2093998868254</v>
      </c>
      <c r="W51" s="156">
        <f t="shared" si="113"/>
        <v>1311.2887528169063</v>
      </c>
      <c r="X51" s="156">
        <f t="shared" si="113"/>
        <v>1439.8464736813089</v>
      </c>
      <c r="Y51" s="156">
        <f t="shared" si="113"/>
        <v>1581.0078926696726</v>
      </c>
      <c r="Z51" s="156">
        <f t="shared" si="113"/>
        <v>1736.008666460817</v>
      </c>
      <c r="AA51" s="156">
        <f t="shared" si="113"/>
        <v>1906.2055945452112</v>
      </c>
      <c r="AB51" s="156">
        <f t="shared" si="113"/>
        <v>2093.0884959712125</v>
      </c>
      <c r="AC51" s="156">
        <f t="shared" si="113"/>
        <v>2298.2932504781943</v>
      </c>
      <c r="AD51" s="137">
        <f t="shared" ref="AD51" si="114">((AC51/G51)^(1/($AC$3-$H$1) ))-1</f>
        <v>0.13125394565392168</v>
      </c>
      <c r="AE51" s="31">
        <f t="shared" si="15"/>
        <v>0.05</v>
      </c>
      <c r="AF51" s="145">
        <f t="shared" ref="AF51:AF52" si="115">(AC51*(1+AE51))/($C$1-AE51)</f>
        <v>14195.340664718262</v>
      </c>
    </row>
    <row r="52" spans="2:32" x14ac:dyDescent="0.2">
      <c r="B52" s="20" t="s">
        <v>303</v>
      </c>
      <c r="C52" s="133"/>
      <c r="D52" s="133"/>
      <c r="E52" s="133"/>
      <c r="F52" s="133"/>
      <c r="G52" s="133">
        <f t="shared" ref="G52:P52" si="116">G27/G42</f>
        <v>183.71212121212119</v>
      </c>
      <c r="H52" s="133">
        <f t="shared" si="116"/>
        <v>217.47352496217849</v>
      </c>
      <c r="I52" s="133">
        <f t="shared" si="116"/>
        <v>234.84848484848484</v>
      </c>
      <c r="J52" s="133">
        <f t="shared" si="116"/>
        <v>301.13636363636363</v>
      </c>
      <c r="K52" s="133">
        <f t="shared" si="116"/>
        <v>354.16666666666663</v>
      </c>
      <c r="L52" s="133">
        <f t="shared" si="116"/>
        <v>397.72727272727269</v>
      </c>
      <c r="M52" s="133">
        <f t="shared" si="116"/>
        <v>436.83812405446292</v>
      </c>
      <c r="N52" s="133">
        <f t="shared" si="116"/>
        <v>548.41149773071095</v>
      </c>
      <c r="O52" s="133">
        <f t="shared" si="116"/>
        <v>620.27231467473518</v>
      </c>
      <c r="P52" s="133">
        <f t="shared" si="116"/>
        <v>714.82602118003024</v>
      </c>
      <c r="Q52" s="133">
        <f t="shared" ref="Q52" si="117">Q27/Q42</f>
        <v>781.01361573373674</v>
      </c>
      <c r="R52" s="118">
        <f>((P52/G52)^(1/($H$2-$H$1) ))-1</f>
        <v>0.14552943780047123</v>
      </c>
      <c r="S52" s="128"/>
      <c r="T52" s="156">
        <f t="shared" ref="T52:AC52" si="118">T27/T42</f>
        <v>857.5835780605737</v>
      </c>
      <c r="U52" s="156">
        <f t="shared" si="118"/>
        <v>941.66039943906128</v>
      </c>
      <c r="V52" s="156">
        <f t="shared" si="118"/>
        <v>1033.9800464428909</v>
      </c>
      <c r="W52" s="156">
        <f t="shared" si="118"/>
        <v>1135.3506392314096</v>
      </c>
      <c r="X52" s="156">
        <f t="shared" si="118"/>
        <v>1246.6595254305673</v>
      </c>
      <c r="Y52" s="156">
        <f t="shared" si="118"/>
        <v>1368.8810475316036</v>
      </c>
      <c r="Z52" s="156">
        <f t="shared" si="118"/>
        <v>1503.0850717994078</v>
      </c>
      <c r="AA52" s="156">
        <f t="shared" si="118"/>
        <v>1650.4463533483697</v>
      </c>
      <c r="AB52" s="156">
        <f t="shared" si="118"/>
        <v>1812.2548193629159</v>
      </c>
      <c r="AC52" s="156">
        <f t="shared" si="118"/>
        <v>1989.9268604769275</v>
      </c>
      <c r="AD52" s="137">
        <f t="shared" ref="AD52" si="119">((AC52/G52)^(1/($AC$3-$H$1) ))-1</f>
        <v>0.12650977648146067</v>
      </c>
      <c r="AE52" s="31">
        <f t="shared" si="15"/>
        <v>0.05</v>
      </c>
      <c r="AF52" s="145">
        <f t="shared" si="115"/>
        <v>12290.724726475142</v>
      </c>
    </row>
    <row r="53" spans="2:32" x14ac:dyDescent="0.2">
      <c r="B53" s="20" t="s">
        <v>426</v>
      </c>
      <c r="C53" s="133"/>
      <c r="D53" s="133"/>
      <c r="E53" s="133"/>
      <c r="F53" s="133"/>
      <c r="G53" s="133">
        <f>G38-G40</f>
        <v>7.999999999999996E-2</v>
      </c>
      <c r="H53" s="133">
        <f t="shared" ref="H53:P53" si="120">H38-H40</f>
        <v>0</v>
      </c>
      <c r="I53" s="133">
        <f t="shared" si="120"/>
        <v>2</v>
      </c>
      <c r="J53" s="133">
        <f t="shared" si="120"/>
        <v>5</v>
      </c>
      <c r="K53" s="133">
        <f t="shared" si="120"/>
        <v>7</v>
      </c>
      <c r="L53" s="133">
        <f t="shared" si="120"/>
        <v>10</v>
      </c>
      <c r="M53" s="133">
        <f t="shared" si="120"/>
        <v>19</v>
      </c>
      <c r="N53" s="133">
        <f t="shared" si="120"/>
        <v>16</v>
      </c>
      <c r="O53" s="133">
        <f t="shared" si="120"/>
        <v>15</v>
      </c>
      <c r="P53" s="133">
        <f t="shared" si="120"/>
        <v>16</v>
      </c>
      <c r="Q53" s="133">
        <f t="shared" ref="Q53" si="121">Q38-Q40</f>
        <v>19</v>
      </c>
      <c r="R53" s="118">
        <f>((P53/G53)^(1/($H$2-$H$1) ))-1</f>
        <v>0.6986464646342474</v>
      </c>
      <c r="S53" s="128"/>
      <c r="T53" s="133">
        <f t="shared" ref="T53:AC53" si="122">T38-T40</f>
        <v>21.28</v>
      </c>
      <c r="U53" s="133">
        <f t="shared" si="122"/>
        <v>23.833600000000004</v>
      </c>
      <c r="V53" s="133">
        <f t="shared" si="122"/>
        <v>26.693632000000008</v>
      </c>
      <c r="W53" s="133">
        <f t="shared" si="122"/>
        <v>29.896867840000013</v>
      </c>
      <c r="X53" s="133">
        <f t="shared" si="122"/>
        <v>33.484491980800016</v>
      </c>
      <c r="Y53" s="133">
        <f t="shared" si="122"/>
        <v>37.502631018496032</v>
      </c>
      <c r="Z53" s="133">
        <f t="shared" si="122"/>
        <v>42.002946740715558</v>
      </c>
      <c r="AA53" s="133">
        <f t="shared" si="122"/>
        <v>47.043300349601409</v>
      </c>
      <c r="AB53" s="133">
        <f t="shared" si="122"/>
        <v>52.688496391553585</v>
      </c>
      <c r="AC53" s="133">
        <f t="shared" si="122"/>
        <v>59.011115958540017</v>
      </c>
      <c r="AD53" s="137">
        <f t="shared" ref="AD53" si="123">((AC53/G53)^(1/($AC$3-$H$1) ))-1</f>
        <v>0.39120840255242517</v>
      </c>
      <c r="AE53" s="31">
        <f t="shared" si="15"/>
        <v>0.05</v>
      </c>
      <c r="AF53" s="145">
        <f t="shared" ref="AF53" si="124">(AC53*(1+AE53))/($C$1-AE53)</f>
        <v>364.48042209686486</v>
      </c>
    </row>
    <row r="54" spans="2:32" x14ac:dyDescent="0.2">
      <c r="B54" s="20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28"/>
      <c r="S54" s="128"/>
      <c r="T54" s="156"/>
      <c r="U54" s="156"/>
      <c r="V54" s="156"/>
      <c r="W54" s="156"/>
      <c r="X54" s="156"/>
      <c r="Y54" s="156"/>
      <c r="Z54" s="156"/>
      <c r="AA54" s="156"/>
      <c r="AB54" s="156"/>
      <c r="AC54" s="156"/>
      <c r="AD54" s="119"/>
      <c r="AE54" s="136"/>
      <c r="AF54" s="145"/>
    </row>
    <row r="55" spans="2:32" x14ac:dyDescent="0.2">
      <c r="B55" s="20" t="s">
        <v>461</v>
      </c>
      <c r="C55" s="133"/>
      <c r="D55" s="133"/>
      <c r="E55" s="133"/>
      <c r="F55" s="133"/>
      <c r="G55" s="25">
        <f t="shared" ref="G55:P55" si="125">G36/G42</f>
        <v>11.363636363636363</v>
      </c>
      <c r="H55" s="25">
        <f t="shared" si="125"/>
        <v>15.1285930408472</v>
      </c>
      <c r="I55" s="25">
        <f t="shared" si="125"/>
        <v>17.045454545454543</v>
      </c>
      <c r="J55" s="25">
        <f t="shared" si="125"/>
        <v>28.409090909090907</v>
      </c>
      <c r="K55" s="25">
        <f t="shared" si="125"/>
        <v>37.878787878787875</v>
      </c>
      <c r="L55" s="25">
        <f t="shared" si="125"/>
        <v>54.924242424242422</v>
      </c>
      <c r="M55" s="25">
        <f t="shared" si="125"/>
        <v>105.90015128593041</v>
      </c>
      <c r="N55" s="25">
        <f t="shared" si="125"/>
        <v>88.880484114977293</v>
      </c>
      <c r="O55" s="25">
        <f t="shared" si="125"/>
        <v>86.989409984871401</v>
      </c>
      <c r="P55" s="25">
        <f t="shared" si="125"/>
        <v>96.444780635400903</v>
      </c>
      <c r="Q55" s="25">
        <f>Q36/Q42</f>
        <v>111.5733736762481</v>
      </c>
      <c r="R55" s="118">
        <f t="shared" ref="R55:R61" si="126">((P55/G55)^(1/($H$2-$H$1) ))-1</f>
        <v>0.23844333486730473</v>
      </c>
      <c r="S55" s="128"/>
      <c r="T55" s="112">
        <f>T36/T42</f>
        <v>122.5119397229391</v>
      </c>
      <c r="U55" s="112">
        <f t="shared" ref="U55:AC55" si="127">U36/U42</f>
        <v>134.52291420558021</v>
      </c>
      <c r="V55" s="112">
        <f t="shared" si="127"/>
        <v>147.71143520612728</v>
      </c>
      <c r="W55" s="112">
        <f t="shared" si="127"/>
        <v>162.19294846162995</v>
      </c>
      <c r="X55" s="112">
        <f t="shared" si="127"/>
        <v>178.09421791865253</v>
      </c>
      <c r="Y55" s="112">
        <f t="shared" si="127"/>
        <v>195.55443536165768</v>
      </c>
      <c r="Z55" s="112">
        <f t="shared" si="127"/>
        <v>214.72643882848689</v>
      </c>
      <c r="AA55" s="112">
        <f t="shared" si="127"/>
        <v>235.77805047833857</v>
      </c>
      <c r="AB55" s="112">
        <f t="shared" si="127"/>
        <v>258.89354562327378</v>
      </c>
      <c r="AC55" s="112">
        <f t="shared" si="127"/>
        <v>284.27526578241827</v>
      </c>
      <c r="AD55" s="137">
        <f t="shared" ref="AD55:AD56" si="128">((AC55/G55)^(1/($AC$3-$H$1) ))-1</f>
        <v>0.17465704394471215</v>
      </c>
      <c r="AE55" s="31">
        <f t="shared" si="15"/>
        <v>0.05</v>
      </c>
      <c r="AF55" s="145">
        <f t="shared" ref="AF55:AF56" si="129">(AC55*(1+AE55))/($C$1-AE55)</f>
        <v>1755.8178180678779</v>
      </c>
    </row>
    <row r="56" spans="2:32" x14ac:dyDescent="0.2">
      <c r="B56" s="20" t="s">
        <v>462</v>
      </c>
      <c r="C56" s="133"/>
      <c r="D56" s="133"/>
      <c r="E56" s="133"/>
      <c r="F56" s="133"/>
      <c r="G56" s="25">
        <f t="shared" ref="G56:P56" si="130">G38/G42</f>
        <v>1.6666666666666665</v>
      </c>
      <c r="H56" s="25">
        <f t="shared" si="130"/>
        <v>5.6732223903176999</v>
      </c>
      <c r="I56" s="25">
        <f t="shared" si="130"/>
        <v>11.363636363636363</v>
      </c>
      <c r="J56" s="25">
        <f t="shared" si="130"/>
        <v>22.727272727272727</v>
      </c>
      <c r="K56" s="25">
        <f t="shared" si="130"/>
        <v>34.090909090909086</v>
      </c>
      <c r="L56" s="25">
        <f t="shared" si="130"/>
        <v>54.924242424242422</v>
      </c>
      <c r="M56" s="25">
        <f t="shared" si="130"/>
        <v>105.90015128593041</v>
      </c>
      <c r="N56" s="25">
        <f t="shared" si="130"/>
        <v>90.771558245083199</v>
      </c>
      <c r="O56" s="25">
        <f t="shared" si="130"/>
        <v>85.098335854765494</v>
      </c>
      <c r="P56" s="25">
        <f t="shared" si="130"/>
        <v>94.553706505294997</v>
      </c>
      <c r="Q56" s="25">
        <f>Q38/Q42</f>
        <v>107.7912254160363</v>
      </c>
      <c r="R56" s="118">
        <f t="shared" si="126"/>
        <v>0.49755568737470779</v>
      </c>
      <c r="S56" s="128"/>
      <c r="T56" s="112">
        <f>T38/T42</f>
        <v>118.35899261368692</v>
      </c>
      <c r="U56" s="112">
        <f t="shared" ref="U56:AC56" si="131">U38/U42</f>
        <v>129.96281541895036</v>
      </c>
      <c r="V56" s="112">
        <f t="shared" si="131"/>
        <v>142.70426791100431</v>
      </c>
      <c r="W56" s="112">
        <f t="shared" si="131"/>
        <v>156.69488241208316</v>
      </c>
      <c r="X56" s="112">
        <f t="shared" si="131"/>
        <v>172.05712578581682</v>
      </c>
      <c r="Y56" s="112">
        <f t="shared" si="131"/>
        <v>188.92547145109299</v>
      </c>
      <c r="Z56" s="112">
        <f t="shared" si="131"/>
        <v>207.4475764953178</v>
      </c>
      <c r="AA56" s="112">
        <f t="shared" si="131"/>
        <v>227.78557419093721</v>
      </c>
      <c r="AB56" s="112">
        <f t="shared" si="131"/>
        <v>250.11749322926443</v>
      </c>
      <c r="AC56" s="112">
        <f t="shared" si="131"/>
        <v>274.63881609487862</v>
      </c>
      <c r="AD56" s="137">
        <f t="shared" si="128"/>
        <v>0.29076047570942753</v>
      </c>
      <c r="AE56" s="31">
        <f t="shared" si="15"/>
        <v>0.05</v>
      </c>
      <c r="AF56" s="145">
        <f t="shared" si="129"/>
        <v>1696.2985699977799</v>
      </c>
    </row>
    <row r="57" spans="2:32" x14ac:dyDescent="0.2">
      <c r="B57" s="20" t="s">
        <v>257</v>
      </c>
      <c r="C57" s="25"/>
      <c r="D57" s="25"/>
      <c r="E57" s="25"/>
      <c r="F57" s="133"/>
      <c r="G57" s="133">
        <f t="shared" ref="G57:P57" si="132">G40/G42</f>
        <v>1.5151515151515151</v>
      </c>
      <c r="H57" s="133">
        <f t="shared" si="132"/>
        <v>5.6732223903176999</v>
      </c>
      <c r="I57" s="133">
        <f t="shared" si="132"/>
        <v>7.5757575757575752</v>
      </c>
      <c r="J57" s="133">
        <f t="shared" si="132"/>
        <v>13.257575757575758</v>
      </c>
      <c r="K57" s="133">
        <f t="shared" si="132"/>
        <v>20.833333333333332</v>
      </c>
      <c r="L57" s="133">
        <f t="shared" si="132"/>
        <v>35.984848484848484</v>
      </c>
      <c r="M57" s="133">
        <f t="shared" si="132"/>
        <v>69.969742813918302</v>
      </c>
      <c r="N57" s="133">
        <f t="shared" si="132"/>
        <v>60.514372163388799</v>
      </c>
      <c r="O57" s="133">
        <f t="shared" si="132"/>
        <v>56.732223903177001</v>
      </c>
      <c r="P57" s="133">
        <f t="shared" si="132"/>
        <v>64.296520423600597</v>
      </c>
      <c r="Q57" s="133">
        <f t="shared" ref="Q57" si="133">Q40/Q42</f>
        <v>71.860816944024194</v>
      </c>
      <c r="R57" s="118">
        <f t="shared" si="126"/>
        <v>0.45469900107623507</v>
      </c>
      <c r="S57" s="128"/>
      <c r="T57" s="156">
        <f t="shared" ref="T57:AC57" si="134">T40/T42</f>
        <v>78.905995075791282</v>
      </c>
      <c r="U57" s="156">
        <f t="shared" si="134"/>
        <v>86.641876945966899</v>
      </c>
      <c r="V57" s="156">
        <f t="shared" si="134"/>
        <v>95.136178607336205</v>
      </c>
      <c r="W57" s="156">
        <f t="shared" si="134"/>
        <v>104.46325494138878</v>
      </c>
      <c r="X57" s="156">
        <f t="shared" si="134"/>
        <v>114.70475052387788</v>
      </c>
      <c r="Y57" s="156">
        <f t="shared" si="134"/>
        <v>125.95031430072865</v>
      </c>
      <c r="Z57" s="156">
        <f t="shared" si="134"/>
        <v>138.29838433021186</v>
      </c>
      <c r="AA57" s="156">
        <f t="shared" si="134"/>
        <v>151.85704946062481</v>
      </c>
      <c r="AB57" s="156">
        <f t="shared" si="134"/>
        <v>166.74499548617629</v>
      </c>
      <c r="AC57" s="156">
        <f t="shared" si="134"/>
        <v>183.09254406325243</v>
      </c>
      <c r="AD57" s="137">
        <f t="shared" ref="AD57:AD71" si="135">((AC57/G57)^(1/($AC$3-$H$1) ))-1</f>
        <v>0.27089809798518361</v>
      </c>
      <c r="AE57" s="31">
        <f t="shared" si="15"/>
        <v>0.05</v>
      </c>
      <c r="AF57" s="145">
        <f t="shared" ref="AF57:AF85" si="136">(AC57*(1+AE57))/($C$1-AE57)</f>
        <v>1130.8657133318534</v>
      </c>
    </row>
    <row r="58" spans="2:32" x14ac:dyDescent="0.2">
      <c r="B58" s="20" t="s">
        <v>387</v>
      </c>
      <c r="C58" s="133"/>
      <c r="D58" s="133"/>
      <c r="E58" s="133"/>
      <c r="F58" s="133"/>
      <c r="G58" s="133">
        <f>G20/G42</f>
        <v>7.5757575757575752</v>
      </c>
      <c r="H58" s="133">
        <f t="shared" ref="H58:P58" si="137">H20/H42</f>
        <v>15.1285930408472</v>
      </c>
      <c r="I58" s="133">
        <f t="shared" si="137"/>
        <v>22.727272727272727</v>
      </c>
      <c r="J58" s="133">
        <f t="shared" si="137"/>
        <v>20.833333333333332</v>
      </c>
      <c r="K58" s="133">
        <f t="shared" si="137"/>
        <v>20.833333333333332</v>
      </c>
      <c r="L58" s="133">
        <f t="shared" si="137"/>
        <v>30.303030303030301</v>
      </c>
      <c r="M58" s="133">
        <f t="shared" si="137"/>
        <v>71.860816944024194</v>
      </c>
      <c r="N58" s="133">
        <f t="shared" si="137"/>
        <v>45.385779122541599</v>
      </c>
      <c r="O58" s="133">
        <f t="shared" si="137"/>
        <v>62.405446293494698</v>
      </c>
      <c r="P58" s="133">
        <f t="shared" si="137"/>
        <v>43.4947049924357</v>
      </c>
      <c r="Q58" s="133">
        <f t="shared" ref="Q58" si="138">Q20/Q42</f>
        <v>62.405446293494698</v>
      </c>
      <c r="R58" s="118">
        <f t="shared" si="126"/>
        <v>0.19097057626141156</v>
      </c>
      <c r="S58" s="128"/>
      <c r="T58" s="133">
        <f t="shared" ref="T58:AC58" si="139">T20/T42</f>
        <v>68.523627302660842</v>
      </c>
      <c r="U58" s="133">
        <f t="shared" si="139"/>
        <v>75.2416299793923</v>
      </c>
      <c r="V58" s="133">
        <f t="shared" si="139"/>
        <v>82.618260369528798</v>
      </c>
      <c r="W58" s="133">
        <f t="shared" si="139"/>
        <v>90.718089817521829</v>
      </c>
      <c r="X58" s="133">
        <f t="shared" si="139"/>
        <v>99.612020191788673</v>
      </c>
      <c r="Y58" s="133">
        <f t="shared" si="139"/>
        <v>109.37790452431697</v>
      </c>
      <c r="Z58" s="133">
        <f t="shared" si="139"/>
        <v>120.10122849728924</v>
      </c>
      <c r="AA58" s="133">
        <f t="shared" si="139"/>
        <v>131.87585874212152</v>
      </c>
      <c r="AB58" s="133">
        <f t="shared" si="139"/>
        <v>144.80486450115308</v>
      </c>
      <c r="AC58" s="133">
        <f t="shared" si="139"/>
        <v>159.00141984440339</v>
      </c>
      <c r="AD58" s="137">
        <f t="shared" ref="AD58" si="140">((AC58/G58)^(1/($AC$3-$H$1) ))-1</f>
        <v>0.16439074991721125</v>
      </c>
      <c r="AE58" s="31">
        <f t="shared" si="15"/>
        <v>0.05</v>
      </c>
      <c r="AF58" s="145">
        <f t="shared" si="136"/>
        <v>982.06759315660918</v>
      </c>
    </row>
    <row r="59" spans="2:32" x14ac:dyDescent="0.2">
      <c r="B59" s="20" t="s">
        <v>245</v>
      </c>
      <c r="C59" s="25"/>
      <c r="D59" s="25"/>
      <c r="E59" s="25"/>
      <c r="F59" s="133"/>
      <c r="G59" s="133">
        <f t="shared" ref="G59:P59" si="141">G7/G42</f>
        <v>20.833333333333332</v>
      </c>
      <c r="H59" s="133">
        <f t="shared" si="141"/>
        <v>22.6928895612708</v>
      </c>
      <c r="I59" s="133">
        <f t="shared" si="141"/>
        <v>26.515151515151516</v>
      </c>
      <c r="J59" s="133">
        <f t="shared" si="141"/>
        <v>32.196969696969695</v>
      </c>
      <c r="K59" s="133">
        <f t="shared" si="141"/>
        <v>37.878787878787875</v>
      </c>
      <c r="L59" s="133">
        <f t="shared" si="141"/>
        <v>51.136363636363633</v>
      </c>
      <c r="M59" s="133">
        <f t="shared" si="141"/>
        <v>73.7518910741301</v>
      </c>
      <c r="N59" s="133">
        <f t="shared" si="141"/>
        <v>86.989409984871401</v>
      </c>
      <c r="O59" s="133">
        <f t="shared" si="141"/>
        <v>98.335854765506795</v>
      </c>
      <c r="P59" s="133">
        <f t="shared" si="141"/>
        <v>104.0090771558245</v>
      </c>
      <c r="Q59" s="133">
        <f t="shared" ref="Q59" si="142">Q7/Q42</f>
        <v>105.90015128593041</v>
      </c>
      <c r="R59" s="118">
        <f t="shared" si="126"/>
        <v>0.1744411186742425</v>
      </c>
      <c r="S59" s="128"/>
      <c r="T59" s="156">
        <f t="shared" ref="T59:AC59" si="143">T7/T42</f>
        <v>116.28251905906083</v>
      </c>
      <c r="U59" s="156">
        <f t="shared" si="143"/>
        <v>127.68276602563542</v>
      </c>
      <c r="V59" s="156">
        <f t="shared" si="143"/>
        <v>140.20068426344281</v>
      </c>
      <c r="W59" s="156">
        <f t="shared" si="143"/>
        <v>153.94584938730975</v>
      </c>
      <c r="X59" s="156">
        <f t="shared" si="143"/>
        <v>169.03857971939894</v>
      </c>
      <c r="Y59" s="156">
        <f t="shared" si="143"/>
        <v>185.6109894958106</v>
      </c>
      <c r="Z59" s="156">
        <f t="shared" si="143"/>
        <v>203.80814532873325</v>
      </c>
      <c r="AA59" s="156">
        <f t="shared" si="143"/>
        <v>223.7893360472365</v>
      </c>
      <c r="AB59" s="156">
        <f t="shared" si="143"/>
        <v>245.72946703225972</v>
      </c>
      <c r="AC59" s="156">
        <f t="shared" si="143"/>
        <v>269.82059125110874</v>
      </c>
      <c r="AD59" s="137">
        <f t="shared" si="135"/>
        <v>0.13662136803058389</v>
      </c>
      <c r="AE59" s="31">
        <f t="shared" si="15"/>
        <v>0.05</v>
      </c>
      <c r="AF59" s="145">
        <f t="shared" si="136"/>
        <v>1666.5389459627308</v>
      </c>
    </row>
    <row r="60" spans="2:32" x14ac:dyDescent="0.2">
      <c r="B60" s="20" t="s">
        <v>246</v>
      </c>
      <c r="C60" s="127"/>
      <c r="D60" s="127"/>
      <c r="E60" s="127"/>
      <c r="F60" s="143"/>
      <c r="G60" s="143">
        <f t="shared" ref="G60:P60" si="144">G6/G42</f>
        <v>11.363636363636363</v>
      </c>
      <c r="H60" s="143">
        <f t="shared" si="144"/>
        <v>13.237518910741301</v>
      </c>
      <c r="I60" s="143">
        <f t="shared" si="144"/>
        <v>15.15151515151515</v>
      </c>
      <c r="J60" s="143">
        <f t="shared" si="144"/>
        <v>20.833333333333332</v>
      </c>
      <c r="K60" s="143">
        <f t="shared" si="144"/>
        <v>28.409090909090907</v>
      </c>
      <c r="L60" s="143">
        <f t="shared" si="144"/>
        <v>39.772727272727273</v>
      </c>
      <c r="M60" s="143">
        <f t="shared" si="144"/>
        <v>64.296520423600597</v>
      </c>
      <c r="N60" s="143">
        <f t="shared" si="144"/>
        <v>77.534039334341898</v>
      </c>
      <c r="O60" s="143">
        <f t="shared" si="144"/>
        <v>86.989409984871401</v>
      </c>
      <c r="P60" s="143">
        <f t="shared" si="144"/>
        <v>94.553706505294997</v>
      </c>
      <c r="Q60" s="143">
        <f t="shared" ref="Q60" si="145">Q6/Q42</f>
        <v>96.444780635400903</v>
      </c>
      <c r="R60" s="118">
        <f t="shared" si="126"/>
        <v>0.23599331832737658</v>
      </c>
      <c r="S60" s="128"/>
      <c r="T60" s="155">
        <f t="shared" ref="T60:AC60" si="146">T6/T42</f>
        <v>105.90015128593041</v>
      </c>
      <c r="U60" s="155">
        <f t="shared" si="146"/>
        <v>116.28251905906083</v>
      </c>
      <c r="V60" s="155">
        <f t="shared" si="146"/>
        <v>127.68276602563543</v>
      </c>
      <c r="W60" s="155">
        <f t="shared" si="146"/>
        <v>140.20068426344284</v>
      </c>
      <c r="X60" s="155">
        <f t="shared" si="146"/>
        <v>153.94584938730978</v>
      </c>
      <c r="Y60" s="155">
        <f t="shared" si="146"/>
        <v>169.038579719399</v>
      </c>
      <c r="Z60" s="155">
        <f t="shared" si="146"/>
        <v>185.61098949581068</v>
      </c>
      <c r="AA60" s="155">
        <f t="shared" si="146"/>
        <v>203.80814532873333</v>
      </c>
      <c r="AB60" s="155">
        <f t="shared" si="146"/>
        <v>223.78933604723665</v>
      </c>
      <c r="AC60" s="155">
        <f t="shared" si="146"/>
        <v>245.72946703225986</v>
      </c>
      <c r="AD60" s="137">
        <f t="shared" si="135"/>
        <v>0.16613007340072894</v>
      </c>
      <c r="AE60" s="31">
        <f t="shared" si="15"/>
        <v>0.05</v>
      </c>
      <c r="AF60" s="145">
        <f t="shared" si="136"/>
        <v>1517.7408257874877</v>
      </c>
    </row>
    <row r="61" spans="2:32" x14ac:dyDescent="0.2">
      <c r="B61" s="20" t="s">
        <v>247</v>
      </c>
      <c r="C61" s="127"/>
      <c r="D61" s="127"/>
      <c r="E61" s="127"/>
      <c r="F61" s="143"/>
      <c r="G61" s="143">
        <f t="shared" ref="G61:P61" si="147">G10/G42</f>
        <v>47.348484848484844</v>
      </c>
      <c r="H61" s="143">
        <f t="shared" si="147"/>
        <v>39.712556732223902</v>
      </c>
      <c r="I61" s="143">
        <f t="shared" si="147"/>
        <v>28.409090909090907</v>
      </c>
      <c r="J61" s="143">
        <f t="shared" si="147"/>
        <v>20.833333333333332</v>
      </c>
      <c r="K61" s="143">
        <f t="shared" si="147"/>
        <v>15.15151515151515</v>
      </c>
      <c r="L61" s="143">
        <f t="shared" si="147"/>
        <v>17.045454545454543</v>
      </c>
      <c r="M61" s="143">
        <f t="shared" si="147"/>
        <v>22.6928895612708</v>
      </c>
      <c r="N61" s="143">
        <f t="shared" si="147"/>
        <v>37.821482602118003</v>
      </c>
      <c r="O61" s="143">
        <f t="shared" si="147"/>
        <v>22.6928895612708</v>
      </c>
      <c r="P61" s="143">
        <f t="shared" si="147"/>
        <v>20.801815431164901</v>
      </c>
      <c r="Q61" s="143">
        <f t="shared" ref="Q61" si="148">Q10/Q42</f>
        <v>1.8910741301058999E-2</v>
      </c>
      <c r="R61" s="118">
        <f t="shared" si="126"/>
        <v>-7.8957829173744387E-2</v>
      </c>
      <c r="S61" s="128"/>
      <c r="T61" s="155">
        <f t="shared" ref="T61:AC61" si="149">T10/T42</f>
        <v>2.0764735546260866E-2</v>
      </c>
      <c r="U61" s="155">
        <f t="shared" si="149"/>
        <v>2.2800493933149184E-2</v>
      </c>
      <c r="V61" s="155">
        <f t="shared" si="149"/>
        <v>2.5035836475614789E-2</v>
      </c>
      <c r="W61" s="155">
        <f t="shared" si="149"/>
        <v>2.7490330247733886E-2</v>
      </c>
      <c r="X61" s="155">
        <f t="shared" si="149"/>
        <v>3.0185460664178394E-2</v>
      </c>
      <c r="Y61" s="155">
        <f t="shared" si="149"/>
        <v>3.3144819552823335E-2</v>
      </c>
      <c r="Z61" s="155">
        <f t="shared" si="149"/>
        <v>3.6394311665845232E-2</v>
      </c>
      <c r="AA61" s="155">
        <f t="shared" si="149"/>
        <v>3.9962381437006533E-2</v>
      </c>
      <c r="AB61" s="155">
        <f t="shared" si="149"/>
        <v>4.3880261970046394E-2</v>
      </c>
      <c r="AC61" s="155">
        <f t="shared" si="149"/>
        <v>4.8182248437698007E-2</v>
      </c>
      <c r="AD61" s="137">
        <f t="shared" si="135"/>
        <v>-0.29143605635532555</v>
      </c>
      <c r="AE61" s="31">
        <f t="shared" si="15"/>
        <v>0.05</v>
      </c>
      <c r="AF61" s="145">
        <f t="shared" si="136"/>
        <v>0.29759624035048771</v>
      </c>
    </row>
    <row r="62" spans="2:32" x14ac:dyDescent="0.2">
      <c r="B62" s="20"/>
      <c r="C62" s="127"/>
      <c r="D62" s="127"/>
      <c r="E62" s="127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28"/>
      <c r="S62" s="128"/>
      <c r="T62" s="155"/>
      <c r="U62" s="155"/>
      <c r="V62" s="155"/>
      <c r="W62" s="155"/>
      <c r="X62" s="155"/>
      <c r="Y62" s="155"/>
      <c r="Z62" s="155"/>
      <c r="AA62" s="155"/>
      <c r="AB62" s="155"/>
      <c r="AC62" s="155"/>
      <c r="AD62" s="138"/>
      <c r="AE62" s="136"/>
      <c r="AF62" s="145"/>
    </row>
    <row r="63" spans="2:32" x14ac:dyDescent="0.2">
      <c r="B63" s="20" t="s">
        <v>270</v>
      </c>
      <c r="C63" s="127"/>
      <c r="D63" s="127"/>
      <c r="E63" s="127"/>
      <c r="F63" s="143"/>
      <c r="G63" s="143">
        <f t="shared" ref="G63:P63" si="150">(G7-G10)/G42</f>
        <v>-26.515151515151516</v>
      </c>
      <c r="H63" s="143">
        <f t="shared" si="150"/>
        <v>-17.019667170953099</v>
      </c>
      <c r="I63" s="143">
        <f t="shared" si="150"/>
        <v>-1.8939393939393938</v>
      </c>
      <c r="J63" s="143">
        <f t="shared" si="150"/>
        <v>11.363636363636363</v>
      </c>
      <c r="K63" s="143">
        <f t="shared" si="150"/>
        <v>22.727272727272727</v>
      </c>
      <c r="L63" s="143">
        <f t="shared" si="150"/>
        <v>34.090909090909086</v>
      </c>
      <c r="M63" s="143">
        <f t="shared" si="150"/>
        <v>51.059001512859297</v>
      </c>
      <c r="N63" s="143">
        <f t="shared" si="150"/>
        <v>49.167927382753398</v>
      </c>
      <c r="O63" s="143">
        <f t="shared" si="150"/>
        <v>75.642965204236006</v>
      </c>
      <c r="P63" s="143">
        <f t="shared" si="150"/>
        <v>83.207261724659602</v>
      </c>
      <c r="Q63" s="143">
        <f t="shared" ref="Q63" si="151">(Q7-Q10)/Q42</f>
        <v>105.88124054462935</v>
      </c>
      <c r="R63" s="118" t="e">
        <f>((P63/G63)^(1/($H$2-$H$1) ))-1</f>
        <v>#NUM!</v>
      </c>
      <c r="S63" s="128"/>
      <c r="T63" s="155">
        <f t="shared" ref="T63:AC63" si="152">(T7-T10)/T42</f>
        <v>116.26175432351457</v>
      </c>
      <c r="U63" s="155">
        <f t="shared" si="152"/>
        <v>127.65996553170226</v>
      </c>
      <c r="V63" s="155">
        <f t="shared" si="152"/>
        <v>140.1756484269672</v>
      </c>
      <c r="W63" s="155">
        <f t="shared" si="152"/>
        <v>153.91835905706202</v>
      </c>
      <c r="X63" s="155">
        <f t="shared" si="152"/>
        <v>169.00839425873477</v>
      </c>
      <c r="Y63" s="155">
        <f t="shared" si="152"/>
        <v>185.57784467625777</v>
      </c>
      <c r="Z63" s="155">
        <f t="shared" si="152"/>
        <v>203.7717510170674</v>
      </c>
      <c r="AA63" s="155">
        <f t="shared" si="152"/>
        <v>223.74937366579951</v>
      </c>
      <c r="AB63" s="155">
        <f t="shared" si="152"/>
        <v>245.68558677028966</v>
      </c>
      <c r="AC63" s="155">
        <f t="shared" si="152"/>
        <v>269.77240900267105</v>
      </c>
      <c r="AD63" s="137" t="e">
        <f t="shared" si="135"/>
        <v>#NUM!</v>
      </c>
      <c r="AE63" s="31">
        <f t="shared" si="15"/>
        <v>0.05</v>
      </c>
      <c r="AF63" s="145">
        <f t="shared" si="136"/>
        <v>1666.2413497223802</v>
      </c>
    </row>
    <row r="64" spans="2:32" x14ac:dyDescent="0.2">
      <c r="B64" s="20" t="s">
        <v>271</v>
      </c>
      <c r="C64" s="127"/>
      <c r="D64" s="127"/>
      <c r="E64" s="127"/>
      <c r="F64" s="143"/>
      <c r="G64" s="143">
        <f t="shared" ref="G64:P64" si="153">(G7-G10-G9)/G42</f>
        <v>-68.181818181818173</v>
      </c>
      <c r="H64" s="143">
        <f t="shared" si="153"/>
        <v>-60.514372163388799</v>
      </c>
      <c r="I64" s="143">
        <f t="shared" si="153"/>
        <v>-43.560606060606055</v>
      </c>
      <c r="J64" s="143">
        <f t="shared" si="153"/>
        <v>-45.454545454545453</v>
      </c>
      <c r="K64" s="143">
        <f t="shared" si="153"/>
        <v>-45.454545454545453</v>
      </c>
      <c r="L64" s="143">
        <f t="shared" si="153"/>
        <v>-35.984848484848484</v>
      </c>
      <c r="M64" s="143">
        <f t="shared" si="153"/>
        <v>-32.148260211800299</v>
      </c>
      <c r="N64" s="143">
        <f t="shared" si="153"/>
        <v>-58.6232980332829</v>
      </c>
      <c r="O64" s="143">
        <f t="shared" si="153"/>
        <v>-51.059001512859297</v>
      </c>
      <c r="P64" s="143">
        <f t="shared" si="153"/>
        <v>-49.167927382753398</v>
      </c>
      <c r="Q64" s="143">
        <f t="shared" ref="Q64" si="154">(Q7-Q10-Q9)/Q42</f>
        <v>-62.424357034795754</v>
      </c>
      <c r="R64" s="118">
        <f>((P64/G64)^(1/($H$2-$H$1) ))-1</f>
        <v>-3.2164980397994869E-2</v>
      </c>
      <c r="S64" s="128"/>
      <c r="T64" s="155">
        <f t="shared" ref="T64:AC64" si="155">(T7-T10-T9)/T42</f>
        <v>-68.544392038207107</v>
      </c>
      <c r="U64" s="155">
        <f t="shared" si="155"/>
        <v>-75.264430473325476</v>
      </c>
      <c r="V64" s="155">
        <f t="shared" si="155"/>
        <v>-82.643296206004436</v>
      </c>
      <c r="W64" s="155">
        <f t="shared" si="155"/>
        <v>-90.745580147769559</v>
      </c>
      <c r="X64" s="155">
        <f t="shared" si="155"/>
        <v>-99.642205652452887</v>
      </c>
      <c r="Y64" s="155">
        <f t="shared" si="155"/>
        <v>-109.41104934386988</v>
      </c>
      <c r="Z64" s="155">
        <f t="shared" si="155"/>
        <v>-120.13762280895519</v>
      </c>
      <c r="AA64" s="155">
        <f t="shared" si="155"/>
        <v>-131.91582112355866</v>
      </c>
      <c r="AB64" s="155">
        <f t="shared" si="155"/>
        <v>-144.84874476312331</v>
      </c>
      <c r="AC64" s="155">
        <f t="shared" si="155"/>
        <v>-159.0496020928413</v>
      </c>
      <c r="AD64" s="137">
        <f t="shared" si="135"/>
        <v>4.3261547427569269E-2</v>
      </c>
      <c r="AE64" s="31">
        <f t="shared" si="15"/>
        <v>0.05</v>
      </c>
      <c r="AF64" s="145">
        <f t="shared" si="136"/>
        <v>-982.365189396961</v>
      </c>
    </row>
    <row r="65" spans="2:32" x14ac:dyDescent="0.2">
      <c r="B65" s="20" t="s">
        <v>276</v>
      </c>
      <c r="C65" s="127"/>
      <c r="D65" s="127"/>
      <c r="E65" s="127"/>
      <c r="F65" s="143"/>
      <c r="G65" s="143">
        <f t="shared" ref="G65:P65" si="156">(G7+G15-G10-G9)/G42</f>
        <v>3.7878787878787876</v>
      </c>
      <c r="H65" s="143">
        <f t="shared" si="156"/>
        <v>13.237518910741301</v>
      </c>
      <c r="I65" s="143">
        <f t="shared" si="156"/>
        <v>24.621212121212121</v>
      </c>
      <c r="J65" s="143">
        <f t="shared" si="156"/>
        <v>39.772727272727273</v>
      </c>
      <c r="K65" s="143">
        <f t="shared" si="156"/>
        <v>51.136363636363633</v>
      </c>
      <c r="L65" s="143">
        <f t="shared" si="156"/>
        <v>66.287878787878782</v>
      </c>
      <c r="M65" s="143">
        <f t="shared" si="156"/>
        <v>85.098335854765494</v>
      </c>
      <c r="N65" s="143">
        <f t="shared" si="156"/>
        <v>92.662632375189105</v>
      </c>
      <c r="O65" s="143">
        <f t="shared" si="156"/>
        <v>102.11800302571859</v>
      </c>
      <c r="P65" s="143">
        <f t="shared" si="156"/>
        <v>215.5824508320726</v>
      </c>
      <c r="Q65" s="143">
        <f t="shared" ref="Q65" si="157">(Q7+Q15-Q10-Q9)/Q42</f>
        <v>226.90998487140695</v>
      </c>
      <c r="R65" s="118">
        <f>((P65/G65)^(1/($H$2-$H$1) ))-1</f>
        <v>0.49803421651631985</v>
      </c>
      <c r="S65" s="128"/>
      <c r="T65" s="155">
        <f t="shared" ref="T65:AC65" si="158">(T7+T15-T10-T9)/T42</f>
        <v>249.1560618195841</v>
      </c>
      <c r="U65" s="155">
        <f t="shared" si="158"/>
        <v>273.58312670385703</v>
      </c>
      <c r="V65" s="155">
        <f t="shared" si="158"/>
        <v>300.4050018709018</v>
      </c>
      <c r="W65" s="155">
        <f t="shared" si="158"/>
        <v>329.85647264255886</v>
      </c>
      <c r="X65" s="155">
        <f t="shared" si="158"/>
        <v>362.1953425094764</v>
      </c>
      <c r="Y65" s="155">
        <f t="shared" si="158"/>
        <v>397.70468981432703</v>
      </c>
      <c r="Z65" s="155">
        <f t="shared" si="158"/>
        <v>436.69534567847671</v>
      </c>
      <c r="AA65" s="155">
        <f t="shared" si="158"/>
        <v>479.50861486264097</v>
      </c>
      <c r="AB65" s="155">
        <f t="shared" si="158"/>
        <v>526.5192633785864</v>
      </c>
      <c r="AC65" s="155">
        <f t="shared" si="158"/>
        <v>578.13879900393783</v>
      </c>
      <c r="AD65" s="137">
        <f t="shared" si="135"/>
        <v>0.28582481271960281</v>
      </c>
      <c r="AE65" s="31">
        <f t="shared" si="15"/>
        <v>0.05</v>
      </c>
      <c r="AF65" s="145">
        <f t="shared" si="136"/>
        <v>3570.8572879654989</v>
      </c>
    </row>
    <row r="66" spans="2:32" x14ac:dyDescent="0.2">
      <c r="B66" s="20"/>
      <c r="C66" s="127"/>
      <c r="D66" s="127"/>
      <c r="E66" s="127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28"/>
      <c r="S66" s="128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38"/>
      <c r="AE66" s="136"/>
      <c r="AF66" s="152"/>
    </row>
    <row r="67" spans="2:32" x14ac:dyDescent="0.2">
      <c r="B67" s="20" t="s">
        <v>248</v>
      </c>
      <c r="C67" s="127"/>
      <c r="D67" s="127"/>
      <c r="E67" s="127"/>
      <c r="F67" s="143"/>
      <c r="G67" s="143">
        <f t="shared" ref="G67:P67" si="159">G12/G42</f>
        <v>3.7878787878787876</v>
      </c>
      <c r="H67" s="143">
        <f t="shared" si="159"/>
        <v>3.7821482602118</v>
      </c>
      <c r="I67" s="143">
        <f t="shared" si="159"/>
        <v>3.7878787878787876</v>
      </c>
      <c r="J67" s="143">
        <f t="shared" si="159"/>
        <v>5.6818181818181817</v>
      </c>
      <c r="K67" s="143">
        <f t="shared" si="159"/>
        <v>7.5757575757575752</v>
      </c>
      <c r="L67" s="143">
        <f t="shared" si="159"/>
        <v>28.409090909090907</v>
      </c>
      <c r="M67" s="143">
        <f t="shared" si="159"/>
        <v>73.7518910741301</v>
      </c>
      <c r="N67" s="143">
        <f t="shared" si="159"/>
        <v>85.098335854765494</v>
      </c>
      <c r="O67" s="143">
        <f t="shared" si="159"/>
        <v>94.553706505294997</v>
      </c>
      <c r="P67" s="143">
        <f t="shared" si="159"/>
        <v>96.444780635400903</v>
      </c>
      <c r="Q67" s="143">
        <f t="shared" ref="Q67" si="160">Q12/Q42</f>
        <v>98.335854765506795</v>
      </c>
      <c r="R67" s="118">
        <f>((P67/G67)^(1/($H$2-$H$1) ))-1</f>
        <v>0.38225530577322986</v>
      </c>
      <c r="S67" s="128"/>
      <c r="T67" s="155">
        <f t="shared" ref="T67:AC67" si="161">T12/T42</f>
        <v>107.9766248405565</v>
      </c>
      <c r="U67" s="155">
        <f t="shared" si="161"/>
        <v>118.56256845237577</v>
      </c>
      <c r="V67" s="155">
        <f t="shared" si="161"/>
        <v>130.18634967319693</v>
      </c>
      <c r="W67" s="155">
        <f t="shared" si="161"/>
        <v>142.94971728821625</v>
      </c>
      <c r="X67" s="155">
        <f t="shared" si="161"/>
        <v>156.96439545372769</v>
      </c>
      <c r="Y67" s="155">
        <f t="shared" si="161"/>
        <v>172.35306167468138</v>
      </c>
      <c r="Z67" s="155">
        <f t="shared" si="161"/>
        <v>189.25042066239527</v>
      </c>
      <c r="AA67" s="155">
        <f t="shared" si="161"/>
        <v>207.80438347243404</v>
      </c>
      <c r="AB67" s="155">
        <f t="shared" si="161"/>
        <v>228.17736224424132</v>
      </c>
      <c r="AC67" s="155">
        <f t="shared" si="161"/>
        <v>250.54769187602969</v>
      </c>
      <c r="AD67" s="137">
        <f t="shared" si="135"/>
        <v>0.2331750139378912</v>
      </c>
      <c r="AE67" s="31">
        <f t="shared" si="15"/>
        <v>0.05</v>
      </c>
      <c r="AF67" s="145">
        <f t="shared" si="136"/>
        <v>1547.5004498225364</v>
      </c>
    </row>
    <row r="68" spans="2:32" x14ac:dyDescent="0.2">
      <c r="B68" s="20" t="s">
        <v>255</v>
      </c>
      <c r="C68" s="127"/>
      <c r="D68" s="127"/>
      <c r="E68" s="127"/>
      <c r="F68" s="143"/>
      <c r="G68" s="143">
        <f t="shared" ref="G68:P68" si="162">G13/G42</f>
        <v>0.18939393939393939</v>
      </c>
      <c r="H68" s="143">
        <f t="shared" si="162"/>
        <v>0.18910741301059</v>
      </c>
      <c r="I68" s="143">
        <f t="shared" si="162"/>
        <v>0.18939393939393939</v>
      </c>
      <c r="J68" s="143">
        <f t="shared" si="162"/>
        <v>0.18939393939393939</v>
      </c>
      <c r="K68" s="143">
        <f t="shared" si="162"/>
        <v>0.18939393939393939</v>
      </c>
      <c r="L68" s="143">
        <f t="shared" si="162"/>
        <v>0.18939393939393939</v>
      </c>
      <c r="M68" s="143">
        <f t="shared" si="162"/>
        <v>0.18910741301059</v>
      </c>
      <c r="N68" s="143">
        <f t="shared" si="162"/>
        <v>0.18910741301059</v>
      </c>
      <c r="O68" s="143">
        <f t="shared" si="162"/>
        <v>0.18910741301059</v>
      </c>
      <c r="P68" s="143">
        <f t="shared" si="162"/>
        <v>0.15128593040847199</v>
      </c>
      <c r="Q68" s="143">
        <f t="shared" ref="Q68" si="163">Q13/Q42</f>
        <v>1.8910741301058999E-2</v>
      </c>
      <c r="R68" s="118">
        <f>((P68/G68)^(1/($H$2-$H$1) ))-1</f>
        <v>-2.2215279743115435E-2</v>
      </c>
      <c r="S68" s="128"/>
      <c r="T68" s="155">
        <f t="shared" ref="T68:AC68" si="164">T13/T42</f>
        <v>2.0764735546260866E-2</v>
      </c>
      <c r="U68" s="155">
        <f t="shared" si="164"/>
        <v>2.2800493933149184E-2</v>
      </c>
      <c r="V68" s="155">
        <f t="shared" si="164"/>
        <v>2.5035836475614789E-2</v>
      </c>
      <c r="W68" s="155">
        <f t="shared" si="164"/>
        <v>2.7490330247733886E-2</v>
      </c>
      <c r="X68" s="155">
        <f t="shared" si="164"/>
        <v>3.0185460664178394E-2</v>
      </c>
      <c r="Y68" s="155">
        <f t="shared" si="164"/>
        <v>3.3144819552823335E-2</v>
      </c>
      <c r="Z68" s="155">
        <f t="shared" si="164"/>
        <v>3.6394311665845232E-2</v>
      </c>
      <c r="AA68" s="155">
        <f t="shared" si="164"/>
        <v>3.9962381437006533E-2</v>
      </c>
      <c r="AB68" s="155">
        <f t="shared" si="164"/>
        <v>4.3880261970046394E-2</v>
      </c>
      <c r="AC68" s="155">
        <f t="shared" si="164"/>
        <v>4.8182248437698007E-2</v>
      </c>
      <c r="AD68" s="137">
        <f t="shared" si="135"/>
        <v>-6.6152309093796102E-2</v>
      </c>
      <c r="AE68" s="31">
        <f t="shared" si="15"/>
        <v>0.05</v>
      </c>
      <c r="AF68" s="145">
        <f t="shared" si="136"/>
        <v>0.29759624035048771</v>
      </c>
    </row>
    <row r="69" spans="2:32" x14ac:dyDescent="0.2">
      <c r="B69" s="20" t="s">
        <v>256</v>
      </c>
      <c r="C69" s="127"/>
      <c r="D69" s="127"/>
      <c r="E69" s="127"/>
      <c r="F69" s="143"/>
      <c r="G69" s="143">
        <f t="shared" ref="G69:P69" si="165">(G67+G68)</f>
        <v>3.9772727272727271</v>
      </c>
      <c r="H69" s="143">
        <f t="shared" si="165"/>
        <v>3.97125567322239</v>
      </c>
      <c r="I69" s="143">
        <f t="shared" si="165"/>
        <v>3.9772727272727271</v>
      </c>
      <c r="J69" s="143">
        <f t="shared" si="165"/>
        <v>5.8712121212121211</v>
      </c>
      <c r="K69" s="143">
        <f t="shared" si="165"/>
        <v>7.7651515151515147</v>
      </c>
      <c r="L69" s="143">
        <f t="shared" si="165"/>
        <v>28.598484848484844</v>
      </c>
      <c r="M69" s="143">
        <f t="shared" si="165"/>
        <v>73.940998487140689</v>
      </c>
      <c r="N69" s="143">
        <f t="shared" si="165"/>
        <v>85.287443267776084</v>
      </c>
      <c r="O69" s="143">
        <f t="shared" ref="O69" si="166">(O67+O68)</f>
        <v>94.742813918305586</v>
      </c>
      <c r="P69" s="143">
        <f t="shared" si="165"/>
        <v>96.59606656580938</v>
      </c>
      <c r="Q69" s="143">
        <f t="shared" ref="Q69" si="167">(Q67+Q68)</f>
        <v>98.354765506807851</v>
      </c>
      <c r="R69" s="118">
        <f>((P69/G69)^(1/($H$2-$H$1) ))-1</f>
        <v>0.37574330176834314</v>
      </c>
      <c r="S69" s="128"/>
      <c r="T69" s="155">
        <f t="shared" ref="T69:AC69" si="168">(T67+T68)</f>
        <v>107.99738957610276</v>
      </c>
      <c r="U69" s="155">
        <f t="shared" si="168"/>
        <v>118.58536894630892</v>
      </c>
      <c r="V69" s="155">
        <f t="shared" si="168"/>
        <v>130.21138550967254</v>
      </c>
      <c r="W69" s="155">
        <f t="shared" si="168"/>
        <v>142.97720761846398</v>
      </c>
      <c r="X69" s="155">
        <f t="shared" si="168"/>
        <v>156.99458091439186</v>
      </c>
      <c r="Y69" s="155">
        <f t="shared" si="168"/>
        <v>172.38620649423422</v>
      </c>
      <c r="Z69" s="155">
        <f t="shared" si="168"/>
        <v>189.28681497406112</v>
      </c>
      <c r="AA69" s="155">
        <f t="shared" si="168"/>
        <v>207.84434585387103</v>
      </c>
      <c r="AB69" s="155">
        <f t="shared" si="168"/>
        <v>228.22124250621138</v>
      </c>
      <c r="AC69" s="155">
        <f t="shared" si="168"/>
        <v>250.5958741244674</v>
      </c>
      <c r="AD69" s="137">
        <f t="shared" si="135"/>
        <v>0.23018216730321095</v>
      </c>
      <c r="AE69" s="31">
        <f t="shared" si="15"/>
        <v>0.05</v>
      </c>
      <c r="AF69" s="145">
        <f t="shared" si="136"/>
        <v>1547.7980460628869</v>
      </c>
    </row>
    <row r="70" spans="2:32" x14ac:dyDescent="0.2">
      <c r="B70" s="20" t="s">
        <v>249</v>
      </c>
      <c r="C70" s="127"/>
      <c r="D70" s="127"/>
      <c r="E70" s="127"/>
      <c r="F70" s="143"/>
      <c r="G70" s="143">
        <f t="shared" ref="G70:P70" si="169">G15/G42</f>
        <v>71.969696969696969</v>
      </c>
      <c r="H70" s="143">
        <f t="shared" si="169"/>
        <v>73.7518910741301</v>
      </c>
      <c r="I70" s="143">
        <f t="shared" si="169"/>
        <v>68.181818181818173</v>
      </c>
      <c r="J70" s="143">
        <f t="shared" si="169"/>
        <v>85.22727272727272</v>
      </c>
      <c r="K70" s="143">
        <f t="shared" si="169"/>
        <v>96.590909090909079</v>
      </c>
      <c r="L70" s="143">
        <f t="shared" si="169"/>
        <v>102.27272727272727</v>
      </c>
      <c r="M70" s="143">
        <f t="shared" si="169"/>
        <v>117.2465960665658</v>
      </c>
      <c r="N70" s="143">
        <f t="shared" si="169"/>
        <v>151.28593040847201</v>
      </c>
      <c r="O70" s="143">
        <f t="shared" si="169"/>
        <v>153.1770045385779</v>
      </c>
      <c r="P70" s="143">
        <f t="shared" si="169"/>
        <v>264.75037821482601</v>
      </c>
      <c r="Q70" s="143">
        <f t="shared" ref="Q70" si="170">Q15/Q42</f>
        <v>289.33434190620272</v>
      </c>
      <c r="R70" s="118">
        <f>((P70/G70)^(1/($H$2-$H$1) ))-1</f>
        <v>0.13911793969211428</v>
      </c>
      <c r="S70" s="128"/>
      <c r="T70" s="155">
        <f t="shared" ref="T70:AC70" si="171">T15/T42</f>
        <v>317.70045385779122</v>
      </c>
      <c r="U70" s="155">
        <f t="shared" si="171"/>
        <v>348.84755717718252</v>
      </c>
      <c r="V70" s="155">
        <f t="shared" si="171"/>
        <v>383.04829807690629</v>
      </c>
      <c r="W70" s="155">
        <f t="shared" si="171"/>
        <v>420.60205279032846</v>
      </c>
      <c r="X70" s="155">
        <f t="shared" si="171"/>
        <v>461.83754816192931</v>
      </c>
      <c r="Y70" s="155">
        <f t="shared" si="171"/>
        <v>507.11573915819685</v>
      </c>
      <c r="Z70" s="155">
        <f t="shared" si="171"/>
        <v>556.83296848743191</v>
      </c>
      <c r="AA70" s="155">
        <f t="shared" si="171"/>
        <v>611.4244359861998</v>
      </c>
      <c r="AB70" s="155">
        <f t="shared" si="171"/>
        <v>671.36800814170965</v>
      </c>
      <c r="AC70" s="155">
        <f t="shared" si="171"/>
        <v>737.18840109677933</v>
      </c>
      <c r="AD70" s="137">
        <f t="shared" si="135"/>
        <v>0.12336642851379054</v>
      </c>
      <c r="AE70" s="31">
        <f t="shared" si="15"/>
        <v>0.05</v>
      </c>
      <c r="AF70" s="145">
        <f t="shared" si="136"/>
        <v>4553.2224773624612</v>
      </c>
    </row>
    <row r="71" spans="2:32" x14ac:dyDescent="0.2">
      <c r="B71" s="20" t="s">
        <v>250</v>
      </c>
      <c r="C71" s="127"/>
      <c r="D71" s="127"/>
      <c r="E71" s="127"/>
      <c r="F71" s="143"/>
      <c r="G71" s="143">
        <f t="shared" ref="G71:P71" si="172">G16/G42</f>
        <v>39.772727272727273</v>
      </c>
      <c r="H71" s="143">
        <f t="shared" si="172"/>
        <v>35.930408472012097</v>
      </c>
      <c r="I71" s="143">
        <f t="shared" si="172"/>
        <v>26.515151515151516</v>
      </c>
      <c r="J71" s="143">
        <f t="shared" si="172"/>
        <v>24.621212121212121</v>
      </c>
      <c r="K71" s="143">
        <f t="shared" si="172"/>
        <v>24.621212121212121</v>
      </c>
      <c r="L71" s="143">
        <f t="shared" si="172"/>
        <v>37.878787878787875</v>
      </c>
      <c r="M71" s="143">
        <f t="shared" si="172"/>
        <v>64.296520423600597</v>
      </c>
      <c r="N71" s="143">
        <f t="shared" si="172"/>
        <v>90.771558245083199</v>
      </c>
      <c r="O71" s="143">
        <f t="shared" si="172"/>
        <v>81.316187594553696</v>
      </c>
      <c r="P71" s="143">
        <f t="shared" si="172"/>
        <v>85.098335854765494</v>
      </c>
      <c r="Q71" s="143">
        <f t="shared" ref="Q71" si="173">Q16/Q42</f>
        <v>60.514372163388799</v>
      </c>
      <c r="R71" s="118">
        <f>((P71/G71)^(1/($H$2-$H$1) ))-1</f>
        <v>7.9030124423282277E-2</v>
      </c>
      <c r="S71" s="128"/>
      <c r="T71" s="155">
        <f t="shared" ref="T71:AC71" si="174">T16/T42</f>
        <v>66.447153748034765</v>
      </c>
      <c r="U71" s="155">
        <f t="shared" si="174"/>
        <v>72.961580586077389</v>
      </c>
      <c r="V71" s="155">
        <f t="shared" si="174"/>
        <v>80.114676721967328</v>
      </c>
      <c r="W71" s="155">
        <f t="shared" si="174"/>
        <v>87.969056792748432</v>
      </c>
      <c r="X71" s="155">
        <f t="shared" si="174"/>
        <v>96.593474125370847</v>
      </c>
      <c r="Y71" s="155">
        <f t="shared" si="174"/>
        <v>106.06342256903466</v>
      </c>
      <c r="Z71" s="155">
        <f t="shared" si="174"/>
        <v>116.46179733070474</v>
      </c>
      <c r="AA71" s="155">
        <f t="shared" si="174"/>
        <v>127.87962059842089</v>
      </c>
      <c r="AB71" s="155">
        <f t="shared" si="174"/>
        <v>140.41683830414846</v>
      </c>
      <c r="AC71" s="155">
        <f t="shared" si="174"/>
        <v>154.18319500063362</v>
      </c>
      <c r="AD71" s="137">
        <f t="shared" si="135"/>
        <v>7.009561256351815E-2</v>
      </c>
      <c r="AE71" s="136"/>
      <c r="AF71" s="145">
        <f t="shared" si="136"/>
        <v>700.83270454833462</v>
      </c>
    </row>
    <row r="72" spans="2:32" x14ac:dyDescent="0.2">
      <c r="B72" s="20"/>
      <c r="C72" s="127"/>
      <c r="D72" s="127"/>
      <c r="E72" s="127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28"/>
      <c r="S72" s="128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38"/>
      <c r="AE72" s="31">
        <f t="shared" si="15"/>
        <v>0.05</v>
      </c>
      <c r="AF72" s="145">
        <f t="shared" si="136"/>
        <v>0</v>
      </c>
    </row>
    <row r="73" spans="2:32" x14ac:dyDescent="0.2">
      <c r="B73" s="20" t="s">
        <v>282</v>
      </c>
      <c r="C73" s="157"/>
      <c r="D73" s="157"/>
      <c r="E73" s="157"/>
      <c r="F73" s="157"/>
      <c r="G73" s="157">
        <f t="shared" ref="G73:P73" si="175">G44</f>
        <v>1</v>
      </c>
      <c r="H73" s="157">
        <f t="shared" si="175"/>
        <v>3</v>
      </c>
      <c r="I73" s="157">
        <f t="shared" si="175"/>
        <v>5</v>
      </c>
      <c r="J73" s="157">
        <f t="shared" si="175"/>
        <v>7</v>
      </c>
      <c r="K73" s="157">
        <f t="shared" si="175"/>
        <v>10</v>
      </c>
      <c r="L73" s="157">
        <f t="shared" si="175"/>
        <v>20</v>
      </c>
      <c r="M73" s="157">
        <f t="shared" si="175"/>
        <v>40</v>
      </c>
      <c r="N73" s="157">
        <f t="shared" si="175"/>
        <v>40</v>
      </c>
      <c r="O73" s="157">
        <f t="shared" si="175"/>
        <v>40</v>
      </c>
      <c r="P73" s="157">
        <f t="shared" si="175"/>
        <v>50</v>
      </c>
      <c r="Q73" s="157">
        <f t="shared" ref="Q73" si="176">Q44</f>
        <v>60</v>
      </c>
      <c r="R73" s="118">
        <f>((P73/G73)^(1/($H$2-$H$1) ))-1</f>
        <v>0.47875763662831372</v>
      </c>
      <c r="S73" s="128"/>
      <c r="T73" s="157">
        <f t="shared" ref="T73:AC73" si="177">T44</f>
        <v>63</v>
      </c>
      <c r="U73" s="157">
        <f t="shared" si="177"/>
        <v>66.150000000000006</v>
      </c>
      <c r="V73" s="157">
        <f t="shared" si="177"/>
        <v>69.45750000000001</v>
      </c>
      <c r="W73" s="157">
        <f t="shared" si="177"/>
        <v>72.930375000000012</v>
      </c>
      <c r="X73" s="157">
        <f t="shared" si="177"/>
        <v>76.576893750000011</v>
      </c>
      <c r="Y73" s="157">
        <f t="shared" si="177"/>
        <v>80.40573843750002</v>
      </c>
      <c r="Z73" s="157">
        <f t="shared" si="177"/>
        <v>84.426025359375018</v>
      </c>
      <c r="AA73" s="157">
        <f t="shared" si="177"/>
        <v>88.647326627343773</v>
      </c>
      <c r="AB73" s="157">
        <f t="shared" si="177"/>
        <v>93.079692958710964</v>
      </c>
      <c r="AC73" s="157">
        <f t="shared" si="177"/>
        <v>97.733677606646523</v>
      </c>
      <c r="AD73" s="137">
        <f t="shared" ref="AD73" si="178">((AC73/G73)^(1/($AC$3-$H$1) ))-1</f>
        <v>0.25748325927054339</v>
      </c>
      <c r="AE73" s="31">
        <f t="shared" si="15"/>
        <v>0.05</v>
      </c>
      <c r="AF73" s="145">
        <f t="shared" si="136"/>
        <v>603.6491852175227</v>
      </c>
    </row>
    <row r="74" spans="2:32" x14ac:dyDescent="0.2">
      <c r="B74" s="20"/>
      <c r="C74" s="127"/>
      <c r="D74" s="127"/>
      <c r="E74" s="127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28"/>
      <c r="S74" s="128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38"/>
      <c r="AE74" s="136"/>
      <c r="AF74" s="152"/>
    </row>
    <row r="75" spans="2:32" x14ac:dyDescent="0.2">
      <c r="B75" s="20" t="s">
        <v>316</v>
      </c>
      <c r="C75" s="127"/>
      <c r="D75" s="127"/>
      <c r="E75" s="127"/>
      <c r="F75" s="143"/>
      <c r="G75" s="143">
        <f t="shared" ref="G75:P75" si="179">G20+G21</f>
        <v>4.4000000000000004</v>
      </c>
      <c r="H75" s="143">
        <f t="shared" si="179"/>
        <v>7</v>
      </c>
      <c r="I75" s="143">
        <f t="shared" si="179"/>
        <v>11</v>
      </c>
      <c r="J75" s="143">
        <f t="shared" si="179"/>
        <v>9</v>
      </c>
      <c r="K75" s="143">
        <f t="shared" si="179"/>
        <v>9</v>
      </c>
      <c r="L75" s="143">
        <f t="shared" si="179"/>
        <v>17</v>
      </c>
      <c r="M75" s="143">
        <f t="shared" si="179"/>
        <v>35</v>
      </c>
      <c r="N75" s="143">
        <f t="shared" si="179"/>
        <v>23.7</v>
      </c>
      <c r="O75" s="143">
        <f t="shared" si="179"/>
        <v>31</v>
      </c>
      <c r="P75" s="143">
        <f t="shared" si="179"/>
        <v>25</v>
      </c>
      <c r="Q75" s="143">
        <f t="shared" ref="Q75" si="180">Q20+Q21</f>
        <v>32.33</v>
      </c>
      <c r="R75" s="118">
        <f>((P75/G75)^(1/($H$2-$H$1) ))-1</f>
        <v>0.18973087774845476</v>
      </c>
      <c r="S75" s="128"/>
      <c r="T75" s="143">
        <f t="shared" ref="T75:AC75" si="181">T20+T21</f>
        <v>36.209600000000002</v>
      </c>
      <c r="U75" s="143">
        <f t="shared" si="181"/>
        <v>40.554752000000001</v>
      </c>
      <c r="V75" s="143">
        <f t="shared" si="181"/>
        <v>45.421322240000009</v>
      </c>
      <c r="W75" s="143">
        <f t="shared" si="181"/>
        <v>50.871880908800016</v>
      </c>
      <c r="X75" s="143">
        <f t="shared" si="181"/>
        <v>56.976506617856025</v>
      </c>
      <c r="Y75" s="143">
        <f t="shared" si="181"/>
        <v>63.81368741199875</v>
      </c>
      <c r="Z75" s="143">
        <f t="shared" si="181"/>
        <v>71.471329901438608</v>
      </c>
      <c r="AA75" s="143">
        <f t="shared" si="181"/>
        <v>80.047889489611237</v>
      </c>
      <c r="AB75" s="143">
        <f t="shared" si="181"/>
        <v>89.65363622836459</v>
      </c>
      <c r="AC75" s="143">
        <f t="shared" si="181"/>
        <v>100.41207257576835</v>
      </c>
      <c r="AD75" s="137">
        <f t="shared" ref="AD75:AD80" si="182">((AC75/G75)^(1/($AC$3-$H$1) ))-1</f>
        <v>0.16927499599124829</v>
      </c>
      <c r="AE75" s="31">
        <f t="shared" si="15"/>
        <v>0.05</v>
      </c>
      <c r="AF75" s="145">
        <f t="shared" si="136"/>
        <v>620.19221296798105</v>
      </c>
    </row>
    <row r="76" spans="2:32" x14ac:dyDescent="0.2">
      <c r="B76" s="20"/>
      <c r="C76" s="127"/>
      <c r="D76" s="127"/>
      <c r="E76" s="127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28"/>
      <c r="S76" s="128"/>
      <c r="T76" s="145"/>
      <c r="U76" s="145"/>
      <c r="V76" s="145"/>
      <c r="W76" s="145"/>
      <c r="X76" s="145"/>
      <c r="Y76" s="145"/>
      <c r="Z76" s="145"/>
      <c r="AA76" s="145"/>
      <c r="AB76" s="145"/>
      <c r="AC76" s="145"/>
      <c r="AD76" s="138"/>
      <c r="AE76" s="136"/>
      <c r="AF76" s="145"/>
    </row>
    <row r="77" spans="2:32" x14ac:dyDescent="0.2">
      <c r="B77" s="20" t="s">
        <v>317</v>
      </c>
      <c r="C77" s="127"/>
      <c r="D77" s="127"/>
      <c r="E77" s="127"/>
      <c r="F77" s="143"/>
      <c r="G77" s="143">
        <f t="shared" ref="G77:P77" si="183">G75/G42</f>
        <v>8.3333333333333339</v>
      </c>
      <c r="H77" s="143">
        <f t="shared" si="183"/>
        <v>13.237518910741301</v>
      </c>
      <c r="I77" s="143">
        <f t="shared" si="183"/>
        <v>20.833333333333332</v>
      </c>
      <c r="J77" s="143">
        <f t="shared" si="183"/>
        <v>17.045454545454543</v>
      </c>
      <c r="K77" s="143">
        <f t="shared" si="183"/>
        <v>17.045454545454543</v>
      </c>
      <c r="L77" s="143">
        <f t="shared" si="183"/>
        <v>32.196969696969695</v>
      </c>
      <c r="M77" s="143">
        <f t="shared" si="183"/>
        <v>66.187594553706504</v>
      </c>
      <c r="N77" s="143">
        <f t="shared" si="183"/>
        <v>44.818456883509825</v>
      </c>
      <c r="O77" s="143">
        <f t="shared" si="183"/>
        <v>58.6232980332829</v>
      </c>
      <c r="P77" s="143">
        <f t="shared" si="183"/>
        <v>47.276853252647498</v>
      </c>
      <c r="Q77" s="143">
        <f t="shared" ref="Q77" si="184">Q75/Q42</f>
        <v>61.138426626323742</v>
      </c>
      <c r="R77" s="118">
        <f>((P77/G77)^(1/($H$2-$H$1) ))-1</f>
        <v>0.18955076555365968</v>
      </c>
      <c r="S77" s="128"/>
      <c r="T77" s="145">
        <f t="shared" ref="T77:AC77" si="185">T75/T42</f>
        <v>67.132390021061369</v>
      </c>
      <c r="U77" s="145">
        <f t="shared" si="185"/>
        <v>73.713996885871296</v>
      </c>
      <c r="V77" s="145">
        <f t="shared" si="185"/>
        <v>80.940859325662615</v>
      </c>
      <c r="W77" s="145">
        <f t="shared" si="185"/>
        <v>88.876237690923645</v>
      </c>
      <c r="X77" s="145">
        <f t="shared" si="185"/>
        <v>97.589594327288722</v>
      </c>
      <c r="Y77" s="145">
        <f t="shared" si="185"/>
        <v>107.15720161427782</v>
      </c>
      <c r="Z77" s="145">
        <f t="shared" si="185"/>
        <v>117.66280961567762</v>
      </c>
      <c r="AA77" s="145">
        <f t="shared" si="185"/>
        <v>129.19837918584207</v>
      </c>
      <c r="AB77" s="145">
        <f t="shared" si="185"/>
        <v>141.86488694915997</v>
      </c>
      <c r="AC77" s="145">
        <f t="shared" si="185"/>
        <v>155.7732091990776</v>
      </c>
      <c r="AD77" s="137">
        <f t="shared" si="182"/>
        <v>0.15766712534665484</v>
      </c>
      <c r="AE77" s="31">
        <f t="shared" si="15"/>
        <v>0.05</v>
      </c>
      <c r="AF77" s="145">
        <f t="shared" si="136"/>
        <v>962.12864505312643</v>
      </c>
    </row>
    <row r="78" spans="2:32" x14ac:dyDescent="0.2">
      <c r="B78" s="20" t="s">
        <v>286</v>
      </c>
      <c r="C78" s="127"/>
      <c r="D78" s="127"/>
      <c r="E78" s="127"/>
      <c r="F78" s="143"/>
      <c r="G78" s="143">
        <f t="shared" ref="G78:P78" si="186">G20/G42</f>
        <v>7.5757575757575752</v>
      </c>
      <c r="H78" s="143">
        <f t="shared" si="186"/>
        <v>15.1285930408472</v>
      </c>
      <c r="I78" s="143">
        <f t="shared" si="186"/>
        <v>22.727272727272727</v>
      </c>
      <c r="J78" s="143">
        <f t="shared" si="186"/>
        <v>20.833333333333332</v>
      </c>
      <c r="K78" s="143">
        <f t="shared" si="186"/>
        <v>20.833333333333332</v>
      </c>
      <c r="L78" s="143">
        <f t="shared" si="186"/>
        <v>30.303030303030301</v>
      </c>
      <c r="M78" s="143">
        <f t="shared" si="186"/>
        <v>71.860816944024194</v>
      </c>
      <c r="N78" s="143">
        <f t="shared" si="186"/>
        <v>45.385779122541599</v>
      </c>
      <c r="O78" s="143">
        <f t="shared" si="186"/>
        <v>62.405446293494698</v>
      </c>
      <c r="P78" s="143">
        <f t="shared" si="186"/>
        <v>43.4947049924357</v>
      </c>
      <c r="Q78" s="143">
        <f t="shared" ref="Q78" si="187">Q20/Q42</f>
        <v>62.405446293494698</v>
      </c>
      <c r="R78" s="118">
        <f>((P78/G78)^(1/($H$2-$H$1) ))-1</f>
        <v>0.19097057626141156</v>
      </c>
      <c r="S78" s="128"/>
      <c r="T78" s="145">
        <f t="shared" ref="T78:AC78" si="188">T20/T42</f>
        <v>68.523627302660842</v>
      </c>
      <c r="U78" s="145">
        <f t="shared" si="188"/>
        <v>75.2416299793923</v>
      </c>
      <c r="V78" s="145">
        <f t="shared" si="188"/>
        <v>82.618260369528798</v>
      </c>
      <c r="W78" s="145">
        <f t="shared" si="188"/>
        <v>90.718089817521829</v>
      </c>
      <c r="X78" s="145">
        <f t="shared" si="188"/>
        <v>99.612020191788673</v>
      </c>
      <c r="Y78" s="145">
        <f t="shared" si="188"/>
        <v>109.37790452431697</v>
      </c>
      <c r="Z78" s="145">
        <f t="shared" si="188"/>
        <v>120.10122849728924</v>
      </c>
      <c r="AA78" s="145">
        <f t="shared" si="188"/>
        <v>131.87585874212152</v>
      </c>
      <c r="AB78" s="145">
        <f t="shared" si="188"/>
        <v>144.80486450115308</v>
      </c>
      <c r="AC78" s="145">
        <f t="shared" si="188"/>
        <v>159.00141984440339</v>
      </c>
      <c r="AD78" s="137">
        <f t="shared" si="182"/>
        <v>0.16439074991721125</v>
      </c>
      <c r="AE78" s="31">
        <f t="shared" si="15"/>
        <v>0.05</v>
      </c>
      <c r="AF78" s="145">
        <f t="shared" si="136"/>
        <v>982.06759315660918</v>
      </c>
    </row>
    <row r="79" spans="2:32" x14ac:dyDescent="0.2">
      <c r="B79" s="20" t="s">
        <v>287</v>
      </c>
      <c r="C79" s="127"/>
      <c r="D79" s="127"/>
      <c r="E79" s="127"/>
      <c r="F79" s="143"/>
      <c r="G79" s="143">
        <f t="shared" ref="G79:P79" si="189">G21/G42</f>
        <v>0.75757575757575757</v>
      </c>
      <c r="H79" s="143">
        <f t="shared" si="189"/>
        <v>-1.8910741301059</v>
      </c>
      <c r="I79" s="143">
        <f t="shared" si="189"/>
        <v>-1.8939393939393938</v>
      </c>
      <c r="J79" s="143">
        <f t="shared" si="189"/>
        <v>-3.7878787878787876</v>
      </c>
      <c r="K79" s="143">
        <f t="shared" si="189"/>
        <v>-3.7878787878787876</v>
      </c>
      <c r="L79" s="143">
        <f t="shared" si="189"/>
        <v>1.8939393939393938</v>
      </c>
      <c r="M79" s="143">
        <f t="shared" si="189"/>
        <v>-5.6732223903176999</v>
      </c>
      <c r="N79" s="143">
        <f t="shared" si="189"/>
        <v>-0.56732223903176993</v>
      </c>
      <c r="O79" s="143">
        <f t="shared" si="189"/>
        <v>-3.7821482602118</v>
      </c>
      <c r="P79" s="143">
        <f t="shared" si="189"/>
        <v>3.7821482602118</v>
      </c>
      <c r="Q79" s="143">
        <f t="shared" ref="Q79" si="190">Q21/Q42</f>
        <v>-1.267019667170953</v>
      </c>
      <c r="R79" s="118">
        <f>((P79/G79)^(1/($H$2-$H$1) ))-1</f>
        <v>0.1744411186742425</v>
      </c>
      <c r="S79" s="128"/>
      <c r="T79" s="145">
        <f t="shared" ref="T79:AC79" si="191">T21/T42</f>
        <v>-1.3912372815994778</v>
      </c>
      <c r="U79" s="145">
        <f t="shared" si="191"/>
        <v>-1.5276330935209954</v>
      </c>
      <c r="V79" s="145">
        <f t="shared" si="191"/>
        <v>-1.677401043866191</v>
      </c>
      <c r="W79" s="145">
        <f t="shared" si="191"/>
        <v>-1.8418521265981704</v>
      </c>
      <c r="X79" s="145">
        <f t="shared" si="191"/>
        <v>-2.0224258644999522</v>
      </c>
      <c r="Y79" s="145">
        <f t="shared" si="191"/>
        <v>-2.2207029100391629</v>
      </c>
      <c r="Z79" s="145">
        <f t="shared" si="191"/>
        <v>-2.4384188816116303</v>
      </c>
      <c r="AA79" s="145">
        <f t="shared" si="191"/>
        <v>-2.6774795562794376</v>
      </c>
      <c r="AB79" s="145">
        <f t="shared" si="191"/>
        <v>-2.9399775519931084</v>
      </c>
      <c r="AC79" s="145">
        <f t="shared" si="191"/>
        <v>-3.2282106453257664</v>
      </c>
      <c r="AD79" s="137" t="e">
        <f t="shared" si="182"/>
        <v>#NUM!</v>
      </c>
      <c r="AE79" s="31">
        <f t="shared" si="15"/>
        <v>0.05</v>
      </c>
      <c r="AF79" s="145">
        <f t="shared" si="136"/>
        <v>-19.938948103482677</v>
      </c>
    </row>
    <row r="80" spans="2:32" x14ac:dyDescent="0.2">
      <c r="B80" s="20" t="s">
        <v>288</v>
      </c>
      <c r="C80" s="127"/>
      <c r="D80" s="127"/>
      <c r="E80" s="127"/>
      <c r="F80" s="143"/>
      <c r="G80" s="143">
        <f t="shared" ref="G80:P80" si="192">G22/G42</f>
        <v>-7.5757575757575752</v>
      </c>
      <c r="H80" s="143">
        <f t="shared" si="192"/>
        <v>-15.1285930408472</v>
      </c>
      <c r="I80" s="143">
        <f t="shared" si="192"/>
        <v>-18.939393939393938</v>
      </c>
      <c r="J80" s="143">
        <f t="shared" si="192"/>
        <v>-15.15151515151515</v>
      </c>
      <c r="K80" s="143">
        <f t="shared" si="192"/>
        <v>-17.045454545454543</v>
      </c>
      <c r="L80" s="143">
        <f t="shared" si="192"/>
        <v>-13.257575757575758</v>
      </c>
      <c r="M80" s="143">
        <f t="shared" si="192"/>
        <v>-18.910741301059002</v>
      </c>
      <c r="N80" s="143">
        <f t="shared" si="192"/>
        <v>-34.039334341906198</v>
      </c>
      <c r="O80" s="143">
        <f t="shared" si="192"/>
        <v>-51.059001512859297</v>
      </c>
      <c r="P80" s="143">
        <f t="shared" si="192"/>
        <v>-47.276853252647498</v>
      </c>
      <c r="Q80" s="143">
        <f t="shared" ref="Q80" si="193">Q22/Q42</f>
        <v>-60.514372163388799</v>
      </c>
      <c r="R80" s="118">
        <f>((P80/G80)^(1/($H$2-$H$1) ))-1</f>
        <v>0.20094259692729355</v>
      </c>
      <c r="S80" s="128"/>
      <c r="T80" s="145">
        <f t="shared" ref="T80:AC80" si="194">T22/T42</f>
        <v>-66.447153748034765</v>
      </c>
      <c r="U80" s="145">
        <f t="shared" si="194"/>
        <v>-72.961580586077389</v>
      </c>
      <c r="V80" s="145">
        <f t="shared" si="194"/>
        <v>-80.114676721967328</v>
      </c>
      <c r="W80" s="145">
        <f t="shared" si="194"/>
        <v>-87.969056792748432</v>
      </c>
      <c r="X80" s="145">
        <f t="shared" si="194"/>
        <v>-96.593474125370847</v>
      </c>
      <c r="Y80" s="145">
        <f t="shared" si="194"/>
        <v>-106.06342256903466</v>
      </c>
      <c r="Z80" s="145">
        <f t="shared" si="194"/>
        <v>-116.46179733070474</v>
      </c>
      <c r="AA80" s="145">
        <f t="shared" si="194"/>
        <v>-127.87962059842089</v>
      </c>
      <c r="AB80" s="145">
        <f t="shared" si="194"/>
        <v>-140.41683830414846</v>
      </c>
      <c r="AC80" s="145">
        <f t="shared" si="194"/>
        <v>-154.18319500063362</v>
      </c>
      <c r="AD80" s="137">
        <f t="shared" si="182"/>
        <v>0.16260061566979256</v>
      </c>
      <c r="AE80" s="31">
        <f t="shared" si="15"/>
        <v>0.05</v>
      </c>
      <c r="AF80" s="145">
        <f t="shared" si="136"/>
        <v>-952.30796912156075</v>
      </c>
    </row>
    <row r="81" spans="2:32" x14ac:dyDescent="0.2">
      <c r="B81" s="20" t="s">
        <v>295</v>
      </c>
      <c r="C81" s="127"/>
      <c r="D81" s="127"/>
      <c r="E81" s="127"/>
      <c r="F81" s="143"/>
      <c r="G81" s="143">
        <f t="shared" ref="G81:P81" si="195">G23/G42</f>
        <v>3.7878787878787876</v>
      </c>
      <c r="H81" s="143">
        <f t="shared" si="195"/>
        <v>3.7821482602118</v>
      </c>
      <c r="I81" s="143">
        <f t="shared" si="195"/>
        <v>3.7878787878787876</v>
      </c>
      <c r="J81" s="143">
        <f t="shared" si="195"/>
        <v>5.6818181818181817</v>
      </c>
      <c r="K81" s="143">
        <f t="shared" si="195"/>
        <v>7.5757575757575752</v>
      </c>
      <c r="L81" s="143">
        <f t="shared" si="195"/>
        <v>26.515151515151516</v>
      </c>
      <c r="M81" s="143">
        <f t="shared" si="195"/>
        <v>73.7518910741301</v>
      </c>
      <c r="N81" s="143">
        <f t="shared" si="195"/>
        <v>88.880484114977293</v>
      </c>
      <c r="O81" s="143">
        <f t="shared" si="195"/>
        <v>94.553706505294997</v>
      </c>
      <c r="P81" s="143">
        <f t="shared" si="195"/>
        <v>94.553706505294997</v>
      </c>
      <c r="Q81" s="143">
        <f t="shared" ref="Q81" si="196">Q23/Q42</f>
        <v>94.553706505294997</v>
      </c>
      <c r="R81" s="118">
        <f>((P81/G81)^(1/($H$2-$H$1) ))-1</f>
        <v>0.37952078553624946</v>
      </c>
      <c r="S81" s="128"/>
      <c r="T81" s="145">
        <f t="shared" ref="T81:AC81" si="197">T23/T42</f>
        <v>103.82367773130431</v>
      </c>
      <c r="U81" s="145">
        <f t="shared" si="197"/>
        <v>114.00246966574592</v>
      </c>
      <c r="V81" s="145">
        <f t="shared" si="197"/>
        <v>125.17918237807396</v>
      </c>
      <c r="W81" s="145">
        <f t="shared" si="197"/>
        <v>137.45165123866943</v>
      </c>
      <c r="X81" s="145">
        <f t="shared" si="197"/>
        <v>150.92730332089192</v>
      </c>
      <c r="Y81" s="145">
        <f t="shared" si="197"/>
        <v>165.72409776411664</v>
      </c>
      <c r="Z81" s="145">
        <f t="shared" si="197"/>
        <v>181.97155832922613</v>
      </c>
      <c r="AA81" s="145">
        <f t="shared" si="197"/>
        <v>199.81190718503262</v>
      </c>
      <c r="AB81" s="145">
        <f t="shared" si="197"/>
        <v>219.40130985023194</v>
      </c>
      <c r="AC81" s="145">
        <f t="shared" si="197"/>
        <v>240.91124218849001</v>
      </c>
      <c r="AD81" s="137">
        <f t="shared" ref="AD81" si="198">((AC81/G81)^(1/($AC$3-$H$1) ))-1</f>
        <v>0.23075908340062101</v>
      </c>
      <c r="AE81" s="31">
        <f t="shared" si="15"/>
        <v>0.05</v>
      </c>
      <c r="AF81" s="145">
        <f t="shared" si="136"/>
        <v>1487.9812017524384</v>
      </c>
    </row>
    <row r="82" spans="2:32" x14ac:dyDescent="0.2">
      <c r="B82" s="20"/>
      <c r="C82" s="127"/>
      <c r="D82" s="127"/>
      <c r="E82" s="127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28"/>
      <c r="S82" s="128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38"/>
      <c r="AE82" s="136"/>
      <c r="AF82" s="152"/>
    </row>
    <row r="83" spans="2:32" x14ac:dyDescent="0.2">
      <c r="B83" s="20" t="s">
        <v>310</v>
      </c>
      <c r="C83" s="143"/>
      <c r="D83" s="143"/>
      <c r="E83" s="143"/>
      <c r="F83" s="143"/>
      <c r="G83" s="143">
        <f t="shared" ref="G83:P83" si="199">G36/G42</f>
        <v>11.363636363636363</v>
      </c>
      <c r="H83" s="143">
        <f t="shared" si="199"/>
        <v>15.1285930408472</v>
      </c>
      <c r="I83" s="143">
        <f t="shared" si="199"/>
        <v>17.045454545454543</v>
      </c>
      <c r="J83" s="143">
        <f t="shared" si="199"/>
        <v>28.409090909090907</v>
      </c>
      <c r="K83" s="143">
        <f t="shared" si="199"/>
        <v>37.878787878787875</v>
      </c>
      <c r="L83" s="143">
        <f t="shared" si="199"/>
        <v>54.924242424242422</v>
      </c>
      <c r="M83" s="143">
        <f t="shared" si="199"/>
        <v>105.90015128593041</v>
      </c>
      <c r="N83" s="143">
        <f t="shared" si="199"/>
        <v>88.880484114977293</v>
      </c>
      <c r="O83" s="143">
        <f t="shared" si="199"/>
        <v>86.989409984871401</v>
      </c>
      <c r="P83" s="143">
        <f t="shared" si="199"/>
        <v>96.444780635400903</v>
      </c>
      <c r="Q83" s="143">
        <f t="shared" ref="Q83" si="200">Q36/Q42</f>
        <v>111.5733736762481</v>
      </c>
      <c r="R83" s="118">
        <f>((P83/G83)^(1/($H$2-$H$1) ))-1</f>
        <v>0.23844333486730473</v>
      </c>
      <c r="S83" s="128"/>
      <c r="T83" s="143">
        <f t="shared" ref="T83:AC83" si="201">T36/T42</f>
        <v>122.5119397229391</v>
      </c>
      <c r="U83" s="143">
        <f t="shared" si="201"/>
        <v>134.52291420558021</v>
      </c>
      <c r="V83" s="143">
        <f t="shared" si="201"/>
        <v>147.71143520612728</v>
      </c>
      <c r="W83" s="143">
        <f t="shared" si="201"/>
        <v>162.19294846162995</v>
      </c>
      <c r="X83" s="143">
        <f t="shared" si="201"/>
        <v>178.09421791865253</v>
      </c>
      <c r="Y83" s="143">
        <f t="shared" si="201"/>
        <v>195.55443536165768</v>
      </c>
      <c r="Z83" s="143">
        <f t="shared" si="201"/>
        <v>214.72643882848689</v>
      </c>
      <c r="AA83" s="143">
        <f t="shared" si="201"/>
        <v>235.77805047833857</v>
      </c>
      <c r="AB83" s="143">
        <f t="shared" si="201"/>
        <v>258.89354562327378</v>
      </c>
      <c r="AC83" s="143">
        <f t="shared" si="201"/>
        <v>284.27526578241827</v>
      </c>
      <c r="AD83" s="137">
        <f t="shared" ref="AD83:AD85" si="202">((AC83/G83)^(1/($AC$3-$H$1) ))-1</f>
        <v>0.17465704394471215</v>
      </c>
      <c r="AE83" s="31">
        <f t="shared" si="15"/>
        <v>0.05</v>
      </c>
      <c r="AF83" s="145">
        <f t="shared" si="136"/>
        <v>1755.8178180678779</v>
      </c>
    </row>
    <row r="84" spans="2:32" x14ac:dyDescent="0.2">
      <c r="B84" s="20" t="s">
        <v>311</v>
      </c>
      <c r="C84" s="143"/>
      <c r="D84" s="143"/>
      <c r="E84" s="143"/>
      <c r="F84" s="143"/>
      <c r="G84" s="143">
        <f t="shared" ref="G84:P84" si="203">G40/G42</f>
        <v>1.5151515151515151</v>
      </c>
      <c r="H84" s="143">
        <f t="shared" si="203"/>
        <v>5.6732223903176999</v>
      </c>
      <c r="I84" s="143">
        <f t="shared" si="203"/>
        <v>7.5757575757575752</v>
      </c>
      <c r="J84" s="143">
        <f t="shared" si="203"/>
        <v>13.257575757575758</v>
      </c>
      <c r="K84" s="143">
        <f t="shared" si="203"/>
        <v>20.833333333333332</v>
      </c>
      <c r="L84" s="143">
        <f t="shared" si="203"/>
        <v>35.984848484848484</v>
      </c>
      <c r="M84" s="143">
        <f t="shared" si="203"/>
        <v>69.969742813918302</v>
      </c>
      <c r="N84" s="143">
        <f t="shared" si="203"/>
        <v>60.514372163388799</v>
      </c>
      <c r="O84" s="143">
        <f t="shared" si="203"/>
        <v>56.732223903177001</v>
      </c>
      <c r="P84" s="143">
        <f t="shared" si="203"/>
        <v>64.296520423600597</v>
      </c>
      <c r="Q84" s="143">
        <f t="shared" ref="Q84" si="204">Q40/Q42</f>
        <v>71.860816944024194</v>
      </c>
      <c r="R84" s="118">
        <f>((P84/G84)^(1/($H$2-$H$1) ))-1</f>
        <v>0.45469900107623507</v>
      </c>
      <c r="S84" s="128"/>
      <c r="T84" s="143">
        <f t="shared" ref="T84:AC84" si="205">T40/T42</f>
        <v>78.905995075791282</v>
      </c>
      <c r="U84" s="143">
        <f t="shared" si="205"/>
        <v>86.641876945966899</v>
      </c>
      <c r="V84" s="143">
        <f t="shared" si="205"/>
        <v>95.136178607336205</v>
      </c>
      <c r="W84" s="143">
        <f t="shared" si="205"/>
        <v>104.46325494138878</v>
      </c>
      <c r="X84" s="143">
        <f t="shared" si="205"/>
        <v>114.70475052387788</v>
      </c>
      <c r="Y84" s="143">
        <f t="shared" si="205"/>
        <v>125.95031430072865</v>
      </c>
      <c r="Z84" s="143">
        <f t="shared" si="205"/>
        <v>138.29838433021186</v>
      </c>
      <c r="AA84" s="143">
        <f t="shared" si="205"/>
        <v>151.85704946062481</v>
      </c>
      <c r="AB84" s="143">
        <f t="shared" si="205"/>
        <v>166.74499548617629</v>
      </c>
      <c r="AC84" s="143">
        <f t="shared" si="205"/>
        <v>183.09254406325243</v>
      </c>
      <c r="AD84" s="137">
        <f t="shared" si="202"/>
        <v>0.27089809798518361</v>
      </c>
      <c r="AE84" s="31">
        <f t="shared" si="15"/>
        <v>0.05</v>
      </c>
      <c r="AF84" s="145">
        <f t="shared" si="136"/>
        <v>1130.8657133318534</v>
      </c>
    </row>
    <row r="85" spans="2:32" x14ac:dyDescent="0.2">
      <c r="B85" s="20" t="s">
        <v>312</v>
      </c>
      <c r="C85" s="143"/>
      <c r="D85" s="143"/>
      <c r="E85" s="143"/>
      <c r="F85" s="143"/>
      <c r="G85" s="143">
        <f t="shared" ref="G85:P85" si="206">G6/G42</f>
        <v>11.363636363636363</v>
      </c>
      <c r="H85" s="143">
        <f t="shared" si="206"/>
        <v>13.237518910741301</v>
      </c>
      <c r="I85" s="143">
        <f t="shared" si="206"/>
        <v>15.15151515151515</v>
      </c>
      <c r="J85" s="143">
        <f t="shared" si="206"/>
        <v>20.833333333333332</v>
      </c>
      <c r="K85" s="143">
        <f t="shared" si="206"/>
        <v>28.409090909090907</v>
      </c>
      <c r="L85" s="143">
        <f t="shared" si="206"/>
        <v>39.772727272727273</v>
      </c>
      <c r="M85" s="143">
        <f t="shared" si="206"/>
        <v>64.296520423600597</v>
      </c>
      <c r="N85" s="143">
        <f t="shared" si="206"/>
        <v>77.534039334341898</v>
      </c>
      <c r="O85" s="143">
        <f t="shared" si="206"/>
        <v>86.989409984871401</v>
      </c>
      <c r="P85" s="143">
        <f t="shared" si="206"/>
        <v>94.553706505294997</v>
      </c>
      <c r="Q85" s="143">
        <f t="shared" ref="Q85" si="207">Q6/Q42</f>
        <v>96.444780635400903</v>
      </c>
      <c r="R85" s="118">
        <f>((P85/G85)^(1/($H$2-$H$1) ))-1</f>
        <v>0.23599331832737658</v>
      </c>
      <c r="S85" s="128"/>
      <c r="T85" s="143">
        <f t="shared" ref="T85:AC85" si="208">T6/T42</f>
        <v>105.90015128593041</v>
      </c>
      <c r="U85" s="143">
        <f t="shared" si="208"/>
        <v>116.28251905906083</v>
      </c>
      <c r="V85" s="143">
        <f t="shared" si="208"/>
        <v>127.68276602563543</v>
      </c>
      <c r="W85" s="143">
        <f t="shared" si="208"/>
        <v>140.20068426344284</v>
      </c>
      <c r="X85" s="143">
        <f t="shared" si="208"/>
        <v>153.94584938730978</v>
      </c>
      <c r="Y85" s="143">
        <f t="shared" si="208"/>
        <v>169.038579719399</v>
      </c>
      <c r="Z85" s="143">
        <f t="shared" si="208"/>
        <v>185.61098949581068</v>
      </c>
      <c r="AA85" s="143">
        <f t="shared" si="208"/>
        <v>203.80814532873333</v>
      </c>
      <c r="AB85" s="143">
        <f t="shared" si="208"/>
        <v>223.78933604723665</v>
      </c>
      <c r="AC85" s="143">
        <f t="shared" si="208"/>
        <v>245.72946703225986</v>
      </c>
      <c r="AD85" s="137">
        <f t="shared" si="202"/>
        <v>0.16613007340072894</v>
      </c>
      <c r="AE85" s="31">
        <f t="shared" ref="AE85" si="209">$L$1</f>
        <v>0.05</v>
      </c>
      <c r="AF85" s="145">
        <f t="shared" si="136"/>
        <v>1517.7408257874877</v>
      </c>
    </row>
    <row r="86" spans="2:32" x14ac:dyDescent="0.2">
      <c r="B86" s="20"/>
      <c r="C86" s="127"/>
      <c r="D86" s="127"/>
      <c r="E86" s="127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28"/>
      <c r="S86" s="128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38"/>
      <c r="AE86" s="20"/>
      <c r="AF86" s="152"/>
    </row>
    <row r="87" spans="2:32" x14ac:dyDescent="0.2">
      <c r="B87" s="20" t="s">
        <v>466</v>
      </c>
      <c r="C87" s="127"/>
      <c r="D87" s="127"/>
      <c r="E87" s="127"/>
      <c r="F87" s="143"/>
      <c r="G87" s="143">
        <f t="shared" ref="G87:Q87" si="210">G40/$Q$42</f>
        <v>1.51285930408472</v>
      </c>
      <c r="H87" s="143">
        <f t="shared" si="210"/>
        <v>5.6732223903176999</v>
      </c>
      <c r="I87" s="143">
        <f t="shared" si="210"/>
        <v>7.5642965204235999</v>
      </c>
      <c r="J87" s="143">
        <f t="shared" si="210"/>
        <v>13.237518910741301</v>
      </c>
      <c r="K87" s="143">
        <f t="shared" si="210"/>
        <v>20.801815431164901</v>
      </c>
      <c r="L87" s="143">
        <f t="shared" si="210"/>
        <v>35.930408472012097</v>
      </c>
      <c r="M87" s="143">
        <f t="shared" si="210"/>
        <v>69.969742813918302</v>
      </c>
      <c r="N87" s="143">
        <f t="shared" si="210"/>
        <v>60.514372163388799</v>
      </c>
      <c r="O87" s="143">
        <f t="shared" si="210"/>
        <v>56.732223903177001</v>
      </c>
      <c r="P87" s="143">
        <f t="shared" si="210"/>
        <v>64.296520423600597</v>
      </c>
      <c r="Q87" s="143">
        <f t="shared" si="210"/>
        <v>71.860816944024194</v>
      </c>
      <c r="R87" s="118">
        <f>((P87/G87)^(1/($H$2-$H$1) ))-1</f>
        <v>0.45491925988101856</v>
      </c>
      <c r="S87" s="128"/>
      <c r="T87" s="143">
        <f t="shared" ref="T87:AC87" si="211">T40/T42</f>
        <v>78.905995075791282</v>
      </c>
      <c r="U87" s="143">
        <f t="shared" si="211"/>
        <v>86.641876945966899</v>
      </c>
      <c r="V87" s="143">
        <f t="shared" si="211"/>
        <v>95.136178607336205</v>
      </c>
      <c r="W87" s="143">
        <f t="shared" si="211"/>
        <v>104.46325494138878</v>
      </c>
      <c r="X87" s="143">
        <f t="shared" si="211"/>
        <v>114.70475052387788</v>
      </c>
      <c r="Y87" s="143">
        <f t="shared" si="211"/>
        <v>125.95031430072865</v>
      </c>
      <c r="Z87" s="143">
        <f t="shared" si="211"/>
        <v>138.29838433021186</v>
      </c>
      <c r="AA87" s="143">
        <f t="shared" si="211"/>
        <v>151.85704946062481</v>
      </c>
      <c r="AB87" s="143">
        <f t="shared" si="211"/>
        <v>166.74499548617629</v>
      </c>
      <c r="AC87" s="143">
        <f t="shared" si="211"/>
        <v>183.09254406325243</v>
      </c>
      <c r="AD87" s="138"/>
      <c r="AE87" s="20"/>
      <c r="AF87" s="152"/>
    </row>
    <row r="88" spans="2:32" x14ac:dyDescent="0.2">
      <c r="B88" s="20"/>
      <c r="C88" s="127"/>
      <c r="D88" s="127"/>
      <c r="E88" s="127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28"/>
      <c r="S88" s="128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38"/>
      <c r="AE88" s="20"/>
      <c r="AF88" s="152"/>
    </row>
    <row r="89" spans="2:32" x14ac:dyDescent="0.2">
      <c r="B89" s="108" t="s">
        <v>309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</row>
    <row r="90" spans="2:32" x14ac:dyDescent="0.2">
      <c r="B90" s="20" t="s">
        <v>308</v>
      </c>
      <c r="C90" s="150"/>
      <c r="D90" s="150"/>
      <c r="E90" s="150"/>
      <c r="F90" s="150"/>
      <c r="G90" s="150">
        <f t="shared" ref="G90:P90" si="212">G36/G25</f>
        <v>5.8252427184466021E-2</v>
      </c>
      <c r="H90" s="150">
        <f t="shared" si="212"/>
        <v>6.5573770491803282E-2</v>
      </c>
      <c r="I90" s="150">
        <f t="shared" si="212"/>
        <v>6.7669172932330823E-2</v>
      </c>
      <c r="J90" s="150">
        <f t="shared" si="212"/>
        <v>8.6705202312138727E-2</v>
      </c>
      <c r="K90" s="150">
        <f t="shared" si="212"/>
        <v>9.6153846153846159E-2</v>
      </c>
      <c r="L90" s="150">
        <f t="shared" si="212"/>
        <v>0.11934156378600823</v>
      </c>
      <c r="M90" s="150">
        <f t="shared" si="212"/>
        <v>0.19243986254295534</v>
      </c>
      <c r="N90" s="150">
        <f t="shared" si="212"/>
        <v>0.13742690058479531</v>
      </c>
      <c r="O90" s="150">
        <f t="shared" si="212"/>
        <v>0.12169312169312169</v>
      </c>
      <c r="P90" s="150">
        <f t="shared" si="212"/>
        <v>0.11751152073732719</v>
      </c>
      <c r="Q90" s="150">
        <f t="shared" ref="Q90" si="213">Q36/Q25</f>
        <v>0.12368972746331237</v>
      </c>
      <c r="R90" s="118">
        <f t="shared" ref="R90:R143" si="214">((P90/G90)^(1/($H$2-$H$1) ))-1</f>
        <v>7.2695952862111168E-2</v>
      </c>
      <c r="S90" s="150"/>
      <c r="T90" s="150">
        <f t="shared" ref="T90:AC90" si="215">T36/T25</f>
        <v>0.12368972746331239</v>
      </c>
      <c r="U90" s="150">
        <f t="shared" si="215"/>
        <v>0.12368972746331239</v>
      </c>
      <c r="V90" s="150">
        <f t="shared" si="215"/>
        <v>0.1236897274633124</v>
      </c>
      <c r="W90" s="150">
        <f t="shared" si="215"/>
        <v>0.1236897274633124</v>
      </c>
      <c r="X90" s="150">
        <f t="shared" si="215"/>
        <v>0.12368972746331242</v>
      </c>
      <c r="Y90" s="150">
        <f t="shared" si="215"/>
        <v>0.12368972746331242</v>
      </c>
      <c r="Z90" s="150">
        <f t="shared" si="215"/>
        <v>0.12368972746331242</v>
      </c>
      <c r="AA90" s="150">
        <f t="shared" si="215"/>
        <v>0.12368972746331242</v>
      </c>
      <c r="AB90" s="150">
        <f t="shared" si="215"/>
        <v>0.12368972746331242</v>
      </c>
      <c r="AC90" s="150">
        <f t="shared" si="215"/>
        <v>0.12368972746331242</v>
      </c>
      <c r="AD90" s="137">
        <f t="shared" ref="AD90:AD130" si="216">((AC90/G90)^(1/($AC$3-$H$1) ))-1</f>
        <v>3.8367245884566969E-2</v>
      </c>
      <c r="AE90" s="145"/>
      <c r="AF90" s="145"/>
    </row>
    <row r="91" spans="2:32" x14ac:dyDescent="0.2">
      <c r="B91" s="20" t="s">
        <v>266</v>
      </c>
      <c r="C91" s="150"/>
      <c r="D91" s="150"/>
      <c r="E91" s="150"/>
      <c r="F91" s="150"/>
      <c r="G91" s="150">
        <f t="shared" ref="G91:P91" si="217">G40/G25</f>
        <v>7.7669902912621365E-3</v>
      </c>
      <c r="H91" s="150">
        <f t="shared" si="217"/>
        <v>2.4590163934426229E-2</v>
      </c>
      <c r="I91" s="150">
        <f t="shared" si="217"/>
        <v>3.007518796992481E-2</v>
      </c>
      <c r="J91" s="150">
        <f t="shared" si="217"/>
        <v>4.046242774566474E-2</v>
      </c>
      <c r="K91" s="150">
        <f t="shared" si="217"/>
        <v>5.2884615384615384E-2</v>
      </c>
      <c r="L91" s="150">
        <f t="shared" si="217"/>
        <v>7.8189300411522639E-2</v>
      </c>
      <c r="M91" s="150">
        <f t="shared" si="217"/>
        <v>0.12714776632302405</v>
      </c>
      <c r="N91" s="150">
        <f t="shared" si="217"/>
        <v>9.3567251461988299E-2</v>
      </c>
      <c r="O91" s="150">
        <f t="shared" si="217"/>
        <v>7.9365079365079361E-2</v>
      </c>
      <c r="P91" s="150">
        <f t="shared" si="217"/>
        <v>7.8341013824884786E-2</v>
      </c>
      <c r="Q91" s="150">
        <f t="shared" ref="Q91" si="218">Q40/Q25</f>
        <v>7.9664570230607967E-2</v>
      </c>
      <c r="R91" s="118">
        <f t="shared" si="214"/>
        <v>0.26000898640568848</v>
      </c>
      <c r="S91" s="150"/>
      <c r="T91" s="150">
        <f t="shared" ref="T91:AC91" si="219">T40/T25</f>
        <v>7.9664570230607967E-2</v>
      </c>
      <c r="U91" s="150">
        <f t="shared" si="219"/>
        <v>7.9664570230607967E-2</v>
      </c>
      <c r="V91" s="150">
        <f t="shared" si="219"/>
        <v>7.9664570230607967E-2</v>
      </c>
      <c r="W91" s="150">
        <f t="shared" si="219"/>
        <v>7.9664570230607981E-2</v>
      </c>
      <c r="X91" s="150">
        <f t="shared" si="219"/>
        <v>7.9664570230607981E-2</v>
      </c>
      <c r="Y91" s="150">
        <f t="shared" si="219"/>
        <v>7.9664570230607981E-2</v>
      </c>
      <c r="Z91" s="150">
        <f t="shared" si="219"/>
        <v>7.9664570230607981E-2</v>
      </c>
      <c r="AA91" s="150">
        <f t="shared" si="219"/>
        <v>7.9664570230607981E-2</v>
      </c>
      <c r="AB91" s="150">
        <f t="shared" si="219"/>
        <v>7.9664570230607981E-2</v>
      </c>
      <c r="AC91" s="150">
        <f t="shared" si="219"/>
        <v>7.9664570230607995E-2</v>
      </c>
      <c r="AD91" s="137">
        <f t="shared" si="216"/>
        <v>0.12344191405276428</v>
      </c>
      <c r="AE91" s="145"/>
      <c r="AF91" s="145"/>
    </row>
    <row r="92" spans="2:32" x14ac:dyDescent="0.2">
      <c r="B92" s="20" t="s">
        <v>358</v>
      </c>
      <c r="C92" s="150"/>
      <c r="D92" s="150"/>
      <c r="E92" s="150"/>
      <c r="F92" s="150"/>
      <c r="G92" s="150">
        <f>G40/G7</f>
        <v>7.2727272727272738E-2</v>
      </c>
      <c r="H92" s="150">
        <f t="shared" ref="H92:O92" si="220">H40/H7</f>
        <v>0.25</v>
      </c>
      <c r="I92" s="150">
        <f t="shared" si="220"/>
        <v>0.2857142857142857</v>
      </c>
      <c r="J92" s="150">
        <f t="shared" si="220"/>
        <v>0.41176470588235292</v>
      </c>
      <c r="K92" s="150">
        <f t="shared" si="220"/>
        <v>0.55000000000000004</v>
      </c>
      <c r="L92" s="150">
        <f t="shared" si="220"/>
        <v>0.70370370370370372</v>
      </c>
      <c r="M92" s="150">
        <f t="shared" si="220"/>
        <v>0.94871794871794868</v>
      </c>
      <c r="N92" s="150">
        <f t="shared" si="220"/>
        <v>0.69565217391304346</v>
      </c>
      <c r="O92" s="150">
        <f t="shared" si="220"/>
        <v>0.57692307692307687</v>
      </c>
      <c r="P92" s="150">
        <f t="shared" ref="P92:Q92" si="221">P40/P7</f>
        <v>0.61818181818181817</v>
      </c>
      <c r="Q92" s="150">
        <f t="shared" si="221"/>
        <v>0.6785714285714286</v>
      </c>
      <c r="R92" s="118">
        <f t="shared" si="214"/>
        <v>0.23863084998110362</v>
      </c>
      <c r="S92" s="20"/>
      <c r="T92" s="150">
        <f t="shared" ref="T92" si="222">T40/T7</f>
        <v>0.67857142857142849</v>
      </c>
      <c r="U92" s="150">
        <f t="shared" ref="U92:AC92" si="223">U40/U7</f>
        <v>0.6785714285714286</v>
      </c>
      <c r="V92" s="150">
        <f t="shared" si="223"/>
        <v>0.67857142857142871</v>
      </c>
      <c r="W92" s="150">
        <f t="shared" si="223"/>
        <v>0.67857142857142871</v>
      </c>
      <c r="X92" s="150">
        <f t="shared" si="223"/>
        <v>0.67857142857142871</v>
      </c>
      <c r="Y92" s="150">
        <f t="shared" si="223"/>
        <v>0.67857142857142871</v>
      </c>
      <c r="Z92" s="150">
        <f t="shared" si="223"/>
        <v>0.67857142857142871</v>
      </c>
      <c r="AA92" s="150">
        <f t="shared" si="223"/>
        <v>0.67857142857142871</v>
      </c>
      <c r="AB92" s="150">
        <f t="shared" si="223"/>
        <v>0.67857142857142883</v>
      </c>
      <c r="AC92" s="150">
        <f t="shared" si="223"/>
        <v>0.67857142857142883</v>
      </c>
      <c r="AD92" s="137">
        <f t="shared" si="216"/>
        <v>0.11813672849320089</v>
      </c>
      <c r="AE92" s="145"/>
      <c r="AF92" s="145"/>
    </row>
    <row r="93" spans="2:32" x14ac:dyDescent="0.2">
      <c r="B93" s="20" t="s">
        <v>359</v>
      </c>
      <c r="C93" s="150"/>
      <c r="D93" s="150"/>
      <c r="E93" s="150"/>
      <c r="F93" s="150"/>
      <c r="G93" s="150">
        <f>(G40)/(G7+G10)</f>
        <v>2.2222222222222223E-2</v>
      </c>
      <c r="H93" s="150">
        <f t="shared" ref="H93:O93" si="224">(H40)/(H7+H10)</f>
        <v>9.0909090909090912E-2</v>
      </c>
      <c r="I93" s="150">
        <f t="shared" si="224"/>
        <v>0.13793103448275862</v>
      </c>
      <c r="J93" s="150">
        <f t="shared" si="224"/>
        <v>0.25</v>
      </c>
      <c r="K93" s="150">
        <f t="shared" si="224"/>
        <v>0.39285714285714285</v>
      </c>
      <c r="L93" s="150">
        <f t="shared" si="224"/>
        <v>0.52777777777777779</v>
      </c>
      <c r="M93" s="150">
        <f t="shared" si="224"/>
        <v>0.72549019607843135</v>
      </c>
      <c r="N93" s="150">
        <f t="shared" si="224"/>
        <v>0.48484848484848486</v>
      </c>
      <c r="O93" s="150">
        <f t="shared" si="224"/>
        <v>0.46875</v>
      </c>
      <c r="P93" s="150">
        <f t="shared" ref="P93:Q93" si="225">(P40)/(P7+P10)</f>
        <v>0.51515151515151514</v>
      </c>
      <c r="Q93" s="150">
        <f t="shared" si="225"/>
        <v>0.6784502767362971</v>
      </c>
      <c r="R93" s="118">
        <f t="shared" si="214"/>
        <v>0.36935089355449335</v>
      </c>
      <c r="S93" s="20"/>
      <c r="T93" s="150">
        <f t="shared" ref="T93:AC93" si="226">(T40)/(T7+T10)</f>
        <v>0.67845027673629699</v>
      </c>
      <c r="U93" s="150">
        <f t="shared" si="226"/>
        <v>0.6784502767362971</v>
      </c>
      <c r="V93" s="150">
        <f t="shared" si="226"/>
        <v>0.67845027673629721</v>
      </c>
      <c r="W93" s="150">
        <f t="shared" si="226"/>
        <v>0.67845027673629732</v>
      </c>
      <c r="X93" s="150">
        <f t="shared" si="226"/>
        <v>0.67845027673629721</v>
      </c>
      <c r="Y93" s="150">
        <f t="shared" si="226"/>
        <v>0.67845027673629721</v>
      </c>
      <c r="Z93" s="150">
        <f t="shared" si="226"/>
        <v>0.67845027673629721</v>
      </c>
      <c r="AA93" s="150">
        <f t="shared" si="226"/>
        <v>0.67845027673629732</v>
      </c>
      <c r="AB93" s="150">
        <f t="shared" si="226"/>
        <v>0.67845027673629732</v>
      </c>
      <c r="AC93" s="150">
        <f t="shared" si="226"/>
        <v>0.67845027673629743</v>
      </c>
      <c r="AD93" s="137">
        <f t="shared" si="216"/>
        <v>0.18641472132474735</v>
      </c>
      <c r="AE93" s="145"/>
      <c r="AF93" s="145"/>
    </row>
    <row r="94" spans="2:32" x14ac:dyDescent="0.2">
      <c r="B94" s="20" t="s">
        <v>375</v>
      </c>
      <c r="C94" s="150"/>
      <c r="D94" s="150"/>
      <c r="E94" s="150"/>
      <c r="F94" s="150"/>
      <c r="G94" s="150">
        <f>G20/G25</f>
        <v>3.8834951456310676E-2</v>
      </c>
      <c r="H94" s="150">
        <f t="shared" ref="H94:P94" si="227">H20/H25</f>
        <v>6.5573770491803282E-2</v>
      </c>
      <c r="I94" s="150">
        <f t="shared" si="227"/>
        <v>9.0225563909774431E-2</v>
      </c>
      <c r="J94" s="150">
        <f t="shared" si="227"/>
        <v>6.358381502890173E-2</v>
      </c>
      <c r="K94" s="150">
        <f t="shared" si="227"/>
        <v>5.2884615384615384E-2</v>
      </c>
      <c r="L94" s="150">
        <f t="shared" si="227"/>
        <v>6.584362139917696E-2</v>
      </c>
      <c r="M94" s="150">
        <f t="shared" si="227"/>
        <v>0.13058419243986255</v>
      </c>
      <c r="N94" s="150">
        <f t="shared" si="227"/>
        <v>7.0175438596491224E-2</v>
      </c>
      <c r="O94" s="150">
        <f t="shared" si="227"/>
        <v>8.7301587301587297E-2</v>
      </c>
      <c r="P94" s="150">
        <f t="shared" si="227"/>
        <v>5.2995391705069124E-2</v>
      </c>
      <c r="Q94" s="150">
        <f t="shared" ref="Q94" si="228">Q20/Q25</f>
        <v>6.9182389937106917E-2</v>
      </c>
      <c r="R94" s="118">
        <f t="shared" si="214"/>
        <v>3.1576723104862703E-2</v>
      </c>
      <c r="S94" s="20"/>
      <c r="T94" s="150">
        <f t="shared" ref="T94:AC94" si="229">T20/T25</f>
        <v>6.9182389937106917E-2</v>
      </c>
      <c r="U94" s="150">
        <f t="shared" si="229"/>
        <v>6.9182389937106917E-2</v>
      </c>
      <c r="V94" s="150">
        <f t="shared" si="229"/>
        <v>6.9182389937106917E-2</v>
      </c>
      <c r="W94" s="150">
        <f t="shared" si="229"/>
        <v>6.9182389937106931E-2</v>
      </c>
      <c r="X94" s="150">
        <f t="shared" si="229"/>
        <v>6.9182389937106931E-2</v>
      </c>
      <c r="Y94" s="150">
        <f t="shared" si="229"/>
        <v>6.9182389937106931E-2</v>
      </c>
      <c r="Z94" s="150">
        <f t="shared" si="229"/>
        <v>6.9182389937106931E-2</v>
      </c>
      <c r="AA94" s="150">
        <f t="shared" si="229"/>
        <v>6.9182389937106917E-2</v>
      </c>
      <c r="AB94" s="150">
        <f t="shared" si="229"/>
        <v>6.9182389937106917E-2</v>
      </c>
      <c r="AC94" s="150">
        <f t="shared" si="229"/>
        <v>6.9182389937106917E-2</v>
      </c>
      <c r="AD94" s="137">
        <f t="shared" si="216"/>
        <v>2.9292100496617346E-2</v>
      </c>
      <c r="AE94" s="145"/>
      <c r="AF94" s="145"/>
    </row>
    <row r="95" spans="2:32" x14ac:dyDescent="0.2">
      <c r="B95" s="20" t="s">
        <v>427</v>
      </c>
      <c r="C95" s="150"/>
      <c r="D95" s="150"/>
      <c r="E95" s="150"/>
      <c r="F95" s="150"/>
      <c r="G95" s="150">
        <f>G53/G25</f>
        <v>7.7669902912621321E-4</v>
      </c>
      <c r="H95" s="150">
        <f t="shared" ref="H95:P95" si="230">H53/H25</f>
        <v>0</v>
      </c>
      <c r="I95" s="150">
        <f t="shared" si="230"/>
        <v>1.5037593984962405E-2</v>
      </c>
      <c r="J95" s="150">
        <f t="shared" si="230"/>
        <v>2.8901734104046242E-2</v>
      </c>
      <c r="K95" s="150">
        <f t="shared" si="230"/>
        <v>3.3653846153846152E-2</v>
      </c>
      <c r="L95" s="150">
        <f t="shared" si="230"/>
        <v>4.1152263374485597E-2</v>
      </c>
      <c r="M95" s="150">
        <f t="shared" si="230"/>
        <v>6.5292096219931275E-2</v>
      </c>
      <c r="N95" s="150">
        <f t="shared" si="230"/>
        <v>4.6783625730994149E-2</v>
      </c>
      <c r="O95" s="150">
        <f t="shared" si="230"/>
        <v>3.968253968253968E-2</v>
      </c>
      <c r="P95" s="150">
        <f t="shared" si="230"/>
        <v>3.6866359447004608E-2</v>
      </c>
      <c r="Q95" s="150">
        <f t="shared" ref="Q95" si="231">Q53/Q25</f>
        <v>3.9832285115303984E-2</v>
      </c>
      <c r="R95" s="118">
        <f t="shared" si="214"/>
        <v>0.47108493865180945</v>
      </c>
      <c r="S95" s="20"/>
      <c r="T95" s="150">
        <f t="shared" ref="T95:AC95" si="232">T53/T25</f>
        <v>3.9832285115303984E-2</v>
      </c>
      <c r="U95" s="150">
        <f t="shared" si="232"/>
        <v>3.9832285115303984E-2</v>
      </c>
      <c r="V95" s="150">
        <f t="shared" si="232"/>
        <v>3.9832285115303984E-2</v>
      </c>
      <c r="W95" s="150">
        <f t="shared" si="232"/>
        <v>3.9832285115303991E-2</v>
      </c>
      <c r="X95" s="150">
        <f t="shared" si="232"/>
        <v>3.9832285115303991E-2</v>
      </c>
      <c r="Y95" s="150">
        <f t="shared" si="232"/>
        <v>3.9832285115304004E-2</v>
      </c>
      <c r="Z95" s="150">
        <f t="shared" si="232"/>
        <v>3.9832285115304004E-2</v>
      </c>
      <c r="AA95" s="150">
        <f t="shared" si="232"/>
        <v>3.9832285115303984E-2</v>
      </c>
      <c r="AB95" s="150">
        <f t="shared" si="232"/>
        <v>3.9832285115303984E-2</v>
      </c>
      <c r="AC95" s="150">
        <f t="shared" si="232"/>
        <v>3.9832285115303984E-2</v>
      </c>
      <c r="AD95" s="137">
        <f t="shared" si="216"/>
        <v>0.21758453404015654</v>
      </c>
      <c r="AE95" s="145"/>
      <c r="AF95" s="145"/>
    </row>
    <row r="96" spans="2:32" x14ac:dyDescent="0.2">
      <c r="B96" s="20"/>
      <c r="C96" s="150"/>
      <c r="D96" s="150"/>
      <c r="E96" s="150"/>
      <c r="F96" s="150"/>
      <c r="G96" s="150"/>
      <c r="H96" s="150"/>
      <c r="I96" s="150"/>
      <c r="J96" s="150"/>
      <c r="K96" s="150"/>
      <c r="L96" s="150"/>
      <c r="M96" s="150"/>
      <c r="N96" s="150"/>
      <c r="O96" s="150"/>
      <c r="P96" s="150"/>
      <c r="Q96" s="150"/>
      <c r="R96" s="150"/>
      <c r="S96" s="20"/>
      <c r="T96" s="150"/>
      <c r="U96" s="150"/>
      <c r="V96" s="150"/>
      <c r="W96" s="150"/>
      <c r="X96" s="150"/>
      <c r="Y96" s="150"/>
      <c r="Z96" s="150"/>
      <c r="AA96" s="150"/>
      <c r="AB96" s="150"/>
      <c r="AC96" s="150"/>
      <c r="AD96" s="3"/>
      <c r="AE96" s="145"/>
      <c r="AF96" s="145"/>
    </row>
    <row r="97" spans="2:32" x14ac:dyDescent="0.2">
      <c r="B97" s="20" t="s">
        <v>322</v>
      </c>
      <c r="C97" s="150"/>
      <c r="D97" s="150"/>
      <c r="E97" s="150"/>
      <c r="F97" s="150"/>
      <c r="G97" s="150">
        <f>G29/G25</f>
        <v>3.8834951456310676E-2</v>
      </c>
      <c r="H97" s="150">
        <f t="shared" ref="H97:P97" si="233">H29/H25</f>
        <v>2.4590163934426229E-2</v>
      </c>
      <c r="I97" s="150">
        <f t="shared" si="233"/>
        <v>1.5037593984962405E-2</v>
      </c>
      <c r="J97" s="150">
        <f t="shared" si="233"/>
        <v>1.1560693641618497E-2</v>
      </c>
      <c r="K97" s="150">
        <f t="shared" si="233"/>
        <v>4.807692307692308E-3</v>
      </c>
      <c r="L97" s="150">
        <f t="shared" si="233"/>
        <v>4.11522633744856E-3</v>
      </c>
      <c r="M97" s="150">
        <f t="shared" si="233"/>
        <v>6.8728522336769758E-3</v>
      </c>
      <c r="N97" s="150">
        <f t="shared" si="233"/>
        <v>5.8479532163742687E-3</v>
      </c>
      <c r="O97" s="150">
        <f t="shared" si="233"/>
        <v>7.9365079365079361E-3</v>
      </c>
      <c r="P97" s="150">
        <f t="shared" si="233"/>
        <v>6.9124423963133645E-3</v>
      </c>
      <c r="Q97" s="150">
        <f t="shared" ref="Q97" si="234">Q29/Q25</f>
        <v>8.385744234800839E-3</v>
      </c>
      <c r="R97" s="118">
        <f t="shared" si="214"/>
        <v>-0.15852566239743515</v>
      </c>
      <c r="S97" s="20"/>
      <c r="T97" s="150">
        <f t="shared" ref="T97:AC97" si="235">T29/T25</f>
        <v>8.385744234800839E-3</v>
      </c>
      <c r="U97" s="150">
        <f t="shared" si="235"/>
        <v>8.385744234800839E-3</v>
      </c>
      <c r="V97" s="150">
        <f t="shared" si="235"/>
        <v>8.385744234800839E-3</v>
      </c>
      <c r="W97" s="150">
        <f t="shared" si="235"/>
        <v>8.385744234800839E-3</v>
      </c>
      <c r="X97" s="150">
        <f t="shared" si="235"/>
        <v>8.385744234800839E-3</v>
      </c>
      <c r="Y97" s="150">
        <f t="shared" si="235"/>
        <v>8.385744234800839E-3</v>
      </c>
      <c r="Z97" s="150">
        <f t="shared" si="235"/>
        <v>8.3857442348008408E-3</v>
      </c>
      <c r="AA97" s="150">
        <f t="shared" si="235"/>
        <v>8.3857442348008408E-3</v>
      </c>
      <c r="AB97" s="150">
        <f t="shared" si="235"/>
        <v>8.3857442348008408E-3</v>
      </c>
      <c r="AC97" s="150">
        <f t="shared" si="235"/>
        <v>8.3857442348008408E-3</v>
      </c>
      <c r="AD97" s="137">
        <f t="shared" si="216"/>
        <v>-7.3776187274769089E-2</v>
      </c>
      <c r="AE97" s="145"/>
      <c r="AF97" s="145"/>
    </row>
    <row r="98" spans="2:32" x14ac:dyDescent="0.2">
      <c r="B98" s="20" t="s">
        <v>368</v>
      </c>
      <c r="C98" s="150"/>
      <c r="D98" s="150"/>
      <c r="E98" s="150"/>
      <c r="F98" s="150"/>
      <c r="G98" s="150">
        <f>G29/G36</f>
        <v>0.66666666666666663</v>
      </c>
      <c r="H98" s="150">
        <f t="shared" ref="H98:P98" si="236">H29/H36</f>
        <v>0.375</v>
      </c>
      <c r="I98" s="150">
        <f t="shared" si="236"/>
        <v>0.22222222222222221</v>
      </c>
      <c r="J98" s="150">
        <f t="shared" si="236"/>
        <v>0.13333333333333333</v>
      </c>
      <c r="K98" s="150">
        <f t="shared" si="236"/>
        <v>0.05</v>
      </c>
      <c r="L98" s="150">
        <f t="shared" si="236"/>
        <v>3.4482758620689655E-2</v>
      </c>
      <c r="M98" s="150">
        <f t="shared" si="236"/>
        <v>3.5714285714285712E-2</v>
      </c>
      <c r="N98" s="150">
        <f t="shared" si="236"/>
        <v>4.2553191489361701E-2</v>
      </c>
      <c r="O98" s="150">
        <f t="shared" si="236"/>
        <v>6.5217391304347824E-2</v>
      </c>
      <c r="P98" s="150">
        <f t="shared" si="236"/>
        <v>5.8823529411764705E-2</v>
      </c>
      <c r="Q98" s="150">
        <f t="shared" ref="Q98" si="237">Q29/Q36</f>
        <v>6.7796610169491525E-2</v>
      </c>
      <c r="R98" s="118">
        <f t="shared" ref="R98" si="238">((P98/G98)^(1/($H$2-$H$1) ))-1</f>
        <v>-0.21555186690376971</v>
      </c>
      <c r="S98" s="20"/>
      <c r="T98" s="150">
        <f t="shared" ref="T98:AC98" si="239">T29/T36</f>
        <v>6.7796610169491525E-2</v>
      </c>
      <c r="U98" s="150">
        <f t="shared" si="239"/>
        <v>6.7796610169491511E-2</v>
      </c>
      <c r="V98" s="150">
        <f t="shared" si="239"/>
        <v>6.7796610169491511E-2</v>
      </c>
      <c r="W98" s="150">
        <f t="shared" si="239"/>
        <v>6.7796610169491511E-2</v>
      </c>
      <c r="X98" s="150">
        <f t="shared" si="239"/>
        <v>6.7796610169491511E-2</v>
      </c>
      <c r="Y98" s="150">
        <f t="shared" si="239"/>
        <v>6.7796610169491511E-2</v>
      </c>
      <c r="Z98" s="150">
        <f t="shared" si="239"/>
        <v>6.7796610169491511E-2</v>
      </c>
      <c r="AA98" s="150">
        <f t="shared" si="239"/>
        <v>6.7796610169491511E-2</v>
      </c>
      <c r="AB98" s="150">
        <f t="shared" si="239"/>
        <v>6.7796610169491511E-2</v>
      </c>
      <c r="AC98" s="150">
        <f t="shared" si="239"/>
        <v>6.7796610169491511E-2</v>
      </c>
      <c r="AD98" s="137">
        <f t="shared" ref="AD98" si="240">((AC98/G98)^(1/($AC$3-$H$1) ))-1</f>
        <v>-0.10799977907989866</v>
      </c>
      <c r="AE98" s="145"/>
      <c r="AF98" s="145"/>
    </row>
    <row r="99" spans="2:32" ht="12" customHeight="1" x14ac:dyDescent="0.2">
      <c r="B99" s="20" t="s">
        <v>367</v>
      </c>
      <c r="C99" s="150"/>
      <c r="D99" s="150"/>
      <c r="E99" s="150"/>
      <c r="F99" s="150"/>
      <c r="G99" s="169">
        <f t="shared" ref="G99:P99" si="241">G29/G40</f>
        <v>5</v>
      </c>
      <c r="H99" s="169">
        <f t="shared" si="241"/>
        <v>1</v>
      </c>
      <c r="I99" s="169">
        <f t="shared" si="241"/>
        <v>0.5</v>
      </c>
      <c r="J99" s="169">
        <f t="shared" si="241"/>
        <v>0.2857142857142857</v>
      </c>
      <c r="K99" s="169">
        <f t="shared" si="241"/>
        <v>9.0909090909090912E-2</v>
      </c>
      <c r="L99" s="169">
        <f t="shared" si="241"/>
        <v>5.2631578947368418E-2</v>
      </c>
      <c r="M99" s="169">
        <f t="shared" si="241"/>
        <v>5.4054054054054057E-2</v>
      </c>
      <c r="N99" s="169">
        <f t="shared" si="241"/>
        <v>6.25E-2</v>
      </c>
      <c r="O99" s="169">
        <f t="shared" si="241"/>
        <v>0.1</v>
      </c>
      <c r="P99" s="169">
        <f t="shared" si="241"/>
        <v>8.8235294117647065E-2</v>
      </c>
      <c r="Q99" s="169">
        <f t="shared" ref="Q99" si="242">Q29/Q40</f>
        <v>0.10526315789473684</v>
      </c>
      <c r="R99" s="118">
        <f t="shared" ref="R99" si="243">((P99/G99)^(1/($H$2-$H$1) ))-1</f>
        <v>-0.33216798714828122</v>
      </c>
      <c r="S99" s="20"/>
      <c r="T99" s="169">
        <f t="shared" ref="T99:AC99" si="244">T29/T40</f>
        <v>0.10526315789473685</v>
      </c>
      <c r="U99" s="169">
        <f t="shared" si="244"/>
        <v>0.10526315789473684</v>
      </c>
      <c r="V99" s="169">
        <f t="shared" si="244"/>
        <v>0.10526315789473684</v>
      </c>
      <c r="W99" s="169">
        <f t="shared" si="244"/>
        <v>0.10526315789473684</v>
      </c>
      <c r="X99" s="169">
        <f t="shared" si="244"/>
        <v>0.10526315789473684</v>
      </c>
      <c r="Y99" s="169">
        <f t="shared" si="244"/>
        <v>0.10526315789473685</v>
      </c>
      <c r="Z99" s="169">
        <f t="shared" si="244"/>
        <v>0.10526315789473685</v>
      </c>
      <c r="AA99" s="169">
        <f t="shared" si="244"/>
        <v>0.10526315789473684</v>
      </c>
      <c r="AB99" s="169">
        <f t="shared" si="244"/>
        <v>0.10526315789473685</v>
      </c>
      <c r="AC99" s="169">
        <f t="shared" si="244"/>
        <v>0.10526315789473684</v>
      </c>
      <c r="AD99" s="137">
        <f t="shared" ref="AD99" si="245">((AC99/G99)^(1/($AC$3-$H$1) ))-1</f>
        <v>-0.17554810699209022</v>
      </c>
      <c r="AE99" s="145"/>
      <c r="AF99" s="145"/>
    </row>
    <row r="100" spans="2:32" ht="12" customHeight="1" x14ac:dyDescent="0.2">
      <c r="B100" s="20" t="s">
        <v>324</v>
      </c>
      <c r="C100" s="150"/>
      <c r="D100" s="150"/>
      <c r="E100" s="150"/>
      <c r="F100" s="150"/>
      <c r="G100" s="169">
        <f t="shared" ref="G100:P100" si="246">G29/G12</f>
        <v>2</v>
      </c>
      <c r="H100" s="169">
        <f t="shared" si="246"/>
        <v>1.5</v>
      </c>
      <c r="I100" s="169">
        <f t="shared" si="246"/>
        <v>1</v>
      </c>
      <c r="J100" s="169">
        <f t="shared" si="246"/>
        <v>0.66666666666666663</v>
      </c>
      <c r="K100" s="169">
        <f t="shared" si="246"/>
        <v>0.25</v>
      </c>
      <c r="L100" s="169">
        <f t="shared" si="246"/>
        <v>6.6666666666666666E-2</v>
      </c>
      <c r="M100" s="169">
        <f t="shared" si="246"/>
        <v>5.128205128205128E-2</v>
      </c>
      <c r="N100" s="169">
        <f t="shared" si="246"/>
        <v>4.4444444444444446E-2</v>
      </c>
      <c r="O100" s="169">
        <f t="shared" si="246"/>
        <v>0.06</v>
      </c>
      <c r="P100" s="169">
        <f t="shared" si="246"/>
        <v>5.8823529411764705E-2</v>
      </c>
      <c r="Q100" s="169">
        <f t="shared" ref="Q100" si="247">Q29/Q12</f>
        <v>7.6923076923076927E-2</v>
      </c>
      <c r="R100" s="118">
        <f t="shared" si="214"/>
        <v>-0.29716705884614036</v>
      </c>
      <c r="S100" s="20"/>
      <c r="T100" s="150">
        <f t="shared" ref="T100:AC100" si="248">T29/T12</f>
        <v>7.6923076923076913E-2</v>
      </c>
      <c r="U100" s="150">
        <f t="shared" si="248"/>
        <v>7.6923076923076913E-2</v>
      </c>
      <c r="V100" s="150">
        <f t="shared" si="248"/>
        <v>7.6923076923076913E-2</v>
      </c>
      <c r="W100" s="150">
        <f t="shared" si="248"/>
        <v>7.69230769230769E-2</v>
      </c>
      <c r="X100" s="150">
        <f t="shared" si="248"/>
        <v>7.69230769230769E-2</v>
      </c>
      <c r="Y100" s="150">
        <f t="shared" si="248"/>
        <v>7.69230769230769E-2</v>
      </c>
      <c r="Z100" s="150">
        <f t="shared" si="248"/>
        <v>7.69230769230769E-2</v>
      </c>
      <c r="AA100" s="150">
        <f t="shared" si="248"/>
        <v>7.6923076923076886E-2</v>
      </c>
      <c r="AB100" s="150">
        <f t="shared" si="248"/>
        <v>7.69230769230769E-2</v>
      </c>
      <c r="AC100" s="150">
        <f t="shared" si="248"/>
        <v>7.69230769230769E-2</v>
      </c>
      <c r="AD100" s="137">
        <f t="shared" si="216"/>
        <v>-0.15032794951130213</v>
      </c>
      <c r="AE100" s="145"/>
      <c r="AF100" s="145"/>
    </row>
    <row r="101" spans="2:32" ht="12" customHeight="1" x14ac:dyDescent="0.2">
      <c r="B101" s="20" t="s">
        <v>369</v>
      </c>
      <c r="C101" s="150"/>
      <c r="D101" s="150"/>
      <c r="E101" s="150"/>
      <c r="F101" s="150"/>
      <c r="G101" s="169">
        <f>G29/G23</f>
        <v>2</v>
      </c>
      <c r="H101" s="169">
        <f t="shared" ref="H101:P101" si="249">H29/H23</f>
        <v>1.5</v>
      </c>
      <c r="I101" s="169">
        <f t="shared" si="249"/>
        <v>1</v>
      </c>
      <c r="J101" s="169">
        <f t="shared" si="249"/>
        <v>0.66666666666666663</v>
      </c>
      <c r="K101" s="169">
        <f t="shared" si="249"/>
        <v>0.25</v>
      </c>
      <c r="L101" s="169">
        <f t="shared" si="249"/>
        <v>7.1428571428571425E-2</v>
      </c>
      <c r="M101" s="169">
        <f t="shared" si="249"/>
        <v>5.128205128205128E-2</v>
      </c>
      <c r="N101" s="169">
        <f t="shared" si="249"/>
        <v>4.2553191489361701E-2</v>
      </c>
      <c r="O101" s="169">
        <f t="shared" si="249"/>
        <v>0.06</v>
      </c>
      <c r="P101" s="169">
        <f t="shared" si="249"/>
        <v>0.06</v>
      </c>
      <c r="Q101" s="169">
        <f t="shared" ref="Q101" si="250">Q29/Q23</f>
        <v>0.08</v>
      </c>
      <c r="R101" s="118">
        <f t="shared" ref="R101" si="251">((P101/G101)^(1/($H$2-$H$1) ))-1</f>
        <v>-0.29577388599876309</v>
      </c>
      <c r="S101" s="20"/>
      <c r="T101" s="169">
        <f t="shared" ref="T101:AC101" si="252">T29/T23</f>
        <v>0.08</v>
      </c>
      <c r="U101" s="169">
        <f t="shared" si="252"/>
        <v>0.08</v>
      </c>
      <c r="V101" s="169">
        <f t="shared" si="252"/>
        <v>0.08</v>
      </c>
      <c r="W101" s="169">
        <f t="shared" si="252"/>
        <v>0.08</v>
      </c>
      <c r="X101" s="169">
        <f t="shared" si="252"/>
        <v>0.08</v>
      </c>
      <c r="Y101" s="169">
        <f t="shared" si="252"/>
        <v>8.0000000000000016E-2</v>
      </c>
      <c r="Z101" s="169">
        <f t="shared" si="252"/>
        <v>8.0000000000000016E-2</v>
      </c>
      <c r="AA101" s="169">
        <f t="shared" si="252"/>
        <v>8.0000000000000016E-2</v>
      </c>
      <c r="AB101" s="169">
        <f t="shared" si="252"/>
        <v>8.0000000000000016E-2</v>
      </c>
      <c r="AC101" s="169">
        <f t="shared" si="252"/>
        <v>0.08</v>
      </c>
      <c r="AD101" s="137">
        <f t="shared" ref="AD101" si="253">((AC101/G101)^(1/($AC$3-$H$1) ))-1</f>
        <v>-0.14866007747921539</v>
      </c>
      <c r="AE101" s="145"/>
      <c r="AF101" s="145"/>
    </row>
    <row r="102" spans="2:32" ht="12" customHeight="1" x14ac:dyDescent="0.2">
      <c r="B102" s="20"/>
      <c r="C102" s="150"/>
      <c r="D102" s="150"/>
      <c r="E102" s="150"/>
      <c r="F102" s="150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20"/>
      <c r="T102" s="150"/>
      <c r="U102" s="150"/>
      <c r="V102" s="150"/>
      <c r="W102" s="150"/>
      <c r="X102" s="150"/>
      <c r="Y102" s="150"/>
      <c r="Z102" s="150"/>
      <c r="AA102" s="150"/>
      <c r="AB102" s="150"/>
      <c r="AC102" s="150"/>
      <c r="AD102" s="150"/>
      <c r="AE102" s="145"/>
      <c r="AF102" s="145"/>
    </row>
    <row r="103" spans="2:32" ht="12" customHeight="1" x14ac:dyDescent="0.2">
      <c r="B103" s="20" t="s">
        <v>401</v>
      </c>
      <c r="C103" s="150"/>
      <c r="D103" s="150"/>
      <c r="E103" s="150"/>
      <c r="F103" s="150"/>
      <c r="G103" s="127">
        <f>1/G97</f>
        <v>25.750000000000004</v>
      </c>
      <c r="H103" s="127">
        <f t="shared" ref="H103:P103" si="254">1/H97</f>
        <v>40.666666666666664</v>
      </c>
      <c r="I103" s="127">
        <f t="shared" si="254"/>
        <v>66.5</v>
      </c>
      <c r="J103" s="127">
        <f t="shared" si="254"/>
        <v>86.5</v>
      </c>
      <c r="K103" s="127">
        <f t="shared" si="254"/>
        <v>208</v>
      </c>
      <c r="L103" s="127">
        <f t="shared" si="254"/>
        <v>242.99999999999997</v>
      </c>
      <c r="M103" s="127">
        <f t="shared" si="254"/>
        <v>145.5</v>
      </c>
      <c r="N103" s="127">
        <f t="shared" si="254"/>
        <v>171</v>
      </c>
      <c r="O103" s="127">
        <f t="shared" si="254"/>
        <v>126</v>
      </c>
      <c r="P103" s="127">
        <f t="shared" si="254"/>
        <v>144.66666666666666</v>
      </c>
      <c r="Q103" s="127">
        <f t="shared" ref="Q103" si="255">1/Q97</f>
        <v>119.25</v>
      </c>
      <c r="R103" s="118">
        <f t="shared" si="214"/>
        <v>0.18839037070231845</v>
      </c>
      <c r="S103" s="20"/>
      <c r="T103" s="127">
        <f t="shared" ref="T103:AC103" si="256">1/T97</f>
        <v>119.25</v>
      </c>
      <c r="U103" s="127">
        <f t="shared" si="256"/>
        <v>119.25</v>
      </c>
      <c r="V103" s="127">
        <f t="shared" si="256"/>
        <v>119.25</v>
      </c>
      <c r="W103" s="127">
        <f t="shared" si="256"/>
        <v>119.25</v>
      </c>
      <c r="X103" s="127">
        <f t="shared" si="256"/>
        <v>119.25</v>
      </c>
      <c r="Y103" s="127">
        <f t="shared" si="256"/>
        <v>119.25</v>
      </c>
      <c r="Z103" s="127">
        <f t="shared" si="256"/>
        <v>119.24999999999997</v>
      </c>
      <c r="AA103" s="127">
        <f t="shared" si="256"/>
        <v>119.24999999999997</v>
      </c>
      <c r="AB103" s="127">
        <f t="shared" si="256"/>
        <v>119.24999999999997</v>
      </c>
      <c r="AC103" s="127">
        <f t="shared" si="256"/>
        <v>119.24999999999997</v>
      </c>
      <c r="AD103" s="137">
        <f t="shared" si="216"/>
        <v>7.9652656583830694E-2</v>
      </c>
      <c r="AE103" s="145"/>
      <c r="AF103" s="145"/>
    </row>
    <row r="104" spans="2:32" ht="12" customHeight="1" x14ac:dyDescent="0.2">
      <c r="B104" s="20" t="s">
        <v>402</v>
      </c>
      <c r="C104" s="150"/>
      <c r="D104" s="150"/>
      <c r="E104" s="150"/>
      <c r="F104" s="150"/>
      <c r="G104" s="127">
        <f t="shared" ref="G104:P107" si="257">1/G98</f>
        <v>1.5</v>
      </c>
      <c r="H104" s="127">
        <f t="shared" si="257"/>
        <v>2.6666666666666665</v>
      </c>
      <c r="I104" s="127">
        <f t="shared" si="257"/>
        <v>4.5</v>
      </c>
      <c r="J104" s="127">
        <f t="shared" si="257"/>
        <v>7.5</v>
      </c>
      <c r="K104" s="127">
        <f t="shared" si="257"/>
        <v>20</v>
      </c>
      <c r="L104" s="127">
        <f t="shared" si="257"/>
        <v>29</v>
      </c>
      <c r="M104" s="127">
        <f t="shared" si="257"/>
        <v>28</v>
      </c>
      <c r="N104" s="127">
        <f t="shared" si="257"/>
        <v>23.5</v>
      </c>
      <c r="O104" s="127">
        <f t="shared" si="257"/>
        <v>15.333333333333334</v>
      </c>
      <c r="P104" s="127">
        <f t="shared" si="257"/>
        <v>17</v>
      </c>
      <c r="Q104" s="127">
        <f t="shared" ref="Q104" si="258">1/Q98</f>
        <v>14.75</v>
      </c>
      <c r="R104" s="118">
        <f t="shared" si="214"/>
        <v>0.27478154107268105</v>
      </c>
      <c r="S104" s="20"/>
      <c r="T104" s="127">
        <f t="shared" ref="T104:AC104" si="259">1/T98</f>
        <v>14.75</v>
      </c>
      <c r="U104" s="127">
        <f t="shared" si="259"/>
        <v>14.750000000000004</v>
      </c>
      <c r="V104" s="127">
        <f t="shared" si="259"/>
        <v>14.750000000000004</v>
      </c>
      <c r="W104" s="127">
        <f t="shared" si="259"/>
        <v>14.750000000000004</v>
      </c>
      <c r="X104" s="127">
        <f t="shared" si="259"/>
        <v>14.750000000000004</v>
      </c>
      <c r="Y104" s="127">
        <f t="shared" si="259"/>
        <v>14.750000000000004</v>
      </c>
      <c r="Z104" s="127">
        <f t="shared" si="259"/>
        <v>14.750000000000004</v>
      </c>
      <c r="AA104" s="127">
        <f t="shared" si="259"/>
        <v>14.750000000000004</v>
      </c>
      <c r="AB104" s="127">
        <f t="shared" si="259"/>
        <v>14.750000000000004</v>
      </c>
      <c r="AC104" s="127">
        <f t="shared" si="259"/>
        <v>14.750000000000004</v>
      </c>
      <c r="AD104" s="137">
        <f t="shared" si="216"/>
        <v>0.12107595552890826</v>
      </c>
      <c r="AE104" s="145"/>
      <c r="AF104" s="145"/>
    </row>
    <row r="105" spans="2:32" ht="12" customHeight="1" x14ac:dyDescent="0.2">
      <c r="B105" s="20" t="s">
        <v>403</v>
      </c>
      <c r="C105" s="150"/>
      <c r="D105" s="150"/>
      <c r="E105" s="150"/>
      <c r="F105" s="150"/>
      <c r="G105" s="127">
        <f t="shared" si="257"/>
        <v>0.2</v>
      </c>
      <c r="H105" s="127">
        <f t="shared" si="257"/>
        <v>1</v>
      </c>
      <c r="I105" s="127">
        <f t="shared" si="257"/>
        <v>2</v>
      </c>
      <c r="J105" s="127">
        <f t="shared" si="257"/>
        <v>3.5</v>
      </c>
      <c r="K105" s="127">
        <f t="shared" si="257"/>
        <v>11</v>
      </c>
      <c r="L105" s="127">
        <f t="shared" si="257"/>
        <v>19</v>
      </c>
      <c r="M105" s="127">
        <f t="shared" si="257"/>
        <v>18.5</v>
      </c>
      <c r="N105" s="127">
        <f t="shared" si="257"/>
        <v>16</v>
      </c>
      <c r="O105" s="127">
        <f t="shared" si="257"/>
        <v>10</v>
      </c>
      <c r="P105" s="127">
        <f t="shared" si="257"/>
        <v>11.333333333333332</v>
      </c>
      <c r="Q105" s="127">
        <f t="shared" ref="Q105" si="260">1/Q99</f>
        <v>9.5</v>
      </c>
      <c r="R105" s="118">
        <f t="shared" si="214"/>
        <v>0.49738254644290869</v>
      </c>
      <c r="S105" s="20"/>
      <c r="T105" s="127">
        <f t="shared" ref="T105:AC105" si="261">1/T99</f>
        <v>9.5</v>
      </c>
      <c r="U105" s="127">
        <f t="shared" si="261"/>
        <v>9.5</v>
      </c>
      <c r="V105" s="127">
        <f t="shared" si="261"/>
        <v>9.5</v>
      </c>
      <c r="W105" s="127">
        <f t="shared" si="261"/>
        <v>9.5</v>
      </c>
      <c r="X105" s="127">
        <f t="shared" si="261"/>
        <v>9.5</v>
      </c>
      <c r="Y105" s="127">
        <f t="shared" si="261"/>
        <v>9.5</v>
      </c>
      <c r="Z105" s="127">
        <f t="shared" si="261"/>
        <v>9.5</v>
      </c>
      <c r="AA105" s="127">
        <f t="shared" si="261"/>
        <v>9.5</v>
      </c>
      <c r="AB105" s="127">
        <f t="shared" si="261"/>
        <v>9.5</v>
      </c>
      <c r="AC105" s="127">
        <f t="shared" si="261"/>
        <v>9.5</v>
      </c>
      <c r="AD105" s="137">
        <f t="shared" si="216"/>
        <v>0.21292704702469045</v>
      </c>
      <c r="AE105" s="145"/>
      <c r="AF105" s="145"/>
    </row>
    <row r="106" spans="2:32" ht="12" customHeight="1" x14ac:dyDescent="0.2">
      <c r="B106" s="20" t="s">
        <v>404</v>
      </c>
      <c r="C106" s="150"/>
      <c r="D106" s="150"/>
      <c r="E106" s="150"/>
      <c r="F106" s="150"/>
      <c r="G106" s="127">
        <f t="shared" si="257"/>
        <v>0.5</v>
      </c>
      <c r="H106" s="127">
        <f t="shared" si="257"/>
        <v>0.66666666666666663</v>
      </c>
      <c r="I106" s="127">
        <f t="shared" si="257"/>
        <v>1</v>
      </c>
      <c r="J106" s="127">
        <f t="shared" si="257"/>
        <v>1.5</v>
      </c>
      <c r="K106" s="127">
        <f t="shared" si="257"/>
        <v>4</v>
      </c>
      <c r="L106" s="127">
        <f t="shared" si="257"/>
        <v>15</v>
      </c>
      <c r="M106" s="127">
        <f t="shared" si="257"/>
        <v>19.5</v>
      </c>
      <c r="N106" s="127">
        <f t="shared" si="257"/>
        <v>22.5</v>
      </c>
      <c r="O106" s="127">
        <f t="shared" si="257"/>
        <v>16.666666666666668</v>
      </c>
      <c r="P106" s="127">
        <f t="shared" si="257"/>
        <v>17</v>
      </c>
      <c r="Q106" s="127">
        <f t="shared" ref="Q106" si="262">1/Q100</f>
        <v>13</v>
      </c>
      <c r="R106" s="118">
        <f t="shared" si="214"/>
        <v>0.42281321982187281</v>
      </c>
      <c r="S106" s="20"/>
      <c r="T106" s="127">
        <f t="shared" ref="T106:AC106" si="263">1/T100</f>
        <v>13.000000000000002</v>
      </c>
      <c r="U106" s="127">
        <f t="shared" si="263"/>
        <v>13.000000000000002</v>
      </c>
      <c r="V106" s="127">
        <f t="shared" si="263"/>
        <v>13.000000000000002</v>
      </c>
      <c r="W106" s="127">
        <f t="shared" si="263"/>
        <v>13.000000000000004</v>
      </c>
      <c r="X106" s="127">
        <f t="shared" si="263"/>
        <v>13.000000000000004</v>
      </c>
      <c r="Y106" s="127">
        <f t="shared" si="263"/>
        <v>13.000000000000004</v>
      </c>
      <c r="Z106" s="127">
        <f t="shared" si="263"/>
        <v>13.000000000000004</v>
      </c>
      <c r="AA106" s="127">
        <f t="shared" si="263"/>
        <v>13.000000000000007</v>
      </c>
      <c r="AB106" s="127">
        <f t="shared" si="263"/>
        <v>13.000000000000004</v>
      </c>
      <c r="AC106" s="127">
        <f t="shared" si="263"/>
        <v>13.000000000000004</v>
      </c>
      <c r="AD106" s="137">
        <f t="shared" si="216"/>
        <v>0.17692467278974222</v>
      </c>
      <c r="AE106" s="145"/>
      <c r="AF106" s="145"/>
    </row>
    <row r="107" spans="2:32" ht="12" customHeight="1" x14ac:dyDescent="0.2">
      <c r="B107" s="20" t="s">
        <v>405</v>
      </c>
      <c r="C107" s="150"/>
      <c r="D107" s="150"/>
      <c r="E107" s="150"/>
      <c r="F107" s="150"/>
      <c r="G107" s="127">
        <f t="shared" si="257"/>
        <v>0.5</v>
      </c>
      <c r="H107" s="127">
        <f t="shared" si="257"/>
        <v>0.66666666666666663</v>
      </c>
      <c r="I107" s="127">
        <f t="shared" si="257"/>
        <v>1</v>
      </c>
      <c r="J107" s="127">
        <f t="shared" si="257"/>
        <v>1.5</v>
      </c>
      <c r="K107" s="127">
        <f t="shared" si="257"/>
        <v>4</v>
      </c>
      <c r="L107" s="127">
        <f t="shared" si="257"/>
        <v>14</v>
      </c>
      <c r="M107" s="127">
        <f t="shared" si="257"/>
        <v>19.5</v>
      </c>
      <c r="N107" s="127">
        <f t="shared" si="257"/>
        <v>23.5</v>
      </c>
      <c r="O107" s="127">
        <f t="shared" si="257"/>
        <v>16.666666666666668</v>
      </c>
      <c r="P107" s="127">
        <f t="shared" si="257"/>
        <v>16.666666666666668</v>
      </c>
      <c r="Q107" s="127">
        <f t="shared" ref="Q107" si="264">1/Q101</f>
        <v>12.5</v>
      </c>
      <c r="R107" s="118">
        <f t="shared" si="214"/>
        <v>0.41999846372956795</v>
      </c>
      <c r="S107" s="20"/>
      <c r="T107" s="127">
        <f t="shared" ref="T107:AC107" si="265">1/T101</f>
        <v>12.5</v>
      </c>
      <c r="U107" s="127">
        <f t="shared" si="265"/>
        <v>12.5</v>
      </c>
      <c r="V107" s="127">
        <f t="shared" si="265"/>
        <v>12.5</v>
      </c>
      <c r="W107" s="127">
        <f t="shared" si="265"/>
        <v>12.5</v>
      </c>
      <c r="X107" s="127">
        <f t="shared" si="265"/>
        <v>12.5</v>
      </c>
      <c r="Y107" s="127">
        <f t="shared" si="265"/>
        <v>12.499999999999998</v>
      </c>
      <c r="Z107" s="127">
        <f t="shared" si="265"/>
        <v>12.499999999999998</v>
      </c>
      <c r="AA107" s="127">
        <f t="shared" si="265"/>
        <v>12.499999999999998</v>
      </c>
      <c r="AB107" s="127">
        <f t="shared" si="265"/>
        <v>12.499999999999998</v>
      </c>
      <c r="AC107" s="127">
        <f t="shared" si="265"/>
        <v>12.5</v>
      </c>
      <c r="AD107" s="137">
        <f t="shared" si="216"/>
        <v>0.17461894308801895</v>
      </c>
      <c r="AE107" s="145"/>
      <c r="AF107" s="145"/>
    </row>
    <row r="108" spans="2:32" ht="12" customHeight="1" x14ac:dyDescent="0.2">
      <c r="B108" s="20"/>
      <c r="C108" s="150"/>
      <c r="D108" s="150"/>
      <c r="E108" s="150"/>
      <c r="F108" s="150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20"/>
      <c r="T108" s="150"/>
      <c r="U108" s="150"/>
      <c r="V108" s="150"/>
      <c r="W108" s="150"/>
      <c r="X108" s="150"/>
      <c r="Y108" s="150"/>
      <c r="Z108" s="150"/>
      <c r="AA108" s="150"/>
      <c r="AB108" s="150"/>
      <c r="AC108" s="150"/>
      <c r="AD108" s="150"/>
      <c r="AE108" s="145"/>
      <c r="AF108" s="145"/>
    </row>
    <row r="109" spans="2:32" ht="12" customHeight="1" x14ac:dyDescent="0.2">
      <c r="B109" s="20"/>
      <c r="C109" s="150"/>
      <c r="D109" s="150"/>
      <c r="E109" s="150"/>
      <c r="F109" s="150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20"/>
      <c r="T109" s="150"/>
      <c r="U109" s="150"/>
      <c r="V109" s="150"/>
      <c r="W109" s="150"/>
      <c r="X109" s="150"/>
      <c r="Y109" s="150"/>
      <c r="Z109" s="150"/>
      <c r="AA109" s="150"/>
      <c r="AB109" s="150"/>
      <c r="AC109" s="150"/>
      <c r="AD109" s="150"/>
      <c r="AE109" s="145"/>
      <c r="AF109" s="145"/>
    </row>
    <row r="110" spans="2:32" x14ac:dyDescent="0.2">
      <c r="B110" s="20" t="s">
        <v>325</v>
      </c>
      <c r="C110" s="150"/>
      <c r="D110" s="150"/>
      <c r="E110" s="150"/>
      <c r="F110" s="161"/>
      <c r="G110" s="161">
        <f t="shared" ref="G110:O110" si="266">G10-(G12+G13)</f>
        <v>22.9</v>
      </c>
      <c r="H110" s="161">
        <f t="shared" si="266"/>
        <v>18.899999999999999</v>
      </c>
      <c r="I110" s="161">
        <f t="shared" si="266"/>
        <v>12.9</v>
      </c>
      <c r="J110" s="161">
        <f t="shared" si="266"/>
        <v>7.9</v>
      </c>
      <c r="K110" s="161">
        <f t="shared" si="266"/>
        <v>3.9000000000000004</v>
      </c>
      <c r="L110" s="161">
        <f t="shared" si="266"/>
        <v>-6.1</v>
      </c>
      <c r="M110" s="161">
        <f t="shared" si="266"/>
        <v>-27.1</v>
      </c>
      <c r="N110" s="161">
        <f t="shared" si="266"/>
        <v>-25.1</v>
      </c>
      <c r="O110" s="161">
        <f t="shared" si="266"/>
        <v>-38.1</v>
      </c>
      <c r="P110" s="161">
        <f>P10-(P12+P13)</f>
        <v>-40.08</v>
      </c>
      <c r="Q110" s="161">
        <f>Q10-(Q12+Q13)</f>
        <v>-52</v>
      </c>
      <c r="R110" s="118" t="e">
        <f t="shared" si="214"/>
        <v>#NUM!</v>
      </c>
      <c r="S110" s="20"/>
      <c r="T110" s="161">
        <f>T10-(T12+T13)</f>
        <v>-58.240000000000009</v>
      </c>
      <c r="U110" s="161">
        <f t="shared" ref="U110:AC110" si="267">U10-(U12+U13)</f>
        <v>-65.228800000000021</v>
      </c>
      <c r="V110" s="161">
        <f t="shared" si="267"/>
        <v>-73.056256000000033</v>
      </c>
      <c r="W110" s="161">
        <f t="shared" si="267"/>
        <v>-81.823006720000052</v>
      </c>
      <c r="X110" s="161">
        <f t="shared" si="267"/>
        <v>-91.641767526400074</v>
      </c>
      <c r="Y110" s="161">
        <f t="shared" si="267"/>
        <v>-102.63877962956809</v>
      </c>
      <c r="Z110" s="161">
        <f t="shared" si="267"/>
        <v>-114.95543318511628</v>
      </c>
      <c r="AA110" s="161">
        <f t="shared" si="267"/>
        <v>-128.75008516733024</v>
      </c>
      <c r="AB110" s="161">
        <f t="shared" si="267"/>
        <v>-144.20009538740987</v>
      </c>
      <c r="AC110" s="161">
        <f t="shared" si="267"/>
        <v>-161.50410683389907</v>
      </c>
      <c r="AD110" s="137" t="e">
        <f t="shared" si="216"/>
        <v>#NUM!</v>
      </c>
      <c r="AE110" s="145"/>
      <c r="AF110" s="145"/>
    </row>
    <row r="111" spans="2:32" ht="12" customHeight="1" x14ac:dyDescent="0.2">
      <c r="B111" s="20" t="s">
        <v>320</v>
      </c>
      <c r="C111" s="20"/>
      <c r="D111" s="20"/>
      <c r="E111" s="20"/>
      <c r="F111" s="20"/>
      <c r="G111" s="150">
        <f t="shared" ref="G111:P111" si="268">G40/G18</f>
        <v>5.7142857142857148E-2</v>
      </c>
      <c r="H111" s="150">
        <f t="shared" si="268"/>
        <v>0.21428571428571427</v>
      </c>
      <c r="I111" s="150">
        <f t="shared" si="268"/>
        <v>0.2857142857142857</v>
      </c>
      <c r="J111" s="150">
        <f t="shared" si="268"/>
        <v>0.5</v>
      </c>
      <c r="K111" s="150">
        <f t="shared" si="268"/>
        <v>0.7857142857142857</v>
      </c>
      <c r="L111" s="150">
        <f t="shared" si="268"/>
        <v>1.3571428571428572</v>
      </c>
      <c r="M111" s="150">
        <f t="shared" si="268"/>
        <v>2.3125</v>
      </c>
      <c r="N111" s="150">
        <f t="shared" si="268"/>
        <v>1.8823529411764706</v>
      </c>
      <c r="O111" s="150">
        <f t="shared" si="268"/>
        <v>1.5</v>
      </c>
      <c r="P111" s="150">
        <f t="shared" si="268"/>
        <v>1.7</v>
      </c>
      <c r="Q111" s="150">
        <f t="shared" ref="Q111" si="269">Q40/Q18</f>
        <v>1.6521739130434783</v>
      </c>
      <c r="R111" s="118">
        <f t="shared" si="214"/>
        <v>0.40394048232570223</v>
      </c>
      <c r="S111" s="20"/>
      <c r="T111" s="150">
        <f t="shared" ref="T111:AC111" si="270">T40/T18</f>
        <v>1.6521739130434783</v>
      </c>
      <c r="U111" s="150">
        <f t="shared" si="270"/>
        <v>1.6521739130434783</v>
      </c>
      <c r="V111" s="150">
        <f t="shared" si="270"/>
        <v>1.6521739130434783</v>
      </c>
      <c r="W111" s="150">
        <f t="shared" si="270"/>
        <v>1.6521739130434783</v>
      </c>
      <c r="X111" s="150">
        <f t="shared" si="270"/>
        <v>1.6521739130434783</v>
      </c>
      <c r="Y111" s="150">
        <f t="shared" si="270"/>
        <v>1.652173913043478</v>
      </c>
      <c r="Z111" s="150">
        <f t="shared" si="270"/>
        <v>1.652173913043478</v>
      </c>
      <c r="AA111" s="150">
        <f t="shared" si="270"/>
        <v>1.6521739130434783</v>
      </c>
      <c r="AB111" s="150">
        <f t="shared" si="270"/>
        <v>1.6521739130434783</v>
      </c>
      <c r="AC111" s="150">
        <f t="shared" si="270"/>
        <v>1.6521739130434783</v>
      </c>
      <c r="AD111" s="137">
        <f t="shared" si="216"/>
        <v>0.18319054487582997</v>
      </c>
      <c r="AE111" s="20"/>
      <c r="AF111" s="20"/>
    </row>
    <row r="112" spans="2:32" x14ac:dyDescent="0.2">
      <c r="B112" s="20" t="s">
        <v>321</v>
      </c>
      <c r="C112" s="20"/>
      <c r="D112" s="20"/>
      <c r="E112" s="20"/>
      <c r="F112" s="20"/>
      <c r="G112" s="150">
        <f t="shared" ref="G112:P112" si="271">G40/G25</f>
        <v>7.7669902912621365E-3</v>
      </c>
      <c r="H112" s="150">
        <f t="shared" si="271"/>
        <v>2.4590163934426229E-2</v>
      </c>
      <c r="I112" s="150">
        <f t="shared" si="271"/>
        <v>3.007518796992481E-2</v>
      </c>
      <c r="J112" s="150">
        <f t="shared" si="271"/>
        <v>4.046242774566474E-2</v>
      </c>
      <c r="K112" s="150">
        <f t="shared" si="271"/>
        <v>5.2884615384615384E-2</v>
      </c>
      <c r="L112" s="150">
        <f t="shared" si="271"/>
        <v>7.8189300411522639E-2</v>
      </c>
      <c r="M112" s="150">
        <f t="shared" si="271"/>
        <v>0.12714776632302405</v>
      </c>
      <c r="N112" s="150">
        <f t="shared" si="271"/>
        <v>9.3567251461988299E-2</v>
      </c>
      <c r="O112" s="150">
        <f t="shared" si="271"/>
        <v>7.9365079365079361E-2</v>
      </c>
      <c r="P112" s="150">
        <f t="shared" si="271"/>
        <v>7.8341013824884786E-2</v>
      </c>
      <c r="Q112" s="150">
        <f t="shared" ref="Q112" si="272">Q40/Q25</f>
        <v>7.9664570230607967E-2</v>
      </c>
      <c r="R112" s="118">
        <f t="shared" si="214"/>
        <v>0.26000898640568848</v>
      </c>
      <c r="S112" s="20"/>
      <c r="T112" s="150">
        <f t="shared" ref="T112:AC112" si="273">T40/T25</f>
        <v>7.9664570230607967E-2</v>
      </c>
      <c r="U112" s="150">
        <f t="shared" si="273"/>
        <v>7.9664570230607967E-2</v>
      </c>
      <c r="V112" s="150">
        <f t="shared" si="273"/>
        <v>7.9664570230607967E-2</v>
      </c>
      <c r="W112" s="150">
        <f t="shared" si="273"/>
        <v>7.9664570230607981E-2</v>
      </c>
      <c r="X112" s="150">
        <f t="shared" si="273"/>
        <v>7.9664570230607981E-2</v>
      </c>
      <c r="Y112" s="150">
        <f t="shared" si="273"/>
        <v>7.9664570230607981E-2</v>
      </c>
      <c r="Z112" s="150">
        <f t="shared" si="273"/>
        <v>7.9664570230607981E-2</v>
      </c>
      <c r="AA112" s="150">
        <f t="shared" si="273"/>
        <v>7.9664570230607981E-2</v>
      </c>
      <c r="AB112" s="150">
        <f t="shared" si="273"/>
        <v>7.9664570230607981E-2</v>
      </c>
      <c r="AC112" s="150">
        <f t="shared" si="273"/>
        <v>7.9664570230607995E-2</v>
      </c>
      <c r="AD112" s="137">
        <f t="shared" si="216"/>
        <v>0.12344191405276428</v>
      </c>
      <c r="AE112" s="20"/>
      <c r="AF112" s="20"/>
    </row>
    <row r="113" spans="2:32" x14ac:dyDescent="0.2">
      <c r="B113" s="20" t="s">
        <v>347</v>
      </c>
      <c r="C113" s="20"/>
      <c r="D113" s="20"/>
      <c r="E113" s="150"/>
      <c r="F113" s="150"/>
      <c r="G113" s="150">
        <f t="shared" ref="G113:O113" si="274">G25/G18</f>
        <v>7.3571428571428568</v>
      </c>
      <c r="H113" s="150">
        <f t="shared" si="274"/>
        <v>8.7142857142857135</v>
      </c>
      <c r="I113" s="150">
        <f t="shared" si="274"/>
        <v>9.5</v>
      </c>
      <c r="J113" s="150">
        <f t="shared" si="274"/>
        <v>12.357142857142858</v>
      </c>
      <c r="K113" s="150">
        <f t="shared" si="274"/>
        <v>14.857142857142858</v>
      </c>
      <c r="L113" s="150">
        <f t="shared" si="274"/>
        <v>17.357142857142858</v>
      </c>
      <c r="M113" s="150">
        <f t="shared" si="274"/>
        <v>18.1875</v>
      </c>
      <c r="N113" s="150">
        <f t="shared" si="274"/>
        <v>20.117647058823529</v>
      </c>
      <c r="O113" s="150">
        <f t="shared" si="274"/>
        <v>18.899999999999999</v>
      </c>
      <c r="P113" s="150">
        <f>P25/P18</f>
        <v>21.7</v>
      </c>
      <c r="Q113" s="150">
        <f>Q25/Q18</f>
        <v>20.739130434782609</v>
      </c>
      <c r="R113" s="118">
        <f t="shared" si="214"/>
        <v>0.11423053126834737</v>
      </c>
      <c r="S113" s="20"/>
      <c r="T113" s="150">
        <f>T25/T18</f>
        <v>20.739130434782609</v>
      </c>
      <c r="U113" s="150">
        <f t="shared" ref="U113:AC113" si="275">U25/U18</f>
        <v>20.739130434782609</v>
      </c>
      <c r="V113" s="150">
        <f t="shared" si="275"/>
        <v>20.739130434782609</v>
      </c>
      <c r="W113" s="150">
        <f t="shared" si="275"/>
        <v>20.739130434782606</v>
      </c>
      <c r="X113" s="150">
        <f t="shared" si="275"/>
        <v>20.739130434782606</v>
      </c>
      <c r="Y113" s="150">
        <f t="shared" si="275"/>
        <v>20.739130434782606</v>
      </c>
      <c r="Z113" s="150">
        <f t="shared" si="275"/>
        <v>20.739130434782602</v>
      </c>
      <c r="AA113" s="150">
        <f t="shared" si="275"/>
        <v>20.739130434782602</v>
      </c>
      <c r="AB113" s="150">
        <f t="shared" si="275"/>
        <v>20.739130434782606</v>
      </c>
      <c r="AC113" s="150">
        <f t="shared" si="275"/>
        <v>20.739130434782602</v>
      </c>
      <c r="AD113" s="137">
        <f t="shared" si="216"/>
        <v>5.3183551437497423E-2</v>
      </c>
      <c r="AE113" s="20"/>
      <c r="AF113" s="20"/>
    </row>
    <row r="114" spans="2:32" x14ac:dyDescent="0.2">
      <c r="B114" s="20"/>
      <c r="C114" s="20"/>
      <c r="D114" s="20"/>
      <c r="E114" s="20"/>
      <c r="F114" s="20"/>
      <c r="G114" s="150"/>
      <c r="H114" s="150"/>
      <c r="I114" s="150"/>
      <c r="J114" s="150"/>
      <c r="K114" s="150"/>
      <c r="L114" s="150"/>
      <c r="M114" s="150"/>
      <c r="N114" s="150"/>
      <c r="O114" s="150"/>
      <c r="P114" s="150"/>
      <c r="Q114" s="150"/>
      <c r="R114" s="128"/>
      <c r="S114" s="20"/>
      <c r="T114" s="150"/>
      <c r="U114" s="150"/>
      <c r="V114" s="150"/>
      <c r="W114" s="150"/>
      <c r="X114" s="150"/>
      <c r="Y114" s="150"/>
      <c r="Z114" s="150"/>
      <c r="AA114" s="150"/>
      <c r="AB114" s="150"/>
      <c r="AC114" s="150"/>
      <c r="AD114" s="128"/>
      <c r="AE114" s="20"/>
      <c r="AF114" s="20"/>
    </row>
    <row r="115" spans="2:32" x14ac:dyDescent="0.2">
      <c r="B115" s="20" t="s">
        <v>333</v>
      </c>
      <c r="C115" s="20"/>
      <c r="D115" s="20"/>
      <c r="E115" s="163"/>
      <c r="F115" s="163"/>
      <c r="G115" s="163">
        <f>G73*G42</f>
        <v>0.52800000000000002</v>
      </c>
      <c r="H115" s="163">
        <f t="shared" ref="H115:P115" si="276">H73*H42</f>
        <v>1.5864000000000003</v>
      </c>
      <c r="I115" s="163">
        <f t="shared" si="276"/>
        <v>2.64</v>
      </c>
      <c r="J115" s="163">
        <f t="shared" si="276"/>
        <v>3.6960000000000002</v>
      </c>
      <c r="K115" s="163">
        <f t="shared" si="276"/>
        <v>5.28</v>
      </c>
      <c r="L115" s="163">
        <f t="shared" si="276"/>
        <v>10.56</v>
      </c>
      <c r="M115" s="163">
        <f t="shared" si="276"/>
        <v>21.152000000000001</v>
      </c>
      <c r="N115" s="163">
        <f t="shared" si="276"/>
        <v>21.152000000000001</v>
      </c>
      <c r="O115" s="163">
        <f t="shared" si="276"/>
        <v>21.152000000000001</v>
      </c>
      <c r="P115" s="163">
        <f t="shared" si="276"/>
        <v>26.44</v>
      </c>
      <c r="Q115" s="163">
        <f t="shared" ref="Q115" si="277">Q73*Q42</f>
        <v>31.728000000000002</v>
      </c>
      <c r="R115" s="118">
        <f t="shared" si="214"/>
        <v>0.47898153819789413</v>
      </c>
      <c r="S115" s="20"/>
      <c r="T115" s="163">
        <f t="shared" ref="T115:AC115" si="278">T73*T42</f>
        <v>33.980688000000008</v>
      </c>
      <c r="U115" s="163">
        <f t="shared" si="278"/>
        <v>36.393316848000012</v>
      </c>
      <c r="V115" s="163">
        <f t="shared" si="278"/>
        <v>38.977242344208015</v>
      </c>
      <c r="W115" s="163">
        <f t="shared" si="278"/>
        <v>41.744626550646792</v>
      </c>
      <c r="X115" s="163">
        <f t="shared" si="278"/>
        <v>44.708495035742715</v>
      </c>
      <c r="Y115" s="163">
        <f t="shared" si="278"/>
        <v>47.88279818328045</v>
      </c>
      <c r="Z115" s="163">
        <f t="shared" si="278"/>
        <v>51.282476854293364</v>
      </c>
      <c r="AA115" s="163">
        <f t="shared" si="278"/>
        <v>54.923532710948194</v>
      </c>
      <c r="AB115" s="163">
        <f t="shared" si="278"/>
        <v>58.82310353342551</v>
      </c>
      <c r="AC115" s="163">
        <f t="shared" si="278"/>
        <v>62.999543884298731</v>
      </c>
      <c r="AD115" s="137">
        <f t="shared" si="216"/>
        <v>0.27009198132178391</v>
      </c>
      <c r="AE115" s="20"/>
      <c r="AF115" s="20"/>
    </row>
    <row r="116" spans="2:32" x14ac:dyDescent="0.2">
      <c r="B116" s="20" t="s">
        <v>334</v>
      </c>
      <c r="C116" s="20"/>
      <c r="D116" s="20"/>
      <c r="E116" s="163"/>
      <c r="F116" s="163"/>
      <c r="G116" s="163">
        <f t="shared" ref="G116:P116" si="279">(G115*0.17)+G115</f>
        <v>0.61776000000000009</v>
      </c>
      <c r="H116" s="163">
        <f t="shared" si="279"/>
        <v>1.8560880000000002</v>
      </c>
      <c r="I116" s="163">
        <f t="shared" si="279"/>
        <v>3.0888</v>
      </c>
      <c r="J116" s="163">
        <f t="shared" si="279"/>
        <v>4.3243200000000002</v>
      </c>
      <c r="K116" s="163">
        <f t="shared" si="279"/>
        <v>6.1776</v>
      </c>
      <c r="L116" s="163">
        <f t="shared" si="279"/>
        <v>12.3552</v>
      </c>
      <c r="M116" s="163">
        <f t="shared" si="279"/>
        <v>24.74784</v>
      </c>
      <c r="N116" s="163">
        <f t="shared" si="279"/>
        <v>24.74784</v>
      </c>
      <c r="O116" s="163">
        <f t="shared" si="279"/>
        <v>24.74784</v>
      </c>
      <c r="P116" s="163">
        <f t="shared" si="279"/>
        <v>30.934800000000003</v>
      </c>
      <c r="Q116" s="163">
        <f t="shared" ref="Q116" si="280">(Q115*0.17)+Q115</f>
        <v>37.121760000000002</v>
      </c>
      <c r="R116" s="118">
        <f t="shared" si="214"/>
        <v>0.47898153819789413</v>
      </c>
      <c r="S116" s="20"/>
      <c r="T116" s="163">
        <f t="shared" ref="T116:AC116" si="281">(T115*0.17)+T115</f>
        <v>39.757404960000009</v>
      </c>
      <c r="U116" s="163">
        <f t="shared" si="281"/>
        <v>42.580180712160015</v>
      </c>
      <c r="V116" s="163">
        <f t="shared" si="281"/>
        <v>45.603373542723375</v>
      </c>
      <c r="W116" s="163">
        <f t="shared" si="281"/>
        <v>48.841213064256749</v>
      </c>
      <c r="X116" s="163">
        <f t="shared" si="281"/>
        <v>52.308939191818979</v>
      </c>
      <c r="Y116" s="163">
        <f t="shared" si="281"/>
        <v>56.022873874438126</v>
      </c>
      <c r="Z116" s="163">
        <f t="shared" si="281"/>
        <v>60.000497919523241</v>
      </c>
      <c r="AA116" s="163">
        <f t="shared" si="281"/>
        <v>64.260533271809393</v>
      </c>
      <c r="AB116" s="163">
        <f t="shared" si="281"/>
        <v>68.82303113410785</v>
      </c>
      <c r="AC116" s="163">
        <f t="shared" si="281"/>
        <v>73.709466344629519</v>
      </c>
      <c r="AD116" s="137">
        <f t="shared" si="216"/>
        <v>0.27009198132178391</v>
      </c>
      <c r="AE116" s="20"/>
      <c r="AF116" s="20"/>
    </row>
    <row r="117" spans="2:32" x14ac:dyDescent="0.2">
      <c r="B117" s="20" t="s">
        <v>335</v>
      </c>
      <c r="C117" s="20"/>
      <c r="D117" s="20"/>
      <c r="E117" s="20"/>
      <c r="F117" s="150"/>
      <c r="G117" s="150">
        <f t="shared" ref="G117:P117" si="282">G116/G40</f>
        <v>0.77220000000000011</v>
      </c>
      <c r="H117" s="150">
        <f t="shared" si="282"/>
        <v>0.61869600000000002</v>
      </c>
      <c r="I117" s="150">
        <f t="shared" si="282"/>
        <v>0.7722</v>
      </c>
      <c r="J117" s="150">
        <f t="shared" si="282"/>
        <v>0.61775999999999998</v>
      </c>
      <c r="K117" s="150">
        <f t="shared" si="282"/>
        <v>0.56159999999999999</v>
      </c>
      <c r="L117" s="150">
        <f t="shared" si="282"/>
        <v>0.65027368421052634</v>
      </c>
      <c r="M117" s="150">
        <f t="shared" si="282"/>
        <v>0.66886054054054056</v>
      </c>
      <c r="N117" s="150">
        <f t="shared" si="282"/>
        <v>0.77337</v>
      </c>
      <c r="O117" s="150">
        <f t="shared" si="282"/>
        <v>0.82492799999999999</v>
      </c>
      <c r="P117" s="150">
        <f t="shared" si="282"/>
        <v>0.90984705882352945</v>
      </c>
      <c r="Q117" s="150">
        <f t="shared" ref="Q117" si="283">Q116/Q40</f>
        <v>0.97688842105263163</v>
      </c>
      <c r="R117" s="118">
        <f t="shared" si="214"/>
        <v>1.6538566077435535E-2</v>
      </c>
      <c r="S117" s="20"/>
      <c r="T117" s="150">
        <f t="shared" ref="T117:AC117" si="284">T116/T40</f>
        <v>0.93414955263157917</v>
      </c>
      <c r="U117" s="150">
        <f t="shared" si="284"/>
        <v>0.89328050970394757</v>
      </c>
      <c r="V117" s="150">
        <f t="shared" si="284"/>
        <v>0.85419948740439966</v>
      </c>
      <c r="W117" s="150">
        <f t="shared" si="284"/>
        <v>0.81682825983045737</v>
      </c>
      <c r="X117" s="150">
        <f t="shared" si="284"/>
        <v>0.78109202346287476</v>
      </c>
      <c r="Y117" s="150">
        <f t="shared" si="284"/>
        <v>0.74691924743637406</v>
      </c>
      <c r="Z117" s="150">
        <f t="shared" si="284"/>
        <v>0.71424153036103266</v>
      </c>
      <c r="AA117" s="150">
        <f t="shared" si="284"/>
        <v>0.68299346340773748</v>
      </c>
      <c r="AB117" s="150">
        <f t="shared" si="284"/>
        <v>0.65311249938364879</v>
      </c>
      <c r="AC117" s="150">
        <f t="shared" si="284"/>
        <v>0.62453882753561418</v>
      </c>
      <c r="AD117" s="137">
        <f t="shared" si="216"/>
        <v>-1.0555400732684461E-2</v>
      </c>
      <c r="AE117" s="20"/>
      <c r="AF117" s="20"/>
    </row>
    <row r="118" spans="2:32" x14ac:dyDescent="0.2">
      <c r="B118" s="20" t="s">
        <v>328</v>
      </c>
      <c r="C118" s="20"/>
      <c r="D118" s="20"/>
      <c r="E118" s="20"/>
      <c r="F118" s="150"/>
      <c r="G118" s="150">
        <f>1-G117</f>
        <v>0.22779999999999989</v>
      </c>
      <c r="H118" s="150">
        <f t="shared" ref="H118:P118" si="285">1-H117</f>
        <v>0.38130399999999998</v>
      </c>
      <c r="I118" s="150">
        <f t="shared" si="285"/>
        <v>0.2278</v>
      </c>
      <c r="J118" s="150">
        <f t="shared" si="285"/>
        <v>0.38224000000000002</v>
      </c>
      <c r="K118" s="150">
        <f t="shared" si="285"/>
        <v>0.43840000000000001</v>
      </c>
      <c r="L118" s="150">
        <f t="shared" si="285"/>
        <v>0.34972631578947366</v>
      </c>
      <c r="M118" s="150">
        <f t="shared" si="285"/>
        <v>0.33113945945945944</v>
      </c>
      <c r="N118" s="150">
        <f t="shared" si="285"/>
        <v>0.22663</v>
      </c>
      <c r="O118" s="150">
        <f t="shared" si="285"/>
        <v>0.17507200000000001</v>
      </c>
      <c r="P118" s="150">
        <f t="shared" si="285"/>
        <v>9.0152941176470547E-2</v>
      </c>
      <c r="Q118" s="150">
        <f t="shared" ref="Q118" si="286">1-Q117</f>
        <v>2.3111578947368372E-2</v>
      </c>
      <c r="R118" s="118">
        <f t="shared" si="214"/>
        <v>-8.8529498205651036E-2</v>
      </c>
      <c r="S118" s="20"/>
      <c r="T118" s="150">
        <f t="shared" ref="T118:AC118" si="287">1-T117</f>
        <v>6.5850447368420828E-2</v>
      </c>
      <c r="U118" s="150">
        <f t="shared" si="287"/>
        <v>0.10671949029605243</v>
      </c>
      <c r="V118" s="150">
        <f t="shared" si="287"/>
        <v>0.14580051259560034</v>
      </c>
      <c r="W118" s="150">
        <f t="shared" si="287"/>
        <v>0.18317174016954263</v>
      </c>
      <c r="X118" s="150">
        <f t="shared" si="287"/>
        <v>0.21890797653712524</v>
      </c>
      <c r="Y118" s="150">
        <f t="shared" si="287"/>
        <v>0.25308075256362594</v>
      </c>
      <c r="Z118" s="150">
        <f t="shared" si="287"/>
        <v>0.28575846963896734</v>
      </c>
      <c r="AA118" s="150">
        <f t="shared" si="287"/>
        <v>0.31700653659226252</v>
      </c>
      <c r="AB118" s="150">
        <f t="shared" si="287"/>
        <v>0.34688750061635121</v>
      </c>
      <c r="AC118" s="150">
        <f t="shared" si="287"/>
        <v>0.37546117246438582</v>
      </c>
      <c r="AD118" s="137">
        <f t="shared" si="216"/>
        <v>2.5299075115285952E-2</v>
      </c>
      <c r="AE118" s="20"/>
      <c r="AF118" s="20"/>
    </row>
    <row r="119" spans="2:32" x14ac:dyDescent="0.2">
      <c r="B119" s="20" t="s">
        <v>451</v>
      </c>
      <c r="C119" s="20"/>
      <c r="D119" s="20"/>
      <c r="E119" s="20"/>
      <c r="F119" s="150"/>
      <c r="G119" s="150">
        <f t="shared" ref="G119:P119" si="288">G116/G20</f>
        <v>0.15444000000000002</v>
      </c>
      <c r="H119" s="150">
        <f t="shared" si="288"/>
        <v>0.23201100000000002</v>
      </c>
      <c r="I119" s="150">
        <f t="shared" si="288"/>
        <v>0.25740000000000002</v>
      </c>
      <c r="J119" s="150">
        <f t="shared" si="288"/>
        <v>0.39312000000000002</v>
      </c>
      <c r="K119" s="150">
        <f t="shared" si="288"/>
        <v>0.56159999999999999</v>
      </c>
      <c r="L119" s="150">
        <f t="shared" si="288"/>
        <v>0.7722</v>
      </c>
      <c r="M119" s="150">
        <f t="shared" si="288"/>
        <v>0.65125894736842105</v>
      </c>
      <c r="N119" s="150">
        <f t="shared" si="288"/>
        <v>1.0311600000000001</v>
      </c>
      <c r="O119" s="150">
        <f t="shared" si="288"/>
        <v>0.74993454545454541</v>
      </c>
      <c r="P119" s="150">
        <f t="shared" si="288"/>
        <v>1.3449913043478261</v>
      </c>
      <c r="Q119" s="150">
        <f>Q116/Q20</f>
        <v>1.1249018181818182</v>
      </c>
      <c r="R119" s="118">
        <f t="shared" si="214"/>
        <v>0.24164078114364296</v>
      </c>
      <c r="S119" s="20"/>
      <c r="T119" s="150">
        <f>T116/T20</f>
        <v>1.075687363636364</v>
      </c>
      <c r="U119" s="150">
        <f t="shared" ref="U119:AC119" si="289">U116/U20</f>
        <v>1.028626041477273</v>
      </c>
      <c r="V119" s="150">
        <f t="shared" si="289"/>
        <v>0.98362365216264214</v>
      </c>
      <c r="W119" s="150">
        <f t="shared" si="289"/>
        <v>0.94059011738052667</v>
      </c>
      <c r="X119" s="150">
        <f t="shared" si="289"/>
        <v>0.89943929974512871</v>
      </c>
      <c r="Y119" s="150">
        <f t="shared" si="289"/>
        <v>0.86008883038127915</v>
      </c>
      <c r="Z119" s="150">
        <f t="shared" si="289"/>
        <v>0.82245994405209832</v>
      </c>
      <c r="AA119" s="150">
        <f t="shared" si="289"/>
        <v>0.78647732149981897</v>
      </c>
      <c r="AB119" s="150">
        <f t="shared" si="289"/>
        <v>0.75206893868420177</v>
      </c>
      <c r="AC119" s="150">
        <f t="shared" si="289"/>
        <v>0.71916592261676804</v>
      </c>
      <c r="AD119" s="137" t="s">
        <v>452</v>
      </c>
      <c r="AE119" s="20"/>
      <c r="AF119" s="20"/>
    </row>
    <row r="120" spans="2:32" x14ac:dyDescent="0.2">
      <c r="B120" s="20"/>
      <c r="C120" s="20"/>
      <c r="D120" s="20"/>
      <c r="E120" s="20"/>
      <c r="F120" s="20"/>
      <c r="G120" s="150"/>
      <c r="H120" s="150"/>
      <c r="I120" s="150"/>
      <c r="J120" s="150"/>
      <c r="K120" s="150"/>
      <c r="L120" s="150"/>
      <c r="M120" s="150"/>
      <c r="N120" s="150"/>
      <c r="O120" s="150"/>
      <c r="P120" s="150"/>
      <c r="Q120" s="150"/>
      <c r="R120" s="128"/>
      <c r="S120" s="20"/>
      <c r="T120" s="150"/>
      <c r="U120" s="150"/>
      <c r="V120" s="150"/>
      <c r="W120" s="150"/>
      <c r="X120" s="150"/>
      <c r="Y120" s="150"/>
      <c r="Z120" s="150"/>
      <c r="AA120" s="150"/>
      <c r="AB120" s="150"/>
      <c r="AC120" s="150"/>
      <c r="AD120" s="128"/>
      <c r="AE120" s="20"/>
      <c r="AF120" s="20"/>
    </row>
    <row r="121" spans="2:32" x14ac:dyDescent="0.2">
      <c r="B121" s="20" t="s">
        <v>332</v>
      </c>
      <c r="C121" s="150"/>
      <c r="D121" s="150"/>
      <c r="E121" s="150"/>
      <c r="F121" s="150"/>
      <c r="G121" s="150">
        <f>G31/G25</f>
        <v>0</v>
      </c>
      <c r="H121" s="150">
        <f t="shared" ref="H121:P121" si="290">H31/H25</f>
        <v>0</v>
      </c>
      <c r="I121" s="150">
        <f t="shared" si="290"/>
        <v>0</v>
      </c>
      <c r="J121" s="150">
        <f t="shared" si="290"/>
        <v>0</v>
      </c>
      <c r="K121" s="150">
        <f t="shared" si="290"/>
        <v>0</v>
      </c>
      <c r="L121" s="150">
        <f t="shared" si="290"/>
        <v>0</v>
      </c>
      <c r="M121" s="150">
        <f t="shared" si="290"/>
        <v>0</v>
      </c>
      <c r="N121" s="150">
        <f t="shared" si="290"/>
        <v>0</v>
      </c>
      <c r="O121" s="150">
        <f t="shared" si="290"/>
        <v>0</v>
      </c>
      <c r="P121" s="150">
        <f t="shared" si="290"/>
        <v>0</v>
      </c>
      <c r="Q121" s="150">
        <f t="shared" ref="Q121" si="291">Q31/Q25</f>
        <v>0</v>
      </c>
      <c r="R121" s="118" t="e">
        <f t="shared" si="214"/>
        <v>#DIV/0!</v>
      </c>
      <c r="S121" s="20"/>
      <c r="T121" s="150">
        <f t="shared" ref="T121:AC121" si="292">T31/T25</f>
        <v>0</v>
      </c>
      <c r="U121" s="150">
        <f t="shared" si="292"/>
        <v>0</v>
      </c>
      <c r="V121" s="150">
        <f t="shared" si="292"/>
        <v>0</v>
      </c>
      <c r="W121" s="150">
        <f t="shared" si="292"/>
        <v>0</v>
      </c>
      <c r="X121" s="150">
        <f t="shared" si="292"/>
        <v>0</v>
      </c>
      <c r="Y121" s="150">
        <f t="shared" si="292"/>
        <v>0</v>
      </c>
      <c r="Z121" s="150">
        <f t="shared" si="292"/>
        <v>0</v>
      </c>
      <c r="AA121" s="150">
        <f t="shared" si="292"/>
        <v>0</v>
      </c>
      <c r="AB121" s="150">
        <f t="shared" si="292"/>
        <v>0</v>
      </c>
      <c r="AC121" s="150">
        <f t="shared" si="292"/>
        <v>0</v>
      </c>
      <c r="AD121" s="137" t="e">
        <f t="shared" si="216"/>
        <v>#DIV/0!</v>
      </c>
      <c r="AE121" s="20"/>
      <c r="AF121" s="20"/>
    </row>
    <row r="122" spans="2:32" x14ac:dyDescent="0.2">
      <c r="B122" s="20" t="s">
        <v>329</v>
      </c>
      <c r="C122" s="150"/>
      <c r="D122" s="150"/>
      <c r="E122" s="150"/>
      <c r="F122" s="150"/>
      <c r="G122" s="150">
        <f>G32/G25</f>
        <v>0</v>
      </c>
      <c r="H122" s="150">
        <f t="shared" ref="H122:P122" si="293">H32/H25</f>
        <v>0</v>
      </c>
      <c r="I122" s="150">
        <f t="shared" si="293"/>
        <v>0</v>
      </c>
      <c r="J122" s="150">
        <f t="shared" si="293"/>
        <v>0</v>
      </c>
      <c r="K122" s="150">
        <f t="shared" si="293"/>
        <v>0</v>
      </c>
      <c r="L122" s="150">
        <f t="shared" si="293"/>
        <v>0</v>
      </c>
      <c r="M122" s="150">
        <f t="shared" si="293"/>
        <v>0</v>
      </c>
      <c r="N122" s="150">
        <f t="shared" si="293"/>
        <v>0</v>
      </c>
      <c r="O122" s="150">
        <f t="shared" si="293"/>
        <v>0</v>
      </c>
      <c r="P122" s="150">
        <f t="shared" si="293"/>
        <v>0</v>
      </c>
      <c r="Q122" s="150">
        <f>Q32/Q25</f>
        <v>0</v>
      </c>
      <c r="R122" s="118" t="e">
        <f t="shared" si="214"/>
        <v>#DIV/0!</v>
      </c>
      <c r="S122" s="20"/>
      <c r="T122" s="150">
        <f t="shared" ref="T122:AC122" si="294">T32/T25</f>
        <v>0</v>
      </c>
      <c r="U122" s="150">
        <f t="shared" si="294"/>
        <v>0</v>
      </c>
      <c r="V122" s="150">
        <f t="shared" si="294"/>
        <v>0</v>
      </c>
      <c r="W122" s="150">
        <f t="shared" si="294"/>
        <v>0</v>
      </c>
      <c r="X122" s="150">
        <f t="shared" si="294"/>
        <v>0</v>
      </c>
      <c r="Y122" s="150">
        <f t="shared" si="294"/>
        <v>0</v>
      </c>
      <c r="Z122" s="150">
        <f t="shared" si="294"/>
        <v>0</v>
      </c>
      <c r="AA122" s="150">
        <f t="shared" si="294"/>
        <v>0</v>
      </c>
      <c r="AB122" s="150">
        <f t="shared" si="294"/>
        <v>0</v>
      </c>
      <c r="AC122" s="150">
        <f t="shared" si="294"/>
        <v>0</v>
      </c>
      <c r="AD122" s="137" t="e">
        <f t="shared" si="216"/>
        <v>#DIV/0!</v>
      </c>
      <c r="AE122" s="20"/>
      <c r="AF122" s="20"/>
    </row>
    <row r="123" spans="2:32" x14ac:dyDescent="0.2">
      <c r="B123" s="20" t="s">
        <v>459</v>
      </c>
      <c r="C123" s="150"/>
      <c r="D123" s="150"/>
      <c r="E123" s="150"/>
      <c r="F123" s="150"/>
      <c r="G123" s="150">
        <f t="shared" ref="G123:P123" si="295">(G31+G32)/G25</f>
        <v>0</v>
      </c>
      <c r="H123" s="150">
        <f t="shared" si="295"/>
        <v>0</v>
      </c>
      <c r="I123" s="150">
        <f t="shared" si="295"/>
        <v>0</v>
      </c>
      <c r="J123" s="150">
        <f t="shared" si="295"/>
        <v>0</v>
      </c>
      <c r="K123" s="150">
        <f t="shared" si="295"/>
        <v>0</v>
      </c>
      <c r="L123" s="150">
        <f t="shared" si="295"/>
        <v>0</v>
      </c>
      <c r="M123" s="150">
        <f t="shared" si="295"/>
        <v>0</v>
      </c>
      <c r="N123" s="150">
        <f t="shared" si="295"/>
        <v>0</v>
      </c>
      <c r="O123" s="150">
        <f t="shared" si="295"/>
        <v>0</v>
      </c>
      <c r="P123" s="150">
        <f t="shared" si="295"/>
        <v>0</v>
      </c>
      <c r="Q123" s="150">
        <f>(Q31+Q32)/Q25</f>
        <v>0</v>
      </c>
      <c r="R123" s="118" t="e">
        <f t="shared" si="214"/>
        <v>#DIV/0!</v>
      </c>
      <c r="S123" s="20"/>
      <c r="T123" s="150">
        <f>(T31+T32)/T25</f>
        <v>0</v>
      </c>
      <c r="U123" s="150">
        <f t="shared" ref="U123:AC123" si="296">(U31+U32)/U25</f>
        <v>0</v>
      </c>
      <c r="V123" s="150">
        <f t="shared" si="296"/>
        <v>0</v>
      </c>
      <c r="W123" s="150">
        <f t="shared" si="296"/>
        <v>0</v>
      </c>
      <c r="X123" s="150">
        <f t="shared" si="296"/>
        <v>0</v>
      </c>
      <c r="Y123" s="150">
        <f t="shared" si="296"/>
        <v>0</v>
      </c>
      <c r="Z123" s="150">
        <f t="shared" si="296"/>
        <v>0</v>
      </c>
      <c r="AA123" s="150">
        <f t="shared" si="296"/>
        <v>0</v>
      </c>
      <c r="AB123" s="150">
        <f t="shared" si="296"/>
        <v>0</v>
      </c>
      <c r="AC123" s="150">
        <f t="shared" si="296"/>
        <v>0</v>
      </c>
      <c r="AD123" s="137" t="e">
        <f t="shared" si="216"/>
        <v>#DIV/0!</v>
      </c>
      <c r="AE123" s="20"/>
      <c r="AF123" s="20"/>
    </row>
    <row r="124" spans="2:32" x14ac:dyDescent="0.2">
      <c r="B124" s="20"/>
      <c r="C124" s="20"/>
      <c r="D124" s="20"/>
      <c r="E124" s="20"/>
      <c r="F124" s="20"/>
      <c r="G124" s="150"/>
      <c r="H124" s="150"/>
      <c r="I124" s="150"/>
      <c r="J124" s="150"/>
      <c r="K124" s="150"/>
      <c r="L124" s="150"/>
      <c r="M124" s="150"/>
      <c r="N124" s="150"/>
      <c r="O124" s="150"/>
      <c r="P124" s="150"/>
      <c r="Q124" s="150"/>
      <c r="R124" s="128"/>
      <c r="S124" s="20"/>
      <c r="T124" s="150"/>
      <c r="U124" s="150"/>
      <c r="V124" s="150"/>
      <c r="W124" s="150"/>
      <c r="X124" s="150"/>
      <c r="Y124" s="150"/>
      <c r="Z124" s="150"/>
      <c r="AA124" s="150"/>
      <c r="AB124" s="150"/>
      <c r="AC124" s="150"/>
      <c r="AD124" s="128"/>
      <c r="AE124" s="20"/>
      <c r="AF124" s="20"/>
    </row>
    <row r="125" spans="2:32" x14ac:dyDescent="0.2">
      <c r="B125" s="20" t="s">
        <v>353</v>
      </c>
      <c r="C125" s="20"/>
      <c r="D125" s="20"/>
      <c r="E125" s="20"/>
      <c r="F125" s="20"/>
      <c r="G125" s="150">
        <f>G27/G25</f>
        <v>0.94174757281553401</v>
      </c>
      <c r="H125" s="150">
        <f t="shared" ref="H125:P125" si="297">H27/H25</f>
        <v>0.94262295081967218</v>
      </c>
      <c r="I125" s="150">
        <f t="shared" si="297"/>
        <v>0.93233082706766912</v>
      </c>
      <c r="J125" s="150">
        <f t="shared" si="297"/>
        <v>0.91907514450867056</v>
      </c>
      <c r="K125" s="150">
        <f t="shared" si="297"/>
        <v>0.89903846153846156</v>
      </c>
      <c r="L125" s="150">
        <f t="shared" si="297"/>
        <v>0.86419753086419748</v>
      </c>
      <c r="M125" s="150">
        <f t="shared" si="297"/>
        <v>0.79381443298969068</v>
      </c>
      <c r="N125" s="150">
        <f t="shared" si="297"/>
        <v>0.84795321637426901</v>
      </c>
      <c r="O125" s="150">
        <f t="shared" si="297"/>
        <v>0.86772486772486768</v>
      </c>
      <c r="P125" s="150">
        <f t="shared" si="297"/>
        <v>0.87096774193548387</v>
      </c>
      <c r="Q125" s="150">
        <f t="shared" ref="Q125" si="298">Q27/Q25</f>
        <v>0.86582809224318658</v>
      </c>
      <c r="R125" s="118">
        <f t="shared" si="214"/>
        <v>-7.7827889116643956E-3</v>
      </c>
      <c r="S125" s="20"/>
      <c r="T125" s="150">
        <f t="shared" ref="T125:AC125" si="299">T27/T25</f>
        <v>0.86582809224318669</v>
      </c>
      <c r="U125" s="150">
        <f t="shared" si="299"/>
        <v>0.86582809224318658</v>
      </c>
      <c r="V125" s="150">
        <f t="shared" si="299"/>
        <v>0.86582809224318658</v>
      </c>
      <c r="W125" s="150">
        <f t="shared" si="299"/>
        <v>0.86582809224318669</v>
      </c>
      <c r="X125" s="150">
        <f t="shared" si="299"/>
        <v>0.86582809224318669</v>
      </c>
      <c r="Y125" s="150">
        <f t="shared" si="299"/>
        <v>0.86582809224318669</v>
      </c>
      <c r="Z125" s="150">
        <f t="shared" si="299"/>
        <v>0.8658280922431868</v>
      </c>
      <c r="AA125" s="150">
        <f t="shared" si="299"/>
        <v>0.86582809224318669</v>
      </c>
      <c r="AB125" s="150">
        <f t="shared" si="299"/>
        <v>0.86582809224318669</v>
      </c>
      <c r="AC125" s="150">
        <f t="shared" si="299"/>
        <v>0.86582809224318669</v>
      </c>
      <c r="AD125" s="137">
        <f t="shared" si="216"/>
        <v>-4.1937260777629159E-3</v>
      </c>
      <c r="AE125" s="20"/>
      <c r="AF125" s="20"/>
    </row>
    <row r="126" spans="2:32" x14ac:dyDescent="0.2">
      <c r="B126" s="20" t="str">
        <f>B33</f>
        <v>Top Expenses ( Raw material )</v>
      </c>
      <c r="C126" s="20"/>
      <c r="D126" s="20"/>
      <c r="E126" s="20"/>
      <c r="F126" s="20"/>
      <c r="G126" s="150">
        <f>G33/G25</f>
        <v>0.40776699029126212</v>
      </c>
      <c r="H126" s="150">
        <f t="shared" ref="H126:P126" si="300">H33/H25</f>
        <v>0.44262295081967212</v>
      </c>
      <c r="I126" s="150">
        <f t="shared" si="300"/>
        <v>0.42857142857142855</v>
      </c>
      <c r="J126" s="150">
        <f t="shared" si="300"/>
        <v>0.47976878612716761</v>
      </c>
      <c r="K126" s="150">
        <f t="shared" si="300"/>
        <v>0.47115384615384615</v>
      </c>
      <c r="L126" s="150">
        <f t="shared" si="300"/>
        <v>0.44032921810699588</v>
      </c>
      <c r="M126" s="150">
        <f t="shared" si="300"/>
        <v>0.37800687285223367</v>
      </c>
      <c r="N126" s="150">
        <f t="shared" si="300"/>
        <v>0.42105263157894735</v>
      </c>
      <c r="O126" s="150">
        <f t="shared" si="300"/>
        <v>0.44444444444444442</v>
      </c>
      <c r="P126" s="150">
        <f t="shared" si="300"/>
        <v>0.5</v>
      </c>
      <c r="Q126" s="150">
        <f t="shared" ref="Q126" si="301">Q33/Q25</f>
        <v>0.43396226415094341</v>
      </c>
      <c r="R126" s="118">
        <f t="shared" si="214"/>
        <v>2.0600540194433581E-2</v>
      </c>
      <c r="S126" s="20"/>
      <c r="T126" s="150">
        <f t="shared" ref="T126:AC126" si="302">T33/T25</f>
        <v>0.43396226415094347</v>
      </c>
      <c r="U126" s="150">
        <f t="shared" si="302"/>
        <v>0.43396226415094341</v>
      </c>
      <c r="V126" s="150">
        <f t="shared" si="302"/>
        <v>0.43396226415094347</v>
      </c>
      <c r="W126" s="150">
        <f t="shared" si="302"/>
        <v>0.43396226415094347</v>
      </c>
      <c r="X126" s="150">
        <f t="shared" si="302"/>
        <v>0.43396226415094347</v>
      </c>
      <c r="Y126" s="150">
        <f t="shared" si="302"/>
        <v>0.43396226415094347</v>
      </c>
      <c r="Z126" s="150">
        <f t="shared" si="302"/>
        <v>0.43396226415094352</v>
      </c>
      <c r="AA126" s="150">
        <f t="shared" si="302"/>
        <v>0.43396226415094352</v>
      </c>
      <c r="AB126" s="150">
        <f t="shared" si="302"/>
        <v>0.43396226415094352</v>
      </c>
      <c r="AC126" s="150">
        <f t="shared" si="302"/>
        <v>0.43396226415094352</v>
      </c>
      <c r="AD126" s="137">
        <f t="shared" si="216"/>
        <v>3.1179342931804133E-3</v>
      </c>
      <c r="AE126" s="20"/>
      <c r="AF126" s="20"/>
    </row>
    <row r="127" spans="2:32" x14ac:dyDescent="0.2">
      <c r="B127" s="20" t="str">
        <f>B34</f>
        <v>2nd highest Expenses Comp. ( Empl )</v>
      </c>
      <c r="C127" s="20"/>
      <c r="D127" s="20"/>
      <c r="E127" s="20"/>
      <c r="F127" s="20"/>
      <c r="G127" s="150">
        <f>G34/G25</f>
        <v>0.20388349514563106</v>
      </c>
      <c r="H127" s="150">
        <f t="shared" ref="H127:P127" si="303">H34/H25</f>
        <v>0.1721311475409836</v>
      </c>
      <c r="I127" s="150">
        <f t="shared" si="303"/>
        <v>0.18045112781954886</v>
      </c>
      <c r="J127" s="150">
        <f t="shared" si="303"/>
        <v>0.14450867052023122</v>
      </c>
      <c r="K127" s="150">
        <f t="shared" si="303"/>
        <v>0.13461538461538461</v>
      </c>
      <c r="L127" s="150">
        <f t="shared" si="303"/>
        <v>0.12757201646090535</v>
      </c>
      <c r="M127" s="150">
        <f t="shared" si="303"/>
        <v>0.11683848797250859</v>
      </c>
      <c r="N127" s="150">
        <f t="shared" si="303"/>
        <v>0.1111111111111111</v>
      </c>
      <c r="O127" s="150">
        <f t="shared" si="303"/>
        <v>0.11904761904761904</v>
      </c>
      <c r="P127" s="150">
        <f t="shared" si="303"/>
        <v>0.11059907834101383</v>
      </c>
      <c r="Q127" s="150">
        <f t="shared" ref="Q127" si="304">Q34/Q25</f>
        <v>0.11949685534591195</v>
      </c>
      <c r="R127" s="118">
        <f t="shared" si="214"/>
        <v>-5.9330757813769064E-2</v>
      </c>
      <c r="S127" s="20"/>
      <c r="T127" s="150">
        <f t="shared" ref="T127:AC127" si="305">T34/T25</f>
        <v>0.11949685534591195</v>
      </c>
      <c r="U127" s="150">
        <f t="shared" si="305"/>
        <v>0.11949685534591195</v>
      </c>
      <c r="V127" s="150">
        <f t="shared" si="305"/>
        <v>0.11949685534591196</v>
      </c>
      <c r="W127" s="150">
        <f t="shared" si="305"/>
        <v>0.11949685534591198</v>
      </c>
      <c r="X127" s="150">
        <f t="shared" si="305"/>
        <v>0.11949685534591198</v>
      </c>
      <c r="Y127" s="150">
        <f t="shared" si="305"/>
        <v>0.11949685534591198</v>
      </c>
      <c r="Z127" s="150">
        <f t="shared" si="305"/>
        <v>0.11949685534591198</v>
      </c>
      <c r="AA127" s="150">
        <f t="shared" si="305"/>
        <v>0.11949685534591196</v>
      </c>
      <c r="AB127" s="150">
        <f t="shared" si="305"/>
        <v>0.11949685534591196</v>
      </c>
      <c r="AC127" s="150">
        <f t="shared" si="305"/>
        <v>0.11949685534591198</v>
      </c>
      <c r="AD127" s="137">
        <f t="shared" si="216"/>
        <v>-2.6359299085031207E-2</v>
      </c>
      <c r="AE127" s="20"/>
      <c r="AF127" s="20"/>
    </row>
    <row r="128" spans="2:32" x14ac:dyDescent="0.2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128"/>
      <c r="S128" s="128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38"/>
      <c r="AE128" s="20"/>
      <c r="AF128" s="20"/>
    </row>
    <row r="129" spans="2:32" x14ac:dyDescent="0.2">
      <c r="B129" s="108" t="s">
        <v>361</v>
      </c>
      <c r="C129" s="20"/>
      <c r="D129" s="20"/>
      <c r="E129" s="20"/>
      <c r="F129" s="20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118"/>
      <c r="S129" s="128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137"/>
      <c r="AE129" s="20"/>
      <c r="AF129" s="20"/>
    </row>
    <row r="130" spans="2:32" x14ac:dyDescent="0.2">
      <c r="B130" s="20" t="s">
        <v>364</v>
      </c>
      <c r="C130" s="20"/>
      <c r="D130" s="20"/>
      <c r="E130" s="20"/>
      <c r="F130" s="20"/>
      <c r="G130" s="25">
        <f>G15/G9</f>
        <v>1.7272727272727273</v>
      </c>
      <c r="H130" s="25">
        <f t="shared" ref="H130:AC130" si="306">H15/H9</f>
        <v>1.6956521739130435</v>
      </c>
      <c r="I130" s="25">
        <f t="shared" si="306"/>
        <v>1.6363636363636365</v>
      </c>
      <c r="J130" s="25">
        <f t="shared" si="306"/>
        <v>1.5</v>
      </c>
      <c r="K130" s="25">
        <f t="shared" si="306"/>
        <v>1.4166666666666667</v>
      </c>
      <c r="L130" s="25">
        <f t="shared" si="306"/>
        <v>1.4594594594594594</v>
      </c>
      <c r="M130" s="25">
        <f t="shared" si="306"/>
        <v>1.4090909090909092</v>
      </c>
      <c r="N130" s="25">
        <f t="shared" si="306"/>
        <v>1.4035087719298245</v>
      </c>
      <c r="O130" s="25">
        <f t="shared" si="306"/>
        <v>1.208955223880597</v>
      </c>
      <c r="P130" s="25">
        <f t="shared" si="306"/>
        <v>2</v>
      </c>
      <c r="Q130" s="25">
        <f t="shared" ref="Q130" si="307">Q15/Q9</f>
        <v>1.7191011235955056</v>
      </c>
      <c r="R130" s="118">
        <f t="shared" si="214"/>
        <v>1.4768337390565822E-2</v>
      </c>
      <c r="S130" s="20"/>
      <c r="T130" s="20">
        <f t="shared" si="306"/>
        <v>1.7191011235955056</v>
      </c>
      <c r="U130" s="20">
        <f t="shared" si="306"/>
        <v>1.7191011235955056</v>
      </c>
      <c r="V130" s="20">
        <f t="shared" si="306"/>
        <v>1.7191011235955056</v>
      </c>
      <c r="W130" s="20">
        <f t="shared" si="306"/>
        <v>1.7191011235955056</v>
      </c>
      <c r="X130" s="20">
        <f t="shared" si="306"/>
        <v>1.7191011235955054</v>
      </c>
      <c r="Y130" s="20">
        <f t="shared" si="306"/>
        <v>1.7191011235955052</v>
      </c>
      <c r="Z130" s="20">
        <f t="shared" si="306"/>
        <v>1.7191011235955049</v>
      </c>
      <c r="AA130" s="20">
        <f t="shared" si="306"/>
        <v>1.7191011235955049</v>
      </c>
      <c r="AB130" s="20">
        <f t="shared" si="306"/>
        <v>1.7191011235955049</v>
      </c>
      <c r="AC130" s="20">
        <f t="shared" si="306"/>
        <v>1.7191011235955049</v>
      </c>
      <c r="AD130" s="137">
        <f t="shared" si="216"/>
        <v>-2.3707962757124612E-4</v>
      </c>
      <c r="AE130" s="20"/>
      <c r="AF130" s="20"/>
    </row>
    <row r="131" spans="2:32" x14ac:dyDescent="0.2">
      <c r="B131" s="20" t="s">
        <v>354</v>
      </c>
      <c r="C131" s="20"/>
      <c r="D131" s="20"/>
      <c r="E131" s="20"/>
      <c r="F131" s="20"/>
      <c r="G131" s="25">
        <f>G12/G9</f>
        <v>9.0909090909090912E-2</v>
      </c>
      <c r="H131" s="25">
        <f t="shared" ref="H131:P131" si="308">H12/H9</f>
        <v>8.6956521739130432E-2</v>
      </c>
      <c r="I131" s="25">
        <f t="shared" si="308"/>
        <v>9.0909090909090912E-2</v>
      </c>
      <c r="J131" s="25">
        <f t="shared" si="308"/>
        <v>0.1</v>
      </c>
      <c r="K131" s="25">
        <f t="shared" si="308"/>
        <v>0.1111111111111111</v>
      </c>
      <c r="L131" s="25">
        <f t="shared" si="308"/>
        <v>0.40540540540540543</v>
      </c>
      <c r="M131" s="25">
        <f t="shared" si="308"/>
        <v>0.88636363636363635</v>
      </c>
      <c r="N131" s="25">
        <f t="shared" si="308"/>
        <v>0.78947368421052633</v>
      </c>
      <c r="O131" s="25">
        <f t="shared" si="308"/>
        <v>0.74626865671641796</v>
      </c>
      <c r="P131" s="25">
        <f t="shared" si="308"/>
        <v>0.72857142857142854</v>
      </c>
      <c r="Q131" s="25">
        <f t="shared" ref="Q131" si="309">Q12/Q9</f>
        <v>0.5842696629213483</v>
      </c>
      <c r="R131" s="118">
        <f t="shared" si="214"/>
        <v>0.2313640840981821</v>
      </c>
      <c r="S131" s="128"/>
      <c r="T131" s="20">
        <f t="shared" ref="T131:AC131" si="310">T12/T9</f>
        <v>0.58426966292134841</v>
      </c>
      <c r="U131" s="20">
        <f t="shared" si="310"/>
        <v>0.58426966292134841</v>
      </c>
      <c r="V131" s="20">
        <f t="shared" si="310"/>
        <v>0.58426966292134841</v>
      </c>
      <c r="W131" s="20">
        <f t="shared" si="310"/>
        <v>0.58426966292134852</v>
      </c>
      <c r="X131" s="20">
        <f t="shared" si="310"/>
        <v>0.58426966292134852</v>
      </c>
      <c r="Y131" s="20">
        <f t="shared" si="310"/>
        <v>0.58426966292134852</v>
      </c>
      <c r="Z131" s="20">
        <f t="shared" si="310"/>
        <v>0.58426966292134852</v>
      </c>
      <c r="AA131" s="20">
        <f t="shared" si="310"/>
        <v>0.58426966292134841</v>
      </c>
      <c r="AB131" s="20">
        <f t="shared" si="310"/>
        <v>0.58426966292134841</v>
      </c>
      <c r="AC131" s="20">
        <f t="shared" si="310"/>
        <v>0.58426966292134841</v>
      </c>
      <c r="AD131" s="118">
        <f t="shared" ref="AD131" si="311">((AC131/T131)^(1/($H$2-$H$1) ))-1</f>
        <v>0</v>
      </c>
      <c r="AE131" s="20"/>
      <c r="AF131" s="20"/>
    </row>
    <row r="132" spans="2:32" x14ac:dyDescent="0.2">
      <c r="B132" s="20" t="s">
        <v>356</v>
      </c>
      <c r="C132" s="20"/>
      <c r="D132" s="20"/>
      <c r="E132" s="20"/>
      <c r="F132" s="20"/>
      <c r="G132" s="25">
        <f>G25/360</f>
        <v>0.28611111111111109</v>
      </c>
      <c r="H132" s="25">
        <f t="shared" ref="H132:P132" si="312">H25/360</f>
        <v>0.33888888888888891</v>
      </c>
      <c r="I132" s="25">
        <f t="shared" si="312"/>
        <v>0.36944444444444446</v>
      </c>
      <c r="J132" s="25">
        <f t="shared" si="312"/>
        <v>0.48055555555555557</v>
      </c>
      <c r="K132" s="25">
        <f t="shared" si="312"/>
        <v>0.57777777777777772</v>
      </c>
      <c r="L132" s="25">
        <f t="shared" si="312"/>
        <v>0.67500000000000004</v>
      </c>
      <c r="M132" s="25">
        <f t="shared" si="312"/>
        <v>0.80833333333333335</v>
      </c>
      <c r="N132" s="25">
        <f t="shared" si="312"/>
        <v>0.95</v>
      </c>
      <c r="O132" s="25">
        <f t="shared" si="312"/>
        <v>1.05</v>
      </c>
      <c r="P132" s="25">
        <f t="shared" si="312"/>
        <v>1.2055555555555555</v>
      </c>
      <c r="Q132" s="25">
        <f t="shared" ref="Q132" si="313">Q25/360</f>
        <v>1.325</v>
      </c>
      <c r="R132" s="118">
        <f t="shared" si="214"/>
        <v>0.1546895899777132</v>
      </c>
      <c r="S132" s="128"/>
      <c r="T132" s="25">
        <f t="shared" ref="T132:AC132" si="314">T25/360</f>
        <v>1.484</v>
      </c>
      <c r="U132" s="25">
        <f t="shared" si="314"/>
        <v>1.6620800000000002</v>
      </c>
      <c r="V132" s="25">
        <f t="shared" si="314"/>
        <v>1.8615296000000003</v>
      </c>
      <c r="W132" s="25">
        <f t="shared" si="314"/>
        <v>2.0849131520000004</v>
      </c>
      <c r="X132" s="25">
        <f t="shared" si="314"/>
        <v>2.3351027302400005</v>
      </c>
      <c r="Y132" s="25">
        <f t="shared" si="314"/>
        <v>2.6153150578688011</v>
      </c>
      <c r="Z132" s="25">
        <f t="shared" si="314"/>
        <v>2.9291528648130574</v>
      </c>
      <c r="AA132" s="25">
        <f t="shared" si="314"/>
        <v>3.2806512085906245</v>
      </c>
      <c r="AB132" s="25">
        <f t="shared" si="314"/>
        <v>3.6743293536214998</v>
      </c>
      <c r="AC132" s="25">
        <f t="shared" si="314"/>
        <v>4.1152488760560804</v>
      </c>
      <c r="AD132" s="118">
        <f t="shared" ref="AD132:AD143" si="315">((AC132/T132)^(1/($H$2-$H$1) ))-1</f>
        <v>0.10737883930484204</v>
      </c>
      <c r="AE132" s="20"/>
      <c r="AF132" s="20"/>
    </row>
    <row r="133" spans="2:32" x14ac:dyDescent="0.2">
      <c r="B133" s="20" t="s">
        <v>355</v>
      </c>
      <c r="C133" s="20"/>
      <c r="D133" s="20"/>
      <c r="E133" s="20"/>
      <c r="F133" s="20"/>
      <c r="G133" s="25">
        <f>G27/360</f>
        <v>0.26944444444444443</v>
      </c>
      <c r="H133" s="25">
        <f t="shared" ref="H133:P133" si="316">H27/360</f>
        <v>0.31944444444444442</v>
      </c>
      <c r="I133" s="25">
        <f t="shared" si="316"/>
        <v>0.34444444444444444</v>
      </c>
      <c r="J133" s="25">
        <f t="shared" si="316"/>
        <v>0.44166666666666665</v>
      </c>
      <c r="K133" s="25">
        <f t="shared" si="316"/>
        <v>0.51944444444444449</v>
      </c>
      <c r="L133" s="25">
        <f t="shared" si="316"/>
        <v>0.58333333333333337</v>
      </c>
      <c r="M133" s="25">
        <f t="shared" si="316"/>
        <v>0.64166666666666672</v>
      </c>
      <c r="N133" s="25">
        <f t="shared" si="316"/>
        <v>0.80555555555555558</v>
      </c>
      <c r="O133" s="25">
        <f t="shared" si="316"/>
        <v>0.91111111111111109</v>
      </c>
      <c r="P133" s="25">
        <f t="shared" si="316"/>
        <v>1.05</v>
      </c>
      <c r="Q133" s="25">
        <f t="shared" ref="Q133" si="317">Q27/360</f>
        <v>1.1472222222222221</v>
      </c>
      <c r="R133" s="118">
        <f t="shared" si="214"/>
        <v>0.14570288464042047</v>
      </c>
      <c r="S133" s="128"/>
      <c r="T133" s="25">
        <f t="shared" ref="T133:AC133" si="318">T27/360</f>
        <v>1.284888888888889</v>
      </c>
      <c r="U133" s="25">
        <f t="shared" si="318"/>
        <v>1.4390755555555557</v>
      </c>
      <c r="V133" s="25">
        <f t="shared" si="318"/>
        <v>1.6117646222222226</v>
      </c>
      <c r="W133" s="25">
        <f t="shared" si="318"/>
        <v>1.8051763768888895</v>
      </c>
      <c r="X133" s="25">
        <f t="shared" si="318"/>
        <v>2.0217975421155563</v>
      </c>
      <c r="Y133" s="25">
        <f t="shared" si="318"/>
        <v>2.2644132471694234</v>
      </c>
      <c r="Z133" s="25">
        <f t="shared" si="318"/>
        <v>2.5361428368297543</v>
      </c>
      <c r="AA133" s="25">
        <f t="shared" si="318"/>
        <v>2.8404799772493252</v>
      </c>
      <c r="AB133" s="25">
        <f t="shared" si="318"/>
        <v>3.1813375745192447</v>
      </c>
      <c r="AC133" s="25">
        <f t="shared" si="318"/>
        <v>3.5630980834615538</v>
      </c>
      <c r="AD133" s="118">
        <f t="shared" si="315"/>
        <v>0.10737883930484204</v>
      </c>
      <c r="AE133" s="20"/>
      <c r="AF133" s="20"/>
    </row>
    <row r="134" spans="2:32" x14ac:dyDescent="0.2">
      <c r="B134" s="20"/>
      <c r="C134" s="20"/>
      <c r="D134" s="20"/>
      <c r="E134" s="20"/>
      <c r="F134" s="20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128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128"/>
      <c r="AE134" s="20"/>
      <c r="AF134" s="20"/>
    </row>
    <row r="135" spans="2:32" x14ac:dyDescent="0.2">
      <c r="B135" s="20" t="s">
        <v>365</v>
      </c>
      <c r="C135" s="20"/>
      <c r="D135" s="20"/>
      <c r="E135" s="20"/>
      <c r="F135" s="20"/>
      <c r="G135" s="25">
        <f>G10/G7</f>
        <v>2.2727272727272729</v>
      </c>
      <c r="H135" s="25">
        <f t="shared" ref="H135:P135" si="319">H10/H7</f>
        <v>1.75</v>
      </c>
      <c r="I135" s="25">
        <f t="shared" si="319"/>
        <v>1.0714285714285714</v>
      </c>
      <c r="J135" s="25">
        <f t="shared" si="319"/>
        <v>0.6470588235294118</v>
      </c>
      <c r="K135" s="25">
        <f t="shared" si="319"/>
        <v>0.4</v>
      </c>
      <c r="L135" s="25">
        <f t="shared" si="319"/>
        <v>0.33333333333333331</v>
      </c>
      <c r="M135" s="25">
        <f t="shared" si="319"/>
        <v>0.30769230769230771</v>
      </c>
      <c r="N135" s="25">
        <f t="shared" si="319"/>
        <v>0.43478260869565216</v>
      </c>
      <c r="O135" s="25">
        <f t="shared" si="319"/>
        <v>0.23076923076923078</v>
      </c>
      <c r="P135" s="25">
        <f t="shared" si="319"/>
        <v>0.2</v>
      </c>
      <c r="Q135" s="25">
        <f t="shared" ref="Q135" si="320">Q10/Q7</f>
        <v>1.7857142857142857E-4</v>
      </c>
      <c r="R135" s="118">
        <f t="shared" si="214"/>
        <v>-0.21576130452077003</v>
      </c>
      <c r="S135" s="128"/>
      <c r="T135" s="25">
        <f t="shared" ref="T135:AC135" si="321">T10/T7</f>
        <v>1.7857142857142857E-4</v>
      </c>
      <c r="U135" s="25">
        <f t="shared" si="321"/>
        <v>1.785714285714286E-4</v>
      </c>
      <c r="V135" s="25">
        <f t="shared" si="321"/>
        <v>1.785714285714286E-4</v>
      </c>
      <c r="W135" s="25">
        <f t="shared" si="321"/>
        <v>1.785714285714286E-4</v>
      </c>
      <c r="X135" s="25">
        <f t="shared" si="321"/>
        <v>1.7857142857142863E-4</v>
      </c>
      <c r="Y135" s="25">
        <f t="shared" si="321"/>
        <v>1.7857142857142863E-4</v>
      </c>
      <c r="Z135" s="25">
        <f t="shared" si="321"/>
        <v>1.7857142857142863E-4</v>
      </c>
      <c r="AA135" s="25">
        <f t="shared" si="321"/>
        <v>1.7857142857142863E-4</v>
      </c>
      <c r="AB135" s="25">
        <f t="shared" si="321"/>
        <v>1.7857142857142863E-4</v>
      </c>
      <c r="AC135" s="25">
        <f t="shared" si="321"/>
        <v>1.7857142857142863E-4</v>
      </c>
      <c r="AD135" s="118">
        <f t="shared" si="315"/>
        <v>0</v>
      </c>
      <c r="AE135" s="20"/>
      <c r="AF135" s="20"/>
    </row>
    <row r="136" spans="2:32" x14ac:dyDescent="0.2">
      <c r="B136" s="20" t="s">
        <v>357</v>
      </c>
      <c r="C136" s="20"/>
      <c r="D136" s="20"/>
      <c r="E136" s="20"/>
      <c r="F136" s="20"/>
      <c r="G136" s="25">
        <f>G10/(G10+G7)</f>
        <v>0.69444444444444442</v>
      </c>
      <c r="H136" s="25">
        <f t="shared" ref="H136:P136" si="322">H10/(H10+H7)</f>
        <v>0.63636363636363635</v>
      </c>
      <c r="I136" s="25">
        <f t="shared" si="322"/>
        <v>0.51724137931034486</v>
      </c>
      <c r="J136" s="25">
        <f t="shared" si="322"/>
        <v>0.39285714285714285</v>
      </c>
      <c r="K136" s="25">
        <f t="shared" si="322"/>
        <v>0.2857142857142857</v>
      </c>
      <c r="L136" s="25">
        <f t="shared" si="322"/>
        <v>0.25</v>
      </c>
      <c r="M136" s="25">
        <f t="shared" si="322"/>
        <v>0.23529411764705882</v>
      </c>
      <c r="N136" s="25">
        <f t="shared" si="322"/>
        <v>0.30303030303030304</v>
      </c>
      <c r="O136" s="25">
        <f t="shared" si="322"/>
        <v>0.1875</v>
      </c>
      <c r="P136" s="25">
        <f t="shared" si="322"/>
        <v>0.16666666666666666</v>
      </c>
      <c r="Q136" s="25">
        <f t="shared" ref="Q136" si="323">Q10/(Q10+Q7)</f>
        <v>1.7853954650955188E-4</v>
      </c>
      <c r="R136" s="118">
        <f t="shared" si="214"/>
        <v>-0.13299595401577702</v>
      </c>
      <c r="S136" s="128"/>
      <c r="T136" s="25">
        <f t="shared" ref="T136:AC136" si="324">T10/(T10+T7)</f>
        <v>1.7853954650955188E-4</v>
      </c>
      <c r="U136" s="25">
        <f t="shared" si="324"/>
        <v>1.7853954650955188E-4</v>
      </c>
      <c r="V136" s="25">
        <f t="shared" si="324"/>
        <v>1.7853954650955191E-4</v>
      </c>
      <c r="W136" s="25">
        <f t="shared" si="324"/>
        <v>1.7853954650955191E-4</v>
      </c>
      <c r="X136" s="25">
        <f t="shared" si="324"/>
        <v>1.7853954650955193E-4</v>
      </c>
      <c r="Y136" s="25">
        <f t="shared" si="324"/>
        <v>1.7853954650955191E-4</v>
      </c>
      <c r="Z136" s="25">
        <f t="shared" si="324"/>
        <v>1.7853954650955191E-4</v>
      </c>
      <c r="AA136" s="25">
        <f t="shared" si="324"/>
        <v>1.7853954650955193E-4</v>
      </c>
      <c r="AB136" s="25">
        <f t="shared" si="324"/>
        <v>1.7853954650955191E-4</v>
      </c>
      <c r="AC136" s="25">
        <f t="shared" si="324"/>
        <v>1.7853954650955193E-4</v>
      </c>
      <c r="AD136" s="118">
        <f t="shared" si="315"/>
        <v>0</v>
      </c>
      <c r="AE136" s="20"/>
      <c r="AF136" s="20"/>
    </row>
    <row r="137" spans="2:32" x14ac:dyDescent="0.2">
      <c r="B137" s="20"/>
      <c r="C137" s="20"/>
      <c r="D137" s="20"/>
      <c r="E137" s="20"/>
      <c r="F137" s="20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128"/>
      <c r="S137" s="128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136"/>
      <c r="AE137" s="20"/>
      <c r="AF137" s="20"/>
    </row>
    <row r="138" spans="2:32" x14ac:dyDescent="0.2">
      <c r="B138" s="20" t="s">
        <v>362</v>
      </c>
      <c r="C138" s="20"/>
      <c r="D138" s="20"/>
      <c r="E138" s="20"/>
      <c r="F138" s="20"/>
      <c r="G138" s="25">
        <f>G16</f>
        <v>21</v>
      </c>
      <c r="H138" s="25">
        <f t="shared" ref="H138:P138" si="325">H16</f>
        <v>19</v>
      </c>
      <c r="I138" s="25">
        <f t="shared" si="325"/>
        <v>14</v>
      </c>
      <c r="J138" s="25">
        <f t="shared" si="325"/>
        <v>13</v>
      </c>
      <c r="K138" s="25">
        <f t="shared" si="325"/>
        <v>13</v>
      </c>
      <c r="L138" s="25">
        <f t="shared" si="325"/>
        <v>20</v>
      </c>
      <c r="M138" s="25">
        <f t="shared" si="325"/>
        <v>34</v>
      </c>
      <c r="N138" s="25">
        <f t="shared" si="325"/>
        <v>48</v>
      </c>
      <c r="O138" s="25">
        <f t="shared" si="325"/>
        <v>43</v>
      </c>
      <c r="P138" s="25">
        <f t="shared" si="325"/>
        <v>45</v>
      </c>
      <c r="Q138" s="25">
        <f t="shared" ref="Q138" si="326">Q16</f>
        <v>32</v>
      </c>
      <c r="R138" s="118">
        <f t="shared" si="214"/>
        <v>7.9193502472868271E-2</v>
      </c>
      <c r="S138" s="128"/>
      <c r="T138" s="25">
        <f t="shared" ref="T138:AC138" si="327">T16</f>
        <v>35.840000000000003</v>
      </c>
      <c r="U138" s="25">
        <f t="shared" si="327"/>
        <v>40.140800000000006</v>
      </c>
      <c r="V138" s="25">
        <f t="shared" si="327"/>
        <v>44.957696000000013</v>
      </c>
      <c r="W138" s="25">
        <f t="shared" si="327"/>
        <v>50.352619520000019</v>
      </c>
      <c r="X138" s="25">
        <f t="shared" si="327"/>
        <v>56.394933862400023</v>
      </c>
      <c r="Y138" s="25">
        <f t="shared" si="327"/>
        <v>63.162325925888034</v>
      </c>
      <c r="Z138" s="25">
        <f t="shared" si="327"/>
        <v>70.741805036994606</v>
      </c>
      <c r="AA138" s="25">
        <f t="shared" si="327"/>
        <v>79.230821641433963</v>
      </c>
      <c r="AB138" s="25">
        <f t="shared" si="327"/>
        <v>88.738520238406053</v>
      </c>
      <c r="AC138" s="25">
        <f t="shared" si="327"/>
        <v>99.387142667014786</v>
      </c>
      <c r="AD138" s="118">
        <f t="shared" si="315"/>
        <v>0.10737883930484204</v>
      </c>
      <c r="AE138" s="20"/>
      <c r="AF138" s="20"/>
    </row>
    <row r="139" spans="2:32" x14ac:dyDescent="0.2">
      <c r="B139" s="20" t="s">
        <v>363</v>
      </c>
      <c r="C139" s="20"/>
      <c r="D139" s="20"/>
      <c r="E139" s="20"/>
      <c r="F139" s="20"/>
      <c r="G139" s="119">
        <f t="shared" ref="G139:P139" si="328">G138*365/G25</f>
        <v>74.417475728155338</v>
      </c>
      <c r="H139" s="119">
        <f t="shared" si="328"/>
        <v>56.844262295081968</v>
      </c>
      <c r="I139" s="119">
        <f t="shared" si="328"/>
        <v>38.421052631578945</v>
      </c>
      <c r="J139" s="119">
        <f t="shared" si="328"/>
        <v>27.427745664739884</v>
      </c>
      <c r="K139" s="119">
        <f t="shared" si="328"/>
        <v>22.8125</v>
      </c>
      <c r="L139" s="119">
        <f t="shared" si="328"/>
        <v>30.041152263374485</v>
      </c>
      <c r="M139" s="119">
        <f t="shared" si="328"/>
        <v>42.646048109965633</v>
      </c>
      <c r="N139" s="119">
        <f t="shared" si="328"/>
        <v>51.228070175438596</v>
      </c>
      <c r="O139" s="119">
        <f t="shared" si="328"/>
        <v>41.521164021164019</v>
      </c>
      <c r="P139" s="119">
        <f t="shared" si="328"/>
        <v>37.845622119815665</v>
      </c>
      <c r="Q139" s="119">
        <f t="shared" ref="Q139" si="329">Q138*365/Q25</f>
        <v>24.486373165618449</v>
      </c>
      <c r="R139" s="118">
        <f t="shared" si="214"/>
        <v>-6.538214959251698E-2</v>
      </c>
      <c r="S139" s="128"/>
      <c r="T139" s="119">
        <f t="shared" ref="T139:AC139" si="330">T138*365/T25</f>
        <v>24.486373165618449</v>
      </c>
      <c r="U139" s="119">
        <f t="shared" si="330"/>
        <v>24.486373165618449</v>
      </c>
      <c r="V139" s="119">
        <f t="shared" si="330"/>
        <v>24.486373165618449</v>
      </c>
      <c r="W139" s="119">
        <f t="shared" si="330"/>
        <v>24.486373165618453</v>
      </c>
      <c r="X139" s="119">
        <f t="shared" si="330"/>
        <v>24.486373165618449</v>
      </c>
      <c r="Y139" s="119">
        <f t="shared" si="330"/>
        <v>24.486373165618453</v>
      </c>
      <c r="Z139" s="119">
        <f t="shared" si="330"/>
        <v>24.486373165618456</v>
      </c>
      <c r="AA139" s="119">
        <f t="shared" si="330"/>
        <v>24.486373165618453</v>
      </c>
      <c r="AB139" s="119">
        <f t="shared" si="330"/>
        <v>24.486373165618456</v>
      </c>
      <c r="AC139" s="119">
        <f t="shared" si="330"/>
        <v>24.486373165618456</v>
      </c>
      <c r="AD139" s="118">
        <f t="shared" si="315"/>
        <v>0</v>
      </c>
      <c r="AE139" s="20"/>
      <c r="AF139" s="20"/>
    </row>
    <row r="140" spans="2:32" x14ac:dyDescent="0.2">
      <c r="B140" s="20" t="s">
        <v>366</v>
      </c>
      <c r="C140" s="20"/>
      <c r="D140" s="20"/>
      <c r="E140" s="20"/>
      <c r="F140" s="20"/>
      <c r="G140" s="133">
        <f>G83/G29</f>
        <v>2.8409090909090908</v>
      </c>
      <c r="H140" s="133">
        <f t="shared" ref="H140:P140" si="331">H83/H29</f>
        <v>5.0428643469490666</v>
      </c>
      <c r="I140" s="133">
        <f t="shared" si="331"/>
        <v>8.5227272727272716</v>
      </c>
      <c r="J140" s="133">
        <f t="shared" si="331"/>
        <v>14.204545454545453</v>
      </c>
      <c r="K140" s="133">
        <f t="shared" si="331"/>
        <v>37.878787878787875</v>
      </c>
      <c r="L140" s="133">
        <f t="shared" si="331"/>
        <v>54.924242424242422</v>
      </c>
      <c r="M140" s="133">
        <f t="shared" si="331"/>
        <v>52.950075642965203</v>
      </c>
      <c r="N140" s="133">
        <f t="shared" si="331"/>
        <v>44.440242057488646</v>
      </c>
      <c r="O140" s="133">
        <f t="shared" si="331"/>
        <v>28.996469994957135</v>
      </c>
      <c r="P140" s="133">
        <f t="shared" si="331"/>
        <v>32.148260211800299</v>
      </c>
      <c r="Q140" s="133">
        <f t="shared" ref="Q140" si="332">Q83/Q29</f>
        <v>27.893343419062024</v>
      </c>
      <c r="R140" s="118">
        <f t="shared" si="214"/>
        <v>0.27458855314108987</v>
      </c>
      <c r="S140" s="128"/>
      <c r="T140" s="133">
        <f t="shared" ref="T140:AC140" si="333">T83/T29</f>
        <v>27.346415116727474</v>
      </c>
      <c r="U140" s="133">
        <f t="shared" si="333"/>
        <v>26.81021089875243</v>
      </c>
      <c r="V140" s="133">
        <f t="shared" si="333"/>
        <v>26.284520488972966</v>
      </c>
      <c r="W140" s="133">
        <f t="shared" si="333"/>
        <v>25.769137734287217</v>
      </c>
      <c r="X140" s="133">
        <f t="shared" si="333"/>
        <v>25.263860523811001</v>
      </c>
      <c r="Y140" s="133">
        <f t="shared" si="333"/>
        <v>24.768490709618625</v>
      </c>
      <c r="Z140" s="133">
        <f t="shared" si="333"/>
        <v>24.282834029037868</v>
      </c>
      <c r="AA140" s="133">
        <f t="shared" si="333"/>
        <v>23.806700028468502</v>
      </c>
      <c r="AB140" s="133">
        <f t="shared" si="333"/>
        <v>23.33990198869461</v>
      </c>
      <c r="AC140" s="133">
        <f t="shared" si="333"/>
        <v>22.882256851661381</v>
      </c>
      <c r="AD140" s="118">
        <f t="shared" si="315"/>
        <v>-1.7664485544367503E-2</v>
      </c>
      <c r="AE140" s="20"/>
      <c r="AF140" s="20"/>
    </row>
    <row r="141" spans="2:32" x14ac:dyDescent="0.2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28"/>
      <c r="S141" s="128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136"/>
      <c r="AE141" s="20"/>
      <c r="AF141" s="20"/>
    </row>
    <row r="142" spans="2:32" x14ac:dyDescent="0.2">
      <c r="B142" s="20" t="s">
        <v>373</v>
      </c>
      <c r="C142" s="20"/>
      <c r="D142" s="20"/>
      <c r="E142" s="20"/>
      <c r="F142" s="20"/>
      <c r="G142" s="178">
        <f>G25/G14</f>
        <v>5.4210526315789478</v>
      </c>
      <c r="H142" s="178">
        <f t="shared" ref="H142:P142" si="334">H25/H14</f>
        <v>5.083333333333333</v>
      </c>
      <c r="I142" s="178">
        <f t="shared" si="334"/>
        <v>6.65</v>
      </c>
      <c r="J142" s="178">
        <f t="shared" si="334"/>
        <v>8.2380952380952372</v>
      </c>
      <c r="K142" s="178">
        <f t="shared" si="334"/>
        <v>7.7037037037037033</v>
      </c>
      <c r="L142" s="178">
        <f t="shared" si="334"/>
        <v>9.7200000000000006</v>
      </c>
      <c r="M142" s="178">
        <f t="shared" si="334"/>
        <v>9.387096774193548</v>
      </c>
      <c r="N142" s="178">
        <f t="shared" si="334"/>
        <v>8.7692307692307701</v>
      </c>
      <c r="O142" s="178">
        <f t="shared" si="334"/>
        <v>7.875</v>
      </c>
      <c r="P142" s="178">
        <f t="shared" si="334"/>
        <v>9.0416666666666661</v>
      </c>
      <c r="Q142" s="178">
        <f t="shared" ref="Q142" si="335">Q25/Q14</f>
        <v>7.5714285714285712</v>
      </c>
      <c r="R142" s="118">
        <f t="shared" si="214"/>
        <v>5.2486385830606386E-2</v>
      </c>
      <c r="S142" s="128"/>
      <c r="T142" s="20">
        <f t="shared" ref="T142" si="336">T25/T14</f>
        <v>7.5714285714285712</v>
      </c>
      <c r="U142" s="20">
        <f t="shared" ref="U142:AC142" si="337">U25/U14</f>
        <v>7.5714285714285721</v>
      </c>
      <c r="V142" s="20">
        <f t="shared" si="337"/>
        <v>7.5714285714285721</v>
      </c>
      <c r="W142" s="20">
        <f t="shared" si="337"/>
        <v>7.5714285714285721</v>
      </c>
      <c r="X142" s="20">
        <f t="shared" si="337"/>
        <v>7.5714285714285721</v>
      </c>
      <c r="Y142" s="20">
        <f t="shared" si="337"/>
        <v>7.5714285714285721</v>
      </c>
      <c r="Z142" s="20">
        <f t="shared" si="337"/>
        <v>7.5714285714285721</v>
      </c>
      <c r="AA142" s="20">
        <f t="shared" si="337"/>
        <v>7.571428571428573</v>
      </c>
      <c r="AB142" s="20">
        <f t="shared" si="337"/>
        <v>7.571428571428573</v>
      </c>
      <c r="AC142" s="20">
        <f t="shared" si="337"/>
        <v>7.571428571428573</v>
      </c>
      <c r="AD142" s="118">
        <f t="shared" si="315"/>
        <v>0</v>
      </c>
      <c r="AE142" s="20"/>
      <c r="AF142" s="20"/>
    </row>
    <row r="143" spans="2:32" x14ac:dyDescent="0.2">
      <c r="B143" s="20" t="s">
        <v>374</v>
      </c>
      <c r="C143" s="20"/>
      <c r="D143" s="20"/>
      <c r="E143" s="20"/>
      <c r="F143" s="20"/>
      <c r="G143" s="178">
        <f>G27/G14</f>
        <v>5.1052631578947372</v>
      </c>
      <c r="H143" s="178">
        <f t="shared" ref="H143:P143" si="338">H27/H14</f>
        <v>4.791666666666667</v>
      </c>
      <c r="I143" s="178">
        <f t="shared" si="338"/>
        <v>6.2</v>
      </c>
      <c r="J143" s="178">
        <f t="shared" si="338"/>
        <v>7.5714285714285712</v>
      </c>
      <c r="K143" s="178">
        <f t="shared" si="338"/>
        <v>6.9259259259259256</v>
      </c>
      <c r="L143" s="178">
        <f t="shared" si="338"/>
        <v>8.4</v>
      </c>
      <c r="M143" s="178">
        <f t="shared" si="338"/>
        <v>7.4516129032258061</v>
      </c>
      <c r="N143" s="178">
        <f t="shared" si="338"/>
        <v>7.4358974358974361</v>
      </c>
      <c r="O143" s="178">
        <f t="shared" si="338"/>
        <v>6.833333333333333</v>
      </c>
      <c r="P143" s="178">
        <f t="shared" si="338"/>
        <v>7.875</v>
      </c>
      <c r="Q143" s="178">
        <f t="shared" ref="Q143" si="339">Q27/Q14</f>
        <v>6.5555555555555554</v>
      </c>
      <c r="R143" s="118">
        <f t="shared" si="214"/>
        <v>4.4295106457286071E-2</v>
      </c>
      <c r="S143" s="128"/>
      <c r="T143" s="20">
        <f t="shared" ref="T143:AC143" si="340">T27/T14</f>
        <v>6.5555555555555562</v>
      </c>
      <c r="U143" s="20">
        <f t="shared" si="340"/>
        <v>6.5555555555555562</v>
      </c>
      <c r="V143" s="20">
        <f t="shared" si="340"/>
        <v>6.5555555555555562</v>
      </c>
      <c r="W143" s="20">
        <f t="shared" si="340"/>
        <v>6.5555555555555571</v>
      </c>
      <c r="X143" s="20">
        <f t="shared" si="340"/>
        <v>6.5555555555555571</v>
      </c>
      <c r="Y143" s="20">
        <f t="shared" si="340"/>
        <v>6.5555555555555571</v>
      </c>
      <c r="Z143" s="20">
        <f t="shared" si="340"/>
        <v>6.5555555555555571</v>
      </c>
      <c r="AA143" s="20">
        <f t="shared" si="340"/>
        <v>6.555555555555558</v>
      </c>
      <c r="AB143" s="20">
        <f t="shared" si="340"/>
        <v>6.555555555555558</v>
      </c>
      <c r="AC143" s="20">
        <f t="shared" si="340"/>
        <v>6.5555555555555571</v>
      </c>
      <c r="AD143" s="118">
        <f t="shared" si="315"/>
        <v>0</v>
      </c>
      <c r="AE143" s="20"/>
      <c r="AF143" s="20"/>
    </row>
    <row r="144" spans="2:32" x14ac:dyDescent="0.2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28"/>
      <c r="S144" s="128"/>
      <c r="T144" s="119"/>
      <c r="U144" s="119"/>
      <c r="V144" s="119"/>
      <c r="W144" s="119"/>
      <c r="X144" s="119"/>
      <c r="Y144" s="119"/>
      <c r="Z144" s="119"/>
      <c r="AA144" s="119"/>
      <c r="AB144" s="119"/>
      <c r="AC144" s="119"/>
      <c r="AD144" s="136"/>
      <c r="AE144" s="20"/>
      <c r="AF144" s="20"/>
    </row>
    <row r="145" spans="2:32" x14ac:dyDescent="0.2">
      <c r="B145" s="108" t="s">
        <v>244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3" t="s">
        <v>472</v>
      </c>
      <c r="R145" s="23"/>
      <c r="S145" s="23" t="s">
        <v>473</v>
      </c>
      <c r="T145" s="122" t="s">
        <v>66</v>
      </c>
      <c r="U145" s="20"/>
      <c r="V145" s="20"/>
      <c r="W145" s="20"/>
      <c r="X145" s="20"/>
      <c r="Y145" s="20"/>
      <c r="Z145" s="20"/>
      <c r="AA145" s="20"/>
      <c r="AB145" s="20"/>
      <c r="AC145" s="20"/>
      <c r="AD145" s="136"/>
      <c r="AE145" s="20"/>
      <c r="AF145" s="20"/>
    </row>
    <row r="146" spans="2:32" x14ac:dyDescent="0.2">
      <c r="B146" s="23" t="s">
        <v>280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5"/>
      <c r="Q146" s="133">
        <f>AVERAGE(M87:Q87)</f>
        <v>64.674735249621776</v>
      </c>
      <c r="R146" s="158">
        <f>AVERAGE(G57:Q57)</f>
        <v>37.11032411864484</v>
      </c>
      <c r="S146" s="133">
        <f>AVERAGE(G87:Q87)</f>
        <v>37.09943611607757</v>
      </c>
      <c r="T146" s="192" t="s">
        <v>428</v>
      </c>
      <c r="U146" s="193" t="s">
        <v>429</v>
      </c>
      <c r="V146" s="20"/>
      <c r="W146" s="20"/>
      <c r="X146" s="20"/>
      <c r="Y146" s="20"/>
      <c r="Z146" s="20"/>
      <c r="AA146" s="20"/>
      <c r="AB146" s="20"/>
      <c r="AC146" s="20"/>
      <c r="AD146" s="136"/>
      <c r="AE146" s="20"/>
      <c r="AF146" s="20"/>
    </row>
    <row r="147" spans="2:32" x14ac:dyDescent="0.2">
      <c r="B147" s="20" t="s">
        <v>25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39">
        <f>T147+U147</f>
        <v>219.45379347085395</v>
      </c>
      <c r="T147" s="133">
        <f>PV($C$1, ($AC$3-$T$3), 0, -AC57)</f>
        <v>30.579626959053414</v>
      </c>
      <c r="U147" s="133">
        <f>PV($C$1, ($AC$3-$T$3), 0, -AF57)</f>
        <v>188.87416651180052</v>
      </c>
      <c r="V147" s="20"/>
      <c r="W147" s="20"/>
      <c r="X147" s="20"/>
      <c r="Y147" s="20"/>
      <c r="Z147" s="20"/>
      <c r="AA147" s="20"/>
      <c r="AB147" s="20"/>
      <c r="AC147" s="20"/>
      <c r="AD147" s="136"/>
      <c r="AE147" s="20"/>
      <c r="AF147" s="20"/>
    </row>
    <row r="148" spans="2:32" x14ac:dyDescent="0.2">
      <c r="B148" s="20" t="s">
        <v>272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39">
        <f t="shared" ref="S148:S166" si="341">T148+U148</f>
        <v>323.40559037810044</v>
      </c>
      <c r="T148" s="133">
        <f>PV($C$1, ($AC$3-$T$3), 0, -AC59)</f>
        <v>45.064713413341856</v>
      </c>
      <c r="U148" s="133">
        <f>PV($C$1, ($AC$3-$T$3), 0, -AF59)</f>
        <v>278.34087696475859</v>
      </c>
      <c r="V148" s="20"/>
      <c r="W148" s="20"/>
      <c r="X148" s="20"/>
      <c r="Y148" s="20"/>
      <c r="Z148" s="20"/>
      <c r="AA148" s="20"/>
      <c r="AB148" s="20"/>
      <c r="AC148" s="20"/>
      <c r="AD148" s="136"/>
      <c r="AE148" s="20"/>
      <c r="AF148" s="20"/>
    </row>
    <row r="149" spans="2:32" x14ac:dyDescent="0.2">
      <c r="B149" s="20" t="s">
        <v>273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39">
        <f t="shared" si="341"/>
        <v>294.53009123719875</v>
      </c>
      <c r="T149" s="133">
        <f>PV($C$1, ($AC$3-$T$3), 0, -AC60)</f>
        <v>41.041078287150633</v>
      </c>
      <c r="U149" s="133">
        <f>PV($C$1, ($AC$3-$T$3), 0, -AF60)</f>
        <v>253.48901295004811</v>
      </c>
      <c r="V149" s="20"/>
      <c r="W149" s="20"/>
      <c r="X149" s="20"/>
      <c r="Y149" s="20"/>
      <c r="Z149" s="20"/>
      <c r="AA149" s="20"/>
      <c r="AB149" s="20"/>
      <c r="AC149" s="20"/>
      <c r="AD149" s="136"/>
      <c r="AE149" s="20"/>
      <c r="AF149" s="20"/>
    </row>
    <row r="150" spans="2:32" x14ac:dyDescent="0.2">
      <c r="B150" s="20" t="s">
        <v>274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39">
        <f t="shared" si="341"/>
        <v>5.7750998281803662E-2</v>
      </c>
      <c r="T150" s="133">
        <f>PV($C$1, ($AC$3-$T$3), 0, -AC61)</f>
        <v>8.0472702523824765E-3</v>
      </c>
      <c r="U150" s="133">
        <f>PV($C$1, ($AC$3-$T$3), 0, -AF61)</f>
        <v>4.9703728029421183E-2</v>
      </c>
      <c r="V150" s="20"/>
      <c r="W150" s="20"/>
      <c r="X150" s="20"/>
      <c r="Y150" s="20"/>
      <c r="Z150" s="20"/>
      <c r="AA150" s="20"/>
      <c r="AB150" s="20"/>
      <c r="AC150" s="20"/>
      <c r="AD150" s="136"/>
      <c r="AE150" s="20"/>
      <c r="AF150" s="20"/>
    </row>
    <row r="151" spans="2:32" x14ac:dyDescent="0.2">
      <c r="B151" s="20" t="s">
        <v>275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39">
        <f t="shared" si="341"/>
        <v>300.30519106537912</v>
      </c>
      <c r="T151" s="133">
        <f>PV($C$1, ($AC$3-$T$3), 0, -AC67)</f>
        <v>41.84580531238889</v>
      </c>
      <c r="U151" s="133">
        <f>PV($C$1, ($AC$3-$T$3), 0, -AF67)</f>
        <v>258.45938575299022</v>
      </c>
      <c r="V151" s="20"/>
      <c r="W151" s="20"/>
      <c r="X151" s="20"/>
      <c r="Y151" s="20"/>
      <c r="Z151" s="20"/>
      <c r="AA151" s="20"/>
      <c r="AB151" s="20"/>
      <c r="AC151" s="20"/>
      <c r="AD151" s="136"/>
      <c r="AE151" s="20"/>
      <c r="AF151" s="20"/>
    </row>
    <row r="152" spans="2:32" x14ac:dyDescent="0.2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39"/>
      <c r="T152" s="133"/>
      <c r="U152" s="20"/>
      <c r="V152" s="20"/>
      <c r="W152" s="20"/>
      <c r="X152" s="20"/>
      <c r="Y152" s="20"/>
      <c r="Z152" s="20"/>
      <c r="AA152" s="20"/>
      <c r="AB152" s="20"/>
      <c r="AC152" s="20"/>
      <c r="AD152" s="136"/>
      <c r="AE152" s="20"/>
      <c r="AF152" s="20"/>
    </row>
    <row r="153" spans="2:32" x14ac:dyDescent="0.2">
      <c r="B153" s="20" t="s">
        <v>270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39">
        <f t="shared" si="341"/>
        <v>323.34783937981854</v>
      </c>
      <c r="T153" s="133">
        <f>PV($C$1, ($AC$3-$T$3), 0, -AC63)</f>
        <v>45.056666143089473</v>
      </c>
      <c r="U153" s="133">
        <f>PV($C$1, ($AC$3-$T$3), 0, -$AF$63)</f>
        <v>278.29117323672909</v>
      </c>
      <c r="V153" s="20"/>
      <c r="W153" s="20"/>
      <c r="X153" s="20"/>
      <c r="Y153" s="20"/>
      <c r="Z153" s="20"/>
      <c r="AA153" s="20"/>
      <c r="AB153" s="20"/>
      <c r="AC153" s="20"/>
      <c r="AD153" s="136"/>
      <c r="AE153" s="20"/>
      <c r="AF153" s="20"/>
    </row>
    <row r="154" spans="2:32" x14ac:dyDescent="0.2">
      <c r="B154" s="20" t="s">
        <v>271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39">
        <f t="shared" si="341"/>
        <v>-190.6360453282341</v>
      </c>
      <c r="T154" s="133">
        <f>PV($C$1, ($AC$3-$T$3), 0, -AC64)</f>
        <v>-26.564039103114585</v>
      </c>
      <c r="U154" s="133">
        <f>PV($C$1, ($AC$3-$T$3), 0, -$AF$64)</f>
        <v>-164.07200622511951</v>
      </c>
      <c r="V154" s="20"/>
      <c r="W154" s="20"/>
      <c r="X154" s="20"/>
      <c r="Y154" s="20"/>
      <c r="Z154" s="20"/>
      <c r="AA154" s="20"/>
      <c r="AB154" s="20"/>
      <c r="AC154" s="20"/>
      <c r="AD154" s="136"/>
      <c r="AE154" s="20"/>
      <c r="AF154" s="20"/>
    </row>
    <row r="155" spans="2:32" x14ac:dyDescent="0.2">
      <c r="B155" s="20" t="s">
        <v>276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39">
        <f t="shared" si="341"/>
        <v>692.95422838336151</v>
      </c>
      <c r="T155" s="133">
        <f>PV($C$1, ($AC$3-$T$3), 0, -AC65)</f>
        <v>96.559195758337253</v>
      </c>
      <c r="U155" s="133">
        <f>PV($C$1, ($AC$3-$T$3), 0, -$AF$65)</f>
        <v>596.39503262502421</v>
      </c>
      <c r="V155" s="20"/>
      <c r="W155" s="20"/>
      <c r="X155" s="20"/>
      <c r="Y155" s="20"/>
      <c r="Z155" s="20"/>
      <c r="AA155" s="20"/>
      <c r="AB155" s="20"/>
      <c r="AC155" s="20"/>
      <c r="AD155" s="136"/>
      <c r="AE155" s="20"/>
      <c r="AF155" s="20"/>
    </row>
    <row r="156" spans="2:32" x14ac:dyDescent="0.2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39"/>
      <c r="T156" s="133"/>
      <c r="U156" s="20"/>
      <c r="V156" s="20"/>
      <c r="W156" s="20"/>
      <c r="X156" s="20"/>
      <c r="Y156" s="20"/>
      <c r="Z156" s="20"/>
      <c r="AA156" s="20"/>
      <c r="AB156" s="20"/>
      <c r="AC156" s="20"/>
      <c r="AD156" s="136"/>
      <c r="AE156" s="20"/>
      <c r="AF156" s="20"/>
    </row>
    <row r="157" spans="2:32" x14ac:dyDescent="0.2">
      <c r="B157" s="20" t="s">
        <v>249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39">
        <f t="shared" si="341"/>
        <v>883.59027371159573</v>
      </c>
      <c r="T157" s="133">
        <f>PV($C$1, ($AC$3-$T$3), 0, -AC70)</f>
        <v>123.12323486145186</v>
      </c>
      <c r="U157" s="133">
        <f>PV($C$1, ($AC$3-$T$3), 0, -AF70)</f>
        <v>760.46703885014392</v>
      </c>
      <c r="V157" s="20"/>
      <c r="W157" s="20"/>
      <c r="X157" s="20"/>
      <c r="Y157" s="20"/>
      <c r="Z157" s="20"/>
      <c r="AA157" s="20"/>
      <c r="AB157" s="20"/>
      <c r="AC157" s="20"/>
      <c r="AD157" s="136"/>
      <c r="AE157" s="20"/>
      <c r="AF157" s="20"/>
    </row>
    <row r="158" spans="2:32" x14ac:dyDescent="0.2">
      <c r="B158" s="20" t="s">
        <v>250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39">
        <f t="shared" si="341"/>
        <v>142.80246847864177</v>
      </c>
      <c r="T158" s="133">
        <f>PV($C$1, ($AC$3-$T$3), 0, -AC71)</f>
        <v>25.751264807623926</v>
      </c>
      <c r="U158" s="133">
        <f>PV($C$1, ($AC$3-$T$3), 0, -AF71)</f>
        <v>117.05120367101784</v>
      </c>
      <c r="V158" s="20"/>
      <c r="W158" s="20"/>
      <c r="X158" s="20"/>
      <c r="Y158" s="20"/>
      <c r="Z158" s="20"/>
      <c r="AA158" s="20"/>
      <c r="AB158" s="20"/>
      <c r="AC158" s="20"/>
      <c r="AD158" s="136"/>
      <c r="AE158" s="20"/>
      <c r="AF158" s="20"/>
    </row>
    <row r="159" spans="2:32" x14ac:dyDescent="0.2"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39"/>
      <c r="T159" s="133"/>
      <c r="U159" s="133"/>
      <c r="V159" s="20"/>
      <c r="W159" s="20"/>
      <c r="X159" s="20"/>
      <c r="Y159" s="20"/>
      <c r="Z159" s="20"/>
      <c r="AA159" s="20"/>
      <c r="AB159" s="20"/>
      <c r="AC159" s="20"/>
      <c r="AD159" s="136"/>
      <c r="AE159" s="20"/>
      <c r="AF159" s="20"/>
    </row>
    <row r="160" spans="2:32" x14ac:dyDescent="0.2">
      <c r="B160" s="20" t="s">
        <v>292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39">
        <f t="shared" ref="S160" si="342">T160+U160</f>
        <v>193.57800224555805</v>
      </c>
      <c r="T160" s="133">
        <f>PV($C$1, ($AC$3-$T$3), 0, -AC12)</f>
        <v>26.973983919463002</v>
      </c>
      <c r="U160" s="133">
        <f>PV($C$1, ($AC$3-$T$3), 0, -AF12)</f>
        <v>166.60401832609506</v>
      </c>
      <c r="V160" s="20"/>
      <c r="W160" s="20"/>
      <c r="X160" s="20"/>
      <c r="Y160" s="20"/>
      <c r="Z160" s="20"/>
      <c r="AA160" s="20"/>
      <c r="AB160" s="20"/>
      <c r="AC160" s="20"/>
      <c r="AD160" s="136"/>
      <c r="AE160" s="20"/>
      <c r="AF160" s="20"/>
    </row>
    <row r="161" spans="2:32" x14ac:dyDescent="0.2">
      <c r="B161" s="20" t="s">
        <v>293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39">
        <f>T161+U161</f>
        <v>366.07035220415668</v>
      </c>
      <c r="T161" s="139">
        <f>T160/P42</f>
        <v>51.009803175989035</v>
      </c>
      <c r="U161" s="139">
        <f>U160/P42</f>
        <v>315.06054902816766</v>
      </c>
      <c r="V161" s="20"/>
      <c r="W161" s="20"/>
      <c r="X161" s="20"/>
      <c r="Y161" s="20"/>
      <c r="Z161" s="20"/>
      <c r="AA161" s="20"/>
      <c r="AB161" s="20"/>
      <c r="AC161" s="20"/>
      <c r="AD161" s="136"/>
      <c r="AE161" s="20"/>
      <c r="AF161" s="20"/>
    </row>
    <row r="162" spans="2:32" x14ac:dyDescent="0.2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39"/>
      <c r="T162" s="139"/>
      <c r="U162" s="139"/>
      <c r="V162" s="20"/>
      <c r="W162" s="20"/>
      <c r="X162" s="20"/>
      <c r="Y162" s="20"/>
      <c r="Z162" s="20"/>
      <c r="AA162" s="20"/>
      <c r="AB162" s="20"/>
      <c r="AC162" s="20"/>
      <c r="AD162" s="136"/>
      <c r="AE162" s="20"/>
      <c r="AF162" s="20"/>
    </row>
    <row r="163" spans="2:32" x14ac:dyDescent="0.2">
      <c r="B163" s="108" t="s">
        <v>296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39"/>
      <c r="T163" s="133"/>
      <c r="U163" s="133"/>
      <c r="V163" s="20"/>
      <c r="W163" s="20"/>
      <c r="X163" s="20"/>
      <c r="Y163" s="20"/>
      <c r="Z163" s="20"/>
      <c r="AA163" s="20"/>
      <c r="AB163" s="20"/>
      <c r="AC163" s="20"/>
      <c r="AD163" s="136"/>
      <c r="AE163" s="20"/>
      <c r="AF163" s="20"/>
    </row>
    <row r="164" spans="2:32" x14ac:dyDescent="0.2">
      <c r="B164" s="20" t="s">
        <v>282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39">
        <f t="shared" ref="S164" si="343">T164+U164</f>
        <v>568.60109619018556</v>
      </c>
      <c r="T164" s="133">
        <f>PV($C$1, ($AC$3-$T$3), 0, -AC73)+PV($C$1, ($AB$3-$T$3), 0, -AC73)+PV($C$1, ($AA$3-$T$3), 0, -AC73)+PV($C$1, ($Z$3-$T$3), 0, -AC73)+PV($C$1, ($Y$3-$T$3), 0, -AC73)+PV($C$1, ($X$3-$T$3), 0, -AC73)+PV($C$1, ($W$3-$T$3), 0, -AC73)+PV($C$1, ($V$3-$T$3), 0, -AC73)+PV($C$1, ($U$3-$T$3), 0, -AC73)+PV($C$1, ($T$3-$T$3), 0, -AC73)</f>
        <v>467.78122396365029</v>
      </c>
      <c r="U164" s="133">
        <f>PV($C$1, ($AC$3-$T$3), 0, -AF73)</f>
        <v>100.81987222653524</v>
      </c>
      <c r="V164" s="20"/>
      <c r="W164" s="20"/>
      <c r="X164" s="20"/>
      <c r="Y164" s="20"/>
      <c r="Z164" s="20"/>
      <c r="AA164" s="20"/>
      <c r="AB164" s="20"/>
      <c r="AC164" s="20"/>
      <c r="AD164" s="136"/>
      <c r="AE164" s="20"/>
      <c r="AF164" s="20"/>
    </row>
    <row r="165" spans="2:32" x14ac:dyDescent="0.2">
      <c r="B165" s="23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39"/>
      <c r="T165" s="133"/>
      <c r="U165" s="133"/>
      <c r="V165" s="20"/>
      <c r="W165" s="20"/>
      <c r="X165" s="20"/>
      <c r="Y165" s="20"/>
      <c r="Z165" s="20"/>
      <c r="AA165" s="20"/>
      <c r="AB165" s="20"/>
      <c r="AC165" s="20"/>
      <c r="AD165" s="136"/>
      <c r="AE165" s="20"/>
      <c r="AF165" s="20"/>
    </row>
    <row r="166" spans="2:32" x14ac:dyDescent="0.2">
      <c r="B166" s="20" t="s">
        <v>289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39">
        <f t="shared" si="341"/>
        <v>584.18362979341691</v>
      </c>
      <c r="T166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480.60078532259672</v>
      </c>
      <c r="U166" s="133">
        <f>PV($C$1, ($AC$3-$T$3), 0, -AF75)</f>
        <v>103.58284447082019</v>
      </c>
      <c r="V166" s="20"/>
      <c r="W166" s="20"/>
      <c r="X166" s="20"/>
      <c r="Y166" s="20"/>
      <c r="Z166" s="20"/>
      <c r="AA166" s="20"/>
      <c r="AB166" s="20"/>
      <c r="AC166" s="20"/>
      <c r="AD166" s="136"/>
      <c r="AE166" s="20"/>
      <c r="AF166" s="20"/>
    </row>
    <row r="167" spans="2:32" x14ac:dyDescent="0.2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39"/>
      <c r="T167" s="133"/>
      <c r="U167" s="133"/>
      <c r="V167" s="20"/>
      <c r="W167" s="20"/>
      <c r="X167" s="20"/>
      <c r="Y167" s="20"/>
      <c r="Z167" s="20"/>
      <c r="AA167" s="20"/>
      <c r="AB167" s="20"/>
      <c r="AC167" s="20"/>
      <c r="AD167" s="136"/>
      <c r="AE167" s="20"/>
      <c r="AF167" s="20"/>
    </row>
    <row r="168" spans="2:32" x14ac:dyDescent="0.2">
      <c r="B168" s="20" t="s">
        <v>460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39">
        <f t="shared" ref="S168:S171" si="344">T168+U168</f>
        <v>906.26710952331041</v>
      </c>
      <c r="T168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745.57495680419174</v>
      </c>
      <c r="U168" s="133">
        <f>PV($C$1, ($AC$3-$T$3), 0, -AF77)</f>
        <v>160.69215271911864</v>
      </c>
      <c r="V168" s="20"/>
      <c r="W168" s="20"/>
      <c r="X168" s="20"/>
      <c r="Y168" s="20"/>
      <c r="Z168" s="20"/>
      <c r="AA168" s="20"/>
      <c r="AB168" s="20"/>
      <c r="AC168" s="20"/>
      <c r="AD168" s="136"/>
      <c r="AE168" s="20"/>
      <c r="AF168" s="20"/>
    </row>
    <row r="169" spans="2:32" x14ac:dyDescent="0.2">
      <c r="B169" s="20" t="s">
        <v>286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139">
        <f t="shared" si="344"/>
        <v>925.04839512122612</v>
      </c>
      <c r="T169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761.02609262413625</v>
      </c>
      <c r="U169" s="133">
        <f>PV($C$1, ($AC$3-$T$3), 0, -AF78)</f>
        <v>164.02230249708987</v>
      </c>
      <c r="V169" s="20"/>
      <c r="W169" s="20"/>
      <c r="X169" s="20"/>
      <c r="Y169" s="20"/>
      <c r="Z169" s="20"/>
      <c r="AA169" s="20"/>
      <c r="AB169" s="20"/>
      <c r="AC169" s="20"/>
      <c r="AD169" s="136"/>
      <c r="AE169" s="20"/>
      <c r="AF169" s="20"/>
    </row>
    <row r="170" spans="2:32" x14ac:dyDescent="0.2">
      <c r="B170" s="20" t="s">
        <v>287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139">
        <f t="shared" si="344"/>
        <v>-18.781285597915808</v>
      </c>
      <c r="T170" s="133">
        <f>PV($C$1, ($AC$3-$T$3), 0, -AC79)+PV($C$1, ($AB$3-$T$3), 0, -AC79)+PV($C$1, ($AA$3-$T$3), 0, -AC79)+PV($C$1, ($Z$3-$T$3), 0, -AC79)+PV($C$1, ($Y$3-$T$3), 0, -AC79)+PV($C$1, ($X$3-$T$3), 0, -AC79)+PV($C$1, ($W$3-$T$3), 0, -AC79)+PV($C$1, ($V$3-$T$3), 0, -AC79)+PV($C$1, ($U$3-$T$3), 0, -AC79)+PV($C$1, ($T$3-$T$3), 0, -AC79)</f>
        <v>-15.451135819944589</v>
      </c>
      <c r="U170" s="133">
        <f>PV($C$1, ($AC$3-$T$3), 0, -AF79)</f>
        <v>-3.3301497779712195</v>
      </c>
      <c r="V170" s="20"/>
      <c r="W170" s="20"/>
      <c r="X170" s="20"/>
      <c r="Y170" s="20"/>
      <c r="Z170" s="20"/>
      <c r="AA170" s="20"/>
      <c r="AB170" s="20"/>
      <c r="AC170" s="20"/>
      <c r="AD170" s="136"/>
      <c r="AE170" s="20"/>
      <c r="AF170" s="20"/>
    </row>
    <row r="171" spans="2:32" x14ac:dyDescent="0.2">
      <c r="B171" s="20" t="s">
        <v>288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139">
        <f t="shared" si="344"/>
        <v>-897.01662557209829</v>
      </c>
      <c r="T171" s="133">
        <f>PV($C$1, ($AC$3-$T$3), 0, -AC80)+PV($C$1, ($AB$3-$T$3), 0, -AC80)+PV($C$1, ($AA$3-$T$3), 0, -AC80)+PV($C$1, ($Z$3-$T$3), 0, -AC80)+PV($C$1, ($Y$3-$T$3), 0, -AC80)+PV($C$1, ($X$3-$T$3), 0, -AC80)+PV($C$1, ($W$3-$T$3), 0, -AC80)+PV($C$1, ($V$3-$T$3), 0, -AC80)+PV($C$1, ($U$3-$T$3), 0, -AC80)+PV($C$1, ($T$3-$T$3), 0, -AC80)</f>
        <v>-737.96469587795048</v>
      </c>
      <c r="U171" s="133">
        <f>PV($C$1, ($AC$3-$T$3), 0, -AF80)</f>
        <v>-159.05192969414779</v>
      </c>
      <c r="V171" s="20"/>
      <c r="W171" s="20"/>
      <c r="X171" s="20"/>
      <c r="Y171" s="20"/>
      <c r="Z171" s="20"/>
      <c r="AA171" s="20"/>
      <c r="AB171" s="20"/>
      <c r="AC171" s="20"/>
      <c r="AD171" s="136"/>
      <c r="AE171" s="20"/>
      <c r="AF171" s="20"/>
    </row>
    <row r="172" spans="2:32" x14ac:dyDescent="0.2">
      <c r="B172" s="20" t="s">
        <v>458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110">
        <f>S169+S170+S171</f>
        <v>9.2504839512120043</v>
      </c>
      <c r="T172" s="110">
        <f t="shared" ref="T172:U172" si="345">T169+T170+T171</f>
        <v>7.6102609262411534</v>
      </c>
      <c r="U172" s="110">
        <f t="shared" si="345"/>
        <v>1.6402230249708509</v>
      </c>
      <c r="V172" s="20"/>
      <c r="W172" s="20"/>
      <c r="X172" s="20"/>
      <c r="Y172" s="20"/>
      <c r="Z172" s="20"/>
      <c r="AA172" s="20"/>
      <c r="AB172" s="20"/>
      <c r="AC172" s="20"/>
      <c r="AD172" s="136"/>
      <c r="AE172" s="20"/>
      <c r="AF172" s="20"/>
    </row>
    <row r="173" spans="2:32" x14ac:dyDescent="0.2"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139"/>
      <c r="T173" s="133"/>
      <c r="U173" s="133"/>
      <c r="V173" s="20"/>
      <c r="W173" s="20"/>
      <c r="X173" s="20"/>
      <c r="Y173" s="20"/>
      <c r="Z173" s="20"/>
      <c r="AA173" s="20"/>
      <c r="AB173" s="20"/>
      <c r="AC173" s="20"/>
      <c r="AD173" s="136"/>
      <c r="AE173" s="20"/>
      <c r="AF173" s="20"/>
    </row>
    <row r="174" spans="2:32" x14ac:dyDescent="0.2">
      <c r="B174" s="20" t="s">
        <v>297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139">
        <f>T174+U174</f>
        <v>1401.5884774564033</v>
      </c>
      <c r="T174" s="133">
        <f>PV($C$1, ($AC$3-$T$3), 0, -AC81)+PV($C$1, ($AB$3-$T$3), 0, -AC81)+PV($C$1, ($AA$3-$T$3), 0, -AC81)+PV($C$1, ($Z$3-$T$3), 0, -AC81)+PV($C$1, ($Y$3-$T$3), 0, -AC81)+PV($C$1, ($X$3-$T$3), 0, -AC81)+PV($C$1, ($W$3-$T$3), 0, -AC81)+PV($C$1, ($V$3-$T$3), 0, -AC81)+PV($C$1, ($U$3-$T$3), 0, -AC81)+PV($C$1, ($T$3-$T$3), 0, -AC81)</f>
        <v>1153.0698373092976</v>
      </c>
      <c r="U174" s="133">
        <f>PV($C$1, ($AC$3-$T$3), 0, -AF81)</f>
        <v>248.51864014710588</v>
      </c>
      <c r="V174" s="20"/>
      <c r="W174" s="20"/>
      <c r="X174" s="20"/>
      <c r="Y174" s="20"/>
      <c r="Z174" s="20"/>
      <c r="AA174" s="20"/>
      <c r="AB174" s="20"/>
      <c r="AC174" s="20"/>
      <c r="AD174" s="136"/>
      <c r="AE174" s="20"/>
      <c r="AF174" s="20"/>
    </row>
    <row r="175" spans="2:32" x14ac:dyDescent="0.2"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181">
        <v>41729</v>
      </c>
      <c r="P175" s="20">
        <v>2200</v>
      </c>
      <c r="Q175" s="20"/>
      <c r="R175" s="20"/>
      <c r="S175" s="20"/>
      <c r="T175" s="121"/>
      <c r="U175" s="20"/>
      <c r="V175" s="20"/>
      <c r="W175" s="20"/>
      <c r="X175" s="20"/>
      <c r="Y175" s="20"/>
      <c r="Z175" s="20"/>
      <c r="AA175" s="20"/>
      <c r="AB175" s="20"/>
      <c r="AC175" s="20"/>
      <c r="AD175" s="136"/>
      <c r="AE175" s="20"/>
      <c r="AF175" s="20"/>
    </row>
    <row r="176" spans="2:32" x14ac:dyDescent="0.2">
      <c r="B176" s="108" t="s">
        <v>251</v>
      </c>
      <c r="C176" s="20"/>
      <c r="D176" s="20"/>
      <c r="E176" s="20"/>
      <c r="F176" s="199" t="s">
        <v>471</v>
      </c>
      <c r="G176" s="194">
        <v>0</v>
      </c>
      <c r="H176" s="194">
        <v>0</v>
      </c>
      <c r="I176" s="194">
        <v>0</v>
      </c>
      <c r="J176" s="194">
        <v>0</v>
      </c>
      <c r="K176" s="194">
        <v>0</v>
      </c>
      <c r="L176" s="194">
        <v>0</v>
      </c>
      <c r="M176" s="194">
        <v>0</v>
      </c>
      <c r="N176" s="194">
        <v>0</v>
      </c>
      <c r="O176" s="23" t="s">
        <v>389</v>
      </c>
      <c r="P176" s="20">
        <v>3700</v>
      </c>
      <c r="Q176" s="20"/>
      <c r="R176" s="20">
        <v>200</v>
      </c>
      <c r="S176" s="23" t="s">
        <v>390</v>
      </c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136"/>
      <c r="AE176" s="20"/>
      <c r="AF176" s="20"/>
    </row>
    <row r="177" spans="2:32" x14ac:dyDescent="0.2">
      <c r="B177" s="20" t="s">
        <v>204</v>
      </c>
      <c r="C177" s="22">
        <v>0</v>
      </c>
      <c r="D177" s="22">
        <v>0</v>
      </c>
      <c r="E177" s="22">
        <v>0</v>
      </c>
      <c r="F177" s="22">
        <v>0</v>
      </c>
      <c r="G177" s="22">
        <v>18</v>
      </c>
      <c r="H177" s="22">
        <v>46</v>
      </c>
      <c r="I177" s="22">
        <v>75</v>
      </c>
      <c r="J177" s="22">
        <v>82</v>
      </c>
      <c r="K177" s="22">
        <v>155</v>
      </c>
      <c r="L177" s="22">
        <v>175</v>
      </c>
      <c r="M177" s="22">
        <v>1080</v>
      </c>
      <c r="N177" s="22">
        <v>1050</v>
      </c>
      <c r="O177" s="22">
        <v>1600</v>
      </c>
      <c r="P177" s="22">
        <v>2200</v>
      </c>
      <c r="Q177" s="22">
        <v>3500</v>
      </c>
      <c r="R177" s="118">
        <f t="shared" ref="R177:R184" si="346">((P177/G177)^(1/($H$2-$H$1) ))-1</f>
        <v>0.61701860781550311</v>
      </c>
      <c r="S177" s="31">
        <v>0</v>
      </c>
      <c r="T177" s="195">
        <v>50</v>
      </c>
      <c r="U177" s="119">
        <f t="shared" ref="U177:AC177" si="347">T177*(1+$S177)</f>
        <v>50</v>
      </c>
      <c r="V177" s="119">
        <f t="shared" si="347"/>
        <v>50</v>
      </c>
      <c r="W177" s="119">
        <f t="shared" si="347"/>
        <v>50</v>
      </c>
      <c r="X177" s="119">
        <f t="shared" si="347"/>
        <v>50</v>
      </c>
      <c r="Y177" s="119">
        <f t="shared" si="347"/>
        <v>50</v>
      </c>
      <c r="Z177" s="119">
        <f t="shared" si="347"/>
        <v>50</v>
      </c>
      <c r="AA177" s="119">
        <f t="shared" si="347"/>
        <v>50</v>
      </c>
      <c r="AB177" s="119">
        <f t="shared" si="347"/>
        <v>50</v>
      </c>
      <c r="AC177" s="119">
        <f t="shared" si="347"/>
        <v>50</v>
      </c>
      <c r="AD177" s="137">
        <f t="shared" ref="AD177:AD184" si="348">((AC177/G177)^(1/($AC$3-$H$1) ))-1</f>
        <v>5.2409779148925306E-2</v>
      </c>
      <c r="AE177" s="31">
        <f t="shared" ref="AE177:AE184" si="349">$L$1</f>
        <v>0.05</v>
      </c>
      <c r="AF177" s="127">
        <f t="shared" ref="AF177:AF188" si="350">(AC177*(1+AD177))/($C$1-AE177)</f>
        <v>309.53228798497804</v>
      </c>
    </row>
    <row r="178" spans="2:32" x14ac:dyDescent="0.2">
      <c r="B178" s="20" t="s">
        <v>360</v>
      </c>
      <c r="C178" s="25"/>
      <c r="D178" s="25"/>
      <c r="E178" s="25"/>
      <c r="F178" s="25"/>
      <c r="G178" s="25">
        <f t="shared" ref="G178:P178" si="351">G177/G51</f>
        <v>9.2271844660194183E-2</v>
      </c>
      <c r="H178" s="25">
        <f t="shared" si="351"/>
        <v>0.19938360655737708</v>
      </c>
      <c r="I178" s="25">
        <f t="shared" si="351"/>
        <v>0.29774436090225564</v>
      </c>
      <c r="J178" s="25">
        <f t="shared" si="351"/>
        <v>0.25026589595375726</v>
      </c>
      <c r="K178" s="25">
        <f t="shared" si="351"/>
        <v>0.39346153846153847</v>
      </c>
      <c r="L178" s="25">
        <f t="shared" si="351"/>
        <v>0.38024691358024693</v>
      </c>
      <c r="M178" s="25">
        <f t="shared" si="351"/>
        <v>1.9625567010309279</v>
      </c>
      <c r="N178" s="25">
        <f t="shared" si="351"/>
        <v>1.6235087719298247</v>
      </c>
      <c r="O178" s="25">
        <f t="shared" si="351"/>
        <v>2.2383068783068785</v>
      </c>
      <c r="P178" s="25">
        <f t="shared" si="351"/>
        <v>2.6805529953917051</v>
      </c>
      <c r="Q178" s="25">
        <f t="shared" ref="Q178" si="352">Q177/Q51</f>
        <v>3.8800838574423482</v>
      </c>
      <c r="R178" s="118">
        <f t="shared" ref="R178" si="353">((P178/G178)^(1/($H$2-$H$1) ))-1</f>
        <v>0.40060450686043625</v>
      </c>
      <c r="S178" s="128"/>
      <c r="T178" s="25">
        <f t="shared" ref="T178:AC178" si="354">T177/T51</f>
        <v>5.0480682839173417E-2</v>
      </c>
      <c r="U178" s="25">
        <f t="shared" si="354"/>
        <v>4.5973479014247212E-2</v>
      </c>
      <c r="V178" s="25">
        <f t="shared" si="354"/>
        <v>4.1868704102260852E-2</v>
      </c>
      <c r="W178" s="25">
        <f t="shared" si="354"/>
        <v>3.8130426950273279E-2</v>
      </c>
      <c r="X178" s="25">
        <f t="shared" si="354"/>
        <v>3.4725924543998879E-2</v>
      </c>
      <c r="Y178" s="25">
        <f t="shared" si="354"/>
        <v>3.1625395566856118E-2</v>
      </c>
      <c r="Z178" s="25">
        <f t="shared" si="354"/>
        <v>2.8801699534101107E-2</v>
      </c>
      <c r="AA178" s="25">
        <f t="shared" si="354"/>
        <v>2.6230119218556364E-2</v>
      </c>
      <c r="AB178" s="25">
        <f t="shared" si="354"/>
        <v>2.3888144288328111E-2</v>
      </c>
      <c r="AC178" s="25">
        <f t="shared" si="354"/>
        <v>2.1755274262584529E-2</v>
      </c>
      <c r="AD178" s="137">
        <f t="shared" ref="AD178" si="355">((AC178/G178)^(1/($AC$3-$H$1) ))-1</f>
        <v>-6.9696257686350349E-2</v>
      </c>
      <c r="AE178" s="31">
        <f t="shared" si="349"/>
        <v>0.05</v>
      </c>
      <c r="AF178" s="127">
        <f t="shared" ref="AF178" si="356">(AC178*(1+AD178))/($C$1-AE178)</f>
        <v>0.11905301800907185</v>
      </c>
    </row>
    <row r="179" spans="2:32" x14ac:dyDescent="0.2">
      <c r="B179" s="20" t="s">
        <v>388</v>
      </c>
      <c r="C179" s="25"/>
      <c r="D179" s="25"/>
      <c r="E179" s="25"/>
      <c r="F179" s="25"/>
      <c r="G179" s="25">
        <f t="shared" ref="G179:P179" si="357">G177/G57</f>
        <v>11.88</v>
      </c>
      <c r="H179" s="25">
        <f t="shared" si="357"/>
        <v>8.1082666666666672</v>
      </c>
      <c r="I179" s="25">
        <f t="shared" si="357"/>
        <v>9.9</v>
      </c>
      <c r="J179" s="25">
        <f t="shared" si="357"/>
        <v>6.1851428571428571</v>
      </c>
      <c r="K179" s="25">
        <f t="shared" si="357"/>
        <v>7.44</v>
      </c>
      <c r="L179" s="25">
        <f t="shared" si="357"/>
        <v>4.8631578947368421</v>
      </c>
      <c r="M179" s="25">
        <f t="shared" si="357"/>
        <v>15.435243243243244</v>
      </c>
      <c r="N179" s="25">
        <f t="shared" si="357"/>
        <v>17.35125</v>
      </c>
      <c r="O179" s="25">
        <f t="shared" si="357"/>
        <v>28.202666666666669</v>
      </c>
      <c r="P179" s="25">
        <f t="shared" si="357"/>
        <v>34.216470588235296</v>
      </c>
      <c r="Q179" s="25">
        <f t="shared" ref="Q179" si="358">Q177/Q57</f>
        <v>48.705263157894748</v>
      </c>
      <c r="R179" s="118">
        <f t="shared" si="346"/>
        <v>0.11158295057546508</v>
      </c>
      <c r="S179" s="128"/>
      <c r="T179" s="119">
        <f t="shared" ref="T179:AC179" si="359">T177/T57</f>
        <v>0.63366541353383465</v>
      </c>
      <c r="U179" s="119">
        <f t="shared" si="359"/>
        <v>0.57708814446831369</v>
      </c>
      <c r="V179" s="119">
        <f t="shared" si="359"/>
        <v>0.52556241728364272</v>
      </c>
      <c r="W179" s="119">
        <f t="shared" si="359"/>
        <v>0.47863720145474609</v>
      </c>
      <c r="X179" s="119">
        <f t="shared" si="359"/>
        <v>0.43590173703914376</v>
      </c>
      <c r="Y179" s="119">
        <f t="shared" si="359"/>
        <v>0.39698193908922019</v>
      </c>
      <c r="Z179" s="119">
        <f t="shared" si="359"/>
        <v>0.36153712309911124</v>
      </c>
      <c r="AA179" s="119">
        <f t="shared" si="359"/>
        <v>0.32925702282240482</v>
      </c>
      <c r="AB179" s="119">
        <f t="shared" si="359"/>
        <v>0.29985907435611864</v>
      </c>
      <c r="AC179" s="119">
        <f t="shared" si="359"/>
        <v>0.2730859427171794</v>
      </c>
      <c r="AD179" s="137">
        <f t="shared" si="348"/>
        <v>-0.17191647322679782</v>
      </c>
      <c r="AE179" s="31">
        <f t="shared" si="349"/>
        <v>0.05</v>
      </c>
      <c r="AF179" s="127">
        <f t="shared" si="350"/>
        <v>1.3302233562201564</v>
      </c>
    </row>
    <row r="180" spans="2:32" x14ac:dyDescent="0.2">
      <c r="B180" s="20" t="s">
        <v>463</v>
      </c>
      <c r="C180" s="25"/>
      <c r="D180" s="25"/>
      <c r="E180" s="25"/>
      <c r="F180" s="25"/>
      <c r="G180" s="25">
        <f t="shared" ref="G180:P180" si="360">G177/G55</f>
        <v>1.5840000000000001</v>
      </c>
      <c r="H180" s="25">
        <f t="shared" si="360"/>
        <v>3.0406000000000004</v>
      </c>
      <c r="I180" s="25">
        <f t="shared" si="360"/>
        <v>4.4000000000000004</v>
      </c>
      <c r="J180" s="25">
        <f t="shared" si="360"/>
        <v>2.8864000000000001</v>
      </c>
      <c r="K180" s="25">
        <f t="shared" si="360"/>
        <v>4.0920000000000005</v>
      </c>
      <c r="L180" s="25">
        <f t="shared" si="360"/>
        <v>3.1862068965517243</v>
      </c>
      <c r="M180" s="25">
        <f t="shared" si="360"/>
        <v>10.198285714285715</v>
      </c>
      <c r="N180" s="25">
        <f t="shared" si="360"/>
        <v>11.813617021276597</v>
      </c>
      <c r="O180" s="25">
        <f t="shared" si="360"/>
        <v>18.393043478260871</v>
      </c>
      <c r="P180" s="25">
        <f t="shared" si="360"/>
        <v>22.810980392156864</v>
      </c>
      <c r="Q180" s="25">
        <f>Q177/Q55</f>
        <v>31.369491525423733</v>
      </c>
      <c r="R180" s="118">
        <f t="shared" si="346"/>
        <v>0.30568639055961455</v>
      </c>
      <c r="S180" s="128"/>
      <c r="T180" s="25">
        <f t="shared" ref="T180:AC180" si="361">T177/T55</f>
        <v>0.40812348668280868</v>
      </c>
      <c r="U180" s="25">
        <f t="shared" si="361"/>
        <v>0.37168388965755789</v>
      </c>
      <c r="V180" s="25">
        <f t="shared" si="361"/>
        <v>0.33849782808099022</v>
      </c>
      <c r="W180" s="25">
        <f t="shared" si="361"/>
        <v>0.30827480771661608</v>
      </c>
      <c r="X180" s="25">
        <f t="shared" si="361"/>
        <v>0.28075027131334673</v>
      </c>
      <c r="Y180" s="25">
        <f t="shared" si="361"/>
        <v>0.2556832828032265</v>
      </c>
      <c r="Z180" s="25">
        <f t="shared" si="361"/>
        <v>0.23285441826722411</v>
      </c>
      <c r="AA180" s="25">
        <f t="shared" si="361"/>
        <v>0.21206384520765051</v>
      </c>
      <c r="AB180" s="25">
        <f t="shared" si="361"/>
        <v>0.19312957331411024</v>
      </c>
      <c r="AC180" s="25">
        <f t="shared" si="361"/>
        <v>0.17588586141106469</v>
      </c>
      <c r="AD180" s="137">
        <f t="shared" ref="AD180:AD181" si="362">((AC180/G180)^(1/($AC$3-$H$1) ))-1</f>
        <v>-0.10407060122438649</v>
      </c>
      <c r="AE180" s="31">
        <f t="shared" si="349"/>
        <v>0.05</v>
      </c>
      <c r="AF180" s="127">
        <f t="shared" ref="AF180:AF181" si="363">(AC180*(1+AD180))/($C$1-AE180)</f>
        <v>0.92694890627732984</v>
      </c>
    </row>
    <row r="181" spans="2:32" x14ac:dyDescent="0.2">
      <c r="B181" s="20" t="s">
        <v>464</v>
      </c>
      <c r="C181" s="25"/>
      <c r="D181" s="25"/>
      <c r="E181" s="25"/>
      <c r="F181" s="25"/>
      <c r="G181" s="25">
        <f t="shared" ref="G181:P181" si="364">G177/G56</f>
        <v>10.8</v>
      </c>
      <c r="H181" s="25">
        <f t="shared" si="364"/>
        <v>8.1082666666666672</v>
      </c>
      <c r="I181" s="25">
        <f t="shared" si="364"/>
        <v>6.6000000000000005</v>
      </c>
      <c r="J181" s="25">
        <f t="shared" si="364"/>
        <v>3.6080000000000001</v>
      </c>
      <c r="K181" s="25">
        <f t="shared" si="364"/>
        <v>4.5466666666666669</v>
      </c>
      <c r="L181" s="25">
        <f t="shared" si="364"/>
        <v>3.1862068965517243</v>
      </c>
      <c r="M181" s="25">
        <f t="shared" si="364"/>
        <v>10.198285714285715</v>
      </c>
      <c r="N181" s="25">
        <f t="shared" si="364"/>
        <v>11.567500000000001</v>
      </c>
      <c r="O181" s="25">
        <f t="shared" si="364"/>
        <v>18.801777777777779</v>
      </c>
      <c r="P181" s="25">
        <f t="shared" si="364"/>
        <v>23.267200000000003</v>
      </c>
      <c r="Q181" s="25">
        <f>Q177/Q56</f>
        <v>32.470175438596492</v>
      </c>
      <c r="R181" s="118">
        <f t="shared" si="346"/>
        <v>7.9771938665078812E-2</v>
      </c>
      <c r="S181" s="128"/>
      <c r="T181" s="25">
        <f t="shared" ref="T181:AC181" si="365">T177/T56</f>
        <v>0.4224436090225564</v>
      </c>
      <c r="U181" s="25">
        <f t="shared" si="365"/>
        <v>0.3847254296455424</v>
      </c>
      <c r="V181" s="25">
        <f t="shared" si="365"/>
        <v>0.35037494485576187</v>
      </c>
      <c r="W181" s="25">
        <f t="shared" si="365"/>
        <v>0.31909146763649743</v>
      </c>
      <c r="X181" s="25">
        <f t="shared" si="365"/>
        <v>0.29060115802609582</v>
      </c>
      <c r="Y181" s="25">
        <f t="shared" si="365"/>
        <v>0.26465462605948009</v>
      </c>
      <c r="Z181" s="25">
        <f t="shared" si="365"/>
        <v>0.2410247487327408</v>
      </c>
      <c r="AA181" s="25">
        <f t="shared" si="365"/>
        <v>0.21950468188160321</v>
      </c>
      <c r="AB181" s="25">
        <f t="shared" si="365"/>
        <v>0.19990604957074576</v>
      </c>
      <c r="AC181" s="25">
        <f t="shared" si="365"/>
        <v>0.1820572951447863</v>
      </c>
      <c r="AD181" s="137">
        <f t="shared" si="362"/>
        <v>-0.18465912231275894</v>
      </c>
      <c r="AE181" s="31">
        <f t="shared" si="349"/>
        <v>0.05</v>
      </c>
      <c r="AF181" s="127">
        <f t="shared" si="363"/>
        <v>0.87316914595714801</v>
      </c>
    </row>
    <row r="182" spans="2:32" x14ac:dyDescent="0.2">
      <c r="B182" s="20" t="s">
        <v>258</v>
      </c>
      <c r="C182" s="25"/>
      <c r="D182" s="25"/>
      <c r="E182" s="25"/>
      <c r="F182" s="25"/>
      <c r="G182" s="25">
        <f t="shared" ref="G182:P182" si="366">G177/G60</f>
        <v>1.5840000000000001</v>
      </c>
      <c r="H182" s="25">
        <f t="shared" si="366"/>
        <v>3.4749714285714286</v>
      </c>
      <c r="I182" s="25">
        <f t="shared" si="366"/>
        <v>4.95</v>
      </c>
      <c r="J182" s="25">
        <f t="shared" si="366"/>
        <v>3.9360000000000004</v>
      </c>
      <c r="K182" s="25">
        <f t="shared" si="366"/>
        <v>5.4560000000000004</v>
      </c>
      <c r="L182" s="25">
        <f t="shared" si="366"/>
        <v>4.4000000000000004</v>
      </c>
      <c r="M182" s="25">
        <f t="shared" si="366"/>
        <v>16.797176470588237</v>
      </c>
      <c r="N182" s="25">
        <f t="shared" si="366"/>
        <v>13.542439024390246</v>
      </c>
      <c r="O182" s="25">
        <f t="shared" si="366"/>
        <v>18.393043478260871</v>
      </c>
      <c r="P182" s="25">
        <f t="shared" si="366"/>
        <v>23.267200000000003</v>
      </c>
      <c r="Q182" s="25">
        <f t="shared" ref="Q182" si="367">Q177/Q60</f>
        <v>36.290196078431372</v>
      </c>
      <c r="R182" s="118">
        <f t="shared" si="346"/>
        <v>0.3082745544318588</v>
      </c>
      <c r="S182" s="128"/>
      <c r="T182" s="119">
        <f t="shared" ref="T182:AC182" si="368">T177/T60</f>
        <v>0.47214285714285714</v>
      </c>
      <c r="U182" s="119">
        <f t="shared" si="368"/>
        <v>0.4299872448979592</v>
      </c>
      <c r="V182" s="119">
        <f t="shared" si="368"/>
        <v>0.39159552660349856</v>
      </c>
      <c r="W182" s="119">
        <f t="shared" si="368"/>
        <v>0.35663164029961469</v>
      </c>
      <c r="X182" s="119">
        <f t="shared" si="368"/>
        <v>0.32478952955857771</v>
      </c>
      <c r="Y182" s="119">
        <f t="shared" si="368"/>
        <v>0.29579046441941892</v>
      </c>
      <c r="Z182" s="119">
        <f t="shared" si="368"/>
        <v>0.2693806015248279</v>
      </c>
      <c r="AA182" s="119">
        <f t="shared" si="368"/>
        <v>0.24532876210296825</v>
      </c>
      <c r="AB182" s="119">
        <f t="shared" si="368"/>
        <v>0.22342440834377461</v>
      </c>
      <c r="AC182" s="119">
        <f t="shared" si="368"/>
        <v>0.20347580045593758</v>
      </c>
      <c r="AD182" s="137">
        <f t="shared" si="348"/>
        <v>-9.7519390714422283E-2</v>
      </c>
      <c r="AE182" s="31">
        <f t="shared" si="349"/>
        <v>0.05</v>
      </c>
      <c r="AF182" s="127">
        <f t="shared" si="350"/>
        <v>1.080193908060854</v>
      </c>
    </row>
    <row r="183" spans="2:32" x14ac:dyDescent="0.2">
      <c r="B183" s="20" t="s">
        <v>259</v>
      </c>
      <c r="C183" s="25"/>
      <c r="D183" s="25"/>
      <c r="E183" s="25"/>
      <c r="F183" s="25"/>
      <c r="G183" s="25">
        <f t="shared" ref="G183:P183" si="369">G177/G69</f>
        <v>4.5257142857142858</v>
      </c>
      <c r="H183" s="25">
        <f t="shared" si="369"/>
        <v>11.583238095238096</v>
      </c>
      <c r="I183" s="25">
        <f t="shared" si="369"/>
        <v>18.857142857142858</v>
      </c>
      <c r="J183" s="25">
        <f t="shared" si="369"/>
        <v>13.966451612903226</v>
      </c>
      <c r="K183" s="25">
        <f t="shared" si="369"/>
        <v>19.960975609756098</v>
      </c>
      <c r="L183" s="25">
        <f t="shared" si="369"/>
        <v>6.1192052980132461</v>
      </c>
      <c r="M183" s="25">
        <f t="shared" si="369"/>
        <v>14.606240409207162</v>
      </c>
      <c r="N183" s="25">
        <f t="shared" si="369"/>
        <v>12.311308203991132</v>
      </c>
      <c r="O183" s="25">
        <f t="shared" si="369"/>
        <v>16.887824351297407</v>
      </c>
      <c r="P183" s="25">
        <f t="shared" si="369"/>
        <v>22.775254502740797</v>
      </c>
      <c r="Q183" s="25">
        <f t="shared" ref="Q183" si="370">Q177/Q69</f>
        <v>35.585464333781971</v>
      </c>
      <c r="R183" s="118">
        <f t="shared" si="346"/>
        <v>0.17537814339130819</v>
      </c>
      <c r="S183" s="128"/>
      <c r="T183" s="119">
        <f t="shared" ref="T183:AC183" si="371">T177/T69</f>
        <v>0.4629741533221633</v>
      </c>
      <c r="U183" s="119">
        <f t="shared" si="371"/>
        <v>0.42163717534697015</v>
      </c>
      <c r="V183" s="119">
        <f t="shared" si="371"/>
        <v>0.38399099897670491</v>
      </c>
      <c r="W183" s="119">
        <f t="shared" si="371"/>
        <v>0.34970608835378481</v>
      </c>
      <c r="X183" s="119">
        <f t="shared" si="371"/>
        <v>0.31848233046505392</v>
      </c>
      <c r="Y183" s="119">
        <f t="shared" si="371"/>
        <v>0.29004640810210269</v>
      </c>
      <c r="Z183" s="119">
        <f t="shared" si="371"/>
        <v>0.26414940737870063</v>
      </c>
      <c r="AA183" s="119">
        <f t="shared" si="371"/>
        <v>0.24056463886274521</v>
      </c>
      <c r="AB183" s="119">
        <f t="shared" si="371"/>
        <v>0.21908565325000004</v>
      </c>
      <c r="AC183" s="119">
        <f t="shared" si="371"/>
        <v>0.19952443420982147</v>
      </c>
      <c r="AD183" s="137">
        <f t="shared" si="348"/>
        <v>-0.14450899458573341</v>
      </c>
      <c r="AE183" s="31">
        <f t="shared" si="349"/>
        <v>0.05</v>
      </c>
      <c r="AF183" s="127">
        <f t="shared" si="350"/>
        <v>1.0040668166286639</v>
      </c>
    </row>
    <row r="184" spans="2:32" x14ac:dyDescent="0.2">
      <c r="B184" s="20" t="s">
        <v>260</v>
      </c>
      <c r="C184" s="25"/>
      <c r="D184" s="25"/>
      <c r="E184" s="25"/>
      <c r="F184" s="25"/>
      <c r="G184" s="25">
        <f t="shared" ref="G184:P184" si="372">G177/G71</f>
        <v>0.45257142857142857</v>
      </c>
      <c r="H184" s="25">
        <f t="shared" si="372"/>
        <v>1.2802526315789475</v>
      </c>
      <c r="I184" s="25">
        <f t="shared" si="372"/>
        <v>2.8285714285714287</v>
      </c>
      <c r="J184" s="25">
        <f t="shared" si="372"/>
        <v>3.3304615384615386</v>
      </c>
      <c r="K184" s="25">
        <f t="shared" si="372"/>
        <v>6.2953846153846156</v>
      </c>
      <c r="L184" s="25">
        <f t="shared" si="372"/>
        <v>4.62</v>
      </c>
      <c r="M184" s="25">
        <f t="shared" si="372"/>
        <v>16.797176470588237</v>
      </c>
      <c r="N184" s="25">
        <f t="shared" si="372"/>
        <v>11.567500000000001</v>
      </c>
      <c r="O184" s="25">
        <f t="shared" si="372"/>
        <v>19.676279069767443</v>
      </c>
      <c r="P184" s="25">
        <f t="shared" si="372"/>
        <v>25.852444444444448</v>
      </c>
      <c r="Q184" s="25">
        <f t="shared" ref="Q184" si="373">Q177/Q71</f>
        <v>57.837500000000006</v>
      </c>
      <c r="R184" s="118">
        <f t="shared" si="346"/>
        <v>0.49858523058358895</v>
      </c>
      <c r="S184" s="128"/>
      <c r="T184" s="119">
        <f t="shared" ref="T184:AC184" si="374">T177/T71</f>
        <v>0.75247767857142855</v>
      </c>
      <c r="U184" s="119">
        <f t="shared" si="374"/>
        <v>0.68529217155612243</v>
      </c>
      <c r="V184" s="119">
        <f t="shared" si="374"/>
        <v>0.6241053705243258</v>
      </c>
      <c r="W184" s="119">
        <f t="shared" si="374"/>
        <v>0.56838167672751105</v>
      </c>
      <c r="X184" s="119">
        <f t="shared" si="374"/>
        <v>0.51763331273398316</v>
      </c>
      <c r="Y184" s="119">
        <f t="shared" si="374"/>
        <v>0.47141605266844894</v>
      </c>
      <c r="Z184" s="119">
        <f t="shared" si="374"/>
        <v>0.42932533368019454</v>
      </c>
      <c r="AA184" s="119">
        <f t="shared" si="374"/>
        <v>0.39099271460160573</v>
      </c>
      <c r="AB184" s="119">
        <f t="shared" si="374"/>
        <v>0.35608265079789087</v>
      </c>
      <c r="AC184" s="119">
        <f t="shared" si="374"/>
        <v>0.32428955697665057</v>
      </c>
      <c r="AD184" s="137">
        <f t="shared" si="348"/>
        <v>-1.6527339432991894E-2</v>
      </c>
      <c r="AE184" s="31">
        <f t="shared" si="349"/>
        <v>0.05</v>
      </c>
      <c r="AF184" s="127">
        <f t="shared" si="350"/>
        <v>1.8760583140818996</v>
      </c>
    </row>
    <row r="185" spans="2:32" x14ac:dyDescent="0.2">
      <c r="B185" s="20" t="s">
        <v>281</v>
      </c>
      <c r="C185" s="25"/>
      <c r="D185" s="25"/>
      <c r="E185" s="25"/>
      <c r="F185" s="25"/>
      <c r="G185" s="180">
        <f t="shared" ref="G185:P185" si="375">G177/G65</f>
        <v>4.7520000000000007</v>
      </c>
      <c r="H185" s="180">
        <f t="shared" si="375"/>
        <v>3.4749714285714286</v>
      </c>
      <c r="I185" s="180">
        <f t="shared" si="375"/>
        <v>3.046153846153846</v>
      </c>
      <c r="J185" s="180">
        <f t="shared" si="375"/>
        <v>2.0617142857142858</v>
      </c>
      <c r="K185" s="180">
        <f t="shared" si="375"/>
        <v>3.0311111111111111</v>
      </c>
      <c r="L185" s="180">
        <f t="shared" si="375"/>
        <v>2.64</v>
      </c>
      <c r="M185" s="180">
        <f t="shared" si="375"/>
        <v>12.691200000000002</v>
      </c>
      <c r="N185" s="180">
        <f t="shared" si="375"/>
        <v>11.331428571428571</v>
      </c>
      <c r="O185" s="180">
        <f t="shared" si="375"/>
        <v>15.66814814814815</v>
      </c>
      <c r="P185" s="180">
        <f t="shared" si="375"/>
        <v>10.204912280701755</v>
      </c>
      <c r="Q185" s="180">
        <f t="shared" ref="Q185" si="376">Q177/Q65</f>
        <v>15.424618718226519</v>
      </c>
      <c r="R185" s="118">
        <f t="shared" ref="R185:R203" si="377">((P185/G185)^(1/($H$2-$H$1) ))-1</f>
        <v>7.9427018413425587E-2</v>
      </c>
      <c r="S185" s="128"/>
      <c r="T185" s="134">
        <f t="shared" ref="T185:AC185" si="378">T177/T65</f>
        <v>0.20067743740549809</v>
      </c>
      <c r="U185" s="134">
        <f t="shared" si="378"/>
        <v>0.18275980906572148</v>
      </c>
      <c r="V185" s="134">
        <f t="shared" si="378"/>
        <v>0.16644196897056782</v>
      </c>
      <c r="W185" s="134">
        <f t="shared" si="378"/>
        <v>0.15158107888390995</v>
      </c>
      <c r="X185" s="134">
        <f t="shared" si="378"/>
        <v>0.13804705398356085</v>
      </c>
      <c r="Y185" s="134">
        <f t="shared" si="378"/>
        <v>0.12572142416360005</v>
      </c>
      <c r="Z185" s="134">
        <f t="shared" si="378"/>
        <v>0.11449629700613577</v>
      </c>
      <c r="AA185" s="134">
        <f t="shared" si="378"/>
        <v>0.10427341334487368</v>
      </c>
      <c r="AB185" s="134">
        <f t="shared" si="378"/>
        <v>9.4963287153367062E-2</v>
      </c>
      <c r="AC185" s="134">
        <f t="shared" si="378"/>
        <v>8.6484422228959315E-2</v>
      </c>
      <c r="AD185" s="137">
        <f t="shared" ref="AD185" si="379">((AC185/G185)^(1/($AC$3-$H$1) ))-1</f>
        <v>-0.18152942085243273</v>
      </c>
      <c r="AE185" s="31">
        <f t="shared" ref="AE185:AE188" si="380">$L$1</f>
        <v>0.05</v>
      </c>
      <c r="AF185" s="127">
        <f t="shared" si="350"/>
        <v>0.41638208911164165</v>
      </c>
    </row>
    <row r="186" spans="2:32" x14ac:dyDescent="0.2">
      <c r="B186" s="20"/>
      <c r="C186" s="25"/>
      <c r="D186" s="25"/>
      <c r="E186" s="25"/>
      <c r="F186" s="25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28"/>
      <c r="T186" s="134"/>
      <c r="U186" s="134"/>
      <c r="V186" s="134"/>
      <c r="W186" s="134"/>
      <c r="X186" s="134"/>
      <c r="Y186" s="134"/>
      <c r="Z186" s="134"/>
      <c r="AA186" s="134"/>
      <c r="AB186" s="134"/>
      <c r="AC186" s="134"/>
      <c r="AD186" s="137"/>
      <c r="AE186" s="31">
        <f t="shared" si="380"/>
        <v>0.05</v>
      </c>
      <c r="AF186" s="127"/>
    </row>
    <row r="187" spans="2:32" x14ac:dyDescent="0.2">
      <c r="B187" s="20" t="s">
        <v>319</v>
      </c>
      <c r="C187" s="150"/>
      <c r="D187" s="150"/>
      <c r="E187" s="150"/>
      <c r="F187" s="150"/>
      <c r="G187" s="150">
        <f t="shared" ref="G187:Q187" si="381">G44/G177</f>
        <v>5.5555555555555552E-2</v>
      </c>
      <c r="H187" s="150">
        <f t="shared" si="381"/>
        <v>6.5217391304347824E-2</v>
      </c>
      <c r="I187" s="150">
        <f t="shared" si="381"/>
        <v>6.6666666666666666E-2</v>
      </c>
      <c r="J187" s="150">
        <f t="shared" si="381"/>
        <v>8.5365853658536592E-2</v>
      </c>
      <c r="K187" s="150">
        <f t="shared" si="381"/>
        <v>6.4516129032258063E-2</v>
      </c>
      <c r="L187" s="150">
        <f t="shared" si="381"/>
        <v>0.11428571428571428</v>
      </c>
      <c r="M187" s="150">
        <f t="shared" si="381"/>
        <v>3.7037037037037035E-2</v>
      </c>
      <c r="N187" s="150">
        <f t="shared" si="381"/>
        <v>3.8095238095238099E-2</v>
      </c>
      <c r="O187" s="150">
        <f t="shared" si="381"/>
        <v>2.5000000000000001E-2</v>
      </c>
      <c r="P187" s="150">
        <f t="shared" si="381"/>
        <v>2.2727272727272728E-2</v>
      </c>
      <c r="Q187" s="150">
        <f t="shared" si="381"/>
        <v>1.7142857142857144E-2</v>
      </c>
      <c r="R187" s="118">
        <f t="shared" si="377"/>
        <v>-8.5503636457202936E-2</v>
      </c>
      <c r="S187" s="128"/>
      <c r="T187" s="150">
        <f t="shared" ref="T187:AC187" si="382">T44/T177</f>
        <v>1.26</v>
      </c>
      <c r="U187" s="150">
        <f t="shared" si="382"/>
        <v>1.3230000000000002</v>
      </c>
      <c r="V187" s="150">
        <f t="shared" si="382"/>
        <v>1.3891500000000001</v>
      </c>
      <c r="W187" s="150">
        <f t="shared" si="382"/>
        <v>1.4586075000000003</v>
      </c>
      <c r="X187" s="150">
        <f t="shared" si="382"/>
        <v>1.5315378750000002</v>
      </c>
      <c r="Y187" s="150">
        <f t="shared" si="382"/>
        <v>1.6081147687500004</v>
      </c>
      <c r="Z187" s="150">
        <f t="shared" si="382"/>
        <v>1.6885205071875005</v>
      </c>
      <c r="AA187" s="150">
        <f t="shared" si="382"/>
        <v>1.7729465325468754</v>
      </c>
      <c r="AB187" s="150">
        <f t="shared" si="382"/>
        <v>1.8615938591742194</v>
      </c>
      <c r="AC187" s="150">
        <f t="shared" si="382"/>
        <v>1.9546735521329304</v>
      </c>
      <c r="AD187" s="137">
        <f t="shared" ref="AD187:AD192" si="383">((AC187/G187)^(1/($AC$3-$H$1) ))-1</f>
        <v>0.1948608652111341</v>
      </c>
      <c r="AE187" s="31">
        <f t="shared" si="380"/>
        <v>0.05</v>
      </c>
      <c r="AF187" s="127">
        <f t="shared" si="350"/>
        <v>13.738605480628673</v>
      </c>
    </row>
    <row r="188" spans="2:32" x14ac:dyDescent="0.2">
      <c r="B188" s="20" t="s">
        <v>153</v>
      </c>
      <c r="C188" s="150"/>
      <c r="D188" s="150"/>
      <c r="E188" s="150"/>
      <c r="F188" s="150"/>
      <c r="G188" s="163">
        <f t="shared" ref="G188:Q188" si="384">G177*G42</f>
        <v>9.5040000000000013</v>
      </c>
      <c r="H188" s="163">
        <f t="shared" si="384"/>
        <v>24.324800000000003</v>
      </c>
      <c r="I188" s="163">
        <f t="shared" si="384"/>
        <v>39.6</v>
      </c>
      <c r="J188" s="163">
        <f t="shared" si="384"/>
        <v>43.295999999999999</v>
      </c>
      <c r="K188" s="163">
        <f t="shared" si="384"/>
        <v>81.84</v>
      </c>
      <c r="L188" s="163">
        <f t="shared" si="384"/>
        <v>92.4</v>
      </c>
      <c r="M188" s="163">
        <f t="shared" si="384"/>
        <v>571.10400000000004</v>
      </c>
      <c r="N188" s="163">
        <f t="shared" si="384"/>
        <v>555.24</v>
      </c>
      <c r="O188" s="163">
        <f t="shared" si="384"/>
        <v>846.08</v>
      </c>
      <c r="P188" s="163">
        <f t="shared" si="384"/>
        <v>1163.3600000000001</v>
      </c>
      <c r="Q188" s="163">
        <f t="shared" si="384"/>
        <v>1850.8000000000002</v>
      </c>
      <c r="R188" s="118">
        <f t="shared" si="377"/>
        <v>0.61726344374761433</v>
      </c>
      <c r="S188" s="128"/>
      <c r="T188" s="163">
        <f t="shared" ref="T188:AC188" si="385">T177*T42</f>
        <v>26.968800000000005</v>
      </c>
      <c r="U188" s="163">
        <f t="shared" si="385"/>
        <v>27.508176000000006</v>
      </c>
      <c r="V188" s="163">
        <f t="shared" si="385"/>
        <v>28.058339520000008</v>
      </c>
      <c r="W188" s="163">
        <f t="shared" si="385"/>
        <v>28.619506310400013</v>
      </c>
      <c r="X188" s="163">
        <f t="shared" si="385"/>
        <v>29.191896436608012</v>
      </c>
      <c r="Y188" s="163">
        <f t="shared" si="385"/>
        <v>29.775734365340174</v>
      </c>
      <c r="Z188" s="163">
        <f t="shared" si="385"/>
        <v>30.371249052646977</v>
      </c>
      <c r="AA188" s="163">
        <f t="shared" si="385"/>
        <v>30.978674033699917</v>
      </c>
      <c r="AB188" s="163">
        <f t="shared" si="385"/>
        <v>31.598247514373913</v>
      </c>
      <c r="AC188" s="163">
        <f t="shared" si="385"/>
        <v>32.230212464661392</v>
      </c>
      <c r="AD188" s="137">
        <f t="shared" si="383"/>
        <v>6.2962239622231131E-2</v>
      </c>
      <c r="AE188" s="31">
        <f t="shared" si="380"/>
        <v>0.05</v>
      </c>
      <c r="AF188" s="127">
        <f t="shared" si="350"/>
        <v>201.52646367609896</v>
      </c>
    </row>
    <row r="189" spans="2:32" x14ac:dyDescent="0.2">
      <c r="B189" s="20"/>
      <c r="C189" s="150"/>
      <c r="D189" s="150"/>
      <c r="E189" s="150"/>
      <c r="F189" s="150"/>
      <c r="G189" s="150"/>
      <c r="H189" s="150"/>
      <c r="I189" s="150"/>
      <c r="J189" s="150"/>
      <c r="K189" s="150"/>
      <c r="L189" s="150"/>
      <c r="M189" s="150"/>
      <c r="N189" s="150"/>
      <c r="O189" s="150"/>
      <c r="P189" s="150"/>
      <c r="Q189" s="150"/>
      <c r="R189" s="150"/>
      <c r="S189" s="128"/>
      <c r="T189" s="150"/>
      <c r="U189" s="150"/>
      <c r="V189" s="150"/>
      <c r="W189" s="150"/>
      <c r="X189" s="150"/>
      <c r="Y189" s="150"/>
      <c r="Z189" s="150"/>
      <c r="AA189" s="150"/>
      <c r="AB189" s="150"/>
      <c r="AC189" s="150"/>
      <c r="AD189" s="150"/>
      <c r="AE189" s="150"/>
      <c r="AF189" s="150"/>
    </row>
    <row r="190" spans="2:32" x14ac:dyDescent="0.2">
      <c r="B190" s="20" t="s">
        <v>370</v>
      </c>
      <c r="C190" s="159"/>
      <c r="D190" s="159"/>
      <c r="E190" s="159"/>
      <c r="F190" s="159"/>
      <c r="G190" s="159">
        <f t="shared" ref="G190:Q190" si="386">G57/G177</f>
        <v>8.4175084175084181E-2</v>
      </c>
      <c r="H190" s="159">
        <f t="shared" si="386"/>
        <v>0.12333092152864565</v>
      </c>
      <c r="I190" s="159">
        <f t="shared" si="386"/>
        <v>0.10101010101010101</v>
      </c>
      <c r="J190" s="159">
        <f t="shared" si="386"/>
        <v>0.16167775314116778</v>
      </c>
      <c r="K190" s="159">
        <f t="shared" si="386"/>
        <v>0.13440860215053763</v>
      </c>
      <c r="L190" s="159">
        <f t="shared" si="386"/>
        <v>0.20562770562770563</v>
      </c>
      <c r="M190" s="159">
        <f t="shared" si="386"/>
        <v>6.4786798901776202E-2</v>
      </c>
      <c r="N190" s="159">
        <f t="shared" si="386"/>
        <v>5.7632735393703616E-2</v>
      </c>
      <c r="O190" s="159">
        <f t="shared" si="386"/>
        <v>3.5457639939485627E-2</v>
      </c>
      <c r="P190" s="159">
        <f t="shared" si="386"/>
        <v>2.9225691101636635E-2</v>
      </c>
      <c r="Q190" s="159">
        <f t="shared" si="386"/>
        <v>2.0531661984006914E-2</v>
      </c>
      <c r="R190" s="118">
        <f t="shared" ref="R190" si="387">((P190/G190)^(1/($H$2-$H$1) ))-1</f>
        <v>-0.10038202773594063</v>
      </c>
      <c r="S190" s="128"/>
      <c r="T190" s="159">
        <f t="shared" ref="T190:AC190" si="388">T57/T177</f>
        <v>1.5781199015158256</v>
      </c>
      <c r="U190" s="159">
        <f t="shared" si="388"/>
        <v>1.732837538919338</v>
      </c>
      <c r="V190" s="159">
        <f t="shared" si="388"/>
        <v>1.9027235721467242</v>
      </c>
      <c r="W190" s="159">
        <f t="shared" si="388"/>
        <v>2.0892650988277754</v>
      </c>
      <c r="X190" s="159">
        <f t="shared" si="388"/>
        <v>2.2940950104775575</v>
      </c>
      <c r="Y190" s="159">
        <f t="shared" si="388"/>
        <v>2.519006286014573</v>
      </c>
      <c r="Z190" s="159">
        <f t="shared" si="388"/>
        <v>2.7659676866042373</v>
      </c>
      <c r="AA190" s="159">
        <f t="shared" si="388"/>
        <v>3.0371409892124963</v>
      </c>
      <c r="AB190" s="159">
        <f t="shared" si="388"/>
        <v>3.3348999097235259</v>
      </c>
      <c r="AC190" s="159">
        <f t="shared" si="388"/>
        <v>3.6618508812650488</v>
      </c>
      <c r="AD190" s="137">
        <f t="shared" ref="AD190" si="389">((AC190/G190)^(1/($AC$3-$H$1) ))-1</f>
        <v>0.20760764786217378</v>
      </c>
      <c r="AE190" s="31">
        <f t="shared" ref="AE190" si="390">$L$1</f>
        <v>0.05</v>
      </c>
      <c r="AF190" s="127">
        <f t="shared" ref="AF190" si="391">(AC190*(1+AD190))/($C$1-AE190)</f>
        <v>26.012230173803026</v>
      </c>
    </row>
    <row r="191" spans="2:32" x14ac:dyDescent="0.2">
      <c r="B191" s="20" t="str">
        <f>B179</f>
        <v>P/E (how many years it will take to recover invested amount)</v>
      </c>
      <c r="C191" s="150"/>
      <c r="D191" s="150"/>
      <c r="E191" s="150"/>
      <c r="F191" s="150"/>
      <c r="G191" s="179">
        <f t="shared" ref="G191:Q191" si="392">G179</f>
        <v>11.88</v>
      </c>
      <c r="H191" s="179">
        <f t="shared" si="392"/>
        <v>8.1082666666666672</v>
      </c>
      <c r="I191" s="179">
        <f t="shared" si="392"/>
        <v>9.9</v>
      </c>
      <c r="J191" s="179">
        <f t="shared" si="392"/>
        <v>6.1851428571428571</v>
      </c>
      <c r="K191" s="179">
        <f t="shared" si="392"/>
        <v>7.44</v>
      </c>
      <c r="L191" s="179">
        <f t="shared" si="392"/>
        <v>4.8631578947368421</v>
      </c>
      <c r="M191" s="179">
        <f t="shared" si="392"/>
        <v>15.435243243243244</v>
      </c>
      <c r="N191" s="179">
        <f t="shared" si="392"/>
        <v>17.35125</v>
      </c>
      <c r="O191" s="179">
        <f t="shared" si="392"/>
        <v>28.202666666666669</v>
      </c>
      <c r="P191" s="179">
        <f t="shared" si="392"/>
        <v>34.216470588235296</v>
      </c>
      <c r="Q191" s="179">
        <f t="shared" si="392"/>
        <v>48.705263157894748</v>
      </c>
      <c r="R191" s="118">
        <f t="shared" si="377"/>
        <v>0.11158295057546508</v>
      </c>
      <c r="S191" s="128"/>
      <c r="T191" s="150">
        <f t="shared" ref="T191:AC191" si="393">T179</f>
        <v>0.63366541353383465</v>
      </c>
      <c r="U191" s="150">
        <f t="shared" si="393"/>
        <v>0.57708814446831369</v>
      </c>
      <c r="V191" s="150">
        <f t="shared" si="393"/>
        <v>0.52556241728364272</v>
      </c>
      <c r="W191" s="150">
        <f t="shared" si="393"/>
        <v>0.47863720145474609</v>
      </c>
      <c r="X191" s="150">
        <f t="shared" si="393"/>
        <v>0.43590173703914376</v>
      </c>
      <c r="Y191" s="150">
        <f t="shared" si="393"/>
        <v>0.39698193908922019</v>
      </c>
      <c r="Z191" s="150">
        <f t="shared" si="393"/>
        <v>0.36153712309911124</v>
      </c>
      <c r="AA191" s="150">
        <f t="shared" si="393"/>
        <v>0.32925702282240482</v>
      </c>
      <c r="AB191" s="150">
        <f t="shared" si="393"/>
        <v>0.29985907435611864</v>
      </c>
      <c r="AC191" s="150">
        <f t="shared" si="393"/>
        <v>0.2730859427171794</v>
      </c>
      <c r="AD191" s="137">
        <f t="shared" ref="AD191" si="394">((AC191/G191)^(1/($AC$3-$H$1) ))-1</f>
        <v>-0.17191647322679782</v>
      </c>
      <c r="AE191" s="31">
        <f t="shared" ref="AE191:AE193" si="395">$L$1</f>
        <v>0.05</v>
      </c>
      <c r="AF191" s="179">
        <f>(AF178)/($L$2*100)</f>
        <v>9.9210848340893203E-3</v>
      </c>
    </row>
    <row r="192" spans="2:32" x14ac:dyDescent="0.2">
      <c r="B192" s="20" t="s">
        <v>445</v>
      </c>
      <c r="C192" s="179"/>
      <c r="D192" s="179"/>
      <c r="E192" s="179"/>
      <c r="F192" s="179"/>
      <c r="G192" s="179">
        <f t="shared" ref="G192:Q192" si="396">(G179)/($L$2*100)</f>
        <v>0.9900000000000001</v>
      </c>
      <c r="H192" s="179">
        <f t="shared" si="396"/>
        <v>0.67568888888888889</v>
      </c>
      <c r="I192" s="179">
        <f t="shared" si="396"/>
        <v>0.82500000000000007</v>
      </c>
      <c r="J192" s="179">
        <f t="shared" si="396"/>
        <v>0.51542857142857146</v>
      </c>
      <c r="K192" s="179">
        <f t="shared" si="396"/>
        <v>0.62</v>
      </c>
      <c r="L192" s="179">
        <f t="shared" si="396"/>
        <v>0.40526315789473683</v>
      </c>
      <c r="M192" s="179">
        <f t="shared" si="396"/>
        <v>1.2862702702702704</v>
      </c>
      <c r="N192" s="179">
        <f t="shared" si="396"/>
        <v>1.4459375000000001</v>
      </c>
      <c r="O192" s="179">
        <f t="shared" si="396"/>
        <v>2.3502222222222224</v>
      </c>
      <c r="P192" s="179">
        <f t="shared" si="396"/>
        <v>2.851372549019608</v>
      </c>
      <c r="Q192" s="179">
        <f t="shared" si="396"/>
        <v>4.0587719298245624</v>
      </c>
      <c r="R192" s="118">
        <f t="shared" si="377"/>
        <v>0.11158295057546508</v>
      </c>
      <c r="S192" s="128"/>
      <c r="T192" s="179">
        <f t="shared" ref="T192:AC192" si="397">(T179)/($L$2*100)</f>
        <v>5.2805451127819557E-2</v>
      </c>
      <c r="U192" s="179">
        <f t="shared" si="397"/>
        <v>4.8090678705692808E-2</v>
      </c>
      <c r="V192" s="179">
        <f t="shared" si="397"/>
        <v>4.3796868106970227E-2</v>
      </c>
      <c r="W192" s="179">
        <f t="shared" si="397"/>
        <v>3.9886433454562172E-2</v>
      </c>
      <c r="X192" s="179">
        <f t="shared" si="397"/>
        <v>3.6325144753261977E-2</v>
      </c>
      <c r="Y192" s="179">
        <f t="shared" si="397"/>
        <v>3.3081828257435018E-2</v>
      </c>
      <c r="Z192" s="179">
        <f t="shared" si="397"/>
        <v>3.0128093591592603E-2</v>
      </c>
      <c r="AA192" s="179">
        <f t="shared" si="397"/>
        <v>2.7438085235200402E-2</v>
      </c>
      <c r="AB192" s="179">
        <f t="shared" si="397"/>
        <v>2.498825619634322E-2</v>
      </c>
      <c r="AC192" s="179">
        <f t="shared" si="397"/>
        <v>2.2757161893098284E-2</v>
      </c>
      <c r="AD192" s="137">
        <f t="shared" si="383"/>
        <v>-0.17191647322679782</v>
      </c>
      <c r="AE192" s="31">
        <f t="shared" si="395"/>
        <v>0.05</v>
      </c>
      <c r="AF192" s="179">
        <f>(AF179)/($L$2*100)</f>
        <v>0.11085194635167971</v>
      </c>
    </row>
    <row r="193" spans="2:32" x14ac:dyDescent="0.2">
      <c r="B193" s="20" t="s">
        <v>446</v>
      </c>
      <c r="C193" s="150"/>
      <c r="D193" s="150"/>
      <c r="E193" s="150"/>
      <c r="F193" s="150"/>
      <c r="G193" s="150">
        <f t="shared" ref="G193:P193" si="398">G192-1</f>
        <v>-9.9999999999998979E-3</v>
      </c>
      <c r="H193" s="150">
        <f t="shared" si="398"/>
        <v>-0.32431111111111111</v>
      </c>
      <c r="I193" s="150">
        <f t="shared" si="398"/>
        <v>-0.17499999999999993</v>
      </c>
      <c r="J193" s="150">
        <f t="shared" si="398"/>
        <v>-0.48457142857142854</v>
      </c>
      <c r="K193" s="150">
        <f t="shared" si="398"/>
        <v>-0.38</v>
      </c>
      <c r="L193" s="150">
        <f t="shared" si="398"/>
        <v>-0.59473684210526323</v>
      </c>
      <c r="M193" s="150">
        <f t="shared" si="398"/>
        <v>0.28627027027027041</v>
      </c>
      <c r="N193" s="150">
        <f t="shared" si="398"/>
        <v>0.4459375000000001</v>
      </c>
      <c r="O193" s="150">
        <f t="shared" si="398"/>
        <v>1.3502222222222224</v>
      </c>
      <c r="P193" s="150">
        <f t="shared" si="398"/>
        <v>1.851372549019608</v>
      </c>
      <c r="Q193" s="150">
        <f>Q192-1</f>
        <v>3.0587719298245624</v>
      </c>
      <c r="R193" s="118" t="e">
        <f t="shared" si="377"/>
        <v>#NUM!</v>
      </c>
      <c r="S193" s="128"/>
      <c r="T193" s="150">
        <f t="shared" ref="T193:AC193" si="399">T192-1</f>
        <v>-0.94719454887218046</v>
      </c>
      <c r="U193" s="150">
        <f t="shared" si="399"/>
        <v>-0.95190932129430716</v>
      </c>
      <c r="V193" s="150">
        <f t="shared" si="399"/>
        <v>-0.95620313189302975</v>
      </c>
      <c r="W193" s="150">
        <f t="shared" si="399"/>
        <v>-0.96011356654543778</v>
      </c>
      <c r="X193" s="150">
        <f t="shared" si="399"/>
        <v>-0.96367485524673802</v>
      </c>
      <c r="Y193" s="150">
        <f t="shared" si="399"/>
        <v>-0.966918171742565</v>
      </c>
      <c r="Z193" s="150">
        <f t="shared" si="399"/>
        <v>-0.96987190640840737</v>
      </c>
      <c r="AA193" s="150">
        <f t="shared" si="399"/>
        <v>-0.97256191476479958</v>
      </c>
      <c r="AB193" s="150">
        <f t="shared" si="399"/>
        <v>-0.97501174380365674</v>
      </c>
      <c r="AC193" s="150">
        <f t="shared" si="399"/>
        <v>-0.97724283810690171</v>
      </c>
      <c r="AD193" s="137">
        <f t="shared" ref="AD193" si="400">((AC193/G193)^(1/($AC$3-$H$1) ))-1</f>
        <v>0.25747721576497717</v>
      </c>
      <c r="AE193" s="31">
        <f t="shared" si="395"/>
        <v>0.05</v>
      </c>
      <c r="AF193" s="179">
        <f>(AF180)/($L$2*100)</f>
        <v>7.7245742189777492E-2</v>
      </c>
    </row>
    <row r="194" spans="2:32" x14ac:dyDescent="0.2">
      <c r="B194" s="20"/>
      <c r="C194" s="150"/>
      <c r="D194" s="150"/>
      <c r="E194" s="150"/>
      <c r="F194" s="150"/>
      <c r="G194" s="150"/>
      <c r="H194" s="150"/>
      <c r="I194" s="150"/>
      <c r="J194" s="150"/>
      <c r="K194" s="150"/>
      <c r="L194" s="150"/>
      <c r="M194" s="150"/>
      <c r="N194" s="150"/>
      <c r="O194" s="150"/>
      <c r="P194" s="150"/>
      <c r="Q194" s="150"/>
      <c r="R194" s="128"/>
      <c r="S194" s="128"/>
      <c r="T194" s="150"/>
      <c r="U194" s="150"/>
      <c r="V194" s="150"/>
      <c r="W194" s="150"/>
      <c r="X194" s="150"/>
      <c r="Y194" s="150"/>
      <c r="Z194" s="150"/>
      <c r="AA194" s="150"/>
      <c r="AB194" s="150"/>
      <c r="AC194" s="134"/>
      <c r="AD194" s="136"/>
      <c r="AE194" s="20"/>
      <c r="AF194" s="127"/>
    </row>
    <row r="195" spans="2:32" x14ac:dyDescent="0.2">
      <c r="B195" s="20" t="s">
        <v>474</v>
      </c>
      <c r="C195" s="150"/>
      <c r="D195" s="150"/>
      <c r="E195" s="150"/>
      <c r="F195" s="150"/>
      <c r="G195" s="150">
        <f t="shared" ref="G195:Q195" si="401">1/G196</f>
        <v>2.0610797842265316</v>
      </c>
      <c r="H195" s="150">
        <f t="shared" si="401"/>
        <v>0.80650948078429496</v>
      </c>
      <c r="I195" s="150">
        <f t="shared" si="401"/>
        <v>0.49465914821436757</v>
      </c>
      <c r="J195" s="150">
        <f t="shared" si="401"/>
        <v>0.45243214775704349</v>
      </c>
      <c r="K195" s="150">
        <f t="shared" si="401"/>
        <v>0.23935120074888755</v>
      </c>
      <c r="L195" s="150">
        <f t="shared" si="401"/>
        <v>0.21199677780615753</v>
      </c>
      <c r="M195" s="150">
        <f t="shared" si="401"/>
        <v>3.435132973710886E-2</v>
      </c>
      <c r="N195" s="150">
        <f t="shared" si="401"/>
        <v>3.5332796301026252E-2</v>
      </c>
      <c r="O195" s="150">
        <f t="shared" si="401"/>
        <v>2.3187147572548479E-2</v>
      </c>
      <c r="P195" s="150">
        <f t="shared" si="401"/>
        <v>1.6863380052762531E-2</v>
      </c>
      <c r="Q195" s="150">
        <f t="shared" si="401"/>
        <v>1.0599838890307878E-2</v>
      </c>
      <c r="R195" s="118">
        <f t="shared" ref="R195" si="402">((P195/G195)^(1/($H$2-$H$1) ))-1</f>
        <v>-0.38157792670614898</v>
      </c>
      <c r="S195" s="128"/>
      <c r="T195" s="150">
        <f t="shared" ref="T195:AC195" si="403">1/T196</f>
        <v>0.74198872232155133</v>
      </c>
      <c r="U195" s="150">
        <f t="shared" si="403"/>
        <v>0.74198872232155133</v>
      </c>
      <c r="V195" s="150">
        <f t="shared" si="403"/>
        <v>0.74198872232155133</v>
      </c>
      <c r="W195" s="150">
        <f t="shared" si="403"/>
        <v>0.74198872232155133</v>
      </c>
      <c r="X195" s="150">
        <f t="shared" si="403"/>
        <v>0.74198872232155133</v>
      </c>
      <c r="Y195" s="150">
        <f t="shared" si="403"/>
        <v>0.74198872232155133</v>
      </c>
      <c r="Z195" s="150">
        <f t="shared" si="403"/>
        <v>0.74198872232155133</v>
      </c>
      <c r="AA195" s="150">
        <f t="shared" si="403"/>
        <v>0.74198872232155133</v>
      </c>
      <c r="AB195" s="150">
        <f t="shared" si="403"/>
        <v>0.74198872232155133</v>
      </c>
      <c r="AC195" s="150">
        <f t="shared" si="403"/>
        <v>0.74198872232155133</v>
      </c>
      <c r="AD195" s="137">
        <f t="shared" ref="AD195" si="404">((AC195/G195)^(1/($AC$3-$H$1) ))-1</f>
        <v>-4.9799783494323568E-2</v>
      </c>
      <c r="AE195" s="31">
        <f t="shared" ref="AE195:AE198" si="405">$L$1</f>
        <v>0.05</v>
      </c>
      <c r="AF195" s="179">
        <f>(AF182)/($L$2*100)</f>
        <v>9.0016159005071164E-2</v>
      </c>
    </row>
    <row r="196" spans="2:32" x14ac:dyDescent="0.2">
      <c r="B196" s="20" t="s">
        <v>475</v>
      </c>
      <c r="C196" s="129"/>
      <c r="D196" s="129"/>
      <c r="E196" s="129"/>
      <c r="F196" s="129"/>
      <c r="G196" s="134">
        <f t="shared" ref="G196:Q196" si="406">G177/$S$146</f>
        <v>0.48518257645968488</v>
      </c>
      <c r="H196" s="134">
        <f t="shared" si="406"/>
        <v>1.2399110287303059</v>
      </c>
      <c r="I196" s="134">
        <f t="shared" si="406"/>
        <v>2.0215940685820204</v>
      </c>
      <c r="J196" s="134">
        <f t="shared" si="406"/>
        <v>2.2102761816496757</v>
      </c>
      <c r="K196" s="134">
        <f t="shared" si="406"/>
        <v>4.1779610750695086</v>
      </c>
      <c r="L196" s="134">
        <f t="shared" si="406"/>
        <v>4.7170528266913809</v>
      </c>
      <c r="M196" s="134">
        <f t="shared" si="406"/>
        <v>29.110954587581091</v>
      </c>
      <c r="N196" s="134">
        <f t="shared" si="406"/>
        <v>28.302316960148286</v>
      </c>
      <c r="O196" s="134">
        <f t="shared" si="406"/>
        <v>43.127340129749768</v>
      </c>
      <c r="P196" s="134">
        <f t="shared" si="406"/>
        <v>59.300092678405932</v>
      </c>
      <c r="Q196" s="134">
        <f t="shared" si="406"/>
        <v>94.341056533827611</v>
      </c>
      <c r="R196" s="118">
        <f t="shared" si="377"/>
        <v>0.61701860781550311</v>
      </c>
      <c r="S196" s="128"/>
      <c r="T196" s="134">
        <f t="shared" ref="T196:AC196" si="407">T177/$S$146</f>
        <v>1.3477293790546803</v>
      </c>
      <c r="U196" s="134">
        <f t="shared" si="407"/>
        <v>1.3477293790546803</v>
      </c>
      <c r="V196" s="134">
        <f t="shared" si="407"/>
        <v>1.3477293790546803</v>
      </c>
      <c r="W196" s="134">
        <f t="shared" si="407"/>
        <v>1.3477293790546803</v>
      </c>
      <c r="X196" s="134">
        <f t="shared" si="407"/>
        <v>1.3477293790546803</v>
      </c>
      <c r="Y196" s="134">
        <f t="shared" si="407"/>
        <v>1.3477293790546803</v>
      </c>
      <c r="Z196" s="134">
        <f t="shared" si="407"/>
        <v>1.3477293790546803</v>
      </c>
      <c r="AA196" s="134">
        <f t="shared" si="407"/>
        <v>1.3477293790546803</v>
      </c>
      <c r="AB196" s="134">
        <f t="shared" si="407"/>
        <v>1.3477293790546803</v>
      </c>
      <c r="AC196" s="134">
        <f t="shared" si="407"/>
        <v>1.3477293790546803</v>
      </c>
      <c r="AD196" s="137">
        <f t="shared" ref="AD196:AD198" si="408">((AC196/G196)^(1/($AC$3-$H$1) ))-1</f>
        <v>5.2409779148925306E-2</v>
      </c>
      <c r="AE196" s="31">
        <f t="shared" si="405"/>
        <v>0.05</v>
      </c>
      <c r="AF196" s="179">
        <f>(AF182)/($L$2*100)</f>
        <v>9.0016159005071164E-2</v>
      </c>
    </row>
    <row r="197" spans="2:32" x14ac:dyDescent="0.2">
      <c r="B197" s="20" t="s">
        <v>469</v>
      </c>
      <c r="C197" s="129"/>
      <c r="D197" s="129"/>
      <c r="E197" s="129"/>
      <c r="F197" s="129"/>
      <c r="G197" s="179">
        <f t="shared" ref="G197:Q197" si="409">(G196)/($L$2*100)</f>
        <v>4.0431881371640409E-2</v>
      </c>
      <c r="H197" s="179">
        <f t="shared" si="409"/>
        <v>0.10332591906085882</v>
      </c>
      <c r="I197" s="179">
        <f t="shared" si="409"/>
        <v>0.16846617238183503</v>
      </c>
      <c r="J197" s="179">
        <f t="shared" si="409"/>
        <v>0.18418968180413964</v>
      </c>
      <c r="K197" s="179">
        <f t="shared" si="409"/>
        <v>0.34816342292245905</v>
      </c>
      <c r="L197" s="179">
        <f t="shared" si="409"/>
        <v>0.39308773555761506</v>
      </c>
      <c r="M197" s="179">
        <f t="shared" si="409"/>
        <v>2.4259128822984244</v>
      </c>
      <c r="N197" s="179">
        <f t="shared" si="409"/>
        <v>2.3585264133456905</v>
      </c>
      <c r="O197" s="179">
        <f t="shared" si="409"/>
        <v>3.5939450108124809</v>
      </c>
      <c r="P197" s="179">
        <f t="shared" si="409"/>
        <v>4.9416743898671607</v>
      </c>
      <c r="Q197" s="179">
        <f t="shared" si="409"/>
        <v>7.861754711152301</v>
      </c>
      <c r="R197" s="118">
        <f t="shared" si="377"/>
        <v>0.61701860781550311</v>
      </c>
      <c r="S197" s="128"/>
      <c r="T197" s="179">
        <f t="shared" ref="T197:AC197" si="410">(T196)/($L$2*100)</f>
        <v>0.11231078158789003</v>
      </c>
      <c r="U197" s="179">
        <f t="shared" si="410"/>
        <v>0.11231078158789003</v>
      </c>
      <c r="V197" s="179">
        <f t="shared" si="410"/>
        <v>0.11231078158789003</v>
      </c>
      <c r="W197" s="179">
        <f t="shared" si="410"/>
        <v>0.11231078158789003</v>
      </c>
      <c r="X197" s="179">
        <f t="shared" si="410"/>
        <v>0.11231078158789003</v>
      </c>
      <c r="Y197" s="179">
        <f t="shared" si="410"/>
        <v>0.11231078158789003</v>
      </c>
      <c r="Z197" s="179">
        <f t="shared" si="410"/>
        <v>0.11231078158789003</v>
      </c>
      <c r="AA197" s="179">
        <f t="shared" si="410"/>
        <v>0.11231078158789003</v>
      </c>
      <c r="AB197" s="179">
        <f t="shared" si="410"/>
        <v>0.11231078158789003</v>
      </c>
      <c r="AC197" s="179">
        <f t="shared" si="410"/>
        <v>0.11231078158789003</v>
      </c>
      <c r="AD197" s="137">
        <f t="shared" si="408"/>
        <v>5.2409779148925306E-2</v>
      </c>
      <c r="AE197" s="31">
        <f t="shared" si="405"/>
        <v>0.05</v>
      </c>
      <c r="AF197" s="179">
        <f>(AF183)/($L$2*100)</f>
        <v>8.3672234719055327E-2</v>
      </c>
    </row>
    <row r="198" spans="2:32" x14ac:dyDescent="0.2">
      <c r="B198" s="20" t="s">
        <v>470</v>
      </c>
      <c r="C198" s="129"/>
      <c r="D198" s="129"/>
      <c r="E198" s="129"/>
      <c r="F198" s="129"/>
      <c r="G198" s="150">
        <f t="shared" ref="G198:Q198" si="411">G197-1</f>
        <v>-0.95956811862835956</v>
      </c>
      <c r="H198" s="150">
        <f t="shared" si="411"/>
        <v>-0.89667408093914114</v>
      </c>
      <c r="I198" s="150">
        <f t="shared" si="411"/>
        <v>-0.83153382761816497</v>
      </c>
      <c r="J198" s="150">
        <f t="shared" si="411"/>
        <v>-0.81581031819586036</v>
      </c>
      <c r="K198" s="150">
        <f t="shared" si="411"/>
        <v>-0.65183657707754095</v>
      </c>
      <c r="L198" s="150">
        <f t="shared" si="411"/>
        <v>-0.606912264442385</v>
      </c>
      <c r="M198" s="150">
        <f t="shared" si="411"/>
        <v>1.4259128822984244</v>
      </c>
      <c r="N198" s="150">
        <f t="shared" si="411"/>
        <v>1.3585264133456905</v>
      </c>
      <c r="O198" s="150">
        <f t="shared" si="411"/>
        <v>2.5939450108124809</v>
      </c>
      <c r="P198" s="150">
        <f t="shared" si="411"/>
        <v>3.9416743898671607</v>
      </c>
      <c r="Q198" s="150">
        <f t="shared" si="411"/>
        <v>6.861754711152301</v>
      </c>
      <c r="R198" s="118" t="e">
        <f t="shared" si="377"/>
        <v>#NUM!</v>
      </c>
      <c r="S198" s="128"/>
      <c r="T198" s="150">
        <f t="shared" ref="T198:AC198" si="412">T197-1</f>
        <v>-0.88768921841211001</v>
      </c>
      <c r="U198" s="150">
        <f t="shared" si="412"/>
        <v>-0.88768921841211001</v>
      </c>
      <c r="V198" s="150">
        <f t="shared" si="412"/>
        <v>-0.88768921841211001</v>
      </c>
      <c r="W198" s="150">
        <f t="shared" si="412"/>
        <v>-0.88768921841211001</v>
      </c>
      <c r="X198" s="150">
        <f t="shared" si="412"/>
        <v>-0.88768921841211001</v>
      </c>
      <c r="Y198" s="150">
        <f t="shared" si="412"/>
        <v>-0.88768921841211001</v>
      </c>
      <c r="Z198" s="150">
        <f t="shared" si="412"/>
        <v>-0.88768921841211001</v>
      </c>
      <c r="AA198" s="150">
        <f t="shared" si="412"/>
        <v>-0.88768921841211001</v>
      </c>
      <c r="AB198" s="150">
        <f t="shared" si="412"/>
        <v>-0.88768921841211001</v>
      </c>
      <c r="AC198" s="150">
        <f t="shared" si="412"/>
        <v>-0.88768921841211001</v>
      </c>
      <c r="AD198" s="137">
        <f t="shared" si="408"/>
        <v>-3.8855120045587777E-3</v>
      </c>
      <c r="AE198" s="31">
        <f t="shared" si="405"/>
        <v>0.05</v>
      </c>
      <c r="AF198" s="179">
        <f>(AF184)/($L$2*100)</f>
        <v>0.15633819284015829</v>
      </c>
    </row>
    <row r="199" spans="2:32" x14ac:dyDescent="0.2">
      <c r="B199" s="20"/>
      <c r="C199" s="129"/>
      <c r="D199" s="129"/>
      <c r="E199" s="129"/>
      <c r="F199" s="129"/>
      <c r="G199" s="134"/>
      <c r="H199" s="134"/>
      <c r="I199" s="134"/>
      <c r="J199" s="134"/>
      <c r="K199" s="197"/>
      <c r="L199" s="198"/>
      <c r="M199" s="134"/>
      <c r="N199" s="134"/>
      <c r="O199" s="134"/>
      <c r="P199" s="134"/>
      <c r="Q199" s="134"/>
      <c r="R199" s="128"/>
      <c r="S199" s="128"/>
      <c r="T199" s="134"/>
      <c r="U199" s="134"/>
      <c r="V199" s="134"/>
      <c r="W199" s="134"/>
      <c r="X199" s="134"/>
      <c r="Y199" s="134"/>
      <c r="Z199" s="134"/>
      <c r="AA199" s="134"/>
      <c r="AB199" s="134"/>
      <c r="AC199" s="134"/>
      <c r="AD199" s="136"/>
      <c r="AE199" s="20"/>
      <c r="AF199" s="20"/>
    </row>
    <row r="200" spans="2:32" x14ac:dyDescent="0.2">
      <c r="B200" s="20" t="s">
        <v>474</v>
      </c>
      <c r="C200" s="129"/>
      <c r="D200" s="129"/>
      <c r="E200" s="129"/>
      <c r="F200" s="129"/>
      <c r="G200" s="150">
        <f t="shared" ref="G200:Q200" si="413">1/G201</f>
        <v>3.5930408472012099</v>
      </c>
      <c r="H200" s="150">
        <f t="shared" si="413"/>
        <v>1.4059725054265602</v>
      </c>
      <c r="I200" s="150">
        <f t="shared" si="413"/>
        <v>0.86232980332829023</v>
      </c>
      <c r="J200" s="150">
        <f t="shared" si="413"/>
        <v>0.78871628353197287</v>
      </c>
      <c r="K200" s="150">
        <f t="shared" si="413"/>
        <v>0.4172563564491728</v>
      </c>
      <c r="L200" s="150">
        <f t="shared" si="413"/>
        <v>0.36956991571212444</v>
      </c>
      <c r="M200" s="150">
        <f t="shared" si="413"/>
        <v>5.988401412002016E-2</v>
      </c>
      <c r="N200" s="150">
        <f t="shared" si="413"/>
        <v>6.1594985952020731E-2</v>
      </c>
      <c r="O200" s="150">
        <f t="shared" si="413"/>
        <v>4.0421709531013608E-2</v>
      </c>
      <c r="P200" s="150">
        <f t="shared" si="413"/>
        <v>2.9397606931646263E-2</v>
      </c>
      <c r="Q200" s="150">
        <f t="shared" si="413"/>
        <v>1.847849578560622E-2</v>
      </c>
      <c r="R200" s="118">
        <f t="shared" ref="R200" si="414">((P200/G200)^(1/($H$2-$H$1) ))-1</f>
        <v>-0.38157792670614898</v>
      </c>
      <c r="S200" s="128"/>
      <c r="T200" s="150">
        <f t="shared" ref="T200:AC200" si="415">1/T201</f>
        <v>1.2934947049924355</v>
      </c>
      <c r="U200" s="150">
        <f t="shared" si="415"/>
        <v>1.2934947049924355</v>
      </c>
      <c r="V200" s="150">
        <f t="shared" si="415"/>
        <v>1.2934947049924355</v>
      </c>
      <c r="W200" s="150">
        <f t="shared" si="415"/>
        <v>1.2934947049924355</v>
      </c>
      <c r="X200" s="150">
        <f t="shared" si="415"/>
        <v>1.2934947049924355</v>
      </c>
      <c r="Y200" s="150">
        <f t="shared" si="415"/>
        <v>1.2934947049924355</v>
      </c>
      <c r="Z200" s="150">
        <f t="shared" si="415"/>
        <v>1.2934947049924355</v>
      </c>
      <c r="AA200" s="150">
        <f t="shared" si="415"/>
        <v>1.2934947049924355</v>
      </c>
      <c r="AB200" s="150">
        <f t="shared" si="415"/>
        <v>1.2934947049924355</v>
      </c>
      <c r="AC200" s="150">
        <f t="shared" si="415"/>
        <v>1.2934947049924355</v>
      </c>
      <c r="AD200" s="137">
        <f t="shared" ref="AD200" si="416">((AC200/G200)^(1/($AC$3-$H$1) ))-1</f>
        <v>-4.9799783494323568E-2</v>
      </c>
      <c r="AE200" s="31">
        <f t="shared" ref="AE200" si="417">$L$1</f>
        <v>0.05</v>
      </c>
      <c r="AF200" s="179">
        <f>(AF186)/($L$2*100)</f>
        <v>0</v>
      </c>
    </row>
    <row r="201" spans="2:32" x14ac:dyDescent="0.2">
      <c r="B201" s="20" t="s">
        <v>476</v>
      </c>
      <c r="C201" s="129"/>
      <c r="D201" s="129"/>
      <c r="E201" s="129"/>
      <c r="F201" s="129"/>
      <c r="G201" s="134">
        <f t="shared" ref="G201:Q201" si="418">G177/$Q$146</f>
        <v>0.27831578947368424</v>
      </c>
      <c r="H201" s="134">
        <f t="shared" si="418"/>
        <v>0.71125146198830425</v>
      </c>
      <c r="I201" s="134">
        <f t="shared" si="418"/>
        <v>1.1596491228070178</v>
      </c>
      <c r="J201" s="134">
        <f t="shared" si="418"/>
        <v>1.2678830409356727</v>
      </c>
      <c r="K201" s="134">
        <f t="shared" si="418"/>
        <v>2.3966081871345031</v>
      </c>
      <c r="L201" s="134">
        <f t="shared" si="418"/>
        <v>2.7058479532163746</v>
      </c>
      <c r="M201" s="134">
        <f t="shared" si="418"/>
        <v>16.698947368421056</v>
      </c>
      <c r="N201" s="134">
        <f t="shared" si="418"/>
        <v>16.235087719298249</v>
      </c>
      <c r="O201" s="134">
        <f t="shared" si="418"/>
        <v>24.739181286549712</v>
      </c>
      <c r="P201" s="134">
        <f t="shared" si="418"/>
        <v>34.016374269005851</v>
      </c>
      <c r="Q201" s="134">
        <f t="shared" si="418"/>
        <v>54.116959064327496</v>
      </c>
      <c r="R201" s="118">
        <f t="shared" si="377"/>
        <v>0.61701860781550311</v>
      </c>
      <c r="S201" s="128"/>
      <c r="T201" s="134">
        <f t="shared" ref="T201:AC201" si="419">T177/$Q$146</f>
        <v>0.77309941520467851</v>
      </c>
      <c r="U201" s="134">
        <f t="shared" si="419"/>
        <v>0.77309941520467851</v>
      </c>
      <c r="V201" s="134">
        <f t="shared" si="419"/>
        <v>0.77309941520467851</v>
      </c>
      <c r="W201" s="134">
        <f t="shared" si="419"/>
        <v>0.77309941520467851</v>
      </c>
      <c r="X201" s="134">
        <f t="shared" si="419"/>
        <v>0.77309941520467851</v>
      </c>
      <c r="Y201" s="134">
        <f t="shared" si="419"/>
        <v>0.77309941520467851</v>
      </c>
      <c r="Z201" s="134">
        <f t="shared" si="419"/>
        <v>0.77309941520467851</v>
      </c>
      <c r="AA201" s="134">
        <f t="shared" si="419"/>
        <v>0.77309941520467851</v>
      </c>
      <c r="AB201" s="134">
        <f t="shared" si="419"/>
        <v>0.77309941520467851</v>
      </c>
      <c r="AC201" s="134">
        <f t="shared" si="419"/>
        <v>0.77309941520467851</v>
      </c>
      <c r="AD201" s="137">
        <f t="shared" ref="AD201:AD203" si="420">((AC201/G201)^(1/($AC$3-$H$1) ))-1</f>
        <v>5.2409779148925528E-2</v>
      </c>
      <c r="AE201" s="31">
        <f t="shared" ref="AE201:AE203" si="421">$L$1</f>
        <v>0.05</v>
      </c>
      <c r="AF201" s="179">
        <f>(AF186)/($L$2*100)</f>
        <v>0</v>
      </c>
    </row>
    <row r="202" spans="2:32" x14ac:dyDescent="0.2">
      <c r="B202" s="20" t="s">
        <v>469</v>
      </c>
      <c r="C202" s="129"/>
      <c r="D202" s="129"/>
      <c r="E202" s="129"/>
      <c r="F202" s="129"/>
      <c r="G202" s="179">
        <f t="shared" ref="G202:Q202" si="422">(G201)/($L$2*100)</f>
        <v>2.3192982456140352E-2</v>
      </c>
      <c r="H202" s="179">
        <f t="shared" si="422"/>
        <v>5.9270955165692023E-2</v>
      </c>
      <c r="I202" s="179">
        <f t="shared" si="422"/>
        <v>9.6637426900584814E-2</v>
      </c>
      <c r="J202" s="179">
        <f t="shared" si="422"/>
        <v>0.10565692007797273</v>
      </c>
      <c r="K202" s="179">
        <f t="shared" si="422"/>
        <v>0.19971734892787527</v>
      </c>
      <c r="L202" s="179">
        <f t="shared" si="422"/>
        <v>0.22548732943469788</v>
      </c>
      <c r="M202" s="179">
        <f t="shared" si="422"/>
        <v>1.3915789473684212</v>
      </c>
      <c r="N202" s="179">
        <f t="shared" si="422"/>
        <v>1.3529239766081875</v>
      </c>
      <c r="O202" s="179">
        <f t="shared" si="422"/>
        <v>2.0615984405458092</v>
      </c>
      <c r="P202" s="179">
        <f t="shared" si="422"/>
        <v>2.8346978557504876</v>
      </c>
      <c r="Q202" s="179">
        <f t="shared" si="422"/>
        <v>4.5097465886939583</v>
      </c>
      <c r="R202" s="118">
        <f t="shared" si="377"/>
        <v>0.61701860781550311</v>
      </c>
      <c r="S202" s="128"/>
      <c r="T202" s="179">
        <f t="shared" ref="T202:AC202" si="423">(T201)/($L$2*100)</f>
        <v>6.4424951267056538E-2</v>
      </c>
      <c r="U202" s="179">
        <f t="shared" si="423"/>
        <v>6.4424951267056538E-2</v>
      </c>
      <c r="V202" s="179">
        <f t="shared" si="423"/>
        <v>6.4424951267056538E-2</v>
      </c>
      <c r="W202" s="179">
        <f t="shared" si="423"/>
        <v>6.4424951267056538E-2</v>
      </c>
      <c r="X202" s="179">
        <f t="shared" si="423"/>
        <v>6.4424951267056538E-2</v>
      </c>
      <c r="Y202" s="179">
        <f t="shared" si="423"/>
        <v>6.4424951267056538E-2</v>
      </c>
      <c r="Z202" s="179">
        <f t="shared" si="423"/>
        <v>6.4424951267056538E-2</v>
      </c>
      <c r="AA202" s="179">
        <f t="shared" si="423"/>
        <v>6.4424951267056538E-2</v>
      </c>
      <c r="AB202" s="179">
        <f t="shared" si="423"/>
        <v>6.4424951267056538E-2</v>
      </c>
      <c r="AC202" s="179">
        <f t="shared" si="423"/>
        <v>6.4424951267056538E-2</v>
      </c>
      <c r="AD202" s="137">
        <f t="shared" si="420"/>
        <v>5.2409779148925528E-2</v>
      </c>
      <c r="AE202" s="31">
        <f t="shared" si="421"/>
        <v>0.05</v>
      </c>
      <c r="AF202" s="179" t="e">
        <f>(#REF!)/($L$2*100)</f>
        <v>#REF!</v>
      </c>
    </row>
    <row r="203" spans="2:32" x14ac:dyDescent="0.2">
      <c r="B203" s="20" t="s">
        <v>470</v>
      </c>
      <c r="C203" s="129"/>
      <c r="D203" s="129"/>
      <c r="E203" s="129"/>
      <c r="F203" s="129"/>
      <c r="G203" s="150">
        <f t="shared" ref="G203:Q203" si="424">G202-1</f>
        <v>-0.97680701754385968</v>
      </c>
      <c r="H203" s="150">
        <f t="shared" si="424"/>
        <v>-0.94072904483430797</v>
      </c>
      <c r="I203" s="150">
        <f t="shared" si="424"/>
        <v>-0.90336257309941514</v>
      </c>
      <c r="J203" s="150">
        <f t="shared" si="424"/>
        <v>-0.89434307992202733</v>
      </c>
      <c r="K203" s="150">
        <f t="shared" si="424"/>
        <v>-0.80028265107212471</v>
      </c>
      <c r="L203" s="150">
        <f t="shared" si="424"/>
        <v>-0.77451267056530215</v>
      </c>
      <c r="M203" s="150">
        <f t="shared" si="424"/>
        <v>0.39157894736842125</v>
      </c>
      <c r="N203" s="150">
        <f t="shared" si="424"/>
        <v>0.35292397660818753</v>
      </c>
      <c r="O203" s="150">
        <f t="shared" si="424"/>
        <v>1.0615984405458092</v>
      </c>
      <c r="P203" s="150">
        <f t="shared" si="424"/>
        <v>1.8346978557504876</v>
      </c>
      <c r="Q203" s="150">
        <f t="shared" si="424"/>
        <v>3.5097465886939583</v>
      </c>
      <c r="R203" s="118" t="e">
        <f t="shared" si="377"/>
        <v>#NUM!</v>
      </c>
      <c r="S203" s="128"/>
      <c r="T203" s="150">
        <f t="shared" ref="T203:AC203" si="425">T202-1</f>
        <v>-0.9355750487329435</v>
      </c>
      <c r="U203" s="150">
        <f t="shared" si="425"/>
        <v>-0.9355750487329435</v>
      </c>
      <c r="V203" s="150">
        <f t="shared" si="425"/>
        <v>-0.9355750487329435</v>
      </c>
      <c r="W203" s="150">
        <f t="shared" si="425"/>
        <v>-0.9355750487329435</v>
      </c>
      <c r="X203" s="150">
        <f t="shared" si="425"/>
        <v>-0.9355750487329435</v>
      </c>
      <c r="Y203" s="150">
        <f t="shared" si="425"/>
        <v>-0.9355750487329435</v>
      </c>
      <c r="Z203" s="150">
        <f t="shared" si="425"/>
        <v>-0.9355750487329435</v>
      </c>
      <c r="AA203" s="150">
        <f t="shared" si="425"/>
        <v>-0.9355750487329435</v>
      </c>
      <c r="AB203" s="150">
        <f t="shared" si="425"/>
        <v>-0.9355750487329435</v>
      </c>
      <c r="AC203" s="150">
        <f t="shared" si="425"/>
        <v>-0.9355750487329435</v>
      </c>
      <c r="AD203" s="137">
        <f t="shared" si="420"/>
        <v>-2.1540637360812909E-3</v>
      </c>
      <c r="AE203" s="31">
        <f t="shared" si="421"/>
        <v>0.05</v>
      </c>
      <c r="AF203" s="179">
        <f>(AF187)/($L$2*100)</f>
        <v>1.1448837900523894</v>
      </c>
    </row>
    <row r="204" spans="2:32" x14ac:dyDescent="0.2">
      <c r="B204" s="20"/>
      <c r="C204" s="129"/>
      <c r="D204" s="129"/>
      <c r="E204" s="129"/>
      <c r="F204" s="129"/>
      <c r="G204" s="134"/>
      <c r="H204" s="134"/>
      <c r="I204" s="134"/>
      <c r="J204" s="134"/>
      <c r="K204" s="197"/>
      <c r="L204" s="198"/>
      <c r="M204" s="134"/>
      <c r="N204" s="134"/>
      <c r="O204" s="134"/>
      <c r="P204" s="134"/>
      <c r="Q204" s="134"/>
      <c r="R204" s="128"/>
      <c r="S204" s="128"/>
      <c r="T204" s="134"/>
      <c r="U204" s="134"/>
      <c r="V204" s="134"/>
      <c r="W204" s="134"/>
      <c r="X204" s="134"/>
      <c r="Y204" s="134"/>
      <c r="Z204" s="134"/>
      <c r="AA204" s="134"/>
      <c r="AB204" s="134"/>
      <c r="AC204" s="134"/>
      <c r="AD204" s="136"/>
      <c r="AE204" s="20"/>
      <c r="AF204" s="20"/>
    </row>
    <row r="205" spans="2:32" x14ac:dyDescent="0.2">
      <c r="B205" s="108" t="s">
        <v>300</v>
      </c>
      <c r="C205" s="20"/>
      <c r="D205" s="20"/>
      <c r="E205" s="20"/>
      <c r="F205" s="20"/>
      <c r="G205" s="20"/>
      <c r="H205" s="20"/>
      <c r="I205" s="20"/>
      <c r="J205" s="20"/>
      <c r="K205" s="210" t="s">
        <v>350</v>
      </c>
      <c r="L205" s="211"/>
      <c r="M205" s="20"/>
      <c r="N205" s="20"/>
      <c r="O205" s="20"/>
      <c r="P205" s="108" t="s">
        <v>429</v>
      </c>
      <c r="Q205" s="108" t="s">
        <v>428</v>
      </c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136"/>
      <c r="AE205" s="20"/>
      <c r="AF205" s="20"/>
    </row>
    <row r="206" spans="2:32" x14ac:dyDescent="0.2">
      <c r="B206" s="20" t="s">
        <v>298</v>
      </c>
      <c r="C206" s="20" t="s">
        <v>313</v>
      </c>
      <c r="D206" s="20"/>
      <c r="E206" s="20"/>
      <c r="F206" s="20"/>
      <c r="G206" s="20"/>
      <c r="H206" s="20"/>
      <c r="I206" s="20"/>
      <c r="J206" s="20"/>
      <c r="K206" s="20" t="s">
        <v>351</v>
      </c>
      <c r="L206" s="22">
        <v>1</v>
      </c>
      <c r="M206" s="20"/>
      <c r="N206" s="20"/>
      <c r="O206" s="20"/>
      <c r="P206" s="128">
        <f>(Q177-S164)/Q177</f>
        <v>0.83754254394566119</v>
      </c>
      <c r="Q206" s="128">
        <f>(Q177-T164)/Q177</f>
        <v>0.8663482217246713</v>
      </c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136"/>
      <c r="AE206" s="20"/>
      <c r="AF206" s="20"/>
    </row>
    <row r="207" spans="2:32" x14ac:dyDescent="0.2">
      <c r="B207" s="20" t="s">
        <v>348</v>
      </c>
      <c r="C207" s="20" t="s">
        <v>313</v>
      </c>
      <c r="D207" s="20"/>
      <c r="E207" s="20"/>
      <c r="F207" s="20"/>
      <c r="G207" s="20"/>
      <c r="H207" s="20"/>
      <c r="I207" s="20"/>
      <c r="J207" s="20"/>
      <c r="K207" s="170">
        <f>$L$206</f>
        <v>1</v>
      </c>
      <c r="L207" s="20"/>
      <c r="M207" s="128">
        <f>(P177-(K207*S155))/P177</f>
        <v>0.68502080528029019</v>
      </c>
      <c r="N207" s="20"/>
      <c r="O207" s="20"/>
      <c r="P207" s="128">
        <f>(Q177-S155)/Q177</f>
        <v>0.80201307760475382</v>
      </c>
      <c r="Q207" s="128">
        <f>(Q177-T155)/Q177</f>
        <v>0.97241165835476073</v>
      </c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136"/>
      <c r="AE207" s="20"/>
      <c r="AF207" s="20"/>
    </row>
    <row r="208" spans="2:32" x14ac:dyDescent="0.2">
      <c r="B208" s="20" t="s">
        <v>349</v>
      </c>
      <c r="C208" s="20" t="s">
        <v>313</v>
      </c>
      <c r="D208" s="20"/>
      <c r="E208" s="20"/>
      <c r="F208" s="20"/>
      <c r="G208" s="20"/>
      <c r="H208" s="20"/>
      <c r="I208" s="20"/>
      <c r="J208" s="20"/>
      <c r="K208" s="170">
        <f>$L$206</f>
        <v>1</v>
      </c>
      <c r="L208" s="20"/>
      <c r="M208" s="128">
        <f>(P177-(K208*S148))/P177</f>
        <v>0.85299745891904521</v>
      </c>
      <c r="N208" s="20"/>
      <c r="O208" s="20"/>
      <c r="P208" s="128">
        <f>(Q177-S148)/Q177</f>
        <v>0.90759840274911419</v>
      </c>
      <c r="Q208" s="128">
        <f>(Q177-T148)/Q177</f>
        <v>0.98712436759618805</v>
      </c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136"/>
      <c r="AE208" s="20"/>
      <c r="AF208" s="20"/>
    </row>
    <row r="209" spans="2:46" x14ac:dyDescent="0.2">
      <c r="B209" s="20" t="s">
        <v>352</v>
      </c>
      <c r="C209" s="20" t="s">
        <v>313</v>
      </c>
      <c r="D209" s="20"/>
      <c r="E209" s="20"/>
      <c r="F209" s="20"/>
      <c r="G209" s="20"/>
      <c r="H209" s="20"/>
      <c r="I209" s="20"/>
      <c r="J209" s="20"/>
      <c r="K209" s="170">
        <f>$L$206</f>
        <v>1</v>
      </c>
      <c r="L209" s="20"/>
      <c r="M209" s="128">
        <f>(P177-(K209*S161))/P177</f>
        <v>0.83360438536174697</v>
      </c>
      <c r="N209" s="20"/>
      <c r="O209" s="20"/>
      <c r="P209" s="128">
        <f>(Q177-S161)/Q177</f>
        <v>0.89540847079881236</v>
      </c>
      <c r="Q209" s="128">
        <f>(Q177-T161)/Q177</f>
        <v>0.98542577052114599</v>
      </c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136"/>
      <c r="AE209" s="20"/>
      <c r="AF209" s="20"/>
    </row>
    <row r="210" spans="2:46" x14ac:dyDescent="0.2">
      <c r="B210" s="20" t="s">
        <v>398</v>
      </c>
      <c r="C210" s="20" t="s">
        <v>313</v>
      </c>
      <c r="D210" s="20"/>
      <c r="E210" s="20"/>
      <c r="F210" s="20"/>
      <c r="G210" s="20"/>
      <c r="H210" s="20"/>
      <c r="I210" s="20"/>
      <c r="J210" s="20"/>
      <c r="K210" s="170">
        <f>$L$206</f>
        <v>1</v>
      </c>
      <c r="L210" s="20"/>
      <c r="M210" s="128">
        <f>(P177-(K210*S174))/P177</f>
        <v>0.36291432842890758</v>
      </c>
      <c r="N210" s="20"/>
      <c r="O210" s="20"/>
      <c r="P210" s="128">
        <f>(Q177-S174)/Q177</f>
        <v>0.59954614929817052</v>
      </c>
      <c r="Q210" s="128">
        <f>(Q177-T174)/Q177</f>
        <v>0.67055147505448642</v>
      </c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136"/>
      <c r="AE210" s="20"/>
      <c r="AF210" s="20"/>
    </row>
    <row r="211" spans="2:46" x14ac:dyDescent="0.2">
      <c r="B211" s="20" t="s">
        <v>299</v>
      </c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5">
        <f>Q177/S147</f>
        <v>15.948687624143718</v>
      </c>
      <c r="Q211" s="25">
        <f>Q177/T147</f>
        <v>114.45528765561964</v>
      </c>
      <c r="R211" s="20"/>
      <c r="S211" s="20"/>
      <c r="T211" s="115" t="s">
        <v>11</v>
      </c>
      <c r="U211" s="115" t="s">
        <v>12</v>
      </c>
      <c r="V211" s="115" t="s">
        <v>13</v>
      </c>
      <c r="W211" s="115" t="s">
        <v>14</v>
      </c>
      <c r="X211" s="115" t="s">
        <v>15</v>
      </c>
      <c r="Y211" s="115" t="s">
        <v>234</v>
      </c>
      <c r="Z211" s="115" t="s">
        <v>235</v>
      </c>
      <c r="AA211" s="115" t="s">
        <v>236</v>
      </c>
      <c r="AB211" s="115" t="s">
        <v>237</v>
      </c>
      <c r="AC211" s="115" t="s">
        <v>238</v>
      </c>
      <c r="AD211" s="115" t="s">
        <v>406</v>
      </c>
      <c r="AE211" s="115" t="s">
        <v>407</v>
      </c>
      <c r="AF211" s="115" t="s">
        <v>408</v>
      </c>
      <c r="AG211" s="115" t="s">
        <v>409</v>
      </c>
      <c r="AH211" s="115" t="s">
        <v>410</v>
      </c>
      <c r="AI211" s="115" t="s">
        <v>411</v>
      </c>
      <c r="AJ211" s="115" t="s">
        <v>412</v>
      </c>
      <c r="AK211" s="115" t="s">
        <v>413</v>
      </c>
      <c r="AL211" s="115" t="s">
        <v>414</v>
      </c>
      <c r="AM211" s="115" t="s">
        <v>415</v>
      </c>
      <c r="AN211" s="115" t="s">
        <v>416</v>
      </c>
      <c r="AO211" s="115" t="s">
        <v>417</v>
      </c>
      <c r="AP211" s="115" t="s">
        <v>418</v>
      </c>
      <c r="AQ211" s="115" t="s">
        <v>419</v>
      </c>
      <c r="AR211" s="115" t="s">
        <v>420</v>
      </c>
      <c r="AS211" s="115" t="s">
        <v>421</v>
      </c>
      <c r="AT211" s="115" t="s">
        <v>422</v>
      </c>
    </row>
    <row r="212" spans="2:46" x14ac:dyDescent="0.2">
      <c r="B212" s="20" t="s">
        <v>370</v>
      </c>
      <c r="C212" s="20"/>
      <c r="D212" s="20"/>
      <c r="E212" s="20"/>
      <c r="F212" s="20"/>
      <c r="G212" s="187" t="s">
        <v>447</v>
      </c>
      <c r="H212" s="188"/>
      <c r="I212" s="187" t="s">
        <v>448</v>
      </c>
      <c r="J212" s="188"/>
      <c r="K212" s="20"/>
      <c r="L212" s="187" t="s">
        <v>449</v>
      </c>
      <c r="M212" s="188"/>
      <c r="N212" s="187" t="s">
        <v>450</v>
      </c>
      <c r="O212" s="188"/>
      <c r="P212" s="150">
        <f>1/P211</f>
        <v>6.2701083848815412E-2</v>
      </c>
      <c r="Q212" s="150">
        <f>1/Q211</f>
        <v>8.737036274015262E-3</v>
      </c>
      <c r="R212" s="20"/>
      <c r="S212" s="20"/>
      <c r="T212" s="129">
        <f>Q177-T213</f>
        <v>3461.0341596754229</v>
      </c>
      <c r="U212" s="183">
        <f>T212-U213</f>
        <v>3420.1200273346171</v>
      </c>
      <c r="V212" s="183">
        <f t="shared" ref="V212:X212" si="426">U212-V213</f>
        <v>3377.1601883767707</v>
      </c>
      <c r="W212" s="183">
        <f t="shared" si="426"/>
        <v>3332.0523574710323</v>
      </c>
      <c r="X212" s="183">
        <f t="shared" si="426"/>
        <v>3284.6891350200067</v>
      </c>
      <c r="Y212" s="183">
        <f>X212-Y213</f>
        <v>3234.9577514464299</v>
      </c>
      <c r="Z212" s="183">
        <f t="shared" ref="Z212:AC212" si="427">Y212-Z213</f>
        <v>3182.7397986941742</v>
      </c>
      <c r="AA212" s="183">
        <f t="shared" si="427"/>
        <v>3127.9109483043057</v>
      </c>
      <c r="AB212" s="183">
        <f t="shared" si="427"/>
        <v>3070.340655394944</v>
      </c>
      <c r="AC212" s="183">
        <f t="shared" si="427"/>
        <v>3009.8918478401142</v>
      </c>
      <c r="AD212" s="183">
        <f t="shared" ref="AD212" si="428">AC212-AD213</f>
        <v>2946.420599907543</v>
      </c>
      <c r="AE212" s="183">
        <f t="shared" ref="AE212" si="429">AD212-AE213</f>
        <v>2879.7757895783429</v>
      </c>
      <c r="AF212" s="183">
        <f t="shared" ref="AF212" si="430">AE212-AF213</f>
        <v>2809.798738732683</v>
      </c>
      <c r="AG212" s="183">
        <f t="shared" ref="AG212" si="431">AF212-AG213</f>
        <v>2736.3228353447398</v>
      </c>
      <c r="AH212" s="183">
        <f t="shared" ref="AH212" si="432">AG212-AH213</f>
        <v>2659.1731367873995</v>
      </c>
      <c r="AI212" s="183">
        <f t="shared" ref="AI212" si="433">AH212-AI213</f>
        <v>2578.1659533021925</v>
      </c>
      <c r="AJ212" s="183">
        <f t="shared" ref="AJ212" si="434">AI212-AJ213</f>
        <v>2493.1084106427252</v>
      </c>
      <c r="AK212" s="183">
        <f t="shared" ref="AK212" si="435">AJ212-AK213</f>
        <v>2403.7979908502844</v>
      </c>
      <c r="AL212" s="183">
        <f t="shared" ref="AL212" si="436">AK212-AL213</f>
        <v>2310.0220500682212</v>
      </c>
      <c r="AM212" s="183">
        <f t="shared" ref="AM212" si="437">AL212-AM213</f>
        <v>2211.5573122470551</v>
      </c>
      <c r="AN212" s="183">
        <f t="shared" ref="AN212" si="438">AM212-AN213</f>
        <v>2108.1693375348304</v>
      </c>
      <c r="AO212" s="183">
        <f t="shared" ref="AO212" si="439">AN212-AO213</f>
        <v>1999.6119640869947</v>
      </c>
      <c r="AP212" s="183">
        <f t="shared" ref="AP212" si="440">AO212-AP213</f>
        <v>1885.6267219667673</v>
      </c>
      <c r="AQ212" s="183">
        <f t="shared" ref="AQ212" si="441">AP212-AQ213</f>
        <v>1765.9422177405286</v>
      </c>
      <c r="AR212" s="183">
        <f t="shared" ref="AR212" si="442">AQ212-AR213</f>
        <v>1640.2734883029777</v>
      </c>
      <c r="AS212" s="183">
        <f t="shared" ref="AS212" si="443">AR212-AS213</f>
        <v>1508.3213223935495</v>
      </c>
      <c r="AT212" s="183">
        <f t="shared" ref="AT212" si="444">AS212-AT213</f>
        <v>1369.7715481886498</v>
      </c>
    </row>
    <row r="213" spans="2:46" x14ac:dyDescent="0.2">
      <c r="B213" s="20" t="s">
        <v>395</v>
      </c>
      <c r="C213" s="20"/>
      <c r="D213" s="20"/>
      <c r="E213" s="20"/>
      <c r="F213" s="20"/>
      <c r="G213" s="189">
        <v>0</v>
      </c>
      <c r="H213" s="188"/>
      <c r="I213" s="189">
        <v>0.05</v>
      </c>
      <c r="J213" s="188"/>
      <c r="K213" s="182">
        <f>P1</f>
        <v>0.05</v>
      </c>
      <c r="L213" s="189">
        <v>0.12</v>
      </c>
      <c r="M213" s="188"/>
      <c r="N213" s="189">
        <v>0.2</v>
      </c>
      <c r="O213" s="196" t="s">
        <v>280</v>
      </c>
      <c r="P213" s="179">
        <f>Q177/S146</f>
        <v>94.341056533827611</v>
      </c>
      <c r="Q213" s="179" t="s">
        <v>468</v>
      </c>
      <c r="R213" s="20"/>
      <c r="S213" s="20"/>
      <c r="T213" s="184">
        <f>R146*(1+$K$213)</f>
        <v>38.965840324577087</v>
      </c>
      <c r="U213" s="184">
        <f>T213*(1+$K$213)</f>
        <v>40.914132340805942</v>
      </c>
      <c r="V213" s="184">
        <f t="shared" ref="V213:AC213" si="445">U213*(1+$K$213)</f>
        <v>42.959838957846245</v>
      </c>
      <c r="W213" s="184">
        <f t="shared" si="445"/>
        <v>45.10783090573856</v>
      </c>
      <c r="X213" s="184">
        <f t="shared" si="445"/>
        <v>47.363222451025493</v>
      </c>
      <c r="Y213" s="184">
        <f t="shared" si="445"/>
        <v>49.731383573576771</v>
      </c>
      <c r="Z213" s="184">
        <f t="shared" si="445"/>
        <v>52.217952752255613</v>
      </c>
      <c r="AA213" s="184">
        <f t="shared" si="445"/>
        <v>54.828850389868393</v>
      </c>
      <c r="AB213" s="184">
        <f t="shared" si="445"/>
        <v>57.570292909361818</v>
      </c>
      <c r="AC213" s="184">
        <f t="shared" si="445"/>
        <v>60.448807554829912</v>
      </c>
      <c r="AD213" s="184">
        <f t="shared" ref="AD213" si="446">AC213*(1+$K$213)</f>
        <v>63.471247932571409</v>
      </c>
      <c r="AE213" s="184">
        <f t="shared" ref="AE213" si="447">AD213*(1+$K$213)</f>
        <v>66.644810329199984</v>
      </c>
      <c r="AF213" s="184">
        <f t="shared" ref="AF213" si="448">AE213*(1+$K$213)</f>
        <v>69.977050845659988</v>
      </c>
      <c r="AG213" s="184">
        <f t="shared" ref="AG213" si="449">AF213*(1+$K$213)</f>
        <v>73.475903387942992</v>
      </c>
      <c r="AH213" s="184">
        <f t="shared" ref="AH213" si="450">AG213*(1+$K$213)</f>
        <v>77.149698557340145</v>
      </c>
      <c r="AI213" s="184">
        <f t="shared" ref="AI213" si="451">AH213*(1+$K$213)</f>
        <v>81.00718348520715</v>
      </c>
      <c r="AJ213" s="184">
        <f t="shared" ref="AJ213" si="452">AI213*(1+$K$213)</f>
        <v>85.057542659467515</v>
      </c>
      <c r="AK213" s="184">
        <f t="shared" ref="AK213" si="453">AJ213*(1+$K$213)</f>
        <v>89.310419792440896</v>
      </c>
      <c r="AL213" s="184">
        <f t="shared" ref="AL213" si="454">AK213*(1+$K$213)</f>
        <v>93.775940782062946</v>
      </c>
      <c r="AM213" s="184">
        <f t="shared" ref="AM213" si="455">AL213*(1+$K$213)</f>
        <v>98.464737821166096</v>
      </c>
      <c r="AN213" s="184">
        <f t="shared" ref="AN213" si="456">AM213*(1+$K$213)</f>
        <v>103.38797471222441</v>
      </c>
      <c r="AO213" s="184">
        <f t="shared" ref="AO213" si="457">AN213*(1+$K$213)</f>
        <v>108.55737344783563</v>
      </c>
      <c r="AP213" s="184">
        <f t="shared" ref="AP213" si="458">AO213*(1+$K$213)</f>
        <v>113.98524212022741</v>
      </c>
      <c r="AQ213" s="184">
        <f t="shared" ref="AQ213" si="459">AP213*(1+$K$213)</f>
        <v>119.68450422623879</v>
      </c>
      <c r="AR213" s="184">
        <f t="shared" ref="AR213" si="460">AQ213*(1+$K$213)</f>
        <v>125.66872943755074</v>
      </c>
      <c r="AS213" s="184">
        <f t="shared" ref="AS213" si="461">AR213*(1+$K$213)</f>
        <v>131.95216590942829</v>
      </c>
      <c r="AT213" s="184">
        <f t="shared" ref="AT213" si="462">AS213*(1+$K$213)</f>
        <v>138.54977420489971</v>
      </c>
    </row>
    <row r="214" spans="2:46" x14ac:dyDescent="0.2">
      <c r="B214" s="20" t="s">
        <v>394</v>
      </c>
      <c r="C214" s="20"/>
      <c r="D214" s="20"/>
      <c r="E214" s="23" t="s">
        <v>390</v>
      </c>
      <c r="F214" s="22"/>
      <c r="G214" s="189">
        <v>0</v>
      </c>
      <c r="H214" s="190">
        <f>Q179</f>
        <v>48.705263157894748</v>
      </c>
      <c r="I214" s="189">
        <v>0.05</v>
      </c>
      <c r="J214" s="188"/>
      <c r="K214" s="182">
        <f>P1</f>
        <v>0.05</v>
      </c>
      <c r="L214" s="189">
        <v>0.12</v>
      </c>
      <c r="M214" s="188"/>
      <c r="N214" s="189">
        <v>0.2</v>
      </c>
      <c r="O214" s="196" t="s">
        <v>467</v>
      </c>
      <c r="P214" s="179">
        <f>Q177/Q57</f>
        <v>48.705263157894748</v>
      </c>
      <c r="Q214" s="179" t="s">
        <v>468</v>
      </c>
      <c r="R214" s="20"/>
      <c r="S214" s="20"/>
      <c r="T214" s="184">
        <f>Q57*(1+$K$214)</f>
        <v>75.453857791225403</v>
      </c>
      <c r="U214" s="184">
        <f>T214*(1+$K$214)</f>
        <v>79.226550680786673</v>
      </c>
      <c r="V214" s="184">
        <f t="shared" ref="V214:AC214" si="463">U214*(1+$K$214)</f>
        <v>83.187878214826014</v>
      </c>
      <c r="W214" s="184">
        <f t="shared" si="463"/>
        <v>87.347272125567315</v>
      </c>
      <c r="X214" s="184">
        <f t="shared" si="463"/>
        <v>91.714635731845689</v>
      </c>
      <c r="Y214" s="184">
        <f t="shared" si="463"/>
        <v>96.30036751843798</v>
      </c>
      <c r="Z214" s="184">
        <f t="shared" si="463"/>
        <v>101.11538589435989</v>
      </c>
      <c r="AA214" s="184">
        <f t="shared" si="463"/>
        <v>106.17115518907789</v>
      </c>
      <c r="AB214" s="184">
        <f t="shared" si="463"/>
        <v>111.4797129485318</v>
      </c>
      <c r="AC214" s="184">
        <f t="shared" si="463"/>
        <v>117.05369859595839</v>
      </c>
      <c r="AD214" s="184">
        <f t="shared" ref="AD214" si="464">AC214*(1+$K$214)</f>
        <v>122.90638352575633</v>
      </c>
      <c r="AE214" s="184">
        <f t="shared" ref="AE214" si="465">AD214*(1+$K$214)</f>
        <v>129.05170270204414</v>
      </c>
      <c r="AF214" s="184">
        <f t="shared" ref="AF214" si="466">AE214*(1+$K$214)</f>
        <v>135.50428783714636</v>
      </c>
      <c r="AG214" s="184">
        <f t="shared" ref="AG214" si="467">AF214*(1+$K$214)</f>
        <v>142.2795022290037</v>
      </c>
      <c r="AH214" s="184">
        <f t="shared" ref="AH214" si="468">AG214*(1+$K$214)</f>
        <v>149.3934773404539</v>
      </c>
      <c r="AI214" s="184">
        <f t="shared" ref="AI214" si="469">AH214*(1+$K$214)</f>
        <v>156.86315120747659</v>
      </c>
      <c r="AJ214" s="184">
        <f t="shared" ref="AJ214" si="470">AI214*(1+$K$214)</f>
        <v>164.70630876785043</v>
      </c>
      <c r="AK214" s="184">
        <f t="shared" ref="AK214" si="471">AJ214*(1+$K$214)</f>
        <v>172.94162420624295</v>
      </c>
      <c r="AL214" s="184">
        <f t="shared" ref="AL214" si="472">AK214*(1+$K$214)</f>
        <v>181.58870541655511</v>
      </c>
      <c r="AM214" s="184">
        <f t="shared" ref="AM214" si="473">AL214*(1+$K$214)</f>
        <v>190.66814068738287</v>
      </c>
      <c r="AN214" s="184">
        <f t="shared" ref="AN214" si="474">AM214*(1+$K$214)</f>
        <v>200.20154772175204</v>
      </c>
      <c r="AO214" s="184">
        <f t="shared" ref="AO214" si="475">AN214*(1+$K$214)</f>
        <v>210.21162510783964</v>
      </c>
      <c r="AP214" s="184">
        <f t="shared" ref="AP214" si="476">AO214*(1+$K$214)</f>
        <v>220.72220636323163</v>
      </c>
      <c r="AQ214" s="184">
        <f t="shared" ref="AQ214" si="477">AP214*(1+$K$214)</f>
        <v>231.75831668139324</v>
      </c>
      <c r="AR214" s="184">
        <f t="shared" ref="AR214" si="478">AQ214*(1+$K$214)</f>
        <v>243.3462325154629</v>
      </c>
      <c r="AS214" s="184">
        <f t="shared" ref="AS214" si="479">AR214*(1+$K$214)</f>
        <v>255.51354414123605</v>
      </c>
      <c r="AT214" s="184">
        <f t="shared" ref="AT214" si="480">AS214*(1+$K$214)</f>
        <v>268.28922134829787</v>
      </c>
    </row>
    <row r="215" spans="2:46" x14ac:dyDescent="0.2">
      <c r="B215" s="20"/>
      <c r="C215" s="20"/>
      <c r="D215" s="20"/>
      <c r="E215" s="23" t="s">
        <v>453</v>
      </c>
      <c r="F215" s="22"/>
      <c r="G215" s="189">
        <v>0</v>
      </c>
      <c r="H215" s="190"/>
      <c r="I215" s="189">
        <v>0.05</v>
      </c>
      <c r="J215" s="188"/>
      <c r="K215" s="188"/>
      <c r="L215" s="189">
        <v>0.12</v>
      </c>
      <c r="M215" s="188"/>
      <c r="N215" s="189">
        <v>0.2</v>
      </c>
      <c r="O215" s="20"/>
      <c r="P215" s="20"/>
      <c r="Q215" s="20"/>
      <c r="R215" s="20"/>
      <c r="S215" s="20"/>
      <c r="T215" s="129">
        <f>Q177-T214</f>
        <v>3424.5461422087747</v>
      </c>
      <c r="U215" s="183">
        <f>T215-U214</f>
        <v>3345.319591527988</v>
      </c>
      <c r="V215" s="183">
        <f t="shared" ref="V215:AA215" si="481">U215-V214</f>
        <v>3262.131713313162</v>
      </c>
      <c r="W215" s="183">
        <f t="shared" si="481"/>
        <v>3174.7844411875949</v>
      </c>
      <c r="X215" s="183">
        <f t="shared" si="481"/>
        <v>3083.0698054557492</v>
      </c>
      <c r="Y215" s="183">
        <f t="shared" si="481"/>
        <v>2986.7694379373111</v>
      </c>
      <c r="Z215" s="183">
        <f t="shared" si="481"/>
        <v>2885.6540520429512</v>
      </c>
      <c r="AA215" s="183">
        <f t="shared" si="481"/>
        <v>2779.4828968538732</v>
      </c>
      <c r="AB215" s="183">
        <f>AA215-AB214</f>
        <v>2668.0031839053413</v>
      </c>
      <c r="AC215" s="183">
        <f t="shared" ref="AC215" si="482">AB215-AC214</f>
        <v>2550.9494853093829</v>
      </c>
      <c r="AD215" s="183">
        <f t="shared" ref="AD215" si="483">AC215-AD214</f>
        <v>2428.0431017836268</v>
      </c>
      <c r="AE215" s="183">
        <f t="shared" ref="AE215" si="484">AD215-AE214</f>
        <v>2298.9913990815826</v>
      </c>
      <c r="AF215" s="183">
        <f t="shared" ref="AF215" si="485">AE215-AF214</f>
        <v>2163.4871112444362</v>
      </c>
      <c r="AG215" s="183">
        <f t="shared" ref="AG215" si="486">AF215-AG214</f>
        <v>2021.2076090154324</v>
      </c>
      <c r="AH215" s="183">
        <f t="shared" ref="AH215" si="487">AG215-AH214</f>
        <v>1871.8141316749784</v>
      </c>
      <c r="AI215" s="183">
        <f t="shared" ref="AI215" si="488">AH215-AI214</f>
        <v>1714.9509804675017</v>
      </c>
      <c r="AJ215" s="183">
        <f t="shared" ref="AJ215" si="489">AI215-AJ214</f>
        <v>1550.2446716996512</v>
      </c>
      <c r="AK215" s="183">
        <f t="shared" ref="AK215" si="490">AJ215-AK214</f>
        <v>1377.3030474934083</v>
      </c>
      <c r="AL215" s="183">
        <f t="shared" ref="AL215" si="491">AK215-AL214</f>
        <v>1195.7143420768532</v>
      </c>
      <c r="AM215" s="183">
        <f t="shared" ref="AM215" si="492">AL215-AM214</f>
        <v>1005.0462013894703</v>
      </c>
      <c r="AN215" s="183">
        <f t="shared" ref="AN215" si="493">AM215-AN214</f>
        <v>804.84465366771826</v>
      </c>
      <c r="AO215" s="183">
        <f t="shared" ref="AO215" si="494">AN215-AO214</f>
        <v>594.63302855987865</v>
      </c>
      <c r="AP215" s="183">
        <f t="shared" ref="AP215" si="495">AO215-AP214</f>
        <v>373.91082219664702</v>
      </c>
      <c r="AQ215" s="183">
        <f t="shared" ref="AQ215" si="496">AP215-AQ214</f>
        <v>142.15250551525378</v>
      </c>
      <c r="AR215" s="183">
        <f t="shared" ref="AR215" si="497">AQ215-AR214</f>
        <v>-101.19372700020912</v>
      </c>
      <c r="AS215" s="183">
        <f t="shared" ref="AS215" si="498">AR215-AS214</f>
        <v>-356.70727114144518</v>
      </c>
      <c r="AT215" s="183">
        <f t="shared" ref="AT215" si="499">AS215-AT214</f>
        <v>-624.9964924897431</v>
      </c>
    </row>
    <row r="216" spans="2:46" x14ac:dyDescent="0.2">
      <c r="B216" s="108" t="s">
        <v>301</v>
      </c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46" x14ac:dyDescent="0.2">
      <c r="B217" s="20" t="s">
        <v>304</v>
      </c>
      <c r="C217" s="25"/>
      <c r="D217" s="25"/>
      <c r="E217" s="25"/>
      <c r="F217" s="25"/>
      <c r="G217" s="25">
        <f t="shared" ref="G217:Q217" si="500">G10/G7</f>
        <v>2.2727272727272729</v>
      </c>
      <c r="H217" s="25">
        <f t="shared" si="500"/>
        <v>1.75</v>
      </c>
      <c r="I217" s="25">
        <f t="shared" si="500"/>
        <v>1.0714285714285714</v>
      </c>
      <c r="J217" s="25">
        <f t="shared" si="500"/>
        <v>0.6470588235294118</v>
      </c>
      <c r="K217" s="25">
        <f t="shared" si="500"/>
        <v>0.4</v>
      </c>
      <c r="L217" s="25">
        <f t="shared" si="500"/>
        <v>0.33333333333333331</v>
      </c>
      <c r="M217" s="25">
        <f t="shared" si="500"/>
        <v>0.30769230769230771</v>
      </c>
      <c r="N217" s="25">
        <f t="shared" si="500"/>
        <v>0.43478260869565216</v>
      </c>
      <c r="O217" s="25">
        <f t="shared" si="500"/>
        <v>0.23076923076923078</v>
      </c>
      <c r="P217" s="25">
        <f t="shared" si="500"/>
        <v>0.2</v>
      </c>
      <c r="Q217" s="25">
        <f t="shared" si="500"/>
        <v>1.7857142857142857E-4</v>
      </c>
      <c r="R217" s="118">
        <f t="shared" ref="R217:R219" si="501">((P217/G217)^(1/($H$2-$H$1) ))-1</f>
        <v>-0.21576130452077003</v>
      </c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46" x14ac:dyDescent="0.2">
      <c r="B218" s="20" t="s">
        <v>305</v>
      </c>
      <c r="C218" s="112"/>
      <c r="D218" s="112"/>
      <c r="E218" s="112"/>
      <c r="F218" s="112"/>
      <c r="G218" s="112">
        <f t="shared" ref="G218:Q218" si="502">G10/G12</f>
        <v>12.5</v>
      </c>
      <c r="H218" s="112">
        <f t="shared" si="502"/>
        <v>10.5</v>
      </c>
      <c r="I218" s="112">
        <f t="shared" si="502"/>
        <v>7.5</v>
      </c>
      <c r="J218" s="112">
        <f t="shared" si="502"/>
        <v>3.6666666666666665</v>
      </c>
      <c r="K218" s="112">
        <f t="shared" si="502"/>
        <v>2</v>
      </c>
      <c r="L218" s="112">
        <f t="shared" si="502"/>
        <v>0.6</v>
      </c>
      <c r="M218" s="112">
        <f t="shared" si="502"/>
        <v>0.30769230769230771</v>
      </c>
      <c r="N218" s="112">
        <f t="shared" si="502"/>
        <v>0.44444444444444442</v>
      </c>
      <c r="O218" s="112">
        <f t="shared" si="502"/>
        <v>0.24</v>
      </c>
      <c r="P218" s="112">
        <f t="shared" si="502"/>
        <v>0.21568627450980393</v>
      </c>
      <c r="Q218" s="112">
        <f t="shared" si="502"/>
        <v>1.9230769230769231E-4</v>
      </c>
      <c r="R218" s="118">
        <f t="shared" si="501"/>
        <v>-0.33366711129314341</v>
      </c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46" x14ac:dyDescent="0.2">
      <c r="B219" s="20" t="s">
        <v>306</v>
      </c>
      <c r="C219" s="25"/>
      <c r="D219" s="25"/>
      <c r="E219" s="25"/>
      <c r="F219" s="25"/>
      <c r="G219" s="25">
        <f t="shared" ref="G219:Q219" si="503">G10/(G12+G13)</f>
        <v>11.904761904761905</v>
      </c>
      <c r="H219" s="25">
        <f t="shared" si="503"/>
        <v>10</v>
      </c>
      <c r="I219" s="25">
        <f t="shared" si="503"/>
        <v>7.1428571428571423</v>
      </c>
      <c r="J219" s="25">
        <f t="shared" si="503"/>
        <v>3.5483870967741935</v>
      </c>
      <c r="K219" s="25">
        <f t="shared" si="503"/>
        <v>1.9512195121951221</v>
      </c>
      <c r="L219" s="25">
        <f t="shared" si="503"/>
        <v>0.59602649006622521</v>
      </c>
      <c r="M219" s="25">
        <f t="shared" si="503"/>
        <v>0.30690537084398978</v>
      </c>
      <c r="N219" s="25">
        <f t="shared" si="503"/>
        <v>0.44345898004434586</v>
      </c>
      <c r="O219" s="25">
        <f t="shared" si="503"/>
        <v>0.23952095808383234</v>
      </c>
      <c r="P219" s="25">
        <f t="shared" si="503"/>
        <v>0.21534847298355522</v>
      </c>
      <c r="Q219" s="25">
        <f t="shared" si="503"/>
        <v>1.9227071716977506E-4</v>
      </c>
      <c r="R219" s="118">
        <f t="shared" si="501"/>
        <v>-0.33051306181729323</v>
      </c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46" x14ac:dyDescent="0.2"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46" x14ac:dyDescent="0.2"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46" x14ac:dyDescent="0.2">
      <c r="B222" s="20"/>
      <c r="C222" s="172" t="s">
        <v>376</v>
      </c>
      <c r="D222" s="173"/>
      <c r="E222" s="173"/>
      <c r="F222" s="173"/>
      <c r="G222" s="173"/>
      <c r="H222" s="173"/>
      <c r="I222" s="173"/>
      <c r="J222" s="173"/>
      <c r="K222" s="20"/>
      <c r="L222" s="207" t="s">
        <v>336</v>
      </c>
      <c r="M222" s="208"/>
      <c r="N222" s="209"/>
      <c r="O222" s="23" t="s">
        <v>339</v>
      </c>
      <c r="P222" s="20"/>
      <c r="Q222" s="136"/>
      <c r="R222" s="207" t="s">
        <v>337</v>
      </c>
      <c r="S222" s="208"/>
      <c r="T222" s="209"/>
      <c r="U222" s="23" t="s">
        <v>339</v>
      </c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</row>
    <row r="223" spans="2:46" x14ac:dyDescent="0.2">
      <c r="B223" s="20"/>
      <c r="C223" s="164" t="s">
        <v>338</v>
      </c>
      <c r="D223" s="164" t="s">
        <v>0</v>
      </c>
      <c r="E223" s="164" t="s">
        <v>377</v>
      </c>
      <c r="F223" s="164" t="s">
        <v>378</v>
      </c>
      <c r="G223" s="164" t="s">
        <v>379</v>
      </c>
      <c r="H223" s="164" t="s">
        <v>380</v>
      </c>
      <c r="I223" s="164" t="s">
        <v>381</v>
      </c>
      <c r="J223" s="164" t="s">
        <v>382</v>
      </c>
      <c r="K223" s="20"/>
      <c r="L223" s="164" t="s">
        <v>338</v>
      </c>
      <c r="M223" s="164"/>
      <c r="N223" s="164" t="s">
        <v>0</v>
      </c>
      <c r="O223" s="164" t="s">
        <v>371</v>
      </c>
      <c r="P223" s="20"/>
      <c r="Q223" s="20"/>
      <c r="R223" s="164" t="s">
        <v>338</v>
      </c>
      <c r="S223" s="164"/>
      <c r="T223" s="164" t="s">
        <v>0</v>
      </c>
      <c r="U223" s="164" t="s">
        <v>371</v>
      </c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</row>
    <row r="224" spans="2:46" x14ac:dyDescent="0.2">
      <c r="B224" s="20"/>
      <c r="C224" s="165" t="s">
        <v>340</v>
      </c>
      <c r="D224" s="21">
        <v>14</v>
      </c>
      <c r="E224" s="174" t="s">
        <v>383</v>
      </c>
      <c r="F224" s="22">
        <v>0</v>
      </c>
      <c r="G224" s="22">
        <v>1</v>
      </c>
      <c r="H224" s="165">
        <f>F224/G224</f>
        <v>0</v>
      </c>
      <c r="I224" s="165">
        <f>H224*D225</f>
        <v>0</v>
      </c>
      <c r="J224" s="175">
        <f>I224+D225</f>
        <v>1</v>
      </c>
      <c r="K224" s="20"/>
      <c r="L224" s="165" t="s">
        <v>340</v>
      </c>
      <c r="M224" s="165"/>
      <c r="N224" s="21">
        <v>14</v>
      </c>
      <c r="O224" s="171">
        <f>N224</f>
        <v>14</v>
      </c>
      <c r="P224" s="20"/>
      <c r="Q224" s="20"/>
      <c r="R224" s="165" t="s">
        <v>340</v>
      </c>
      <c r="S224" s="165"/>
      <c r="T224" s="21">
        <v>1</v>
      </c>
      <c r="U224" s="171">
        <f>T224</f>
        <v>1</v>
      </c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</row>
    <row r="225" spans="2:32" x14ac:dyDescent="0.2">
      <c r="B225" s="20"/>
      <c r="C225" s="165" t="s">
        <v>341</v>
      </c>
      <c r="D225" s="21">
        <v>1</v>
      </c>
      <c r="E225" s="174" t="s">
        <v>384</v>
      </c>
      <c r="F225" s="22">
        <v>0</v>
      </c>
      <c r="G225" s="22">
        <v>1</v>
      </c>
      <c r="H225" s="165">
        <f>F225/G225</f>
        <v>0</v>
      </c>
      <c r="I225" s="165">
        <f>H225*J224</f>
        <v>0</v>
      </c>
      <c r="J225" s="165">
        <f>I225+J224</f>
        <v>1</v>
      </c>
      <c r="K225" s="20"/>
      <c r="L225" s="165" t="s">
        <v>341</v>
      </c>
      <c r="M225" s="165"/>
      <c r="N225" s="21">
        <v>1</v>
      </c>
      <c r="O225" s="171">
        <f>N225</f>
        <v>1</v>
      </c>
      <c r="P225" s="20"/>
      <c r="Q225" s="20"/>
      <c r="R225" s="165" t="s">
        <v>341</v>
      </c>
      <c r="S225" s="165"/>
      <c r="T225" s="21">
        <v>1</v>
      </c>
      <c r="U225" s="171">
        <f>T225</f>
        <v>1</v>
      </c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</row>
    <row r="226" spans="2:32" x14ac:dyDescent="0.2">
      <c r="B226" s="20"/>
      <c r="C226" s="165" t="s">
        <v>343</v>
      </c>
      <c r="D226" s="166">
        <f>D224*D225</f>
        <v>14</v>
      </c>
      <c r="E226" s="174" t="s">
        <v>396</v>
      </c>
      <c r="F226" s="22">
        <v>0</v>
      </c>
      <c r="G226" s="22">
        <v>1</v>
      </c>
      <c r="H226" s="165">
        <f>F226/G226</f>
        <v>0</v>
      </c>
      <c r="I226" s="165">
        <f>H226*J225</f>
        <v>0</v>
      </c>
      <c r="J226" s="165">
        <f>I226+J225</f>
        <v>1</v>
      </c>
      <c r="K226" s="20"/>
      <c r="L226" s="165" t="s">
        <v>342</v>
      </c>
      <c r="M226" s="165"/>
      <c r="N226" s="166">
        <f>N224*N225</f>
        <v>14</v>
      </c>
      <c r="O226" s="171">
        <f>N226</f>
        <v>14</v>
      </c>
      <c r="P226" s="20"/>
      <c r="Q226" s="20"/>
      <c r="R226" s="165" t="s">
        <v>343</v>
      </c>
      <c r="S226" s="165"/>
      <c r="T226" s="166">
        <f>T224*T225</f>
        <v>1</v>
      </c>
      <c r="U226" s="171">
        <f>T226</f>
        <v>1</v>
      </c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</row>
    <row r="227" spans="2:32" x14ac:dyDescent="0.2">
      <c r="B227" s="20"/>
      <c r="C227" s="165"/>
      <c r="D227" s="166"/>
      <c r="E227" s="174" t="s">
        <v>454</v>
      </c>
      <c r="F227" s="22">
        <v>0</v>
      </c>
      <c r="G227" s="22">
        <v>1</v>
      </c>
      <c r="H227" s="165">
        <f t="shared" ref="H227:H230" si="504">F227/G227</f>
        <v>0</v>
      </c>
      <c r="I227" s="165">
        <f t="shared" ref="I227:I229" si="505">H227*J226</f>
        <v>0</v>
      </c>
      <c r="J227" s="165">
        <f t="shared" ref="J227:J229" si="506">I227+J226</f>
        <v>1</v>
      </c>
      <c r="K227" s="20"/>
      <c r="L227" s="165" t="s">
        <v>344</v>
      </c>
      <c r="M227" s="165"/>
      <c r="N227" s="21">
        <v>200</v>
      </c>
      <c r="O227" s="21">
        <v>3755</v>
      </c>
      <c r="P227" s="20"/>
      <c r="Q227" s="20"/>
      <c r="R227" s="165" t="s">
        <v>344</v>
      </c>
      <c r="S227" s="165"/>
      <c r="T227" s="21">
        <v>1</v>
      </c>
      <c r="U227" s="21">
        <v>1</v>
      </c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</row>
    <row r="228" spans="2:32" x14ac:dyDescent="0.2">
      <c r="B228" s="20"/>
      <c r="C228" s="165"/>
      <c r="D228" s="166"/>
      <c r="E228" s="174" t="s">
        <v>455</v>
      </c>
      <c r="F228" s="22">
        <v>0</v>
      </c>
      <c r="G228" s="22">
        <v>1</v>
      </c>
      <c r="H228" s="165">
        <f t="shared" si="504"/>
        <v>0</v>
      </c>
      <c r="I228" s="165">
        <f t="shared" si="505"/>
        <v>0</v>
      </c>
      <c r="J228" s="165">
        <f t="shared" si="506"/>
        <v>1</v>
      </c>
      <c r="K228" s="20"/>
      <c r="L228" s="165" t="s">
        <v>345</v>
      </c>
      <c r="M228" s="165"/>
      <c r="N228" s="166">
        <f>N227*N225</f>
        <v>200</v>
      </c>
      <c r="O228" s="166">
        <f>O227*O225</f>
        <v>3755</v>
      </c>
      <c r="P228" s="20"/>
      <c r="Q228" s="20"/>
      <c r="R228" s="165" t="s">
        <v>341</v>
      </c>
      <c r="S228" s="165"/>
      <c r="T228" s="21">
        <v>1</v>
      </c>
      <c r="U228" s="127">
        <f>T228</f>
        <v>1</v>
      </c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</row>
    <row r="229" spans="2:32" x14ac:dyDescent="0.2">
      <c r="B229" s="20"/>
      <c r="C229" s="165"/>
      <c r="D229" s="166"/>
      <c r="E229" s="174" t="s">
        <v>456</v>
      </c>
      <c r="F229" s="22">
        <v>0</v>
      </c>
      <c r="G229" s="22">
        <v>1</v>
      </c>
      <c r="H229" s="165">
        <f t="shared" si="504"/>
        <v>0</v>
      </c>
      <c r="I229" s="165">
        <f t="shared" si="505"/>
        <v>0</v>
      </c>
      <c r="J229" s="165">
        <f t="shared" si="506"/>
        <v>1</v>
      </c>
      <c r="K229" s="20"/>
      <c r="L229" s="165"/>
      <c r="M229" s="165"/>
      <c r="N229" s="166"/>
      <c r="O229" s="166"/>
      <c r="P229" s="20"/>
      <c r="Q229" s="20"/>
      <c r="R229" s="165" t="s">
        <v>343</v>
      </c>
      <c r="S229" s="165"/>
      <c r="T229" s="166">
        <f>T228*T227</f>
        <v>1</v>
      </c>
      <c r="U229" s="166">
        <f>U228*U227</f>
        <v>1</v>
      </c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</row>
    <row r="230" spans="2:32" x14ac:dyDescent="0.2">
      <c r="B230" s="20"/>
      <c r="C230" s="165"/>
      <c r="D230" s="166"/>
      <c r="E230" s="174" t="s">
        <v>385</v>
      </c>
      <c r="F230" s="22">
        <v>10</v>
      </c>
      <c r="G230" s="22">
        <v>2</v>
      </c>
      <c r="H230" s="165">
        <f t="shared" si="504"/>
        <v>5</v>
      </c>
      <c r="I230" s="165">
        <f>H230*J229</f>
        <v>5</v>
      </c>
      <c r="J230" s="165">
        <f>I230</f>
        <v>5</v>
      </c>
      <c r="K230" s="20"/>
      <c r="L230" s="165"/>
      <c r="M230" s="165"/>
      <c r="N230" s="166"/>
      <c r="O230" s="166"/>
      <c r="P230" s="20"/>
      <c r="Q230" s="20"/>
      <c r="R230" s="165"/>
      <c r="S230" s="165"/>
      <c r="T230" s="166"/>
      <c r="U230" s="166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</row>
    <row r="231" spans="2:32" x14ac:dyDescent="0.2">
      <c r="B231" s="20"/>
      <c r="C231" s="165"/>
      <c r="D231" s="166"/>
      <c r="E231" s="174" t="s">
        <v>457</v>
      </c>
      <c r="F231" s="22">
        <v>0</v>
      </c>
      <c r="G231" s="22">
        <v>1</v>
      </c>
      <c r="H231" s="165">
        <f>F231/G231</f>
        <v>0</v>
      </c>
      <c r="I231" s="165">
        <f>H231*J230</f>
        <v>0</v>
      </c>
      <c r="J231" s="165">
        <f>I231</f>
        <v>0</v>
      </c>
      <c r="K231" s="20"/>
      <c r="L231" s="167" t="s">
        <v>346</v>
      </c>
      <c r="M231" s="167"/>
      <c r="N231" s="168">
        <f>N228/N226</f>
        <v>14.285714285714286</v>
      </c>
      <c r="O231" s="168">
        <f>O228/O226</f>
        <v>268.21428571428572</v>
      </c>
      <c r="P231" s="20"/>
      <c r="Q231" s="20"/>
      <c r="R231" s="167" t="s">
        <v>346</v>
      </c>
      <c r="S231" s="167"/>
      <c r="T231" s="168">
        <f>T229/T226</f>
        <v>1</v>
      </c>
      <c r="U231" s="168">
        <f>U229/U226</f>
        <v>1</v>
      </c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</row>
    <row r="232" spans="2:32" x14ac:dyDescent="0.2">
      <c r="B232" s="20"/>
      <c r="C232" s="165" t="s">
        <v>344</v>
      </c>
      <c r="D232" s="21">
        <v>3500</v>
      </c>
      <c r="E232" s="174"/>
      <c r="F232" s="165"/>
      <c r="G232" s="165"/>
      <c r="H232" s="167" t="s">
        <v>386</v>
      </c>
      <c r="I232" s="165"/>
      <c r="J232" s="165">
        <f>J231</f>
        <v>0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</row>
    <row r="233" spans="2:32" x14ac:dyDescent="0.2">
      <c r="B233" s="20"/>
      <c r="C233" s="165" t="s">
        <v>341</v>
      </c>
      <c r="D233" s="21">
        <v>1</v>
      </c>
      <c r="E233" s="174" t="s">
        <v>385</v>
      </c>
      <c r="F233" s="22">
        <v>10</v>
      </c>
      <c r="G233" s="22">
        <v>2</v>
      </c>
      <c r="H233" s="165">
        <f>F233/G233</f>
        <v>5</v>
      </c>
      <c r="I233" s="175">
        <f>H233*D225</f>
        <v>5</v>
      </c>
      <c r="J233" s="175">
        <f>I233</f>
        <v>5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</row>
    <row r="234" spans="2:32" x14ac:dyDescent="0.2">
      <c r="B234" s="20"/>
      <c r="C234" s="165" t="s">
        <v>343</v>
      </c>
      <c r="D234" s="166">
        <f>D233*D232</f>
        <v>3500</v>
      </c>
      <c r="E234" s="165"/>
      <c r="F234" s="165"/>
      <c r="G234" s="165"/>
      <c r="H234" s="167" t="s">
        <v>386</v>
      </c>
      <c r="I234" s="165"/>
      <c r="J234" s="165">
        <f>J233</f>
        <v>5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</row>
    <row r="235" spans="2:32" x14ac:dyDescent="0.2">
      <c r="B235" s="20"/>
      <c r="C235" s="165"/>
      <c r="D235" s="166"/>
      <c r="E235" s="174" t="s">
        <v>385</v>
      </c>
      <c r="F235" s="22">
        <v>10</v>
      </c>
      <c r="G235" s="22">
        <v>2</v>
      </c>
      <c r="H235" s="165">
        <f>F235/G235</f>
        <v>5</v>
      </c>
      <c r="I235" s="165">
        <f>H235*J234</f>
        <v>25</v>
      </c>
      <c r="J235" s="165">
        <f>I235</f>
        <v>25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</row>
    <row r="236" spans="2:32" x14ac:dyDescent="0.2">
      <c r="B236" s="20"/>
      <c r="C236" s="167" t="s">
        <v>346</v>
      </c>
      <c r="D236" s="168">
        <f>D234/D226</f>
        <v>250</v>
      </c>
      <c r="E236" s="174"/>
      <c r="F236" s="165"/>
      <c r="G236" s="165"/>
      <c r="H236" s="167" t="s">
        <v>386</v>
      </c>
      <c r="I236" s="165"/>
      <c r="J236" s="165">
        <f>J235</f>
        <v>25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</row>
    <row r="237" spans="2:32" x14ac:dyDescent="0.2"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</row>
    <row r="238" spans="2:32" x14ac:dyDescent="0.2">
      <c r="B238" s="20"/>
      <c r="C238" s="20"/>
      <c r="D238" s="136"/>
      <c r="E238" s="176"/>
      <c r="F238" s="176"/>
      <c r="G238" s="177"/>
      <c r="H238" s="20"/>
      <c r="I238" s="136"/>
      <c r="J238" s="176"/>
      <c r="K238" s="177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</row>
    <row r="239" spans="2:32" ht="14.25" x14ac:dyDescent="0.2">
      <c r="B239" s="20"/>
      <c r="C239" s="20"/>
      <c r="D239" s="200" t="s">
        <v>27</v>
      </c>
      <c r="E239" s="201"/>
      <c r="F239" s="201"/>
      <c r="G239" s="202"/>
      <c r="H239" s="20"/>
      <c r="I239" s="200" t="s">
        <v>391</v>
      </c>
      <c r="J239" s="201"/>
      <c r="K239" s="202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</row>
    <row r="240" spans="2:32" x14ac:dyDescent="0.2">
      <c r="B240" s="20"/>
      <c r="C240" s="20"/>
      <c r="D240" s="20" t="s">
        <v>28</v>
      </c>
      <c r="E240" s="127"/>
      <c r="F240" s="127"/>
      <c r="G240" s="21">
        <f>D226</f>
        <v>14</v>
      </c>
      <c r="H240" s="20"/>
      <c r="I240" s="20" t="s">
        <v>28</v>
      </c>
      <c r="J240" s="127"/>
      <c r="K240" s="21">
        <f>G240</f>
        <v>14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</row>
    <row r="241" spans="2:32" x14ac:dyDescent="0.2">
      <c r="B241" s="20"/>
      <c r="C241" s="20"/>
      <c r="D241" s="20" t="s">
        <v>29</v>
      </c>
      <c r="E241" s="127"/>
      <c r="F241" s="127"/>
      <c r="G241" s="21">
        <f>D234</f>
        <v>3500</v>
      </c>
      <c r="H241" s="20"/>
      <c r="I241" s="20" t="s">
        <v>29</v>
      </c>
      <c r="J241" s="20"/>
      <c r="K241" s="21">
        <f>G241</f>
        <v>3500</v>
      </c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</row>
    <row r="242" spans="2:32" x14ac:dyDescent="0.2">
      <c r="B242" s="20"/>
      <c r="C242" s="20"/>
      <c r="D242" s="20" t="s">
        <v>30</v>
      </c>
      <c r="E242" s="20"/>
      <c r="F242" s="20"/>
      <c r="G242" s="22">
        <v>10</v>
      </c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</row>
    <row r="243" spans="2:32" x14ac:dyDescent="0.2">
      <c r="B243" s="20"/>
      <c r="C243" s="20"/>
      <c r="D243" s="23" t="s">
        <v>31</v>
      </c>
      <c r="E243" s="3"/>
      <c r="F243" s="3"/>
      <c r="G243" s="3">
        <f>((G241/G240)^(1/G242))-1</f>
        <v>0.73697673221968674</v>
      </c>
      <c r="H243" s="20"/>
      <c r="I243" s="23" t="s">
        <v>392</v>
      </c>
      <c r="J243" s="23"/>
      <c r="K243" s="191">
        <f>(K241-K240)/K240</f>
        <v>249</v>
      </c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</row>
    <row r="244" spans="2:32" x14ac:dyDescent="0.2">
      <c r="C244" s="20"/>
      <c r="D244" s="23" t="s">
        <v>32</v>
      </c>
      <c r="E244" s="163"/>
      <c r="F244" s="163"/>
      <c r="G244" s="24">
        <f>G242*12</f>
        <v>120</v>
      </c>
      <c r="H244" s="20"/>
      <c r="I244" s="23" t="s">
        <v>393</v>
      </c>
      <c r="J244" s="23"/>
      <c r="K244" s="23">
        <f>K241/K240</f>
        <v>250</v>
      </c>
    </row>
    <row r="245" spans="2:32" x14ac:dyDescent="0.2">
      <c r="C245" s="20"/>
      <c r="D245" s="20" t="s">
        <v>30</v>
      </c>
      <c r="E245" s="25"/>
      <c r="F245" s="25"/>
      <c r="G245" s="25">
        <f>G244/12</f>
        <v>10</v>
      </c>
      <c r="H245" s="20"/>
      <c r="I245" s="20"/>
      <c r="J245" s="20"/>
      <c r="K245" s="20"/>
    </row>
    <row r="246" spans="2:32" x14ac:dyDescent="0.2">
      <c r="C246" s="20"/>
      <c r="D246" s="23" t="s">
        <v>33</v>
      </c>
      <c r="E246" s="3"/>
      <c r="F246" s="3"/>
      <c r="G246" s="3">
        <f>((G241/G240)^(1/G245))-1</f>
        <v>0.73697673221968674</v>
      </c>
      <c r="H246" s="20"/>
      <c r="I246" s="20"/>
      <c r="J246" s="20"/>
      <c r="K246" s="20"/>
    </row>
    <row r="247" spans="2:32" x14ac:dyDescent="0.2">
      <c r="C247" s="20"/>
      <c r="D247" s="20"/>
      <c r="E247" s="20"/>
      <c r="F247" s="20"/>
      <c r="G247" s="20"/>
      <c r="H247" s="20"/>
      <c r="I247" s="20"/>
      <c r="J247" s="20"/>
      <c r="K247" s="20"/>
    </row>
    <row r="248" spans="2:32" x14ac:dyDescent="0.2">
      <c r="C248" s="20"/>
      <c r="D248" s="20"/>
      <c r="E248" s="20"/>
      <c r="F248" s="20"/>
      <c r="G248" s="20"/>
      <c r="H248" s="20"/>
      <c r="I248" s="20"/>
      <c r="J248" s="20"/>
      <c r="K248" s="20"/>
    </row>
  </sheetData>
  <mergeCells count="7">
    <mergeCell ref="D239:G239"/>
    <mergeCell ref="I239:K239"/>
    <mergeCell ref="AE2:AF2"/>
    <mergeCell ref="AE3:AF3"/>
    <mergeCell ref="L222:N222"/>
    <mergeCell ref="R222:T222"/>
    <mergeCell ref="K205:L205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12" t="s">
        <v>27</v>
      </c>
      <c r="K5" s="212"/>
      <c r="M5" s="212" t="s">
        <v>65</v>
      </c>
      <c r="N5" s="212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12" t="s">
        <v>36</v>
      </c>
      <c r="K14" s="212"/>
      <c r="L14" s="212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12" t="s">
        <v>27</v>
      </c>
      <c r="S5" s="212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12" t="s">
        <v>36</v>
      </c>
      <c r="S14" s="212"/>
      <c r="T14" s="212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12" t="s">
        <v>27</v>
      </c>
      <c r="C2" s="212"/>
      <c r="E2" s="212" t="s">
        <v>65</v>
      </c>
      <c r="F2" s="212"/>
      <c r="H2" s="216" t="s">
        <v>36</v>
      </c>
      <c r="I2" s="217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13" t="s">
        <v>68</v>
      </c>
      <c r="E10" s="214"/>
      <c r="F10" s="214"/>
      <c r="G10" s="214"/>
      <c r="H10" s="215"/>
      <c r="I10" s="213" t="s">
        <v>72</v>
      </c>
      <c r="J10" s="214"/>
      <c r="K10" s="214"/>
      <c r="L10" s="215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5"/>
    <col min="2" max="2" width="16.5703125" style="185" customWidth="1"/>
    <col min="3" max="3" width="39.7109375" style="185" customWidth="1"/>
    <col min="4" max="5" width="9.140625" style="185"/>
    <col min="6" max="6" width="19" style="185" bestFit="1" customWidth="1"/>
    <col min="7" max="7" width="49" style="185" customWidth="1"/>
    <col min="8" max="16384" width="9.140625" style="185"/>
  </cols>
  <sheetData>
    <row r="3" spans="2:7" x14ac:dyDescent="0.2">
      <c r="B3" s="218" t="s">
        <v>430</v>
      </c>
      <c r="C3" s="219"/>
      <c r="F3" s="218" t="s">
        <v>431</v>
      </c>
      <c r="G3" s="219"/>
    </row>
    <row r="4" spans="2:7" x14ac:dyDescent="0.2">
      <c r="B4" s="186" t="s">
        <v>432</v>
      </c>
      <c r="C4" s="186"/>
      <c r="F4" s="186" t="s">
        <v>433</v>
      </c>
      <c r="G4" s="186"/>
    </row>
    <row r="5" spans="2:7" x14ac:dyDescent="0.2">
      <c r="B5" s="186" t="s">
        <v>434</v>
      </c>
      <c r="C5" s="186"/>
      <c r="F5" s="186" t="s">
        <v>291</v>
      </c>
      <c r="G5" s="186"/>
    </row>
    <row r="6" spans="2:7" x14ac:dyDescent="0.2">
      <c r="B6" s="186" t="s">
        <v>435</v>
      </c>
      <c r="C6" s="186"/>
      <c r="F6" s="186" t="s">
        <v>436</v>
      </c>
      <c r="G6" s="186"/>
    </row>
    <row r="7" spans="2:7" x14ac:dyDescent="0.2">
      <c r="B7" s="186" t="s">
        <v>437</v>
      </c>
      <c r="C7" s="186"/>
      <c r="F7" s="186" t="s">
        <v>438</v>
      </c>
      <c r="G7" s="186"/>
    </row>
    <row r="8" spans="2:7" x14ac:dyDescent="0.2">
      <c r="B8" s="186" t="s">
        <v>439</v>
      </c>
      <c r="C8" s="186"/>
      <c r="F8" s="186" t="s">
        <v>440</v>
      </c>
      <c r="G8" s="186"/>
    </row>
    <row r="9" spans="2:7" x14ac:dyDescent="0.2">
      <c r="B9" s="186" t="s">
        <v>441</v>
      </c>
      <c r="C9" s="186"/>
      <c r="F9" s="186" t="s">
        <v>442</v>
      </c>
      <c r="G9" s="186"/>
    </row>
    <row r="10" spans="2:7" x14ac:dyDescent="0.2">
      <c r="B10" s="186" t="s">
        <v>440</v>
      </c>
      <c r="C10" s="186"/>
      <c r="F10" s="186"/>
      <c r="G10" s="186"/>
    </row>
    <row r="11" spans="2:7" x14ac:dyDescent="0.2">
      <c r="B11" s="186" t="s">
        <v>443</v>
      </c>
      <c r="C11" s="186"/>
      <c r="F11" s="186"/>
      <c r="G11" s="186"/>
    </row>
    <row r="12" spans="2:7" x14ac:dyDescent="0.2">
      <c r="B12" s="186" t="s">
        <v>444</v>
      </c>
      <c r="C12" s="186"/>
      <c r="F12" s="186"/>
      <c r="G12" s="186"/>
    </row>
    <row r="13" spans="2:7" x14ac:dyDescent="0.2">
      <c r="B13" s="186"/>
      <c r="C13" s="186"/>
      <c r="F13" s="186"/>
      <c r="G13" s="186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2014-12-19T07:22:10Z</dcterms:modified>
</cp:coreProperties>
</file>
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</sheets>
  <calcPr calcId="125725"/>
</workbook>
</file>

<file path=xl/calcChain.xml><?xml version="1.0" encoding="utf-8"?>
<calcChain xmlns="http://schemas.openxmlformats.org/spreadsheetml/2006/main">
  <c r="T15" i="18"/>
  <c r="U15" s="1"/>
  <c r="V15" s="1"/>
  <c r="W15" s="1"/>
  <c r="X15" s="1"/>
  <c r="Y15" s="1"/>
  <c r="Z15" s="1"/>
  <c r="AA15" s="1"/>
  <c r="AB15" s="1"/>
  <c r="S15"/>
  <c r="Q15"/>
  <c r="Q45"/>
  <c r="Q44"/>
  <c r="Q43"/>
  <c r="Q42"/>
  <c r="P41"/>
  <c r="O41"/>
  <c r="Q39"/>
  <c r="Q38"/>
  <c r="Q37"/>
  <c r="P93"/>
  <c r="P92"/>
  <c r="P91"/>
  <c r="C73"/>
  <c r="D73"/>
  <c r="E73"/>
  <c r="G73"/>
  <c r="H73"/>
  <c r="I73"/>
  <c r="J73"/>
  <c r="K73"/>
  <c r="L73"/>
  <c r="M73"/>
  <c r="N73"/>
  <c r="O73"/>
  <c r="P73"/>
  <c r="F73"/>
  <c r="G72"/>
  <c r="H72"/>
  <c r="I72"/>
  <c r="J72"/>
  <c r="K72"/>
  <c r="L72"/>
  <c r="M72"/>
  <c r="N72"/>
  <c r="O72"/>
  <c r="P72"/>
  <c r="C72"/>
  <c r="D72"/>
  <c r="E72"/>
  <c r="F72"/>
  <c r="G71"/>
  <c r="H71"/>
  <c r="I71"/>
  <c r="J71"/>
  <c r="K71"/>
  <c r="L71"/>
  <c r="M71"/>
  <c r="N71"/>
  <c r="O71"/>
  <c r="P71"/>
  <c r="C71"/>
  <c r="D71"/>
  <c r="E71"/>
  <c r="F71"/>
  <c r="S53"/>
  <c r="T53" s="1"/>
  <c r="U53" s="1"/>
  <c r="V53" s="1"/>
  <c r="W53" s="1"/>
  <c r="X53" s="1"/>
  <c r="Y53" s="1"/>
  <c r="Z53" s="1"/>
  <c r="AA53" s="1"/>
  <c r="AB53" s="1"/>
  <c r="Q53"/>
  <c r="S51"/>
  <c r="T51" s="1"/>
  <c r="U51" s="1"/>
  <c r="V51" s="1"/>
  <c r="W51" s="1"/>
  <c r="X51" s="1"/>
  <c r="Y51" s="1"/>
  <c r="Z51" s="1"/>
  <c r="AA51" s="1"/>
  <c r="AB51" s="1"/>
  <c r="Q51"/>
  <c r="C67"/>
  <c r="D67"/>
  <c r="E67"/>
  <c r="G67"/>
  <c r="H67"/>
  <c r="I67"/>
  <c r="J67"/>
  <c r="K67"/>
  <c r="L67"/>
  <c r="M67"/>
  <c r="N67"/>
  <c r="O67"/>
  <c r="P67"/>
  <c r="F67"/>
  <c r="C66"/>
  <c r="D66"/>
  <c r="E66"/>
  <c r="G66"/>
  <c r="H66"/>
  <c r="I66"/>
  <c r="J66"/>
  <c r="K66"/>
  <c r="L66"/>
  <c r="M66"/>
  <c r="N66"/>
  <c r="O66"/>
  <c r="P66"/>
  <c r="F66"/>
  <c r="C65"/>
  <c r="D65"/>
  <c r="E65"/>
  <c r="P63"/>
  <c r="G65"/>
  <c r="H65"/>
  <c r="I65"/>
  <c r="J65"/>
  <c r="K65"/>
  <c r="L65"/>
  <c r="M65"/>
  <c r="N65"/>
  <c r="O65"/>
  <c r="P65"/>
  <c r="F65"/>
  <c r="C63"/>
  <c r="D63"/>
  <c r="E63"/>
  <c r="F63"/>
  <c r="G63"/>
  <c r="H63"/>
  <c r="I63"/>
  <c r="J63"/>
  <c r="K63"/>
  <c r="L63"/>
  <c r="M63"/>
  <c r="N63"/>
  <c r="P28"/>
  <c r="O28"/>
  <c r="N28"/>
  <c r="M28"/>
  <c r="L28"/>
  <c r="K28"/>
  <c r="J28"/>
  <c r="I28"/>
  <c r="H28"/>
  <c r="G28"/>
  <c r="P26"/>
  <c r="O26"/>
  <c r="N26"/>
  <c r="M26"/>
  <c r="L26"/>
  <c r="K26"/>
  <c r="J26"/>
  <c r="I26"/>
  <c r="H26"/>
  <c r="G26"/>
  <c r="S27"/>
  <c r="T27" s="1"/>
  <c r="U27" s="1"/>
  <c r="V27" s="1"/>
  <c r="W27" s="1"/>
  <c r="X27" s="1"/>
  <c r="Y27" s="1"/>
  <c r="Z27" s="1"/>
  <c r="AA27" s="1"/>
  <c r="AB27" s="1"/>
  <c r="Q27"/>
  <c r="S25"/>
  <c r="T25" s="1"/>
  <c r="U25" s="1"/>
  <c r="V25" s="1"/>
  <c r="W25" s="1"/>
  <c r="X25" s="1"/>
  <c r="Y25" s="1"/>
  <c r="Z25" s="1"/>
  <c r="AA25" s="1"/>
  <c r="AB25" s="1"/>
  <c r="Q25"/>
  <c r="N41"/>
  <c r="M41"/>
  <c r="L41"/>
  <c r="K41"/>
  <c r="J41"/>
  <c r="I41"/>
  <c r="H41"/>
  <c r="G41"/>
  <c r="P32"/>
  <c r="O32"/>
  <c r="N32"/>
  <c r="M32"/>
  <c r="L32"/>
  <c r="K32"/>
  <c r="J32"/>
  <c r="I32"/>
  <c r="H32"/>
  <c r="G32"/>
  <c r="P30"/>
  <c r="O30"/>
  <c r="N30"/>
  <c r="M30"/>
  <c r="L30"/>
  <c r="K30"/>
  <c r="J30"/>
  <c r="I30"/>
  <c r="H30"/>
  <c r="G30"/>
  <c r="P24"/>
  <c r="O24"/>
  <c r="N24"/>
  <c r="M24"/>
  <c r="L24"/>
  <c r="K24"/>
  <c r="J24"/>
  <c r="I24"/>
  <c r="H24"/>
  <c r="G24"/>
  <c r="S31"/>
  <c r="T31" s="1"/>
  <c r="U31" s="1"/>
  <c r="V31" s="1"/>
  <c r="W31" s="1"/>
  <c r="X31" s="1"/>
  <c r="Y31" s="1"/>
  <c r="Z31" s="1"/>
  <c r="AA31" s="1"/>
  <c r="AB31" s="1"/>
  <c r="Q31"/>
  <c r="S29"/>
  <c r="T29" s="1"/>
  <c r="U29" s="1"/>
  <c r="V29" s="1"/>
  <c r="W29" s="1"/>
  <c r="X29" s="1"/>
  <c r="Y29" s="1"/>
  <c r="Z29" s="1"/>
  <c r="AA29" s="1"/>
  <c r="AB29" s="1"/>
  <c r="Q29"/>
  <c r="S23"/>
  <c r="T23" s="1"/>
  <c r="U23" s="1"/>
  <c r="V23" s="1"/>
  <c r="W23" s="1"/>
  <c r="X23" s="1"/>
  <c r="Y23" s="1"/>
  <c r="Z23" s="1"/>
  <c r="AA23" s="1"/>
  <c r="AB23" s="1"/>
  <c r="Q23"/>
  <c r="D75"/>
  <c r="E75"/>
  <c r="F75"/>
  <c r="G75"/>
  <c r="H75"/>
  <c r="I75"/>
  <c r="J75"/>
  <c r="K75"/>
  <c r="L75"/>
  <c r="M75"/>
  <c r="N75"/>
  <c r="O75"/>
  <c r="P75"/>
  <c r="C75"/>
  <c r="S54"/>
  <c r="T54" s="1"/>
  <c r="Q54"/>
  <c r="AC15" l="1"/>
  <c r="AE15" s="1"/>
  <c r="F68"/>
  <c r="M68"/>
  <c r="I68"/>
  <c r="E68"/>
  <c r="N69"/>
  <c r="J69"/>
  <c r="D68"/>
  <c r="C69"/>
  <c r="O69"/>
  <c r="K69"/>
  <c r="G69"/>
  <c r="P69"/>
  <c r="L69"/>
  <c r="H69"/>
  <c r="F69"/>
  <c r="M69"/>
  <c r="I69"/>
  <c r="D69"/>
  <c r="O68"/>
  <c r="K68"/>
  <c r="G68"/>
  <c r="E69"/>
  <c r="C68"/>
  <c r="N68"/>
  <c r="J68"/>
  <c r="P68"/>
  <c r="L68"/>
  <c r="H68"/>
  <c r="AC53"/>
  <c r="AE53" s="1"/>
  <c r="AC51"/>
  <c r="AE51" s="1"/>
  <c r="AC27"/>
  <c r="AE27" s="1"/>
  <c r="AC25"/>
  <c r="AE25" s="1"/>
  <c r="U54"/>
  <c r="T75"/>
  <c r="S75"/>
  <c r="AC31"/>
  <c r="AE31" s="1"/>
  <c r="AC29"/>
  <c r="AE29" s="1"/>
  <c r="AC23"/>
  <c r="AE23" s="1"/>
  <c r="Q69" l="1"/>
  <c r="Q68"/>
  <c r="V54"/>
  <c r="U75"/>
  <c r="U40"/>
  <c r="X40" s="1"/>
  <c r="AA40" s="1"/>
  <c r="S40"/>
  <c r="V40" s="1"/>
  <c r="Y40" s="1"/>
  <c r="AB40" s="1"/>
  <c r="AC40" s="1"/>
  <c r="C85"/>
  <c r="D85"/>
  <c r="E85"/>
  <c r="F85"/>
  <c r="G85"/>
  <c r="H85"/>
  <c r="I85"/>
  <c r="J85"/>
  <c r="K85"/>
  <c r="L85"/>
  <c r="M85"/>
  <c r="N85"/>
  <c r="O85"/>
  <c r="C86"/>
  <c r="D86"/>
  <c r="E86"/>
  <c r="F86"/>
  <c r="G86"/>
  <c r="H86"/>
  <c r="I86"/>
  <c r="J86"/>
  <c r="K86"/>
  <c r="L86"/>
  <c r="M86"/>
  <c r="N86"/>
  <c r="O86"/>
  <c r="C87"/>
  <c r="D87"/>
  <c r="E87"/>
  <c r="F87"/>
  <c r="G87"/>
  <c r="H87"/>
  <c r="I87"/>
  <c r="J87"/>
  <c r="K87"/>
  <c r="L87"/>
  <c r="M87"/>
  <c r="N87"/>
  <c r="O87"/>
  <c r="P87"/>
  <c r="P86"/>
  <c r="P85"/>
  <c r="C93"/>
  <c r="D93"/>
  <c r="E93"/>
  <c r="F93"/>
  <c r="G93"/>
  <c r="H93"/>
  <c r="I93"/>
  <c r="J93"/>
  <c r="K93"/>
  <c r="L93"/>
  <c r="M93"/>
  <c r="N93"/>
  <c r="O93"/>
  <c r="C91"/>
  <c r="D91"/>
  <c r="E91"/>
  <c r="C92"/>
  <c r="D92"/>
  <c r="E92"/>
  <c r="F92"/>
  <c r="G92"/>
  <c r="H92"/>
  <c r="I92"/>
  <c r="J92"/>
  <c r="K92"/>
  <c r="L92"/>
  <c r="M92"/>
  <c r="N92"/>
  <c r="O92"/>
  <c r="F91"/>
  <c r="G91"/>
  <c r="H91"/>
  <c r="I91"/>
  <c r="J91"/>
  <c r="K91"/>
  <c r="L91"/>
  <c r="M91"/>
  <c r="N91"/>
  <c r="O91"/>
  <c r="G50"/>
  <c r="G48"/>
  <c r="G36"/>
  <c r="G11"/>
  <c r="G8"/>
  <c r="G34"/>
  <c r="Q86" l="1"/>
  <c r="Q85"/>
  <c r="Q92"/>
  <c r="Q93"/>
  <c r="Q87"/>
  <c r="W54"/>
  <c r="V75"/>
  <c r="AE40"/>
  <c r="Q91"/>
  <c r="C129"/>
  <c r="D129"/>
  <c r="E129"/>
  <c r="F129"/>
  <c r="H129"/>
  <c r="I129"/>
  <c r="J129"/>
  <c r="K129"/>
  <c r="L129"/>
  <c r="M129"/>
  <c r="N129"/>
  <c r="O129"/>
  <c r="P129"/>
  <c r="G129"/>
  <c r="H58"/>
  <c r="I58"/>
  <c r="J58"/>
  <c r="K58"/>
  <c r="L58"/>
  <c r="M58"/>
  <c r="N58"/>
  <c r="O58"/>
  <c r="P58"/>
  <c r="C58"/>
  <c r="D58"/>
  <c r="E58"/>
  <c r="F58"/>
  <c r="G58"/>
  <c r="G60"/>
  <c r="H57"/>
  <c r="I57"/>
  <c r="J57"/>
  <c r="K57"/>
  <c r="L57"/>
  <c r="M57"/>
  <c r="N57"/>
  <c r="O57"/>
  <c r="P57"/>
  <c r="C57"/>
  <c r="D57"/>
  <c r="E57"/>
  <c r="F57"/>
  <c r="G57"/>
  <c r="P50"/>
  <c r="O50"/>
  <c r="N50"/>
  <c r="M50"/>
  <c r="L50"/>
  <c r="K50"/>
  <c r="J50"/>
  <c r="I50"/>
  <c r="H50"/>
  <c r="P48"/>
  <c r="O48"/>
  <c r="N48"/>
  <c r="M48"/>
  <c r="L48"/>
  <c r="K48"/>
  <c r="J48"/>
  <c r="I48"/>
  <c r="H48"/>
  <c r="P36"/>
  <c r="O36"/>
  <c r="N36"/>
  <c r="M36"/>
  <c r="L36"/>
  <c r="K36"/>
  <c r="J36"/>
  <c r="I36"/>
  <c r="H36"/>
  <c r="P34"/>
  <c r="O34"/>
  <c r="N34"/>
  <c r="M34"/>
  <c r="L34"/>
  <c r="K34"/>
  <c r="J34"/>
  <c r="I34"/>
  <c r="H34"/>
  <c r="P11"/>
  <c r="O11"/>
  <c r="N11"/>
  <c r="M11"/>
  <c r="L11"/>
  <c r="K11"/>
  <c r="J11"/>
  <c r="I11"/>
  <c r="H11"/>
  <c r="I8"/>
  <c r="J8"/>
  <c r="K8"/>
  <c r="L8"/>
  <c r="M8"/>
  <c r="N8"/>
  <c r="O8"/>
  <c r="P8"/>
  <c r="H8"/>
  <c r="Q52"/>
  <c r="S47"/>
  <c r="Q47"/>
  <c r="X54" l="1"/>
  <c r="W75"/>
  <c r="T47"/>
  <c r="Q58"/>
  <c r="Q57"/>
  <c r="Q129"/>
  <c r="Q40"/>
  <c r="T40" s="1"/>
  <c r="W40" s="1"/>
  <c r="Z40" s="1"/>
  <c r="Y54" l="1"/>
  <c r="X75"/>
  <c r="U47"/>
  <c r="I82"/>
  <c r="J82"/>
  <c r="K82"/>
  <c r="L82"/>
  <c r="M82"/>
  <c r="N82"/>
  <c r="O82"/>
  <c r="P82"/>
  <c r="I83"/>
  <c r="J83"/>
  <c r="K83"/>
  <c r="L83"/>
  <c r="M83"/>
  <c r="N83"/>
  <c r="O83"/>
  <c r="P83"/>
  <c r="I77"/>
  <c r="I79" s="1"/>
  <c r="J77"/>
  <c r="J79" s="1"/>
  <c r="K77"/>
  <c r="K79" s="1"/>
  <c r="L77"/>
  <c r="L79" s="1"/>
  <c r="M77"/>
  <c r="M79" s="1"/>
  <c r="N77"/>
  <c r="N79" s="1"/>
  <c r="O77"/>
  <c r="O79" s="1"/>
  <c r="P77"/>
  <c r="P79" s="1"/>
  <c r="I80"/>
  <c r="J80"/>
  <c r="K80"/>
  <c r="L80"/>
  <c r="M80"/>
  <c r="N80"/>
  <c r="O80"/>
  <c r="P80"/>
  <c r="I81"/>
  <c r="J81"/>
  <c r="K81"/>
  <c r="L81"/>
  <c r="M81"/>
  <c r="N81"/>
  <c r="O81"/>
  <c r="P81"/>
  <c r="C80"/>
  <c r="D80"/>
  <c r="E80"/>
  <c r="F80"/>
  <c r="G80"/>
  <c r="C81"/>
  <c r="D81"/>
  <c r="E81"/>
  <c r="F81"/>
  <c r="G81"/>
  <c r="C82"/>
  <c r="D82"/>
  <c r="E82"/>
  <c r="F82"/>
  <c r="G82"/>
  <c r="C83"/>
  <c r="D83"/>
  <c r="E83"/>
  <c r="F83"/>
  <c r="G83"/>
  <c r="H83"/>
  <c r="H82"/>
  <c r="S21"/>
  <c r="T21" s="1"/>
  <c r="U21" s="1"/>
  <c r="V21" s="1"/>
  <c r="W21" s="1"/>
  <c r="X21" s="1"/>
  <c r="Y21" s="1"/>
  <c r="Z21" s="1"/>
  <c r="AA21" s="1"/>
  <c r="AB21" s="1"/>
  <c r="Q21"/>
  <c r="S20"/>
  <c r="T20" s="1"/>
  <c r="U20" s="1"/>
  <c r="V20" s="1"/>
  <c r="W20" s="1"/>
  <c r="X20" s="1"/>
  <c r="Y20" s="1"/>
  <c r="Z20" s="1"/>
  <c r="AA20" s="1"/>
  <c r="AB20" s="1"/>
  <c r="AC20" s="1"/>
  <c r="S19"/>
  <c r="Q18"/>
  <c r="C77"/>
  <c r="C79" s="1"/>
  <c r="D77"/>
  <c r="D79" s="1"/>
  <c r="E77"/>
  <c r="E79" s="1"/>
  <c r="F77"/>
  <c r="F79" s="1"/>
  <c r="G77"/>
  <c r="G79" s="1"/>
  <c r="H77"/>
  <c r="H79" s="1"/>
  <c r="H81"/>
  <c r="H80"/>
  <c r="Z54" l="1"/>
  <c r="Y75"/>
  <c r="V47"/>
  <c r="Q82"/>
  <c r="Q83"/>
  <c r="Q81"/>
  <c r="Q79"/>
  <c r="Q80"/>
  <c r="AC21"/>
  <c r="AE21" s="1"/>
  <c r="Q20"/>
  <c r="Q19"/>
  <c r="Q77"/>
  <c r="S18"/>
  <c r="T18" s="1"/>
  <c r="T19"/>
  <c r="AE20"/>
  <c r="Q75"/>
  <c r="Q118"/>
  <c r="AA54" l="1"/>
  <c r="Z75"/>
  <c r="U18"/>
  <c r="V18" s="1"/>
  <c r="W18" s="1"/>
  <c r="X18" s="1"/>
  <c r="Y18" s="1"/>
  <c r="Z18" s="1"/>
  <c r="AA18" s="1"/>
  <c r="AB18" s="1"/>
  <c r="AC18" s="1"/>
  <c r="AE18" s="1"/>
  <c r="T77"/>
  <c r="S77"/>
  <c r="U19"/>
  <c r="C18" i="15"/>
  <c r="S9" i="18"/>
  <c r="T9" s="1"/>
  <c r="U9" s="1"/>
  <c r="V9" s="1"/>
  <c r="W9" s="1"/>
  <c r="X9" s="1"/>
  <c r="Y9" s="1"/>
  <c r="Z9" s="1"/>
  <c r="AA9" s="1"/>
  <c r="AB9" s="1"/>
  <c r="Q49"/>
  <c r="Q35"/>
  <c r="Q33"/>
  <c r="Q16"/>
  <c r="Q13"/>
  <c r="Q12"/>
  <c r="Q10"/>
  <c r="Q9"/>
  <c r="Q7"/>
  <c r="Q6"/>
  <c r="S16"/>
  <c r="T16" s="1"/>
  <c r="U16" s="1"/>
  <c r="V16" s="1"/>
  <c r="W16" s="1"/>
  <c r="X16" s="1"/>
  <c r="Y16" s="1"/>
  <c r="Z16" s="1"/>
  <c r="AA16" s="1"/>
  <c r="AB16" s="1"/>
  <c r="S33"/>
  <c r="S35"/>
  <c r="W47"/>
  <c r="O63"/>
  <c r="O62"/>
  <c r="O120" s="1"/>
  <c r="O61"/>
  <c r="O60"/>
  <c r="O119" s="1"/>
  <c r="T35" l="1"/>
  <c r="AB54"/>
  <c r="AA75"/>
  <c r="X47"/>
  <c r="T33"/>
  <c r="S91"/>
  <c r="V19"/>
  <c r="U77"/>
  <c r="AC16"/>
  <c r="AE16" s="1"/>
  <c r="AC9"/>
  <c r="AE9" s="1"/>
  <c r="U35" l="1"/>
  <c r="AB75"/>
  <c r="AC54"/>
  <c r="AE54" s="1"/>
  <c r="U33"/>
  <c r="T91"/>
  <c r="Y47"/>
  <c r="W19"/>
  <c r="V77"/>
  <c r="Q67"/>
  <c r="V35" l="1"/>
  <c r="S106"/>
  <c r="AC75"/>
  <c r="AE75" s="1"/>
  <c r="T106" s="1"/>
  <c r="V33"/>
  <c r="U91"/>
  <c r="Z47"/>
  <c r="X19"/>
  <c r="W77"/>
  <c r="Q65"/>
  <c r="Q66"/>
  <c r="C45" i="15"/>
  <c r="W35" i="18" l="1"/>
  <c r="R106"/>
  <c r="P123" s="1"/>
  <c r="W33"/>
  <c r="V91"/>
  <c r="AA47"/>
  <c r="Y19"/>
  <c r="X77"/>
  <c r="S118"/>
  <c r="C60"/>
  <c r="C119" s="1"/>
  <c r="D60"/>
  <c r="D119" s="1"/>
  <c r="E60"/>
  <c r="E119" s="1"/>
  <c r="F60"/>
  <c r="H60"/>
  <c r="H119" s="1"/>
  <c r="I60"/>
  <c r="I119" s="1"/>
  <c r="J60"/>
  <c r="J119" s="1"/>
  <c r="K60"/>
  <c r="K119" s="1"/>
  <c r="L60"/>
  <c r="M60"/>
  <c r="M119" s="1"/>
  <c r="N60"/>
  <c r="P60"/>
  <c r="P119" s="1"/>
  <c r="D62"/>
  <c r="D120" s="1"/>
  <c r="E62"/>
  <c r="E120" s="1"/>
  <c r="F62"/>
  <c r="F120" s="1"/>
  <c r="G62"/>
  <c r="H62"/>
  <c r="H120" s="1"/>
  <c r="I62"/>
  <c r="I120" s="1"/>
  <c r="J62"/>
  <c r="J120" s="1"/>
  <c r="K62"/>
  <c r="K120" s="1"/>
  <c r="L62"/>
  <c r="L120" s="1"/>
  <c r="M62"/>
  <c r="M120" s="1"/>
  <c r="N62"/>
  <c r="P62"/>
  <c r="C62"/>
  <c r="C120" s="1"/>
  <c r="D61"/>
  <c r="E61"/>
  <c r="F61"/>
  <c r="G61"/>
  <c r="H61"/>
  <c r="I61"/>
  <c r="J61"/>
  <c r="K61"/>
  <c r="L61"/>
  <c r="M61"/>
  <c r="N61"/>
  <c r="P61"/>
  <c r="C61"/>
  <c r="S13"/>
  <c r="S49"/>
  <c r="S10"/>
  <c r="S12"/>
  <c r="S7"/>
  <c r="S6"/>
  <c r="R96" l="1"/>
  <c r="F119"/>
  <c r="T13"/>
  <c r="X35"/>
  <c r="T12"/>
  <c r="T7"/>
  <c r="T6"/>
  <c r="T10"/>
  <c r="X33"/>
  <c r="W91"/>
  <c r="T49"/>
  <c r="S93"/>
  <c r="S92"/>
  <c r="AB47"/>
  <c r="Z19"/>
  <c r="Y77"/>
  <c r="T118"/>
  <c r="Q61"/>
  <c r="G120"/>
  <c r="Q62"/>
  <c r="Q63"/>
  <c r="Q71"/>
  <c r="Q72"/>
  <c r="G119"/>
  <c r="Q60"/>
  <c r="Q73"/>
  <c r="N120"/>
  <c r="N119"/>
  <c r="P120"/>
  <c r="L119"/>
  <c r="S52"/>
  <c r="S61" s="1"/>
  <c r="C6" i="12"/>
  <c r="C25" i="15"/>
  <c r="C57"/>
  <c r="C56"/>
  <c r="C53"/>
  <c r="C52"/>
  <c r="C49"/>
  <c r="C48"/>
  <c r="C44"/>
  <c r="S62" i="18" l="1"/>
  <c r="S60"/>
  <c r="S67"/>
  <c r="S65"/>
  <c r="S66"/>
  <c r="S63"/>
  <c r="Y35"/>
  <c r="U6"/>
  <c r="U12"/>
  <c r="U13"/>
  <c r="S87"/>
  <c r="S73"/>
  <c r="S83"/>
  <c r="S85"/>
  <c r="S58"/>
  <c r="S57"/>
  <c r="U10"/>
  <c r="U7"/>
  <c r="S86"/>
  <c r="S71"/>
  <c r="S72"/>
  <c r="AC47"/>
  <c r="AE47" s="1"/>
  <c r="Y33"/>
  <c r="X91"/>
  <c r="U49"/>
  <c r="T93"/>
  <c r="T92"/>
  <c r="T52"/>
  <c r="T63" s="1"/>
  <c r="S80"/>
  <c r="S81"/>
  <c r="S82"/>
  <c r="S79"/>
  <c r="AA19"/>
  <c r="Z77"/>
  <c r="U118"/>
  <c r="Q120"/>
  <c r="Q119"/>
  <c r="C15" i="15"/>
  <c r="C20"/>
  <c r="C9"/>
  <c r="S68" i="18" l="1"/>
  <c r="T61"/>
  <c r="T60"/>
  <c r="T62"/>
  <c r="T66"/>
  <c r="T67"/>
  <c r="T65"/>
  <c r="T83"/>
  <c r="T85"/>
  <c r="T57"/>
  <c r="T58"/>
  <c r="V6"/>
  <c r="V10"/>
  <c r="V13"/>
  <c r="T71"/>
  <c r="T73"/>
  <c r="Z35"/>
  <c r="V7"/>
  <c r="V12"/>
  <c r="T72"/>
  <c r="T87"/>
  <c r="T86"/>
  <c r="V49"/>
  <c r="U93"/>
  <c r="U92"/>
  <c r="Z33"/>
  <c r="Y91"/>
  <c r="U52"/>
  <c r="U63" s="1"/>
  <c r="T82"/>
  <c r="T81"/>
  <c r="T80"/>
  <c r="T79"/>
  <c r="AB19"/>
  <c r="AA77"/>
  <c r="V118"/>
  <c r="S119"/>
  <c r="S120"/>
  <c r="D31" i="8"/>
  <c r="D29"/>
  <c r="D28"/>
  <c r="D13"/>
  <c r="D30" s="1"/>
  <c r="E14"/>
  <c r="F14" s="1"/>
  <c r="G14" s="1"/>
  <c r="H14" s="1"/>
  <c r="I14" s="1"/>
  <c r="T68" i="18" l="1"/>
  <c r="U62"/>
  <c r="U60"/>
  <c r="U67"/>
  <c r="U65"/>
  <c r="U66"/>
  <c r="U61"/>
  <c r="U86"/>
  <c r="U71"/>
  <c r="U83"/>
  <c r="U85"/>
  <c r="U58"/>
  <c r="U57"/>
  <c r="W7"/>
  <c r="AA35"/>
  <c r="U72"/>
  <c r="U73"/>
  <c r="U87"/>
  <c r="W6"/>
  <c r="W13"/>
  <c r="W12"/>
  <c r="W10"/>
  <c r="AA33"/>
  <c r="Z91"/>
  <c r="W49"/>
  <c r="V92"/>
  <c r="V93"/>
  <c r="V52"/>
  <c r="V63" s="1"/>
  <c r="U82"/>
  <c r="U80"/>
  <c r="U81"/>
  <c r="U79"/>
  <c r="AC19"/>
  <c r="AE19" s="1"/>
  <c r="AB77"/>
  <c r="W118"/>
  <c r="T119"/>
  <c r="T120"/>
  <c r="I7" i="12"/>
  <c r="F7"/>
  <c r="H39"/>
  <c r="L25"/>
  <c r="L26" s="1"/>
  <c r="L27" s="1"/>
  <c r="L28" s="1"/>
  <c r="L29" s="1"/>
  <c r="L30" s="1"/>
  <c r="L31" s="1"/>
  <c r="L32" s="1"/>
  <c r="L33" s="1"/>
  <c r="L34" s="1"/>
  <c r="L39" s="1"/>
  <c r="I25"/>
  <c r="I26" s="1"/>
  <c r="I27" s="1"/>
  <c r="I28" s="1"/>
  <c r="I29" s="1"/>
  <c r="I30" s="1"/>
  <c r="I31" s="1"/>
  <c r="I32" s="1"/>
  <c r="I33" s="1"/>
  <c r="I34" s="1"/>
  <c r="F24"/>
  <c r="G24" s="1"/>
  <c r="K25" s="1"/>
  <c r="K26" s="1"/>
  <c r="K27" s="1"/>
  <c r="K28" s="1"/>
  <c r="K29" s="1"/>
  <c r="K30" s="1"/>
  <c r="K31" s="1"/>
  <c r="K32" s="1"/>
  <c r="K33" s="1"/>
  <c r="K34" s="1"/>
  <c r="K40" s="1"/>
  <c r="F23"/>
  <c r="G23" s="1"/>
  <c r="F22"/>
  <c r="G22" s="1"/>
  <c r="F21"/>
  <c r="G21" s="1"/>
  <c r="F20"/>
  <c r="G20" s="1"/>
  <c r="F19"/>
  <c r="G19" s="1"/>
  <c r="F18"/>
  <c r="G18" s="1"/>
  <c r="F17"/>
  <c r="G17" s="1"/>
  <c r="F16"/>
  <c r="G16" s="1"/>
  <c r="F15"/>
  <c r="G15" s="1"/>
  <c r="F14"/>
  <c r="G14" s="1"/>
  <c r="F13"/>
  <c r="G13" s="1"/>
  <c r="U68" i="18" l="1"/>
  <c r="V62"/>
  <c r="V60"/>
  <c r="V61"/>
  <c r="V66"/>
  <c r="V65"/>
  <c r="V67"/>
  <c r="V87"/>
  <c r="V73"/>
  <c r="V72"/>
  <c r="X12"/>
  <c r="V83"/>
  <c r="V85"/>
  <c r="V57"/>
  <c r="V58"/>
  <c r="X6"/>
  <c r="X7"/>
  <c r="V71"/>
  <c r="V86"/>
  <c r="X10"/>
  <c r="X13"/>
  <c r="AB35"/>
  <c r="X49"/>
  <c r="W93"/>
  <c r="W92"/>
  <c r="AB33"/>
  <c r="AA91"/>
  <c r="W52"/>
  <c r="W61" s="1"/>
  <c r="V82"/>
  <c r="V80"/>
  <c r="V81"/>
  <c r="V79"/>
  <c r="S108"/>
  <c r="AC77"/>
  <c r="AE77" s="1"/>
  <c r="T108" s="1"/>
  <c r="X118"/>
  <c r="U119"/>
  <c r="U120"/>
  <c r="G40" i="12"/>
  <c r="J25"/>
  <c r="J26" s="1"/>
  <c r="J27" s="1"/>
  <c r="J28" s="1"/>
  <c r="J29" s="1"/>
  <c r="J30" s="1"/>
  <c r="J31" s="1"/>
  <c r="J32" s="1"/>
  <c r="J33" s="1"/>
  <c r="J34" s="1"/>
  <c r="K37" s="1"/>
  <c r="N10" i="11"/>
  <c r="H44"/>
  <c r="I41"/>
  <c r="F41"/>
  <c r="G41" s="1"/>
  <c r="K41" s="1"/>
  <c r="I40"/>
  <c r="F40"/>
  <c r="G40" s="1"/>
  <c r="K40" s="1"/>
  <c r="I39"/>
  <c r="F39"/>
  <c r="G39" s="1"/>
  <c r="K39" s="1"/>
  <c r="I38"/>
  <c r="F38"/>
  <c r="G38" s="1"/>
  <c r="K38" s="1"/>
  <c r="I37"/>
  <c r="F37"/>
  <c r="G37" s="1"/>
  <c r="K37" s="1"/>
  <c r="I36"/>
  <c r="F36"/>
  <c r="G36" s="1"/>
  <c r="K36" s="1"/>
  <c r="I35"/>
  <c r="F35"/>
  <c r="G35" s="1"/>
  <c r="K35" s="1"/>
  <c r="I34"/>
  <c r="F34"/>
  <c r="G34" s="1"/>
  <c r="K34" s="1"/>
  <c r="I33"/>
  <c r="F33"/>
  <c r="G33" s="1"/>
  <c r="K33" s="1"/>
  <c r="I32"/>
  <c r="F32"/>
  <c r="G32" s="1"/>
  <c r="K32" s="1"/>
  <c r="N31"/>
  <c r="Q31" s="1"/>
  <c r="I31"/>
  <c r="F31"/>
  <c r="G31" s="1"/>
  <c r="I30"/>
  <c r="F30"/>
  <c r="G30" s="1"/>
  <c r="K30" s="1"/>
  <c r="I29"/>
  <c r="D22"/>
  <c r="L19"/>
  <c r="K11"/>
  <c r="K12" s="1"/>
  <c r="K9"/>
  <c r="H44" i="9"/>
  <c r="N32"/>
  <c r="N33" s="1"/>
  <c r="N34" s="1"/>
  <c r="N35" s="1"/>
  <c r="N36" s="1"/>
  <c r="N37" s="1"/>
  <c r="N38" s="1"/>
  <c r="N39" s="1"/>
  <c r="N40" s="1"/>
  <c r="N41" s="1"/>
  <c r="N42" s="1"/>
  <c r="N31"/>
  <c r="P31" s="1"/>
  <c r="P32" s="1"/>
  <c r="M45"/>
  <c r="M32"/>
  <c r="M33" s="1"/>
  <c r="M34" s="1"/>
  <c r="M35" s="1"/>
  <c r="M36" s="1"/>
  <c r="M37" s="1"/>
  <c r="M38" s="1"/>
  <c r="M39" s="1"/>
  <c r="M40" s="1"/>
  <c r="M41" s="1"/>
  <c r="I29"/>
  <c r="I30"/>
  <c r="I32"/>
  <c r="I33"/>
  <c r="I34"/>
  <c r="I35"/>
  <c r="I36"/>
  <c r="I37"/>
  <c r="I38"/>
  <c r="I39"/>
  <c r="I40"/>
  <c r="I41"/>
  <c r="I31"/>
  <c r="F31"/>
  <c r="G31" s="1"/>
  <c r="K31" s="1"/>
  <c r="L31" s="1"/>
  <c r="F32"/>
  <c r="G32" s="1"/>
  <c r="K32" s="1"/>
  <c r="F33"/>
  <c r="G33" s="1"/>
  <c r="K33" s="1"/>
  <c r="F34"/>
  <c r="G34" s="1"/>
  <c r="K34" s="1"/>
  <c r="F35"/>
  <c r="G35" s="1"/>
  <c r="K35" s="1"/>
  <c r="F36"/>
  <c r="G36" s="1"/>
  <c r="K36" s="1"/>
  <c r="F37"/>
  <c r="G37" s="1"/>
  <c r="K37" s="1"/>
  <c r="F38"/>
  <c r="G38" s="1"/>
  <c r="K38" s="1"/>
  <c r="F39"/>
  <c r="G39" s="1"/>
  <c r="K39" s="1"/>
  <c r="F40"/>
  <c r="G40" s="1"/>
  <c r="K40" s="1"/>
  <c r="F41"/>
  <c r="G41" s="1"/>
  <c r="K41" s="1"/>
  <c r="F30"/>
  <c r="G30" s="1"/>
  <c r="K30" s="1"/>
  <c r="V68" i="18" l="1"/>
  <c r="W60"/>
  <c r="W71"/>
  <c r="W65"/>
  <c r="W67"/>
  <c r="W66"/>
  <c r="W63"/>
  <c r="W62"/>
  <c r="W86"/>
  <c r="W73"/>
  <c r="W87"/>
  <c r="W72"/>
  <c r="Y12"/>
  <c r="AC35"/>
  <c r="AE35" s="1"/>
  <c r="Y10"/>
  <c r="Y7"/>
  <c r="W83"/>
  <c r="W85"/>
  <c r="W58"/>
  <c r="W57"/>
  <c r="Y6"/>
  <c r="Y13"/>
  <c r="AC33"/>
  <c r="AE33" s="1"/>
  <c r="AB91"/>
  <c r="AC91" s="1"/>
  <c r="Y49"/>
  <c r="X93"/>
  <c r="X92"/>
  <c r="R108"/>
  <c r="O31" i="9"/>
  <c r="O32" s="1"/>
  <c r="X52" i="18"/>
  <c r="X63" s="1"/>
  <c r="W82"/>
  <c r="W80"/>
  <c r="W81"/>
  <c r="W79"/>
  <c r="Y118"/>
  <c r="V119"/>
  <c r="V120"/>
  <c r="P31" i="11"/>
  <c r="N32"/>
  <c r="T19" i="9"/>
  <c r="D22"/>
  <c r="W68" i="18" l="1"/>
  <c r="X60"/>
  <c r="X62"/>
  <c r="X66"/>
  <c r="X65"/>
  <c r="X67"/>
  <c r="X61"/>
  <c r="X73"/>
  <c r="Z12"/>
  <c r="Z7"/>
  <c r="Z10"/>
  <c r="X72"/>
  <c r="X83"/>
  <c r="X85"/>
  <c r="X58"/>
  <c r="X57"/>
  <c r="Z13"/>
  <c r="Z6"/>
  <c r="X87"/>
  <c r="X71"/>
  <c r="X86"/>
  <c r="Z49"/>
  <c r="Y93"/>
  <c r="Y92"/>
  <c r="Y52"/>
  <c r="Y62" s="1"/>
  <c r="X82"/>
  <c r="X80"/>
  <c r="X81"/>
  <c r="X79"/>
  <c r="Z118"/>
  <c r="W119"/>
  <c r="W120"/>
  <c r="N33" i="11"/>
  <c r="O32"/>
  <c r="P32"/>
  <c r="M45"/>
  <c r="L31"/>
  <c r="M32" s="1"/>
  <c r="M33" s="1"/>
  <c r="M34" s="1"/>
  <c r="M35" s="1"/>
  <c r="M36" s="1"/>
  <c r="M37" s="1"/>
  <c r="M38" s="1"/>
  <c r="M39" s="1"/>
  <c r="M40" s="1"/>
  <c r="M41" s="1"/>
  <c r="Q32"/>
  <c r="S11" i="9"/>
  <c r="S12" s="1"/>
  <c r="S9"/>
  <c r="X68" i="18" l="1"/>
  <c r="Y63"/>
  <c r="Y61"/>
  <c r="Y60"/>
  <c r="Y67"/>
  <c r="Y65"/>
  <c r="Y68" s="1"/>
  <c r="Y66"/>
  <c r="AA12"/>
  <c r="AA7"/>
  <c r="Y87"/>
  <c r="Y73"/>
  <c r="Y83"/>
  <c r="Y85"/>
  <c r="Y58"/>
  <c r="Y57"/>
  <c r="AA6"/>
  <c r="AA13"/>
  <c r="AA10"/>
  <c r="Y72"/>
  <c r="Y86"/>
  <c r="Y71"/>
  <c r="AA49"/>
  <c r="Z92"/>
  <c r="Z93"/>
  <c r="Z52"/>
  <c r="Y82"/>
  <c r="Y80"/>
  <c r="Y81"/>
  <c r="Y79"/>
  <c r="AA118"/>
  <c r="X119"/>
  <c r="X120"/>
  <c r="N34" i="11"/>
  <c r="O33"/>
  <c r="D25" i="8"/>
  <c r="D23"/>
  <c r="Z66" i="18" l="1"/>
  <c r="Z67"/>
  <c r="Z65"/>
  <c r="Z61"/>
  <c r="Z60"/>
  <c r="Z62"/>
  <c r="Z63"/>
  <c r="Z71"/>
  <c r="Z87"/>
  <c r="Z73"/>
  <c r="AB13"/>
  <c r="AB7"/>
  <c r="Z86"/>
  <c r="AB10"/>
  <c r="AB12"/>
  <c r="Z83"/>
  <c r="Z85"/>
  <c r="Z57"/>
  <c r="Z58"/>
  <c r="AB6"/>
  <c r="Z72"/>
  <c r="AB49"/>
  <c r="AA93"/>
  <c r="AA92"/>
  <c r="AA52"/>
  <c r="AA62" s="1"/>
  <c r="Z82"/>
  <c r="Z80"/>
  <c r="Z81"/>
  <c r="Z79"/>
  <c r="AB118"/>
  <c r="Y119"/>
  <c r="Y120"/>
  <c r="N35" i="11"/>
  <c r="O34"/>
  <c r="D35" i="8"/>
  <c r="E5"/>
  <c r="E18" s="1"/>
  <c r="D18"/>
  <c r="D19"/>
  <c r="D21"/>
  <c r="D20"/>
  <c r="Z68" i="18" l="1"/>
  <c r="AA61"/>
  <c r="AA60"/>
  <c r="AA63"/>
  <c r="AA65"/>
  <c r="AA67"/>
  <c r="AA66"/>
  <c r="AA71"/>
  <c r="AA73"/>
  <c r="AA86"/>
  <c r="AC7"/>
  <c r="AE7" s="1"/>
  <c r="AC13"/>
  <c r="AE13" s="1"/>
  <c r="AC6"/>
  <c r="AE6" s="1"/>
  <c r="AC12"/>
  <c r="AE12" s="1"/>
  <c r="AA83"/>
  <c r="AA85"/>
  <c r="AA57"/>
  <c r="AA58"/>
  <c r="AC10"/>
  <c r="AE10" s="1"/>
  <c r="AA87"/>
  <c r="AA72"/>
  <c r="AB93"/>
  <c r="AC93" s="1"/>
  <c r="AB92"/>
  <c r="AC92" s="1"/>
  <c r="AC49"/>
  <c r="AE49" s="1"/>
  <c r="AB52"/>
  <c r="AB63" s="1"/>
  <c r="AA82"/>
  <c r="AA80"/>
  <c r="AA81"/>
  <c r="AA79"/>
  <c r="AC118"/>
  <c r="AE118" s="1"/>
  <c r="Z119"/>
  <c r="Z120"/>
  <c r="N36" i="11"/>
  <c r="O35"/>
  <c r="F5" i="8"/>
  <c r="G5" s="1"/>
  <c r="H5" s="1"/>
  <c r="I5" s="1"/>
  <c r="AA68" i="18" l="1"/>
  <c r="AB60"/>
  <c r="AB62"/>
  <c r="AB61"/>
  <c r="AB66"/>
  <c r="AB67"/>
  <c r="AB65"/>
  <c r="AB73"/>
  <c r="AB71"/>
  <c r="AB86"/>
  <c r="AC86" s="1"/>
  <c r="AE86" s="1"/>
  <c r="AB83"/>
  <c r="S115" s="1"/>
  <c r="AB85"/>
  <c r="AB58"/>
  <c r="AC58" s="1"/>
  <c r="AE58" s="1"/>
  <c r="AB57"/>
  <c r="AC57" s="1"/>
  <c r="AE57" s="1"/>
  <c r="AB87"/>
  <c r="AC87" s="1"/>
  <c r="AE87" s="1"/>
  <c r="AB72"/>
  <c r="AB82"/>
  <c r="S113" s="1"/>
  <c r="AB80"/>
  <c r="S111" s="1"/>
  <c r="AC52"/>
  <c r="AE52" s="1"/>
  <c r="AB81"/>
  <c r="S112" s="1"/>
  <c r="AB79"/>
  <c r="S110" s="1"/>
  <c r="AA119"/>
  <c r="AA120"/>
  <c r="N37" i="11"/>
  <c r="O36"/>
  <c r="F18" i="8"/>
  <c r="G18"/>
  <c r="AC65" i="18" l="1"/>
  <c r="AE65" s="1"/>
  <c r="T101" s="1"/>
  <c r="AB68"/>
  <c r="AC68" s="1"/>
  <c r="AE68" s="1"/>
  <c r="S101"/>
  <c r="AC83"/>
  <c r="AE83" s="1"/>
  <c r="T115" s="1"/>
  <c r="R115" s="1"/>
  <c r="P125" s="1"/>
  <c r="S103"/>
  <c r="AC67"/>
  <c r="AE67" s="1"/>
  <c r="T103" s="1"/>
  <c r="AC85"/>
  <c r="AE85" s="1"/>
  <c r="S102"/>
  <c r="AC66"/>
  <c r="AE66" s="1"/>
  <c r="T102" s="1"/>
  <c r="AC61"/>
  <c r="AE61" s="1"/>
  <c r="T98" s="1"/>
  <c r="S98"/>
  <c r="AC73"/>
  <c r="AE73" s="1"/>
  <c r="AC63"/>
  <c r="AE63" s="1"/>
  <c r="AC72"/>
  <c r="AE72" s="1"/>
  <c r="AC71"/>
  <c r="AE71" s="1"/>
  <c r="AC81"/>
  <c r="AE81" s="1"/>
  <c r="T112" s="1"/>
  <c r="AC80"/>
  <c r="AE80" s="1"/>
  <c r="AC79"/>
  <c r="AE79" s="1"/>
  <c r="T110" s="1"/>
  <c r="AC82"/>
  <c r="AE82" s="1"/>
  <c r="S97"/>
  <c r="AC60"/>
  <c r="AE60" s="1"/>
  <c r="T97" s="1"/>
  <c r="AB119"/>
  <c r="AC62"/>
  <c r="AE62" s="1"/>
  <c r="T99" s="1"/>
  <c r="AB120"/>
  <c r="S99"/>
  <c r="N38" i="11"/>
  <c r="O37"/>
  <c r="H18" i="8"/>
  <c r="R101" i="18" l="1"/>
  <c r="R102"/>
  <c r="R98"/>
  <c r="R103"/>
  <c r="P124" s="1"/>
  <c r="T113"/>
  <c r="R113" s="1"/>
  <c r="T111"/>
  <c r="R111" s="1"/>
  <c r="R112"/>
  <c r="R110"/>
  <c r="R97"/>
  <c r="P126" s="1"/>
  <c r="AC120"/>
  <c r="AE120" s="1"/>
  <c r="AC119"/>
  <c r="AE119" s="1"/>
  <c r="R99"/>
  <c r="N39" i="11"/>
  <c r="O38"/>
  <c r="I18" i="8"/>
  <c r="N40" i="11" l="1"/>
  <c r="O39"/>
  <c r="N41" l="1"/>
  <c r="O40"/>
  <c r="N42" l="1"/>
  <c r="O41"/>
</calcChain>
</file>

<file path=xl/sharedStrings.xml><?xml version="1.0" encoding="utf-8"?>
<sst xmlns="http://schemas.openxmlformats.org/spreadsheetml/2006/main" count="467" uniqueCount="328">
  <si>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</si>
  <si>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</si>
  <si>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</si>
  <si>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</si>
  <si>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</si>
  <si>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</si>
  <si>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</si>
  <si>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</si>
  <si>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</si>
  <si>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</si>
  <si>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</si>
  <si>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</si>
  <si>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</si>
  <si>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</si>
  <si>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</si>
  <si>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</si>
  <si>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</si>
  <si>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</si>
  <si>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</si>
  <si>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</si>
  <si>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</si>
  <si>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</si>
  <si>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</si>
  <si>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</si>
  <si>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</si>
  <si>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</si>
  <si>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</si>
  <si>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</si>
  <si>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</si>
  <si>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</si>
  <si>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</si>
  <si>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</si>
  <si>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</si>
  <si>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</si>
  <si>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</si>
  <si>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</si>
  <si>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</si>
  <si>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</si>
  <si>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</si>
  <si>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</si>
  <si>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</si>
  <si>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</si>
  <si>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</si>
  <si>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</si>
  <si>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</si>
  <si>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</si>
  <si>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</si>
  <si>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</si>
  <si>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</si>
  <si>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</si>
  <si>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</si>
  <si>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</si>
  <si>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</si>
  <si>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</si>
  <si>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</si>
  <si>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</si>
  <si>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</si>
  <si>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</si>
  <si>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</si>
  <si>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</si>
  <si>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</si>
  <si>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</si>
  <si>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</si>
  <si>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</si>
  <si>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</si>
  <si>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</si>
  <si>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</si>
  <si>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</si>
  <si>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</si>
  <si>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</si>
  <si>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</si>
  <si>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</si>
  <si>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</si>
  <si>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</si>
  <si>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</si>
  <si>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</si>
  <si>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</si>
  <si>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</si>
  <si>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</si>
  <si>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</si>
  <si>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</si>
  <si>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</si>
  <si>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</si>
  <si>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</si>
  <si>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</si>
  <si>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</si>
  <si>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</si>
  <si>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</si>
  <si>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</si>
  <si>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</si>
  <si>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</si>
  <si>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</si>
  <si>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</si>
  <si>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</si>
  <si>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</si>
  <si>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</si>
  <si>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</si>
  <si>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</si>
  <si>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</si>
  <si>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</si>
  <si>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</si>
  <si>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</si>
  <si>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</si>
  <si>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</si>
  <si>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</si>
  <si>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</si>
  <si>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</si>
  <si>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</si>
  <si>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</si>
  <si>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</si>
  <si>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</si>
  <si>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</si>
  <si>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</si>
  <si>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</si>
  <si>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</si>
  <si>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</si>
  <si>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</si>
  <si>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</si>
  <si>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</si>
  <si>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</si>
  <si>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</si>
  <si>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</si>
  <si>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</si>
  <si>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</si>
  <si>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</si>
  <si>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</si>
  <si>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</si>
  <si>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</si>
  <si>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</si>
  <si>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</si>
  <si>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</si>
  <si>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</si>
  <si>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</si>
  <si>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</si>
  <si>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</si>
  <si>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</si>
  <si>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</si>
  <si>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</si>
  <si>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</si>
  <si>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</si>
  <si>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</si>
  <si>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</si>
  <si>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</si>
  <si>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</si>
  <si>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</si>
  <si>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</si>
  <si>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</si>
  <si>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</si>
  <si>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</si>
  <si>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</si>
  <si>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</si>
  <si>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</si>
  <si>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</si>
  <si>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</si>
  <si>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</si>
  <si>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</si>
  <si>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</si>
  <si>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</si>
  <si>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</si>
  <si>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</si>
  <si>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</si>
  <si>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</si>
  <si>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</si>
  <si>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</si>
  <si>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</si>
  <si>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</si>
  <si>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</si>
  <si>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</si>
  <si>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</si>
  <si>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</si>
  <si>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</si>
  <si>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</si>
  <si>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</si>
  <si>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</si>
  <si>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</si>
  <si>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</si>
  <si>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</si>
  <si>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</si>
  <si>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</si>
  <si>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</si>
  <si>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</si>
  <si>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</si>
  <si>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</si>
  <si>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</si>
  <si>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</si>
  <si>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</si>
  <si>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</si>
  <si>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</si>
  <si>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</si>
  <si>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</si>
  <si>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</si>
  <si>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</si>
  <si>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</si>
  <si>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</si>
  <si>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</si>
  <si>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</si>
  <si>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</si>
  <si>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</si>
  <si>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</si>
  <si>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</si>
  <si>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</si>
  <si>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</si>
  <si>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</si>
  <si>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</si>
  <si>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</si>
  <si>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</si>
  <si>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</si>
  <si>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</si>
  <si>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</si>
  <si>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</si>
  <si>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</si>
  <si>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</si>
  <si>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</si>
  <si>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</si>
  <si>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</si>
  <si>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</si>
  <si>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</si>
  <si>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</si>
  <si>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</si>
  <si>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</si>
  <si>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</si>
  <si>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</si>
  <si>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</si>
  <si>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</si>
  <si>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</si>
  <si>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</si>
  <si>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</si>
  <si>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</si>
  <si>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</si>
  <si>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</si>
  <si>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</si>
  <si>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</si>
  <si>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</si>
  <si>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</si>
  <si>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</si>
  <si>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</si>
  <si>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</si>
  <si>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</si>
  <si>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</si>
  <si>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</si>
  <si>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</si>
  <si>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</si>
  <si>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</si>
  <si>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</si>
  <si>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</si>
  <si>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</si>
  <si>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</si>
  <si>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Price Movement</t>
  </si>
  <si>
    <t>Eval Start Year</t>
  </si>
  <si>
    <t>Eval End Year</t>
  </si>
  <si>
    <t>Proj  CAGR</t>
  </si>
  <si>
    <t>Net Earnings (Net Profit)</t>
  </si>
  <si>
    <t>EPS (Net Profit per share)</t>
  </si>
  <si>
    <t>P/BV (Share Holder Equity)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</si>
  <si>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</si>
  <si>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</si>
  <si>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</si>
  <si>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</si>
  <si>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</si>
  <si>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</si>
  <si>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</si>
  <si>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</si>
  <si>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Book Value (reserves &amp; Surplus alone) / share</t>
  </si>
  <si>
    <t>Book Value (Networth based) / Share</t>
  </si>
  <si>
    <t>Operating Profit (EBITDA)</t>
  </si>
  <si>
    <t>Suzlon Energy</t>
  </si>
  <si>
    <t>Avg EPS</t>
  </si>
  <si>
    <t>Dividend (per share)</t>
  </si>
  <si>
    <t>Net Cash Flow from Operations</t>
  </si>
  <si>
    <t>Net Cash Flow from Investments</t>
  </si>
  <si>
    <t>Net Cash Flow from Financing</t>
  </si>
  <si>
    <t>Net Cash Flow (operations per share)</t>
  </si>
  <si>
    <t>Net Cash Flow (Capex per share)</t>
  </si>
  <si>
    <t>Net Cash Flow (Financing per share)</t>
  </si>
  <si>
    <t>Y11 onwards</t>
  </si>
  <si>
    <t>Future Growth Rate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</si>
  <si>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</si>
  <si>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</si>
  <si>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</si>
  <si>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</si>
  <si>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</si>
  <si>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>% Discount (Price / B.V)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</si>
  <si>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</si>
  <si>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</si>
  <si>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</si>
  <si>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</si>
  <si>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</si>
  <si>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</si>
  <si>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Operating Profit Margin</t>
  </si>
  <si>
    <t>RONW</t>
  </si>
  <si>
    <t>Profitability Ratios</t>
  </si>
  <si>
    <t>if NEGATIVE, then stock is in DISCOUNT, if POSITIVE, then stock is in PREMIUM</t>
  </si>
  <si>
    <t>Company Name</t>
  </si>
  <si>
    <t>Net Cash Flow (Operations + Investments)</t>
  </si>
  <si>
    <t>Net Cash Flow (Operations + Investments) per share</t>
  </si>
  <si>
    <t>% Discount (Price / Net Cash &amp; Cash Eq)</t>
  </si>
  <si>
    <t>Gross Deposits</t>
  </si>
  <si>
    <t>Gross Advances</t>
  </si>
  <si>
    <t>CASA Deposits</t>
  </si>
  <si>
    <t>Employee Base</t>
  </si>
  <si>
    <t>Cash &amp; Balance with RBI</t>
  </si>
  <si>
    <t>Balance with Banks. Money at call</t>
  </si>
  <si>
    <t>Net Assests</t>
  </si>
  <si>
    <t>Contingent Liabilities</t>
  </si>
  <si>
    <t>Bills for Collection</t>
  </si>
  <si>
    <t>Borrowings</t>
  </si>
  <si>
    <t>Other Liabilities &amp; Provisions</t>
  </si>
  <si>
    <t>Other Income</t>
  </si>
  <si>
    <t>Interest Spread</t>
  </si>
  <si>
    <t>Balance with Banks. Money at call -  per share</t>
  </si>
  <si>
    <t>Gross Deposits - per share</t>
  </si>
  <si>
    <t>Gross Advances - per share</t>
  </si>
  <si>
    <t>Other Income - per share</t>
  </si>
  <si>
    <t>Operating profit per Share</t>
  </si>
  <si>
    <t>Net Profit per share</t>
  </si>
  <si>
    <t>Reserves per Share</t>
  </si>
  <si>
    <t>Sales (Rev per Employee base)</t>
  </si>
  <si>
    <t>Expenses (Exp per Employee base)</t>
  </si>
  <si>
    <t>Other Income (Income per Employee base)</t>
  </si>
  <si>
    <t>Net (Advances - Debt) per share</t>
  </si>
  <si>
    <t>Time deposists/FD or any other form</t>
  </si>
  <si>
    <t>Demand Deposits / Current Accounts</t>
  </si>
  <si>
    <t>Savings Deposits / Saving Accounts</t>
  </si>
  <si>
    <t>Retail %</t>
  </si>
  <si>
    <t>Gross Earnings</t>
  </si>
  <si>
    <t>Domestic</t>
  </si>
  <si>
    <t>Overseas</t>
  </si>
  <si>
    <t>SME</t>
  </si>
</sst>
</file>

<file path=xl/styles.xml><?xml version="1.0" encoding="utf-8"?>
<styleSheet xmlns="http://schemas.openxmlformats.org/spreadsheetml/2006/main">
  <numFmts count="1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  <numFmt numFmtId="176" formatCode="#,##0.0;[Red]\-#,##0.0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sz val="10"/>
      <color theme="9" tint="-0.499984740745262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76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40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9" fontId="9" fillId="5" borderId="1" xfId="1" applyFont="1" applyFill="1" applyBorder="1"/>
    <xf numFmtId="9" fontId="10" fillId="5" borderId="1" xfId="1" applyFont="1" applyFill="1" applyBorder="1"/>
    <xf numFmtId="0" fontId="11" fillId="5" borderId="1" xfId="0" applyFont="1" applyFill="1" applyBorder="1"/>
    <xf numFmtId="175" fontId="11" fillId="5" borderId="1" xfId="2" applyNumberFormat="1" applyFont="1" applyFill="1" applyBorder="1"/>
    <xf numFmtId="9" fontId="10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2" fillId="5" borderId="1" xfId="2" applyNumberFormat="1" applyFont="1" applyFill="1" applyBorder="1"/>
    <xf numFmtId="164" fontId="12" fillId="5" borderId="1" xfId="2" applyNumberFormat="1" applyFont="1" applyFill="1" applyBorder="1"/>
    <xf numFmtId="1" fontId="4" fillId="5" borderId="4" xfId="0" applyNumberFormat="1" applyFont="1" applyFill="1" applyBorder="1"/>
    <xf numFmtId="176" fontId="4" fillId="5" borderId="1" xfId="2" applyNumberFormat="1" applyFont="1" applyFill="1" applyBorder="1"/>
    <xf numFmtId="2" fontId="5" fillId="5" borderId="1" xfId="0" applyNumberFormat="1" applyFont="1" applyFill="1" applyBorder="1"/>
    <xf numFmtId="174" fontId="8" fillId="5" borderId="1" xfId="2" applyNumberFormat="1" applyFont="1" applyFill="1" applyBorder="1"/>
    <xf numFmtId="9" fontId="8" fillId="5" borderId="1" xfId="1" applyFont="1" applyFill="1" applyBorder="1"/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lineChart>
        <c:grouping val="stacked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</c:ser>
        <c:marker val="1"/>
        <c:axId val="90428928"/>
        <c:axId val="90430464"/>
      </c:lineChart>
      <c:catAx>
        <c:axId val="90428928"/>
        <c:scaling>
          <c:orientation val="minMax"/>
        </c:scaling>
        <c:axPos val="b"/>
        <c:tickLblPos val="nextTo"/>
        <c:crossAx val="90430464"/>
        <c:crosses val="autoZero"/>
        <c:auto val="1"/>
        <c:lblAlgn val="ctr"/>
        <c:lblOffset val="100"/>
      </c:catAx>
      <c:valAx>
        <c:axId val="90430464"/>
        <c:scaling>
          <c:orientation val="minMax"/>
        </c:scaling>
        <c:axPos val="l"/>
        <c:majorGridlines/>
        <c:numFmt formatCode="General" sourceLinked="1"/>
        <c:tickLblPos val="nextTo"/>
        <c:crossAx val="90428928"/>
        <c:crosses val="autoZero"/>
        <c:crossBetween val="between"/>
      </c:valAx>
    </c:plotArea>
    <c:legend>
      <c:legendPos val="r"/>
    </c:legend>
    <c:plotVisOnly val="1"/>
    <c:dispBlanksAs val="zero"/>
  </c:chart>
  <c:printSettings>
    <c:headerFooter/>
    <c:pageMargins b="0.75000000000000178" l="0.70000000000000062" r="0.70000000000000062" t="0.75000000000000178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F108"/>
  <sheetViews>
    <sheetView zoomScale="80" zoomScaleNormal="80" workbookViewId="0">
      <selection activeCell="D21" sqref="D21"/>
    </sheetView>
  </sheetViews>
  <sheetFormatPr defaultRowHeight="12.75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>
      <c r="B4" s="103"/>
      <c r="C4" s="20"/>
      <c r="D4" s="20"/>
      <c r="E4" s="20"/>
      <c r="F4" s="20"/>
    </row>
    <row r="5" spans="2:6">
      <c r="B5" s="103"/>
      <c r="C5" s="108" t="s">
        <v>126</v>
      </c>
      <c r="D5" s="20"/>
      <c r="E5" s="20"/>
      <c r="F5" s="20"/>
    </row>
    <row r="6" spans="2:6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>
      <c r="B7" s="103"/>
      <c r="C7" s="20"/>
      <c r="D7" s="20" t="s">
        <v>129</v>
      </c>
      <c r="E7" s="20"/>
      <c r="F7" s="20"/>
    </row>
    <row r="8" spans="2:6">
      <c r="B8" s="103"/>
      <c r="C8" s="20"/>
      <c r="D8" s="20" t="s">
        <v>135</v>
      </c>
      <c r="E8" s="20"/>
      <c r="F8" s="20"/>
    </row>
    <row r="9" spans="2:6">
      <c r="B9" s="103"/>
      <c r="C9" s="20"/>
      <c r="D9" s="20"/>
      <c r="E9" s="20"/>
      <c r="F9" s="20"/>
    </row>
    <row r="10" spans="2:6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>
      <c r="B11" s="103"/>
      <c r="C11" s="20"/>
      <c r="D11" s="20" t="s">
        <v>131</v>
      </c>
      <c r="E11" s="20"/>
      <c r="F11" s="20"/>
    </row>
    <row r="12" spans="2:6">
      <c r="B12" s="103"/>
      <c r="C12" s="20"/>
      <c r="D12" s="20"/>
      <c r="E12" s="20"/>
      <c r="F12" s="20"/>
    </row>
    <row r="13" spans="2:6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>
      <c r="B14" s="103"/>
      <c r="C14" s="20"/>
      <c r="D14" s="20" t="s">
        <v>136</v>
      </c>
      <c r="E14" s="20" t="s">
        <v>139</v>
      </c>
      <c r="F14" s="20"/>
    </row>
    <row r="15" spans="2:6">
      <c r="B15" s="103"/>
      <c r="C15" s="20"/>
      <c r="D15" s="20"/>
      <c r="E15" s="20" t="s">
        <v>140</v>
      </c>
      <c r="F15" s="20"/>
    </row>
    <row r="16" spans="2:6">
      <c r="B16" s="103"/>
      <c r="C16" s="20"/>
      <c r="D16" s="20"/>
      <c r="E16" s="20"/>
      <c r="F16" s="20"/>
    </row>
    <row r="17" spans="2:6">
      <c r="B17" s="103">
        <v>4</v>
      </c>
      <c r="C17" s="20" t="s">
        <v>141</v>
      </c>
      <c r="D17" s="20" t="s">
        <v>142</v>
      </c>
      <c r="E17" s="20"/>
      <c r="F17" s="20"/>
    </row>
    <row r="18" spans="2:6">
      <c r="B18" s="103"/>
      <c r="C18" s="20"/>
      <c r="D18" s="20" t="s">
        <v>143</v>
      </c>
      <c r="E18" s="20"/>
      <c r="F18" s="20"/>
    </row>
    <row r="19" spans="2:6">
      <c r="B19" s="103"/>
      <c r="C19" s="20"/>
      <c r="D19" s="20" t="s">
        <v>144</v>
      </c>
      <c r="E19" s="20"/>
      <c r="F19" s="20"/>
    </row>
    <row r="20" spans="2:6">
      <c r="B20" s="103"/>
      <c r="C20" s="20"/>
      <c r="D20" s="20" t="s">
        <v>145</v>
      </c>
      <c r="E20" s="20"/>
      <c r="F20" s="20"/>
    </row>
    <row r="21" spans="2:6">
      <c r="B21" s="103"/>
      <c r="C21" s="20"/>
      <c r="D21" s="20"/>
      <c r="E21" s="20"/>
      <c r="F21" s="20"/>
    </row>
    <row r="22" spans="2:6">
      <c r="B22" s="103">
        <v>5</v>
      </c>
      <c r="C22" s="20" t="s">
        <v>146</v>
      </c>
      <c r="D22" s="20" t="s">
        <v>147</v>
      </c>
      <c r="E22" s="20"/>
      <c r="F22" s="20"/>
    </row>
    <row r="23" spans="2:6">
      <c r="B23" s="103"/>
      <c r="C23" s="20"/>
      <c r="D23" s="20" t="s">
        <v>148</v>
      </c>
      <c r="E23" s="20"/>
      <c r="F23" s="20"/>
    </row>
    <row r="24" spans="2:6" ht="25.5">
      <c r="B24" s="103"/>
      <c r="C24" s="20"/>
      <c r="D24" s="20" t="s">
        <v>149</v>
      </c>
      <c r="E24" s="106" t="s">
        <v>150</v>
      </c>
      <c r="F24" s="20"/>
    </row>
    <row r="25" spans="2:6">
      <c r="B25" s="103"/>
      <c r="C25" s="20"/>
      <c r="D25" s="20"/>
      <c r="E25" s="20"/>
      <c r="F25" s="20"/>
    </row>
    <row r="26" spans="2:6">
      <c r="B26" s="103"/>
      <c r="C26" s="20"/>
      <c r="D26" s="20"/>
      <c r="E26" s="20"/>
      <c r="F26" s="20"/>
    </row>
    <row r="27" spans="2:6">
      <c r="B27" s="103"/>
      <c r="C27" s="108" t="s">
        <v>88</v>
      </c>
      <c r="D27" s="20"/>
      <c r="E27" s="20"/>
      <c r="F27" s="20"/>
    </row>
    <row r="28" spans="2:6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>
      <c r="B29" s="103"/>
      <c r="C29" s="20"/>
      <c r="D29" s="20" t="s">
        <v>92</v>
      </c>
      <c r="E29" s="20" t="s">
        <v>94</v>
      </c>
      <c r="F29" s="20"/>
    </row>
    <row r="30" spans="2:6">
      <c r="B30" s="103"/>
      <c r="C30" s="20"/>
      <c r="D30" s="20"/>
      <c r="E30" s="20"/>
      <c r="F30" s="20"/>
    </row>
    <row r="31" spans="2:6">
      <c r="B31" s="103">
        <v>2</v>
      </c>
      <c r="C31" s="20" t="s">
        <v>98</v>
      </c>
      <c r="D31" s="20" t="s">
        <v>99</v>
      </c>
      <c r="E31" s="20"/>
      <c r="F31" s="20"/>
    </row>
    <row r="32" spans="2:6">
      <c r="B32" s="103"/>
      <c r="C32" s="20"/>
      <c r="D32" s="20" t="s">
        <v>25</v>
      </c>
      <c r="E32" s="20"/>
      <c r="F32" s="20"/>
    </row>
    <row r="33" spans="2:6">
      <c r="B33" s="103"/>
      <c r="C33" s="20"/>
      <c r="D33" s="20" t="s">
        <v>100</v>
      </c>
      <c r="E33" s="20"/>
      <c r="F33" s="20"/>
    </row>
    <row r="34" spans="2:6">
      <c r="B34" s="103"/>
      <c r="C34" s="20"/>
      <c r="D34" s="20"/>
      <c r="E34" s="20"/>
      <c r="F34" s="20"/>
    </row>
    <row r="35" spans="2:6">
      <c r="B35" s="103">
        <v>3</v>
      </c>
      <c r="C35" s="20" t="s">
        <v>101</v>
      </c>
      <c r="D35" s="20" t="s">
        <v>25</v>
      </c>
      <c r="E35" s="20"/>
      <c r="F35" s="20"/>
    </row>
    <row r="36" spans="2:6">
      <c r="B36" s="103"/>
      <c r="C36" s="20"/>
      <c r="D36" s="20" t="s">
        <v>102</v>
      </c>
      <c r="E36" s="20"/>
      <c r="F36" s="20"/>
    </row>
    <row r="37" spans="2:6">
      <c r="B37" s="103"/>
      <c r="C37" s="20"/>
      <c r="D37" s="20" t="s">
        <v>103</v>
      </c>
      <c r="E37" s="20"/>
      <c r="F37" s="20"/>
    </row>
    <row r="38" spans="2:6">
      <c r="B38" s="103"/>
      <c r="C38" s="20"/>
      <c r="D38" s="20" t="s">
        <v>104</v>
      </c>
      <c r="E38" s="20"/>
      <c r="F38" s="20"/>
    </row>
    <row r="39" spans="2:6">
      <c r="B39" s="103"/>
      <c r="C39" s="20"/>
      <c r="D39" s="20"/>
      <c r="E39" s="20"/>
      <c r="F39" s="20"/>
    </row>
    <row r="40" spans="2:6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>
      <c r="B41" s="103"/>
      <c r="C41" s="20"/>
      <c r="D41" s="20" t="s">
        <v>106</v>
      </c>
      <c r="E41" s="20"/>
      <c r="F41" s="20"/>
    </row>
    <row r="42" spans="2:6">
      <c r="B42" s="103"/>
      <c r="C42" s="20"/>
      <c r="D42" s="20" t="s">
        <v>110</v>
      </c>
      <c r="E42" s="20" t="s">
        <v>111</v>
      </c>
      <c r="F42" s="20" t="s">
        <v>108</v>
      </c>
    </row>
    <row r="43" spans="2:6">
      <c r="B43" s="103"/>
      <c r="C43" s="20"/>
      <c r="D43" s="20"/>
      <c r="E43" s="106" t="s">
        <v>125</v>
      </c>
      <c r="F43" s="20"/>
    </row>
    <row r="44" spans="2:6">
      <c r="B44" s="103"/>
      <c r="C44" s="20"/>
      <c r="D44" s="20"/>
      <c r="E44" s="20"/>
      <c r="F44" s="20"/>
    </row>
    <row r="45" spans="2:6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>
      <c r="B46" s="103"/>
      <c r="C46" s="20" t="s">
        <v>113</v>
      </c>
      <c r="D46" s="20" t="s">
        <v>115</v>
      </c>
      <c r="E46" s="20"/>
      <c r="F46" s="20"/>
    </row>
    <row r="47" spans="2:6">
      <c r="B47" s="103"/>
      <c r="C47" s="20"/>
      <c r="D47" s="20" t="s">
        <v>116</v>
      </c>
      <c r="E47" s="20"/>
      <c r="F47" s="20"/>
    </row>
    <row r="48" spans="2:6">
      <c r="B48" s="103"/>
      <c r="C48" s="20"/>
      <c r="D48" s="20"/>
      <c r="E48" s="20"/>
      <c r="F48" s="20"/>
    </row>
    <row r="49" spans="2:6">
      <c r="B49" s="103">
        <v>6</v>
      </c>
      <c r="C49" s="20" t="s">
        <v>119</v>
      </c>
      <c r="D49" s="20" t="s">
        <v>120</v>
      </c>
      <c r="E49" s="20"/>
      <c r="F49" s="20"/>
    </row>
    <row r="50" spans="2:6">
      <c r="B50" s="103"/>
      <c r="C50" s="20"/>
      <c r="D50" s="20" t="s">
        <v>121</v>
      </c>
      <c r="E50" s="20"/>
      <c r="F50" s="20"/>
    </row>
    <row r="51" spans="2:6">
      <c r="B51" s="103"/>
      <c r="C51" s="20"/>
      <c r="D51" s="20"/>
      <c r="E51" s="20"/>
      <c r="F51" s="20"/>
    </row>
    <row r="52" spans="2:6">
      <c r="B52" s="103">
        <v>7</v>
      </c>
      <c r="C52" s="20" t="s">
        <v>122</v>
      </c>
      <c r="D52" s="20" t="s">
        <v>124</v>
      </c>
      <c r="E52" s="20"/>
      <c r="F52" s="20"/>
    </row>
    <row r="53" spans="2:6" ht="25.5">
      <c r="B53" s="103"/>
      <c r="C53" s="20"/>
      <c r="D53" s="106" t="s">
        <v>123</v>
      </c>
      <c r="E53" s="20"/>
      <c r="F53" s="20"/>
    </row>
    <row r="54" spans="2:6">
      <c r="B54" s="103"/>
      <c r="C54" s="20"/>
      <c r="D54" s="20"/>
      <c r="E54" s="20"/>
      <c r="F54" s="20"/>
    </row>
    <row r="55" spans="2:6">
      <c r="B55" s="103"/>
      <c r="C55" s="20"/>
      <c r="D55" s="20"/>
      <c r="E55" s="20"/>
      <c r="F55" s="20"/>
    </row>
    <row r="56" spans="2:6">
      <c r="B56" s="103"/>
      <c r="C56" s="108" t="s">
        <v>151</v>
      </c>
      <c r="D56" s="20"/>
      <c r="E56" s="20"/>
      <c r="F56" s="20"/>
    </row>
    <row r="57" spans="2:6">
      <c r="B57" s="103">
        <v>1</v>
      </c>
      <c r="C57" s="20" t="s">
        <v>152</v>
      </c>
      <c r="D57" s="20" t="s">
        <v>153</v>
      </c>
      <c r="E57" s="20"/>
      <c r="F57" s="20"/>
    </row>
    <row r="58" spans="2:6">
      <c r="B58" s="103"/>
      <c r="C58" s="20"/>
      <c r="D58" s="20" t="s">
        <v>154</v>
      </c>
      <c r="E58" s="20"/>
      <c r="F58" s="20"/>
    </row>
    <row r="59" spans="2:6">
      <c r="B59" s="103"/>
      <c r="C59" s="20"/>
      <c r="D59" s="20" t="s">
        <v>155</v>
      </c>
      <c r="E59" s="20"/>
      <c r="F59" s="20"/>
    </row>
    <row r="60" spans="2:6">
      <c r="B60" s="103"/>
      <c r="C60" s="20"/>
      <c r="D60" s="20"/>
      <c r="E60" s="20"/>
      <c r="F60" s="20"/>
    </row>
    <row r="61" spans="2:6">
      <c r="B61" s="103">
        <v>2</v>
      </c>
      <c r="C61" s="20" t="s">
        <v>156</v>
      </c>
      <c r="D61" s="20" t="s">
        <v>157</v>
      </c>
      <c r="E61" s="20"/>
      <c r="F61" s="20"/>
    </row>
    <row r="62" spans="2:6">
      <c r="B62" s="103"/>
      <c r="C62" s="20"/>
      <c r="D62" s="20"/>
      <c r="E62" s="20"/>
      <c r="F62" s="20"/>
    </row>
    <row r="63" spans="2:6">
      <c r="B63" s="103">
        <v>3</v>
      </c>
      <c r="C63" s="20" t="s">
        <v>158</v>
      </c>
      <c r="D63" s="20" t="s">
        <v>159</v>
      </c>
      <c r="E63" s="20"/>
      <c r="F63" s="20"/>
    </row>
    <row r="64" spans="2:6">
      <c r="B64" s="103"/>
      <c r="C64" s="20"/>
      <c r="D64" s="20"/>
      <c r="E64" s="20"/>
      <c r="F64" s="20"/>
    </row>
    <row r="65" spans="2:6" ht="25.5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>
      <c r="B66" s="103"/>
      <c r="C66" s="20"/>
      <c r="D66" s="20" t="s">
        <v>162</v>
      </c>
      <c r="E66" s="20" t="s">
        <v>168</v>
      </c>
      <c r="F66" s="20"/>
    </row>
    <row r="67" spans="2:6">
      <c r="B67" s="103"/>
      <c r="C67" s="20"/>
      <c r="D67" s="20" t="s">
        <v>163</v>
      </c>
      <c r="E67" s="20"/>
      <c r="F67" s="20"/>
    </row>
    <row r="68" spans="2:6">
      <c r="B68" s="103"/>
      <c r="C68" s="20"/>
      <c r="D68" s="20" t="s">
        <v>164</v>
      </c>
      <c r="E68" s="20"/>
      <c r="F68" s="20"/>
    </row>
    <row r="69" spans="2:6">
      <c r="B69" s="103"/>
      <c r="C69" s="20"/>
      <c r="D69" s="20" t="s">
        <v>165</v>
      </c>
      <c r="E69" s="20"/>
      <c r="F69" s="20"/>
    </row>
    <row r="70" spans="2:6">
      <c r="B70" s="103"/>
      <c r="C70" s="20"/>
      <c r="D70" s="20"/>
      <c r="E70" s="20"/>
      <c r="F70" s="20"/>
    </row>
    <row r="71" spans="2:6">
      <c r="B71" s="103">
        <v>5</v>
      </c>
      <c r="C71" s="20" t="s">
        <v>169</v>
      </c>
      <c r="D71" s="20" t="s">
        <v>170</v>
      </c>
      <c r="E71" s="20"/>
      <c r="F71" s="20"/>
    </row>
    <row r="72" spans="2:6">
      <c r="B72" s="103"/>
      <c r="C72" s="20"/>
      <c r="D72" s="20" t="s">
        <v>171</v>
      </c>
      <c r="E72" s="20"/>
      <c r="F72" s="20"/>
    </row>
    <row r="73" spans="2:6">
      <c r="B73" s="103"/>
      <c r="C73" s="20"/>
      <c r="D73" s="20" t="s">
        <v>172</v>
      </c>
      <c r="E73" s="20" t="s">
        <v>173</v>
      </c>
      <c r="F73" s="20" t="s">
        <v>174</v>
      </c>
    </row>
    <row r="74" spans="2:6">
      <c r="B74" s="103"/>
      <c r="C74" s="20"/>
      <c r="D74" s="20" t="s">
        <v>175</v>
      </c>
      <c r="E74" s="20"/>
      <c r="F74" s="20"/>
    </row>
    <row r="75" spans="2:6">
      <c r="B75" s="103"/>
      <c r="C75" s="20"/>
      <c r="D75" s="20"/>
      <c r="E75" s="20"/>
      <c r="F75" s="20"/>
    </row>
    <row r="76" spans="2:6">
      <c r="B76" s="103">
        <v>6</v>
      </c>
      <c r="C76" s="20" t="s">
        <v>176</v>
      </c>
      <c r="D76" s="20" t="s">
        <v>177</v>
      </c>
      <c r="E76" s="20"/>
      <c r="F76" s="20"/>
    </row>
    <row r="77" spans="2:6">
      <c r="B77" s="103"/>
      <c r="C77" s="20"/>
      <c r="D77" s="20" t="s">
        <v>178</v>
      </c>
      <c r="E77" s="20"/>
      <c r="F77" s="20"/>
    </row>
    <row r="78" spans="2:6">
      <c r="B78" s="103"/>
      <c r="C78" s="20"/>
      <c r="D78" s="20"/>
      <c r="E78" s="20"/>
      <c r="F78" s="20"/>
    </row>
    <row r="79" spans="2:6">
      <c r="B79" s="103">
        <v>7</v>
      </c>
      <c r="C79" s="20" t="s">
        <v>179</v>
      </c>
      <c r="D79" s="20" t="s">
        <v>180</v>
      </c>
      <c r="E79" s="20"/>
      <c r="F79" s="20"/>
    </row>
    <row r="80" spans="2:6">
      <c r="B80" s="103"/>
      <c r="C80" s="20"/>
      <c r="D80" s="20" t="s">
        <v>181</v>
      </c>
      <c r="E80" s="20"/>
      <c r="F80" s="20"/>
    </row>
    <row r="81" spans="2:6">
      <c r="B81" s="103"/>
      <c r="C81" s="20"/>
      <c r="D81" s="20"/>
      <c r="E81" s="20"/>
      <c r="F81" s="20"/>
    </row>
    <row r="82" spans="2:6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>
      <c r="B83" s="103"/>
      <c r="C83" s="20"/>
      <c r="D83" s="20" t="s">
        <v>184</v>
      </c>
      <c r="E83" s="20" t="s">
        <v>186</v>
      </c>
      <c r="F83" s="20"/>
    </row>
    <row r="84" spans="2:6">
      <c r="B84" s="103"/>
      <c r="C84" s="20"/>
      <c r="D84" s="20"/>
      <c r="E84" s="20"/>
      <c r="F84" s="20"/>
    </row>
    <row r="85" spans="2:6">
      <c r="B85" s="103">
        <v>9</v>
      </c>
      <c r="C85" s="20" t="s">
        <v>187</v>
      </c>
      <c r="D85" s="20" t="s">
        <v>188</v>
      </c>
      <c r="E85" s="23"/>
      <c r="F85" s="20"/>
    </row>
    <row r="86" spans="2:6">
      <c r="B86" s="103"/>
      <c r="C86" s="20"/>
      <c r="D86" s="20" t="s">
        <v>189</v>
      </c>
      <c r="E86" s="20"/>
      <c r="F86" s="20"/>
    </row>
    <row r="87" spans="2:6">
      <c r="B87" s="103"/>
      <c r="C87" s="20"/>
      <c r="D87" s="20" t="s">
        <v>190</v>
      </c>
      <c r="E87" s="20"/>
      <c r="F87" s="20"/>
    </row>
    <row r="88" spans="2:6" ht="25.5">
      <c r="B88" s="103"/>
      <c r="C88" s="20"/>
      <c r="D88" s="109" t="s">
        <v>210</v>
      </c>
      <c r="E88" s="23" t="s">
        <v>211</v>
      </c>
      <c r="F88" s="20"/>
    </row>
    <row r="89" spans="2:6">
      <c r="B89" s="103"/>
      <c r="C89" s="20"/>
      <c r="D89" s="20" t="s">
        <v>191</v>
      </c>
      <c r="E89" s="20"/>
      <c r="F89" s="20"/>
    </row>
    <row r="90" spans="2:6">
      <c r="B90" s="103"/>
      <c r="C90" s="20"/>
      <c r="D90" s="20"/>
      <c r="E90" s="20"/>
      <c r="F90" s="20"/>
    </row>
    <row r="91" spans="2:6">
      <c r="B91" s="103">
        <v>10</v>
      </c>
      <c r="C91" s="20" t="s">
        <v>110</v>
      </c>
      <c r="D91" s="20" t="s">
        <v>192</v>
      </c>
      <c r="E91" s="20"/>
      <c r="F91" s="20"/>
    </row>
    <row r="92" spans="2:6">
      <c r="B92" s="103"/>
      <c r="C92" s="20"/>
      <c r="D92" s="20"/>
      <c r="E92" s="20"/>
      <c r="F92" s="20"/>
    </row>
    <row r="93" spans="2:6">
      <c r="B93" s="103">
        <v>11</v>
      </c>
      <c r="C93" s="20" t="s">
        <v>193</v>
      </c>
      <c r="D93" s="20" t="s">
        <v>194</v>
      </c>
      <c r="E93" s="20"/>
      <c r="F93" s="20"/>
    </row>
    <row r="94" spans="2:6">
      <c r="B94" s="103"/>
      <c r="C94" s="20"/>
      <c r="D94" s="20"/>
      <c r="E94" s="20"/>
      <c r="F94" s="20"/>
    </row>
    <row r="95" spans="2:6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>
      <c r="B96" s="103"/>
      <c r="C96" s="20"/>
      <c r="D96" s="20" t="s">
        <v>204</v>
      </c>
      <c r="E96" s="20" t="s">
        <v>207</v>
      </c>
      <c r="F96" s="20"/>
    </row>
    <row r="97" spans="2:6">
      <c r="B97" s="103"/>
      <c r="C97" s="20"/>
      <c r="D97" s="20"/>
      <c r="E97" s="20" t="s">
        <v>205</v>
      </c>
      <c r="F97" s="20"/>
    </row>
    <row r="98" spans="2:6">
      <c r="B98" s="103"/>
      <c r="C98" s="20"/>
      <c r="D98" s="20"/>
      <c r="E98" s="20"/>
      <c r="F98" s="20"/>
    </row>
    <row r="99" spans="2:6">
      <c r="B99" s="103">
        <v>13</v>
      </c>
      <c r="C99" s="20" t="s">
        <v>196</v>
      </c>
      <c r="D99" s="20" t="s">
        <v>197</v>
      </c>
      <c r="E99" s="20"/>
      <c r="F99" s="20"/>
    </row>
    <row r="100" spans="2:6">
      <c r="B100" s="103"/>
      <c r="C100" s="20"/>
      <c r="D100" s="20" t="s">
        <v>198</v>
      </c>
      <c r="E100" s="20"/>
      <c r="F100" s="20"/>
    </row>
    <row r="101" spans="2:6">
      <c r="B101" s="103"/>
      <c r="C101" s="20"/>
      <c r="D101" s="20" t="s">
        <v>199</v>
      </c>
      <c r="E101" s="20"/>
      <c r="F101" s="20"/>
    </row>
    <row r="102" spans="2:6">
      <c r="B102" s="103"/>
      <c r="C102" s="20"/>
      <c r="D102" s="20"/>
      <c r="E102" s="20"/>
      <c r="F102" s="20"/>
    </row>
    <row r="103" spans="2:6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>
      <c r="B104" s="103"/>
      <c r="C104" s="20"/>
      <c r="D104" s="20" t="s">
        <v>202</v>
      </c>
      <c r="E104" s="20"/>
      <c r="F104" s="20"/>
    </row>
    <row r="105" spans="2:6">
      <c r="B105" s="103"/>
      <c r="C105" s="20"/>
      <c r="D105" s="20"/>
      <c r="E105" s="20"/>
      <c r="F105" s="20"/>
    </row>
    <row r="106" spans="2:6">
      <c r="B106" s="103"/>
      <c r="C106" s="20"/>
      <c r="D106" s="20"/>
      <c r="E106" s="20"/>
      <c r="F106" s="20"/>
    </row>
    <row r="107" spans="2:6">
      <c r="B107" s="103"/>
      <c r="C107" s="20"/>
      <c r="D107" s="20"/>
      <c r="E107" s="20"/>
      <c r="F107" s="20"/>
    </row>
    <row r="108" spans="2:6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2:G63"/>
  <sheetViews>
    <sheetView topLeftCell="A13" zoomScale="80" zoomScaleNormal="80" workbookViewId="0">
      <selection activeCell="C28" sqref="C28"/>
    </sheetView>
  </sheetViews>
  <sheetFormatPr defaultRowHeight="12.75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>
      <c r="B2" s="125" t="s">
        <v>265</v>
      </c>
    </row>
    <row r="3" spans="2:7">
      <c r="B3" s="20"/>
      <c r="C3" s="20"/>
      <c r="D3" s="20"/>
      <c r="E3" s="20"/>
      <c r="F3" s="20"/>
      <c r="G3" s="20"/>
    </row>
    <row r="4" spans="2:7">
      <c r="B4" s="20" t="s">
        <v>114</v>
      </c>
      <c r="C4" s="113">
        <v>-2.66</v>
      </c>
      <c r="D4" s="20"/>
      <c r="E4" s="20"/>
      <c r="F4" s="20"/>
      <c r="G4" s="20"/>
    </row>
    <row r="5" spans="2:7">
      <c r="B5" s="20"/>
      <c r="C5" s="20"/>
      <c r="D5" s="20"/>
      <c r="E5" s="20"/>
      <c r="F5" s="20"/>
      <c r="G5" s="20"/>
    </row>
    <row r="6" spans="2:7">
      <c r="B6" s="108" t="s">
        <v>98</v>
      </c>
      <c r="C6" s="20"/>
      <c r="D6" s="20"/>
      <c r="E6" s="20"/>
      <c r="F6" s="20"/>
      <c r="G6" s="20"/>
    </row>
    <row r="7" spans="2:7">
      <c r="B7" s="20" t="s">
        <v>99</v>
      </c>
      <c r="C7" s="130">
        <v>14</v>
      </c>
      <c r="D7" s="20"/>
      <c r="E7" s="20"/>
      <c r="F7" s="20"/>
      <c r="G7" s="20"/>
    </row>
    <row r="8" spans="2:7">
      <c r="B8" s="20" t="s">
        <v>25</v>
      </c>
      <c r="C8" s="130">
        <v>-2.66</v>
      </c>
      <c r="D8" s="20"/>
      <c r="E8" s="20"/>
      <c r="F8" s="20"/>
      <c r="G8" s="20"/>
    </row>
    <row r="9" spans="2:7">
      <c r="B9" s="20" t="s">
        <v>100</v>
      </c>
      <c r="C9" s="110">
        <f>C7/C8</f>
        <v>-5.2631578947368416</v>
      </c>
      <c r="D9" s="20" t="s">
        <v>261</v>
      </c>
      <c r="E9" s="20"/>
      <c r="F9" s="20"/>
      <c r="G9" s="20"/>
    </row>
    <row r="10" spans="2:7">
      <c r="B10" s="20"/>
      <c r="C10" s="20"/>
      <c r="D10" s="20"/>
      <c r="E10" s="20"/>
      <c r="F10" s="20"/>
      <c r="G10" s="20"/>
    </row>
    <row r="11" spans="2:7">
      <c r="B11" s="108" t="s">
        <v>101</v>
      </c>
      <c r="C11" s="20"/>
      <c r="D11" s="20"/>
      <c r="E11" s="20"/>
      <c r="F11" s="20"/>
      <c r="G11" s="20"/>
    </row>
    <row r="12" spans="2:7">
      <c r="B12" s="20" t="s">
        <v>25</v>
      </c>
      <c r="C12" s="130">
        <v>-2.66</v>
      </c>
      <c r="D12" s="20"/>
      <c r="E12" s="20"/>
      <c r="F12" s="20"/>
      <c r="G12" s="20"/>
    </row>
    <row r="13" spans="2:7">
      <c r="B13" s="20" t="s">
        <v>102</v>
      </c>
      <c r="C13" s="130">
        <v>28</v>
      </c>
      <c r="D13" s="20"/>
      <c r="E13" s="20"/>
      <c r="F13" s="20"/>
      <c r="G13" s="20"/>
    </row>
    <row r="14" spans="2:7">
      <c r="B14" s="20" t="s">
        <v>103</v>
      </c>
      <c r="C14" s="130">
        <v>1000</v>
      </c>
      <c r="D14" s="20"/>
      <c r="E14" s="20"/>
      <c r="F14" s="20"/>
      <c r="G14" s="20"/>
    </row>
    <row r="15" spans="2:7">
      <c r="B15" s="20" t="s">
        <v>104</v>
      </c>
      <c r="C15" s="20">
        <f>C14*C12</f>
        <v>-2660</v>
      </c>
      <c r="D15" s="20" t="s">
        <v>261</v>
      </c>
      <c r="E15" s="20"/>
      <c r="F15" s="20"/>
      <c r="G15" s="20"/>
    </row>
    <row r="16" spans="2:7">
      <c r="B16" s="20"/>
      <c r="C16" s="20"/>
      <c r="D16" s="20"/>
      <c r="E16" s="20"/>
      <c r="F16" s="20"/>
      <c r="G16" s="20"/>
    </row>
    <row r="17" spans="2:7">
      <c r="B17" s="108" t="s">
        <v>112</v>
      </c>
      <c r="C17" s="20"/>
      <c r="D17" s="20"/>
      <c r="E17" s="20"/>
      <c r="F17" s="20"/>
      <c r="G17" s="20"/>
    </row>
    <row r="18" spans="2:7">
      <c r="B18" s="20" t="s">
        <v>114</v>
      </c>
      <c r="C18" s="130">
        <f>C4</f>
        <v>-2.66</v>
      </c>
      <c r="D18" s="20"/>
      <c r="E18" s="20"/>
      <c r="F18" s="20"/>
      <c r="G18" s="20"/>
    </row>
    <row r="19" spans="2:7">
      <c r="B19" s="20" t="s">
        <v>115</v>
      </c>
      <c r="C19" s="111">
        <v>0.08</v>
      </c>
      <c r="D19" s="20"/>
      <c r="E19" s="20"/>
      <c r="F19" s="20"/>
      <c r="G19" s="20"/>
    </row>
    <row r="20" spans="2:7">
      <c r="B20" s="20" t="s">
        <v>116</v>
      </c>
      <c r="C20" s="112">
        <f>C18/C19</f>
        <v>-33.25</v>
      </c>
      <c r="D20" s="20" t="s">
        <v>261</v>
      </c>
      <c r="E20" s="20"/>
      <c r="F20" s="20"/>
      <c r="G20" s="20"/>
    </row>
    <row r="21" spans="2:7">
      <c r="B21" s="20"/>
      <c r="C21" s="20"/>
      <c r="D21" s="20"/>
      <c r="E21" s="20"/>
      <c r="F21" s="20"/>
      <c r="G21" s="20"/>
    </row>
    <row r="22" spans="2:7">
      <c r="B22" s="108" t="s">
        <v>227</v>
      </c>
      <c r="C22" s="20"/>
      <c r="D22" s="20"/>
      <c r="E22" s="20"/>
      <c r="F22" s="20"/>
      <c r="G22" s="20"/>
    </row>
    <row r="23" spans="2:7">
      <c r="B23" s="20" t="s">
        <v>99</v>
      </c>
      <c r="C23" s="130">
        <v>14</v>
      </c>
      <c r="D23" s="20"/>
      <c r="E23" s="20"/>
      <c r="F23" s="20"/>
      <c r="G23" s="20"/>
    </row>
    <row r="24" spans="2:7">
      <c r="B24" s="20" t="s">
        <v>114</v>
      </c>
      <c r="C24" s="130">
        <v>-2.66</v>
      </c>
      <c r="D24" s="20"/>
      <c r="E24" s="20"/>
      <c r="F24" s="20"/>
      <c r="G24" s="20"/>
    </row>
    <row r="25" spans="2:7">
      <c r="B25" s="20" t="s">
        <v>228</v>
      </c>
      <c r="C25" s="20">
        <f>C23/C24</f>
        <v>-5.2631578947368416</v>
      </c>
      <c r="D25" s="20"/>
      <c r="E25" s="20"/>
      <c r="F25" s="20"/>
      <c r="G25" s="20"/>
    </row>
    <row r="26" spans="2:7">
      <c r="B26" s="20" t="s">
        <v>77</v>
      </c>
      <c r="C26" s="130">
        <v>15</v>
      </c>
      <c r="D26" s="20"/>
      <c r="E26" s="20"/>
      <c r="F26" s="20"/>
      <c r="G26" s="20"/>
    </row>
    <row r="27" spans="2:7">
      <c r="B27" s="20" t="s">
        <v>229</v>
      </c>
      <c r="C27" s="131">
        <v>1</v>
      </c>
      <c r="D27" s="20"/>
      <c r="E27" s="20"/>
      <c r="F27" s="20"/>
      <c r="G27" s="20"/>
    </row>
    <row r="28" spans="2:7">
      <c r="B28" s="20" t="s">
        <v>230</v>
      </c>
      <c r="C28" s="22">
        <v>139.13</v>
      </c>
      <c r="D28" s="20"/>
      <c r="E28" s="20"/>
      <c r="F28" s="20"/>
      <c r="G28" s="20"/>
    </row>
    <row r="29" spans="2:7">
      <c r="B29" s="20" t="s">
        <v>231</v>
      </c>
      <c r="C29" s="132">
        <v>2.5499999999999998E-2</v>
      </c>
      <c r="D29" s="20"/>
      <c r="E29" s="20"/>
      <c r="F29" s="20"/>
      <c r="G29" s="20"/>
    </row>
    <row r="30" spans="2:7">
      <c r="B30" s="20" t="s">
        <v>232</v>
      </c>
      <c r="C30" s="132">
        <v>3.1899999999999998E-2</v>
      </c>
      <c r="D30" s="20"/>
      <c r="E30" s="20"/>
      <c r="F30" s="20"/>
      <c r="G30" s="20"/>
    </row>
    <row r="31" spans="2:7">
      <c r="B31" s="20" t="s">
        <v>233</v>
      </c>
      <c r="C31" s="132"/>
      <c r="D31" s="20"/>
      <c r="E31" s="20"/>
      <c r="F31" s="20"/>
      <c r="G31" s="20"/>
    </row>
    <row r="32" spans="2:7">
      <c r="B32" s="20" t="s">
        <v>260</v>
      </c>
      <c r="C32" s="132">
        <v>3.44E-2</v>
      </c>
      <c r="D32" s="20"/>
      <c r="E32" s="20"/>
      <c r="F32" s="20"/>
      <c r="G32" s="20"/>
    </row>
    <row r="33" spans="2:7">
      <c r="B33" s="20" t="s">
        <v>259</v>
      </c>
      <c r="C33" s="132">
        <v>0.1241</v>
      </c>
      <c r="D33" s="20"/>
      <c r="E33" s="20"/>
      <c r="F33" s="20"/>
      <c r="G33" s="20"/>
    </row>
    <row r="34" spans="2:7">
      <c r="B34" s="20"/>
      <c r="C34" s="20"/>
      <c r="D34" s="20"/>
      <c r="E34" s="20"/>
      <c r="F34" s="20"/>
      <c r="G34" s="20"/>
    </row>
    <row r="35" spans="2:7">
      <c r="B35" s="20"/>
      <c r="C35" s="20"/>
      <c r="D35" s="20"/>
      <c r="E35" s="20"/>
      <c r="F35" s="20"/>
      <c r="G35" s="20"/>
    </row>
    <row r="36" spans="2:7">
      <c r="B36" s="108" t="s">
        <v>187</v>
      </c>
      <c r="C36" s="20"/>
      <c r="D36" s="20"/>
      <c r="E36" s="20"/>
      <c r="F36" s="20"/>
      <c r="G36" s="20"/>
    </row>
    <row r="37" spans="2:7">
      <c r="B37" s="20" t="s">
        <v>215</v>
      </c>
      <c r="C37" s="130">
        <v>3141.2</v>
      </c>
      <c r="D37" s="20"/>
      <c r="E37" s="20"/>
      <c r="F37" s="20"/>
      <c r="G37" s="20"/>
    </row>
    <row r="38" spans="2:7">
      <c r="B38" s="20" t="s">
        <v>216</v>
      </c>
      <c r="C38" s="130">
        <v>3384.26</v>
      </c>
      <c r="D38" s="20"/>
      <c r="E38" s="20"/>
      <c r="F38" s="20"/>
      <c r="G38" s="20"/>
    </row>
    <row r="39" spans="2:7">
      <c r="B39" s="20" t="s">
        <v>34</v>
      </c>
      <c r="C39" s="130">
        <v>92.03</v>
      </c>
      <c r="D39" s="20"/>
      <c r="E39" s="20"/>
      <c r="F39" s="20"/>
      <c r="G39" s="20"/>
    </row>
    <row r="40" spans="2:7">
      <c r="B40" s="20" t="s">
        <v>217</v>
      </c>
      <c r="C40" s="130">
        <v>31.09</v>
      </c>
      <c r="D40" s="20"/>
      <c r="E40" s="20"/>
      <c r="F40" s="20"/>
      <c r="G40" s="20"/>
    </row>
    <row r="41" spans="2:7">
      <c r="B41" s="20" t="s">
        <v>218</v>
      </c>
      <c r="C41" s="130">
        <v>1005.03</v>
      </c>
      <c r="D41" s="20"/>
      <c r="E41" s="20"/>
      <c r="F41" s="20"/>
      <c r="G41" s="20"/>
    </row>
    <row r="42" spans="2:7">
      <c r="B42" s="20"/>
      <c r="C42" s="20"/>
      <c r="D42" s="20"/>
      <c r="E42" s="20"/>
      <c r="F42" s="20"/>
      <c r="G42" s="20"/>
    </row>
    <row r="43" spans="2:7">
      <c r="B43" s="23" t="s">
        <v>212</v>
      </c>
      <c r="C43" s="130">
        <v>281.95</v>
      </c>
      <c r="D43" s="20"/>
      <c r="E43" s="20"/>
      <c r="F43" s="20"/>
      <c r="G43" s="20"/>
    </row>
    <row r="44" spans="2:7">
      <c r="B44" s="20" t="s">
        <v>255</v>
      </c>
      <c r="C44" s="25">
        <f>C43/(C40+C41)</f>
        <v>0.27212098984673594</v>
      </c>
      <c r="D44" s="20" t="s">
        <v>220</v>
      </c>
      <c r="E44" s="20"/>
      <c r="F44" s="20"/>
      <c r="G44" s="20"/>
    </row>
    <row r="45" spans="2:7">
      <c r="B45" s="20" t="s">
        <v>223</v>
      </c>
      <c r="C45" s="25">
        <f>C43/C39</f>
        <v>3.0636748886232748</v>
      </c>
      <c r="D45" s="20" t="s">
        <v>221</v>
      </c>
      <c r="E45" s="20"/>
      <c r="F45" s="20"/>
      <c r="G45" s="20"/>
    </row>
    <row r="46" spans="2:7">
      <c r="B46" s="20"/>
      <c r="C46" s="25"/>
      <c r="D46" s="20"/>
      <c r="E46" s="20"/>
      <c r="F46" s="20"/>
      <c r="G46" s="20"/>
    </row>
    <row r="47" spans="2:7">
      <c r="B47" s="23" t="s">
        <v>213</v>
      </c>
      <c r="C47" s="130">
        <v>171.6</v>
      </c>
      <c r="D47" s="20"/>
      <c r="E47" s="20"/>
      <c r="F47" s="20"/>
      <c r="G47" s="20"/>
    </row>
    <row r="48" spans="2:7">
      <c r="B48" s="20" t="s">
        <v>256</v>
      </c>
      <c r="C48" s="25">
        <f>C47/(C40+C41)</f>
        <v>0.16561788209859862</v>
      </c>
      <c r="D48" s="20" t="s">
        <v>220</v>
      </c>
      <c r="E48" s="20"/>
      <c r="F48" s="20"/>
      <c r="G48" s="20"/>
    </row>
    <row r="49" spans="2:7">
      <c r="B49" s="20" t="s">
        <v>224</v>
      </c>
      <c r="C49" s="25">
        <f>C47/C39</f>
        <v>1.8646093665109202</v>
      </c>
      <c r="D49" s="20" t="s">
        <v>222</v>
      </c>
      <c r="E49" s="20"/>
      <c r="F49" s="20"/>
      <c r="G49" s="20"/>
    </row>
    <row r="50" spans="2:7">
      <c r="B50" s="20"/>
      <c r="C50" s="25"/>
      <c r="D50" s="20"/>
      <c r="E50" s="20"/>
      <c r="F50" s="20"/>
      <c r="G50" s="20"/>
    </row>
    <row r="51" spans="2:7">
      <c r="B51" s="23" t="s">
        <v>214</v>
      </c>
      <c r="C51" s="130">
        <v>110.33</v>
      </c>
      <c r="D51" s="20"/>
      <c r="E51" s="20"/>
      <c r="F51" s="20"/>
      <c r="G51" s="20"/>
    </row>
    <row r="52" spans="2:7">
      <c r="B52" s="20" t="s">
        <v>257</v>
      </c>
      <c r="C52" s="25">
        <f>C51/(C40+C41)</f>
        <v>0.10648380496467591</v>
      </c>
      <c r="D52" s="20" t="s">
        <v>220</v>
      </c>
      <c r="E52" s="20"/>
      <c r="F52" s="20"/>
      <c r="G52" s="20"/>
    </row>
    <row r="53" spans="2:7">
      <c r="B53" s="20" t="s">
        <v>225</v>
      </c>
      <c r="C53" s="25">
        <f>C51/C39</f>
        <v>1.1988482016733673</v>
      </c>
      <c r="D53" s="20" t="s">
        <v>222</v>
      </c>
      <c r="E53" s="20"/>
      <c r="F53" s="20"/>
      <c r="G53" s="20"/>
    </row>
    <row r="54" spans="2:7">
      <c r="B54" s="20"/>
      <c r="C54" s="20"/>
      <c r="D54" s="20"/>
      <c r="E54" s="20"/>
      <c r="F54" s="20"/>
      <c r="G54" s="20"/>
    </row>
    <row r="55" spans="2:7">
      <c r="B55" s="23" t="s">
        <v>219</v>
      </c>
      <c r="C55" s="130">
        <v>1320.99</v>
      </c>
      <c r="D55" s="20"/>
      <c r="E55" s="20"/>
      <c r="F55" s="20"/>
      <c r="G55" s="20"/>
    </row>
    <row r="56" spans="2:7">
      <c r="B56" s="20" t="s">
        <v>258</v>
      </c>
      <c r="C56" s="25">
        <f>C55/(C40+C41)</f>
        <v>1.2749391962320968</v>
      </c>
      <c r="D56" s="20" t="s">
        <v>220</v>
      </c>
      <c r="E56" s="20"/>
      <c r="F56" s="20"/>
      <c r="G56" s="20"/>
    </row>
    <row r="57" spans="2:7">
      <c r="B57" s="20" t="s">
        <v>226</v>
      </c>
      <c r="C57" s="25">
        <f>C55/C39</f>
        <v>14.353906334890796</v>
      </c>
      <c r="D57" s="20" t="s">
        <v>222</v>
      </c>
      <c r="E57" s="20"/>
      <c r="F57" s="20"/>
      <c r="G57" s="20"/>
    </row>
    <row r="58" spans="2:7">
      <c r="B58" s="20"/>
      <c r="C58" s="20"/>
      <c r="D58" s="20"/>
      <c r="E58" s="20"/>
      <c r="F58" s="20"/>
      <c r="G58" s="20"/>
    </row>
    <row r="59" spans="2:7">
      <c r="B59" s="20"/>
      <c r="C59" s="25"/>
      <c r="D59" s="20"/>
      <c r="E59" s="20"/>
      <c r="F59" s="20"/>
      <c r="G59" s="20"/>
    </row>
    <row r="60" spans="2:7">
      <c r="B60" s="20"/>
      <c r="C60" s="25"/>
      <c r="D60" s="20"/>
      <c r="E60" s="20"/>
      <c r="F60" s="20"/>
      <c r="G60" s="20"/>
    </row>
    <row r="61" spans="2:7">
      <c r="B61" s="20"/>
      <c r="C61" s="20"/>
      <c r="D61" s="20"/>
      <c r="E61" s="20"/>
      <c r="F61" s="20"/>
      <c r="G61" s="20"/>
    </row>
    <row r="62" spans="2:7">
      <c r="B62" s="20"/>
      <c r="C62" s="20"/>
      <c r="D62" s="20"/>
      <c r="E62" s="20"/>
      <c r="F62" s="20"/>
      <c r="G62" s="20"/>
    </row>
    <row r="63" spans="2:7">
      <c r="B63" s="20"/>
      <c r="C63" s="20"/>
      <c r="D63" s="20"/>
      <c r="E63" s="20"/>
      <c r="F63" s="20"/>
      <c r="G63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B1:AE134"/>
  <sheetViews>
    <sheetView tabSelected="1" zoomScale="80" zoomScaleNormal="80" workbookViewId="0">
      <pane xSplit="2" ySplit="3" topLeftCell="O38" activePane="bottomRight" state="frozen"/>
      <selection pane="topRight" activeCell="C1" sqref="C1"/>
      <selection pane="bottomLeft" activeCell="A5" sqref="A5"/>
      <selection pane="bottomRight" activeCell="R53" sqref="R53"/>
    </sheetView>
  </sheetViews>
  <sheetFormatPr defaultRowHeight="12.75"/>
  <cols>
    <col min="1" max="1" width="4.7109375" style="104" customWidth="1"/>
    <col min="2" max="2" width="46.7109375" style="104" bestFit="1" customWidth="1"/>
    <col min="3" max="3" width="7.85546875" style="104" customWidth="1"/>
    <col min="4" max="4" width="8.140625" style="104" customWidth="1"/>
    <col min="5" max="5" width="8.42578125" style="104" bestFit="1" customWidth="1"/>
    <col min="6" max="6" width="9" style="104" bestFit="1" customWidth="1"/>
    <col min="7" max="7" width="11.7109375" style="104" bestFit="1" customWidth="1"/>
    <col min="8" max="8" width="9.42578125" style="104" bestFit="1" customWidth="1"/>
    <col min="9" max="9" width="9" style="104" bestFit="1" customWidth="1"/>
    <col min="10" max="10" width="9.28515625" style="104" bestFit="1" customWidth="1"/>
    <col min="11" max="11" width="9.85546875" style="104" bestFit="1" customWidth="1"/>
    <col min="12" max="13" width="8.7109375" style="104" bestFit="1" customWidth="1"/>
    <col min="14" max="14" width="9.42578125" style="104" bestFit="1" customWidth="1"/>
    <col min="15" max="15" width="8.7109375" style="104" bestFit="1" customWidth="1"/>
    <col min="16" max="16" width="9.7109375" style="104" bestFit="1" customWidth="1"/>
    <col min="17" max="17" width="9.42578125" style="104" bestFit="1" customWidth="1"/>
    <col min="18" max="18" width="10.85546875" style="104" bestFit="1" customWidth="1"/>
    <col min="19" max="20" width="9.7109375" style="104" bestFit="1" customWidth="1"/>
    <col min="21" max="27" width="8" style="104" bestFit="1" customWidth="1"/>
    <col min="28" max="28" width="9.85546875" style="104" bestFit="1" customWidth="1"/>
    <col min="29" max="29" width="9.28515625" style="104" bestFit="1" customWidth="1"/>
    <col min="30" max="30" width="9" style="104" customWidth="1"/>
    <col min="31" max="31" width="10.7109375" style="104" customWidth="1"/>
    <col min="32" max="16384" width="9.140625" style="104"/>
  </cols>
  <sheetData>
    <row r="1" spans="2:31">
      <c r="B1" s="123" t="s">
        <v>241</v>
      </c>
      <c r="C1" s="124">
        <v>0.22</v>
      </c>
      <c r="F1" s="104" t="s">
        <v>248</v>
      </c>
      <c r="H1" s="126">
        <v>2004</v>
      </c>
    </row>
    <row r="2" spans="2:31">
      <c r="B2" s="153" t="s">
        <v>292</v>
      </c>
      <c r="C2" s="120"/>
      <c r="F2" s="104" t="s">
        <v>249</v>
      </c>
      <c r="H2" s="126">
        <v>2013</v>
      </c>
      <c r="S2" s="115" t="s">
        <v>11</v>
      </c>
      <c r="T2" s="115" t="s">
        <v>12</v>
      </c>
      <c r="U2" s="115" t="s">
        <v>13</v>
      </c>
      <c r="V2" s="115" t="s">
        <v>14</v>
      </c>
      <c r="W2" s="115" t="s">
        <v>15</v>
      </c>
      <c r="X2" s="115" t="s">
        <v>234</v>
      </c>
      <c r="Y2" s="115" t="s">
        <v>235</v>
      </c>
      <c r="Z2" s="115" t="s">
        <v>236</v>
      </c>
      <c r="AA2" s="115" t="s">
        <v>237</v>
      </c>
      <c r="AB2" s="115" t="s">
        <v>238</v>
      </c>
      <c r="AD2" s="166" t="s">
        <v>274</v>
      </c>
      <c r="AE2" s="167"/>
    </row>
    <row r="3" spans="2:31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6" t="s">
        <v>1</v>
      </c>
      <c r="R3" s="116" t="s">
        <v>250</v>
      </c>
      <c r="S3" s="115">
        <v>2014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36" t="s">
        <v>1</v>
      </c>
      <c r="AD3" s="168" t="s">
        <v>275</v>
      </c>
      <c r="AE3" s="169"/>
    </row>
    <row r="4" spans="2:31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37"/>
      <c r="AD4" s="20"/>
      <c r="AE4" s="20"/>
    </row>
    <row r="5" spans="2:31">
      <c r="B5" s="108" t="s">
        <v>242</v>
      </c>
      <c r="C5" s="20"/>
      <c r="D5" s="20"/>
      <c r="E5" s="145"/>
      <c r="F5" s="145"/>
      <c r="G5" s="145"/>
      <c r="H5" s="145"/>
      <c r="I5" s="145"/>
      <c r="J5" s="145"/>
      <c r="K5" s="145"/>
      <c r="L5" s="145"/>
      <c r="M5" s="145"/>
      <c r="N5" s="145"/>
      <c r="O5" s="145"/>
      <c r="P5" s="145"/>
      <c r="Q5" s="20"/>
      <c r="R5" s="20"/>
      <c r="S5" s="154"/>
      <c r="T5" s="154"/>
      <c r="U5" s="154"/>
      <c r="V5" s="154"/>
      <c r="W5" s="154"/>
      <c r="X5" s="154"/>
      <c r="Y5" s="154"/>
      <c r="Z5" s="154"/>
      <c r="AA5" s="154"/>
      <c r="AB5" s="154"/>
      <c r="AC5" s="137"/>
      <c r="AD5" s="20"/>
      <c r="AE5" s="154"/>
    </row>
    <row r="6" spans="2:31">
      <c r="B6" s="20" t="s">
        <v>16</v>
      </c>
      <c r="C6" s="141"/>
      <c r="D6" s="141"/>
      <c r="E6" s="146"/>
      <c r="F6" s="146"/>
      <c r="G6" s="146">
        <v>7139</v>
      </c>
      <c r="H6" s="146">
        <v>11537</v>
      </c>
      <c r="I6" s="146">
        <v>21351</v>
      </c>
      <c r="J6" s="146">
        <v>23065</v>
      </c>
      <c r="K6" s="146">
        <v>43609</v>
      </c>
      <c r="L6" s="146">
        <v>45664</v>
      </c>
      <c r="M6" s="146">
        <v>50181</v>
      </c>
      <c r="N6" s="146">
        <v>54150</v>
      </c>
      <c r="O6" s="146">
        <v>60121</v>
      </c>
      <c r="P6" s="146">
        <v>67604</v>
      </c>
      <c r="Q6" s="118">
        <f>((P6/G6)^(1/($H$2-$H$1) ))-1</f>
        <v>0.28375358053065836</v>
      </c>
      <c r="R6" s="31">
        <v>0.1</v>
      </c>
      <c r="S6" s="154">
        <f>P6*(1+$R6)</f>
        <v>74364.400000000009</v>
      </c>
      <c r="T6" s="154">
        <f>S6*(1+$R6)</f>
        <v>81800.840000000011</v>
      </c>
      <c r="U6" s="154">
        <f t="shared" ref="U6:AB6" si="0">T6*(1+$R6)</f>
        <v>89980.924000000014</v>
      </c>
      <c r="V6" s="154">
        <f t="shared" si="0"/>
        <v>98979.016400000022</v>
      </c>
      <c r="W6" s="154">
        <f t="shared" si="0"/>
        <v>108876.91804000003</v>
      </c>
      <c r="X6" s="154">
        <f t="shared" si="0"/>
        <v>119764.60984400005</v>
      </c>
      <c r="Y6" s="154">
        <f t="shared" si="0"/>
        <v>131741.07082840006</v>
      </c>
      <c r="Z6" s="154">
        <f t="shared" si="0"/>
        <v>144915.17791124008</v>
      </c>
      <c r="AA6" s="154">
        <f t="shared" si="0"/>
        <v>159406.69570236412</v>
      </c>
      <c r="AB6" s="154">
        <f t="shared" si="0"/>
        <v>175347.36527260055</v>
      </c>
      <c r="AC6" s="138">
        <f>((AB6/G6)^(1/($AB$3-$H$1) ))-1</f>
        <v>0.1835093055204049</v>
      </c>
      <c r="AD6" s="31">
        <v>0.08</v>
      </c>
      <c r="AE6" s="145">
        <f>(AB6*(1+AC6))/($C$1-AD6)</f>
        <v>1482323.1321329158</v>
      </c>
    </row>
    <row r="7" spans="2:31">
      <c r="B7" s="20" t="s">
        <v>240</v>
      </c>
      <c r="C7" s="141"/>
      <c r="D7" s="141"/>
      <c r="E7" s="146"/>
      <c r="F7" s="146"/>
      <c r="G7" s="146">
        <v>8105</v>
      </c>
      <c r="H7" s="146">
        <v>12624</v>
      </c>
      <c r="I7" s="146">
        <v>22591</v>
      </c>
      <c r="J7" s="146">
        <v>24315</v>
      </c>
      <c r="K7" s="146">
        <v>45072</v>
      </c>
      <c r="L7" s="146">
        <v>47127</v>
      </c>
      <c r="M7" s="146">
        <v>51296</v>
      </c>
      <c r="N7" s="146">
        <v>55302</v>
      </c>
      <c r="O7" s="146">
        <v>61276</v>
      </c>
      <c r="P7" s="146">
        <v>68762</v>
      </c>
      <c r="Q7" s="118">
        <f>((P7/G7)^(1/($H$2-$H$1) ))-1</f>
        <v>0.26816941716608333</v>
      </c>
      <c r="R7" s="31">
        <v>0.1</v>
      </c>
      <c r="S7" s="154">
        <f t="shared" ref="S7:S13" si="1">P7*(1+$R7)</f>
        <v>75638.200000000012</v>
      </c>
      <c r="T7" s="154">
        <f t="shared" ref="T7:AB7" si="2">S7*(1+$R7)</f>
        <v>83202.020000000019</v>
      </c>
      <c r="U7" s="154">
        <f t="shared" si="2"/>
        <v>91522.222000000023</v>
      </c>
      <c r="V7" s="154">
        <f t="shared" si="2"/>
        <v>100674.44420000003</v>
      </c>
      <c r="W7" s="154">
        <f t="shared" si="2"/>
        <v>110741.88862000004</v>
      </c>
      <c r="X7" s="154">
        <f t="shared" si="2"/>
        <v>121816.07748200005</v>
      </c>
      <c r="Y7" s="154">
        <f t="shared" si="2"/>
        <v>133997.68523020006</v>
      </c>
      <c r="Z7" s="154">
        <f t="shared" si="2"/>
        <v>147397.45375322009</v>
      </c>
      <c r="AA7" s="154">
        <f t="shared" si="2"/>
        <v>162137.19912854212</v>
      </c>
      <c r="AB7" s="154">
        <f t="shared" si="2"/>
        <v>178350.91904139635</v>
      </c>
      <c r="AC7" s="138">
        <f>((AB7/G7)^(1/($AB$3-$H$1) ))-1</f>
        <v>0.176681891987158</v>
      </c>
      <c r="AD7" s="31">
        <v>0.08</v>
      </c>
      <c r="AE7" s="145">
        <f>(AB7*(1+AC7))/($C$1-AD7)</f>
        <v>1499016.4061091333</v>
      </c>
    </row>
    <row r="8" spans="2:31">
      <c r="B8" s="20"/>
      <c r="C8" s="141"/>
      <c r="D8" s="141"/>
      <c r="E8" s="146"/>
      <c r="F8" s="146"/>
      <c r="G8" s="148">
        <f>(G7-F7)/G7</f>
        <v>1</v>
      </c>
      <c r="H8" s="151">
        <f>(H7-G7)/H7</f>
        <v>0.35796894803548795</v>
      </c>
      <c r="I8" s="151">
        <f t="shared" ref="I8:P8" si="3">(I7-H7)/I7</f>
        <v>0.44119339560001769</v>
      </c>
      <c r="J8" s="151">
        <f t="shared" si="3"/>
        <v>7.0902734937281511E-2</v>
      </c>
      <c r="K8" s="151">
        <f t="shared" si="3"/>
        <v>0.46052981895633655</v>
      </c>
      <c r="L8" s="151">
        <f t="shared" si="3"/>
        <v>4.3605576421159843E-2</v>
      </c>
      <c r="M8" s="151">
        <f t="shared" si="3"/>
        <v>8.1273393636930757E-2</v>
      </c>
      <c r="N8" s="151">
        <f t="shared" si="3"/>
        <v>7.243860981519655E-2</v>
      </c>
      <c r="O8" s="151">
        <f t="shared" si="3"/>
        <v>9.7493308962726025E-2</v>
      </c>
      <c r="P8" s="151">
        <f t="shared" si="3"/>
        <v>0.10886827026555365</v>
      </c>
      <c r="Q8" s="128"/>
      <c r="R8" s="128"/>
      <c r="S8" s="154"/>
      <c r="T8" s="154"/>
      <c r="U8" s="154"/>
      <c r="V8" s="154"/>
      <c r="W8" s="154"/>
      <c r="X8" s="154"/>
      <c r="Y8" s="154"/>
      <c r="Z8" s="154"/>
      <c r="AA8" s="154"/>
      <c r="AB8" s="154"/>
      <c r="AC8" s="137"/>
      <c r="AD8" s="20"/>
      <c r="AE8" s="145"/>
    </row>
    <row r="9" spans="2:31">
      <c r="B9" s="20" t="s">
        <v>300</v>
      </c>
      <c r="C9" s="141"/>
      <c r="D9" s="141"/>
      <c r="E9" s="146"/>
      <c r="F9" s="146"/>
      <c r="G9" s="146">
        <v>5446</v>
      </c>
      <c r="H9" s="146">
        <v>6370</v>
      </c>
      <c r="I9" s="146">
        <v>8985</v>
      </c>
      <c r="J9" s="146">
        <v>19241</v>
      </c>
      <c r="K9" s="146">
        <v>29800</v>
      </c>
      <c r="L9" s="146">
        <v>17875</v>
      </c>
      <c r="M9" s="146">
        <v>27850</v>
      </c>
      <c r="N9" s="146">
        <v>21234</v>
      </c>
      <c r="O9" s="146">
        <v>20728</v>
      </c>
      <c r="P9" s="146">
        <v>19306</v>
      </c>
      <c r="Q9" s="118">
        <f t="shared" ref="Q9:Q13" si="4">((P9/G9)^(1/($H$2-$H$1) ))-1</f>
        <v>0.15098137524638133</v>
      </c>
      <c r="R9" s="31">
        <v>0.1</v>
      </c>
      <c r="S9" s="154">
        <f t="shared" ref="S9" si="5">P9*(1+$R9)</f>
        <v>21236.600000000002</v>
      </c>
      <c r="T9" s="154">
        <f t="shared" ref="T9" si="6">S9*(1+$R9)</f>
        <v>23360.260000000006</v>
      </c>
      <c r="U9" s="154">
        <f t="shared" ref="U9" si="7">T9*(1+$R9)</f>
        <v>25696.286000000007</v>
      </c>
      <c r="V9" s="154">
        <f t="shared" ref="V9" si="8">U9*(1+$R9)</f>
        <v>28265.914600000011</v>
      </c>
      <c r="W9" s="154">
        <f t="shared" ref="W9" si="9">V9*(1+$R9)</f>
        <v>31092.506060000014</v>
      </c>
      <c r="X9" s="154">
        <f t="shared" ref="X9" si="10">W9*(1+$R9)</f>
        <v>34201.756666000016</v>
      </c>
      <c r="Y9" s="154">
        <f t="shared" ref="Y9" si="11">X9*(1+$R9)</f>
        <v>37621.932332600023</v>
      </c>
      <c r="Z9" s="154">
        <f t="shared" ref="Z9" si="12">Y9*(1+$R9)</f>
        <v>41384.125565860028</v>
      </c>
      <c r="AA9" s="154">
        <f t="shared" ref="AA9" si="13">Z9*(1+$R9)</f>
        <v>45522.538122446036</v>
      </c>
      <c r="AB9" s="154">
        <f t="shared" ref="AB9" si="14">AA9*(1+$R9)</f>
        <v>50074.791934690642</v>
      </c>
      <c r="AC9" s="138">
        <f>((AB9/G9)^(1/($AB$3-$H$1) ))-1</f>
        <v>0.12386128650678763</v>
      </c>
      <c r="AD9" s="31">
        <v>0.08</v>
      </c>
      <c r="AE9" s="145">
        <f t="shared" ref="AE9:AE13" si="15">(AB9*(1+AC9))/($C$1-AD9)</f>
        <v>401979.42918057949</v>
      </c>
    </row>
    <row r="10" spans="2:31">
      <c r="B10" s="20" t="s">
        <v>301</v>
      </c>
      <c r="C10" s="141"/>
      <c r="D10" s="141"/>
      <c r="E10" s="146"/>
      <c r="F10" s="146"/>
      <c r="G10" s="146">
        <v>3542</v>
      </c>
      <c r="H10" s="146">
        <v>7257</v>
      </c>
      <c r="I10" s="146">
        <v>9269</v>
      </c>
      <c r="J10" s="146">
        <v>20448</v>
      </c>
      <c r="K10" s="146">
        <v>15527</v>
      </c>
      <c r="L10" s="146">
        <v>17185</v>
      </c>
      <c r="M10" s="146">
        <v>19293</v>
      </c>
      <c r="N10" s="146">
        <v>18151</v>
      </c>
      <c r="O10" s="146">
        <v>20428</v>
      </c>
      <c r="P10" s="146">
        <v>30064</v>
      </c>
      <c r="Q10" s="118">
        <f t="shared" si="4"/>
        <v>0.26823519342670799</v>
      </c>
      <c r="R10" s="31">
        <v>0.1</v>
      </c>
      <c r="S10" s="154">
        <f t="shared" si="1"/>
        <v>33070.400000000001</v>
      </c>
      <c r="T10" s="154">
        <f t="shared" ref="T10:AB10" si="16">S10*(1+$R10)</f>
        <v>36377.440000000002</v>
      </c>
      <c r="U10" s="154">
        <f t="shared" si="16"/>
        <v>40015.184000000008</v>
      </c>
      <c r="V10" s="154">
        <f t="shared" si="16"/>
        <v>44016.702400000009</v>
      </c>
      <c r="W10" s="154">
        <f t="shared" si="16"/>
        <v>48418.372640000016</v>
      </c>
      <c r="X10" s="154">
        <f t="shared" si="16"/>
        <v>53260.209904000025</v>
      </c>
      <c r="Y10" s="154">
        <f t="shared" si="16"/>
        <v>58586.230894400032</v>
      </c>
      <c r="Z10" s="154">
        <f t="shared" si="16"/>
        <v>64444.853983840039</v>
      </c>
      <c r="AA10" s="154">
        <f t="shared" si="16"/>
        <v>70889.339382224047</v>
      </c>
      <c r="AB10" s="154">
        <f t="shared" si="16"/>
        <v>77978.27332044646</v>
      </c>
      <c r="AC10" s="138">
        <f t="shared" ref="AC10:AC52" si="17">((AB10/G10)^(1/($AB$3-$H$1) ))-1</f>
        <v>0.17671080104616266</v>
      </c>
      <c r="AD10" s="31">
        <v>0.08</v>
      </c>
      <c r="AE10" s="145">
        <f t="shared" si="15"/>
        <v>655413.40330785117</v>
      </c>
    </row>
    <row r="11" spans="2:31">
      <c r="B11" s="20"/>
      <c r="C11" s="141"/>
      <c r="D11" s="141"/>
      <c r="E11" s="146"/>
      <c r="F11" s="146"/>
      <c r="G11" s="148">
        <f>(G10-F10)/G10</f>
        <v>1</v>
      </c>
      <c r="H11" s="147">
        <f>(H10-G10)/H10</f>
        <v>0.51191952597492074</v>
      </c>
      <c r="I11" s="147">
        <f t="shared" ref="I11" si="18">(I10-H10)/I10</f>
        <v>0.2170676448376308</v>
      </c>
      <c r="J11" s="147">
        <f t="shared" ref="J11" si="19">(J10-I10)/J10</f>
        <v>0.54670383411580592</v>
      </c>
      <c r="K11" s="147">
        <f t="shared" ref="K11" si="20">(K10-J10)/K10</f>
        <v>-0.31693179622592904</v>
      </c>
      <c r="L11" s="147">
        <f t="shared" ref="L11" si="21">(L10-K10)/L10</f>
        <v>9.6479487925516444E-2</v>
      </c>
      <c r="M11" s="147">
        <f t="shared" ref="M11" si="22">(M10-L10)/M10</f>
        <v>0.10926242678691754</v>
      </c>
      <c r="N11" s="147">
        <f t="shared" ref="N11" si="23">(N10-M10)/N10</f>
        <v>-6.2916643711090292E-2</v>
      </c>
      <c r="O11" s="147">
        <f t="shared" ref="O11" si="24">(O10-N10)/O10</f>
        <v>0.11146465635402389</v>
      </c>
      <c r="P11" s="147">
        <f t="shared" ref="P11" si="25">(P10-O10)/P10</f>
        <v>0.32051623203831825</v>
      </c>
      <c r="Q11" s="128"/>
      <c r="R11" s="128"/>
      <c r="S11" s="154"/>
      <c r="T11" s="154"/>
      <c r="U11" s="154"/>
      <c r="V11" s="154"/>
      <c r="W11" s="154"/>
      <c r="X11" s="154"/>
      <c r="Y11" s="154"/>
      <c r="Z11" s="154"/>
      <c r="AA11" s="154"/>
      <c r="AB11" s="154"/>
      <c r="AC11" s="119"/>
      <c r="AD11" s="119"/>
      <c r="AE11" s="154"/>
    </row>
    <row r="12" spans="2:31">
      <c r="B12" s="20" t="s">
        <v>218</v>
      </c>
      <c r="C12" s="141"/>
      <c r="D12" s="141"/>
      <c r="E12" s="146"/>
      <c r="F12" s="146"/>
      <c r="G12" s="146">
        <v>46267</v>
      </c>
      <c r="H12" s="146">
        <v>54651</v>
      </c>
      <c r="I12" s="146">
        <v>84013</v>
      </c>
      <c r="J12" s="146">
        <v>120616</v>
      </c>
      <c r="K12" s="146">
        <v>160046</v>
      </c>
      <c r="L12" s="146">
        <v>148107</v>
      </c>
      <c r="M12" s="146">
        <v>186319</v>
      </c>
      <c r="N12" s="146">
        <v>209652</v>
      </c>
      <c r="O12" s="146">
        <v>239864</v>
      </c>
      <c r="P12" s="146">
        <v>255666</v>
      </c>
      <c r="Q12" s="118">
        <f t="shared" si="4"/>
        <v>0.20917475295163479</v>
      </c>
      <c r="R12" s="31">
        <v>0.1</v>
      </c>
      <c r="S12" s="154">
        <f t="shared" si="1"/>
        <v>281232.60000000003</v>
      </c>
      <c r="T12" s="154">
        <f t="shared" ref="T12:AB12" si="26">S12*(1+$R12)</f>
        <v>309355.86000000004</v>
      </c>
      <c r="U12" s="154">
        <f t="shared" si="26"/>
        <v>340291.44600000005</v>
      </c>
      <c r="V12" s="154">
        <f t="shared" si="26"/>
        <v>374320.59060000011</v>
      </c>
      <c r="W12" s="154">
        <f t="shared" si="26"/>
        <v>411752.64966000017</v>
      </c>
      <c r="X12" s="154">
        <f t="shared" si="26"/>
        <v>452927.91462600022</v>
      </c>
      <c r="Y12" s="154">
        <f t="shared" si="26"/>
        <v>498220.70608860027</v>
      </c>
      <c r="Z12" s="154">
        <f t="shared" si="26"/>
        <v>548042.77669746033</v>
      </c>
      <c r="AA12" s="154">
        <f t="shared" si="26"/>
        <v>602847.05436720641</v>
      </c>
      <c r="AB12" s="154">
        <f t="shared" si="26"/>
        <v>663131.75980392715</v>
      </c>
      <c r="AC12" s="138">
        <f t="shared" si="17"/>
        <v>0.15042786953316112</v>
      </c>
      <c r="AD12" s="31">
        <v>0.08</v>
      </c>
      <c r="AE12" s="145">
        <f t="shared" si="15"/>
        <v>5449180.4117929125</v>
      </c>
    </row>
    <row r="13" spans="2:31">
      <c r="B13" s="20" t="s">
        <v>302</v>
      </c>
      <c r="C13" s="141"/>
      <c r="D13" s="141"/>
      <c r="E13" s="146"/>
      <c r="F13" s="146"/>
      <c r="G13" s="146">
        <v>4147</v>
      </c>
      <c r="H13" s="146">
        <v>4178</v>
      </c>
      <c r="I13" s="146">
        <v>4142</v>
      </c>
      <c r="J13" s="146">
        <v>4340</v>
      </c>
      <c r="K13" s="146">
        <v>4678</v>
      </c>
      <c r="L13" s="146">
        <v>4497</v>
      </c>
      <c r="M13" s="146">
        <v>3862</v>
      </c>
      <c r="N13" s="146">
        <v>5489</v>
      </c>
      <c r="O13" s="146">
        <v>5431</v>
      </c>
      <c r="P13" s="146">
        <v>5473</v>
      </c>
      <c r="Q13" s="118">
        <f t="shared" si="4"/>
        <v>3.1306926903096999E-2</v>
      </c>
      <c r="R13" s="31">
        <v>0.1</v>
      </c>
      <c r="S13" s="154">
        <f t="shared" si="1"/>
        <v>6020.3</v>
      </c>
      <c r="T13" s="154">
        <f t="shared" ref="T13:AB13" si="27">S13*(1+$R13)</f>
        <v>6622.3300000000008</v>
      </c>
      <c r="U13" s="154">
        <f t="shared" si="27"/>
        <v>7284.5630000000019</v>
      </c>
      <c r="V13" s="154">
        <f t="shared" si="27"/>
        <v>8013.0193000000027</v>
      </c>
      <c r="W13" s="154">
        <f t="shared" si="27"/>
        <v>8814.3212300000032</v>
      </c>
      <c r="X13" s="154">
        <f t="shared" si="27"/>
        <v>9695.7533530000037</v>
      </c>
      <c r="Y13" s="154">
        <f t="shared" si="27"/>
        <v>10665.328688300006</v>
      </c>
      <c r="Z13" s="154">
        <f t="shared" si="27"/>
        <v>11731.861557130007</v>
      </c>
      <c r="AA13" s="154">
        <f t="shared" si="27"/>
        <v>12905.047712843008</v>
      </c>
      <c r="AB13" s="154">
        <f t="shared" si="27"/>
        <v>14195.552484127311</v>
      </c>
      <c r="AC13" s="138">
        <f t="shared" si="17"/>
        <v>6.6908750404373052E-2</v>
      </c>
      <c r="AD13" s="31">
        <v>0.08</v>
      </c>
      <c r="AE13" s="145">
        <f t="shared" si="15"/>
        <v>108181.13687242829</v>
      </c>
    </row>
    <row r="14" spans="2:31">
      <c r="B14" s="20"/>
      <c r="C14" s="141"/>
      <c r="D14" s="141"/>
      <c r="E14" s="146"/>
      <c r="F14" s="146"/>
      <c r="G14" s="146"/>
      <c r="H14" s="146"/>
      <c r="I14" s="146"/>
      <c r="J14" s="146"/>
      <c r="K14" s="146"/>
      <c r="L14" s="146"/>
      <c r="M14" s="146"/>
      <c r="N14" s="146"/>
      <c r="O14" s="146"/>
      <c r="P14" s="146"/>
      <c r="Q14" s="146"/>
      <c r="R14" s="146"/>
      <c r="S14" s="154"/>
      <c r="T14" s="154"/>
      <c r="U14" s="154"/>
      <c r="V14" s="154"/>
      <c r="W14" s="154"/>
      <c r="X14" s="154"/>
      <c r="Y14" s="154"/>
      <c r="Z14" s="154"/>
      <c r="AA14" s="154"/>
      <c r="AB14" s="154"/>
      <c r="AC14" s="154"/>
      <c r="AD14" s="154"/>
      <c r="AE14" s="145"/>
    </row>
    <row r="15" spans="2:31">
      <c r="B15" s="20" t="s">
        <v>303</v>
      </c>
      <c r="C15" s="141"/>
      <c r="D15" s="141"/>
      <c r="E15" s="146"/>
      <c r="F15" s="146"/>
      <c r="G15" s="146">
        <v>205372</v>
      </c>
      <c r="H15" s="146">
        <v>288672</v>
      </c>
      <c r="I15" s="146">
        <v>425206</v>
      </c>
      <c r="J15" s="146">
        <v>650253</v>
      </c>
      <c r="K15" s="146">
        <v>1225286</v>
      </c>
      <c r="L15" s="146">
        <v>837033</v>
      </c>
      <c r="M15" s="146">
        <v>788327</v>
      </c>
      <c r="N15" s="146">
        <v>983189</v>
      </c>
      <c r="O15" s="146">
        <v>980616</v>
      </c>
      <c r="P15" s="146">
        <v>851647</v>
      </c>
      <c r="Q15" s="118">
        <f>((P15/G15)^(1/($H$2-$H$1) ))-1</f>
        <v>0.17121163070841794</v>
      </c>
      <c r="R15" s="31">
        <v>0.1</v>
      </c>
      <c r="S15" s="154">
        <f t="shared" ref="S15" si="28">P15*(1+$R15)</f>
        <v>936811.70000000007</v>
      </c>
      <c r="T15" s="154">
        <f t="shared" ref="T15" si="29">S15*(1+$R15)</f>
        <v>1030492.8700000001</v>
      </c>
      <c r="U15" s="154">
        <f t="shared" ref="U15" si="30">T15*(1+$R15)</f>
        <v>1133542.1570000001</v>
      </c>
      <c r="V15" s="154">
        <f t="shared" ref="V15" si="31">U15*(1+$R15)</f>
        <v>1246896.3727000002</v>
      </c>
      <c r="W15" s="154">
        <f t="shared" ref="W15" si="32">V15*(1+$R15)</f>
        <v>1371586.0099700002</v>
      </c>
      <c r="X15" s="154">
        <f t="shared" ref="X15" si="33">W15*(1+$R15)</f>
        <v>1508744.6109670005</v>
      </c>
      <c r="Y15" s="154">
        <f t="shared" ref="Y15" si="34">X15*(1+$R15)</f>
        <v>1659619.0720637008</v>
      </c>
      <c r="Z15" s="154">
        <f t="shared" ref="Z15" si="35">Y15*(1+$R15)</f>
        <v>1825580.979270071</v>
      </c>
      <c r="AA15" s="154">
        <f t="shared" ref="AA15" si="36">Z15*(1+$R15)</f>
        <v>2008139.0771970784</v>
      </c>
      <c r="AB15" s="154">
        <f t="shared" ref="AB15" si="37">AA15*(1+$R15)</f>
        <v>2208952.9849167862</v>
      </c>
      <c r="AC15" s="138">
        <f t="shared" ref="AC15" si="38">((AB15/G15)^(1/($AB$3-$H$1) ))-1</f>
        <v>0.13317534782626095</v>
      </c>
      <c r="AD15" s="31">
        <v>0.08</v>
      </c>
      <c r="AE15" s="145">
        <f>(AB15*(1+AC15))/($C$1-AD15)</f>
        <v>17879507.621535257</v>
      </c>
    </row>
    <row r="16" spans="2:31">
      <c r="B16" s="20" t="s">
        <v>304</v>
      </c>
      <c r="C16" s="141"/>
      <c r="D16" s="141"/>
      <c r="E16" s="146"/>
      <c r="F16" s="146"/>
      <c r="G16" s="146">
        <v>8034</v>
      </c>
      <c r="H16" s="146">
        <v>9808</v>
      </c>
      <c r="I16" s="146">
        <v>15355</v>
      </c>
      <c r="J16" s="146">
        <v>27388</v>
      </c>
      <c r="K16" s="146">
        <v>29587</v>
      </c>
      <c r="L16" s="146">
        <v>36745</v>
      </c>
      <c r="M16" s="146">
        <v>38898</v>
      </c>
      <c r="N16" s="146">
        <v>47927</v>
      </c>
      <c r="O16" s="146">
        <v>64542</v>
      </c>
      <c r="P16" s="146">
        <v>74764</v>
      </c>
      <c r="Q16" s="118">
        <f>((P16/G16)^(1/($H$2-$H$1) ))-1</f>
        <v>0.28126828992099506</v>
      </c>
      <c r="R16" s="31">
        <v>0.1</v>
      </c>
      <c r="S16" s="154">
        <f t="shared" ref="S16:S40" si="39">P16*(1+$R16)</f>
        <v>82240.400000000009</v>
      </c>
      <c r="T16" s="154">
        <f t="shared" ref="T16:T35" si="40">S16*(1+$R16)</f>
        <v>90464.440000000017</v>
      </c>
      <c r="U16" s="154">
        <f t="shared" ref="U16:U35" si="41">T16*(1+$R16)</f>
        <v>99510.88400000002</v>
      </c>
      <c r="V16" s="154">
        <f t="shared" ref="V16:V35" si="42">U16*(1+$R16)</f>
        <v>109461.97240000003</v>
      </c>
      <c r="W16" s="154">
        <f t="shared" ref="W16:W47" si="43">V16*(1+$R16)</f>
        <v>120408.16964000004</v>
      </c>
      <c r="X16" s="154">
        <f t="shared" ref="X16:X47" si="44">W16*(1+$R16)</f>
        <v>132448.98660400006</v>
      </c>
      <c r="Y16" s="154">
        <f t="shared" ref="Y16:Y47" si="45">X16*(1+$R16)</f>
        <v>145693.88526440007</v>
      </c>
      <c r="Z16" s="154">
        <f t="shared" ref="Z16:Z47" si="46">Y16*(1+$R16)</f>
        <v>160263.27379084009</v>
      </c>
      <c r="AA16" s="154">
        <f t="shared" ref="AA16:AA47" si="47">Z16*(1+$R16)</f>
        <v>176289.60116992411</v>
      </c>
      <c r="AB16" s="154">
        <f t="shared" ref="AB16:AB47" si="48">AA16*(1+$R16)</f>
        <v>193918.56128691652</v>
      </c>
      <c r="AC16" s="138">
        <f t="shared" si="17"/>
        <v>0.18242343632041114</v>
      </c>
      <c r="AD16" s="31">
        <v>0.08</v>
      </c>
      <c r="AE16" s="145">
        <f>(AB16*(1+AC16))/($C$1-AD16)</f>
        <v>1637813.2257370432</v>
      </c>
    </row>
    <row r="17" spans="2:31">
      <c r="B17" s="20"/>
      <c r="C17" s="141"/>
      <c r="D17" s="141"/>
      <c r="E17" s="146"/>
      <c r="F17" s="146"/>
      <c r="G17" s="146"/>
      <c r="H17" s="146"/>
      <c r="I17" s="146"/>
      <c r="J17" s="146"/>
      <c r="K17" s="146"/>
      <c r="L17" s="146"/>
      <c r="M17" s="146"/>
      <c r="N17" s="146"/>
      <c r="O17" s="146"/>
      <c r="P17" s="146"/>
      <c r="Q17" s="128"/>
      <c r="R17" s="128"/>
      <c r="S17" s="154"/>
      <c r="T17" s="154"/>
      <c r="U17" s="154"/>
      <c r="V17" s="154"/>
      <c r="W17" s="154"/>
      <c r="X17" s="154"/>
      <c r="Y17" s="154"/>
      <c r="Z17" s="154"/>
      <c r="AA17" s="154"/>
      <c r="AB17" s="154"/>
      <c r="AC17" s="119"/>
      <c r="AD17" s="119"/>
      <c r="AE17" s="154"/>
    </row>
    <row r="18" spans="2:31">
      <c r="B18" s="20" t="s">
        <v>268</v>
      </c>
      <c r="C18" s="141"/>
      <c r="D18" s="141"/>
      <c r="E18" s="146"/>
      <c r="F18" s="146"/>
      <c r="G18" s="146">
        <v>7891</v>
      </c>
      <c r="H18" s="146">
        <v>9131</v>
      </c>
      <c r="I18" s="146">
        <v>4652</v>
      </c>
      <c r="J18" s="146">
        <v>23061</v>
      </c>
      <c r="K18" s="146">
        <v>-11631</v>
      </c>
      <c r="L18" s="146">
        <v>-14188</v>
      </c>
      <c r="M18" s="146">
        <v>1869</v>
      </c>
      <c r="N18" s="146">
        <v>-6908</v>
      </c>
      <c r="O18" s="146">
        <v>9683</v>
      </c>
      <c r="P18" s="146">
        <v>11102</v>
      </c>
      <c r="Q18" s="118">
        <f>((P18/G18)^(1/($H$2-$H$1) ))-1</f>
        <v>3.8662263729399848E-2</v>
      </c>
      <c r="R18" s="31">
        <v>0.1</v>
      </c>
      <c r="S18" s="154">
        <f t="shared" ref="S18:S20" si="49">P18*(1+$R18)</f>
        <v>12212.2</v>
      </c>
      <c r="T18" s="154">
        <f t="shared" ref="T18:T20" si="50">S18*(1+$R18)</f>
        <v>13433.420000000002</v>
      </c>
      <c r="U18" s="154">
        <f t="shared" ref="U18:U20" si="51">T18*(1+$R18)</f>
        <v>14776.762000000002</v>
      </c>
      <c r="V18" s="154">
        <f t="shared" ref="V18:V20" si="52">U18*(1+$R18)</f>
        <v>16254.438200000004</v>
      </c>
      <c r="W18" s="154">
        <f t="shared" ref="W18:W20" si="53">V18*(1+$R18)</f>
        <v>17879.882020000005</v>
      </c>
      <c r="X18" s="154">
        <f t="shared" ref="X18:X20" si="54">W18*(1+$R18)</f>
        <v>19667.870222000005</v>
      </c>
      <c r="Y18" s="154">
        <f t="shared" ref="Y18:Y20" si="55">X18*(1+$R18)</f>
        <v>21634.657244200007</v>
      </c>
      <c r="Z18" s="154">
        <f t="shared" ref="Z18:Z20" si="56">Y18*(1+$R18)</f>
        <v>23798.122968620009</v>
      </c>
      <c r="AA18" s="154">
        <f t="shared" ref="AA18:AA20" si="57">Z18*(1+$R18)</f>
        <v>26177.935265482014</v>
      </c>
      <c r="AB18" s="154">
        <f t="shared" ref="AB18:AB20" si="58">AA18*(1+$R18)</f>
        <v>28795.728792030219</v>
      </c>
      <c r="AC18" s="138">
        <f t="shared" ref="AC18:AC20" si="59">((AB18/G18)^(1/($AB$3-$H$1) ))-1</f>
        <v>7.0506391967141147E-2</v>
      </c>
      <c r="AD18" s="31">
        <v>0.05</v>
      </c>
      <c r="AE18" s="145">
        <f>(AB18*(1+AC18))/($C$1-AD18)</f>
        <v>181329.48078365056</v>
      </c>
    </row>
    <row r="19" spans="2:31">
      <c r="B19" s="20" t="s">
        <v>269</v>
      </c>
      <c r="C19" s="141"/>
      <c r="D19" s="141"/>
      <c r="E19" s="146"/>
      <c r="F19" s="146"/>
      <c r="G19" s="146">
        <v>-1323</v>
      </c>
      <c r="H19" s="146">
        <v>-3445</v>
      </c>
      <c r="I19" s="146">
        <v>-7893</v>
      </c>
      <c r="J19" s="146">
        <v>-18362</v>
      </c>
      <c r="K19" s="146">
        <v>-17561</v>
      </c>
      <c r="L19" s="146">
        <v>3857</v>
      </c>
      <c r="M19" s="146">
        <v>6150</v>
      </c>
      <c r="N19" s="146">
        <v>-2108</v>
      </c>
      <c r="O19" s="146">
        <v>-12280</v>
      </c>
      <c r="P19" s="146">
        <v>-9431</v>
      </c>
      <c r="Q19" s="118">
        <f>((P19/G19)^(1/($H$2-$H$1) ))-1</f>
        <v>0.24387730640210514</v>
      </c>
      <c r="R19" s="31">
        <v>0.1</v>
      </c>
      <c r="S19" s="154">
        <f t="shared" si="49"/>
        <v>-10374.1</v>
      </c>
      <c r="T19" s="154">
        <f t="shared" si="50"/>
        <v>-11411.510000000002</v>
      </c>
      <c r="U19" s="154">
        <f t="shared" si="51"/>
        <v>-12552.661000000004</v>
      </c>
      <c r="V19" s="154">
        <f t="shared" si="52"/>
        <v>-13807.927100000004</v>
      </c>
      <c r="W19" s="154">
        <f t="shared" si="53"/>
        <v>-15188.719810000006</v>
      </c>
      <c r="X19" s="154">
        <f t="shared" si="54"/>
        <v>-16707.591791000006</v>
      </c>
      <c r="Y19" s="154">
        <f t="shared" si="55"/>
        <v>-18378.350970100008</v>
      </c>
      <c r="Z19" s="154">
        <f t="shared" si="56"/>
        <v>-20216.186067110011</v>
      </c>
      <c r="AA19" s="154">
        <f t="shared" si="57"/>
        <v>-22237.804673821014</v>
      </c>
      <c r="AB19" s="154">
        <f t="shared" si="58"/>
        <v>-24461.585141203119</v>
      </c>
      <c r="AC19" s="138">
        <f t="shared" si="59"/>
        <v>0.16595086811700854</v>
      </c>
      <c r="AD19" s="31">
        <v>0.05</v>
      </c>
      <c r="AE19" s="145">
        <f>(AB19*(1+AC19))/($C$1-AD19)</f>
        <v>-167770.62606414055</v>
      </c>
    </row>
    <row r="20" spans="2:31">
      <c r="B20" s="20" t="s">
        <v>270</v>
      </c>
      <c r="C20" s="141"/>
      <c r="D20" s="141"/>
      <c r="E20" s="146"/>
      <c r="F20" s="146"/>
      <c r="G20" s="146">
        <v>-4587</v>
      </c>
      <c r="H20" s="146">
        <v>-1227</v>
      </c>
      <c r="I20" s="146">
        <v>7350</v>
      </c>
      <c r="J20" s="146">
        <v>15414</v>
      </c>
      <c r="K20" s="146">
        <v>29964</v>
      </c>
      <c r="L20" s="146">
        <v>1625</v>
      </c>
      <c r="M20" s="146">
        <v>1382</v>
      </c>
      <c r="N20" s="146">
        <v>4283</v>
      </c>
      <c r="O20" s="146">
        <v>3829</v>
      </c>
      <c r="P20" s="146">
        <v>2989</v>
      </c>
      <c r="Q20" s="118">
        <f>((P20/G20)^(1/($H$2-$H$1) ))-1</f>
        <v>-1.9535270536326461</v>
      </c>
      <c r="R20" s="31">
        <v>0.1</v>
      </c>
      <c r="S20" s="154">
        <f t="shared" si="49"/>
        <v>3287.9</v>
      </c>
      <c r="T20" s="154">
        <f t="shared" si="50"/>
        <v>3616.6900000000005</v>
      </c>
      <c r="U20" s="154">
        <f t="shared" si="51"/>
        <v>3978.3590000000008</v>
      </c>
      <c r="V20" s="154">
        <f t="shared" si="52"/>
        <v>4376.1949000000013</v>
      </c>
      <c r="W20" s="154">
        <f t="shared" si="53"/>
        <v>4813.8143900000023</v>
      </c>
      <c r="X20" s="154">
        <f t="shared" si="54"/>
        <v>5295.195829000003</v>
      </c>
      <c r="Y20" s="154">
        <f t="shared" si="55"/>
        <v>5824.7154119000033</v>
      </c>
      <c r="Z20" s="154">
        <f t="shared" si="56"/>
        <v>6407.186953090004</v>
      </c>
      <c r="AA20" s="154">
        <f t="shared" si="57"/>
        <v>7047.9056483990053</v>
      </c>
      <c r="AB20" s="154">
        <f t="shared" si="58"/>
        <v>7752.6962132389062</v>
      </c>
      <c r="AC20" s="138">
        <f t="shared" si="59"/>
        <v>-2.0280068330902052</v>
      </c>
      <c r="AD20" s="31">
        <v>0.05</v>
      </c>
      <c r="AE20" s="145">
        <f>(AB20*(1+AC20))/($C$1-AD20)</f>
        <v>-46881.321659306792</v>
      </c>
    </row>
    <row r="21" spans="2:31">
      <c r="B21" s="20" t="s">
        <v>276</v>
      </c>
      <c r="C21" s="141"/>
      <c r="D21" s="141"/>
      <c r="E21" s="146"/>
      <c r="F21" s="146"/>
      <c r="G21" s="146">
        <v>8470</v>
      </c>
      <c r="H21" s="146">
        <v>12929</v>
      </c>
      <c r="I21" s="146">
        <v>17040</v>
      </c>
      <c r="J21" s="146">
        <v>37121</v>
      </c>
      <c r="K21" s="146">
        <v>38041</v>
      </c>
      <c r="L21" s="146">
        <v>-14188</v>
      </c>
      <c r="M21" s="146">
        <v>29966</v>
      </c>
      <c r="N21" s="146">
        <v>38873</v>
      </c>
      <c r="O21" s="146">
        <v>34090</v>
      </c>
      <c r="P21" s="146">
        <v>41417</v>
      </c>
      <c r="Q21" s="118">
        <f>((P21/G21)^(1/($H$2-$H$1) ))-1</f>
        <v>0.19285693180560459</v>
      </c>
      <c r="R21" s="31">
        <v>0.1</v>
      </c>
      <c r="S21" s="154">
        <f t="shared" ref="S21" si="60">P21*(1+$R21)</f>
        <v>45558.700000000004</v>
      </c>
      <c r="T21" s="154">
        <f t="shared" ref="T21" si="61">S21*(1+$R21)</f>
        <v>50114.570000000007</v>
      </c>
      <c r="U21" s="154">
        <f t="shared" ref="U21" si="62">T21*(1+$R21)</f>
        <v>55126.027000000009</v>
      </c>
      <c r="V21" s="154">
        <f t="shared" ref="V21" si="63">U21*(1+$R21)</f>
        <v>60638.629700000012</v>
      </c>
      <c r="W21" s="154">
        <f t="shared" ref="W21" si="64">V21*(1+$R21)</f>
        <v>66702.492670000021</v>
      </c>
      <c r="X21" s="154">
        <f t="shared" ref="X21" si="65">W21*(1+$R21)</f>
        <v>73372.741937000028</v>
      </c>
      <c r="Y21" s="154">
        <f t="shared" ref="Y21" si="66">X21*(1+$R21)</f>
        <v>80710.016130700038</v>
      </c>
      <c r="Z21" s="154">
        <f t="shared" ref="Z21" si="67">Y21*(1+$R21)</f>
        <v>88781.017743770048</v>
      </c>
      <c r="AA21" s="154">
        <f t="shared" ref="AA21" si="68">Z21*(1+$R21)</f>
        <v>97659.119518147054</v>
      </c>
      <c r="AB21" s="154">
        <f t="shared" ref="AB21" si="69">AA21*(1+$R21)</f>
        <v>107425.03146996177</v>
      </c>
      <c r="AC21" s="138">
        <f t="shared" ref="AC21" si="70">((AB21/G21)^(1/($AB$3-$H$1) ))-1</f>
        <v>0.14304761010009748</v>
      </c>
      <c r="AD21" s="31">
        <v>0.05</v>
      </c>
      <c r="AE21" s="145">
        <f>(AB21*(1+AC21))/($C$1-AD21)</f>
        <v>722305.44403922104</v>
      </c>
    </row>
    <row r="22" spans="2:31">
      <c r="B22" s="20"/>
      <c r="C22" s="141"/>
      <c r="D22" s="141"/>
      <c r="E22" s="146"/>
      <c r="F22" s="146"/>
      <c r="G22" s="146"/>
      <c r="H22" s="146"/>
      <c r="I22" s="146"/>
      <c r="J22" s="146"/>
      <c r="K22" s="146"/>
      <c r="L22" s="146"/>
      <c r="M22" s="146"/>
      <c r="N22" s="146"/>
      <c r="O22" s="146"/>
      <c r="P22" s="146"/>
      <c r="Q22" s="128"/>
      <c r="R22" s="128"/>
      <c r="S22" s="154"/>
      <c r="T22" s="154"/>
      <c r="U22" s="154"/>
      <c r="V22" s="154"/>
      <c r="W22" s="154"/>
      <c r="X22" s="154"/>
      <c r="Y22" s="154"/>
      <c r="Z22" s="154"/>
      <c r="AA22" s="154"/>
      <c r="AB22" s="154"/>
      <c r="AC22" s="119"/>
      <c r="AD22" s="119"/>
      <c r="AE22" s="154"/>
    </row>
    <row r="23" spans="2:31">
      <c r="B23" s="20" t="s">
        <v>296</v>
      </c>
      <c r="C23" s="141"/>
      <c r="D23" s="141"/>
      <c r="E23" s="146"/>
      <c r="F23" s="146"/>
      <c r="G23" s="146">
        <v>68078</v>
      </c>
      <c r="H23" s="146">
        <v>101108</v>
      </c>
      <c r="I23" s="146">
        <v>172450</v>
      </c>
      <c r="J23" s="146">
        <v>248613</v>
      </c>
      <c r="K23" s="146">
        <v>276983</v>
      </c>
      <c r="L23" s="146">
        <v>261855</v>
      </c>
      <c r="M23" s="146">
        <v>241572</v>
      </c>
      <c r="N23" s="146">
        <v>259106</v>
      </c>
      <c r="O23" s="146">
        <v>281950</v>
      </c>
      <c r="P23" s="146">
        <v>314750</v>
      </c>
      <c r="Q23" s="118">
        <f>((P23/G23)^(1/($H$2-$H$1) ))-1</f>
        <v>0.1854529665609268</v>
      </c>
      <c r="R23" s="31">
        <v>0.11</v>
      </c>
      <c r="S23" s="154">
        <f t="shared" ref="S23:S31" si="71">P23*(1+$R23)</f>
        <v>349372.50000000006</v>
      </c>
      <c r="T23" s="154">
        <f t="shared" ref="T23:T31" si="72">S23*(1+$R23)</f>
        <v>387803.47500000009</v>
      </c>
      <c r="U23" s="154">
        <f t="shared" ref="U23:U31" si="73">T23*(1+$R23)</f>
        <v>430461.85725000012</v>
      </c>
      <c r="V23" s="154">
        <f t="shared" ref="V23:V31" si="74">U23*(1+$R23)</f>
        <v>477812.66154750017</v>
      </c>
      <c r="W23" s="154">
        <f t="shared" ref="W23:W31" si="75">V23*(1+$R23)</f>
        <v>530372.05431772524</v>
      </c>
      <c r="X23" s="154">
        <f t="shared" ref="X23:X31" si="76">W23*(1+$R23)</f>
        <v>588712.98029267509</v>
      </c>
      <c r="Y23" s="154">
        <f t="shared" ref="Y23:Y31" si="77">X23*(1+$R23)</f>
        <v>653471.40812486946</v>
      </c>
      <c r="Z23" s="154">
        <f t="shared" ref="Z23:Z31" si="78">Y23*(1+$R23)</f>
        <v>725353.26301860518</v>
      </c>
      <c r="AA23" s="154">
        <f t="shared" ref="AA23:AA31" si="79">Z23*(1+$R23)</f>
        <v>805142.12195065187</v>
      </c>
      <c r="AB23" s="154">
        <f t="shared" ref="AB23:AB31" si="80">AA23*(1+$R23)</f>
        <v>893707.75536522362</v>
      </c>
      <c r="AC23" s="138">
        <f t="shared" ref="AC23:AC31" si="81">((AB23/G23)^(1/($AB$3-$H$1) ))-1</f>
        <v>0.1451227395149397</v>
      </c>
      <c r="AD23" s="31">
        <v>0.05</v>
      </c>
      <c r="AE23" s="145">
        <f>(AB23*(1+AC23))/($C$1-AD23)</f>
        <v>6020029.8420563089</v>
      </c>
    </row>
    <row r="24" spans="2:31">
      <c r="B24" s="20"/>
      <c r="C24" s="141"/>
      <c r="D24" s="141"/>
      <c r="E24" s="146"/>
      <c r="F24" s="146"/>
      <c r="G24" s="148">
        <f>(G23-F23)/G23</f>
        <v>1</v>
      </c>
      <c r="H24" s="148">
        <f>(H23-G23)/H23</f>
        <v>0.32668038137437194</v>
      </c>
      <c r="I24" s="148">
        <f t="shared" ref="I24" si="82">(I23-H23)/I23</f>
        <v>0.41369672368802551</v>
      </c>
      <c r="J24" s="148">
        <f t="shared" ref="J24" si="83">(J23-I23)/J23</f>
        <v>0.30635163889257599</v>
      </c>
      <c r="K24" s="148">
        <f t="shared" ref="K24" si="84">(K23-J23)/K23</f>
        <v>0.10242505857760223</v>
      </c>
      <c r="L24" s="148">
        <f t="shared" ref="L24" si="85">(L23-K23)/L23</f>
        <v>-5.7772431307402949E-2</v>
      </c>
      <c r="M24" s="148">
        <f t="shared" ref="M24" si="86">(M23-L23)/M23</f>
        <v>-8.3962545328100935E-2</v>
      </c>
      <c r="N24" s="148">
        <f t="shared" ref="N24" si="87">(N23-M23)/N23</f>
        <v>6.7671146171837004E-2</v>
      </c>
      <c r="O24" s="148">
        <f t="shared" ref="O24" si="88">(O23-N23)/O23</f>
        <v>8.1021457705266892E-2</v>
      </c>
      <c r="P24" s="148">
        <f t="shared" ref="P24" si="89">(P23-O23)/P23</f>
        <v>0.10420969023034155</v>
      </c>
      <c r="Q24" s="3"/>
      <c r="R24" s="3"/>
      <c r="S24" s="154"/>
      <c r="T24" s="154"/>
      <c r="U24" s="154"/>
      <c r="V24" s="154"/>
      <c r="W24" s="154"/>
      <c r="X24" s="154"/>
      <c r="Y24" s="154"/>
      <c r="Z24" s="154"/>
      <c r="AA24" s="154"/>
      <c r="AB24" s="154"/>
      <c r="AC24" s="139"/>
      <c r="AD24" s="128"/>
      <c r="AE24" s="145"/>
    </row>
    <row r="25" spans="2:31">
      <c r="B25" s="20" t="s">
        <v>305</v>
      </c>
      <c r="C25" s="141"/>
      <c r="D25" s="141"/>
      <c r="E25" s="146"/>
      <c r="F25" s="146"/>
      <c r="G25" s="146">
        <v>34958</v>
      </c>
      <c r="H25" s="146">
        <v>38369</v>
      </c>
      <c r="I25" s="146">
        <v>44999</v>
      </c>
      <c r="J25" s="146">
        <v>61659</v>
      </c>
      <c r="K25" s="146">
        <v>84566</v>
      </c>
      <c r="L25" s="146">
        <v>261855</v>
      </c>
      <c r="M25" s="146">
        <v>241572</v>
      </c>
      <c r="N25" s="146">
        <v>259106</v>
      </c>
      <c r="O25" s="146">
        <v>281950</v>
      </c>
      <c r="P25" s="146">
        <v>314770</v>
      </c>
      <c r="Q25" s="118">
        <f>((P25/G25)^(1/($H$2-$H$1) ))-1</f>
        <v>0.2765847132219168</v>
      </c>
      <c r="R25" s="31">
        <v>0.1</v>
      </c>
      <c r="S25" s="154">
        <f t="shared" ref="S25" si="90">P25*(1+$R25)</f>
        <v>346247</v>
      </c>
      <c r="T25" s="154">
        <f t="shared" ref="T25" si="91">S25*(1+$R25)</f>
        <v>380871.7</v>
      </c>
      <c r="U25" s="154">
        <f t="shared" ref="U25" si="92">T25*(1+$R25)</f>
        <v>418958.87000000005</v>
      </c>
      <c r="V25" s="154">
        <f t="shared" ref="V25" si="93">U25*(1+$R25)</f>
        <v>460854.7570000001</v>
      </c>
      <c r="W25" s="154">
        <f t="shared" ref="W25" si="94">V25*(1+$R25)</f>
        <v>506940.23270000017</v>
      </c>
      <c r="X25" s="154">
        <f t="shared" ref="X25" si="95">W25*(1+$R25)</f>
        <v>557634.25597000017</v>
      </c>
      <c r="Y25" s="154">
        <f t="shared" ref="Y25" si="96">X25*(1+$R25)</f>
        <v>613397.68156700023</v>
      </c>
      <c r="Z25" s="154">
        <f t="shared" ref="Z25" si="97">Y25*(1+$R25)</f>
        <v>674737.44972370029</v>
      </c>
      <c r="AA25" s="154">
        <f t="shared" ref="AA25" si="98">Z25*(1+$R25)</f>
        <v>742211.19469607039</v>
      </c>
      <c r="AB25" s="154">
        <f t="shared" ref="AB25" si="99">AA25*(1+$R25)</f>
        <v>816432.31416567753</v>
      </c>
      <c r="AC25" s="138">
        <f t="shared" ref="AC25" si="100">((AB25/G25)^(1/($AB$3-$H$1) ))-1</f>
        <v>0.18037407825852436</v>
      </c>
      <c r="AD25" s="31">
        <v>0.05</v>
      </c>
      <c r="AE25" s="145">
        <f>(AB25*(1+AC25))/($C$1-AD25)</f>
        <v>5668797.2958457982</v>
      </c>
    </row>
    <row r="26" spans="2:31">
      <c r="B26" s="20"/>
      <c r="C26" s="141"/>
      <c r="D26" s="141"/>
      <c r="E26" s="146"/>
      <c r="F26" s="146"/>
      <c r="G26" s="148">
        <f>(G25-F25)/G25</f>
        <v>1</v>
      </c>
      <c r="H26" s="148">
        <f>(H25-G25)/H25</f>
        <v>8.8899893142901823E-2</v>
      </c>
      <c r="I26" s="148">
        <f t="shared" ref="I26" si="101">(I25-H25)/I25</f>
        <v>0.14733660748016622</v>
      </c>
      <c r="J26" s="148">
        <f t="shared" ref="J26" si="102">(J25-I25)/J25</f>
        <v>0.2701957540667218</v>
      </c>
      <c r="K26" s="148">
        <f t="shared" ref="K26" si="103">(K25-J25)/K25</f>
        <v>0.27087718468415201</v>
      </c>
      <c r="L26" s="148">
        <f t="shared" ref="L26" si="104">(L25-K25)/L25</f>
        <v>0.67705027591606037</v>
      </c>
      <c r="M26" s="148">
        <f t="shared" ref="M26" si="105">(M25-L25)/M25</f>
        <v>-8.3962545328100935E-2</v>
      </c>
      <c r="N26" s="148">
        <f t="shared" ref="N26" si="106">(N25-M25)/N25</f>
        <v>6.7671146171837004E-2</v>
      </c>
      <c r="O26" s="148">
        <f t="shared" ref="O26" si="107">(O25-N25)/O25</f>
        <v>8.1021457705266892E-2</v>
      </c>
      <c r="P26" s="148">
        <f t="shared" ref="P26" si="108">(P25-O25)/P25</f>
        <v>0.10426660736410713</v>
      </c>
      <c r="Q26" s="3"/>
      <c r="R26" s="3"/>
      <c r="S26" s="154"/>
      <c r="T26" s="154"/>
      <c r="U26" s="154"/>
      <c r="V26" s="154"/>
      <c r="W26" s="154"/>
      <c r="X26" s="154"/>
      <c r="Y26" s="154"/>
      <c r="Z26" s="154"/>
      <c r="AA26" s="154"/>
      <c r="AB26" s="154"/>
      <c r="AC26" s="139"/>
      <c r="AD26" s="128"/>
      <c r="AE26" s="145"/>
    </row>
    <row r="27" spans="2:31">
      <c r="B27" s="20" t="s">
        <v>306</v>
      </c>
      <c r="C27" s="141"/>
      <c r="D27" s="141"/>
      <c r="E27" s="146"/>
      <c r="F27" s="146"/>
      <c r="G27" s="146">
        <v>19593</v>
      </c>
      <c r="H27" s="146">
        <v>26179</v>
      </c>
      <c r="I27" s="146">
        <v>36911</v>
      </c>
      <c r="J27" s="146">
        <v>59236</v>
      </c>
      <c r="K27" s="146">
        <v>78263</v>
      </c>
      <c r="L27" s="146">
        <v>84405</v>
      </c>
      <c r="M27" s="146">
        <v>79509</v>
      </c>
      <c r="N27" s="146">
        <v>92162</v>
      </c>
      <c r="O27" s="146">
        <v>98240</v>
      </c>
      <c r="P27" s="146">
        <v>116964</v>
      </c>
      <c r="Q27" s="118">
        <f>((P27/G27)^(1/($H$2-$H$1) ))-1</f>
        <v>0.21959829396600705</v>
      </c>
      <c r="R27" s="31">
        <v>0.1</v>
      </c>
      <c r="S27" s="154">
        <f t="shared" ref="S27" si="109">P27*(1+$R27)</f>
        <v>128660.40000000001</v>
      </c>
      <c r="T27" s="154">
        <f t="shared" ref="T27" si="110">S27*(1+$R27)</f>
        <v>141526.44000000003</v>
      </c>
      <c r="U27" s="154">
        <f t="shared" ref="U27" si="111">T27*(1+$R27)</f>
        <v>155679.08400000006</v>
      </c>
      <c r="V27" s="154">
        <f t="shared" ref="V27" si="112">U27*(1+$R27)</f>
        <v>171246.99240000008</v>
      </c>
      <c r="W27" s="154">
        <f t="shared" ref="W27" si="113">V27*(1+$R27)</f>
        <v>188371.69164000009</v>
      </c>
      <c r="X27" s="154">
        <f t="shared" ref="X27" si="114">W27*(1+$R27)</f>
        <v>207208.86080400011</v>
      </c>
      <c r="Y27" s="154">
        <f t="shared" ref="Y27" si="115">X27*(1+$R27)</f>
        <v>227929.74688440014</v>
      </c>
      <c r="Z27" s="154">
        <f t="shared" ref="Z27" si="116">Y27*(1+$R27)</f>
        <v>250722.72157284018</v>
      </c>
      <c r="AA27" s="154">
        <f t="shared" ref="AA27" si="117">Z27*(1+$R27)</f>
        <v>275794.9937301242</v>
      </c>
      <c r="AB27" s="154">
        <f t="shared" ref="AB27" si="118">AA27*(1+$R27)</f>
        <v>303374.49310313666</v>
      </c>
      <c r="AC27" s="138">
        <f t="shared" ref="AC27" si="119">((AB27/G27)^(1/($AB$3-$H$1) ))-1</f>
        <v>0.15511484298811995</v>
      </c>
      <c r="AD27" s="31">
        <v>0.05</v>
      </c>
      <c r="AE27" s="145">
        <f>(AB27*(1+AC27))/($C$1-AD27)</f>
        <v>2061366.9409848838</v>
      </c>
    </row>
    <row r="28" spans="2:31">
      <c r="B28" s="20"/>
      <c r="C28" s="141"/>
      <c r="D28" s="141"/>
      <c r="E28" s="146"/>
      <c r="F28" s="146"/>
      <c r="G28" s="148">
        <f>(G27-F27)/G27</f>
        <v>1</v>
      </c>
      <c r="H28" s="148">
        <f>(H27-G27)/H27</f>
        <v>0.25157569043890143</v>
      </c>
      <c r="I28" s="148">
        <f t="shared" ref="I28" si="120">(I27-H27)/I27</f>
        <v>0.29075343393568315</v>
      </c>
      <c r="J28" s="148">
        <f t="shared" ref="J28" si="121">(J27-I27)/J27</f>
        <v>0.37688230130326156</v>
      </c>
      <c r="K28" s="148">
        <f t="shared" ref="K28" si="122">(K27-J27)/K27</f>
        <v>0.24311615961565491</v>
      </c>
      <c r="L28" s="148">
        <f t="shared" ref="L28" si="123">(L27-K27)/L27</f>
        <v>7.2768200935963506E-2</v>
      </c>
      <c r="M28" s="148">
        <f t="shared" ref="M28" si="124">(M27-L27)/M27</f>
        <v>-6.1577934573444515E-2</v>
      </c>
      <c r="N28" s="148">
        <f t="shared" ref="N28" si="125">(N27-M27)/N27</f>
        <v>0.13729085740326816</v>
      </c>
      <c r="O28" s="148">
        <f t="shared" ref="O28" si="126">(O27-N27)/O27</f>
        <v>6.1868892508143321E-2</v>
      </c>
      <c r="P28" s="148">
        <f t="shared" ref="P28" si="127">(P27-O27)/P27</f>
        <v>0.16008344447864301</v>
      </c>
      <c r="Q28" s="3"/>
      <c r="R28" s="3"/>
      <c r="S28" s="154"/>
      <c r="T28" s="154"/>
      <c r="U28" s="154"/>
      <c r="V28" s="154"/>
      <c r="W28" s="154"/>
      <c r="X28" s="154"/>
      <c r="Y28" s="154"/>
      <c r="Z28" s="154"/>
      <c r="AA28" s="154"/>
      <c r="AB28" s="154"/>
      <c r="AC28" s="139"/>
      <c r="AD28" s="128"/>
      <c r="AE28" s="145"/>
    </row>
    <row r="29" spans="2:31">
      <c r="B29" s="20" t="s">
        <v>297</v>
      </c>
      <c r="C29" s="141"/>
      <c r="D29" s="141"/>
      <c r="E29" s="146"/>
      <c r="F29" s="146"/>
      <c r="G29" s="146">
        <v>64947</v>
      </c>
      <c r="H29" s="146">
        <v>93988</v>
      </c>
      <c r="I29" s="146">
        <v>153127</v>
      </c>
      <c r="J29" s="146">
        <v>204147</v>
      </c>
      <c r="K29" s="146">
        <v>240846</v>
      </c>
      <c r="L29" s="146">
        <v>266130</v>
      </c>
      <c r="M29" s="146">
        <v>225778</v>
      </c>
      <c r="N29" s="146">
        <v>256019</v>
      </c>
      <c r="O29" s="146">
        <v>292125</v>
      </c>
      <c r="P29" s="146">
        <v>329974</v>
      </c>
      <c r="Q29" s="118">
        <f>((P29/G29)^(1/($H$2-$H$1) ))-1</f>
        <v>0.1979415408320353</v>
      </c>
      <c r="R29" s="31">
        <v>0.1</v>
      </c>
      <c r="S29" s="154">
        <f t="shared" si="71"/>
        <v>362971.4</v>
      </c>
      <c r="T29" s="154">
        <f t="shared" si="72"/>
        <v>399268.54000000004</v>
      </c>
      <c r="U29" s="154">
        <f t="shared" si="73"/>
        <v>439195.39400000009</v>
      </c>
      <c r="V29" s="154">
        <f t="shared" si="74"/>
        <v>483114.93340000015</v>
      </c>
      <c r="W29" s="154">
        <f t="shared" si="75"/>
        <v>531426.42674000026</v>
      </c>
      <c r="X29" s="154">
        <f t="shared" si="76"/>
        <v>584569.06941400038</v>
      </c>
      <c r="Y29" s="154">
        <f t="shared" si="77"/>
        <v>643025.97635540052</v>
      </c>
      <c r="Z29" s="154">
        <f t="shared" si="78"/>
        <v>707328.57399094058</v>
      </c>
      <c r="AA29" s="154">
        <f t="shared" si="79"/>
        <v>778061.43139003473</v>
      </c>
      <c r="AB29" s="154">
        <f t="shared" si="80"/>
        <v>855867.57452903828</v>
      </c>
      <c r="AC29" s="138">
        <f t="shared" si="81"/>
        <v>0.14535295578753105</v>
      </c>
      <c r="AD29" s="31">
        <v>0.05</v>
      </c>
      <c r="AE29" s="145">
        <f>(AB29*(1+AC29))/($C$1-AD29)</f>
        <v>5766296.8014678769</v>
      </c>
    </row>
    <row r="30" spans="2:31">
      <c r="B30" s="20"/>
      <c r="C30" s="141"/>
      <c r="D30" s="141"/>
      <c r="E30" s="146"/>
      <c r="F30" s="146"/>
      <c r="G30" s="148">
        <f>(G29-F29)/G29</f>
        <v>1</v>
      </c>
      <c r="H30" s="148">
        <f>(H29-G29)/H29</f>
        <v>0.30898625356428483</v>
      </c>
      <c r="I30" s="148">
        <f t="shared" ref="I30" si="128">(I29-H29)/I29</f>
        <v>0.38620883319075017</v>
      </c>
      <c r="J30" s="148">
        <f t="shared" ref="J30" si="129">(J29-I29)/J29</f>
        <v>0.24991795128020494</v>
      </c>
      <c r="K30" s="148">
        <f t="shared" ref="K30" si="130">(K29-J29)/K29</f>
        <v>0.15237537679679131</v>
      </c>
      <c r="L30" s="148">
        <f t="shared" ref="L30" si="131">(L29-K29)/L29</f>
        <v>9.5006199977454631E-2</v>
      </c>
      <c r="M30" s="148">
        <f t="shared" ref="M30" si="132">(M29-L29)/M29</f>
        <v>-0.17872423353914021</v>
      </c>
      <c r="N30" s="148">
        <f t="shared" ref="N30" si="133">(N29-M29)/N29</f>
        <v>0.11812013952089494</v>
      </c>
      <c r="O30" s="148">
        <f t="shared" ref="O30" si="134">(O29-N29)/O29</f>
        <v>0.12359777492511767</v>
      </c>
      <c r="P30" s="148">
        <f t="shared" ref="P30" si="135">(P29-O29)/P29</f>
        <v>0.11470297659815622</v>
      </c>
      <c r="Q30" s="3"/>
      <c r="R30" s="3"/>
      <c r="S30" s="154"/>
      <c r="T30" s="154"/>
      <c r="U30" s="154"/>
      <c r="V30" s="154"/>
      <c r="W30" s="154"/>
      <c r="X30" s="154"/>
      <c r="Y30" s="154"/>
      <c r="Z30" s="154"/>
      <c r="AA30" s="154"/>
      <c r="AB30" s="154"/>
      <c r="AC30" s="138"/>
      <c r="AD30" s="31"/>
      <c r="AE30" s="145"/>
    </row>
    <row r="31" spans="2:31">
      <c r="B31" s="20" t="s">
        <v>307</v>
      </c>
      <c r="C31" s="141"/>
      <c r="D31" s="141"/>
      <c r="E31" s="146"/>
      <c r="F31" s="146"/>
      <c r="G31" s="146">
        <v>4553</v>
      </c>
      <c r="H31" s="146">
        <v>7083</v>
      </c>
      <c r="I31" s="146">
        <v>11197</v>
      </c>
      <c r="J31" s="146">
        <v>17540</v>
      </c>
      <c r="K31" s="146">
        <v>26436</v>
      </c>
      <c r="L31" s="146">
        <v>28345</v>
      </c>
      <c r="M31" s="146">
        <v>29053</v>
      </c>
      <c r="N31" s="146">
        <v>31966</v>
      </c>
      <c r="O31" s="146">
        <v>29041</v>
      </c>
      <c r="P31" s="146">
        <v>29319</v>
      </c>
      <c r="Q31" s="118">
        <f>((P31/G31)^(1/($H$2-$H$1) ))-1</f>
        <v>0.22990732835038763</v>
      </c>
      <c r="R31" s="31">
        <v>0.1</v>
      </c>
      <c r="S31" s="154">
        <f t="shared" si="71"/>
        <v>32250.9</v>
      </c>
      <c r="T31" s="154">
        <f t="shared" si="72"/>
        <v>35475.990000000005</v>
      </c>
      <c r="U31" s="154">
        <f t="shared" si="73"/>
        <v>39023.589000000007</v>
      </c>
      <c r="V31" s="154">
        <f t="shared" si="74"/>
        <v>42925.947900000014</v>
      </c>
      <c r="W31" s="154">
        <f t="shared" si="75"/>
        <v>47218.542690000017</v>
      </c>
      <c r="X31" s="154">
        <f t="shared" si="76"/>
        <v>51940.39695900002</v>
      </c>
      <c r="Y31" s="154">
        <f t="shared" si="77"/>
        <v>57134.436654900026</v>
      </c>
      <c r="Z31" s="154">
        <f t="shared" si="78"/>
        <v>62847.880320390032</v>
      </c>
      <c r="AA31" s="154">
        <f t="shared" si="79"/>
        <v>69132.668352429042</v>
      </c>
      <c r="AB31" s="154">
        <f t="shared" si="80"/>
        <v>76045.935187671959</v>
      </c>
      <c r="AC31" s="138">
        <f t="shared" si="81"/>
        <v>0.15972963639532223</v>
      </c>
      <c r="AD31" s="31">
        <v>0.05</v>
      </c>
      <c r="AE31" s="145">
        <f>(AB31*(1+AC31))/($C$1-AD31)</f>
        <v>518780.73390906496</v>
      </c>
    </row>
    <row r="32" spans="2:31">
      <c r="B32" s="20"/>
      <c r="C32" s="141"/>
      <c r="D32" s="141"/>
      <c r="E32" s="146"/>
      <c r="F32" s="146"/>
      <c r="G32" s="148">
        <f>(G31-F31)/G31</f>
        <v>1</v>
      </c>
      <c r="H32" s="148">
        <f>(H31-G31)/H31</f>
        <v>0.35719327968374981</v>
      </c>
      <c r="I32" s="148">
        <f t="shared" ref="I32" si="136">(I31-H31)/I31</f>
        <v>0.36741984460123245</v>
      </c>
      <c r="J32" s="148">
        <f t="shared" ref="J32" si="137">(J31-I31)/J31</f>
        <v>0.36163055872291905</v>
      </c>
      <c r="K32" s="148">
        <f t="shared" ref="K32" si="138">(K31-J31)/K31</f>
        <v>0.33651081858072324</v>
      </c>
      <c r="L32" s="148">
        <f t="shared" ref="L32" si="139">(L31-K31)/L31</f>
        <v>6.7348738754630447E-2</v>
      </c>
      <c r="M32" s="148">
        <f t="shared" ref="M32" si="140">(M31-L31)/M31</f>
        <v>2.4369256186968644E-2</v>
      </c>
      <c r="N32" s="148">
        <f t="shared" ref="N32" si="141">(N31-M31)/N31</f>
        <v>9.1128073578176816E-2</v>
      </c>
      <c r="O32" s="148">
        <f t="shared" ref="O32" si="142">(O31-N31)/O31</f>
        <v>-0.10071967218759685</v>
      </c>
      <c r="P32" s="148">
        <f t="shared" ref="P32" si="143">(P31-O31)/P31</f>
        <v>9.4819059313073425E-3</v>
      </c>
      <c r="Q32" s="3"/>
      <c r="R32" s="3"/>
      <c r="S32" s="154"/>
      <c r="T32" s="154"/>
      <c r="U32" s="154"/>
      <c r="V32" s="154"/>
      <c r="W32" s="154"/>
      <c r="X32" s="154"/>
      <c r="Y32" s="154"/>
      <c r="Z32" s="154"/>
      <c r="AA32" s="154"/>
      <c r="AB32" s="154"/>
      <c r="AC32" s="138"/>
      <c r="AD32" s="31"/>
      <c r="AE32" s="145"/>
    </row>
    <row r="33" spans="2:31">
      <c r="B33" s="20" t="s">
        <v>324</v>
      </c>
      <c r="C33" s="141"/>
      <c r="D33" s="141"/>
      <c r="E33" s="146"/>
      <c r="F33" s="146"/>
      <c r="G33" s="146">
        <v>13905</v>
      </c>
      <c r="H33" s="146">
        <v>16916</v>
      </c>
      <c r="I33" s="146">
        <v>25811</v>
      </c>
      <c r="J33" s="146">
        <v>41542</v>
      </c>
      <c r="K33" s="146">
        <v>60531</v>
      </c>
      <c r="L33" s="146">
        <v>64596</v>
      </c>
      <c r="M33" s="146">
        <v>59207</v>
      </c>
      <c r="N33" s="146">
        <v>62047</v>
      </c>
      <c r="O33" s="146">
        <v>67035</v>
      </c>
      <c r="P33" s="146">
        <v>74204</v>
      </c>
      <c r="Q33" s="118">
        <f>((P33/G33)^(1/($H$2-$H$1) ))-1</f>
        <v>0.20449848523983305</v>
      </c>
      <c r="R33" s="31">
        <v>0.1</v>
      </c>
      <c r="S33" s="154">
        <f t="shared" si="39"/>
        <v>81624.400000000009</v>
      </c>
      <c r="T33" s="154">
        <f t="shared" si="40"/>
        <v>89786.840000000011</v>
      </c>
      <c r="U33" s="154">
        <f t="shared" si="41"/>
        <v>98765.524000000019</v>
      </c>
      <c r="V33" s="154">
        <f t="shared" si="42"/>
        <v>108642.07640000003</v>
      </c>
      <c r="W33" s="154">
        <f t="shared" si="43"/>
        <v>119506.28404000004</v>
      </c>
      <c r="X33" s="154">
        <f t="shared" si="44"/>
        <v>131456.91244400005</v>
      </c>
      <c r="Y33" s="154">
        <f t="shared" si="45"/>
        <v>144602.60368840006</v>
      </c>
      <c r="Z33" s="154">
        <f t="shared" si="46"/>
        <v>159062.86405724008</v>
      </c>
      <c r="AA33" s="154">
        <f t="shared" si="47"/>
        <v>174969.15046296408</v>
      </c>
      <c r="AB33" s="154">
        <f t="shared" si="48"/>
        <v>192466.06550926052</v>
      </c>
      <c r="AC33" s="138">
        <f t="shared" si="17"/>
        <v>0.14831826411259574</v>
      </c>
      <c r="AD33" s="31">
        <v>0.08</v>
      </c>
      <c r="AE33" s="145">
        <f>(AB33*(1+AC33))/($C$1-AD33)</f>
        <v>1578659.2731869654</v>
      </c>
    </row>
    <row r="34" spans="2:31" s="123" customFormat="1">
      <c r="B34" s="23"/>
      <c r="C34" s="149"/>
      <c r="D34" s="149"/>
      <c r="E34" s="150"/>
      <c r="F34" s="150"/>
      <c r="G34" s="148">
        <f>(G33-F33)/G33</f>
        <v>1</v>
      </c>
      <c r="H34" s="148">
        <f>(H33-G33)/H33</f>
        <v>0.17799716244975172</v>
      </c>
      <c r="I34" s="148">
        <f t="shared" ref="I34" si="144">(I33-H33)/I33</f>
        <v>0.3446205106350006</v>
      </c>
      <c r="J34" s="148">
        <f t="shared" ref="J34" si="145">(J33-I33)/J33</f>
        <v>0.37867700158875356</v>
      </c>
      <c r="K34" s="148">
        <f t="shared" ref="K34" si="146">(K33-J33)/K33</f>
        <v>0.31370702615188911</v>
      </c>
      <c r="L34" s="148">
        <f t="shared" ref="L34" si="147">(L33-K33)/L33</f>
        <v>6.292959316366338E-2</v>
      </c>
      <c r="M34" s="148">
        <f t="shared" ref="M34" si="148">(M33-L33)/M33</f>
        <v>-9.1019642947624435E-2</v>
      </c>
      <c r="N34" s="148">
        <f t="shared" ref="N34" si="149">(N33-M33)/N33</f>
        <v>4.5771753670604542E-2</v>
      </c>
      <c r="O34" s="148">
        <f t="shared" ref="O34" si="150">(O33-N33)/O33</f>
        <v>7.4408890877899606E-2</v>
      </c>
      <c r="P34" s="148">
        <f t="shared" ref="P34" si="151">(P33-O33)/P33</f>
        <v>9.661204247749447E-2</v>
      </c>
      <c r="Q34" s="3"/>
      <c r="R34" s="3"/>
      <c r="S34" s="155"/>
      <c r="T34" s="155"/>
      <c r="U34" s="155"/>
      <c r="V34" s="155"/>
      <c r="W34" s="155"/>
      <c r="X34" s="155"/>
      <c r="Y34" s="155"/>
      <c r="Z34" s="155"/>
      <c r="AA34" s="155"/>
      <c r="AB34" s="155"/>
      <c r="AC34" s="119"/>
      <c r="AD34" s="119"/>
      <c r="AE34" s="154"/>
    </row>
    <row r="35" spans="2:31">
      <c r="B35" s="20" t="s">
        <v>254</v>
      </c>
      <c r="C35" s="141"/>
      <c r="D35" s="141"/>
      <c r="E35" s="146"/>
      <c r="F35" s="146"/>
      <c r="G35" s="146">
        <v>12326</v>
      </c>
      <c r="H35" s="146">
        <v>15106</v>
      </c>
      <c r="I35" s="146">
        <v>23412</v>
      </c>
      <c r="J35" s="146">
        <v>38909</v>
      </c>
      <c r="K35" s="146">
        <v>57416</v>
      </c>
      <c r="L35" s="146">
        <v>61216</v>
      </c>
      <c r="M35" s="146">
        <v>54364</v>
      </c>
      <c r="N35" s="146">
        <v>55729</v>
      </c>
      <c r="O35" s="146">
        <v>59098</v>
      </c>
      <c r="P35" s="146">
        <v>64073</v>
      </c>
      <c r="Q35" s="118">
        <f>((P35/G35)^(1/($H$2-$H$1) ))-1</f>
        <v>0.20098950035951568</v>
      </c>
      <c r="R35" s="31">
        <v>0.1</v>
      </c>
      <c r="S35" s="154">
        <f t="shared" si="39"/>
        <v>70480.3</v>
      </c>
      <c r="T35" s="154">
        <f t="shared" si="40"/>
        <v>77528.330000000016</v>
      </c>
      <c r="U35" s="154">
        <f t="shared" si="41"/>
        <v>85281.16300000003</v>
      </c>
      <c r="V35" s="154">
        <f t="shared" si="42"/>
        <v>93809.279300000038</v>
      </c>
      <c r="W35" s="154">
        <f t="shared" si="43"/>
        <v>103190.20723000004</v>
      </c>
      <c r="X35" s="154">
        <f t="shared" si="44"/>
        <v>113509.22795300005</v>
      </c>
      <c r="Y35" s="154">
        <f t="shared" si="45"/>
        <v>124860.15074830006</v>
      </c>
      <c r="Z35" s="154">
        <f t="shared" si="46"/>
        <v>137346.16582313008</v>
      </c>
      <c r="AA35" s="154">
        <f t="shared" si="47"/>
        <v>151080.78240544311</v>
      </c>
      <c r="AB35" s="154">
        <f t="shared" si="48"/>
        <v>166188.86064598744</v>
      </c>
      <c r="AC35" s="138">
        <f t="shared" si="17"/>
        <v>0.14673242277706744</v>
      </c>
      <c r="AD35" s="31">
        <v>0.08</v>
      </c>
      <c r="AE35" s="145">
        <f>(AB35*(1+AC35))/($C$1-AD35)</f>
        <v>1361243.9629080973</v>
      </c>
    </row>
    <row r="36" spans="2:31" s="123" customFormat="1">
      <c r="B36" s="23"/>
      <c r="C36" s="149"/>
      <c r="D36" s="149"/>
      <c r="E36" s="150"/>
      <c r="F36" s="150"/>
      <c r="G36" s="148">
        <f>(G35-F35)/G35</f>
        <v>1</v>
      </c>
      <c r="H36" s="148">
        <f>(H35-G35)/H35</f>
        <v>0.18403283463524428</v>
      </c>
      <c r="I36" s="148">
        <f t="shared" ref="I36" si="152">(I35-H35)/I35</f>
        <v>0.35477532889116692</v>
      </c>
      <c r="J36" s="148">
        <f t="shared" ref="J36" si="153">(J35-I35)/J35</f>
        <v>0.39828831375774243</v>
      </c>
      <c r="K36" s="148">
        <f t="shared" ref="K36" si="154">(K35-J35)/K35</f>
        <v>0.32233175421485299</v>
      </c>
      <c r="L36" s="148">
        <f t="shared" ref="L36" si="155">(L35-K35)/L35</f>
        <v>6.2075274438055411E-2</v>
      </c>
      <c r="M36" s="148">
        <f t="shared" ref="M36" si="156">(M35-L35)/M35</f>
        <v>-0.12603929070708558</v>
      </c>
      <c r="N36" s="148">
        <f t="shared" ref="N36" si="157">(N35-M35)/N35</f>
        <v>2.4493531195607314E-2</v>
      </c>
      <c r="O36" s="148">
        <f t="shared" ref="O36" si="158">(O35-N35)/O35</f>
        <v>5.700700531320857E-2</v>
      </c>
      <c r="P36" s="148">
        <f t="shared" ref="P36" si="159">(P35-O35)/P35</f>
        <v>7.7645810247686228E-2</v>
      </c>
      <c r="Q36" s="3"/>
      <c r="R36" s="3"/>
      <c r="S36" s="155"/>
      <c r="T36" s="155"/>
      <c r="U36" s="155"/>
      <c r="V36" s="155"/>
      <c r="W36" s="155"/>
      <c r="X36" s="155"/>
      <c r="Y36" s="155"/>
      <c r="Z36" s="155"/>
      <c r="AA36" s="155"/>
      <c r="AB36" s="155"/>
      <c r="AC36" s="119"/>
      <c r="AD36" s="119"/>
      <c r="AE36" s="154"/>
    </row>
    <row r="37" spans="2:31" s="123" customFormat="1">
      <c r="B37" s="20" t="s">
        <v>320</v>
      </c>
      <c r="C37" s="149"/>
      <c r="D37" s="149"/>
      <c r="E37" s="150"/>
      <c r="F37" s="146"/>
      <c r="G37" s="165"/>
      <c r="H37" s="165"/>
      <c r="I37" s="165"/>
      <c r="J37" s="165"/>
      <c r="K37" s="165"/>
      <c r="L37" s="165"/>
      <c r="M37" s="165"/>
      <c r="N37" s="165"/>
      <c r="O37" s="165"/>
      <c r="P37" s="165"/>
      <c r="Q37" s="118" t="e">
        <f>((P37/G37)^(1/($H$2-$H$1) ))-1</f>
        <v>#DIV/0!</v>
      </c>
      <c r="R37" s="31">
        <v>0.1</v>
      </c>
      <c r="S37" s="155"/>
      <c r="T37" s="155"/>
      <c r="U37" s="155"/>
      <c r="V37" s="155"/>
      <c r="W37" s="155"/>
      <c r="X37" s="155"/>
      <c r="Y37" s="155"/>
      <c r="Z37" s="155"/>
      <c r="AA37" s="155"/>
      <c r="AB37" s="155"/>
      <c r="AC37" s="161"/>
      <c r="AD37" s="119"/>
      <c r="AE37" s="154"/>
    </row>
    <row r="38" spans="2:31" s="123" customFormat="1">
      <c r="B38" s="20" t="s">
        <v>321</v>
      </c>
      <c r="C38" s="149"/>
      <c r="D38" s="149"/>
      <c r="E38" s="150"/>
      <c r="F38" s="146"/>
      <c r="G38" s="165"/>
      <c r="H38" s="165"/>
      <c r="I38" s="165"/>
      <c r="J38" s="165"/>
      <c r="K38" s="165"/>
      <c r="L38" s="165"/>
      <c r="M38" s="165"/>
      <c r="N38" s="165"/>
      <c r="O38" s="165"/>
      <c r="P38" s="165"/>
      <c r="Q38" s="118" t="e">
        <f>((P38/G38)^(1/($H$2-$H$1) ))-1</f>
        <v>#DIV/0!</v>
      </c>
      <c r="R38" s="31">
        <v>0.1</v>
      </c>
      <c r="S38" s="155"/>
      <c r="T38" s="155"/>
      <c r="U38" s="155"/>
      <c r="V38" s="155"/>
      <c r="W38" s="155"/>
      <c r="X38" s="155"/>
      <c r="Y38" s="155"/>
      <c r="Z38" s="155"/>
      <c r="AA38" s="155"/>
      <c r="AB38" s="155"/>
      <c r="AC38" s="161"/>
      <c r="AD38" s="119"/>
      <c r="AE38" s="154"/>
    </row>
    <row r="39" spans="2:31" s="123" customFormat="1">
      <c r="B39" s="20" t="s">
        <v>322</v>
      </c>
      <c r="C39" s="149"/>
      <c r="D39" s="149"/>
      <c r="E39" s="150"/>
      <c r="F39" s="146"/>
      <c r="G39" s="165"/>
      <c r="H39" s="165"/>
      <c r="I39" s="165"/>
      <c r="J39" s="165"/>
      <c r="K39" s="165"/>
      <c r="L39" s="165"/>
      <c r="M39" s="165"/>
      <c r="N39" s="165"/>
      <c r="O39" s="165"/>
      <c r="P39" s="165"/>
      <c r="Q39" s="118" t="e">
        <f>((P39/G39)^(1/($H$2-$H$1) ))-1</f>
        <v>#DIV/0!</v>
      </c>
      <c r="R39" s="31">
        <v>0.1</v>
      </c>
      <c r="S39" s="155"/>
      <c r="T39" s="155"/>
      <c r="U39" s="155"/>
      <c r="V39" s="155"/>
      <c r="W39" s="155"/>
      <c r="X39" s="155"/>
      <c r="Y39" s="155"/>
      <c r="Z39" s="155"/>
      <c r="AA39" s="155"/>
      <c r="AB39" s="155"/>
      <c r="AC39" s="161"/>
      <c r="AD39" s="119"/>
      <c r="AE39" s="154"/>
    </row>
    <row r="40" spans="2:31">
      <c r="B40" s="20" t="s">
        <v>298</v>
      </c>
      <c r="C40" s="141"/>
      <c r="D40" s="141"/>
      <c r="E40" s="146"/>
      <c r="F40" s="146"/>
      <c r="G40" s="165"/>
      <c r="H40" s="165"/>
      <c r="I40" s="165"/>
      <c r="J40" s="165"/>
      <c r="K40" s="165"/>
      <c r="L40" s="165"/>
      <c r="M40" s="165"/>
      <c r="N40" s="165"/>
      <c r="O40" s="165"/>
      <c r="P40" s="165"/>
      <c r="Q40" s="118" t="e">
        <f>((P40/G40)^(1/($H$2-$H$1) ))-1</f>
        <v>#DIV/0!</v>
      </c>
      <c r="R40" s="31">
        <v>0.1</v>
      </c>
      <c r="S40" s="154">
        <f t="shared" si="39"/>
        <v>0</v>
      </c>
      <c r="T40" s="154" t="e">
        <f t="shared" ref="T40" si="160">Q40*(1+$R40)</f>
        <v>#DIV/0!</v>
      </c>
      <c r="U40" s="154">
        <f t="shared" ref="U40" si="161">R40*(1+$R40)</f>
        <v>0.11000000000000001</v>
      </c>
      <c r="V40" s="154">
        <f t="shared" ref="V40" si="162">S40*(1+$R40)</f>
        <v>0</v>
      </c>
      <c r="W40" s="154" t="e">
        <f t="shared" ref="W40" si="163">T40*(1+$R40)</f>
        <v>#DIV/0!</v>
      </c>
      <c r="X40" s="154">
        <f t="shared" ref="X40" si="164">U40*(1+$R40)</f>
        <v>0.12100000000000002</v>
      </c>
      <c r="Y40" s="154">
        <f t="shared" ref="Y40" si="165">V40*(1+$R40)</f>
        <v>0</v>
      </c>
      <c r="Z40" s="154" t="e">
        <f t="shared" ref="Z40" si="166">W40*(1+$R40)</f>
        <v>#DIV/0!</v>
      </c>
      <c r="AA40" s="154">
        <f t="shared" ref="AA40" si="167">X40*(1+$R40)</f>
        <v>0.13310000000000002</v>
      </c>
      <c r="AB40" s="154">
        <f t="shared" ref="AB40" si="168">Y40*(1+$R40)</f>
        <v>0</v>
      </c>
      <c r="AC40" s="138" t="e">
        <f t="shared" ref="AC40" si="169">((AB40/G40)^(1/($AB$3-$H$1) ))-1</f>
        <v>#DIV/0!</v>
      </c>
      <c r="AD40" s="31">
        <v>0.08</v>
      </c>
      <c r="AE40" s="145" t="e">
        <f>(AB40*(1+AC40))/($C$1-AD40)</f>
        <v>#DIV/0!</v>
      </c>
    </row>
    <row r="41" spans="2:31">
      <c r="B41" s="20"/>
      <c r="C41" s="141"/>
      <c r="D41" s="141"/>
      <c r="E41" s="146"/>
      <c r="F41" s="146"/>
      <c r="G41" s="148" t="e">
        <f>(G40-F40)/G40</f>
        <v>#DIV/0!</v>
      </c>
      <c r="H41" s="148" t="e">
        <f>(H40-G40)/H40</f>
        <v>#DIV/0!</v>
      </c>
      <c r="I41" s="148" t="e">
        <f t="shared" ref="I41" si="170">(I40-H40)/I40</f>
        <v>#DIV/0!</v>
      </c>
      <c r="J41" s="148" t="e">
        <f t="shared" ref="J41" si="171">(J40-I40)/J40</f>
        <v>#DIV/0!</v>
      </c>
      <c r="K41" s="148" t="e">
        <f t="shared" ref="K41" si="172">(K40-J40)/K40</f>
        <v>#DIV/0!</v>
      </c>
      <c r="L41" s="148" t="e">
        <f t="shared" ref="L41" si="173">(L40-K40)/L40</f>
        <v>#DIV/0!</v>
      </c>
      <c r="M41" s="148" t="e">
        <f t="shared" ref="M41" si="174">(M40-L40)/M40</f>
        <v>#DIV/0!</v>
      </c>
      <c r="N41" s="148" t="e">
        <f t="shared" ref="N41" si="175">(N40-M40)/N40</f>
        <v>#DIV/0!</v>
      </c>
      <c r="O41" s="148" t="e">
        <f t="shared" ref="O41" si="176">(O40-N40)/O40</f>
        <v>#DIV/0!</v>
      </c>
      <c r="P41" s="148" t="e">
        <f t="shared" ref="P41" si="177">(P40-O40)/P40</f>
        <v>#DIV/0!</v>
      </c>
      <c r="Q41" s="3"/>
      <c r="R41" s="3"/>
      <c r="S41" s="154"/>
      <c r="T41" s="154"/>
      <c r="U41" s="154"/>
      <c r="V41" s="154"/>
      <c r="W41" s="154"/>
      <c r="X41" s="154"/>
      <c r="Y41" s="154"/>
      <c r="Z41" s="154"/>
      <c r="AA41" s="154"/>
      <c r="AB41" s="154"/>
      <c r="AC41" s="138"/>
      <c r="AD41" s="31"/>
      <c r="AE41" s="145"/>
    </row>
    <row r="42" spans="2:31">
      <c r="B42" s="20" t="s">
        <v>323</v>
      </c>
      <c r="C42" s="141"/>
      <c r="D42" s="141"/>
      <c r="E42" s="146"/>
      <c r="F42" s="146"/>
      <c r="G42" s="165"/>
      <c r="H42" s="165"/>
      <c r="I42" s="165"/>
      <c r="J42" s="165"/>
      <c r="K42" s="165"/>
      <c r="L42" s="165"/>
      <c r="M42" s="165"/>
      <c r="N42" s="165"/>
      <c r="O42" s="165">
        <v>0.38</v>
      </c>
      <c r="P42" s="165">
        <v>0.27</v>
      </c>
      <c r="Q42" s="118" t="e">
        <f>((P42/G42)^(1/($H$2-$H$1) ))-1</f>
        <v>#DIV/0!</v>
      </c>
      <c r="R42" s="31">
        <v>0.1</v>
      </c>
      <c r="S42" s="154"/>
      <c r="T42" s="154"/>
      <c r="U42" s="154"/>
      <c r="V42" s="154"/>
      <c r="W42" s="154"/>
      <c r="X42" s="154"/>
      <c r="Y42" s="154"/>
      <c r="Z42" s="154"/>
      <c r="AA42" s="154"/>
      <c r="AB42" s="154"/>
      <c r="AC42" s="138"/>
      <c r="AD42" s="31"/>
      <c r="AE42" s="145"/>
    </row>
    <row r="43" spans="2:31">
      <c r="B43" s="20" t="s">
        <v>325</v>
      </c>
      <c r="C43" s="141"/>
      <c r="D43" s="141"/>
      <c r="E43" s="146"/>
      <c r="F43" s="146"/>
      <c r="G43" s="165"/>
      <c r="H43" s="165"/>
      <c r="I43" s="165"/>
      <c r="J43" s="165"/>
      <c r="K43" s="165"/>
      <c r="L43" s="165"/>
      <c r="M43" s="165"/>
      <c r="N43" s="165"/>
      <c r="O43" s="165">
        <v>0.28999999999999998</v>
      </c>
      <c r="P43" s="165">
        <v>0.32500000000000001</v>
      </c>
      <c r="Q43" s="118" t="e">
        <f>((P43/G43)^(1/($H$2-$H$1) ))-1</f>
        <v>#DIV/0!</v>
      </c>
      <c r="R43" s="31">
        <v>0.1</v>
      </c>
      <c r="S43" s="154"/>
      <c r="T43" s="154"/>
      <c r="U43" s="154"/>
      <c r="V43" s="154"/>
      <c r="W43" s="154"/>
      <c r="X43" s="154"/>
      <c r="Y43" s="154"/>
      <c r="Z43" s="154"/>
      <c r="AA43" s="154"/>
      <c r="AB43" s="154"/>
      <c r="AC43" s="138"/>
      <c r="AD43" s="31"/>
      <c r="AE43" s="145"/>
    </row>
    <row r="44" spans="2:31">
      <c r="B44" s="20" t="s">
        <v>326</v>
      </c>
      <c r="C44" s="141"/>
      <c r="D44" s="141"/>
      <c r="E44" s="146"/>
      <c r="F44" s="146"/>
      <c r="G44" s="165"/>
      <c r="H44" s="165"/>
      <c r="I44" s="165"/>
      <c r="J44" s="165"/>
      <c r="K44" s="165"/>
      <c r="L44" s="165"/>
      <c r="M44" s="165"/>
      <c r="N44" s="165"/>
      <c r="O44" s="165">
        <v>0.27</v>
      </c>
      <c r="P44" s="165">
        <v>0.253</v>
      </c>
      <c r="Q44" s="118" t="e">
        <f>((P44/G44)^(1/($H$2-$H$1) ))-1</f>
        <v>#DIV/0!</v>
      </c>
      <c r="R44" s="31">
        <v>0.1</v>
      </c>
      <c r="S44" s="154"/>
      <c r="T44" s="154"/>
      <c r="U44" s="154"/>
      <c r="V44" s="154"/>
      <c r="W44" s="154"/>
      <c r="X44" s="154"/>
      <c r="Y44" s="154"/>
      <c r="Z44" s="154"/>
      <c r="AA44" s="154"/>
      <c r="AB44" s="154"/>
      <c r="AC44" s="138"/>
      <c r="AD44" s="31"/>
      <c r="AE44" s="145"/>
    </row>
    <row r="45" spans="2:31">
      <c r="B45" s="20" t="s">
        <v>327</v>
      </c>
      <c r="C45" s="141"/>
      <c r="D45" s="141"/>
      <c r="E45" s="146"/>
      <c r="F45" s="146"/>
      <c r="G45" s="165"/>
      <c r="H45" s="165"/>
      <c r="I45" s="165"/>
      <c r="J45" s="165"/>
      <c r="K45" s="165"/>
      <c r="L45" s="165"/>
      <c r="M45" s="165"/>
      <c r="N45" s="165"/>
      <c r="O45" s="165">
        <v>0.06</v>
      </c>
      <c r="P45" s="165">
        <v>5.1999999999999998E-2</v>
      </c>
      <c r="Q45" s="118" t="e">
        <f>((P45/G45)^(1/($H$2-$H$1) ))-1</f>
        <v>#DIV/0!</v>
      </c>
      <c r="R45" s="31">
        <v>0.1</v>
      </c>
      <c r="S45" s="154"/>
      <c r="T45" s="154"/>
      <c r="U45" s="154"/>
      <c r="V45" s="154"/>
      <c r="W45" s="154"/>
      <c r="X45" s="154"/>
      <c r="Y45" s="154"/>
      <c r="Z45" s="154"/>
      <c r="AA45" s="154"/>
      <c r="AB45" s="154"/>
      <c r="AC45" s="138"/>
      <c r="AD45" s="31"/>
      <c r="AE45" s="145"/>
    </row>
    <row r="46" spans="2:31">
      <c r="B46" s="20"/>
      <c r="C46" s="141"/>
      <c r="D46" s="141"/>
      <c r="E46" s="146"/>
      <c r="F46" s="146"/>
      <c r="G46" s="148"/>
      <c r="H46" s="148"/>
      <c r="I46" s="148"/>
      <c r="J46" s="148"/>
      <c r="K46" s="148"/>
      <c r="L46" s="148"/>
      <c r="M46" s="148"/>
      <c r="N46" s="148"/>
      <c r="O46" s="148"/>
      <c r="P46" s="148"/>
      <c r="Q46" s="3"/>
      <c r="R46" s="3"/>
      <c r="S46" s="154"/>
      <c r="T46" s="154"/>
      <c r="U46" s="154"/>
      <c r="V46" s="154"/>
      <c r="W46" s="154"/>
      <c r="X46" s="154"/>
      <c r="Y46" s="154"/>
      <c r="Z46" s="154"/>
      <c r="AA46" s="154"/>
      <c r="AB46" s="154"/>
      <c r="AC46" s="138"/>
      <c r="AD46" s="31"/>
      <c r="AE46" s="145"/>
    </row>
    <row r="47" spans="2:31">
      <c r="B47" s="20" t="s">
        <v>264</v>
      </c>
      <c r="C47" s="141"/>
      <c r="D47" s="141"/>
      <c r="E47" s="146"/>
      <c r="F47" s="146">
        <v>1</v>
      </c>
      <c r="G47" s="146">
        <v>1</v>
      </c>
      <c r="H47" s="146">
        <v>1</v>
      </c>
      <c r="I47" s="146">
        <v>1</v>
      </c>
      <c r="J47" s="146">
        <v>1</v>
      </c>
      <c r="K47" s="146">
        <v>11</v>
      </c>
      <c r="L47" s="146">
        <v>1</v>
      </c>
      <c r="M47" s="146">
        <v>1</v>
      </c>
      <c r="N47" s="146">
        <v>1</v>
      </c>
      <c r="O47" s="146">
        <v>1</v>
      </c>
      <c r="P47" s="146">
        <v>848</v>
      </c>
      <c r="Q47" s="118">
        <f>((P47/G47)^(1/($H$2-$H$1) ))-1</f>
        <v>1.1153260461061913</v>
      </c>
      <c r="R47" s="31">
        <v>0.1</v>
      </c>
      <c r="S47" s="154">
        <f t="shared" ref="S47" si="178">P47*(1+$R47)</f>
        <v>932.80000000000007</v>
      </c>
      <c r="T47" s="154">
        <f t="shared" ref="T47" si="179">S47*(1+$R47)</f>
        <v>1026.0800000000002</v>
      </c>
      <c r="U47" s="154">
        <f t="shared" ref="U47" si="180">T47*(1+$R47)</f>
        <v>1128.6880000000003</v>
      </c>
      <c r="V47" s="154">
        <f t="shared" ref="V47" si="181">U47*(1+$R47)</f>
        <v>1241.5568000000005</v>
      </c>
      <c r="W47" s="154">
        <f t="shared" si="43"/>
        <v>1365.7124800000006</v>
      </c>
      <c r="X47" s="154">
        <f t="shared" si="44"/>
        <v>1502.2837280000008</v>
      </c>
      <c r="Y47" s="154">
        <f t="shared" si="45"/>
        <v>1652.512100800001</v>
      </c>
      <c r="Z47" s="154">
        <f t="shared" si="46"/>
        <v>1817.7633108800012</v>
      </c>
      <c r="AA47" s="154">
        <f t="shared" si="47"/>
        <v>1999.5396419680014</v>
      </c>
      <c r="AB47" s="154">
        <f t="shared" si="48"/>
        <v>2199.4936061648018</v>
      </c>
      <c r="AC47" s="138">
        <f t="shared" si="17"/>
        <v>0.49938002656135572</v>
      </c>
      <c r="AD47" s="31">
        <v>0.08</v>
      </c>
      <c r="AE47" s="145">
        <f>(AB47*(1+AC47))/($C$1-AD47)</f>
        <v>23556.262725949375</v>
      </c>
    </row>
    <row r="48" spans="2:31" s="123" customFormat="1">
      <c r="B48" s="23"/>
      <c r="C48" s="149"/>
      <c r="D48" s="149"/>
      <c r="E48" s="150"/>
      <c r="F48" s="150"/>
      <c r="G48" s="148">
        <f>(G47-F47)/G47</f>
        <v>0</v>
      </c>
      <c r="H48" s="148">
        <f>(H47-G47)/H47</f>
        <v>0</v>
      </c>
      <c r="I48" s="148">
        <f t="shared" ref="I48" si="182">(I47-H47)/I47</f>
        <v>0</v>
      </c>
      <c r="J48" s="148">
        <f t="shared" ref="J48" si="183">(J47-I47)/J47</f>
        <v>0</v>
      </c>
      <c r="K48" s="148">
        <f t="shared" ref="K48" si="184">(K47-J47)/K47</f>
        <v>0.90909090909090906</v>
      </c>
      <c r="L48" s="148">
        <f t="shared" ref="L48" si="185">(L47-K47)/L47</f>
        <v>-10</v>
      </c>
      <c r="M48" s="148">
        <f t="shared" ref="M48" si="186">(M47-L47)/M47</f>
        <v>0</v>
      </c>
      <c r="N48" s="148">
        <f t="shared" ref="N48" si="187">(N47-M47)/N47</f>
        <v>0</v>
      </c>
      <c r="O48" s="148">
        <f t="shared" ref="O48" si="188">(O47-N47)/O47</f>
        <v>0</v>
      </c>
      <c r="P48" s="148">
        <f t="shared" ref="P48" si="189">(P47-O47)/P47</f>
        <v>0.99882075471698117</v>
      </c>
      <c r="Q48" s="3"/>
      <c r="R48" s="3"/>
      <c r="S48" s="155"/>
      <c r="T48" s="155"/>
      <c r="U48" s="155"/>
      <c r="V48" s="155"/>
      <c r="W48" s="155"/>
      <c r="X48" s="155"/>
      <c r="Y48" s="155"/>
      <c r="Z48" s="155"/>
      <c r="AA48" s="155"/>
      <c r="AB48" s="155"/>
      <c r="AC48" s="139"/>
      <c r="AD48" s="20"/>
      <c r="AE48" s="156"/>
    </row>
    <row r="49" spans="2:31">
      <c r="B49" s="20" t="s">
        <v>251</v>
      </c>
      <c r="C49" s="141"/>
      <c r="D49" s="141"/>
      <c r="E49" s="146"/>
      <c r="F49" s="146">
        <v>1400</v>
      </c>
      <c r="G49" s="146">
        <v>1580</v>
      </c>
      <c r="H49" s="146">
        <v>1776</v>
      </c>
      <c r="I49" s="146">
        <v>2308</v>
      </c>
      <c r="J49" s="146">
        <v>2389</v>
      </c>
      <c r="K49" s="146">
        <v>3107</v>
      </c>
      <c r="L49" s="146">
        <v>3928</v>
      </c>
      <c r="M49" s="146">
        <v>5380</v>
      </c>
      <c r="N49" s="146">
        <v>8004</v>
      </c>
      <c r="O49" s="146">
        <v>11944</v>
      </c>
      <c r="P49" s="146">
        <v>16934</v>
      </c>
      <c r="Q49" s="118">
        <f>((P49/G49)^(1/($H$2-$H$1) ))-1</f>
        <v>0.30153493549222321</v>
      </c>
      <c r="R49" s="31">
        <v>0.1</v>
      </c>
      <c r="S49" s="154">
        <f>P49*(1+$R49)</f>
        <v>18627.400000000001</v>
      </c>
      <c r="T49" s="154">
        <f t="shared" ref="T49:AB49" si="190">S49*(1+$R49)</f>
        <v>20490.140000000003</v>
      </c>
      <c r="U49" s="154">
        <f t="shared" si="190"/>
        <v>22539.154000000006</v>
      </c>
      <c r="V49" s="154">
        <f t="shared" si="190"/>
        <v>24793.069400000008</v>
      </c>
      <c r="W49" s="154">
        <f t="shared" si="190"/>
        <v>27272.37634000001</v>
      </c>
      <c r="X49" s="154">
        <f t="shared" si="190"/>
        <v>29999.613974000014</v>
      </c>
      <c r="Y49" s="154">
        <f t="shared" si="190"/>
        <v>32999.575371400017</v>
      </c>
      <c r="Z49" s="154">
        <f t="shared" si="190"/>
        <v>36299.532908540023</v>
      </c>
      <c r="AA49" s="154">
        <f t="shared" si="190"/>
        <v>39929.486199394029</v>
      </c>
      <c r="AB49" s="154">
        <f t="shared" si="190"/>
        <v>43922.434819333437</v>
      </c>
      <c r="AC49" s="138">
        <f t="shared" si="17"/>
        <v>0.1912462408275386</v>
      </c>
      <c r="AD49" s="31">
        <v>0.08</v>
      </c>
      <c r="AE49" s="145">
        <f>(AB49*(1+AC49))/($C$1-AD49)</f>
        <v>373731.68118945387</v>
      </c>
    </row>
    <row r="50" spans="2:31" s="123" customFormat="1">
      <c r="B50" s="23"/>
      <c r="C50" s="149"/>
      <c r="D50" s="149"/>
      <c r="E50" s="150"/>
      <c r="F50" s="150"/>
      <c r="G50" s="148">
        <f>(G49-F49)/G49</f>
        <v>0.11392405063291139</v>
      </c>
      <c r="H50" s="148">
        <f>(H49-G49)/H49</f>
        <v>0.11036036036036036</v>
      </c>
      <c r="I50" s="148">
        <f t="shared" ref="I50" si="191">(I49-H49)/I49</f>
        <v>0.23050259965337955</v>
      </c>
      <c r="J50" s="148">
        <f t="shared" ref="J50" si="192">(J49-I49)/J49</f>
        <v>3.3905399748848888E-2</v>
      </c>
      <c r="K50" s="148">
        <f t="shared" ref="K50" si="193">(K49-J49)/K49</f>
        <v>0.23109108464757</v>
      </c>
      <c r="L50" s="148">
        <f t="shared" ref="L50" si="194">(L49-K49)/L49</f>
        <v>0.2090122199592668</v>
      </c>
      <c r="M50" s="148">
        <f t="shared" ref="M50" si="195">(M49-L49)/M49</f>
        <v>0.26988847583643122</v>
      </c>
      <c r="N50" s="148">
        <f t="shared" ref="N50" si="196">(N49-M49)/N49</f>
        <v>0.32783608195902048</v>
      </c>
      <c r="O50" s="148">
        <f t="shared" ref="O50" si="197">(O49-N49)/O49</f>
        <v>0.32987273945077028</v>
      </c>
      <c r="P50" s="148">
        <f t="shared" ref="P50" si="198">(P49-O49)/P49</f>
        <v>0.29467343805361995</v>
      </c>
      <c r="Q50" s="3"/>
      <c r="R50" s="3"/>
      <c r="S50" s="155"/>
      <c r="T50" s="155"/>
      <c r="U50" s="155"/>
      <c r="V50" s="155"/>
      <c r="W50" s="155"/>
      <c r="X50" s="155"/>
      <c r="Y50" s="155"/>
      <c r="Z50" s="155"/>
      <c r="AA50" s="155"/>
      <c r="AB50" s="155"/>
      <c r="AC50" s="139"/>
      <c r="AD50" s="20"/>
      <c r="AE50" s="156"/>
    </row>
    <row r="51" spans="2:31" s="123" customFormat="1">
      <c r="B51" s="20" t="s">
        <v>308</v>
      </c>
      <c r="C51" s="149"/>
      <c r="D51" s="149"/>
      <c r="E51" s="150"/>
      <c r="F51" s="164">
        <v>0</v>
      </c>
      <c r="G51" s="164">
        <v>0</v>
      </c>
      <c r="H51" s="164">
        <v>0</v>
      </c>
      <c r="I51" s="164">
        <v>0</v>
      </c>
      <c r="J51" s="164">
        <v>0</v>
      </c>
      <c r="K51" s="164">
        <v>0</v>
      </c>
      <c r="L51" s="164">
        <v>0</v>
      </c>
      <c r="M51" s="164">
        <v>0</v>
      </c>
      <c r="N51" s="164">
        <v>0</v>
      </c>
      <c r="O51" s="164">
        <v>0</v>
      </c>
      <c r="P51" s="164">
        <v>0</v>
      </c>
      <c r="Q51" s="118" t="e">
        <f>((P51/G51)^(1/($H$2-$H$1) ))-1</f>
        <v>#DIV/0!</v>
      </c>
      <c r="R51" s="31">
        <v>0.01</v>
      </c>
      <c r="S51" s="154">
        <f t="shared" ref="S51" si="199">P51*(1+$R51)</f>
        <v>0</v>
      </c>
      <c r="T51" s="154">
        <f t="shared" ref="T51" si="200">S51*(1+$R51)</f>
        <v>0</v>
      </c>
      <c r="U51" s="154">
        <f t="shared" ref="U51" si="201">T51*(1+$R51)</f>
        <v>0</v>
      </c>
      <c r="V51" s="154">
        <f t="shared" ref="V51" si="202">U51*(1+$R51)</f>
        <v>0</v>
      </c>
      <c r="W51" s="154">
        <f t="shared" ref="W51" si="203">V51*(1+$R51)</f>
        <v>0</v>
      </c>
      <c r="X51" s="154">
        <f t="shared" ref="X51" si="204">W51*(1+$R51)</f>
        <v>0</v>
      </c>
      <c r="Y51" s="154">
        <f t="shared" ref="Y51" si="205">X51*(1+$R51)</f>
        <v>0</v>
      </c>
      <c r="Z51" s="154">
        <f t="shared" ref="Z51" si="206">Y51*(1+$R51)</f>
        <v>0</v>
      </c>
      <c r="AA51" s="154">
        <f t="shared" ref="AA51" si="207">Z51*(1+$R51)</f>
        <v>0</v>
      </c>
      <c r="AB51" s="154">
        <f t="shared" ref="AB51" si="208">AA51*(1+$R51)</f>
        <v>0</v>
      </c>
      <c r="AC51" s="138" t="e">
        <f t="shared" ref="AC51" si="209">((AB51/G51)^(1/($AB$3-$H$1) ))-1</f>
        <v>#DIV/0!</v>
      </c>
      <c r="AD51" s="31">
        <v>0.08</v>
      </c>
      <c r="AE51" s="145" t="e">
        <f>(AB51*(1+AC51))/($C$1-AD51)</f>
        <v>#DIV/0!</v>
      </c>
    </row>
    <row r="52" spans="2:31">
      <c r="B52" s="20" t="s">
        <v>239</v>
      </c>
      <c r="C52" s="146">
        <v>0.6</v>
      </c>
      <c r="D52" s="146">
        <v>0.6</v>
      </c>
      <c r="E52" s="146">
        <v>0.6</v>
      </c>
      <c r="F52" s="164">
        <v>61.3</v>
      </c>
      <c r="G52" s="164">
        <v>61.3</v>
      </c>
      <c r="H52" s="164">
        <v>61.6</v>
      </c>
      <c r="I52" s="164">
        <v>88.9</v>
      </c>
      <c r="J52" s="164">
        <v>89.9</v>
      </c>
      <c r="K52" s="164">
        <v>111.2</v>
      </c>
      <c r="L52" s="164">
        <v>111.2</v>
      </c>
      <c r="M52" s="164">
        <v>111.2</v>
      </c>
      <c r="N52" s="164">
        <v>115.1</v>
      </c>
      <c r="O52" s="164">
        <v>115.2</v>
      </c>
      <c r="P52" s="164">
        <v>115.3</v>
      </c>
      <c r="Q52" s="118">
        <f>((P52/G52)^(1/($H$2-$H$1) ))-1</f>
        <v>7.2717648770732612E-2</v>
      </c>
      <c r="R52" s="31">
        <v>0.05</v>
      </c>
      <c r="S52" s="154">
        <f t="shared" ref="S52" si="210">P52*(1+$R52)</f>
        <v>121.065</v>
      </c>
      <c r="T52" s="154">
        <f t="shared" ref="T52:AB52" si="211">S52*(1+$R52)</f>
        <v>127.11825</v>
      </c>
      <c r="U52" s="154">
        <f t="shared" si="211"/>
        <v>133.47416250000001</v>
      </c>
      <c r="V52" s="154">
        <f t="shared" si="211"/>
        <v>140.14787062500002</v>
      </c>
      <c r="W52" s="154">
        <f t="shared" si="211"/>
        <v>147.15526415625004</v>
      </c>
      <c r="X52" s="154">
        <f t="shared" si="211"/>
        <v>154.51302736406254</v>
      </c>
      <c r="Y52" s="154">
        <f t="shared" si="211"/>
        <v>162.23867873226567</v>
      </c>
      <c r="Z52" s="154">
        <f t="shared" si="211"/>
        <v>170.35061266887897</v>
      </c>
      <c r="AA52" s="154">
        <f t="shared" si="211"/>
        <v>178.86814330232292</v>
      </c>
      <c r="AB52" s="154">
        <f t="shared" si="211"/>
        <v>187.81155046743908</v>
      </c>
      <c r="AC52" s="138">
        <f t="shared" si="17"/>
        <v>6.0700387600545858E-2</v>
      </c>
      <c r="AD52" s="31">
        <v>0.08</v>
      </c>
      <c r="AE52" s="145">
        <f>(AB52*(1+AC52))/($C$1-AD52)</f>
        <v>1422.9413169762292</v>
      </c>
    </row>
    <row r="53" spans="2:31">
      <c r="B53" s="20" t="s">
        <v>299</v>
      </c>
      <c r="C53" s="146">
        <v>1</v>
      </c>
      <c r="D53" s="146">
        <v>1</v>
      </c>
      <c r="E53" s="146">
        <v>1</v>
      </c>
      <c r="F53" s="146">
        <v>1</v>
      </c>
      <c r="G53" s="146">
        <v>5000</v>
      </c>
      <c r="H53" s="146">
        <v>10000</v>
      </c>
      <c r="I53" s="146">
        <v>10000</v>
      </c>
      <c r="J53" s="146">
        <v>10000</v>
      </c>
      <c r="K53" s="146">
        <v>10000</v>
      </c>
      <c r="L53" s="146">
        <v>10000</v>
      </c>
      <c r="M53" s="146">
        <v>10000</v>
      </c>
      <c r="N53" s="146">
        <v>10000</v>
      </c>
      <c r="O53" s="146">
        <v>10000</v>
      </c>
      <c r="P53" s="146">
        <v>10000</v>
      </c>
      <c r="Q53" s="118">
        <f>((P53/G53)^(1/($H$2-$H$1) ))-1</f>
        <v>8.0059738892306109E-2</v>
      </c>
      <c r="R53" s="31">
        <v>0.1</v>
      </c>
      <c r="S53" s="154">
        <f t="shared" ref="S53" si="212">P53*(1+$R53)</f>
        <v>11000</v>
      </c>
      <c r="T53" s="154">
        <f t="shared" ref="T53" si="213">S53*(1+$R53)</f>
        <v>12100.000000000002</v>
      </c>
      <c r="U53" s="154">
        <f t="shared" ref="U53" si="214">T53*(1+$R53)</f>
        <v>13310.000000000004</v>
      </c>
      <c r="V53" s="154">
        <f t="shared" ref="V53" si="215">U53*(1+$R53)</f>
        <v>14641.000000000005</v>
      </c>
      <c r="W53" s="154">
        <f t="shared" ref="W53" si="216">V53*(1+$R53)</f>
        <v>16105.100000000008</v>
      </c>
      <c r="X53" s="154">
        <f t="shared" ref="X53" si="217">W53*(1+$R53)</f>
        <v>17715.610000000011</v>
      </c>
      <c r="Y53" s="154">
        <f t="shared" ref="Y53" si="218">X53*(1+$R53)</f>
        <v>19487.171000000013</v>
      </c>
      <c r="Z53" s="154">
        <f t="shared" ref="Z53" si="219">Y53*(1+$R53)</f>
        <v>21435.888100000015</v>
      </c>
      <c r="AA53" s="154">
        <f t="shared" ref="AA53" si="220">Z53*(1+$R53)</f>
        <v>23579.476910000019</v>
      </c>
      <c r="AB53" s="154">
        <f t="shared" ref="AB53" si="221">AA53*(1+$R53)</f>
        <v>25937.424601000024</v>
      </c>
      <c r="AC53" s="138">
        <f t="shared" ref="AC53" si="222">((AB53/G53)^(1/($AB$3-$H$1) ))-1</f>
        <v>9.0509134529536572E-2</v>
      </c>
      <c r="AD53" s="31">
        <v>0.08</v>
      </c>
      <c r="AE53" s="145">
        <f>(AB53*(1+AC53))/($C$1-AD53)</f>
        <v>202035.70323972602</v>
      </c>
    </row>
    <row r="54" spans="2:31">
      <c r="B54" s="20" t="s">
        <v>267</v>
      </c>
      <c r="C54" s="143">
        <v>1</v>
      </c>
      <c r="D54" s="143">
        <v>1</v>
      </c>
      <c r="E54" s="143">
        <v>1</v>
      </c>
      <c r="F54" s="144">
        <v>7</v>
      </c>
      <c r="G54" s="144">
        <v>7.5</v>
      </c>
      <c r="H54" s="144">
        <v>8.5</v>
      </c>
      <c r="I54" s="144">
        <v>8.5</v>
      </c>
      <c r="J54" s="144">
        <v>10</v>
      </c>
      <c r="K54" s="144">
        <v>11</v>
      </c>
      <c r="L54" s="144">
        <v>11</v>
      </c>
      <c r="M54" s="144">
        <v>12</v>
      </c>
      <c r="N54" s="144">
        <v>14</v>
      </c>
      <c r="O54" s="144">
        <v>16.5</v>
      </c>
      <c r="P54" s="144">
        <v>20</v>
      </c>
      <c r="Q54" s="118">
        <f>((P54/G54)^(1/($H$2-$H$1) ))-1</f>
        <v>0.11514119380738741</v>
      </c>
      <c r="R54" s="31">
        <v>0.1</v>
      </c>
      <c r="S54" s="154">
        <f t="shared" ref="S54" si="223">P54*(1+$R54)</f>
        <v>22</v>
      </c>
      <c r="T54" s="154">
        <f t="shared" ref="T54" si="224">S54*(1+$R54)</f>
        <v>24.200000000000003</v>
      </c>
      <c r="U54" s="154">
        <f t="shared" ref="U54" si="225">T54*(1+$R54)</f>
        <v>26.620000000000005</v>
      </c>
      <c r="V54" s="154">
        <f t="shared" ref="V54" si="226">U54*(1+$R54)</f>
        <v>29.282000000000007</v>
      </c>
      <c r="W54" s="154">
        <f t="shared" ref="W54" si="227">V54*(1+$R54)</f>
        <v>32.210200000000007</v>
      </c>
      <c r="X54" s="154">
        <f t="shared" ref="X54" si="228">W54*(1+$R54)</f>
        <v>35.43122000000001</v>
      </c>
      <c r="Y54" s="154">
        <f t="shared" ref="Y54" si="229">X54*(1+$R54)</f>
        <v>38.974342000000014</v>
      </c>
      <c r="Z54" s="154">
        <f t="shared" ref="Z54" si="230">Y54*(1+$R54)</f>
        <v>42.871776200000021</v>
      </c>
      <c r="AA54" s="154">
        <f t="shared" ref="AA54" si="231">Z54*(1+$R54)</f>
        <v>47.158953820000029</v>
      </c>
      <c r="AB54" s="154">
        <f t="shared" ref="AB54" si="232">AA54*(1+$R54)</f>
        <v>51.874849202000036</v>
      </c>
      <c r="AC54" s="138">
        <f t="shared" ref="AC54" si="233">((AB54/G54)^(1/($AB$3-$H$1) ))-1</f>
        <v>0.1071463451824648</v>
      </c>
      <c r="AD54" s="31">
        <v>0.04</v>
      </c>
      <c r="AE54" s="145">
        <f>(AB54*(1+AC54))/($C$1-AD54)</f>
        <v>319.07249833825466</v>
      </c>
    </row>
    <row r="55" spans="2:31">
      <c r="B55" s="20"/>
      <c r="C55" s="20"/>
      <c r="D55" s="20"/>
      <c r="E55" s="127"/>
      <c r="F55" s="127"/>
      <c r="G55" s="127"/>
      <c r="H55" s="20"/>
      <c r="I55" s="20"/>
      <c r="J55" s="20"/>
      <c r="K55" s="20"/>
      <c r="L55" s="20"/>
      <c r="M55" s="20"/>
      <c r="N55" s="20"/>
      <c r="O55" s="20"/>
      <c r="P55" s="20"/>
      <c r="Q55" s="128"/>
      <c r="R55" s="128"/>
      <c r="S55" s="154"/>
      <c r="T55" s="154"/>
      <c r="U55" s="154"/>
      <c r="V55" s="154"/>
      <c r="W55" s="154"/>
      <c r="X55" s="154"/>
      <c r="Y55" s="154"/>
      <c r="Z55" s="154"/>
      <c r="AA55" s="154"/>
      <c r="AB55" s="154"/>
      <c r="AC55" s="139"/>
      <c r="AD55" s="20"/>
      <c r="AE55" s="154"/>
    </row>
    <row r="56" spans="2:31">
      <c r="B56" s="108" t="s">
        <v>243</v>
      </c>
      <c r="C56" s="20"/>
      <c r="D56" s="20"/>
      <c r="E56" s="127"/>
      <c r="F56" s="127"/>
      <c r="G56" s="127"/>
      <c r="H56" s="20"/>
      <c r="I56" s="20"/>
      <c r="J56" s="20"/>
      <c r="K56" s="20"/>
      <c r="L56" s="20"/>
      <c r="M56" s="20"/>
      <c r="N56" s="20"/>
      <c r="O56" s="20"/>
      <c r="P56" s="20"/>
      <c r="Q56" s="128"/>
      <c r="R56" s="128"/>
      <c r="S56" s="154"/>
      <c r="T56" s="154"/>
      <c r="U56" s="154"/>
      <c r="V56" s="154"/>
      <c r="W56" s="154"/>
      <c r="X56" s="154"/>
      <c r="Y56" s="154"/>
      <c r="Z56" s="154"/>
      <c r="AA56" s="154"/>
      <c r="AB56" s="154"/>
      <c r="AC56" s="139"/>
      <c r="AD56" s="20"/>
      <c r="AE56" s="154"/>
    </row>
    <row r="57" spans="2:31">
      <c r="B57" s="20" t="s">
        <v>285</v>
      </c>
      <c r="C57" s="133">
        <f t="shared" ref="C57:P57" si="234">C33/C52</f>
        <v>0</v>
      </c>
      <c r="D57" s="133">
        <f t="shared" si="234"/>
        <v>0</v>
      </c>
      <c r="E57" s="133">
        <f t="shared" si="234"/>
        <v>0</v>
      </c>
      <c r="F57" s="133">
        <f t="shared" si="234"/>
        <v>0</v>
      </c>
      <c r="G57" s="133">
        <f t="shared" si="234"/>
        <v>226.8352365415987</v>
      </c>
      <c r="H57" s="133">
        <f t="shared" si="234"/>
        <v>274.61038961038963</v>
      </c>
      <c r="I57" s="133">
        <f t="shared" si="234"/>
        <v>290.33745781777276</v>
      </c>
      <c r="J57" s="133">
        <f t="shared" si="234"/>
        <v>462.09121245828698</v>
      </c>
      <c r="K57" s="133">
        <f t="shared" si="234"/>
        <v>544.3435251798561</v>
      </c>
      <c r="L57" s="133">
        <f t="shared" si="234"/>
        <v>580.89928057553959</v>
      </c>
      <c r="M57" s="133">
        <f t="shared" si="234"/>
        <v>532.4370503597122</v>
      </c>
      <c r="N57" s="133">
        <f t="shared" si="234"/>
        <v>539.07037358818422</v>
      </c>
      <c r="O57" s="133">
        <f t="shared" si="234"/>
        <v>581.90104166666663</v>
      </c>
      <c r="P57" s="133">
        <f t="shared" si="234"/>
        <v>643.57328707719</v>
      </c>
      <c r="Q57" s="118">
        <f>((P57/G57)^(1/($H$2-$H$1) ))-1</f>
        <v>0.12284764459698505</v>
      </c>
      <c r="R57" s="128"/>
      <c r="S57" s="158">
        <f t="shared" ref="S57:AB57" si="235">S33/S52</f>
        <v>674.21963408086572</v>
      </c>
      <c r="T57" s="158">
        <f t="shared" si="235"/>
        <v>706.32533094185931</v>
      </c>
      <c r="U57" s="158">
        <f t="shared" si="235"/>
        <v>739.95987051051929</v>
      </c>
      <c r="V57" s="158">
        <f t="shared" si="235"/>
        <v>775.19605482054408</v>
      </c>
      <c r="W57" s="158">
        <f t="shared" si="235"/>
        <v>812.11015266914137</v>
      </c>
      <c r="X57" s="158">
        <f t="shared" si="235"/>
        <v>850.7820647010052</v>
      </c>
      <c r="Y57" s="158">
        <f t="shared" si="235"/>
        <v>891.29549635343415</v>
      </c>
      <c r="Z57" s="158">
        <f t="shared" si="235"/>
        <v>933.73813903693099</v>
      </c>
      <c r="AA57" s="158">
        <f t="shared" si="235"/>
        <v>978.20185994345138</v>
      </c>
      <c r="AB57" s="158">
        <f t="shared" si="235"/>
        <v>1024.7829008931396</v>
      </c>
      <c r="AC57" s="138">
        <f t="shared" ref="AC57" si="236">((AB57/G57)^(1/($AB$3-$H$1) ))-1</f>
        <v>8.2603794187587454E-2</v>
      </c>
      <c r="AD57" s="31">
        <v>0.08</v>
      </c>
      <c r="AE57" s="145">
        <f>(AB57*(1+AC57))/($C$1-AD57)</f>
        <v>7924.5275480391092</v>
      </c>
    </row>
    <row r="58" spans="2:31">
      <c r="B58" s="20" t="s">
        <v>286</v>
      </c>
      <c r="C58" s="133">
        <f t="shared" ref="C58:P58" si="237">C35/C52</f>
        <v>0</v>
      </c>
      <c r="D58" s="133">
        <f t="shared" si="237"/>
        <v>0</v>
      </c>
      <c r="E58" s="133">
        <f t="shared" si="237"/>
        <v>0</v>
      </c>
      <c r="F58" s="133">
        <f t="shared" si="237"/>
        <v>0</v>
      </c>
      <c r="G58" s="133">
        <f t="shared" si="237"/>
        <v>201.07667210440457</v>
      </c>
      <c r="H58" s="133">
        <f t="shared" si="237"/>
        <v>245.22727272727272</v>
      </c>
      <c r="I58" s="133">
        <f t="shared" si="237"/>
        <v>263.35208098987624</v>
      </c>
      <c r="J58" s="133">
        <f t="shared" si="237"/>
        <v>432.80311457174633</v>
      </c>
      <c r="K58" s="133">
        <f t="shared" si="237"/>
        <v>516.33093525179856</v>
      </c>
      <c r="L58" s="133">
        <f t="shared" si="237"/>
        <v>550.50359712230215</v>
      </c>
      <c r="M58" s="133">
        <f t="shared" si="237"/>
        <v>488.88489208633092</v>
      </c>
      <c r="N58" s="133">
        <f t="shared" si="237"/>
        <v>484.17897480451785</v>
      </c>
      <c r="O58" s="133">
        <f t="shared" si="237"/>
        <v>513.00347222222217</v>
      </c>
      <c r="P58" s="133">
        <f t="shared" si="237"/>
        <v>555.70685169124022</v>
      </c>
      <c r="Q58" s="118">
        <f>((P58/G58)^(1/($H$2-$H$1) ))-1</f>
        <v>0.119576527649913</v>
      </c>
      <c r="R58" s="128"/>
      <c r="S58" s="158">
        <f t="shared" ref="S58:AB58" si="238">S35/S52</f>
        <v>582.16908272415651</v>
      </c>
      <c r="T58" s="158">
        <f t="shared" si="238"/>
        <v>609.89141999673541</v>
      </c>
      <c r="U58" s="158">
        <f t="shared" si="238"/>
        <v>638.93386856800862</v>
      </c>
      <c r="V58" s="158">
        <f t="shared" si="238"/>
        <v>669.35929088077091</v>
      </c>
      <c r="W58" s="158">
        <f t="shared" si="238"/>
        <v>701.23354282747425</v>
      </c>
      <c r="X58" s="158">
        <f t="shared" si="238"/>
        <v>734.62561629544928</v>
      </c>
      <c r="Y58" s="158">
        <f t="shared" si="238"/>
        <v>769.6077884999944</v>
      </c>
      <c r="Z58" s="158">
        <f t="shared" si="238"/>
        <v>806.25577842856558</v>
      </c>
      <c r="AA58" s="158">
        <f t="shared" si="238"/>
        <v>844.64891073468789</v>
      </c>
      <c r="AB58" s="158">
        <f t="shared" si="238"/>
        <v>884.87028743633971</v>
      </c>
      <c r="AC58" s="138">
        <f t="shared" ref="AC58" si="239">((AB58/G58)^(1/($AB$3-$H$1) ))-1</f>
        <v>8.1108705325485975E-2</v>
      </c>
      <c r="AD58" s="31">
        <v>0.08</v>
      </c>
      <c r="AE58" s="145">
        <f>(AB58*(1+AC58))/($C$1-AD58)</f>
        <v>6833.1497916520839</v>
      </c>
    </row>
    <row r="59" spans="2:31">
      <c r="B59" s="20"/>
      <c r="C59" s="133"/>
      <c r="D59" s="133"/>
      <c r="E59" s="133"/>
      <c r="F59" s="133"/>
      <c r="G59" s="133"/>
      <c r="H59" s="133"/>
      <c r="I59" s="133"/>
      <c r="J59" s="133"/>
      <c r="K59" s="133"/>
      <c r="L59" s="133"/>
      <c r="M59" s="133"/>
      <c r="N59" s="133"/>
      <c r="O59" s="133"/>
      <c r="P59" s="133"/>
      <c r="Q59" s="128"/>
      <c r="R59" s="128"/>
      <c r="S59" s="158"/>
      <c r="T59" s="158"/>
      <c r="U59" s="158"/>
      <c r="V59" s="158"/>
      <c r="W59" s="158"/>
      <c r="X59" s="158"/>
      <c r="Y59" s="158"/>
      <c r="Z59" s="158"/>
      <c r="AA59" s="158"/>
      <c r="AB59" s="158"/>
      <c r="AC59" s="119"/>
      <c r="AD59" s="119"/>
      <c r="AE59" s="145"/>
    </row>
    <row r="60" spans="2:31">
      <c r="B60" s="20" t="s">
        <v>252</v>
      </c>
      <c r="C60" s="25">
        <f t="shared" ref="C60:P60" si="240">C49/C52</f>
        <v>0</v>
      </c>
      <c r="D60" s="25">
        <f t="shared" si="240"/>
        <v>0</v>
      </c>
      <c r="E60" s="25">
        <f t="shared" si="240"/>
        <v>0</v>
      </c>
      <c r="F60" s="133">
        <f t="shared" si="240"/>
        <v>22.838499184339316</v>
      </c>
      <c r="G60" s="133">
        <f t="shared" si="240"/>
        <v>25.774877650897228</v>
      </c>
      <c r="H60" s="133">
        <f t="shared" si="240"/>
        <v>28.831168831168831</v>
      </c>
      <c r="I60" s="133">
        <f t="shared" si="240"/>
        <v>25.961754780652416</v>
      </c>
      <c r="J60" s="133">
        <f t="shared" si="240"/>
        <v>26.573971078976641</v>
      </c>
      <c r="K60" s="133">
        <f t="shared" si="240"/>
        <v>27.940647482014388</v>
      </c>
      <c r="L60" s="133">
        <f t="shared" si="240"/>
        <v>35.323741007194243</v>
      </c>
      <c r="M60" s="133">
        <f t="shared" si="240"/>
        <v>48.381294964028775</v>
      </c>
      <c r="N60" s="133">
        <f t="shared" si="240"/>
        <v>69.539530842745435</v>
      </c>
      <c r="O60" s="133">
        <f t="shared" si="240"/>
        <v>103.68055555555556</v>
      </c>
      <c r="P60" s="133">
        <f t="shared" si="240"/>
        <v>146.86903729401561</v>
      </c>
      <c r="Q60" s="118">
        <f>((P60/G60)^(1/($H$2-$H$1) ))-1</f>
        <v>0.21330616400662472</v>
      </c>
      <c r="R60" s="128"/>
      <c r="S60" s="133">
        <f t="shared" ref="S60:AB60" si="241">S49/S52</f>
        <v>153.86280097468304</v>
      </c>
      <c r="T60" s="133">
        <f t="shared" si="241"/>
        <v>161.18960102109651</v>
      </c>
      <c r="U60" s="133">
        <f t="shared" si="241"/>
        <v>168.86529630781541</v>
      </c>
      <c r="V60" s="133">
        <f t="shared" si="241"/>
        <v>176.90650089390184</v>
      </c>
      <c r="W60" s="133">
        <f t="shared" si="241"/>
        <v>185.33061998408763</v>
      </c>
      <c r="X60" s="133">
        <f t="shared" si="241"/>
        <v>194.15588760237756</v>
      </c>
      <c r="Y60" s="133">
        <f t="shared" si="241"/>
        <v>203.40140605963364</v>
      </c>
      <c r="Z60" s="133">
        <f t="shared" si="241"/>
        <v>213.08718730056859</v>
      </c>
      <c r="AA60" s="133">
        <f t="shared" si="241"/>
        <v>223.23419621964328</v>
      </c>
      <c r="AB60" s="133">
        <f t="shared" si="241"/>
        <v>233.86439603962631</v>
      </c>
      <c r="AC60" s="138">
        <f t="shared" ref="AC60:AC73" si="242">((AB60/G60)^(1/($AB$3-$H$1) ))-1</f>
        <v>0.12307514426605026</v>
      </c>
      <c r="AD60" s="31">
        <v>0.08</v>
      </c>
      <c r="AE60" s="145">
        <f>(AB60*(1+AC60))/($C$1-AD60)</f>
        <v>1876.0520737206859</v>
      </c>
    </row>
    <row r="61" spans="2:31">
      <c r="B61" s="20" t="s">
        <v>245</v>
      </c>
      <c r="C61" s="25">
        <f t="shared" ref="C61:P61" si="243">C7/C52</f>
        <v>0</v>
      </c>
      <c r="D61" s="25">
        <f t="shared" si="243"/>
        <v>0</v>
      </c>
      <c r="E61" s="25">
        <f t="shared" si="243"/>
        <v>0</v>
      </c>
      <c r="F61" s="133">
        <f t="shared" si="243"/>
        <v>0</v>
      </c>
      <c r="G61" s="133">
        <f t="shared" si="243"/>
        <v>132.21859706362153</v>
      </c>
      <c r="H61" s="133">
        <f t="shared" si="243"/>
        <v>204.93506493506493</v>
      </c>
      <c r="I61" s="133">
        <f t="shared" si="243"/>
        <v>254.11698537682787</v>
      </c>
      <c r="J61" s="133">
        <f t="shared" si="243"/>
        <v>270.46718576195769</v>
      </c>
      <c r="K61" s="133">
        <f t="shared" si="243"/>
        <v>405.32374100719426</v>
      </c>
      <c r="L61" s="133">
        <f t="shared" si="243"/>
        <v>423.80395683453236</v>
      </c>
      <c r="M61" s="133">
        <f t="shared" si="243"/>
        <v>461.29496402877697</v>
      </c>
      <c r="N61" s="133">
        <f t="shared" si="243"/>
        <v>480.46915725456125</v>
      </c>
      <c r="O61" s="133">
        <f t="shared" si="243"/>
        <v>531.90972222222217</v>
      </c>
      <c r="P61" s="133">
        <f t="shared" si="243"/>
        <v>596.37467476149175</v>
      </c>
      <c r="Q61" s="118">
        <f>((P61/G61)^(1/($H$2-$H$1) ))-1</f>
        <v>0.18220243567291572</v>
      </c>
      <c r="R61" s="128"/>
      <c r="S61" s="133">
        <f t="shared" ref="S61:AB61" si="244">S7/S52</f>
        <v>624.77346879775337</v>
      </c>
      <c r="T61" s="133">
        <f t="shared" si="244"/>
        <v>654.52458635955122</v>
      </c>
      <c r="U61" s="133">
        <f t="shared" si="244"/>
        <v>685.69242380524406</v>
      </c>
      <c r="V61" s="133">
        <f t="shared" si="244"/>
        <v>718.34444398644609</v>
      </c>
      <c r="W61" s="133">
        <f t="shared" si="244"/>
        <v>752.55132227151501</v>
      </c>
      <c r="X61" s="133">
        <f t="shared" si="244"/>
        <v>788.38709952253953</v>
      </c>
      <c r="Y61" s="133">
        <f t="shared" si="244"/>
        <v>825.92934235694622</v>
      </c>
      <c r="Z61" s="133">
        <f t="shared" si="244"/>
        <v>865.25931104061044</v>
      </c>
      <c r="AA61" s="133">
        <f t="shared" si="244"/>
        <v>906.46213537587766</v>
      </c>
      <c r="AB61" s="133">
        <f t="shared" si="244"/>
        <v>949.62699896520519</v>
      </c>
      <c r="AC61" s="138">
        <f t="shared" si="242"/>
        <v>0.10934426511239304</v>
      </c>
      <c r="AD61" s="31">
        <v>0.08</v>
      </c>
      <c r="AE61" s="145">
        <f>(AB61*(1+AC61))/($C$1-AD61)</f>
        <v>7524.7376092710192</v>
      </c>
    </row>
    <row r="62" spans="2:31">
      <c r="B62" s="20" t="s">
        <v>246</v>
      </c>
      <c r="C62" s="127">
        <f t="shared" ref="C62:P62" si="245">C6/C52</f>
        <v>0</v>
      </c>
      <c r="D62" s="127">
        <f t="shared" si="245"/>
        <v>0</v>
      </c>
      <c r="E62" s="127">
        <f t="shared" si="245"/>
        <v>0</v>
      </c>
      <c r="F62" s="142">
        <f t="shared" si="245"/>
        <v>0</v>
      </c>
      <c r="G62" s="142">
        <f t="shared" si="245"/>
        <v>116.46003262642741</v>
      </c>
      <c r="H62" s="142">
        <f t="shared" si="245"/>
        <v>187.28896103896105</v>
      </c>
      <c r="I62" s="142">
        <f t="shared" si="245"/>
        <v>240.16872890888638</v>
      </c>
      <c r="J62" s="142">
        <f t="shared" si="245"/>
        <v>256.56284760845381</v>
      </c>
      <c r="K62" s="142">
        <f t="shared" si="245"/>
        <v>392.16726618705036</v>
      </c>
      <c r="L62" s="142">
        <f t="shared" si="245"/>
        <v>410.64748201438846</v>
      </c>
      <c r="M62" s="142">
        <f t="shared" si="245"/>
        <v>451.26798561151077</v>
      </c>
      <c r="N62" s="142">
        <f t="shared" si="245"/>
        <v>470.46046915725458</v>
      </c>
      <c r="O62" s="142">
        <f t="shared" si="245"/>
        <v>521.88368055555554</v>
      </c>
      <c r="P62" s="142">
        <f t="shared" si="245"/>
        <v>586.33130962705991</v>
      </c>
      <c r="Q62" s="118">
        <f>((P62/G62)^(1/($H$2-$H$1) ))-1</f>
        <v>0.19673017592444753</v>
      </c>
      <c r="R62" s="128"/>
      <c r="S62" s="142">
        <f t="shared" ref="S62:AB62" si="246">S6/S52</f>
        <v>614.25184818072944</v>
      </c>
      <c r="T62" s="142">
        <f t="shared" si="246"/>
        <v>643.50193618933554</v>
      </c>
      <c r="U62" s="142">
        <f t="shared" si="246"/>
        <v>674.14488553168485</v>
      </c>
      <c r="V62" s="142">
        <f t="shared" si="246"/>
        <v>706.24702293795553</v>
      </c>
      <c r="W62" s="142">
        <f t="shared" si="246"/>
        <v>739.87783355404872</v>
      </c>
      <c r="X62" s="142">
        <f t="shared" si="246"/>
        <v>775.11011134233684</v>
      </c>
      <c r="Y62" s="142">
        <f t="shared" si="246"/>
        <v>812.02011664435281</v>
      </c>
      <c r="Z62" s="142">
        <f t="shared" si="246"/>
        <v>850.68774124646495</v>
      </c>
      <c r="AA62" s="142">
        <f t="shared" si="246"/>
        <v>891.19668130582056</v>
      </c>
      <c r="AB62" s="142">
        <f t="shared" si="246"/>
        <v>933.6346185108597</v>
      </c>
      <c r="AC62" s="138">
        <f t="shared" si="242"/>
        <v>0.11578096826915463</v>
      </c>
      <c r="AD62" s="31">
        <v>0.08</v>
      </c>
      <c r="AE62" s="145">
        <f>(AB62*(1+AC62))/($C$1-AD62)</f>
        <v>7440.9409903689257</v>
      </c>
    </row>
    <row r="63" spans="2:31">
      <c r="B63" s="20" t="s">
        <v>309</v>
      </c>
      <c r="C63" s="142">
        <f t="shared" ref="C63:P63" si="247">C10/C52</f>
        <v>0</v>
      </c>
      <c r="D63" s="142">
        <f t="shared" si="247"/>
        <v>0</v>
      </c>
      <c r="E63" s="142">
        <f t="shared" si="247"/>
        <v>0</v>
      </c>
      <c r="F63" s="142">
        <f t="shared" si="247"/>
        <v>0</v>
      </c>
      <c r="G63" s="142">
        <f t="shared" si="247"/>
        <v>57.78140293637847</v>
      </c>
      <c r="H63" s="142">
        <f t="shared" si="247"/>
        <v>117.80844155844156</v>
      </c>
      <c r="I63" s="142">
        <f t="shared" si="247"/>
        <v>104.26321709786276</v>
      </c>
      <c r="J63" s="142">
        <f t="shared" si="247"/>
        <v>227.45272525027806</v>
      </c>
      <c r="K63" s="142">
        <f t="shared" si="247"/>
        <v>139.63129496402877</v>
      </c>
      <c r="L63" s="142">
        <f t="shared" si="247"/>
        <v>154.54136690647482</v>
      </c>
      <c r="M63" s="142">
        <f t="shared" si="247"/>
        <v>173.49820143884892</v>
      </c>
      <c r="N63" s="142">
        <f t="shared" si="247"/>
        <v>157.69765421372719</v>
      </c>
      <c r="O63" s="142">
        <f t="shared" si="247"/>
        <v>177.32638888888889</v>
      </c>
      <c r="P63" s="142">
        <f t="shared" si="247"/>
        <v>260.74588031222896</v>
      </c>
      <c r="Q63" s="118">
        <f>((P63/G63)^(1/($H$2-$H$1) ))-1</f>
        <v>0.18226375307614862</v>
      </c>
      <c r="R63" s="128"/>
      <c r="S63" s="142">
        <f t="shared" ref="S63:AB63" si="248">S10/S52</f>
        <v>273.1623508032875</v>
      </c>
      <c r="T63" s="142">
        <f t="shared" si="248"/>
        <v>286.17008179392025</v>
      </c>
      <c r="U63" s="142">
        <f t="shared" si="248"/>
        <v>299.7972285460117</v>
      </c>
      <c r="V63" s="142">
        <f t="shared" si="248"/>
        <v>314.0732870482027</v>
      </c>
      <c r="W63" s="142">
        <f t="shared" si="248"/>
        <v>329.02915786002188</v>
      </c>
      <c r="X63" s="142">
        <f t="shared" si="248"/>
        <v>344.69721299621347</v>
      </c>
      <c r="Y63" s="142">
        <f t="shared" si="248"/>
        <v>361.11136599603316</v>
      </c>
      <c r="Z63" s="142">
        <f t="shared" si="248"/>
        <v>378.30714532917762</v>
      </c>
      <c r="AA63" s="142">
        <f t="shared" si="248"/>
        <v>396.32177129723368</v>
      </c>
      <c r="AB63" s="142">
        <f t="shared" si="248"/>
        <v>415.19423659710196</v>
      </c>
      <c r="AC63" s="138">
        <f t="shared" si="242"/>
        <v>0.10937151980122195</v>
      </c>
      <c r="AD63" s="31">
        <v>0.08</v>
      </c>
      <c r="AE63" s="145">
        <f>(AB63*(1+AC63))/($C$1-AD63)</f>
        <v>3290.0332947602506</v>
      </c>
    </row>
    <row r="64" spans="2:31">
      <c r="B64" s="20"/>
      <c r="C64" s="127"/>
      <c r="D64" s="127"/>
      <c r="E64" s="127"/>
      <c r="F64" s="142"/>
      <c r="G64" s="142"/>
      <c r="H64" s="142"/>
      <c r="I64" s="142"/>
      <c r="J64" s="142"/>
      <c r="K64" s="142"/>
      <c r="L64" s="142"/>
      <c r="M64" s="142"/>
      <c r="N64" s="142"/>
      <c r="O64" s="142"/>
      <c r="P64" s="142"/>
      <c r="Q64" s="128"/>
      <c r="R64" s="128"/>
      <c r="S64" s="157"/>
      <c r="T64" s="157"/>
      <c r="U64" s="157"/>
      <c r="V64" s="157"/>
      <c r="W64" s="157"/>
      <c r="X64" s="157"/>
      <c r="Y64" s="157"/>
      <c r="Z64" s="157"/>
      <c r="AA64" s="157"/>
      <c r="AB64" s="157"/>
      <c r="AC64" s="139"/>
      <c r="AD64" s="20"/>
      <c r="AE64" s="154"/>
    </row>
    <row r="65" spans="2:31">
      <c r="B65" s="20" t="s">
        <v>310</v>
      </c>
      <c r="C65" s="142">
        <f t="shared" ref="C65:P65" si="249">C23/C52</f>
        <v>0</v>
      </c>
      <c r="D65" s="142">
        <f t="shared" si="249"/>
        <v>0</v>
      </c>
      <c r="E65" s="142">
        <f t="shared" si="249"/>
        <v>0</v>
      </c>
      <c r="F65" s="142">
        <f t="shared" si="249"/>
        <v>0</v>
      </c>
      <c r="G65" s="142">
        <f t="shared" si="249"/>
        <v>1110.5709624796086</v>
      </c>
      <c r="H65" s="142">
        <f t="shared" si="249"/>
        <v>1641.3636363636363</v>
      </c>
      <c r="I65" s="142">
        <f t="shared" si="249"/>
        <v>1939.8200224971877</v>
      </c>
      <c r="J65" s="142">
        <f t="shared" si="249"/>
        <v>2765.4393770856504</v>
      </c>
      <c r="K65" s="142">
        <f t="shared" si="249"/>
        <v>2490.8543165467627</v>
      </c>
      <c r="L65" s="142">
        <f t="shared" si="249"/>
        <v>2354.8111510791368</v>
      </c>
      <c r="M65" s="142">
        <f t="shared" si="249"/>
        <v>2172.4100719424459</v>
      </c>
      <c r="N65" s="142">
        <f t="shared" si="249"/>
        <v>2251.1381407471763</v>
      </c>
      <c r="O65" s="142">
        <f t="shared" si="249"/>
        <v>2447.4826388888887</v>
      </c>
      <c r="P65" s="142">
        <f t="shared" si="249"/>
        <v>2729.8352124891589</v>
      </c>
      <c r="Q65" s="118">
        <f>((P65/G65)^(1/($H$2-$H$1) ))-1</f>
        <v>0.10509318823959135</v>
      </c>
      <c r="R65" s="128"/>
      <c r="S65" s="157">
        <f t="shared" ref="S65:AB65" si="250">S23/S52</f>
        <v>2885.8257960599685</v>
      </c>
      <c r="T65" s="157">
        <f t="shared" si="250"/>
        <v>3050.7301272633954</v>
      </c>
      <c r="U65" s="157">
        <f t="shared" si="250"/>
        <v>3225.0575631070178</v>
      </c>
      <c r="V65" s="157">
        <f t="shared" si="250"/>
        <v>3409.3465667131331</v>
      </c>
      <c r="W65" s="157">
        <f t="shared" si="250"/>
        <v>3604.1663705253118</v>
      </c>
      <c r="X65" s="157">
        <f t="shared" si="250"/>
        <v>3810.1187345553303</v>
      </c>
      <c r="Y65" s="157">
        <f t="shared" si="250"/>
        <v>4027.8398051013496</v>
      </c>
      <c r="Z65" s="157">
        <f t="shared" si="250"/>
        <v>4258.0020796785702</v>
      </c>
      <c r="AA65" s="157">
        <f t="shared" si="250"/>
        <v>4501.3164842316319</v>
      </c>
      <c r="AB65" s="157">
        <f t="shared" si="250"/>
        <v>4758.5345690448676</v>
      </c>
      <c r="AC65" s="138">
        <f t="shared" si="242"/>
        <v>7.9591138931672356E-2</v>
      </c>
      <c r="AD65" s="31">
        <v>0.08</v>
      </c>
      <c r="AE65" s="145">
        <f>(AB65*(1+AC65))/($C$1-AD65)</f>
        <v>36694.79825029202</v>
      </c>
    </row>
    <row r="66" spans="2:31">
      <c r="B66" s="20" t="s">
        <v>311</v>
      </c>
      <c r="C66" s="142">
        <f t="shared" ref="C66:P66" si="251">C29/C52</f>
        <v>0</v>
      </c>
      <c r="D66" s="142">
        <f t="shared" si="251"/>
        <v>0</v>
      </c>
      <c r="E66" s="142">
        <f t="shared" si="251"/>
        <v>0</v>
      </c>
      <c r="F66" s="142">
        <f t="shared" si="251"/>
        <v>0</v>
      </c>
      <c r="G66" s="142">
        <f t="shared" si="251"/>
        <v>1059.4942903752039</v>
      </c>
      <c r="H66" s="142">
        <f t="shared" si="251"/>
        <v>1525.7792207792209</v>
      </c>
      <c r="I66" s="142">
        <f t="shared" si="251"/>
        <v>1722.4634420697412</v>
      </c>
      <c r="J66" s="142">
        <f t="shared" si="251"/>
        <v>2270.8231368186871</v>
      </c>
      <c r="K66" s="142">
        <f t="shared" si="251"/>
        <v>2165.8812949640287</v>
      </c>
      <c r="L66" s="142">
        <f t="shared" si="251"/>
        <v>2393.2553956834531</v>
      </c>
      <c r="M66" s="142">
        <f t="shared" si="251"/>
        <v>2030.3776978417266</v>
      </c>
      <c r="N66" s="142">
        <f t="shared" si="251"/>
        <v>2224.3179843614248</v>
      </c>
      <c r="O66" s="142">
        <f t="shared" si="251"/>
        <v>2535.8072916666665</v>
      </c>
      <c r="P66" s="142">
        <f t="shared" si="251"/>
        <v>2861.8733738074588</v>
      </c>
      <c r="Q66" s="118">
        <f>((P66/G66)^(1/($H$2-$H$1) ))-1</f>
        <v>0.1167351839552575</v>
      </c>
      <c r="R66" s="128"/>
      <c r="S66" s="157">
        <f t="shared" ref="S66:AB66" si="252">S29/S52</f>
        <v>2998.1530582744808</v>
      </c>
      <c r="T66" s="157">
        <f t="shared" si="252"/>
        <v>3140.9222515256465</v>
      </c>
      <c r="U66" s="157">
        <f t="shared" si="252"/>
        <v>3290.4899777887731</v>
      </c>
      <c r="V66" s="157">
        <f t="shared" si="252"/>
        <v>3447.1799767310954</v>
      </c>
      <c r="W66" s="157">
        <f t="shared" si="252"/>
        <v>3611.3314041944809</v>
      </c>
      <c r="X66" s="157">
        <f t="shared" si="252"/>
        <v>3783.2995662989811</v>
      </c>
      <c r="Y66" s="157">
        <f t="shared" si="252"/>
        <v>3963.4566885036947</v>
      </c>
      <c r="Z66" s="157">
        <f t="shared" si="252"/>
        <v>4152.1927212895853</v>
      </c>
      <c r="AA66" s="157">
        <f t="shared" si="252"/>
        <v>4349.9161842081367</v>
      </c>
      <c r="AB66" s="157">
        <f t="shared" si="252"/>
        <v>4557.0550501228099</v>
      </c>
      <c r="AC66" s="138">
        <f t="shared" si="242"/>
        <v>7.9808180685670527E-2</v>
      </c>
      <c r="AD66" s="31">
        <v>0.08</v>
      </c>
      <c r="AE66" s="145">
        <f>(AB66*(1+AC66))/($C$1-AD66)</f>
        <v>35148.180878268271</v>
      </c>
    </row>
    <row r="67" spans="2:31">
      <c r="B67" s="20" t="s">
        <v>312</v>
      </c>
      <c r="C67" s="142">
        <f t="shared" ref="C67:P67" si="253">C31/C52</f>
        <v>0</v>
      </c>
      <c r="D67" s="142">
        <f t="shared" si="253"/>
        <v>0</v>
      </c>
      <c r="E67" s="142">
        <f t="shared" si="253"/>
        <v>0</v>
      </c>
      <c r="F67" s="142">
        <f t="shared" si="253"/>
        <v>0</v>
      </c>
      <c r="G67" s="142">
        <f t="shared" si="253"/>
        <v>74.274061990212076</v>
      </c>
      <c r="H67" s="142">
        <f t="shared" si="253"/>
        <v>114.98376623376623</v>
      </c>
      <c r="I67" s="142">
        <f t="shared" si="253"/>
        <v>125.95050618672666</v>
      </c>
      <c r="J67" s="142">
        <f t="shared" si="253"/>
        <v>195.10567296996661</v>
      </c>
      <c r="K67" s="142">
        <f t="shared" si="253"/>
        <v>237.73381294964028</v>
      </c>
      <c r="L67" s="142">
        <f t="shared" si="253"/>
        <v>254.90107913669064</v>
      </c>
      <c r="M67" s="142">
        <f t="shared" si="253"/>
        <v>261.26798561151077</v>
      </c>
      <c r="N67" s="142">
        <f t="shared" si="253"/>
        <v>277.7237185056473</v>
      </c>
      <c r="O67" s="142">
        <f t="shared" si="253"/>
        <v>252.09201388888889</v>
      </c>
      <c r="P67" s="142">
        <f t="shared" si="253"/>
        <v>254.28447528187337</v>
      </c>
      <c r="Q67" s="118">
        <f>((P67/G67)^(1/($H$2-$H$1) ))-1</f>
        <v>0.14653406677869474</v>
      </c>
      <c r="R67" s="128"/>
      <c r="S67" s="157">
        <f t="shared" ref="S67:AB67" si="254">S31/S52</f>
        <v>266.39325981910548</v>
      </c>
      <c r="T67" s="157">
        <f t="shared" si="254"/>
        <v>279.07865314382479</v>
      </c>
      <c r="U67" s="157">
        <f t="shared" si="254"/>
        <v>292.36811281734026</v>
      </c>
      <c r="V67" s="157">
        <f t="shared" si="254"/>
        <v>306.29040390388025</v>
      </c>
      <c r="W67" s="157">
        <f t="shared" si="254"/>
        <v>320.87566123263645</v>
      </c>
      <c r="X67" s="157">
        <f t="shared" si="254"/>
        <v>336.15545462466679</v>
      </c>
      <c r="Y67" s="157">
        <f t="shared" si="254"/>
        <v>352.16285722584138</v>
      </c>
      <c r="Z67" s="157">
        <f t="shared" si="254"/>
        <v>368.93251709373857</v>
      </c>
      <c r="AA67" s="157">
        <f t="shared" si="254"/>
        <v>386.50073219344046</v>
      </c>
      <c r="AB67" s="157">
        <f t="shared" si="254"/>
        <v>404.90552896455671</v>
      </c>
      <c r="AC67" s="138">
        <f t="shared" si="242"/>
        <v>9.3362131241221169E-2</v>
      </c>
      <c r="AD67" s="31">
        <v>0.08</v>
      </c>
      <c r="AE67" s="145">
        <f>(AB67*(1+AC67))/($C$1-AD67)</f>
        <v>3162.2026578574405</v>
      </c>
    </row>
    <row r="68" spans="2:31">
      <c r="B68" s="20" t="s">
        <v>319</v>
      </c>
      <c r="C68" s="142">
        <f t="shared" ref="C68:E68" si="255">C65-C66</f>
        <v>0</v>
      </c>
      <c r="D68" s="142">
        <f t="shared" si="255"/>
        <v>0</v>
      </c>
      <c r="E68" s="142">
        <f t="shared" si="255"/>
        <v>0</v>
      </c>
      <c r="F68" s="142">
        <f>F65-F66</f>
        <v>0</v>
      </c>
      <c r="G68" s="142">
        <f t="shared" ref="G68:P68" si="256">G65-G66</f>
        <v>51.076672104404679</v>
      </c>
      <c r="H68" s="142">
        <f t="shared" si="256"/>
        <v>115.58441558441541</v>
      </c>
      <c r="I68" s="142">
        <f t="shared" si="256"/>
        <v>217.35658042744649</v>
      </c>
      <c r="J68" s="142">
        <f t="shared" si="256"/>
        <v>494.61624026696336</v>
      </c>
      <c r="K68" s="142">
        <f t="shared" si="256"/>
        <v>324.97302158273396</v>
      </c>
      <c r="L68" s="142">
        <f t="shared" si="256"/>
        <v>-38.444244604316282</v>
      </c>
      <c r="M68" s="142">
        <f t="shared" si="256"/>
        <v>142.03237410071938</v>
      </c>
      <c r="N68" s="142">
        <f t="shared" si="256"/>
        <v>26.820156385751488</v>
      </c>
      <c r="O68" s="142">
        <f t="shared" si="256"/>
        <v>-88.324652777777828</v>
      </c>
      <c r="P68" s="142">
        <f t="shared" si="256"/>
        <v>-132.0381613182999</v>
      </c>
      <c r="Q68" s="118">
        <f>((P68/G68)^(1/($H$2-$H$1) ))-1</f>
        <v>-2.1112985914196911</v>
      </c>
      <c r="R68" s="128"/>
      <c r="S68" s="142">
        <f t="shared" ref="S68:AB68" si="257">S65-S66</f>
        <v>-112.3272622145123</v>
      </c>
      <c r="T68" s="142">
        <f t="shared" si="257"/>
        <v>-90.192124262251127</v>
      </c>
      <c r="U68" s="142">
        <f t="shared" si="257"/>
        <v>-65.43241468175529</v>
      </c>
      <c r="V68" s="142">
        <f t="shared" si="257"/>
        <v>-37.833410017962251</v>
      </c>
      <c r="W68" s="142">
        <f t="shared" si="257"/>
        <v>-7.1650336691691336</v>
      </c>
      <c r="X68" s="142">
        <f t="shared" si="257"/>
        <v>26.819168256349258</v>
      </c>
      <c r="Y68" s="142">
        <f t="shared" si="257"/>
        <v>64.383116597654862</v>
      </c>
      <c r="Z68" s="142">
        <f t="shared" si="257"/>
        <v>105.80935838898495</v>
      </c>
      <c r="AA68" s="142">
        <f t="shared" si="257"/>
        <v>151.40030002349522</v>
      </c>
      <c r="AB68" s="142">
        <f t="shared" si="257"/>
        <v>201.47951892205765</v>
      </c>
      <c r="AC68" s="138">
        <f t="shared" ref="AC68" si="258">((AB68/G68)^(1/($AB$3-$H$1) ))-1</f>
        <v>7.4901969265505963E-2</v>
      </c>
      <c r="AD68" s="31">
        <v>0.08</v>
      </c>
      <c r="AE68" s="145">
        <f>(AB68*(1+AC68))/($C$1-AD68)</f>
        <v>1546.9337975427609</v>
      </c>
    </row>
    <row r="69" spans="2:31">
      <c r="B69" s="20" t="s">
        <v>81</v>
      </c>
      <c r="C69" s="152" t="e">
        <f t="shared" ref="C69:E69" si="259">C66/C65</f>
        <v>#DIV/0!</v>
      </c>
      <c r="D69" s="152" t="e">
        <f t="shared" si="259"/>
        <v>#DIV/0!</v>
      </c>
      <c r="E69" s="152" t="e">
        <f t="shared" si="259"/>
        <v>#DIV/0!</v>
      </c>
      <c r="F69" s="152" t="e">
        <f>F66/F65</f>
        <v>#DIV/0!</v>
      </c>
      <c r="G69" s="152">
        <f t="shared" ref="G69:P69" si="260">G66/G65</f>
        <v>0.95400863715150264</v>
      </c>
      <c r="H69" s="152">
        <f t="shared" si="260"/>
        <v>0.92958025082090445</v>
      </c>
      <c r="I69" s="152">
        <f t="shared" si="260"/>
        <v>0.88795013047260074</v>
      </c>
      <c r="J69" s="152">
        <f t="shared" si="260"/>
        <v>0.82114370527687608</v>
      </c>
      <c r="K69" s="152">
        <f t="shared" si="260"/>
        <v>0.86953350927674256</v>
      </c>
      <c r="L69" s="152">
        <f t="shared" si="260"/>
        <v>1.0163258291802715</v>
      </c>
      <c r="M69" s="152">
        <f t="shared" si="260"/>
        <v>0.93461990628052927</v>
      </c>
      <c r="N69" s="152">
        <f t="shared" si="260"/>
        <v>0.98808595709863922</v>
      </c>
      <c r="O69" s="152">
        <f t="shared" si="260"/>
        <v>1.0360879588579535</v>
      </c>
      <c r="P69" s="152">
        <f t="shared" si="260"/>
        <v>1.0483685464654486</v>
      </c>
      <c r="Q69" s="118">
        <f>((P69/G69)^(1/($H$2-$H$1) ))-1</f>
        <v>1.0534854290624951E-2</v>
      </c>
      <c r="R69" s="128"/>
      <c r="S69" s="142"/>
      <c r="T69" s="142"/>
      <c r="U69" s="142"/>
      <c r="V69" s="142"/>
      <c r="W69" s="142"/>
      <c r="X69" s="142"/>
      <c r="Y69" s="142"/>
      <c r="Z69" s="142"/>
      <c r="AA69" s="142"/>
      <c r="AB69" s="142"/>
      <c r="AC69" s="138"/>
      <c r="AD69" s="31"/>
      <c r="AE69" s="145"/>
    </row>
    <row r="70" spans="2:31">
      <c r="B70" s="20"/>
      <c r="C70" s="127"/>
      <c r="D70" s="127"/>
      <c r="E70" s="127"/>
      <c r="F70" s="142"/>
      <c r="G70" s="142"/>
      <c r="H70" s="142"/>
      <c r="I70" s="142"/>
      <c r="J70" s="142"/>
      <c r="K70" s="142"/>
      <c r="L70" s="142"/>
      <c r="M70" s="142"/>
      <c r="N70" s="142"/>
      <c r="O70" s="142"/>
      <c r="P70" s="142"/>
      <c r="Q70" s="128"/>
      <c r="R70" s="128"/>
      <c r="S70" s="154"/>
      <c r="T70" s="154"/>
      <c r="U70" s="154"/>
      <c r="V70" s="154"/>
      <c r="W70" s="154"/>
      <c r="X70" s="154"/>
      <c r="Y70" s="154"/>
      <c r="Z70" s="154"/>
      <c r="AA70" s="154"/>
      <c r="AB70" s="154"/>
      <c r="AC70" s="139"/>
      <c r="AD70" s="20"/>
      <c r="AE70" s="154"/>
    </row>
    <row r="71" spans="2:31">
      <c r="B71" s="20" t="s">
        <v>316</v>
      </c>
      <c r="C71" s="142">
        <f t="shared" ref="C71:P71" si="261">C33/C53</f>
        <v>0</v>
      </c>
      <c r="D71" s="142">
        <f t="shared" si="261"/>
        <v>0</v>
      </c>
      <c r="E71" s="142">
        <f t="shared" si="261"/>
        <v>0</v>
      </c>
      <c r="F71" s="142">
        <f t="shared" si="261"/>
        <v>0</v>
      </c>
      <c r="G71" s="142">
        <f t="shared" si="261"/>
        <v>2.7810000000000001</v>
      </c>
      <c r="H71" s="142">
        <f t="shared" si="261"/>
        <v>1.6916</v>
      </c>
      <c r="I71" s="142">
        <f t="shared" si="261"/>
        <v>2.5811000000000002</v>
      </c>
      <c r="J71" s="142">
        <f t="shared" si="261"/>
        <v>4.1542000000000003</v>
      </c>
      <c r="K71" s="142">
        <f t="shared" si="261"/>
        <v>6.0530999999999997</v>
      </c>
      <c r="L71" s="142">
        <f t="shared" si="261"/>
        <v>6.4596</v>
      </c>
      <c r="M71" s="142">
        <f t="shared" si="261"/>
        <v>5.9207000000000001</v>
      </c>
      <c r="N71" s="142">
        <f t="shared" si="261"/>
        <v>6.2046999999999999</v>
      </c>
      <c r="O71" s="142">
        <f t="shared" si="261"/>
        <v>6.7035</v>
      </c>
      <c r="P71" s="142">
        <f t="shared" si="261"/>
        <v>7.4203999999999999</v>
      </c>
      <c r="Q71" s="118">
        <f>((P71/G71)^(1/($H$2-$H$1) ))-1</f>
        <v>0.11521468847190741</v>
      </c>
      <c r="R71" s="128"/>
      <c r="S71" s="142">
        <f t="shared" ref="S71:AB71" si="262">S12/S52</f>
        <v>2322.9884772642799</v>
      </c>
      <c r="T71" s="142">
        <f t="shared" si="262"/>
        <v>2433.6069761816266</v>
      </c>
      <c r="U71" s="142">
        <f t="shared" si="262"/>
        <v>2549.493022666466</v>
      </c>
      <c r="V71" s="142">
        <f t="shared" si="262"/>
        <v>2670.8974523172501</v>
      </c>
      <c r="W71" s="142">
        <f t="shared" si="262"/>
        <v>2798.0830452847381</v>
      </c>
      <c r="X71" s="142">
        <f t="shared" si="262"/>
        <v>2931.3250950602019</v>
      </c>
      <c r="Y71" s="142">
        <f t="shared" si="262"/>
        <v>3070.9120043487833</v>
      </c>
      <c r="Z71" s="142">
        <f t="shared" si="262"/>
        <v>3217.1459093177727</v>
      </c>
      <c r="AA71" s="142">
        <f t="shared" si="262"/>
        <v>3370.3433335710001</v>
      </c>
      <c r="AB71" s="142">
        <f t="shared" si="262"/>
        <v>3530.8358732648576</v>
      </c>
      <c r="AC71" s="138">
        <f t="shared" si="242"/>
        <v>0.45663720009991327</v>
      </c>
      <c r="AD71" s="31">
        <v>0.08</v>
      </c>
      <c r="AE71" s="145">
        <f>(AB71*(1+AC71))/($C$1-AD71)</f>
        <v>36736.763431748957</v>
      </c>
    </row>
    <row r="72" spans="2:31">
      <c r="B72" s="20" t="s">
        <v>317</v>
      </c>
      <c r="C72" s="142">
        <f t="shared" ref="C72:P72" si="263">C35/C53</f>
        <v>0</v>
      </c>
      <c r="D72" s="142">
        <f t="shared" si="263"/>
        <v>0</v>
      </c>
      <c r="E72" s="142">
        <f t="shared" si="263"/>
        <v>0</v>
      </c>
      <c r="F72" s="142">
        <f t="shared" si="263"/>
        <v>0</v>
      </c>
      <c r="G72" s="142">
        <f t="shared" si="263"/>
        <v>2.4651999999999998</v>
      </c>
      <c r="H72" s="142">
        <f t="shared" si="263"/>
        <v>1.5105999999999999</v>
      </c>
      <c r="I72" s="142">
        <f t="shared" si="263"/>
        <v>2.3412000000000002</v>
      </c>
      <c r="J72" s="142">
        <f t="shared" si="263"/>
        <v>3.8908999999999998</v>
      </c>
      <c r="K72" s="142">
        <f t="shared" si="263"/>
        <v>5.7416</v>
      </c>
      <c r="L72" s="142">
        <f t="shared" si="263"/>
        <v>6.1215999999999999</v>
      </c>
      <c r="M72" s="142">
        <f t="shared" si="263"/>
        <v>5.4363999999999999</v>
      </c>
      <c r="N72" s="142">
        <f t="shared" si="263"/>
        <v>5.5728999999999997</v>
      </c>
      <c r="O72" s="142">
        <f t="shared" si="263"/>
        <v>5.9097999999999997</v>
      </c>
      <c r="P72" s="142">
        <f t="shared" si="263"/>
        <v>6.4073000000000002</v>
      </c>
      <c r="Q72" s="118">
        <f>((P72/G72)^(1/($H$2-$H$1) ))-1</f>
        <v>0.11196580810542334</v>
      </c>
      <c r="R72" s="128"/>
      <c r="S72" s="142">
        <f t="shared" ref="S72:AB72" si="264">S13/S52</f>
        <v>49.727832156279689</v>
      </c>
      <c r="T72" s="142">
        <f t="shared" si="264"/>
        <v>52.095824163721581</v>
      </c>
      <c r="U72" s="142">
        <f t="shared" si="264"/>
        <v>54.576577695327373</v>
      </c>
      <c r="V72" s="142">
        <f t="shared" si="264"/>
        <v>57.175462347485819</v>
      </c>
      <c r="W72" s="142">
        <f t="shared" si="264"/>
        <v>59.898103411651803</v>
      </c>
      <c r="X72" s="142">
        <f t="shared" si="264"/>
        <v>62.750394050301892</v>
      </c>
      <c r="Y72" s="142">
        <f t="shared" si="264"/>
        <v>65.738508052697227</v>
      </c>
      <c r="Z72" s="142">
        <f t="shared" si="264"/>
        <v>68.868913198063765</v>
      </c>
      <c r="AA72" s="142">
        <f t="shared" si="264"/>
        <v>72.14838525511442</v>
      </c>
      <c r="AB72" s="142">
        <f t="shared" si="264"/>
        <v>75.584022648215111</v>
      </c>
      <c r="AC72" s="138">
        <f t="shared" si="242"/>
        <v>0.19740464651585254</v>
      </c>
      <c r="AD72" s="31">
        <v>0.08</v>
      </c>
      <c r="AE72" s="145">
        <f>(AB72*(1+AC72))/($C$1-AD72)</f>
        <v>646.4618565809443</v>
      </c>
    </row>
    <row r="73" spans="2:31">
      <c r="B73" s="20" t="s">
        <v>318</v>
      </c>
      <c r="C73" s="142">
        <f t="shared" ref="C73:P73" si="265">C31/C53</f>
        <v>0</v>
      </c>
      <c r="D73" s="142">
        <f t="shared" si="265"/>
        <v>0</v>
      </c>
      <c r="E73" s="142">
        <f t="shared" si="265"/>
        <v>0</v>
      </c>
      <c r="F73" s="142">
        <f t="shared" si="265"/>
        <v>0</v>
      </c>
      <c r="G73" s="142">
        <f t="shared" si="265"/>
        <v>0.91059999999999997</v>
      </c>
      <c r="H73" s="142">
        <f t="shared" si="265"/>
        <v>0.70830000000000004</v>
      </c>
      <c r="I73" s="142">
        <f t="shared" si="265"/>
        <v>1.1196999999999999</v>
      </c>
      <c r="J73" s="142">
        <f t="shared" si="265"/>
        <v>1.754</v>
      </c>
      <c r="K73" s="142">
        <f t="shared" si="265"/>
        <v>2.6436000000000002</v>
      </c>
      <c r="L73" s="142">
        <f t="shared" si="265"/>
        <v>2.8344999999999998</v>
      </c>
      <c r="M73" s="142">
        <f t="shared" si="265"/>
        <v>2.9053</v>
      </c>
      <c r="N73" s="142">
        <f t="shared" si="265"/>
        <v>3.1966000000000001</v>
      </c>
      <c r="O73" s="142">
        <f t="shared" si="265"/>
        <v>2.9041000000000001</v>
      </c>
      <c r="P73" s="142">
        <f t="shared" si="265"/>
        <v>2.9319000000000002</v>
      </c>
      <c r="Q73" s="118">
        <f>((P73/G73)^(1/($H$2-$H$1) ))-1</f>
        <v>0.13874009377644514</v>
      </c>
      <c r="R73" s="128"/>
      <c r="S73" s="142">
        <f t="shared" ref="S73:AB73" si="266">S14/S52</f>
        <v>0</v>
      </c>
      <c r="T73" s="142">
        <f t="shared" si="266"/>
        <v>0</v>
      </c>
      <c r="U73" s="142">
        <f t="shared" si="266"/>
        <v>0</v>
      </c>
      <c r="V73" s="142">
        <f t="shared" si="266"/>
        <v>0</v>
      </c>
      <c r="W73" s="142">
        <f t="shared" si="266"/>
        <v>0</v>
      </c>
      <c r="X73" s="142">
        <f t="shared" si="266"/>
        <v>0</v>
      </c>
      <c r="Y73" s="142">
        <f t="shared" si="266"/>
        <v>0</v>
      </c>
      <c r="Z73" s="142">
        <f t="shared" si="266"/>
        <v>0</v>
      </c>
      <c r="AA73" s="142">
        <f t="shared" si="266"/>
        <v>0</v>
      </c>
      <c r="AB73" s="142">
        <f t="shared" si="266"/>
        <v>0</v>
      </c>
      <c r="AC73" s="138">
        <f t="shared" si="242"/>
        <v>-1</v>
      </c>
      <c r="AD73" s="31">
        <v>0.08</v>
      </c>
      <c r="AE73" s="145">
        <f>(AB73*(1+AC73))/($C$1-AD73)</f>
        <v>0</v>
      </c>
    </row>
    <row r="74" spans="2:31">
      <c r="B74" s="20"/>
      <c r="C74" s="127"/>
      <c r="D74" s="127"/>
      <c r="E74" s="127"/>
      <c r="F74" s="142"/>
      <c r="G74" s="142"/>
      <c r="H74" s="142"/>
      <c r="I74" s="142"/>
      <c r="J74" s="142"/>
      <c r="K74" s="142"/>
      <c r="L74" s="142"/>
      <c r="M74" s="142"/>
      <c r="N74" s="142"/>
      <c r="O74" s="142"/>
      <c r="P74" s="142"/>
      <c r="Q74" s="128"/>
      <c r="R74" s="128"/>
      <c r="S74" s="154"/>
      <c r="T74" s="154"/>
      <c r="U74" s="154"/>
      <c r="V74" s="154"/>
      <c r="W74" s="154"/>
      <c r="X74" s="154"/>
      <c r="Y74" s="154"/>
      <c r="Z74" s="154"/>
      <c r="AA74" s="154"/>
      <c r="AB74" s="154"/>
      <c r="AC74" s="139"/>
      <c r="AD74" s="20"/>
      <c r="AE74" s="154"/>
    </row>
    <row r="75" spans="2:31">
      <c r="B75" s="20" t="s">
        <v>267</v>
      </c>
      <c r="C75" s="159">
        <f>C54</f>
        <v>1</v>
      </c>
      <c r="D75" s="159">
        <f t="shared" ref="D75:P75" si="267">D54</f>
        <v>1</v>
      </c>
      <c r="E75" s="159">
        <f t="shared" si="267"/>
        <v>1</v>
      </c>
      <c r="F75" s="159">
        <f t="shared" si="267"/>
        <v>7</v>
      </c>
      <c r="G75" s="159">
        <f t="shared" si="267"/>
        <v>7.5</v>
      </c>
      <c r="H75" s="159">
        <f t="shared" si="267"/>
        <v>8.5</v>
      </c>
      <c r="I75" s="159">
        <f t="shared" si="267"/>
        <v>8.5</v>
      </c>
      <c r="J75" s="159">
        <f t="shared" si="267"/>
        <v>10</v>
      </c>
      <c r="K75" s="159">
        <f t="shared" si="267"/>
        <v>11</v>
      </c>
      <c r="L75" s="159">
        <f t="shared" si="267"/>
        <v>11</v>
      </c>
      <c r="M75" s="159">
        <f t="shared" si="267"/>
        <v>12</v>
      </c>
      <c r="N75" s="159">
        <f t="shared" si="267"/>
        <v>14</v>
      </c>
      <c r="O75" s="159">
        <f t="shared" si="267"/>
        <v>16.5</v>
      </c>
      <c r="P75" s="159">
        <f t="shared" si="267"/>
        <v>20</v>
      </c>
      <c r="Q75" s="118">
        <f>((P75/G75)^(1/($H$2-$H$1) ))-1</f>
        <v>0.11514119380738741</v>
      </c>
      <c r="R75" s="128"/>
      <c r="S75" s="160">
        <f t="shared" ref="S75:AB75" si="268">S54</f>
        <v>22</v>
      </c>
      <c r="T75" s="160">
        <f t="shared" si="268"/>
        <v>24.200000000000003</v>
      </c>
      <c r="U75" s="160">
        <f t="shared" si="268"/>
        <v>26.620000000000005</v>
      </c>
      <c r="V75" s="160">
        <f t="shared" si="268"/>
        <v>29.282000000000007</v>
      </c>
      <c r="W75" s="160">
        <f t="shared" si="268"/>
        <v>32.210200000000007</v>
      </c>
      <c r="X75" s="160">
        <f t="shared" si="268"/>
        <v>35.43122000000001</v>
      </c>
      <c r="Y75" s="160">
        <f t="shared" si="268"/>
        <v>38.974342000000014</v>
      </c>
      <c r="Z75" s="160">
        <f t="shared" si="268"/>
        <v>42.871776200000021</v>
      </c>
      <c r="AA75" s="160">
        <f t="shared" si="268"/>
        <v>47.158953820000029</v>
      </c>
      <c r="AB75" s="160">
        <f t="shared" si="268"/>
        <v>51.874849202000036</v>
      </c>
      <c r="AC75" s="138">
        <f t="shared" ref="AC75" si="269">((AB75/G75)^(1/($AB$3-$H$1) ))-1</f>
        <v>0.1071463451824648</v>
      </c>
      <c r="AD75" s="31">
        <v>0.08</v>
      </c>
      <c r="AE75" s="145">
        <f>(AB75*(1+AC75))/($C$1-AD75)</f>
        <v>410.23606929204169</v>
      </c>
    </row>
    <row r="76" spans="2:31">
      <c r="B76" s="20"/>
      <c r="C76" s="127"/>
      <c r="D76" s="127"/>
      <c r="E76" s="127"/>
      <c r="F76" s="142"/>
      <c r="G76" s="142"/>
      <c r="H76" s="142"/>
      <c r="I76" s="142"/>
      <c r="J76" s="142"/>
      <c r="K76" s="142"/>
      <c r="L76" s="142"/>
      <c r="M76" s="142"/>
      <c r="N76" s="142"/>
      <c r="O76" s="142"/>
      <c r="P76" s="142"/>
      <c r="Q76" s="128"/>
      <c r="R76" s="128"/>
      <c r="S76" s="154"/>
      <c r="T76" s="154"/>
      <c r="U76" s="154"/>
      <c r="V76" s="154"/>
      <c r="W76" s="154"/>
      <c r="X76" s="154"/>
      <c r="Y76" s="154"/>
      <c r="Z76" s="154"/>
      <c r="AA76" s="154"/>
      <c r="AB76" s="154"/>
      <c r="AC76" s="139"/>
      <c r="AD76" s="20"/>
      <c r="AE76" s="154"/>
    </row>
    <row r="77" spans="2:31">
      <c r="B77" s="20" t="s">
        <v>293</v>
      </c>
      <c r="C77" s="127">
        <f t="shared" ref="C77:G77" si="270">C18+C19</f>
        <v>0</v>
      </c>
      <c r="D77" s="127">
        <f t="shared" si="270"/>
        <v>0</v>
      </c>
      <c r="E77" s="127">
        <f t="shared" si="270"/>
        <v>0</v>
      </c>
      <c r="F77" s="162">
        <f t="shared" si="270"/>
        <v>0</v>
      </c>
      <c r="G77" s="142">
        <f t="shared" si="270"/>
        <v>6568</v>
      </c>
      <c r="H77" s="142">
        <f>H18+H19</f>
        <v>5686</v>
      </c>
      <c r="I77" s="142">
        <f t="shared" ref="I77:P77" si="271">I18+I19</f>
        <v>-3241</v>
      </c>
      <c r="J77" s="142">
        <f t="shared" si="271"/>
        <v>4699</v>
      </c>
      <c r="K77" s="142">
        <f t="shared" si="271"/>
        <v>-29192</v>
      </c>
      <c r="L77" s="142">
        <f t="shared" si="271"/>
        <v>-10331</v>
      </c>
      <c r="M77" s="142">
        <f t="shared" si="271"/>
        <v>8019</v>
      </c>
      <c r="N77" s="142">
        <f t="shared" si="271"/>
        <v>-9016</v>
      </c>
      <c r="O77" s="142">
        <f t="shared" si="271"/>
        <v>-2597</v>
      </c>
      <c r="P77" s="142">
        <f t="shared" si="271"/>
        <v>1671</v>
      </c>
      <c r="Q77" s="118">
        <f>((P77/G77)^(1/($H$2-$H$1) ))-1</f>
        <v>-0.14108684142210692</v>
      </c>
      <c r="R77" s="128"/>
      <c r="S77" s="145">
        <f t="shared" ref="S77:AB77" si="272">S18-S19</f>
        <v>22586.300000000003</v>
      </c>
      <c r="T77" s="145">
        <f t="shared" si="272"/>
        <v>24844.930000000004</v>
      </c>
      <c r="U77" s="145">
        <f t="shared" si="272"/>
        <v>27329.423000000006</v>
      </c>
      <c r="V77" s="145">
        <f t="shared" si="272"/>
        <v>30062.365300000009</v>
      </c>
      <c r="W77" s="145">
        <f t="shared" si="272"/>
        <v>33068.601830000014</v>
      </c>
      <c r="X77" s="145">
        <f t="shared" si="272"/>
        <v>36375.462013000011</v>
      </c>
      <c r="Y77" s="145">
        <f t="shared" si="272"/>
        <v>40013.008214300018</v>
      </c>
      <c r="Z77" s="145">
        <f t="shared" si="272"/>
        <v>44014.309035730024</v>
      </c>
      <c r="AA77" s="145">
        <f t="shared" si="272"/>
        <v>48415.739939303028</v>
      </c>
      <c r="AB77" s="145">
        <f t="shared" si="272"/>
        <v>53257.313933233338</v>
      </c>
      <c r="AC77" s="138">
        <f t="shared" ref="AC77:AC82" si="273">((AB77/G77)^(1/($AB$3-$H$1) ))-1</f>
        <v>0.11644997723150263</v>
      </c>
      <c r="AD77" s="31">
        <v>0.08</v>
      </c>
      <c r="AE77" s="145">
        <f>(AB77*(1+AC77))/($C$1-AD77)</f>
        <v>424708.04948692385</v>
      </c>
    </row>
    <row r="78" spans="2:31">
      <c r="B78" s="20"/>
      <c r="C78" s="127"/>
      <c r="D78" s="127"/>
      <c r="E78" s="127"/>
      <c r="F78" s="142"/>
      <c r="G78" s="142"/>
      <c r="H78" s="142"/>
      <c r="I78" s="142"/>
      <c r="J78" s="142"/>
      <c r="K78" s="142"/>
      <c r="L78" s="142"/>
      <c r="M78" s="142"/>
      <c r="N78" s="142"/>
      <c r="O78" s="142"/>
      <c r="P78" s="142"/>
      <c r="Q78" s="128"/>
      <c r="R78" s="128"/>
      <c r="S78" s="145"/>
      <c r="T78" s="145"/>
      <c r="U78" s="145"/>
      <c r="V78" s="145"/>
      <c r="W78" s="145"/>
      <c r="X78" s="145"/>
      <c r="Y78" s="145"/>
      <c r="Z78" s="145"/>
      <c r="AA78" s="145"/>
      <c r="AB78" s="145"/>
      <c r="AC78" s="138"/>
      <c r="AD78" s="31"/>
      <c r="AE78" s="145"/>
    </row>
    <row r="79" spans="2:31">
      <c r="B79" s="20" t="s">
        <v>294</v>
      </c>
      <c r="C79" s="127">
        <f t="shared" ref="C79:P79" si="274">C77/C52</f>
        <v>0</v>
      </c>
      <c r="D79" s="127">
        <f t="shared" si="274"/>
        <v>0</v>
      </c>
      <c r="E79" s="127">
        <f t="shared" si="274"/>
        <v>0</v>
      </c>
      <c r="F79" s="142">
        <f t="shared" si="274"/>
        <v>0</v>
      </c>
      <c r="G79" s="142">
        <f t="shared" si="274"/>
        <v>107.14518760195759</v>
      </c>
      <c r="H79" s="142">
        <f t="shared" si="274"/>
        <v>92.305194805194802</v>
      </c>
      <c r="I79" s="142">
        <f t="shared" si="274"/>
        <v>-36.456692913385822</v>
      </c>
      <c r="J79" s="142">
        <f t="shared" si="274"/>
        <v>52.269187986651829</v>
      </c>
      <c r="K79" s="142">
        <f t="shared" si="274"/>
        <v>-262.51798561151077</v>
      </c>
      <c r="L79" s="142">
        <f t="shared" si="274"/>
        <v>-92.904676258992808</v>
      </c>
      <c r="M79" s="142">
        <f t="shared" si="274"/>
        <v>72.113309352517987</v>
      </c>
      <c r="N79" s="142">
        <f t="shared" si="274"/>
        <v>-78.33188531711555</v>
      </c>
      <c r="O79" s="142">
        <f t="shared" si="274"/>
        <v>-22.543402777777779</v>
      </c>
      <c r="P79" s="142">
        <f t="shared" si="274"/>
        <v>14.492627927146575</v>
      </c>
      <c r="Q79" s="118">
        <f>((P79/G79)^(1/($H$2-$H$1) ))-1</f>
        <v>-0.19931105863490373</v>
      </c>
      <c r="R79" s="128"/>
      <c r="S79" s="145">
        <f t="shared" ref="S79:AB79" si="275">S77/S52</f>
        <v>186.56341634659071</v>
      </c>
      <c r="T79" s="145">
        <f t="shared" si="275"/>
        <v>195.44738855357122</v>
      </c>
      <c r="U79" s="145">
        <f t="shared" si="275"/>
        <v>204.75440705612223</v>
      </c>
      <c r="V79" s="145">
        <f t="shared" si="275"/>
        <v>214.50461691593756</v>
      </c>
      <c r="W79" s="145">
        <f t="shared" si="275"/>
        <v>224.71912248336315</v>
      </c>
      <c r="X79" s="145">
        <f t="shared" si="275"/>
        <v>235.42003307780902</v>
      </c>
      <c r="Y79" s="145">
        <f t="shared" si="275"/>
        <v>246.63051084341899</v>
      </c>
      <c r="Z79" s="145">
        <f t="shared" si="275"/>
        <v>258.37482088358183</v>
      </c>
      <c r="AA79" s="145">
        <f t="shared" si="275"/>
        <v>270.67838378279998</v>
      </c>
      <c r="AB79" s="145">
        <f t="shared" si="275"/>
        <v>283.5678306296</v>
      </c>
      <c r="AC79" s="138">
        <f t="shared" si="273"/>
        <v>5.2559224341446775E-2</v>
      </c>
      <c r="AD79" s="31">
        <v>0.08</v>
      </c>
      <c r="AE79" s="145">
        <f>(AB79*(1+AC79))/($C$1-AD79)</f>
        <v>2131.9423989691322</v>
      </c>
    </row>
    <row r="80" spans="2:31">
      <c r="B80" s="20" t="s">
        <v>271</v>
      </c>
      <c r="C80" s="127">
        <f t="shared" ref="C80:P80" si="276">C18/C52</f>
        <v>0</v>
      </c>
      <c r="D80" s="127">
        <f t="shared" si="276"/>
        <v>0</v>
      </c>
      <c r="E80" s="127">
        <f t="shared" si="276"/>
        <v>0</v>
      </c>
      <c r="F80" s="142">
        <f t="shared" si="276"/>
        <v>0</v>
      </c>
      <c r="G80" s="142">
        <f t="shared" si="276"/>
        <v>128.72756933115824</v>
      </c>
      <c r="H80" s="142">
        <f t="shared" si="276"/>
        <v>148.23051948051949</v>
      </c>
      <c r="I80" s="142">
        <f t="shared" si="276"/>
        <v>52.328458942632167</v>
      </c>
      <c r="J80" s="142">
        <f t="shared" si="276"/>
        <v>256.51835372636259</v>
      </c>
      <c r="K80" s="142">
        <f t="shared" si="276"/>
        <v>-104.59532374100719</v>
      </c>
      <c r="L80" s="142">
        <f t="shared" si="276"/>
        <v>-127.58992805755395</v>
      </c>
      <c r="M80" s="142">
        <f t="shared" si="276"/>
        <v>16.807553956834532</v>
      </c>
      <c r="N80" s="142">
        <f t="shared" si="276"/>
        <v>-60.017376194613384</v>
      </c>
      <c r="O80" s="142">
        <f t="shared" si="276"/>
        <v>84.053819444444443</v>
      </c>
      <c r="P80" s="142">
        <f t="shared" si="276"/>
        <v>96.287944492627929</v>
      </c>
      <c r="Q80" s="118">
        <f>((P80/G80)^(1/($H$2-$H$1) ))-1</f>
        <v>-3.1746830193721487E-2</v>
      </c>
      <c r="R80" s="128"/>
      <c r="S80" s="145">
        <f t="shared" ref="S80:AB80" si="277">S18/S52</f>
        <v>100.87308470656259</v>
      </c>
      <c r="T80" s="145">
        <f t="shared" si="277"/>
        <v>105.67656493068463</v>
      </c>
      <c r="U80" s="145">
        <f t="shared" si="277"/>
        <v>110.70878230833628</v>
      </c>
      <c r="V80" s="145">
        <f t="shared" si="277"/>
        <v>115.98062908492372</v>
      </c>
      <c r="W80" s="145">
        <f t="shared" si="277"/>
        <v>121.50351618420579</v>
      </c>
      <c r="X80" s="145">
        <f t="shared" si="277"/>
        <v>127.28939790726321</v>
      </c>
      <c r="Y80" s="145">
        <f t="shared" si="277"/>
        <v>133.35079780760907</v>
      </c>
      <c r="Z80" s="145">
        <f t="shared" si="277"/>
        <v>139.7008357984476</v>
      </c>
      <c r="AA80" s="145">
        <f t="shared" si="277"/>
        <v>146.35325655075465</v>
      </c>
      <c r="AB80" s="145">
        <f t="shared" si="277"/>
        <v>153.32245924364773</v>
      </c>
      <c r="AC80" s="138">
        <f t="shared" si="273"/>
        <v>9.2448390527863911E-3</v>
      </c>
      <c r="AD80" s="31">
        <v>0.08</v>
      </c>
      <c r="AE80" s="145">
        <f>(AB80*(1+AC80))/($C$1-AD80)</f>
        <v>1105.2850050180903</v>
      </c>
    </row>
    <row r="81" spans="2:31">
      <c r="B81" s="20" t="s">
        <v>272</v>
      </c>
      <c r="C81" s="127">
        <f t="shared" ref="C81:P81" si="278">C19/C52</f>
        <v>0</v>
      </c>
      <c r="D81" s="127">
        <f t="shared" si="278"/>
        <v>0</v>
      </c>
      <c r="E81" s="127">
        <f t="shared" si="278"/>
        <v>0</v>
      </c>
      <c r="F81" s="142">
        <f t="shared" si="278"/>
        <v>0</v>
      </c>
      <c r="G81" s="142">
        <f t="shared" si="278"/>
        <v>-21.582381729200655</v>
      </c>
      <c r="H81" s="142">
        <f t="shared" si="278"/>
        <v>-55.925324675324674</v>
      </c>
      <c r="I81" s="142">
        <f t="shared" si="278"/>
        <v>-88.78515185601799</v>
      </c>
      <c r="J81" s="142">
        <f t="shared" si="278"/>
        <v>-204.24916573971078</v>
      </c>
      <c r="K81" s="142">
        <f t="shared" si="278"/>
        <v>-157.92266187050359</v>
      </c>
      <c r="L81" s="142">
        <f t="shared" si="278"/>
        <v>34.685251798561147</v>
      </c>
      <c r="M81" s="142">
        <f t="shared" si="278"/>
        <v>55.305755395683455</v>
      </c>
      <c r="N81" s="142">
        <f t="shared" si="278"/>
        <v>-18.314509122502173</v>
      </c>
      <c r="O81" s="142">
        <f t="shared" si="278"/>
        <v>-106.59722222222221</v>
      </c>
      <c r="P81" s="142">
        <f t="shared" si="278"/>
        <v>-81.795316565481357</v>
      </c>
      <c r="Q81" s="118">
        <f>((P81/G81)^(1/($H$2-$H$1) ))-1</f>
        <v>0.15955704450981179</v>
      </c>
      <c r="R81" s="128"/>
      <c r="S81" s="145">
        <f t="shared" ref="S81:AB81" si="279">S19/S52</f>
        <v>-85.690331640028091</v>
      </c>
      <c r="T81" s="145">
        <f t="shared" si="279"/>
        <v>-89.770823622886581</v>
      </c>
      <c r="U81" s="145">
        <f t="shared" si="279"/>
        <v>-94.045624747785951</v>
      </c>
      <c r="V81" s="145">
        <f t="shared" si="279"/>
        <v>-98.523987831013841</v>
      </c>
      <c r="W81" s="145">
        <f t="shared" si="279"/>
        <v>-103.21560629915736</v>
      </c>
      <c r="X81" s="145">
        <f t="shared" si="279"/>
        <v>-108.1306351705458</v>
      </c>
      <c r="Y81" s="145">
        <f t="shared" si="279"/>
        <v>-113.27971303580989</v>
      </c>
      <c r="Z81" s="145">
        <f t="shared" si="279"/>
        <v>-118.67398508513418</v>
      </c>
      <c r="AA81" s="145">
        <f t="shared" si="279"/>
        <v>-124.32512723204533</v>
      </c>
      <c r="AB81" s="145">
        <f t="shared" si="279"/>
        <v>-130.24537138595227</v>
      </c>
      <c r="AC81" s="138">
        <f t="shared" si="273"/>
        <v>9.922734237380082E-2</v>
      </c>
      <c r="AD81" s="31">
        <v>0.08</v>
      </c>
      <c r="AE81" s="145">
        <f>(AB81*(1+AC81))/($C$1-AD81)</f>
        <v>-1022.6376674647785</v>
      </c>
    </row>
    <row r="82" spans="2:31">
      <c r="B82" s="20" t="s">
        <v>273</v>
      </c>
      <c r="C82" s="127">
        <f t="shared" ref="C82:P82" si="280">C20/C52</f>
        <v>0</v>
      </c>
      <c r="D82" s="127">
        <f t="shared" si="280"/>
        <v>0</v>
      </c>
      <c r="E82" s="127">
        <f t="shared" si="280"/>
        <v>0</v>
      </c>
      <c r="F82" s="142">
        <f t="shared" si="280"/>
        <v>0</v>
      </c>
      <c r="G82" s="142">
        <f t="shared" si="280"/>
        <v>-74.828711256117458</v>
      </c>
      <c r="H82" s="142">
        <f t="shared" si="280"/>
        <v>-19.918831168831169</v>
      </c>
      <c r="I82" s="142">
        <f t="shared" si="280"/>
        <v>82.677165354330697</v>
      </c>
      <c r="J82" s="142">
        <f t="shared" si="280"/>
        <v>171.4571746384872</v>
      </c>
      <c r="K82" s="142">
        <f t="shared" si="280"/>
        <v>269.46043165467626</v>
      </c>
      <c r="L82" s="142">
        <f t="shared" si="280"/>
        <v>14.613309352517986</v>
      </c>
      <c r="M82" s="142">
        <f t="shared" si="280"/>
        <v>12.428057553956835</v>
      </c>
      <c r="N82" s="142">
        <f t="shared" si="280"/>
        <v>37.211120764552568</v>
      </c>
      <c r="O82" s="142">
        <f t="shared" si="280"/>
        <v>33.237847222222221</v>
      </c>
      <c r="P82" s="142">
        <f t="shared" si="280"/>
        <v>25.923677363399825</v>
      </c>
      <c r="Q82" s="118">
        <f>((P82/G82)^(1/($H$2-$H$1) ))-1</f>
        <v>-1.8888891263468337</v>
      </c>
      <c r="R82" s="128"/>
      <c r="S82" s="145">
        <f t="shared" ref="S82:AB82" si="281">S20/S52</f>
        <v>27.158138190228392</v>
      </c>
      <c r="T82" s="145">
        <f t="shared" si="281"/>
        <v>28.451382865953555</v>
      </c>
      <c r="U82" s="145">
        <f t="shared" si="281"/>
        <v>29.806210621475152</v>
      </c>
      <c r="V82" s="145">
        <f t="shared" si="281"/>
        <v>31.225553984402541</v>
      </c>
      <c r="W82" s="145">
        <f t="shared" si="281"/>
        <v>32.712485126516953</v>
      </c>
      <c r="X82" s="145">
        <f t="shared" si="281"/>
        <v>34.270222513493948</v>
      </c>
      <c r="Y82" s="145">
        <f t="shared" si="281"/>
        <v>35.902137871279379</v>
      </c>
      <c r="Z82" s="145">
        <f t="shared" si="281"/>
        <v>37.611763484197439</v>
      </c>
      <c r="AA82" s="145">
        <f t="shared" si="281"/>
        <v>39.402799840587797</v>
      </c>
      <c r="AB82" s="145">
        <f t="shared" si="281"/>
        <v>41.279123642520553</v>
      </c>
      <c r="AC82" s="138">
        <f t="shared" si="273"/>
        <v>-1.9691773898713301</v>
      </c>
      <c r="AD82" s="31">
        <v>0.08</v>
      </c>
      <c r="AE82" s="145">
        <f>(AB82*(1+AC82))/($C$1-AD82)</f>
        <v>-285.76280934309983</v>
      </c>
    </row>
    <row r="83" spans="2:31">
      <c r="B83" s="20" t="s">
        <v>277</v>
      </c>
      <c r="C83" s="127">
        <f t="shared" ref="C83:P83" si="282">C21/C52</f>
        <v>0</v>
      </c>
      <c r="D83" s="127">
        <f t="shared" si="282"/>
        <v>0</v>
      </c>
      <c r="E83" s="127">
        <f t="shared" si="282"/>
        <v>0</v>
      </c>
      <c r="F83" s="142">
        <f t="shared" si="282"/>
        <v>0</v>
      </c>
      <c r="G83" s="142">
        <f t="shared" si="282"/>
        <v>138.17292006525287</v>
      </c>
      <c r="H83" s="142">
        <f t="shared" si="282"/>
        <v>209.88636363636363</v>
      </c>
      <c r="I83" s="142">
        <f t="shared" si="282"/>
        <v>191.67604049493812</v>
      </c>
      <c r="J83" s="142">
        <f t="shared" si="282"/>
        <v>412.91434927697441</v>
      </c>
      <c r="K83" s="142">
        <f t="shared" si="282"/>
        <v>342.09532374100718</v>
      </c>
      <c r="L83" s="142">
        <f t="shared" si="282"/>
        <v>-127.58992805755395</v>
      </c>
      <c r="M83" s="142">
        <f t="shared" si="282"/>
        <v>269.47841726618702</v>
      </c>
      <c r="N83" s="142">
        <f t="shared" si="282"/>
        <v>337.73240660295397</v>
      </c>
      <c r="O83" s="142">
        <f t="shared" si="282"/>
        <v>295.92013888888886</v>
      </c>
      <c r="P83" s="142">
        <f t="shared" si="282"/>
        <v>359.21075455333914</v>
      </c>
      <c r="Q83" s="118">
        <f>((P83/G83)^(1/($H$2-$H$1) ))-1</f>
        <v>0.11199525166062485</v>
      </c>
      <c r="R83" s="128"/>
      <c r="S83" s="145">
        <f t="shared" ref="S83:AB83" si="283">S21/S52</f>
        <v>376.31602857968863</v>
      </c>
      <c r="T83" s="145">
        <f t="shared" si="283"/>
        <v>394.23583946443574</v>
      </c>
      <c r="U83" s="145">
        <f t="shared" si="283"/>
        <v>413.00897467702788</v>
      </c>
      <c r="V83" s="145">
        <f t="shared" si="283"/>
        <v>432.67606870926727</v>
      </c>
      <c r="W83" s="145">
        <f t="shared" si="283"/>
        <v>453.27969102875619</v>
      </c>
      <c r="X83" s="145">
        <f t="shared" si="283"/>
        <v>474.86443822060181</v>
      </c>
      <c r="Y83" s="145">
        <f t="shared" si="283"/>
        <v>497.47703051682095</v>
      </c>
      <c r="Z83" s="145">
        <f t="shared" si="283"/>
        <v>521.16641292238387</v>
      </c>
      <c r="AA83" s="145">
        <f t="shared" si="283"/>
        <v>545.98386115678306</v>
      </c>
      <c r="AB83" s="145">
        <f t="shared" si="283"/>
        <v>571.98309264043939</v>
      </c>
      <c r="AC83" s="138">
        <f t="shared" ref="AC83" si="284">((AB83/G83)^(1/($AB$3-$H$1) ))-1</f>
        <v>7.7634762334567009E-2</v>
      </c>
      <c r="AD83" s="31">
        <v>0.08</v>
      </c>
      <c r="AE83" s="145">
        <f>(AB83*(1+AC83))/($C$1-AD83)</f>
        <v>4402.777600692646</v>
      </c>
    </row>
    <row r="84" spans="2:31">
      <c r="B84" s="20"/>
      <c r="C84" s="127"/>
      <c r="D84" s="127"/>
      <c r="E84" s="127"/>
      <c r="F84" s="142"/>
      <c r="G84" s="142"/>
      <c r="H84" s="142"/>
      <c r="I84" s="142"/>
      <c r="J84" s="142"/>
      <c r="K84" s="142"/>
      <c r="L84" s="142"/>
      <c r="M84" s="142"/>
      <c r="N84" s="142"/>
      <c r="O84" s="142"/>
      <c r="P84" s="142"/>
      <c r="Q84" s="128"/>
      <c r="R84" s="128"/>
      <c r="S84" s="119"/>
      <c r="T84" s="119"/>
      <c r="U84" s="119"/>
      <c r="V84" s="119"/>
      <c r="W84" s="119"/>
      <c r="X84" s="119"/>
      <c r="Y84" s="119"/>
      <c r="Z84" s="119"/>
      <c r="AA84" s="119"/>
      <c r="AB84" s="119"/>
      <c r="AC84" s="139"/>
      <c r="AD84" s="20"/>
      <c r="AE84" s="154"/>
    </row>
    <row r="85" spans="2:31">
      <c r="B85" s="20" t="s">
        <v>313</v>
      </c>
      <c r="C85" s="142">
        <f t="shared" ref="C85:O85" si="285">C47/C52</f>
        <v>0</v>
      </c>
      <c r="D85" s="142">
        <f t="shared" si="285"/>
        <v>0</v>
      </c>
      <c r="E85" s="142">
        <f t="shared" si="285"/>
        <v>0</v>
      </c>
      <c r="F85" s="142">
        <f t="shared" si="285"/>
        <v>1.6313213703099513E-2</v>
      </c>
      <c r="G85" s="142">
        <f t="shared" si="285"/>
        <v>1.6313213703099513E-2</v>
      </c>
      <c r="H85" s="142">
        <f t="shared" si="285"/>
        <v>1.6233766233766232E-2</v>
      </c>
      <c r="I85" s="142">
        <f t="shared" si="285"/>
        <v>1.1248593925759279E-2</v>
      </c>
      <c r="J85" s="142">
        <f t="shared" si="285"/>
        <v>1.1123470522803113E-2</v>
      </c>
      <c r="K85" s="142">
        <f t="shared" si="285"/>
        <v>9.8920863309352514E-2</v>
      </c>
      <c r="L85" s="142">
        <f t="shared" si="285"/>
        <v>8.9928057553956831E-3</v>
      </c>
      <c r="M85" s="142">
        <f t="shared" si="285"/>
        <v>8.9928057553956831E-3</v>
      </c>
      <c r="N85" s="142">
        <f t="shared" si="285"/>
        <v>8.6880973066898355E-3</v>
      </c>
      <c r="O85" s="142">
        <f t="shared" si="285"/>
        <v>8.6805555555555559E-3</v>
      </c>
      <c r="P85" s="142">
        <f>P47/P52</f>
        <v>7.3547267996530792</v>
      </c>
      <c r="Q85" s="118">
        <f>((P85/G85)^(1/($H$2-$H$1) ))-1</f>
        <v>0.97193180193336337</v>
      </c>
      <c r="R85" s="128"/>
      <c r="S85" s="142">
        <f>S47/S52</f>
        <v>7.7049518853508454</v>
      </c>
      <c r="T85" s="142">
        <f t="shared" ref="T85:AB85" si="286">T47/T52</f>
        <v>8.0718543560818379</v>
      </c>
      <c r="U85" s="142">
        <f t="shared" si="286"/>
        <v>8.4562283730381171</v>
      </c>
      <c r="V85" s="142">
        <f t="shared" si="286"/>
        <v>8.8589059146113609</v>
      </c>
      <c r="W85" s="142">
        <f t="shared" si="286"/>
        <v>9.2807585772119019</v>
      </c>
      <c r="X85" s="142">
        <f t="shared" si="286"/>
        <v>9.7226994618410405</v>
      </c>
      <c r="Y85" s="142">
        <f t="shared" si="286"/>
        <v>10.185685150500138</v>
      </c>
      <c r="Z85" s="142">
        <f t="shared" si="286"/>
        <v>10.670717776714429</v>
      </c>
      <c r="AA85" s="142">
        <f t="shared" si="286"/>
        <v>11.178847194653212</v>
      </c>
      <c r="AB85" s="142">
        <f t="shared" si="286"/>
        <v>11.711173251541462</v>
      </c>
      <c r="AC85" s="138">
        <f t="shared" ref="AC85:AC87" si="287">((AB85/G85)^(1/($AB$3-$H$1) ))-1</f>
        <v>0.41357544890990838</v>
      </c>
      <c r="AD85" s="31">
        <v>0.08</v>
      </c>
      <c r="AE85" s="145">
        <f>(AB85*(1+AC85))/($C$1-AD85)</f>
        <v>118.24733561649595</v>
      </c>
    </row>
    <row r="86" spans="2:31">
      <c r="B86" s="20" t="s">
        <v>314</v>
      </c>
      <c r="C86" s="142">
        <f t="shared" ref="C86:O86" si="288">C49/C52</f>
        <v>0</v>
      </c>
      <c r="D86" s="142">
        <f t="shared" si="288"/>
        <v>0</v>
      </c>
      <c r="E86" s="142">
        <f t="shared" si="288"/>
        <v>0</v>
      </c>
      <c r="F86" s="142">
        <f t="shared" si="288"/>
        <v>22.838499184339316</v>
      </c>
      <c r="G86" s="142">
        <f t="shared" si="288"/>
        <v>25.774877650897228</v>
      </c>
      <c r="H86" s="142">
        <f t="shared" si="288"/>
        <v>28.831168831168831</v>
      </c>
      <c r="I86" s="142">
        <f t="shared" si="288"/>
        <v>25.961754780652416</v>
      </c>
      <c r="J86" s="142">
        <f t="shared" si="288"/>
        <v>26.573971078976641</v>
      </c>
      <c r="K86" s="142">
        <f t="shared" si="288"/>
        <v>27.940647482014388</v>
      </c>
      <c r="L86" s="142">
        <f t="shared" si="288"/>
        <v>35.323741007194243</v>
      </c>
      <c r="M86" s="142">
        <f t="shared" si="288"/>
        <v>48.381294964028775</v>
      </c>
      <c r="N86" s="142">
        <f t="shared" si="288"/>
        <v>69.539530842745435</v>
      </c>
      <c r="O86" s="142">
        <f t="shared" si="288"/>
        <v>103.68055555555556</v>
      </c>
      <c r="P86" s="142">
        <f>P49/P52</f>
        <v>146.86903729401561</v>
      </c>
      <c r="Q86" s="118">
        <f>((P86/G86)^(1/($H$2-$H$1) ))-1</f>
        <v>0.21330616400662472</v>
      </c>
      <c r="R86" s="128"/>
      <c r="S86" s="142">
        <f>S49/S52</f>
        <v>153.86280097468304</v>
      </c>
      <c r="T86" s="142">
        <f t="shared" ref="T86:AB86" si="289">T49/T52</f>
        <v>161.18960102109651</v>
      </c>
      <c r="U86" s="142">
        <f t="shared" si="289"/>
        <v>168.86529630781541</v>
      </c>
      <c r="V86" s="142">
        <f t="shared" si="289"/>
        <v>176.90650089390184</v>
      </c>
      <c r="W86" s="142">
        <f t="shared" si="289"/>
        <v>185.33061998408763</v>
      </c>
      <c r="X86" s="142">
        <f t="shared" si="289"/>
        <v>194.15588760237756</v>
      </c>
      <c r="Y86" s="142">
        <f t="shared" si="289"/>
        <v>203.40140605963364</v>
      </c>
      <c r="Z86" s="142">
        <f t="shared" si="289"/>
        <v>213.08718730056859</v>
      </c>
      <c r="AA86" s="142">
        <f t="shared" si="289"/>
        <v>223.23419621964328</v>
      </c>
      <c r="AB86" s="142">
        <f t="shared" si="289"/>
        <v>233.86439603962631</v>
      </c>
      <c r="AC86" s="138">
        <f t="shared" si="287"/>
        <v>0.12307514426605026</v>
      </c>
      <c r="AD86" s="31">
        <v>0.08</v>
      </c>
      <c r="AE86" s="145">
        <f>(AB86*(1+AC86))/($C$1-AD86)</f>
        <v>1876.0520737206859</v>
      </c>
    </row>
    <row r="87" spans="2:31">
      <c r="B87" s="20" t="s">
        <v>315</v>
      </c>
      <c r="C87" s="142">
        <f t="shared" ref="C87:P87" si="290">C6/C52</f>
        <v>0</v>
      </c>
      <c r="D87" s="142">
        <f t="shared" si="290"/>
        <v>0</v>
      </c>
      <c r="E87" s="142">
        <f t="shared" si="290"/>
        <v>0</v>
      </c>
      <c r="F87" s="142">
        <f t="shared" si="290"/>
        <v>0</v>
      </c>
      <c r="G87" s="142">
        <f t="shared" si="290"/>
        <v>116.46003262642741</v>
      </c>
      <c r="H87" s="142">
        <f t="shared" si="290"/>
        <v>187.28896103896105</v>
      </c>
      <c r="I87" s="142">
        <f t="shared" si="290"/>
        <v>240.16872890888638</v>
      </c>
      <c r="J87" s="142">
        <f t="shared" si="290"/>
        <v>256.56284760845381</v>
      </c>
      <c r="K87" s="142">
        <f t="shared" si="290"/>
        <v>392.16726618705036</v>
      </c>
      <c r="L87" s="142">
        <f t="shared" si="290"/>
        <v>410.64748201438846</v>
      </c>
      <c r="M87" s="142">
        <f t="shared" si="290"/>
        <v>451.26798561151077</v>
      </c>
      <c r="N87" s="142">
        <f t="shared" si="290"/>
        <v>470.46046915725458</v>
      </c>
      <c r="O87" s="142">
        <f t="shared" si="290"/>
        <v>521.88368055555554</v>
      </c>
      <c r="P87" s="142">
        <f t="shared" si="290"/>
        <v>586.33130962705991</v>
      </c>
      <c r="Q87" s="118">
        <f>((P87/G87)^(1/($H$2-$H$1) ))-1</f>
        <v>0.19673017592444753</v>
      </c>
      <c r="R87" s="128"/>
      <c r="S87" s="142">
        <f t="shared" ref="S87:AB87" si="291">S6/S52</f>
        <v>614.25184818072944</v>
      </c>
      <c r="T87" s="142">
        <f t="shared" si="291"/>
        <v>643.50193618933554</v>
      </c>
      <c r="U87" s="142">
        <f t="shared" si="291"/>
        <v>674.14488553168485</v>
      </c>
      <c r="V87" s="142">
        <f t="shared" si="291"/>
        <v>706.24702293795553</v>
      </c>
      <c r="W87" s="142">
        <f t="shared" si="291"/>
        <v>739.87783355404872</v>
      </c>
      <c r="X87" s="142">
        <f t="shared" si="291"/>
        <v>775.11011134233684</v>
      </c>
      <c r="Y87" s="142">
        <f t="shared" si="291"/>
        <v>812.02011664435281</v>
      </c>
      <c r="Z87" s="142">
        <f t="shared" si="291"/>
        <v>850.68774124646495</v>
      </c>
      <c r="AA87" s="142">
        <f t="shared" si="291"/>
        <v>891.19668130582056</v>
      </c>
      <c r="AB87" s="142">
        <f t="shared" si="291"/>
        <v>933.6346185108597</v>
      </c>
      <c r="AC87" s="138">
        <f t="shared" si="287"/>
        <v>0.11578096826915463</v>
      </c>
      <c r="AD87" s="31">
        <v>0.08</v>
      </c>
      <c r="AE87" s="145">
        <f>(AB87*(1+AC87))/($C$1-AD87)</f>
        <v>7440.9409903689257</v>
      </c>
    </row>
    <row r="88" spans="2:31">
      <c r="B88" s="20"/>
      <c r="C88" s="127"/>
      <c r="D88" s="127"/>
      <c r="E88" s="127"/>
      <c r="F88" s="142"/>
      <c r="G88" s="142"/>
      <c r="H88" s="142"/>
      <c r="I88" s="142"/>
      <c r="J88" s="142"/>
      <c r="K88" s="142"/>
      <c r="L88" s="142"/>
      <c r="M88" s="142"/>
      <c r="N88" s="142"/>
      <c r="O88" s="142"/>
      <c r="P88" s="142"/>
      <c r="Q88" s="128"/>
      <c r="R88" s="128"/>
      <c r="S88" s="119"/>
      <c r="T88" s="119"/>
      <c r="U88" s="119"/>
      <c r="V88" s="119"/>
      <c r="W88" s="119"/>
      <c r="X88" s="119"/>
      <c r="Y88" s="119"/>
      <c r="Z88" s="119"/>
      <c r="AA88" s="119"/>
      <c r="AB88" s="119"/>
      <c r="AC88" s="139"/>
      <c r="AD88" s="20"/>
      <c r="AE88" s="154"/>
    </row>
    <row r="89" spans="2:31">
      <c r="B89" s="20"/>
      <c r="C89" s="127"/>
      <c r="D89" s="127"/>
      <c r="E89" s="127"/>
      <c r="F89" s="142"/>
      <c r="G89" s="142"/>
      <c r="H89" s="142"/>
      <c r="I89" s="142"/>
      <c r="J89" s="142"/>
      <c r="K89" s="142"/>
      <c r="L89" s="142"/>
      <c r="M89" s="142"/>
      <c r="N89" s="142"/>
      <c r="O89" s="142"/>
      <c r="P89" s="142"/>
      <c r="Q89" s="128"/>
      <c r="R89" s="128"/>
      <c r="S89" s="119"/>
      <c r="T89" s="119"/>
      <c r="U89" s="119"/>
      <c r="V89" s="119"/>
      <c r="W89" s="119"/>
      <c r="X89" s="119"/>
      <c r="Y89" s="119"/>
      <c r="Z89" s="119"/>
      <c r="AA89" s="119"/>
      <c r="AB89" s="119"/>
      <c r="AC89" s="139"/>
      <c r="AD89" s="20"/>
      <c r="AE89" s="154"/>
    </row>
    <row r="90" spans="2:31">
      <c r="B90" s="108" t="s">
        <v>290</v>
      </c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</row>
    <row r="91" spans="2:31">
      <c r="B91" s="20" t="s">
        <v>288</v>
      </c>
      <c r="C91" s="152" t="e">
        <f t="shared" ref="C91:P91" si="292">C47/C33</f>
        <v>#DIV/0!</v>
      </c>
      <c r="D91" s="152" t="e">
        <f t="shared" si="292"/>
        <v>#DIV/0!</v>
      </c>
      <c r="E91" s="152" t="e">
        <f t="shared" si="292"/>
        <v>#DIV/0!</v>
      </c>
      <c r="F91" s="152" t="e">
        <f t="shared" si="292"/>
        <v>#DIV/0!</v>
      </c>
      <c r="G91" s="152">
        <f t="shared" si="292"/>
        <v>7.1916576770945708E-5</v>
      </c>
      <c r="H91" s="152">
        <f t="shared" si="292"/>
        <v>5.911563017261764E-5</v>
      </c>
      <c r="I91" s="152">
        <f t="shared" si="292"/>
        <v>3.8743171516020304E-5</v>
      </c>
      <c r="J91" s="152">
        <f t="shared" si="292"/>
        <v>2.4072023494294932E-5</v>
      </c>
      <c r="K91" s="152">
        <f t="shared" si="292"/>
        <v>1.8172506649485388E-4</v>
      </c>
      <c r="L91" s="152">
        <f t="shared" si="292"/>
        <v>1.5480834726608459E-5</v>
      </c>
      <c r="M91" s="152">
        <f t="shared" si="292"/>
        <v>1.6889894775955546E-5</v>
      </c>
      <c r="N91" s="152">
        <f t="shared" si="292"/>
        <v>1.6116814672748078E-5</v>
      </c>
      <c r="O91" s="152">
        <f t="shared" si="292"/>
        <v>1.4917580368464236E-5</v>
      </c>
      <c r="P91" s="152">
        <f t="shared" si="292"/>
        <v>1.1427955366287532E-2</v>
      </c>
      <c r="Q91" s="118">
        <f>((P91/G91)^(1/($H$2-$H$1) ))-1</f>
        <v>0.75618821611469222</v>
      </c>
      <c r="R91" s="152"/>
      <c r="S91" s="152">
        <f t="shared" ref="S91:AB91" si="293">S47/S33</f>
        <v>1.1427955366287532E-2</v>
      </c>
      <c r="T91" s="152">
        <f t="shared" si="293"/>
        <v>1.1427955366287532E-2</v>
      </c>
      <c r="U91" s="152">
        <f t="shared" si="293"/>
        <v>1.1427955366287533E-2</v>
      </c>
      <c r="V91" s="152">
        <f t="shared" si="293"/>
        <v>1.1427955366287533E-2</v>
      </c>
      <c r="W91" s="152">
        <f t="shared" si="293"/>
        <v>1.1427955366287533E-2</v>
      </c>
      <c r="X91" s="152">
        <f t="shared" si="293"/>
        <v>1.1427955366287533E-2</v>
      </c>
      <c r="Y91" s="152">
        <f t="shared" si="293"/>
        <v>1.1427955366287533E-2</v>
      </c>
      <c r="Z91" s="152">
        <f t="shared" si="293"/>
        <v>1.1427955366287533E-2</v>
      </c>
      <c r="AA91" s="152">
        <f t="shared" si="293"/>
        <v>1.1427955366287535E-2</v>
      </c>
      <c r="AB91" s="152">
        <f t="shared" si="293"/>
        <v>1.1427955366287533E-2</v>
      </c>
      <c r="AC91" s="138">
        <f t="shared" ref="AC91:AC93" si="294">((AB91/G91)^(1/($AB$3-$H$1) ))-1</f>
        <v>0.30571817362850684</v>
      </c>
      <c r="AD91" s="145"/>
      <c r="AE91" s="145"/>
    </row>
    <row r="92" spans="2:31">
      <c r="B92" s="20" t="s">
        <v>259</v>
      </c>
      <c r="C92" s="152" t="e">
        <f t="shared" ref="C92:P92" si="295">C49/C33</f>
        <v>#DIV/0!</v>
      </c>
      <c r="D92" s="152" t="e">
        <f t="shared" si="295"/>
        <v>#DIV/0!</v>
      </c>
      <c r="E92" s="152" t="e">
        <f t="shared" si="295"/>
        <v>#DIV/0!</v>
      </c>
      <c r="F92" s="152" t="e">
        <f t="shared" si="295"/>
        <v>#DIV/0!</v>
      </c>
      <c r="G92" s="152">
        <f t="shared" si="295"/>
        <v>0.11362819129809421</v>
      </c>
      <c r="H92" s="152">
        <f t="shared" si="295"/>
        <v>0.10498935918656893</v>
      </c>
      <c r="I92" s="152">
        <f t="shared" si="295"/>
        <v>8.9419239858974861E-2</v>
      </c>
      <c r="J92" s="152">
        <f t="shared" si="295"/>
        <v>5.7508064127870587E-2</v>
      </c>
      <c r="K92" s="152">
        <f t="shared" si="295"/>
        <v>5.1329071054500998E-2</v>
      </c>
      <c r="L92" s="152">
        <f t="shared" si="295"/>
        <v>6.0808718806118024E-2</v>
      </c>
      <c r="M92" s="152">
        <f t="shared" si="295"/>
        <v>9.0867633894640837E-2</v>
      </c>
      <c r="N92" s="152">
        <f t="shared" si="295"/>
        <v>0.12899898464067561</v>
      </c>
      <c r="O92" s="152">
        <f t="shared" si="295"/>
        <v>0.17817557992093683</v>
      </c>
      <c r="P92" s="152">
        <f t="shared" si="295"/>
        <v>0.22820872190178426</v>
      </c>
      <c r="Q92" s="118">
        <f>((P92/G92)^(1/($H$2-$H$1) ))-1</f>
        <v>8.056170384728123E-2</v>
      </c>
      <c r="R92" s="152"/>
      <c r="S92" s="152">
        <f t="shared" ref="S92:AB92" si="296">S49/S33</f>
        <v>0.22820872190178426</v>
      </c>
      <c r="T92" s="152">
        <f t="shared" si="296"/>
        <v>0.22820872190178429</v>
      </c>
      <c r="U92" s="152">
        <f t="shared" si="296"/>
        <v>0.22820872190178429</v>
      </c>
      <c r="V92" s="152">
        <f t="shared" si="296"/>
        <v>0.22820872190178426</v>
      </c>
      <c r="W92" s="152">
        <f t="shared" si="296"/>
        <v>0.22820872190178426</v>
      </c>
      <c r="X92" s="152">
        <f t="shared" si="296"/>
        <v>0.22820872190178429</v>
      </c>
      <c r="Y92" s="152">
        <f t="shared" si="296"/>
        <v>0.22820872190178429</v>
      </c>
      <c r="Z92" s="152">
        <f t="shared" si="296"/>
        <v>0.22820872190178429</v>
      </c>
      <c r="AA92" s="152">
        <f t="shared" si="296"/>
        <v>0.22820872190178432</v>
      </c>
      <c r="AB92" s="152">
        <f t="shared" si="296"/>
        <v>0.22820872190178432</v>
      </c>
      <c r="AC92" s="138">
        <f t="shared" si="294"/>
        <v>3.7383344022762888E-2</v>
      </c>
      <c r="AD92" s="145"/>
      <c r="AE92" s="145"/>
    </row>
    <row r="93" spans="2:31">
      <c r="B93" s="20" t="s">
        <v>289</v>
      </c>
      <c r="C93" s="152" t="e">
        <f t="shared" ref="C93:P93" si="297">C49/C7</f>
        <v>#DIV/0!</v>
      </c>
      <c r="D93" s="152" t="e">
        <f t="shared" si="297"/>
        <v>#DIV/0!</v>
      </c>
      <c r="E93" s="152" t="e">
        <f t="shared" si="297"/>
        <v>#DIV/0!</v>
      </c>
      <c r="F93" s="152" t="e">
        <f t="shared" si="297"/>
        <v>#DIV/0!</v>
      </c>
      <c r="G93" s="152">
        <f t="shared" si="297"/>
        <v>0.19494139420111042</v>
      </c>
      <c r="H93" s="152">
        <f t="shared" si="297"/>
        <v>0.14068441064638784</v>
      </c>
      <c r="I93" s="152">
        <f t="shared" si="297"/>
        <v>0.10216457881457218</v>
      </c>
      <c r="J93" s="152">
        <f t="shared" si="297"/>
        <v>9.8252107752416204E-2</v>
      </c>
      <c r="K93" s="152">
        <f t="shared" si="297"/>
        <v>6.8934149804756831E-2</v>
      </c>
      <c r="L93" s="152">
        <f t="shared" si="297"/>
        <v>8.3349247777282656E-2</v>
      </c>
      <c r="M93" s="152">
        <f t="shared" si="297"/>
        <v>0.10488147223955084</v>
      </c>
      <c r="N93" s="152">
        <f t="shared" si="297"/>
        <v>0.14473255940110666</v>
      </c>
      <c r="O93" s="152">
        <f t="shared" si="297"/>
        <v>0.19492133951302304</v>
      </c>
      <c r="P93" s="152">
        <f t="shared" si="297"/>
        <v>0.24626974200866758</v>
      </c>
      <c r="Q93" s="118">
        <f>((P93/G93)^(1/($H$2-$H$1) ))-1</f>
        <v>2.630998498662751E-2</v>
      </c>
      <c r="R93" s="20"/>
      <c r="S93" s="152">
        <f t="shared" ref="S93:AB93" si="298">S49/S7</f>
        <v>0.24626974200866755</v>
      </c>
      <c r="T93" s="152">
        <f t="shared" si="298"/>
        <v>0.24626974200866755</v>
      </c>
      <c r="U93" s="152">
        <f t="shared" si="298"/>
        <v>0.24626974200866758</v>
      </c>
      <c r="V93" s="152">
        <f t="shared" si="298"/>
        <v>0.24626974200866758</v>
      </c>
      <c r="W93" s="152">
        <f t="shared" si="298"/>
        <v>0.24626974200866758</v>
      </c>
      <c r="X93" s="152">
        <f t="shared" si="298"/>
        <v>0.24626974200866758</v>
      </c>
      <c r="Y93" s="152">
        <f t="shared" si="298"/>
        <v>0.24626974200866758</v>
      </c>
      <c r="Z93" s="152">
        <f t="shared" si="298"/>
        <v>0.24626974200866758</v>
      </c>
      <c r="AA93" s="152">
        <f t="shared" si="298"/>
        <v>0.24626974200866755</v>
      </c>
      <c r="AB93" s="152">
        <f t="shared" si="298"/>
        <v>0.24626974200866758</v>
      </c>
      <c r="AC93" s="138">
        <f t="shared" si="294"/>
        <v>1.2377473418737406E-2</v>
      </c>
      <c r="AD93" s="145"/>
      <c r="AE93" s="145"/>
    </row>
    <row r="94" spans="2:31"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128"/>
      <c r="R94" s="128"/>
      <c r="S94" s="119"/>
      <c r="T94" s="119"/>
      <c r="U94" s="119"/>
      <c r="V94" s="119"/>
      <c r="W94" s="119"/>
      <c r="X94" s="119"/>
      <c r="Y94" s="119"/>
      <c r="Z94" s="119"/>
      <c r="AA94" s="119"/>
      <c r="AB94" s="119"/>
      <c r="AC94" s="139"/>
      <c r="AD94" s="20"/>
      <c r="AE94" s="20"/>
    </row>
    <row r="95" spans="2:31">
      <c r="B95" s="108" t="s">
        <v>244</v>
      </c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3"/>
      <c r="R95" s="23"/>
      <c r="S95" s="122" t="s">
        <v>66</v>
      </c>
      <c r="T95" s="20"/>
      <c r="U95" s="20"/>
      <c r="V95" s="20"/>
      <c r="W95" s="20"/>
      <c r="X95" s="20"/>
      <c r="Y95" s="20"/>
      <c r="Z95" s="20"/>
      <c r="AA95" s="20"/>
      <c r="AB95" s="20"/>
      <c r="AC95" s="137"/>
      <c r="AD95" s="20"/>
      <c r="AE95" s="20"/>
    </row>
    <row r="96" spans="2:31">
      <c r="B96" s="23" t="s">
        <v>266</v>
      </c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5"/>
      <c r="Q96" s="23"/>
      <c r="R96" s="163">
        <f>AVERAGE(F60:P60)</f>
        <v>51.065007151962575</v>
      </c>
      <c r="S96" s="134"/>
      <c r="T96" s="20"/>
      <c r="U96" s="20"/>
      <c r="V96" s="20"/>
      <c r="W96" s="20"/>
      <c r="X96" s="20"/>
      <c r="Y96" s="20"/>
      <c r="Z96" s="20"/>
      <c r="AA96" s="20"/>
      <c r="AB96" s="20"/>
      <c r="AC96" s="137"/>
      <c r="AD96" s="20"/>
      <c r="AE96" s="20"/>
    </row>
    <row r="97" spans="2:31">
      <c r="B97" s="20" t="s">
        <v>25</v>
      </c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140">
        <f>S97+T97</f>
        <v>352.39260500822775</v>
      </c>
      <c r="S97" s="133">
        <f>PV($C$1, ($AB$3-$S$3), 0, -AB60)</f>
        <v>39.059405867589554</v>
      </c>
      <c r="T97" s="133">
        <f>PV($C$1, ($AB$3-$S$3), 0, -AE60)</f>
        <v>313.33319914063821</v>
      </c>
      <c r="U97" s="20"/>
      <c r="V97" s="20"/>
      <c r="W97" s="20"/>
      <c r="X97" s="20"/>
      <c r="Y97" s="20"/>
      <c r="Z97" s="20"/>
      <c r="AA97" s="20"/>
      <c r="AB97" s="20"/>
      <c r="AC97" s="137"/>
      <c r="AD97" s="20"/>
      <c r="AE97" s="20"/>
    </row>
    <row r="98" spans="2:31">
      <c r="B98" s="20" t="s">
        <v>262</v>
      </c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140">
        <f t="shared" ref="R98:R108" si="299">S98+T98</f>
        <v>1415.3657089681556</v>
      </c>
      <c r="S98" s="133">
        <f>PV($C$1, ($AB$3-$S$3), 0, -AB61)</f>
        <v>158.60416122990392</v>
      </c>
      <c r="T98" s="133">
        <f>PV($C$1, ($AB$3-$S$3), 0, -AE61)</f>
        <v>1256.7615477382517</v>
      </c>
      <c r="U98" s="20"/>
      <c r="V98" s="20"/>
      <c r="W98" s="20"/>
      <c r="X98" s="20"/>
      <c r="Y98" s="20"/>
      <c r="Z98" s="20"/>
      <c r="AA98" s="20"/>
      <c r="AB98" s="20"/>
      <c r="AC98" s="137"/>
      <c r="AD98" s="20"/>
      <c r="AE98" s="20"/>
    </row>
    <row r="99" spans="2:31">
      <c r="B99" s="20" t="s">
        <v>263</v>
      </c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140">
        <f t="shared" si="299"/>
        <v>1398.6992172191367</v>
      </c>
      <c r="S99" s="133">
        <f>PV($C$1, ($AB$3-$S$3), 0, -AB62)</f>
        <v>155.93315662410089</v>
      </c>
      <c r="T99" s="133">
        <f>PV($C$1, ($AB$3-$S$3), 0, -AE62)</f>
        <v>1242.7660605950357</v>
      </c>
      <c r="U99" s="20"/>
      <c r="V99" s="20"/>
      <c r="W99" s="20"/>
      <c r="X99" s="20"/>
      <c r="Y99" s="20"/>
      <c r="Z99" s="20"/>
      <c r="AA99" s="20"/>
      <c r="AB99" s="20"/>
      <c r="AC99" s="137"/>
      <c r="AD99" s="20"/>
      <c r="AE99" s="20"/>
    </row>
    <row r="100" spans="2:31"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140"/>
      <c r="S100" s="133"/>
      <c r="T100" s="20"/>
      <c r="U100" s="20"/>
      <c r="V100" s="20"/>
      <c r="W100" s="20"/>
      <c r="X100" s="20"/>
      <c r="Y100" s="20"/>
      <c r="Z100" s="20"/>
      <c r="AA100" s="20"/>
      <c r="AB100" s="20"/>
      <c r="AC100" s="137"/>
      <c r="AD100" s="20"/>
      <c r="AE100" s="20"/>
    </row>
    <row r="101" spans="2:31">
      <c r="B101" s="20" t="s">
        <v>310</v>
      </c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140">
        <f t="shared" si="299"/>
        <v>6923.424764838509</v>
      </c>
      <c r="S101" s="133">
        <f>PV($C$1, ($AB$3-$S$3), 0, -AB65)</f>
        <v>794.75771521794843</v>
      </c>
      <c r="T101" s="133">
        <f>PV($C$1, ($AB$3-$S$3), 0, -$AE$65)</f>
        <v>6128.6670496205606</v>
      </c>
      <c r="U101" s="20"/>
      <c r="V101" s="20"/>
      <c r="W101" s="20"/>
      <c r="X101" s="20"/>
      <c r="Y101" s="20"/>
      <c r="Z101" s="20"/>
      <c r="AA101" s="20"/>
      <c r="AB101" s="20"/>
      <c r="AC101" s="137"/>
      <c r="AD101" s="20"/>
      <c r="AE101" s="20"/>
    </row>
    <row r="102" spans="2:31">
      <c r="B102" s="20" t="s">
        <v>311</v>
      </c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140">
        <f t="shared" si="299"/>
        <v>6631.4622980603081</v>
      </c>
      <c r="S102" s="133">
        <f>PV($C$1, ($AB$3-$S$3), 0, -AB66)</f>
        <v>761.10714490090925</v>
      </c>
      <c r="T102" s="133">
        <f>PV($C$1, ($AB$3-$S$3), 0, -$AE$66)</f>
        <v>5870.3551531593985</v>
      </c>
      <c r="U102" s="20"/>
      <c r="V102" s="20"/>
      <c r="W102" s="20"/>
      <c r="X102" s="20"/>
      <c r="Y102" s="20"/>
      <c r="Z102" s="20"/>
      <c r="AA102" s="20"/>
      <c r="AB102" s="20"/>
      <c r="AC102" s="137"/>
      <c r="AD102" s="20"/>
      <c r="AE102" s="20"/>
    </row>
    <row r="103" spans="2:31">
      <c r="B103" s="20" t="s">
        <v>312</v>
      </c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140">
        <f t="shared" si="299"/>
        <v>595.76886778042831</v>
      </c>
      <c r="S103" s="133">
        <f>PV($C$1, ($AB$3-$S$3), 0, -AB67)</f>
        <v>67.626238374386318</v>
      </c>
      <c r="T103" s="133">
        <f>PV($C$1, ($AB$3-$S$3), 0, -$AE$67)</f>
        <v>528.14262940604203</v>
      </c>
      <c r="U103" s="20"/>
      <c r="V103" s="20"/>
      <c r="W103" s="20"/>
      <c r="X103" s="20"/>
      <c r="Y103" s="20"/>
      <c r="Z103" s="20"/>
      <c r="AA103" s="20"/>
      <c r="AB103" s="20"/>
      <c r="AC103" s="137"/>
      <c r="AD103" s="20"/>
      <c r="AE103" s="20"/>
    </row>
    <row r="104" spans="2:31"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140"/>
      <c r="S104" s="133"/>
      <c r="T104" s="20"/>
      <c r="U104" s="20"/>
      <c r="V104" s="20"/>
      <c r="W104" s="20"/>
      <c r="X104" s="20"/>
      <c r="Y104" s="20"/>
      <c r="Z104" s="20"/>
      <c r="AA104" s="20"/>
      <c r="AB104" s="20"/>
      <c r="AC104" s="137"/>
      <c r="AD104" s="20"/>
      <c r="AE104" s="20"/>
    </row>
    <row r="105" spans="2:31">
      <c r="B105" s="108" t="s">
        <v>278</v>
      </c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140"/>
      <c r="S105" s="133"/>
      <c r="T105" s="133"/>
      <c r="U105" s="20"/>
      <c r="V105" s="20"/>
      <c r="W105" s="20"/>
      <c r="X105" s="20"/>
      <c r="Y105" s="20"/>
      <c r="Z105" s="20"/>
      <c r="AA105" s="20"/>
      <c r="AB105" s="20"/>
      <c r="AC105" s="137"/>
      <c r="AD105" s="20"/>
      <c r="AE105" s="20"/>
    </row>
    <row r="106" spans="2:31">
      <c r="B106" s="20" t="s">
        <v>267</v>
      </c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140">
        <f t="shared" ref="R106" si="300">S106+T106</f>
        <v>316.8043376507141</v>
      </c>
      <c r="S106" s="133">
        <f>PV($C$1, ($AB$3-$S$3), 0, -AB75)+PV($C$1, ($AA$3-$S$3), 0, -AB75)+PV($C$1, ($Z$3-$S$3), 0, -AB75)+PV($C$1, ($Y$3-$S$3), 0, -AB75)+PV($C$1, ($X$3-$S$3), 0, -AB75)+PV($C$1, ($W$3-$S$3), 0, -AB75)+PV($C$1, ($V$3-$S$3), 0, -AB75)+PV($C$1, ($U$3-$S$3), 0, -AB75)+PV($C$1, ($T$3-$S$3), 0, -AB75)+PV($C$1, ($S$3-$S$3), 0, -AB75)</f>
        <v>248.28780668938131</v>
      </c>
      <c r="T106" s="133">
        <f>PV($C$1, ($AB$3-$S$3), 0, -AE75)</f>
        <v>68.516530961332776</v>
      </c>
      <c r="U106" s="20"/>
      <c r="V106" s="20"/>
      <c r="W106" s="20"/>
      <c r="X106" s="20"/>
      <c r="Y106" s="20"/>
      <c r="Z106" s="20"/>
      <c r="AA106" s="20"/>
      <c r="AB106" s="20"/>
      <c r="AC106" s="137"/>
      <c r="AD106" s="20"/>
      <c r="AE106" s="20"/>
    </row>
    <row r="107" spans="2:31">
      <c r="B107" s="23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140"/>
      <c r="S107" s="133"/>
      <c r="T107" s="133"/>
      <c r="U107" s="20"/>
      <c r="V107" s="20"/>
      <c r="W107" s="20"/>
      <c r="X107" s="20"/>
      <c r="Y107" s="20"/>
      <c r="Z107" s="20"/>
      <c r="AA107" s="20"/>
      <c r="AB107" s="20"/>
      <c r="AC107" s="137"/>
      <c r="AD107" s="20"/>
      <c r="AE107" s="20"/>
    </row>
    <row r="108" spans="2:31">
      <c r="B108" s="20" t="s">
        <v>293</v>
      </c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140">
        <f t="shared" si="299"/>
        <v>325838.27912034024</v>
      </c>
      <c r="S108" s="133">
        <f>PV($C$1, ($AB$3-$S$3), 0, -AB77)+PV($C$1, ($AA$3-$S$3), 0, -AB77)+PV($C$1, ($Z$3-$S$3), 0, -AB77)+PV($C$1, ($Y$3-$S$3), 0, -AB77)+PV($C$1, ($X$3-$S$3), 0, -AB77)+PV($C$1, ($W$3-$S$3), 0, -AB77)+PV($C$1, ($V$3-$S$3), 0, -AB77)+PV($C$1, ($U$3-$S$3), 0, -AB77)+PV($C$1, ($T$3-$S$3), 0, -AB77)+PV($C$1, ($S$3-$S$3), 0, -AB77)</f>
        <v>254904.67673765332</v>
      </c>
      <c r="T108" s="133">
        <f>PV($C$1, ($AB$3-$S$3), 0, -AE77)</f>
        <v>70933.602382686891</v>
      </c>
      <c r="U108" s="20"/>
      <c r="V108" s="20"/>
      <c r="W108" s="20"/>
      <c r="X108" s="20"/>
      <c r="Y108" s="20"/>
      <c r="Z108" s="20"/>
      <c r="AA108" s="20"/>
      <c r="AB108" s="20"/>
      <c r="AC108" s="137"/>
      <c r="AD108" s="20"/>
      <c r="AE108" s="20"/>
    </row>
    <row r="109" spans="2:31"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140"/>
      <c r="S109" s="133"/>
      <c r="T109" s="133"/>
      <c r="U109" s="20"/>
      <c r="V109" s="20"/>
      <c r="W109" s="20"/>
      <c r="X109" s="20"/>
      <c r="Y109" s="20"/>
      <c r="Z109" s="20"/>
      <c r="AA109" s="20"/>
      <c r="AB109" s="20"/>
      <c r="AC109" s="137"/>
      <c r="AD109" s="20"/>
      <c r="AE109" s="20"/>
    </row>
    <row r="110" spans="2:31">
      <c r="B110" s="20" t="s">
        <v>294</v>
      </c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140">
        <f t="shared" ref="R110:R113" si="301">S110+T110</f>
        <v>1713.3077386333348</v>
      </c>
      <c r="S110" s="133">
        <f>PV($C$1, ($AB$3-$S$3), 0, -AB79)+PV($C$1, ($AA$3-$S$3), 0, -AB79)+PV($C$1, ($Z$3-$S$3), 0, -AB79)+PV($C$1, ($Y$3-$S$3), 0, -AB79)+PV($C$1, ($X$3-$S$3), 0, -AB79)+PV($C$1, ($W$3-$S$3), 0, -AB79)+PV($C$1, ($V$3-$S$3), 0, -AB79)+PV($C$1, ($U$3-$S$3), 0, -AB79)+PV($C$1, ($T$3-$S$3), 0, -AB79)+PV($C$1, ($S$3-$S$3), 0, -AB79)</f>
        <v>1357.2364218453442</v>
      </c>
      <c r="T110" s="133">
        <f>PV($C$1, ($AB$3-$S$3), 0, -AE79)</f>
        <v>356.07131678799061</v>
      </c>
      <c r="U110" s="20"/>
      <c r="V110" s="20"/>
      <c r="W110" s="20"/>
      <c r="X110" s="20"/>
      <c r="Y110" s="20"/>
      <c r="Z110" s="20"/>
      <c r="AA110" s="20"/>
      <c r="AB110" s="20"/>
      <c r="AC110" s="137"/>
      <c r="AD110" s="20"/>
      <c r="AE110" s="20"/>
    </row>
    <row r="111" spans="2:31">
      <c r="B111" s="20" t="s">
        <v>271</v>
      </c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140">
        <f t="shared" si="301"/>
        <v>918.4467143681436</v>
      </c>
      <c r="S111" s="133">
        <f>PV($C$1, ($AB$3-$S$3), 0, -AB80)+PV($C$1, ($AA$3-$S$3), 0, -AB80)+PV($C$1, ($Z$3-$S$3), 0, -AB80)+PV($C$1, ($Y$3-$S$3), 0, -AB80)+PV($C$1, ($X$3-$S$3), 0, -AB80)+PV($C$1, ($W$3-$S$3), 0, -AB80)+PV($C$1, ($V$3-$S$3), 0, -AB80)+PV($C$1, ($U$3-$S$3), 0, -AB80)+PV($C$1, ($T$3-$S$3), 0, -AB80)+PV($C$1, ($S$3-$S$3), 0, -AB80)</f>
        <v>733.8449693336097</v>
      </c>
      <c r="T111" s="133">
        <f>PV($C$1, ($AB$3-$S$3), 0, -AE80)</f>
        <v>184.60174503453385</v>
      </c>
      <c r="U111" s="20"/>
      <c r="V111" s="20"/>
      <c r="W111" s="20"/>
      <c r="X111" s="20"/>
      <c r="Y111" s="20"/>
      <c r="Z111" s="20"/>
      <c r="AA111" s="20"/>
      <c r="AB111" s="20"/>
      <c r="AC111" s="137"/>
      <c r="AD111" s="20"/>
      <c r="AE111" s="20"/>
    </row>
    <row r="112" spans="2:31">
      <c r="B112" s="20" t="s">
        <v>272</v>
      </c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140">
        <f t="shared" si="301"/>
        <v>-794.18966029973717</v>
      </c>
      <c r="S112" s="133">
        <f>PV($C$1, ($AB$3-$S$3), 0, -AB81)+PV($C$1, ($AA$3-$S$3), 0, -AB81)+PV($C$1, ($Z$3-$S$3), 0, -AB81)+PV($C$1, ($Y$3-$S$3), 0, -AB81)+PV($C$1, ($X$3-$S$3), 0, -AB81)+PV($C$1, ($W$3-$S$3), 0, -AB81)+PV($C$1, ($V$3-$S$3), 0, -AB81)+PV($C$1, ($U$3-$S$3), 0, -AB81)+PV($C$1, ($T$3-$S$3), 0, -AB81)+PV($C$1, ($S$3-$S$3), 0, -AB81)</f>
        <v>-623.39145251173443</v>
      </c>
      <c r="T112" s="133">
        <f>PV($C$1, ($AB$3-$S$3), 0, -AE81)</f>
        <v>-170.79820778800274</v>
      </c>
      <c r="U112" s="20"/>
      <c r="V112" s="20"/>
      <c r="W112" s="20"/>
      <c r="X112" s="20"/>
      <c r="Y112" s="20"/>
      <c r="Z112" s="20"/>
      <c r="AA112" s="20"/>
      <c r="AB112" s="20"/>
      <c r="AC112" s="137"/>
      <c r="AD112" s="20"/>
      <c r="AE112" s="20"/>
    </row>
    <row r="113" spans="2:31">
      <c r="B113" s="20" t="s">
        <v>273</v>
      </c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140">
        <f t="shared" si="301"/>
        <v>149.84630555425537</v>
      </c>
      <c r="S113" s="133">
        <f>PV($C$1, ($AB$3-$S$3), 0, -AB82)+PV($C$1, ($AA$3-$S$3), 0, -AB82)+PV($C$1, ($Z$3-$S$3), 0, -AB82)+PV($C$1, ($Y$3-$S$3), 0, -AB82)+PV($C$1, ($X$3-$S$3), 0, -AB82)+PV($C$1, ($W$3-$S$3), 0, -AB82)+PV($C$1, ($V$3-$S$3), 0, -AB82)+PV($C$1, ($U$3-$S$3), 0, -AB82)+PV($C$1, ($T$3-$S$3), 0, -AB82)+PV($C$1, ($S$3-$S$3), 0, -AB82)</f>
        <v>197.57364558981806</v>
      </c>
      <c r="T113" s="133">
        <f>PV($C$1, ($AB$3-$S$3), 0, -AE82)</f>
        <v>-47.727340035562705</v>
      </c>
      <c r="U113" s="20"/>
      <c r="V113" s="20"/>
      <c r="W113" s="20"/>
      <c r="X113" s="20"/>
      <c r="Y113" s="20"/>
      <c r="Z113" s="20"/>
      <c r="AA113" s="20"/>
      <c r="AB113" s="20"/>
      <c r="AC113" s="137"/>
      <c r="AD113" s="20"/>
      <c r="AE113" s="20"/>
    </row>
    <row r="114" spans="2:31"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140"/>
      <c r="S114" s="133"/>
      <c r="T114" s="133"/>
      <c r="U114" s="20"/>
      <c r="V114" s="20"/>
      <c r="W114" s="20"/>
      <c r="X114" s="20"/>
      <c r="Y114" s="20"/>
      <c r="Z114" s="20"/>
      <c r="AA114" s="20"/>
      <c r="AB114" s="20"/>
      <c r="AC114" s="137"/>
      <c r="AD114" s="20"/>
      <c r="AE114" s="20"/>
    </row>
    <row r="115" spans="2:31">
      <c r="B115" s="20" t="s">
        <v>279</v>
      </c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140">
        <f>S115+T115</f>
        <v>3473.0141692163161</v>
      </c>
      <c r="S115" s="133">
        <f>PV($C$1, ($AB$3-$S$3), 0, -AB83)+PV($C$1, ($AA$3-$S$3), 0, -AB83)+PV($C$1, ($Z$3-$S$3), 0, -AB83)+PV($C$1, ($Y$3-$S$3), 0, -AB83)+PV($C$1, ($X$3-$S$3), 0, -AB83)+PV($C$1, ($W$3-$S$3), 0, -AB83)+PV($C$1, ($V$3-$S$3), 0, -AB83)+PV($C$1, ($U$3-$S$3), 0, -AB83)+PV($C$1, ($T$3-$S$3), 0, -AB83)+PV($C$1, ($S$3-$S$3), 0, -AB83)</f>
        <v>2737.6740312457318</v>
      </c>
      <c r="T115" s="133">
        <f>PV($C$1, ($AB$3-$S$3), 0, -AE83)</f>
        <v>735.34013797058435</v>
      </c>
      <c r="U115" s="20"/>
      <c r="V115" s="20"/>
      <c r="W115" s="20"/>
      <c r="X115" s="20"/>
      <c r="Y115" s="20"/>
      <c r="Z115" s="20"/>
      <c r="AA115" s="20"/>
      <c r="AB115" s="20"/>
      <c r="AC115" s="137"/>
      <c r="AD115" s="20"/>
      <c r="AE115" s="20"/>
    </row>
    <row r="116" spans="2:31"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121"/>
      <c r="T116" s="20"/>
      <c r="U116" s="20"/>
      <c r="V116" s="20"/>
      <c r="W116" s="20"/>
      <c r="X116" s="20"/>
      <c r="Y116" s="20"/>
      <c r="Z116" s="20"/>
      <c r="AA116" s="20"/>
      <c r="AB116" s="20"/>
      <c r="AC116" s="137"/>
      <c r="AD116" s="20"/>
      <c r="AE116" s="20"/>
    </row>
    <row r="117" spans="2:31">
      <c r="B117" s="108" t="s">
        <v>247</v>
      </c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137"/>
      <c r="AD117" s="20"/>
      <c r="AE117" s="20"/>
    </row>
    <row r="118" spans="2:31">
      <c r="B118" s="20" t="s">
        <v>204</v>
      </c>
      <c r="C118" s="22">
        <v>14</v>
      </c>
      <c r="D118" s="22">
        <v>14</v>
      </c>
      <c r="E118" s="22">
        <v>14</v>
      </c>
      <c r="F118" s="22">
        <v>14</v>
      </c>
      <c r="G118" s="22">
        <v>14</v>
      </c>
      <c r="H118" s="22">
        <v>1000</v>
      </c>
      <c r="I118" s="22">
        <v>1000</v>
      </c>
      <c r="J118" s="22">
        <v>1000</v>
      </c>
      <c r="K118" s="22">
        <v>1000</v>
      </c>
      <c r="L118" s="22">
        <v>1000</v>
      </c>
      <c r="M118" s="22">
        <v>1000</v>
      </c>
      <c r="N118" s="22">
        <v>1000</v>
      </c>
      <c r="O118" s="22">
        <v>1000</v>
      </c>
      <c r="P118" s="22">
        <v>1000</v>
      </c>
      <c r="Q118" s="118">
        <f t="shared" ref="Q118:Q120" si="302">((P118/G118)^(1/($H$2-$H$1) ))-1</f>
        <v>0.60688861529251326</v>
      </c>
      <c r="R118" s="31">
        <v>0.1</v>
      </c>
      <c r="S118" s="119">
        <f t="shared" ref="S118" si="303">P118*(1+$R118)</f>
        <v>1100</v>
      </c>
      <c r="T118" s="119">
        <f t="shared" ref="T118:AB118" si="304">S118*(1+$R118)</f>
        <v>1210</v>
      </c>
      <c r="U118" s="119">
        <f t="shared" si="304"/>
        <v>1331</v>
      </c>
      <c r="V118" s="119">
        <f t="shared" si="304"/>
        <v>1464.1000000000001</v>
      </c>
      <c r="W118" s="119">
        <f t="shared" si="304"/>
        <v>1610.5100000000002</v>
      </c>
      <c r="X118" s="119">
        <f t="shared" si="304"/>
        <v>1771.5610000000004</v>
      </c>
      <c r="Y118" s="119">
        <f t="shared" si="304"/>
        <v>1948.7171000000005</v>
      </c>
      <c r="Z118" s="119">
        <f t="shared" si="304"/>
        <v>2143.5888100000006</v>
      </c>
      <c r="AA118" s="119">
        <f t="shared" si="304"/>
        <v>2357.9476910000008</v>
      </c>
      <c r="AB118" s="119">
        <f t="shared" si="304"/>
        <v>2593.7424601000012</v>
      </c>
      <c r="AC118" s="138">
        <f t="shared" ref="AC118:AC120" si="305">((AB118/G118)^(1/($AB$3-$H$1) ))-1</f>
        <v>0.31630894455733571</v>
      </c>
      <c r="AD118" s="31">
        <v>0.08</v>
      </c>
      <c r="AE118" s="127">
        <f t="shared" ref="AE118:AE120" si="306">(AB118*(1+AC118))/($C$1-AD118)</f>
        <v>24386.902857912712</v>
      </c>
    </row>
    <row r="119" spans="2:31">
      <c r="B119" s="20" t="s">
        <v>42</v>
      </c>
      <c r="C119" s="25" t="e">
        <f t="shared" ref="C119:P119" si="307">C118/C60</f>
        <v>#DIV/0!</v>
      </c>
      <c r="D119" s="25" t="e">
        <f t="shared" si="307"/>
        <v>#DIV/0!</v>
      </c>
      <c r="E119" s="25" t="e">
        <f t="shared" si="307"/>
        <v>#DIV/0!</v>
      </c>
      <c r="F119" s="25">
        <f t="shared" si="307"/>
        <v>0.61299999999999999</v>
      </c>
      <c r="G119" s="25">
        <f t="shared" si="307"/>
        <v>0.54316455696202526</v>
      </c>
      <c r="H119" s="25">
        <f t="shared" si="307"/>
        <v>34.684684684684683</v>
      </c>
      <c r="I119" s="25">
        <f t="shared" si="307"/>
        <v>38.518197573656849</v>
      </c>
      <c r="J119" s="25">
        <f t="shared" si="307"/>
        <v>37.630807869401423</v>
      </c>
      <c r="K119" s="25">
        <f t="shared" si="307"/>
        <v>35.79015127132282</v>
      </c>
      <c r="L119" s="25">
        <f t="shared" si="307"/>
        <v>28.309572301425664</v>
      </c>
      <c r="M119" s="25">
        <f t="shared" si="307"/>
        <v>20.669144981412639</v>
      </c>
      <c r="N119" s="25">
        <f t="shared" si="307"/>
        <v>14.380309845077463</v>
      </c>
      <c r="O119" s="25">
        <f t="shared" si="307"/>
        <v>9.6450100468854654</v>
      </c>
      <c r="P119" s="25">
        <f t="shared" si="307"/>
        <v>6.8087870556277315</v>
      </c>
      <c r="Q119" s="118">
        <f t="shared" si="302"/>
        <v>0.32438840497289334</v>
      </c>
      <c r="R119" s="128"/>
      <c r="S119" s="119">
        <f t="shared" ref="S119:AB119" si="308">S118/S60</f>
        <v>7.1492264084091168</v>
      </c>
      <c r="T119" s="119">
        <f t="shared" si="308"/>
        <v>7.506687728829573</v>
      </c>
      <c r="U119" s="119">
        <f t="shared" si="308"/>
        <v>7.8820221152710506</v>
      </c>
      <c r="V119" s="119">
        <f t="shared" si="308"/>
        <v>8.2761232210346058</v>
      </c>
      <c r="W119" s="119">
        <f t="shared" si="308"/>
        <v>8.6899293820863353</v>
      </c>
      <c r="X119" s="119">
        <f t="shared" si="308"/>
        <v>9.1244258511906509</v>
      </c>
      <c r="Y119" s="119">
        <f t="shared" si="308"/>
        <v>9.5806471437501841</v>
      </c>
      <c r="Z119" s="119">
        <f t="shared" si="308"/>
        <v>10.059679500937694</v>
      </c>
      <c r="AA119" s="119">
        <f t="shared" si="308"/>
        <v>10.562663475984579</v>
      </c>
      <c r="AB119" s="119">
        <f t="shared" si="308"/>
        <v>11.090796649783808</v>
      </c>
      <c r="AC119" s="138">
        <f t="shared" si="305"/>
        <v>0.1720577659276461</v>
      </c>
      <c r="AD119" s="31">
        <v>0.08</v>
      </c>
      <c r="AE119" s="127">
        <f t="shared" si="306"/>
        <v>92.850388169310222</v>
      </c>
    </row>
    <row r="120" spans="2:31">
      <c r="B120" s="20" t="s">
        <v>253</v>
      </c>
      <c r="C120" s="25" t="e">
        <f t="shared" ref="C120:P120" si="309">C118/C62</f>
        <v>#DIV/0!</v>
      </c>
      <c r="D120" s="25" t="e">
        <f t="shared" si="309"/>
        <v>#DIV/0!</v>
      </c>
      <c r="E120" s="25" t="e">
        <f t="shared" si="309"/>
        <v>#DIV/0!</v>
      </c>
      <c r="F120" s="25" t="e">
        <f t="shared" si="309"/>
        <v>#DIV/0!</v>
      </c>
      <c r="G120" s="25">
        <f t="shared" si="309"/>
        <v>0.12021291497408601</v>
      </c>
      <c r="H120" s="25">
        <f t="shared" si="309"/>
        <v>5.3393429834445696</v>
      </c>
      <c r="I120" s="25">
        <f t="shared" si="309"/>
        <v>4.1637394033066366</v>
      </c>
      <c r="J120" s="25">
        <f t="shared" si="309"/>
        <v>3.8976804682419255</v>
      </c>
      <c r="K120" s="25">
        <f t="shared" si="309"/>
        <v>2.5499323534132863</v>
      </c>
      <c r="L120" s="25">
        <f t="shared" si="309"/>
        <v>2.435178696566223</v>
      </c>
      <c r="M120" s="25">
        <f t="shared" si="309"/>
        <v>2.2159781590641878</v>
      </c>
      <c r="N120" s="25">
        <f t="shared" si="309"/>
        <v>2.1255771006463529</v>
      </c>
      <c r="O120" s="25">
        <f t="shared" si="309"/>
        <v>1.9161357928178175</v>
      </c>
      <c r="P120" s="25">
        <f t="shared" si="309"/>
        <v>1.7055203834092656</v>
      </c>
      <c r="Q120" s="118">
        <f t="shared" si="302"/>
        <v>0.34273259555039415</v>
      </c>
      <c r="R120" s="128"/>
      <c r="S120" s="119">
        <f t="shared" ref="S120:AB120" si="310">S118/S62</f>
        <v>1.7907964025797287</v>
      </c>
      <c r="T120" s="119">
        <f t="shared" si="310"/>
        <v>1.8803362227087155</v>
      </c>
      <c r="U120" s="119">
        <f t="shared" si="310"/>
        <v>1.9743530338441513</v>
      </c>
      <c r="V120" s="119">
        <f t="shared" si="310"/>
        <v>2.0730706855363592</v>
      </c>
      <c r="W120" s="119">
        <f t="shared" si="310"/>
        <v>2.1767242198131767</v>
      </c>
      <c r="X120" s="119">
        <f t="shared" si="310"/>
        <v>2.2855604308038355</v>
      </c>
      <c r="Y120" s="119">
        <f t="shared" si="310"/>
        <v>2.3998384523440279</v>
      </c>
      <c r="Z120" s="119">
        <f t="shared" si="310"/>
        <v>2.519830374961229</v>
      </c>
      <c r="AA120" s="119">
        <f t="shared" si="310"/>
        <v>2.6458218937092899</v>
      </c>
      <c r="AB120" s="119">
        <f t="shared" si="310"/>
        <v>2.7781129883947546</v>
      </c>
      <c r="AC120" s="138">
        <f t="shared" si="305"/>
        <v>0.17971983927925228</v>
      </c>
      <c r="AD120" s="31">
        <v>0.08</v>
      </c>
      <c r="AE120" s="127">
        <f t="shared" si="306"/>
        <v>23.40996434406188</v>
      </c>
    </row>
    <row r="121" spans="2:31">
      <c r="B121" s="20"/>
      <c r="C121" s="129"/>
      <c r="D121" s="129"/>
      <c r="E121" s="129"/>
      <c r="F121" s="129"/>
      <c r="G121" s="135"/>
      <c r="H121" s="135"/>
      <c r="I121" s="135"/>
      <c r="J121" s="135"/>
      <c r="K121" s="135"/>
      <c r="L121" s="135"/>
      <c r="M121" s="135"/>
      <c r="N121" s="135"/>
      <c r="O121" s="135"/>
      <c r="P121" s="135"/>
      <c r="Q121" s="128"/>
      <c r="R121" s="128"/>
      <c r="S121" s="135"/>
      <c r="T121" s="135"/>
      <c r="U121" s="135"/>
      <c r="V121" s="135"/>
      <c r="W121" s="135"/>
      <c r="X121" s="135"/>
      <c r="Y121" s="135"/>
      <c r="Z121" s="135"/>
      <c r="AA121" s="135"/>
      <c r="AB121" s="135"/>
      <c r="AC121" s="137"/>
      <c r="AD121" s="20"/>
      <c r="AE121" s="127"/>
    </row>
    <row r="122" spans="2:31">
      <c r="B122" s="108" t="s">
        <v>283</v>
      </c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137"/>
      <c r="AD122" s="20"/>
      <c r="AE122" s="20"/>
    </row>
    <row r="123" spans="2:31">
      <c r="B123" s="20" t="s">
        <v>280</v>
      </c>
      <c r="C123" s="20" t="s">
        <v>291</v>
      </c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128">
        <f>(P118-R106)/P118</f>
        <v>0.68319566234928586</v>
      </c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137"/>
      <c r="AD123" s="20"/>
      <c r="AE123" s="20"/>
    </row>
    <row r="124" spans="2:31">
      <c r="B124" s="20" t="s">
        <v>281</v>
      </c>
      <c r="C124" s="20" t="s">
        <v>291</v>
      </c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128">
        <f>(P118-R103)/P118</f>
        <v>0.40423113221957169</v>
      </c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137"/>
      <c r="AD124" s="20"/>
      <c r="AE124" s="20"/>
    </row>
    <row r="125" spans="2:31">
      <c r="B125" s="20" t="s">
        <v>295</v>
      </c>
      <c r="C125" s="20" t="s">
        <v>291</v>
      </c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128">
        <f>(P118-R115)/P118</f>
        <v>-2.4730141692163161</v>
      </c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137"/>
      <c r="AD125" s="20"/>
      <c r="AE125" s="20"/>
    </row>
    <row r="126" spans="2:31">
      <c r="B126" s="20" t="s">
        <v>282</v>
      </c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5">
        <f>P118/R97</f>
        <v>2.8377439985627726</v>
      </c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137"/>
      <c r="AD126" s="20"/>
      <c r="AE126" s="20"/>
    </row>
    <row r="127" spans="2:31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</row>
    <row r="128" spans="2:31">
      <c r="B128" s="108" t="s">
        <v>284</v>
      </c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</row>
    <row r="129" spans="2:31">
      <c r="B129" s="20" t="s">
        <v>287</v>
      </c>
      <c r="C129" s="25" t="e">
        <f t="shared" ref="C129:P129" si="311">C10/C7</f>
        <v>#DIV/0!</v>
      </c>
      <c r="D129" s="25" t="e">
        <f t="shared" si="311"/>
        <v>#DIV/0!</v>
      </c>
      <c r="E129" s="25" t="e">
        <f t="shared" si="311"/>
        <v>#DIV/0!</v>
      </c>
      <c r="F129" s="25" t="e">
        <f t="shared" si="311"/>
        <v>#DIV/0!</v>
      </c>
      <c r="G129" s="25">
        <f t="shared" si="311"/>
        <v>0.43701418877236275</v>
      </c>
      <c r="H129" s="25">
        <f t="shared" si="311"/>
        <v>0.57485741444866922</v>
      </c>
      <c r="I129" s="25">
        <f t="shared" si="311"/>
        <v>0.41029613562923289</v>
      </c>
      <c r="J129" s="25">
        <f t="shared" si="311"/>
        <v>0.8409623689080814</v>
      </c>
      <c r="K129" s="25">
        <f t="shared" si="311"/>
        <v>0.34449325523606672</v>
      </c>
      <c r="L129" s="25">
        <f t="shared" si="311"/>
        <v>0.36465295902561162</v>
      </c>
      <c r="M129" s="25">
        <f t="shared" si="311"/>
        <v>0.37611119775421087</v>
      </c>
      <c r="N129" s="25">
        <f t="shared" si="311"/>
        <v>0.32821597772232469</v>
      </c>
      <c r="O129" s="25">
        <f t="shared" si="311"/>
        <v>0.33337685227495267</v>
      </c>
      <c r="P129" s="25">
        <f t="shared" si="311"/>
        <v>0.43721823099968005</v>
      </c>
      <c r="Q129" s="118">
        <f t="shared" ref="Q129" si="312">((P129/G129)^(1/($H$2-$H$1) ))-1</f>
        <v>5.1867092625279554E-5</v>
      </c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</row>
    <row r="130" spans="2:31"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</row>
    <row r="131" spans="2:31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</row>
    <row r="132" spans="2:31"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</row>
    <row r="133" spans="2:31"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</row>
    <row r="134" spans="2:31"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</row>
  </sheetData>
  <mergeCells count="2">
    <mergeCell ref="AD2:AE2"/>
    <mergeCell ref="AD3:AE3"/>
  </mergeCells>
  <pageMargins left="0.7" right="0.7" top="0.75" bottom="0.75" header="0.3" footer="0.3"/>
  <pageSetup orientation="portrait" r:id="rId1"/>
  <ignoredErrors>
    <ignoredError sqref="C119" evalError="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C3:J36"/>
  <sheetViews>
    <sheetView topLeftCell="D1" zoomScale="80" zoomScaleNormal="80" workbookViewId="0">
      <selection activeCell="F33" sqref="F33"/>
    </sheetView>
  </sheetViews>
  <sheetFormatPr defaultRowHeight="15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>
      <c r="C6" s="6" t="s">
        <v>17</v>
      </c>
      <c r="D6" s="8">
        <v>10910.34</v>
      </c>
      <c r="E6" s="9"/>
      <c r="F6" s="9"/>
      <c r="G6" s="9"/>
      <c r="H6" s="9"/>
      <c r="I6" s="9"/>
    </row>
    <row r="7" spans="3:9">
      <c r="C7" s="6" t="s">
        <v>4</v>
      </c>
      <c r="D7" s="8">
        <v>141489.62</v>
      </c>
      <c r="E7" s="9"/>
      <c r="F7" s="9"/>
      <c r="G7" s="9"/>
      <c r="H7" s="9"/>
      <c r="I7" s="9"/>
    </row>
    <row r="8" spans="3:9">
      <c r="C8" s="6" t="s">
        <v>2</v>
      </c>
      <c r="D8" s="8">
        <v>0</v>
      </c>
      <c r="E8" s="9"/>
      <c r="F8" s="9"/>
      <c r="G8" s="9"/>
      <c r="H8" s="9"/>
      <c r="I8" s="9"/>
    </row>
    <row r="9" spans="3:9">
      <c r="C9" s="6" t="s">
        <v>19</v>
      </c>
      <c r="D9" s="8">
        <v>0</v>
      </c>
      <c r="E9" s="9"/>
      <c r="F9" s="9"/>
      <c r="G9" s="9"/>
      <c r="H9" s="9"/>
      <c r="I9" s="9"/>
    </row>
    <row r="10" spans="3:9">
      <c r="C10" s="6" t="s">
        <v>23</v>
      </c>
      <c r="D10" s="15">
        <v>0</v>
      </c>
      <c r="E10" s="9"/>
      <c r="F10" s="9"/>
      <c r="G10" s="9"/>
      <c r="H10" s="9"/>
      <c r="I10" s="9"/>
    </row>
    <row r="11" spans="3:9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>
      <c r="D15" s="9"/>
      <c r="E15" s="9"/>
      <c r="F15" s="9"/>
      <c r="G15" s="9"/>
      <c r="H15" s="9"/>
      <c r="I15" s="9"/>
    </row>
    <row r="16" spans="3:9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>
      <c r="D17" s="9"/>
      <c r="E17" s="9"/>
      <c r="F17" s="9"/>
      <c r="G17" s="9"/>
      <c r="H17" s="9"/>
      <c r="I17" s="9"/>
    </row>
    <row r="18" spans="3:10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>
      <c r="C23" s="6" t="s">
        <v>22</v>
      </c>
      <c r="D23" s="13">
        <f>(D9*D16)/D14</f>
        <v>0</v>
      </c>
    </row>
    <row r="25" spans="3:10">
      <c r="C25" s="6" t="s">
        <v>24</v>
      </c>
      <c r="D25" s="16">
        <f>(D10*D16)/D14</f>
        <v>0</v>
      </c>
    </row>
    <row r="27" spans="3:10">
      <c r="C27" s="99" t="s">
        <v>83</v>
      </c>
    </row>
    <row r="28" spans="3:10">
      <c r="C28" s="6" t="s">
        <v>82</v>
      </c>
      <c r="D28" s="100">
        <f>(D11*D16)/D14</f>
        <v>2922.2274705074806</v>
      </c>
    </row>
    <row r="29" spans="3:10">
      <c r="C29" s="6" t="s">
        <v>84</v>
      </c>
      <c r="D29" s="100">
        <f>(D12*D16)/D14</f>
        <v>2101.8309793610538</v>
      </c>
    </row>
    <row r="30" spans="3:10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>
      <c r="C31" s="6" t="s">
        <v>81</v>
      </c>
      <c r="D31" s="98">
        <f>D12/D11</f>
        <v>0.71925645781299996</v>
      </c>
    </row>
    <row r="34" spans="3:4">
      <c r="C34" s="1" t="s">
        <v>20</v>
      </c>
      <c r="D34" s="1" t="s">
        <v>21</v>
      </c>
    </row>
    <row r="35" spans="3:4">
      <c r="C35" s="11">
        <v>1</v>
      </c>
      <c r="D35" s="12">
        <f>C35/10</f>
        <v>0.1</v>
      </c>
    </row>
    <row r="36" spans="3:4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2:Q45"/>
  <sheetViews>
    <sheetView topLeftCell="A25" zoomScale="80" zoomScaleNormal="80" workbookViewId="0">
      <selection activeCell="M5" sqref="M5:N10"/>
    </sheetView>
  </sheetViews>
  <sheetFormatPr defaultRowHeight="15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>
      <c r="D2" s="6" t="s">
        <v>64</v>
      </c>
    </row>
    <row r="3" spans="2:14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170" t="s">
        <v>27</v>
      </c>
      <c r="K5" s="170"/>
      <c r="M5" s="170" t="s">
        <v>65</v>
      </c>
      <c r="N5" s="170"/>
    </row>
    <row r="6" spans="2:14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170" t="s">
        <v>36</v>
      </c>
      <c r="K14" s="170"/>
      <c r="L14" s="170"/>
    </row>
    <row r="15" spans="2:14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>
      <c r="B23" s="18" t="s">
        <v>46</v>
      </c>
      <c r="C23" s="1"/>
      <c r="D23" s="4">
        <v>0.1125</v>
      </c>
      <c r="E23" s="4"/>
      <c r="F23" s="1"/>
      <c r="G23" s="1"/>
    </row>
    <row r="27" spans="1:17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2:T45"/>
  <sheetViews>
    <sheetView zoomScale="80" zoomScaleNormal="80" workbookViewId="0">
      <selection activeCell="B17" sqref="B17"/>
    </sheetView>
  </sheetViews>
  <sheetFormatPr defaultRowHeight="15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>
      <c r="D2" s="6" t="s">
        <v>47</v>
      </c>
    </row>
    <row r="3" spans="2:20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>
      <c r="B5" s="18">
        <v>1</v>
      </c>
      <c r="C5" s="1">
        <v>2001</v>
      </c>
      <c r="D5" s="1"/>
      <c r="E5" s="1"/>
      <c r="F5" s="1"/>
      <c r="G5" s="1">
        <v>115.93</v>
      </c>
      <c r="R5" s="170" t="s">
        <v>27</v>
      </c>
      <c r="S5" s="170"/>
    </row>
    <row r="6" spans="2:20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170" t="s">
        <v>36</v>
      </c>
      <c r="S14" s="170"/>
      <c r="T14" s="170"/>
    </row>
    <row r="15" spans="2:20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>
      <c r="B23" s="18" t="s">
        <v>46</v>
      </c>
      <c r="C23" s="1"/>
      <c r="D23" s="4">
        <v>0.1125</v>
      </c>
      <c r="E23" s="4"/>
      <c r="F23" s="1"/>
      <c r="G23" s="1"/>
    </row>
    <row r="27" spans="1:20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dimension ref="B2:L48"/>
  <sheetViews>
    <sheetView topLeftCell="A25" zoomScale="90" zoomScaleNormal="90" workbookViewId="0">
      <selection activeCell="G25" sqref="G25"/>
    </sheetView>
  </sheetViews>
  <sheetFormatPr defaultRowHeight="1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>
      <c r="B2" s="170" t="s">
        <v>27</v>
      </c>
      <c r="C2" s="170"/>
      <c r="E2" s="170" t="s">
        <v>65</v>
      </c>
      <c r="F2" s="170"/>
      <c r="H2" s="174" t="s">
        <v>36</v>
      </c>
      <c r="I2" s="175"/>
    </row>
    <row r="3" spans="2:12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/>
    <row r="10" spans="2:12" ht="16.5" thickBot="1">
      <c r="B10" s="86"/>
      <c r="C10" s="87"/>
      <c r="D10" s="171" t="s">
        <v>68</v>
      </c>
      <c r="E10" s="172"/>
      <c r="F10" s="172"/>
      <c r="G10" s="172"/>
      <c r="H10" s="173"/>
      <c r="I10" s="171" t="s">
        <v>72</v>
      </c>
      <c r="J10" s="172"/>
      <c r="K10" s="172"/>
      <c r="L10" s="173"/>
    </row>
    <row r="11" spans="2:12" ht="4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2016-11-08T02:44:42Z</dcterms:modified>
</cp:coreProperties>
</file>
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filterPrivacy="1" defaultThemeVersion="124226"/>
  <xr:revisionPtr revIDLastSave="311" documentId="11_3CDEE6527BD2FA612E60AD97F9190986F4FECA82" xr6:coauthVersionLast="47" xr6:coauthVersionMax="47" xr10:uidLastSave="{63DE3370-23FE-7C4D-B272-4B7F5A834412}"/>
  <bookViews>
    <workbookView xWindow="13880" yWindow="-21100" windowWidth="38400" windowHeight="2110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7" i="18" l="1"/>
  <c r="X213" i="18"/>
  <c r="AA79" i="18"/>
  <c r="AA27" i="18"/>
  <c r="AA25" i="18"/>
  <c r="P76" i="18"/>
  <c r="P5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AA54" i="18"/>
  <c r="Z54" i="18"/>
  <c r="Y54" i="18"/>
  <c r="X54" i="18"/>
  <c r="W54" i="18"/>
  <c r="V54" i="18"/>
  <c r="U54" i="18"/>
  <c r="T54" i="18"/>
  <c r="S54" i="18"/>
  <c r="R54" i="18"/>
  <c r="Q54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AB18" i="18"/>
  <c r="AA8" i="18"/>
  <c r="Z8" i="18"/>
  <c r="Y8" i="18"/>
  <c r="X8" i="18"/>
  <c r="W8" i="18"/>
  <c r="V8" i="18"/>
  <c r="U8" i="18"/>
  <c r="T8" i="18"/>
  <c r="S8" i="18"/>
  <c r="R8" i="18"/>
  <c r="Q8" i="18"/>
  <c r="P8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Q39" i="18"/>
  <c r="R39" i="18"/>
  <c r="S39" i="18"/>
  <c r="T39" i="18"/>
  <c r="U39" i="18"/>
  <c r="V39" i="18"/>
  <c r="W39" i="18"/>
  <c r="X39" i="18"/>
  <c r="Y39" i="18"/>
  <c r="Z39" i="18"/>
  <c r="AA39" i="18"/>
  <c r="Z216" i="18" l="1"/>
  <c r="Z215" i="18"/>
  <c r="Z208" i="18"/>
  <c r="Z171" i="18"/>
  <c r="Z170" i="18"/>
  <c r="Z167" i="18"/>
  <c r="Z166" i="18"/>
  <c r="Z164" i="18"/>
  <c r="Z163" i="18"/>
  <c r="Z161" i="18"/>
  <c r="Z160" i="18"/>
  <c r="Z159" i="18"/>
  <c r="Z158" i="18"/>
  <c r="Z155" i="18"/>
  <c r="Z154" i="18"/>
  <c r="Z153" i="18"/>
  <c r="Z151" i="18"/>
  <c r="Z150" i="18"/>
  <c r="Z149" i="18"/>
  <c r="Z141" i="18"/>
  <c r="Z140" i="18"/>
  <c r="Z139" i="18"/>
  <c r="Z138" i="18"/>
  <c r="Z136" i="18"/>
  <c r="Z135" i="18"/>
  <c r="Z134" i="18"/>
  <c r="Z133" i="18"/>
  <c r="Z132" i="18"/>
  <c r="Z131" i="18"/>
  <c r="Z130" i="18"/>
  <c r="Z129" i="18"/>
  <c r="Z128" i="18"/>
  <c r="Z120" i="18"/>
  <c r="Z126" i="18" s="1"/>
  <c r="Z119" i="18"/>
  <c r="Z125" i="18" s="1"/>
  <c r="Z118" i="18"/>
  <c r="Z124" i="18" s="1"/>
  <c r="Z117" i="18"/>
  <c r="Z123" i="18" s="1"/>
  <c r="Z116" i="18"/>
  <c r="Z122" i="18" s="1"/>
  <c r="Z113" i="18"/>
  <c r="Z112" i="18"/>
  <c r="Z111" i="18"/>
  <c r="Z110" i="18"/>
  <c r="Z109" i="18"/>
  <c r="Z106" i="18"/>
  <c r="Z104" i="18"/>
  <c r="Z103" i="18"/>
  <c r="Z102" i="18"/>
  <c r="Z168" i="18" s="1"/>
  <c r="Z100" i="18"/>
  <c r="Z99" i="18"/>
  <c r="Z98" i="18"/>
  <c r="Z97" i="18"/>
  <c r="Z94" i="18"/>
  <c r="Z96" i="18" s="1"/>
  <c r="Z92" i="18"/>
  <c r="Z143" i="18" s="1"/>
  <c r="Z144" i="18" s="1"/>
  <c r="Z90" i="18"/>
  <c r="Z212" i="18" s="1"/>
  <c r="Z89" i="18"/>
  <c r="Z87" i="18"/>
  <c r="Z86" i="18"/>
  <c r="Z84" i="18"/>
  <c r="Z213" i="18" s="1"/>
  <c r="Z83" i="18"/>
  <c r="Z82" i="18"/>
  <c r="Z80" i="18"/>
  <c r="Z79" i="18"/>
  <c r="Z210" i="18" s="1"/>
  <c r="Z78" i="18"/>
  <c r="Z77" i="18"/>
  <c r="Z76" i="18"/>
  <c r="Z207" i="18" s="1"/>
  <c r="Z75" i="18"/>
  <c r="Z209" i="18" s="1"/>
  <c r="Z74" i="18"/>
  <c r="Z72" i="18"/>
  <c r="Z114" i="18" s="1"/>
  <c r="Z71" i="18"/>
  <c r="Z70" i="18"/>
  <c r="Z206" i="18" s="1"/>
  <c r="Y216" i="18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R253" i="18"/>
  <c r="R254" i="18"/>
  <c r="R255" i="18"/>
  <c r="W253" i="18"/>
  <c r="X253" i="18"/>
  <c r="W254" i="18"/>
  <c r="X254" i="18"/>
  <c r="W255" i="18"/>
  <c r="X255" i="18"/>
  <c r="W215" i="18"/>
  <c r="W216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94" i="18"/>
  <c r="W96" i="18"/>
  <c r="W97" i="18"/>
  <c r="W98" i="18"/>
  <c r="W99" i="18"/>
  <c r="W100" i="18"/>
  <c r="W102" i="18"/>
  <c r="W103" i="18"/>
  <c r="W104" i="18"/>
  <c r="W106" i="18"/>
  <c r="W109" i="18"/>
  <c r="W110" i="18"/>
  <c r="W111" i="18"/>
  <c r="W112" i="18"/>
  <c r="W113" i="18"/>
  <c r="W116" i="18"/>
  <c r="W117" i="18"/>
  <c r="W123" i="18" s="1"/>
  <c r="W118" i="18"/>
  <c r="W124" i="18" s="1"/>
  <c r="W119" i="18"/>
  <c r="W125" i="18" s="1"/>
  <c r="W120" i="18"/>
  <c r="W126" i="18" s="1"/>
  <c r="W122" i="18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3" i="18"/>
  <c r="W144" i="18" s="1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68" i="18"/>
  <c r="W170" i="18"/>
  <c r="W171" i="18"/>
  <c r="X215" i="18"/>
  <c r="AA215" i="18"/>
  <c r="X216" i="18"/>
  <c r="AA216" i="18"/>
  <c r="AB6" i="18"/>
  <c r="X70" i="18"/>
  <c r="X206" i="18" s="1"/>
  <c r="AA70" i="18"/>
  <c r="AA206" i="18" s="1"/>
  <c r="X71" i="18"/>
  <c r="AA71" i="18"/>
  <c r="X72" i="18"/>
  <c r="X114" i="18" s="1"/>
  <c r="AA72" i="18"/>
  <c r="AA114" i="18" s="1"/>
  <c r="X74" i="18"/>
  <c r="X208" i="18" s="1"/>
  <c r="AA74" i="18"/>
  <c r="AA208" i="18" s="1"/>
  <c r="X75" i="18"/>
  <c r="X209" i="18" s="1"/>
  <c r="AA75" i="18"/>
  <c r="AA209" i="18" s="1"/>
  <c r="X76" i="18"/>
  <c r="X207" i="18" s="1"/>
  <c r="X220" i="18" s="1"/>
  <c r="X221" i="18" s="1"/>
  <c r="AA76" i="18"/>
  <c r="AA218" i="18" s="1"/>
  <c r="X77" i="18"/>
  <c r="AA77" i="18"/>
  <c r="X78" i="18"/>
  <c r="AA78" i="18"/>
  <c r="X79" i="18"/>
  <c r="X210" i="18" s="1"/>
  <c r="AA210" i="18"/>
  <c r="X80" i="18"/>
  <c r="AA80" i="18"/>
  <c r="X82" i="18"/>
  <c r="AA82" i="18"/>
  <c r="X83" i="18"/>
  <c r="AA83" i="18"/>
  <c r="X84" i="18"/>
  <c r="AA84" i="18"/>
  <c r="AA213" i="18" s="1"/>
  <c r="X86" i="18"/>
  <c r="AA86" i="18"/>
  <c r="X87" i="18"/>
  <c r="AA87" i="18"/>
  <c r="X89" i="18"/>
  <c r="AA89" i="18"/>
  <c r="X90" i="18"/>
  <c r="X212" i="18" s="1"/>
  <c r="AA90" i="18"/>
  <c r="AA212" i="18" s="1"/>
  <c r="X92" i="18"/>
  <c r="X143" i="18" s="1"/>
  <c r="X144" i="18" s="1"/>
  <c r="AA92" i="18"/>
  <c r="AA143" i="18" s="1"/>
  <c r="AA144" i="18" s="1"/>
  <c r="X94" i="18"/>
  <c r="X96" i="18" s="1"/>
  <c r="AA94" i="18"/>
  <c r="AA96" i="18" s="1"/>
  <c r="X97" i="18"/>
  <c r="AA97" i="18"/>
  <c r="X98" i="18"/>
  <c r="AA98" i="18"/>
  <c r="X99" i="18"/>
  <c r="AA99" i="18"/>
  <c r="X100" i="18"/>
  <c r="AA100" i="18"/>
  <c r="X102" i="18"/>
  <c r="X168" i="18" s="1"/>
  <c r="AA102" i="18"/>
  <c r="X103" i="18"/>
  <c r="AA103" i="18"/>
  <c r="X104" i="18"/>
  <c r="AA104" i="18"/>
  <c r="X106" i="18"/>
  <c r="AA106" i="18"/>
  <c r="X109" i="18"/>
  <c r="AA109" i="18"/>
  <c r="X110" i="18"/>
  <c r="AA110" i="18"/>
  <c r="X111" i="18"/>
  <c r="AA111" i="18"/>
  <c r="X112" i="18"/>
  <c r="AA112" i="18"/>
  <c r="X113" i="18"/>
  <c r="AA113" i="18"/>
  <c r="X116" i="18"/>
  <c r="AA116" i="18"/>
  <c r="AA122" i="18" s="1"/>
  <c r="X117" i="18"/>
  <c r="X123" i="18" s="1"/>
  <c r="AA117" i="18"/>
  <c r="AA123" i="18" s="1"/>
  <c r="X118" i="18"/>
  <c r="X124" i="18" s="1"/>
  <c r="AA118" i="18"/>
  <c r="AA124" i="18" s="1"/>
  <c r="X119" i="18"/>
  <c r="X125" i="18" s="1"/>
  <c r="AA119" i="18"/>
  <c r="AA125" i="18" s="1"/>
  <c r="X120" i="18"/>
  <c r="X126" i="18" s="1"/>
  <c r="AA120" i="18"/>
  <c r="AA126" i="18" s="1"/>
  <c r="X122" i="18"/>
  <c r="X128" i="18"/>
  <c r="AA128" i="18"/>
  <c r="X129" i="18"/>
  <c r="AA129" i="18"/>
  <c r="X130" i="18"/>
  <c r="AA130" i="18"/>
  <c r="X131" i="18"/>
  <c r="AA131" i="18"/>
  <c r="X132" i="18"/>
  <c r="AA132" i="18"/>
  <c r="X133" i="18"/>
  <c r="AA133" i="18"/>
  <c r="X134" i="18"/>
  <c r="AA134" i="18"/>
  <c r="X135" i="18"/>
  <c r="AA135" i="18"/>
  <c r="X136" i="18"/>
  <c r="AA136" i="18"/>
  <c r="X138" i="18"/>
  <c r="AA138" i="18"/>
  <c r="X139" i="18"/>
  <c r="AA139" i="18"/>
  <c r="X140" i="18"/>
  <c r="AA140" i="18"/>
  <c r="X141" i="18"/>
  <c r="AA141" i="18"/>
  <c r="X149" i="18"/>
  <c r="AA149" i="18"/>
  <c r="X150" i="18"/>
  <c r="AA150" i="18"/>
  <c r="X151" i="18"/>
  <c r="AA151" i="18"/>
  <c r="X153" i="18"/>
  <c r="AA153" i="18"/>
  <c r="X154" i="18"/>
  <c r="AA154" i="18"/>
  <c r="X155" i="18"/>
  <c r="AA155" i="18"/>
  <c r="X158" i="18"/>
  <c r="AA158" i="18"/>
  <c r="X159" i="18"/>
  <c r="AA159" i="18"/>
  <c r="X160" i="18"/>
  <c r="AA160" i="18"/>
  <c r="X161" i="18"/>
  <c r="AA161" i="18"/>
  <c r="X163" i="18"/>
  <c r="AA163" i="18"/>
  <c r="X164" i="18"/>
  <c r="AA164" i="18"/>
  <c r="X166" i="18"/>
  <c r="X167" i="18" s="1"/>
  <c r="AA166" i="18"/>
  <c r="AA167" i="18" s="1"/>
  <c r="AA168" i="18"/>
  <c r="X170" i="18"/>
  <c r="AA170" i="18"/>
  <c r="X171" i="18"/>
  <c r="AA171" i="18"/>
  <c r="Z88" i="18" l="1"/>
  <c r="Z211" i="18" s="1"/>
  <c r="X88" i="18"/>
  <c r="X211" i="18" s="1"/>
  <c r="Z220" i="18"/>
  <c r="Z221" i="18" s="1"/>
  <c r="Z219" i="18"/>
  <c r="Z218" i="18"/>
  <c r="X218" i="18"/>
  <c r="AA207" i="18"/>
  <c r="AA220" i="18" s="1"/>
  <c r="AA221" i="18" s="1"/>
  <c r="Z145" i="18"/>
  <c r="Z146" i="18" s="1"/>
  <c r="Z147" i="18"/>
  <c r="AA88" i="18"/>
  <c r="AA211" i="18" s="1"/>
  <c r="W218" i="18"/>
  <c r="Y88" i="18"/>
  <c r="Y211" i="18" s="1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AA145" i="18"/>
  <c r="AA146" i="18" s="1"/>
  <c r="AA147" i="18"/>
  <c r="X147" i="18"/>
  <c r="X145" i="18"/>
  <c r="X146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S72" i="18"/>
  <c r="S114" i="18" s="1"/>
  <c r="T72" i="18"/>
  <c r="T114" i="18" s="1"/>
  <c r="U72" i="18"/>
  <c r="U114" i="18" s="1"/>
  <c r="V72" i="18"/>
  <c r="V114" i="18" s="1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R87" i="18"/>
  <c r="S87" i="18"/>
  <c r="T87" i="18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V92" i="18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R168" i="18" s="1"/>
  <c r="S102" i="18"/>
  <c r="S168" i="18" s="1"/>
  <c r="T102" i="18"/>
  <c r="T168" i="18" s="1"/>
  <c r="U102" i="18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R116" i="18"/>
  <c r="R122" i="18" s="1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S123" i="18" s="1"/>
  <c r="T117" i="18"/>
  <c r="T123" i="18" s="1"/>
  <c r="U117" i="18"/>
  <c r="U123" i="18" s="1"/>
  <c r="V117" i="18"/>
  <c r="V123" i="18" s="1"/>
  <c r="R118" i="18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V125" i="18" s="1"/>
  <c r="R120" i="18"/>
  <c r="R126" i="18" s="1"/>
  <c r="S120" i="18"/>
  <c r="S126" i="18" s="1"/>
  <c r="T120" i="18"/>
  <c r="T126" i="18" s="1"/>
  <c r="U120" i="18"/>
  <c r="U126" i="18" s="1"/>
  <c r="V120" i="18"/>
  <c r="V126" i="18" s="1"/>
  <c r="R124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U143" i="18"/>
  <c r="U144" i="18" s="1"/>
  <c r="V143" i="18"/>
  <c r="V144" i="18" s="1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T167" i="18" s="1"/>
  <c r="U166" i="18"/>
  <c r="U167" i="18" s="1"/>
  <c r="V166" i="18"/>
  <c r="V167" i="18" s="1"/>
  <c r="U168" i="18"/>
  <c r="R170" i="18"/>
  <c r="S170" i="18"/>
  <c r="T170" i="18"/>
  <c r="U170" i="18"/>
  <c r="V170" i="18"/>
  <c r="R171" i="18"/>
  <c r="S171" i="18"/>
  <c r="T171" i="18"/>
  <c r="U171" i="18"/>
  <c r="V171" i="18"/>
  <c r="Y220" i="18" l="1"/>
  <c r="Y221" i="18" s="1"/>
  <c r="R88" i="18"/>
  <c r="R211" i="18" s="1"/>
  <c r="V88" i="18"/>
  <c r="V211" i="18" s="1"/>
  <c r="AA219" i="18"/>
  <c r="S207" i="18"/>
  <c r="S220" i="18" s="1"/>
  <c r="S221" i="18" s="1"/>
  <c r="T88" i="18"/>
  <c r="T211" i="18" s="1"/>
  <c r="R207" i="18"/>
  <c r="S88" i="18"/>
  <c r="S211" i="18" s="1"/>
  <c r="V207" i="18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D52" i="18"/>
  <c r="AD61" i="18"/>
  <c r="AD63" i="18"/>
  <c r="S219" i="18" l="1"/>
  <c r="R220" i="18"/>
  <c r="R221" i="18" s="1"/>
  <c r="R219" i="18"/>
  <c r="V220" i="18"/>
  <c r="V221" i="18" s="1"/>
  <c r="V219" i="18"/>
  <c r="AA255" i="18"/>
  <c r="AA254" i="18"/>
  <c r="AA253" i="18"/>
  <c r="G106" i="18"/>
  <c r="AB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Z229" i="18" s="1"/>
  <c r="AO110" i="18"/>
  <c r="AO111" i="18"/>
  <c r="AO112" i="18"/>
  <c r="AO113" i="18"/>
  <c r="AO114" i="18"/>
  <c r="AO116" i="18"/>
  <c r="AO117" i="18"/>
  <c r="AO118" i="18"/>
  <c r="AO119" i="18"/>
  <c r="AO120" i="18"/>
  <c r="AO122" i="18"/>
  <c r="AO123" i="18"/>
  <c r="AO124" i="18"/>
  <c r="AO125" i="18"/>
  <c r="AO126" i="18"/>
  <c r="AO128" i="18"/>
  <c r="AO129" i="18"/>
  <c r="AO130" i="18"/>
  <c r="AO131" i="18"/>
  <c r="AO132" i="18"/>
  <c r="AO133" i="18"/>
  <c r="AO134" i="18"/>
  <c r="AO135" i="18"/>
  <c r="AO136" i="18"/>
  <c r="AO138" i="18"/>
  <c r="AO139" i="18"/>
  <c r="AO140" i="18"/>
  <c r="AO141" i="18"/>
  <c r="AO143" i="18"/>
  <c r="AO144" i="18"/>
  <c r="AO145" i="18"/>
  <c r="AO146" i="18"/>
  <c r="AO147" i="18"/>
  <c r="AO149" i="18"/>
  <c r="AO150" i="18"/>
  <c r="AO151" i="18"/>
  <c r="AO153" i="18"/>
  <c r="AO154" i="18"/>
  <c r="AO155" i="18"/>
  <c r="AO158" i="18"/>
  <c r="AO159" i="18"/>
  <c r="AO160" i="18"/>
  <c r="AO161" i="18"/>
  <c r="AO163" i="18"/>
  <c r="AO164" i="18"/>
  <c r="AO166" i="18"/>
  <c r="AO167" i="18"/>
  <c r="AO168" i="18"/>
  <c r="AO170" i="18"/>
  <c r="AO171" i="18"/>
  <c r="AO109" i="18"/>
  <c r="AO106" i="18"/>
  <c r="AO90" i="18"/>
  <c r="AB73" i="18"/>
  <c r="AB81" i="18"/>
  <c r="AB85" i="18"/>
  <c r="AB91" i="18"/>
  <c r="AB93" i="18"/>
  <c r="AB95" i="18"/>
  <c r="AB101" i="18"/>
  <c r="AB105" i="18"/>
  <c r="AB107" i="18"/>
  <c r="AB108" i="18"/>
  <c r="AB115" i="18"/>
  <c r="AB121" i="18"/>
  <c r="AB127" i="18"/>
  <c r="AB137" i="18"/>
  <c r="AB142" i="18"/>
  <c r="AB148" i="18"/>
  <c r="AB152" i="18"/>
  <c r="AB156" i="18"/>
  <c r="AB157" i="18"/>
  <c r="AB162" i="18"/>
  <c r="AB165" i="18"/>
  <c r="AB169" i="18"/>
  <c r="AB13" i="18"/>
  <c r="AB14" i="18"/>
  <c r="AB15" i="18"/>
  <c r="AB16" i="18"/>
  <c r="AB20" i="18"/>
  <c r="AB21" i="18"/>
  <c r="AB22" i="18"/>
  <c r="AB23" i="18"/>
  <c r="AB25" i="18"/>
  <c r="AB27" i="18"/>
  <c r="AB29" i="18"/>
  <c r="AB31" i="18"/>
  <c r="AB32" i="18"/>
  <c r="AB33" i="18"/>
  <c r="AB34" i="18"/>
  <c r="AB47" i="18"/>
  <c r="AB52" i="18"/>
  <c r="AB53" i="18"/>
  <c r="AB55" i="18"/>
  <c r="AB57" i="18"/>
  <c r="AB59" i="18"/>
  <c r="R238" i="18" s="1"/>
  <c r="AB61" i="18"/>
  <c r="AB63" i="18"/>
  <c r="AB65" i="18"/>
  <c r="AB66" i="18"/>
  <c r="AB67" i="18"/>
  <c r="AB12" i="18"/>
  <c r="AB10" i="18"/>
  <c r="AB9" i="18"/>
  <c r="AB7" i="18"/>
  <c r="C1" i="18"/>
  <c r="Z228" i="18" l="1"/>
  <c r="Z230" i="18"/>
  <c r="Z231" i="18" s="1"/>
  <c r="T174" i="18"/>
  <c r="Z224" i="18" s="1"/>
  <c r="W229" i="18"/>
  <c r="Y229" i="18"/>
  <c r="W230" i="18"/>
  <c r="W231" i="18" s="1"/>
  <c r="W228" i="18"/>
  <c r="X229" i="18"/>
  <c r="AA229" i="18"/>
  <c r="T229" i="18"/>
  <c r="R229" i="18"/>
  <c r="U229" i="18"/>
  <c r="V229" i="18"/>
  <c r="S229" i="18"/>
  <c r="AO47" i="18"/>
  <c r="AC47" i="18"/>
  <c r="O48" i="18"/>
  <c r="N48" i="18"/>
  <c r="M48" i="18"/>
  <c r="L48" i="18"/>
  <c r="K48" i="18"/>
  <c r="J48" i="18"/>
  <c r="I48" i="18"/>
  <c r="H48" i="18"/>
  <c r="G48" i="18"/>
  <c r="AO57" i="18"/>
  <c r="AC57" i="18"/>
  <c r="O58" i="18"/>
  <c r="N58" i="18"/>
  <c r="M58" i="18"/>
  <c r="L58" i="18"/>
  <c r="K58" i="18"/>
  <c r="J58" i="18"/>
  <c r="I58" i="18"/>
  <c r="H58" i="18"/>
  <c r="G58" i="18"/>
  <c r="V255" i="18"/>
  <c r="AB255" i="18" s="1"/>
  <c r="V254" i="18"/>
  <c r="AB254" i="18" s="1"/>
  <c r="V253" i="18"/>
  <c r="AB253" i="18" s="1"/>
  <c r="AB205" i="18"/>
  <c r="O60" i="18"/>
  <c r="N60" i="18"/>
  <c r="M60" i="18"/>
  <c r="L60" i="18"/>
  <c r="K60" i="18"/>
  <c r="J60" i="18"/>
  <c r="I60" i="18"/>
  <c r="H60" i="18"/>
  <c r="G60" i="18"/>
  <c r="O56" i="18"/>
  <c r="N56" i="18"/>
  <c r="M56" i="18"/>
  <c r="L56" i="18"/>
  <c r="K56" i="18"/>
  <c r="J56" i="18"/>
  <c r="I56" i="18"/>
  <c r="H56" i="18"/>
  <c r="G56" i="18"/>
  <c r="O54" i="18"/>
  <c r="N54" i="18"/>
  <c r="M54" i="18"/>
  <c r="L54" i="18"/>
  <c r="K54" i="18"/>
  <c r="J54" i="18"/>
  <c r="I54" i="18"/>
  <c r="H54" i="18"/>
  <c r="G54" i="18"/>
  <c r="O30" i="18"/>
  <c r="N30" i="18"/>
  <c r="M30" i="18"/>
  <c r="L30" i="18"/>
  <c r="K30" i="18"/>
  <c r="J30" i="18"/>
  <c r="I30" i="18"/>
  <c r="H30" i="18"/>
  <c r="G30" i="18"/>
  <c r="O28" i="18"/>
  <c r="N28" i="18"/>
  <c r="M28" i="18"/>
  <c r="L28" i="18"/>
  <c r="K28" i="18"/>
  <c r="J28" i="18"/>
  <c r="I28" i="18"/>
  <c r="H28" i="18"/>
  <c r="G28" i="18"/>
  <c r="O26" i="18"/>
  <c r="N26" i="18"/>
  <c r="M26" i="18"/>
  <c r="L26" i="18"/>
  <c r="K26" i="18"/>
  <c r="J26" i="18"/>
  <c r="I26" i="18"/>
  <c r="H26" i="18"/>
  <c r="G26" i="18"/>
  <c r="O11" i="18"/>
  <c r="N11" i="18"/>
  <c r="M11" i="18"/>
  <c r="L11" i="18"/>
  <c r="K11" i="18"/>
  <c r="J11" i="18"/>
  <c r="I11" i="18"/>
  <c r="H11" i="18"/>
  <c r="G11" i="18"/>
  <c r="O8" i="18"/>
  <c r="N8" i="18"/>
  <c r="M8" i="18"/>
  <c r="L8" i="18"/>
  <c r="K8" i="18"/>
  <c r="J8" i="18"/>
  <c r="I8" i="18"/>
  <c r="H8" i="18"/>
  <c r="G8" i="18"/>
  <c r="S224" i="18" l="1"/>
  <c r="T224" i="18"/>
  <c r="T223" i="18" s="1"/>
  <c r="X224" i="18"/>
  <c r="V224" i="18"/>
  <c r="V223" i="18" s="1"/>
  <c r="AA224" i="18"/>
  <c r="AA223" i="18" s="1"/>
  <c r="R224" i="18"/>
  <c r="R223" i="18" s="1"/>
  <c r="T249" i="18"/>
  <c r="U224" i="18"/>
  <c r="U223" i="18" s="1"/>
  <c r="Z225" i="18"/>
  <c r="Z226" i="18" s="1"/>
  <c r="Z223" i="18"/>
  <c r="AD47" i="18"/>
  <c r="AE47" i="18" s="1"/>
  <c r="AF47" i="18" s="1"/>
  <c r="AG47" i="18" s="1"/>
  <c r="AH47" i="18" s="1"/>
  <c r="AI47" i="18" s="1"/>
  <c r="AJ47" i="18" s="1"/>
  <c r="AK47" i="18" s="1"/>
  <c r="AL47" i="18" s="1"/>
  <c r="AM47" i="18" s="1"/>
  <c r="AD57" i="18"/>
  <c r="AE57" i="18" s="1"/>
  <c r="AF57" i="18" s="1"/>
  <c r="AG57" i="18" s="1"/>
  <c r="AH57" i="18" s="1"/>
  <c r="AI57" i="18" s="1"/>
  <c r="AJ57" i="18" s="1"/>
  <c r="AK57" i="18" s="1"/>
  <c r="AL57" i="18" s="1"/>
  <c r="AM57" i="18" s="1"/>
  <c r="Y228" i="18"/>
  <c r="Y230" i="18"/>
  <c r="Y231" i="18" s="1"/>
  <c r="W224" i="18"/>
  <c r="Y224" i="18"/>
  <c r="X230" i="18"/>
  <c r="X231" i="18" s="1"/>
  <c r="X228" i="18"/>
  <c r="AA228" i="18"/>
  <c r="AA230" i="18"/>
  <c r="AA231" i="18" s="1"/>
  <c r="X223" i="18"/>
  <c r="X225" i="18"/>
  <c r="X226" i="18" s="1"/>
  <c r="U228" i="18"/>
  <c r="U230" i="18"/>
  <c r="U231" i="18" s="1"/>
  <c r="S223" i="18"/>
  <c r="S225" i="18"/>
  <c r="S226" i="18" s="1"/>
  <c r="S228" i="18"/>
  <c r="S230" i="18"/>
  <c r="S231" i="18" s="1"/>
  <c r="R228" i="18"/>
  <c r="R230" i="18"/>
  <c r="R231" i="18" s="1"/>
  <c r="V228" i="18"/>
  <c r="V230" i="18"/>
  <c r="V231" i="18" s="1"/>
  <c r="T228" i="18"/>
  <c r="T230" i="18"/>
  <c r="T231" i="18" s="1"/>
  <c r="T250" i="18"/>
  <c r="G215" i="18"/>
  <c r="AB215" i="18" s="1"/>
  <c r="G216" i="18"/>
  <c r="G62" i="18"/>
  <c r="G64" i="18"/>
  <c r="G70" i="18"/>
  <c r="G71" i="18"/>
  <c r="AB71" i="18" s="1"/>
  <c r="G72" i="18"/>
  <c r="G74" i="18"/>
  <c r="G75" i="18"/>
  <c r="G76" i="18"/>
  <c r="AB76" i="18" s="1"/>
  <c r="G77" i="18"/>
  <c r="AB77" i="18" s="1"/>
  <c r="G78" i="18"/>
  <c r="AB78" i="18" s="1"/>
  <c r="G79" i="18"/>
  <c r="G80" i="18"/>
  <c r="AB80" i="18" s="1"/>
  <c r="G82" i="18"/>
  <c r="AB82" i="18" s="1"/>
  <c r="G83" i="18"/>
  <c r="AB83" i="18" s="1"/>
  <c r="G84" i="18"/>
  <c r="G86" i="18"/>
  <c r="AB86" i="18" s="1"/>
  <c r="G87" i="18"/>
  <c r="AB87" i="18" s="1"/>
  <c r="G89" i="18"/>
  <c r="AB89" i="18" s="1"/>
  <c r="G90" i="18"/>
  <c r="G92" i="18"/>
  <c r="G94" i="18"/>
  <c r="G97" i="18"/>
  <c r="AB97" i="18" s="1"/>
  <c r="G98" i="18"/>
  <c r="AB98" i="18" s="1"/>
  <c r="G99" i="18"/>
  <c r="AB99" i="18" s="1"/>
  <c r="G100" i="18"/>
  <c r="AB100" i="18" s="1"/>
  <c r="G102" i="18"/>
  <c r="G103" i="18"/>
  <c r="AB103" i="18" s="1"/>
  <c r="G104" i="18"/>
  <c r="AB104" i="18" s="1"/>
  <c r="G109" i="18"/>
  <c r="AB109" i="18" s="1"/>
  <c r="G110" i="18"/>
  <c r="AB110" i="18" s="1"/>
  <c r="G111" i="18"/>
  <c r="AB111" i="18" s="1"/>
  <c r="G112" i="18"/>
  <c r="AB112" i="18" s="1"/>
  <c r="G113" i="18"/>
  <c r="AB113" i="18" s="1"/>
  <c r="G116" i="18"/>
  <c r="G117" i="18"/>
  <c r="G118" i="18"/>
  <c r="G119" i="18"/>
  <c r="G120" i="18"/>
  <c r="G138" i="18"/>
  <c r="AB138" i="18" s="1"/>
  <c r="G139" i="18"/>
  <c r="AB139" i="18" s="1"/>
  <c r="G140" i="18"/>
  <c r="AB140" i="18" s="1"/>
  <c r="G141" i="18"/>
  <c r="AB141" i="18" s="1"/>
  <c r="G149" i="18"/>
  <c r="AB149" i="18" s="1"/>
  <c r="G150" i="18"/>
  <c r="AB150" i="18" s="1"/>
  <c r="G151" i="18"/>
  <c r="AB151" i="18" s="1"/>
  <c r="G153" i="18"/>
  <c r="AB153" i="18" s="1"/>
  <c r="G154" i="18"/>
  <c r="AB154" i="18" s="1"/>
  <c r="G155" i="18"/>
  <c r="AB155" i="18" s="1"/>
  <c r="G158" i="18"/>
  <c r="AB158" i="18" s="1"/>
  <c r="G159" i="18"/>
  <c r="AB159" i="18" s="1"/>
  <c r="G160" i="18"/>
  <c r="AB160" i="18" s="1"/>
  <c r="G161" i="18"/>
  <c r="AB161" i="18" s="1"/>
  <c r="G163" i="18"/>
  <c r="AB163" i="18" s="1"/>
  <c r="G164" i="18"/>
  <c r="AB164" i="18" s="1"/>
  <c r="G166" i="18"/>
  <c r="G170" i="18"/>
  <c r="AB170" i="18" s="1"/>
  <c r="G171" i="18"/>
  <c r="AB171" i="18" s="1"/>
  <c r="AO236" i="18"/>
  <c r="AO235" i="18"/>
  <c r="AO234" i="18"/>
  <c r="AO233" i="18"/>
  <c r="O62" i="18"/>
  <c r="N62" i="18"/>
  <c r="M62" i="18"/>
  <c r="L62" i="18"/>
  <c r="K62" i="18"/>
  <c r="J62" i="18"/>
  <c r="I62" i="18"/>
  <c r="H62" i="18"/>
  <c r="AA225" i="18" l="1"/>
  <c r="AA226" i="18" s="1"/>
  <c r="T225" i="18"/>
  <c r="T226" i="18" s="1"/>
  <c r="V225" i="18"/>
  <c r="V226" i="18" s="1"/>
  <c r="R225" i="18"/>
  <c r="R226" i="18" s="1"/>
  <c r="U225" i="18"/>
  <c r="U226" i="18" s="1"/>
  <c r="AP57" i="18"/>
  <c r="AN57" i="18"/>
  <c r="AP47" i="18"/>
  <c r="AN47" i="18"/>
  <c r="W225" i="18"/>
  <c r="W226" i="18" s="1"/>
  <c r="W223" i="18"/>
  <c r="Y223" i="18"/>
  <c r="Y225" i="18"/>
  <c r="Y226" i="18" s="1"/>
  <c r="AB216" i="18"/>
  <c r="G238" i="18"/>
  <c r="G126" i="18"/>
  <c r="AB126" i="18" s="1"/>
  <c r="AB120" i="18"/>
  <c r="G124" i="18"/>
  <c r="AB124" i="18" s="1"/>
  <c r="AB118" i="18"/>
  <c r="G122" i="18"/>
  <c r="AB122" i="18" s="1"/>
  <c r="AB116" i="18"/>
  <c r="G168" i="18"/>
  <c r="AB168" i="18" s="1"/>
  <c r="AB102" i="18"/>
  <c r="G143" i="18"/>
  <c r="AB92" i="18"/>
  <c r="G208" i="18"/>
  <c r="AB208" i="18" s="1"/>
  <c r="AB74" i="18"/>
  <c r="G167" i="18"/>
  <c r="AB167" i="18" s="1"/>
  <c r="AB166" i="18"/>
  <c r="G125" i="18"/>
  <c r="AB125" i="18" s="1"/>
  <c r="AB119" i="18"/>
  <c r="G123" i="18"/>
  <c r="AB123" i="18" s="1"/>
  <c r="AB117" i="18"/>
  <c r="G96" i="18"/>
  <c r="AB96" i="18" s="1"/>
  <c r="AB94" i="18"/>
  <c r="G212" i="18"/>
  <c r="AB212" i="18" s="1"/>
  <c r="AB90" i="18"/>
  <c r="G213" i="18"/>
  <c r="AB213" i="18" s="1"/>
  <c r="AB84" i="18"/>
  <c r="G210" i="18"/>
  <c r="AB210" i="18" s="1"/>
  <c r="AB79" i="18"/>
  <c r="G209" i="18"/>
  <c r="AB209" i="18" s="1"/>
  <c r="AB75" i="18"/>
  <c r="G114" i="18"/>
  <c r="AB114" i="18" s="1"/>
  <c r="AB72" i="18"/>
  <c r="G206" i="18"/>
  <c r="AB206" i="18" s="1"/>
  <c r="AB70" i="18"/>
  <c r="G207" i="18"/>
  <c r="G219" i="18" s="1"/>
  <c r="AB219" i="18" s="1"/>
  <c r="G88" i="18"/>
  <c r="AB88" i="18" s="1"/>
  <c r="G218" i="18"/>
  <c r="AB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Q21" i="20"/>
  <c r="R21" i="20" s="1"/>
  <c r="R22" i="20" s="1"/>
  <c r="G144" i="18"/>
  <c r="AB143" i="18"/>
  <c r="G211" i="18"/>
  <c r="AB211" i="18" s="1"/>
  <c r="G220" i="18"/>
  <c r="AB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B144" i="18"/>
  <c r="G147" i="18"/>
  <c r="AB147" i="18" s="1"/>
  <c r="G221" i="18"/>
  <c r="AB221" i="18" s="1"/>
  <c r="AB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B146" i="18" s="1"/>
  <c r="AB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80" i="18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 s="1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AB45" i="18"/>
  <c r="AB38" i="18"/>
  <c r="I88" i="18" l="1"/>
  <c r="I211" i="18" s="1"/>
  <c r="H88" i="18"/>
  <c r="H211" i="18" s="1"/>
  <c r="G46" i="18"/>
  <c r="G39" i="18"/>
  <c r="I147" i="18"/>
  <c r="H145" i="18"/>
  <c r="H146" i="18" s="1"/>
  <c r="H147" i="18"/>
  <c r="AB40" i="18"/>
  <c r="AB42" i="18"/>
  <c r="AB41" i="18"/>
  <c r="AB43" i="18"/>
  <c r="I129" i="18"/>
  <c r="I130" i="18"/>
  <c r="I131" i="18"/>
  <c r="I132" i="18"/>
  <c r="I135" i="18"/>
  <c r="AB49" i="18"/>
  <c r="I133" i="18"/>
  <c r="I39" i="18"/>
  <c r="H39" i="18"/>
  <c r="AB36" i="18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O49" i="18"/>
  <c r="AC49" i="18"/>
  <c r="AD49" i="18" s="1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E49" i="18"/>
  <c r="AF49" i="18" s="1"/>
  <c r="AG49" i="18" s="1"/>
  <c r="AH49" i="18" s="1"/>
  <c r="AI49" i="18" s="1"/>
  <c r="AJ49" i="18" s="1"/>
  <c r="AK49" i="18" s="1"/>
  <c r="AL49" i="18" s="1"/>
  <c r="AM49" i="18" s="1"/>
  <c r="G133" i="18"/>
  <c r="AB133" i="18" s="1"/>
  <c r="G50" i="18"/>
  <c r="G129" i="18"/>
  <c r="AB129" i="18" s="1"/>
  <c r="G131" i="18"/>
  <c r="AB131" i="18" s="1"/>
  <c r="G135" i="18"/>
  <c r="AB135" i="18" s="1"/>
  <c r="G44" i="18"/>
  <c r="G130" i="18"/>
  <c r="AB130" i="18" s="1"/>
  <c r="G132" i="18"/>
  <c r="AB132" i="18" s="1"/>
  <c r="G37" i="18"/>
  <c r="G128" i="18"/>
  <c r="AB128" i="18" s="1"/>
  <c r="G136" i="18"/>
  <c r="AB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C51" i="18"/>
  <c r="AD51" i="18" s="1"/>
  <c r="J51" i="18"/>
  <c r="O46" i="18"/>
  <c r="N46" i="18"/>
  <c r="M46" i="18"/>
  <c r="L46" i="18"/>
  <c r="J46" i="18"/>
  <c r="O44" i="18"/>
  <c r="N44" i="18"/>
  <c r="M44" i="18"/>
  <c r="L44" i="18"/>
  <c r="J44" i="18"/>
  <c r="P39" i="18"/>
  <c r="O39" i="18"/>
  <c r="N39" i="18"/>
  <c r="M39" i="18"/>
  <c r="L39" i="18"/>
  <c r="K39" i="18"/>
  <c r="O37" i="18"/>
  <c r="N37" i="18"/>
  <c r="M37" i="18"/>
  <c r="L37" i="18"/>
  <c r="K44" i="18"/>
  <c r="J39" i="18"/>
  <c r="J130" i="18"/>
  <c r="AP49" i="18" l="1"/>
  <c r="AN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O51" i="18"/>
  <c r="AO45" i="18"/>
  <c r="AO43" i="18"/>
  <c r="AO42" i="18"/>
  <c r="AO41" i="18"/>
  <c r="AO40" i="18"/>
  <c r="AO38" i="18"/>
  <c r="AO36" i="18"/>
  <c r="AC40" i="18"/>
  <c r="AD40" i="18" s="1"/>
  <c r="AE51" i="18"/>
  <c r="AF51" i="18" s="1"/>
  <c r="AG51" i="18" s="1"/>
  <c r="AH51" i="18" s="1"/>
  <c r="AI51" i="18" s="1"/>
  <c r="AJ51" i="18" s="1"/>
  <c r="AK51" i="18" s="1"/>
  <c r="AL51" i="18" s="1"/>
  <c r="AM51" i="18" s="1"/>
  <c r="AC45" i="18"/>
  <c r="AD45" i="18" s="1"/>
  <c r="AP51" i="18" l="1"/>
  <c r="AE45" i="18"/>
  <c r="AF45" i="18" s="1"/>
  <c r="AG45" i="18" s="1"/>
  <c r="AH45" i="18" s="1"/>
  <c r="AI45" i="18" s="1"/>
  <c r="AJ45" i="18" s="1"/>
  <c r="AK45" i="18" s="1"/>
  <c r="AL45" i="18" s="1"/>
  <c r="AM45" i="18" s="1"/>
  <c r="AE40" i="18"/>
  <c r="AF40" i="18" s="1"/>
  <c r="AG40" i="18" s="1"/>
  <c r="AH40" i="18" s="1"/>
  <c r="AI40" i="18" s="1"/>
  <c r="AJ40" i="18" s="1"/>
  <c r="AK40" i="18" s="1"/>
  <c r="AL40" i="18" s="1"/>
  <c r="AM40" i="18" s="1"/>
  <c r="H51" i="18"/>
  <c r="G51" i="18" s="1"/>
  <c r="AB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C43" i="18"/>
  <c r="AD43" i="18" s="1"/>
  <c r="AC42" i="18"/>
  <c r="AD42" i="18" s="1"/>
  <c r="AC41" i="18"/>
  <c r="AD41" i="18" s="1"/>
  <c r="AC38" i="18"/>
  <c r="AD38" i="18" s="1"/>
  <c r="AC36" i="18"/>
  <c r="AD36" i="18" s="1"/>
  <c r="AN51" i="18" l="1"/>
  <c r="AP40" i="18"/>
  <c r="AN40" i="18"/>
  <c r="AP45" i="18"/>
  <c r="AN45" i="18"/>
  <c r="AE42" i="18"/>
  <c r="AF42" i="18" s="1"/>
  <c r="AG42" i="18" s="1"/>
  <c r="AH42" i="18" s="1"/>
  <c r="AI42" i="18" s="1"/>
  <c r="AJ42" i="18" s="1"/>
  <c r="AK42" i="18" s="1"/>
  <c r="AL42" i="18" s="1"/>
  <c r="AM42" i="18" s="1"/>
  <c r="G134" i="18"/>
  <c r="AB134" i="18" s="1"/>
  <c r="AE41" i="18"/>
  <c r="AF41" i="18" s="1"/>
  <c r="AG41" i="18" s="1"/>
  <c r="AH41" i="18" s="1"/>
  <c r="AI41" i="18" s="1"/>
  <c r="AJ41" i="18" s="1"/>
  <c r="AK41" i="18" s="1"/>
  <c r="AL41" i="18" s="1"/>
  <c r="AM41" i="18" s="1"/>
  <c r="AD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E38" i="18"/>
  <c r="AD131" i="18"/>
  <c r="AE36" i="18"/>
  <c r="B219" i="18"/>
  <c r="AO231" i="18"/>
  <c r="AO228" i="18"/>
  <c r="AO230" i="18"/>
  <c r="AO229" i="18"/>
  <c r="AO226" i="18"/>
  <c r="AO225" i="18"/>
  <c r="AO224" i="18"/>
  <c r="AO223" i="18"/>
  <c r="AO218" i="18"/>
  <c r="AO221" i="18"/>
  <c r="AO220" i="18"/>
  <c r="AO219" i="18"/>
  <c r="AO216" i="18"/>
  <c r="AO215" i="18"/>
  <c r="AO212" i="18"/>
  <c r="AO211" i="18"/>
  <c r="AO213" i="18"/>
  <c r="AO210" i="18"/>
  <c r="AO209" i="18"/>
  <c r="AO208" i="18"/>
  <c r="AO207" i="18"/>
  <c r="AO206" i="18"/>
  <c r="AO205" i="18"/>
  <c r="AP228" i="18"/>
  <c r="AD132" i="18" l="1"/>
  <c r="AE43" i="18"/>
  <c r="AF43" i="18" s="1"/>
  <c r="AG43" i="18" s="1"/>
  <c r="AH43" i="18" s="1"/>
  <c r="AI43" i="18" s="1"/>
  <c r="AJ43" i="18" s="1"/>
  <c r="AK43" i="18" s="1"/>
  <c r="AL43" i="18" s="1"/>
  <c r="AM43" i="18" s="1"/>
  <c r="AP43" i="18" s="1"/>
  <c r="AP42" i="18"/>
  <c r="AN42" i="18"/>
  <c r="AP41" i="18"/>
  <c r="AN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F38" i="18"/>
  <c r="AE131" i="18"/>
  <c r="AF36" i="18"/>
  <c r="AE130" i="18"/>
  <c r="AP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N43" i="18" l="1"/>
  <c r="AE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G38" i="18"/>
  <c r="AF131" i="18"/>
  <c r="AG36" i="18"/>
  <c r="AF132" i="18"/>
  <c r="AF130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H38" i="18"/>
  <c r="AG131" i="18"/>
  <c r="AH36" i="18"/>
  <c r="AG132" i="18"/>
  <c r="AG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I38" i="18"/>
  <c r="AH131" i="18"/>
  <c r="AI36" i="18"/>
  <c r="AH130" i="18"/>
  <c r="AH132" i="18"/>
  <c r="G224" i="18"/>
  <c r="AB224" i="18" s="1"/>
  <c r="G229" i="18" l="1"/>
  <c r="AB229" i="18" s="1"/>
  <c r="G223" i="18"/>
  <c r="AB223" i="18" s="1"/>
  <c r="G225" i="18"/>
  <c r="AD229" i="18"/>
  <c r="AD230" i="18" s="1"/>
  <c r="AD231" i="18" s="1"/>
  <c r="H229" i="18"/>
  <c r="I229" i="18"/>
  <c r="AD224" i="18"/>
  <c r="AD225" i="18" s="1"/>
  <c r="AD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 s="1"/>
  <c r="H83" i="20"/>
  <c r="F64" i="20"/>
  <c r="G64" i="20" s="1"/>
  <c r="C65" i="20" s="1"/>
  <c r="AJ38" i="18"/>
  <c r="AI131" i="18"/>
  <c r="AJ36" i="18"/>
  <c r="AI130" i="18"/>
  <c r="AI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O75" i="18"/>
  <c r="AO74" i="18"/>
  <c r="AO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B226" i="18" s="1"/>
  <c r="AB225" i="18"/>
  <c r="AD228" i="18"/>
  <c r="G228" i="18"/>
  <c r="AB228" i="18" s="1"/>
  <c r="G230" i="18"/>
  <c r="AD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K38" i="18"/>
  <c r="AJ131" i="18"/>
  <c r="AK36" i="18"/>
  <c r="AJ132" i="18"/>
  <c r="AJ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B231" i="18" s="1"/>
  <c r="AB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L38" i="18"/>
  <c r="AK131" i="18"/>
  <c r="AL36" i="18"/>
  <c r="AK132" i="18"/>
  <c r="AK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M38" i="18"/>
  <c r="AL131" i="18"/>
  <c r="AM36" i="18"/>
  <c r="AL130" i="18"/>
  <c r="AL132" i="18"/>
  <c r="I266" i="18"/>
  <c r="I263" i="18"/>
  <c r="I264" i="18"/>
  <c r="I265" i="18"/>
  <c r="AP36" i="18" l="1"/>
  <c r="AN36" i="18"/>
  <c r="AP38" i="18"/>
  <c r="AN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M131" i="18"/>
  <c r="AM130" i="18"/>
  <c r="AM132" i="18"/>
  <c r="U255" i="18"/>
  <c r="U254" i="18"/>
  <c r="U253" i="18"/>
  <c r="AN132" i="18" l="1"/>
  <c r="AP132" i="18"/>
  <c r="AN131" i="18"/>
  <c r="AP131" i="18"/>
  <c r="AN130" i="18"/>
  <c r="AP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O55" i="18"/>
  <c r="AC55" i="18"/>
  <c r="AD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E55" i="18"/>
  <c r="AA250" i="18"/>
  <c r="AA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F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O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N277" i="18" l="1"/>
  <c r="G277" i="18"/>
  <c r="N276" i="18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G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O14" i="18"/>
  <c r="AC14" i="18"/>
  <c r="AD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H55" i="18"/>
  <c r="AE14" i="18"/>
  <c r="AF14" i="18" s="1"/>
  <c r="AG14" i="18" s="1"/>
  <c r="AH14" i="18" s="1"/>
  <c r="AI14" i="18" s="1"/>
  <c r="AJ14" i="18" s="1"/>
  <c r="AK14" i="18" s="1"/>
  <c r="AL14" i="18" s="1"/>
  <c r="AM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O32" i="18"/>
  <c r="AC32" i="18"/>
  <c r="AD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P14" i="18" l="1"/>
  <c r="AN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I55" i="18"/>
  <c r="AE32" i="18"/>
  <c r="AF32" i="18" s="1"/>
  <c r="AG32" i="18" s="1"/>
  <c r="AH32" i="18" s="1"/>
  <c r="AI32" i="18" s="1"/>
  <c r="AJ32" i="18" s="1"/>
  <c r="AK32" i="18" s="1"/>
  <c r="AL32" i="18" s="1"/>
  <c r="AM32" i="18" s="1"/>
  <c r="AC9" i="18"/>
  <c r="AD9" i="18" s="1"/>
  <c r="AC10" i="18"/>
  <c r="AD10" i="18" s="1"/>
  <c r="AC12" i="18"/>
  <c r="AD12" i="18" s="1"/>
  <c r="AC13" i="18"/>
  <c r="AD13" i="18" s="1"/>
  <c r="AC15" i="18"/>
  <c r="AD15" i="18" s="1"/>
  <c r="AC16" i="18"/>
  <c r="AD16" i="18" s="1"/>
  <c r="AC18" i="18"/>
  <c r="AD18" i="18" s="1"/>
  <c r="AC20" i="18"/>
  <c r="AD20" i="18" s="1"/>
  <c r="AC21" i="18"/>
  <c r="AD21" i="18" s="1"/>
  <c r="AC22" i="18"/>
  <c r="AD22" i="18" s="1"/>
  <c r="AC23" i="18"/>
  <c r="AD23" i="18" s="1"/>
  <c r="AC25" i="18"/>
  <c r="AD25" i="18" s="1"/>
  <c r="AC27" i="18"/>
  <c r="AD27" i="18" s="1"/>
  <c r="AC29" i="18"/>
  <c r="AD29" i="18" s="1"/>
  <c r="AC31" i="18"/>
  <c r="AD31" i="18" s="1"/>
  <c r="AC33" i="18"/>
  <c r="AD33" i="18" s="1"/>
  <c r="AC34" i="18"/>
  <c r="AD34" i="18" s="1"/>
  <c r="AC53" i="18"/>
  <c r="AD53" i="18" s="1"/>
  <c r="AC59" i="18"/>
  <c r="AC7" i="18"/>
  <c r="AD7" i="18" s="1"/>
  <c r="AC6" i="18"/>
  <c r="AD6" i="18" s="1"/>
  <c r="AO9" i="18"/>
  <c r="AO10" i="18"/>
  <c r="AO12" i="18"/>
  <c r="AO13" i="18"/>
  <c r="AO15" i="18"/>
  <c r="AO16" i="18"/>
  <c r="AO18" i="18"/>
  <c r="AO20" i="18"/>
  <c r="AO21" i="18"/>
  <c r="AO22" i="18"/>
  <c r="AO23" i="18"/>
  <c r="AO25" i="18"/>
  <c r="AO27" i="18"/>
  <c r="AO29" i="18"/>
  <c r="AO31" i="18"/>
  <c r="AO33" i="18"/>
  <c r="AO34" i="18"/>
  <c r="AO53" i="18"/>
  <c r="AO59" i="18"/>
  <c r="AO61" i="18"/>
  <c r="AO63" i="18"/>
  <c r="AO70" i="18"/>
  <c r="AO71" i="18"/>
  <c r="AO76" i="18"/>
  <c r="AO78" i="18"/>
  <c r="AO79" i="18"/>
  <c r="AO80" i="18"/>
  <c r="AO82" i="18"/>
  <c r="AO83" i="18"/>
  <c r="AO84" i="18"/>
  <c r="AO86" i="18"/>
  <c r="AO87" i="18"/>
  <c r="AO88" i="18"/>
  <c r="AO89" i="18"/>
  <c r="AO92" i="18"/>
  <c r="AO94" i="18"/>
  <c r="AO96" i="18"/>
  <c r="AO97" i="18"/>
  <c r="AO98" i="18"/>
  <c r="AO99" i="18"/>
  <c r="AO100" i="18"/>
  <c r="AO102" i="18"/>
  <c r="AO103" i="18"/>
  <c r="AO104" i="18"/>
  <c r="AO7" i="18"/>
  <c r="AO6" i="18"/>
  <c r="S238" i="18" l="1"/>
  <c r="AD59" i="18"/>
  <c r="T238" i="18" s="1"/>
  <c r="AP32" i="18"/>
  <c r="AN32" i="18"/>
  <c r="AD133" i="18"/>
  <c r="J65" i="20"/>
  <c r="P64" i="20"/>
  <c r="F78" i="20"/>
  <c r="G78" i="20" s="1"/>
  <c r="AD128" i="18"/>
  <c r="AJ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D134" i="18" l="1"/>
  <c r="AD72" i="18"/>
  <c r="AD114" i="18" s="1"/>
  <c r="AD129" i="18"/>
  <c r="AD135" i="18"/>
  <c r="AD136" i="18"/>
  <c r="G81" i="20"/>
  <c r="G82" i="20" s="1"/>
  <c r="C79" i="20"/>
  <c r="M65" i="20"/>
  <c r="N65" i="20" s="1"/>
  <c r="J66" i="20" s="1"/>
  <c r="AK55" i="18"/>
  <c r="AE31" i="18"/>
  <c r="AD151" i="18"/>
  <c r="AE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L55" i="18"/>
  <c r="AF31" i="18"/>
  <c r="AF29" i="18"/>
  <c r="M67" i="20" l="1"/>
  <c r="N67" i="20"/>
  <c r="J68" i="20" s="1"/>
  <c r="AM55" i="18"/>
  <c r="AG31" i="18"/>
  <c r="AG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P55" i="18" l="1"/>
  <c r="AN55" i="18"/>
  <c r="M68" i="20"/>
  <c r="N68" i="20" s="1"/>
  <c r="J69" i="20" s="1"/>
  <c r="AH31" i="18"/>
  <c r="AD92" i="18"/>
  <c r="AH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E63" i="18"/>
  <c r="M69" i="20" l="1"/>
  <c r="N69" i="20" s="1"/>
  <c r="J70" i="20" s="1"/>
  <c r="AI31" i="18"/>
  <c r="AF63" i="18"/>
  <c r="AI29" i="18"/>
  <c r="AE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J31" i="18"/>
  <c r="AG63" i="18"/>
  <c r="AF92" i="18"/>
  <c r="AJ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D117" i="18"/>
  <c r="AD123" i="18" s="1"/>
  <c r="J218" i="18" l="1"/>
  <c r="M71" i="20"/>
  <c r="N71" i="20" s="1"/>
  <c r="J72" i="20" s="1"/>
  <c r="AK31" i="18"/>
  <c r="AH63" i="18"/>
  <c r="AG92" i="18"/>
  <c r="AK29" i="18"/>
  <c r="AE53" i="18"/>
  <c r="M72" i="20" l="1"/>
  <c r="N72" i="20" s="1"/>
  <c r="J73" i="20" s="1"/>
  <c r="AE117" i="18"/>
  <c r="AE123" i="18" s="1"/>
  <c r="AL31" i="18"/>
  <c r="AI63" i="18"/>
  <c r="AH92" i="18"/>
  <c r="AL29" i="18"/>
  <c r="AF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E22" i="18"/>
  <c r="AF22" i="18" s="1"/>
  <c r="AG22" i="18" s="1"/>
  <c r="AH22" i="18" s="1"/>
  <c r="AI22" i="18" s="1"/>
  <c r="AJ22" i="18" s="1"/>
  <c r="AK22" i="18" s="1"/>
  <c r="AL22" i="18" s="1"/>
  <c r="AM22" i="18" s="1"/>
  <c r="J94" i="18"/>
  <c r="J96" i="18" s="1"/>
  <c r="K94" i="18"/>
  <c r="K96" i="18" s="1"/>
  <c r="K98" i="18"/>
  <c r="K97" i="18"/>
  <c r="AP22" i="18" l="1"/>
  <c r="AN22" i="18"/>
  <c r="M73" i="20"/>
  <c r="N73" i="20" s="1"/>
  <c r="J74" i="20" s="1"/>
  <c r="AF117" i="18"/>
  <c r="AF123" i="18" s="1"/>
  <c r="AM31" i="18"/>
  <c r="AJ63" i="18"/>
  <c r="AI92" i="18"/>
  <c r="AE23" i="18"/>
  <c r="AD120" i="18"/>
  <c r="AD126" i="18" s="1"/>
  <c r="AM29" i="18"/>
  <c r="AG53" i="18"/>
  <c r="AE21" i="18"/>
  <c r="AP31" i="18" l="1"/>
  <c r="AN31" i="18"/>
  <c r="AP29" i="18"/>
  <c r="AN29" i="18"/>
  <c r="M74" i="20"/>
  <c r="N74" i="20" s="1"/>
  <c r="J75" i="20" s="1"/>
  <c r="AG117" i="18"/>
  <c r="AG123" i="18" s="1"/>
  <c r="AJ92" i="18"/>
  <c r="AK63" i="18"/>
  <c r="AF23" i="18"/>
  <c r="AE120" i="18"/>
  <c r="AE126" i="18" s="1"/>
  <c r="AE20" i="18"/>
  <c r="AD94" i="18"/>
  <c r="AF21" i="18"/>
  <c r="AE9" i="18"/>
  <c r="AF9" i="18" s="1"/>
  <c r="AG9" i="18" s="1"/>
  <c r="AH9" i="18" s="1"/>
  <c r="AI9" i="18" s="1"/>
  <c r="AJ9" i="18" s="1"/>
  <c r="AK9" i="18" s="1"/>
  <c r="AL9" i="18" s="1"/>
  <c r="AM9" i="18" s="1"/>
  <c r="AD113" i="18"/>
  <c r="AE33" i="18"/>
  <c r="AF33" i="18" s="1"/>
  <c r="AG33" i="18" s="1"/>
  <c r="AH33" i="18" s="1"/>
  <c r="AI33" i="18" s="1"/>
  <c r="AJ33" i="18" s="1"/>
  <c r="AK33" i="18" s="1"/>
  <c r="AL33" i="18" s="1"/>
  <c r="AM33" i="18" s="1"/>
  <c r="AE34" i="18"/>
  <c r="AF34" i="18" s="1"/>
  <c r="AG34" i="18" s="1"/>
  <c r="AH34" i="18" s="1"/>
  <c r="AI34" i="18" s="1"/>
  <c r="AJ34" i="18" s="1"/>
  <c r="AK34" i="18" s="1"/>
  <c r="AL34" i="18" s="1"/>
  <c r="AM34" i="18" s="1"/>
  <c r="AH53" i="18"/>
  <c r="AP9" i="18" l="1"/>
  <c r="AN9" i="18"/>
  <c r="V174" i="18"/>
  <c r="AP34" i="18"/>
  <c r="AN34" i="18"/>
  <c r="AP33" i="18"/>
  <c r="AN33" i="18"/>
  <c r="M75" i="20"/>
  <c r="N75" i="20" s="1"/>
  <c r="J76" i="20" s="1"/>
  <c r="AH117" i="18"/>
  <c r="AH123" i="18" s="1"/>
  <c r="AK92" i="18"/>
  <c r="AL63" i="18"/>
  <c r="AE94" i="18"/>
  <c r="AD160" i="18"/>
  <c r="AD170" i="18"/>
  <c r="AD161" i="18"/>
  <c r="AD171" i="18"/>
  <c r="AG23" i="18"/>
  <c r="AF120" i="18"/>
  <c r="AF126" i="18" s="1"/>
  <c r="AD154" i="18"/>
  <c r="AD155" i="18"/>
  <c r="AD153" i="18"/>
  <c r="AD141" i="18"/>
  <c r="AD116" i="18"/>
  <c r="AD122" i="18" s="1"/>
  <c r="AD150" i="18"/>
  <c r="AD149" i="18"/>
  <c r="AE18" i="18"/>
  <c r="AF20" i="18"/>
  <c r="AE27" i="18"/>
  <c r="AI53" i="18"/>
  <c r="AE25" i="18"/>
  <c r="AE133" i="18" s="1"/>
  <c r="AD109" i="18"/>
  <c r="AG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E128" i="18"/>
  <c r="AE129" i="18"/>
  <c r="AI117" i="18"/>
  <c r="AI123" i="18" s="1"/>
  <c r="AE113" i="18"/>
  <c r="AE151" i="18"/>
  <c r="AM63" i="18"/>
  <c r="AL92" i="18"/>
  <c r="AE161" i="18"/>
  <c r="AE171" i="18"/>
  <c r="AE160" i="18"/>
  <c r="AE170" i="18"/>
  <c r="AH23" i="18"/>
  <c r="AG120" i="18"/>
  <c r="AG126" i="18" s="1"/>
  <c r="AE153" i="18"/>
  <c r="AE155" i="18"/>
  <c r="AE154" i="18"/>
  <c r="AE141" i="18"/>
  <c r="AE116" i="18"/>
  <c r="AE122" i="18" s="1"/>
  <c r="AE150" i="18"/>
  <c r="AE149" i="18"/>
  <c r="AF18" i="18"/>
  <c r="AG20" i="18"/>
  <c r="AF94" i="18"/>
  <c r="AF27" i="18"/>
  <c r="AF25" i="18"/>
  <c r="AE109" i="18"/>
  <c r="AJ53" i="18"/>
  <c r="AH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P63" i="18" l="1"/>
  <c r="AN63" i="18"/>
  <c r="M77" i="20"/>
  <c r="N77" i="20" s="1"/>
  <c r="J78" i="20" s="1"/>
  <c r="AF129" i="18"/>
  <c r="AF133" i="18"/>
  <c r="AF151" i="18"/>
  <c r="AF128" i="18"/>
  <c r="AJ117" i="18"/>
  <c r="AJ123" i="18" s="1"/>
  <c r="AM92" i="18"/>
  <c r="AP92" i="18" s="1"/>
  <c r="AF160" i="18"/>
  <c r="AF170" i="18"/>
  <c r="AF161" i="18"/>
  <c r="AF171" i="18"/>
  <c r="AF113" i="18"/>
  <c r="AI23" i="18"/>
  <c r="AH120" i="18"/>
  <c r="AH126" i="18" s="1"/>
  <c r="AF155" i="18"/>
  <c r="AF154" i="18"/>
  <c r="AF153" i="18"/>
  <c r="AF141" i="18"/>
  <c r="AF116" i="18"/>
  <c r="AF122" i="18" s="1"/>
  <c r="AF150" i="18"/>
  <c r="AF149" i="18"/>
  <c r="AG18" i="18"/>
  <c r="AH20" i="18"/>
  <c r="AG94" i="18"/>
  <c r="AG27" i="18"/>
  <c r="AG25" i="18"/>
  <c r="AG133" i="18" s="1"/>
  <c r="AF109" i="18"/>
  <c r="AK53" i="18"/>
  <c r="AI21" i="18"/>
  <c r="M78" i="20" l="1"/>
  <c r="N78" i="20" s="1"/>
  <c r="AG128" i="18"/>
  <c r="AG129" i="18"/>
  <c r="AK117" i="18"/>
  <c r="AK123" i="18" s="1"/>
  <c r="AG113" i="18"/>
  <c r="AG151" i="18"/>
  <c r="AD192" i="18"/>
  <c r="U242" i="18" s="1"/>
  <c r="AE192" i="18"/>
  <c r="T242" i="18" s="1"/>
  <c r="AN92" i="18"/>
  <c r="AG161" i="18"/>
  <c r="AG171" i="18"/>
  <c r="AG160" i="18"/>
  <c r="AG170" i="18"/>
  <c r="AJ23" i="18"/>
  <c r="AI120" i="18"/>
  <c r="AI126" i="18" s="1"/>
  <c r="AG141" i="18"/>
  <c r="AG155" i="18"/>
  <c r="AG154" i="18"/>
  <c r="AG153" i="18"/>
  <c r="AG116" i="18"/>
  <c r="AG122" i="18" s="1"/>
  <c r="AG150" i="18"/>
  <c r="AG149" i="18"/>
  <c r="AH18" i="18"/>
  <c r="AI20" i="18"/>
  <c r="AH94" i="18"/>
  <c r="AH27" i="18"/>
  <c r="AH25" i="18"/>
  <c r="AG109" i="18"/>
  <c r="AL53" i="18"/>
  <c r="AJ21" i="18"/>
  <c r="K76" i="18"/>
  <c r="L76" i="18"/>
  <c r="M76" i="18"/>
  <c r="N76" i="18"/>
  <c r="N218" i="18" s="1"/>
  <c r="O76" i="18"/>
  <c r="O218" i="18" s="1"/>
  <c r="P218" i="18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D158" i="18"/>
  <c r="AD166" i="18"/>
  <c r="AD167" i="18" s="1"/>
  <c r="AD118" i="18"/>
  <c r="AD124" i="18" s="1"/>
  <c r="M218" i="18" l="1"/>
  <c r="AB174" i="18"/>
  <c r="AA249" i="18" s="1"/>
  <c r="AA248" i="18" s="1"/>
  <c r="Q218" i="18"/>
  <c r="L218" i="18"/>
  <c r="K218" i="18"/>
  <c r="N81" i="20"/>
  <c r="N82" i="20" s="1"/>
  <c r="J79" i="20"/>
  <c r="AH129" i="18"/>
  <c r="AH133" i="18"/>
  <c r="AH151" i="18"/>
  <c r="AH128" i="18"/>
  <c r="AD215" i="18"/>
  <c r="AL117" i="18"/>
  <c r="AL123" i="18" s="1"/>
  <c r="AD138" i="18"/>
  <c r="AC192" i="18"/>
  <c r="AH160" i="18"/>
  <c r="AH170" i="18"/>
  <c r="AH113" i="18"/>
  <c r="AH161" i="18"/>
  <c r="AH171" i="18"/>
  <c r="AK23" i="18"/>
  <c r="AJ120" i="18"/>
  <c r="AJ126" i="18" s="1"/>
  <c r="AD111" i="18"/>
  <c r="AD112" i="18"/>
  <c r="AD164" i="18"/>
  <c r="AD163" i="18"/>
  <c r="AD119" i="18"/>
  <c r="AD125" i="18" s="1"/>
  <c r="AD159" i="18"/>
  <c r="K207" i="18"/>
  <c r="AH141" i="18"/>
  <c r="AH154" i="18"/>
  <c r="AH153" i="18"/>
  <c r="AH155" i="18"/>
  <c r="AD140" i="18"/>
  <c r="AH116" i="18"/>
  <c r="AH122" i="18" s="1"/>
  <c r="AH150" i="18"/>
  <c r="AH149" i="18"/>
  <c r="AD139" i="18"/>
  <c r="AI18" i="18"/>
  <c r="N207" i="18"/>
  <c r="M207" i="18"/>
  <c r="P207" i="18"/>
  <c r="L207" i="18"/>
  <c r="AJ20" i="18"/>
  <c r="AI94" i="18"/>
  <c r="K88" i="18"/>
  <c r="K211" i="18" s="1"/>
  <c r="AI27" i="18"/>
  <c r="AE12" i="18"/>
  <c r="AE15" i="18"/>
  <c r="AE158" i="18" s="1"/>
  <c r="AE13" i="18"/>
  <c r="AE10" i="18"/>
  <c r="AE16" i="18"/>
  <c r="AE166" i="18" s="1"/>
  <c r="AE167" i="18" s="1"/>
  <c r="AE6" i="18"/>
  <c r="AE7" i="18"/>
  <c r="AI25" i="18"/>
  <c r="AI133" i="18" s="1"/>
  <c r="AH109" i="18"/>
  <c r="AE59" i="18"/>
  <c r="U238" i="18" s="1"/>
  <c r="AD110" i="18"/>
  <c r="AM53" i="18"/>
  <c r="O88" i="18"/>
  <c r="O211" i="18" s="1"/>
  <c r="N88" i="18"/>
  <c r="N211" i="18" s="1"/>
  <c r="M88" i="18"/>
  <c r="M211" i="18" s="1"/>
  <c r="AK21" i="18"/>
  <c r="AE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E134" i="18" l="1"/>
  <c r="AP53" i="18"/>
  <c r="AN53" i="18"/>
  <c r="M79" i="20"/>
  <c r="N79" i="20" s="1"/>
  <c r="J80" i="20" s="1"/>
  <c r="AE136" i="18"/>
  <c r="AE135" i="18"/>
  <c r="AI128" i="18"/>
  <c r="AI129" i="18"/>
  <c r="AE215" i="18"/>
  <c r="AE224" i="18"/>
  <c r="AE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I113" i="18"/>
  <c r="AI151" i="18"/>
  <c r="AE118" i="18"/>
  <c r="AE124" i="18" s="1"/>
  <c r="AE72" i="18"/>
  <c r="AE114" i="18" s="1"/>
  <c r="AB250" i="18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BA250" i="18" s="1"/>
  <c r="AE138" i="18"/>
  <c r="AI160" i="18"/>
  <c r="AI170" i="18"/>
  <c r="AI161" i="18"/>
  <c r="AI171" i="18"/>
  <c r="AM117" i="18"/>
  <c r="AP117" i="18" s="1"/>
  <c r="AL23" i="18"/>
  <c r="AK120" i="18"/>
  <c r="AK126" i="18" s="1"/>
  <c r="AE164" i="18"/>
  <c r="AE163" i="18"/>
  <c r="AE119" i="18"/>
  <c r="AE125" i="18" s="1"/>
  <c r="AE159" i="18"/>
  <c r="AE112" i="18"/>
  <c r="AI153" i="18"/>
  <c r="AI154" i="18"/>
  <c r="AI155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5" i="18"/>
  <c r="AF158" i="18" s="1"/>
  <c r="AF13" i="18"/>
  <c r="AF12" i="18"/>
  <c r="AF16" i="18"/>
  <c r="AF166" i="18" s="1"/>
  <c r="AF167" i="18" s="1"/>
  <c r="AF10" i="18"/>
  <c r="AF7" i="18"/>
  <c r="AF6" i="18"/>
  <c r="AJ25" i="18"/>
  <c r="AJ133" i="18" s="1"/>
  <c r="AI109" i="18"/>
  <c r="AF59" i="18"/>
  <c r="V238" i="18" s="1"/>
  <c r="AE111" i="18"/>
  <c r="AE110" i="18"/>
  <c r="AL21" i="18"/>
  <c r="AF205" i="18"/>
  <c r="J211" i="18"/>
  <c r="Q211" i="18"/>
  <c r="AF134" i="18" l="1"/>
  <c r="M80" i="20"/>
  <c r="N80" i="20" s="1"/>
  <c r="AF135" i="18"/>
  <c r="AF136" i="18"/>
  <c r="AJ128" i="18"/>
  <c r="AJ129" i="18"/>
  <c r="AE230" i="18"/>
  <c r="AE231" i="18" s="1"/>
  <c r="AE228" i="18"/>
  <c r="AE225" i="18"/>
  <c r="AE226" i="18" s="1"/>
  <c r="AE223" i="18"/>
  <c r="AF215" i="18"/>
  <c r="AF229" i="18"/>
  <c r="AF224" i="18"/>
  <c r="AJ113" i="18"/>
  <c r="AJ151" i="18"/>
  <c r="AF118" i="18"/>
  <c r="AF124" i="18" s="1"/>
  <c r="AF72" i="18"/>
  <c r="AF114" i="18" s="1"/>
  <c r="AB251" i="18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BA251" i="18" s="1"/>
  <c r="AN117" i="18"/>
  <c r="AM123" i="18"/>
  <c r="AB249" i="18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F138" i="18"/>
  <c r="AJ160" i="18"/>
  <c r="AJ170" i="18"/>
  <c r="AJ161" i="18"/>
  <c r="AJ171" i="18"/>
  <c r="AM23" i="18"/>
  <c r="AL120" i="18"/>
  <c r="AL126" i="18" s="1"/>
  <c r="AF119" i="18"/>
  <c r="AF125" i="18" s="1"/>
  <c r="AF159" i="18"/>
  <c r="AF164" i="18"/>
  <c r="AF163" i="18"/>
  <c r="AF112" i="18"/>
  <c r="AJ155" i="18"/>
  <c r="AJ154" i="18"/>
  <c r="AJ153" i="18"/>
  <c r="AJ141" i="18"/>
  <c r="AJ116" i="18"/>
  <c r="AJ122" i="18" s="1"/>
  <c r="AJ150" i="18"/>
  <c r="AJ149" i="18"/>
  <c r="AF139" i="18"/>
  <c r="AF140" i="18"/>
  <c r="AK18" i="18"/>
  <c r="AL20" i="18"/>
  <c r="AK94" i="18"/>
  <c r="AK27" i="18"/>
  <c r="AG13" i="18"/>
  <c r="AG12" i="18"/>
  <c r="AG15" i="18"/>
  <c r="AG158" i="18" s="1"/>
  <c r="AG10" i="18"/>
  <c r="AG16" i="18"/>
  <c r="AG166" i="18" s="1"/>
  <c r="AG167" i="18" s="1"/>
  <c r="AG6" i="18"/>
  <c r="AG7" i="18"/>
  <c r="AG59" i="18"/>
  <c r="Z238" i="18" s="1"/>
  <c r="AF111" i="18"/>
  <c r="AF110" i="18"/>
  <c r="AK25" i="18"/>
  <c r="AK133" i="18" s="1"/>
  <c r="AJ109" i="18"/>
  <c r="AM21" i="18"/>
  <c r="AG205" i="18"/>
  <c r="X238" i="18" l="1"/>
  <c r="W238" i="18"/>
  <c r="Y238" i="18"/>
  <c r="AG134" i="18"/>
  <c r="AP23" i="18"/>
  <c r="AN23" i="18"/>
  <c r="AN123" i="18"/>
  <c r="AP123" i="18"/>
  <c r="AP21" i="18"/>
  <c r="AN21" i="18"/>
  <c r="AG136" i="18"/>
  <c r="AG135" i="18"/>
  <c r="AK128" i="18"/>
  <c r="AK129" i="18"/>
  <c r="AF225" i="18"/>
  <c r="AF226" i="18" s="1"/>
  <c r="AF223" i="18"/>
  <c r="AF230" i="18"/>
  <c r="AF231" i="18" s="1"/>
  <c r="AF228" i="18"/>
  <c r="AG215" i="18"/>
  <c r="AG224" i="18"/>
  <c r="AG229" i="18"/>
  <c r="AK113" i="18"/>
  <c r="AK151" i="18"/>
  <c r="AG118" i="18"/>
  <c r="AG124" i="18" s="1"/>
  <c r="AG72" i="18"/>
  <c r="AG114" i="18" s="1"/>
  <c r="AB248" i="18"/>
  <c r="AC248" i="18" s="1"/>
  <c r="AD248" i="18" s="1"/>
  <c r="AE248" i="18" s="1"/>
  <c r="AF248" i="18" s="1"/>
  <c r="AG248" i="18" s="1"/>
  <c r="AH248" i="18" s="1"/>
  <c r="AI248" i="18" s="1"/>
  <c r="AJ248" i="18" s="1"/>
  <c r="AK248" i="18" s="1"/>
  <c r="AL249" i="18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BA249" i="18" s="1"/>
  <c r="AG138" i="18"/>
  <c r="AK160" i="18"/>
  <c r="AK170" i="18"/>
  <c r="AK161" i="18"/>
  <c r="AK171" i="18"/>
  <c r="AM120" i="18"/>
  <c r="AP120" i="18" s="1"/>
  <c r="AG112" i="18"/>
  <c r="AG163" i="18"/>
  <c r="AG164" i="18"/>
  <c r="AG119" i="18"/>
  <c r="AG125" i="18" s="1"/>
  <c r="AG159" i="18"/>
  <c r="AK155" i="18"/>
  <c r="AK154" i="18"/>
  <c r="AK153" i="18"/>
  <c r="AK141" i="18"/>
  <c r="AK116" i="18"/>
  <c r="AK122" i="18" s="1"/>
  <c r="AK150" i="18"/>
  <c r="AK149" i="18"/>
  <c r="AG140" i="18"/>
  <c r="AG139" i="18"/>
  <c r="AL18" i="18"/>
  <c r="AM20" i="18"/>
  <c r="AL94" i="18"/>
  <c r="AL27" i="18"/>
  <c r="AH12" i="18"/>
  <c r="AH15" i="18"/>
  <c r="AH158" i="18" s="1"/>
  <c r="AH13" i="18"/>
  <c r="AH16" i="18"/>
  <c r="AH166" i="18" s="1"/>
  <c r="AH167" i="18" s="1"/>
  <c r="AH10" i="18"/>
  <c r="AH7" i="18"/>
  <c r="AH6" i="18"/>
  <c r="AL25" i="18"/>
  <c r="AK109" i="18"/>
  <c r="AH59" i="18"/>
  <c r="AA238" i="18" s="1"/>
  <c r="AG110" i="18"/>
  <c r="AG111" i="18"/>
  <c r="AH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H134" i="18" l="1"/>
  <c r="AP20" i="18"/>
  <c r="AN20" i="18"/>
  <c r="AL129" i="18"/>
  <c r="AL133" i="18"/>
  <c r="AH136" i="18"/>
  <c r="AH135" i="18"/>
  <c r="AL151" i="18"/>
  <c r="AL128" i="18"/>
  <c r="AG230" i="18"/>
  <c r="AG231" i="18" s="1"/>
  <c r="AG228" i="18"/>
  <c r="AG225" i="18"/>
  <c r="AG226" i="18" s="1"/>
  <c r="AG223" i="18"/>
  <c r="AH215" i="18"/>
  <c r="AH229" i="18"/>
  <c r="AH224" i="18"/>
  <c r="AH118" i="18"/>
  <c r="AH124" i="18" s="1"/>
  <c r="AH72" i="18"/>
  <c r="AH114" i="18" s="1"/>
  <c r="AL248" i="18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BA248" i="18" s="1"/>
  <c r="AN120" i="18"/>
  <c r="AM126" i="18"/>
  <c r="AH138" i="18"/>
  <c r="AL160" i="18"/>
  <c r="AL170" i="18"/>
  <c r="AL161" i="18"/>
  <c r="AL171" i="18"/>
  <c r="AL113" i="18"/>
  <c r="AH164" i="18"/>
  <c r="AH163" i="18"/>
  <c r="AH119" i="18"/>
  <c r="AH125" i="18" s="1"/>
  <c r="AH159" i="18"/>
  <c r="AH112" i="18"/>
  <c r="AL154" i="18"/>
  <c r="AL153" i="18"/>
  <c r="AL155" i="18"/>
  <c r="AL141" i="18"/>
  <c r="AL116" i="18"/>
  <c r="AL122" i="18" s="1"/>
  <c r="AL150" i="18"/>
  <c r="AL149" i="18"/>
  <c r="AH140" i="18"/>
  <c r="AH139" i="18"/>
  <c r="AM18" i="18"/>
  <c r="AM94" i="18"/>
  <c r="AP94" i="18" s="1"/>
  <c r="AM27" i="18"/>
  <c r="AI15" i="18"/>
  <c r="AI158" i="18" s="1"/>
  <c r="AI13" i="18"/>
  <c r="AI12" i="18"/>
  <c r="AI10" i="18"/>
  <c r="AI16" i="18"/>
  <c r="AI166" i="18" s="1"/>
  <c r="AI167" i="18" s="1"/>
  <c r="AI6" i="18"/>
  <c r="AI7" i="18"/>
  <c r="AI59" i="18"/>
  <c r="AI134" i="18" s="1"/>
  <c r="AH111" i="18"/>
  <c r="AH110" i="18"/>
  <c r="AM25" i="18"/>
  <c r="AL109" i="18"/>
  <c r="AI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M133" i="18" l="1"/>
  <c r="AP25" i="18"/>
  <c r="AN25" i="18"/>
  <c r="AN126" i="18"/>
  <c r="AP126" i="18"/>
  <c r="AM171" i="18"/>
  <c r="AP27" i="18"/>
  <c r="AN27" i="18"/>
  <c r="AP18" i="18"/>
  <c r="AN18" i="18"/>
  <c r="AI136" i="18"/>
  <c r="AI135" i="18"/>
  <c r="AM128" i="18"/>
  <c r="AM129" i="18"/>
  <c r="AH225" i="18"/>
  <c r="AH226" i="18" s="1"/>
  <c r="AH223" i="18"/>
  <c r="AH230" i="18"/>
  <c r="AH231" i="18" s="1"/>
  <c r="AH228" i="18"/>
  <c r="AI215" i="18"/>
  <c r="AI229" i="18"/>
  <c r="AI224" i="18"/>
  <c r="AM113" i="18"/>
  <c r="AM151" i="18"/>
  <c r="AI118" i="18"/>
  <c r="AI124" i="18" s="1"/>
  <c r="AI72" i="18"/>
  <c r="AI114" i="18" s="1"/>
  <c r="AI138" i="18"/>
  <c r="AM160" i="18"/>
  <c r="AM170" i="18"/>
  <c r="AI119" i="18"/>
  <c r="AI125" i="18" s="1"/>
  <c r="AI159" i="18"/>
  <c r="AI164" i="18"/>
  <c r="AI163" i="18"/>
  <c r="AM161" i="18"/>
  <c r="AI112" i="18"/>
  <c r="AM153" i="18"/>
  <c r="AM155" i="18"/>
  <c r="AM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M141" i="18"/>
  <c r="AM116" i="18"/>
  <c r="AP116" i="18" s="1"/>
  <c r="AM150" i="18"/>
  <c r="AM149" i="18"/>
  <c r="AI140" i="18"/>
  <c r="AI139" i="18"/>
  <c r="AD194" i="18"/>
  <c r="AN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J12" i="18"/>
  <c r="AJ15" i="18"/>
  <c r="AJ158" i="18" s="1"/>
  <c r="AJ13" i="18"/>
  <c r="AJ10" i="18"/>
  <c r="AJ16" i="18"/>
  <c r="AJ166" i="18" s="1"/>
  <c r="AJ167" i="18" s="1"/>
  <c r="AJ7" i="18"/>
  <c r="AJ6" i="18"/>
  <c r="AM109" i="18"/>
  <c r="AJ59" i="18"/>
  <c r="AJ134" i="18" s="1"/>
  <c r="AI111" i="18"/>
  <c r="AI110" i="18"/>
  <c r="O31" i="9"/>
  <c r="O32" i="9" s="1"/>
  <c r="AJ205" i="18"/>
  <c r="P31" i="11"/>
  <c r="N32" i="11"/>
  <c r="T19" i="9"/>
  <c r="D22" i="9"/>
  <c r="AN150" i="18" l="1"/>
  <c r="AP150" i="18"/>
  <c r="AN109" i="18"/>
  <c r="AP109" i="18"/>
  <c r="AN149" i="18"/>
  <c r="AP149" i="18"/>
  <c r="AN154" i="18"/>
  <c r="AP154" i="18"/>
  <c r="AN153" i="18"/>
  <c r="AP153" i="18"/>
  <c r="AN161" i="18"/>
  <c r="AP161" i="18"/>
  <c r="AN160" i="18"/>
  <c r="AP160" i="18"/>
  <c r="AN151" i="18"/>
  <c r="AP151" i="18"/>
  <c r="AN128" i="18"/>
  <c r="AP128" i="18"/>
  <c r="AN133" i="18"/>
  <c r="AP133" i="18"/>
  <c r="AN141" i="18"/>
  <c r="AP141" i="18"/>
  <c r="AN155" i="18"/>
  <c r="AP155" i="18"/>
  <c r="AN170" i="18"/>
  <c r="AP170" i="18"/>
  <c r="AN113" i="18"/>
  <c r="AP113" i="18"/>
  <c r="AN129" i="18"/>
  <c r="AP129" i="18"/>
  <c r="AN171" i="18"/>
  <c r="AP171" i="18"/>
  <c r="AJ135" i="18"/>
  <c r="AJ136" i="18"/>
  <c r="AI225" i="18"/>
  <c r="AI226" i="18" s="1"/>
  <c r="AI223" i="18"/>
  <c r="AI230" i="18"/>
  <c r="AI231" i="18" s="1"/>
  <c r="AI228" i="18"/>
  <c r="AJ215" i="18"/>
  <c r="AJ224" i="18"/>
  <c r="AJ229" i="18"/>
  <c r="AJ118" i="18"/>
  <c r="AJ124" i="18" s="1"/>
  <c r="AJ72" i="18"/>
  <c r="AJ114" i="18" s="1"/>
  <c r="AN116" i="18"/>
  <c r="AM122" i="18"/>
  <c r="AJ138" i="18"/>
  <c r="AJ164" i="18"/>
  <c r="AJ163" i="18"/>
  <c r="AJ119" i="18"/>
  <c r="AJ125" i="18" s="1"/>
  <c r="AJ159" i="18"/>
  <c r="AJ112" i="18"/>
  <c r="AJ139" i="18"/>
  <c r="AJ140" i="18"/>
  <c r="AE194" i="18"/>
  <c r="AC194" i="18" s="1"/>
  <c r="AK13" i="18"/>
  <c r="AK12" i="18"/>
  <c r="AK15" i="18"/>
  <c r="AK158" i="18" s="1"/>
  <c r="AK10" i="18"/>
  <c r="AK16" i="18"/>
  <c r="AK166" i="18" s="1"/>
  <c r="AK167" i="18" s="1"/>
  <c r="AK6" i="18"/>
  <c r="AK7" i="18"/>
  <c r="AK59" i="18"/>
  <c r="AK134" i="18" s="1"/>
  <c r="AJ111" i="18"/>
  <c r="AJ110" i="18"/>
  <c r="AK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N122" i="18" l="1"/>
  <c r="AP122" i="18"/>
  <c r="AK136" i="18"/>
  <c r="AK135" i="18"/>
  <c r="AJ230" i="18"/>
  <c r="AJ231" i="18" s="1"/>
  <c r="AJ228" i="18"/>
  <c r="AJ225" i="18"/>
  <c r="AJ226" i="18" s="1"/>
  <c r="AJ223" i="18"/>
  <c r="AK215" i="18"/>
  <c r="AK229" i="18"/>
  <c r="AK224" i="18"/>
  <c r="AK118" i="18"/>
  <c r="AK124" i="18" s="1"/>
  <c r="AK72" i="18"/>
  <c r="AK114" i="18" s="1"/>
  <c r="AK138" i="18"/>
  <c r="AK119" i="18"/>
  <c r="AK125" i="18" s="1"/>
  <c r="AK159" i="18"/>
  <c r="AK163" i="18"/>
  <c r="AK164" i="18"/>
  <c r="AK112" i="18"/>
  <c r="AK139" i="18"/>
  <c r="AK140" i="18"/>
  <c r="AL12" i="18"/>
  <c r="AL15" i="18"/>
  <c r="AL158" i="18" s="1"/>
  <c r="AL13" i="18"/>
  <c r="AL10" i="18"/>
  <c r="AL16" i="18"/>
  <c r="AL166" i="18" s="1"/>
  <c r="AL167" i="18" s="1"/>
  <c r="AL7" i="18"/>
  <c r="AL6" i="18"/>
  <c r="AL59" i="18"/>
  <c r="AL134" i="18" s="1"/>
  <c r="AK110" i="18"/>
  <c r="AK111" i="18"/>
  <c r="AL205" i="18"/>
  <c r="N34" i="11"/>
  <c r="O33" i="11"/>
  <c r="AL136" i="18" l="1"/>
  <c r="AL135" i="18"/>
  <c r="AK225" i="18"/>
  <c r="AK226" i="18" s="1"/>
  <c r="AK223" i="18"/>
  <c r="AK230" i="18"/>
  <c r="AK231" i="18" s="1"/>
  <c r="AK228" i="18"/>
  <c r="AL215" i="18"/>
  <c r="AL229" i="18"/>
  <c r="AL224" i="18"/>
  <c r="AL118" i="18"/>
  <c r="AL124" i="18" s="1"/>
  <c r="AL72" i="18"/>
  <c r="AL114" i="18" s="1"/>
  <c r="AL138" i="18"/>
  <c r="AL112" i="18"/>
  <c r="AL163" i="18"/>
  <c r="AL164" i="18"/>
  <c r="AL119" i="18"/>
  <c r="AL125" i="18" s="1"/>
  <c r="AL159" i="18"/>
  <c r="AL139" i="18"/>
  <c r="AL140" i="18"/>
  <c r="AM15" i="18"/>
  <c r="AM13" i="18"/>
  <c r="AM12" i="18"/>
  <c r="AM10" i="18"/>
  <c r="AM16" i="18"/>
  <c r="AM6" i="18"/>
  <c r="AP6" i="18" s="1"/>
  <c r="AM7" i="18"/>
  <c r="AM59" i="18"/>
  <c r="AL111" i="18"/>
  <c r="AL110" i="18"/>
  <c r="AM205" i="18"/>
  <c r="N35" i="11"/>
  <c r="O34" i="11"/>
  <c r="AP7" i="18" l="1"/>
  <c r="AN7" i="18"/>
  <c r="AP16" i="18"/>
  <c r="AN16" i="18"/>
  <c r="AM159" i="18"/>
  <c r="AP12" i="18"/>
  <c r="AN12" i="18"/>
  <c r="AP15" i="18"/>
  <c r="AN15" i="18"/>
  <c r="AM134" i="18"/>
  <c r="AP59" i="18"/>
  <c r="AN59" i="18"/>
  <c r="AN6" i="18"/>
  <c r="AP10" i="18"/>
  <c r="AN10" i="18"/>
  <c r="AP13" i="18"/>
  <c r="AN13" i="18"/>
  <c r="AM136" i="18"/>
  <c r="AM135" i="18"/>
  <c r="AL225" i="18"/>
  <c r="AL226" i="18" s="1"/>
  <c r="AL223" i="18"/>
  <c r="AL230" i="18"/>
  <c r="AL231" i="18" s="1"/>
  <c r="AL228" i="18"/>
  <c r="AM215" i="18"/>
  <c r="AN215" i="18" s="1"/>
  <c r="AP215" i="18" s="1"/>
  <c r="AP230" i="18" s="1"/>
  <c r="AM229" i="18"/>
  <c r="AM228" i="18" s="1"/>
  <c r="AN228" i="18" s="1"/>
  <c r="AM224" i="18"/>
  <c r="AM223" i="18" s="1"/>
  <c r="AN223" i="18" s="1"/>
  <c r="AM118" i="18"/>
  <c r="AM72" i="18"/>
  <c r="AP72" i="18" s="1"/>
  <c r="AM138" i="18"/>
  <c r="AM166" i="18"/>
  <c r="AP166" i="18" s="1"/>
  <c r="AM164" i="18"/>
  <c r="AM163" i="18"/>
  <c r="AM158" i="18"/>
  <c r="AM112" i="18"/>
  <c r="AM119" i="18"/>
  <c r="AP119" i="18" s="1"/>
  <c r="AM139" i="18"/>
  <c r="AM140" i="18"/>
  <c r="AD188" i="18"/>
  <c r="AM111" i="18"/>
  <c r="AM110" i="18"/>
  <c r="AN205" i="18"/>
  <c r="AP205" i="18" s="1"/>
  <c r="N36" i="11"/>
  <c r="O35" i="11"/>
  <c r="AN164" i="18" l="1"/>
  <c r="AP164" i="18"/>
  <c r="AN134" i="18"/>
  <c r="AP134" i="18"/>
  <c r="AN110" i="18"/>
  <c r="AP110" i="18"/>
  <c r="AN139" i="18"/>
  <c r="AP139" i="18"/>
  <c r="AN112" i="18"/>
  <c r="AP112" i="18"/>
  <c r="AN163" i="18"/>
  <c r="AP163" i="18"/>
  <c r="AN136" i="18"/>
  <c r="AP136" i="18"/>
  <c r="AN159" i="18"/>
  <c r="AP159" i="18"/>
  <c r="AN111" i="18"/>
  <c r="AP111" i="18"/>
  <c r="AN140" i="18"/>
  <c r="AP140" i="18"/>
  <c r="AN158" i="18"/>
  <c r="AP158" i="18"/>
  <c r="AN138" i="18"/>
  <c r="AP138" i="18"/>
  <c r="AM124" i="18"/>
  <c r="AP118" i="18"/>
  <c r="AN135" i="18"/>
  <c r="AP135" i="18"/>
  <c r="AM225" i="18"/>
  <c r="AN224" i="18"/>
  <c r="AN229" i="18"/>
  <c r="AM230" i="18"/>
  <c r="AN72" i="18"/>
  <c r="AN118" i="18"/>
  <c r="AM114" i="18"/>
  <c r="AN119" i="18"/>
  <c r="AM125" i="18"/>
  <c r="AN166" i="18"/>
  <c r="AM167" i="18"/>
  <c r="AE188" i="18"/>
  <c r="AE189" i="18" s="1"/>
  <c r="T245" i="18" s="1"/>
  <c r="AD189" i="18"/>
  <c r="U245" i="18" s="1"/>
  <c r="N37" i="11"/>
  <c r="O36" i="11"/>
  <c r="AN167" i="18" l="1"/>
  <c r="AP167" i="18"/>
  <c r="AN125" i="18"/>
  <c r="AP125" i="18"/>
  <c r="AN114" i="18"/>
  <c r="AP114" i="18"/>
  <c r="AN124" i="18"/>
  <c r="AP124" i="18"/>
  <c r="AN225" i="18"/>
  <c r="AM226" i="18"/>
  <c r="AN226" i="18" s="1"/>
  <c r="AM231" i="18"/>
  <c r="AN231" i="18" s="1"/>
  <c r="AN230" i="18"/>
  <c r="AC188" i="18"/>
  <c r="AC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D216" i="18"/>
  <c r="AD238" i="18" s="1"/>
  <c r="AD97" i="18"/>
  <c r="AD78" i="18"/>
  <c r="AD83" i="18"/>
  <c r="AD104" i="18"/>
  <c r="AD106" i="18"/>
  <c r="AD99" i="18"/>
  <c r="AD96" i="18"/>
  <c r="AD82" i="18"/>
  <c r="AD77" i="18"/>
  <c r="AD71" i="18"/>
  <c r="AD89" i="18"/>
  <c r="AD103" i="18"/>
  <c r="AD87" i="18"/>
  <c r="AD80" i="18"/>
  <c r="AD98" i="18"/>
  <c r="AD100" i="18"/>
  <c r="AD84" i="18"/>
  <c r="AD213" i="18" s="1"/>
  <c r="AD70" i="18"/>
  <c r="AD206" i="18" s="1"/>
  <c r="AD75" i="18"/>
  <c r="AD209" i="18" s="1"/>
  <c r="AD90" i="18"/>
  <c r="AD212" i="18" s="1"/>
  <c r="AD102" i="18"/>
  <c r="AD168" i="18" s="1"/>
  <c r="AD74" i="18"/>
  <c r="AD208" i="18" s="1"/>
  <c r="AD86" i="18"/>
  <c r="AD143" i="18"/>
  <c r="AD144" i="18" s="1"/>
  <c r="AD76" i="18"/>
  <c r="AD218" i="18" s="1"/>
  <c r="AD79" i="18"/>
  <c r="AE61" i="18"/>
  <c r="AD210" i="18" l="1"/>
  <c r="AD234" i="18" s="1"/>
  <c r="AD88" i="18"/>
  <c r="AD211" i="18" s="1"/>
  <c r="AE80" i="18"/>
  <c r="AE103" i="18"/>
  <c r="AE87" i="18"/>
  <c r="AE99" i="18"/>
  <c r="AE83" i="18"/>
  <c r="AE82" i="18"/>
  <c r="AE216" i="18"/>
  <c r="AE238" i="18" s="1"/>
  <c r="AE98" i="18"/>
  <c r="AE78" i="18"/>
  <c r="AE102" i="18"/>
  <c r="AE168" i="18" s="1"/>
  <c r="AE90" i="18"/>
  <c r="AE212" i="18" s="1"/>
  <c r="AE74" i="18"/>
  <c r="AE208" i="18" s="1"/>
  <c r="AE143" i="18"/>
  <c r="AE144" i="18" s="1"/>
  <c r="AE96" i="18"/>
  <c r="AE77" i="18"/>
  <c r="AE106" i="18"/>
  <c r="AE89" i="18"/>
  <c r="AE104" i="18"/>
  <c r="AE97" i="18"/>
  <c r="AE100" i="18"/>
  <c r="AE71" i="18"/>
  <c r="AE79" i="18"/>
  <c r="AE210" i="18" s="1"/>
  <c r="AE234" i="18" s="1"/>
  <c r="AE70" i="18"/>
  <c r="AE206" i="18" s="1"/>
  <c r="AE84" i="18"/>
  <c r="AE213" i="18" s="1"/>
  <c r="AE75" i="18"/>
  <c r="AE209" i="18" s="1"/>
  <c r="AE76" i="18"/>
  <c r="AE218" i="18" s="1"/>
  <c r="AF61" i="18"/>
  <c r="AE86" i="18"/>
  <c r="AD145" i="18"/>
  <c r="AD146" i="18" s="1"/>
  <c r="AD147" i="18"/>
  <c r="AD207" i="18"/>
  <c r="AD233" i="18" l="1"/>
  <c r="AD235" i="18"/>
  <c r="AD236" i="18" s="1"/>
  <c r="AE235" i="18"/>
  <c r="AE236" i="18" s="1"/>
  <c r="AE233" i="18"/>
  <c r="AE88" i="18"/>
  <c r="AE211" i="18" s="1"/>
  <c r="AD220" i="18"/>
  <c r="AD221" i="18" s="1"/>
  <c r="AD219" i="18"/>
  <c r="AF97" i="18"/>
  <c r="AF74" i="18"/>
  <c r="AF208" i="18" s="1"/>
  <c r="AF98" i="18"/>
  <c r="AF99" i="18"/>
  <c r="AF103" i="18"/>
  <c r="AF83" i="18"/>
  <c r="AF80" i="18"/>
  <c r="AF106" i="18"/>
  <c r="AF89" i="18"/>
  <c r="AF87" i="18"/>
  <c r="AF70" i="18"/>
  <c r="AF206" i="18" s="1"/>
  <c r="AF79" i="18"/>
  <c r="AF210" i="18" s="1"/>
  <c r="AF234" i="18" s="1"/>
  <c r="AF75" i="18"/>
  <c r="AF209" i="18" s="1"/>
  <c r="AF78" i="18"/>
  <c r="AF77" i="18"/>
  <c r="AF96" i="18"/>
  <c r="AF100" i="18"/>
  <c r="AF71" i="18"/>
  <c r="AF84" i="18"/>
  <c r="AF213" i="18" s="1"/>
  <c r="AF104" i="18"/>
  <c r="AF82" i="18"/>
  <c r="AF216" i="18"/>
  <c r="AF238" i="18" s="1"/>
  <c r="AF102" i="18"/>
  <c r="AF168" i="18" s="1"/>
  <c r="AF90" i="18"/>
  <c r="AF212" i="18" s="1"/>
  <c r="AF86" i="18"/>
  <c r="AF143" i="18"/>
  <c r="AF144" i="18" s="1"/>
  <c r="AF76" i="18"/>
  <c r="AF218" i="18" s="1"/>
  <c r="AG61" i="18"/>
  <c r="AE207" i="18"/>
  <c r="AE147" i="18"/>
  <c r="AE145" i="18"/>
  <c r="AE146" i="18" s="1"/>
  <c r="AF235" i="18" l="1"/>
  <c r="AF236" i="18" s="1"/>
  <c r="AF233" i="18"/>
  <c r="AE220" i="18"/>
  <c r="AE221" i="18" s="1"/>
  <c r="AE219" i="18"/>
  <c r="AG97" i="18"/>
  <c r="AG216" i="18"/>
  <c r="AG238" i="18" s="1"/>
  <c r="AG71" i="18"/>
  <c r="AG98" i="18"/>
  <c r="AG83" i="18"/>
  <c r="AG78" i="18"/>
  <c r="AG82" i="18"/>
  <c r="AG96" i="18"/>
  <c r="AG102" i="18"/>
  <c r="AG168" i="18" s="1"/>
  <c r="AG74" i="18"/>
  <c r="AG208" i="18" s="1"/>
  <c r="AG75" i="18"/>
  <c r="AG209" i="18" s="1"/>
  <c r="AG90" i="18"/>
  <c r="AG212" i="18" s="1"/>
  <c r="AG106" i="18"/>
  <c r="AG77" i="18"/>
  <c r="AG100" i="18"/>
  <c r="AG104" i="18"/>
  <c r="AG103" i="18"/>
  <c r="AG80" i="18"/>
  <c r="AG99" i="18"/>
  <c r="AG89" i="18"/>
  <c r="AG87" i="18"/>
  <c r="AG84" i="18"/>
  <c r="AG213" i="18" s="1"/>
  <c r="AG70" i="18"/>
  <c r="AG206" i="18" s="1"/>
  <c r="AG143" i="18"/>
  <c r="AG144" i="18" s="1"/>
  <c r="AG76" i="18"/>
  <c r="AG218" i="18" s="1"/>
  <c r="AG79" i="18"/>
  <c r="AG210" i="18" s="1"/>
  <c r="AG234" i="18" s="1"/>
  <c r="AH61" i="18"/>
  <c r="AG86" i="18"/>
  <c r="AF207" i="18"/>
  <c r="AF145" i="18"/>
  <c r="AF146" i="18" s="1"/>
  <c r="AF147" i="18"/>
  <c r="AF88" i="18"/>
  <c r="AF211" i="18" s="1"/>
  <c r="AG235" i="18" l="1"/>
  <c r="AG236" i="18" s="1"/>
  <c r="AG233" i="18"/>
  <c r="AF220" i="18"/>
  <c r="AF221" i="18" s="1"/>
  <c r="AF219" i="18"/>
  <c r="AG207" i="18"/>
  <c r="AG88" i="18"/>
  <c r="AG211" i="18" s="1"/>
  <c r="AG147" i="18"/>
  <c r="AG145" i="18"/>
  <c r="AG146" i="18" s="1"/>
  <c r="AH77" i="18"/>
  <c r="AH98" i="18"/>
  <c r="AH87" i="18"/>
  <c r="AH97" i="18"/>
  <c r="AH96" i="18"/>
  <c r="AH82" i="18"/>
  <c r="AH71" i="18"/>
  <c r="AH80" i="18"/>
  <c r="AH79" i="18"/>
  <c r="AH210" i="18" s="1"/>
  <c r="AH234" i="18" s="1"/>
  <c r="AH70" i="18"/>
  <c r="AH206" i="18" s="1"/>
  <c r="AH102" i="18"/>
  <c r="AH168" i="18" s="1"/>
  <c r="AH216" i="18"/>
  <c r="AH238" i="18" s="1"/>
  <c r="AH100" i="18"/>
  <c r="AH78" i="18"/>
  <c r="AH106" i="18"/>
  <c r="AH99" i="18"/>
  <c r="AH83" i="18"/>
  <c r="AH89" i="18"/>
  <c r="AH103" i="18"/>
  <c r="AH104" i="18"/>
  <c r="AH74" i="18"/>
  <c r="AH208" i="18" s="1"/>
  <c r="AH75" i="18"/>
  <c r="AH209" i="18" s="1"/>
  <c r="AH90" i="18"/>
  <c r="AH212" i="18" s="1"/>
  <c r="AH84" i="18"/>
  <c r="AH213" i="18" s="1"/>
  <c r="AH86" i="18"/>
  <c r="AH76" i="18"/>
  <c r="AH218" i="18" s="1"/>
  <c r="AH143" i="18"/>
  <c r="AH144" i="18" s="1"/>
  <c r="AI61" i="18"/>
  <c r="AH235" i="18" l="1"/>
  <c r="AH236" i="18" s="1"/>
  <c r="AH233" i="18"/>
  <c r="AH88" i="18"/>
  <c r="AH211" i="18" s="1"/>
  <c r="AG220" i="18"/>
  <c r="AG221" i="18" s="1"/>
  <c r="AG219" i="18"/>
  <c r="AI77" i="18"/>
  <c r="AI80" i="18"/>
  <c r="AI82" i="18"/>
  <c r="AI71" i="18"/>
  <c r="AI84" i="18"/>
  <c r="AI213" i="18" s="1"/>
  <c r="AI96" i="18"/>
  <c r="AI89" i="18"/>
  <c r="AI97" i="18"/>
  <c r="AI87" i="18"/>
  <c r="AI75" i="18"/>
  <c r="AI209" i="18" s="1"/>
  <c r="AI70" i="18"/>
  <c r="AI206" i="18" s="1"/>
  <c r="AI79" i="18"/>
  <c r="AI210" i="18" s="1"/>
  <c r="AI234" i="18" s="1"/>
  <c r="AI99" i="18"/>
  <c r="AI98" i="18"/>
  <c r="AI78" i="18"/>
  <c r="AI104" i="18"/>
  <c r="AI90" i="18"/>
  <c r="AI212" i="18" s="1"/>
  <c r="AI106" i="18"/>
  <c r="AI216" i="18"/>
  <c r="AI103" i="18"/>
  <c r="AI100" i="18"/>
  <c r="AI83" i="18"/>
  <c r="AI102" i="18"/>
  <c r="AI168" i="18" s="1"/>
  <c r="AI74" i="18"/>
  <c r="AI208" i="18" s="1"/>
  <c r="AJ61" i="18"/>
  <c r="AI143" i="18"/>
  <c r="AI144" i="18" s="1"/>
  <c r="AI86" i="18"/>
  <c r="AI76" i="18"/>
  <c r="AI218" i="18" s="1"/>
  <c r="AH145" i="18"/>
  <c r="AH146" i="18" s="1"/>
  <c r="AH147" i="18"/>
  <c r="AH207" i="18"/>
  <c r="AI235" i="18" l="1"/>
  <c r="AI236" i="18" s="1"/>
  <c r="AI233" i="18"/>
  <c r="AH220" i="18"/>
  <c r="AH221" i="18" s="1"/>
  <c r="AH219" i="18"/>
  <c r="AI88" i="18"/>
  <c r="AI211" i="18" s="1"/>
  <c r="AJ96" i="18"/>
  <c r="AJ83" i="18"/>
  <c r="AJ216" i="18"/>
  <c r="AJ82" i="18"/>
  <c r="AJ84" i="18"/>
  <c r="AJ213" i="18" s="1"/>
  <c r="AJ99" i="18"/>
  <c r="AJ71" i="18"/>
  <c r="AJ87" i="18"/>
  <c r="AJ104" i="18"/>
  <c r="AJ102" i="18"/>
  <c r="AJ168" i="18" s="1"/>
  <c r="AJ70" i="18"/>
  <c r="AJ206" i="18" s="1"/>
  <c r="AJ103" i="18"/>
  <c r="AJ78" i="18"/>
  <c r="AJ80" i="18"/>
  <c r="AJ100" i="18"/>
  <c r="AJ90" i="18"/>
  <c r="AJ212" i="18" s="1"/>
  <c r="AJ77" i="18"/>
  <c r="AJ106" i="18"/>
  <c r="AJ98" i="18"/>
  <c r="AJ97" i="18"/>
  <c r="AJ89" i="18"/>
  <c r="AJ74" i="18"/>
  <c r="AJ208" i="18" s="1"/>
  <c r="AJ75" i="18"/>
  <c r="AJ209" i="18" s="1"/>
  <c r="AJ79" i="18"/>
  <c r="AJ210" i="18" s="1"/>
  <c r="AJ234" i="18" s="1"/>
  <c r="AJ143" i="18"/>
  <c r="AJ144" i="18" s="1"/>
  <c r="AJ76" i="18"/>
  <c r="AJ218" i="18" s="1"/>
  <c r="AJ86" i="18"/>
  <c r="AK61" i="18"/>
  <c r="AI207" i="18"/>
  <c r="AI145" i="18"/>
  <c r="AI146" i="18" s="1"/>
  <c r="AI147" i="18"/>
  <c r="AJ235" i="18" l="1"/>
  <c r="AJ236" i="18" s="1"/>
  <c r="AJ233" i="18"/>
  <c r="AI220" i="18"/>
  <c r="AI221" i="18" s="1"/>
  <c r="AI219" i="18"/>
  <c r="AJ88" i="18"/>
  <c r="AJ211" i="18" s="1"/>
  <c r="AJ147" i="18"/>
  <c r="AJ145" i="18"/>
  <c r="AJ146" i="18" s="1"/>
  <c r="AK96" i="18"/>
  <c r="AK98" i="18"/>
  <c r="AK80" i="18"/>
  <c r="AK100" i="18"/>
  <c r="AK70" i="18"/>
  <c r="AK206" i="18" s="1"/>
  <c r="AK78" i="18"/>
  <c r="AK87" i="18"/>
  <c r="AK104" i="18"/>
  <c r="AK99" i="18"/>
  <c r="AK74" i="18"/>
  <c r="AK208" i="18" s="1"/>
  <c r="AK84" i="18"/>
  <c r="AK213" i="18" s="1"/>
  <c r="AK89" i="18"/>
  <c r="AK83" i="18"/>
  <c r="AK216" i="18"/>
  <c r="AK103" i="18"/>
  <c r="AK106" i="18"/>
  <c r="AK97" i="18"/>
  <c r="AK71" i="18"/>
  <c r="AK77" i="18"/>
  <c r="AK82" i="18"/>
  <c r="AK75" i="18"/>
  <c r="AK209" i="18" s="1"/>
  <c r="AK90" i="18"/>
  <c r="AK212" i="18" s="1"/>
  <c r="AK102" i="18"/>
  <c r="AK168" i="18" s="1"/>
  <c r="AK79" i="18"/>
  <c r="AK210" i="18" s="1"/>
  <c r="AK234" i="18" s="1"/>
  <c r="AK143" i="18"/>
  <c r="AK144" i="18" s="1"/>
  <c r="AK86" i="18"/>
  <c r="AK76" i="18"/>
  <c r="AK218" i="18" s="1"/>
  <c r="AL61" i="18"/>
  <c r="AJ207" i="18"/>
  <c r="AK235" i="18" l="1"/>
  <c r="AK236" i="18" s="1"/>
  <c r="AK233" i="18"/>
  <c r="AJ220" i="18"/>
  <c r="AJ221" i="18" s="1"/>
  <c r="AJ219" i="18"/>
  <c r="AK207" i="18"/>
  <c r="AK88" i="18"/>
  <c r="AK211" i="18" s="1"/>
  <c r="AK145" i="18"/>
  <c r="AK146" i="18" s="1"/>
  <c r="AK147" i="18"/>
  <c r="AL83" i="18"/>
  <c r="AL96" i="18"/>
  <c r="AL87" i="18"/>
  <c r="AL77" i="18"/>
  <c r="AL102" i="18"/>
  <c r="AL168" i="18" s="1"/>
  <c r="AL104" i="18"/>
  <c r="AL97" i="18"/>
  <c r="AL103" i="18"/>
  <c r="AL80" i="18"/>
  <c r="AL70" i="18"/>
  <c r="AL206" i="18" s="1"/>
  <c r="AL90" i="18"/>
  <c r="AL212" i="18" s="1"/>
  <c r="AL100" i="18"/>
  <c r="AL75" i="18"/>
  <c r="AL209" i="18" s="1"/>
  <c r="AL106" i="18"/>
  <c r="AL98" i="18"/>
  <c r="AL99" i="18"/>
  <c r="AL89" i="18"/>
  <c r="AL82" i="18"/>
  <c r="AL71" i="18"/>
  <c r="AL216" i="18"/>
  <c r="AL78" i="18"/>
  <c r="AL74" i="18"/>
  <c r="AL208" i="18" s="1"/>
  <c r="AL84" i="18"/>
  <c r="AL213" i="18" s="1"/>
  <c r="AL79" i="18"/>
  <c r="AL210" i="18" s="1"/>
  <c r="AL234" i="18" s="1"/>
  <c r="AL143" i="18"/>
  <c r="AL144" i="18" s="1"/>
  <c r="AL76" i="18"/>
  <c r="AL218" i="18" s="1"/>
  <c r="AM61" i="18"/>
  <c r="AL86" i="18"/>
  <c r="AP61" i="18" l="1"/>
  <c r="AN61" i="18"/>
  <c r="AL235" i="18"/>
  <c r="AL236" i="18" s="1"/>
  <c r="AL233" i="18"/>
  <c r="AK220" i="18"/>
  <c r="AK221" i="18" s="1"/>
  <c r="AK219" i="18"/>
  <c r="AL88" i="18"/>
  <c r="AL211" i="18" s="1"/>
  <c r="AL207" i="18"/>
  <c r="AM216" i="18"/>
  <c r="AM103" i="18"/>
  <c r="AP103" i="18" s="1"/>
  <c r="AM104" i="18"/>
  <c r="AP104" i="18" s="1"/>
  <c r="AM71" i="18"/>
  <c r="AP71" i="18" s="1"/>
  <c r="AM77" i="18"/>
  <c r="AP77" i="18" s="1"/>
  <c r="AM106" i="18"/>
  <c r="AM102" i="18"/>
  <c r="AP102" i="18" s="1"/>
  <c r="AM74" i="18"/>
  <c r="AP74" i="18" s="1"/>
  <c r="AM70" i="18"/>
  <c r="AP70" i="18" s="1"/>
  <c r="AM75" i="18"/>
  <c r="AP75" i="18" s="1"/>
  <c r="AM79" i="18"/>
  <c r="AP79" i="18" s="1"/>
  <c r="AM89" i="18"/>
  <c r="AP89" i="18" s="1"/>
  <c r="AM76" i="18"/>
  <c r="AM90" i="18"/>
  <c r="AP90" i="18" s="1"/>
  <c r="AM97" i="18"/>
  <c r="AP97" i="18" s="1"/>
  <c r="AM99" i="18"/>
  <c r="AP99" i="18" s="1"/>
  <c r="AM84" i="18"/>
  <c r="AP84" i="18" s="1"/>
  <c r="AM86" i="18"/>
  <c r="AP86" i="18" s="1"/>
  <c r="AM82" i="18"/>
  <c r="AP82" i="18" s="1"/>
  <c r="AM87" i="18"/>
  <c r="AP87" i="18" s="1"/>
  <c r="AM98" i="18"/>
  <c r="AP98" i="18" s="1"/>
  <c r="AM96" i="18"/>
  <c r="AP96" i="18" s="1"/>
  <c r="AM80" i="18"/>
  <c r="AP80" i="18" s="1"/>
  <c r="AM100" i="18"/>
  <c r="AP100" i="18" s="1"/>
  <c r="AM143" i="18"/>
  <c r="AP143" i="18" s="1"/>
  <c r="AM78" i="18"/>
  <c r="AP78" i="18" s="1"/>
  <c r="AM83" i="18"/>
  <c r="AP83" i="18" s="1"/>
  <c r="AL147" i="18"/>
  <c r="AL145" i="18"/>
  <c r="AL146" i="18" s="1"/>
  <c r="AP106" i="18" l="1"/>
  <c r="AN106" i="18"/>
  <c r="AM218" i="18"/>
  <c r="AP76" i="18"/>
  <c r="AE175" i="18" s="1"/>
  <c r="T247" i="18" s="1"/>
  <c r="AL220" i="18"/>
  <c r="AL221" i="18" s="1"/>
  <c r="AL219" i="18"/>
  <c r="AM144" i="18"/>
  <c r="AP144" i="18" s="1"/>
  <c r="AN143" i="18"/>
  <c r="AN98" i="18"/>
  <c r="AD198" i="18"/>
  <c r="AE198" i="18"/>
  <c r="AE183" i="18"/>
  <c r="T243" i="18" s="1"/>
  <c r="AM213" i="18"/>
  <c r="AN84" i="18"/>
  <c r="AD183" i="18"/>
  <c r="U243" i="18" s="1"/>
  <c r="AN76" i="18"/>
  <c r="AD175" i="18"/>
  <c r="Z234" i="18" s="1"/>
  <c r="AM207" i="18"/>
  <c r="AM219" i="18" s="1"/>
  <c r="AN219" i="18" s="1"/>
  <c r="AN70" i="18"/>
  <c r="AM206" i="18"/>
  <c r="AN104" i="18"/>
  <c r="AD202" i="18"/>
  <c r="U246" i="18" s="1"/>
  <c r="AE202" i="18"/>
  <c r="T246" i="18" s="1"/>
  <c r="AN100" i="18"/>
  <c r="AN87" i="18"/>
  <c r="AE199" i="18"/>
  <c r="AN99" i="18"/>
  <c r="AD199" i="18"/>
  <c r="AN89" i="18"/>
  <c r="AD185" i="18"/>
  <c r="AE185" i="18"/>
  <c r="AN74" i="18"/>
  <c r="AM208" i="18"/>
  <c r="AN77" i="18"/>
  <c r="AN103" i="18"/>
  <c r="AN83" i="18"/>
  <c r="AE182" i="18"/>
  <c r="AD182" i="18"/>
  <c r="AN80" i="18"/>
  <c r="AD178" i="18"/>
  <c r="AE178" i="18"/>
  <c r="AD181" i="18"/>
  <c r="AN82" i="18"/>
  <c r="AE181" i="18"/>
  <c r="AN97" i="18"/>
  <c r="AD197" i="18"/>
  <c r="AE197" i="18"/>
  <c r="AN79" i="18"/>
  <c r="AE177" i="18"/>
  <c r="AM210" i="18"/>
  <c r="AM234" i="18" s="1"/>
  <c r="AD177" i="18"/>
  <c r="AN102" i="18"/>
  <c r="AM168" i="18"/>
  <c r="AN216" i="18"/>
  <c r="AP216" i="18" s="1"/>
  <c r="AP231" i="18" s="1"/>
  <c r="AD176" i="18"/>
  <c r="U244" i="18" s="1"/>
  <c r="AE176" i="18"/>
  <c r="T244" i="18" s="1"/>
  <c r="AN78" i="18"/>
  <c r="AN96" i="18"/>
  <c r="AD196" i="18"/>
  <c r="AE196" i="18"/>
  <c r="AN86" i="18"/>
  <c r="AE179" i="18"/>
  <c r="AD179" i="18"/>
  <c r="AM88" i="18"/>
  <c r="AP88" i="18" s="1"/>
  <c r="AN90" i="18"/>
  <c r="AM212" i="18"/>
  <c r="AD186" i="18"/>
  <c r="AE186" i="18"/>
  <c r="AN75" i="18"/>
  <c r="AM209" i="18"/>
  <c r="AN71" i="18"/>
  <c r="Z235" i="18" l="1"/>
  <c r="Z236" i="18" s="1"/>
  <c r="Z233" i="18"/>
  <c r="W234" i="18"/>
  <c r="Y234" i="18"/>
  <c r="W235" i="18"/>
  <c r="W236" i="18" s="1"/>
  <c r="W233" i="18"/>
  <c r="AA234" i="18"/>
  <c r="X234" i="18"/>
  <c r="R234" i="18"/>
  <c r="V234" i="18"/>
  <c r="S234" i="18"/>
  <c r="T234" i="18"/>
  <c r="U234" i="18"/>
  <c r="AN168" i="18"/>
  <c r="AP168" i="18"/>
  <c r="U247" i="18"/>
  <c r="U248" i="18" s="1"/>
  <c r="G234" i="18"/>
  <c r="G235" i="18" s="1"/>
  <c r="G236" i="18" s="1"/>
  <c r="AM235" i="18"/>
  <c r="AM236" i="18" s="1"/>
  <c r="AM233" i="18"/>
  <c r="I234" i="18"/>
  <c r="K234" i="18"/>
  <c r="M234" i="18"/>
  <c r="O234" i="18"/>
  <c r="Q234" i="18"/>
  <c r="H234" i="18"/>
  <c r="J234" i="18"/>
  <c r="L234" i="18"/>
  <c r="N234" i="18"/>
  <c r="P234" i="18"/>
  <c r="AC179" i="18"/>
  <c r="AE200" i="18"/>
  <c r="AN218" i="18"/>
  <c r="AP218" i="18" s="1"/>
  <c r="AP233" i="18" s="1"/>
  <c r="AC196" i="18"/>
  <c r="AC181" i="18"/>
  <c r="AC177" i="18"/>
  <c r="AC185" i="18"/>
  <c r="AM211" i="18"/>
  <c r="AN88" i="18"/>
  <c r="AN210" i="18"/>
  <c r="AP210" i="18" s="1"/>
  <c r="AD200" i="18"/>
  <c r="AC197" i="18"/>
  <c r="AC182" i="18"/>
  <c r="AC202" i="18"/>
  <c r="AC198" i="18"/>
  <c r="AN209" i="18"/>
  <c r="AP209" i="18" s="1"/>
  <c r="AC186" i="18"/>
  <c r="AC176" i="18"/>
  <c r="AC199" i="18"/>
  <c r="AN213" i="18"/>
  <c r="AP213" i="18" s="1"/>
  <c r="AN212" i="18"/>
  <c r="AP212" i="18" s="1"/>
  <c r="AP226" i="18" s="1"/>
  <c r="AC178" i="18"/>
  <c r="AM220" i="18"/>
  <c r="AN207" i="18"/>
  <c r="AP207" i="18" s="1"/>
  <c r="AP220" i="18" s="1"/>
  <c r="AP235" i="18" s="1"/>
  <c r="AN208" i="18"/>
  <c r="AP208" i="18" s="1"/>
  <c r="AP221" i="18" s="1"/>
  <c r="AP236" i="18" s="1"/>
  <c r="AN206" i="18"/>
  <c r="AP206" i="18" s="1"/>
  <c r="AP219" i="18" s="1"/>
  <c r="AP234" i="18" s="1"/>
  <c r="AC175" i="18"/>
  <c r="T248" i="18" s="1"/>
  <c r="AC183" i="18"/>
  <c r="AM147" i="18"/>
  <c r="AN144" i="18"/>
  <c r="AM145" i="18"/>
  <c r="AP145" i="18" s="1"/>
  <c r="Y233" i="18" l="1"/>
  <c r="Y235" i="18"/>
  <c r="Y236" i="18" s="1"/>
  <c r="X235" i="18"/>
  <c r="X236" i="18" s="1"/>
  <c r="X233" i="18"/>
  <c r="AA233" i="18"/>
  <c r="AA235" i="18"/>
  <c r="AA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N147" i="18"/>
  <c r="AP147" i="18"/>
  <c r="AB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N233" i="18" s="1"/>
  <c r="J235" i="18"/>
  <c r="AN234" i="18"/>
  <c r="O235" i="18"/>
  <c r="O236" i="18" s="1"/>
  <c r="O233" i="18"/>
  <c r="K235" i="18"/>
  <c r="K236" i="18" s="1"/>
  <c r="K233" i="18"/>
  <c r="AP224" i="18"/>
  <c r="AP223" i="18"/>
  <c r="AN220" i="18"/>
  <c r="AM221" i="18"/>
  <c r="AN221" i="18" s="1"/>
  <c r="AC200" i="18"/>
  <c r="AN145" i="18"/>
  <c r="AM146" i="18"/>
  <c r="P243" i="18"/>
  <c r="P244" i="18"/>
  <c r="P246" i="18"/>
  <c r="AN211" i="18"/>
  <c r="AP211" i="18" s="1"/>
  <c r="AP225" i="18" s="1"/>
  <c r="AB233" i="18" l="1"/>
  <c r="AN146" i="18"/>
  <c r="AP146" i="18"/>
  <c r="AB236" i="18"/>
  <c r="AB235" i="18"/>
  <c r="J236" i="18"/>
  <c r="AN236" i="18" s="1"/>
  <c r="AN235" i="18"/>
</calcChain>
</file>

<file path=xl/sharedStrings.xml><?xml version="1.0" encoding="utf-8"?>
<sst xmlns="http://schemas.openxmlformats.org/spreadsheetml/2006/main" count="766" uniqueCount="512">
  <si>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</si>
  <si>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</si>
  <si>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</si>
  <si>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</si>
  <si>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</si>
  <si>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</si>
  <si>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</si>
  <si>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</si>
  <si>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</si>
  <si>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</si>
  <si>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</si>
  <si>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</si>
  <si>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</si>
  <si>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</si>
  <si>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</si>
  <si>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</si>
  <si>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</si>
  <si>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</si>
  <si>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</si>
  <si>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</si>
  <si>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</si>
  <si>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</si>
  <si>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</si>
  <si>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</si>
  <si>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</si>
  <si>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</si>
  <si>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</si>
  <si>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</si>
  <si>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</si>
  <si>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</si>
  <si>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</si>
  <si>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</si>
  <si>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</si>
  <si>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</si>
  <si>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</si>
  <si>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</si>
  <si>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</si>
  <si>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</si>
  <si>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</si>
  <si>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</si>
  <si>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</si>
  <si>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</si>
  <si>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</si>
  <si>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</si>
  <si>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</si>
  <si>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</si>
  <si>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</si>
  <si>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</si>
  <si>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</si>
  <si>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</si>
  <si>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</si>
  <si>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</si>
  <si>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</si>
  <si>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</si>
  <si>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</si>
  <si>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</si>
  <si>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</si>
  <si>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</si>
  <si>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</si>
  <si>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</si>
  <si>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</si>
  <si>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</si>
  <si>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</si>
  <si>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</si>
  <si>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</si>
  <si>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</si>
  <si>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</si>
  <si>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</si>
  <si>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</si>
  <si>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</si>
  <si>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</si>
  <si>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</si>
  <si>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</si>
  <si>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</si>
  <si>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</si>
  <si>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</si>
  <si>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</si>
  <si>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</si>
  <si>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</si>
  <si>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</si>
  <si>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</si>
  <si>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</si>
  <si>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</si>
  <si>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</si>
  <si>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</si>
  <si>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</si>
  <si>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</si>
  <si>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</si>
  <si>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</si>
  <si>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</si>
  <si>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</si>
  <si>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</si>
  <si>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</si>
  <si>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</si>
  <si>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</si>
  <si>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</si>
  <si>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</si>
  <si>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</si>
  <si>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</si>
  <si>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</si>
  <si>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</si>
  <si>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</si>
  <si>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</si>
  <si>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</si>
  <si>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</si>
  <si>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</si>
  <si>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</si>
  <si>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</si>
  <si>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</si>
  <si>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</si>
  <si>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</si>
  <si>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</si>
  <si>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</si>
  <si>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</si>
  <si>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</si>
  <si>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</si>
  <si>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</si>
  <si>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</si>
  <si>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</si>
  <si>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</si>
  <si>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</si>
  <si>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</si>
  <si>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</si>
  <si>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</si>
  <si>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</si>
  <si>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</si>
  <si>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</si>
  <si>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</si>
  <si>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</si>
  <si>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</si>
  <si>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</si>
  <si>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</si>
  <si>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</si>
  <si>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</si>
  <si>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</si>
  <si>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</si>
  <si>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</si>
  <si>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</si>
  <si>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</si>
  <si>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</si>
  <si>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</si>
  <si>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</si>
  <si>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</si>
  <si>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</si>
  <si>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</si>
  <si>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</si>
  <si>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</si>
  <si>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</si>
  <si>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</si>
  <si>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</si>
  <si>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</si>
  <si>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</si>
  <si>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</si>
  <si>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</si>
  <si>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</si>
  <si>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</si>
  <si>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</si>
  <si>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</si>
  <si>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</si>
  <si>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</si>
  <si>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</si>
  <si>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</si>
  <si>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</si>
  <si>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</si>
  <si>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</si>
  <si>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</si>
  <si>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</si>
  <si>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</si>
  <si>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</si>
  <si>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</si>
  <si>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</si>
  <si>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</si>
  <si>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</si>
  <si>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</si>
  <si>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</si>
  <si>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</si>
  <si>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</si>
  <si>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</si>
  <si>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</si>
  <si>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</si>
  <si>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</si>
  <si>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</si>
  <si>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</si>
  <si>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</si>
  <si>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</si>
  <si>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</si>
  <si>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</si>
  <si>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</si>
  <si>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</si>
  <si>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</si>
  <si>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</si>
  <si>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</si>
  <si>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</si>
  <si>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</si>
  <si>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</si>
  <si>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</si>
  <si>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</si>
  <si>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</si>
  <si>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</si>
  <si>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</si>
  <si>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</si>
  <si>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</si>
  <si>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</si>
  <si>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</si>
  <si>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</si>
  <si>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</si>
  <si>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</si>
  <si>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</si>
  <si>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</si>
  <si>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</si>
  <si>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</si>
  <si>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</si>
  <si>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</si>
  <si>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</si>
  <si>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</si>
  <si>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</si>
  <si>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</si>
  <si>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</si>
  <si>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</si>
  <si>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</si>
  <si>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</si>
  <si>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</si>
  <si>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</si>
  <si>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</si>
  <si>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</si>
  <si>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</si>
  <si>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</si>
  <si>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</si>
  <si>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</si>
  <si>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</si>
  <si>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</si>
  <si>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</si>
  <si>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</si>
  <si>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</si>
  <si>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</si>
  <si>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</si>
  <si>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</si>
  <si>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</si>
  <si>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</si>
  <si>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</si>
  <si>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</si>
  <si>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</si>
  <si>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</si>
  <si>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</si>
  <si>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</si>
  <si>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</si>
  <si>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</si>
  <si>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</si>
  <si>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</si>
  <si>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</si>
  <si>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</si>
  <si>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</si>
  <si>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</si>
  <si>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</si>
  <si>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</si>
  <si>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</si>
  <si>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</si>
  <si>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</si>
  <si>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</si>
  <si>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</si>
  <si>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</si>
  <si>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</si>
  <si>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</si>
  <si>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</si>
  <si>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</si>
  <si>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</si>
  <si>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</si>
  <si>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</si>
  <si>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</si>
  <si>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</si>
  <si>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</si>
  <si>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</si>
  <si>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</si>
  <si>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</si>
  <si>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</si>
  <si>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</si>
  <si>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</si>
  <si>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</si>
  <si>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</si>
  <si>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</si>
  <si>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</si>
  <si>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</si>
  <si>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</si>
  <si>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</si>
  <si>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</si>
  <si>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</si>
  <si>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</si>
  <si>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</si>
  <si>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</si>
  <si>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</si>
  <si>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</si>
  <si>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</si>
  <si>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</si>
  <si>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</si>
  <si>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</si>
  <si>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</si>
  <si>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</si>
  <si>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</si>
  <si>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</si>
  <si>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</si>
  <si>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</si>
  <si>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</si>
  <si>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</si>
  <si>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</si>
  <si>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</si>
  <si>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</si>
  <si>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</si>
  <si>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</si>
  <si>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</si>
  <si>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</si>
  <si>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</si>
  <si>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</si>
  <si>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</si>
  <si>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</si>
  <si>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</si>
  <si>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</si>
  <si>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</si>
  <si>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</si>
  <si>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</si>
  <si>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</si>
  <si>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</si>
  <si>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</si>
  <si>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</si>
  <si>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</si>
  <si>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</si>
  <si>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</si>
  <si>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</si>
  <si>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</si>
  <si>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</si>
  <si>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</si>
  <si>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</si>
  <si>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</si>
  <si>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</si>
  <si>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</si>
  <si>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</si>
  <si>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</si>
  <si>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</si>
  <si>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</si>
  <si>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</si>
  <si>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</si>
  <si>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</si>
  <si>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</si>
  <si>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</si>
  <si>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</si>
  <si>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</si>
  <si>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</si>
  <si>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</si>
  <si>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</si>
  <si>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</si>
  <si>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</si>
  <si>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</si>
  <si>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</si>
  <si>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</si>
  <si>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</si>
  <si>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</si>
  <si>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</si>
  <si>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</si>
  <si>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</si>
  <si>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</si>
  <si>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</si>
  <si>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</si>
  <si>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</si>
  <si>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</si>
  <si>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</si>
  <si>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</si>
  <si>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</si>
  <si>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</si>
  <si>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</si>
  <si>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</si>
  <si>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</si>
  <si>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</si>
  <si>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</si>
  <si>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</si>
  <si>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</si>
  <si>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</si>
  <si>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</si>
  <si>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</si>
  <si>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</si>
  <si>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</si>
  <si>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</si>
  <si>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</si>
  <si>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</si>
  <si>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</si>
  <si>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</si>
  <si>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</si>
  <si>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</si>
  <si>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</si>
  <si>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</si>
  <si>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</si>
  <si>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</si>
  <si>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</si>
  <si>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</si>
  <si>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</si>
  <si>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</si>
  <si>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</si>
  <si>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</si>
  <si>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</si>
  <si>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</si>
  <si>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</si>
  <si>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</si>
  <si>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</si>
  <si>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</si>
  <si>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</si>
  <si>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</si>
  <si>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</si>
  <si>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</si>
  <si>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</si>
  <si>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</si>
  <si>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</si>
  <si>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</si>
  <si>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</si>
  <si>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</si>
  <si>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</si>
  <si>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</si>
  <si>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</si>
  <si>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</si>
  <si>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</si>
  <si>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</si>
  <si>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</si>
  <si>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</si>
  <si>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</si>
  <si>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</si>
  <si>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</si>
  <si>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</si>
  <si>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</si>
  <si>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</si>
  <si>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</si>
  <si>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</si>
  <si>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</si>
  <si>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</si>
  <si>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</si>
  <si>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</si>
  <si>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</si>
  <si>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</si>
  <si>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</si>
  <si>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</si>
  <si>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</si>
  <si>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</si>
  <si>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</si>
  <si>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</si>
  <si>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</si>
  <si>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</si>
  <si>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</si>
  <si>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</si>
  <si>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</si>
  <si>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</si>
  <si>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</si>
  <si>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</si>
  <si>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</si>
  <si>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</si>
  <si>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</si>
  <si>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</si>
  <si>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</si>
  <si>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</si>
  <si>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</si>
  <si>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</si>
  <si>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</si>
  <si>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</si>
  <si>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</si>
  <si>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</si>
  <si>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</si>
  <si>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</si>
  <si>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</si>
  <si>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</si>
  <si>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</si>
  <si>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</si>
  <si>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</si>
  <si>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</si>
  <si>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</si>
  <si>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</si>
  <si>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</si>
  <si>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</si>
  <si>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</si>
  <si>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</si>
  <si>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</si>
  <si>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</si>
  <si>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</si>
  <si>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</si>
  <si>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</si>
  <si>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</si>
  <si>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</si>
  <si>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</si>
  <si>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</si>
  <si>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</si>
  <si>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</si>
  <si>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</si>
  <si>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</si>
  <si>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</si>
  <si>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</si>
  <si>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</si>
  <si>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</si>
  <si>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</si>
  <si>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</si>
  <si>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</si>
  <si>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</si>
  <si>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</si>
  <si>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</si>
  <si>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</si>
  <si>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</si>
  <si>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</si>
  <si>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</si>
  <si>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</si>
  <si>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</si>
  <si>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</si>
  <si>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</si>
  <si>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</si>
  <si>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</si>
  <si>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</si>
  <si>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</si>
  <si>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1 every 10</t>
  </si>
  <si>
    <t>10-&gt;2 i.e. 5x</t>
  </si>
  <si>
    <t>MoneyControl / Screener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</si>
</sst>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40" fontId="7" fillId="5" borderId="1" xfId="2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79" t="s">
        <v>433</v>
      </c>
      <c r="C3" s="279"/>
      <c r="D3" s="279"/>
      <c r="G3" s="279" t="s">
        <v>434</v>
      </c>
      <c r="H3" s="279"/>
      <c r="I3" s="279"/>
      <c r="P3" s="288" t="s">
        <v>435</v>
      </c>
      <c r="Q3" s="289"/>
      <c r="R3" s="289"/>
      <c r="S3" s="290"/>
      <c r="T3" s="288" t="s">
        <v>436</v>
      </c>
      <c r="U3" s="289"/>
      <c r="V3" s="289"/>
      <c r="W3" s="290"/>
    </row>
    <row r="4" spans="2:23" x14ac:dyDescent="0.2">
      <c r="B4" s="179" t="s">
        <v>437</v>
      </c>
      <c r="C4" s="291">
        <v>9500000</v>
      </c>
      <c r="D4" s="291"/>
      <c r="G4" s="179" t="s">
        <v>438</v>
      </c>
      <c r="H4" s="281">
        <v>200000</v>
      </c>
      <c r="I4" s="281"/>
      <c r="K4" s="180" t="s">
        <v>439</v>
      </c>
      <c r="L4" s="180" t="s">
        <v>78</v>
      </c>
      <c r="M4" s="180" t="s">
        <v>389</v>
      </c>
      <c r="N4" s="180" t="s">
        <v>440</v>
      </c>
      <c r="O4" s="180" t="s">
        <v>441</v>
      </c>
      <c r="P4" s="181" t="s">
        <v>442</v>
      </c>
      <c r="Q4" s="180" t="s">
        <v>283</v>
      </c>
      <c r="R4" s="180" t="s">
        <v>441</v>
      </c>
      <c r="S4" s="182" t="s">
        <v>443</v>
      </c>
      <c r="T4" s="181" t="s">
        <v>442</v>
      </c>
      <c r="U4" s="180" t="s">
        <v>283</v>
      </c>
      <c r="V4" s="180" t="s">
        <v>441</v>
      </c>
      <c r="W4" s="182" t="s">
        <v>443</v>
      </c>
    </row>
    <row r="5" spans="2:23" x14ac:dyDescent="0.2">
      <c r="B5" s="179" t="s">
        <v>444</v>
      </c>
      <c r="C5" s="282">
        <v>0.08</v>
      </c>
      <c r="D5" s="283"/>
      <c r="G5" s="179" t="s">
        <v>444</v>
      </c>
      <c r="H5" s="287">
        <v>0.12</v>
      </c>
      <c r="I5" s="287"/>
      <c r="K5" s="179" t="s">
        <v>445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446</v>
      </c>
      <c r="C6" s="281">
        <v>30</v>
      </c>
      <c r="D6" s="281"/>
      <c r="G6" s="179" t="s">
        <v>446</v>
      </c>
      <c r="H6" s="281">
        <v>10</v>
      </c>
      <c r="I6" s="281"/>
      <c r="K6" s="179" t="s">
        <v>447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448</v>
      </c>
    </row>
    <row r="7" spans="2:23" x14ac:dyDescent="0.2">
      <c r="B7" s="179"/>
      <c r="C7" s="280"/>
      <c r="D7" s="280"/>
      <c r="G7" s="179"/>
      <c r="H7" s="280"/>
      <c r="I7" s="280"/>
      <c r="K7" s="179" t="s">
        <v>449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80"/>
      <c r="D8" s="280"/>
      <c r="G8" s="179"/>
      <c r="H8" s="280"/>
      <c r="I8" s="280"/>
      <c r="K8" s="179" t="s">
        <v>450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438</v>
      </c>
      <c r="C9" s="278">
        <f>C4*(1/(1+C5)^C6)</f>
        <v>944084.6592231117</v>
      </c>
      <c r="D9" s="278"/>
      <c r="G9" s="194" t="s">
        <v>451</v>
      </c>
      <c r="H9" s="278">
        <f>H4*((1+H5)^H6)</f>
        <v>621169.64166884217</v>
      </c>
      <c r="I9" s="278"/>
      <c r="K9" s="179" t="s">
        <v>452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453</v>
      </c>
      <c r="C10" s="278">
        <f>C4-C9</f>
        <v>8555915.3407768887</v>
      </c>
      <c r="D10" s="278"/>
      <c r="G10" s="194" t="s">
        <v>453</v>
      </c>
      <c r="H10" s="286">
        <f>H9-H4</f>
        <v>421169.64166884217</v>
      </c>
      <c r="I10" s="286"/>
      <c r="K10" s="179" t="s">
        <v>454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455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456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318</v>
      </c>
    </row>
    <row r="14" spans="2:23" x14ac:dyDescent="0.2">
      <c r="B14" s="279" t="s">
        <v>457</v>
      </c>
      <c r="C14" s="279"/>
      <c r="D14" s="279"/>
      <c r="G14" s="279" t="s">
        <v>458</v>
      </c>
      <c r="H14" s="279"/>
      <c r="I14" s="279"/>
      <c r="K14" s="178" t="s">
        <v>281</v>
      </c>
      <c r="L14" s="178" t="s">
        <v>0</v>
      </c>
      <c r="M14" s="178" t="s">
        <v>319</v>
      </c>
      <c r="N14" s="178" t="s">
        <v>320</v>
      </c>
      <c r="O14" s="178" t="s">
        <v>321</v>
      </c>
      <c r="P14" s="178" t="s">
        <v>322</v>
      </c>
      <c r="Q14" s="178" t="s">
        <v>323</v>
      </c>
      <c r="R14" s="178" t="s">
        <v>324</v>
      </c>
    </row>
    <row r="15" spans="2:23" x14ac:dyDescent="0.2">
      <c r="B15" s="179" t="s">
        <v>459</v>
      </c>
      <c r="C15" s="281">
        <v>24000</v>
      </c>
      <c r="D15" s="281"/>
      <c r="G15" s="179" t="s">
        <v>459</v>
      </c>
      <c r="H15" s="281">
        <v>200000</v>
      </c>
      <c r="I15" s="281"/>
      <c r="K15" s="179" t="s">
        <v>282</v>
      </c>
      <c r="L15" s="201">
        <v>50</v>
      </c>
      <c r="M15" s="202" t="s">
        <v>325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444</v>
      </c>
      <c r="C16" s="282">
        <v>0.1</v>
      </c>
      <c r="D16" s="283"/>
      <c r="G16" s="179" t="s">
        <v>444</v>
      </c>
      <c r="H16" s="282">
        <v>0.12</v>
      </c>
      <c r="I16" s="283"/>
      <c r="K16" s="179" t="s">
        <v>283</v>
      </c>
      <c r="L16" s="201">
        <v>1</v>
      </c>
      <c r="M16" s="202" t="s">
        <v>326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446</v>
      </c>
      <c r="C17" s="281">
        <v>20</v>
      </c>
      <c r="D17" s="281"/>
      <c r="G17" s="179" t="s">
        <v>446</v>
      </c>
      <c r="H17" s="281">
        <v>10</v>
      </c>
      <c r="I17" s="281"/>
      <c r="K17" s="179" t="s">
        <v>285</v>
      </c>
      <c r="L17" s="205">
        <f>L15*L16</f>
        <v>50</v>
      </c>
      <c r="M17" s="202" t="s">
        <v>327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80"/>
      <c r="D18" s="280"/>
      <c r="G18" s="179"/>
      <c r="H18" s="280"/>
      <c r="I18" s="280"/>
      <c r="K18" s="179" t="s">
        <v>286</v>
      </c>
      <c r="L18" s="201">
        <v>95</v>
      </c>
      <c r="M18" s="202"/>
      <c r="N18" s="179"/>
      <c r="O18" s="179"/>
      <c r="P18" s="194" t="s">
        <v>328</v>
      </c>
      <c r="Q18" s="179"/>
      <c r="R18" s="179">
        <f>R17</f>
        <v>0</v>
      </c>
    </row>
    <row r="19" spans="2:18" x14ac:dyDescent="0.2">
      <c r="B19" s="194" t="s">
        <v>460</v>
      </c>
      <c r="C19" s="274">
        <f>( ( 1-  (1/ ( (1+C16)^C17) ) ) / C16)</f>
        <v>8.5135637197585652</v>
      </c>
      <c r="D19" s="275"/>
      <c r="G19" s="194" t="s">
        <v>461</v>
      </c>
      <c r="H19" s="274">
        <f>( ((1+H16)^H17) -1 ) / H16</f>
        <v>17.548735069535095</v>
      </c>
      <c r="I19" s="275"/>
      <c r="K19" s="179" t="s">
        <v>283</v>
      </c>
      <c r="L19" s="201">
        <v>10</v>
      </c>
      <c r="M19" s="202" t="s">
        <v>327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462</v>
      </c>
      <c r="C20" s="284">
        <f>C19 * C15</f>
        <v>204325.52927420556</v>
      </c>
      <c r="D20" s="285"/>
      <c r="G20" s="194" t="s">
        <v>463</v>
      </c>
      <c r="H20" s="274">
        <f>H19 * H15</f>
        <v>3509747.013907019</v>
      </c>
      <c r="I20" s="275"/>
      <c r="K20" s="179" t="s">
        <v>285</v>
      </c>
      <c r="L20" s="205">
        <f>L19*L18</f>
        <v>950</v>
      </c>
      <c r="M20" s="179"/>
      <c r="N20" s="179"/>
      <c r="O20" s="179"/>
      <c r="P20" s="194" t="s">
        <v>328</v>
      </c>
      <c r="Q20" s="179"/>
      <c r="R20" s="179">
        <f>R19</f>
        <v>5</v>
      </c>
    </row>
    <row r="21" spans="2:18" x14ac:dyDescent="0.2">
      <c r="B21" s="194"/>
      <c r="C21" s="276"/>
      <c r="D21" s="277"/>
      <c r="G21" s="194"/>
      <c r="H21" s="276"/>
      <c r="I21" s="277"/>
      <c r="K21" s="179"/>
      <c r="L21" s="205"/>
      <c r="M21" s="202" t="s">
        <v>327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8"/>
      <c r="D22" s="278"/>
      <c r="G22" s="194"/>
      <c r="H22" s="278"/>
      <c r="I22" s="278"/>
      <c r="K22" s="194" t="s">
        <v>288</v>
      </c>
      <c r="L22" s="206">
        <f>L20/L17</f>
        <v>19</v>
      </c>
      <c r="M22" s="202"/>
      <c r="N22" s="179"/>
      <c r="O22" s="179"/>
      <c r="P22" s="194" t="s">
        <v>328</v>
      </c>
      <c r="Q22" s="179"/>
      <c r="R22" s="179">
        <f>R21</f>
        <v>25</v>
      </c>
    </row>
    <row r="26" spans="2:18" x14ac:dyDescent="0.2">
      <c r="B26" s="279" t="s">
        <v>464</v>
      </c>
      <c r="C26" s="279"/>
      <c r="D26" s="279"/>
      <c r="G26" s="279" t="s">
        <v>465</v>
      </c>
      <c r="H26" s="279"/>
      <c r="I26" s="279"/>
      <c r="K26" s="279" t="s">
        <v>15</v>
      </c>
      <c r="L26" s="279"/>
    </row>
    <row r="27" spans="2:18" x14ac:dyDescent="0.2">
      <c r="B27" s="179" t="s">
        <v>459</v>
      </c>
      <c r="C27" s="281">
        <v>100</v>
      </c>
      <c r="D27" s="281"/>
      <c r="G27" s="179" t="s">
        <v>459</v>
      </c>
      <c r="H27" s="281">
        <v>200000</v>
      </c>
      <c r="I27" s="281"/>
      <c r="K27" s="10" t="s">
        <v>16</v>
      </c>
      <c r="L27" s="11">
        <v>45</v>
      </c>
      <c r="M27" s="261">
        <v>2000000</v>
      </c>
    </row>
    <row r="28" spans="2:18" x14ac:dyDescent="0.2">
      <c r="B28" s="179" t="s">
        <v>444</v>
      </c>
      <c r="C28" s="282">
        <v>0.05</v>
      </c>
      <c r="D28" s="283"/>
      <c r="G28" s="179" t="s">
        <v>444</v>
      </c>
      <c r="H28" s="282">
        <v>0.12</v>
      </c>
      <c r="I28" s="283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446</v>
      </c>
      <c r="C29" s="281">
        <v>3</v>
      </c>
      <c r="D29" s="281"/>
      <c r="G29" s="179" t="s">
        <v>446</v>
      </c>
      <c r="H29" s="281">
        <v>11</v>
      </c>
      <c r="I29" s="281"/>
      <c r="K29" s="10" t="s">
        <v>18</v>
      </c>
      <c r="L29" s="12">
        <v>8</v>
      </c>
      <c r="M29" s="260"/>
    </row>
    <row r="30" spans="2:18" ht="16" thickBot="1" x14ac:dyDescent="0.25">
      <c r="B30" s="179"/>
      <c r="C30" s="280"/>
      <c r="D30" s="280"/>
      <c r="G30" s="179"/>
      <c r="H30" s="280"/>
      <c r="I30" s="280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460</v>
      </c>
      <c r="C31" s="274">
        <f>( ( ( 1-  (1/ ( (1+C28)^C29) ) ) / C28) ) * (1+C28)</f>
        <v>2.859410430839004</v>
      </c>
      <c r="D31" s="275"/>
      <c r="G31" s="194" t="s">
        <v>461</v>
      </c>
      <c r="H31" s="274">
        <f>(( ((1+H28)^H29) -1 ) / H28 ) * ( 1+H28)</f>
        <v>23.133133271224832</v>
      </c>
      <c r="I31" s="275"/>
      <c r="K31" s="13" t="s">
        <v>20</v>
      </c>
      <c r="L31" s="14">
        <f>L29*12</f>
        <v>96</v>
      </c>
      <c r="M31" s="262"/>
      <c r="P31" s="208" t="s">
        <v>466</v>
      </c>
      <c r="Q31" s="209" t="s">
        <v>467</v>
      </c>
    </row>
    <row r="32" spans="2:18" x14ac:dyDescent="0.2">
      <c r="B32" s="194" t="s">
        <v>468</v>
      </c>
      <c r="C32" s="274">
        <f>C31 * C27</f>
        <v>285.94104308390041</v>
      </c>
      <c r="D32" s="275"/>
      <c r="G32" s="194" t="s">
        <v>469</v>
      </c>
      <c r="H32" s="274">
        <f>H31 * H27</f>
        <v>4626626.6542449668</v>
      </c>
      <c r="I32" s="275"/>
      <c r="K32" s="10" t="s">
        <v>18</v>
      </c>
      <c r="L32" s="15">
        <f>L31/12</f>
        <v>8</v>
      </c>
      <c r="M32" s="263"/>
      <c r="P32" s="210">
        <v>0.05</v>
      </c>
      <c r="Q32" s="211">
        <v>14</v>
      </c>
    </row>
    <row r="33" spans="2:17" x14ac:dyDescent="0.2">
      <c r="B33" s="194"/>
      <c r="C33" s="276"/>
      <c r="D33" s="277"/>
      <c r="G33" s="194"/>
      <c r="H33" s="276"/>
      <c r="I33" s="277"/>
      <c r="K33" s="13" t="s">
        <v>21</v>
      </c>
      <c r="L33" s="3">
        <f>((L28/L27)^(1/L32))-1</f>
        <v>0.23274951685376255</v>
      </c>
      <c r="M33" s="264"/>
      <c r="P33" s="210">
        <v>0.08</v>
      </c>
      <c r="Q33" s="211">
        <v>9</v>
      </c>
    </row>
    <row r="34" spans="2:17" x14ac:dyDescent="0.2">
      <c r="B34" s="194"/>
      <c r="C34" s="278"/>
      <c r="D34" s="278"/>
      <c r="G34" s="194"/>
      <c r="H34" s="278"/>
      <c r="I34" s="278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79" t="s">
        <v>24</v>
      </c>
      <c r="C36" s="279"/>
      <c r="D36" s="279"/>
      <c r="E36" s="212"/>
      <c r="G36" s="279" t="s">
        <v>53</v>
      </c>
      <c r="H36" s="279"/>
      <c r="K36" s="279" t="s">
        <v>333</v>
      </c>
      <c r="L36" s="279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470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334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335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471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73" t="s">
        <v>451</v>
      </c>
      <c r="D43" s="273"/>
      <c r="E43" s="273"/>
      <c r="F43" s="273"/>
      <c r="J43" s="273" t="s">
        <v>451</v>
      </c>
      <c r="K43" s="273"/>
      <c r="L43" s="273"/>
      <c r="M43" s="273"/>
    </row>
    <row r="44" spans="2:17" ht="16" thickBot="1" x14ac:dyDescent="0.25">
      <c r="B44" s="222"/>
      <c r="C44" s="266" t="s">
        <v>472</v>
      </c>
      <c r="D44" s="267"/>
      <c r="E44" s="223" t="s">
        <v>473</v>
      </c>
      <c r="F44" s="223"/>
      <c r="G44" s="224"/>
      <c r="I44" s="222"/>
      <c r="J44" s="266" t="s">
        <v>474</v>
      </c>
      <c r="K44" s="267"/>
      <c r="L44" s="223" t="s">
        <v>475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68" t="s">
        <v>476</v>
      </c>
      <c r="C46" s="269"/>
      <c r="D46" s="269"/>
      <c r="E46" s="269"/>
      <c r="F46" s="269"/>
      <c r="G46" s="270"/>
      <c r="I46" s="268" t="s">
        <v>476</v>
      </c>
      <c r="J46" s="269"/>
      <c r="K46" s="269"/>
      <c r="L46" s="269"/>
      <c r="M46" s="269"/>
      <c r="N46" s="270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477</v>
      </c>
      <c r="D48" s="227" t="s">
        <v>478</v>
      </c>
      <c r="E48" s="227" t="s">
        <v>479</v>
      </c>
      <c r="F48" s="227" t="s">
        <v>480</v>
      </c>
      <c r="G48" s="228" t="s">
        <v>481</v>
      </c>
      <c r="I48" s="226" t="s">
        <v>14</v>
      </c>
      <c r="J48" s="227" t="s">
        <v>477</v>
      </c>
      <c r="K48" s="227" t="s">
        <v>482</v>
      </c>
      <c r="L48" s="227" t="s">
        <v>479</v>
      </c>
      <c r="M48" s="227" t="s">
        <v>480</v>
      </c>
      <c r="N48" s="228" t="s">
        <v>481</v>
      </c>
      <c r="O48" s="229" t="s">
        <v>483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71" t="s">
        <v>484</v>
      </c>
      <c r="C81" s="272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71" t="s">
        <v>484</v>
      </c>
      <c r="J81" s="272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485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485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73" t="s">
        <v>486</v>
      </c>
      <c r="D84" s="273"/>
      <c r="E84" s="273"/>
      <c r="F84" s="273"/>
      <c r="H84" s="242">
        <f t="shared" si="14"/>
        <v>0</v>
      </c>
      <c r="J84" s="273" t="s">
        <v>486</v>
      </c>
      <c r="K84" s="273"/>
      <c r="L84" s="273"/>
      <c r="M84" s="273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66" t="s">
        <v>472</v>
      </c>
      <c r="D86" s="267"/>
      <c r="E86" s="223" t="s">
        <v>473</v>
      </c>
      <c r="F86" s="223"/>
      <c r="G86" s="224"/>
      <c r="H86" s="242">
        <f t="shared" si="14"/>
        <v>0</v>
      </c>
      <c r="I86" s="222"/>
      <c r="J86" s="266" t="s">
        <v>487</v>
      </c>
      <c r="K86" s="267"/>
      <c r="L86" s="223" t="s">
        <v>488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68" t="s">
        <v>489</v>
      </c>
      <c r="C88" s="269"/>
      <c r="D88" s="269"/>
      <c r="E88" s="269"/>
      <c r="F88" s="269"/>
      <c r="G88" s="270"/>
      <c r="H88" s="242">
        <f t="shared" si="14"/>
        <v>0</v>
      </c>
      <c r="I88" s="268" t="s">
        <v>489</v>
      </c>
      <c r="J88" s="269"/>
      <c r="K88" s="269"/>
      <c r="L88" s="269"/>
      <c r="M88" s="269"/>
      <c r="N88" s="270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477</v>
      </c>
      <c r="D90" s="227" t="s">
        <v>490</v>
      </c>
      <c r="E90" s="227" t="s">
        <v>479</v>
      </c>
      <c r="F90" s="227" t="s">
        <v>491</v>
      </c>
      <c r="G90" s="228" t="s">
        <v>492</v>
      </c>
      <c r="I90" s="226" t="s">
        <v>14</v>
      </c>
      <c r="J90" s="227" t="s">
        <v>493</v>
      </c>
      <c r="K90" s="227" t="s">
        <v>494</v>
      </c>
      <c r="L90" s="227" t="s">
        <v>479</v>
      </c>
      <c r="M90" s="227" t="s">
        <v>491</v>
      </c>
      <c r="N90" s="228" t="s">
        <v>492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71" t="s">
        <v>495</v>
      </c>
      <c r="C124" s="272"/>
      <c r="D124" s="247">
        <f>SUM(D91:D123)</f>
        <v>1900</v>
      </c>
      <c r="E124" s="245"/>
      <c r="F124" s="245"/>
      <c r="G124" s="257">
        <f>G121</f>
        <v>1413.1902480939689</v>
      </c>
      <c r="I124" s="271" t="s">
        <v>495</v>
      </c>
      <c r="J124" s="272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84"/>
  <sheetViews>
    <sheetView tabSelected="1" zoomScale="120" zoomScaleNormal="12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L24" sqref="L24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5" style="89" bestFit="1" customWidth="1"/>
    <col min="11" max="11" width="11.33203125" style="89" bestFit="1" customWidth="1"/>
    <col min="12" max="17" width="12.33203125" style="89" bestFit="1" customWidth="1"/>
    <col min="18" max="18" width="12.33203125" style="89" customWidth="1"/>
    <col min="19" max="20" width="12.33203125" style="89" bestFit="1" customWidth="1"/>
    <col min="21" max="27" width="10.6640625" style="89" customWidth="1"/>
    <col min="28" max="28" width="9.83203125" style="89" customWidth="1"/>
    <col min="29" max="29" width="10.83203125" style="89" bestFit="1" customWidth="1"/>
    <col min="30" max="33" width="11.1640625" style="89" bestFit="1" customWidth="1"/>
    <col min="34" max="39" width="12.5" style="89" bestFit="1" customWidth="1"/>
    <col min="40" max="40" width="9.33203125" style="89" bestFit="1" customWidth="1"/>
    <col min="41" max="41" width="9" style="89" customWidth="1"/>
    <col min="42" max="42" width="10.6640625" style="89" customWidth="1"/>
    <col min="43" max="16384" width="9.1640625" style="89"/>
  </cols>
  <sheetData>
    <row r="1" spans="2:42" x14ac:dyDescent="0.15">
      <c r="B1" s="106" t="s">
        <v>504</v>
      </c>
      <c r="C1" s="265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339</v>
      </c>
      <c r="T1" s="136">
        <v>0.01</v>
      </c>
    </row>
    <row r="2" spans="2:42" x14ac:dyDescent="0.15">
      <c r="B2" s="128" t="s">
        <v>261</v>
      </c>
      <c r="C2" s="103"/>
      <c r="I2" s="89" t="s">
        <v>210</v>
      </c>
      <c r="K2" s="107">
        <v>2024</v>
      </c>
      <c r="M2" s="89" t="s">
        <v>272</v>
      </c>
      <c r="O2" s="136">
        <v>0.1</v>
      </c>
      <c r="Q2" s="89" t="s">
        <v>404</v>
      </c>
      <c r="T2" s="136">
        <v>0.22</v>
      </c>
      <c r="AD2" s="98" t="s">
        <v>5</v>
      </c>
      <c r="AE2" s="98" t="s">
        <v>6</v>
      </c>
      <c r="AF2" s="98" t="s">
        <v>7</v>
      </c>
      <c r="AG2" s="98" t="s">
        <v>8</v>
      </c>
      <c r="AH2" s="98" t="s">
        <v>9</v>
      </c>
      <c r="AI2" s="98" t="s">
        <v>192</v>
      </c>
      <c r="AJ2" s="98" t="s">
        <v>193</v>
      </c>
      <c r="AK2" s="98" t="s">
        <v>194</v>
      </c>
      <c r="AL2" s="98" t="s">
        <v>195</v>
      </c>
      <c r="AM2" s="98" t="s">
        <v>196</v>
      </c>
      <c r="AO2" s="296" t="s">
        <v>240</v>
      </c>
      <c r="AP2" s="297"/>
    </row>
    <row r="3" spans="2:42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7">
        <v>2024</v>
      </c>
      <c r="AB3" s="99" t="s">
        <v>1</v>
      </c>
      <c r="AC3" s="99" t="s">
        <v>211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98">
        <v>2034</v>
      </c>
      <c r="AN3" s="112" t="s">
        <v>1</v>
      </c>
      <c r="AO3" s="298" t="s">
        <v>241</v>
      </c>
      <c r="AP3" s="299"/>
    </row>
    <row r="4" spans="2:42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13"/>
      <c r="AO4" s="10"/>
      <c r="AP4" s="10"/>
    </row>
    <row r="5" spans="2:42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0"/>
      <c r="AC5" s="10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13"/>
      <c r="AO5" s="10"/>
      <c r="AP5" s="129"/>
    </row>
    <row r="6" spans="2:42" x14ac:dyDescent="0.15">
      <c r="B6" s="10" t="s">
        <v>10</v>
      </c>
      <c r="C6" s="117"/>
      <c r="D6" s="117"/>
      <c r="E6" s="123"/>
      <c r="F6" s="123"/>
      <c r="G6" s="123">
        <v>7139</v>
      </c>
      <c r="H6" s="123">
        <v>11537</v>
      </c>
      <c r="I6" s="123">
        <v>21351</v>
      </c>
      <c r="J6" s="123">
        <v>23065</v>
      </c>
      <c r="K6" s="123">
        <v>43609</v>
      </c>
      <c r="L6" s="123">
        <v>45664</v>
      </c>
      <c r="M6" s="123">
        <v>50181</v>
      </c>
      <c r="N6" s="123">
        <v>54150</v>
      </c>
      <c r="O6" s="123">
        <v>60121</v>
      </c>
      <c r="P6" s="123">
        <v>67604</v>
      </c>
      <c r="Q6" s="123">
        <v>75268.23</v>
      </c>
      <c r="R6" s="123">
        <v>83527</v>
      </c>
      <c r="S6" s="123">
        <v>92940</v>
      </c>
      <c r="T6" s="176">
        <v>103460</v>
      </c>
      <c r="U6" s="176">
        <v>109338</v>
      </c>
      <c r="V6" s="176">
        <v>112959</v>
      </c>
      <c r="W6" s="176">
        <v>121661</v>
      </c>
      <c r="X6" s="176">
        <v>156200</v>
      </c>
      <c r="Y6" s="176">
        <v>180396</v>
      </c>
      <c r="Z6" s="176">
        <v>212340</v>
      </c>
      <c r="AA6" s="176">
        <v>268627</v>
      </c>
      <c r="AB6" s="101">
        <f>((AA6/G6)^(1/($K$2-$K$1) ))-1</f>
        <v>0.1988797204848034</v>
      </c>
      <c r="AC6" s="21">
        <f>$O$2</f>
        <v>0.1</v>
      </c>
      <c r="AD6" s="129">
        <f>AA6*(1+$AC6)</f>
        <v>295489.7</v>
      </c>
      <c r="AE6" s="129">
        <f>AD6*(1+$AC6)</f>
        <v>325038.67000000004</v>
      </c>
      <c r="AF6" s="129">
        <f t="shared" ref="AF6:AM6" si="0">AE6*(1+$AC6)</f>
        <v>357542.53700000007</v>
      </c>
      <c r="AG6" s="129">
        <f t="shared" si="0"/>
        <v>393296.79070000013</v>
      </c>
      <c r="AH6" s="129">
        <f t="shared" si="0"/>
        <v>432626.4697700002</v>
      </c>
      <c r="AI6" s="129">
        <f t="shared" si="0"/>
        <v>475889.11674700025</v>
      </c>
      <c r="AJ6" s="129">
        <f t="shared" si="0"/>
        <v>523478.02842170035</v>
      </c>
      <c r="AK6" s="129">
        <f t="shared" si="0"/>
        <v>575825.83126387047</v>
      </c>
      <c r="AL6" s="129">
        <f t="shared" si="0"/>
        <v>633408.41439025756</v>
      </c>
      <c r="AM6" s="129">
        <f t="shared" si="0"/>
        <v>696749.25582928339</v>
      </c>
      <c r="AN6" s="114">
        <f>((AM6/G6)^(1/($AM$3-$K$1) ))-1</f>
        <v>0.16496972116008179</v>
      </c>
      <c r="AO6" s="21">
        <f>$O$1</f>
        <v>0.01</v>
      </c>
      <c r="AP6" s="122" t="e">
        <f>(AM6*(1+AO6))/($O$1-AO6)</f>
        <v>#DIV/0!</v>
      </c>
    </row>
    <row r="7" spans="2:42" x14ac:dyDescent="0.15">
      <c r="B7" s="10" t="s">
        <v>198</v>
      </c>
      <c r="C7" s="117"/>
      <c r="D7" s="117"/>
      <c r="E7" s="123"/>
      <c r="F7" s="123"/>
      <c r="G7" s="123">
        <v>8105</v>
      </c>
      <c r="H7" s="123">
        <v>12624</v>
      </c>
      <c r="I7" s="123">
        <v>22591</v>
      </c>
      <c r="J7" s="123">
        <v>24315</v>
      </c>
      <c r="K7" s="123">
        <v>45072</v>
      </c>
      <c r="L7" s="123">
        <v>47127</v>
      </c>
      <c r="M7" s="123">
        <v>51296</v>
      </c>
      <c r="N7" s="123">
        <v>55302</v>
      </c>
      <c r="O7" s="123">
        <v>61276</v>
      </c>
      <c r="P7" s="123">
        <v>68762</v>
      </c>
      <c r="Q7" s="123">
        <v>75268.23</v>
      </c>
      <c r="R7" s="123">
        <v>83547</v>
      </c>
      <c r="S7" s="123">
        <v>90123</v>
      </c>
      <c r="T7" s="176">
        <v>100395</v>
      </c>
      <c r="U7" s="176">
        <v>106310</v>
      </c>
      <c r="V7" s="176">
        <v>109889</v>
      </c>
      <c r="W7" s="176">
        <v>118518</v>
      </c>
      <c r="X7" s="176">
        <v>153075</v>
      </c>
      <c r="Y7" s="176">
        <v>177167</v>
      </c>
      <c r="Z7" s="176">
        <v>209248</v>
      </c>
      <c r="AA7" s="176">
        <v>268627</v>
      </c>
      <c r="AB7" s="101">
        <f>((AA7/G7)^(1/($K$2-$K$1) ))-1</f>
        <v>0.19129640755730204</v>
      </c>
      <c r="AC7" s="21">
        <f>$O$2</f>
        <v>0.1</v>
      </c>
      <c r="AD7" s="129">
        <f t="shared" ref="AD7:AD63" si="1">AA7*(1+$AC7)</f>
        <v>295489.7</v>
      </c>
      <c r="AE7" s="129">
        <f t="shared" ref="AE7:AM7" si="2">AD7*(1+$AC7)</f>
        <v>325038.67000000004</v>
      </c>
      <c r="AF7" s="129">
        <f t="shared" si="2"/>
        <v>357542.53700000007</v>
      </c>
      <c r="AG7" s="129">
        <f t="shared" si="2"/>
        <v>393296.79070000013</v>
      </c>
      <c r="AH7" s="129">
        <f t="shared" si="2"/>
        <v>432626.4697700002</v>
      </c>
      <c r="AI7" s="129">
        <f t="shared" si="2"/>
        <v>475889.11674700025</v>
      </c>
      <c r="AJ7" s="129">
        <f t="shared" si="2"/>
        <v>523478.02842170035</v>
      </c>
      <c r="AK7" s="129">
        <f t="shared" si="2"/>
        <v>575825.83126387047</v>
      </c>
      <c r="AL7" s="129">
        <f t="shared" si="2"/>
        <v>633408.41439025756</v>
      </c>
      <c r="AM7" s="129">
        <f t="shared" si="2"/>
        <v>696749.25582928339</v>
      </c>
      <c r="AN7" s="114">
        <f t="shared" ref="AN7:AN63" si="3">((AM7/G7)^(1/($AM$3-$K$1) ))-1</f>
        <v>0.16005198036114554</v>
      </c>
      <c r="AO7" s="21">
        <f>$O$1</f>
        <v>0.01</v>
      </c>
      <c r="AP7" s="122" t="e">
        <f>(AM7*(1+AO7))/($O$1-AO7)</f>
        <v>#DIV/0!</v>
      </c>
    </row>
    <row r="8" spans="2:42" x14ac:dyDescent="0.15">
      <c r="B8" s="10"/>
      <c r="C8" s="117"/>
      <c r="D8" s="117"/>
      <c r="E8" s="123"/>
      <c r="F8" s="126"/>
      <c r="G8" s="126">
        <f>(G7-F7)/G7</f>
        <v>1</v>
      </c>
      <c r="H8" s="126">
        <f>(H7-G7)/H7</f>
        <v>0.35796894803548795</v>
      </c>
      <c r="I8" s="126">
        <f t="shared" ref="I8:P8" si="4">(I7-H7)/I7</f>
        <v>0.44119339560001769</v>
      </c>
      <c r="J8" s="126">
        <f t="shared" si="4"/>
        <v>7.0902734937281511E-2</v>
      </c>
      <c r="K8" s="126">
        <f t="shared" si="4"/>
        <v>0.46052981895633655</v>
      </c>
      <c r="L8" s="126">
        <f t="shared" si="4"/>
        <v>4.3605576421159843E-2</v>
      </c>
      <c r="M8" s="126">
        <f t="shared" si="4"/>
        <v>8.1273393636930757E-2</v>
      </c>
      <c r="N8" s="126">
        <f t="shared" si="4"/>
        <v>7.243860981519655E-2</v>
      </c>
      <c r="O8" s="126">
        <f t="shared" si="4"/>
        <v>9.7493308962726025E-2</v>
      </c>
      <c r="P8" s="126">
        <f t="shared" ref="P8" si="5">(P7-O7)/O7</f>
        <v>0.12216854886089171</v>
      </c>
      <c r="Q8" s="126">
        <f t="shared" ref="Q8" si="6">(Q7-P7)/P7</f>
        <v>9.4619557313632474E-2</v>
      </c>
      <c r="R8" s="126">
        <f t="shared" ref="R8" si="7">(R7-Q7)/Q7</f>
        <v>0.10999023093807314</v>
      </c>
      <c r="S8" s="126">
        <f t="shared" ref="S8" si="8">(S7-R7)/R7</f>
        <v>7.8710187080326038E-2</v>
      </c>
      <c r="T8" s="126">
        <f t="shared" ref="T8" si="9">(T7-S7)/S7</f>
        <v>0.11397756399587231</v>
      </c>
      <c r="U8" s="126">
        <f t="shared" ref="U8" si="10">(U7-T7)/T7</f>
        <v>5.8917276756810598E-2</v>
      </c>
      <c r="V8" s="126">
        <f t="shared" ref="V8" si="11">(V7-U7)/U7</f>
        <v>3.3665694666541249E-2</v>
      </c>
      <c r="W8" s="126">
        <f t="shared" ref="W8" si="12">(W7-V7)/V7</f>
        <v>7.85246930994003E-2</v>
      </c>
      <c r="X8" s="126">
        <f t="shared" ref="X8" si="13">(X7-W7)/W7</f>
        <v>0.29157596314483875</v>
      </c>
      <c r="Y8" s="126">
        <f t="shared" ref="Y8" si="14">(Y7-X7)/X7</f>
        <v>0.15738690184550058</v>
      </c>
      <c r="Z8" s="126">
        <f t="shared" ref="Z8" si="15">(Z7-Y7)/Y7</f>
        <v>0.18107774021121315</v>
      </c>
      <c r="AA8" s="126">
        <f t="shared" ref="AA8" si="16">(AA7-Z7)/Z7</f>
        <v>0.28377332160880869</v>
      </c>
      <c r="AB8" s="10"/>
      <c r="AC8" s="10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13"/>
      <c r="AO8" s="113"/>
      <c r="AP8" s="122"/>
    </row>
    <row r="9" spans="2:42" x14ac:dyDescent="0.15">
      <c r="B9" s="10" t="s">
        <v>220</v>
      </c>
      <c r="C9" s="117"/>
      <c r="D9" s="117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01" t="e">
        <f>((AA9/G9)^(1/($K$2-$K$1) ))-1</f>
        <v>#DIV/0!</v>
      </c>
      <c r="AC9" s="21">
        <f t="shared" ref="AC9:AC59" si="17">$O$2</f>
        <v>0.1</v>
      </c>
      <c r="AD9" s="129">
        <f t="shared" si="1"/>
        <v>0</v>
      </c>
      <c r="AE9" s="129">
        <f t="shared" ref="AE9" si="18">AD9*(1+$AC9)</f>
        <v>0</v>
      </c>
      <c r="AF9" s="129">
        <f t="shared" ref="AF9" si="19">AE9*(1+$AC9)</f>
        <v>0</v>
      </c>
      <c r="AG9" s="129">
        <f t="shared" ref="AG9" si="20">AF9*(1+$AC9)</f>
        <v>0</v>
      </c>
      <c r="AH9" s="129">
        <f t="shared" ref="AH9" si="21">AG9*(1+$AC9)</f>
        <v>0</v>
      </c>
      <c r="AI9" s="129">
        <f t="shared" ref="AI9" si="22">AH9*(1+$AC9)</f>
        <v>0</v>
      </c>
      <c r="AJ9" s="129">
        <f t="shared" ref="AJ9" si="23">AI9*(1+$AC9)</f>
        <v>0</v>
      </c>
      <c r="AK9" s="129">
        <f t="shared" ref="AK9" si="24">AJ9*(1+$AC9)</f>
        <v>0</v>
      </c>
      <c r="AL9" s="129">
        <f t="shared" ref="AL9" si="25">AK9*(1+$AC9)</f>
        <v>0</v>
      </c>
      <c r="AM9" s="129">
        <f t="shared" ref="AM9" si="26">AL9*(1+$AC9)</f>
        <v>0</v>
      </c>
      <c r="AN9" s="114" t="e">
        <f t="shared" si="3"/>
        <v>#DIV/0!</v>
      </c>
      <c r="AO9" s="21">
        <f t="shared" ref="AO9:AO103" si="27">$O$1</f>
        <v>0.01</v>
      </c>
      <c r="AP9" s="122" t="e">
        <f>(AM9*(1+AO9))/($O$1-AO9)</f>
        <v>#DIV/0!</v>
      </c>
    </row>
    <row r="10" spans="2:42" x14ac:dyDescent="0.15">
      <c r="B10" s="10" t="s">
        <v>3</v>
      </c>
      <c r="C10" s="117"/>
      <c r="D10" s="117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01" t="e">
        <f>((AA10/G10)^(1/($K$2-$K$1) ))-1</f>
        <v>#DIV/0!</v>
      </c>
      <c r="AC10" s="21">
        <f t="shared" si="17"/>
        <v>0.1</v>
      </c>
      <c r="AD10" s="129">
        <f t="shared" si="1"/>
        <v>0</v>
      </c>
      <c r="AE10" s="129">
        <f t="shared" ref="AE10:AM10" si="28">AD10*(1+$AC10)</f>
        <v>0</v>
      </c>
      <c r="AF10" s="129">
        <f t="shared" si="28"/>
        <v>0</v>
      </c>
      <c r="AG10" s="129">
        <f t="shared" si="28"/>
        <v>0</v>
      </c>
      <c r="AH10" s="129">
        <f t="shared" si="28"/>
        <v>0</v>
      </c>
      <c r="AI10" s="129">
        <f t="shared" si="28"/>
        <v>0</v>
      </c>
      <c r="AJ10" s="129">
        <f t="shared" si="28"/>
        <v>0</v>
      </c>
      <c r="AK10" s="129">
        <f t="shared" si="28"/>
        <v>0</v>
      </c>
      <c r="AL10" s="129">
        <f t="shared" si="28"/>
        <v>0</v>
      </c>
      <c r="AM10" s="129">
        <f t="shared" si="28"/>
        <v>0</v>
      </c>
      <c r="AN10" s="114" t="e">
        <f t="shared" si="3"/>
        <v>#DIV/0!</v>
      </c>
      <c r="AO10" s="21">
        <f t="shared" si="27"/>
        <v>0.01</v>
      </c>
      <c r="AP10" s="122" t="e">
        <f>(AM10*(1+AO10))/($O$1-AO10)</f>
        <v>#DIV/0!</v>
      </c>
    </row>
    <row r="11" spans="2:42" x14ac:dyDescent="0.15">
      <c r="B11" s="10"/>
      <c r="C11" s="117"/>
      <c r="D11" s="117"/>
      <c r="E11" s="123"/>
      <c r="F11" s="126"/>
      <c r="G11" s="126" t="e">
        <f>(G10-F10)/G10</f>
        <v>#DIV/0!</v>
      </c>
      <c r="H11" s="126" t="e">
        <f t="shared" ref="H11:P11" si="29">(H10-G10)/H10</f>
        <v>#DIV/0!</v>
      </c>
      <c r="I11" s="126" t="e">
        <f t="shared" si="29"/>
        <v>#DIV/0!</v>
      </c>
      <c r="J11" s="126" t="e">
        <f t="shared" si="29"/>
        <v>#DIV/0!</v>
      </c>
      <c r="K11" s="126" t="e">
        <f t="shared" si="29"/>
        <v>#DIV/0!</v>
      </c>
      <c r="L11" s="126" t="e">
        <f t="shared" si="29"/>
        <v>#DIV/0!</v>
      </c>
      <c r="M11" s="126" t="e">
        <f t="shared" si="29"/>
        <v>#DIV/0!</v>
      </c>
      <c r="N11" s="126" t="e">
        <f t="shared" si="29"/>
        <v>#DIV/0!</v>
      </c>
      <c r="O11" s="126" t="e">
        <f t="shared" si="29"/>
        <v>#DIV/0!</v>
      </c>
      <c r="P11" s="126" t="e">
        <f t="shared" ref="P11" si="30">(P10-O10)/O10</f>
        <v>#DIV/0!</v>
      </c>
      <c r="Q11" s="126" t="e">
        <f t="shared" ref="Q11" si="31">(Q10-P10)/P10</f>
        <v>#DIV/0!</v>
      </c>
      <c r="R11" s="126" t="e">
        <f t="shared" ref="R11" si="32">(R10-Q10)/Q10</f>
        <v>#DIV/0!</v>
      </c>
      <c r="S11" s="126" t="e">
        <f t="shared" ref="S11" si="33">(S10-R10)/R10</f>
        <v>#DIV/0!</v>
      </c>
      <c r="T11" s="126" t="e">
        <f t="shared" ref="T11" si="34">(T10-S10)/S10</f>
        <v>#DIV/0!</v>
      </c>
      <c r="U11" s="126" t="e">
        <f t="shared" ref="U11" si="35">(U10-T10)/T10</f>
        <v>#DIV/0!</v>
      </c>
      <c r="V11" s="126" t="e">
        <f t="shared" ref="V11" si="36">(V10-U10)/U10</f>
        <v>#DIV/0!</v>
      </c>
      <c r="W11" s="126" t="e">
        <f t="shared" ref="W11" si="37">(W10-V10)/V10</f>
        <v>#DIV/0!</v>
      </c>
      <c r="X11" s="126" t="e">
        <f t="shared" ref="X11" si="38">(X10-W10)/W10</f>
        <v>#DIV/0!</v>
      </c>
      <c r="Y11" s="126" t="e">
        <f t="shared" ref="Y11" si="39">(Y10-X10)/X10</f>
        <v>#DIV/0!</v>
      </c>
      <c r="Z11" s="126" t="e">
        <f t="shared" ref="Z11" si="40">(Z10-Y10)/Y10</f>
        <v>#DIV/0!</v>
      </c>
      <c r="AA11" s="126" t="e">
        <f t="shared" ref="AA11" si="41">(AA10-Z10)/Z10</f>
        <v>#DIV/0!</v>
      </c>
      <c r="AB11" s="10"/>
      <c r="AC11" s="10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13"/>
      <c r="AO11" s="113"/>
      <c r="AP11" s="113"/>
    </row>
    <row r="12" spans="2:42" x14ac:dyDescent="0.15">
      <c r="B12" s="10" t="s">
        <v>2</v>
      </c>
      <c r="C12" s="117"/>
      <c r="D12" s="117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01" t="e">
        <f>((AA12/G12)^(1/($K$2-$K$1) ))-1</f>
        <v>#DIV/0!</v>
      </c>
      <c r="AC12" s="21">
        <f t="shared" si="17"/>
        <v>0.1</v>
      </c>
      <c r="AD12" s="129">
        <f t="shared" si="1"/>
        <v>0</v>
      </c>
      <c r="AE12" s="129">
        <f t="shared" ref="AE12:AM12" si="42">AD12*(1+$AC12)</f>
        <v>0</v>
      </c>
      <c r="AF12" s="129">
        <f t="shared" si="42"/>
        <v>0</v>
      </c>
      <c r="AG12" s="129">
        <f t="shared" si="42"/>
        <v>0</v>
      </c>
      <c r="AH12" s="129">
        <f t="shared" si="42"/>
        <v>0</v>
      </c>
      <c r="AI12" s="129">
        <f t="shared" si="42"/>
        <v>0</v>
      </c>
      <c r="AJ12" s="129">
        <f t="shared" si="42"/>
        <v>0</v>
      </c>
      <c r="AK12" s="129">
        <f t="shared" si="42"/>
        <v>0</v>
      </c>
      <c r="AL12" s="129">
        <f t="shared" si="42"/>
        <v>0</v>
      </c>
      <c r="AM12" s="129">
        <f t="shared" si="42"/>
        <v>0</v>
      </c>
      <c r="AN12" s="114" t="e">
        <f t="shared" si="3"/>
        <v>#DIV/0!</v>
      </c>
      <c r="AO12" s="21">
        <f t="shared" si="27"/>
        <v>0.01</v>
      </c>
      <c r="AP12" s="122" t="e">
        <f t="shared" ref="AP12:AP74" si="43">(AM12*(1+AO12))/($O$1-AO12)</f>
        <v>#DIV/0!</v>
      </c>
    </row>
    <row r="13" spans="2:42" x14ac:dyDescent="0.15">
      <c r="B13" s="10" t="s">
        <v>191</v>
      </c>
      <c r="C13" s="117"/>
      <c r="D13" s="117"/>
      <c r="E13" s="123"/>
      <c r="F13" s="123"/>
      <c r="G13" s="123">
        <v>46267</v>
      </c>
      <c r="H13" s="123">
        <v>54651</v>
      </c>
      <c r="I13" s="123">
        <v>84013</v>
      </c>
      <c r="J13" s="123">
        <v>120616</v>
      </c>
      <c r="K13" s="123">
        <v>160046</v>
      </c>
      <c r="L13" s="123">
        <v>148107</v>
      </c>
      <c r="M13" s="123">
        <v>186319</v>
      </c>
      <c r="N13" s="123">
        <v>209652</v>
      </c>
      <c r="O13" s="123">
        <v>239864</v>
      </c>
      <c r="P13" s="123">
        <v>255666</v>
      </c>
      <c r="Q13" s="123">
        <v>267609</v>
      </c>
      <c r="R13" s="176">
        <v>302761</v>
      </c>
      <c r="S13" s="176">
        <v>286044</v>
      </c>
      <c r="T13" s="176">
        <v>304501</v>
      </c>
      <c r="U13" s="176">
        <v>372207</v>
      </c>
      <c r="V13" s="176">
        <v>398200</v>
      </c>
      <c r="W13" s="123">
        <v>443472</v>
      </c>
      <c r="X13" s="123">
        <v>536578</v>
      </c>
      <c r="Y13" s="123">
        <v>567097</v>
      </c>
      <c r="Z13" s="123">
        <v>639551</v>
      </c>
      <c r="AA13" s="123">
        <v>827162</v>
      </c>
      <c r="AB13" s="101">
        <f t="shared" ref="AB13:AB67" si="44">((AA13/G13)^(1/($K$2-$K$1) ))-1</f>
        <v>0.1550903661801466</v>
      </c>
      <c r="AC13" s="21">
        <f t="shared" si="17"/>
        <v>0.1</v>
      </c>
      <c r="AD13" s="129">
        <f t="shared" si="1"/>
        <v>909878.20000000007</v>
      </c>
      <c r="AE13" s="129">
        <f t="shared" ref="AE13:AM13" si="45">AD13*(1+$AC13)</f>
        <v>1000866.0200000001</v>
      </c>
      <c r="AF13" s="129">
        <f t="shared" si="45"/>
        <v>1100952.6220000002</v>
      </c>
      <c r="AG13" s="129">
        <f t="shared" si="45"/>
        <v>1211047.8842000004</v>
      </c>
      <c r="AH13" s="129">
        <f t="shared" si="45"/>
        <v>1332152.6726200006</v>
      </c>
      <c r="AI13" s="129">
        <f t="shared" si="45"/>
        <v>1465367.9398820007</v>
      </c>
      <c r="AJ13" s="129">
        <f t="shared" si="45"/>
        <v>1611904.7338702008</v>
      </c>
      <c r="AK13" s="129">
        <f t="shared" si="45"/>
        <v>1773095.207257221</v>
      </c>
      <c r="AL13" s="129">
        <f t="shared" si="45"/>
        <v>1950404.7279829432</v>
      </c>
      <c r="AM13" s="129">
        <f t="shared" si="45"/>
        <v>2145445.2007812378</v>
      </c>
      <c r="AN13" s="114">
        <f t="shared" si="3"/>
        <v>0.13642698105907924</v>
      </c>
      <c r="AO13" s="21">
        <f t="shared" si="27"/>
        <v>0.01</v>
      </c>
      <c r="AP13" s="122" t="e">
        <f t="shared" si="43"/>
        <v>#DIV/0!</v>
      </c>
    </row>
    <row r="14" spans="2:42" x14ac:dyDescent="0.15">
      <c r="B14" s="10" t="s">
        <v>314</v>
      </c>
      <c r="C14" s="117"/>
      <c r="D14" s="117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01" t="e">
        <f t="shared" si="44"/>
        <v>#DIV/0!</v>
      </c>
      <c r="AC14" s="21">
        <f t="shared" si="17"/>
        <v>0.1</v>
      </c>
      <c r="AD14" s="129">
        <f t="shared" si="1"/>
        <v>0</v>
      </c>
      <c r="AE14" s="129">
        <f t="shared" ref="AE14" si="46">AD14*(1+$AC14)</f>
        <v>0</v>
      </c>
      <c r="AF14" s="129">
        <f t="shared" ref="AF14" si="47">AE14*(1+$AC14)</f>
        <v>0</v>
      </c>
      <c r="AG14" s="129">
        <f t="shared" ref="AG14" si="48">AF14*(1+$AC14)</f>
        <v>0</v>
      </c>
      <c r="AH14" s="129">
        <f t="shared" ref="AH14" si="49">AG14*(1+$AC14)</f>
        <v>0</v>
      </c>
      <c r="AI14" s="129">
        <f t="shared" ref="AI14" si="50">AH14*(1+$AC14)</f>
        <v>0</v>
      </c>
      <c r="AJ14" s="129">
        <f t="shared" ref="AJ14" si="51">AI14*(1+$AC14)</f>
        <v>0</v>
      </c>
      <c r="AK14" s="129">
        <f t="shared" ref="AK14" si="52">AJ14*(1+$AC14)</f>
        <v>0</v>
      </c>
      <c r="AL14" s="129">
        <f t="shared" ref="AL14" si="53">AK14*(1+$AC14)</f>
        <v>0</v>
      </c>
      <c r="AM14" s="129">
        <f t="shared" ref="AM14" si="54">AL14*(1+$AC14)</f>
        <v>0</v>
      </c>
      <c r="AN14" s="114" t="e">
        <f t="shared" si="3"/>
        <v>#DIV/0!</v>
      </c>
      <c r="AO14" s="21">
        <f t="shared" si="27"/>
        <v>0.01</v>
      </c>
      <c r="AP14" s="122" t="e">
        <f t="shared" si="43"/>
        <v>#DIV/0!</v>
      </c>
    </row>
    <row r="15" spans="2:42" x14ac:dyDescent="0.15">
      <c r="B15" s="10" t="s">
        <v>11</v>
      </c>
      <c r="C15" s="117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01" t="e">
        <f t="shared" si="44"/>
        <v>#DIV/0!</v>
      </c>
      <c r="AC15" s="21">
        <f t="shared" si="17"/>
        <v>0.1</v>
      </c>
      <c r="AD15" s="129">
        <f t="shared" si="1"/>
        <v>0</v>
      </c>
      <c r="AE15" s="129">
        <f t="shared" ref="AE15:AM15" si="55">AD15*(1+$AC15)</f>
        <v>0</v>
      </c>
      <c r="AF15" s="129">
        <f t="shared" si="55"/>
        <v>0</v>
      </c>
      <c r="AG15" s="129">
        <f t="shared" si="55"/>
        <v>0</v>
      </c>
      <c r="AH15" s="129">
        <f t="shared" si="55"/>
        <v>0</v>
      </c>
      <c r="AI15" s="129">
        <f t="shared" si="55"/>
        <v>0</v>
      </c>
      <c r="AJ15" s="129">
        <f t="shared" si="55"/>
        <v>0</v>
      </c>
      <c r="AK15" s="129">
        <f t="shared" si="55"/>
        <v>0</v>
      </c>
      <c r="AL15" s="129">
        <f t="shared" si="55"/>
        <v>0</v>
      </c>
      <c r="AM15" s="129">
        <f t="shared" si="55"/>
        <v>0</v>
      </c>
      <c r="AN15" s="114" t="e">
        <f t="shared" si="3"/>
        <v>#DIV/0!</v>
      </c>
      <c r="AO15" s="21">
        <f t="shared" si="27"/>
        <v>0.01</v>
      </c>
      <c r="AP15" s="122" t="e">
        <f t="shared" si="43"/>
        <v>#DIV/0!</v>
      </c>
    </row>
    <row r="16" spans="2:42" x14ac:dyDescent="0.15">
      <c r="B16" s="10" t="s">
        <v>12</v>
      </c>
      <c r="C16" s="117"/>
      <c r="D16" s="117"/>
      <c r="E16" s="123"/>
      <c r="F16" s="123"/>
      <c r="G16" s="123">
        <v>4147</v>
      </c>
      <c r="H16" s="123">
        <v>4178</v>
      </c>
      <c r="I16" s="123">
        <v>4142</v>
      </c>
      <c r="J16" s="123">
        <v>4340</v>
      </c>
      <c r="K16" s="123">
        <v>4678</v>
      </c>
      <c r="L16" s="123">
        <v>4497</v>
      </c>
      <c r="M16" s="123">
        <v>3862</v>
      </c>
      <c r="N16" s="123">
        <v>5489</v>
      </c>
      <c r="O16" s="123">
        <v>5431</v>
      </c>
      <c r="P16" s="123">
        <v>5473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01">
        <f t="shared" si="44"/>
        <v>-1</v>
      </c>
      <c r="AC16" s="21">
        <f t="shared" si="17"/>
        <v>0.1</v>
      </c>
      <c r="AD16" s="129">
        <f t="shared" si="1"/>
        <v>0</v>
      </c>
      <c r="AE16" s="129">
        <f t="shared" ref="AE16:AM16" si="56">AD16*(1+$AC16)</f>
        <v>0</v>
      </c>
      <c r="AF16" s="129">
        <f t="shared" si="56"/>
        <v>0</v>
      </c>
      <c r="AG16" s="129">
        <f t="shared" si="56"/>
        <v>0</v>
      </c>
      <c r="AH16" s="129">
        <f t="shared" si="56"/>
        <v>0</v>
      </c>
      <c r="AI16" s="129">
        <f t="shared" si="56"/>
        <v>0</v>
      </c>
      <c r="AJ16" s="129">
        <f t="shared" si="56"/>
        <v>0</v>
      </c>
      <c r="AK16" s="129">
        <f t="shared" si="56"/>
        <v>0</v>
      </c>
      <c r="AL16" s="129">
        <f t="shared" si="56"/>
        <v>0</v>
      </c>
      <c r="AM16" s="129">
        <f t="shared" si="56"/>
        <v>0</v>
      </c>
      <c r="AN16" s="114">
        <f t="shared" si="3"/>
        <v>-1</v>
      </c>
      <c r="AO16" s="21">
        <f t="shared" si="27"/>
        <v>0.01</v>
      </c>
      <c r="AP16" s="122" t="e">
        <f t="shared" si="43"/>
        <v>#DIV/0!</v>
      </c>
    </row>
    <row r="17" spans="2:42" x14ac:dyDescent="0.15">
      <c r="B17" s="10"/>
      <c r="C17" s="117"/>
      <c r="D17" s="117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0"/>
      <c r="AC17" s="10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13"/>
      <c r="AO17" s="113"/>
      <c r="AP17" s="113"/>
    </row>
    <row r="18" spans="2:42" x14ac:dyDescent="0.15">
      <c r="B18" s="10" t="s">
        <v>228</v>
      </c>
      <c r="C18" s="117"/>
      <c r="D18" s="117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>
        <v>5506</v>
      </c>
      <c r="R18" s="123">
        <v>5871</v>
      </c>
      <c r="S18" s="123">
        <v>8713</v>
      </c>
      <c r="T18" s="123">
        <v>9337</v>
      </c>
      <c r="U18" s="123">
        <v>9465</v>
      </c>
      <c r="V18" s="123">
        <v>9660</v>
      </c>
      <c r="W18" s="123">
        <v>10408</v>
      </c>
      <c r="X18" s="123">
        <v>10809</v>
      </c>
      <c r="Y18" s="123">
        <v>10706</v>
      </c>
      <c r="Z18" s="123">
        <v>11070</v>
      </c>
      <c r="AA18" s="123">
        <v>13240</v>
      </c>
      <c r="AB18" s="101" t="e">
        <f t="shared" si="44"/>
        <v>#DIV/0!</v>
      </c>
      <c r="AC18" s="21">
        <f t="shared" si="17"/>
        <v>0.1</v>
      </c>
      <c r="AD18" s="129">
        <f t="shared" si="1"/>
        <v>14564.000000000002</v>
      </c>
      <c r="AE18" s="129">
        <f t="shared" ref="AE18:AE34" si="57">AD18*(1+$AC18)</f>
        <v>16020.400000000003</v>
      </c>
      <c r="AF18" s="129">
        <f t="shared" ref="AF18:AF34" si="58">AE18*(1+$AC18)</f>
        <v>17622.440000000006</v>
      </c>
      <c r="AG18" s="129">
        <f t="shared" ref="AG18:AG34" si="59">AF18*(1+$AC18)</f>
        <v>19384.684000000008</v>
      </c>
      <c r="AH18" s="129">
        <f t="shared" ref="AH18:AH53" si="60">AG18*(1+$AC18)</f>
        <v>21323.15240000001</v>
      </c>
      <c r="AI18" s="129">
        <f t="shared" ref="AI18:AI53" si="61">AH18*(1+$AC18)</f>
        <v>23455.467640000013</v>
      </c>
      <c r="AJ18" s="129">
        <f t="shared" ref="AJ18:AJ53" si="62">AI18*(1+$AC18)</f>
        <v>25801.014404000016</v>
      </c>
      <c r="AK18" s="129">
        <f t="shared" ref="AK18:AK53" si="63">AJ18*(1+$AC18)</f>
        <v>28381.115844400021</v>
      </c>
      <c r="AL18" s="129">
        <f t="shared" ref="AL18:AL53" si="64">AK18*(1+$AC18)</f>
        <v>31219.227428840026</v>
      </c>
      <c r="AM18" s="129">
        <f t="shared" ref="AM18:AM53" si="65">AL18*(1+$AC18)</f>
        <v>34341.150171724032</v>
      </c>
      <c r="AN18" s="114" t="e">
        <f t="shared" si="3"/>
        <v>#DIV/0!</v>
      </c>
      <c r="AO18" s="21">
        <f t="shared" si="27"/>
        <v>0.01</v>
      </c>
      <c r="AP18" s="122" t="e">
        <f t="shared" si="43"/>
        <v>#DIV/0!</v>
      </c>
    </row>
    <row r="19" spans="2:42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0"/>
      <c r="AC19" s="10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13"/>
      <c r="AO19" s="113"/>
      <c r="AP19" s="113"/>
    </row>
    <row r="20" spans="2:42" x14ac:dyDescent="0.15">
      <c r="B20" s="10" t="s">
        <v>233</v>
      </c>
      <c r="C20" s="117"/>
      <c r="D20" s="117"/>
      <c r="E20" s="123"/>
      <c r="F20" s="123"/>
      <c r="G20" s="123">
        <v>7891</v>
      </c>
      <c r="H20" s="123">
        <v>9131</v>
      </c>
      <c r="I20" s="123">
        <v>4652</v>
      </c>
      <c r="J20" s="123">
        <v>23061</v>
      </c>
      <c r="K20" s="123">
        <v>-11631</v>
      </c>
      <c r="L20" s="123">
        <v>-14188</v>
      </c>
      <c r="M20" s="123">
        <v>1869</v>
      </c>
      <c r="N20" s="123">
        <v>-6908</v>
      </c>
      <c r="O20" s="123">
        <v>9683</v>
      </c>
      <c r="P20" s="123">
        <v>11102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01">
        <f t="shared" si="44"/>
        <v>-1</v>
      </c>
      <c r="AC20" s="21">
        <f t="shared" si="17"/>
        <v>0.1</v>
      </c>
      <c r="AD20" s="129">
        <f t="shared" si="1"/>
        <v>0</v>
      </c>
      <c r="AE20" s="129">
        <f t="shared" ref="AE20:AE22" si="66">AD20*(1+$AC20)</f>
        <v>0</v>
      </c>
      <c r="AF20" s="129">
        <f t="shared" ref="AF20:AF22" si="67">AE20*(1+$AC20)</f>
        <v>0</v>
      </c>
      <c r="AG20" s="129">
        <f t="shared" ref="AG20:AG22" si="68">AF20*(1+$AC20)</f>
        <v>0</v>
      </c>
      <c r="AH20" s="129">
        <f t="shared" ref="AH20:AH22" si="69">AG20*(1+$AC20)</f>
        <v>0</v>
      </c>
      <c r="AI20" s="129">
        <f t="shared" ref="AI20:AI22" si="70">AH20*(1+$AC20)</f>
        <v>0</v>
      </c>
      <c r="AJ20" s="129">
        <f t="shared" ref="AJ20:AJ22" si="71">AI20*(1+$AC20)</f>
        <v>0</v>
      </c>
      <c r="AK20" s="129">
        <f t="shared" ref="AK20:AK22" si="72">AJ20*(1+$AC20)</f>
        <v>0</v>
      </c>
      <c r="AL20" s="129">
        <f t="shared" ref="AL20:AL22" si="73">AK20*(1+$AC20)</f>
        <v>0</v>
      </c>
      <c r="AM20" s="129">
        <f t="shared" ref="AM20:AM22" si="74">AL20*(1+$AC20)</f>
        <v>0</v>
      </c>
      <c r="AN20" s="114">
        <f t="shared" si="3"/>
        <v>-1</v>
      </c>
      <c r="AO20" s="21">
        <f t="shared" si="27"/>
        <v>0.01</v>
      </c>
      <c r="AP20" s="122" t="e">
        <f t="shared" si="43"/>
        <v>#DIV/0!</v>
      </c>
    </row>
    <row r="21" spans="2:42" x14ac:dyDescent="0.15">
      <c r="B21" s="10" t="s">
        <v>234</v>
      </c>
      <c r="C21" s="117"/>
      <c r="D21" s="117"/>
      <c r="E21" s="123"/>
      <c r="F21" s="123"/>
      <c r="G21" s="123">
        <v>-1323</v>
      </c>
      <c r="H21" s="123">
        <v>-3445</v>
      </c>
      <c r="I21" s="123">
        <v>-7893</v>
      </c>
      <c r="J21" s="123">
        <v>-18362</v>
      </c>
      <c r="K21" s="123">
        <v>-17561</v>
      </c>
      <c r="L21" s="123">
        <v>3857</v>
      </c>
      <c r="M21" s="123">
        <v>6150</v>
      </c>
      <c r="N21" s="123">
        <v>-2108</v>
      </c>
      <c r="O21" s="123">
        <v>-12280</v>
      </c>
      <c r="P21" s="123">
        <v>-9431</v>
      </c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01">
        <f t="shared" si="44"/>
        <v>-1</v>
      </c>
      <c r="AC21" s="21">
        <f t="shared" si="17"/>
        <v>0.1</v>
      </c>
      <c r="AD21" s="129">
        <f t="shared" si="1"/>
        <v>0</v>
      </c>
      <c r="AE21" s="129">
        <f t="shared" si="66"/>
        <v>0</v>
      </c>
      <c r="AF21" s="129">
        <f t="shared" si="67"/>
        <v>0</v>
      </c>
      <c r="AG21" s="129">
        <f t="shared" si="68"/>
        <v>0</v>
      </c>
      <c r="AH21" s="129">
        <f t="shared" si="69"/>
        <v>0</v>
      </c>
      <c r="AI21" s="129">
        <f t="shared" si="70"/>
        <v>0</v>
      </c>
      <c r="AJ21" s="129">
        <f t="shared" si="71"/>
        <v>0</v>
      </c>
      <c r="AK21" s="129">
        <f t="shared" si="72"/>
        <v>0</v>
      </c>
      <c r="AL21" s="129">
        <f t="shared" si="73"/>
        <v>0</v>
      </c>
      <c r="AM21" s="129">
        <f t="shared" si="74"/>
        <v>0</v>
      </c>
      <c r="AN21" s="114">
        <f t="shared" si="3"/>
        <v>-1</v>
      </c>
      <c r="AO21" s="21">
        <f t="shared" si="27"/>
        <v>0.01</v>
      </c>
      <c r="AP21" s="122" t="e">
        <f t="shared" si="43"/>
        <v>#DIV/0!</v>
      </c>
    </row>
    <row r="22" spans="2:42" x14ac:dyDescent="0.15">
      <c r="B22" s="10" t="s">
        <v>235</v>
      </c>
      <c r="C22" s="117"/>
      <c r="D22" s="117"/>
      <c r="E22" s="123"/>
      <c r="F22" s="123"/>
      <c r="G22" s="123">
        <v>-4587</v>
      </c>
      <c r="H22" s="123">
        <v>-1227</v>
      </c>
      <c r="I22" s="123">
        <v>7350</v>
      </c>
      <c r="J22" s="123">
        <v>15414</v>
      </c>
      <c r="K22" s="123">
        <v>29964</v>
      </c>
      <c r="L22" s="123">
        <v>1625</v>
      </c>
      <c r="M22" s="123">
        <v>1382</v>
      </c>
      <c r="N22" s="123">
        <v>4283</v>
      </c>
      <c r="O22" s="123">
        <v>3829</v>
      </c>
      <c r="P22" s="123">
        <v>2989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01">
        <f t="shared" si="44"/>
        <v>-1</v>
      </c>
      <c r="AC22" s="21">
        <f t="shared" si="17"/>
        <v>0.1</v>
      </c>
      <c r="AD22" s="129">
        <f t="shared" si="1"/>
        <v>0</v>
      </c>
      <c r="AE22" s="129">
        <f t="shared" si="66"/>
        <v>0</v>
      </c>
      <c r="AF22" s="129">
        <f t="shared" si="67"/>
        <v>0</v>
      </c>
      <c r="AG22" s="129">
        <f t="shared" si="68"/>
        <v>0</v>
      </c>
      <c r="AH22" s="129">
        <f t="shared" si="69"/>
        <v>0</v>
      </c>
      <c r="AI22" s="129">
        <f t="shared" si="70"/>
        <v>0</v>
      </c>
      <c r="AJ22" s="129">
        <f t="shared" si="71"/>
        <v>0</v>
      </c>
      <c r="AK22" s="129">
        <f t="shared" si="72"/>
        <v>0</v>
      </c>
      <c r="AL22" s="129">
        <f t="shared" si="73"/>
        <v>0</v>
      </c>
      <c r="AM22" s="129">
        <f t="shared" si="74"/>
        <v>0</v>
      </c>
      <c r="AN22" s="114">
        <f t="shared" si="3"/>
        <v>-1</v>
      </c>
      <c r="AO22" s="21">
        <f t="shared" si="27"/>
        <v>0.01</v>
      </c>
      <c r="AP22" s="122" t="e">
        <f t="shared" si="43"/>
        <v>#DIV/0!</v>
      </c>
    </row>
    <row r="23" spans="2:42" x14ac:dyDescent="0.15">
      <c r="B23" s="10" t="s">
        <v>244</v>
      </c>
      <c r="C23" s="117"/>
      <c r="D23" s="117"/>
      <c r="E23" s="123"/>
      <c r="F23" s="123"/>
      <c r="G23" s="123">
        <v>8470</v>
      </c>
      <c r="H23" s="123">
        <v>12929</v>
      </c>
      <c r="I23" s="123">
        <v>17040</v>
      </c>
      <c r="J23" s="123">
        <v>37121</v>
      </c>
      <c r="K23" s="123">
        <v>38041</v>
      </c>
      <c r="L23" s="123">
        <v>-14188</v>
      </c>
      <c r="M23" s="123">
        <v>29966</v>
      </c>
      <c r="N23" s="123">
        <v>38873</v>
      </c>
      <c r="O23" s="123">
        <v>34090</v>
      </c>
      <c r="P23" s="123">
        <v>41417</v>
      </c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01">
        <f t="shared" si="44"/>
        <v>-1</v>
      </c>
      <c r="AC23" s="21">
        <f t="shared" si="17"/>
        <v>0.1</v>
      </c>
      <c r="AD23" s="129">
        <f t="shared" si="1"/>
        <v>0</v>
      </c>
      <c r="AE23" s="129">
        <f t="shared" ref="AE23" si="75">AD23*(1+$AC23)</f>
        <v>0</v>
      </c>
      <c r="AF23" s="129">
        <f t="shared" ref="AF23" si="76">AE23*(1+$AC23)</f>
        <v>0</v>
      </c>
      <c r="AG23" s="129">
        <f t="shared" ref="AG23" si="77">AF23*(1+$AC23)</f>
        <v>0</v>
      </c>
      <c r="AH23" s="129">
        <f t="shared" ref="AH23" si="78">AG23*(1+$AC23)</f>
        <v>0</v>
      </c>
      <c r="AI23" s="129">
        <f t="shared" ref="AI23" si="79">AH23*(1+$AC23)</f>
        <v>0</v>
      </c>
      <c r="AJ23" s="129">
        <f t="shared" ref="AJ23" si="80">AI23*(1+$AC23)</f>
        <v>0</v>
      </c>
      <c r="AK23" s="129">
        <f t="shared" ref="AK23" si="81">AJ23*(1+$AC23)</f>
        <v>0</v>
      </c>
      <c r="AL23" s="129">
        <f t="shared" ref="AL23" si="82">AK23*(1+$AC23)</f>
        <v>0</v>
      </c>
      <c r="AM23" s="129">
        <f t="shared" ref="AM23" si="83">AL23*(1+$AC23)</f>
        <v>0</v>
      </c>
      <c r="AN23" s="114">
        <f t="shared" si="3"/>
        <v>-1</v>
      </c>
      <c r="AO23" s="21">
        <f t="shared" si="27"/>
        <v>0.01</v>
      </c>
      <c r="AP23" s="122" t="e">
        <f t="shared" si="43"/>
        <v>#DIV/0!</v>
      </c>
    </row>
    <row r="24" spans="2:42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0"/>
      <c r="AC24" s="10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13"/>
      <c r="AO24" s="113"/>
      <c r="AP24" s="113"/>
    </row>
    <row r="25" spans="2:42" x14ac:dyDescent="0.15">
      <c r="B25" s="10" t="s">
        <v>68</v>
      </c>
      <c r="C25" s="117"/>
      <c r="D25" s="117"/>
      <c r="E25" s="123"/>
      <c r="F25" s="123"/>
      <c r="G25" s="123">
        <v>13905</v>
      </c>
      <c r="H25" s="123">
        <v>16916</v>
      </c>
      <c r="I25" s="123">
        <v>25811</v>
      </c>
      <c r="J25" s="123">
        <v>41542</v>
      </c>
      <c r="K25" s="123">
        <v>60531</v>
      </c>
      <c r="L25" s="123">
        <v>64596</v>
      </c>
      <c r="M25" s="123">
        <v>59207</v>
      </c>
      <c r="N25" s="123">
        <v>61594</v>
      </c>
      <c r="O25" s="123">
        <v>66658</v>
      </c>
      <c r="P25" s="123">
        <v>74204</v>
      </c>
      <c r="Q25" s="123">
        <v>79563</v>
      </c>
      <c r="R25" s="123">
        <v>90216</v>
      </c>
      <c r="S25" s="123">
        <v>101395</v>
      </c>
      <c r="T25" s="123">
        <v>11397</v>
      </c>
      <c r="U25" s="123">
        <v>118969</v>
      </c>
      <c r="V25" s="123">
        <v>131306</v>
      </c>
      <c r="W25" s="123">
        <v>149786</v>
      </c>
      <c r="X25" s="123">
        <v>161192</v>
      </c>
      <c r="Y25" s="123">
        <v>157536</v>
      </c>
      <c r="Z25" s="123">
        <v>186178</v>
      </c>
      <c r="AA25" s="123">
        <f>159516+77596</f>
        <v>237112</v>
      </c>
      <c r="AB25" s="101">
        <f t="shared" si="44"/>
        <v>0.15236252635306391</v>
      </c>
      <c r="AC25" s="21">
        <f t="shared" si="17"/>
        <v>0.1</v>
      </c>
      <c r="AD25" s="129">
        <f t="shared" si="1"/>
        <v>260823.2</v>
      </c>
      <c r="AE25" s="129">
        <f t="shared" si="57"/>
        <v>286905.52</v>
      </c>
      <c r="AF25" s="129">
        <f t="shared" si="58"/>
        <v>315596.07200000004</v>
      </c>
      <c r="AG25" s="129">
        <f t="shared" si="59"/>
        <v>347155.67920000007</v>
      </c>
      <c r="AH25" s="129">
        <f t="shared" si="60"/>
        <v>381871.24712000013</v>
      </c>
      <c r="AI25" s="129">
        <f t="shared" si="61"/>
        <v>420058.37183200015</v>
      </c>
      <c r="AJ25" s="129">
        <f t="shared" si="62"/>
        <v>462064.20901520021</v>
      </c>
      <c r="AK25" s="129">
        <f t="shared" si="63"/>
        <v>508270.62991672027</v>
      </c>
      <c r="AL25" s="129">
        <f t="shared" si="64"/>
        <v>559097.69290839229</v>
      </c>
      <c r="AM25" s="129">
        <f t="shared" si="65"/>
        <v>615007.46219923161</v>
      </c>
      <c r="AN25" s="114">
        <f t="shared" si="3"/>
        <v>0.13463709962097137</v>
      </c>
      <c r="AO25" s="21">
        <f t="shared" si="27"/>
        <v>0.01</v>
      </c>
      <c r="AP25" s="122" t="e">
        <f t="shared" si="43"/>
        <v>#DIV/0!</v>
      </c>
    </row>
    <row r="26" spans="2:42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>
        <f>(H25-G25)/H25</f>
        <v>0.17799716244975172</v>
      </c>
      <c r="I26" s="126">
        <f t="shared" ref="I26:P26" si="84">(I25-H25)/I25</f>
        <v>0.3446205106350006</v>
      </c>
      <c r="J26" s="126">
        <f t="shared" si="84"/>
        <v>0.37867700158875356</v>
      </c>
      <c r="K26" s="126">
        <f t="shared" si="84"/>
        <v>0.31370702615188911</v>
      </c>
      <c r="L26" s="126">
        <f t="shared" si="84"/>
        <v>6.292959316366338E-2</v>
      </c>
      <c r="M26" s="126">
        <f t="shared" si="84"/>
        <v>-9.1019642947624435E-2</v>
      </c>
      <c r="N26" s="126">
        <f t="shared" si="84"/>
        <v>3.8753774718316716E-2</v>
      </c>
      <c r="O26" s="126">
        <f t="shared" si="84"/>
        <v>7.59698760838909E-2</v>
      </c>
      <c r="P26" s="126">
        <f t="shared" ref="P26" si="85">(P25-O25)/O25</f>
        <v>0.11320471661315971</v>
      </c>
      <c r="Q26" s="126">
        <f t="shared" ref="Q26" si="86">(Q25-P25)/P25</f>
        <v>7.2219826424451516E-2</v>
      </c>
      <c r="R26" s="126">
        <f t="shared" ref="R26" si="87">(R25-Q25)/Q25</f>
        <v>0.13389389540364241</v>
      </c>
      <c r="S26" s="126">
        <f t="shared" ref="S26" si="88">(S25-R25)/R25</f>
        <v>0.12391371818746121</v>
      </c>
      <c r="T26" s="126">
        <f t="shared" ref="T26" si="89">(T25-S25)/S25</f>
        <v>-0.88759800779131126</v>
      </c>
      <c r="U26" s="126">
        <f t="shared" ref="U26" si="90">(U25-T25)/T25</f>
        <v>9.4386241993507056</v>
      </c>
      <c r="V26" s="126">
        <f t="shared" ref="V26" si="91">(V25-U25)/U25</f>
        <v>0.10369928300649749</v>
      </c>
      <c r="W26" s="126">
        <f t="shared" ref="W26" si="92">(W25-V25)/V25</f>
        <v>0.14073995095425951</v>
      </c>
      <c r="X26" s="126">
        <f t="shared" ref="X26" si="93">(X25-W25)/W25</f>
        <v>7.61486387245804E-2</v>
      </c>
      <c r="Y26" s="126">
        <f t="shared" ref="Y26" si="94">(Y25-X25)/X25</f>
        <v>-2.2681026353665194E-2</v>
      </c>
      <c r="Z26" s="126">
        <f t="shared" ref="Z26" si="95">(Z25-Y25)/Y25</f>
        <v>0.18181241113142393</v>
      </c>
      <c r="AA26" s="126">
        <f t="shared" ref="AA26" si="96">(AA25-Z25)/Z25</f>
        <v>0.2735768995262598</v>
      </c>
      <c r="AB26" s="10"/>
      <c r="AC26" s="10"/>
      <c r="AD26" s="129"/>
      <c r="AE26" s="130"/>
      <c r="AF26" s="130"/>
      <c r="AG26" s="130"/>
      <c r="AH26" s="130"/>
      <c r="AI26" s="130"/>
      <c r="AJ26" s="130"/>
      <c r="AK26" s="130"/>
      <c r="AL26" s="130"/>
      <c r="AM26" s="130"/>
      <c r="AN26" s="113"/>
      <c r="AO26" s="113"/>
      <c r="AP26" s="113"/>
    </row>
    <row r="27" spans="2:42" x14ac:dyDescent="0.15">
      <c r="B27" s="10" t="s">
        <v>218</v>
      </c>
      <c r="C27" s="117"/>
      <c r="D27" s="117"/>
      <c r="E27" s="123"/>
      <c r="F27" s="123"/>
      <c r="G27" s="123">
        <v>12326</v>
      </c>
      <c r="H27" s="123">
        <v>15106</v>
      </c>
      <c r="I27" s="123">
        <v>23412</v>
      </c>
      <c r="J27" s="123">
        <v>38909</v>
      </c>
      <c r="K27" s="123">
        <v>57416</v>
      </c>
      <c r="L27" s="123">
        <v>61216</v>
      </c>
      <c r="M27" s="123">
        <v>54364</v>
      </c>
      <c r="N27" s="123">
        <v>55276</v>
      </c>
      <c r="O27" s="123">
        <v>58720</v>
      </c>
      <c r="P27" s="123">
        <v>64074</v>
      </c>
      <c r="Q27" s="123">
        <v>67886</v>
      </c>
      <c r="R27" s="123">
        <v>77273</v>
      </c>
      <c r="S27" s="123">
        <v>90468</v>
      </c>
      <c r="T27" s="123">
        <v>102057</v>
      </c>
      <c r="U27" s="123">
        <v>109869</v>
      </c>
      <c r="V27" s="123">
        <v>125617</v>
      </c>
      <c r="W27" s="123">
        <v>138560</v>
      </c>
      <c r="X27" s="123">
        <v>140972</v>
      </c>
      <c r="Y27" s="123">
        <v>131752</v>
      </c>
      <c r="Z27" s="123">
        <v>151715</v>
      </c>
      <c r="AA27" s="123">
        <f>101495+74108</f>
        <v>175603</v>
      </c>
      <c r="AB27" s="101">
        <f t="shared" si="44"/>
        <v>0.14205097362929631</v>
      </c>
      <c r="AC27" s="21">
        <f t="shared" si="17"/>
        <v>0.1</v>
      </c>
      <c r="AD27" s="129">
        <f t="shared" si="1"/>
        <v>193163.30000000002</v>
      </c>
      <c r="AE27" s="129">
        <f t="shared" si="57"/>
        <v>212479.63000000003</v>
      </c>
      <c r="AF27" s="129">
        <f t="shared" si="58"/>
        <v>233727.59300000005</v>
      </c>
      <c r="AG27" s="129">
        <f t="shared" si="59"/>
        <v>257100.35230000009</v>
      </c>
      <c r="AH27" s="129">
        <f t="shared" si="60"/>
        <v>282810.38753000012</v>
      </c>
      <c r="AI27" s="129">
        <f t="shared" si="61"/>
        <v>311091.42628300015</v>
      </c>
      <c r="AJ27" s="129">
        <f t="shared" si="62"/>
        <v>342200.56891130022</v>
      </c>
      <c r="AK27" s="129">
        <f t="shared" si="63"/>
        <v>376420.62580243027</v>
      </c>
      <c r="AL27" s="129">
        <f t="shared" si="64"/>
        <v>414062.68838267331</v>
      </c>
      <c r="AM27" s="129">
        <f t="shared" si="65"/>
        <v>455468.95722094068</v>
      </c>
      <c r="AN27" s="114">
        <f t="shared" si="3"/>
        <v>0.12785833655440437</v>
      </c>
      <c r="AO27" s="21">
        <f t="shared" si="27"/>
        <v>0.01</v>
      </c>
      <c r="AP27" s="122" t="e">
        <f t="shared" si="43"/>
        <v>#DIV/0!</v>
      </c>
    </row>
    <row r="28" spans="2:42" s="106" customFormat="1" x14ac:dyDescent="0.15">
      <c r="B28" s="13"/>
      <c r="C28" s="124"/>
      <c r="D28" s="124"/>
      <c r="E28" s="125"/>
      <c r="F28" s="126"/>
      <c r="G28" s="126">
        <f t="shared" ref="G28:P28" si="97">(G27-F27)/G27</f>
        <v>1</v>
      </c>
      <c r="H28" s="126">
        <f t="shared" si="97"/>
        <v>0.18403283463524428</v>
      </c>
      <c r="I28" s="126">
        <f t="shared" si="97"/>
        <v>0.35477532889116692</v>
      </c>
      <c r="J28" s="126">
        <f t="shared" si="97"/>
        <v>0.39828831375774243</v>
      </c>
      <c r="K28" s="126">
        <f t="shared" si="97"/>
        <v>0.32233175421485299</v>
      </c>
      <c r="L28" s="126">
        <f t="shared" si="97"/>
        <v>6.2075274438055411E-2</v>
      </c>
      <c r="M28" s="126">
        <f t="shared" si="97"/>
        <v>-0.12603929070708558</v>
      </c>
      <c r="N28" s="126">
        <f t="shared" si="97"/>
        <v>1.649902308415949E-2</v>
      </c>
      <c r="O28" s="126">
        <f t="shared" si="97"/>
        <v>5.8651226158038146E-2</v>
      </c>
      <c r="P28" s="126">
        <f t="shared" ref="P28" si="98">(P27-O27)/O27</f>
        <v>9.117847411444141E-2</v>
      </c>
      <c r="Q28" s="126">
        <f t="shared" ref="Q28" si="99">(Q27-P27)/P27</f>
        <v>5.9493710397353058E-2</v>
      </c>
      <c r="R28" s="126">
        <f t="shared" ref="R28" si="100">(R27-Q27)/Q27</f>
        <v>0.13827593318209941</v>
      </c>
      <c r="S28" s="126">
        <f t="shared" ref="S28" si="101">(S27-R27)/R27</f>
        <v>0.17075822085333817</v>
      </c>
      <c r="T28" s="126">
        <f t="shared" ref="T28" si="102">(T27-S27)/S27</f>
        <v>0.12810054383870539</v>
      </c>
      <c r="U28" s="126">
        <f t="shared" ref="U28" si="103">(U27-T27)/T27</f>
        <v>7.6545459890061437E-2</v>
      </c>
      <c r="V28" s="126">
        <f t="shared" ref="V28" si="104">(V27-U27)/U27</f>
        <v>0.14333433452566238</v>
      </c>
      <c r="W28" s="126">
        <f t="shared" ref="W28" si="105">(W27-V27)/V27</f>
        <v>0.10303541718079559</v>
      </c>
      <c r="X28" s="126">
        <f t="shared" ref="X28" si="106">(X27-W27)/W27</f>
        <v>1.7407621247113165E-2</v>
      </c>
      <c r="Y28" s="126">
        <f t="shared" ref="Y28" si="107">(Y27-X27)/X27</f>
        <v>-6.5403058763442379E-2</v>
      </c>
      <c r="Z28" s="126">
        <f t="shared" ref="Z28" si="108">(Z27-Y27)/Y27</f>
        <v>0.15151952152528994</v>
      </c>
      <c r="AA28" s="126">
        <f t="shared" ref="AA28" si="109">(AA27-Z27)/Z27</f>
        <v>0.15745311933559636</v>
      </c>
      <c r="AB28" s="10"/>
      <c r="AC28" s="10"/>
      <c r="AD28" s="129"/>
      <c r="AE28" s="130"/>
      <c r="AF28" s="130"/>
      <c r="AG28" s="130"/>
      <c r="AH28" s="130"/>
      <c r="AI28" s="130"/>
      <c r="AJ28" s="130"/>
      <c r="AK28" s="130"/>
      <c r="AL28" s="130"/>
      <c r="AM28" s="130"/>
      <c r="AN28" s="113"/>
      <c r="AO28" s="113"/>
      <c r="AP28" s="113"/>
    </row>
    <row r="29" spans="2:42" s="106" customFormat="1" x14ac:dyDescent="0.15">
      <c r="B29" s="10" t="s">
        <v>268</v>
      </c>
      <c r="C29" s="124"/>
      <c r="D29" s="124"/>
      <c r="E29" s="125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>
        <v>39177</v>
      </c>
      <c r="W29" s="123">
        <v>44665</v>
      </c>
      <c r="X29" s="123">
        <v>42659</v>
      </c>
      <c r="Y29" s="123">
        <v>41166</v>
      </c>
      <c r="Z29" s="123">
        <v>50543</v>
      </c>
      <c r="AA29" s="123">
        <v>74108</v>
      </c>
      <c r="AB29" s="101" t="e">
        <f t="shared" si="44"/>
        <v>#DIV/0!</v>
      </c>
      <c r="AC29" s="21">
        <f t="shared" si="17"/>
        <v>0.1</v>
      </c>
      <c r="AD29" s="129">
        <f t="shared" si="1"/>
        <v>81518.8</v>
      </c>
      <c r="AE29" s="129">
        <f t="shared" ref="AE29" si="110">AD29*(1+$AC29)</f>
        <v>89670.680000000008</v>
      </c>
      <c r="AF29" s="129">
        <f t="shared" ref="AF29" si="111">AE29*(1+$AC29)</f>
        <v>98637.748000000021</v>
      </c>
      <c r="AG29" s="129">
        <f t="shared" ref="AG29" si="112">AF29*(1+$AC29)</f>
        <v>108501.52280000004</v>
      </c>
      <c r="AH29" s="129">
        <f t="shared" ref="AH29" si="113">AG29*(1+$AC29)</f>
        <v>119351.67508000004</v>
      </c>
      <c r="AI29" s="129">
        <f t="shared" ref="AI29" si="114">AH29*(1+$AC29)</f>
        <v>131286.84258800006</v>
      </c>
      <c r="AJ29" s="129">
        <f t="shared" ref="AJ29" si="115">AI29*(1+$AC29)</f>
        <v>144415.52684680009</v>
      </c>
      <c r="AK29" s="129">
        <f t="shared" ref="AK29" si="116">AJ29*(1+$AC29)</f>
        <v>158857.07953148012</v>
      </c>
      <c r="AL29" s="129">
        <f t="shared" ref="AL29" si="117">AK29*(1+$AC29)</f>
        <v>174742.78748462815</v>
      </c>
      <c r="AM29" s="129">
        <f t="shared" ref="AM29" si="118">AL29*(1+$AC29)</f>
        <v>192217.06623309097</v>
      </c>
      <c r="AN29" s="114" t="e">
        <f t="shared" si="3"/>
        <v>#DIV/0!</v>
      </c>
      <c r="AO29" s="21">
        <f t="shared" si="27"/>
        <v>0.01</v>
      </c>
      <c r="AP29" s="122" t="e">
        <f t="shared" si="43"/>
        <v>#DIV/0!</v>
      </c>
    </row>
    <row r="30" spans="2:42" s="106" customFormat="1" x14ac:dyDescent="0.15">
      <c r="B30" s="13"/>
      <c r="C30" s="124"/>
      <c r="D30" s="124"/>
      <c r="E30" s="125"/>
      <c r="F30" s="126"/>
      <c r="G30" s="126" t="e">
        <f t="shared" ref="G30:P30" si="119">(G29-F29)/G29</f>
        <v>#DIV/0!</v>
      </c>
      <c r="H30" s="126" t="e">
        <f t="shared" si="119"/>
        <v>#DIV/0!</v>
      </c>
      <c r="I30" s="126" t="e">
        <f t="shared" si="119"/>
        <v>#DIV/0!</v>
      </c>
      <c r="J30" s="126" t="e">
        <f t="shared" si="119"/>
        <v>#DIV/0!</v>
      </c>
      <c r="K30" s="126" t="e">
        <f t="shared" si="119"/>
        <v>#DIV/0!</v>
      </c>
      <c r="L30" s="126" t="e">
        <f t="shared" si="119"/>
        <v>#DIV/0!</v>
      </c>
      <c r="M30" s="126" t="e">
        <f t="shared" si="119"/>
        <v>#DIV/0!</v>
      </c>
      <c r="N30" s="126" t="e">
        <f t="shared" si="119"/>
        <v>#DIV/0!</v>
      </c>
      <c r="O30" s="126" t="e">
        <f t="shared" si="119"/>
        <v>#DIV/0!</v>
      </c>
      <c r="P30" s="126" t="e">
        <f t="shared" ref="P30" si="120">(P29-O29)/O29</f>
        <v>#DIV/0!</v>
      </c>
      <c r="Q30" s="126" t="e">
        <f t="shared" ref="Q30" si="121">(Q29-P29)/P29</f>
        <v>#DIV/0!</v>
      </c>
      <c r="R30" s="126" t="e">
        <f t="shared" ref="R30" si="122">(R29-Q29)/Q29</f>
        <v>#DIV/0!</v>
      </c>
      <c r="S30" s="126" t="e">
        <f t="shared" ref="S30" si="123">(S29-R29)/R29</f>
        <v>#DIV/0!</v>
      </c>
      <c r="T30" s="126" t="e">
        <f t="shared" ref="T30" si="124">(T29-S29)/S29</f>
        <v>#DIV/0!</v>
      </c>
      <c r="U30" s="126" t="e">
        <f t="shared" ref="U30" si="125">(U29-T29)/T29</f>
        <v>#DIV/0!</v>
      </c>
      <c r="V30" s="126" t="e">
        <f t="shared" ref="V30" si="126">(V29-U29)/U29</f>
        <v>#DIV/0!</v>
      </c>
      <c r="W30" s="126">
        <f t="shared" ref="W30" si="127">(W29-V29)/V29</f>
        <v>0.14008219108150191</v>
      </c>
      <c r="X30" s="126">
        <f t="shared" ref="X30" si="128">(X29-W29)/W29</f>
        <v>-4.4912123586700999E-2</v>
      </c>
      <c r="Y30" s="126">
        <f t="shared" ref="Y30" si="129">(Y29-X29)/X29</f>
        <v>-3.4998476288708127E-2</v>
      </c>
      <c r="Z30" s="126">
        <f t="shared" ref="Z30" si="130">(Z29-Y29)/Y29</f>
        <v>0.22778506534518778</v>
      </c>
      <c r="AA30" s="126">
        <f t="shared" ref="AA30" si="131">(AA29-Z29)/Z29</f>
        <v>0.4662366697663376</v>
      </c>
      <c r="AB30" s="10"/>
      <c r="AC30" s="10"/>
      <c r="AD30" s="129"/>
      <c r="AE30" s="130"/>
      <c r="AF30" s="130"/>
      <c r="AG30" s="130"/>
      <c r="AH30" s="130"/>
      <c r="AI30" s="130"/>
      <c r="AJ30" s="130"/>
      <c r="AK30" s="130"/>
      <c r="AL30" s="130"/>
      <c r="AM30" s="130"/>
      <c r="AN30" s="113"/>
      <c r="AO30" s="113"/>
      <c r="AP30" s="113"/>
    </row>
    <row r="31" spans="2:42" x14ac:dyDescent="0.15">
      <c r="B31" s="10" t="s">
        <v>276</v>
      </c>
      <c r="C31" s="117"/>
      <c r="D31" s="117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01" t="e">
        <f t="shared" si="44"/>
        <v>#DIV/0!</v>
      </c>
      <c r="AC31" s="21">
        <f t="shared" si="17"/>
        <v>0.1</v>
      </c>
      <c r="AD31" s="129">
        <f t="shared" si="1"/>
        <v>0</v>
      </c>
      <c r="AE31" s="129">
        <f>AD31*(1+$AC31)</f>
        <v>0</v>
      </c>
      <c r="AF31" s="129">
        <f t="shared" ref="AF31:AM32" si="132">AE31*(1+$AC31)</f>
        <v>0</v>
      </c>
      <c r="AG31" s="129">
        <f t="shared" si="132"/>
        <v>0</v>
      </c>
      <c r="AH31" s="129">
        <f t="shared" si="132"/>
        <v>0</v>
      </c>
      <c r="AI31" s="129">
        <f t="shared" si="132"/>
        <v>0</v>
      </c>
      <c r="AJ31" s="129">
        <f t="shared" si="132"/>
        <v>0</v>
      </c>
      <c r="AK31" s="129">
        <f t="shared" si="132"/>
        <v>0</v>
      </c>
      <c r="AL31" s="129">
        <f t="shared" si="132"/>
        <v>0</v>
      </c>
      <c r="AM31" s="129">
        <f t="shared" si="132"/>
        <v>0</v>
      </c>
      <c r="AN31" s="114" t="e">
        <f t="shared" si="3"/>
        <v>#DIV/0!</v>
      </c>
      <c r="AO31" s="21">
        <f t="shared" si="27"/>
        <v>0.01</v>
      </c>
      <c r="AP31" s="122" t="e">
        <f t="shared" si="43"/>
        <v>#DIV/0!</v>
      </c>
    </row>
    <row r="32" spans="2:42" x14ac:dyDescent="0.15">
      <c r="B32" s="10" t="s">
        <v>275</v>
      </c>
      <c r="C32" s="117"/>
      <c r="D32" s="117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01" t="e">
        <f t="shared" si="44"/>
        <v>#DIV/0!</v>
      </c>
      <c r="AC32" s="21">
        <f t="shared" si="17"/>
        <v>0.1</v>
      </c>
      <c r="AD32" s="129">
        <f t="shared" si="1"/>
        <v>0</v>
      </c>
      <c r="AE32" s="129">
        <f>AD32*(1+$AC32)</f>
        <v>0</v>
      </c>
      <c r="AF32" s="129">
        <f t="shared" si="132"/>
        <v>0</v>
      </c>
      <c r="AG32" s="129">
        <f t="shared" si="132"/>
        <v>0</v>
      </c>
      <c r="AH32" s="129">
        <f t="shared" si="132"/>
        <v>0</v>
      </c>
      <c r="AI32" s="129">
        <f t="shared" si="132"/>
        <v>0</v>
      </c>
      <c r="AJ32" s="129">
        <f t="shared" si="132"/>
        <v>0</v>
      </c>
      <c r="AK32" s="129">
        <f t="shared" si="132"/>
        <v>0</v>
      </c>
      <c r="AL32" s="129">
        <f t="shared" si="132"/>
        <v>0</v>
      </c>
      <c r="AM32" s="129">
        <f t="shared" si="132"/>
        <v>0</v>
      </c>
      <c r="AN32" s="114" t="e">
        <f t="shared" si="3"/>
        <v>#DIV/0!</v>
      </c>
      <c r="AO32" s="21">
        <f t="shared" si="27"/>
        <v>0.01</v>
      </c>
      <c r="AP32" s="122" t="e">
        <f t="shared" si="43"/>
        <v>#DIV/0!</v>
      </c>
    </row>
    <row r="33" spans="1:42" x14ac:dyDescent="0.15">
      <c r="B33" s="10" t="s">
        <v>496</v>
      </c>
      <c r="C33" s="117"/>
      <c r="D33" s="117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01" t="e">
        <f t="shared" si="44"/>
        <v>#DIV/0!</v>
      </c>
      <c r="AC33" s="21">
        <f t="shared" si="17"/>
        <v>0.1</v>
      </c>
      <c r="AD33" s="129">
        <f t="shared" si="1"/>
        <v>0</v>
      </c>
      <c r="AE33" s="129">
        <f t="shared" si="57"/>
        <v>0</v>
      </c>
      <c r="AF33" s="129">
        <f t="shared" si="58"/>
        <v>0</v>
      </c>
      <c r="AG33" s="129">
        <f t="shared" si="59"/>
        <v>0</v>
      </c>
      <c r="AH33" s="129">
        <f t="shared" si="60"/>
        <v>0</v>
      </c>
      <c r="AI33" s="129">
        <f t="shared" si="61"/>
        <v>0</v>
      </c>
      <c r="AJ33" s="129">
        <f t="shared" si="62"/>
        <v>0</v>
      </c>
      <c r="AK33" s="129">
        <f t="shared" si="63"/>
        <v>0</v>
      </c>
      <c r="AL33" s="129">
        <f t="shared" si="64"/>
        <v>0</v>
      </c>
      <c r="AM33" s="129">
        <f t="shared" si="65"/>
        <v>0</v>
      </c>
      <c r="AN33" s="114" t="e">
        <f t="shared" si="3"/>
        <v>#DIV/0!</v>
      </c>
      <c r="AO33" s="21">
        <f t="shared" si="27"/>
        <v>0.01</v>
      </c>
      <c r="AP33" s="122" t="e">
        <f t="shared" si="43"/>
        <v>#DIV/0!</v>
      </c>
    </row>
    <row r="34" spans="1:42" x14ac:dyDescent="0.15">
      <c r="B34" s="10" t="s">
        <v>497</v>
      </c>
      <c r="C34" s="117"/>
      <c r="D34" s="117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01" t="e">
        <f t="shared" si="44"/>
        <v>#DIV/0!</v>
      </c>
      <c r="AC34" s="21">
        <f t="shared" si="17"/>
        <v>0.1</v>
      </c>
      <c r="AD34" s="129">
        <f t="shared" si="1"/>
        <v>0</v>
      </c>
      <c r="AE34" s="129">
        <f t="shared" si="57"/>
        <v>0</v>
      </c>
      <c r="AF34" s="129">
        <f t="shared" si="58"/>
        <v>0</v>
      </c>
      <c r="AG34" s="129">
        <f t="shared" si="59"/>
        <v>0</v>
      </c>
      <c r="AH34" s="129">
        <f t="shared" si="60"/>
        <v>0</v>
      </c>
      <c r="AI34" s="129">
        <f t="shared" si="61"/>
        <v>0</v>
      </c>
      <c r="AJ34" s="129">
        <f t="shared" si="62"/>
        <v>0</v>
      </c>
      <c r="AK34" s="129">
        <f t="shared" si="63"/>
        <v>0</v>
      </c>
      <c r="AL34" s="129">
        <f t="shared" si="64"/>
        <v>0</v>
      </c>
      <c r="AM34" s="129">
        <f t="shared" si="65"/>
        <v>0</v>
      </c>
      <c r="AN34" s="114" t="e">
        <f t="shared" si="3"/>
        <v>#DIV/0!</v>
      </c>
      <c r="AO34" s="21">
        <f t="shared" si="27"/>
        <v>0.01</v>
      </c>
      <c r="AP34" s="122" t="e">
        <f t="shared" si="43"/>
        <v>#DIV/0!</v>
      </c>
    </row>
    <row r="35" spans="1:42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0"/>
      <c r="AC35" s="123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13"/>
      <c r="AO35" s="113"/>
      <c r="AP35" s="113"/>
    </row>
    <row r="36" spans="1:42" x14ac:dyDescent="0.15">
      <c r="A36" s="292" t="s">
        <v>416</v>
      </c>
      <c r="B36" s="173" t="s">
        <v>410</v>
      </c>
      <c r="C36" s="117"/>
      <c r="D36" s="117"/>
      <c r="E36" s="123"/>
      <c r="F36" s="176"/>
      <c r="G36" s="123">
        <v>68078</v>
      </c>
      <c r="H36" s="123">
        <v>101108</v>
      </c>
      <c r="I36" s="123">
        <v>172450</v>
      </c>
      <c r="J36" s="123">
        <v>248613</v>
      </c>
      <c r="K36" s="123">
        <v>276983</v>
      </c>
      <c r="L36" s="123">
        <v>261855</v>
      </c>
      <c r="M36" s="123">
        <v>241572</v>
      </c>
      <c r="N36" s="123">
        <v>259106</v>
      </c>
      <c r="O36" s="123">
        <v>281950</v>
      </c>
      <c r="P36" s="123">
        <v>314750</v>
      </c>
      <c r="Q36" s="176">
        <v>359512</v>
      </c>
      <c r="R36" s="176">
        <v>385955</v>
      </c>
      <c r="S36" s="176">
        <v>451077</v>
      </c>
      <c r="T36" s="176">
        <v>512587</v>
      </c>
      <c r="U36" s="176">
        <v>585796</v>
      </c>
      <c r="V36" s="176">
        <v>681316</v>
      </c>
      <c r="W36" s="176">
        <v>800784</v>
      </c>
      <c r="X36" s="176">
        <v>959940</v>
      </c>
      <c r="Y36" s="176">
        <v>1091365</v>
      </c>
      <c r="Z36" s="176">
        <v>1210832</v>
      </c>
      <c r="AA36" s="176">
        <v>1443579</v>
      </c>
      <c r="AB36" s="101">
        <f t="shared" si="44"/>
        <v>0.16498863424049359</v>
      </c>
      <c r="AC36" s="21">
        <f t="shared" si="17"/>
        <v>0.1</v>
      </c>
      <c r="AD36" s="129">
        <f t="shared" si="1"/>
        <v>1587936.9000000001</v>
      </c>
      <c r="AE36" s="129">
        <f t="shared" ref="AE36:AE51" si="133">AD36*(1+$AC36)</f>
        <v>1746730.5900000003</v>
      </c>
      <c r="AF36" s="129">
        <f t="shared" ref="AF36:AF51" si="134">AE36*(1+$AC36)</f>
        <v>1921403.6490000004</v>
      </c>
      <c r="AG36" s="129">
        <f t="shared" ref="AG36:AG51" si="135">AF36*(1+$AC36)</f>
        <v>2113544.0139000006</v>
      </c>
      <c r="AH36" s="129">
        <f t="shared" ref="AH36:AH51" si="136">AG36*(1+$AC36)</f>
        <v>2324898.4152900008</v>
      </c>
      <c r="AI36" s="129">
        <f t="shared" ref="AI36:AI51" si="137">AH36*(1+$AC36)</f>
        <v>2557388.2568190009</v>
      </c>
      <c r="AJ36" s="129">
        <f t="shared" ref="AJ36:AJ51" si="138">AI36*(1+$AC36)</f>
        <v>2813127.0825009011</v>
      </c>
      <c r="AK36" s="129">
        <f t="shared" ref="AK36:AK51" si="139">AJ36*(1+$AC36)</f>
        <v>3094439.7907509916</v>
      </c>
      <c r="AL36" s="129">
        <f t="shared" ref="AL36:AL51" si="140">AK36*(1+$AC36)</f>
        <v>3403883.7698260909</v>
      </c>
      <c r="AM36" s="129">
        <f t="shared" ref="AM36:AM51" si="141">AL36*(1+$AC36)</f>
        <v>3744272.1468087002</v>
      </c>
      <c r="AN36" s="114">
        <f t="shared" si="3"/>
        <v>0.14290996839698145</v>
      </c>
      <c r="AO36" s="21">
        <f t="shared" si="27"/>
        <v>0.01</v>
      </c>
      <c r="AP36" s="122" t="e">
        <f t="shared" si="43"/>
        <v>#DIV/0!</v>
      </c>
    </row>
    <row r="37" spans="1:42" x14ac:dyDescent="0.15">
      <c r="A37" s="292"/>
      <c r="B37" s="173"/>
      <c r="C37" s="117"/>
      <c r="D37" s="117"/>
      <c r="E37" s="123"/>
      <c r="F37" s="126"/>
      <c r="G37" s="126" t="e">
        <f t="shared" ref="G37" si="142">(G36-E36)/E36</f>
        <v>#DIV/0!</v>
      </c>
      <c r="H37" s="126" t="e">
        <f t="shared" ref="H37" si="143">(H36-F36)/F36</f>
        <v>#DIV/0!</v>
      </c>
      <c r="I37" s="126">
        <f t="shared" ref="I37" si="144">(I36-H36)/H36</f>
        <v>0.7056019306088539</v>
      </c>
      <c r="J37" s="126">
        <f t="shared" ref="J37" si="145">(J36-I36)/I36</f>
        <v>0.44165265294288197</v>
      </c>
      <c r="K37" s="126">
        <f t="shared" ref="K37" si="146">(K36-J36)/J36</f>
        <v>0.11411309947589225</v>
      </c>
      <c r="L37" s="126">
        <f t="shared" ref="L37" si="147">(L36-K36)/K36</f>
        <v>-5.461707036171895E-2</v>
      </c>
      <c r="M37" s="126">
        <f t="shared" ref="M37" si="148">(M36-L36)/L36</f>
        <v>-7.7458899008993526E-2</v>
      </c>
      <c r="N37" s="126">
        <f t="shared" ref="N37" si="149">(N36-M36)/M36</f>
        <v>7.258291523852102E-2</v>
      </c>
      <c r="O37" s="126">
        <f t="shared" ref="O37" si="150">(O36-N36)/N36</f>
        <v>8.8164689354935821E-2</v>
      </c>
      <c r="P37" s="126">
        <f t="shared" ref="P37" si="151">(P36-O36)/O36</f>
        <v>0.11633268309984039</v>
      </c>
      <c r="Q37" s="126">
        <f t="shared" ref="Q37" si="152">(Q36-P36)/P36</f>
        <v>0.14221445591739476</v>
      </c>
      <c r="R37" s="126">
        <f t="shared" ref="R37" si="153">(R36-Q36)/Q36</f>
        <v>7.3552482253721713E-2</v>
      </c>
      <c r="S37" s="126">
        <f t="shared" ref="S37" si="154">(S36-R36)/R36</f>
        <v>0.16872951509891049</v>
      </c>
      <c r="T37" s="126">
        <f t="shared" ref="T37" si="155">(T36-S36)/S36</f>
        <v>0.13636252790543521</v>
      </c>
      <c r="U37" s="126">
        <f t="shared" ref="U37" si="156">(U36-T36)/T36</f>
        <v>0.1428225842637445</v>
      </c>
      <c r="V37" s="126">
        <f t="shared" ref="V37" si="157">(V36-U36)/U36</f>
        <v>0.16306017794590608</v>
      </c>
      <c r="W37" s="126">
        <f t="shared" ref="W37" si="158">(W36-V36)/V36</f>
        <v>0.17534888363109041</v>
      </c>
      <c r="X37" s="126">
        <f t="shared" ref="X37" si="159">(X36-W36)/W36</f>
        <v>0.19875022477971588</v>
      </c>
      <c r="Y37" s="126">
        <f t="shared" ref="Y37" si="160">(Y36-X36)/X36</f>
        <v>0.13690959851657394</v>
      </c>
      <c r="Z37" s="126">
        <f t="shared" ref="Z37" si="161">(Z36-Y36)/Y36</f>
        <v>0.10946566913910562</v>
      </c>
      <c r="AA37" s="126">
        <f t="shared" ref="AA37" si="162">(AA36-Z36)/Z36</f>
        <v>0.19222072095881179</v>
      </c>
      <c r="AB37" s="10"/>
      <c r="AC37" s="10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13"/>
      <c r="AO37" s="129"/>
      <c r="AP37" s="113"/>
    </row>
    <row r="38" spans="1:42" x14ac:dyDescent="0.15">
      <c r="A38" s="292"/>
      <c r="B38" s="173" t="s">
        <v>411</v>
      </c>
      <c r="C38" s="117"/>
      <c r="D38" s="117"/>
      <c r="E38" s="123"/>
      <c r="F38" s="176"/>
      <c r="G38" s="123">
        <v>34958</v>
      </c>
      <c r="H38" s="123">
        <v>38369</v>
      </c>
      <c r="I38" s="123">
        <v>44999</v>
      </c>
      <c r="J38" s="123">
        <v>61659</v>
      </c>
      <c r="K38" s="123">
        <v>84566</v>
      </c>
      <c r="L38" s="123">
        <v>261855</v>
      </c>
      <c r="M38" s="123">
        <v>241572</v>
      </c>
      <c r="N38" s="123">
        <v>259106</v>
      </c>
      <c r="O38" s="123">
        <v>281950</v>
      </c>
      <c r="P38" s="123">
        <v>314770</v>
      </c>
      <c r="Q38" s="176">
        <v>183542</v>
      </c>
      <c r="R38" s="176">
        <v>211252</v>
      </c>
      <c r="S38" s="176">
        <v>220377</v>
      </c>
      <c r="T38" s="176">
        <v>188286</v>
      </c>
      <c r="U38" s="176">
        <v>229401</v>
      </c>
      <c r="V38" s="176">
        <v>210324</v>
      </c>
      <c r="W38" s="176">
        <v>213851</v>
      </c>
      <c r="X38" s="176">
        <v>143899</v>
      </c>
      <c r="Y38" s="176">
        <v>161602</v>
      </c>
      <c r="Z38" s="176">
        <v>189061</v>
      </c>
      <c r="AA38" s="176">
        <v>207428</v>
      </c>
      <c r="AB38" s="101">
        <f t="shared" si="44"/>
        <v>9.3115468799219503E-2</v>
      </c>
      <c r="AC38" s="21">
        <f t="shared" si="17"/>
        <v>0.1</v>
      </c>
      <c r="AD38" s="129">
        <f t="shared" si="1"/>
        <v>228170.80000000002</v>
      </c>
      <c r="AE38" s="129">
        <f t="shared" si="133"/>
        <v>250987.88000000003</v>
      </c>
      <c r="AF38" s="129">
        <f t="shared" si="134"/>
        <v>276086.66800000006</v>
      </c>
      <c r="AG38" s="129">
        <f t="shared" si="135"/>
        <v>303695.33480000007</v>
      </c>
      <c r="AH38" s="129">
        <f t="shared" si="136"/>
        <v>334064.86828000011</v>
      </c>
      <c r="AI38" s="129">
        <f t="shared" si="137"/>
        <v>367471.35510800016</v>
      </c>
      <c r="AJ38" s="129">
        <f t="shared" si="138"/>
        <v>404218.49061880022</v>
      </c>
      <c r="AK38" s="129">
        <f t="shared" si="139"/>
        <v>444640.33968068031</v>
      </c>
      <c r="AL38" s="129">
        <f t="shared" si="140"/>
        <v>489104.37364874838</v>
      </c>
      <c r="AM38" s="129">
        <f t="shared" si="141"/>
        <v>538014.81101362326</v>
      </c>
      <c r="AN38" s="114">
        <f t="shared" si="3"/>
        <v>9.5405511614285343E-2</v>
      </c>
      <c r="AO38" s="21">
        <f t="shared" si="27"/>
        <v>0.01</v>
      </c>
      <c r="AP38" s="122" t="e">
        <f t="shared" si="43"/>
        <v>#DIV/0!</v>
      </c>
    </row>
    <row r="39" spans="1:42" x14ac:dyDescent="0.15">
      <c r="A39" s="292"/>
      <c r="B39" s="173"/>
      <c r="C39" s="117"/>
      <c r="D39" s="117"/>
      <c r="E39" s="123"/>
      <c r="F39" s="126"/>
      <c r="G39" s="126" t="e">
        <f t="shared" ref="G39" si="163">(G38-E38)/E38</f>
        <v>#DIV/0!</v>
      </c>
      <c r="H39" s="126" t="e">
        <f t="shared" ref="H39" si="164">(H38-F38)/F38</f>
        <v>#DIV/0!</v>
      </c>
      <c r="I39" s="126">
        <f t="shared" ref="I39" si="165">(I38-H38)/H38</f>
        <v>0.17279574656623836</v>
      </c>
      <c r="J39" s="126">
        <f t="shared" ref="J39" si="166">(J38-I38)/I38</f>
        <v>0.3702304495655459</v>
      </c>
      <c r="K39" s="126">
        <f t="shared" ref="K39" si="167">(K38-J38)/J38</f>
        <v>0.37151105272547397</v>
      </c>
      <c r="L39" s="126">
        <f t="shared" ref="L39" si="168">(L38-K38)/K38</f>
        <v>2.0964572050232952</v>
      </c>
      <c r="M39" s="126">
        <f t="shared" ref="M39" si="169">(M38-L38)/L38</f>
        <v>-7.7458899008993526E-2</v>
      </c>
      <c r="N39" s="126">
        <f t="shared" ref="N39" si="170">(N38-M38)/M38</f>
        <v>7.258291523852102E-2</v>
      </c>
      <c r="O39" s="126">
        <f t="shared" ref="O39" si="171">(O38-N38)/N38</f>
        <v>8.8164689354935821E-2</v>
      </c>
      <c r="P39" s="126">
        <f t="shared" ref="P39" si="172">(P38-O38)/O38</f>
        <v>0.11640361766270615</v>
      </c>
      <c r="Q39" s="126">
        <f t="shared" ref="Q39" si="173">(Q38-P38)/P38</f>
        <v>-0.41690122946913621</v>
      </c>
      <c r="R39" s="126">
        <f t="shared" ref="R39" si="174">(R38-Q38)/Q38</f>
        <v>0.15097361911715029</v>
      </c>
      <c r="S39" s="126">
        <f t="shared" ref="S39" si="175">(S38-R38)/R38</f>
        <v>4.3194857326794539E-2</v>
      </c>
      <c r="T39" s="126">
        <f t="shared" ref="T39" si="176">(T38-S38)/S38</f>
        <v>-0.14561864441389075</v>
      </c>
      <c r="U39" s="126">
        <f t="shared" ref="U39" si="177">(U38-T38)/T38</f>
        <v>0.21836461553169115</v>
      </c>
      <c r="V39" s="126">
        <f t="shared" ref="V39" si="178">(V38-U38)/U38</f>
        <v>-8.3160055971857147E-2</v>
      </c>
      <c r="W39" s="126">
        <f t="shared" ref="W39" si="179">(W38-V38)/V38</f>
        <v>1.6769365360111067E-2</v>
      </c>
      <c r="X39" s="126">
        <f t="shared" ref="X39" si="180">(X38-W38)/W38</f>
        <v>-0.32710625622512873</v>
      </c>
      <c r="Y39" s="126">
        <f t="shared" ref="Y39" si="181">(Y38-X38)/X38</f>
        <v>0.12302378751763389</v>
      </c>
      <c r="Z39" s="126">
        <f t="shared" ref="Z39" si="182">(Z38-Y38)/Y38</f>
        <v>0.16991745151668916</v>
      </c>
      <c r="AA39" s="126">
        <f t="shared" ref="AA39" si="183">(AA38-Z38)/Z38</f>
        <v>9.7148539360312286E-2</v>
      </c>
      <c r="AB39" s="10"/>
      <c r="AC39" s="10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13"/>
      <c r="AO39" s="129"/>
      <c r="AP39" s="113"/>
    </row>
    <row r="40" spans="1:42" x14ac:dyDescent="0.15">
      <c r="A40" s="292"/>
      <c r="B40" s="173" t="s">
        <v>415</v>
      </c>
      <c r="C40" s="117"/>
      <c r="D40" s="117"/>
      <c r="E40" s="123"/>
      <c r="F40" s="176"/>
      <c r="G40" s="123">
        <v>19593</v>
      </c>
      <c r="H40" s="123">
        <v>26179</v>
      </c>
      <c r="I40" s="123">
        <v>36911</v>
      </c>
      <c r="J40" s="123">
        <v>59236</v>
      </c>
      <c r="K40" s="123">
        <v>78263</v>
      </c>
      <c r="L40" s="123">
        <v>84405</v>
      </c>
      <c r="M40" s="123">
        <v>79509</v>
      </c>
      <c r="N40" s="123">
        <v>92162</v>
      </c>
      <c r="O40" s="123">
        <v>98240</v>
      </c>
      <c r="P40" s="123">
        <v>116964</v>
      </c>
      <c r="Q40" s="176">
        <v>126030</v>
      </c>
      <c r="R40" s="176">
        <v>141661</v>
      </c>
      <c r="S40" s="176">
        <v>149834</v>
      </c>
      <c r="T40" s="176">
        <v>175671</v>
      </c>
      <c r="U40" s="176">
        <v>192445</v>
      </c>
      <c r="V40" s="176">
        <v>73940</v>
      </c>
      <c r="W40" s="176">
        <v>87414</v>
      </c>
      <c r="X40" s="176">
        <v>99616</v>
      </c>
      <c r="Y40" s="176">
        <v>82808</v>
      </c>
      <c r="Z40" s="176">
        <v>98544</v>
      </c>
      <c r="AA40" s="176">
        <v>443022</v>
      </c>
      <c r="AB40" s="101">
        <f t="shared" si="44"/>
        <v>0.16873545138581814</v>
      </c>
      <c r="AC40" s="21">
        <f t="shared" si="17"/>
        <v>0.1</v>
      </c>
      <c r="AD40" s="129">
        <f t="shared" si="1"/>
        <v>487324.2</v>
      </c>
      <c r="AE40" s="129">
        <f t="shared" si="133"/>
        <v>536056.62000000011</v>
      </c>
      <c r="AF40" s="129">
        <f t="shared" si="134"/>
        <v>589662.28200000012</v>
      </c>
      <c r="AG40" s="129">
        <f t="shared" si="135"/>
        <v>648628.51020000014</v>
      </c>
      <c r="AH40" s="129">
        <f t="shared" si="136"/>
        <v>713491.3612200002</v>
      </c>
      <c r="AI40" s="129">
        <f t="shared" si="137"/>
        <v>784840.49734200025</v>
      </c>
      <c r="AJ40" s="129">
        <f t="shared" si="138"/>
        <v>863324.54707620037</v>
      </c>
      <c r="AK40" s="129">
        <f t="shared" si="139"/>
        <v>949657.00178382045</v>
      </c>
      <c r="AL40" s="129">
        <f t="shared" si="140"/>
        <v>1044622.7019622026</v>
      </c>
      <c r="AM40" s="129">
        <f t="shared" si="141"/>
        <v>1149084.9721584229</v>
      </c>
      <c r="AN40" s="114">
        <f t="shared" si="3"/>
        <v>0.14535919544475306</v>
      </c>
      <c r="AO40" s="21">
        <f t="shared" si="27"/>
        <v>0.01</v>
      </c>
      <c r="AP40" s="122" t="e">
        <f t="shared" si="43"/>
        <v>#DIV/0!</v>
      </c>
    </row>
    <row r="41" spans="1:42" x14ac:dyDescent="0.15">
      <c r="A41" s="292"/>
      <c r="B41" s="173" t="s">
        <v>412</v>
      </c>
      <c r="C41" s="117"/>
      <c r="D41" s="117"/>
      <c r="E41" s="123"/>
      <c r="F41" s="176"/>
      <c r="G41" s="123">
        <v>5446</v>
      </c>
      <c r="H41" s="123">
        <v>6370</v>
      </c>
      <c r="I41" s="123">
        <v>8985</v>
      </c>
      <c r="J41" s="123">
        <v>19241</v>
      </c>
      <c r="K41" s="123">
        <v>29800</v>
      </c>
      <c r="L41" s="123">
        <v>17875</v>
      </c>
      <c r="M41" s="123">
        <v>27850</v>
      </c>
      <c r="N41" s="123">
        <v>21234</v>
      </c>
      <c r="O41" s="123">
        <v>20728</v>
      </c>
      <c r="P41" s="123">
        <v>19306</v>
      </c>
      <c r="Q41" s="176">
        <v>22096</v>
      </c>
      <c r="R41" s="176">
        <v>25837</v>
      </c>
      <c r="S41" s="176">
        <v>27277</v>
      </c>
      <c r="T41" s="176">
        <v>31891</v>
      </c>
      <c r="U41" s="176">
        <v>33272</v>
      </c>
      <c r="V41" s="176">
        <v>38066</v>
      </c>
      <c r="W41" s="176">
        <v>35311</v>
      </c>
      <c r="X41" s="176">
        <v>46302</v>
      </c>
      <c r="Y41" s="176">
        <v>60228</v>
      </c>
      <c r="Z41" s="176">
        <v>68648</v>
      </c>
      <c r="AA41" s="176">
        <v>89943</v>
      </c>
      <c r="AB41" s="101">
        <f t="shared" si="44"/>
        <v>0.150520831845669</v>
      </c>
      <c r="AC41" s="21">
        <f t="shared" si="17"/>
        <v>0.1</v>
      </c>
      <c r="AD41" s="129">
        <f t="shared" si="1"/>
        <v>98937.3</v>
      </c>
      <c r="AE41" s="129">
        <f t="shared" si="133"/>
        <v>108831.03000000001</v>
      </c>
      <c r="AF41" s="129">
        <f t="shared" si="134"/>
        <v>119714.13300000003</v>
      </c>
      <c r="AG41" s="129">
        <f t="shared" si="135"/>
        <v>131685.54630000005</v>
      </c>
      <c r="AH41" s="129">
        <f t="shared" si="136"/>
        <v>144854.10093000007</v>
      </c>
      <c r="AI41" s="129">
        <f t="shared" si="137"/>
        <v>159339.51102300009</v>
      </c>
      <c r="AJ41" s="129">
        <f t="shared" si="138"/>
        <v>175273.46212530011</v>
      </c>
      <c r="AK41" s="129">
        <f t="shared" si="139"/>
        <v>192800.80833783012</v>
      </c>
      <c r="AL41" s="129">
        <f t="shared" si="140"/>
        <v>212080.88917161315</v>
      </c>
      <c r="AM41" s="129">
        <f t="shared" si="141"/>
        <v>233288.97808877449</v>
      </c>
      <c r="AN41" s="114">
        <f t="shared" si="3"/>
        <v>0.13342786677789431</v>
      </c>
      <c r="AO41" s="21">
        <f t="shared" si="27"/>
        <v>0.01</v>
      </c>
      <c r="AP41" s="122" t="e">
        <f t="shared" si="43"/>
        <v>#DIV/0!</v>
      </c>
    </row>
    <row r="42" spans="1:42" x14ac:dyDescent="0.15">
      <c r="A42" s="292"/>
      <c r="B42" s="173" t="s">
        <v>414</v>
      </c>
      <c r="C42" s="117"/>
      <c r="D42" s="117"/>
      <c r="E42" s="123"/>
      <c r="F42" s="176"/>
      <c r="G42" s="123">
        <v>3542</v>
      </c>
      <c r="H42" s="123">
        <v>7257</v>
      </c>
      <c r="I42" s="123">
        <v>9269</v>
      </c>
      <c r="J42" s="123">
        <v>20448</v>
      </c>
      <c r="K42" s="123">
        <v>15527</v>
      </c>
      <c r="L42" s="123">
        <v>17185</v>
      </c>
      <c r="M42" s="123">
        <v>19293</v>
      </c>
      <c r="N42" s="123">
        <v>18151</v>
      </c>
      <c r="O42" s="123">
        <v>20428</v>
      </c>
      <c r="P42" s="123">
        <v>30064</v>
      </c>
      <c r="Q42" s="176">
        <v>26161</v>
      </c>
      <c r="R42" s="176">
        <v>21799</v>
      </c>
      <c r="S42" s="176">
        <v>37758</v>
      </c>
      <c r="T42" s="176">
        <v>48599</v>
      </c>
      <c r="U42" s="176">
        <v>55726</v>
      </c>
      <c r="V42" s="176">
        <v>49324</v>
      </c>
      <c r="W42" s="176">
        <v>92540</v>
      </c>
      <c r="X42" s="176">
        <v>101268</v>
      </c>
      <c r="Y42" s="176">
        <v>122897</v>
      </c>
      <c r="Z42" s="176">
        <v>67807</v>
      </c>
      <c r="AA42" s="176">
        <v>72825</v>
      </c>
      <c r="AB42" s="101">
        <f t="shared" si="44"/>
        <v>0.16319250945478991</v>
      </c>
      <c r="AC42" s="21">
        <f t="shared" si="17"/>
        <v>0.1</v>
      </c>
      <c r="AD42" s="129">
        <f t="shared" si="1"/>
        <v>80107.5</v>
      </c>
      <c r="AE42" s="129">
        <f t="shared" si="133"/>
        <v>88118.25</v>
      </c>
      <c r="AF42" s="129">
        <f t="shared" si="134"/>
        <v>96930.075000000012</v>
      </c>
      <c r="AG42" s="129">
        <f t="shared" si="135"/>
        <v>106623.08250000002</v>
      </c>
      <c r="AH42" s="129">
        <f t="shared" si="136"/>
        <v>117285.39075000004</v>
      </c>
      <c r="AI42" s="129">
        <f t="shared" si="137"/>
        <v>129013.92982500004</v>
      </c>
      <c r="AJ42" s="129">
        <f t="shared" si="138"/>
        <v>141915.32280750005</v>
      </c>
      <c r="AK42" s="129">
        <f t="shared" si="139"/>
        <v>156106.85508825007</v>
      </c>
      <c r="AL42" s="129">
        <f t="shared" si="140"/>
        <v>171717.5405970751</v>
      </c>
      <c r="AM42" s="129">
        <f t="shared" si="141"/>
        <v>188889.29465678261</v>
      </c>
      <c r="AN42" s="114">
        <f t="shared" si="3"/>
        <v>0.14173494304429157</v>
      </c>
      <c r="AO42" s="21">
        <f t="shared" si="27"/>
        <v>0.01</v>
      </c>
      <c r="AP42" s="122" t="e">
        <f t="shared" si="43"/>
        <v>#DIV/0!</v>
      </c>
    </row>
    <row r="43" spans="1:42" x14ac:dyDescent="0.15">
      <c r="A43" s="292"/>
      <c r="B43" s="173" t="s">
        <v>413</v>
      </c>
      <c r="C43" s="117"/>
      <c r="D43" s="117"/>
      <c r="E43" s="123"/>
      <c r="F43" s="176"/>
      <c r="G43" s="123">
        <v>64947</v>
      </c>
      <c r="H43" s="123">
        <v>93988</v>
      </c>
      <c r="I43" s="123">
        <v>153127</v>
      </c>
      <c r="J43" s="123">
        <v>204147</v>
      </c>
      <c r="K43" s="123">
        <v>240846</v>
      </c>
      <c r="L43" s="123">
        <v>266130</v>
      </c>
      <c r="M43" s="123">
        <v>225778</v>
      </c>
      <c r="N43" s="123">
        <v>256019</v>
      </c>
      <c r="O43" s="123">
        <v>292125</v>
      </c>
      <c r="P43" s="123">
        <v>329974</v>
      </c>
      <c r="Q43" s="176">
        <v>387341</v>
      </c>
      <c r="R43" s="176">
        <v>438490</v>
      </c>
      <c r="S43" s="176">
        <v>493729</v>
      </c>
      <c r="T43" s="176">
        <v>515317</v>
      </c>
      <c r="U43" s="176">
        <v>566854</v>
      </c>
      <c r="V43" s="176">
        <v>646961</v>
      </c>
      <c r="W43" s="176">
        <v>706246</v>
      </c>
      <c r="X43" s="176">
        <v>791801</v>
      </c>
      <c r="Y43" s="176">
        <v>920308</v>
      </c>
      <c r="Z43" s="176">
        <v>1083866</v>
      </c>
      <c r="AA43" s="176">
        <v>1260776</v>
      </c>
      <c r="AB43" s="101">
        <f t="shared" si="44"/>
        <v>0.15985564862668133</v>
      </c>
      <c r="AC43" s="21">
        <f t="shared" si="17"/>
        <v>0.1</v>
      </c>
      <c r="AD43" s="129">
        <f t="shared" si="1"/>
        <v>1386853.6</v>
      </c>
      <c r="AE43" s="129">
        <f t="shared" si="133"/>
        <v>1525538.9600000002</v>
      </c>
      <c r="AF43" s="129">
        <f t="shared" si="134"/>
        <v>1678092.8560000004</v>
      </c>
      <c r="AG43" s="129">
        <f t="shared" si="135"/>
        <v>1845902.1416000007</v>
      </c>
      <c r="AH43" s="129">
        <f t="shared" si="136"/>
        <v>2030492.3557600009</v>
      </c>
      <c r="AI43" s="129">
        <f t="shared" si="137"/>
        <v>2233541.5913360012</v>
      </c>
      <c r="AJ43" s="129">
        <f t="shared" si="138"/>
        <v>2456895.7504696017</v>
      </c>
      <c r="AK43" s="129">
        <f t="shared" si="139"/>
        <v>2702585.325516562</v>
      </c>
      <c r="AL43" s="129">
        <f t="shared" si="140"/>
        <v>2972843.8580682185</v>
      </c>
      <c r="AM43" s="129">
        <f t="shared" si="141"/>
        <v>3270128.2438750407</v>
      </c>
      <c r="AN43" s="114">
        <f t="shared" si="3"/>
        <v>0.13955036084628292</v>
      </c>
      <c r="AO43" s="21">
        <f t="shared" si="27"/>
        <v>0.01</v>
      </c>
      <c r="AP43" s="122" t="e">
        <f t="shared" si="43"/>
        <v>#DIV/0!</v>
      </c>
    </row>
    <row r="44" spans="1:42" x14ac:dyDescent="0.15">
      <c r="A44" s="292"/>
      <c r="B44" s="173"/>
      <c r="C44" s="117"/>
      <c r="D44" s="117"/>
      <c r="E44" s="123"/>
      <c r="F44" s="126"/>
      <c r="G44" s="126" t="e">
        <f t="shared" ref="G44" si="184">(G43-E43)/E43</f>
        <v>#DIV/0!</v>
      </c>
      <c r="H44" s="126" t="e">
        <f t="shared" ref="H44" si="185">(H43-F43)/F43</f>
        <v>#DIV/0!</v>
      </c>
      <c r="I44" s="126">
        <f t="shared" ref="I44" si="186">(I43-H43)/H43</f>
        <v>0.62921862365408354</v>
      </c>
      <c r="J44" s="126">
        <f t="shared" ref="J44" si="187">(J43-I43)/I43</f>
        <v>0.33318748489815642</v>
      </c>
      <c r="K44" s="126">
        <f t="shared" ref="K44" si="188">(K43-J43)/J43</f>
        <v>0.17976752046319563</v>
      </c>
      <c r="L44" s="126">
        <f t="shared" ref="L44" si="189">(L43-K43)/K43</f>
        <v>0.10497994569143768</v>
      </c>
      <c r="M44" s="126">
        <f t="shared" ref="M44" si="190">(M43-L43)/L43</f>
        <v>-0.15162514560553114</v>
      </c>
      <c r="N44" s="126">
        <f t="shared" ref="N44" si="191">(N43-M43)/M43</f>
        <v>0.13394130517588074</v>
      </c>
      <c r="O44" s="126">
        <f t="shared" ref="O44" si="192">(O43-N43)/N43</f>
        <v>0.14102859553392522</v>
      </c>
      <c r="P44" s="126">
        <f t="shared" ref="P44" si="193">(P43-O43)/O43</f>
        <v>0.12956439880188275</v>
      </c>
      <c r="Q44" s="126">
        <f t="shared" ref="Q44" si="194">(Q43-P43)/P43</f>
        <v>0.17385309145569044</v>
      </c>
      <c r="R44" s="126">
        <f t="shared" ref="R44" si="195">(R43-Q43)/Q43</f>
        <v>0.13205160310940489</v>
      </c>
      <c r="S44" s="126">
        <f t="shared" ref="S44" si="196">(S43-R43)/R43</f>
        <v>0.12597550685306391</v>
      </c>
      <c r="T44" s="126">
        <f t="shared" ref="T44" si="197">(T43-S43)/S43</f>
        <v>4.3724391315883814E-2</v>
      </c>
      <c r="U44" s="126">
        <f t="shared" ref="U44" si="198">(U43-T43)/T43</f>
        <v>0.10001028493141115</v>
      </c>
      <c r="V44" s="126">
        <f t="shared" ref="V44" si="199">(V43-U43)/U43</f>
        <v>0.14131857585903954</v>
      </c>
      <c r="W44" s="126">
        <f t="shared" ref="W44" si="200">(W43-V43)/V43</f>
        <v>9.1636126443479585E-2</v>
      </c>
      <c r="X44" s="126">
        <f t="shared" ref="X44" si="201">(X43-W43)/W43</f>
        <v>0.12114050911438791</v>
      </c>
      <c r="Y44" s="126">
        <f t="shared" ref="Y44" si="202">(Y43-X43)/X43</f>
        <v>0.1622970923249655</v>
      </c>
      <c r="Z44" s="126">
        <f t="shared" ref="Z44" si="203">(Z43-Y43)/Y43</f>
        <v>0.17772093690373222</v>
      </c>
      <c r="AA44" s="126">
        <f t="shared" ref="AA44" si="204">(AA43-Z43)/Z43</f>
        <v>0.16322128381183651</v>
      </c>
      <c r="AB44" s="10"/>
      <c r="AC44" s="10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13"/>
      <c r="AO44" s="129"/>
      <c r="AP44" s="113"/>
    </row>
    <row r="45" spans="1:42" x14ac:dyDescent="0.15">
      <c r="A45" s="292"/>
      <c r="B45" s="173" t="s">
        <v>191</v>
      </c>
      <c r="C45" s="117"/>
      <c r="D45" s="117"/>
      <c r="E45" s="123"/>
      <c r="F45" s="176"/>
      <c r="G45" s="123">
        <v>46267</v>
      </c>
      <c r="H45" s="123">
        <v>54651</v>
      </c>
      <c r="I45" s="123">
        <v>84013</v>
      </c>
      <c r="J45" s="123">
        <v>120616</v>
      </c>
      <c r="K45" s="123">
        <v>160046</v>
      </c>
      <c r="L45" s="123">
        <v>148107</v>
      </c>
      <c r="M45" s="123">
        <v>186319</v>
      </c>
      <c r="N45" s="123">
        <v>209652</v>
      </c>
      <c r="O45" s="123">
        <v>239864</v>
      </c>
      <c r="P45" s="123">
        <v>255666</v>
      </c>
      <c r="Q45" s="123">
        <v>267609</v>
      </c>
      <c r="R45" s="176">
        <v>302761</v>
      </c>
      <c r="S45" s="176">
        <v>286044</v>
      </c>
      <c r="T45" s="176">
        <v>304501</v>
      </c>
      <c r="U45" s="176">
        <v>372207</v>
      </c>
      <c r="V45" s="176">
        <v>398200</v>
      </c>
      <c r="W45" s="123">
        <v>443472</v>
      </c>
      <c r="X45" s="123">
        <v>536578</v>
      </c>
      <c r="Y45" s="123">
        <v>567097</v>
      </c>
      <c r="Z45" s="123">
        <v>639551</v>
      </c>
      <c r="AA45" s="123">
        <v>827162</v>
      </c>
      <c r="AB45" s="101">
        <f t="shared" si="44"/>
        <v>0.1550903661801466</v>
      </c>
      <c r="AC45" s="21">
        <f t="shared" si="17"/>
        <v>0.1</v>
      </c>
      <c r="AD45" s="129">
        <f t="shared" si="1"/>
        <v>909878.20000000007</v>
      </c>
      <c r="AE45" s="129">
        <f t="shared" si="133"/>
        <v>1000866.0200000001</v>
      </c>
      <c r="AF45" s="129">
        <f t="shared" si="134"/>
        <v>1100952.6220000002</v>
      </c>
      <c r="AG45" s="129">
        <f t="shared" si="135"/>
        <v>1211047.8842000004</v>
      </c>
      <c r="AH45" s="129">
        <f t="shared" si="136"/>
        <v>1332152.6726200006</v>
      </c>
      <c r="AI45" s="129">
        <f t="shared" si="137"/>
        <v>1465367.9398820007</v>
      </c>
      <c r="AJ45" s="129">
        <f t="shared" si="138"/>
        <v>1611904.7338702008</v>
      </c>
      <c r="AK45" s="129">
        <f t="shared" si="139"/>
        <v>1773095.207257221</v>
      </c>
      <c r="AL45" s="129">
        <f t="shared" si="140"/>
        <v>1950404.7279829432</v>
      </c>
      <c r="AM45" s="129">
        <f t="shared" si="141"/>
        <v>2145445.2007812378</v>
      </c>
      <c r="AN45" s="114">
        <f t="shared" si="3"/>
        <v>0.13642698105907924</v>
      </c>
      <c r="AO45" s="21">
        <f t="shared" si="27"/>
        <v>0.01</v>
      </c>
      <c r="AP45" s="122" t="e">
        <f t="shared" si="43"/>
        <v>#DIV/0!</v>
      </c>
    </row>
    <row r="46" spans="1:42" x14ac:dyDescent="0.15">
      <c r="A46" s="174"/>
      <c r="B46" s="173"/>
      <c r="C46" s="117"/>
      <c r="D46" s="117"/>
      <c r="E46" s="123"/>
      <c r="F46" s="126"/>
      <c r="G46" s="126" t="e">
        <f t="shared" ref="G46" si="205">(G45-E45)/E45</f>
        <v>#DIV/0!</v>
      </c>
      <c r="H46" s="126" t="e">
        <f t="shared" ref="H46" si="206">(H45-F45)/F45</f>
        <v>#DIV/0!</v>
      </c>
      <c r="I46" s="126">
        <f t="shared" ref="I46" si="207">(I45-H45)/H45</f>
        <v>0.53726372801961542</v>
      </c>
      <c r="J46" s="126">
        <f t="shared" ref="J46" si="208">(J45-I45)/I45</f>
        <v>0.43568257293514101</v>
      </c>
      <c r="K46" s="126">
        <f t="shared" ref="K46" si="209">(K45-J45)/J45</f>
        <v>0.3269052198713272</v>
      </c>
      <c r="L46" s="126">
        <f t="shared" ref="L46" si="210">(L45-K45)/K45</f>
        <v>-7.4597303275308349E-2</v>
      </c>
      <c r="M46" s="126">
        <f t="shared" ref="M46" si="211">(M45-L45)/L45</f>
        <v>0.25800266023888135</v>
      </c>
      <c r="N46" s="126">
        <f t="shared" ref="N46" si="212">(N45-M45)/M45</f>
        <v>0.12523145787600834</v>
      </c>
      <c r="O46" s="126">
        <f t="shared" ref="O46" si="213">(O45-N45)/N45</f>
        <v>0.14410547001698051</v>
      </c>
      <c r="P46" s="126">
        <f t="shared" ref="P46" si="214">(P45-O45)/O45</f>
        <v>6.5878998098922725E-2</v>
      </c>
      <c r="Q46" s="126">
        <f t="shared" ref="Q46" si="215">(Q45-P45)/P45</f>
        <v>4.6713289995541057E-2</v>
      </c>
      <c r="R46" s="126">
        <f t="shared" ref="R46" si="216">(R45-Q45)/Q45</f>
        <v>0.13135582136624702</v>
      </c>
      <c r="S46" s="126">
        <f t="shared" ref="S46" si="217">(S45-R45)/R45</f>
        <v>-5.521516972133135E-2</v>
      </c>
      <c r="T46" s="126">
        <f t="shared" ref="T46" si="218">(T45-S45)/S45</f>
        <v>6.4525038106025639E-2</v>
      </c>
      <c r="U46" s="126">
        <f t="shared" ref="U46" si="219">(U45-T45)/T45</f>
        <v>0.22235066551505578</v>
      </c>
      <c r="V46" s="126">
        <f t="shared" ref="V46" si="220">(V45-U45)/U45</f>
        <v>6.9834796228980117E-2</v>
      </c>
      <c r="W46" s="126">
        <f t="shared" ref="W46" si="221">(W45-V45)/V45</f>
        <v>0.11369161225514816</v>
      </c>
      <c r="X46" s="126">
        <f t="shared" ref="X46" si="222">(X45-W45)/W45</f>
        <v>0.20994786593065629</v>
      </c>
      <c r="Y46" s="126">
        <f t="shared" ref="Y46" si="223">(Y45-X45)/X45</f>
        <v>5.6877098949267395E-2</v>
      </c>
      <c r="Z46" s="126">
        <f t="shared" ref="Z46" si="224">(Z45-Y45)/Y45</f>
        <v>0.12776297529346831</v>
      </c>
      <c r="AA46" s="126">
        <f t="shared" ref="AA46" si="225">(AA45-Z45)/Z45</f>
        <v>0.29334798944884771</v>
      </c>
      <c r="AB46" s="10"/>
      <c r="AC46" s="10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13"/>
      <c r="AO46" s="129"/>
      <c r="AP46" s="113"/>
    </row>
    <row r="47" spans="1:42" x14ac:dyDescent="0.15">
      <c r="A47" s="174"/>
      <c r="B47" s="173" t="s">
        <v>503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01" t="e">
        <f t="shared" si="44"/>
        <v>#DIV/0!</v>
      </c>
      <c r="AC47" s="21">
        <f t="shared" si="17"/>
        <v>0.1</v>
      </c>
      <c r="AD47" s="129">
        <f t="shared" si="1"/>
        <v>0</v>
      </c>
      <c r="AE47" s="129">
        <f t="shared" ref="AE47" si="226">AD47*(1+$AC47)</f>
        <v>0</v>
      </c>
      <c r="AF47" s="129">
        <f t="shared" ref="AF47" si="227">AE47*(1+$AC47)</f>
        <v>0</v>
      </c>
      <c r="AG47" s="129">
        <f t="shared" ref="AG47" si="228">AF47*(1+$AC47)</f>
        <v>0</v>
      </c>
      <c r="AH47" s="129">
        <f t="shared" ref="AH47" si="229">AG47*(1+$AC47)</f>
        <v>0</v>
      </c>
      <c r="AI47" s="129">
        <f t="shared" ref="AI47" si="230">AH47*(1+$AC47)</f>
        <v>0</v>
      </c>
      <c r="AJ47" s="129">
        <f t="shared" ref="AJ47" si="231">AI47*(1+$AC47)</f>
        <v>0</v>
      </c>
      <c r="AK47" s="129">
        <f t="shared" ref="AK47" si="232">AJ47*(1+$AC47)</f>
        <v>0</v>
      </c>
      <c r="AL47" s="129">
        <f t="shared" ref="AL47" si="233">AK47*(1+$AC47)</f>
        <v>0</v>
      </c>
      <c r="AM47" s="129">
        <f t="shared" ref="AM47" si="234">AL47*(1+$AC47)</f>
        <v>0</v>
      </c>
      <c r="AN47" s="114" t="e">
        <f t="shared" si="3"/>
        <v>#DIV/0!</v>
      </c>
      <c r="AO47" s="21">
        <f t="shared" si="27"/>
        <v>0.01</v>
      </c>
      <c r="AP47" s="122" t="e">
        <f t="shared" si="43"/>
        <v>#DIV/0!</v>
      </c>
    </row>
    <row r="48" spans="1:42" x14ac:dyDescent="0.15">
      <c r="A48" s="174"/>
      <c r="B48" s="173"/>
      <c r="C48" s="117"/>
      <c r="D48" s="117"/>
      <c r="E48" s="123"/>
      <c r="F48" s="126"/>
      <c r="G48" s="126" t="e">
        <f t="shared" ref="G48" si="235">(G47-E47)/E47</f>
        <v>#DIV/0!</v>
      </c>
      <c r="H48" s="126" t="e">
        <f t="shared" ref="H48" si="236">(H47-F47)/F47</f>
        <v>#DIV/0!</v>
      </c>
      <c r="I48" s="126" t="e">
        <f t="shared" ref="I48" si="237">(I47-H47)/H47</f>
        <v>#DIV/0!</v>
      </c>
      <c r="J48" s="126" t="e">
        <f t="shared" ref="J48" si="238">(J47-I47)/I47</f>
        <v>#DIV/0!</v>
      </c>
      <c r="K48" s="126" t="e">
        <f t="shared" ref="K48" si="239">(K47-J47)/J47</f>
        <v>#DIV/0!</v>
      </c>
      <c r="L48" s="126" t="e">
        <f t="shared" ref="L48" si="240">(L47-K47)/K47</f>
        <v>#DIV/0!</v>
      </c>
      <c r="M48" s="126" t="e">
        <f t="shared" ref="M48" si="241">(M47-L47)/L47</f>
        <v>#DIV/0!</v>
      </c>
      <c r="N48" s="126" t="e">
        <f t="shared" ref="N48" si="242">(N47-M47)/M47</f>
        <v>#DIV/0!</v>
      </c>
      <c r="O48" s="126" t="e">
        <f t="shared" ref="O48" si="243">(O47-N47)/N47</f>
        <v>#DIV/0!</v>
      </c>
      <c r="P48" s="126" t="e">
        <f t="shared" ref="P48" si="244">(P47-O47)/O47</f>
        <v>#DIV/0!</v>
      </c>
      <c r="Q48" s="126" t="e">
        <f t="shared" ref="Q48" si="245">(Q47-P47)/P47</f>
        <v>#DIV/0!</v>
      </c>
      <c r="R48" s="126" t="e">
        <f t="shared" ref="R48" si="246">(R47-Q47)/Q47</f>
        <v>#DIV/0!</v>
      </c>
      <c r="S48" s="126" t="e">
        <f t="shared" ref="S48" si="247">(S47-R47)/R47</f>
        <v>#DIV/0!</v>
      </c>
      <c r="T48" s="126" t="e">
        <f t="shared" ref="T48" si="248">(T47-S47)/S47</f>
        <v>#DIV/0!</v>
      </c>
      <c r="U48" s="126" t="e">
        <f t="shared" ref="U48" si="249">(U47-T47)/T47</f>
        <v>#DIV/0!</v>
      </c>
      <c r="V48" s="126" t="e">
        <f t="shared" ref="V48" si="250">(V47-U47)/U47</f>
        <v>#DIV/0!</v>
      </c>
      <c r="W48" s="126" t="e">
        <f t="shared" ref="W48" si="251">(W47-V47)/V47</f>
        <v>#DIV/0!</v>
      </c>
      <c r="X48" s="126" t="e">
        <f t="shared" ref="X48" si="252">(X47-W47)/W47</f>
        <v>#DIV/0!</v>
      </c>
      <c r="Y48" s="126" t="e">
        <f t="shared" ref="Y48" si="253">(Y47-X47)/X47</f>
        <v>#DIV/0!</v>
      </c>
      <c r="Z48" s="126" t="e">
        <f t="shared" ref="Z48" si="254">(Z47-Y47)/Y47</f>
        <v>#DIV/0!</v>
      </c>
      <c r="AA48" s="126" t="e">
        <f t="shared" ref="AA48" si="255">(AA47-Z47)/Z47</f>
        <v>#DIV/0!</v>
      </c>
      <c r="AB48" s="10"/>
      <c r="AC48" s="10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13"/>
      <c r="AO48" s="129"/>
      <c r="AP48" s="113"/>
    </row>
    <row r="49" spans="1:42" x14ac:dyDescent="0.15">
      <c r="A49" s="174"/>
      <c r="B49" s="173" t="s">
        <v>426</v>
      </c>
      <c r="C49" s="117"/>
      <c r="D49" s="117"/>
      <c r="E49" s="123"/>
      <c r="F49" s="176"/>
      <c r="G49" s="123">
        <v>4553</v>
      </c>
      <c r="H49" s="123">
        <v>7083</v>
      </c>
      <c r="I49" s="123">
        <v>11197</v>
      </c>
      <c r="J49" s="123">
        <v>17540</v>
      </c>
      <c r="K49" s="123">
        <v>26436</v>
      </c>
      <c r="L49" s="123">
        <v>28345</v>
      </c>
      <c r="M49" s="123">
        <v>29053</v>
      </c>
      <c r="N49" s="123">
        <v>31966</v>
      </c>
      <c r="O49" s="123">
        <v>29041</v>
      </c>
      <c r="P49" s="123">
        <v>29319</v>
      </c>
      <c r="Q49" s="176">
        <v>0</v>
      </c>
      <c r="R49" s="176">
        <v>1</v>
      </c>
      <c r="S49" s="176">
        <v>2</v>
      </c>
      <c r="T49" s="176">
        <v>3</v>
      </c>
      <c r="U49" s="176">
        <v>4</v>
      </c>
      <c r="V49" s="176">
        <v>5</v>
      </c>
      <c r="W49" s="176">
        <v>6</v>
      </c>
      <c r="X49" s="176">
        <v>6</v>
      </c>
      <c r="Y49" s="176">
        <v>7</v>
      </c>
      <c r="Z49" s="176">
        <v>7</v>
      </c>
      <c r="AA49" s="176">
        <v>7</v>
      </c>
      <c r="AB49" s="101">
        <f t="shared" si="44"/>
        <v>-0.27666410114217144</v>
      </c>
      <c r="AC49" s="21">
        <f t="shared" si="17"/>
        <v>0.1</v>
      </c>
      <c r="AD49" s="129">
        <f t="shared" si="1"/>
        <v>7.7000000000000011</v>
      </c>
      <c r="AE49" s="129">
        <f t="shared" ref="AE49" si="256">AD49*(1+$AC49)</f>
        <v>8.4700000000000024</v>
      </c>
      <c r="AF49" s="129">
        <f t="shared" ref="AF49" si="257">AE49*(1+$AC49)</f>
        <v>9.3170000000000037</v>
      </c>
      <c r="AG49" s="129">
        <f t="shared" ref="AG49" si="258">AF49*(1+$AC49)</f>
        <v>10.248700000000005</v>
      </c>
      <c r="AH49" s="129">
        <f t="shared" ref="AH49" si="259">AG49*(1+$AC49)</f>
        <v>11.273570000000007</v>
      </c>
      <c r="AI49" s="129">
        <f t="shared" ref="AI49" si="260">AH49*(1+$AC49)</f>
        <v>12.400927000000008</v>
      </c>
      <c r="AJ49" s="129">
        <f t="shared" ref="AJ49" si="261">AI49*(1+$AC49)</f>
        <v>13.64101970000001</v>
      </c>
      <c r="AK49" s="129">
        <f t="shared" ref="AK49" si="262">AJ49*(1+$AC49)</f>
        <v>15.005121670000012</v>
      </c>
      <c r="AL49" s="129">
        <f t="shared" ref="AL49" si="263">AK49*(1+$AC49)</f>
        <v>16.505633837000016</v>
      </c>
      <c r="AM49" s="129">
        <f t="shared" ref="AM49" si="264">AL49*(1+$AC49)</f>
        <v>18.156197220700019</v>
      </c>
      <c r="AN49" s="114">
        <f t="shared" si="3"/>
        <v>-0.16818980035142295</v>
      </c>
      <c r="AO49" s="21">
        <f t="shared" si="27"/>
        <v>0.01</v>
      </c>
      <c r="AP49" s="122" t="e">
        <f t="shared" si="43"/>
        <v>#DIV/0!</v>
      </c>
    </row>
    <row r="50" spans="1:42" x14ac:dyDescent="0.15">
      <c r="A50" s="174"/>
      <c r="B50" s="173"/>
      <c r="C50" s="117"/>
      <c r="D50" s="117"/>
      <c r="E50" s="123"/>
      <c r="F50" s="126"/>
      <c r="G50" s="126" t="e">
        <f t="shared" ref="G50" si="265">(G49-E49)/E49</f>
        <v>#DIV/0!</v>
      </c>
      <c r="H50" s="126" t="e">
        <f t="shared" ref="H50" si="266">(H49-F49)/F49</f>
        <v>#DIV/0!</v>
      </c>
      <c r="I50" s="126">
        <f t="shared" ref="I50" si="267">(I49-H49)/H49</f>
        <v>0.58082733305096712</v>
      </c>
      <c r="J50" s="126">
        <f t="shared" ref="J50" si="268">(J49-I49)/I49</f>
        <v>0.56649102438153076</v>
      </c>
      <c r="K50" s="126">
        <f t="shared" ref="K50" si="269">(K49-J49)/J49</f>
        <v>0.5071835803876853</v>
      </c>
      <c r="L50" s="126">
        <f t="shared" ref="L50" si="270">(L49-K49)/K49</f>
        <v>7.2212134967468602E-2</v>
      </c>
      <c r="M50" s="126">
        <f t="shared" ref="M50" si="271">(M49-L49)/L49</f>
        <v>2.4977950255777034E-2</v>
      </c>
      <c r="N50" s="126">
        <f t="shared" ref="N50" si="272">(N49-M49)/M49</f>
        <v>0.10026503287095997</v>
      </c>
      <c r="O50" s="126">
        <f t="shared" ref="O50" si="273">(O49-N49)/N49</f>
        <v>-9.1503472439466937E-2</v>
      </c>
      <c r="P50" s="126">
        <f t="shared" ref="P50" si="274">(P49-O49)/O49</f>
        <v>9.5726731173168961E-3</v>
      </c>
      <c r="Q50" s="126">
        <f t="shared" ref="Q50" si="275">(Q49-P49)/P49</f>
        <v>-1</v>
      </c>
      <c r="R50" s="126" t="e">
        <f t="shared" ref="R50" si="276">(R49-Q49)/Q49</f>
        <v>#DIV/0!</v>
      </c>
      <c r="S50" s="126">
        <f t="shared" ref="S50" si="277">(S49-R49)/R49</f>
        <v>1</v>
      </c>
      <c r="T50" s="126">
        <f t="shared" ref="T50" si="278">(T49-S49)/S49</f>
        <v>0.5</v>
      </c>
      <c r="U50" s="126">
        <f t="shared" ref="U50" si="279">(U49-T49)/T49</f>
        <v>0.33333333333333331</v>
      </c>
      <c r="V50" s="126">
        <f t="shared" ref="V50" si="280">(V49-U49)/U49</f>
        <v>0.25</v>
      </c>
      <c r="W50" s="126">
        <f t="shared" ref="W50" si="281">(W49-V49)/V49</f>
        <v>0.2</v>
      </c>
      <c r="X50" s="126">
        <f t="shared" ref="X50" si="282">(X49-W49)/W49</f>
        <v>0</v>
      </c>
      <c r="Y50" s="126">
        <f t="shared" ref="Y50" si="283">(Y49-X49)/X49</f>
        <v>0.16666666666666666</v>
      </c>
      <c r="Z50" s="126">
        <f t="shared" ref="Z50" si="284">(Z49-Y49)/Y49</f>
        <v>0</v>
      </c>
      <c r="AA50" s="126">
        <f t="shared" ref="AA50" si="285">(AA49-Z49)/Z49</f>
        <v>0</v>
      </c>
      <c r="AB50" s="10"/>
      <c r="AC50" s="10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13"/>
      <c r="AO50" s="129"/>
      <c r="AP50" s="113"/>
    </row>
    <row r="51" spans="1:42" x14ac:dyDescent="0.15">
      <c r="A51" s="174"/>
      <c r="B51" s="173" t="s">
        <v>417</v>
      </c>
      <c r="C51" s="117"/>
      <c r="D51" s="117"/>
      <c r="E51" s="123"/>
      <c r="F51" s="176"/>
      <c r="G51" s="176">
        <f t="shared" ref="G51" si="286">H51</f>
        <v>0</v>
      </c>
      <c r="H51" s="176">
        <f t="shared" ref="H51:I51" si="287">I51</f>
        <v>0</v>
      </c>
      <c r="I51" s="176">
        <f t="shared" si="287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747525</v>
      </c>
      <c r="R51" s="176">
        <v>826079</v>
      </c>
      <c r="S51" s="176">
        <v>918756</v>
      </c>
      <c r="T51" s="176">
        <v>986042</v>
      </c>
      <c r="U51" s="176">
        <v>1124793</v>
      </c>
      <c r="V51" s="176">
        <v>1238793</v>
      </c>
      <c r="W51" s="176">
        <v>1377292</v>
      </c>
      <c r="X51" s="176">
        <v>1573812</v>
      </c>
      <c r="Y51" s="176">
        <v>1752637</v>
      </c>
      <c r="Z51" s="176">
        <v>1958490</v>
      </c>
      <c r="AA51" s="176">
        <v>2364063</v>
      </c>
      <c r="AB51" s="101" t="e">
        <f t="shared" si="44"/>
        <v>#DIV/0!</v>
      </c>
      <c r="AC51" s="21">
        <f t="shared" si="17"/>
        <v>0.1</v>
      </c>
      <c r="AD51" s="129">
        <f t="shared" si="1"/>
        <v>2600469.3000000003</v>
      </c>
      <c r="AE51" s="129">
        <f t="shared" si="133"/>
        <v>2860516.2300000004</v>
      </c>
      <c r="AF51" s="129">
        <f t="shared" si="134"/>
        <v>3146567.8530000006</v>
      </c>
      <c r="AG51" s="129">
        <f t="shared" si="135"/>
        <v>3461224.6383000012</v>
      </c>
      <c r="AH51" s="129">
        <f t="shared" si="136"/>
        <v>3807347.1021300014</v>
      </c>
      <c r="AI51" s="129">
        <f t="shared" si="137"/>
        <v>4188081.8123430018</v>
      </c>
      <c r="AJ51" s="129">
        <f t="shared" si="138"/>
        <v>4606889.9935773024</v>
      </c>
      <c r="AK51" s="129">
        <f t="shared" si="139"/>
        <v>5067578.9929350335</v>
      </c>
      <c r="AL51" s="129">
        <f t="shared" si="140"/>
        <v>5574336.8922285372</v>
      </c>
      <c r="AM51" s="129">
        <f t="shared" si="141"/>
        <v>6131770.5814513918</v>
      </c>
      <c r="AN51" s="114" t="e">
        <f t="shared" si="3"/>
        <v>#DIV/0!</v>
      </c>
      <c r="AO51" s="21">
        <f t="shared" si="27"/>
        <v>0.01</v>
      </c>
      <c r="AP51" s="122" t="e">
        <f t="shared" si="43"/>
        <v>#DIV/0!</v>
      </c>
    </row>
    <row r="52" spans="1:42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01" t="e">
        <f t="shared" si="44"/>
        <v>#DIV/0!</v>
      </c>
      <c r="AC52" s="10"/>
      <c r="AD52" s="129">
        <f t="shared" si="1"/>
        <v>0</v>
      </c>
      <c r="AE52" s="129"/>
      <c r="AF52" s="129"/>
      <c r="AG52" s="129"/>
      <c r="AH52" s="129"/>
      <c r="AI52" s="129"/>
      <c r="AJ52" s="129"/>
      <c r="AK52" s="129"/>
      <c r="AL52" s="129"/>
      <c r="AM52" s="129"/>
      <c r="AN52" s="113"/>
      <c r="AO52" s="113"/>
      <c r="AP52" s="113"/>
    </row>
    <row r="53" spans="1:42" x14ac:dyDescent="0.15">
      <c r="B53" s="10" t="s">
        <v>229</v>
      </c>
      <c r="C53" s="117"/>
      <c r="D53" s="117"/>
      <c r="E53" s="123"/>
      <c r="F53" s="123"/>
      <c r="G53" s="123">
        <v>1</v>
      </c>
      <c r="H53" s="123">
        <v>1</v>
      </c>
      <c r="I53" s="123">
        <v>1</v>
      </c>
      <c r="J53" s="123">
        <v>1</v>
      </c>
      <c r="K53" s="123">
        <v>11</v>
      </c>
      <c r="L53" s="123">
        <v>1</v>
      </c>
      <c r="M53" s="123">
        <v>1</v>
      </c>
      <c r="N53" s="123">
        <v>1</v>
      </c>
      <c r="O53" s="123">
        <v>1</v>
      </c>
      <c r="P53" s="123">
        <v>848</v>
      </c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01">
        <f t="shared" si="44"/>
        <v>-1</v>
      </c>
      <c r="AC53" s="21">
        <f t="shared" si="17"/>
        <v>0.1</v>
      </c>
      <c r="AD53" s="129">
        <f t="shared" si="1"/>
        <v>0</v>
      </c>
      <c r="AE53" s="129">
        <f t="shared" ref="AE53" si="288">AD53*(1+$AC53)</f>
        <v>0</v>
      </c>
      <c r="AF53" s="129">
        <f t="shared" ref="AF53" si="289">AE53*(1+$AC53)</f>
        <v>0</v>
      </c>
      <c r="AG53" s="129">
        <f t="shared" ref="AG53" si="290">AF53*(1+$AC53)</f>
        <v>0</v>
      </c>
      <c r="AH53" s="129">
        <f t="shared" si="60"/>
        <v>0</v>
      </c>
      <c r="AI53" s="129">
        <f t="shared" si="61"/>
        <v>0</v>
      </c>
      <c r="AJ53" s="129">
        <f t="shared" si="62"/>
        <v>0</v>
      </c>
      <c r="AK53" s="129">
        <f t="shared" si="63"/>
        <v>0</v>
      </c>
      <c r="AL53" s="129">
        <f t="shared" si="64"/>
        <v>0</v>
      </c>
      <c r="AM53" s="129">
        <f t="shared" si="65"/>
        <v>0</v>
      </c>
      <c r="AN53" s="114">
        <f t="shared" si="3"/>
        <v>-1</v>
      </c>
      <c r="AO53" s="21">
        <f t="shared" si="27"/>
        <v>0.01</v>
      </c>
      <c r="AP53" s="122" t="e">
        <f t="shared" si="43"/>
        <v>#DIV/0!</v>
      </c>
    </row>
    <row r="54" spans="1:42" s="106" customFormat="1" x14ac:dyDescent="0.15">
      <c r="B54" s="13"/>
      <c r="C54" s="124"/>
      <c r="D54" s="124"/>
      <c r="E54" s="125"/>
      <c r="F54" s="126"/>
      <c r="G54" s="126">
        <f t="shared" ref="G54:P54" si="291">(G53-F53)/G53</f>
        <v>1</v>
      </c>
      <c r="H54" s="126">
        <f t="shared" si="291"/>
        <v>0</v>
      </c>
      <c r="I54" s="126">
        <f t="shared" si="291"/>
        <v>0</v>
      </c>
      <c r="J54" s="126">
        <f t="shared" si="291"/>
        <v>0</v>
      </c>
      <c r="K54" s="126">
        <f t="shared" si="291"/>
        <v>0.90909090909090906</v>
      </c>
      <c r="L54" s="126">
        <f t="shared" si="291"/>
        <v>-10</v>
      </c>
      <c r="M54" s="126">
        <f t="shared" si="291"/>
        <v>0</v>
      </c>
      <c r="N54" s="126">
        <f t="shared" si="291"/>
        <v>0</v>
      </c>
      <c r="O54" s="126">
        <f t="shared" si="291"/>
        <v>0</v>
      </c>
      <c r="P54" s="126">
        <f>(P53-O53)/O53</f>
        <v>847</v>
      </c>
      <c r="Q54" s="126">
        <f t="shared" ref="Q54" si="292">(Q53-P53)/P53</f>
        <v>-1</v>
      </c>
      <c r="R54" s="126" t="e">
        <f t="shared" ref="R54" si="293">(R53-Q53)/Q53</f>
        <v>#DIV/0!</v>
      </c>
      <c r="S54" s="126" t="e">
        <f t="shared" ref="S54" si="294">(S53-R53)/R53</f>
        <v>#DIV/0!</v>
      </c>
      <c r="T54" s="126" t="e">
        <f t="shared" ref="T54" si="295">(T53-S53)/S53</f>
        <v>#DIV/0!</v>
      </c>
      <c r="U54" s="126" t="e">
        <f t="shared" ref="U54" si="296">(U53-T53)/T53</f>
        <v>#DIV/0!</v>
      </c>
      <c r="V54" s="126" t="e">
        <f t="shared" ref="V54" si="297">(V53-U53)/U53</f>
        <v>#DIV/0!</v>
      </c>
      <c r="W54" s="126" t="e">
        <f t="shared" ref="W54" si="298">(W53-V53)/V53</f>
        <v>#DIV/0!</v>
      </c>
      <c r="X54" s="126" t="e">
        <f t="shared" ref="X54" si="299">(X53-W53)/W53</f>
        <v>#DIV/0!</v>
      </c>
      <c r="Y54" s="126" t="e">
        <f t="shared" ref="Y54" si="300">(Y53-X53)/X53</f>
        <v>#DIV/0!</v>
      </c>
      <c r="Z54" s="126" t="e">
        <f t="shared" ref="Z54" si="301">(Z53-Y53)/Y53</f>
        <v>#DIV/0!</v>
      </c>
      <c r="AA54" s="126" t="e">
        <f t="shared" ref="AA54" si="302">(AA53-Z53)/Z53</f>
        <v>#DIV/0!</v>
      </c>
      <c r="AB54" s="10"/>
      <c r="AC54" s="10"/>
      <c r="AD54" s="129"/>
      <c r="AE54" s="130"/>
      <c r="AF54" s="130"/>
      <c r="AG54" s="130"/>
      <c r="AH54" s="130"/>
      <c r="AI54" s="130"/>
      <c r="AJ54" s="130"/>
      <c r="AK54" s="130"/>
      <c r="AL54" s="130"/>
      <c r="AM54" s="130"/>
      <c r="AN54" s="113"/>
      <c r="AO54" s="113"/>
      <c r="AP54" s="113"/>
    </row>
    <row r="55" spans="1:42" s="106" customFormat="1" x14ac:dyDescent="0.15">
      <c r="B55" s="10" t="s">
        <v>341</v>
      </c>
      <c r="C55" s="124"/>
      <c r="D55" s="124"/>
      <c r="E55" s="125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01" t="e">
        <f t="shared" si="44"/>
        <v>#DIV/0!</v>
      </c>
      <c r="AC55" s="21">
        <f t="shared" si="17"/>
        <v>0.1</v>
      </c>
      <c r="AD55" s="129">
        <f t="shared" si="1"/>
        <v>0</v>
      </c>
      <c r="AE55" s="129">
        <f t="shared" ref="AE55" si="303">AD55*(1+$AC55)</f>
        <v>0</v>
      </c>
      <c r="AF55" s="129">
        <f t="shared" ref="AF55" si="304">AE55*(1+$AC55)</f>
        <v>0</v>
      </c>
      <c r="AG55" s="129">
        <f t="shared" ref="AG55" si="305">AF55*(1+$AC55)</f>
        <v>0</v>
      </c>
      <c r="AH55" s="129">
        <f t="shared" ref="AH55" si="306">AG55*(1+$AC55)</f>
        <v>0</v>
      </c>
      <c r="AI55" s="129">
        <f t="shared" ref="AI55" si="307">AH55*(1+$AC55)</f>
        <v>0</v>
      </c>
      <c r="AJ55" s="129">
        <f t="shared" ref="AJ55" si="308">AI55*(1+$AC55)</f>
        <v>0</v>
      </c>
      <c r="AK55" s="129">
        <f t="shared" ref="AK55" si="309">AJ55*(1+$AC55)</f>
        <v>0</v>
      </c>
      <c r="AL55" s="129">
        <f t="shared" ref="AL55" si="310">AK55*(1+$AC55)</f>
        <v>0</v>
      </c>
      <c r="AM55" s="129">
        <f t="shared" ref="AM55" si="311">AL55*(1+$AC55)</f>
        <v>0</v>
      </c>
      <c r="AN55" s="114" t="e">
        <f t="shared" si="3"/>
        <v>#DIV/0!</v>
      </c>
      <c r="AO55" s="21">
        <f t="shared" si="27"/>
        <v>0.01</v>
      </c>
      <c r="AP55" s="122" t="e">
        <f t="shared" si="43"/>
        <v>#DIV/0!</v>
      </c>
    </row>
    <row r="56" spans="1:42" s="106" customFormat="1" x14ac:dyDescent="0.15">
      <c r="B56" s="13"/>
      <c r="C56" s="124"/>
      <c r="D56" s="124"/>
      <c r="E56" s="125"/>
      <c r="F56" s="126"/>
      <c r="G56" s="126" t="e">
        <f t="shared" ref="G56:P56" si="312">(G55-F55)/G55</f>
        <v>#DIV/0!</v>
      </c>
      <c r="H56" s="126" t="e">
        <f t="shared" si="312"/>
        <v>#DIV/0!</v>
      </c>
      <c r="I56" s="126" t="e">
        <f t="shared" si="312"/>
        <v>#DIV/0!</v>
      </c>
      <c r="J56" s="126" t="e">
        <f t="shared" si="312"/>
        <v>#DIV/0!</v>
      </c>
      <c r="K56" s="126" t="e">
        <f t="shared" si="312"/>
        <v>#DIV/0!</v>
      </c>
      <c r="L56" s="126" t="e">
        <f t="shared" si="312"/>
        <v>#DIV/0!</v>
      </c>
      <c r="M56" s="126" t="e">
        <f t="shared" si="312"/>
        <v>#DIV/0!</v>
      </c>
      <c r="N56" s="126" t="e">
        <f t="shared" si="312"/>
        <v>#DIV/0!</v>
      </c>
      <c r="O56" s="126" t="e">
        <f t="shared" si="312"/>
        <v>#DIV/0!</v>
      </c>
      <c r="P56" s="126" t="e">
        <f t="shared" ref="P56" si="313">(P55-O55)/O55</f>
        <v>#DIV/0!</v>
      </c>
      <c r="Q56" s="126" t="e">
        <f t="shared" ref="Q56" si="314">(Q55-P55)/P55</f>
        <v>#DIV/0!</v>
      </c>
      <c r="R56" s="126" t="e">
        <f t="shared" ref="R56" si="315">(R55-Q55)/Q55</f>
        <v>#DIV/0!</v>
      </c>
      <c r="S56" s="126" t="e">
        <f t="shared" ref="S56" si="316">(S55-R55)/R55</f>
        <v>#DIV/0!</v>
      </c>
      <c r="T56" s="126" t="e">
        <f t="shared" ref="T56" si="317">(T55-S55)/S55</f>
        <v>#DIV/0!</v>
      </c>
      <c r="U56" s="126" t="e">
        <f t="shared" ref="U56" si="318">(U55-T55)/T55</f>
        <v>#DIV/0!</v>
      </c>
      <c r="V56" s="126" t="e">
        <f t="shared" ref="V56" si="319">(V55-U55)/U55</f>
        <v>#DIV/0!</v>
      </c>
      <c r="W56" s="126" t="e">
        <f t="shared" ref="W56" si="320">(W55-V55)/V55</f>
        <v>#DIV/0!</v>
      </c>
      <c r="X56" s="126" t="e">
        <f t="shared" ref="X56" si="321">(X55-W55)/W55</f>
        <v>#DIV/0!</v>
      </c>
      <c r="Y56" s="126" t="e">
        <f t="shared" ref="Y56" si="322">(Y55-X55)/X55</f>
        <v>#DIV/0!</v>
      </c>
      <c r="Z56" s="126" t="e">
        <f t="shared" ref="Z56" si="323">(Z55-Y55)/Y55</f>
        <v>#DIV/0!</v>
      </c>
      <c r="AA56" s="126" t="e">
        <f t="shared" ref="AA56" si="324">(AA55-Z55)/Z55</f>
        <v>#DIV/0!</v>
      </c>
      <c r="AB56" s="10"/>
      <c r="AC56" s="10"/>
      <c r="AD56" s="129"/>
      <c r="AE56" s="130"/>
      <c r="AF56" s="130"/>
      <c r="AG56" s="130"/>
      <c r="AH56" s="130"/>
      <c r="AI56" s="130"/>
      <c r="AJ56" s="130"/>
      <c r="AK56" s="130"/>
      <c r="AL56" s="130"/>
      <c r="AM56" s="130"/>
      <c r="AN56" s="113"/>
      <c r="AO56" s="113"/>
      <c r="AP56" s="113"/>
    </row>
    <row r="57" spans="1:42" s="106" customFormat="1" x14ac:dyDescent="0.15">
      <c r="B57" s="10" t="s">
        <v>502</v>
      </c>
      <c r="C57" s="124"/>
      <c r="D57" s="124"/>
      <c r="E57" s="125"/>
      <c r="F57" s="126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01" t="e">
        <f t="shared" si="44"/>
        <v>#DIV/0!</v>
      </c>
      <c r="AC57" s="21">
        <f t="shared" si="17"/>
        <v>0.1</v>
      </c>
      <c r="AD57" s="129">
        <f t="shared" si="1"/>
        <v>0</v>
      </c>
      <c r="AE57" s="129">
        <f t="shared" ref="AE57" si="325">AD57*(1+$AC57)</f>
        <v>0</v>
      </c>
      <c r="AF57" s="129">
        <f t="shared" ref="AF57" si="326">AE57*(1+$AC57)</f>
        <v>0</v>
      </c>
      <c r="AG57" s="129">
        <f t="shared" ref="AG57" si="327">AF57*(1+$AC57)</f>
        <v>0</v>
      </c>
      <c r="AH57" s="129">
        <f t="shared" ref="AH57" si="328">AG57*(1+$AC57)</f>
        <v>0</v>
      </c>
      <c r="AI57" s="129">
        <f t="shared" ref="AI57" si="329">AH57*(1+$AC57)</f>
        <v>0</v>
      </c>
      <c r="AJ57" s="129">
        <f t="shared" ref="AJ57" si="330">AI57*(1+$AC57)</f>
        <v>0</v>
      </c>
      <c r="AK57" s="129">
        <f t="shared" ref="AK57" si="331">AJ57*(1+$AC57)</f>
        <v>0</v>
      </c>
      <c r="AL57" s="129">
        <f t="shared" ref="AL57" si="332">AK57*(1+$AC57)</f>
        <v>0</v>
      </c>
      <c r="AM57" s="129">
        <f t="shared" ref="AM57" si="333">AL57*(1+$AC57)</f>
        <v>0</v>
      </c>
      <c r="AN57" s="114" t="e">
        <f t="shared" si="3"/>
        <v>#DIV/0!</v>
      </c>
      <c r="AO57" s="21">
        <f t="shared" si="27"/>
        <v>0.01</v>
      </c>
      <c r="AP57" s="122" t="e">
        <f t="shared" si="43"/>
        <v>#DIV/0!</v>
      </c>
    </row>
    <row r="58" spans="1:42" s="106" customFormat="1" x14ac:dyDescent="0.15">
      <c r="B58" s="13"/>
      <c r="C58" s="124"/>
      <c r="D58" s="124"/>
      <c r="E58" s="125"/>
      <c r="F58" s="126"/>
      <c r="G58" s="126" t="e">
        <f t="shared" ref="G58" si="334">(G57-F57)/G57</f>
        <v>#DIV/0!</v>
      </c>
      <c r="H58" s="126" t="e">
        <f t="shared" ref="H58" si="335">(H57-G57)/H57</f>
        <v>#DIV/0!</v>
      </c>
      <c r="I58" s="126" t="e">
        <f t="shared" ref="I58" si="336">(I57-H57)/I57</f>
        <v>#DIV/0!</v>
      </c>
      <c r="J58" s="126" t="e">
        <f t="shared" ref="J58" si="337">(J57-I57)/J57</f>
        <v>#DIV/0!</v>
      </c>
      <c r="K58" s="126" t="e">
        <f t="shared" ref="K58" si="338">(K57-J57)/K57</f>
        <v>#DIV/0!</v>
      </c>
      <c r="L58" s="126" t="e">
        <f t="shared" ref="L58" si="339">(L57-K57)/L57</f>
        <v>#DIV/0!</v>
      </c>
      <c r="M58" s="126" t="e">
        <f t="shared" ref="M58" si="340">(M57-L57)/M57</f>
        <v>#DIV/0!</v>
      </c>
      <c r="N58" s="126" t="e">
        <f t="shared" ref="N58" si="341">(N57-M57)/N57</f>
        <v>#DIV/0!</v>
      </c>
      <c r="O58" s="126" t="e">
        <f t="shared" ref="O58" si="342">(O57-N57)/O57</f>
        <v>#DIV/0!</v>
      </c>
      <c r="P58" s="126" t="e">
        <f t="shared" ref="P58" si="343">(P57-O57)/O57</f>
        <v>#DIV/0!</v>
      </c>
      <c r="Q58" s="126" t="e">
        <f t="shared" ref="Q58" si="344">(Q57-P57)/P57</f>
        <v>#DIV/0!</v>
      </c>
      <c r="R58" s="126" t="e">
        <f t="shared" ref="R58" si="345">(R57-Q57)/Q57</f>
        <v>#DIV/0!</v>
      </c>
      <c r="S58" s="126" t="e">
        <f t="shared" ref="S58" si="346">(S57-R57)/R57</f>
        <v>#DIV/0!</v>
      </c>
      <c r="T58" s="126" t="e">
        <f t="shared" ref="T58" si="347">(T57-S57)/S57</f>
        <v>#DIV/0!</v>
      </c>
      <c r="U58" s="126" t="e">
        <f t="shared" ref="U58" si="348">(U57-T57)/T57</f>
        <v>#DIV/0!</v>
      </c>
      <c r="V58" s="126" t="e">
        <f t="shared" ref="V58" si="349">(V57-U57)/U57</f>
        <v>#DIV/0!</v>
      </c>
      <c r="W58" s="126" t="e">
        <f t="shared" ref="W58" si="350">(W57-V57)/V57</f>
        <v>#DIV/0!</v>
      </c>
      <c r="X58" s="126" t="e">
        <f t="shared" ref="X58" si="351">(X57-W57)/W57</f>
        <v>#DIV/0!</v>
      </c>
      <c r="Y58" s="126" t="e">
        <f t="shared" ref="Y58" si="352">(Y57-X57)/X57</f>
        <v>#DIV/0!</v>
      </c>
      <c r="Z58" s="126" t="e">
        <f t="shared" ref="Z58" si="353">(Z57-Y57)/Y57</f>
        <v>#DIV/0!</v>
      </c>
      <c r="AA58" s="126" t="e">
        <f t="shared" ref="AA58" si="354">(AA57-Z57)/Z57</f>
        <v>#DIV/0!</v>
      </c>
      <c r="AB58" s="10"/>
      <c r="AC58" s="10"/>
      <c r="AD58" s="129"/>
      <c r="AE58" s="130"/>
      <c r="AF58" s="130"/>
      <c r="AG58" s="130"/>
      <c r="AH58" s="130"/>
      <c r="AI58" s="130"/>
      <c r="AJ58" s="130"/>
      <c r="AK58" s="130"/>
      <c r="AL58" s="130"/>
      <c r="AM58" s="130"/>
      <c r="AN58" s="113"/>
      <c r="AO58" s="113"/>
      <c r="AP58" s="113"/>
    </row>
    <row r="59" spans="1:42" x14ac:dyDescent="0.15">
      <c r="B59" s="10" t="s">
        <v>342</v>
      </c>
      <c r="C59" s="117"/>
      <c r="D59" s="117"/>
      <c r="E59" s="123"/>
      <c r="F59" s="123"/>
      <c r="G59" s="123">
        <v>1580</v>
      </c>
      <c r="H59" s="123">
        <v>1776</v>
      </c>
      <c r="I59" s="123">
        <v>2308</v>
      </c>
      <c r="J59" s="123">
        <v>2389</v>
      </c>
      <c r="K59" s="123">
        <v>3107</v>
      </c>
      <c r="L59" s="123">
        <v>3928</v>
      </c>
      <c r="M59" s="123">
        <v>5380</v>
      </c>
      <c r="N59" s="123">
        <v>8004</v>
      </c>
      <c r="O59" s="123">
        <v>11944</v>
      </c>
      <c r="P59" s="123">
        <v>16934</v>
      </c>
      <c r="Q59" s="123">
        <v>11677</v>
      </c>
      <c r="R59" s="123">
        <v>12942</v>
      </c>
      <c r="S59" s="123">
        <v>10926</v>
      </c>
      <c r="T59" s="123">
        <v>11340</v>
      </c>
      <c r="U59" s="123">
        <v>9099</v>
      </c>
      <c r="V59" s="123">
        <v>5689</v>
      </c>
      <c r="W59" s="123">
        <v>11225</v>
      </c>
      <c r="X59" s="123">
        <v>20219</v>
      </c>
      <c r="Y59" s="123">
        <v>25783</v>
      </c>
      <c r="Z59" s="123">
        <v>34463</v>
      </c>
      <c r="AA59" s="123">
        <v>46081</v>
      </c>
      <c r="AB59" s="101">
        <f t="shared" si="44"/>
        <v>0.18370434128381596</v>
      </c>
      <c r="AC59" s="21">
        <f t="shared" si="17"/>
        <v>0.1</v>
      </c>
      <c r="AD59" s="129">
        <f t="shared" si="1"/>
        <v>50689.100000000006</v>
      </c>
      <c r="AE59" s="129">
        <f t="shared" ref="AE59:AM59" si="355">AD59*(1+$AC59)</f>
        <v>55758.010000000009</v>
      </c>
      <c r="AF59" s="129">
        <f t="shared" si="355"/>
        <v>61333.811000000016</v>
      </c>
      <c r="AG59" s="129">
        <f t="shared" si="355"/>
        <v>67467.192100000029</v>
      </c>
      <c r="AH59" s="129">
        <f t="shared" si="355"/>
        <v>74213.91131000004</v>
      </c>
      <c r="AI59" s="129">
        <f t="shared" si="355"/>
        <v>81635.302441000051</v>
      </c>
      <c r="AJ59" s="129">
        <f t="shared" si="355"/>
        <v>89798.83268510006</v>
      </c>
      <c r="AK59" s="129">
        <f t="shared" si="355"/>
        <v>98778.715953610081</v>
      </c>
      <c r="AL59" s="129">
        <f t="shared" si="355"/>
        <v>108656.5875489711</v>
      </c>
      <c r="AM59" s="129">
        <f t="shared" si="355"/>
        <v>119522.24630386822</v>
      </c>
      <c r="AN59" s="114">
        <f t="shared" si="3"/>
        <v>0.15511809898672091</v>
      </c>
      <c r="AO59" s="21">
        <f t="shared" si="27"/>
        <v>0.01</v>
      </c>
      <c r="AP59" s="122" t="e">
        <f t="shared" si="43"/>
        <v>#DIV/0!</v>
      </c>
    </row>
    <row r="60" spans="1:42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>
        <f t="shared" ref="H60:P60" si="356">(H59-G59)/H59</f>
        <v>0.11036036036036036</v>
      </c>
      <c r="I60" s="126">
        <f t="shared" si="356"/>
        <v>0.23050259965337955</v>
      </c>
      <c r="J60" s="126">
        <f t="shared" si="356"/>
        <v>3.3905399748848888E-2</v>
      </c>
      <c r="K60" s="126">
        <f t="shared" si="356"/>
        <v>0.23109108464757</v>
      </c>
      <c r="L60" s="126">
        <f t="shared" si="356"/>
        <v>0.2090122199592668</v>
      </c>
      <c r="M60" s="126">
        <f t="shared" si="356"/>
        <v>0.26988847583643122</v>
      </c>
      <c r="N60" s="126">
        <f t="shared" si="356"/>
        <v>0.32783608195902048</v>
      </c>
      <c r="O60" s="126">
        <f t="shared" si="356"/>
        <v>0.32987273945077028</v>
      </c>
      <c r="P60" s="126">
        <f t="shared" ref="P60" si="357">(P59-O59)/O59</f>
        <v>0.41778298727394508</v>
      </c>
      <c r="Q60" s="126">
        <f t="shared" ref="Q60" si="358">(Q59-P59)/P59</f>
        <v>-0.31044053383725051</v>
      </c>
      <c r="R60" s="126">
        <f t="shared" ref="R60" si="359">(R59-Q59)/Q59</f>
        <v>0.10833261967971225</v>
      </c>
      <c r="S60" s="126">
        <f t="shared" ref="S60" si="360">(S59-R59)/R59</f>
        <v>-0.15577190542420027</v>
      </c>
      <c r="T60" s="126">
        <f t="shared" ref="T60" si="361">(T59-S59)/S59</f>
        <v>3.789126853377265E-2</v>
      </c>
      <c r="U60" s="126">
        <f t="shared" ref="U60" si="362">(U59-T59)/T59</f>
        <v>-0.19761904761904761</v>
      </c>
      <c r="V60" s="126">
        <f t="shared" ref="V60" si="363">(V59-U59)/U59</f>
        <v>-0.37476645785251128</v>
      </c>
      <c r="W60" s="126">
        <f t="shared" ref="W60" si="364">(W59-V59)/V59</f>
        <v>0.97310599402355424</v>
      </c>
      <c r="X60" s="126">
        <f t="shared" ref="X60" si="365">(X59-W59)/W59</f>
        <v>0.80124721603563476</v>
      </c>
      <c r="Y60" s="126">
        <f t="shared" ref="Y60" si="366">(Y59-X59)/X59</f>
        <v>0.27518670557396507</v>
      </c>
      <c r="Z60" s="126">
        <f t="shared" ref="Z60" si="367">(Z59-Y59)/Y59</f>
        <v>0.33665593608191446</v>
      </c>
      <c r="AA60" s="126">
        <f t="shared" ref="AA60" si="368">(AA59-Z59)/Z59</f>
        <v>0.33711516699068567</v>
      </c>
      <c r="AB60" s="10"/>
      <c r="AC60" s="10"/>
      <c r="AD60" s="129"/>
      <c r="AE60" s="130"/>
      <c r="AF60" s="130"/>
      <c r="AG60" s="130"/>
      <c r="AH60" s="130"/>
      <c r="AI60" s="130"/>
      <c r="AJ60" s="130"/>
      <c r="AK60" s="130"/>
      <c r="AL60" s="130"/>
      <c r="AM60" s="130"/>
      <c r="AN60" s="113"/>
      <c r="AO60" s="113"/>
      <c r="AP60" s="113"/>
    </row>
    <row r="61" spans="1:42" x14ac:dyDescent="0.15">
      <c r="B61" s="10" t="s">
        <v>197</v>
      </c>
      <c r="C61" s="118"/>
      <c r="D61" s="118"/>
      <c r="E61" s="121"/>
      <c r="F61" s="123"/>
      <c r="G61" s="259">
        <v>61.3</v>
      </c>
      <c r="H61" s="259">
        <v>61.6</v>
      </c>
      <c r="I61" s="259">
        <v>88.9</v>
      </c>
      <c r="J61" s="259">
        <v>89.9</v>
      </c>
      <c r="K61" s="259">
        <v>111.2</v>
      </c>
      <c r="L61" s="259">
        <v>111.2</v>
      </c>
      <c r="M61" s="259">
        <v>111.2</v>
      </c>
      <c r="N61" s="259">
        <v>115.1</v>
      </c>
      <c r="O61" s="259">
        <v>115.2</v>
      </c>
      <c r="P61" s="259">
        <v>115.3</v>
      </c>
      <c r="Q61" s="121">
        <v>115</v>
      </c>
      <c r="R61" s="121">
        <v>579</v>
      </c>
      <c r="S61" s="121">
        <v>581</v>
      </c>
      <c r="T61" s="121">
        <v>582</v>
      </c>
      <c r="U61" s="121">
        <v>642</v>
      </c>
      <c r="V61" s="121">
        <v>644</v>
      </c>
      <c r="W61" s="121">
        <v>647</v>
      </c>
      <c r="X61" s="121">
        <v>691</v>
      </c>
      <c r="Y61" s="121">
        <v>694</v>
      </c>
      <c r="Z61" s="121">
        <v>698</v>
      </c>
      <c r="AA61" s="121">
        <v>704</v>
      </c>
      <c r="AB61" s="101">
        <f t="shared" si="44"/>
        <v>0.12981050690840457</v>
      </c>
      <c r="AC61" s="21">
        <v>0.02</v>
      </c>
      <c r="AD61" s="129">
        <f t="shared" si="1"/>
        <v>718.08</v>
      </c>
      <c r="AE61" s="129">
        <f>AD61*(1+$AC61)</f>
        <v>732.44160000000011</v>
      </c>
      <c r="AF61" s="129">
        <f t="shared" ref="AF61:AM61" si="369">AE61*(1+$AC61)</f>
        <v>747.09043200000008</v>
      </c>
      <c r="AG61" s="129">
        <f t="shared" si="369"/>
        <v>762.03224064000005</v>
      </c>
      <c r="AH61" s="129">
        <f t="shared" si="369"/>
        <v>777.2728854528001</v>
      </c>
      <c r="AI61" s="129">
        <f t="shared" si="369"/>
        <v>792.81834316185609</v>
      </c>
      <c r="AJ61" s="129">
        <f t="shared" si="369"/>
        <v>808.67471002509319</v>
      </c>
      <c r="AK61" s="129">
        <f t="shared" si="369"/>
        <v>824.84820422559505</v>
      </c>
      <c r="AL61" s="129">
        <f t="shared" si="369"/>
        <v>841.34516831010694</v>
      </c>
      <c r="AM61" s="129">
        <f t="shared" si="369"/>
        <v>858.17207167630909</v>
      </c>
      <c r="AN61" s="114">
        <f t="shared" si="3"/>
        <v>9.1952625208136407E-2</v>
      </c>
      <c r="AO61" s="21">
        <f t="shared" si="27"/>
        <v>0.01</v>
      </c>
      <c r="AP61" s="122" t="e">
        <f t="shared" si="43"/>
        <v>#DIV/0!</v>
      </c>
    </row>
    <row r="62" spans="1:42" x14ac:dyDescent="0.15">
      <c r="B62" s="10"/>
      <c r="C62" s="118"/>
      <c r="D62" s="118"/>
      <c r="E62" s="119"/>
      <c r="F62" s="126"/>
      <c r="G62" s="126">
        <f t="shared" ref="G62" si="370">(G61-E61)/G61</f>
        <v>1</v>
      </c>
      <c r="H62" s="126">
        <f>(H61-F61)/H61</f>
        <v>1</v>
      </c>
      <c r="I62" s="126">
        <f t="shared" ref="I62:Q62" si="371">(I61-H61)/I61</f>
        <v>0.30708661417322836</v>
      </c>
      <c r="J62" s="126">
        <f t="shared" si="371"/>
        <v>1.1123470522803113E-2</v>
      </c>
      <c r="K62" s="126">
        <f t="shared" si="371"/>
        <v>0.19154676258992803</v>
      </c>
      <c r="L62" s="126">
        <f t="shared" si="371"/>
        <v>0</v>
      </c>
      <c r="M62" s="126">
        <f t="shared" si="371"/>
        <v>0</v>
      </c>
      <c r="N62" s="126">
        <f t="shared" si="371"/>
        <v>3.3883579496090284E-2</v>
      </c>
      <c r="O62" s="126">
        <f t="shared" si="371"/>
        <v>8.6805555555562956E-4</v>
      </c>
      <c r="P62" s="126">
        <f t="shared" ref="P62" si="372">(P61-O61)/O61</f>
        <v>8.6805555555550618E-4</v>
      </c>
      <c r="Q62" s="126">
        <f t="shared" ref="Q62" si="373">(Q61-P61)/P61</f>
        <v>-2.6019080659149796E-3</v>
      </c>
      <c r="R62" s="126">
        <f t="shared" ref="R62" si="374">(R61-Q61)/Q61</f>
        <v>4.034782608695652</v>
      </c>
      <c r="S62" s="126">
        <f t="shared" ref="S62" si="375">(S61-R61)/R61</f>
        <v>3.4542314335060447E-3</v>
      </c>
      <c r="T62" s="126">
        <f t="shared" ref="T62" si="376">(T61-S61)/S61</f>
        <v>1.7211703958691911E-3</v>
      </c>
      <c r="U62" s="126">
        <f t="shared" ref="U62" si="377">(U61-T61)/T61</f>
        <v>0.10309278350515463</v>
      </c>
      <c r="V62" s="126">
        <f t="shared" ref="V62" si="378">(V61-U61)/U61</f>
        <v>3.1152647975077881E-3</v>
      </c>
      <c r="W62" s="126">
        <f t="shared" ref="W62" si="379">(W61-V61)/V61</f>
        <v>4.658385093167702E-3</v>
      </c>
      <c r="X62" s="126">
        <f t="shared" ref="X62" si="380">(X61-W61)/W61</f>
        <v>6.8006182380216385E-2</v>
      </c>
      <c r="Y62" s="126">
        <f t="shared" ref="Y62" si="381">(Y61-X61)/X61</f>
        <v>4.3415340086830683E-3</v>
      </c>
      <c r="Z62" s="126">
        <f t="shared" ref="Z62" si="382">(Z61-Y61)/Y61</f>
        <v>5.763688760806916E-3</v>
      </c>
      <c r="AA62" s="126">
        <f t="shared" ref="AA62" si="383">(AA61-Z61)/Z61</f>
        <v>8.5959885386819486E-3</v>
      </c>
      <c r="AB62" s="10"/>
      <c r="AC62" s="10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13"/>
      <c r="AO62" s="113"/>
      <c r="AP62" s="113"/>
    </row>
    <row r="63" spans="1:42" x14ac:dyDescent="0.15">
      <c r="B63" s="10" t="s">
        <v>232</v>
      </c>
      <c r="C63" s="121"/>
      <c r="D63" s="121"/>
      <c r="E63" s="121"/>
      <c r="F63" s="123"/>
      <c r="G63" s="311">
        <v>7.5</v>
      </c>
      <c r="H63" s="311">
        <v>8.5</v>
      </c>
      <c r="I63" s="311">
        <v>8.5</v>
      </c>
      <c r="J63" s="311">
        <v>10</v>
      </c>
      <c r="K63" s="311">
        <v>11</v>
      </c>
      <c r="L63" s="311">
        <v>11</v>
      </c>
      <c r="M63" s="311">
        <v>12</v>
      </c>
      <c r="N63" s="311">
        <v>14</v>
      </c>
      <c r="O63" s="311">
        <v>16.5</v>
      </c>
      <c r="P63" s="311">
        <v>20</v>
      </c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01">
        <f t="shared" si="44"/>
        <v>-1</v>
      </c>
      <c r="AC63" s="21">
        <v>0.02</v>
      </c>
      <c r="AD63" s="129">
        <f t="shared" si="1"/>
        <v>0</v>
      </c>
      <c r="AE63" s="129">
        <f t="shared" ref="AE63" si="384">AD63*(1+$AC63)</f>
        <v>0</v>
      </c>
      <c r="AF63" s="129">
        <f t="shared" ref="AF63" si="385">AE63*(1+$AC63)</f>
        <v>0</v>
      </c>
      <c r="AG63" s="129">
        <f t="shared" ref="AG63" si="386">AF63*(1+$AC63)</f>
        <v>0</v>
      </c>
      <c r="AH63" s="129">
        <f t="shared" ref="AH63" si="387">AG63*(1+$AC63)</f>
        <v>0</v>
      </c>
      <c r="AI63" s="129">
        <f t="shared" ref="AI63" si="388">AH63*(1+$AC63)</f>
        <v>0</v>
      </c>
      <c r="AJ63" s="129">
        <f t="shared" ref="AJ63" si="389">AI63*(1+$AC63)</f>
        <v>0</v>
      </c>
      <c r="AK63" s="129">
        <f t="shared" ref="AK63" si="390">AJ63*(1+$AC63)</f>
        <v>0</v>
      </c>
      <c r="AL63" s="129">
        <f t="shared" ref="AL63" si="391">AK63*(1+$AC63)</f>
        <v>0</v>
      </c>
      <c r="AM63" s="129">
        <f t="shared" ref="AM63" si="392">AL63*(1+$AC63)</f>
        <v>0</v>
      </c>
      <c r="AN63" s="114">
        <f t="shared" si="3"/>
        <v>-1</v>
      </c>
      <c r="AO63" s="21">
        <f t="shared" si="27"/>
        <v>0.01</v>
      </c>
      <c r="AP63" s="122" t="e">
        <f t="shared" si="43"/>
        <v>#DIV/0!</v>
      </c>
    </row>
    <row r="64" spans="1:42" x14ac:dyDescent="0.15">
      <c r="B64" s="10"/>
      <c r="C64" s="121"/>
      <c r="D64" s="121"/>
      <c r="E64" s="121"/>
      <c r="F64" s="126"/>
      <c r="G64" s="126" t="e">
        <f t="shared" ref="G64" si="393">(G63-E63)/E63</f>
        <v>#DIV/0!</v>
      </c>
      <c r="H64" s="126" t="e">
        <f t="shared" ref="H64" si="394">(H63-F63)/F63</f>
        <v>#DIV/0!</v>
      </c>
      <c r="I64" s="126">
        <f t="shared" ref="I64" si="395">(I63-H63)/H63</f>
        <v>0</v>
      </c>
      <c r="J64" s="126">
        <f t="shared" ref="J64:Q64" si="396">(J63-I63)/I63</f>
        <v>0.17647058823529413</v>
      </c>
      <c r="K64" s="126">
        <f t="shared" si="396"/>
        <v>0.1</v>
      </c>
      <c r="L64" s="126">
        <f t="shared" si="396"/>
        <v>0</v>
      </c>
      <c r="M64" s="126">
        <f t="shared" si="396"/>
        <v>9.0909090909090912E-2</v>
      </c>
      <c r="N64" s="126">
        <f t="shared" si="396"/>
        <v>0.16666666666666666</v>
      </c>
      <c r="O64" s="126">
        <f t="shared" si="396"/>
        <v>0.17857142857142858</v>
      </c>
      <c r="P64" s="126">
        <f t="shared" ref="P64" si="397">(P63-O63)/O63</f>
        <v>0.21212121212121213</v>
      </c>
      <c r="Q64" s="126">
        <f t="shared" ref="Q64" si="398">(Q63-P63)/P63</f>
        <v>-1</v>
      </c>
      <c r="R64" s="126" t="e">
        <f t="shared" ref="R64" si="399">(R63-Q63)/Q63</f>
        <v>#DIV/0!</v>
      </c>
      <c r="S64" s="126" t="e">
        <f t="shared" ref="S64" si="400">(S63-R63)/R63</f>
        <v>#DIV/0!</v>
      </c>
      <c r="T64" s="126" t="e">
        <f t="shared" ref="T64" si="401">(T63-S63)/S63</f>
        <v>#DIV/0!</v>
      </c>
      <c r="U64" s="126" t="e">
        <f t="shared" ref="U64" si="402">(U63-T63)/T63</f>
        <v>#DIV/0!</v>
      </c>
      <c r="V64" s="126" t="e">
        <f t="shared" ref="V64" si="403">(V63-U63)/U63</f>
        <v>#DIV/0!</v>
      </c>
      <c r="W64" s="126" t="e">
        <f t="shared" ref="W64" si="404">(W63-V63)/V63</f>
        <v>#DIV/0!</v>
      </c>
      <c r="X64" s="126" t="e">
        <f t="shared" ref="X64" si="405">(X63-W63)/W63</f>
        <v>#DIV/0!</v>
      </c>
      <c r="Y64" s="126" t="e">
        <f t="shared" ref="Y64" si="406">(Y63-X63)/X63</f>
        <v>#DIV/0!</v>
      </c>
      <c r="Z64" s="126" t="e">
        <f t="shared" ref="Z64" si="407">(Z63-Y63)/Y63</f>
        <v>#DIV/0!</v>
      </c>
      <c r="AA64" s="126" t="e">
        <f t="shared" ref="AA64" si="408">(AA63-Z63)/Z63</f>
        <v>#DIV/0!</v>
      </c>
      <c r="AB64" s="10"/>
      <c r="AC64" s="10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15"/>
      <c r="AO64" s="113"/>
      <c r="AP64" s="122"/>
    </row>
    <row r="65" spans="2:42" x14ac:dyDescent="0.15">
      <c r="B65" s="10" t="s">
        <v>367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 t="s">
        <v>510</v>
      </c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23">
        <v>0</v>
      </c>
      <c r="AA65" s="123">
        <v>0</v>
      </c>
      <c r="AB65" s="101" t="e">
        <f t="shared" si="44"/>
        <v>#DIV/0!</v>
      </c>
      <c r="AC65" s="10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15"/>
      <c r="AO65" s="113"/>
      <c r="AP65" s="122"/>
    </row>
    <row r="66" spans="2:42" x14ac:dyDescent="0.15">
      <c r="B66" s="10" t="s">
        <v>365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/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 t="s">
        <v>509</v>
      </c>
      <c r="Y66" s="123">
        <v>0</v>
      </c>
      <c r="Z66" s="123">
        <v>0</v>
      </c>
      <c r="AA66" s="123">
        <v>0</v>
      </c>
      <c r="AB66" s="101" t="e">
        <f t="shared" si="44"/>
        <v>#DIV/0!</v>
      </c>
      <c r="AC66" s="10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15"/>
      <c r="AO66" s="113"/>
      <c r="AP66" s="122"/>
    </row>
    <row r="67" spans="2:42" x14ac:dyDescent="0.15">
      <c r="B67" s="10" t="s">
        <v>366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/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23">
        <v>0</v>
      </c>
      <c r="AB67" s="101" t="e">
        <f t="shared" si="44"/>
        <v>#DIV/0!</v>
      </c>
      <c r="AC67" s="10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15"/>
      <c r="AO67" s="113"/>
      <c r="AP67" s="122"/>
    </row>
    <row r="68" spans="2:42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15"/>
      <c r="AO68" s="113"/>
      <c r="AP68" s="122"/>
    </row>
    <row r="69" spans="2:42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15"/>
      <c r="AO69" s="113"/>
      <c r="AP69" s="122"/>
    </row>
    <row r="70" spans="2:42" x14ac:dyDescent="0.15">
      <c r="B70" s="10" t="s">
        <v>252</v>
      </c>
      <c r="C70" s="110"/>
      <c r="D70" s="110"/>
      <c r="E70" s="110"/>
      <c r="F70" s="110"/>
      <c r="G70" s="110">
        <f t="shared" ref="G70" si="409">G25/G61</f>
        <v>226.8352365415987</v>
      </c>
      <c r="H70" s="110">
        <f t="shared" ref="H70:I70" si="410">H25/H61</f>
        <v>274.61038961038963</v>
      </c>
      <c r="I70" s="110">
        <f t="shared" si="410"/>
        <v>290.33745781777276</v>
      </c>
      <c r="J70" s="110">
        <f t="shared" ref="J70:Q70" si="411">J25/J61</f>
        <v>462.09121245828698</v>
      </c>
      <c r="K70" s="110">
        <f t="shared" si="411"/>
        <v>544.3435251798561</v>
      </c>
      <c r="L70" s="110">
        <f t="shared" si="411"/>
        <v>580.89928057553959</v>
      </c>
      <c r="M70" s="110">
        <f t="shared" si="411"/>
        <v>532.4370503597122</v>
      </c>
      <c r="N70" s="110">
        <f t="shared" si="411"/>
        <v>535.13466550825376</v>
      </c>
      <c r="O70" s="110">
        <f t="shared" si="411"/>
        <v>578.62847222222217</v>
      </c>
      <c r="P70" s="110">
        <f t="shared" si="411"/>
        <v>643.57328707719</v>
      </c>
      <c r="Q70" s="110">
        <f t="shared" si="411"/>
        <v>691.85217391304343</v>
      </c>
      <c r="R70" s="110">
        <f t="shared" ref="R70:V70" si="412">R25/R61</f>
        <v>155.81347150259069</v>
      </c>
      <c r="S70" s="110">
        <f t="shared" si="412"/>
        <v>174.51807228915663</v>
      </c>
      <c r="T70" s="110">
        <f t="shared" si="412"/>
        <v>19.582474226804123</v>
      </c>
      <c r="U70" s="110">
        <f t="shared" si="412"/>
        <v>185.30996884735202</v>
      </c>
      <c r="V70" s="110">
        <f t="shared" si="412"/>
        <v>203.89130434782609</v>
      </c>
      <c r="W70" s="110">
        <f t="shared" ref="W70" si="413">W25/W61</f>
        <v>231.50850077279753</v>
      </c>
      <c r="X70" s="110">
        <f t="shared" ref="X70:AA70" si="414">X25/X61</f>
        <v>233.27351664254704</v>
      </c>
      <c r="Y70" s="110">
        <f t="shared" ref="Y70:Z70" si="415">Y25/Y61</f>
        <v>226.9971181556196</v>
      </c>
      <c r="Z70" s="110">
        <f t="shared" si="415"/>
        <v>266.73065902578799</v>
      </c>
      <c r="AA70" s="110">
        <f t="shared" si="414"/>
        <v>336.80681818181819</v>
      </c>
      <c r="AB70" s="101">
        <f t="shared" ref="AB70:AB133" si="416">((AA70/G70)^(1/($K$2-$K$1) ))-1</f>
        <v>1.9960886632547137E-2</v>
      </c>
      <c r="AC70" s="109"/>
      <c r="AD70" s="132">
        <f t="shared" ref="AD70:AM70" si="417">AD25/AD61</f>
        <v>363.22303921568624</v>
      </c>
      <c r="AE70" s="132">
        <f t="shared" si="417"/>
        <v>391.71112072279891</v>
      </c>
      <c r="AF70" s="132">
        <f t="shared" si="417"/>
        <v>422.43356156380275</v>
      </c>
      <c r="AG70" s="132">
        <f t="shared" si="417"/>
        <v>455.56560560802262</v>
      </c>
      <c r="AH70" s="132">
        <f t="shared" si="417"/>
        <v>491.29624134198525</v>
      </c>
      <c r="AI70" s="132">
        <f t="shared" si="417"/>
        <v>529.8292798786116</v>
      </c>
      <c r="AJ70" s="132">
        <f t="shared" si="417"/>
        <v>571.3845175161498</v>
      </c>
      <c r="AK70" s="132">
        <f t="shared" si="417"/>
        <v>616.19898947820082</v>
      </c>
      <c r="AL70" s="132">
        <f t="shared" si="417"/>
        <v>664.52832198629494</v>
      </c>
      <c r="AM70" s="132">
        <f t="shared" si="417"/>
        <v>716.64819037737709</v>
      </c>
      <c r="AN70" s="114">
        <f t="shared" ref="AN70" si="418">((AM70/J70)^(1/($AM$3-$K$1) ))-1</f>
        <v>1.4734929315104228E-2</v>
      </c>
      <c r="AO70" s="21">
        <f t="shared" si="27"/>
        <v>0.01</v>
      </c>
      <c r="AP70" s="122" t="e">
        <f t="shared" si="43"/>
        <v>#DIV/0!</v>
      </c>
    </row>
    <row r="71" spans="2:42" x14ac:dyDescent="0.15">
      <c r="B71" s="10" t="s">
        <v>253</v>
      </c>
      <c r="C71" s="110"/>
      <c r="D71" s="110"/>
      <c r="E71" s="110"/>
      <c r="F71" s="110"/>
      <c r="G71" s="110">
        <f t="shared" ref="G71" si="419">G27/G61</f>
        <v>201.07667210440457</v>
      </c>
      <c r="H71" s="110">
        <f t="shared" ref="H71:I71" si="420">H27/H61</f>
        <v>245.22727272727272</v>
      </c>
      <c r="I71" s="110">
        <f t="shared" si="420"/>
        <v>263.35208098987624</v>
      </c>
      <c r="J71" s="110">
        <f t="shared" ref="J71:Q71" si="421">J27/J61</f>
        <v>432.80311457174633</v>
      </c>
      <c r="K71" s="110">
        <f t="shared" si="421"/>
        <v>516.33093525179856</v>
      </c>
      <c r="L71" s="110">
        <f t="shared" si="421"/>
        <v>550.50359712230215</v>
      </c>
      <c r="M71" s="110">
        <f t="shared" si="421"/>
        <v>488.88489208633092</v>
      </c>
      <c r="N71" s="110">
        <f t="shared" si="421"/>
        <v>480.24326672458733</v>
      </c>
      <c r="O71" s="110">
        <f t="shared" si="421"/>
        <v>509.72222222222223</v>
      </c>
      <c r="P71" s="110">
        <f t="shared" si="421"/>
        <v>555.71552471812663</v>
      </c>
      <c r="Q71" s="110">
        <f t="shared" si="421"/>
        <v>590.31304347826085</v>
      </c>
      <c r="R71" s="110">
        <f t="shared" ref="R71:V71" si="422">R27/R61</f>
        <v>133.45941278065629</v>
      </c>
      <c r="S71" s="110">
        <f t="shared" si="422"/>
        <v>155.71084337349399</v>
      </c>
      <c r="T71" s="110">
        <f t="shared" si="422"/>
        <v>175.35567010309279</v>
      </c>
      <c r="U71" s="110">
        <f t="shared" si="422"/>
        <v>171.13551401869159</v>
      </c>
      <c r="V71" s="110">
        <f t="shared" si="422"/>
        <v>195.05745341614906</v>
      </c>
      <c r="W71" s="110">
        <f t="shared" ref="W71" si="423">W27/W61</f>
        <v>214.15765069551779</v>
      </c>
      <c r="X71" s="110">
        <f t="shared" ref="X71:AA71" si="424">X27/X61</f>
        <v>204.01157742402316</v>
      </c>
      <c r="Y71" s="110">
        <f t="shared" ref="Y71:Z71" si="425">Y27/Y61</f>
        <v>189.84438040345822</v>
      </c>
      <c r="Z71" s="110">
        <f t="shared" si="425"/>
        <v>217.35673352435529</v>
      </c>
      <c r="AA71" s="110">
        <f t="shared" si="424"/>
        <v>249.43607954545453</v>
      </c>
      <c r="AB71" s="101">
        <f t="shared" si="416"/>
        <v>1.0834088235191164E-2</v>
      </c>
      <c r="AC71" s="109"/>
      <c r="AD71" s="132">
        <f t="shared" ref="AD71:AM71" si="426">AD27/AD61</f>
        <v>268.99969362745099</v>
      </c>
      <c r="AE71" s="132">
        <f t="shared" si="426"/>
        <v>290.09770881391773</v>
      </c>
      <c r="AF71" s="132">
        <f t="shared" si="426"/>
        <v>312.85047028951914</v>
      </c>
      <c r="AG71" s="132">
        <f t="shared" si="426"/>
        <v>337.38776207693246</v>
      </c>
      <c r="AH71" s="132">
        <f t="shared" si="426"/>
        <v>363.84954733786839</v>
      </c>
      <c r="AI71" s="132">
        <f t="shared" si="426"/>
        <v>392.38676673691691</v>
      </c>
      <c r="AJ71" s="132">
        <f t="shared" si="426"/>
        <v>423.16219942216532</v>
      </c>
      <c r="AK71" s="132">
        <f t="shared" si="426"/>
        <v>456.35139153370778</v>
      </c>
      <c r="AL71" s="132">
        <f t="shared" si="426"/>
        <v>492.14365753635155</v>
      </c>
      <c r="AM71" s="132">
        <f t="shared" si="426"/>
        <v>530.74316008822223</v>
      </c>
      <c r="AN71" s="114">
        <f t="shared" ref="AN71" si="427">((AM71/J71)^(1/($AM$3-$K$1) ))-1</f>
        <v>6.8230144033973872E-3</v>
      </c>
      <c r="AO71" s="21">
        <f t="shared" si="27"/>
        <v>0.01</v>
      </c>
      <c r="AP71" s="122" t="e">
        <f t="shared" si="43"/>
        <v>#DIV/0!</v>
      </c>
    </row>
    <row r="72" spans="2:42" x14ac:dyDescent="0.15">
      <c r="B72" s="10" t="s">
        <v>368</v>
      </c>
      <c r="C72" s="110"/>
      <c r="D72" s="110"/>
      <c r="E72" s="110"/>
      <c r="F72" s="110"/>
      <c r="G72" s="110">
        <f t="shared" ref="G72" si="428">G55-G59</f>
        <v>-1580</v>
      </c>
      <c r="H72" s="110">
        <f t="shared" ref="H72:I72" si="429">H55-H59</f>
        <v>-1776</v>
      </c>
      <c r="I72" s="110">
        <f t="shared" si="429"/>
        <v>-2308</v>
      </c>
      <c r="J72" s="110">
        <f>J55-J59</f>
        <v>-2389</v>
      </c>
      <c r="K72" s="110">
        <f t="shared" ref="K72:Q72" si="430">K55-K59</f>
        <v>-3107</v>
      </c>
      <c r="L72" s="110">
        <f t="shared" si="430"/>
        <v>-3928</v>
      </c>
      <c r="M72" s="110">
        <f t="shared" si="430"/>
        <v>-5380</v>
      </c>
      <c r="N72" s="110">
        <f t="shared" si="430"/>
        <v>-8004</v>
      </c>
      <c r="O72" s="110">
        <f t="shared" si="430"/>
        <v>-11944</v>
      </c>
      <c r="P72" s="110">
        <f t="shared" si="430"/>
        <v>-16934</v>
      </c>
      <c r="Q72" s="110">
        <f t="shared" si="430"/>
        <v>-11677</v>
      </c>
      <c r="R72" s="110">
        <f t="shared" ref="R72:V72" si="431">R55-R59</f>
        <v>-12942</v>
      </c>
      <c r="S72" s="110">
        <f t="shared" si="431"/>
        <v>-10926</v>
      </c>
      <c r="T72" s="110">
        <f t="shared" si="431"/>
        <v>-11340</v>
      </c>
      <c r="U72" s="110">
        <f t="shared" si="431"/>
        <v>-9099</v>
      </c>
      <c r="V72" s="110">
        <f t="shared" si="431"/>
        <v>-5689</v>
      </c>
      <c r="W72" s="110">
        <f t="shared" ref="W72" si="432">W55-W59</f>
        <v>-11225</v>
      </c>
      <c r="X72" s="110">
        <f t="shared" ref="X72:AA72" si="433">X55-X59</f>
        <v>-20219</v>
      </c>
      <c r="Y72" s="110">
        <f t="shared" ref="Y72:Z72" si="434">Y55-Y59</f>
        <v>-25783</v>
      </c>
      <c r="Z72" s="110">
        <f t="shared" si="434"/>
        <v>-34463</v>
      </c>
      <c r="AA72" s="110">
        <f t="shared" si="433"/>
        <v>-46081</v>
      </c>
      <c r="AB72" s="101">
        <f t="shared" si="416"/>
        <v>0.18370434128381596</v>
      </c>
      <c r="AC72" s="109"/>
      <c r="AD72" s="110">
        <f t="shared" ref="AD72:AM72" si="435">AD55-AD59</f>
        <v>-50689.100000000006</v>
      </c>
      <c r="AE72" s="110">
        <f t="shared" si="435"/>
        <v>-55758.010000000009</v>
      </c>
      <c r="AF72" s="110">
        <f t="shared" si="435"/>
        <v>-61333.811000000016</v>
      </c>
      <c r="AG72" s="110">
        <f t="shared" si="435"/>
        <v>-67467.192100000029</v>
      </c>
      <c r="AH72" s="110">
        <f t="shared" si="435"/>
        <v>-74213.91131000004</v>
      </c>
      <c r="AI72" s="110">
        <f t="shared" si="435"/>
        <v>-81635.302441000051</v>
      </c>
      <c r="AJ72" s="110">
        <f t="shared" si="435"/>
        <v>-89798.83268510006</v>
      </c>
      <c r="AK72" s="110">
        <f t="shared" si="435"/>
        <v>-98778.715953610081</v>
      </c>
      <c r="AL72" s="110">
        <f t="shared" si="435"/>
        <v>-108656.5875489711</v>
      </c>
      <c r="AM72" s="110">
        <f t="shared" si="435"/>
        <v>-119522.24630386822</v>
      </c>
      <c r="AN72" s="114">
        <f t="shared" ref="AN72" si="436">((AM72/J72)^(1/($AM$3-$K$1) ))-1</f>
        <v>0.13930784166112975</v>
      </c>
      <c r="AO72" s="21">
        <f t="shared" si="27"/>
        <v>0.01</v>
      </c>
      <c r="AP72" s="122" t="e">
        <f t="shared" si="43"/>
        <v>#DIV/0!</v>
      </c>
    </row>
    <row r="73" spans="2:42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01" t="e">
        <f t="shared" si="416"/>
        <v>#DIV/0!</v>
      </c>
      <c r="AC73" s="10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02"/>
      <c r="AO73" s="113"/>
      <c r="AP73" s="122"/>
    </row>
    <row r="74" spans="2:42" x14ac:dyDescent="0.15">
      <c r="B74" s="10" t="s">
        <v>400</v>
      </c>
      <c r="C74" s="110"/>
      <c r="D74" s="110"/>
      <c r="E74" s="110"/>
      <c r="F74" s="15"/>
      <c r="G74" s="15">
        <f t="shared" ref="G74" si="437">G53/G61</f>
        <v>1.6313213703099513E-2</v>
      </c>
      <c r="H74" s="15">
        <f t="shared" ref="H74:I74" si="438">H53/H61</f>
        <v>1.6233766233766232E-2</v>
      </c>
      <c r="I74" s="15">
        <f t="shared" si="438"/>
        <v>1.1248593925759279E-2</v>
      </c>
      <c r="J74" s="15">
        <f t="shared" ref="J74:Q74" si="439">J53/J61</f>
        <v>1.1123470522803113E-2</v>
      </c>
      <c r="K74" s="15">
        <f t="shared" si="439"/>
        <v>9.8920863309352514E-2</v>
      </c>
      <c r="L74" s="15">
        <f t="shared" si="439"/>
        <v>8.9928057553956831E-3</v>
      </c>
      <c r="M74" s="15">
        <f t="shared" si="439"/>
        <v>8.9928057553956831E-3</v>
      </c>
      <c r="N74" s="15">
        <f t="shared" si="439"/>
        <v>8.6880973066898355E-3</v>
      </c>
      <c r="O74" s="15">
        <f t="shared" si="439"/>
        <v>8.6805555555555559E-3</v>
      </c>
      <c r="P74" s="15">
        <f t="shared" si="439"/>
        <v>7.3547267996530792</v>
      </c>
      <c r="Q74" s="15">
        <f t="shared" si="439"/>
        <v>0</v>
      </c>
      <c r="R74" s="15">
        <f t="shared" ref="R74:V74" si="440">R53/R61</f>
        <v>0</v>
      </c>
      <c r="S74" s="15">
        <f t="shared" si="440"/>
        <v>0</v>
      </c>
      <c r="T74" s="15">
        <f t="shared" si="440"/>
        <v>0</v>
      </c>
      <c r="U74" s="15">
        <f t="shared" si="440"/>
        <v>0</v>
      </c>
      <c r="V74" s="15">
        <f t="shared" si="440"/>
        <v>0</v>
      </c>
      <c r="W74" s="15">
        <f t="shared" ref="W74" si="441">W53/W61</f>
        <v>0</v>
      </c>
      <c r="X74" s="15">
        <f t="shared" ref="X74:AA74" si="442">X53/X61</f>
        <v>0</v>
      </c>
      <c r="Y74" s="15">
        <f t="shared" ref="Y74:Z74" si="443">Y53/Y61</f>
        <v>0</v>
      </c>
      <c r="Z74" s="15">
        <f t="shared" si="443"/>
        <v>0</v>
      </c>
      <c r="AA74" s="15">
        <f t="shared" si="442"/>
        <v>0</v>
      </c>
      <c r="AB74" s="101">
        <f t="shared" si="416"/>
        <v>-1</v>
      </c>
      <c r="AC74" s="109"/>
      <c r="AD74" s="96">
        <f>AD53/AD61</f>
        <v>0</v>
      </c>
      <c r="AE74" s="96">
        <f t="shared" ref="AE74:AM74" si="444">AE53/AE61</f>
        <v>0</v>
      </c>
      <c r="AF74" s="96">
        <f t="shared" si="444"/>
        <v>0</v>
      </c>
      <c r="AG74" s="96">
        <f t="shared" si="444"/>
        <v>0</v>
      </c>
      <c r="AH74" s="96">
        <f t="shared" si="444"/>
        <v>0</v>
      </c>
      <c r="AI74" s="96">
        <f t="shared" si="444"/>
        <v>0</v>
      </c>
      <c r="AJ74" s="96">
        <f t="shared" si="444"/>
        <v>0</v>
      </c>
      <c r="AK74" s="96">
        <f t="shared" si="444"/>
        <v>0</v>
      </c>
      <c r="AL74" s="96">
        <f t="shared" si="444"/>
        <v>0</v>
      </c>
      <c r="AM74" s="96">
        <f t="shared" si="444"/>
        <v>0</v>
      </c>
      <c r="AN74" s="114">
        <f t="shared" ref="AN74:AN75" si="445">((AM74/J74)^(1/($AM$3-$K$1) ))-1</f>
        <v>-1</v>
      </c>
      <c r="AO74" s="21">
        <f t="shared" si="27"/>
        <v>0.01</v>
      </c>
      <c r="AP74" s="122" t="e">
        <f t="shared" si="43"/>
        <v>#DIV/0!</v>
      </c>
    </row>
    <row r="75" spans="2:42" x14ac:dyDescent="0.15">
      <c r="B75" s="10" t="s">
        <v>401</v>
      </c>
      <c r="C75" s="110"/>
      <c r="D75" s="110"/>
      <c r="E75" s="110"/>
      <c r="F75" s="15"/>
      <c r="G75" s="15">
        <f t="shared" ref="G75" si="446">G55/G61</f>
        <v>0</v>
      </c>
      <c r="H75" s="15">
        <f t="shared" ref="H75:I75" si="447">H55/H61</f>
        <v>0</v>
      </c>
      <c r="I75" s="15">
        <f t="shared" si="447"/>
        <v>0</v>
      </c>
      <c r="J75" s="15">
        <f t="shared" ref="J75:Q75" si="448">J55/J61</f>
        <v>0</v>
      </c>
      <c r="K75" s="15">
        <f t="shared" si="448"/>
        <v>0</v>
      </c>
      <c r="L75" s="15">
        <f t="shared" si="448"/>
        <v>0</v>
      </c>
      <c r="M75" s="15">
        <f t="shared" si="448"/>
        <v>0</v>
      </c>
      <c r="N75" s="15">
        <f t="shared" si="448"/>
        <v>0</v>
      </c>
      <c r="O75" s="15">
        <f t="shared" si="448"/>
        <v>0</v>
      </c>
      <c r="P75" s="15">
        <f t="shared" si="448"/>
        <v>0</v>
      </c>
      <c r="Q75" s="15">
        <f t="shared" si="448"/>
        <v>0</v>
      </c>
      <c r="R75" s="15">
        <f t="shared" ref="R75:V75" si="449">R55/R61</f>
        <v>0</v>
      </c>
      <c r="S75" s="15">
        <f t="shared" si="449"/>
        <v>0</v>
      </c>
      <c r="T75" s="15">
        <f t="shared" si="449"/>
        <v>0</v>
      </c>
      <c r="U75" s="15">
        <f t="shared" si="449"/>
        <v>0</v>
      </c>
      <c r="V75" s="15">
        <f t="shared" si="449"/>
        <v>0</v>
      </c>
      <c r="W75" s="15">
        <f t="shared" ref="W75" si="450">W55/W61</f>
        <v>0</v>
      </c>
      <c r="X75" s="15">
        <f t="shared" ref="X75:AA75" si="451">X55/X61</f>
        <v>0</v>
      </c>
      <c r="Y75" s="15">
        <f t="shared" ref="Y75:Z75" si="452">Y55/Y61</f>
        <v>0</v>
      </c>
      <c r="Z75" s="15">
        <f t="shared" si="452"/>
        <v>0</v>
      </c>
      <c r="AA75" s="15">
        <f t="shared" si="451"/>
        <v>0</v>
      </c>
      <c r="AB75" s="101" t="e">
        <f t="shared" si="416"/>
        <v>#DIV/0!</v>
      </c>
      <c r="AC75" s="109"/>
      <c r="AD75" s="96">
        <f>AD55/AD61</f>
        <v>0</v>
      </c>
      <c r="AE75" s="96">
        <f t="shared" ref="AE75:AM75" si="453">AE55/AE61</f>
        <v>0</v>
      </c>
      <c r="AF75" s="96">
        <f t="shared" si="453"/>
        <v>0</v>
      </c>
      <c r="AG75" s="96">
        <f t="shared" si="453"/>
        <v>0</v>
      </c>
      <c r="AH75" s="96">
        <f t="shared" si="453"/>
        <v>0</v>
      </c>
      <c r="AI75" s="96">
        <f t="shared" si="453"/>
        <v>0</v>
      </c>
      <c r="AJ75" s="96">
        <f t="shared" si="453"/>
        <v>0</v>
      </c>
      <c r="AK75" s="96">
        <f t="shared" si="453"/>
        <v>0</v>
      </c>
      <c r="AL75" s="96">
        <f t="shared" si="453"/>
        <v>0</v>
      </c>
      <c r="AM75" s="96">
        <f t="shared" si="453"/>
        <v>0</v>
      </c>
      <c r="AN75" s="114" t="e">
        <f t="shared" si="445"/>
        <v>#DIV/0!</v>
      </c>
      <c r="AO75" s="21">
        <f t="shared" si="27"/>
        <v>0.01</v>
      </c>
      <c r="AP75" s="122" t="e">
        <f t="shared" ref="AP75:AP138" si="454">(AM75*(1+AO75))/($O$1-AO75)</f>
        <v>#DIV/0!</v>
      </c>
    </row>
    <row r="76" spans="2:42" x14ac:dyDescent="0.15">
      <c r="B76" s="10" t="s">
        <v>214</v>
      </c>
      <c r="C76" s="15"/>
      <c r="D76" s="15"/>
      <c r="E76" s="15"/>
      <c r="F76" s="110"/>
      <c r="G76" s="110">
        <f t="shared" ref="G76" si="455">G59/G61</f>
        <v>25.774877650897228</v>
      </c>
      <c r="H76" s="110">
        <f t="shared" ref="H76:I76" si="456">H59/H61</f>
        <v>28.831168831168831</v>
      </c>
      <c r="I76" s="110">
        <f t="shared" si="456"/>
        <v>25.961754780652416</v>
      </c>
      <c r="J76" s="110">
        <f t="shared" ref="J76:Q76" si="457">J59/J61</f>
        <v>26.573971078976641</v>
      </c>
      <c r="K76" s="110">
        <f t="shared" si="457"/>
        <v>27.940647482014388</v>
      </c>
      <c r="L76" s="110">
        <f t="shared" si="457"/>
        <v>35.323741007194243</v>
      </c>
      <c r="M76" s="110">
        <f t="shared" si="457"/>
        <v>48.381294964028775</v>
      </c>
      <c r="N76" s="110">
        <f t="shared" si="457"/>
        <v>69.539530842745435</v>
      </c>
      <c r="O76" s="110">
        <f t="shared" si="457"/>
        <v>103.68055555555556</v>
      </c>
      <c r="P76" s="110">
        <f>P59/P61</f>
        <v>146.86903729401561</v>
      </c>
      <c r="Q76" s="110">
        <f t="shared" si="457"/>
        <v>101.53913043478261</v>
      </c>
      <c r="R76" s="110">
        <f t="shared" ref="R76:V76" si="458">R59/R61</f>
        <v>22.352331606217618</v>
      </c>
      <c r="S76" s="110">
        <f t="shared" si="458"/>
        <v>18.80550774526678</v>
      </c>
      <c r="T76" s="110">
        <f t="shared" si="458"/>
        <v>19.484536082474225</v>
      </c>
      <c r="U76" s="110">
        <f t="shared" si="458"/>
        <v>14.172897196261681</v>
      </c>
      <c r="V76" s="110">
        <f t="shared" si="458"/>
        <v>8.8338509316770182</v>
      </c>
      <c r="W76" s="110">
        <f t="shared" ref="W76" si="459">W59/W61</f>
        <v>17.349304482225659</v>
      </c>
      <c r="X76" s="110">
        <f t="shared" ref="X76:AA76" si="460">X59/X61</f>
        <v>29.260492040520983</v>
      </c>
      <c r="Y76" s="110">
        <f t="shared" ref="Y76:Z76" si="461">Y59/Y61</f>
        <v>37.15129682997118</v>
      </c>
      <c r="Z76" s="110">
        <f t="shared" si="461"/>
        <v>49.373925501432666</v>
      </c>
      <c r="AA76" s="110">
        <f t="shared" si="460"/>
        <v>65.455965909090907</v>
      </c>
      <c r="AB76" s="101">
        <f t="shared" si="416"/>
        <v>4.7701657973500122E-2</v>
      </c>
      <c r="AC76" s="109"/>
      <c r="AD76" s="132">
        <f t="shared" ref="AD76:AM76" si="462">AD59/AD61</f>
        <v>70.589767156862749</v>
      </c>
      <c r="AE76" s="132">
        <f t="shared" si="462"/>
        <v>76.126219482891202</v>
      </c>
      <c r="AF76" s="132">
        <f t="shared" si="462"/>
        <v>82.096903363902285</v>
      </c>
      <c r="AG76" s="132">
        <f t="shared" si="462"/>
        <v>88.535876176757384</v>
      </c>
      <c r="AH76" s="132">
        <f t="shared" si="462"/>
        <v>95.479866465130513</v>
      </c>
      <c r="AI76" s="132">
        <f t="shared" si="462"/>
        <v>102.96848344278781</v>
      </c>
      <c r="AJ76" s="132">
        <f t="shared" si="462"/>
        <v>111.04444292849668</v>
      </c>
      <c r="AK76" s="132">
        <f t="shared" si="462"/>
        <v>119.75381100131996</v>
      </c>
      <c r="AL76" s="132">
        <f t="shared" si="462"/>
        <v>129.1462667661294</v>
      </c>
      <c r="AM76" s="132">
        <f t="shared" si="462"/>
        <v>139.27538572817875</v>
      </c>
      <c r="AN76" s="114">
        <f t="shared" ref="AN76:AN90" si="463">((AM76/J76)^(1/($AM$3-$K$1) ))-1</f>
        <v>5.6770294925594822E-2</v>
      </c>
      <c r="AO76" s="21">
        <f t="shared" si="27"/>
        <v>0.01</v>
      </c>
      <c r="AP76" s="122" t="e">
        <f t="shared" si="454"/>
        <v>#DIV/0!</v>
      </c>
    </row>
    <row r="77" spans="2:42" x14ac:dyDescent="0.15">
      <c r="B77" s="10" t="s">
        <v>329</v>
      </c>
      <c r="C77" s="110"/>
      <c r="D77" s="110"/>
      <c r="E77" s="110"/>
      <c r="F77" s="110"/>
      <c r="G77" s="110">
        <f t="shared" ref="G77" si="464">G20/G61</f>
        <v>128.72756933115824</v>
      </c>
      <c r="H77" s="110">
        <f t="shared" ref="H77:I77" si="465">H20/H61</f>
        <v>148.23051948051949</v>
      </c>
      <c r="I77" s="110">
        <f t="shared" si="465"/>
        <v>52.328458942632167</v>
      </c>
      <c r="J77" s="110">
        <f>J20/J61</f>
        <v>256.51835372636259</v>
      </c>
      <c r="K77" s="110">
        <f t="shared" ref="K77:Q77" si="466">K20/K61</f>
        <v>-104.59532374100719</v>
      </c>
      <c r="L77" s="110">
        <f t="shared" si="466"/>
        <v>-127.58992805755395</v>
      </c>
      <c r="M77" s="110">
        <f t="shared" si="466"/>
        <v>16.807553956834532</v>
      </c>
      <c r="N77" s="110">
        <f t="shared" si="466"/>
        <v>-60.017376194613384</v>
      </c>
      <c r="O77" s="110">
        <f t="shared" si="466"/>
        <v>84.053819444444443</v>
      </c>
      <c r="P77" s="110">
        <f t="shared" si="466"/>
        <v>96.287944492627929</v>
      </c>
      <c r="Q77" s="110">
        <f t="shared" si="466"/>
        <v>0</v>
      </c>
      <c r="R77" s="110">
        <f t="shared" ref="R77:V77" si="467">R20/R61</f>
        <v>0</v>
      </c>
      <c r="S77" s="110">
        <f t="shared" si="467"/>
        <v>0</v>
      </c>
      <c r="T77" s="110">
        <f t="shared" si="467"/>
        <v>0</v>
      </c>
      <c r="U77" s="110">
        <f t="shared" si="467"/>
        <v>0</v>
      </c>
      <c r="V77" s="110">
        <f t="shared" si="467"/>
        <v>0</v>
      </c>
      <c r="W77" s="110">
        <f t="shared" ref="W77" si="468">W20/W61</f>
        <v>0</v>
      </c>
      <c r="X77" s="110">
        <f t="shared" ref="X77:AA77" si="469">X20/X61</f>
        <v>0</v>
      </c>
      <c r="Y77" s="110">
        <f t="shared" ref="Y77:Z77" si="470">Y20/Y61</f>
        <v>0</v>
      </c>
      <c r="Z77" s="110">
        <f t="shared" si="470"/>
        <v>0</v>
      </c>
      <c r="AA77" s="110">
        <f t="shared" si="469"/>
        <v>0</v>
      </c>
      <c r="AB77" s="101">
        <f t="shared" si="416"/>
        <v>-1</v>
      </c>
      <c r="AC77" s="109"/>
      <c r="AD77" s="110">
        <f t="shared" ref="AD77:AM77" si="471">AD20/AD61</f>
        <v>0</v>
      </c>
      <c r="AE77" s="110">
        <f t="shared" si="471"/>
        <v>0</v>
      </c>
      <c r="AF77" s="110">
        <f t="shared" si="471"/>
        <v>0</v>
      </c>
      <c r="AG77" s="110">
        <f t="shared" si="471"/>
        <v>0</v>
      </c>
      <c r="AH77" s="110">
        <f t="shared" si="471"/>
        <v>0</v>
      </c>
      <c r="AI77" s="110">
        <f t="shared" si="471"/>
        <v>0</v>
      </c>
      <c r="AJ77" s="110">
        <f t="shared" si="471"/>
        <v>0</v>
      </c>
      <c r="AK77" s="110">
        <f t="shared" si="471"/>
        <v>0</v>
      </c>
      <c r="AL77" s="110">
        <f t="shared" si="471"/>
        <v>0</v>
      </c>
      <c r="AM77" s="110">
        <f t="shared" si="471"/>
        <v>0</v>
      </c>
      <c r="AN77" s="114">
        <f t="shared" ref="AN77" si="472">((AM77/J77)^(1/($AM$3-$K$1) ))-1</f>
        <v>-1</v>
      </c>
      <c r="AO77" s="21">
        <f t="shared" si="27"/>
        <v>0.01</v>
      </c>
      <c r="AP77" s="122" t="e">
        <f t="shared" si="454"/>
        <v>#DIV/0!</v>
      </c>
    </row>
    <row r="78" spans="2:42" x14ac:dyDescent="0.15">
      <c r="B78" s="10" t="s">
        <v>202</v>
      </c>
      <c r="C78" s="15"/>
      <c r="D78" s="15"/>
      <c r="E78" s="15"/>
      <c r="F78" s="110"/>
      <c r="G78" s="110">
        <f t="shared" ref="G78" si="473">G7/G61</f>
        <v>132.21859706362153</v>
      </c>
      <c r="H78" s="110">
        <f t="shared" ref="H78:I78" si="474">H7/H61</f>
        <v>204.93506493506493</v>
      </c>
      <c r="I78" s="110">
        <f t="shared" si="474"/>
        <v>254.11698537682787</v>
      </c>
      <c r="J78" s="110">
        <f t="shared" ref="J78:Q78" si="475">J7/J61</f>
        <v>270.46718576195769</v>
      </c>
      <c r="K78" s="110">
        <f t="shared" si="475"/>
        <v>405.32374100719426</v>
      </c>
      <c r="L78" s="110">
        <f t="shared" si="475"/>
        <v>423.80395683453236</v>
      </c>
      <c r="M78" s="110">
        <f t="shared" si="475"/>
        <v>461.29496402877697</v>
      </c>
      <c r="N78" s="110">
        <f t="shared" si="475"/>
        <v>480.46915725456125</v>
      </c>
      <c r="O78" s="110">
        <f t="shared" si="475"/>
        <v>531.90972222222217</v>
      </c>
      <c r="P78" s="110">
        <f t="shared" si="475"/>
        <v>596.37467476149175</v>
      </c>
      <c r="Q78" s="110">
        <f t="shared" si="475"/>
        <v>654.50634782608688</v>
      </c>
      <c r="R78" s="110">
        <f t="shared" ref="R78:V78" si="476">R7/R61</f>
        <v>144.29533678756476</v>
      </c>
      <c r="S78" s="110">
        <f t="shared" si="476"/>
        <v>155.11703958691911</v>
      </c>
      <c r="T78" s="110">
        <f t="shared" si="476"/>
        <v>172.5</v>
      </c>
      <c r="U78" s="110">
        <f t="shared" si="476"/>
        <v>165.59190031152647</v>
      </c>
      <c r="V78" s="110">
        <f t="shared" si="476"/>
        <v>170.63509316770185</v>
      </c>
      <c r="W78" s="110">
        <f t="shared" ref="W78" si="477">W7/W61</f>
        <v>183.18083462132921</v>
      </c>
      <c r="X78" s="110">
        <f t="shared" ref="X78:AA78" si="478">X7/X61</f>
        <v>221.52677279305354</v>
      </c>
      <c r="Y78" s="110">
        <f t="shared" ref="Y78:Z78" si="479">Y7/Y61</f>
        <v>255.28386167146974</v>
      </c>
      <c r="Z78" s="110">
        <f t="shared" si="479"/>
        <v>299.78223495702008</v>
      </c>
      <c r="AA78" s="110">
        <f t="shared" si="478"/>
        <v>381.57244318181819</v>
      </c>
      <c r="AB78" s="101">
        <f t="shared" si="416"/>
        <v>5.4421427551728518E-2</v>
      </c>
      <c r="AC78" s="109"/>
      <c r="AD78" s="132">
        <f t="shared" ref="AD78:AM78" si="480">AD7/AD61</f>
        <v>411.49969362745099</v>
      </c>
      <c r="AE78" s="132">
        <f t="shared" si="480"/>
        <v>443.77417940215304</v>
      </c>
      <c r="AF78" s="132">
        <f t="shared" si="480"/>
        <v>478.57999739447877</v>
      </c>
      <c r="AG78" s="132">
        <f t="shared" si="480"/>
        <v>516.11568346463412</v>
      </c>
      <c r="AH78" s="132">
        <f t="shared" si="480"/>
        <v>556.59534491284069</v>
      </c>
      <c r="AI78" s="132">
        <f t="shared" si="480"/>
        <v>600.24988176874979</v>
      </c>
      <c r="AJ78" s="132">
        <f t="shared" si="480"/>
        <v>647.3283038682597</v>
      </c>
      <c r="AK78" s="132">
        <f t="shared" si="480"/>
        <v>698.09915123047631</v>
      </c>
      <c r="AL78" s="132">
        <f t="shared" si="480"/>
        <v>752.85202583678824</v>
      </c>
      <c r="AM78" s="132">
        <f t="shared" si="480"/>
        <v>811.89924354947755</v>
      </c>
      <c r="AN78" s="114">
        <f t="shared" si="463"/>
        <v>3.7320399159216811E-2</v>
      </c>
      <c r="AO78" s="21">
        <f t="shared" si="27"/>
        <v>0.01</v>
      </c>
      <c r="AP78" s="122" t="e">
        <f t="shared" si="454"/>
        <v>#DIV/0!</v>
      </c>
    </row>
    <row r="79" spans="2:42" x14ac:dyDescent="0.15">
      <c r="B79" s="10" t="s">
        <v>203</v>
      </c>
      <c r="C79" s="108"/>
      <c r="D79" s="108"/>
      <c r="E79" s="108"/>
      <c r="F79" s="120"/>
      <c r="G79" s="120">
        <f t="shared" ref="G79" si="481">G6/G61</f>
        <v>116.46003262642741</v>
      </c>
      <c r="H79" s="120">
        <f t="shared" ref="H79:I79" si="482">H6/H61</f>
        <v>187.28896103896105</v>
      </c>
      <c r="I79" s="120">
        <f t="shared" si="482"/>
        <v>240.16872890888638</v>
      </c>
      <c r="J79" s="120">
        <f t="shared" ref="J79:Q79" si="483">J6/J61</f>
        <v>256.56284760845381</v>
      </c>
      <c r="K79" s="120">
        <f t="shared" si="483"/>
        <v>392.16726618705036</v>
      </c>
      <c r="L79" s="120">
        <f t="shared" si="483"/>
        <v>410.64748201438846</v>
      </c>
      <c r="M79" s="120">
        <f t="shared" si="483"/>
        <v>451.26798561151077</v>
      </c>
      <c r="N79" s="120">
        <f t="shared" si="483"/>
        <v>470.46046915725458</v>
      </c>
      <c r="O79" s="120">
        <f t="shared" si="483"/>
        <v>521.88368055555554</v>
      </c>
      <c r="P79" s="120">
        <f t="shared" si="483"/>
        <v>586.33130962705991</v>
      </c>
      <c r="Q79" s="120">
        <f t="shared" si="483"/>
        <v>654.50634782608688</v>
      </c>
      <c r="R79" s="120">
        <f t="shared" ref="R79:V79" si="484">R6/R61</f>
        <v>144.26079447322971</v>
      </c>
      <c r="S79" s="120">
        <f t="shared" si="484"/>
        <v>159.96557659208261</v>
      </c>
      <c r="T79" s="120">
        <f t="shared" si="484"/>
        <v>177.76632302405497</v>
      </c>
      <c r="U79" s="120">
        <f t="shared" si="484"/>
        <v>170.30841121495328</v>
      </c>
      <c r="V79" s="120">
        <f t="shared" si="484"/>
        <v>175.40217391304347</v>
      </c>
      <c r="W79" s="120">
        <f t="shared" ref="W79" si="485">W6/W61</f>
        <v>188.03863987635239</v>
      </c>
      <c r="X79" s="120">
        <f t="shared" ref="X79:AA79" si="486">X6/X61</f>
        <v>226.04920405209842</v>
      </c>
      <c r="Y79" s="120">
        <f t="shared" ref="Y79:Z79" si="487">Y6/Y61</f>
        <v>259.93659942363115</v>
      </c>
      <c r="Z79" s="120">
        <f t="shared" si="487"/>
        <v>304.21203438395418</v>
      </c>
      <c r="AA79" s="120">
        <f>AA6/AA61</f>
        <v>381.57244318181819</v>
      </c>
      <c r="AB79" s="101">
        <f t="shared" si="416"/>
        <v>6.1133449506854731E-2</v>
      </c>
      <c r="AC79" s="109"/>
      <c r="AD79" s="131">
        <f t="shared" ref="AD79:AM79" si="488">AD6/AD61</f>
        <v>411.49969362745099</v>
      </c>
      <c r="AE79" s="131">
        <f t="shared" si="488"/>
        <v>443.77417940215304</v>
      </c>
      <c r="AF79" s="131">
        <f t="shared" si="488"/>
        <v>478.57999739447877</v>
      </c>
      <c r="AG79" s="131">
        <f t="shared" si="488"/>
        <v>516.11568346463412</v>
      </c>
      <c r="AH79" s="131">
        <f t="shared" si="488"/>
        <v>556.59534491284069</v>
      </c>
      <c r="AI79" s="131">
        <f t="shared" si="488"/>
        <v>600.24988176874979</v>
      </c>
      <c r="AJ79" s="131">
        <f t="shared" si="488"/>
        <v>647.3283038682597</v>
      </c>
      <c r="AK79" s="131">
        <f t="shared" si="488"/>
        <v>698.09915123047631</v>
      </c>
      <c r="AL79" s="131">
        <f t="shared" si="488"/>
        <v>752.85202583678824</v>
      </c>
      <c r="AM79" s="131">
        <f t="shared" si="488"/>
        <v>811.89924354947755</v>
      </c>
      <c r="AN79" s="114">
        <f t="shared" si="463"/>
        <v>3.9146898320654877E-2</v>
      </c>
      <c r="AO79" s="21">
        <f t="shared" si="27"/>
        <v>0.01</v>
      </c>
      <c r="AP79" s="122" t="e">
        <f t="shared" si="454"/>
        <v>#DIV/0!</v>
      </c>
    </row>
    <row r="80" spans="2:42" x14ac:dyDescent="0.15">
      <c r="B80" s="10" t="s">
        <v>204</v>
      </c>
      <c r="C80" s="108"/>
      <c r="D80" s="108"/>
      <c r="E80" s="108"/>
      <c r="F80" s="120"/>
      <c r="G80" s="120">
        <f t="shared" ref="G80" si="489">G10/G61</f>
        <v>0</v>
      </c>
      <c r="H80" s="120">
        <f t="shared" ref="H80:I80" si="490">H10/H61</f>
        <v>0</v>
      </c>
      <c r="I80" s="120">
        <f t="shared" si="490"/>
        <v>0</v>
      </c>
      <c r="J80" s="120">
        <f t="shared" ref="J80:Q80" si="491">J10/J61</f>
        <v>0</v>
      </c>
      <c r="K80" s="120">
        <f t="shared" si="491"/>
        <v>0</v>
      </c>
      <c r="L80" s="120">
        <f t="shared" si="491"/>
        <v>0</v>
      </c>
      <c r="M80" s="120">
        <f t="shared" si="491"/>
        <v>0</v>
      </c>
      <c r="N80" s="120">
        <f t="shared" si="491"/>
        <v>0</v>
      </c>
      <c r="O80" s="120">
        <f t="shared" si="491"/>
        <v>0</v>
      </c>
      <c r="P80" s="120">
        <f t="shared" si="491"/>
        <v>0</v>
      </c>
      <c r="Q80" s="120">
        <f t="shared" si="491"/>
        <v>0</v>
      </c>
      <c r="R80" s="120">
        <f t="shared" ref="R80:V80" si="492">R10/R61</f>
        <v>0</v>
      </c>
      <c r="S80" s="120">
        <f t="shared" si="492"/>
        <v>0</v>
      </c>
      <c r="T80" s="120">
        <f t="shared" si="492"/>
        <v>0</v>
      </c>
      <c r="U80" s="120">
        <f t="shared" si="492"/>
        <v>0</v>
      </c>
      <c r="V80" s="120">
        <f t="shared" si="492"/>
        <v>0</v>
      </c>
      <c r="W80" s="120">
        <f t="shared" ref="W80" si="493">W10/W61</f>
        <v>0</v>
      </c>
      <c r="X80" s="120">
        <f t="shared" ref="X80:AA80" si="494">X10/X61</f>
        <v>0</v>
      </c>
      <c r="Y80" s="120">
        <f t="shared" ref="Y80:Z80" si="495">Y10/Y61</f>
        <v>0</v>
      </c>
      <c r="Z80" s="120">
        <f t="shared" si="495"/>
        <v>0</v>
      </c>
      <c r="AA80" s="120">
        <f t="shared" si="494"/>
        <v>0</v>
      </c>
      <c r="AB80" s="101" t="e">
        <f t="shared" si="416"/>
        <v>#DIV/0!</v>
      </c>
      <c r="AC80" s="109"/>
      <c r="AD80" s="131">
        <f t="shared" ref="AD80:AM80" si="496">AD10/AD61</f>
        <v>0</v>
      </c>
      <c r="AE80" s="131">
        <f t="shared" si="496"/>
        <v>0</v>
      </c>
      <c r="AF80" s="131">
        <f t="shared" si="496"/>
        <v>0</v>
      </c>
      <c r="AG80" s="131">
        <f t="shared" si="496"/>
        <v>0</v>
      </c>
      <c r="AH80" s="131">
        <f t="shared" si="496"/>
        <v>0</v>
      </c>
      <c r="AI80" s="131">
        <f t="shared" si="496"/>
        <v>0</v>
      </c>
      <c r="AJ80" s="131">
        <f t="shared" si="496"/>
        <v>0</v>
      </c>
      <c r="AK80" s="131">
        <f t="shared" si="496"/>
        <v>0</v>
      </c>
      <c r="AL80" s="131">
        <f t="shared" si="496"/>
        <v>0</v>
      </c>
      <c r="AM80" s="131">
        <f t="shared" si="496"/>
        <v>0</v>
      </c>
      <c r="AN80" s="114" t="e">
        <f t="shared" si="463"/>
        <v>#DIV/0!</v>
      </c>
      <c r="AO80" s="21">
        <f t="shared" si="27"/>
        <v>0.01</v>
      </c>
      <c r="AP80" s="122" t="e">
        <f t="shared" si="454"/>
        <v>#DIV/0!</v>
      </c>
    </row>
    <row r="81" spans="2:42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01" t="e">
        <f t="shared" si="416"/>
        <v>#DIV/0!</v>
      </c>
      <c r="AC81" s="10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15"/>
      <c r="AO81" s="113"/>
      <c r="AP81" s="122"/>
    </row>
    <row r="82" spans="2:42" x14ac:dyDescent="0.15">
      <c r="B82" s="10" t="s">
        <v>221</v>
      </c>
      <c r="C82" s="108"/>
      <c r="D82" s="108"/>
      <c r="E82" s="108"/>
      <c r="F82" s="120"/>
      <c r="G82" s="120">
        <f t="shared" ref="G82" si="497">(G7-G10)/G61</f>
        <v>132.21859706362153</v>
      </c>
      <c r="H82" s="120">
        <f t="shared" ref="H82:I82" si="498">(H7-H10)/H61</f>
        <v>204.93506493506493</v>
      </c>
      <c r="I82" s="120">
        <f t="shared" si="498"/>
        <v>254.11698537682787</v>
      </c>
      <c r="J82" s="120">
        <f t="shared" ref="J82:Q82" si="499">(J7-J10)/J61</f>
        <v>270.46718576195769</v>
      </c>
      <c r="K82" s="120">
        <f t="shared" si="499"/>
        <v>405.32374100719426</v>
      </c>
      <c r="L82" s="120">
        <f t="shared" si="499"/>
        <v>423.80395683453236</v>
      </c>
      <c r="M82" s="120">
        <f t="shared" si="499"/>
        <v>461.29496402877697</v>
      </c>
      <c r="N82" s="120">
        <f t="shared" si="499"/>
        <v>480.46915725456125</v>
      </c>
      <c r="O82" s="120">
        <f t="shared" si="499"/>
        <v>531.90972222222217</v>
      </c>
      <c r="P82" s="120">
        <f t="shared" si="499"/>
        <v>596.37467476149175</v>
      </c>
      <c r="Q82" s="120">
        <f t="shared" si="499"/>
        <v>654.50634782608688</v>
      </c>
      <c r="R82" s="120">
        <f t="shared" ref="R82:V82" si="500">(R7-R10)/R61</f>
        <v>144.29533678756476</v>
      </c>
      <c r="S82" s="120">
        <f t="shared" si="500"/>
        <v>155.11703958691911</v>
      </c>
      <c r="T82" s="120">
        <f t="shared" si="500"/>
        <v>172.5</v>
      </c>
      <c r="U82" s="120">
        <f t="shared" si="500"/>
        <v>165.59190031152647</v>
      </c>
      <c r="V82" s="120">
        <f t="shared" si="500"/>
        <v>170.63509316770185</v>
      </c>
      <c r="W82" s="120">
        <f t="shared" ref="W82" si="501">(W7-W10)/W61</f>
        <v>183.18083462132921</v>
      </c>
      <c r="X82" s="120">
        <f t="shared" ref="X82:AA82" si="502">(X7-X10)/X61</f>
        <v>221.52677279305354</v>
      </c>
      <c r="Y82" s="120">
        <f t="shared" ref="Y82:Z82" si="503">(Y7-Y10)/Y61</f>
        <v>255.28386167146974</v>
      </c>
      <c r="Z82" s="120">
        <f t="shared" si="503"/>
        <v>299.78223495702008</v>
      </c>
      <c r="AA82" s="120">
        <f t="shared" si="502"/>
        <v>381.57244318181819</v>
      </c>
      <c r="AB82" s="101">
        <f t="shared" si="416"/>
        <v>5.4421427551728518E-2</v>
      </c>
      <c r="AC82" s="109"/>
      <c r="AD82" s="131">
        <f t="shared" ref="AD82:AM82" si="504">(AD7-AD10)/AD61</f>
        <v>411.49969362745099</v>
      </c>
      <c r="AE82" s="131">
        <f t="shared" si="504"/>
        <v>443.77417940215304</v>
      </c>
      <c r="AF82" s="131">
        <f t="shared" si="504"/>
        <v>478.57999739447877</v>
      </c>
      <c r="AG82" s="131">
        <f t="shared" si="504"/>
        <v>516.11568346463412</v>
      </c>
      <c r="AH82" s="131">
        <f t="shared" si="504"/>
        <v>556.59534491284069</v>
      </c>
      <c r="AI82" s="131">
        <f t="shared" si="504"/>
        <v>600.24988176874979</v>
      </c>
      <c r="AJ82" s="131">
        <f t="shared" si="504"/>
        <v>647.3283038682597</v>
      </c>
      <c r="AK82" s="131">
        <f t="shared" si="504"/>
        <v>698.09915123047631</v>
      </c>
      <c r="AL82" s="131">
        <f t="shared" si="504"/>
        <v>752.85202583678824</v>
      </c>
      <c r="AM82" s="131">
        <f t="shared" si="504"/>
        <v>811.89924354947755</v>
      </c>
      <c r="AN82" s="114">
        <f t="shared" si="463"/>
        <v>3.7320399159216811E-2</v>
      </c>
      <c r="AO82" s="21">
        <f t="shared" si="27"/>
        <v>0.01</v>
      </c>
      <c r="AP82" s="122" t="e">
        <f t="shared" si="454"/>
        <v>#DIV/0!</v>
      </c>
    </row>
    <row r="83" spans="2:42" x14ac:dyDescent="0.15">
      <c r="B83" s="10" t="s">
        <v>222</v>
      </c>
      <c r="C83" s="108"/>
      <c r="D83" s="108"/>
      <c r="E83" s="108"/>
      <c r="F83" s="120"/>
      <c r="G83" s="120">
        <f t="shared" ref="G83" si="505">(G7-G10-G9)/G61</f>
        <v>132.21859706362153</v>
      </c>
      <c r="H83" s="120">
        <f t="shared" ref="H83:I83" si="506">(H7-H10-H9)/H61</f>
        <v>204.93506493506493</v>
      </c>
      <c r="I83" s="120">
        <f t="shared" si="506"/>
        <v>254.11698537682787</v>
      </c>
      <c r="J83" s="120">
        <f t="shared" ref="J83:Q83" si="507">(J7-J10-J9)/J61</f>
        <v>270.46718576195769</v>
      </c>
      <c r="K83" s="120">
        <f t="shared" si="507"/>
        <v>405.32374100719426</v>
      </c>
      <c r="L83" s="120">
        <f t="shared" si="507"/>
        <v>423.80395683453236</v>
      </c>
      <c r="M83" s="120">
        <f t="shared" si="507"/>
        <v>461.29496402877697</v>
      </c>
      <c r="N83" s="120">
        <f t="shared" si="507"/>
        <v>480.46915725456125</v>
      </c>
      <c r="O83" s="120">
        <f t="shared" si="507"/>
        <v>531.90972222222217</v>
      </c>
      <c r="P83" s="120">
        <f t="shared" si="507"/>
        <v>596.37467476149175</v>
      </c>
      <c r="Q83" s="120">
        <f t="shared" si="507"/>
        <v>654.50634782608688</v>
      </c>
      <c r="R83" s="120">
        <f t="shared" ref="R83:V83" si="508">(R7-R10-R9)/R61</f>
        <v>144.29533678756476</v>
      </c>
      <c r="S83" s="120">
        <f t="shared" si="508"/>
        <v>155.11703958691911</v>
      </c>
      <c r="T83" s="120">
        <f t="shared" si="508"/>
        <v>172.5</v>
      </c>
      <c r="U83" s="120">
        <f t="shared" si="508"/>
        <v>165.59190031152647</v>
      </c>
      <c r="V83" s="120">
        <f t="shared" si="508"/>
        <v>170.63509316770185</v>
      </c>
      <c r="W83" s="120">
        <f t="shared" ref="W83" si="509">(W7-W10-W9)/W61</f>
        <v>183.18083462132921</v>
      </c>
      <c r="X83" s="120">
        <f t="shared" ref="X83:AA83" si="510">(X7-X10-X9)/X61</f>
        <v>221.52677279305354</v>
      </c>
      <c r="Y83" s="120">
        <f t="shared" ref="Y83:Z83" si="511">(Y7-Y10-Y9)/Y61</f>
        <v>255.28386167146974</v>
      </c>
      <c r="Z83" s="120">
        <f t="shared" si="511"/>
        <v>299.78223495702008</v>
      </c>
      <c r="AA83" s="120">
        <f t="shared" si="510"/>
        <v>381.57244318181819</v>
      </c>
      <c r="AB83" s="101">
        <f t="shared" si="416"/>
        <v>5.4421427551728518E-2</v>
      </c>
      <c r="AC83" s="109"/>
      <c r="AD83" s="131">
        <f t="shared" ref="AD83:AM83" si="512">(AD7-AD10-AD9)/AD61</f>
        <v>411.49969362745099</v>
      </c>
      <c r="AE83" s="131">
        <f t="shared" si="512"/>
        <v>443.77417940215304</v>
      </c>
      <c r="AF83" s="131">
        <f t="shared" si="512"/>
        <v>478.57999739447877</v>
      </c>
      <c r="AG83" s="131">
        <f t="shared" si="512"/>
        <v>516.11568346463412</v>
      </c>
      <c r="AH83" s="131">
        <f t="shared" si="512"/>
        <v>556.59534491284069</v>
      </c>
      <c r="AI83" s="131">
        <f t="shared" si="512"/>
        <v>600.24988176874979</v>
      </c>
      <c r="AJ83" s="131">
        <f t="shared" si="512"/>
        <v>647.3283038682597</v>
      </c>
      <c r="AK83" s="131">
        <f t="shared" si="512"/>
        <v>698.09915123047631</v>
      </c>
      <c r="AL83" s="131">
        <f t="shared" si="512"/>
        <v>752.85202583678824</v>
      </c>
      <c r="AM83" s="131">
        <f t="shared" si="512"/>
        <v>811.89924354947755</v>
      </c>
      <c r="AN83" s="114">
        <f t="shared" si="463"/>
        <v>3.7320399159216811E-2</v>
      </c>
      <c r="AO83" s="21">
        <f t="shared" si="27"/>
        <v>0.01</v>
      </c>
      <c r="AP83" s="122" t="e">
        <f t="shared" si="454"/>
        <v>#DIV/0!</v>
      </c>
    </row>
    <row r="84" spans="2:42" x14ac:dyDescent="0.15">
      <c r="B84" s="10" t="s">
        <v>227</v>
      </c>
      <c r="C84" s="108"/>
      <c r="D84" s="108"/>
      <c r="E84" s="108"/>
      <c r="F84" s="120"/>
      <c r="G84" s="120">
        <f t="shared" ref="G84" si="513">(G7+G15-G10-G9)/G61</f>
        <v>132.21859706362153</v>
      </c>
      <c r="H84" s="120">
        <f t="shared" ref="H84:I84" si="514">(H7+H15-H10-H9)/H61</f>
        <v>204.93506493506493</v>
      </c>
      <c r="I84" s="120">
        <f t="shared" si="514"/>
        <v>254.11698537682787</v>
      </c>
      <c r="J84" s="120">
        <f t="shared" ref="J84:Q84" si="515">(J7+J15-J10-J9)/J61</f>
        <v>270.46718576195769</v>
      </c>
      <c r="K84" s="120">
        <f t="shared" si="515"/>
        <v>405.32374100719426</v>
      </c>
      <c r="L84" s="120">
        <f t="shared" si="515"/>
        <v>423.80395683453236</v>
      </c>
      <c r="M84" s="120">
        <f t="shared" si="515"/>
        <v>461.29496402877697</v>
      </c>
      <c r="N84" s="120">
        <f t="shared" si="515"/>
        <v>480.46915725456125</v>
      </c>
      <c r="O84" s="120">
        <f t="shared" si="515"/>
        <v>531.90972222222217</v>
      </c>
      <c r="P84" s="120">
        <f t="shared" si="515"/>
        <v>596.37467476149175</v>
      </c>
      <c r="Q84" s="120">
        <f t="shared" si="515"/>
        <v>654.50634782608688</v>
      </c>
      <c r="R84" s="120">
        <f t="shared" ref="R84:V84" si="516">(R7+R15-R10-R9)/R61</f>
        <v>144.29533678756476</v>
      </c>
      <c r="S84" s="120">
        <f t="shared" si="516"/>
        <v>155.11703958691911</v>
      </c>
      <c r="T84" s="120">
        <f t="shared" si="516"/>
        <v>172.5</v>
      </c>
      <c r="U84" s="120">
        <f t="shared" si="516"/>
        <v>165.59190031152647</v>
      </c>
      <c r="V84" s="120">
        <f t="shared" si="516"/>
        <v>170.63509316770185</v>
      </c>
      <c r="W84" s="120">
        <f t="shared" ref="W84" si="517">(W7+W15-W10-W9)/W61</f>
        <v>183.18083462132921</v>
      </c>
      <c r="X84" s="120">
        <f t="shared" ref="X84:AA84" si="518">(X7+X15-X10-X9)/X61</f>
        <v>221.52677279305354</v>
      </c>
      <c r="Y84" s="120">
        <f t="shared" ref="Y84:Z84" si="519">(Y7+Y15-Y10-Y9)/Y61</f>
        <v>255.28386167146974</v>
      </c>
      <c r="Z84" s="120">
        <f t="shared" si="519"/>
        <v>299.78223495702008</v>
      </c>
      <c r="AA84" s="120">
        <f t="shared" si="518"/>
        <v>381.57244318181819</v>
      </c>
      <c r="AB84" s="101">
        <f t="shared" si="416"/>
        <v>5.4421427551728518E-2</v>
      </c>
      <c r="AC84" s="109"/>
      <c r="AD84" s="131">
        <f t="shared" ref="AD84:AM84" si="520">(AD7+AD15-AD10-AD9)/AD61</f>
        <v>411.49969362745099</v>
      </c>
      <c r="AE84" s="131">
        <f t="shared" si="520"/>
        <v>443.77417940215304</v>
      </c>
      <c r="AF84" s="131">
        <f t="shared" si="520"/>
        <v>478.57999739447877</v>
      </c>
      <c r="AG84" s="131">
        <f t="shared" si="520"/>
        <v>516.11568346463412</v>
      </c>
      <c r="AH84" s="131">
        <f t="shared" si="520"/>
        <v>556.59534491284069</v>
      </c>
      <c r="AI84" s="131">
        <f t="shared" si="520"/>
        <v>600.24988176874979</v>
      </c>
      <c r="AJ84" s="131">
        <f t="shared" si="520"/>
        <v>647.3283038682597</v>
      </c>
      <c r="AK84" s="131">
        <f t="shared" si="520"/>
        <v>698.09915123047631</v>
      </c>
      <c r="AL84" s="131">
        <f t="shared" si="520"/>
        <v>752.85202583678824</v>
      </c>
      <c r="AM84" s="131">
        <f t="shared" si="520"/>
        <v>811.89924354947755</v>
      </c>
      <c r="AN84" s="114">
        <f t="shared" si="463"/>
        <v>3.7320399159216811E-2</v>
      </c>
      <c r="AO84" s="21">
        <f t="shared" si="27"/>
        <v>0.01</v>
      </c>
      <c r="AP84" s="122" t="e">
        <f t="shared" si="454"/>
        <v>#DIV/0!</v>
      </c>
    </row>
    <row r="85" spans="2:42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01" t="e">
        <f t="shared" si="416"/>
        <v>#DIV/0!</v>
      </c>
      <c r="AC85" s="10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15"/>
      <c r="AO85" s="113"/>
      <c r="AP85" s="122"/>
    </row>
    <row r="86" spans="2:42" x14ac:dyDescent="0.15">
      <c r="B86" s="10" t="s">
        <v>205</v>
      </c>
      <c r="C86" s="108"/>
      <c r="D86" s="108"/>
      <c r="E86" s="108"/>
      <c r="F86" s="120"/>
      <c r="G86" s="120">
        <f t="shared" ref="G86" si="521">G12/G61</f>
        <v>0</v>
      </c>
      <c r="H86" s="120">
        <f t="shared" ref="H86:I86" si="522">H12/H61</f>
        <v>0</v>
      </c>
      <c r="I86" s="120">
        <f t="shared" si="522"/>
        <v>0</v>
      </c>
      <c r="J86" s="120">
        <f t="shared" ref="J86:Q86" si="523">J12/J61</f>
        <v>0</v>
      </c>
      <c r="K86" s="120">
        <f t="shared" si="523"/>
        <v>0</v>
      </c>
      <c r="L86" s="120">
        <f t="shared" si="523"/>
        <v>0</v>
      </c>
      <c r="M86" s="120">
        <f t="shared" si="523"/>
        <v>0</v>
      </c>
      <c r="N86" s="120">
        <f t="shared" si="523"/>
        <v>0</v>
      </c>
      <c r="O86" s="120">
        <f t="shared" si="523"/>
        <v>0</v>
      </c>
      <c r="P86" s="120">
        <f t="shared" si="523"/>
        <v>0</v>
      </c>
      <c r="Q86" s="120">
        <f t="shared" si="523"/>
        <v>0</v>
      </c>
      <c r="R86" s="120">
        <f t="shared" ref="R86:V86" si="524">R12/R61</f>
        <v>0</v>
      </c>
      <c r="S86" s="120">
        <f t="shared" si="524"/>
        <v>0</v>
      </c>
      <c r="T86" s="120">
        <f t="shared" si="524"/>
        <v>0</v>
      </c>
      <c r="U86" s="120">
        <f t="shared" si="524"/>
        <v>0</v>
      </c>
      <c r="V86" s="120">
        <f t="shared" si="524"/>
        <v>0</v>
      </c>
      <c r="W86" s="120">
        <f t="shared" ref="W86" si="525">W12/W61</f>
        <v>0</v>
      </c>
      <c r="X86" s="120">
        <f t="shared" ref="X86:AA86" si="526">X12/X61</f>
        <v>0</v>
      </c>
      <c r="Y86" s="120">
        <f t="shared" ref="Y86:Z86" si="527">Y12/Y61</f>
        <v>0</v>
      </c>
      <c r="Z86" s="120">
        <f t="shared" si="527"/>
        <v>0</v>
      </c>
      <c r="AA86" s="120">
        <f t="shared" si="526"/>
        <v>0</v>
      </c>
      <c r="AB86" s="101" t="e">
        <f t="shared" si="416"/>
        <v>#DIV/0!</v>
      </c>
      <c r="AC86" s="109"/>
      <c r="AD86" s="131">
        <f t="shared" ref="AD86:AM86" si="528">AD12/AD61</f>
        <v>0</v>
      </c>
      <c r="AE86" s="131">
        <f t="shared" si="528"/>
        <v>0</v>
      </c>
      <c r="AF86" s="131">
        <f t="shared" si="528"/>
        <v>0</v>
      </c>
      <c r="AG86" s="131">
        <f t="shared" si="528"/>
        <v>0</v>
      </c>
      <c r="AH86" s="131">
        <f t="shared" si="528"/>
        <v>0</v>
      </c>
      <c r="AI86" s="131">
        <f t="shared" si="528"/>
        <v>0</v>
      </c>
      <c r="AJ86" s="131">
        <f t="shared" si="528"/>
        <v>0</v>
      </c>
      <c r="AK86" s="131">
        <f t="shared" si="528"/>
        <v>0</v>
      </c>
      <c r="AL86" s="131">
        <f t="shared" si="528"/>
        <v>0</v>
      </c>
      <c r="AM86" s="131">
        <f t="shared" si="528"/>
        <v>0</v>
      </c>
      <c r="AN86" s="114" t="e">
        <f t="shared" si="463"/>
        <v>#DIV/0!</v>
      </c>
      <c r="AO86" s="21">
        <f t="shared" si="27"/>
        <v>0.01</v>
      </c>
      <c r="AP86" s="122" t="e">
        <f t="shared" si="454"/>
        <v>#DIV/0!</v>
      </c>
    </row>
    <row r="87" spans="2:42" x14ac:dyDescent="0.15">
      <c r="B87" s="10" t="s">
        <v>212</v>
      </c>
      <c r="C87" s="108"/>
      <c r="D87" s="108"/>
      <c r="E87" s="108"/>
      <c r="F87" s="120"/>
      <c r="G87" s="120">
        <f t="shared" ref="G87" si="529">G13/G61</f>
        <v>754.76345840130512</v>
      </c>
      <c r="H87" s="120">
        <f t="shared" ref="H87:I87" si="530">H13/H61</f>
        <v>887.19155844155841</v>
      </c>
      <c r="I87" s="120">
        <f t="shared" si="530"/>
        <v>945.02812148481439</v>
      </c>
      <c r="J87" s="120">
        <f t="shared" ref="J87:Q87" si="531">J13/J61</f>
        <v>1341.6685205784204</v>
      </c>
      <c r="K87" s="120">
        <f t="shared" si="531"/>
        <v>1439.2625899280574</v>
      </c>
      <c r="L87" s="120">
        <f t="shared" si="531"/>
        <v>1331.8974820143885</v>
      </c>
      <c r="M87" s="120">
        <f t="shared" si="531"/>
        <v>1675.5305755395682</v>
      </c>
      <c r="N87" s="120">
        <f t="shared" si="531"/>
        <v>1821.4769765421374</v>
      </c>
      <c r="O87" s="120">
        <f t="shared" si="531"/>
        <v>2082.1527777777778</v>
      </c>
      <c r="P87" s="120">
        <f t="shared" si="531"/>
        <v>2217.3980919340852</v>
      </c>
      <c r="Q87" s="120">
        <f t="shared" si="531"/>
        <v>2327.0347826086959</v>
      </c>
      <c r="R87" s="120">
        <f t="shared" ref="R87:V87" si="532">R13/R61</f>
        <v>522.90328151986182</v>
      </c>
      <c r="S87" s="120">
        <f t="shared" si="532"/>
        <v>492.33046471600687</v>
      </c>
      <c r="T87" s="120">
        <f t="shared" si="532"/>
        <v>523.19759450171819</v>
      </c>
      <c r="U87" s="120">
        <f t="shared" si="532"/>
        <v>579.76168224299067</v>
      </c>
      <c r="V87" s="120">
        <f t="shared" si="532"/>
        <v>618.32298136645966</v>
      </c>
      <c r="W87" s="120">
        <f t="shared" ref="W87" si="533">W13/W61</f>
        <v>685.42812982998453</v>
      </c>
      <c r="X87" s="120">
        <f t="shared" ref="X87:AA87" si="534">X13/X61</f>
        <v>776.52387843704776</v>
      </c>
      <c r="Y87" s="120">
        <f t="shared" ref="Y87:Z87" si="535">Y13/Y61</f>
        <v>817.14265129682997</v>
      </c>
      <c r="Z87" s="120">
        <f t="shared" si="535"/>
        <v>916.26217765042975</v>
      </c>
      <c r="AA87" s="120">
        <f t="shared" si="534"/>
        <v>1174.9460227272727</v>
      </c>
      <c r="AB87" s="101">
        <f t="shared" si="416"/>
        <v>2.2375309060381765E-2</v>
      </c>
      <c r="AC87" s="109"/>
      <c r="AD87" s="131">
        <f t="shared" ref="AD87:AM87" si="536">AD13/AD61</f>
        <v>1267.0986519607843</v>
      </c>
      <c r="AE87" s="131">
        <f t="shared" si="536"/>
        <v>1366.4789383890811</v>
      </c>
      <c r="AF87" s="131">
        <f t="shared" si="536"/>
        <v>1473.653757086264</v>
      </c>
      <c r="AG87" s="131">
        <f t="shared" si="536"/>
        <v>1589.2344439165597</v>
      </c>
      <c r="AH87" s="131">
        <f t="shared" si="536"/>
        <v>1713.8802826551134</v>
      </c>
      <c r="AI87" s="131">
        <f t="shared" si="536"/>
        <v>1848.3022656084556</v>
      </c>
      <c r="AJ87" s="131">
        <f t="shared" si="536"/>
        <v>1993.2671491855895</v>
      </c>
      <c r="AK87" s="131">
        <f t="shared" si="536"/>
        <v>2149.6018275530869</v>
      </c>
      <c r="AL87" s="131">
        <f t="shared" si="536"/>
        <v>2318.1980493219567</v>
      </c>
      <c r="AM87" s="131">
        <f t="shared" si="536"/>
        <v>2500.017504170738</v>
      </c>
      <c r="AN87" s="114">
        <f t="shared" si="463"/>
        <v>2.0962821099534512E-2</v>
      </c>
      <c r="AO87" s="21">
        <f t="shared" si="27"/>
        <v>0.01</v>
      </c>
      <c r="AP87" s="122" t="e">
        <f t="shared" si="454"/>
        <v>#DIV/0!</v>
      </c>
    </row>
    <row r="88" spans="2:42" x14ac:dyDescent="0.15">
      <c r="B88" s="10" t="s">
        <v>213</v>
      </c>
      <c r="C88" s="108"/>
      <c r="D88" s="108"/>
      <c r="E88" s="108"/>
      <c r="F88" s="120"/>
      <c r="G88" s="120">
        <f t="shared" ref="G88" si="537">(G86+G87)</f>
        <v>754.76345840130512</v>
      </c>
      <c r="H88" s="120">
        <f t="shared" ref="H88:I88" si="538">(H86+H87)</f>
        <v>887.19155844155841</v>
      </c>
      <c r="I88" s="120">
        <f t="shared" si="538"/>
        <v>945.02812148481439</v>
      </c>
      <c r="J88" s="120">
        <f t="shared" ref="J88:Q88" si="539">(J86+J87)</f>
        <v>1341.6685205784204</v>
      </c>
      <c r="K88" s="120">
        <f t="shared" si="539"/>
        <v>1439.2625899280574</v>
      </c>
      <c r="L88" s="120">
        <f t="shared" si="539"/>
        <v>1331.8974820143885</v>
      </c>
      <c r="M88" s="120">
        <f t="shared" si="539"/>
        <v>1675.5305755395682</v>
      </c>
      <c r="N88" s="120">
        <f t="shared" si="539"/>
        <v>1821.4769765421374</v>
      </c>
      <c r="O88" s="120">
        <f t="shared" si="539"/>
        <v>2082.1527777777778</v>
      </c>
      <c r="P88" s="120">
        <f t="shared" si="539"/>
        <v>2217.3980919340852</v>
      </c>
      <c r="Q88" s="120">
        <f t="shared" si="539"/>
        <v>2327.0347826086959</v>
      </c>
      <c r="R88" s="120">
        <f t="shared" ref="R88:V88" si="540">(R86+R87)</f>
        <v>522.90328151986182</v>
      </c>
      <c r="S88" s="120">
        <f t="shared" si="540"/>
        <v>492.33046471600687</v>
      </c>
      <c r="T88" s="120">
        <f t="shared" si="540"/>
        <v>523.19759450171819</v>
      </c>
      <c r="U88" s="120">
        <f t="shared" si="540"/>
        <v>579.76168224299067</v>
      </c>
      <c r="V88" s="120">
        <f t="shared" si="540"/>
        <v>618.32298136645966</v>
      </c>
      <c r="W88" s="120">
        <f t="shared" ref="W88" si="541">(W86+W87)</f>
        <v>685.42812982998453</v>
      </c>
      <c r="X88" s="120">
        <f t="shared" ref="X88:AA88" si="542">(X86+X87)</f>
        <v>776.52387843704776</v>
      </c>
      <c r="Y88" s="120">
        <f t="shared" ref="Y88:Z88" si="543">(Y86+Y87)</f>
        <v>817.14265129682997</v>
      </c>
      <c r="Z88" s="120">
        <f t="shared" si="543"/>
        <v>916.26217765042975</v>
      </c>
      <c r="AA88" s="120">
        <f t="shared" si="542"/>
        <v>1174.9460227272727</v>
      </c>
      <c r="AB88" s="101">
        <f t="shared" si="416"/>
        <v>2.2375309060381765E-2</v>
      </c>
      <c r="AC88" s="109"/>
      <c r="AD88" s="131">
        <f t="shared" ref="AD88:AM88" si="544">(AD86+AD87)</f>
        <v>1267.0986519607843</v>
      </c>
      <c r="AE88" s="131">
        <f t="shared" si="544"/>
        <v>1366.4789383890811</v>
      </c>
      <c r="AF88" s="131">
        <f t="shared" si="544"/>
        <v>1473.653757086264</v>
      </c>
      <c r="AG88" s="131">
        <f t="shared" si="544"/>
        <v>1589.2344439165597</v>
      </c>
      <c r="AH88" s="131">
        <f t="shared" si="544"/>
        <v>1713.8802826551134</v>
      </c>
      <c r="AI88" s="131">
        <f t="shared" si="544"/>
        <v>1848.3022656084556</v>
      </c>
      <c r="AJ88" s="131">
        <f t="shared" si="544"/>
        <v>1993.2671491855895</v>
      </c>
      <c r="AK88" s="131">
        <f t="shared" si="544"/>
        <v>2149.6018275530869</v>
      </c>
      <c r="AL88" s="131">
        <f t="shared" si="544"/>
        <v>2318.1980493219567</v>
      </c>
      <c r="AM88" s="131">
        <f t="shared" si="544"/>
        <v>2500.017504170738</v>
      </c>
      <c r="AN88" s="114">
        <f t="shared" si="463"/>
        <v>2.0962821099534512E-2</v>
      </c>
      <c r="AO88" s="21">
        <f t="shared" si="27"/>
        <v>0.01</v>
      </c>
      <c r="AP88" s="122" t="e">
        <f t="shared" si="454"/>
        <v>#DIV/0!</v>
      </c>
    </row>
    <row r="89" spans="2:42" x14ac:dyDescent="0.15">
      <c r="B89" s="10" t="s">
        <v>206</v>
      </c>
      <c r="C89" s="108"/>
      <c r="D89" s="108"/>
      <c r="E89" s="108"/>
      <c r="F89" s="120"/>
      <c r="G89" s="120">
        <f t="shared" ref="G89" si="545">G15/G61</f>
        <v>0</v>
      </c>
      <c r="H89" s="120">
        <f t="shared" ref="H89:I89" si="546">H15/H61</f>
        <v>0</v>
      </c>
      <c r="I89" s="120">
        <f t="shared" si="546"/>
        <v>0</v>
      </c>
      <c r="J89" s="120">
        <f t="shared" ref="J89:Q89" si="547">J15/J61</f>
        <v>0</v>
      </c>
      <c r="K89" s="120">
        <f t="shared" si="547"/>
        <v>0</v>
      </c>
      <c r="L89" s="120">
        <f t="shared" si="547"/>
        <v>0</v>
      </c>
      <c r="M89" s="120">
        <f t="shared" si="547"/>
        <v>0</v>
      </c>
      <c r="N89" s="120">
        <f t="shared" si="547"/>
        <v>0</v>
      </c>
      <c r="O89" s="120">
        <f t="shared" si="547"/>
        <v>0</v>
      </c>
      <c r="P89" s="120">
        <f t="shared" si="547"/>
        <v>0</v>
      </c>
      <c r="Q89" s="120">
        <f t="shared" si="547"/>
        <v>0</v>
      </c>
      <c r="R89" s="120">
        <f t="shared" ref="R89:V89" si="548">R15/R61</f>
        <v>0</v>
      </c>
      <c r="S89" s="120">
        <f t="shared" si="548"/>
        <v>0</v>
      </c>
      <c r="T89" s="120">
        <f t="shared" si="548"/>
        <v>0</v>
      </c>
      <c r="U89" s="120">
        <f t="shared" si="548"/>
        <v>0</v>
      </c>
      <c r="V89" s="120">
        <f t="shared" si="548"/>
        <v>0</v>
      </c>
      <c r="W89" s="120">
        <f t="shared" ref="W89" si="549">W15/W61</f>
        <v>0</v>
      </c>
      <c r="X89" s="120">
        <f t="shared" ref="X89:AA89" si="550">X15/X61</f>
        <v>0</v>
      </c>
      <c r="Y89" s="120">
        <f t="shared" ref="Y89:Z89" si="551">Y15/Y61</f>
        <v>0</v>
      </c>
      <c r="Z89" s="120">
        <f t="shared" si="551"/>
        <v>0</v>
      </c>
      <c r="AA89" s="120">
        <f t="shared" si="550"/>
        <v>0</v>
      </c>
      <c r="AB89" s="101" t="e">
        <f t="shared" si="416"/>
        <v>#DIV/0!</v>
      </c>
      <c r="AC89" s="109"/>
      <c r="AD89" s="131">
        <f t="shared" ref="AD89:AM89" si="552">AD15/AD61</f>
        <v>0</v>
      </c>
      <c r="AE89" s="131">
        <f t="shared" si="552"/>
        <v>0</v>
      </c>
      <c r="AF89" s="131">
        <f t="shared" si="552"/>
        <v>0</v>
      </c>
      <c r="AG89" s="131">
        <f t="shared" si="552"/>
        <v>0</v>
      </c>
      <c r="AH89" s="131">
        <f t="shared" si="552"/>
        <v>0</v>
      </c>
      <c r="AI89" s="131">
        <f t="shared" si="552"/>
        <v>0</v>
      </c>
      <c r="AJ89" s="131">
        <f t="shared" si="552"/>
        <v>0</v>
      </c>
      <c r="AK89" s="131">
        <f t="shared" si="552"/>
        <v>0</v>
      </c>
      <c r="AL89" s="131">
        <f t="shared" si="552"/>
        <v>0</v>
      </c>
      <c r="AM89" s="131">
        <f t="shared" si="552"/>
        <v>0</v>
      </c>
      <c r="AN89" s="114" t="e">
        <f t="shared" si="463"/>
        <v>#DIV/0!</v>
      </c>
      <c r="AO89" s="21">
        <f t="shared" si="27"/>
        <v>0.01</v>
      </c>
      <c r="AP89" s="122" t="e">
        <f t="shared" si="454"/>
        <v>#DIV/0!</v>
      </c>
    </row>
    <row r="90" spans="2:42" x14ac:dyDescent="0.15">
      <c r="B90" s="10" t="s">
        <v>207</v>
      </c>
      <c r="C90" s="108"/>
      <c r="D90" s="108"/>
      <c r="E90" s="108"/>
      <c r="F90" s="120"/>
      <c r="G90" s="120">
        <f t="shared" ref="G90" si="553">G16/G61</f>
        <v>67.650897226753671</v>
      </c>
      <c r="H90" s="120">
        <f t="shared" ref="H90:I90" si="554">H16/H61</f>
        <v>67.824675324675326</v>
      </c>
      <c r="I90" s="120">
        <f t="shared" si="554"/>
        <v>46.591676040494939</v>
      </c>
      <c r="J90" s="120">
        <f t="shared" ref="J90:Q90" si="555">J16/J61</f>
        <v>48.275862068965516</v>
      </c>
      <c r="K90" s="120">
        <f t="shared" si="555"/>
        <v>42.068345323741006</v>
      </c>
      <c r="L90" s="120">
        <f t="shared" si="555"/>
        <v>40.440647482014384</v>
      </c>
      <c r="M90" s="120">
        <f t="shared" si="555"/>
        <v>34.730215827338128</v>
      </c>
      <c r="N90" s="120">
        <f t="shared" si="555"/>
        <v>47.688966116420509</v>
      </c>
      <c r="O90" s="120">
        <f t="shared" si="555"/>
        <v>47.144097222222221</v>
      </c>
      <c r="P90" s="120">
        <f t="shared" si="555"/>
        <v>47.467476149176065</v>
      </c>
      <c r="Q90" s="120">
        <f t="shared" si="555"/>
        <v>0</v>
      </c>
      <c r="R90" s="120">
        <f t="shared" ref="R90:V90" si="556">R16/R61</f>
        <v>0</v>
      </c>
      <c r="S90" s="120">
        <f t="shared" si="556"/>
        <v>0</v>
      </c>
      <c r="T90" s="120">
        <f t="shared" si="556"/>
        <v>0</v>
      </c>
      <c r="U90" s="120">
        <f t="shared" si="556"/>
        <v>0</v>
      </c>
      <c r="V90" s="120">
        <f t="shared" si="556"/>
        <v>0</v>
      </c>
      <c r="W90" s="120">
        <f t="shared" ref="W90" si="557">W16/W61</f>
        <v>0</v>
      </c>
      <c r="X90" s="120">
        <f t="shared" ref="X90:AA90" si="558">X16/X61</f>
        <v>0</v>
      </c>
      <c r="Y90" s="120">
        <f t="shared" ref="Y90:Z90" si="559">Y16/Y61</f>
        <v>0</v>
      </c>
      <c r="Z90" s="120">
        <f t="shared" si="559"/>
        <v>0</v>
      </c>
      <c r="AA90" s="120">
        <f t="shared" si="558"/>
        <v>0</v>
      </c>
      <c r="AB90" s="101">
        <f t="shared" si="416"/>
        <v>-1</v>
      </c>
      <c r="AC90" s="109"/>
      <c r="AD90" s="131">
        <f t="shared" ref="AD90:AM90" si="560">AD16/AD61</f>
        <v>0</v>
      </c>
      <c r="AE90" s="131">
        <f t="shared" si="560"/>
        <v>0</v>
      </c>
      <c r="AF90" s="131">
        <f t="shared" si="560"/>
        <v>0</v>
      </c>
      <c r="AG90" s="131">
        <f t="shared" si="560"/>
        <v>0</v>
      </c>
      <c r="AH90" s="131">
        <f t="shared" si="560"/>
        <v>0</v>
      </c>
      <c r="AI90" s="131">
        <f t="shared" si="560"/>
        <v>0</v>
      </c>
      <c r="AJ90" s="131">
        <f t="shared" si="560"/>
        <v>0</v>
      </c>
      <c r="AK90" s="131">
        <f t="shared" si="560"/>
        <v>0</v>
      </c>
      <c r="AL90" s="131">
        <f t="shared" si="560"/>
        <v>0</v>
      </c>
      <c r="AM90" s="131">
        <f t="shared" si="560"/>
        <v>0</v>
      </c>
      <c r="AN90" s="114">
        <f t="shared" si="463"/>
        <v>-1</v>
      </c>
      <c r="AO90" s="21">
        <f t="shared" si="27"/>
        <v>0.01</v>
      </c>
      <c r="AP90" s="122" t="e">
        <f t="shared" si="454"/>
        <v>#DIV/0!</v>
      </c>
    </row>
    <row r="91" spans="2:42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01" t="e">
        <f t="shared" si="416"/>
        <v>#DIV/0!</v>
      </c>
      <c r="AC91" s="10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15"/>
      <c r="AO91" s="115"/>
      <c r="AP91" s="115"/>
    </row>
    <row r="92" spans="2:42" x14ac:dyDescent="0.15">
      <c r="B92" s="10" t="s">
        <v>232</v>
      </c>
      <c r="C92" s="133"/>
      <c r="D92" s="133"/>
      <c r="E92" s="133"/>
      <c r="F92" s="133"/>
      <c r="G92" s="133">
        <f t="shared" ref="G92" si="561">G63</f>
        <v>7.5</v>
      </c>
      <c r="H92" s="133">
        <f t="shared" ref="H92:I92" si="562">H63</f>
        <v>8.5</v>
      </c>
      <c r="I92" s="133">
        <f t="shared" si="562"/>
        <v>8.5</v>
      </c>
      <c r="J92" s="133">
        <f t="shared" ref="J92:Q92" si="563">J63</f>
        <v>10</v>
      </c>
      <c r="K92" s="133">
        <f t="shared" si="563"/>
        <v>11</v>
      </c>
      <c r="L92" s="133">
        <f t="shared" si="563"/>
        <v>11</v>
      </c>
      <c r="M92" s="133">
        <f t="shared" si="563"/>
        <v>12</v>
      </c>
      <c r="N92" s="133">
        <f t="shared" si="563"/>
        <v>14</v>
      </c>
      <c r="O92" s="133">
        <f t="shared" si="563"/>
        <v>16.5</v>
      </c>
      <c r="P92" s="133">
        <f t="shared" si="563"/>
        <v>20</v>
      </c>
      <c r="Q92" s="133">
        <f t="shared" si="563"/>
        <v>0</v>
      </c>
      <c r="R92" s="133">
        <f t="shared" ref="R92:V92" si="564">R63</f>
        <v>0</v>
      </c>
      <c r="S92" s="133">
        <f t="shared" si="564"/>
        <v>0</v>
      </c>
      <c r="T92" s="133">
        <f t="shared" si="564"/>
        <v>0</v>
      </c>
      <c r="U92" s="133">
        <f t="shared" si="564"/>
        <v>0</v>
      </c>
      <c r="V92" s="133">
        <f t="shared" si="564"/>
        <v>0</v>
      </c>
      <c r="W92" s="133">
        <f t="shared" ref="W92" si="565">W63</f>
        <v>0</v>
      </c>
      <c r="X92" s="133">
        <f t="shared" ref="X92:AA92" si="566">X63</f>
        <v>0</v>
      </c>
      <c r="Y92" s="133">
        <f t="shared" ref="Y92:Z92" si="567">Y63</f>
        <v>0</v>
      </c>
      <c r="Z92" s="133">
        <f t="shared" si="567"/>
        <v>0</v>
      </c>
      <c r="AA92" s="133">
        <f t="shared" si="566"/>
        <v>0</v>
      </c>
      <c r="AB92" s="101">
        <f t="shared" si="416"/>
        <v>-1</v>
      </c>
      <c r="AC92" s="109"/>
      <c r="AD92" s="133">
        <f t="shared" ref="AD92:AM92" si="568">AD63</f>
        <v>0</v>
      </c>
      <c r="AE92" s="133">
        <f t="shared" si="568"/>
        <v>0</v>
      </c>
      <c r="AF92" s="133">
        <f t="shared" si="568"/>
        <v>0</v>
      </c>
      <c r="AG92" s="133">
        <f t="shared" si="568"/>
        <v>0</v>
      </c>
      <c r="AH92" s="133">
        <f t="shared" si="568"/>
        <v>0</v>
      </c>
      <c r="AI92" s="133">
        <f t="shared" si="568"/>
        <v>0</v>
      </c>
      <c r="AJ92" s="133">
        <f t="shared" si="568"/>
        <v>0</v>
      </c>
      <c r="AK92" s="133">
        <f t="shared" si="568"/>
        <v>0</v>
      </c>
      <c r="AL92" s="133">
        <f t="shared" si="568"/>
        <v>0</v>
      </c>
      <c r="AM92" s="133">
        <f t="shared" si="568"/>
        <v>0</v>
      </c>
      <c r="AN92" s="114">
        <f t="shared" ref="AN92" si="569">((AM92/J92)^(1/($AM$3-$K$1) ))-1</f>
        <v>-1</v>
      </c>
      <c r="AO92" s="21">
        <f t="shared" si="27"/>
        <v>0.01</v>
      </c>
      <c r="AP92" s="122" t="e">
        <f t="shared" si="454"/>
        <v>#DIV/0!</v>
      </c>
    </row>
    <row r="93" spans="2:42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01" t="e">
        <f t="shared" si="416"/>
        <v>#DIV/0!</v>
      </c>
      <c r="AC93" s="10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15"/>
      <c r="AO93" s="113"/>
      <c r="AP93" s="115"/>
    </row>
    <row r="94" spans="2:42" x14ac:dyDescent="0.15">
      <c r="B94" s="10" t="s">
        <v>262</v>
      </c>
      <c r="C94" s="108"/>
      <c r="D94" s="108"/>
      <c r="E94" s="108"/>
      <c r="F94" s="120"/>
      <c r="G94" s="120">
        <f t="shared" ref="G94" si="570">G20+G21</f>
        <v>6568</v>
      </c>
      <c r="H94" s="120">
        <f t="shared" ref="H94:I94" si="571">H20+H21</f>
        <v>5686</v>
      </c>
      <c r="I94" s="120">
        <f t="shared" si="571"/>
        <v>-3241</v>
      </c>
      <c r="J94" s="120">
        <f t="shared" ref="J94:Q94" si="572">J20+J21</f>
        <v>4699</v>
      </c>
      <c r="K94" s="120">
        <f t="shared" si="572"/>
        <v>-29192</v>
      </c>
      <c r="L94" s="120">
        <f t="shared" si="572"/>
        <v>-10331</v>
      </c>
      <c r="M94" s="120">
        <f t="shared" si="572"/>
        <v>8019</v>
      </c>
      <c r="N94" s="120">
        <f t="shared" si="572"/>
        <v>-9016</v>
      </c>
      <c r="O94" s="120">
        <f t="shared" si="572"/>
        <v>-2597</v>
      </c>
      <c r="P94" s="120">
        <f t="shared" si="572"/>
        <v>1671</v>
      </c>
      <c r="Q94" s="120">
        <f t="shared" si="572"/>
        <v>0</v>
      </c>
      <c r="R94" s="120">
        <f t="shared" ref="R94:V94" si="573">R20+R21</f>
        <v>0</v>
      </c>
      <c r="S94" s="120">
        <f t="shared" si="573"/>
        <v>0</v>
      </c>
      <c r="T94" s="120">
        <f t="shared" si="573"/>
        <v>0</v>
      </c>
      <c r="U94" s="120">
        <f t="shared" si="573"/>
        <v>0</v>
      </c>
      <c r="V94" s="120">
        <f t="shared" si="573"/>
        <v>0</v>
      </c>
      <c r="W94" s="120">
        <f t="shared" ref="W94" si="574">W20+W21</f>
        <v>0</v>
      </c>
      <c r="X94" s="120">
        <f t="shared" ref="X94:AA94" si="575">X20+X21</f>
        <v>0</v>
      </c>
      <c r="Y94" s="120">
        <f t="shared" ref="Y94:Z94" si="576">Y20+Y21</f>
        <v>0</v>
      </c>
      <c r="Z94" s="120">
        <f t="shared" si="576"/>
        <v>0</v>
      </c>
      <c r="AA94" s="120">
        <f t="shared" si="575"/>
        <v>0</v>
      </c>
      <c r="AB94" s="101">
        <f t="shared" si="416"/>
        <v>-1</v>
      </c>
      <c r="AC94" s="109"/>
      <c r="AD94" s="120">
        <f t="shared" ref="AD94:AM94" si="577">AD20+AD21</f>
        <v>0</v>
      </c>
      <c r="AE94" s="120">
        <f t="shared" si="577"/>
        <v>0</v>
      </c>
      <c r="AF94" s="120">
        <f t="shared" si="577"/>
        <v>0</v>
      </c>
      <c r="AG94" s="120">
        <f t="shared" si="577"/>
        <v>0</v>
      </c>
      <c r="AH94" s="120">
        <f t="shared" si="577"/>
        <v>0</v>
      </c>
      <c r="AI94" s="120">
        <f t="shared" si="577"/>
        <v>0</v>
      </c>
      <c r="AJ94" s="120">
        <f t="shared" si="577"/>
        <v>0</v>
      </c>
      <c r="AK94" s="120">
        <f t="shared" si="577"/>
        <v>0</v>
      </c>
      <c r="AL94" s="120">
        <f t="shared" si="577"/>
        <v>0</v>
      </c>
      <c r="AM94" s="120">
        <f t="shared" si="577"/>
        <v>0</v>
      </c>
      <c r="AN94" s="114">
        <f t="shared" ref="AN94:AN99" si="578">((AM94/J94)^(1/($AM$3-$K$1) ))-1</f>
        <v>-1</v>
      </c>
      <c r="AO94" s="21">
        <f t="shared" si="27"/>
        <v>0.01</v>
      </c>
      <c r="AP94" s="122" t="e">
        <f t="shared" si="454"/>
        <v>#DIV/0!</v>
      </c>
    </row>
    <row r="95" spans="2:42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01" t="e">
        <f t="shared" si="416"/>
        <v>#DIV/0!</v>
      </c>
      <c r="AC95" s="10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15"/>
      <c r="AO95" s="113"/>
      <c r="AP95" s="115"/>
    </row>
    <row r="96" spans="2:42" x14ac:dyDescent="0.15">
      <c r="B96" s="10" t="s">
        <v>263</v>
      </c>
      <c r="C96" s="108"/>
      <c r="D96" s="108"/>
      <c r="E96" s="108"/>
      <c r="F96" s="120"/>
      <c r="G96" s="120">
        <f t="shared" ref="G96" si="579">G94/G61</f>
        <v>107.14518760195759</v>
      </c>
      <c r="H96" s="120">
        <f t="shared" ref="H96:I96" si="580">H94/H61</f>
        <v>92.305194805194802</v>
      </c>
      <c r="I96" s="120">
        <f t="shared" si="580"/>
        <v>-36.456692913385822</v>
      </c>
      <c r="J96" s="120">
        <f t="shared" ref="J96:Q96" si="581">J94/J61</f>
        <v>52.269187986651829</v>
      </c>
      <c r="K96" s="120">
        <f t="shared" si="581"/>
        <v>-262.51798561151077</v>
      </c>
      <c r="L96" s="120">
        <f t="shared" si="581"/>
        <v>-92.904676258992808</v>
      </c>
      <c r="M96" s="120">
        <f t="shared" si="581"/>
        <v>72.113309352517987</v>
      </c>
      <c r="N96" s="120">
        <f t="shared" si="581"/>
        <v>-78.33188531711555</v>
      </c>
      <c r="O96" s="120">
        <f t="shared" si="581"/>
        <v>-22.543402777777779</v>
      </c>
      <c r="P96" s="120">
        <f t="shared" si="581"/>
        <v>14.492627927146575</v>
      </c>
      <c r="Q96" s="120">
        <f t="shared" si="581"/>
        <v>0</v>
      </c>
      <c r="R96" s="120">
        <f t="shared" ref="R96:V96" si="582">R94/R61</f>
        <v>0</v>
      </c>
      <c r="S96" s="120">
        <f t="shared" si="582"/>
        <v>0</v>
      </c>
      <c r="T96" s="120">
        <f t="shared" si="582"/>
        <v>0</v>
      </c>
      <c r="U96" s="120">
        <f t="shared" si="582"/>
        <v>0</v>
      </c>
      <c r="V96" s="120">
        <f t="shared" si="582"/>
        <v>0</v>
      </c>
      <c r="W96" s="120">
        <f t="shared" ref="W96" si="583">W94/W61</f>
        <v>0</v>
      </c>
      <c r="X96" s="120">
        <f t="shared" ref="X96:AA96" si="584">X94/X61</f>
        <v>0</v>
      </c>
      <c r="Y96" s="120">
        <f t="shared" ref="Y96:Z96" si="585">Y94/Y61</f>
        <v>0</v>
      </c>
      <c r="Z96" s="120">
        <f t="shared" si="585"/>
        <v>0</v>
      </c>
      <c r="AA96" s="120">
        <f t="shared" si="584"/>
        <v>0</v>
      </c>
      <c r="AB96" s="101">
        <f t="shared" si="416"/>
        <v>-1</v>
      </c>
      <c r="AC96" s="109"/>
      <c r="AD96" s="122">
        <f t="shared" ref="AD96:AM96" si="586">AD94/AD61</f>
        <v>0</v>
      </c>
      <c r="AE96" s="122">
        <f t="shared" si="586"/>
        <v>0</v>
      </c>
      <c r="AF96" s="122">
        <f t="shared" si="586"/>
        <v>0</v>
      </c>
      <c r="AG96" s="122">
        <f t="shared" si="586"/>
        <v>0</v>
      </c>
      <c r="AH96" s="122">
        <f t="shared" si="586"/>
        <v>0</v>
      </c>
      <c r="AI96" s="122">
        <f t="shared" si="586"/>
        <v>0</v>
      </c>
      <c r="AJ96" s="122">
        <f t="shared" si="586"/>
        <v>0</v>
      </c>
      <c r="AK96" s="122">
        <f t="shared" si="586"/>
        <v>0</v>
      </c>
      <c r="AL96" s="122">
        <f t="shared" si="586"/>
        <v>0</v>
      </c>
      <c r="AM96" s="122">
        <f t="shared" si="586"/>
        <v>0</v>
      </c>
      <c r="AN96" s="114">
        <f t="shared" si="578"/>
        <v>-1</v>
      </c>
      <c r="AO96" s="21">
        <f t="shared" si="27"/>
        <v>0.01</v>
      </c>
      <c r="AP96" s="122" t="e">
        <f t="shared" si="454"/>
        <v>#DIV/0!</v>
      </c>
    </row>
    <row r="97" spans="2:42" x14ac:dyDescent="0.15">
      <c r="B97" s="10" t="s">
        <v>236</v>
      </c>
      <c r="C97" s="108"/>
      <c r="D97" s="108"/>
      <c r="E97" s="108"/>
      <c r="F97" s="120"/>
      <c r="G97" s="120">
        <f t="shared" ref="G97" si="587">G20/G61</f>
        <v>128.72756933115824</v>
      </c>
      <c r="H97" s="120">
        <f t="shared" ref="H97:I97" si="588">H20/H61</f>
        <v>148.23051948051949</v>
      </c>
      <c r="I97" s="120">
        <f t="shared" si="588"/>
        <v>52.328458942632167</v>
      </c>
      <c r="J97" s="120">
        <f t="shared" ref="J97:Q97" si="589">J20/J61</f>
        <v>256.51835372636259</v>
      </c>
      <c r="K97" s="120">
        <f t="shared" si="589"/>
        <v>-104.59532374100719</v>
      </c>
      <c r="L97" s="120">
        <f t="shared" si="589"/>
        <v>-127.58992805755395</v>
      </c>
      <c r="M97" s="120">
        <f t="shared" si="589"/>
        <v>16.807553956834532</v>
      </c>
      <c r="N97" s="120">
        <f t="shared" si="589"/>
        <v>-60.017376194613384</v>
      </c>
      <c r="O97" s="120">
        <f t="shared" si="589"/>
        <v>84.053819444444443</v>
      </c>
      <c r="P97" s="120">
        <f t="shared" si="589"/>
        <v>96.287944492627929</v>
      </c>
      <c r="Q97" s="120">
        <f t="shared" si="589"/>
        <v>0</v>
      </c>
      <c r="R97" s="120">
        <f t="shared" ref="R97:V97" si="590">R20/R61</f>
        <v>0</v>
      </c>
      <c r="S97" s="120">
        <f t="shared" si="590"/>
        <v>0</v>
      </c>
      <c r="T97" s="120">
        <f t="shared" si="590"/>
        <v>0</v>
      </c>
      <c r="U97" s="120">
        <f t="shared" si="590"/>
        <v>0</v>
      </c>
      <c r="V97" s="120">
        <f t="shared" si="590"/>
        <v>0</v>
      </c>
      <c r="W97" s="120">
        <f t="shared" ref="W97" si="591">W20/W61</f>
        <v>0</v>
      </c>
      <c r="X97" s="120">
        <f t="shared" ref="X97:AA97" si="592">X20/X61</f>
        <v>0</v>
      </c>
      <c r="Y97" s="120">
        <f t="shared" ref="Y97:Z97" si="593">Y20/Y61</f>
        <v>0</v>
      </c>
      <c r="Z97" s="120">
        <f t="shared" si="593"/>
        <v>0</v>
      </c>
      <c r="AA97" s="120">
        <f t="shared" si="592"/>
        <v>0</v>
      </c>
      <c r="AB97" s="101">
        <f t="shared" si="416"/>
        <v>-1</v>
      </c>
      <c r="AC97" s="109"/>
      <c r="AD97" s="122">
        <f t="shared" ref="AD97:AM97" si="594">AD20/AD61</f>
        <v>0</v>
      </c>
      <c r="AE97" s="122">
        <f t="shared" si="594"/>
        <v>0</v>
      </c>
      <c r="AF97" s="122">
        <f t="shared" si="594"/>
        <v>0</v>
      </c>
      <c r="AG97" s="122">
        <f t="shared" si="594"/>
        <v>0</v>
      </c>
      <c r="AH97" s="122">
        <f t="shared" si="594"/>
        <v>0</v>
      </c>
      <c r="AI97" s="122">
        <f t="shared" si="594"/>
        <v>0</v>
      </c>
      <c r="AJ97" s="122">
        <f t="shared" si="594"/>
        <v>0</v>
      </c>
      <c r="AK97" s="122">
        <f t="shared" si="594"/>
        <v>0</v>
      </c>
      <c r="AL97" s="122">
        <f t="shared" si="594"/>
        <v>0</v>
      </c>
      <c r="AM97" s="122">
        <f t="shared" si="594"/>
        <v>0</v>
      </c>
      <c r="AN97" s="114">
        <f t="shared" si="578"/>
        <v>-1</v>
      </c>
      <c r="AO97" s="21">
        <f t="shared" si="27"/>
        <v>0.01</v>
      </c>
      <c r="AP97" s="122" t="e">
        <f t="shared" si="454"/>
        <v>#DIV/0!</v>
      </c>
    </row>
    <row r="98" spans="2:42" x14ac:dyDescent="0.15">
      <c r="B98" s="10" t="s">
        <v>237</v>
      </c>
      <c r="C98" s="108"/>
      <c r="D98" s="108"/>
      <c r="E98" s="108"/>
      <c r="F98" s="120"/>
      <c r="G98" s="120">
        <f t="shared" ref="G98" si="595">G21/G61</f>
        <v>-21.582381729200655</v>
      </c>
      <c r="H98" s="120">
        <f t="shared" ref="H98:I98" si="596">H21/H61</f>
        <v>-55.925324675324674</v>
      </c>
      <c r="I98" s="120">
        <f t="shared" si="596"/>
        <v>-88.78515185601799</v>
      </c>
      <c r="J98" s="120">
        <f t="shared" ref="J98:Q98" si="597">J21/J61</f>
        <v>-204.24916573971078</v>
      </c>
      <c r="K98" s="120">
        <f t="shared" si="597"/>
        <v>-157.92266187050359</v>
      </c>
      <c r="L98" s="120">
        <f t="shared" si="597"/>
        <v>34.685251798561147</v>
      </c>
      <c r="M98" s="120">
        <f t="shared" si="597"/>
        <v>55.305755395683455</v>
      </c>
      <c r="N98" s="120">
        <f t="shared" si="597"/>
        <v>-18.314509122502173</v>
      </c>
      <c r="O98" s="120">
        <f t="shared" si="597"/>
        <v>-106.59722222222221</v>
      </c>
      <c r="P98" s="120">
        <f t="shared" si="597"/>
        <v>-81.795316565481357</v>
      </c>
      <c r="Q98" s="120">
        <f t="shared" si="597"/>
        <v>0</v>
      </c>
      <c r="R98" s="120">
        <f t="shared" ref="R98:V98" si="598">R21/R61</f>
        <v>0</v>
      </c>
      <c r="S98" s="120">
        <f t="shared" si="598"/>
        <v>0</v>
      </c>
      <c r="T98" s="120">
        <f t="shared" si="598"/>
        <v>0</v>
      </c>
      <c r="U98" s="120">
        <f t="shared" si="598"/>
        <v>0</v>
      </c>
      <c r="V98" s="120">
        <f t="shared" si="598"/>
        <v>0</v>
      </c>
      <c r="W98" s="120">
        <f t="shared" ref="W98" si="599">W21/W61</f>
        <v>0</v>
      </c>
      <c r="X98" s="120">
        <f t="shared" ref="X98:AA98" si="600">X21/X61</f>
        <v>0</v>
      </c>
      <c r="Y98" s="120">
        <f t="shared" ref="Y98:Z98" si="601">Y21/Y61</f>
        <v>0</v>
      </c>
      <c r="Z98" s="120">
        <f t="shared" si="601"/>
        <v>0</v>
      </c>
      <c r="AA98" s="120">
        <f t="shared" si="600"/>
        <v>0</v>
      </c>
      <c r="AB98" s="101">
        <f t="shared" si="416"/>
        <v>-1</v>
      </c>
      <c r="AC98" s="109"/>
      <c r="AD98" s="122">
        <f t="shared" ref="AD98:AM98" si="602">AD21/AD61</f>
        <v>0</v>
      </c>
      <c r="AE98" s="122">
        <f t="shared" si="602"/>
        <v>0</v>
      </c>
      <c r="AF98" s="122">
        <f t="shared" si="602"/>
        <v>0</v>
      </c>
      <c r="AG98" s="122">
        <f t="shared" si="602"/>
        <v>0</v>
      </c>
      <c r="AH98" s="122">
        <f t="shared" si="602"/>
        <v>0</v>
      </c>
      <c r="AI98" s="122">
        <f t="shared" si="602"/>
        <v>0</v>
      </c>
      <c r="AJ98" s="122">
        <f t="shared" si="602"/>
        <v>0</v>
      </c>
      <c r="AK98" s="122">
        <f t="shared" si="602"/>
        <v>0</v>
      </c>
      <c r="AL98" s="122">
        <f t="shared" si="602"/>
        <v>0</v>
      </c>
      <c r="AM98" s="122">
        <f t="shared" si="602"/>
        <v>0</v>
      </c>
      <c r="AN98" s="114">
        <f t="shared" si="578"/>
        <v>-1</v>
      </c>
      <c r="AO98" s="21">
        <f t="shared" si="27"/>
        <v>0.01</v>
      </c>
      <c r="AP98" s="122" t="e">
        <f t="shared" si="454"/>
        <v>#DIV/0!</v>
      </c>
    </row>
    <row r="99" spans="2:42" x14ac:dyDescent="0.15">
      <c r="B99" s="10" t="s">
        <v>238</v>
      </c>
      <c r="C99" s="108"/>
      <c r="D99" s="108"/>
      <c r="E99" s="108"/>
      <c r="F99" s="120"/>
      <c r="G99" s="120">
        <f t="shared" ref="G99" si="603">G22/G61</f>
        <v>-74.828711256117458</v>
      </c>
      <c r="H99" s="120">
        <f t="shared" ref="H99:I99" si="604">H22/H61</f>
        <v>-19.918831168831169</v>
      </c>
      <c r="I99" s="120">
        <f t="shared" si="604"/>
        <v>82.677165354330697</v>
      </c>
      <c r="J99" s="120">
        <f t="shared" ref="J99:Q99" si="605">J22/J61</f>
        <v>171.4571746384872</v>
      </c>
      <c r="K99" s="120">
        <f t="shared" si="605"/>
        <v>269.46043165467626</v>
      </c>
      <c r="L99" s="120">
        <f t="shared" si="605"/>
        <v>14.613309352517986</v>
      </c>
      <c r="M99" s="120">
        <f t="shared" si="605"/>
        <v>12.428057553956835</v>
      </c>
      <c r="N99" s="120">
        <f t="shared" si="605"/>
        <v>37.211120764552568</v>
      </c>
      <c r="O99" s="120">
        <f t="shared" si="605"/>
        <v>33.237847222222221</v>
      </c>
      <c r="P99" s="120">
        <f t="shared" si="605"/>
        <v>25.923677363399825</v>
      </c>
      <c r="Q99" s="120">
        <f t="shared" si="605"/>
        <v>0</v>
      </c>
      <c r="R99" s="120">
        <f t="shared" ref="R99:V99" si="606">R22/R61</f>
        <v>0</v>
      </c>
      <c r="S99" s="120">
        <f t="shared" si="606"/>
        <v>0</v>
      </c>
      <c r="T99" s="120">
        <f t="shared" si="606"/>
        <v>0</v>
      </c>
      <c r="U99" s="120">
        <f t="shared" si="606"/>
        <v>0</v>
      </c>
      <c r="V99" s="120">
        <f t="shared" si="606"/>
        <v>0</v>
      </c>
      <c r="W99" s="120">
        <f t="shared" ref="W99" si="607">W22/W61</f>
        <v>0</v>
      </c>
      <c r="X99" s="120">
        <f t="shared" ref="X99:AA99" si="608">X22/X61</f>
        <v>0</v>
      </c>
      <c r="Y99" s="120">
        <f t="shared" ref="Y99:Z99" si="609">Y22/Y61</f>
        <v>0</v>
      </c>
      <c r="Z99" s="120">
        <f t="shared" si="609"/>
        <v>0</v>
      </c>
      <c r="AA99" s="120">
        <f t="shared" si="608"/>
        <v>0</v>
      </c>
      <c r="AB99" s="101">
        <f t="shared" si="416"/>
        <v>-1</v>
      </c>
      <c r="AC99" s="109"/>
      <c r="AD99" s="122">
        <f t="shared" ref="AD99:AM99" si="610">AD22/AD61</f>
        <v>0</v>
      </c>
      <c r="AE99" s="122">
        <f t="shared" si="610"/>
        <v>0</v>
      </c>
      <c r="AF99" s="122">
        <f t="shared" si="610"/>
        <v>0</v>
      </c>
      <c r="AG99" s="122">
        <f t="shared" si="610"/>
        <v>0</v>
      </c>
      <c r="AH99" s="122">
        <f t="shared" si="610"/>
        <v>0</v>
      </c>
      <c r="AI99" s="122">
        <f t="shared" si="610"/>
        <v>0</v>
      </c>
      <c r="AJ99" s="122">
        <f t="shared" si="610"/>
        <v>0</v>
      </c>
      <c r="AK99" s="122">
        <f t="shared" si="610"/>
        <v>0</v>
      </c>
      <c r="AL99" s="122">
        <f t="shared" si="610"/>
        <v>0</v>
      </c>
      <c r="AM99" s="122">
        <f t="shared" si="610"/>
        <v>0</v>
      </c>
      <c r="AN99" s="114">
        <f t="shared" si="578"/>
        <v>-1</v>
      </c>
      <c r="AO99" s="21">
        <f t="shared" si="27"/>
        <v>0.01</v>
      </c>
      <c r="AP99" s="122" t="e">
        <f t="shared" si="454"/>
        <v>#DIV/0!</v>
      </c>
    </row>
    <row r="100" spans="2:42" x14ac:dyDescent="0.15">
      <c r="B100" s="10" t="s">
        <v>245</v>
      </c>
      <c r="C100" s="108"/>
      <c r="D100" s="108"/>
      <c r="E100" s="108"/>
      <c r="F100" s="120"/>
      <c r="G100" s="120">
        <f t="shared" ref="G100" si="611">G23/G61</f>
        <v>138.17292006525287</v>
      </c>
      <c r="H100" s="120">
        <f t="shared" ref="H100:I100" si="612">H23/H61</f>
        <v>209.88636363636363</v>
      </c>
      <c r="I100" s="120">
        <f t="shared" si="612"/>
        <v>191.67604049493812</v>
      </c>
      <c r="J100" s="120">
        <f t="shared" ref="J100:Q100" si="613">J23/J61</f>
        <v>412.91434927697441</v>
      </c>
      <c r="K100" s="120">
        <f t="shared" si="613"/>
        <v>342.09532374100718</v>
      </c>
      <c r="L100" s="120">
        <f t="shared" si="613"/>
        <v>-127.58992805755395</v>
      </c>
      <c r="M100" s="120">
        <f t="shared" si="613"/>
        <v>269.47841726618702</v>
      </c>
      <c r="N100" s="120">
        <f t="shared" si="613"/>
        <v>337.73240660295397</v>
      </c>
      <c r="O100" s="120">
        <f t="shared" si="613"/>
        <v>295.92013888888886</v>
      </c>
      <c r="P100" s="120">
        <f t="shared" si="613"/>
        <v>359.21075455333914</v>
      </c>
      <c r="Q100" s="120">
        <f t="shared" si="613"/>
        <v>0</v>
      </c>
      <c r="R100" s="120">
        <f t="shared" ref="R100:V100" si="614">R23/R61</f>
        <v>0</v>
      </c>
      <c r="S100" s="120">
        <f t="shared" si="614"/>
        <v>0</v>
      </c>
      <c r="T100" s="120">
        <f t="shared" si="614"/>
        <v>0</v>
      </c>
      <c r="U100" s="120">
        <f t="shared" si="614"/>
        <v>0</v>
      </c>
      <c r="V100" s="120">
        <f t="shared" si="614"/>
        <v>0</v>
      </c>
      <c r="W100" s="120">
        <f t="shared" ref="W100" si="615">W23/W61</f>
        <v>0</v>
      </c>
      <c r="X100" s="120">
        <f t="shared" ref="X100:AA100" si="616">X23/X61</f>
        <v>0</v>
      </c>
      <c r="Y100" s="120">
        <f t="shared" ref="Y100:Z100" si="617">Y23/Y61</f>
        <v>0</v>
      </c>
      <c r="Z100" s="120">
        <f t="shared" si="617"/>
        <v>0</v>
      </c>
      <c r="AA100" s="120">
        <f t="shared" si="616"/>
        <v>0</v>
      </c>
      <c r="AB100" s="101">
        <f t="shared" si="416"/>
        <v>-1</v>
      </c>
      <c r="AC100" s="109"/>
      <c r="AD100" s="122">
        <f t="shared" ref="AD100:AM100" si="618">AD23/AD61</f>
        <v>0</v>
      </c>
      <c r="AE100" s="122">
        <f t="shared" si="618"/>
        <v>0</v>
      </c>
      <c r="AF100" s="122">
        <f t="shared" si="618"/>
        <v>0</v>
      </c>
      <c r="AG100" s="122">
        <f t="shared" si="618"/>
        <v>0</v>
      </c>
      <c r="AH100" s="122">
        <f t="shared" si="618"/>
        <v>0</v>
      </c>
      <c r="AI100" s="122">
        <f t="shared" si="618"/>
        <v>0</v>
      </c>
      <c r="AJ100" s="122">
        <f t="shared" si="618"/>
        <v>0</v>
      </c>
      <c r="AK100" s="122">
        <f t="shared" si="618"/>
        <v>0</v>
      </c>
      <c r="AL100" s="122">
        <f t="shared" si="618"/>
        <v>0</v>
      </c>
      <c r="AM100" s="122">
        <f t="shared" si="618"/>
        <v>0</v>
      </c>
      <c r="AN100" s="114">
        <f t="shared" ref="AN100" si="619">((AM100/J100)^(1/($AM$3-$K$1) ))-1</f>
        <v>-1</v>
      </c>
      <c r="AO100" s="21">
        <f t="shared" si="27"/>
        <v>0.01</v>
      </c>
      <c r="AP100" s="122" t="e">
        <f t="shared" si="454"/>
        <v>#DIV/0!</v>
      </c>
    </row>
    <row r="101" spans="2:42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01" t="e">
        <f t="shared" si="416"/>
        <v>#DIV/0!</v>
      </c>
      <c r="AC101" s="10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15"/>
      <c r="AO101" s="113"/>
      <c r="AP101" s="115"/>
    </row>
    <row r="102" spans="2:42" x14ac:dyDescent="0.15">
      <c r="B102" s="10" t="s">
        <v>428</v>
      </c>
      <c r="C102" s="120"/>
      <c r="D102" s="120"/>
      <c r="E102" s="120"/>
      <c r="F102" s="120"/>
      <c r="G102" s="120">
        <f t="shared" ref="G102" si="620">G53/G61</f>
        <v>1.6313213703099513E-2</v>
      </c>
      <c r="H102" s="120">
        <f t="shared" ref="H102:I102" si="621">H53/H61</f>
        <v>1.6233766233766232E-2</v>
      </c>
      <c r="I102" s="120">
        <f t="shared" si="621"/>
        <v>1.1248593925759279E-2</v>
      </c>
      <c r="J102" s="120">
        <f t="shared" ref="J102:Q102" si="622">J53/J61</f>
        <v>1.1123470522803113E-2</v>
      </c>
      <c r="K102" s="120">
        <f t="shared" si="622"/>
        <v>9.8920863309352514E-2</v>
      </c>
      <c r="L102" s="120">
        <f t="shared" si="622"/>
        <v>8.9928057553956831E-3</v>
      </c>
      <c r="M102" s="120">
        <f t="shared" si="622"/>
        <v>8.9928057553956831E-3</v>
      </c>
      <c r="N102" s="120">
        <f t="shared" si="622"/>
        <v>8.6880973066898355E-3</v>
      </c>
      <c r="O102" s="120">
        <f t="shared" si="622"/>
        <v>8.6805555555555559E-3</v>
      </c>
      <c r="P102" s="120">
        <f t="shared" si="622"/>
        <v>7.3547267996530792</v>
      </c>
      <c r="Q102" s="120">
        <f t="shared" si="622"/>
        <v>0</v>
      </c>
      <c r="R102" s="120">
        <f t="shared" ref="R102:V102" si="623">R53/R61</f>
        <v>0</v>
      </c>
      <c r="S102" s="120">
        <f t="shared" si="623"/>
        <v>0</v>
      </c>
      <c r="T102" s="120">
        <f t="shared" si="623"/>
        <v>0</v>
      </c>
      <c r="U102" s="120">
        <f t="shared" si="623"/>
        <v>0</v>
      </c>
      <c r="V102" s="120">
        <f t="shared" si="623"/>
        <v>0</v>
      </c>
      <c r="W102" s="120">
        <f t="shared" ref="W102" si="624">W53/W61</f>
        <v>0</v>
      </c>
      <c r="X102" s="120">
        <f t="shared" ref="X102:AA102" si="625">X53/X61</f>
        <v>0</v>
      </c>
      <c r="Y102" s="120">
        <f t="shared" ref="Y102:Z102" si="626">Y53/Y61</f>
        <v>0</v>
      </c>
      <c r="Z102" s="120">
        <f t="shared" si="626"/>
        <v>0</v>
      </c>
      <c r="AA102" s="120">
        <f t="shared" si="625"/>
        <v>0</v>
      </c>
      <c r="AB102" s="101">
        <f t="shared" si="416"/>
        <v>-1</v>
      </c>
      <c r="AC102" s="109"/>
      <c r="AD102" s="120">
        <f t="shared" ref="AD102:AM102" si="627">AD53/AD61</f>
        <v>0</v>
      </c>
      <c r="AE102" s="120">
        <f t="shared" si="627"/>
        <v>0</v>
      </c>
      <c r="AF102" s="120">
        <f t="shared" si="627"/>
        <v>0</v>
      </c>
      <c r="AG102" s="120">
        <f t="shared" si="627"/>
        <v>0</v>
      </c>
      <c r="AH102" s="120">
        <f t="shared" si="627"/>
        <v>0</v>
      </c>
      <c r="AI102" s="120">
        <f t="shared" si="627"/>
        <v>0</v>
      </c>
      <c r="AJ102" s="120">
        <f t="shared" si="627"/>
        <v>0</v>
      </c>
      <c r="AK102" s="120">
        <f t="shared" si="627"/>
        <v>0</v>
      </c>
      <c r="AL102" s="120">
        <f t="shared" si="627"/>
        <v>0</v>
      </c>
      <c r="AM102" s="120">
        <f t="shared" si="627"/>
        <v>0</v>
      </c>
      <c r="AN102" s="114">
        <f t="shared" ref="AN102:AN104" si="628">((AM102/J102)^(1/($AM$3-$K$1) ))-1</f>
        <v>-1</v>
      </c>
      <c r="AO102" s="21">
        <f t="shared" si="27"/>
        <v>0.01</v>
      </c>
      <c r="AP102" s="122" t="e">
        <f t="shared" si="454"/>
        <v>#DIV/0!</v>
      </c>
    </row>
    <row r="103" spans="2:42" x14ac:dyDescent="0.15">
      <c r="B103" s="10" t="s">
        <v>429</v>
      </c>
      <c r="C103" s="120"/>
      <c r="D103" s="120"/>
      <c r="E103" s="120"/>
      <c r="F103" s="120"/>
      <c r="G103" s="120">
        <f t="shared" ref="G103" si="629">G59/G61</f>
        <v>25.774877650897228</v>
      </c>
      <c r="H103" s="120">
        <f t="shared" ref="H103:I103" si="630">H59/H61</f>
        <v>28.831168831168831</v>
      </c>
      <c r="I103" s="120">
        <f t="shared" si="630"/>
        <v>25.961754780652416</v>
      </c>
      <c r="J103" s="120">
        <f t="shared" ref="J103:Q103" si="631">J59/J61</f>
        <v>26.573971078976641</v>
      </c>
      <c r="K103" s="120">
        <f t="shared" si="631"/>
        <v>27.940647482014388</v>
      </c>
      <c r="L103" s="120">
        <f t="shared" si="631"/>
        <v>35.323741007194243</v>
      </c>
      <c r="M103" s="120">
        <f t="shared" si="631"/>
        <v>48.381294964028775</v>
      </c>
      <c r="N103" s="120">
        <f t="shared" si="631"/>
        <v>69.539530842745435</v>
      </c>
      <c r="O103" s="120">
        <f t="shared" si="631"/>
        <v>103.68055555555556</v>
      </c>
      <c r="P103" s="120">
        <f t="shared" si="631"/>
        <v>146.86903729401561</v>
      </c>
      <c r="Q103" s="120">
        <f t="shared" si="631"/>
        <v>101.53913043478261</v>
      </c>
      <c r="R103" s="120">
        <f t="shared" ref="R103:V103" si="632">R59/R61</f>
        <v>22.352331606217618</v>
      </c>
      <c r="S103" s="120">
        <f t="shared" si="632"/>
        <v>18.80550774526678</v>
      </c>
      <c r="T103" s="120">
        <f t="shared" si="632"/>
        <v>19.484536082474225</v>
      </c>
      <c r="U103" s="120">
        <f t="shared" si="632"/>
        <v>14.172897196261681</v>
      </c>
      <c r="V103" s="120">
        <f t="shared" si="632"/>
        <v>8.8338509316770182</v>
      </c>
      <c r="W103" s="120">
        <f t="shared" ref="W103" si="633">W59/W61</f>
        <v>17.349304482225659</v>
      </c>
      <c r="X103" s="120">
        <f t="shared" ref="X103:AA103" si="634">X59/X61</f>
        <v>29.260492040520983</v>
      </c>
      <c r="Y103" s="120">
        <f t="shared" ref="Y103:Z103" si="635">Y59/Y61</f>
        <v>37.15129682997118</v>
      </c>
      <c r="Z103" s="120">
        <f t="shared" si="635"/>
        <v>49.373925501432666</v>
      </c>
      <c r="AA103" s="120">
        <f t="shared" si="634"/>
        <v>65.455965909090907</v>
      </c>
      <c r="AB103" s="101">
        <f t="shared" si="416"/>
        <v>4.7701657973500122E-2</v>
      </c>
      <c r="AC103" s="109"/>
      <c r="AD103" s="120">
        <f t="shared" ref="AD103:AM103" si="636">AD59/AD61</f>
        <v>70.589767156862749</v>
      </c>
      <c r="AE103" s="120">
        <f t="shared" si="636"/>
        <v>76.126219482891202</v>
      </c>
      <c r="AF103" s="120">
        <f t="shared" si="636"/>
        <v>82.096903363902285</v>
      </c>
      <c r="AG103" s="120">
        <f t="shared" si="636"/>
        <v>88.535876176757384</v>
      </c>
      <c r="AH103" s="120">
        <f t="shared" si="636"/>
        <v>95.479866465130513</v>
      </c>
      <c r="AI103" s="120">
        <f t="shared" si="636"/>
        <v>102.96848344278781</v>
      </c>
      <c r="AJ103" s="120">
        <f t="shared" si="636"/>
        <v>111.04444292849668</v>
      </c>
      <c r="AK103" s="120">
        <f t="shared" si="636"/>
        <v>119.75381100131996</v>
      </c>
      <c r="AL103" s="120">
        <f t="shared" si="636"/>
        <v>129.1462667661294</v>
      </c>
      <c r="AM103" s="120">
        <f t="shared" si="636"/>
        <v>139.27538572817875</v>
      </c>
      <c r="AN103" s="114">
        <f t="shared" si="628"/>
        <v>5.6770294925594822E-2</v>
      </c>
      <c r="AO103" s="21">
        <f t="shared" si="27"/>
        <v>0.01</v>
      </c>
      <c r="AP103" s="122" t="e">
        <f t="shared" si="454"/>
        <v>#DIV/0!</v>
      </c>
    </row>
    <row r="104" spans="2:42" x14ac:dyDescent="0.15">
      <c r="B104" s="10" t="s">
        <v>259</v>
      </c>
      <c r="C104" s="120"/>
      <c r="D104" s="120"/>
      <c r="E104" s="120"/>
      <c r="F104" s="120"/>
      <c r="G104" s="120">
        <f t="shared" ref="G104" si="637">G6/G61</f>
        <v>116.46003262642741</v>
      </c>
      <c r="H104" s="120">
        <f t="shared" ref="H104:I104" si="638">H6/H61</f>
        <v>187.28896103896105</v>
      </c>
      <c r="I104" s="120">
        <f t="shared" si="638"/>
        <v>240.16872890888638</v>
      </c>
      <c r="J104" s="120">
        <f t="shared" ref="J104:Q104" si="639">J6/J61</f>
        <v>256.56284760845381</v>
      </c>
      <c r="K104" s="120">
        <f t="shared" si="639"/>
        <v>392.16726618705036</v>
      </c>
      <c r="L104" s="120">
        <f t="shared" si="639"/>
        <v>410.64748201438846</v>
      </c>
      <c r="M104" s="120">
        <f t="shared" si="639"/>
        <v>451.26798561151077</v>
      </c>
      <c r="N104" s="120">
        <f t="shared" si="639"/>
        <v>470.46046915725458</v>
      </c>
      <c r="O104" s="120">
        <f t="shared" si="639"/>
        <v>521.88368055555554</v>
      </c>
      <c r="P104" s="120">
        <f t="shared" si="639"/>
        <v>586.33130962705991</v>
      </c>
      <c r="Q104" s="120">
        <f t="shared" si="639"/>
        <v>654.50634782608688</v>
      </c>
      <c r="R104" s="120">
        <f t="shared" ref="R104:V104" si="640">R6/R61</f>
        <v>144.26079447322971</v>
      </c>
      <c r="S104" s="120">
        <f t="shared" si="640"/>
        <v>159.96557659208261</v>
      </c>
      <c r="T104" s="120">
        <f t="shared" si="640"/>
        <v>177.76632302405497</v>
      </c>
      <c r="U104" s="120">
        <f t="shared" si="640"/>
        <v>170.30841121495328</v>
      </c>
      <c r="V104" s="120">
        <f t="shared" si="640"/>
        <v>175.40217391304347</v>
      </c>
      <c r="W104" s="120">
        <f t="shared" ref="W104" si="641">W6/W61</f>
        <v>188.03863987635239</v>
      </c>
      <c r="X104" s="120">
        <f t="shared" ref="X104:AA104" si="642">X6/X61</f>
        <v>226.04920405209842</v>
      </c>
      <c r="Y104" s="120">
        <f t="shared" ref="Y104:Z104" si="643">Y6/Y61</f>
        <v>259.93659942363115</v>
      </c>
      <c r="Z104" s="120">
        <f t="shared" si="643"/>
        <v>304.21203438395418</v>
      </c>
      <c r="AA104" s="120">
        <f t="shared" si="642"/>
        <v>381.57244318181819</v>
      </c>
      <c r="AB104" s="101">
        <f t="shared" si="416"/>
        <v>6.1133449506854731E-2</v>
      </c>
      <c r="AC104" s="109"/>
      <c r="AD104" s="120">
        <f t="shared" ref="AD104:AM104" si="644">AD6/AD61</f>
        <v>411.49969362745099</v>
      </c>
      <c r="AE104" s="120">
        <f t="shared" si="644"/>
        <v>443.77417940215304</v>
      </c>
      <c r="AF104" s="120">
        <f t="shared" si="644"/>
        <v>478.57999739447877</v>
      </c>
      <c r="AG104" s="120">
        <f t="shared" si="644"/>
        <v>516.11568346463412</v>
      </c>
      <c r="AH104" s="120">
        <f t="shared" si="644"/>
        <v>556.59534491284069</v>
      </c>
      <c r="AI104" s="120">
        <f t="shared" si="644"/>
        <v>600.24988176874979</v>
      </c>
      <c r="AJ104" s="120">
        <f t="shared" si="644"/>
        <v>647.3283038682597</v>
      </c>
      <c r="AK104" s="120">
        <f t="shared" si="644"/>
        <v>698.09915123047631</v>
      </c>
      <c r="AL104" s="120">
        <f t="shared" si="644"/>
        <v>752.85202583678824</v>
      </c>
      <c r="AM104" s="120">
        <f t="shared" si="644"/>
        <v>811.89924354947755</v>
      </c>
      <c r="AN104" s="114">
        <f t="shared" si="628"/>
        <v>3.9146898320654877E-2</v>
      </c>
      <c r="AO104" s="21">
        <f t="shared" ref="AO104:AO106" si="645">$O$1</f>
        <v>0.01</v>
      </c>
      <c r="AP104" s="122" t="e">
        <f t="shared" si="454"/>
        <v>#DIV/0!</v>
      </c>
    </row>
    <row r="105" spans="2:42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01" t="e">
        <f t="shared" si="416"/>
        <v>#DIV/0!</v>
      </c>
      <c r="AC105" s="10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15"/>
      <c r="AO105" s="10"/>
      <c r="AP105" s="115"/>
    </row>
    <row r="106" spans="2:42" x14ac:dyDescent="0.15">
      <c r="B106" s="10" t="s">
        <v>405</v>
      </c>
      <c r="C106" s="108"/>
      <c r="D106" s="108"/>
      <c r="E106" s="108"/>
      <c r="F106" s="120"/>
      <c r="G106" s="120">
        <f t="shared" ref="G106:V106" si="646">G59/$AA$61</f>
        <v>2.2443181818181817</v>
      </c>
      <c r="H106" s="120">
        <f t="shared" si="646"/>
        <v>2.5227272727272729</v>
      </c>
      <c r="I106" s="120">
        <f t="shared" si="646"/>
        <v>3.2784090909090908</v>
      </c>
      <c r="J106" s="120">
        <f t="shared" si="646"/>
        <v>3.3934659090909092</v>
      </c>
      <c r="K106" s="120">
        <f t="shared" si="646"/>
        <v>4.4133522727272725</v>
      </c>
      <c r="L106" s="120">
        <f t="shared" si="646"/>
        <v>5.5795454545454541</v>
      </c>
      <c r="M106" s="120">
        <f t="shared" si="646"/>
        <v>7.6420454545454541</v>
      </c>
      <c r="N106" s="120">
        <f t="shared" si="646"/>
        <v>11.369318181818182</v>
      </c>
      <c r="O106" s="120">
        <f t="shared" si="646"/>
        <v>16.96590909090909</v>
      </c>
      <c r="P106" s="120">
        <f t="shared" si="646"/>
        <v>24.053977272727273</v>
      </c>
      <c r="Q106" s="120">
        <f t="shared" si="646"/>
        <v>16.586647727272727</v>
      </c>
      <c r="R106" s="120">
        <f t="shared" si="646"/>
        <v>18.383522727272727</v>
      </c>
      <c r="S106" s="120">
        <f t="shared" si="646"/>
        <v>15.519886363636363</v>
      </c>
      <c r="T106" s="120">
        <f t="shared" si="646"/>
        <v>16.107954545454547</v>
      </c>
      <c r="U106" s="120">
        <f t="shared" si="646"/>
        <v>12.924715909090908</v>
      </c>
      <c r="V106" s="120">
        <f t="shared" si="646"/>
        <v>8.0809659090909083</v>
      </c>
      <c r="W106" s="120">
        <f t="shared" ref="W106" si="647">W59/$AA$61</f>
        <v>15.944602272727273</v>
      </c>
      <c r="X106" s="120">
        <f>X59/$AA$61</f>
        <v>28.720170454545453</v>
      </c>
      <c r="Y106" s="120">
        <f t="shared" ref="Y106" si="648">Y59/$AA$61</f>
        <v>36.623579545454547</v>
      </c>
      <c r="Z106" s="120">
        <f>Z59/$AA$61</f>
        <v>48.953125</v>
      </c>
      <c r="AA106" s="120">
        <f>AA59/$AA$61</f>
        <v>65.455965909090907</v>
      </c>
      <c r="AB106" s="101">
        <f t="shared" si="416"/>
        <v>0.18370434128381596</v>
      </c>
      <c r="AC106" s="109"/>
      <c r="AD106" s="120">
        <f t="shared" ref="AD106:AM106" si="649">AD59/AD61</f>
        <v>70.589767156862749</v>
      </c>
      <c r="AE106" s="120">
        <f t="shared" si="649"/>
        <v>76.126219482891202</v>
      </c>
      <c r="AF106" s="120">
        <f t="shared" si="649"/>
        <v>82.096903363902285</v>
      </c>
      <c r="AG106" s="120">
        <f t="shared" si="649"/>
        <v>88.535876176757384</v>
      </c>
      <c r="AH106" s="120">
        <f t="shared" si="649"/>
        <v>95.479866465130513</v>
      </c>
      <c r="AI106" s="120">
        <f t="shared" si="649"/>
        <v>102.96848344278781</v>
      </c>
      <c r="AJ106" s="120">
        <f t="shared" si="649"/>
        <v>111.04444292849668</v>
      </c>
      <c r="AK106" s="120">
        <f t="shared" si="649"/>
        <v>119.75381100131996</v>
      </c>
      <c r="AL106" s="120">
        <f t="shared" si="649"/>
        <v>129.1462667661294</v>
      </c>
      <c r="AM106" s="120">
        <f t="shared" si="649"/>
        <v>139.27538572817875</v>
      </c>
      <c r="AN106" s="114">
        <f t="shared" ref="AN106" si="650">((AM106/J106)^(1/($AM$3-$K$1) ))-1</f>
        <v>0.13181217832746817</v>
      </c>
      <c r="AO106" s="21">
        <f t="shared" si="645"/>
        <v>0.01</v>
      </c>
      <c r="AP106" s="122" t="e">
        <f t="shared" si="454"/>
        <v>#DIV/0!</v>
      </c>
    </row>
    <row r="107" spans="2:42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01" t="e">
        <f t="shared" si="416"/>
        <v>#DIV/0!</v>
      </c>
      <c r="AC107" s="10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15"/>
      <c r="AO107" s="10"/>
      <c r="AP107" s="115"/>
    </row>
    <row r="108" spans="2:42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1" t="e">
        <f t="shared" si="416"/>
        <v>#DIV/0!</v>
      </c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15"/>
    </row>
    <row r="109" spans="2:42" x14ac:dyDescent="0.15">
      <c r="B109" s="10" t="s">
        <v>257</v>
      </c>
      <c r="C109" s="127"/>
      <c r="D109" s="127"/>
      <c r="E109" s="127"/>
      <c r="F109" s="127"/>
      <c r="G109" s="127">
        <f t="shared" ref="G109" si="651">G53/G25</f>
        <v>7.1916576770945708E-5</v>
      </c>
      <c r="H109" s="127">
        <f t="shared" ref="H109:I109" si="652">H53/H25</f>
        <v>5.911563017261764E-5</v>
      </c>
      <c r="I109" s="127">
        <f t="shared" si="652"/>
        <v>3.8743171516020304E-5</v>
      </c>
      <c r="J109" s="127">
        <f t="shared" ref="J109:Q109" si="653">J53/J25</f>
        <v>2.4072023494294932E-5</v>
      </c>
      <c r="K109" s="127">
        <f t="shared" si="653"/>
        <v>1.8172506649485388E-4</v>
      </c>
      <c r="L109" s="127">
        <f t="shared" si="653"/>
        <v>1.5480834726608459E-5</v>
      </c>
      <c r="M109" s="127">
        <f t="shared" si="653"/>
        <v>1.6889894775955546E-5</v>
      </c>
      <c r="N109" s="127">
        <f t="shared" si="653"/>
        <v>1.6235347598792089E-5</v>
      </c>
      <c r="O109" s="127">
        <f t="shared" si="653"/>
        <v>1.5001950253532959E-5</v>
      </c>
      <c r="P109" s="127">
        <f t="shared" si="653"/>
        <v>1.1427955366287532E-2</v>
      </c>
      <c r="Q109" s="127">
        <f t="shared" si="653"/>
        <v>0</v>
      </c>
      <c r="R109" s="127">
        <f t="shared" ref="R109:V109" si="654">R53/R25</f>
        <v>0</v>
      </c>
      <c r="S109" s="127">
        <f t="shared" si="654"/>
        <v>0</v>
      </c>
      <c r="T109" s="127">
        <f t="shared" si="654"/>
        <v>0</v>
      </c>
      <c r="U109" s="127">
        <f t="shared" si="654"/>
        <v>0</v>
      </c>
      <c r="V109" s="127">
        <f t="shared" si="654"/>
        <v>0</v>
      </c>
      <c r="W109" s="127">
        <f t="shared" ref="W109" si="655">W53/W25</f>
        <v>0</v>
      </c>
      <c r="X109" s="127">
        <f t="shared" ref="X109:AA109" si="656">X53/X25</f>
        <v>0</v>
      </c>
      <c r="Y109" s="127">
        <f t="shared" ref="Y109:Z109" si="657">Y53/Y25</f>
        <v>0</v>
      </c>
      <c r="Z109" s="127">
        <f t="shared" si="657"/>
        <v>0</v>
      </c>
      <c r="AA109" s="127">
        <f t="shared" si="656"/>
        <v>0</v>
      </c>
      <c r="AB109" s="101">
        <f t="shared" si="416"/>
        <v>-1</v>
      </c>
      <c r="AC109" s="127"/>
      <c r="AD109" s="127">
        <f t="shared" ref="AD109:AM109" si="658">AD53/AD25</f>
        <v>0</v>
      </c>
      <c r="AE109" s="127">
        <f t="shared" si="658"/>
        <v>0</v>
      </c>
      <c r="AF109" s="127">
        <f t="shared" si="658"/>
        <v>0</v>
      </c>
      <c r="AG109" s="127">
        <f t="shared" si="658"/>
        <v>0</v>
      </c>
      <c r="AH109" s="127">
        <f t="shared" si="658"/>
        <v>0</v>
      </c>
      <c r="AI109" s="127">
        <f t="shared" si="658"/>
        <v>0</v>
      </c>
      <c r="AJ109" s="127">
        <f t="shared" si="658"/>
        <v>0</v>
      </c>
      <c r="AK109" s="127">
        <f t="shared" si="658"/>
        <v>0</v>
      </c>
      <c r="AL109" s="127">
        <f t="shared" si="658"/>
        <v>0</v>
      </c>
      <c r="AM109" s="127">
        <f t="shared" si="658"/>
        <v>0</v>
      </c>
      <c r="AN109" s="114">
        <f t="shared" ref="AN109:AN158" si="659">((AM109/J109)^(1/($AM$3-$K$1) ))-1</f>
        <v>-1</v>
      </c>
      <c r="AO109" s="21">
        <f t="shared" ref="AO109:AO171" si="660">$O$1</f>
        <v>0.01</v>
      </c>
      <c r="AP109" s="122" t="e">
        <f t="shared" si="454"/>
        <v>#DIV/0!</v>
      </c>
    </row>
    <row r="110" spans="2:42" x14ac:dyDescent="0.15">
      <c r="B110" s="10" t="s">
        <v>219</v>
      </c>
      <c r="C110" s="127"/>
      <c r="D110" s="127"/>
      <c r="E110" s="127"/>
      <c r="F110" s="127"/>
      <c r="G110" s="127">
        <f t="shared" ref="G110" si="661">G59/G25</f>
        <v>0.11362819129809421</v>
      </c>
      <c r="H110" s="127">
        <f t="shared" ref="H110:I110" si="662">H59/H25</f>
        <v>0.10498935918656893</v>
      </c>
      <c r="I110" s="127">
        <f t="shared" si="662"/>
        <v>8.9419239858974861E-2</v>
      </c>
      <c r="J110" s="127">
        <f t="shared" ref="J110:Q110" si="663">J59/J25</f>
        <v>5.7508064127870587E-2</v>
      </c>
      <c r="K110" s="127">
        <f t="shared" si="663"/>
        <v>5.1329071054500998E-2</v>
      </c>
      <c r="L110" s="127">
        <f t="shared" si="663"/>
        <v>6.0808718806118024E-2</v>
      </c>
      <c r="M110" s="127">
        <f t="shared" si="663"/>
        <v>9.0867633894640837E-2</v>
      </c>
      <c r="N110" s="127">
        <f t="shared" si="663"/>
        <v>0.12994772218073189</v>
      </c>
      <c r="O110" s="127">
        <f t="shared" si="663"/>
        <v>0.17918329382819767</v>
      </c>
      <c r="P110" s="127">
        <f t="shared" si="663"/>
        <v>0.22820872190178426</v>
      </c>
      <c r="Q110" s="127">
        <f t="shared" si="663"/>
        <v>0.14676419943943794</v>
      </c>
      <c r="R110" s="127">
        <f t="shared" ref="R110:V110" si="664">R59/R25</f>
        <v>0.14345570630486831</v>
      </c>
      <c r="S110" s="127">
        <f t="shared" si="664"/>
        <v>0.10775679274125943</v>
      </c>
      <c r="T110" s="127">
        <f t="shared" si="664"/>
        <v>0.99499868386417478</v>
      </c>
      <c r="U110" s="127">
        <f t="shared" si="664"/>
        <v>7.6482108784641373E-2</v>
      </c>
      <c r="V110" s="127">
        <f t="shared" si="664"/>
        <v>4.3326276026990386E-2</v>
      </c>
      <c r="W110" s="127">
        <f t="shared" ref="W110" si="665">W59/W25</f>
        <v>7.4940248087271177E-2</v>
      </c>
      <c r="X110" s="127">
        <f t="shared" ref="X110:AA110" si="666">X59/X25</f>
        <v>0.12543426472777805</v>
      </c>
      <c r="Y110" s="127">
        <f t="shared" ref="Y110:Z110" si="667">Y59/Y25</f>
        <v>0.16366417834653665</v>
      </c>
      <c r="Z110" s="127">
        <f t="shared" si="667"/>
        <v>0.18510780006230595</v>
      </c>
      <c r="AA110" s="127">
        <f t="shared" si="666"/>
        <v>0.19434275785282903</v>
      </c>
      <c r="AB110" s="101">
        <f t="shared" si="416"/>
        <v>2.7197877589738351E-2</v>
      </c>
      <c r="AC110" s="127"/>
      <c r="AD110" s="127">
        <f t="shared" ref="AD110:AM110" si="668">AD59/AD25</f>
        <v>0.19434275785282906</v>
      </c>
      <c r="AE110" s="127">
        <f t="shared" si="668"/>
        <v>0.19434275785282906</v>
      </c>
      <c r="AF110" s="127">
        <f t="shared" si="668"/>
        <v>0.19434275785282906</v>
      </c>
      <c r="AG110" s="127">
        <f t="shared" si="668"/>
        <v>0.19434275785282909</v>
      </c>
      <c r="AH110" s="127">
        <f t="shared" si="668"/>
        <v>0.19434275785282909</v>
      </c>
      <c r="AI110" s="127">
        <f t="shared" si="668"/>
        <v>0.19434275785282909</v>
      </c>
      <c r="AJ110" s="127">
        <f t="shared" si="668"/>
        <v>0.19434275785282909</v>
      </c>
      <c r="AK110" s="127">
        <f t="shared" si="668"/>
        <v>0.19434275785282909</v>
      </c>
      <c r="AL110" s="127">
        <f t="shared" si="668"/>
        <v>0.19434275785282912</v>
      </c>
      <c r="AM110" s="127">
        <f t="shared" si="668"/>
        <v>0.19434275785282912</v>
      </c>
      <c r="AN110" s="114">
        <f t="shared" si="659"/>
        <v>4.1424971582344483E-2</v>
      </c>
      <c r="AO110" s="21">
        <f t="shared" si="660"/>
        <v>0.01</v>
      </c>
      <c r="AP110" s="122" t="e">
        <f t="shared" si="454"/>
        <v>#DIV/0!</v>
      </c>
    </row>
    <row r="111" spans="2:42" x14ac:dyDescent="0.15">
      <c r="B111" s="10" t="s">
        <v>300</v>
      </c>
      <c r="C111" s="127"/>
      <c r="D111" s="127"/>
      <c r="E111" s="127"/>
      <c r="F111" s="127"/>
      <c r="G111" s="127">
        <f t="shared" ref="G111" si="669">G59/G7</f>
        <v>0.19494139420111042</v>
      </c>
      <c r="H111" s="127">
        <f t="shared" ref="H111:I111" si="670">H59/H7</f>
        <v>0.14068441064638784</v>
      </c>
      <c r="I111" s="127">
        <f t="shared" si="670"/>
        <v>0.10216457881457218</v>
      </c>
      <c r="J111" s="127">
        <f>J59/J7</f>
        <v>9.8252107752416204E-2</v>
      </c>
      <c r="K111" s="127">
        <f t="shared" ref="K111:Q111" si="671">K59/K7</f>
        <v>6.8934149804756831E-2</v>
      </c>
      <c r="L111" s="127">
        <f t="shared" si="671"/>
        <v>8.3349247777282656E-2</v>
      </c>
      <c r="M111" s="127">
        <f t="shared" si="671"/>
        <v>0.10488147223955084</v>
      </c>
      <c r="N111" s="127">
        <f t="shared" si="671"/>
        <v>0.14473255940110666</v>
      </c>
      <c r="O111" s="127">
        <f t="shared" si="671"/>
        <v>0.19492133951302304</v>
      </c>
      <c r="P111" s="127">
        <f t="shared" si="671"/>
        <v>0.24626974200866758</v>
      </c>
      <c r="Q111" s="127">
        <f t="shared" si="671"/>
        <v>0.15513849601618107</v>
      </c>
      <c r="R111" s="127">
        <f t="shared" ref="R111:V111" si="672">R59/R7</f>
        <v>0.15490681891629862</v>
      </c>
      <c r="S111" s="127">
        <f t="shared" si="672"/>
        <v>0.12123431310542258</v>
      </c>
      <c r="T111" s="127">
        <f t="shared" si="672"/>
        <v>0.11295383236216944</v>
      </c>
      <c r="U111" s="127">
        <f t="shared" si="672"/>
        <v>8.5589314269588934E-2</v>
      </c>
      <c r="V111" s="127">
        <f t="shared" si="672"/>
        <v>5.1770422881271101E-2</v>
      </c>
      <c r="W111" s="127">
        <f t="shared" ref="W111" si="673">W59/W7</f>
        <v>9.4711351862164395E-2</v>
      </c>
      <c r="X111" s="127">
        <f t="shared" ref="X111:AA111" si="674">X59/X7</f>
        <v>0.13208557896455986</v>
      </c>
      <c r="Y111" s="127">
        <f t="shared" ref="Y111:Z111" si="675">Y59/Y7</f>
        <v>0.14552935930506244</v>
      </c>
      <c r="Z111" s="127">
        <f t="shared" si="675"/>
        <v>0.1646993041749503</v>
      </c>
      <c r="AA111" s="127">
        <f t="shared" si="674"/>
        <v>0.17154269675051279</v>
      </c>
      <c r="AB111" s="101">
        <f t="shared" si="416"/>
        <v>-6.3729448232393571E-3</v>
      </c>
      <c r="AC111" s="10"/>
      <c r="AD111" s="127">
        <f t="shared" ref="AD111" si="676">AD59/AD7</f>
        <v>0.17154269675051281</v>
      </c>
      <c r="AE111" s="127">
        <f t="shared" ref="AE111:AM111" si="677">AE59/AE7</f>
        <v>0.17154269675051281</v>
      </c>
      <c r="AF111" s="127">
        <f t="shared" si="677"/>
        <v>0.17154269675051281</v>
      </c>
      <c r="AG111" s="127">
        <f t="shared" si="677"/>
        <v>0.17154269675051281</v>
      </c>
      <c r="AH111" s="127">
        <f t="shared" si="677"/>
        <v>0.17154269675051281</v>
      </c>
      <c r="AI111" s="127">
        <f t="shared" si="677"/>
        <v>0.17154269675051281</v>
      </c>
      <c r="AJ111" s="127">
        <f t="shared" si="677"/>
        <v>0.17154269675051279</v>
      </c>
      <c r="AK111" s="127">
        <f t="shared" si="677"/>
        <v>0.17154269675051279</v>
      </c>
      <c r="AL111" s="127">
        <f t="shared" si="677"/>
        <v>0.17154269675051281</v>
      </c>
      <c r="AM111" s="127">
        <f t="shared" si="677"/>
        <v>0.17154269675051279</v>
      </c>
      <c r="AN111" s="114">
        <f t="shared" si="659"/>
        <v>1.875013330706965E-2</v>
      </c>
      <c r="AO111" s="21">
        <f t="shared" si="660"/>
        <v>0.01</v>
      </c>
      <c r="AP111" s="122" t="e">
        <f t="shared" si="454"/>
        <v>#DIV/0!</v>
      </c>
    </row>
    <row r="112" spans="2:42" x14ac:dyDescent="0.15">
      <c r="B112" s="10" t="s">
        <v>301</v>
      </c>
      <c r="C112" s="127"/>
      <c r="D112" s="127"/>
      <c r="E112" s="127"/>
      <c r="F112" s="127"/>
      <c r="G112" s="127">
        <f t="shared" ref="G112" si="678">(G59)/(G7+G10)</f>
        <v>0.19494139420111042</v>
      </c>
      <c r="H112" s="127">
        <f t="shared" ref="H112:I112" si="679">(H59)/(H7+H10)</f>
        <v>0.14068441064638784</v>
      </c>
      <c r="I112" s="127">
        <f t="shared" si="679"/>
        <v>0.10216457881457218</v>
      </c>
      <c r="J112" s="127">
        <f>(J59)/(J7+J10)</f>
        <v>9.8252107752416204E-2</v>
      </c>
      <c r="K112" s="127">
        <f t="shared" ref="K112:Q112" si="680">(K59)/(K7+K10)</f>
        <v>6.8934149804756831E-2</v>
      </c>
      <c r="L112" s="127">
        <f t="shared" si="680"/>
        <v>8.3349247777282656E-2</v>
      </c>
      <c r="M112" s="127">
        <f t="shared" si="680"/>
        <v>0.10488147223955084</v>
      </c>
      <c r="N112" s="127">
        <f t="shared" si="680"/>
        <v>0.14473255940110666</v>
      </c>
      <c r="O112" s="127">
        <f t="shared" si="680"/>
        <v>0.19492133951302304</v>
      </c>
      <c r="P112" s="127">
        <f t="shared" si="680"/>
        <v>0.24626974200866758</v>
      </c>
      <c r="Q112" s="127">
        <f t="shared" si="680"/>
        <v>0.15513849601618107</v>
      </c>
      <c r="R112" s="127">
        <f t="shared" ref="R112:V112" si="681">(R59)/(R7+R10)</f>
        <v>0.15490681891629862</v>
      </c>
      <c r="S112" s="127">
        <f t="shared" si="681"/>
        <v>0.12123431310542258</v>
      </c>
      <c r="T112" s="127">
        <f t="shared" si="681"/>
        <v>0.11295383236216944</v>
      </c>
      <c r="U112" s="127">
        <f t="shared" si="681"/>
        <v>8.5589314269588934E-2</v>
      </c>
      <c r="V112" s="127">
        <f t="shared" si="681"/>
        <v>5.1770422881271101E-2</v>
      </c>
      <c r="W112" s="127">
        <f t="shared" ref="W112" si="682">(W59)/(W7+W10)</f>
        <v>9.4711351862164395E-2</v>
      </c>
      <c r="X112" s="127">
        <f t="shared" ref="X112:AA112" si="683">(X59)/(X7+X10)</f>
        <v>0.13208557896455986</v>
      </c>
      <c r="Y112" s="127">
        <f t="shared" ref="Y112:Z112" si="684">(Y59)/(Y7+Y10)</f>
        <v>0.14552935930506244</v>
      </c>
      <c r="Z112" s="127">
        <f t="shared" si="684"/>
        <v>0.1646993041749503</v>
      </c>
      <c r="AA112" s="127">
        <f t="shared" si="683"/>
        <v>0.17154269675051279</v>
      </c>
      <c r="AB112" s="101">
        <f t="shared" si="416"/>
        <v>-6.3729448232393571E-3</v>
      </c>
      <c r="AC112" s="10"/>
      <c r="AD112" s="127">
        <f t="shared" ref="AD112:AM112" si="685">(AD59)/(AD7+AD10)</f>
        <v>0.17154269675051281</v>
      </c>
      <c r="AE112" s="127">
        <f t="shared" si="685"/>
        <v>0.17154269675051281</v>
      </c>
      <c r="AF112" s="127">
        <f t="shared" si="685"/>
        <v>0.17154269675051281</v>
      </c>
      <c r="AG112" s="127">
        <f t="shared" si="685"/>
        <v>0.17154269675051281</v>
      </c>
      <c r="AH112" s="127">
        <f t="shared" si="685"/>
        <v>0.17154269675051281</v>
      </c>
      <c r="AI112" s="127">
        <f t="shared" si="685"/>
        <v>0.17154269675051281</v>
      </c>
      <c r="AJ112" s="127">
        <f t="shared" si="685"/>
        <v>0.17154269675051279</v>
      </c>
      <c r="AK112" s="127">
        <f t="shared" si="685"/>
        <v>0.17154269675051279</v>
      </c>
      <c r="AL112" s="127">
        <f t="shared" si="685"/>
        <v>0.17154269675051281</v>
      </c>
      <c r="AM112" s="127">
        <f t="shared" si="685"/>
        <v>0.17154269675051279</v>
      </c>
      <c r="AN112" s="114">
        <f t="shared" si="659"/>
        <v>1.875013330706965E-2</v>
      </c>
      <c r="AO112" s="21">
        <f t="shared" si="660"/>
        <v>0.01</v>
      </c>
      <c r="AP112" s="122" t="e">
        <f t="shared" si="454"/>
        <v>#DIV/0!</v>
      </c>
    </row>
    <row r="113" spans="1:42" x14ac:dyDescent="0.15">
      <c r="B113" s="10" t="s">
        <v>317</v>
      </c>
      <c r="C113" s="127"/>
      <c r="D113" s="127"/>
      <c r="E113" s="127"/>
      <c r="F113" s="127"/>
      <c r="G113" s="127">
        <f t="shared" ref="G113" si="686">G20/G25</f>
        <v>0.56749370729953252</v>
      </c>
      <c r="H113" s="127">
        <f t="shared" ref="H113:I113" si="687">H20/H25</f>
        <v>0.53978481910617171</v>
      </c>
      <c r="I113" s="127">
        <f t="shared" si="687"/>
        <v>0.18023323389252643</v>
      </c>
      <c r="J113" s="127">
        <f>J20/J25</f>
        <v>0.55512493380193539</v>
      </c>
      <c r="K113" s="127">
        <f t="shared" ref="K113:Q113" si="688">K20/K25</f>
        <v>-0.19214947712742231</v>
      </c>
      <c r="L113" s="127">
        <f t="shared" si="688"/>
        <v>-0.21964208310112082</v>
      </c>
      <c r="M113" s="127">
        <f t="shared" si="688"/>
        <v>3.1567213336260912E-2</v>
      </c>
      <c r="N113" s="127">
        <f t="shared" si="688"/>
        <v>-0.11215378121245576</v>
      </c>
      <c r="O113" s="127">
        <f t="shared" si="688"/>
        <v>0.14526388430495965</v>
      </c>
      <c r="P113" s="127">
        <f t="shared" si="688"/>
        <v>0.14961457603363701</v>
      </c>
      <c r="Q113" s="127">
        <f t="shared" si="688"/>
        <v>0</v>
      </c>
      <c r="R113" s="127">
        <f t="shared" ref="R113:V113" si="689">R20/R25</f>
        <v>0</v>
      </c>
      <c r="S113" s="127">
        <f t="shared" si="689"/>
        <v>0</v>
      </c>
      <c r="T113" s="127">
        <f t="shared" si="689"/>
        <v>0</v>
      </c>
      <c r="U113" s="127">
        <f t="shared" si="689"/>
        <v>0</v>
      </c>
      <c r="V113" s="127">
        <f t="shared" si="689"/>
        <v>0</v>
      </c>
      <c r="W113" s="127">
        <f t="shared" ref="W113" si="690">W20/W25</f>
        <v>0</v>
      </c>
      <c r="X113" s="127">
        <f t="shared" ref="X113:AA113" si="691">X20/X25</f>
        <v>0</v>
      </c>
      <c r="Y113" s="127">
        <f t="shared" ref="Y113:Z113" si="692">Y20/Y25</f>
        <v>0</v>
      </c>
      <c r="Z113" s="127">
        <f t="shared" si="692"/>
        <v>0</v>
      </c>
      <c r="AA113" s="127">
        <f t="shared" si="691"/>
        <v>0</v>
      </c>
      <c r="AB113" s="101">
        <f t="shared" si="416"/>
        <v>-1</v>
      </c>
      <c r="AC113" s="10"/>
      <c r="AD113" s="127">
        <f t="shared" ref="AD113:AM113" si="693">AD20/AD25</f>
        <v>0</v>
      </c>
      <c r="AE113" s="127">
        <f t="shared" si="693"/>
        <v>0</v>
      </c>
      <c r="AF113" s="127">
        <f t="shared" si="693"/>
        <v>0</v>
      </c>
      <c r="AG113" s="127">
        <f t="shared" si="693"/>
        <v>0</v>
      </c>
      <c r="AH113" s="127">
        <f t="shared" si="693"/>
        <v>0</v>
      </c>
      <c r="AI113" s="127">
        <f t="shared" si="693"/>
        <v>0</v>
      </c>
      <c r="AJ113" s="127">
        <f t="shared" si="693"/>
        <v>0</v>
      </c>
      <c r="AK113" s="127">
        <f t="shared" si="693"/>
        <v>0</v>
      </c>
      <c r="AL113" s="127">
        <f t="shared" si="693"/>
        <v>0</v>
      </c>
      <c r="AM113" s="127">
        <f t="shared" si="693"/>
        <v>0</v>
      </c>
      <c r="AN113" s="114">
        <f t="shared" si="659"/>
        <v>-1</v>
      </c>
      <c r="AO113" s="21">
        <f t="shared" si="660"/>
        <v>0.01</v>
      </c>
      <c r="AP113" s="122" t="e">
        <f t="shared" si="454"/>
        <v>#DIV/0!</v>
      </c>
    </row>
    <row r="114" spans="1:42" x14ac:dyDescent="0.15">
      <c r="B114" s="10" t="s">
        <v>369</v>
      </c>
      <c r="C114" s="127"/>
      <c r="D114" s="127"/>
      <c r="E114" s="127"/>
      <c r="F114" s="127"/>
      <c r="G114" s="127">
        <f t="shared" ref="G114" si="694">G72/G25</f>
        <v>-0.11362819129809421</v>
      </c>
      <c r="H114" s="127">
        <f t="shared" ref="H114:I114" si="695">H72/H25</f>
        <v>-0.10498935918656893</v>
      </c>
      <c r="I114" s="127">
        <f t="shared" si="695"/>
        <v>-8.9419239858974861E-2</v>
      </c>
      <c r="J114" s="127">
        <f>J72/J25</f>
        <v>-5.7508064127870587E-2</v>
      </c>
      <c r="K114" s="127">
        <f t="shared" ref="K114:Q114" si="696">K72/K25</f>
        <v>-5.1329071054500998E-2</v>
      </c>
      <c r="L114" s="127">
        <f t="shared" si="696"/>
        <v>-6.0808718806118024E-2</v>
      </c>
      <c r="M114" s="127">
        <f t="shared" si="696"/>
        <v>-9.0867633894640837E-2</v>
      </c>
      <c r="N114" s="127">
        <f t="shared" si="696"/>
        <v>-0.12994772218073189</v>
      </c>
      <c r="O114" s="127">
        <f t="shared" si="696"/>
        <v>-0.17918329382819767</v>
      </c>
      <c r="P114" s="127">
        <f t="shared" si="696"/>
        <v>-0.22820872190178426</v>
      </c>
      <c r="Q114" s="127">
        <f t="shared" si="696"/>
        <v>-0.14676419943943794</v>
      </c>
      <c r="R114" s="127">
        <f t="shared" ref="R114:V114" si="697">R72/R25</f>
        <v>-0.14345570630486831</v>
      </c>
      <c r="S114" s="127">
        <f t="shared" si="697"/>
        <v>-0.10775679274125943</v>
      </c>
      <c r="T114" s="127">
        <f t="shared" si="697"/>
        <v>-0.99499868386417478</v>
      </c>
      <c r="U114" s="127">
        <f t="shared" si="697"/>
        <v>-7.6482108784641373E-2</v>
      </c>
      <c r="V114" s="127">
        <f t="shared" si="697"/>
        <v>-4.3326276026990386E-2</v>
      </c>
      <c r="W114" s="127">
        <f t="shared" ref="W114" si="698">W72/W25</f>
        <v>-7.4940248087271177E-2</v>
      </c>
      <c r="X114" s="127">
        <f t="shared" ref="X114:AA114" si="699">X72/X25</f>
        <v>-0.12543426472777805</v>
      </c>
      <c r="Y114" s="127">
        <f t="shared" ref="Y114:Z114" si="700">Y72/Y25</f>
        <v>-0.16366417834653665</v>
      </c>
      <c r="Z114" s="127">
        <f t="shared" si="700"/>
        <v>-0.18510780006230595</v>
      </c>
      <c r="AA114" s="127">
        <f t="shared" si="699"/>
        <v>-0.19434275785282903</v>
      </c>
      <c r="AB114" s="101">
        <f t="shared" si="416"/>
        <v>2.7197877589738351E-2</v>
      </c>
      <c r="AC114" s="10"/>
      <c r="AD114" s="127">
        <f t="shared" ref="AD114:AM114" si="701">AD72/AD25</f>
        <v>-0.19434275785282906</v>
      </c>
      <c r="AE114" s="127">
        <f t="shared" si="701"/>
        <v>-0.19434275785282906</v>
      </c>
      <c r="AF114" s="127">
        <f t="shared" si="701"/>
        <v>-0.19434275785282906</v>
      </c>
      <c r="AG114" s="127">
        <f t="shared" si="701"/>
        <v>-0.19434275785282909</v>
      </c>
      <c r="AH114" s="127">
        <f t="shared" si="701"/>
        <v>-0.19434275785282909</v>
      </c>
      <c r="AI114" s="127">
        <f t="shared" si="701"/>
        <v>-0.19434275785282909</v>
      </c>
      <c r="AJ114" s="127">
        <f t="shared" si="701"/>
        <v>-0.19434275785282909</v>
      </c>
      <c r="AK114" s="127">
        <f t="shared" si="701"/>
        <v>-0.19434275785282909</v>
      </c>
      <c r="AL114" s="127">
        <f t="shared" si="701"/>
        <v>-0.19434275785282912</v>
      </c>
      <c r="AM114" s="127">
        <f t="shared" si="701"/>
        <v>-0.19434275785282912</v>
      </c>
      <c r="AN114" s="114">
        <f t="shared" si="659"/>
        <v>4.1424971582344483E-2</v>
      </c>
      <c r="AO114" s="21">
        <f t="shared" si="660"/>
        <v>0.01</v>
      </c>
      <c r="AP114" s="122" t="e">
        <f t="shared" si="454"/>
        <v>#DIV/0!</v>
      </c>
    </row>
    <row r="115" spans="1:42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01" t="e">
        <f t="shared" si="416"/>
        <v>#DIV/0!</v>
      </c>
      <c r="AC115" s="10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3"/>
      <c r="AO115" s="122"/>
      <c r="AP115" s="122"/>
    </row>
    <row r="116" spans="1:42" x14ac:dyDescent="0.15">
      <c r="B116" s="10" t="s">
        <v>267</v>
      </c>
      <c r="C116" s="127"/>
      <c r="D116" s="127"/>
      <c r="E116" s="127"/>
      <c r="F116" s="127"/>
      <c r="G116" s="127">
        <f t="shared" ref="G116" si="702">G29/G25</f>
        <v>0</v>
      </c>
      <c r="H116" s="127">
        <f t="shared" ref="H116:I116" si="703">H29/H25</f>
        <v>0</v>
      </c>
      <c r="I116" s="127">
        <f t="shared" si="703"/>
        <v>0</v>
      </c>
      <c r="J116" s="127">
        <f>J29/J25</f>
        <v>0</v>
      </c>
      <c r="K116" s="127">
        <f t="shared" ref="K116:Q116" si="704">K29/K25</f>
        <v>0</v>
      </c>
      <c r="L116" s="127">
        <f t="shared" si="704"/>
        <v>0</v>
      </c>
      <c r="M116" s="127">
        <f t="shared" si="704"/>
        <v>0</v>
      </c>
      <c r="N116" s="127">
        <f t="shared" si="704"/>
        <v>0</v>
      </c>
      <c r="O116" s="127">
        <f t="shared" si="704"/>
        <v>0</v>
      </c>
      <c r="P116" s="127">
        <f t="shared" si="704"/>
        <v>0</v>
      </c>
      <c r="Q116" s="127">
        <f t="shared" si="704"/>
        <v>0</v>
      </c>
      <c r="R116" s="127">
        <f t="shared" ref="R116:V116" si="705">R29/R25</f>
        <v>0</v>
      </c>
      <c r="S116" s="127">
        <f t="shared" si="705"/>
        <v>0</v>
      </c>
      <c r="T116" s="127">
        <f t="shared" si="705"/>
        <v>0</v>
      </c>
      <c r="U116" s="127">
        <f t="shared" si="705"/>
        <v>0</v>
      </c>
      <c r="V116" s="127">
        <f t="shared" si="705"/>
        <v>0.2983641265441031</v>
      </c>
      <c r="W116" s="127">
        <f t="shared" ref="W116" si="706">W29/W25</f>
        <v>0.29819208737799258</v>
      </c>
      <c r="X116" s="127">
        <f t="shared" ref="X116:AA116" si="707">X29/X25</f>
        <v>0.26464712888977121</v>
      </c>
      <c r="Y116" s="127">
        <f t="shared" ref="Y116:Z116" si="708">Y29/Y25</f>
        <v>0.26131170018281535</v>
      </c>
      <c r="Z116" s="127">
        <f t="shared" si="708"/>
        <v>0.27147675880071759</v>
      </c>
      <c r="AA116" s="127">
        <f t="shared" si="707"/>
        <v>0.3125442828705422</v>
      </c>
      <c r="AB116" s="101" t="e">
        <f t="shared" si="416"/>
        <v>#DIV/0!</v>
      </c>
      <c r="AC116" s="10"/>
      <c r="AD116" s="127">
        <f t="shared" ref="AD116:AM116" si="709">AD29/AD25</f>
        <v>0.3125442828705422</v>
      </c>
      <c r="AE116" s="127">
        <f t="shared" si="709"/>
        <v>0.3125442828705422</v>
      </c>
      <c r="AF116" s="127">
        <f t="shared" si="709"/>
        <v>0.3125442828705422</v>
      </c>
      <c r="AG116" s="127">
        <f t="shared" si="709"/>
        <v>0.3125442828705422</v>
      </c>
      <c r="AH116" s="127">
        <f t="shared" si="709"/>
        <v>0.3125442828705422</v>
      </c>
      <c r="AI116" s="127">
        <f t="shared" si="709"/>
        <v>0.3125442828705422</v>
      </c>
      <c r="AJ116" s="127">
        <f t="shared" si="709"/>
        <v>0.31254428287054226</v>
      </c>
      <c r="AK116" s="127">
        <f t="shared" si="709"/>
        <v>0.31254428287054226</v>
      </c>
      <c r="AL116" s="127">
        <f t="shared" si="709"/>
        <v>0.31254428287054231</v>
      </c>
      <c r="AM116" s="127">
        <f t="shared" si="709"/>
        <v>0.31254428287054226</v>
      </c>
      <c r="AN116" s="114" t="e">
        <f t="shared" si="659"/>
        <v>#DIV/0!</v>
      </c>
      <c r="AO116" s="21">
        <f t="shared" si="660"/>
        <v>0.01</v>
      </c>
      <c r="AP116" s="122" t="e">
        <f t="shared" si="454"/>
        <v>#DIV/0!</v>
      </c>
    </row>
    <row r="117" spans="1:42" x14ac:dyDescent="0.15">
      <c r="B117" s="10" t="s">
        <v>310</v>
      </c>
      <c r="C117" s="127"/>
      <c r="D117" s="127"/>
      <c r="E117" s="127"/>
      <c r="F117" s="127"/>
      <c r="G117" s="127">
        <f t="shared" ref="G117" si="710">G29/G53</f>
        <v>0</v>
      </c>
      <c r="H117" s="127">
        <f t="shared" ref="H117:I117" si="711">H29/H53</f>
        <v>0</v>
      </c>
      <c r="I117" s="127">
        <f t="shared" si="711"/>
        <v>0</v>
      </c>
      <c r="J117" s="127">
        <f>J29/J53</f>
        <v>0</v>
      </c>
      <c r="K117" s="127">
        <f t="shared" ref="K117:Q117" si="712">K29/K53</f>
        <v>0</v>
      </c>
      <c r="L117" s="127">
        <f t="shared" si="712"/>
        <v>0</v>
      </c>
      <c r="M117" s="127">
        <f t="shared" si="712"/>
        <v>0</v>
      </c>
      <c r="N117" s="127">
        <f t="shared" si="712"/>
        <v>0</v>
      </c>
      <c r="O117" s="127">
        <f t="shared" si="712"/>
        <v>0</v>
      </c>
      <c r="P117" s="127">
        <f t="shared" si="712"/>
        <v>0</v>
      </c>
      <c r="Q117" s="127" t="e">
        <f t="shared" si="712"/>
        <v>#DIV/0!</v>
      </c>
      <c r="R117" s="127" t="e">
        <f t="shared" ref="R117:V117" si="713">R29/R53</f>
        <v>#DIV/0!</v>
      </c>
      <c r="S117" s="127" t="e">
        <f t="shared" si="713"/>
        <v>#DIV/0!</v>
      </c>
      <c r="T117" s="127" t="e">
        <f t="shared" si="713"/>
        <v>#DIV/0!</v>
      </c>
      <c r="U117" s="127" t="e">
        <f t="shared" si="713"/>
        <v>#DIV/0!</v>
      </c>
      <c r="V117" s="127" t="e">
        <f t="shared" si="713"/>
        <v>#DIV/0!</v>
      </c>
      <c r="W117" s="127" t="e">
        <f t="shared" ref="W117" si="714">W29/W53</f>
        <v>#DIV/0!</v>
      </c>
      <c r="X117" s="127" t="e">
        <f t="shared" ref="X117:AA117" si="715">X29/X53</f>
        <v>#DIV/0!</v>
      </c>
      <c r="Y117" s="127" t="e">
        <f t="shared" ref="Y117:Z117" si="716">Y29/Y53</f>
        <v>#DIV/0!</v>
      </c>
      <c r="Z117" s="127" t="e">
        <f t="shared" si="716"/>
        <v>#DIV/0!</v>
      </c>
      <c r="AA117" s="127" t="e">
        <f t="shared" si="715"/>
        <v>#DIV/0!</v>
      </c>
      <c r="AB117" s="101" t="e">
        <f t="shared" si="416"/>
        <v>#DIV/0!</v>
      </c>
      <c r="AC117" s="10"/>
      <c r="AD117" s="127" t="e">
        <f t="shared" ref="AD117:AM117" si="717">AD29/AD53</f>
        <v>#DIV/0!</v>
      </c>
      <c r="AE117" s="127" t="e">
        <f t="shared" si="717"/>
        <v>#DIV/0!</v>
      </c>
      <c r="AF117" s="127" t="e">
        <f t="shared" si="717"/>
        <v>#DIV/0!</v>
      </c>
      <c r="AG117" s="127" t="e">
        <f t="shared" si="717"/>
        <v>#DIV/0!</v>
      </c>
      <c r="AH117" s="127" t="e">
        <f t="shared" si="717"/>
        <v>#DIV/0!</v>
      </c>
      <c r="AI117" s="127" t="e">
        <f t="shared" si="717"/>
        <v>#DIV/0!</v>
      </c>
      <c r="AJ117" s="127" t="e">
        <f t="shared" si="717"/>
        <v>#DIV/0!</v>
      </c>
      <c r="AK117" s="127" t="e">
        <f t="shared" si="717"/>
        <v>#DIV/0!</v>
      </c>
      <c r="AL117" s="127" t="e">
        <f t="shared" si="717"/>
        <v>#DIV/0!</v>
      </c>
      <c r="AM117" s="127" t="e">
        <f t="shared" si="717"/>
        <v>#DIV/0!</v>
      </c>
      <c r="AN117" s="114" t="e">
        <f t="shared" ref="AN117" si="718">((AM117/J117)^(1/($AM$3-$K$1) ))-1</f>
        <v>#DIV/0!</v>
      </c>
      <c r="AO117" s="21">
        <f t="shared" si="660"/>
        <v>0.01</v>
      </c>
      <c r="AP117" s="122" t="e">
        <f t="shared" si="454"/>
        <v>#DIV/0!</v>
      </c>
    </row>
    <row r="118" spans="1:42" ht="12" customHeight="1" x14ac:dyDescent="0.15">
      <c r="B118" s="10" t="s">
        <v>309</v>
      </c>
      <c r="C118" s="127"/>
      <c r="D118" s="127"/>
      <c r="E118" s="127"/>
      <c r="F118" s="127"/>
      <c r="G118" s="127">
        <f t="shared" ref="G118" si="719">G29/G59</f>
        <v>0</v>
      </c>
      <c r="H118" s="127">
        <f t="shared" ref="H118:I118" si="720">H29/H59</f>
        <v>0</v>
      </c>
      <c r="I118" s="127">
        <f t="shared" si="720"/>
        <v>0</v>
      </c>
      <c r="J118" s="127">
        <f t="shared" ref="J118:Q118" si="721">J29/J59</f>
        <v>0</v>
      </c>
      <c r="K118" s="127">
        <f t="shared" si="721"/>
        <v>0</v>
      </c>
      <c r="L118" s="127">
        <f t="shared" si="721"/>
        <v>0</v>
      </c>
      <c r="M118" s="127">
        <f t="shared" si="721"/>
        <v>0</v>
      </c>
      <c r="N118" s="127">
        <f t="shared" si="721"/>
        <v>0</v>
      </c>
      <c r="O118" s="127">
        <f t="shared" si="721"/>
        <v>0</v>
      </c>
      <c r="P118" s="127">
        <f t="shared" si="721"/>
        <v>0</v>
      </c>
      <c r="Q118" s="127">
        <f t="shared" si="721"/>
        <v>0</v>
      </c>
      <c r="R118" s="127">
        <f t="shared" ref="R118:V118" si="722">R29/R59</f>
        <v>0</v>
      </c>
      <c r="S118" s="127">
        <f t="shared" si="722"/>
        <v>0</v>
      </c>
      <c r="T118" s="127">
        <f t="shared" si="722"/>
        <v>0</v>
      </c>
      <c r="U118" s="127">
        <f t="shared" si="722"/>
        <v>0</v>
      </c>
      <c r="V118" s="127">
        <f t="shared" si="722"/>
        <v>6.8864475303216732</v>
      </c>
      <c r="W118" s="127">
        <f t="shared" ref="W118" si="723">W29/W59</f>
        <v>3.9790645879732738</v>
      </c>
      <c r="X118" s="127">
        <f t="shared" ref="X118:AA118" si="724">X29/X59</f>
        <v>2.1098471734507145</v>
      </c>
      <c r="Y118" s="127">
        <f t="shared" ref="Y118:Z118" si="725">Y29/Y59</f>
        <v>1.5966334406391809</v>
      </c>
      <c r="Z118" s="127">
        <f t="shared" si="725"/>
        <v>1.4665873545541595</v>
      </c>
      <c r="AA118" s="127">
        <f t="shared" si="724"/>
        <v>1.608211627351837</v>
      </c>
      <c r="AB118" s="101" t="e">
        <f t="shared" si="416"/>
        <v>#DIV/0!</v>
      </c>
      <c r="AC118" s="10"/>
      <c r="AD118" s="127">
        <f t="shared" ref="AD118:AM118" si="726">AD29/AD59</f>
        <v>1.6082116273518368</v>
      </c>
      <c r="AE118" s="127">
        <f t="shared" si="726"/>
        <v>1.6082116273518368</v>
      </c>
      <c r="AF118" s="127">
        <f t="shared" si="726"/>
        <v>1.608211627351837</v>
      </c>
      <c r="AG118" s="127">
        <f t="shared" si="726"/>
        <v>1.6082116273518368</v>
      </c>
      <c r="AH118" s="127">
        <f t="shared" si="726"/>
        <v>1.6082116273518368</v>
      </c>
      <c r="AI118" s="127">
        <f t="shared" si="726"/>
        <v>1.6082116273518368</v>
      </c>
      <c r="AJ118" s="127">
        <f t="shared" si="726"/>
        <v>1.608211627351837</v>
      </c>
      <c r="AK118" s="127">
        <f t="shared" si="726"/>
        <v>1.608211627351837</v>
      </c>
      <c r="AL118" s="127">
        <f t="shared" si="726"/>
        <v>1.6082116273518368</v>
      </c>
      <c r="AM118" s="127">
        <f t="shared" si="726"/>
        <v>1.6082116273518368</v>
      </c>
      <c r="AN118" s="114" t="e">
        <f t="shared" ref="AN118" si="727">((AM118/J118)^(1/($AM$3-$K$1) ))-1</f>
        <v>#DIV/0!</v>
      </c>
      <c r="AO118" s="21">
        <f t="shared" si="660"/>
        <v>0.01</v>
      </c>
      <c r="AP118" s="122" t="e">
        <f t="shared" si="454"/>
        <v>#DIV/0!</v>
      </c>
    </row>
    <row r="119" spans="1:42" ht="12" customHeight="1" x14ac:dyDescent="0.15">
      <c r="B119" s="10" t="s">
        <v>269</v>
      </c>
      <c r="C119" s="127"/>
      <c r="D119" s="127"/>
      <c r="E119" s="127"/>
      <c r="F119" s="127"/>
      <c r="G119" s="127" t="e">
        <f t="shared" ref="G119" si="728">G29/G12</f>
        <v>#DIV/0!</v>
      </c>
      <c r="H119" s="127" t="e">
        <f t="shared" ref="H119:I119" si="729">H29/H12</f>
        <v>#DIV/0!</v>
      </c>
      <c r="I119" s="127" t="e">
        <f t="shared" si="729"/>
        <v>#DIV/0!</v>
      </c>
      <c r="J119" s="127" t="e">
        <f t="shared" ref="J119:Q119" si="730">J29/J12</f>
        <v>#DIV/0!</v>
      </c>
      <c r="K119" s="127" t="e">
        <f t="shared" si="730"/>
        <v>#DIV/0!</v>
      </c>
      <c r="L119" s="127" t="e">
        <f t="shared" si="730"/>
        <v>#DIV/0!</v>
      </c>
      <c r="M119" s="127" t="e">
        <f t="shared" si="730"/>
        <v>#DIV/0!</v>
      </c>
      <c r="N119" s="127" t="e">
        <f t="shared" si="730"/>
        <v>#DIV/0!</v>
      </c>
      <c r="O119" s="127" t="e">
        <f t="shared" si="730"/>
        <v>#DIV/0!</v>
      </c>
      <c r="P119" s="127" t="e">
        <f t="shared" si="730"/>
        <v>#DIV/0!</v>
      </c>
      <c r="Q119" s="127" t="e">
        <f t="shared" si="730"/>
        <v>#DIV/0!</v>
      </c>
      <c r="R119" s="127" t="e">
        <f t="shared" ref="R119:V119" si="731">R29/R12</f>
        <v>#DIV/0!</v>
      </c>
      <c r="S119" s="127" t="e">
        <f t="shared" si="731"/>
        <v>#DIV/0!</v>
      </c>
      <c r="T119" s="127" t="e">
        <f t="shared" si="731"/>
        <v>#DIV/0!</v>
      </c>
      <c r="U119" s="127" t="e">
        <f t="shared" si="731"/>
        <v>#DIV/0!</v>
      </c>
      <c r="V119" s="127" t="e">
        <f t="shared" si="731"/>
        <v>#DIV/0!</v>
      </c>
      <c r="W119" s="127" t="e">
        <f t="shared" ref="W119" si="732">W29/W12</f>
        <v>#DIV/0!</v>
      </c>
      <c r="X119" s="127" t="e">
        <f t="shared" ref="X119:AA119" si="733">X29/X12</f>
        <v>#DIV/0!</v>
      </c>
      <c r="Y119" s="127" t="e">
        <f t="shared" ref="Y119:Z119" si="734">Y29/Y12</f>
        <v>#DIV/0!</v>
      </c>
      <c r="Z119" s="127" t="e">
        <f t="shared" si="734"/>
        <v>#DIV/0!</v>
      </c>
      <c r="AA119" s="127" t="e">
        <f t="shared" si="733"/>
        <v>#DIV/0!</v>
      </c>
      <c r="AB119" s="101" t="e">
        <f t="shared" si="416"/>
        <v>#DIV/0!</v>
      </c>
      <c r="AC119" s="10"/>
      <c r="AD119" s="127" t="e">
        <f t="shared" ref="AD119:AM119" si="735">AD29/AD12</f>
        <v>#DIV/0!</v>
      </c>
      <c r="AE119" s="127" t="e">
        <f t="shared" si="735"/>
        <v>#DIV/0!</v>
      </c>
      <c r="AF119" s="127" t="e">
        <f t="shared" si="735"/>
        <v>#DIV/0!</v>
      </c>
      <c r="AG119" s="127" t="e">
        <f t="shared" si="735"/>
        <v>#DIV/0!</v>
      </c>
      <c r="AH119" s="127" t="e">
        <f t="shared" si="735"/>
        <v>#DIV/0!</v>
      </c>
      <c r="AI119" s="127" t="e">
        <f t="shared" si="735"/>
        <v>#DIV/0!</v>
      </c>
      <c r="AJ119" s="127" t="e">
        <f t="shared" si="735"/>
        <v>#DIV/0!</v>
      </c>
      <c r="AK119" s="127" t="e">
        <f t="shared" si="735"/>
        <v>#DIV/0!</v>
      </c>
      <c r="AL119" s="127" t="e">
        <f t="shared" si="735"/>
        <v>#DIV/0!</v>
      </c>
      <c r="AM119" s="127" t="e">
        <f t="shared" si="735"/>
        <v>#DIV/0!</v>
      </c>
      <c r="AN119" s="114" t="e">
        <f t="shared" si="659"/>
        <v>#DIV/0!</v>
      </c>
      <c r="AO119" s="21">
        <f t="shared" si="660"/>
        <v>0.01</v>
      </c>
      <c r="AP119" s="122" t="e">
        <f t="shared" si="454"/>
        <v>#DIV/0!</v>
      </c>
    </row>
    <row r="120" spans="1:42" ht="12" customHeight="1" x14ac:dyDescent="0.15">
      <c r="B120" s="10" t="s">
        <v>311</v>
      </c>
      <c r="C120" s="127"/>
      <c r="D120" s="127"/>
      <c r="E120" s="127"/>
      <c r="F120" s="127"/>
      <c r="G120" s="127">
        <f t="shared" ref="G120" si="736">G29/G23</f>
        <v>0</v>
      </c>
      <c r="H120" s="127">
        <f t="shared" ref="H120:I120" si="737">H29/H23</f>
        <v>0</v>
      </c>
      <c r="I120" s="127">
        <f t="shared" si="737"/>
        <v>0</v>
      </c>
      <c r="J120" s="127">
        <f>J29/J23</f>
        <v>0</v>
      </c>
      <c r="K120" s="127">
        <f t="shared" ref="K120:Q120" si="738">K29/K23</f>
        <v>0</v>
      </c>
      <c r="L120" s="127">
        <f t="shared" si="738"/>
        <v>0</v>
      </c>
      <c r="M120" s="127">
        <f t="shared" si="738"/>
        <v>0</v>
      </c>
      <c r="N120" s="127">
        <f t="shared" si="738"/>
        <v>0</v>
      </c>
      <c r="O120" s="127">
        <f t="shared" si="738"/>
        <v>0</v>
      </c>
      <c r="P120" s="127">
        <f t="shared" si="738"/>
        <v>0</v>
      </c>
      <c r="Q120" s="127" t="e">
        <f t="shared" si="738"/>
        <v>#DIV/0!</v>
      </c>
      <c r="R120" s="127" t="e">
        <f t="shared" ref="R120:V120" si="739">R29/R23</f>
        <v>#DIV/0!</v>
      </c>
      <c r="S120" s="127" t="e">
        <f t="shared" si="739"/>
        <v>#DIV/0!</v>
      </c>
      <c r="T120" s="127" t="e">
        <f t="shared" si="739"/>
        <v>#DIV/0!</v>
      </c>
      <c r="U120" s="127" t="e">
        <f t="shared" si="739"/>
        <v>#DIV/0!</v>
      </c>
      <c r="V120" s="127" t="e">
        <f t="shared" si="739"/>
        <v>#DIV/0!</v>
      </c>
      <c r="W120" s="127" t="e">
        <f t="shared" ref="W120" si="740">W29/W23</f>
        <v>#DIV/0!</v>
      </c>
      <c r="X120" s="127" t="e">
        <f t="shared" ref="X120:AA120" si="741">X29/X23</f>
        <v>#DIV/0!</v>
      </c>
      <c r="Y120" s="127" t="e">
        <f t="shared" ref="Y120:Z120" si="742">Y29/Y23</f>
        <v>#DIV/0!</v>
      </c>
      <c r="Z120" s="127" t="e">
        <f t="shared" si="742"/>
        <v>#DIV/0!</v>
      </c>
      <c r="AA120" s="127" t="e">
        <f t="shared" si="741"/>
        <v>#DIV/0!</v>
      </c>
      <c r="AB120" s="101" t="e">
        <f t="shared" si="416"/>
        <v>#DIV/0!</v>
      </c>
      <c r="AC120" s="10"/>
      <c r="AD120" s="127" t="e">
        <f t="shared" ref="AD120:AM120" si="743">AD29/AD23</f>
        <v>#DIV/0!</v>
      </c>
      <c r="AE120" s="127" t="e">
        <f t="shared" si="743"/>
        <v>#DIV/0!</v>
      </c>
      <c r="AF120" s="127" t="e">
        <f t="shared" si="743"/>
        <v>#DIV/0!</v>
      </c>
      <c r="AG120" s="127" t="e">
        <f t="shared" si="743"/>
        <v>#DIV/0!</v>
      </c>
      <c r="AH120" s="127" t="e">
        <f t="shared" si="743"/>
        <v>#DIV/0!</v>
      </c>
      <c r="AI120" s="127" t="e">
        <f t="shared" si="743"/>
        <v>#DIV/0!</v>
      </c>
      <c r="AJ120" s="127" t="e">
        <f t="shared" si="743"/>
        <v>#DIV/0!</v>
      </c>
      <c r="AK120" s="127" t="e">
        <f t="shared" si="743"/>
        <v>#DIV/0!</v>
      </c>
      <c r="AL120" s="127" t="e">
        <f t="shared" si="743"/>
        <v>#DIV/0!</v>
      </c>
      <c r="AM120" s="127" t="e">
        <f t="shared" si="743"/>
        <v>#DIV/0!</v>
      </c>
      <c r="AN120" s="114" t="e">
        <f t="shared" ref="AN120" si="744">((AM120/J120)^(1/($AM$3-$K$1) ))-1</f>
        <v>#DIV/0!</v>
      </c>
      <c r="AO120" s="21">
        <f t="shared" si="660"/>
        <v>0.01</v>
      </c>
      <c r="AP120" s="122" t="e">
        <f t="shared" si="454"/>
        <v>#DIV/0!</v>
      </c>
    </row>
    <row r="121" spans="1:42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01" t="e">
        <f t="shared" si="416"/>
        <v>#DIV/0!</v>
      </c>
      <c r="AC121" s="10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2"/>
      <c r="AP121" s="122"/>
    </row>
    <row r="122" spans="1:42" ht="12" customHeight="1" x14ac:dyDescent="0.15">
      <c r="B122" s="10" t="s">
        <v>343</v>
      </c>
      <c r="C122" s="127"/>
      <c r="D122" s="127"/>
      <c r="E122" s="127"/>
      <c r="F122" s="108"/>
      <c r="G122" s="108" t="e">
        <f t="shared" ref="G122" si="745">1/G116</f>
        <v>#DIV/0!</v>
      </c>
      <c r="H122" s="108" t="e">
        <f t="shared" ref="H122:I122" si="746">1/H116</f>
        <v>#DIV/0!</v>
      </c>
      <c r="I122" s="108" t="e">
        <f t="shared" si="746"/>
        <v>#DIV/0!</v>
      </c>
      <c r="J122" s="108" t="e">
        <f>1/J116</f>
        <v>#DIV/0!</v>
      </c>
      <c r="K122" s="108" t="e">
        <f t="shared" ref="K122:Q122" si="747">1/K116</f>
        <v>#DIV/0!</v>
      </c>
      <c r="L122" s="108" t="e">
        <f t="shared" si="747"/>
        <v>#DIV/0!</v>
      </c>
      <c r="M122" s="108" t="e">
        <f t="shared" si="747"/>
        <v>#DIV/0!</v>
      </c>
      <c r="N122" s="108" t="e">
        <f t="shared" si="747"/>
        <v>#DIV/0!</v>
      </c>
      <c r="O122" s="108" t="e">
        <f t="shared" si="747"/>
        <v>#DIV/0!</v>
      </c>
      <c r="P122" s="108" t="e">
        <f t="shared" si="747"/>
        <v>#DIV/0!</v>
      </c>
      <c r="Q122" s="108" t="e">
        <f t="shared" si="747"/>
        <v>#DIV/0!</v>
      </c>
      <c r="R122" s="108" t="e">
        <f t="shared" ref="R122:V122" si="748">1/R116</f>
        <v>#DIV/0!</v>
      </c>
      <c r="S122" s="108" t="e">
        <f t="shared" si="748"/>
        <v>#DIV/0!</v>
      </c>
      <c r="T122" s="108" t="e">
        <f t="shared" si="748"/>
        <v>#DIV/0!</v>
      </c>
      <c r="U122" s="108" t="e">
        <f t="shared" si="748"/>
        <v>#DIV/0!</v>
      </c>
      <c r="V122" s="108">
        <f t="shared" si="748"/>
        <v>3.3516093626362404</v>
      </c>
      <c r="W122" s="108">
        <f t="shared" ref="W122" si="749">1/W116</f>
        <v>3.3535430426508457</v>
      </c>
      <c r="X122" s="108">
        <f t="shared" ref="X122:AA122" si="750">1/X116</f>
        <v>3.7786164701469795</v>
      </c>
      <c r="Y122" s="108">
        <f t="shared" ref="Y122:Z122" si="751">1/Y116</f>
        <v>3.8268473983384346</v>
      </c>
      <c r="Z122" s="108">
        <f t="shared" si="751"/>
        <v>3.6835565755891024</v>
      </c>
      <c r="AA122" s="108">
        <f t="shared" si="750"/>
        <v>3.1995466076536947</v>
      </c>
      <c r="AB122" s="101" t="e">
        <f t="shared" si="416"/>
        <v>#DIV/0!</v>
      </c>
      <c r="AC122" s="10"/>
      <c r="AD122" s="108">
        <f t="shared" ref="AD122:AM122" si="752">1/AD116</f>
        <v>3.1995466076536947</v>
      </c>
      <c r="AE122" s="108">
        <f t="shared" si="752"/>
        <v>3.1995466076536947</v>
      </c>
      <c r="AF122" s="108">
        <f t="shared" si="752"/>
        <v>3.1995466076536947</v>
      </c>
      <c r="AG122" s="108">
        <f t="shared" si="752"/>
        <v>3.1995466076536947</v>
      </c>
      <c r="AH122" s="108">
        <f t="shared" si="752"/>
        <v>3.1995466076536947</v>
      </c>
      <c r="AI122" s="108">
        <f t="shared" si="752"/>
        <v>3.1995466076536947</v>
      </c>
      <c r="AJ122" s="108">
        <f t="shared" si="752"/>
        <v>3.1995466076536938</v>
      </c>
      <c r="AK122" s="108">
        <f t="shared" si="752"/>
        <v>3.1995466076536938</v>
      </c>
      <c r="AL122" s="108">
        <f t="shared" si="752"/>
        <v>3.1995466076536934</v>
      </c>
      <c r="AM122" s="108">
        <f t="shared" si="752"/>
        <v>3.1995466076536938</v>
      </c>
      <c r="AN122" s="114" t="e">
        <f t="shared" si="659"/>
        <v>#DIV/0!</v>
      </c>
      <c r="AO122" s="21">
        <f t="shared" si="660"/>
        <v>0.01</v>
      </c>
      <c r="AP122" s="122" t="e">
        <f t="shared" si="454"/>
        <v>#DIV/0!</v>
      </c>
    </row>
    <row r="123" spans="1:42" ht="12" customHeight="1" x14ac:dyDescent="0.15">
      <c r="B123" s="10" t="s">
        <v>344</v>
      </c>
      <c r="C123" s="127"/>
      <c r="D123" s="127"/>
      <c r="E123" s="127"/>
      <c r="F123" s="108"/>
      <c r="G123" s="108" t="e">
        <f t="shared" ref="G123" si="753">1/G117</f>
        <v>#DIV/0!</v>
      </c>
      <c r="H123" s="108" t="e">
        <f t="shared" ref="H123:I123" si="754">1/H117</f>
        <v>#DIV/0!</v>
      </c>
      <c r="I123" s="108" t="e">
        <f t="shared" si="754"/>
        <v>#DIV/0!</v>
      </c>
      <c r="J123" s="108" t="e">
        <f t="shared" ref="J123:Q126" si="755">1/J117</f>
        <v>#DIV/0!</v>
      </c>
      <c r="K123" s="108" t="e">
        <f t="shared" si="755"/>
        <v>#DIV/0!</v>
      </c>
      <c r="L123" s="108" t="e">
        <f t="shared" si="755"/>
        <v>#DIV/0!</v>
      </c>
      <c r="M123" s="108" t="e">
        <f t="shared" si="755"/>
        <v>#DIV/0!</v>
      </c>
      <c r="N123" s="108" t="e">
        <f t="shared" si="755"/>
        <v>#DIV/0!</v>
      </c>
      <c r="O123" s="108" t="e">
        <f t="shared" si="755"/>
        <v>#DIV/0!</v>
      </c>
      <c r="P123" s="108" t="e">
        <f t="shared" si="755"/>
        <v>#DIV/0!</v>
      </c>
      <c r="Q123" s="108" t="e">
        <f t="shared" si="755"/>
        <v>#DIV/0!</v>
      </c>
      <c r="R123" s="108" t="e">
        <f t="shared" ref="R123:V123" si="756">1/R117</f>
        <v>#DIV/0!</v>
      </c>
      <c r="S123" s="108" t="e">
        <f t="shared" si="756"/>
        <v>#DIV/0!</v>
      </c>
      <c r="T123" s="108" t="e">
        <f t="shared" si="756"/>
        <v>#DIV/0!</v>
      </c>
      <c r="U123" s="108" t="e">
        <f t="shared" si="756"/>
        <v>#DIV/0!</v>
      </c>
      <c r="V123" s="108" t="e">
        <f t="shared" si="756"/>
        <v>#DIV/0!</v>
      </c>
      <c r="W123" s="108" t="e">
        <f t="shared" ref="W123" si="757">1/W117</f>
        <v>#DIV/0!</v>
      </c>
      <c r="X123" s="108" t="e">
        <f t="shared" ref="X123:AA123" si="758">1/X117</f>
        <v>#DIV/0!</v>
      </c>
      <c r="Y123" s="108" t="e">
        <f t="shared" ref="Y123:Z123" si="759">1/Y117</f>
        <v>#DIV/0!</v>
      </c>
      <c r="Z123" s="108" t="e">
        <f t="shared" si="759"/>
        <v>#DIV/0!</v>
      </c>
      <c r="AA123" s="108" t="e">
        <f t="shared" si="758"/>
        <v>#DIV/0!</v>
      </c>
      <c r="AB123" s="101" t="e">
        <f t="shared" si="416"/>
        <v>#DIV/0!</v>
      </c>
      <c r="AC123" s="10"/>
      <c r="AD123" s="108" t="e">
        <f t="shared" ref="AD123:AM123" si="760">1/AD117</f>
        <v>#DIV/0!</v>
      </c>
      <c r="AE123" s="108" t="e">
        <f t="shared" si="760"/>
        <v>#DIV/0!</v>
      </c>
      <c r="AF123" s="108" t="e">
        <f t="shared" si="760"/>
        <v>#DIV/0!</v>
      </c>
      <c r="AG123" s="108" t="e">
        <f t="shared" si="760"/>
        <v>#DIV/0!</v>
      </c>
      <c r="AH123" s="108" t="e">
        <f t="shared" si="760"/>
        <v>#DIV/0!</v>
      </c>
      <c r="AI123" s="108" t="e">
        <f t="shared" si="760"/>
        <v>#DIV/0!</v>
      </c>
      <c r="AJ123" s="108" t="e">
        <f t="shared" si="760"/>
        <v>#DIV/0!</v>
      </c>
      <c r="AK123" s="108" t="e">
        <f t="shared" si="760"/>
        <v>#DIV/0!</v>
      </c>
      <c r="AL123" s="108" t="e">
        <f t="shared" si="760"/>
        <v>#DIV/0!</v>
      </c>
      <c r="AM123" s="108" t="e">
        <f t="shared" si="760"/>
        <v>#DIV/0!</v>
      </c>
      <c r="AN123" s="114" t="e">
        <f t="shared" si="659"/>
        <v>#DIV/0!</v>
      </c>
      <c r="AO123" s="21">
        <f t="shared" si="660"/>
        <v>0.01</v>
      </c>
      <c r="AP123" s="122" t="e">
        <f t="shared" si="454"/>
        <v>#DIV/0!</v>
      </c>
    </row>
    <row r="124" spans="1:42" ht="12" customHeight="1" x14ac:dyDescent="0.15">
      <c r="B124" s="10" t="s">
        <v>345</v>
      </c>
      <c r="C124" s="127"/>
      <c r="D124" s="127"/>
      <c r="E124" s="127"/>
      <c r="F124" s="108"/>
      <c r="G124" s="108" t="e">
        <f t="shared" ref="G124" si="761">1/G118</f>
        <v>#DIV/0!</v>
      </c>
      <c r="H124" s="108" t="e">
        <f t="shared" ref="H124:I124" si="762">1/H118</f>
        <v>#DIV/0!</v>
      </c>
      <c r="I124" s="108" t="e">
        <f t="shared" si="762"/>
        <v>#DIV/0!</v>
      </c>
      <c r="J124" s="108" t="e">
        <f t="shared" si="755"/>
        <v>#DIV/0!</v>
      </c>
      <c r="K124" s="108" t="e">
        <f t="shared" si="755"/>
        <v>#DIV/0!</v>
      </c>
      <c r="L124" s="108" t="e">
        <f t="shared" si="755"/>
        <v>#DIV/0!</v>
      </c>
      <c r="M124" s="108" t="e">
        <f t="shared" si="755"/>
        <v>#DIV/0!</v>
      </c>
      <c r="N124" s="108" t="e">
        <f t="shared" si="755"/>
        <v>#DIV/0!</v>
      </c>
      <c r="O124" s="108" t="e">
        <f t="shared" si="755"/>
        <v>#DIV/0!</v>
      </c>
      <c r="P124" s="108" t="e">
        <f t="shared" si="755"/>
        <v>#DIV/0!</v>
      </c>
      <c r="Q124" s="108" t="e">
        <f t="shared" si="755"/>
        <v>#DIV/0!</v>
      </c>
      <c r="R124" s="108" t="e">
        <f t="shared" ref="R124:V124" si="763">1/R118</f>
        <v>#DIV/0!</v>
      </c>
      <c r="S124" s="108" t="e">
        <f t="shared" si="763"/>
        <v>#DIV/0!</v>
      </c>
      <c r="T124" s="108" t="e">
        <f t="shared" si="763"/>
        <v>#DIV/0!</v>
      </c>
      <c r="U124" s="108" t="e">
        <f t="shared" si="763"/>
        <v>#DIV/0!</v>
      </c>
      <c r="V124" s="108">
        <f t="shared" si="763"/>
        <v>0.1452127523802231</v>
      </c>
      <c r="W124" s="108">
        <f t="shared" ref="W124" si="764">1/W118</f>
        <v>0.25131534758759655</v>
      </c>
      <c r="X124" s="108">
        <f t="shared" ref="X124:AA124" si="765">1/X118</f>
        <v>0.47396797862115853</v>
      </c>
      <c r="Y124" s="108">
        <f t="shared" ref="Y124:Z124" si="766">1/Y118</f>
        <v>0.62631783510664141</v>
      </c>
      <c r="Z124" s="108">
        <f t="shared" si="766"/>
        <v>0.68185505411234004</v>
      </c>
      <c r="AA124" s="108">
        <f t="shared" si="765"/>
        <v>0.62180871161008255</v>
      </c>
      <c r="AB124" s="101" t="e">
        <f t="shared" si="416"/>
        <v>#DIV/0!</v>
      </c>
      <c r="AC124" s="10"/>
      <c r="AD124" s="108">
        <f t="shared" ref="AD124:AM124" si="767">1/AD118</f>
        <v>0.62180871161008267</v>
      </c>
      <c r="AE124" s="108">
        <f t="shared" si="767"/>
        <v>0.62180871161008267</v>
      </c>
      <c r="AF124" s="108">
        <f t="shared" si="767"/>
        <v>0.62180871161008255</v>
      </c>
      <c r="AG124" s="108">
        <f t="shared" si="767"/>
        <v>0.62180871161008267</v>
      </c>
      <c r="AH124" s="108">
        <f t="shared" si="767"/>
        <v>0.62180871161008267</v>
      </c>
      <c r="AI124" s="108">
        <f t="shared" si="767"/>
        <v>0.62180871161008267</v>
      </c>
      <c r="AJ124" s="108">
        <f t="shared" si="767"/>
        <v>0.62180871161008255</v>
      </c>
      <c r="AK124" s="108">
        <f t="shared" si="767"/>
        <v>0.62180871161008255</v>
      </c>
      <c r="AL124" s="108">
        <f t="shared" si="767"/>
        <v>0.62180871161008267</v>
      </c>
      <c r="AM124" s="108">
        <f t="shared" si="767"/>
        <v>0.62180871161008267</v>
      </c>
      <c r="AN124" s="114" t="e">
        <f t="shared" si="659"/>
        <v>#DIV/0!</v>
      </c>
      <c r="AO124" s="21">
        <f t="shared" si="660"/>
        <v>0.01</v>
      </c>
      <c r="AP124" s="122" t="e">
        <f t="shared" si="454"/>
        <v>#DIV/0!</v>
      </c>
    </row>
    <row r="125" spans="1:42" ht="12" customHeight="1" x14ac:dyDescent="0.15">
      <c r="B125" s="10" t="s">
        <v>346</v>
      </c>
      <c r="C125" s="127"/>
      <c r="D125" s="127"/>
      <c r="E125" s="127"/>
      <c r="F125" s="108"/>
      <c r="G125" s="108" t="e">
        <f t="shared" ref="G125" si="768">1/G119</f>
        <v>#DIV/0!</v>
      </c>
      <c r="H125" s="108" t="e">
        <f t="shared" ref="H125:I125" si="769">1/H119</f>
        <v>#DIV/0!</v>
      </c>
      <c r="I125" s="108" t="e">
        <f t="shared" si="769"/>
        <v>#DIV/0!</v>
      </c>
      <c r="J125" s="108" t="e">
        <f t="shared" si="755"/>
        <v>#DIV/0!</v>
      </c>
      <c r="K125" s="108" t="e">
        <f t="shared" si="755"/>
        <v>#DIV/0!</v>
      </c>
      <c r="L125" s="108" t="e">
        <f t="shared" si="755"/>
        <v>#DIV/0!</v>
      </c>
      <c r="M125" s="108" t="e">
        <f t="shared" si="755"/>
        <v>#DIV/0!</v>
      </c>
      <c r="N125" s="108" t="e">
        <f t="shared" si="755"/>
        <v>#DIV/0!</v>
      </c>
      <c r="O125" s="108" t="e">
        <f t="shared" si="755"/>
        <v>#DIV/0!</v>
      </c>
      <c r="P125" s="108" t="e">
        <f t="shared" si="755"/>
        <v>#DIV/0!</v>
      </c>
      <c r="Q125" s="108" t="e">
        <f t="shared" si="755"/>
        <v>#DIV/0!</v>
      </c>
      <c r="R125" s="108" t="e">
        <f t="shared" ref="R125:V125" si="770">1/R119</f>
        <v>#DIV/0!</v>
      </c>
      <c r="S125" s="108" t="e">
        <f t="shared" si="770"/>
        <v>#DIV/0!</v>
      </c>
      <c r="T125" s="108" t="e">
        <f t="shared" si="770"/>
        <v>#DIV/0!</v>
      </c>
      <c r="U125" s="108" t="e">
        <f t="shared" si="770"/>
        <v>#DIV/0!</v>
      </c>
      <c r="V125" s="108" t="e">
        <f t="shared" si="770"/>
        <v>#DIV/0!</v>
      </c>
      <c r="W125" s="108" t="e">
        <f t="shared" ref="W125" si="771">1/W119</f>
        <v>#DIV/0!</v>
      </c>
      <c r="X125" s="108" t="e">
        <f t="shared" ref="X125:AA125" si="772">1/X119</f>
        <v>#DIV/0!</v>
      </c>
      <c r="Y125" s="108" t="e">
        <f t="shared" ref="Y125:Z125" si="773">1/Y119</f>
        <v>#DIV/0!</v>
      </c>
      <c r="Z125" s="108" t="e">
        <f t="shared" si="773"/>
        <v>#DIV/0!</v>
      </c>
      <c r="AA125" s="108" t="e">
        <f t="shared" si="772"/>
        <v>#DIV/0!</v>
      </c>
      <c r="AB125" s="101" t="e">
        <f t="shared" si="416"/>
        <v>#DIV/0!</v>
      </c>
      <c r="AC125" s="10"/>
      <c r="AD125" s="108" t="e">
        <f t="shared" ref="AD125:AM125" si="774">1/AD119</f>
        <v>#DIV/0!</v>
      </c>
      <c r="AE125" s="108" t="e">
        <f t="shared" si="774"/>
        <v>#DIV/0!</v>
      </c>
      <c r="AF125" s="108" t="e">
        <f t="shared" si="774"/>
        <v>#DIV/0!</v>
      </c>
      <c r="AG125" s="108" t="e">
        <f t="shared" si="774"/>
        <v>#DIV/0!</v>
      </c>
      <c r="AH125" s="108" t="e">
        <f t="shared" si="774"/>
        <v>#DIV/0!</v>
      </c>
      <c r="AI125" s="108" t="e">
        <f t="shared" si="774"/>
        <v>#DIV/0!</v>
      </c>
      <c r="AJ125" s="108" t="e">
        <f t="shared" si="774"/>
        <v>#DIV/0!</v>
      </c>
      <c r="AK125" s="108" t="e">
        <f t="shared" si="774"/>
        <v>#DIV/0!</v>
      </c>
      <c r="AL125" s="108" t="e">
        <f t="shared" si="774"/>
        <v>#DIV/0!</v>
      </c>
      <c r="AM125" s="108" t="e">
        <f t="shared" si="774"/>
        <v>#DIV/0!</v>
      </c>
      <c r="AN125" s="114" t="e">
        <f t="shared" si="659"/>
        <v>#DIV/0!</v>
      </c>
      <c r="AO125" s="21">
        <f t="shared" si="660"/>
        <v>0.01</v>
      </c>
      <c r="AP125" s="122" t="e">
        <f t="shared" si="454"/>
        <v>#DIV/0!</v>
      </c>
    </row>
    <row r="126" spans="1:42" ht="12" customHeight="1" x14ac:dyDescent="0.15">
      <c r="B126" s="10" t="s">
        <v>347</v>
      </c>
      <c r="C126" s="127"/>
      <c r="D126" s="127"/>
      <c r="E126" s="127"/>
      <c r="F126" s="108"/>
      <c r="G126" s="108" t="e">
        <f t="shared" ref="G126" si="775">1/G120</f>
        <v>#DIV/0!</v>
      </c>
      <c r="H126" s="108" t="e">
        <f t="shared" ref="H126:I126" si="776">1/H120</f>
        <v>#DIV/0!</v>
      </c>
      <c r="I126" s="108" t="e">
        <f t="shared" si="776"/>
        <v>#DIV/0!</v>
      </c>
      <c r="J126" s="108" t="e">
        <f t="shared" si="755"/>
        <v>#DIV/0!</v>
      </c>
      <c r="K126" s="108" t="e">
        <f t="shared" si="755"/>
        <v>#DIV/0!</v>
      </c>
      <c r="L126" s="108" t="e">
        <f t="shared" si="755"/>
        <v>#DIV/0!</v>
      </c>
      <c r="M126" s="108" t="e">
        <f t="shared" si="755"/>
        <v>#DIV/0!</v>
      </c>
      <c r="N126" s="108" t="e">
        <f t="shared" si="755"/>
        <v>#DIV/0!</v>
      </c>
      <c r="O126" s="108" t="e">
        <f t="shared" si="755"/>
        <v>#DIV/0!</v>
      </c>
      <c r="P126" s="108" t="e">
        <f t="shared" si="755"/>
        <v>#DIV/0!</v>
      </c>
      <c r="Q126" s="108" t="e">
        <f t="shared" si="755"/>
        <v>#DIV/0!</v>
      </c>
      <c r="R126" s="108" t="e">
        <f t="shared" ref="R126:V126" si="777">1/R120</f>
        <v>#DIV/0!</v>
      </c>
      <c r="S126" s="108" t="e">
        <f t="shared" si="777"/>
        <v>#DIV/0!</v>
      </c>
      <c r="T126" s="108" t="e">
        <f t="shared" si="777"/>
        <v>#DIV/0!</v>
      </c>
      <c r="U126" s="108" t="e">
        <f t="shared" si="777"/>
        <v>#DIV/0!</v>
      </c>
      <c r="V126" s="108" t="e">
        <f t="shared" si="777"/>
        <v>#DIV/0!</v>
      </c>
      <c r="W126" s="108" t="e">
        <f t="shared" ref="W126" si="778">1/W120</f>
        <v>#DIV/0!</v>
      </c>
      <c r="X126" s="108" t="e">
        <f t="shared" ref="X126:AA126" si="779">1/X120</f>
        <v>#DIV/0!</v>
      </c>
      <c r="Y126" s="108" t="e">
        <f t="shared" ref="Y126:Z126" si="780">1/Y120</f>
        <v>#DIV/0!</v>
      </c>
      <c r="Z126" s="108" t="e">
        <f t="shared" si="780"/>
        <v>#DIV/0!</v>
      </c>
      <c r="AA126" s="108" t="e">
        <f t="shared" si="779"/>
        <v>#DIV/0!</v>
      </c>
      <c r="AB126" s="101" t="e">
        <f t="shared" si="416"/>
        <v>#DIV/0!</v>
      </c>
      <c r="AC126" s="10"/>
      <c r="AD126" s="108" t="e">
        <f t="shared" ref="AD126:AM126" si="781">1/AD120</f>
        <v>#DIV/0!</v>
      </c>
      <c r="AE126" s="108" t="e">
        <f t="shared" si="781"/>
        <v>#DIV/0!</v>
      </c>
      <c r="AF126" s="108" t="e">
        <f t="shared" si="781"/>
        <v>#DIV/0!</v>
      </c>
      <c r="AG126" s="108" t="e">
        <f t="shared" si="781"/>
        <v>#DIV/0!</v>
      </c>
      <c r="AH126" s="108" t="e">
        <f t="shared" si="781"/>
        <v>#DIV/0!</v>
      </c>
      <c r="AI126" s="108" t="e">
        <f t="shared" si="781"/>
        <v>#DIV/0!</v>
      </c>
      <c r="AJ126" s="108" t="e">
        <f t="shared" si="781"/>
        <v>#DIV/0!</v>
      </c>
      <c r="AK126" s="108" t="e">
        <f t="shared" si="781"/>
        <v>#DIV/0!</v>
      </c>
      <c r="AL126" s="108" t="e">
        <f t="shared" si="781"/>
        <v>#DIV/0!</v>
      </c>
      <c r="AM126" s="108" t="e">
        <f t="shared" si="781"/>
        <v>#DIV/0!</v>
      </c>
      <c r="AN126" s="114" t="e">
        <f t="shared" si="659"/>
        <v>#DIV/0!</v>
      </c>
      <c r="AO126" s="21">
        <f t="shared" si="660"/>
        <v>0.01</v>
      </c>
      <c r="AP126" s="122" t="e">
        <f t="shared" si="454"/>
        <v>#DIV/0!</v>
      </c>
    </row>
    <row r="127" spans="1:42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01" t="e">
        <f t="shared" si="416"/>
        <v>#DIV/0!</v>
      </c>
      <c r="AC127" s="10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2"/>
      <c r="AP127" s="122"/>
    </row>
    <row r="128" spans="1:42" ht="12" customHeight="1" x14ac:dyDescent="0.15">
      <c r="A128" s="292" t="s">
        <v>416</v>
      </c>
      <c r="B128" s="173" t="s">
        <v>423</v>
      </c>
      <c r="C128" s="127"/>
      <c r="D128" s="127"/>
      <c r="E128" s="127"/>
      <c r="F128" s="127"/>
      <c r="G128" s="127">
        <f t="shared" ref="G128" si="782">G25/(G36+G38)</f>
        <v>0.13495283201987654</v>
      </c>
      <c r="H128" s="127">
        <f t="shared" ref="H128:I128" si="783">H25/(H36+H38)</f>
        <v>0.12128164500240184</v>
      </c>
      <c r="I128" s="127">
        <f t="shared" si="783"/>
        <v>0.1186990972595873</v>
      </c>
      <c r="J128" s="127">
        <f t="shared" ref="J128:Q128" si="784">J25/(J36+J38)</f>
        <v>0.13388897483498349</v>
      </c>
      <c r="K128" s="127">
        <f t="shared" si="784"/>
        <v>0.16742129006026846</v>
      </c>
      <c r="L128" s="127">
        <f t="shared" si="784"/>
        <v>0.12334307154723034</v>
      </c>
      <c r="M128" s="127">
        <f t="shared" si="784"/>
        <v>0.1225452453098869</v>
      </c>
      <c r="N128" s="127">
        <f t="shared" si="784"/>
        <v>0.11885869103764482</v>
      </c>
      <c r="O128" s="127">
        <f t="shared" si="784"/>
        <v>0.11820890228763965</v>
      </c>
      <c r="P128" s="127">
        <f t="shared" si="784"/>
        <v>0.11787393569703901</v>
      </c>
      <c r="Q128" s="127">
        <f t="shared" si="784"/>
        <v>0.1465102917941862</v>
      </c>
      <c r="R128" s="127">
        <f t="shared" ref="R128:V128" si="785">R25/(R36+R38)</f>
        <v>0.15106319919223987</v>
      </c>
      <c r="S128" s="127">
        <f t="shared" si="785"/>
        <v>0.15100811075665646</v>
      </c>
      <c r="T128" s="127">
        <f t="shared" si="785"/>
        <v>1.6261148596107996E-2</v>
      </c>
      <c r="U128" s="127">
        <f t="shared" si="785"/>
        <v>0.14593895708644658</v>
      </c>
      <c r="V128" s="127">
        <f t="shared" si="785"/>
        <v>0.14726346956170652</v>
      </c>
      <c r="W128" s="127">
        <f t="shared" ref="W128" si="786">W25/(W36+W38)</f>
        <v>0.14762550079585268</v>
      </c>
      <c r="X128" s="127">
        <f t="shared" ref="X128:AA128" si="787">X25/(X36+X38)</f>
        <v>0.14602854220588329</v>
      </c>
      <c r="Y128" s="127">
        <f t="shared" ref="Y128:Z128" si="788">Y25/(Y36+Y38)</f>
        <v>0.12573036640230748</v>
      </c>
      <c r="Z128" s="127">
        <f t="shared" si="788"/>
        <v>0.13299445029012932</v>
      </c>
      <c r="AA128" s="127">
        <f t="shared" si="787"/>
        <v>0.1436165927824655</v>
      </c>
      <c r="AB128" s="101">
        <f t="shared" si="416"/>
        <v>3.1159381556147281E-3</v>
      </c>
      <c r="AC128" s="10"/>
      <c r="AD128" s="127">
        <f t="shared" ref="AD128:AM128" si="789">AD25/(AD36+AD38)</f>
        <v>0.14361659278246547</v>
      </c>
      <c r="AE128" s="127">
        <f t="shared" si="789"/>
        <v>0.14361659278246547</v>
      </c>
      <c r="AF128" s="127">
        <f t="shared" si="789"/>
        <v>0.14361659278246547</v>
      </c>
      <c r="AG128" s="127">
        <f t="shared" si="789"/>
        <v>0.14361659278246547</v>
      </c>
      <c r="AH128" s="127">
        <f t="shared" si="789"/>
        <v>0.1436165927824655</v>
      </c>
      <c r="AI128" s="127">
        <f t="shared" si="789"/>
        <v>0.14361659278246547</v>
      </c>
      <c r="AJ128" s="127">
        <f t="shared" si="789"/>
        <v>0.1436165927824655</v>
      </c>
      <c r="AK128" s="127">
        <f t="shared" si="789"/>
        <v>0.1436165927824655</v>
      </c>
      <c r="AL128" s="127">
        <f t="shared" si="789"/>
        <v>0.1436165927824655</v>
      </c>
      <c r="AM128" s="127">
        <f t="shared" si="789"/>
        <v>0.14361659278246547</v>
      </c>
      <c r="AN128" s="114">
        <f t="shared" ref="AN128:AN136" si="790">((AM128/J128)^(1/($AM$3-$K$1) ))-1</f>
        <v>2.3406112321082695E-3</v>
      </c>
      <c r="AO128" s="21">
        <f t="shared" si="660"/>
        <v>0.01</v>
      </c>
      <c r="AP128" s="122" t="e">
        <f t="shared" si="454"/>
        <v>#DIV/0!</v>
      </c>
    </row>
    <row r="129" spans="1:42" ht="12" customHeight="1" x14ac:dyDescent="0.15">
      <c r="A129" s="292"/>
      <c r="B129" s="173" t="s">
        <v>418</v>
      </c>
      <c r="C129" s="127"/>
      <c r="D129" s="127"/>
      <c r="E129" s="127"/>
      <c r="F129" s="127"/>
      <c r="G129" s="127">
        <f t="shared" ref="G129" si="791">G25/G43</f>
        <v>0.21409764885214097</v>
      </c>
      <c r="H129" s="127">
        <f t="shared" ref="H129:I129" si="792">H25/H43</f>
        <v>0.17998042303272757</v>
      </c>
      <c r="I129" s="127">
        <f t="shared" si="792"/>
        <v>0.16855943106049226</v>
      </c>
      <c r="J129" s="127">
        <f t="shared" ref="J129:Q129" si="793">J25/J43</f>
        <v>0.2034906219537882</v>
      </c>
      <c r="K129" s="127">
        <f t="shared" si="793"/>
        <v>0.25132657382725893</v>
      </c>
      <c r="L129" s="127">
        <f t="shared" si="793"/>
        <v>0.24272348100552363</v>
      </c>
      <c r="M129" s="127">
        <f t="shared" si="793"/>
        <v>0.26223547024067889</v>
      </c>
      <c r="N129" s="127">
        <f t="shared" si="793"/>
        <v>0.24058370667801998</v>
      </c>
      <c r="O129" s="127">
        <f t="shared" si="793"/>
        <v>0.22818314077877622</v>
      </c>
      <c r="P129" s="127">
        <f t="shared" si="793"/>
        <v>0.22487832374671943</v>
      </c>
      <c r="Q129" s="127">
        <f t="shared" si="793"/>
        <v>0.20540815457181141</v>
      </c>
      <c r="R129" s="127">
        <f t="shared" ref="R129:V129" si="794">R25/R43</f>
        <v>0.20574243426303906</v>
      </c>
      <c r="S129" s="127">
        <f t="shared" si="794"/>
        <v>0.20536569656633497</v>
      </c>
      <c r="T129" s="127">
        <f t="shared" si="794"/>
        <v>2.211648364016712E-2</v>
      </c>
      <c r="U129" s="127">
        <f t="shared" si="794"/>
        <v>0.20987591161039704</v>
      </c>
      <c r="V129" s="127">
        <f t="shared" si="794"/>
        <v>0.20295813812579119</v>
      </c>
      <c r="W129" s="127">
        <f t="shared" ref="W129" si="795">W25/W43</f>
        <v>0.21208757288536856</v>
      </c>
      <c r="X129" s="127">
        <f t="shared" ref="X129:AA129" si="796">X25/X43</f>
        <v>0.20357640366708302</v>
      </c>
      <c r="Y129" s="127">
        <f t="shared" ref="Y129:Z129" si="797">Y25/Y43</f>
        <v>0.17117747536694236</v>
      </c>
      <c r="Z129" s="127">
        <f t="shared" si="797"/>
        <v>0.17177215633666892</v>
      </c>
      <c r="AA129" s="127">
        <f t="shared" si="796"/>
        <v>0.18806830079252779</v>
      </c>
      <c r="AB129" s="101">
        <f t="shared" si="416"/>
        <v>-6.4603921035257805E-3</v>
      </c>
      <c r="AC129" s="10"/>
      <c r="AD129" s="127">
        <f t="shared" ref="AD129:AM129" si="798">AD25/AD43</f>
        <v>0.18806830079252776</v>
      </c>
      <c r="AE129" s="127">
        <f t="shared" si="798"/>
        <v>0.18806830079252776</v>
      </c>
      <c r="AF129" s="127">
        <f t="shared" si="798"/>
        <v>0.18806830079252776</v>
      </c>
      <c r="AG129" s="127">
        <f t="shared" si="798"/>
        <v>0.18806830079252776</v>
      </c>
      <c r="AH129" s="127">
        <f t="shared" si="798"/>
        <v>0.18806830079252776</v>
      </c>
      <c r="AI129" s="127">
        <f t="shared" si="798"/>
        <v>0.18806830079252773</v>
      </c>
      <c r="AJ129" s="127">
        <f t="shared" si="798"/>
        <v>0.18806830079252773</v>
      </c>
      <c r="AK129" s="127">
        <f t="shared" si="798"/>
        <v>0.18806830079252773</v>
      </c>
      <c r="AL129" s="127">
        <f t="shared" si="798"/>
        <v>0.18806830079252773</v>
      </c>
      <c r="AM129" s="127">
        <f t="shared" si="798"/>
        <v>0.18806830079252773</v>
      </c>
      <c r="AN129" s="114">
        <f t="shared" si="790"/>
        <v>-2.6237094127105065E-3</v>
      </c>
      <c r="AO129" s="21">
        <f t="shared" si="660"/>
        <v>0.01</v>
      </c>
      <c r="AP129" s="122" t="e">
        <f t="shared" si="454"/>
        <v>#DIV/0!</v>
      </c>
    </row>
    <row r="130" spans="1:42" ht="12" customHeight="1" x14ac:dyDescent="0.15">
      <c r="A130" s="292"/>
      <c r="B130" s="173" t="s">
        <v>424</v>
      </c>
      <c r="C130" s="127"/>
      <c r="D130" s="127"/>
      <c r="E130" s="127"/>
      <c r="F130" s="127"/>
      <c r="G130" s="127">
        <f t="shared" ref="G130" si="799">G43/(G36)</f>
        <v>0.95400863715150264</v>
      </c>
      <c r="H130" s="127">
        <f t="shared" ref="H130:I130" si="800">H43/(H36)</f>
        <v>0.92958025082090434</v>
      </c>
      <c r="I130" s="127">
        <f t="shared" si="800"/>
        <v>0.88795013047260074</v>
      </c>
      <c r="J130" s="127">
        <f t="shared" ref="J130:Q130" si="801">J43/(J36)</f>
        <v>0.82114370527687608</v>
      </c>
      <c r="K130" s="127">
        <f t="shared" si="801"/>
        <v>0.86953350927674267</v>
      </c>
      <c r="L130" s="127">
        <f t="shared" si="801"/>
        <v>1.0163258291802715</v>
      </c>
      <c r="M130" s="127">
        <f t="shared" si="801"/>
        <v>0.93461990628052916</v>
      </c>
      <c r="N130" s="127">
        <f t="shared" si="801"/>
        <v>0.98808595709863911</v>
      </c>
      <c r="O130" s="127">
        <f t="shared" si="801"/>
        <v>1.0360879588579535</v>
      </c>
      <c r="P130" s="127">
        <f t="shared" si="801"/>
        <v>1.0483685464654489</v>
      </c>
      <c r="Q130" s="127">
        <f t="shared" si="801"/>
        <v>1.0774077082267073</v>
      </c>
      <c r="R130" s="127">
        <f t="shared" ref="R130:V130" si="802">R43/(R36)</f>
        <v>1.1361169048205102</v>
      </c>
      <c r="S130" s="127">
        <f t="shared" si="802"/>
        <v>1.0945559183908733</v>
      </c>
      <c r="T130" s="127">
        <f t="shared" si="802"/>
        <v>1.0053259251600215</v>
      </c>
      <c r="U130" s="127">
        <f t="shared" si="802"/>
        <v>0.9676645111950235</v>
      </c>
      <c r="V130" s="127">
        <f t="shared" si="802"/>
        <v>0.94957552736175288</v>
      </c>
      <c r="W130" s="127">
        <f t="shared" ref="W130" si="803">W43/(W36)</f>
        <v>0.88194319566824508</v>
      </c>
      <c r="X130" s="127">
        <f t="shared" ref="X130:AA130" si="804">X43/(X36)</f>
        <v>0.82484426109965203</v>
      </c>
      <c r="Y130" s="127">
        <f t="shared" ref="Y130:Z130" si="805">Y43/(Y36)</f>
        <v>0.8432632528988927</v>
      </c>
      <c r="Z130" s="127">
        <f t="shared" si="805"/>
        <v>0.89514152252335588</v>
      </c>
      <c r="AA130" s="127">
        <f t="shared" si="804"/>
        <v>0.87336820499605494</v>
      </c>
      <c r="AB130" s="101">
        <f t="shared" si="416"/>
        <v>-4.4060392204241516E-3</v>
      </c>
      <c r="AC130" s="10"/>
      <c r="AD130" s="127">
        <f t="shared" ref="AD130:AM130" si="806">AD43/(AD36+AD38)</f>
        <v>0.76364061448558362</v>
      </c>
      <c r="AE130" s="127">
        <f t="shared" si="806"/>
        <v>0.76364061448558362</v>
      </c>
      <c r="AF130" s="127">
        <f t="shared" si="806"/>
        <v>0.76364061448558351</v>
      </c>
      <c r="AG130" s="127">
        <f t="shared" si="806"/>
        <v>0.76364061448558362</v>
      </c>
      <c r="AH130" s="127">
        <f t="shared" si="806"/>
        <v>0.76364061448558374</v>
      </c>
      <c r="AI130" s="127">
        <f t="shared" si="806"/>
        <v>0.76364061448558374</v>
      </c>
      <c r="AJ130" s="127">
        <f t="shared" si="806"/>
        <v>0.76364061448558385</v>
      </c>
      <c r="AK130" s="127">
        <f t="shared" si="806"/>
        <v>0.76364061448558385</v>
      </c>
      <c r="AL130" s="127">
        <f t="shared" si="806"/>
        <v>0.76364061448558385</v>
      </c>
      <c r="AM130" s="127">
        <f t="shared" si="806"/>
        <v>0.76364061448558385</v>
      </c>
      <c r="AN130" s="114">
        <f t="shared" si="790"/>
        <v>-2.4171025055582662E-3</v>
      </c>
      <c r="AO130" s="21">
        <f t="shared" si="660"/>
        <v>0.01</v>
      </c>
      <c r="AP130" s="122" t="e">
        <f t="shared" si="454"/>
        <v>#DIV/0!</v>
      </c>
    </row>
    <row r="131" spans="1:42" ht="12" customHeight="1" x14ac:dyDescent="0.15">
      <c r="A131" s="292"/>
      <c r="B131" s="173" t="s">
        <v>422</v>
      </c>
      <c r="C131" s="127"/>
      <c r="D131" s="127"/>
      <c r="E131" s="127"/>
      <c r="F131" s="127"/>
      <c r="G131" s="127">
        <f t="shared" ref="G131" si="807">G43/G38</f>
        <v>1.8578580010298071</v>
      </c>
      <c r="H131" s="127">
        <f t="shared" ref="H131:I131" si="808">H43/H38</f>
        <v>2.4495816935546926</v>
      </c>
      <c r="I131" s="127">
        <f t="shared" si="808"/>
        <v>3.4028978421742706</v>
      </c>
      <c r="J131" s="127">
        <f t="shared" ref="J131:Q131" si="809">J43/J38</f>
        <v>3.3109035177346371</v>
      </c>
      <c r="K131" s="127">
        <f t="shared" si="809"/>
        <v>2.8480240285694016</v>
      </c>
      <c r="L131" s="127">
        <f t="shared" si="809"/>
        <v>1.0163258291802715</v>
      </c>
      <c r="M131" s="127">
        <f t="shared" si="809"/>
        <v>0.93461990628052916</v>
      </c>
      <c r="N131" s="127">
        <f t="shared" si="809"/>
        <v>0.98808595709863911</v>
      </c>
      <c r="O131" s="127">
        <f t="shared" si="809"/>
        <v>1.0360879588579535</v>
      </c>
      <c r="P131" s="127">
        <f t="shared" si="809"/>
        <v>1.048301934746005</v>
      </c>
      <c r="Q131" s="127">
        <f t="shared" si="809"/>
        <v>2.1103671094354426</v>
      </c>
      <c r="R131" s="127">
        <f t="shared" ref="R131:V131" si="810">R43/R38</f>
        <v>2.0756726563535493</v>
      </c>
      <c r="S131" s="127">
        <f t="shared" si="810"/>
        <v>2.2403835245964867</v>
      </c>
      <c r="T131" s="127">
        <f t="shared" si="810"/>
        <v>2.7368843142878387</v>
      </c>
      <c r="U131" s="127">
        <f t="shared" si="810"/>
        <v>2.4710179990496992</v>
      </c>
      <c r="V131" s="127">
        <f t="shared" si="810"/>
        <v>3.0760208059945606</v>
      </c>
      <c r="W131" s="127">
        <f t="shared" ref="W131" si="811">W43/W38</f>
        <v>3.3025143674801614</v>
      </c>
      <c r="X131" s="127">
        <f t="shared" ref="X131:AA131" si="812">X43/X38</f>
        <v>5.5024774320877841</v>
      </c>
      <c r="Y131" s="127">
        <f t="shared" ref="Y131:Z131" si="813">Y43/Y38</f>
        <v>5.6949047660301231</v>
      </c>
      <c r="Z131" s="127">
        <f t="shared" si="813"/>
        <v>5.7328904427671494</v>
      </c>
      <c r="AA131" s="127">
        <f t="shared" si="812"/>
        <v>6.0781379563029097</v>
      </c>
      <c r="AB131" s="101">
        <f t="shared" si="416"/>
        <v>6.1055013612400399E-2</v>
      </c>
      <c r="AC131" s="10"/>
      <c r="AD131" s="127">
        <f t="shared" ref="AD131:AM131" si="814">AD43/AD38</f>
        <v>6.0781379563029097</v>
      </c>
      <c r="AE131" s="127">
        <f t="shared" si="814"/>
        <v>6.0781379563029097</v>
      </c>
      <c r="AF131" s="127">
        <f t="shared" si="814"/>
        <v>6.0781379563029097</v>
      </c>
      <c r="AG131" s="127">
        <f t="shared" si="814"/>
        <v>6.0781379563029105</v>
      </c>
      <c r="AH131" s="127">
        <f t="shared" si="814"/>
        <v>6.0781379563029105</v>
      </c>
      <c r="AI131" s="127">
        <f t="shared" si="814"/>
        <v>6.0781379563029105</v>
      </c>
      <c r="AJ131" s="127">
        <f t="shared" si="814"/>
        <v>6.0781379563029105</v>
      </c>
      <c r="AK131" s="127">
        <f t="shared" si="814"/>
        <v>6.0781379563029105</v>
      </c>
      <c r="AL131" s="127">
        <f t="shared" si="814"/>
        <v>6.0781379563029105</v>
      </c>
      <c r="AM131" s="127">
        <f t="shared" si="814"/>
        <v>6.0781379563029105</v>
      </c>
      <c r="AN131" s="114">
        <f t="shared" si="790"/>
        <v>2.0455649204726978E-2</v>
      </c>
      <c r="AO131" s="21">
        <f t="shared" si="660"/>
        <v>0.01</v>
      </c>
      <c r="AP131" s="122" t="e">
        <f t="shared" si="454"/>
        <v>#DIV/0!</v>
      </c>
    </row>
    <row r="132" spans="1:42" ht="12" customHeight="1" x14ac:dyDescent="0.15">
      <c r="A132" s="292"/>
      <c r="B132" s="173" t="s">
        <v>421</v>
      </c>
      <c r="C132" s="127"/>
      <c r="D132" s="127"/>
      <c r="E132" s="127"/>
      <c r="F132" s="127"/>
      <c r="G132" s="127">
        <f t="shared" ref="G132" si="815">G43/(G36+G38)</f>
        <v>0.6303330874645755</v>
      </c>
      <c r="H132" s="127">
        <f t="shared" ref="H132:I132" si="816">H43/(H36+H38)</f>
        <v>0.67386020634226429</v>
      </c>
      <c r="I132" s="127">
        <f t="shared" si="816"/>
        <v>0.70419730603497832</v>
      </c>
      <c r="J132" s="127">
        <f t="shared" ref="J132:Q132" si="817">J43/(J36+J38)</f>
        <v>0.65796140160891092</v>
      </c>
      <c r="K132" s="127">
        <f t="shared" si="817"/>
        <v>0.66615036965943764</v>
      </c>
      <c r="L132" s="127">
        <f t="shared" si="817"/>
        <v>0.50816291459013574</v>
      </c>
      <c r="M132" s="127">
        <f t="shared" si="817"/>
        <v>0.46730995314026458</v>
      </c>
      <c r="N132" s="127">
        <f t="shared" si="817"/>
        <v>0.49404297854931956</v>
      </c>
      <c r="O132" s="127">
        <f t="shared" si="817"/>
        <v>0.51804397942897673</v>
      </c>
      <c r="P132" s="127">
        <f t="shared" si="817"/>
        <v>0.52416761977379589</v>
      </c>
      <c r="Q132" s="127">
        <f t="shared" si="817"/>
        <v>0.71326424259834198</v>
      </c>
      <c r="R132" s="127">
        <f t="shared" ref="R132:V132" si="818">R43/(R36+R38)</f>
        <v>0.73423452839635173</v>
      </c>
      <c r="S132" s="127">
        <f t="shared" si="818"/>
        <v>0.7353132157973592</v>
      </c>
      <c r="T132" s="127">
        <f t="shared" si="818"/>
        <v>0.73525018084588789</v>
      </c>
      <c r="U132" s="127">
        <f t="shared" si="818"/>
        <v>0.69535829989560805</v>
      </c>
      <c r="V132" s="127">
        <f t="shared" si="818"/>
        <v>0.72558543806917586</v>
      </c>
      <c r="W132" s="127">
        <f t="shared" ref="W132" si="819">W43/(W36+W38)</f>
        <v>0.69605917398867578</v>
      </c>
      <c r="X132" s="127">
        <f t="shared" ref="X132:AA132" si="820">X43/(X36+X38)</f>
        <v>0.71731565925827956</v>
      </c>
      <c r="Y132" s="127">
        <f t="shared" ref="Y132:Z132" si="821">Y43/(Y36+Y38)</f>
        <v>0.73450298371784728</v>
      </c>
      <c r="Z132" s="127">
        <f t="shared" si="821"/>
        <v>0.77424917475835653</v>
      </c>
      <c r="AA132" s="127">
        <f t="shared" si="820"/>
        <v>0.76364061448558362</v>
      </c>
      <c r="AB132" s="101">
        <f t="shared" si="416"/>
        <v>9.6385993905323541E-3</v>
      </c>
      <c r="AC132" s="10"/>
      <c r="AD132" s="127">
        <f t="shared" ref="AD132:AM132" si="822">AD43/(AD36+AD38)</f>
        <v>0.76364061448558362</v>
      </c>
      <c r="AE132" s="127">
        <f t="shared" si="822"/>
        <v>0.76364061448558362</v>
      </c>
      <c r="AF132" s="127">
        <f t="shared" si="822"/>
        <v>0.76364061448558351</v>
      </c>
      <c r="AG132" s="127">
        <f t="shared" si="822"/>
        <v>0.76364061448558362</v>
      </c>
      <c r="AH132" s="127">
        <f t="shared" si="822"/>
        <v>0.76364061448558374</v>
      </c>
      <c r="AI132" s="127">
        <f t="shared" si="822"/>
        <v>0.76364061448558374</v>
      </c>
      <c r="AJ132" s="127">
        <f t="shared" si="822"/>
        <v>0.76364061448558385</v>
      </c>
      <c r="AK132" s="127">
        <f t="shared" si="822"/>
        <v>0.76364061448558385</v>
      </c>
      <c r="AL132" s="127">
        <f t="shared" si="822"/>
        <v>0.76364061448558385</v>
      </c>
      <c r="AM132" s="127">
        <f t="shared" si="822"/>
        <v>0.76364061448558385</v>
      </c>
      <c r="AN132" s="114">
        <f>((AM132/J132)^(1/($AM$3-$K$1) ))-1</f>
        <v>4.9773798431638205E-3</v>
      </c>
      <c r="AO132" s="21">
        <f t="shared" si="660"/>
        <v>0.01</v>
      </c>
      <c r="AP132" s="122" t="e">
        <f t="shared" si="454"/>
        <v>#DIV/0!</v>
      </c>
    </row>
    <row r="133" spans="1:42" ht="12" customHeight="1" x14ac:dyDescent="0.15">
      <c r="A133" s="292"/>
      <c r="B133" s="173" t="s">
        <v>427</v>
      </c>
      <c r="C133" s="127"/>
      <c r="D133" s="127"/>
      <c r="E133" s="127"/>
      <c r="F133" s="127"/>
      <c r="G133" s="127">
        <f t="shared" ref="G133" si="823">G49/G25</f>
        <v>0.32743617403811581</v>
      </c>
      <c r="H133" s="127">
        <f t="shared" ref="H133:I133" si="824">H49/H25</f>
        <v>0.41871600851265073</v>
      </c>
      <c r="I133" s="127">
        <f t="shared" si="824"/>
        <v>0.43380729146487934</v>
      </c>
      <c r="J133" s="127">
        <f t="shared" ref="J133:Q133" si="825">J49/J25</f>
        <v>0.42222329208993309</v>
      </c>
      <c r="K133" s="127">
        <f t="shared" si="825"/>
        <v>0.43673489616890521</v>
      </c>
      <c r="L133" s="127">
        <f t="shared" si="825"/>
        <v>0.43880426032571679</v>
      </c>
      <c r="M133" s="127">
        <f t="shared" si="825"/>
        <v>0.49070211292583649</v>
      </c>
      <c r="N133" s="127">
        <f t="shared" si="825"/>
        <v>0.51897912134298796</v>
      </c>
      <c r="O133" s="127">
        <f t="shared" si="825"/>
        <v>0.43567163731285069</v>
      </c>
      <c r="P133" s="127">
        <f t="shared" si="825"/>
        <v>0.39511347097191524</v>
      </c>
      <c r="Q133" s="127">
        <f t="shared" si="825"/>
        <v>0</v>
      </c>
      <c r="R133" s="127">
        <f t="shared" ref="R133:V133" si="826">R49/R25</f>
        <v>1.1084508291212201E-5</v>
      </c>
      <c r="S133" s="127">
        <f t="shared" si="826"/>
        <v>1.9724838502884757E-5</v>
      </c>
      <c r="T133" s="127">
        <f t="shared" si="826"/>
        <v>2.6322716504343247E-4</v>
      </c>
      <c r="U133" s="127">
        <f t="shared" si="826"/>
        <v>3.3622204103590011E-5</v>
      </c>
      <c r="V133" s="127">
        <f t="shared" si="826"/>
        <v>3.8078991059052902E-5</v>
      </c>
      <c r="W133" s="127">
        <f t="shared" ref="W133" si="827">W49/W25</f>
        <v>4.0057148198095952E-5</v>
      </c>
      <c r="X133" s="127">
        <f t="shared" ref="X133:AA133" si="828">X49/X25</f>
        <v>3.7222690952404589E-5</v>
      </c>
      <c r="Y133" s="127">
        <f t="shared" ref="Y133:Z133" si="829">Y49/Y25</f>
        <v>4.443428803575056E-5</v>
      </c>
      <c r="Z133" s="127">
        <f t="shared" si="829"/>
        <v>3.7598427311497596E-5</v>
      </c>
      <c r="AA133" s="127">
        <f t="shared" si="828"/>
        <v>2.952191369479402E-5</v>
      </c>
      <c r="AB133" s="101">
        <f t="shared" si="416"/>
        <v>-0.37230178670682401</v>
      </c>
      <c r="AC133" s="10"/>
      <c r="AD133" s="127">
        <f t="shared" ref="AD133:AM133" si="830">AD49/AD25</f>
        <v>2.9521913694794023E-5</v>
      </c>
      <c r="AE133" s="127">
        <f t="shared" si="830"/>
        <v>2.9521913694794027E-5</v>
      </c>
      <c r="AF133" s="127">
        <f t="shared" si="830"/>
        <v>2.952191369479403E-5</v>
      </c>
      <c r="AG133" s="127">
        <f t="shared" si="830"/>
        <v>2.952191369479403E-5</v>
      </c>
      <c r="AH133" s="127">
        <f t="shared" si="830"/>
        <v>2.952191369479403E-5</v>
      </c>
      <c r="AI133" s="127">
        <f t="shared" si="830"/>
        <v>2.952191369479403E-5</v>
      </c>
      <c r="AJ133" s="127">
        <f t="shared" si="830"/>
        <v>2.952191369479403E-5</v>
      </c>
      <c r="AK133" s="127">
        <f t="shared" si="830"/>
        <v>2.952191369479403E-5</v>
      </c>
      <c r="AL133" s="127">
        <f t="shared" si="830"/>
        <v>2.9521913694794033E-5</v>
      </c>
      <c r="AM133" s="127">
        <f t="shared" si="830"/>
        <v>2.9521913694794033E-5</v>
      </c>
      <c r="AN133" s="114">
        <f>((AM133/J133)^(1/($AM$3-$K$1) ))-1</f>
        <v>-0.27307978903546626</v>
      </c>
      <c r="AO133" s="21">
        <f t="shared" si="660"/>
        <v>0.01</v>
      </c>
      <c r="AP133" s="122" t="e">
        <f t="shared" si="454"/>
        <v>#DIV/0!</v>
      </c>
    </row>
    <row r="134" spans="1:42" ht="12" customHeight="1" x14ac:dyDescent="0.15">
      <c r="A134" s="292"/>
      <c r="B134" s="173" t="s">
        <v>425</v>
      </c>
      <c r="C134" s="127"/>
      <c r="D134" s="127"/>
      <c r="E134" s="127"/>
      <c r="F134" s="177"/>
      <c r="G134" s="177" t="e">
        <f t="shared" ref="G134" si="831">G59/G51</f>
        <v>#DIV/0!</v>
      </c>
      <c r="H134" s="177" t="e">
        <f t="shared" ref="H134:I134" si="832">H59/H51</f>
        <v>#DIV/0!</v>
      </c>
      <c r="I134" s="177" t="e">
        <f t="shared" si="832"/>
        <v>#DIV/0!</v>
      </c>
      <c r="J134" s="177" t="e">
        <f t="shared" ref="J134:Q134" si="833">J59/J51</f>
        <v>#DIV/0!</v>
      </c>
      <c r="K134" s="177" t="e">
        <f t="shared" si="833"/>
        <v>#DIV/0!</v>
      </c>
      <c r="L134" s="177" t="e">
        <f t="shared" si="833"/>
        <v>#DIV/0!</v>
      </c>
      <c r="M134" s="177" t="e">
        <f t="shared" si="833"/>
        <v>#DIV/0!</v>
      </c>
      <c r="N134" s="177" t="e">
        <f t="shared" si="833"/>
        <v>#DIV/0!</v>
      </c>
      <c r="O134" s="177" t="e">
        <f t="shared" si="833"/>
        <v>#DIV/0!</v>
      </c>
      <c r="P134" s="177" t="e">
        <f t="shared" si="833"/>
        <v>#DIV/0!</v>
      </c>
      <c r="Q134" s="177">
        <f t="shared" si="833"/>
        <v>1.5620882244740978E-2</v>
      </c>
      <c r="R134" s="177">
        <f t="shared" ref="R134:V134" si="834">R59/R51</f>
        <v>1.5666782474799627E-2</v>
      </c>
      <c r="S134" s="177">
        <f t="shared" si="834"/>
        <v>1.1892167234826221E-2</v>
      </c>
      <c r="T134" s="177">
        <f t="shared" si="834"/>
        <v>1.150052431843674E-2</v>
      </c>
      <c r="U134" s="177">
        <f t="shared" si="834"/>
        <v>8.0894884658777207E-3</v>
      </c>
      <c r="V134" s="177">
        <f t="shared" si="834"/>
        <v>4.5923733828008391E-3</v>
      </c>
      <c r="W134" s="177">
        <f t="shared" ref="W134" si="835">W59/W51</f>
        <v>8.1500509695837924E-3</v>
      </c>
      <c r="X134" s="177">
        <f t="shared" ref="X134:AA134" si="836">X59/X51</f>
        <v>1.2847150739732574E-2</v>
      </c>
      <c r="Y134" s="177">
        <f t="shared" ref="Y134:Z134" si="837">Y59/Y51</f>
        <v>1.4710975518604251E-2</v>
      </c>
      <c r="Z134" s="177">
        <f t="shared" si="837"/>
        <v>1.7596719921980711E-2</v>
      </c>
      <c r="AA134" s="177">
        <f t="shared" si="836"/>
        <v>1.9492289334082889E-2</v>
      </c>
      <c r="AB134" s="101" t="e">
        <f t="shared" ref="AB134:AB171" si="838">((AA134/G134)^(1/($K$2-$K$1) ))-1</f>
        <v>#DIV/0!</v>
      </c>
      <c r="AC134" s="10"/>
      <c r="AD134" s="177">
        <f t="shared" ref="AD134:AM134" si="839">AD59/AD51</f>
        <v>1.9492289334082889E-2</v>
      </c>
      <c r="AE134" s="177">
        <f t="shared" si="839"/>
        <v>1.9492289334082889E-2</v>
      </c>
      <c r="AF134" s="177">
        <f t="shared" si="839"/>
        <v>1.9492289334082893E-2</v>
      </c>
      <c r="AG134" s="177">
        <f t="shared" si="839"/>
        <v>1.9492289334082893E-2</v>
      </c>
      <c r="AH134" s="177">
        <f t="shared" si="839"/>
        <v>1.9492289334082893E-2</v>
      </c>
      <c r="AI134" s="177">
        <f t="shared" si="839"/>
        <v>1.9492289334082893E-2</v>
      </c>
      <c r="AJ134" s="177">
        <f t="shared" si="839"/>
        <v>1.9492289334082893E-2</v>
      </c>
      <c r="AK134" s="177">
        <f t="shared" si="839"/>
        <v>1.9492289334082893E-2</v>
      </c>
      <c r="AL134" s="177">
        <f t="shared" si="839"/>
        <v>1.9492289334082893E-2</v>
      </c>
      <c r="AM134" s="177">
        <f t="shared" si="839"/>
        <v>1.9492289334082893E-2</v>
      </c>
      <c r="AN134" s="114" t="e">
        <f>((AM134/J134)^(1/($AM$3-$K$1) ))-1</f>
        <v>#DIV/0!</v>
      </c>
      <c r="AO134" s="21">
        <f t="shared" si="660"/>
        <v>0.01</v>
      </c>
      <c r="AP134" s="122" t="e">
        <f t="shared" si="454"/>
        <v>#DIV/0!</v>
      </c>
    </row>
    <row r="135" spans="1:42" ht="12" customHeight="1" x14ac:dyDescent="0.15">
      <c r="A135" s="292"/>
      <c r="B135" s="173" t="s">
        <v>419</v>
      </c>
      <c r="C135" s="127"/>
      <c r="D135" s="127"/>
      <c r="E135" s="127"/>
      <c r="F135" s="127"/>
      <c r="G135" s="127">
        <f t="shared" ref="G135" si="840">G59/G43</f>
        <v>2.4327528600243276E-2</v>
      </c>
      <c r="H135" s="127">
        <f t="shared" ref="H135:I135" si="841">H59/H43</f>
        <v>1.8896029280333661E-2</v>
      </c>
      <c r="I135" s="127">
        <f t="shared" si="841"/>
        <v>1.5072456196490495E-2</v>
      </c>
      <c r="J135" s="127">
        <f t="shared" ref="J135:Q135" si="842">J59/J43</f>
        <v>1.1702351736738722E-2</v>
      </c>
      <c r="K135" s="127">
        <f t="shared" si="842"/>
        <v>1.2900359565863663E-2</v>
      </c>
      <c r="L135" s="127">
        <f t="shared" si="842"/>
        <v>1.4759703904107016E-2</v>
      </c>
      <c r="M135" s="127">
        <f t="shared" si="842"/>
        <v>2.3828716704018992E-2</v>
      </c>
      <c r="N135" s="127">
        <f t="shared" si="842"/>
        <v>3.1263304676606034E-2</v>
      </c>
      <c r="O135" s="127">
        <f t="shared" si="842"/>
        <v>4.0886606760804453E-2</v>
      </c>
      <c r="P135" s="127">
        <f t="shared" si="842"/>
        <v>5.1319194845654503E-2</v>
      </c>
      <c r="Q135" s="127">
        <f t="shared" si="842"/>
        <v>3.0146563364064221E-2</v>
      </c>
      <c r="R135" s="127">
        <f t="shared" ref="R135:V135" si="843">R59/R43</f>
        <v>2.9514926224087207E-2</v>
      </c>
      <c r="S135" s="127">
        <f t="shared" si="843"/>
        <v>2.212954880106293E-2</v>
      </c>
      <c r="T135" s="127">
        <f t="shared" si="843"/>
        <v>2.2005872113669837E-2</v>
      </c>
      <c r="U135" s="127">
        <f t="shared" si="843"/>
        <v>1.6051752303062165E-2</v>
      </c>
      <c r="V135" s="127">
        <f t="shared" si="843"/>
        <v>8.7934203143620708E-3</v>
      </c>
      <c r="W135" s="127">
        <f t="shared" ref="W135" si="844">W59/W43</f>
        <v>1.5893895328256726E-2</v>
      </c>
      <c r="X135" s="127">
        <f t="shared" ref="X135:AA135" si="845">X59/X43</f>
        <v>2.5535456509905897E-2</v>
      </c>
      <c r="Y135" s="127">
        <f t="shared" ref="Y135:Z135" si="846">Y59/Y43</f>
        <v>2.8015620857365142E-2</v>
      </c>
      <c r="Z135" s="127">
        <f t="shared" si="846"/>
        <v>3.1796365971439276E-2</v>
      </c>
      <c r="AA135" s="127">
        <f t="shared" si="845"/>
        <v>3.6549712240715244E-2</v>
      </c>
      <c r="AB135" s="101">
        <f t="shared" si="838"/>
        <v>2.0561776532598941E-2</v>
      </c>
      <c r="AC135" s="10"/>
      <c r="AD135" s="127">
        <f t="shared" ref="AD135:AM135" si="847">AD59/AD43</f>
        <v>3.6549712240715244E-2</v>
      </c>
      <c r="AE135" s="127">
        <f t="shared" si="847"/>
        <v>3.6549712240715244E-2</v>
      </c>
      <c r="AF135" s="127">
        <f t="shared" si="847"/>
        <v>3.6549712240715244E-2</v>
      </c>
      <c r="AG135" s="127">
        <f t="shared" si="847"/>
        <v>3.6549712240715244E-2</v>
      </c>
      <c r="AH135" s="127">
        <f t="shared" si="847"/>
        <v>3.6549712240715244E-2</v>
      </c>
      <c r="AI135" s="127">
        <f t="shared" si="847"/>
        <v>3.6549712240715244E-2</v>
      </c>
      <c r="AJ135" s="127">
        <f t="shared" si="847"/>
        <v>3.6549712240715244E-2</v>
      </c>
      <c r="AK135" s="127">
        <f t="shared" si="847"/>
        <v>3.6549712240715244E-2</v>
      </c>
      <c r="AL135" s="127">
        <f t="shared" si="847"/>
        <v>3.6549712240715244E-2</v>
      </c>
      <c r="AM135" s="127">
        <f t="shared" si="847"/>
        <v>3.6549712240715244E-2</v>
      </c>
      <c r="AN135" s="114">
        <f t="shared" si="790"/>
        <v>3.8692575081772151E-2</v>
      </c>
      <c r="AO135" s="21">
        <f t="shared" si="660"/>
        <v>0.01</v>
      </c>
      <c r="AP135" s="122" t="e">
        <f t="shared" si="454"/>
        <v>#DIV/0!</v>
      </c>
    </row>
    <row r="136" spans="1:42" ht="12" customHeight="1" x14ac:dyDescent="0.15">
      <c r="A136" s="292"/>
      <c r="B136" s="173" t="s">
        <v>420</v>
      </c>
      <c r="C136" s="127"/>
      <c r="D136" s="127"/>
      <c r="E136" s="127"/>
      <c r="F136" s="127"/>
      <c r="G136" s="127">
        <f t="shared" ref="G136" si="848">G59/(G36+G38)</f>
        <v>1.5334446212974107E-2</v>
      </c>
      <c r="H136" s="127">
        <f t="shared" ref="H136:I136" si="849">H59/(H36+H38)</f>
        <v>1.2733282189895109E-2</v>
      </c>
      <c r="I136" s="127">
        <f t="shared" si="849"/>
        <v>1.0613983048898823E-2</v>
      </c>
      <c r="J136" s="127">
        <f t="shared" ref="J136:Q136" si="850">J59/(J36+J38)</f>
        <v>7.6996957508250821E-3</v>
      </c>
      <c r="K136" s="127">
        <f t="shared" si="850"/>
        <v>8.5935792935397416E-3</v>
      </c>
      <c r="L136" s="127">
        <f t="shared" si="850"/>
        <v>7.5003341543984263E-3</v>
      </c>
      <c r="M136" s="127">
        <f t="shared" si="850"/>
        <v>1.1135396486347756E-2</v>
      </c>
      <c r="N136" s="127">
        <f t="shared" si="850"/>
        <v>1.5445416161725317E-2</v>
      </c>
      <c r="O136" s="127">
        <f t="shared" si="850"/>
        <v>2.1181060471714842E-2</v>
      </c>
      <c r="P136" s="127">
        <f t="shared" si="850"/>
        <v>2.6899860210954377E-2</v>
      </c>
      <c r="Q136" s="127">
        <f t="shared" si="850"/>
        <v>2.1502465684812191E-2</v>
      </c>
      <c r="R136" s="127">
        <f t="shared" ref="R136:V136" si="851">R59/(R36+R38)</f>
        <v>2.1670877936795785E-2</v>
      </c>
      <c r="S136" s="127">
        <f t="shared" si="851"/>
        <v>1.627214969305418E-2</v>
      </c>
      <c r="T136" s="127">
        <f t="shared" si="851"/>
        <v>1.6179821451247231E-2</v>
      </c>
      <c r="U136" s="127">
        <f t="shared" si="851"/>
        <v>1.1161719191802718E-2</v>
      </c>
      <c r="V136" s="127">
        <f t="shared" si="851"/>
        <v>6.3803777309227941E-3</v>
      </c>
      <c r="W136" s="127">
        <f t="shared" ref="W136" si="852">W59/(W36+W38)</f>
        <v>1.1063091653648849E-2</v>
      </c>
      <c r="X136" s="127">
        <f t="shared" ref="X136:AA136" si="853">X59/(X36+X38)</f>
        <v>1.8316982820864275E-2</v>
      </c>
      <c r="Y136" s="127">
        <f t="shared" ref="Y136:Z136" si="854">Y59/(Y36+Y38)</f>
        <v>2.0577557110442655E-2</v>
      </c>
      <c r="Z136" s="127">
        <f t="shared" si="854"/>
        <v>2.4618310113701546E-2</v>
      </c>
      <c r="AA136" s="127">
        <f t="shared" si="853"/>
        <v>2.7910844714771045E-2</v>
      </c>
      <c r="AB136" s="101">
        <f t="shared" si="838"/>
        <v>3.0398562649886607E-2</v>
      </c>
      <c r="AC136" s="10"/>
      <c r="AD136" s="127">
        <f t="shared" ref="AD136:AM136" si="855">AD59/(AD36+AD38)</f>
        <v>2.7910844714771045E-2</v>
      </c>
      <c r="AE136" s="127">
        <f t="shared" si="855"/>
        <v>2.7910844714771045E-2</v>
      </c>
      <c r="AF136" s="127">
        <f t="shared" si="855"/>
        <v>2.7910844714771045E-2</v>
      </c>
      <c r="AG136" s="127">
        <f t="shared" si="855"/>
        <v>2.7910844714771049E-2</v>
      </c>
      <c r="AH136" s="127">
        <f t="shared" si="855"/>
        <v>2.7910844714771052E-2</v>
      </c>
      <c r="AI136" s="127">
        <f t="shared" si="855"/>
        <v>2.7910844714771052E-2</v>
      </c>
      <c r="AJ136" s="127">
        <f t="shared" si="855"/>
        <v>2.7910844714771052E-2</v>
      </c>
      <c r="AK136" s="127">
        <f t="shared" si="855"/>
        <v>2.7910844714771055E-2</v>
      </c>
      <c r="AL136" s="127">
        <f t="shared" si="855"/>
        <v>2.7910844714771055E-2</v>
      </c>
      <c r="AM136" s="127">
        <f t="shared" si="855"/>
        <v>2.7910844714771052E-2</v>
      </c>
      <c r="AN136" s="114">
        <f t="shared" si="790"/>
        <v>4.3862542568228191E-2</v>
      </c>
      <c r="AO136" s="21">
        <f t="shared" si="660"/>
        <v>0.01</v>
      </c>
      <c r="AP136" s="122" t="e">
        <f t="shared" si="454"/>
        <v>#DIV/0!</v>
      </c>
    </row>
    <row r="137" spans="1:42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01" t="e">
        <f t="shared" si="838"/>
        <v>#DIV/0!</v>
      </c>
      <c r="AC137" s="10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75"/>
      <c r="AO137" s="122"/>
      <c r="AP137" s="122"/>
    </row>
    <row r="138" spans="1:42" x14ac:dyDescent="0.15">
      <c r="B138" s="10" t="s">
        <v>270</v>
      </c>
      <c r="C138" s="127"/>
      <c r="D138" s="127"/>
      <c r="E138" s="127"/>
      <c r="F138" s="135"/>
      <c r="G138" s="135">
        <f t="shared" ref="G138" si="856">G10-(G12+G13)</f>
        <v>-46267</v>
      </c>
      <c r="H138" s="135">
        <f t="shared" ref="H138:I138" si="857">H10-(H12+H13)</f>
        <v>-54651</v>
      </c>
      <c r="I138" s="135">
        <f t="shared" si="857"/>
        <v>-84013</v>
      </c>
      <c r="J138" s="135">
        <f t="shared" ref="J138:Q138" si="858">J10-(J12+J13)</f>
        <v>-120616</v>
      </c>
      <c r="K138" s="135">
        <f t="shared" si="858"/>
        <v>-160046</v>
      </c>
      <c r="L138" s="135">
        <f t="shared" si="858"/>
        <v>-148107</v>
      </c>
      <c r="M138" s="135">
        <f t="shared" si="858"/>
        <v>-186319</v>
      </c>
      <c r="N138" s="135">
        <f t="shared" si="858"/>
        <v>-209652</v>
      </c>
      <c r="O138" s="135">
        <f t="shared" si="858"/>
        <v>-239864</v>
      </c>
      <c r="P138" s="135">
        <f t="shared" si="858"/>
        <v>-255666</v>
      </c>
      <c r="Q138" s="135">
        <f t="shared" si="858"/>
        <v>-267609</v>
      </c>
      <c r="R138" s="135">
        <f t="shared" ref="R138:V138" si="859">R10-(R12+R13)</f>
        <v>-302761</v>
      </c>
      <c r="S138" s="135">
        <f t="shared" si="859"/>
        <v>-286044</v>
      </c>
      <c r="T138" s="135">
        <f t="shared" si="859"/>
        <v>-304501</v>
      </c>
      <c r="U138" s="135">
        <f t="shared" si="859"/>
        <v>-372207</v>
      </c>
      <c r="V138" s="135">
        <f t="shared" si="859"/>
        <v>-398200</v>
      </c>
      <c r="W138" s="135">
        <f t="shared" ref="W138" si="860">W10-(W12+W13)</f>
        <v>-443472</v>
      </c>
      <c r="X138" s="135">
        <f t="shared" ref="X138:AA138" si="861">X10-(X12+X13)</f>
        <v>-536578</v>
      </c>
      <c r="Y138" s="135">
        <f t="shared" ref="Y138:Z138" si="862">Y10-(Y12+Y13)</f>
        <v>-567097</v>
      </c>
      <c r="Z138" s="135">
        <f t="shared" si="862"/>
        <v>-639551</v>
      </c>
      <c r="AA138" s="135">
        <f t="shared" si="861"/>
        <v>-827162</v>
      </c>
      <c r="AB138" s="101">
        <f t="shared" si="838"/>
        <v>0.1550903661801466</v>
      </c>
      <c r="AC138" s="10"/>
      <c r="AD138" s="135">
        <f t="shared" ref="AD138:AM138" si="863">AD10-(AD12+AD13)</f>
        <v>-909878.20000000007</v>
      </c>
      <c r="AE138" s="135">
        <f t="shared" si="863"/>
        <v>-1000866.0200000001</v>
      </c>
      <c r="AF138" s="135">
        <f t="shared" si="863"/>
        <v>-1100952.6220000002</v>
      </c>
      <c r="AG138" s="135">
        <f t="shared" si="863"/>
        <v>-1211047.8842000004</v>
      </c>
      <c r="AH138" s="135">
        <f t="shared" si="863"/>
        <v>-1332152.6726200006</v>
      </c>
      <c r="AI138" s="135">
        <f t="shared" si="863"/>
        <v>-1465367.9398820007</v>
      </c>
      <c r="AJ138" s="135">
        <f t="shared" si="863"/>
        <v>-1611904.7338702008</v>
      </c>
      <c r="AK138" s="135">
        <f t="shared" si="863"/>
        <v>-1773095.207257221</v>
      </c>
      <c r="AL138" s="135">
        <f t="shared" si="863"/>
        <v>-1950404.7279829432</v>
      </c>
      <c r="AM138" s="135">
        <f t="shared" si="863"/>
        <v>-2145445.2007812378</v>
      </c>
      <c r="AN138" s="114">
        <f t="shared" si="659"/>
        <v>0.10070367582111772</v>
      </c>
      <c r="AO138" s="21">
        <f t="shared" si="660"/>
        <v>0.01</v>
      </c>
      <c r="AP138" s="122" t="e">
        <f t="shared" si="454"/>
        <v>#DIV/0!</v>
      </c>
    </row>
    <row r="139" spans="1:42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864">G59/G18</f>
        <v>#DIV/0!</v>
      </c>
      <c r="H139" s="127" t="e">
        <f t="shared" ref="H139:I139" si="865">H59/H18</f>
        <v>#DIV/0!</v>
      </c>
      <c r="I139" s="127" t="e">
        <f t="shared" si="865"/>
        <v>#DIV/0!</v>
      </c>
      <c r="J139" s="127" t="e">
        <f t="shared" ref="J139:Q139" si="866">J59/J18</f>
        <v>#DIV/0!</v>
      </c>
      <c r="K139" s="127" t="e">
        <f t="shared" si="866"/>
        <v>#DIV/0!</v>
      </c>
      <c r="L139" s="127" t="e">
        <f t="shared" si="866"/>
        <v>#DIV/0!</v>
      </c>
      <c r="M139" s="127" t="e">
        <f t="shared" si="866"/>
        <v>#DIV/0!</v>
      </c>
      <c r="N139" s="127" t="e">
        <f t="shared" si="866"/>
        <v>#DIV/0!</v>
      </c>
      <c r="O139" s="127" t="e">
        <f t="shared" si="866"/>
        <v>#DIV/0!</v>
      </c>
      <c r="P139" s="127" t="e">
        <f t="shared" si="866"/>
        <v>#DIV/0!</v>
      </c>
      <c r="Q139" s="127">
        <f t="shared" si="866"/>
        <v>2.1207773338176534</v>
      </c>
      <c r="R139" s="127">
        <f t="shared" ref="R139:V139" si="867">R59/R18</f>
        <v>2.2043944813490035</v>
      </c>
      <c r="S139" s="127">
        <f t="shared" si="867"/>
        <v>1.2539882933547573</v>
      </c>
      <c r="T139" s="127">
        <f t="shared" si="867"/>
        <v>1.2145228660169218</v>
      </c>
      <c r="U139" s="127">
        <f t="shared" si="867"/>
        <v>0.96133122028526152</v>
      </c>
      <c r="V139" s="127">
        <f t="shared" si="867"/>
        <v>0.58892339544513461</v>
      </c>
      <c r="W139" s="127">
        <f t="shared" ref="W139" si="868">W59/W18</f>
        <v>1.0784973097617216</v>
      </c>
      <c r="X139" s="127">
        <f t="shared" ref="X139:AA139" si="869">X59/X18</f>
        <v>1.8705708206124525</v>
      </c>
      <c r="Y139" s="127">
        <f t="shared" ref="Y139:Z139" si="870">Y59/Y18</f>
        <v>2.4082757332337006</v>
      </c>
      <c r="Z139" s="127">
        <f t="shared" si="870"/>
        <v>3.1131887985546522</v>
      </c>
      <c r="AA139" s="127">
        <f t="shared" si="869"/>
        <v>3.4804380664652568</v>
      </c>
      <c r="AB139" s="101" t="e">
        <f t="shared" si="838"/>
        <v>#DIV/0!</v>
      </c>
      <c r="AC139" s="10"/>
      <c r="AD139" s="127">
        <f t="shared" ref="AD139:AM139" si="871">AD59/AD18</f>
        <v>3.4804380664652568</v>
      </c>
      <c r="AE139" s="127">
        <f t="shared" si="871"/>
        <v>3.4804380664652568</v>
      </c>
      <c r="AF139" s="127">
        <f t="shared" si="871"/>
        <v>3.4804380664652563</v>
      </c>
      <c r="AG139" s="127">
        <f t="shared" si="871"/>
        <v>3.4804380664652568</v>
      </c>
      <c r="AH139" s="127">
        <f t="shared" si="871"/>
        <v>3.4804380664652572</v>
      </c>
      <c r="AI139" s="127">
        <f t="shared" si="871"/>
        <v>3.4804380664652568</v>
      </c>
      <c r="AJ139" s="127">
        <f t="shared" si="871"/>
        <v>3.4804380664652568</v>
      </c>
      <c r="AK139" s="127">
        <f t="shared" si="871"/>
        <v>3.4804380664652572</v>
      </c>
      <c r="AL139" s="127">
        <f t="shared" si="871"/>
        <v>3.4804380664652572</v>
      </c>
      <c r="AM139" s="127">
        <f t="shared" si="871"/>
        <v>3.4804380664652572</v>
      </c>
      <c r="AN139" s="114" t="e">
        <f t="shared" si="659"/>
        <v>#DIV/0!</v>
      </c>
      <c r="AO139" s="21">
        <f t="shared" si="660"/>
        <v>0.01</v>
      </c>
      <c r="AP139" s="122" t="e">
        <f t="shared" ref="AP139:AP171" si="872">(AM139*(1+AO139))/($O$1-AO139)</f>
        <v>#DIV/0!</v>
      </c>
    </row>
    <row r="140" spans="1:42" x14ac:dyDescent="0.15">
      <c r="B140" s="10" t="s">
        <v>266</v>
      </c>
      <c r="C140" s="10"/>
      <c r="D140" s="10"/>
      <c r="E140" s="10"/>
      <c r="F140" s="127"/>
      <c r="G140" s="127">
        <f t="shared" ref="G140" si="873">G59/G25</f>
        <v>0.11362819129809421</v>
      </c>
      <c r="H140" s="127">
        <f t="shared" ref="H140:I140" si="874">H59/H25</f>
        <v>0.10498935918656893</v>
      </c>
      <c r="I140" s="127">
        <f t="shared" si="874"/>
        <v>8.9419239858974861E-2</v>
      </c>
      <c r="J140" s="127">
        <f t="shared" ref="J140:Q140" si="875">J59/J25</f>
        <v>5.7508064127870587E-2</v>
      </c>
      <c r="K140" s="127">
        <f t="shared" si="875"/>
        <v>5.1329071054500998E-2</v>
      </c>
      <c r="L140" s="127">
        <f t="shared" si="875"/>
        <v>6.0808718806118024E-2</v>
      </c>
      <c r="M140" s="127">
        <f t="shared" si="875"/>
        <v>9.0867633894640837E-2</v>
      </c>
      <c r="N140" s="127">
        <f t="shared" si="875"/>
        <v>0.12994772218073189</v>
      </c>
      <c r="O140" s="127">
        <f t="shared" si="875"/>
        <v>0.17918329382819767</v>
      </c>
      <c r="P140" s="127">
        <f t="shared" si="875"/>
        <v>0.22820872190178426</v>
      </c>
      <c r="Q140" s="127">
        <f t="shared" si="875"/>
        <v>0.14676419943943794</v>
      </c>
      <c r="R140" s="127">
        <f t="shared" ref="R140:V140" si="876">R59/R25</f>
        <v>0.14345570630486831</v>
      </c>
      <c r="S140" s="127">
        <f t="shared" si="876"/>
        <v>0.10775679274125943</v>
      </c>
      <c r="T140" s="127">
        <f t="shared" si="876"/>
        <v>0.99499868386417478</v>
      </c>
      <c r="U140" s="127">
        <f t="shared" si="876"/>
        <v>7.6482108784641373E-2</v>
      </c>
      <c r="V140" s="127">
        <f t="shared" si="876"/>
        <v>4.3326276026990386E-2</v>
      </c>
      <c r="W140" s="127">
        <f t="shared" ref="W140" si="877">W59/W25</f>
        <v>7.4940248087271177E-2</v>
      </c>
      <c r="X140" s="127">
        <f t="shared" ref="X140:AA140" si="878">X59/X25</f>
        <v>0.12543426472777805</v>
      </c>
      <c r="Y140" s="127">
        <f t="shared" ref="Y140:Z140" si="879">Y59/Y25</f>
        <v>0.16366417834653665</v>
      </c>
      <c r="Z140" s="127">
        <f t="shared" si="879"/>
        <v>0.18510780006230595</v>
      </c>
      <c r="AA140" s="127">
        <f t="shared" si="878"/>
        <v>0.19434275785282903</v>
      </c>
      <c r="AB140" s="101">
        <f t="shared" si="838"/>
        <v>2.7197877589738351E-2</v>
      </c>
      <c r="AC140" s="10"/>
      <c r="AD140" s="127">
        <f t="shared" ref="AD140:AM140" si="880">AD59/AD25</f>
        <v>0.19434275785282906</v>
      </c>
      <c r="AE140" s="127">
        <f t="shared" si="880"/>
        <v>0.19434275785282906</v>
      </c>
      <c r="AF140" s="127">
        <f t="shared" si="880"/>
        <v>0.19434275785282906</v>
      </c>
      <c r="AG140" s="127">
        <f t="shared" si="880"/>
        <v>0.19434275785282909</v>
      </c>
      <c r="AH140" s="127">
        <f t="shared" si="880"/>
        <v>0.19434275785282909</v>
      </c>
      <c r="AI140" s="127">
        <f t="shared" si="880"/>
        <v>0.19434275785282909</v>
      </c>
      <c r="AJ140" s="127">
        <f t="shared" si="880"/>
        <v>0.19434275785282909</v>
      </c>
      <c r="AK140" s="127">
        <f t="shared" si="880"/>
        <v>0.19434275785282909</v>
      </c>
      <c r="AL140" s="127">
        <f t="shared" si="880"/>
        <v>0.19434275785282912</v>
      </c>
      <c r="AM140" s="127">
        <f t="shared" si="880"/>
        <v>0.19434275785282912</v>
      </c>
      <c r="AN140" s="114">
        <f t="shared" si="659"/>
        <v>4.1424971582344483E-2</v>
      </c>
      <c r="AO140" s="21">
        <f t="shared" si="660"/>
        <v>0.01</v>
      </c>
      <c r="AP140" s="122" t="e">
        <f t="shared" si="872"/>
        <v>#DIV/0!</v>
      </c>
    </row>
    <row r="141" spans="1:42" x14ac:dyDescent="0.15">
      <c r="B141" s="10" t="s">
        <v>289</v>
      </c>
      <c r="C141" s="10"/>
      <c r="D141" s="10"/>
      <c r="E141" s="127"/>
      <c r="F141" s="127"/>
      <c r="G141" s="127" t="e">
        <f t="shared" ref="G141" si="881">G25/G18</f>
        <v>#DIV/0!</v>
      </c>
      <c r="H141" s="127" t="e">
        <f t="shared" ref="H141:I141" si="882">H25/H18</f>
        <v>#DIV/0!</v>
      </c>
      <c r="I141" s="127" t="e">
        <f t="shared" si="882"/>
        <v>#DIV/0!</v>
      </c>
      <c r="J141" s="127" t="e">
        <f t="shared" ref="J141:Q141" si="883">J25/J18</f>
        <v>#DIV/0!</v>
      </c>
      <c r="K141" s="127" t="e">
        <f t="shared" si="883"/>
        <v>#DIV/0!</v>
      </c>
      <c r="L141" s="127" t="e">
        <f t="shared" si="883"/>
        <v>#DIV/0!</v>
      </c>
      <c r="M141" s="127" t="e">
        <f t="shared" si="883"/>
        <v>#DIV/0!</v>
      </c>
      <c r="N141" s="127" t="e">
        <f t="shared" si="883"/>
        <v>#DIV/0!</v>
      </c>
      <c r="O141" s="127" t="e">
        <f t="shared" si="883"/>
        <v>#DIV/0!</v>
      </c>
      <c r="P141" s="127" t="e">
        <f t="shared" si="883"/>
        <v>#DIV/0!</v>
      </c>
      <c r="Q141" s="127">
        <f t="shared" si="883"/>
        <v>14.450236106066109</v>
      </c>
      <c r="R141" s="127">
        <f t="shared" ref="R141:V141" si="884">R25/R18</f>
        <v>15.366377107818089</v>
      </c>
      <c r="S141" s="127">
        <f t="shared" si="884"/>
        <v>11.637208768506829</v>
      </c>
      <c r="T141" s="127">
        <f t="shared" si="884"/>
        <v>1.2206276105815572</v>
      </c>
      <c r="U141" s="127">
        <f t="shared" si="884"/>
        <v>12.569360802958267</v>
      </c>
      <c r="V141" s="127">
        <f t="shared" si="884"/>
        <v>13.592753623188406</v>
      </c>
      <c r="W141" s="127">
        <f t="shared" ref="W141" si="885">W25/W18</f>
        <v>14.391429669485012</v>
      </c>
      <c r="X141" s="127">
        <f t="shared" ref="X141:AA141" si="886">X25/X18</f>
        <v>14.912757886946064</v>
      </c>
      <c r="Y141" s="127">
        <f t="shared" ref="Y141:Z141" si="887">Y25/Y18</f>
        <v>14.714739398468149</v>
      </c>
      <c r="Z141" s="127">
        <f t="shared" si="887"/>
        <v>16.818247515808491</v>
      </c>
      <c r="AA141" s="127">
        <f t="shared" si="886"/>
        <v>17.908761329305136</v>
      </c>
      <c r="AB141" s="101" t="e">
        <f t="shared" si="838"/>
        <v>#DIV/0!</v>
      </c>
      <c r="AC141" s="10"/>
      <c r="AD141" s="127">
        <f t="shared" ref="AD141:AM141" si="888">AD25/AD18</f>
        <v>17.908761329305136</v>
      </c>
      <c r="AE141" s="127">
        <f t="shared" si="888"/>
        <v>17.908761329305133</v>
      </c>
      <c r="AF141" s="127">
        <f t="shared" si="888"/>
        <v>17.908761329305133</v>
      </c>
      <c r="AG141" s="127">
        <f t="shared" si="888"/>
        <v>17.908761329305133</v>
      </c>
      <c r="AH141" s="127">
        <f t="shared" si="888"/>
        <v>17.908761329305133</v>
      </c>
      <c r="AI141" s="127">
        <f t="shared" si="888"/>
        <v>17.908761329305133</v>
      </c>
      <c r="AJ141" s="127">
        <f t="shared" si="888"/>
        <v>17.908761329305133</v>
      </c>
      <c r="AK141" s="127">
        <f t="shared" si="888"/>
        <v>17.908761329305133</v>
      </c>
      <c r="AL141" s="127">
        <f t="shared" si="888"/>
        <v>17.908761329305129</v>
      </c>
      <c r="AM141" s="127">
        <f t="shared" si="888"/>
        <v>17.908761329305133</v>
      </c>
      <c r="AN141" s="114" t="e">
        <f t="shared" si="659"/>
        <v>#DIV/0!</v>
      </c>
      <c r="AO141" s="21">
        <f t="shared" si="660"/>
        <v>0.01</v>
      </c>
      <c r="AP141" s="122" t="e">
        <f t="shared" si="872"/>
        <v>#DIV/0!</v>
      </c>
    </row>
    <row r="142" spans="1:42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01" t="e">
        <f t="shared" si="838"/>
        <v>#DIV/0!</v>
      </c>
      <c r="AC142" s="10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09"/>
      <c r="AO142" s="122"/>
      <c r="AP142" s="122"/>
    </row>
    <row r="143" spans="1:42" x14ac:dyDescent="0.15">
      <c r="B143" s="10" t="s">
        <v>278</v>
      </c>
      <c r="C143" s="10"/>
      <c r="D143" s="10"/>
      <c r="E143" s="137"/>
      <c r="F143" s="137"/>
      <c r="G143" s="137">
        <f t="shared" ref="G143" si="889">G92*G61</f>
        <v>459.75</v>
      </c>
      <c r="H143" s="137">
        <f t="shared" ref="H143:I143" si="890">H92*H61</f>
        <v>523.6</v>
      </c>
      <c r="I143" s="137">
        <f t="shared" si="890"/>
        <v>755.65000000000009</v>
      </c>
      <c r="J143" s="137">
        <f t="shared" ref="J143:Q143" si="891">J92*J61</f>
        <v>899</v>
      </c>
      <c r="K143" s="137">
        <f t="shared" si="891"/>
        <v>1223.2</v>
      </c>
      <c r="L143" s="137">
        <f t="shared" si="891"/>
        <v>1223.2</v>
      </c>
      <c r="M143" s="137">
        <f t="shared" si="891"/>
        <v>1334.4</v>
      </c>
      <c r="N143" s="137">
        <f t="shared" si="891"/>
        <v>1611.3999999999999</v>
      </c>
      <c r="O143" s="137">
        <f t="shared" si="891"/>
        <v>1900.8</v>
      </c>
      <c r="P143" s="137">
        <f t="shared" si="891"/>
        <v>2306</v>
      </c>
      <c r="Q143" s="137">
        <f t="shared" si="891"/>
        <v>0</v>
      </c>
      <c r="R143" s="137">
        <f t="shared" ref="R143:V143" si="892">R92*R61</f>
        <v>0</v>
      </c>
      <c r="S143" s="137">
        <f t="shared" si="892"/>
        <v>0</v>
      </c>
      <c r="T143" s="137">
        <f t="shared" si="892"/>
        <v>0</v>
      </c>
      <c r="U143" s="137">
        <f t="shared" si="892"/>
        <v>0</v>
      </c>
      <c r="V143" s="137">
        <f t="shared" si="892"/>
        <v>0</v>
      </c>
      <c r="W143" s="137">
        <f t="shared" ref="W143" si="893">W92*W61</f>
        <v>0</v>
      </c>
      <c r="X143" s="137">
        <f t="shared" ref="X143:AA143" si="894">X92*X61</f>
        <v>0</v>
      </c>
      <c r="Y143" s="137">
        <f t="shared" ref="Y143:Z143" si="895">Y92*Y61</f>
        <v>0</v>
      </c>
      <c r="Z143" s="137">
        <f t="shared" si="895"/>
        <v>0</v>
      </c>
      <c r="AA143" s="137">
        <f t="shared" si="894"/>
        <v>0</v>
      </c>
      <c r="AB143" s="101">
        <f t="shared" si="838"/>
        <v>-1</v>
      </c>
      <c r="AC143" s="10"/>
      <c r="AD143" s="137">
        <f t="shared" ref="AD143:AM143" si="896">AD92*AD61</f>
        <v>0</v>
      </c>
      <c r="AE143" s="137">
        <f t="shared" si="896"/>
        <v>0</v>
      </c>
      <c r="AF143" s="137">
        <f t="shared" si="896"/>
        <v>0</v>
      </c>
      <c r="AG143" s="137">
        <f t="shared" si="896"/>
        <v>0</v>
      </c>
      <c r="AH143" s="137">
        <f t="shared" si="896"/>
        <v>0</v>
      </c>
      <c r="AI143" s="137">
        <f t="shared" si="896"/>
        <v>0</v>
      </c>
      <c r="AJ143" s="137">
        <f t="shared" si="896"/>
        <v>0</v>
      </c>
      <c r="AK143" s="137">
        <f t="shared" si="896"/>
        <v>0</v>
      </c>
      <c r="AL143" s="137">
        <f t="shared" si="896"/>
        <v>0</v>
      </c>
      <c r="AM143" s="137">
        <f t="shared" si="896"/>
        <v>0</v>
      </c>
      <c r="AN143" s="114">
        <f t="shared" si="659"/>
        <v>-1</v>
      </c>
      <c r="AO143" s="21">
        <f t="shared" si="660"/>
        <v>0.01</v>
      </c>
      <c r="AP143" s="122" t="e">
        <f t="shared" si="872"/>
        <v>#DIV/0!</v>
      </c>
    </row>
    <row r="144" spans="1:42" x14ac:dyDescent="0.15">
      <c r="B144" s="10" t="s">
        <v>279</v>
      </c>
      <c r="C144" s="10"/>
      <c r="D144" s="10"/>
      <c r="E144" s="137"/>
      <c r="F144" s="137"/>
      <c r="G144" s="137">
        <f t="shared" ref="G144" si="897">(G143*0.17)+G143</f>
        <v>537.90750000000003</v>
      </c>
      <c r="H144" s="137">
        <f t="shared" ref="H144:I144" si="898">(H143*0.17)+H143</f>
        <v>612.61200000000008</v>
      </c>
      <c r="I144" s="137">
        <f t="shared" si="898"/>
        <v>884.11050000000012</v>
      </c>
      <c r="J144" s="137">
        <f t="shared" ref="J144:Q144" si="899">(J143*0.17)+J143</f>
        <v>1051.83</v>
      </c>
      <c r="K144" s="137">
        <f t="shared" si="899"/>
        <v>1431.144</v>
      </c>
      <c r="L144" s="137">
        <f t="shared" si="899"/>
        <v>1431.144</v>
      </c>
      <c r="M144" s="137">
        <f t="shared" si="899"/>
        <v>1561.248</v>
      </c>
      <c r="N144" s="137">
        <f t="shared" si="899"/>
        <v>1885.3379999999997</v>
      </c>
      <c r="O144" s="137">
        <f t="shared" si="899"/>
        <v>2223.9360000000001</v>
      </c>
      <c r="P144" s="137">
        <f t="shared" si="899"/>
        <v>2698.02</v>
      </c>
      <c r="Q144" s="137">
        <f t="shared" si="899"/>
        <v>0</v>
      </c>
      <c r="R144" s="137">
        <f t="shared" ref="R144:V144" si="900">(R143*0.17)+R143</f>
        <v>0</v>
      </c>
      <c r="S144" s="137">
        <f t="shared" si="900"/>
        <v>0</v>
      </c>
      <c r="T144" s="137">
        <f t="shared" si="900"/>
        <v>0</v>
      </c>
      <c r="U144" s="137">
        <f t="shared" si="900"/>
        <v>0</v>
      </c>
      <c r="V144" s="137">
        <f t="shared" si="900"/>
        <v>0</v>
      </c>
      <c r="W144" s="137">
        <f t="shared" ref="W144" si="901">(W143*0.17)+W143</f>
        <v>0</v>
      </c>
      <c r="X144" s="137">
        <f t="shared" ref="X144:AA144" si="902">(X143*0.17)+X143</f>
        <v>0</v>
      </c>
      <c r="Y144" s="137">
        <f t="shared" ref="Y144:Z144" si="903">(Y143*0.17)+Y143</f>
        <v>0</v>
      </c>
      <c r="Z144" s="137">
        <f t="shared" si="903"/>
        <v>0</v>
      </c>
      <c r="AA144" s="137">
        <f t="shared" si="902"/>
        <v>0</v>
      </c>
      <c r="AB144" s="101">
        <f t="shared" si="838"/>
        <v>-1</v>
      </c>
      <c r="AC144" s="10"/>
      <c r="AD144" s="137">
        <f t="shared" ref="AD144:AM144" si="904">(AD143*0.17)+AD143</f>
        <v>0</v>
      </c>
      <c r="AE144" s="137">
        <f t="shared" si="904"/>
        <v>0</v>
      </c>
      <c r="AF144" s="137">
        <f t="shared" si="904"/>
        <v>0</v>
      </c>
      <c r="AG144" s="137">
        <f t="shared" si="904"/>
        <v>0</v>
      </c>
      <c r="AH144" s="137">
        <f t="shared" si="904"/>
        <v>0</v>
      </c>
      <c r="AI144" s="137">
        <f t="shared" si="904"/>
        <v>0</v>
      </c>
      <c r="AJ144" s="137">
        <f t="shared" si="904"/>
        <v>0</v>
      </c>
      <c r="AK144" s="137">
        <f t="shared" si="904"/>
        <v>0</v>
      </c>
      <c r="AL144" s="137">
        <f t="shared" si="904"/>
        <v>0</v>
      </c>
      <c r="AM144" s="137">
        <f t="shared" si="904"/>
        <v>0</v>
      </c>
      <c r="AN144" s="114">
        <f t="shared" si="659"/>
        <v>-1</v>
      </c>
      <c r="AO144" s="21">
        <f t="shared" si="660"/>
        <v>0.01</v>
      </c>
      <c r="AP144" s="122" t="e">
        <f t="shared" si="872"/>
        <v>#DIV/0!</v>
      </c>
    </row>
    <row r="145" spans="2:42" x14ac:dyDescent="0.15">
      <c r="B145" s="10" t="s">
        <v>280</v>
      </c>
      <c r="C145" s="10"/>
      <c r="D145" s="10"/>
      <c r="E145" s="10"/>
      <c r="F145" s="127"/>
      <c r="G145" s="127">
        <f t="shared" ref="G145" si="905">G144/G59</f>
        <v>0.34044778481012661</v>
      </c>
      <c r="H145" s="127">
        <f t="shared" ref="H145:I145" si="906">H144/H59</f>
        <v>0.34493918918918925</v>
      </c>
      <c r="I145" s="127">
        <f t="shared" si="906"/>
        <v>0.38306347487001741</v>
      </c>
      <c r="J145" s="127">
        <f t="shared" ref="J145:Q145" si="907">J144/J59</f>
        <v>0.44028045207199662</v>
      </c>
      <c r="K145" s="127">
        <f t="shared" si="907"/>
        <v>0.46061924686192468</v>
      </c>
      <c r="L145" s="127">
        <f t="shared" si="907"/>
        <v>0.36434419551934827</v>
      </c>
      <c r="M145" s="127">
        <f t="shared" si="907"/>
        <v>0.29019479553903349</v>
      </c>
      <c r="N145" s="127">
        <f t="shared" si="907"/>
        <v>0.23554947526236877</v>
      </c>
      <c r="O145" s="127">
        <f t="shared" si="907"/>
        <v>0.18619691895512391</v>
      </c>
      <c r="P145" s="127">
        <f t="shared" si="907"/>
        <v>0.15932561710168891</v>
      </c>
      <c r="Q145" s="127">
        <f t="shared" si="907"/>
        <v>0</v>
      </c>
      <c r="R145" s="127">
        <f t="shared" ref="R145:V145" si="908">R144/R59</f>
        <v>0</v>
      </c>
      <c r="S145" s="127">
        <f t="shared" si="908"/>
        <v>0</v>
      </c>
      <c r="T145" s="127">
        <f t="shared" si="908"/>
        <v>0</v>
      </c>
      <c r="U145" s="127">
        <f t="shared" si="908"/>
        <v>0</v>
      </c>
      <c r="V145" s="127">
        <f t="shared" si="908"/>
        <v>0</v>
      </c>
      <c r="W145" s="127">
        <f t="shared" ref="W145" si="909">W144/W59</f>
        <v>0</v>
      </c>
      <c r="X145" s="127">
        <f t="shared" ref="X145:AA145" si="910">X144/X59</f>
        <v>0</v>
      </c>
      <c r="Y145" s="127">
        <f t="shared" ref="Y145:Z145" si="911">Y144/Y59</f>
        <v>0</v>
      </c>
      <c r="Z145" s="127">
        <f t="shared" si="911"/>
        <v>0</v>
      </c>
      <c r="AA145" s="127">
        <f t="shared" si="910"/>
        <v>0</v>
      </c>
      <c r="AB145" s="101">
        <f t="shared" si="838"/>
        <v>-1</v>
      </c>
      <c r="AC145" s="10"/>
      <c r="AD145" s="127">
        <f t="shared" ref="AD145:AM145" si="912">AD144/AD59</f>
        <v>0</v>
      </c>
      <c r="AE145" s="127">
        <f t="shared" si="912"/>
        <v>0</v>
      </c>
      <c r="AF145" s="127">
        <f t="shared" si="912"/>
        <v>0</v>
      </c>
      <c r="AG145" s="127">
        <f t="shared" si="912"/>
        <v>0</v>
      </c>
      <c r="AH145" s="127">
        <f t="shared" si="912"/>
        <v>0</v>
      </c>
      <c r="AI145" s="127">
        <f t="shared" si="912"/>
        <v>0</v>
      </c>
      <c r="AJ145" s="127">
        <f t="shared" si="912"/>
        <v>0</v>
      </c>
      <c r="AK145" s="127">
        <f t="shared" si="912"/>
        <v>0</v>
      </c>
      <c r="AL145" s="127">
        <f t="shared" si="912"/>
        <v>0</v>
      </c>
      <c r="AM145" s="127">
        <f t="shared" si="912"/>
        <v>0</v>
      </c>
      <c r="AN145" s="114">
        <f t="shared" si="659"/>
        <v>-1</v>
      </c>
      <c r="AO145" s="21">
        <f t="shared" si="660"/>
        <v>0.01</v>
      </c>
      <c r="AP145" s="122" t="e">
        <f t="shared" si="872"/>
        <v>#DIV/0!</v>
      </c>
    </row>
    <row r="146" spans="2:42" x14ac:dyDescent="0.15">
      <c r="B146" s="10" t="s">
        <v>273</v>
      </c>
      <c r="C146" s="10"/>
      <c r="D146" s="10"/>
      <c r="E146" s="10"/>
      <c r="F146" s="127"/>
      <c r="G146" s="127">
        <f t="shared" ref="G146" si="913">1-G145</f>
        <v>0.65955221518987339</v>
      </c>
      <c r="H146" s="127">
        <f t="shared" ref="H146:I146" si="914">1-H145</f>
        <v>0.65506081081081069</v>
      </c>
      <c r="I146" s="127">
        <f t="shared" si="914"/>
        <v>0.61693652512998254</v>
      </c>
      <c r="J146" s="127">
        <f>1-J145</f>
        <v>0.55971954792800338</v>
      </c>
      <c r="K146" s="127">
        <f t="shared" ref="K146:Q146" si="915">1-K145</f>
        <v>0.53938075313807532</v>
      </c>
      <c r="L146" s="127">
        <f t="shared" si="915"/>
        <v>0.63565580448065173</v>
      </c>
      <c r="M146" s="127">
        <f t="shared" si="915"/>
        <v>0.70980520446096651</v>
      </c>
      <c r="N146" s="127">
        <f t="shared" si="915"/>
        <v>0.7644505247376312</v>
      </c>
      <c r="O146" s="127">
        <f t="shared" si="915"/>
        <v>0.81380308104487609</v>
      </c>
      <c r="P146" s="127">
        <f t="shared" si="915"/>
        <v>0.84067438289831109</v>
      </c>
      <c r="Q146" s="127">
        <f t="shared" si="915"/>
        <v>1</v>
      </c>
      <c r="R146" s="127">
        <f t="shared" ref="R146:V146" si="916">1-R145</f>
        <v>1</v>
      </c>
      <c r="S146" s="127">
        <f t="shared" si="916"/>
        <v>1</v>
      </c>
      <c r="T146" s="127">
        <f t="shared" si="916"/>
        <v>1</v>
      </c>
      <c r="U146" s="127">
        <f t="shared" si="916"/>
        <v>1</v>
      </c>
      <c r="V146" s="127">
        <f t="shared" si="916"/>
        <v>1</v>
      </c>
      <c r="W146" s="127">
        <f t="shared" ref="W146" si="917">1-W145</f>
        <v>1</v>
      </c>
      <c r="X146" s="127">
        <f t="shared" ref="X146:AA146" si="918">1-X145</f>
        <v>1</v>
      </c>
      <c r="Y146" s="127">
        <f t="shared" ref="Y146:Z146" si="919">1-Y145</f>
        <v>1</v>
      </c>
      <c r="Z146" s="127">
        <f t="shared" si="919"/>
        <v>1</v>
      </c>
      <c r="AA146" s="127">
        <f t="shared" si="918"/>
        <v>1</v>
      </c>
      <c r="AB146" s="101">
        <f t="shared" si="838"/>
        <v>2.1027738517017447E-2</v>
      </c>
      <c r="AC146" s="10"/>
      <c r="AD146" s="127">
        <f t="shared" ref="AD146:AM146" si="920">1-AD145</f>
        <v>1</v>
      </c>
      <c r="AE146" s="127">
        <f t="shared" si="920"/>
        <v>1</v>
      </c>
      <c r="AF146" s="127">
        <f t="shared" si="920"/>
        <v>1</v>
      </c>
      <c r="AG146" s="127">
        <f t="shared" si="920"/>
        <v>1</v>
      </c>
      <c r="AH146" s="127">
        <f t="shared" si="920"/>
        <v>1</v>
      </c>
      <c r="AI146" s="127">
        <f t="shared" si="920"/>
        <v>1</v>
      </c>
      <c r="AJ146" s="127">
        <f t="shared" si="920"/>
        <v>1</v>
      </c>
      <c r="AK146" s="127">
        <f t="shared" si="920"/>
        <v>1</v>
      </c>
      <c r="AL146" s="127">
        <f t="shared" si="920"/>
        <v>1</v>
      </c>
      <c r="AM146" s="127">
        <f t="shared" si="920"/>
        <v>1</v>
      </c>
      <c r="AN146" s="114">
        <f t="shared" si="659"/>
        <v>1.9532287974292739E-2</v>
      </c>
      <c r="AO146" s="21">
        <f t="shared" si="660"/>
        <v>0.01</v>
      </c>
      <c r="AP146" s="122" t="e">
        <f t="shared" si="872"/>
        <v>#DIV/0!</v>
      </c>
    </row>
    <row r="147" spans="2:42" x14ac:dyDescent="0.15">
      <c r="B147" s="10" t="s">
        <v>391</v>
      </c>
      <c r="C147" s="10"/>
      <c r="D147" s="10"/>
      <c r="E147" s="10"/>
      <c r="F147" s="127"/>
      <c r="G147" s="127">
        <f t="shared" ref="G147" si="921">G144/G20</f>
        <v>6.8167215815486001E-2</v>
      </c>
      <c r="H147" s="127">
        <f t="shared" ref="H147:I147" si="922">H144/H20</f>
        <v>6.7091446719964962E-2</v>
      </c>
      <c r="I147" s="127">
        <f t="shared" si="922"/>
        <v>0.19004954858125539</v>
      </c>
      <c r="J147" s="127">
        <f t="shared" ref="J147:Q147" si="923">J144/J20</f>
        <v>4.5610771432288276E-2</v>
      </c>
      <c r="K147" s="127">
        <f t="shared" si="923"/>
        <v>-0.12304565385607429</v>
      </c>
      <c r="L147" s="127">
        <f t="shared" si="923"/>
        <v>-0.10087003101212293</v>
      </c>
      <c r="M147" s="127">
        <f t="shared" si="923"/>
        <v>0.83533868378812204</v>
      </c>
      <c r="N147" s="127">
        <f t="shared" si="923"/>
        <v>-0.27292096120440068</v>
      </c>
      <c r="O147" s="127">
        <f t="shared" si="923"/>
        <v>0.22967427450170402</v>
      </c>
      <c r="P147" s="127">
        <f t="shared" si="923"/>
        <v>0.24302107728337236</v>
      </c>
      <c r="Q147" s="127" t="e">
        <f t="shared" si="923"/>
        <v>#DIV/0!</v>
      </c>
      <c r="R147" s="127" t="e">
        <f t="shared" ref="R147:V147" si="924">R144/R20</f>
        <v>#DIV/0!</v>
      </c>
      <c r="S147" s="127" t="e">
        <f t="shared" si="924"/>
        <v>#DIV/0!</v>
      </c>
      <c r="T147" s="127" t="e">
        <f t="shared" si="924"/>
        <v>#DIV/0!</v>
      </c>
      <c r="U147" s="127" t="e">
        <f t="shared" si="924"/>
        <v>#DIV/0!</v>
      </c>
      <c r="V147" s="127" t="e">
        <f t="shared" si="924"/>
        <v>#DIV/0!</v>
      </c>
      <c r="W147" s="127" t="e">
        <f t="shared" ref="W147" si="925">W144/W20</f>
        <v>#DIV/0!</v>
      </c>
      <c r="X147" s="127" t="e">
        <f t="shared" ref="X147:AA147" si="926">X144/X20</f>
        <v>#DIV/0!</v>
      </c>
      <c r="Y147" s="127" t="e">
        <f t="shared" ref="Y147:Z147" si="927">Y144/Y20</f>
        <v>#DIV/0!</v>
      </c>
      <c r="Z147" s="127" t="e">
        <f t="shared" si="927"/>
        <v>#DIV/0!</v>
      </c>
      <c r="AA147" s="127" t="e">
        <f t="shared" si="926"/>
        <v>#DIV/0!</v>
      </c>
      <c r="AB147" s="101" t="e">
        <f t="shared" si="838"/>
        <v>#DIV/0!</v>
      </c>
      <c r="AC147" s="10"/>
      <c r="AD147" s="127" t="e">
        <f t="shared" ref="AD147:AM147" si="928">AD144/AD20</f>
        <v>#DIV/0!</v>
      </c>
      <c r="AE147" s="127" t="e">
        <f t="shared" si="928"/>
        <v>#DIV/0!</v>
      </c>
      <c r="AF147" s="127" t="e">
        <f t="shared" si="928"/>
        <v>#DIV/0!</v>
      </c>
      <c r="AG147" s="127" t="e">
        <f t="shared" si="928"/>
        <v>#DIV/0!</v>
      </c>
      <c r="AH147" s="127" t="e">
        <f t="shared" si="928"/>
        <v>#DIV/0!</v>
      </c>
      <c r="AI147" s="127" t="e">
        <f t="shared" si="928"/>
        <v>#DIV/0!</v>
      </c>
      <c r="AJ147" s="127" t="e">
        <f t="shared" si="928"/>
        <v>#DIV/0!</v>
      </c>
      <c r="AK147" s="127" t="e">
        <f t="shared" si="928"/>
        <v>#DIV/0!</v>
      </c>
      <c r="AL147" s="127" t="e">
        <f t="shared" si="928"/>
        <v>#DIV/0!</v>
      </c>
      <c r="AM147" s="127" t="e">
        <f t="shared" si="928"/>
        <v>#DIV/0!</v>
      </c>
      <c r="AN147" s="114" t="e">
        <f t="shared" si="659"/>
        <v>#DIV/0!</v>
      </c>
      <c r="AO147" s="21">
        <f t="shared" si="660"/>
        <v>0.01</v>
      </c>
      <c r="AP147" s="122" t="e">
        <f t="shared" si="872"/>
        <v>#DIV/0!</v>
      </c>
    </row>
    <row r="148" spans="2:42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01" t="e">
        <f t="shared" si="838"/>
        <v>#DIV/0!</v>
      </c>
      <c r="AC148" s="10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09"/>
      <c r="AO148" s="122"/>
      <c r="AP148" s="122"/>
    </row>
    <row r="149" spans="2:42" x14ac:dyDescent="0.15">
      <c r="B149" s="10" t="s">
        <v>277</v>
      </c>
      <c r="C149" s="127"/>
      <c r="D149" s="127"/>
      <c r="E149" s="127"/>
      <c r="F149" s="127"/>
      <c r="G149" s="127">
        <f t="shared" ref="G149" si="929">G31/G25</f>
        <v>0</v>
      </c>
      <c r="H149" s="127">
        <f t="shared" ref="H149:I149" si="930">H31/H25</f>
        <v>0</v>
      </c>
      <c r="I149" s="127">
        <f t="shared" si="930"/>
        <v>0</v>
      </c>
      <c r="J149" s="127">
        <f t="shared" ref="J149:Q149" si="931">J31/J25</f>
        <v>0</v>
      </c>
      <c r="K149" s="127">
        <f t="shared" si="931"/>
        <v>0</v>
      </c>
      <c r="L149" s="127">
        <f t="shared" si="931"/>
        <v>0</v>
      </c>
      <c r="M149" s="127">
        <f t="shared" si="931"/>
        <v>0</v>
      </c>
      <c r="N149" s="127">
        <f t="shared" si="931"/>
        <v>0</v>
      </c>
      <c r="O149" s="127">
        <f t="shared" si="931"/>
        <v>0</v>
      </c>
      <c r="P149" s="127">
        <f t="shared" si="931"/>
        <v>0</v>
      </c>
      <c r="Q149" s="127">
        <f t="shared" si="931"/>
        <v>0</v>
      </c>
      <c r="R149" s="127">
        <f t="shared" ref="R149:V149" si="932">R31/R25</f>
        <v>0</v>
      </c>
      <c r="S149" s="127">
        <f t="shared" si="932"/>
        <v>0</v>
      </c>
      <c r="T149" s="127">
        <f t="shared" si="932"/>
        <v>0</v>
      </c>
      <c r="U149" s="127">
        <f t="shared" si="932"/>
        <v>0</v>
      </c>
      <c r="V149" s="127">
        <f t="shared" si="932"/>
        <v>0</v>
      </c>
      <c r="W149" s="127">
        <f t="shared" ref="W149" si="933">W31/W25</f>
        <v>0</v>
      </c>
      <c r="X149" s="127">
        <f t="shared" ref="X149:AA149" si="934">X31/X25</f>
        <v>0</v>
      </c>
      <c r="Y149" s="127">
        <f t="shared" ref="Y149:Z149" si="935">Y31/Y25</f>
        <v>0</v>
      </c>
      <c r="Z149" s="127">
        <f t="shared" si="935"/>
        <v>0</v>
      </c>
      <c r="AA149" s="127">
        <f t="shared" si="934"/>
        <v>0</v>
      </c>
      <c r="AB149" s="101" t="e">
        <f t="shared" si="838"/>
        <v>#DIV/0!</v>
      </c>
      <c r="AC149" s="10"/>
      <c r="AD149" s="127">
        <f t="shared" ref="AD149:AM149" si="936">AD31/AD25</f>
        <v>0</v>
      </c>
      <c r="AE149" s="127">
        <f t="shared" si="936"/>
        <v>0</v>
      </c>
      <c r="AF149" s="127">
        <f t="shared" si="936"/>
        <v>0</v>
      </c>
      <c r="AG149" s="127">
        <f t="shared" si="936"/>
        <v>0</v>
      </c>
      <c r="AH149" s="127">
        <f t="shared" si="936"/>
        <v>0</v>
      </c>
      <c r="AI149" s="127">
        <f t="shared" si="936"/>
        <v>0</v>
      </c>
      <c r="AJ149" s="127">
        <f t="shared" si="936"/>
        <v>0</v>
      </c>
      <c r="AK149" s="127">
        <f t="shared" si="936"/>
        <v>0</v>
      </c>
      <c r="AL149" s="127">
        <f t="shared" si="936"/>
        <v>0</v>
      </c>
      <c r="AM149" s="127">
        <f t="shared" si="936"/>
        <v>0</v>
      </c>
      <c r="AN149" s="114" t="e">
        <f t="shared" si="659"/>
        <v>#DIV/0!</v>
      </c>
      <c r="AO149" s="21">
        <f t="shared" si="660"/>
        <v>0.01</v>
      </c>
      <c r="AP149" s="122" t="e">
        <f t="shared" si="872"/>
        <v>#DIV/0!</v>
      </c>
    </row>
    <row r="150" spans="2:42" x14ac:dyDescent="0.15">
      <c r="B150" s="10" t="s">
        <v>274</v>
      </c>
      <c r="C150" s="127"/>
      <c r="D150" s="127"/>
      <c r="E150" s="127"/>
      <c r="F150" s="127"/>
      <c r="G150" s="127">
        <f t="shared" ref="G150" si="937">G32/G25</f>
        <v>0</v>
      </c>
      <c r="H150" s="127">
        <f t="shared" ref="H150:I150" si="938">H32/H25</f>
        <v>0</v>
      </c>
      <c r="I150" s="127">
        <f t="shared" si="938"/>
        <v>0</v>
      </c>
      <c r="J150" s="127">
        <f t="shared" ref="J150:Q150" si="939">J32/J25</f>
        <v>0</v>
      </c>
      <c r="K150" s="127">
        <f t="shared" si="939"/>
        <v>0</v>
      </c>
      <c r="L150" s="127">
        <f t="shared" si="939"/>
        <v>0</v>
      </c>
      <c r="M150" s="127">
        <f t="shared" si="939"/>
        <v>0</v>
      </c>
      <c r="N150" s="127">
        <f t="shared" si="939"/>
        <v>0</v>
      </c>
      <c r="O150" s="127">
        <f t="shared" si="939"/>
        <v>0</v>
      </c>
      <c r="P150" s="127">
        <f t="shared" si="939"/>
        <v>0</v>
      </c>
      <c r="Q150" s="127">
        <f t="shared" si="939"/>
        <v>0</v>
      </c>
      <c r="R150" s="127">
        <f t="shared" ref="R150:V150" si="940">R32/R25</f>
        <v>0</v>
      </c>
      <c r="S150" s="127">
        <f t="shared" si="940"/>
        <v>0</v>
      </c>
      <c r="T150" s="127">
        <f t="shared" si="940"/>
        <v>0</v>
      </c>
      <c r="U150" s="127">
        <f t="shared" si="940"/>
        <v>0</v>
      </c>
      <c r="V150" s="127">
        <f t="shared" si="940"/>
        <v>0</v>
      </c>
      <c r="W150" s="127">
        <f t="shared" ref="W150" si="941">W32/W25</f>
        <v>0</v>
      </c>
      <c r="X150" s="127">
        <f t="shared" ref="X150:AA150" si="942">X32/X25</f>
        <v>0</v>
      </c>
      <c r="Y150" s="127">
        <f t="shared" ref="Y150:Z150" si="943">Y32/Y25</f>
        <v>0</v>
      </c>
      <c r="Z150" s="127">
        <f t="shared" si="943"/>
        <v>0</v>
      </c>
      <c r="AA150" s="127">
        <f t="shared" si="942"/>
        <v>0</v>
      </c>
      <c r="AB150" s="101" t="e">
        <f t="shared" si="838"/>
        <v>#DIV/0!</v>
      </c>
      <c r="AC150" s="10"/>
      <c r="AD150" s="127">
        <f t="shared" ref="AD150:AM150" si="944">AD32/AD25</f>
        <v>0</v>
      </c>
      <c r="AE150" s="127">
        <f t="shared" si="944"/>
        <v>0</v>
      </c>
      <c r="AF150" s="127">
        <f t="shared" si="944"/>
        <v>0</v>
      </c>
      <c r="AG150" s="127">
        <f t="shared" si="944"/>
        <v>0</v>
      </c>
      <c r="AH150" s="127">
        <f t="shared" si="944"/>
        <v>0</v>
      </c>
      <c r="AI150" s="127">
        <f t="shared" si="944"/>
        <v>0</v>
      </c>
      <c r="AJ150" s="127">
        <f t="shared" si="944"/>
        <v>0</v>
      </c>
      <c r="AK150" s="127">
        <f t="shared" si="944"/>
        <v>0</v>
      </c>
      <c r="AL150" s="127">
        <f t="shared" si="944"/>
        <v>0</v>
      </c>
      <c r="AM150" s="127">
        <f t="shared" si="944"/>
        <v>0</v>
      </c>
      <c r="AN150" s="114" t="e">
        <f t="shared" si="659"/>
        <v>#DIV/0!</v>
      </c>
      <c r="AO150" s="21">
        <f t="shared" si="660"/>
        <v>0.01</v>
      </c>
      <c r="AP150" s="122" t="e">
        <f t="shared" si="872"/>
        <v>#DIV/0!</v>
      </c>
    </row>
    <row r="151" spans="2:42" x14ac:dyDescent="0.15">
      <c r="B151" s="10" t="s">
        <v>398</v>
      </c>
      <c r="C151" s="127"/>
      <c r="D151" s="127"/>
      <c r="E151" s="127"/>
      <c r="F151" s="127"/>
      <c r="G151" s="127">
        <f t="shared" ref="G151" si="945">(G31+G32)/G25</f>
        <v>0</v>
      </c>
      <c r="H151" s="127">
        <f t="shared" ref="H151:I151" si="946">(H31+H32)/H25</f>
        <v>0</v>
      </c>
      <c r="I151" s="127">
        <f t="shared" si="946"/>
        <v>0</v>
      </c>
      <c r="J151" s="127">
        <f t="shared" ref="J151:Q151" si="947">(J31+J32)/J25</f>
        <v>0</v>
      </c>
      <c r="K151" s="127">
        <f t="shared" si="947"/>
        <v>0</v>
      </c>
      <c r="L151" s="127">
        <f t="shared" si="947"/>
        <v>0</v>
      </c>
      <c r="M151" s="127">
        <f t="shared" si="947"/>
        <v>0</v>
      </c>
      <c r="N151" s="127">
        <f t="shared" si="947"/>
        <v>0</v>
      </c>
      <c r="O151" s="127">
        <f t="shared" si="947"/>
        <v>0</v>
      </c>
      <c r="P151" s="127">
        <f t="shared" si="947"/>
        <v>0</v>
      </c>
      <c r="Q151" s="127">
        <f t="shared" si="947"/>
        <v>0</v>
      </c>
      <c r="R151" s="127">
        <f t="shared" ref="R151:V151" si="948">(R31+R32)/R25</f>
        <v>0</v>
      </c>
      <c r="S151" s="127">
        <f t="shared" si="948"/>
        <v>0</v>
      </c>
      <c r="T151" s="127">
        <f t="shared" si="948"/>
        <v>0</v>
      </c>
      <c r="U151" s="127">
        <f t="shared" si="948"/>
        <v>0</v>
      </c>
      <c r="V151" s="127">
        <f t="shared" si="948"/>
        <v>0</v>
      </c>
      <c r="W151" s="127">
        <f t="shared" ref="W151" si="949">(W31+W32)/W25</f>
        <v>0</v>
      </c>
      <c r="X151" s="127">
        <f t="shared" ref="X151:AA151" si="950">(X31+X32)/X25</f>
        <v>0</v>
      </c>
      <c r="Y151" s="127">
        <f t="shared" ref="Y151:Z151" si="951">(Y31+Y32)/Y25</f>
        <v>0</v>
      </c>
      <c r="Z151" s="127">
        <f t="shared" si="951"/>
        <v>0</v>
      </c>
      <c r="AA151" s="127">
        <f t="shared" si="950"/>
        <v>0</v>
      </c>
      <c r="AB151" s="101" t="e">
        <f t="shared" si="838"/>
        <v>#DIV/0!</v>
      </c>
      <c r="AC151" s="10"/>
      <c r="AD151" s="127">
        <f t="shared" ref="AD151:AM151" si="952">(AD31+AD32)/AD25</f>
        <v>0</v>
      </c>
      <c r="AE151" s="127">
        <f t="shared" si="952"/>
        <v>0</v>
      </c>
      <c r="AF151" s="127">
        <f t="shared" si="952"/>
        <v>0</v>
      </c>
      <c r="AG151" s="127">
        <f t="shared" si="952"/>
        <v>0</v>
      </c>
      <c r="AH151" s="127">
        <f t="shared" si="952"/>
        <v>0</v>
      </c>
      <c r="AI151" s="127">
        <f t="shared" si="952"/>
        <v>0</v>
      </c>
      <c r="AJ151" s="127">
        <f t="shared" si="952"/>
        <v>0</v>
      </c>
      <c r="AK151" s="127">
        <f t="shared" si="952"/>
        <v>0</v>
      </c>
      <c r="AL151" s="127">
        <f t="shared" si="952"/>
        <v>0</v>
      </c>
      <c r="AM151" s="127">
        <f t="shared" si="952"/>
        <v>0</v>
      </c>
      <c r="AN151" s="114" t="e">
        <f t="shared" si="659"/>
        <v>#DIV/0!</v>
      </c>
      <c r="AO151" s="21">
        <f t="shared" si="660"/>
        <v>0.01</v>
      </c>
      <c r="AP151" s="122" t="e">
        <f t="shared" si="872"/>
        <v>#DIV/0!</v>
      </c>
    </row>
    <row r="152" spans="2:42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01" t="e">
        <f t="shared" si="838"/>
        <v>#DIV/0!</v>
      </c>
      <c r="AC152" s="10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09"/>
      <c r="AO152" s="122"/>
      <c r="AP152" s="122"/>
    </row>
    <row r="153" spans="2:42" x14ac:dyDescent="0.15">
      <c r="B153" s="10" t="s">
        <v>295</v>
      </c>
      <c r="C153" s="10"/>
      <c r="D153" s="10"/>
      <c r="E153" s="10"/>
      <c r="F153" s="127"/>
      <c r="G153" s="127">
        <f t="shared" ref="G153" si="953">G27/G25</f>
        <v>0.88644372527867676</v>
      </c>
      <c r="H153" s="127">
        <f t="shared" ref="H153:I153" si="954">H27/H25</f>
        <v>0.89300070938756204</v>
      </c>
      <c r="I153" s="127">
        <f t="shared" si="954"/>
        <v>0.90705513153306727</v>
      </c>
      <c r="J153" s="127">
        <f t="shared" ref="J153:Q153" si="955">J27/J25</f>
        <v>0.93661836213952143</v>
      </c>
      <c r="K153" s="127">
        <f t="shared" si="955"/>
        <v>0.94853876526077552</v>
      </c>
      <c r="L153" s="127">
        <f t="shared" si="955"/>
        <v>0.94767477862406346</v>
      </c>
      <c r="M153" s="127">
        <f t="shared" si="955"/>
        <v>0.91820223960004732</v>
      </c>
      <c r="N153" s="127">
        <f t="shared" si="955"/>
        <v>0.89742507387083159</v>
      </c>
      <c r="O153" s="127">
        <f t="shared" si="955"/>
        <v>0.88091451888745542</v>
      </c>
      <c r="P153" s="127">
        <f t="shared" si="955"/>
        <v>0.86348444827772086</v>
      </c>
      <c r="Q153" s="127">
        <f t="shared" si="955"/>
        <v>0.85323580056056203</v>
      </c>
      <c r="R153" s="127">
        <f t="shared" ref="R153:V153" si="956">R27/R25</f>
        <v>0.85653320918684051</v>
      </c>
      <c r="S153" s="127">
        <f t="shared" si="956"/>
        <v>0.89223334483948913</v>
      </c>
      <c r="T153" s="127">
        <f t="shared" si="956"/>
        <v>8.9547249276125296</v>
      </c>
      <c r="U153" s="127">
        <f t="shared" si="956"/>
        <v>0.92350948566433277</v>
      </c>
      <c r="V153" s="127">
        <f t="shared" si="956"/>
        <v>0.95667372397300965</v>
      </c>
      <c r="W153" s="127">
        <f t="shared" ref="W153" si="957">W27/W25</f>
        <v>0.92505307572136253</v>
      </c>
      <c r="X153" s="127">
        <f t="shared" ref="X153:AA153" si="958">X27/X25</f>
        <v>0.87455953149039656</v>
      </c>
      <c r="Y153" s="127">
        <f t="shared" ref="Y153:Z153" si="959">Y27/Y25</f>
        <v>0.8363294738980297</v>
      </c>
      <c r="Z153" s="127">
        <f t="shared" si="959"/>
        <v>0.81489219993769402</v>
      </c>
      <c r="AA153" s="127">
        <f t="shared" si="958"/>
        <v>0.74059094436384498</v>
      </c>
      <c r="AB153" s="101">
        <f t="shared" si="838"/>
        <v>-8.9481846970509427E-3</v>
      </c>
      <c r="AC153" s="10"/>
      <c r="AD153" s="127">
        <f t="shared" ref="AD153:AM153" si="960">AD27/AD25</f>
        <v>0.74059094436384498</v>
      </c>
      <c r="AE153" s="127">
        <f t="shared" si="960"/>
        <v>0.74059094436384498</v>
      </c>
      <c r="AF153" s="127">
        <f t="shared" si="960"/>
        <v>0.74059094436384498</v>
      </c>
      <c r="AG153" s="127">
        <f t="shared" si="960"/>
        <v>0.74059094436384498</v>
      </c>
      <c r="AH153" s="127">
        <f t="shared" si="960"/>
        <v>0.74059094436384498</v>
      </c>
      <c r="AI153" s="127">
        <f t="shared" si="960"/>
        <v>0.74059094436384498</v>
      </c>
      <c r="AJ153" s="127">
        <f t="shared" si="960"/>
        <v>0.74059094436384509</v>
      </c>
      <c r="AK153" s="127">
        <f t="shared" si="960"/>
        <v>0.74059094436384509</v>
      </c>
      <c r="AL153" s="127">
        <f t="shared" si="960"/>
        <v>0.74059094436384509</v>
      </c>
      <c r="AM153" s="127">
        <f t="shared" si="960"/>
        <v>0.74059094436384509</v>
      </c>
      <c r="AN153" s="114">
        <f t="shared" si="659"/>
        <v>-7.7970262805943102E-3</v>
      </c>
      <c r="AO153" s="21">
        <f t="shared" si="660"/>
        <v>0.01</v>
      </c>
      <c r="AP153" s="122" t="e">
        <f t="shared" si="872"/>
        <v>#DIV/0!</v>
      </c>
    </row>
    <row r="154" spans="2:42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961">G33/G25</f>
        <v>0</v>
      </c>
      <c r="H154" s="127">
        <f t="shared" ref="H154:I154" si="962">H33/H25</f>
        <v>0</v>
      </c>
      <c r="I154" s="127">
        <f t="shared" si="962"/>
        <v>0</v>
      </c>
      <c r="J154" s="127">
        <f t="shared" ref="J154:Q154" si="963">J33/J25</f>
        <v>0</v>
      </c>
      <c r="K154" s="127">
        <f t="shared" si="963"/>
        <v>0</v>
      </c>
      <c r="L154" s="127">
        <f t="shared" si="963"/>
        <v>0</v>
      </c>
      <c r="M154" s="127">
        <f t="shared" si="963"/>
        <v>0</v>
      </c>
      <c r="N154" s="127">
        <f t="shared" si="963"/>
        <v>0</v>
      </c>
      <c r="O154" s="127">
        <f t="shared" si="963"/>
        <v>0</v>
      </c>
      <c r="P154" s="127">
        <f t="shared" si="963"/>
        <v>0</v>
      </c>
      <c r="Q154" s="127">
        <f t="shared" si="963"/>
        <v>0</v>
      </c>
      <c r="R154" s="127">
        <f t="shared" ref="R154:V154" si="964">R33/R25</f>
        <v>0</v>
      </c>
      <c r="S154" s="127">
        <f t="shared" si="964"/>
        <v>0</v>
      </c>
      <c r="T154" s="127">
        <f t="shared" si="964"/>
        <v>0</v>
      </c>
      <c r="U154" s="127">
        <f t="shared" si="964"/>
        <v>0</v>
      </c>
      <c r="V154" s="127">
        <f t="shared" si="964"/>
        <v>0</v>
      </c>
      <c r="W154" s="127">
        <f t="shared" ref="W154" si="965">W33/W25</f>
        <v>0</v>
      </c>
      <c r="X154" s="127">
        <f t="shared" ref="X154:AA154" si="966">X33/X25</f>
        <v>0</v>
      </c>
      <c r="Y154" s="127">
        <f t="shared" ref="Y154:Z154" si="967">Y33/Y25</f>
        <v>0</v>
      </c>
      <c r="Z154" s="127">
        <f t="shared" si="967"/>
        <v>0</v>
      </c>
      <c r="AA154" s="127">
        <f t="shared" si="966"/>
        <v>0</v>
      </c>
      <c r="AB154" s="101" t="e">
        <f t="shared" si="838"/>
        <v>#DIV/0!</v>
      </c>
      <c r="AC154" s="10"/>
      <c r="AD154" s="127">
        <f t="shared" ref="AD154:AM154" si="968">AD33/AD25</f>
        <v>0</v>
      </c>
      <c r="AE154" s="127">
        <f t="shared" si="968"/>
        <v>0</v>
      </c>
      <c r="AF154" s="127">
        <f t="shared" si="968"/>
        <v>0</v>
      </c>
      <c r="AG154" s="127">
        <f t="shared" si="968"/>
        <v>0</v>
      </c>
      <c r="AH154" s="127">
        <f t="shared" si="968"/>
        <v>0</v>
      </c>
      <c r="AI154" s="127">
        <f t="shared" si="968"/>
        <v>0</v>
      </c>
      <c r="AJ154" s="127">
        <f t="shared" si="968"/>
        <v>0</v>
      </c>
      <c r="AK154" s="127">
        <f t="shared" si="968"/>
        <v>0</v>
      </c>
      <c r="AL154" s="127">
        <f t="shared" si="968"/>
        <v>0</v>
      </c>
      <c r="AM154" s="127">
        <f t="shared" si="968"/>
        <v>0</v>
      </c>
      <c r="AN154" s="114" t="e">
        <f t="shared" si="659"/>
        <v>#DIV/0!</v>
      </c>
      <c r="AO154" s="21">
        <f t="shared" si="660"/>
        <v>0.01</v>
      </c>
      <c r="AP154" s="122" t="e">
        <f t="shared" si="872"/>
        <v>#DIV/0!</v>
      </c>
    </row>
    <row r="155" spans="2:42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969">G34/G25</f>
        <v>0</v>
      </c>
      <c r="H155" s="127">
        <f t="shared" ref="H155:I155" si="970">H34/H25</f>
        <v>0</v>
      </c>
      <c r="I155" s="127">
        <f t="shared" si="970"/>
        <v>0</v>
      </c>
      <c r="J155" s="127">
        <f t="shared" ref="J155:Q155" si="971">J34/J25</f>
        <v>0</v>
      </c>
      <c r="K155" s="127">
        <f t="shared" si="971"/>
        <v>0</v>
      </c>
      <c r="L155" s="127">
        <f t="shared" si="971"/>
        <v>0</v>
      </c>
      <c r="M155" s="127">
        <f t="shared" si="971"/>
        <v>0</v>
      </c>
      <c r="N155" s="127">
        <f t="shared" si="971"/>
        <v>0</v>
      </c>
      <c r="O155" s="127">
        <f t="shared" si="971"/>
        <v>0</v>
      </c>
      <c r="P155" s="127">
        <f t="shared" si="971"/>
        <v>0</v>
      </c>
      <c r="Q155" s="127">
        <f t="shared" si="971"/>
        <v>0</v>
      </c>
      <c r="R155" s="127">
        <f t="shared" ref="R155:V155" si="972">R34/R25</f>
        <v>0</v>
      </c>
      <c r="S155" s="127">
        <f t="shared" si="972"/>
        <v>0</v>
      </c>
      <c r="T155" s="127">
        <f t="shared" si="972"/>
        <v>0</v>
      </c>
      <c r="U155" s="127">
        <f t="shared" si="972"/>
        <v>0</v>
      </c>
      <c r="V155" s="127">
        <f t="shared" si="972"/>
        <v>0</v>
      </c>
      <c r="W155" s="127">
        <f t="shared" ref="W155" si="973">W34/W25</f>
        <v>0</v>
      </c>
      <c r="X155" s="127">
        <f t="shared" ref="X155:AA155" si="974">X34/X25</f>
        <v>0</v>
      </c>
      <c r="Y155" s="127">
        <f t="shared" ref="Y155:Z155" si="975">Y34/Y25</f>
        <v>0</v>
      </c>
      <c r="Z155" s="127">
        <f t="shared" si="975"/>
        <v>0</v>
      </c>
      <c r="AA155" s="127">
        <f t="shared" si="974"/>
        <v>0</v>
      </c>
      <c r="AB155" s="101" t="e">
        <f t="shared" si="838"/>
        <v>#DIV/0!</v>
      </c>
      <c r="AC155" s="10"/>
      <c r="AD155" s="127">
        <f t="shared" ref="AD155:AM155" si="976">AD34/AD25</f>
        <v>0</v>
      </c>
      <c r="AE155" s="127">
        <f t="shared" si="976"/>
        <v>0</v>
      </c>
      <c r="AF155" s="127">
        <f t="shared" si="976"/>
        <v>0</v>
      </c>
      <c r="AG155" s="127">
        <f t="shared" si="976"/>
        <v>0</v>
      </c>
      <c r="AH155" s="127">
        <f t="shared" si="976"/>
        <v>0</v>
      </c>
      <c r="AI155" s="127">
        <f t="shared" si="976"/>
        <v>0</v>
      </c>
      <c r="AJ155" s="127">
        <f t="shared" si="976"/>
        <v>0</v>
      </c>
      <c r="AK155" s="127">
        <f t="shared" si="976"/>
        <v>0</v>
      </c>
      <c r="AL155" s="127">
        <f t="shared" si="976"/>
        <v>0</v>
      </c>
      <c r="AM155" s="127">
        <f t="shared" si="976"/>
        <v>0</v>
      </c>
      <c r="AN155" s="114" t="e">
        <f t="shared" si="659"/>
        <v>#DIV/0!</v>
      </c>
      <c r="AO155" s="21">
        <f t="shared" si="660"/>
        <v>0.01</v>
      </c>
      <c r="AP155" s="122" t="e">
        <f t="shared" si="872"/>
        <v>#DIV/0!</v>
      </c>
    </row>
    <row r="156" spans="2:42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1" t="e">
        <f t="shared" si="838"/>
        <v>#DIV/0!</v>
      </c>
      <c r="AC156" s="10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15"/>
      <c r="AO156" s="122"/>
      <c r="AP156" s="122"/>
    </row>
    <row r="157" spans="2:42" x14ac:dyDescent="0.15">
      <c r="B157" s="93" t="s">
        <v>303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01" t="e">
        <f t="shared" si="838"/>
        <v>#DIV/0!</v>
      </c>
      <c r="AC157" s="10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0"/>
      <c r="AO157" s="122"/>
      <c r="AP157" s="122"/>
    </row>
    <row r="158" spans="2:42" x14ac:dyDescent="0.15">
      <c r="B158" s="10" t="s">
        <v>306</v>
      </c>
      <c r="C158" s="10"/>
      <c r="D158" s="10"/>
      <c r="E158" s="10"/>
      <c r="F158" s="15"/>
      <c r="G158" s="15" t="e">
        <f t="shared" ref="G158" si="977">G15/G9</f>
        <v>#DIV/0!</v>
      </c>
      <c r="H158" s="15" t="e">
        <f t="shared" ref="H158:I158" si="978">H15/H9</f>
        <v>#DIV/0!</v>
      </c>
      <c r="I158" s="15" t="e">
        <f t="shared" si="978"/>
        <v>#DIV/0!</v>
      </c>
      <c r="J158" s="15" t="e">
        <f t="shared" ref="J158:Q158" si="979">J15/J9</f>
        <v>#DIV/0!</v>
      </c>
      <c r="K158" s="15" t="e">
        <f t="shared" si="979"/>
        <v>#DIV/0!</v>
      </c>
      <c r="L158" s="15" t="e">
        <f t="shared" si="979"/>
        <v>#DIV/0!</v>
      </c>
      <c r="M158" s="15" t="e">
        <f t="shared" si="979"/>
        <v>#DIV/0!</v>
      </c>
      <c r="N158" s="15" t="e">
        <f t="shared" si="979"/>
        <v>#DIV/0!</v>
      </c>
      <c r="O158" s="15" t="e">
        <f t="shared" si="979"/>
        <v>#DIV/0!</v>
      </c>
      <c r="P158" s="15" t="e">
        <f t="shared" si="979"/>
        <v>#DIV/0!</v>
      </c>
      <c r="Q158" s="15" t="e">
        <f t="shared" si="979"/>
        <v>#DIV/0!</v>
      </c>
      <c r="R158" s="15" t="e">
        <f t="shared" ref="R158:V158" si="980">R15/R9</f>
        <v>#DIV/0!</v>
      </c>
      <c r="S158" s="15" t="e">
        <f t="shared" si="980"/>
        <v>#DIV/0!</v>
      </c>
      <c r="T158" s="15" t="e">
        <f t="shared" si="980"/>
        <v>#DIV/0!</v>
      </c>
      <c r="U158" s="15" t="e">
        <f t="shared" si="980"/>
        <v>#DIV/0!</v>
      </c>
      <c r="V158" s="15" t="e">
        <f t="shared" si="980"/>
        <v>#DIV/0!</v>
      </c>
      <c r="W158" s="15" t="e">
        <f t="shared" ref="W158" si="981">W15/W9</f>
        <v>#DIV/0!</v>
      </c>
      <c r="X158" s="15" t="e">
        <f t="shared" ref="X158:AA158" si="982">X15/X9</f>
        <v>#DIV/0!</v>
      </c>
      <c r="Y158" s="15" t="e">
        <f t="shared" ref="Y158:Z158" si="983">Y15/Y9</f>
        <v>#DIV/0!</v>
      </c>
      <c r="Z158" s="15" t="e">
        <f t="shared" si="983"/>
        <v>#DIV/0!</v>
      </c>
      <c r="AA158" s="15" t="e">
        <f t="shared" si="982"/>
        <v>#DIV/0!</v>
      </c>
      <c r="AB158" s="101" t="e">
        <f t="shared" si="838"/>
        <v>#DIV/0!</v>
      </c>
      <c r="AC158" s="10"/>
      <c r="AD158" s="10" t="e">
        <f t="shared" ref="AD158:AM158" si="984">AD15/AD9</f>
        <v>#DIV/0!</v>
      </c>
      <c r="AE158" s="10" t="e">
        <f t="shared" si="984"/>
        <v>#DIV/0!</v>
      </c>
      <c r="AF158" s="10" t="e">
        <f t="shared" si="984"/>
        <v>#DIV/0!</v>
      </c>
      <c r="AG158" s="10" t="e">
        <f t="shared" si="984"/>
        <v>#DIV/0!</v>
      </c>
      <c r="AH158" s="10" t="e">
        <f t="shared" si="984"/>
        <v>#DIV/0!</v>
      </c>
      <c r="AI158" s="10" t="e">
        <f t="shared" si="984"/>
        <v>#DIV/0!</v>
      </c>
      <c r="AJ158" s="10" t="e">
        <f t="shared" si="984"/>
        <v>#DIV/0!</v>
      </c>
      <c r="AK158" s="10" t="e">
        <f t="shared" si="984"/>
        <v>#DIV/0!</v>
      </c>
      <c r="AL158" s="10" t="e">
        <f t="shared" si="984"/>
        <v>#DIV/0!</v>
      </c>
      <c r="AM158" s="10" t="e">
        <f t="shared" si="984"/>
        <v>#DIV/0!</v>
      </c>
      <c r="AN158" s="114" t="e">
        <f t="shared" si="659"/>
        <v>#DIV/0!</v>
      </c>
      <c r="AO158" s="21">
        <f t="shared" si="660"/>
        <v>0.01</v>
      </c>
      <c r="AP158" s="122" t="e">
        <f t="shared" si="872"/>
        <v>#DIV/0!</v>
      </c>
    </row>
    <row r="159" spans="2:42" x14ac:dyDescent="0.15">
      <c r="B159" s="10" t="s">
        <v>296</v>
      </c>
      <c r="C159" s="10"/>
      <c r="D159" s="10"/>
      <c r="E159" s="10"/>
      <c r="F159" s="15"/>
      <c r="G159" s="15" t="e">
        <f t="shared" ref="G159" si="985">G12/G9</f>
        <v>#DIV/0!</v>
      </c>
      <c r="H159" s="15" t="e">
        <f t="shared" ref="H159:I159" si="986">H12/H9</f>
        <v>#DIV/0!</v>
      </c>
      <c r="I159" s="15" t="e">
        <f t="shared" si="986"/>
        <v>#DIV/0!</v>
      </c>
      <c r="J159" s="15" t="e">
        <f t="shared" ref="J159:Q159" si="987">J12/J9</f>
        <v>#DIV/0!</v>
      </c>
      <c r="K159" s="15" t="e">
        <f t="shared" si="987"/>
        <v>#DIV/0!</v>
      </c>
      <c r="L159" s="15" t="e">
        <f t="shared" si="987"/>
        <v>#DIV/0!</v>
      </c>
      <c r="M159" s="15" t="e">
        <f t="shared" si="987"/>
        <v>#DIV/0!</v>
      </c>
      <c r="N159" s="15" t="e">
        <f t="shared" si="987"/>
        <v>#DIV/0!</v>
      </c>
      <c r="O159" s="15" t="e">
        <f t="shared" si="987"/>
        <v>#DIV/0!</v>
      </c>
      <c r="P159" s="15" t="e">
        <f t="shared" si="987"/>
        <v>#DIV/0!</v>
      </c>
      <c r="Q159" s="15" t="e">
        <f t="shared" si="987"/>
        <v>#DIV/0!</v>
      </c>
      <c r="R159" s="15" t="e">
        <f t="shared" ref="R159:V159" si="988">R12/R9</f>
        <v>#DIV/0!</v>
      </c>
      <c r="S159" s="15" t="e">
        <f t="shared" si="988"/>
        <v>#DIV/0!</v>
      </c>
      <c r="T159" s="15" t="e">
        <f t="shared" si="988"/>
        <v>#DIV/0!</v>
      </c>
      <c r="U159" s="15" t="e">
        <f t="shared" si="988"/>
        <v>#DIV/0!</v>
      </c>
      <c r="V159" s="15" t="e">
        <f t="shared" si="988"/>
        <v>#DIV/0!</v>
      </c>
      <c r="W159" s="15" t="e">
        <f t="shared" ref="W159" si="989">W12/W9</f>
        <v>#DIV/0!</v>
      </c>
      <c r="X159" s="15" t="e">
        <f t="shared" ref="X159:AA159" si="990">X12/X9</f>
        <v>#DIV/0!</v>
      </c>
      <c r="Y159" s="15" t="e">
        <f t="shared" ref="Y159:Z159" si="991">Y12/Y9</f>
        <v>#DIV/0!</v>
      </c>
      <c r="Z159" s="15" t="e">
        <f t="shared" si="991"/>
        <v>#DIV/0!</v>
      </c>
      <c r="AA159" s="15" t="e">
        <f t="shared" si="990"/>
        <v>#DIV/0!</v>
      </c>
      <c r="AB159" s="101" t="e">
        <f t="shared" si="838"/>
        <v>#DIV/0!</v>
      </c>
      <c r="AC159" s="109"/>
      <c r="AD159" s="10" t="e">
        <f t="shared" ref="AD159:AM159" si="992">AD12/AD9</f>
        <v>#DIV/0!</v>
      </c>
      <c r="AE159" s="10" t="e">
        <f t="shared" si="992"/>
        <v>#DIV/0!</v>
      </c>
      <c r="AF159" s="10" t="e">
        <f t="shared" si="992"/>
        <v>#DIV/0!</v>
      </c>
      <c r="AG159" s="10" t="e">
        <f t="shared" si="992"/>
        <v>#DIV/0!</v>
      </c>
      <c r="AH159" s="10" t="e">
        <f t="shared" si="992"/>
        <v>#DIV/0!</v>
      </c>
      <c r="AI159" s="10" t="e">
        <f t="shared" si="992"/>
        <v>#DIV/0!</v>
      </c>
      <c r="AJ159" s="10" t="e">
        <f t="shared" si="992"/>
        <v>#DIV/0!</v>
      </c>
      <c r="AK159" s="10" t="e">
        <f t="shared" si="992"/>
        <v>#DIV/0!</v>
      </c>
      <c r="AL159" s="10" t="e">
        <f t="shared" si="992"/>
        <v>#DIV/0!</v>
      </c>
      <c r="AM159" s="10" t="e">
        <f t="shared" si="992"/>
        <v>#DIV/0!</v>
      </c>
      <c r="AN159" s="101" t="e">
        <f t="shared" ref="AN159" si="993">((AM159/AD159)^(1/($K$2-$K$1) ))-1</f>
        <v>#DIV/0!</v>
      </c>
      <c r="AO159" s="21">
        <f t="shared" si="660"/>
        <v>0.01</v>
      </c>
      <c r="AP159" s="122" t="e">
        <f t="shared" si="872"/>
        <v>#DIV/0!</v>
      </c>
    </row>
    <row r="160" spans="2:42" x14ac:dyDescent="0.15">
      <c r="B160" s="10" t="s">
        <v>298</v>
      </c>
      <c r="C160" s="10"/>
      <c r="D160" s="10"/>
      <c r="E160" s="10"/>
      <c r="F160" s="15"/>
      <c r="G160" s="15">
        <f t="shared" ref="G160" si="994">G25/360</f>
        <v>38.625</v>
      </c>
      <c r="H160" s="15">
        <f t="shared" ref="H160:I160" si="995">H25/360</f>
        <v>46.988888888888887</v>
      </c>
      <c r="I160" s="15">
        <f t="shared" si="995"/>
        <v>71.697222222222223</v>
      </c>
      <c r="J160" s="15">
        <f t="shared" ref="J160:Q160" si="996">J25/360</f>
        <v>115.39444444444445</v>
      </c>
      <c r="K160" s="15">
        <f t="shared" si="996"/>
        <v>168.14166666666668</v>
      </c>
      <c r="L160" s="15">
        <f t="shared" si="996"/>
        <v>179.43333333333334</v>
      </c>
      <c r="M160" s="15">
        <f t="shared" si="996"/>
        <v>164.4638888888889</v>
      </c>
      <c r="N160" s="15">
        <f t="shared" si="996"/>
        <v>171.09444444444443</v>
      </c>
      <c r="O160" s="15">
        <f t="shared" si="996"/>
        <v>185.1611111111111</v>
      </c>
      <c r="P160" s="15">
        <f t="shared" si="996"/>
        <v>206.12222222222223</v>
      </c>
      <c r="Q160" s="15">
        <f t="shared" si="996"/>
        <v>221.00833333333333</v>
      </c>
      <c r="R160" s="15">
        <f t="shared" ref="R160:V160" si="997">R25/360</f>
        <v>250.6</v>
      </c>
      <c r="S160" s="15">
        <f t="shared" si="997"/>
        <v>281.65277777777777</v>
      </c>
      <c r="T160" s="15">
        <f t="shared" si="997"/>
        <v>31.658333333333335</v>
      </c>
      <c r="U160" s="15">
        <f t="shared" si="997"/>
        <v>330.46944444444443</v>
      </c>
      <c r="V160" s="15">
        <f t="shared" si="997"/>
        <v>364.73888888888888</v>
      </c>
      <c r="W160" s="15">
        <f t="shared" ref="W160" si="998">W25/360</f>
        <v>416.07222222222219</v>
      </c>
      <c r="X160" s="15">
        <f t="shared" ref="X160:AA160" si="999">X25/360</f>
        <v>447.75555555555553</v>
      </c>
      <c r="Y160" s="15">
        <f t="shared" ref="Y160:Z160" si="1000">Y25/360</f>
        <v>437.6</v>
      </c>
      <c r="Z160" s="15">
        <f t="shared" si="1000"/>
        <v>517.16111111111115</v>
      </c>
      <c r="AA160" s="15">
        <f t="shared" si="999"/>
        <v>658.64444444444439</v>
      </c>
      <c r="AB160" s="101">
        <f t="shared" si="838"/>
        <v>0.15236252635306391</v>
      </c>
      <c r="AC160" s="109"/>
      <c r="AD160" s="15">
        <f t="shared" ref="AD160:AM160" si="1001">AD25/360</f>
        <v>724.50888888888892</v>
      </c>
      <c r="AE160" s="15">
        <f t="shared" si="1001"/>
        <v>796.95977777777784</v>
      </c>
      <c r="AF160" s="15">
        <f t="shared" si="1001"/>
        <v>876.65575555555563</v>
      </c>
      <c r="AG160" s="15">
        <f t="shared" si="1001"/>
        <v>964.32133111111136</v>
      </c>
      <c r="AH160" s="15">
        <f t="shared" si="1001"/>
        <v>1060.7534642222226</v>
      </c>
      <c r="AI160" s="15">
        <f t="shared" si="1001"/>
        <v>1166.828810644445</v>
      </c>
      <c r="AJ160" s="15">
        <f t="shared" si="1001"/>
        <v>1283.5116917088894</v>
      </c>
      <c r="AK160" s="15">
        <f t="shared" si="1001"/>
        <v>1411.8628608797785</v>
      </c>
      <c r="AL160" s="15">
        <f t="shared" si="1001"/>
        <v>1553.0491469677563</v>
      </c>
      <c r="AM160" s="15">
        <f t="shared" si="1001"/>
        <v>1708.3540616645323</v>
      </c>
      <c r="AN160" s="101">
        <f t="shared" ref="AN160:AN171" si="1002">((AM160/AD160)^(1/($K$2-$K$1) ))-1</f>
        <v>4.3822630544085417E-2</v>
      </c>
      <c r="AO160" s="21">
        <f t="shared" si="660"/>
        <v>0.01</v>
      </c>
      <c r="AP160" s="122" t="e">
        <f t="shared" si="872"/>
        <v>#DIV/0!</v>
      </c>
    </row>
    <row r="161" spans="2:42" x14ac:dyDescent="0.15">
      <c r="B161" s="10" t="s">
        <v>297</v>
      </c>
      <c r="C161" s="10"/>
      <c r="D161" s="10"/>
      <c r="E161" s="10"/>
      <c r="F161" s="15"/>
      <c r="G161" s="15">
        <f t="shared" ref="G161" si="1003">G27/360</f>
        <v>34.238888888888887</v>
      </c>
      <c r="H161" s="15">
        <f t="shared" ref="H161:I161" si="1004">H27/360</f>
        <v>41.961111111111109</v>
      </c>
      <c r="I161" s="15">
        <f t="shared" si="1004"/>
        <v>65.033333333333331</v>
      </c>
      <c r="J161" s="15">
        <f t="shared" ref="J161:Q161" si="1005">J27/360</f>
        <v>108.08055555555555</v>
      </c>
      <c r="K161" s="15">
        <f t="shared" si="1005"/>
        <v>159.48888888888888</v>
      </c>
      <c r="L161" s="15">
        <f t="shared" si="1005"/>
        <v>170.04444444444445</v>
      </c>
      <c r="M161" s="15">
        <f t="shared" si="1005"/>
        <v>151.01111111111112</v>
      </c>
      <c r="N161" s="15">
        <f t="shared" si="1005"/>
        <v>153.54444444444445</v>
      </c>
      <c r="O161" s="15">
        <f t="shared" si="1005"/>
        <v>163.11111111111111</v>
      </c>
      <c r="P161" s="15">
        <f t="shared" si="1005"/>
        <v>177.98333333333332</v>
      </c>
      <c r="Q161" s="15">
        <f t="shared" si="1005"/>
        <v>188.57222222222222</v>
      </c>
      <c r="R161" s="15">
        <f t="shared" ref="R161:V161" si="1006">R27/360</f>
        <v>214.64722222222221</v>
      </c>
      <c r="S161" s="15">
        <f t="shared" si="1006"/>
        <v>251.3</v>
      </c>
      <c r="T161" s="15">
        <f t="shared" si="1006"/>
        <v>283.49166666666667</v>
      </c>
      <c r="U161" s="15">
        <f t="shared" si="1006"/>
        <v>305.19166666666666</v>
      </c>
      <c r="V161" s="15">
        <f t="shared" si="1006"/>
        <v>348.93611111111113</v>
      </c>
      <c r="W161" s="15">
        <f t="shared" ref="W161" si="1007">W27/360</f>
        <v>384.88888888888891</v>
      </c>
      <c r="X161" s="15">
        <f t="shared" ref="X161:AA161" si="1008">X27/360</f>
        <v>391.5888888888889</v>
      </c>
      <c r="Y161" s="15">
        <f t="shared" ref="Y161:Z161" si="1009">Y27/360</f>
        <v>365.97777777777776</v>
      </c>
      <c r="Z161" s="15">
        <f t="shared" si="1009"/>
        <v>421.43055555555554</v>
      </c>
      <c r="AA161" s="15">
        <f t="shared" si="1008"/>
        <v>487.7861111111111</v>
      </c>
      <c r="AB161" s="101">
        <f t="shared" si="838"/>
        <v>0.14205097362929631</v>
      </c>
      <c r="AC161" s="109"/>
      <c r="AD161" s="15">
        <f t="shared" ref="AD161:AM161" si="1010">AD27/360</f>
        <v>536.56472222222226</v>
      </c>
      <c r="AE161" s="15">
        <f t="shared" si="1010"/>
        <v>590.22119444444456</v>
      </c>
      <c r="AF161" s="15">
        <f t="shared" si="1010"/>
        <v>649.24331388888902</v>
      </c>
      <c r="AG161" s="15">
        <f t="shared" si="1010"/>
        <v>714.16764527777798</v>
      </c>
      <c r="AH161" s="15">
        <f t="shared" si="1010"/>
        <v>785.58440980555588</v>
      </c>
      <c r="AI161" s="15">
        <f t="shared" si="1010"/>
        <v>864.14285078611158</v>
      </c>
      <c r="AJ161" s="15">
        <f t="shared" si="1010"/>
        <v>950.5571358647228</v>
      </c>
      <c r="AK161" s="15">
        <f t="shared" si="1010"/>
        <v>1045.6128494511952</v>
      </c>
      <c r="AL161" s="15">
        <f t="shared" si="1010"/>
        <v>1150.1741343963147</v>
      </c>
      <c r="AM161" s="15">
        <f t="shared" si="1010"/>
        <v>1265.1915478359463</v>
      </c>
      <c r="AN161" s="101">
        <f t="shared" si="1002"/>
        <v>4.3822630544085417E-2</v>
      </c>
      <c r="AO161" s="21">
        <f t="shared" si="660"/>
        <v>0.01</v>
      </c>
      <c r="AP161" s="122" t="e">
        <f t="shared" si="872"/>
        <v>#DIV/0!</v>
      </c>
    </row>
    <row r="162" spans="2:42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01" t="e">
        <f t="shared" si="838"/>
        <v>#DIV/0!</v>
      </c>
      <c r="AC162" s="10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09"/>
      <c r="AO162" s="122"/>
      <c r="AP162" s="122"/>
    </row>
    <row r="163" spans="2:42" x14ac:dyDescent="0.15">
      <c r="B163" s="10" t="s">
        <v>307</v>
      </c>
      <c r="C163" s="10"/>
      <c r="D163" s="10"/>
      <c r="E163" s="10"/>
      <c r="F163" s="15"/>
      <c r="G163" s="15">
        <f t="shared" ref="G163" si="1011">G10/G7</f>
        <v>0</v>
      </c>
      <c r="H163" s="15">
        <f t="shared" ref="H163:I163" si="1012">H10/H7</f>
        <v>0</v>
      </c>
      <c r="I163" s="15">
        <f t="shared" si="1012"/>
        <v>0</v>
      </c>
      <c r="J163" s="15">
        <f t="shared" ref="J163:Q163" si="1013">J10/J7</f>
        <v>0</v>
      </c>
      <c r="K163" s="15">
        <f t="shared" si="1013"/>
        <v>0</v>
      </c>
      <c r="L163" s="15">
        <f t="shared" si="1013"/>
        <v>0</v>
      </c>
      <c r="M163" s="15">
        <f t="shared" si="1013"/>
        <v>0</v>
      </c>
      <c r="N163" s="15">
        <f t="shared" si="1013"/>
        <v>0</v>
      </c>
      <c r="O163" s="15">
        <f t="shared" si="1013"/>
        <v>0</v>
      </c>
      <c r="P163" s="15">
        <f t="shared" si="1013"/>
        <v>0</v>
      </c>
      <c r="Q163" s="15">
        <f t="shared" si="1013"/>
        <v>0</v>
      </c>
      <c r="R163" s="15">
        <f t="shared" ref="R163:V163" si="1014">R10/R7</f>
        <v>0</v>
      </c>
      <c r="S163" s="15">
        <f t="shared" si="1014"/>
        <v>0</v>
      </c>
      <c r="T163" s="15">
        <f t="shared" si="1014"/>
        <v>0</v>
      </c>
      <c r="U163" s="15">
        <f t="shared" si="1014"/>
        <v>0</v>
      </c>
      <c r="V163" s="15">
        <f t="shared" si="1014"/>
        <v>0</v>
      </c>
      <c r="W163" s="15">
        <f t="shared" ref="W163" si="1015">W10/W7</f>
        <v>0</v>
      </c>
      <c r="X163" s="15">
        <f t="shared" ref="X163:AA163" si="1016">X10/X7</f>
        <v>0</v>
      </c>
      <c r="Y163" s="15">
        <f t="shared" ref="Y163:Z163" si="1017">Y10/Y7</f>
        <v>0</v>
      </c>
      <c r="Z163" s="15">
        <f t="shared" si="1017"/>
        <v>0</v>
      </c>
      <c r="AA163" s="15">
        <f t="shared" si="1016"/>
        <v>0</v>
      </c>
      <c r="AB163" s="101" t="e">
        <f t="shared" si="838"/>
        <v>#DIV/0!</v>
      </c>
      <c r="AC163" s="109"/>
      <c r="AD163" s="15">
        <f t="shared" ref="AD163:AM163" si="1018">AD10/AD7</f>
        <v>0</v>
      </c>
      <c r="AE163" s="15">
        <f t="shared" si="1018"/>
        <v>0</v>
      </c>
      <c r="AF163" s="15">
        <f t="shared" si="1018"/>
        <v>0</v>
      </c>
      <c r="AG163" s="15">
        <f t="shared" si="1018"/>
        <v>0</v>
      </c>
      <c r="AH163" s="15">
        <f t="shared" si="1018"/>
        <v>0</v>
      </c>
      <c r="AI163" s="15">
        <f t="shared" si="1018"/>
        <v>0</v>
      </c>
      <c r="AJ163" s="15">
        <f t="shared" si="1018"/>
        <v>0</v>
      </c>
      <c r="AK163" s="15">
        <f t="shared" si="1018"/>
        <v>0</v>
      </c>
      <c r="AL163" s="15">
        <f t="shared" si="1018"/>
        <v>0</v>
      </c>
      <c r="AM163" s="15">
        <f t="shared" si="1018"/>
        <v>0</v>
      </c>
      <c r="AN163" s="101" t="e">
        <f t="shared" si="1002"/>
        <v>#DIV/0!</v>
      </c>
      <c r="AO163" s="21">
        <f t="shared" si="660"/>
        <v>0.01</v>
      </c>
      <c r="AP163" s="122" t="e">
        <f t="shared" si="872"/>
        <v>#DIV/0!</v>
      </c>
    </row>
    <row r="164" spans="2:42" x14ac:dyDescent="0.15">
      <c r="B164" s="10" t="s">
        <v>299</v>
      </c>
      <c r="C164" s="10"/>
      <c r="D164" s="10"/>
      <c r="E164" s="10"/>
      <c r="F164" s="15"/>
      <c r="G164" s="15">
        <f t="shared" ref="G164" si="1019">G10/(G10+G7)</f>
        <v>0</v>
      </c>
      <c r="H164" s="15">
        <f t="shared" ref="H164:I164" si="1020">H10/(H10+H7)</f>
        <v>0</v>
      </c>
      <c r="I164" s="15">
        <f t="shared" si="1020"/>
        <v>0</v>
      </c>
      <c r="J164" s="15">
        <f t="shared" ref="J164:Q164" si="1021">J10/(J10+J7)</f>
        <v>0</v>
      </c>
      <c r="K164" s="15">
        <f t="shared" si="1021"/>
        <v>0</v>
      </c>
      <c r="L164" s="15">
        <f t="shared" si="1021"/>
        <v>0</v>
      </c>
      <c r="M164" s="15">
        <f t="shared" si="1021"/>
        <v>0</v>
      </c>
      <c r="N164" s="15">
        <f t="shared" si="1021"/>
        <v>0</v>
      </c>
      <c r="O164" s="15">
        <f t="shared" si="1021"/>
        <v>0</v>
      </c>
      <c r="P164" s="15">
        <f t="shared" si="1021"/>
        <v>0</v>
      </c>
      <c r="Q164" s="15">
        <f t="shared" si="1021"/>
        <v>0</v>
      </c>
      <c r="R164" s="15">
        <f t="shared" ref="R164:V164" si="1022">R10/(R10+R7)</f>
        <v>0</v>
      </c>
      <c r="S164" s="15">
        <f t="shared" si="1022"/>
        <v>0</v>
      </c>
      <c r="T164" s="15">
        <f t="shared" si="1022"/>
        <v>0</v>
      </c>
      <c r="U164" s="15">
        <f t="shared" si="1022"/>
        <v>0</v>
      </c>
      <c r="V164" s="15">
        <f t="shared" si="1022"/>
        <v>0</v>
      </c>
      <c r="W164" s="15">
        <f t="shared" ref="W164" si="1023">W10/(W10+W7)</f>
        <v>0</v>
      </c>
      <c r="X164" s="15">
        <f t="shared" ref="X164:AA164" si="1024">X10/(X10+X7)</f>
        <v>0</v>
      </c>
      <c r="Y164" s="15">
        <f t="shared" ref="Y164:Z164" si="1025">Y10/(Y10+Y7)</f>
        <v>0</v>
      </c>
      <c r="Z164" s="15">
        <f t="shared" si="1025"/>
        <v>0</v>
      </c>
      <c r="AA164" s="15">
        <f t="shared" si="1024"/>
        <v>0</v>
      </c>
      <c r="AB164" s="101" t="e">
        <f t="shared" si="838"/>
        <v>#DIV/0!</v>
      </c>
      <c r="AC164" s="109"/>
      <c r="AD164" s="15">
        <f t="shared" ref="AD164:AM164" si="1026">AD10/(AD10+AD7)</f>
        <v>0</v>
      </c>
      <c r="AE164" s="15">
        <f t="shared" si="1026"/>
        <v>0</v>
      </c>
      <c r="AF164" s="15">
        <f t="shared" si="1026"/>
        <v>0</v>
      </c>
      <c r="AG164" s="15">
        <f t="shared" si="1026"/>
        <v>0</v>
      </c>
      <c r="AH164" s="15">
        <f t="shared" si="1026"/>
        <v>0</v>
      </c>
      <c r="AI164" s="15">
        <f t="shared" si="1026"/>
        <v>0</v>
      </c>
      <c r="AJ164" s="15">
        <f t="shared" si="1026"/>
        <v>0</v>
      </c>
      <c r="AK164" s="15">
        <f t="shared" si="1026"/>
        <v>0</v>
      </c>
      <c r="AL164" s="15">
        <f t="shared" si="1026"/>
        <v>0</v>
      </c>
      <c r="AM164" s="15">
        <f t="shared" si="1026"/>
        <v>0</v>
      </c>
      <c r="AN164" s="101" t="e">
        <f t="shared" si="1002"/>
        <v>#DIV/0!</v>
      </c>
      <c r="AO164" s="21">
        <f t="shared" si="660"/>
        <v>0.01</v>
      </c>
      <c r="AP164" s="122" t="e">
        <f t="shared" si="872"/>
        <v>#DIV/0!</v>
      </c>
    </row>
    <row r="165" spans="2:42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01" t="e">
        <f t="shared" si="838"/>
        <v>#DIV/0!</v>
      </c>
      <c r="AC165" s="10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13"/>
      <c r="AO165" s="122"/>
      <c r="AP165" s="122"/>
    </row>
    <row r="166" spans="2:42" x14ac:dyDescent="0.15">
      <c r="B166" s="10" t="s">
        <v>304</v>
      </c>
      <c r="C166" s="10"/>
      <c r="D166" s="10"/>
      <c r="E166" s="10"/>
      <c r="F166" s="15"/>
      <c r="G166" s="15">
        <f t="shared" ref="G166" si="1027">G16</f>
        <v>4147</v>
      </c>
      <c r="H166" s="15">
        <f t="shared" ref="H166:I166" si="1028">H16</f>
        <v>4178</v>
      </c>
      <c r="I166" s="15">
        <f t="shared" si="1028"/>
        <v>4142</v>
      </c>
      <c r="J166" s="15">
        <f t="shared" ref="J166:Q166" si="1029">J16</f>
        <v>4340</v>
      </c>
      <c r="K166" s="15">
        <f t="shared" si="1029"/>
        <v>4678</v>
      </c>
      <c r="L166" s="15">
        <f t="shared" si="1029"/>
        <v>4497</v>
      </c>
      <c r="M166" s="15">
        <f t="shared" si="1029"/>
        <v>3862</v>
      </c>
      <c r="N166" s="15">
        <f t="shared" si="1029"/>
        <v>5489</v>
      </c>
      <c r="O166" s="15">
        <f t="shared" si="1029"/>
        <v>5431</v>
      </c>
      <c r="P166" s="15">
        <f t="shared" si="1029"/>
        <v>5473</v>
      </c>
      <c r="Q166" s="15">
        <f t="shared" si="1029"/>
        <v>0</v>
      </c>
      <c r="R166" s="15">
        <f t="shared" ref="R166:V166" si="1030">R16</f>
        <v>0</v>
      </c>
      <c r="S166" s="15">
        <f t="shared" si="1030"/>
        <v>0</v>
      </c>
      <c r="T166" s="15">
        <f t="shared" si="1030"/>
        <v>0</v>
      </c>
      <c r="U166" s="15">
        <f t="shared" si="1030"/>
        <v>0</v>
      </c>
      <c r="V166" s="15">
        <f t="shared" si="1030"/>
        <v>0</v>
      </c>
      <c r="W166" s="15">
        <f t="shared" ref="W166" si="1031">W16</f>
        <v>0</v>
      </c>
      <c r="X166" s="15">
        <f t="shared" ref="X166:AA166" si="1032">X16</f>
        <v>0</v>
      </c>
      <c r="Y166" s="15">
        <f t="shared" ref="Y166:Z166" si="1033">Y16</f>
        <v>0</v>
      </c>
      <c r="Z166" s="15">
        <f t="shared" si="1033"/>
        <v>0</v>
      </c>
      <c r="AA166" s="15">
        <f t="shared" si="1032"/>
        <v>0</v>
      </c>
      <c r="AB166" s="101">
        <f t="shared" si="838"/>
        <v>-1</v>
      </c>
      <c r="AC166" s="109"/>
      <c r="AD166" s="15">
        <f t="shared" ref="AD166:AM166" si="1034">AD16</f>
        <v>0</v>
      </c>
      <c r="AE166" s="15">
        <f t="shared" si="1034"/>
        <v>0</v>
      </c>
      <c r="AF166" s="15">
        <f t="shared" si="1034"/>
        <v>0</v>
      </c>
      <c r="AG166" s="15">
        <f t="shared" si="1034"/>
        <v>0</v>
      </c>
      <c r="AH166" s="15">
        <f t="shared" si="1034"/>
        <v>0</v>
      </c>
      <c r="AI166" s="15">
        <f t="shared" si="1034"/>
        <v>0</v>
      </c>
      <c r="AJ166" s="15">
        <f t="shared" si="1034"/>
        <v>0</v>
      </c>
      <c r="AK166" s="15">
        <f t="shared" si="1034"/>
        <v>0</v>
      </c>
      <c r="AL166" s="15">
        <f t="shared" si="1034"/>
        <v>0</v>
      </c>
      <c r="AM166" s="15">
        <f t="shared" si="1034"/>
        <v>0</v>
      </c>
      <c r="AN166" s="101" t="e">
        <f t="shared" si="1002"/>
        <v>#DIV/0!</v>
      </c>
      <c r="AO166" s="21">
        <f t="shared" si="660"/>
        <v>0.01</v>
      </c>
      <c r="AP166" s="122" t="e">
        <f t="shared" si="872"/>
        <v>#DIV/0!</v>
      </c>
    </row>
    <row r="167" spans="2:42" x14ac:dyDescent="0.15">
      <c r="B167" s="10" t="s">
        <v>305</v>
      </c>
      <c r="C167" s="10"/>
      <c r="D167" s="10"/>
      <c r="E167" s="10"/>
      <c r="F167" s="102"/>
      <c r="G167" s="102">
        <f t="shared" ref="G167" si="1035">G166*365/G25</f>
        <v>108.85688601222581</v>
      </c>
      <c r="H167" s="102">
        <f t="shared" ref="H167:I167" si="1036">H166*365/H25</f>
        <v>90.149562544336717</v>
      </c>
      <c r="I167" s="102">
        <f t="shared" si="1036"/>
        <v>58.573088993064971</v>
      </c>
      <c r="J167" s="102">
        <f t="shared" ref="J167:Q167" si="1037">J166*365/J25</f>
        <v>38.132492417312598</v>
      </c>
      <c r="K167" s="102">
        <f t="shared" si="1037"/>
        <v>28.20819084436074</v>
      </c>
      <c r="L167" s="102">
        <f t="shared" si="1037"/>
        <v>25.410319524428758</v>
      </c>
      <c r="M167" s="102">
        <f t="shared" si="1037"/>
        <v>23.808502373030215</v>
      </c>
      <c r="N167" s="102">
        <f t="shared" si="1037"/>
        <v>32.527275383965971</v>
      </c>
      <c r="O167" s="102">
        <f t="shared" si="1037"/>
        <v>29.738591016832189</v>
      </c>
      <c r="P167" s="102">
        <f t="shared" si="1037"/>
        <v>26.920988086895584</v>
      </c>
      <c r="Q167" s="102">
        <f t="shared" si="1037"/>
        <v>0</v>
      </c>
      <c r="R167" s="102">
        <f t="shared" ref="R167:V167" si="1038">R166*365/R25</f>
        <v>0</v>
      </c>
      <c r="S167" s="102">
        <f t="shared" si="1038"/>
        <v>0</v>
      </c>
      <c r="T167" s="102">
        <f t="shared" si="1038"/>
        <v>0</v>
      </c>
      <c r="U167" s="102">
        <f t="shared" si="1038"/>
        <v>0</v>
      </c>
      <c r="V167" s="102">
        <f t="shared" si="1038"/>
        <v>0</v>
      </c>
      <c r="W167" s="102">
        <f t="shared" ref="W167" si="1039">W166*365/W25</f>
        <v>0</v>
      </c>
      <c r="X167" s="102">
        <f t="shared" ref="X167:AA167" si="1040">X166*365/X25</f>
        <v>0</v>
      </c>
      <c r="Y167" s="102">
        <f t="shared" ref="Y167:Z167" si="1041">Y166*365/Y25</f>
        <v>0</v>
      </c>
      <c r="Z167" s="102">
        <f t="shared" si="1041"/>
        <v>0</v>
      </c>
      <c r="AA167" s="102">
        <f t="shared" si="1040"/>
        <v>0</v>
      </c>
      <c r="AB167" s="101">
        <f t="shared" si="838"/>
        <v>-1</v>
      </c>
      <c r="AC167" s="109"/>
      <c r="AD167" s="102">
        <f t="shared" ref="AD167:AM167" si="1042">AD166*365/AD25</f>
        <v>0</v>
      </c>
      <c r="AE167" s="102">
        <f t="shared" si="1042"/>
        <v>0</v>
      </c>
      <c r="AF167" s="102">
        <f t="shared" si="1042"/>
        <v>0</v>
      </c>
      <c r="AG167" s="102">
        <f t="shared" si="1042"/>
        <v>0</v>
      </c>
      <c r="AH167" s="102">
        <f t="shared" si="1042"/>
        <v>0</v>
      </c>
      <c r="AI167" s="102">
        <f t="shared" si="1042"/>
        <v>0</v>
      </c>
      <c r="AJ167" s="102">
        <f t="shared" si="1042"/>
        <v>0</v>
      </c>
      <c r="AK167" s="102">
        <f t="shared" si="1042"/>
        <v>0</v>
      </c>
      <c r="AL167" s="102">
        <f t="shared" si="1042"/>
        <v>0</v>
      </c>
      <c r="AM167" s="102">
        <f t="shared" si="1042"/>
        <v>0</v>
      </c>
      <c r="AN167" s="101" t="e">
        <f t="shared" si="1002"/>
        <v>#DIV/0!</v>
      </c>
      <c r="AO167" s="21">
        <f t="shared" si="660"/>
        <v>0.01</v>
      </c>
      <c r="AP167" s="122" t="e">
        <f t="shared" si="872"/>
        <v>#DIV/0!</v>
      </c>
    </row>
    <row r="168" spans="2:42" x14ac:dyDescent="0.15">
      <c r="B168" s="10" t="s">
        <v>308</v>
      </c>
      <c r="C168" s="10"/>
      <c r="D168" s="10"/>
      <c r="E168" s="10"/>
      <c r="F168" s="110"/>
      <c r="G168" s="110" t="e">
        <f t="shared" ref="G168" si="1043">G102/G29</f>
        <v>#DIV/0!</v>
      </c>
      <c r="H168" s="110" t="e">
        <f t="shared" ref="H168:I168" si="1044">H102/H29</f>
        <v>#DIV/0!</v>
      </c>
      <c r="I168" s="110" t="e">
        <f t="shared" si="1044"/>
        <v>#DIV/0!</v>
      </c>
      <c r="J168" s="110" t="e">
        <f t="shared" ref="J168:Q168" si="1045">J102/J29</f>
        <v>#DIV/0!</v>
      </c>
      <c r="K168" s="110" t="e">
        <f t="shared" si="1045"/>
        <v>#DIV/0!</v>
      </c>
      <c r="L168" s="110" t="e">
        <f t="shared" si="1045"/>
        <v>#DIV/0!</v>
      </c>
      <c r="M168" s="110" t="e">
        <f t="shared" si="1045"/>
        <v>#DIV/0!</v>
      </c>
      <c r="N168" s="110" t="e">
        <f t="shared" si="1045"/>
        <v>#DIV/0!</v>
      </c>
      <c r="O168" s="110" t="e">
        <f t="shared" si="1045"/>
        <v>#DIV/0!</v>
      </c>
      <c r="P168" s="110" t="e">
        <f t="shared" si="1045"/>
        <v>#DIV/0!</v>
      </c>
      <c r="Q168" s="110" t="e">
        <f t="shared" si="1045"/>
        <v>#DIV/0!</v>
      </c>
      <c r="R168" s="110" t="e">
        <f t="shared" ref="R168:V168" si="1046">R102/R29</f>
        <v>#DIV/0!</v>
      </c>
      <c r="S168" s="110" t="e">
        <f t="shared" si="1046"/>
        <v>#DIV/0!</v>
      </c>
      <c r="T168" s="110" t="e">
        <f t="shared" si="1046"/>
        <v>#DIV/0!</v>
      </c>
      <c r="U168" s="110" t="e">
        <f t="shared" si="1046"/>
        <v>#DIV/0!</v>
      </c>
      <c r="V168" s="110">
        <f t="shared" si="1046"/>
        <v>0</v>
      </c>
      <c r="W168" s="110">
        <f t="shared" ref="W168" si="1047">W102/W29</f>
        <v>0</v>
      </c>
      <c r="X168" s="110">
        <f t="shared" ref="X168:AA168" si="1048">X102/X29</f>
        <v>0</v>
      </c>
      <c r="Y168" s="110">
        <f t="shared" ref="Y168:Z168" si="1049">Y102/Y29</f>
        <v>0</v>
      </c>
      <c r="Z168" s="110">
        <f t="shared" si="1049"/>
        <v>0</v>
      </c>
      <c r="AA168" s="110">
        <f t="shared" si="1048"/>
        <v>0</v>
      </c>
      <c r="AB168" s="101" t="e">
        <f t="shared" si="838"/>
        <v>#DIV/0!</v>
      </c>
      <c r="AC168" s="109"/>
      <c r="AD168" s="110">
        <f t="shared" ref="AD168:AM168" si="1050">AD102/AD29</f>
        <v>0</v>
      </c>
      <c r="AE168" s="110">
        <f t="shared" si="1050"/>
        <v>0</v>
      </c>
      <c r="AF168" s="110">
        <f t="shared" si="1050"/>
        <v>0</v>
      </c>
      <c r="AG168" s="110">
        <f t="shared" si="1050"/>
        <v>0</v>
      </c>
      <c r="AH168" s="110">
        <f t="shared" si="1050"/>
        <v>0</v>
      </c>
      <c r="AI168" s="110">
        <f t="shared" si="1050"/>
        <v>0</v>
      </c>
      <c r="AJ168" s="110">
        <f t="shared" si="1050"/>
        <v>0</v>
      </c>
      <c r="AK168" s="110">
        <f t="shared" si="1050"/>
        <v>0</v>
      </c>
      <c r="AL168" s="110">
        <f t="shared" si="1050"/>
        <v>0</v>
      </c>
      <c r="AM168" s="110">
        <f t="shared" si="1050"/>
        <v>0</v>
      </c>
      <c r="AN168" s="101" t="e">
        <f t="shared" si="1002"/>
        <v>#DIV/0!</v>
      </c>
      <c r="AO168" s="21">
        <f t="shared" si="660"/>
        <v>0.01</v>
      </c>
      <c r="AP168" s="122" t="e">
        <f t="shared" si="872"/>
        <v>#DIV/0!</v>
      </c>
    </row>
    <row r="169" spans="2:42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1" t="e">
        <f t="shared" si="838"/>
        <v>#DIV/0!</v>
      </c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13"/>
      <c r="AO169" s="122"/>
      <c r="AP169" s="122"/>
    </row>
    <row r="170" spans="2:42" x14ac:dyDescent="0.15">
      <c r="B170" s="10" t="s">
        <v>315</v>
      </c>
      <c r="C170" s="10"/>
      <c r="D170" s="10"/>
      <c r="E170" s="10"/>
      <c r="F170" s="151"/>
      <c r="G170" s="151" t="e">
        <f t="shared" ref="G170" si="1051">G25/G14</f>
        <v>#DIV/0!</v>
      </c>
      <c r="H170" s="151" t="e">
        <f t="shared" ref="H170:I170" si="1052">H25/H14</f>
        <v>#DIV/0!</v>
      </c>
      <c r="I170" s="151" t="e">
        <f t="shared" si="1052"/>
        <v>#DIV/0!</v>
      </c>
      <c r="J170" s="151" t="e">
        <f t="shared" ref="J170:Q170" si="1053">J25/J14</f>
        <v>#DIV/0!</v>
      </c>
      <c r="K170" s="151" t="e">
        <f t="shared" si="1053"/>
        <v>#DIV/0!</v>
      </c>
      <c r="L170" s="151" t="e">
        <f t="shared" si="1053"/>
        <v>#DIV/0!</v>
      </c>
      <c r="M170" s="151" t="e">
        <f t="shared" si="1053"/>
        <v>#DIV/0!</v>
      </c>
      <c r="N170" s="151" t="e">
        <f t="shared" si="1053"/>
        <v>#DIV/0!</v>
      </c>
      <c r="O170" s="151" t="e">
        <f t="shared" si="1053"/>
        <v>#DIV/0!</v>
      </c>
      <c r="P170" s="151" t="e">
        <f t="shared" si="1053"/>
        <v>#DIV/0!</v>
      </c>
      <c r="Q170" s="151" t="e">
        <f t="shared" si="1053"/>
        <v>#DIV/0!</v>
      </c>
      <c r="R170" s="151" t="e">
        <f t="shared" ref="R170:V170" si="1054">R25/R14</f>
        <v>#DIV/0!</v>
      </c>
      <c r="S170" s="151" t="e">
        <f t="shared" si="1054"/>
        <v>#DIV/0!</v>
      </c>
      <c r="T170" s="151" t="e">
        <f t="shared" si="1054"/>
        <v>#DIV/0!</v>
      </c>
      <c r="U170" s="151" t="e">
        <f t="shared" si="1054"/>
        <v>#DIV/0!</v>
      </c>
      <c r="V170" s="151" t="e">
        <f t="shared" si="1054"/>
        <v>#DIV/0!</v>
      </c>
      <c r="W170" s="151" t="e">
        <f t="shared" ref="W170" si="1055">W25/W14</f>
        <v>#DIV/0!</v>
      </c>
      <c r="X170" s="151" t="e">
        <f t="shared" ref="X170:AA170" si="1056">X25/X14</f>
        <v>#DIV/0!</v>
      </c>
      <c r="Y170" s="151" t="e">
        <f t="shared" ref="Y170:Z170" si="1057">Y25/Y14</f>
        <v>#DIV/0!</v>
      </c>
      <c r="Z170" s="151" t="e">
        <f t="shared" si="1057"/>
        <v>#DIV/0!</v>
      </c>
      <c r="AA170" s="151" t="e">
        <f t="shared" si="1056"/>
        <v>#DIV/0!</v>
      </c>
      <c r="AB170" s="101" t="e">
        <f t="shared" si="838"/>
        <v>#DIV/0!</v>
      </c>
      <c r="AC170" s="109"/>
      <c r="AD170" s="10" t="e">
        <f t="shared" ref="AD170:AM170" si="1058">AD25/AD14</f>
        <v>#DIV/0!</v>
      </c>
      <c r="AE170" s="10" t="e">
        <f t="shared" si="1058"/>
        <v>#DIV/0!</v>
      </c>
      <c r="AF170" s="10" t="e">
        <f t="shared" si="1058"/>
        <v>#DIV/0!</v>
      </c>
      <c r="AG170" s="10" t="e">
        <f t="shared" si="1058"/>
        <v>#DIV/0!</v>
      </c>
      <c r="AH170" s="10" t="e">
        <f t="shared" si="1058"/>
        <v>#DIV/0!</v>
      </c>
      <c r="AI170" s="10" t="e">
        <f t="shared" si="1058"/>
        <v>#DIV/0!</v>
      </c>
      <c r="AJ170" s="10" t="e">
        <f t="shared" si="1058"/>
        <v>#DIV/0!</v>
      </c>
      <c r="AK170" s="10" t="e">
        <f t="shared" si="1058"/>
        <v>#DIV/0!</v>
      </c>
      <c r="AL170" s="10" t="e">
        <f t="shared" si="1058"/>
        <v>#DIV/0!</v>
      </c>
      <c r="AM170" s="10" t="e">
        <f t="shared" si="1058"/>
        <v>#DIV/0!</v>
      </c>
      <c r="AN170" s="101" t="e">
        <f t="shared" si="1002"/>
        <v>#DIV/0!</v>
      </c>
      <c r="AO170" s="21">
        <f t="shared" si="660"/>
        <v>0.01</v>
      </c>
      <c r="AP170" s="122" t="e">
        <f t="shared" si="872"/>
        <v>#DIV/0!</v>
      </c>
    </row>
    <row r="171" spans="2:42" x14ac:dyDescent="0.15">
      <c r="B171" s="10" t="s">
        <v>316</v>
      </c>
      <c r="C171" s="10"/>
      <c r="D171" s="10"/>
      <c r="E171" s="10"/>
      <c r="F171" s="151"/>
      <c r="G171" s="151" t="e">
        <f t="shared" ref="G171" si="1059">G27/G14</f>
        <v>#DIV/0!</v>
      </c>
      <c r="H171" s="151" t="e">
        <f t="shared" ref="H171:I171" si="1060">H27/H14</f>
        <v>#DIV/0!</v>
      </c>
      <c r="I171" s="151" t="e">
        <f t="shared" si="1060"/>
        <v>#DIV/0!</v>
      </c>
      <c r="J171" s="151" t="e">
        <f t="shared" ref="J171:Q171" si="1061">J27/J14</f>
        <v>#DIV/0!</v>
      </c>
      <c r="K171" s="151" t="e">
        <f t="shared" si="1061"/>
        <v>#DIV/0!</v>
      </c>
      <c r="L171" s="151" t="e">
        <f t="shared" si="1061"/>
        <v>#DIV/0!</v>
      </c>
      <c r="M171" s="151" t="e">
        <f t="shared" si="1061"/>
        <v>#DIV/0!</v>
      </c>
      <c r="N171" s="151" t="e">
        <f t="shared" si="1061"/>
        <v>#DIV/0!</v>
      </c>
      <c r="O171" s="151" t="e">
        <f t="shared" si="1061"/>
        <v>#DIV/0!</v>
      </c>
      <c r="P171" s="151" t="e">
        <f t="shared" si="1061"/>
        <v>#DIV/0!</v>
      </c>
      <c r="Q171" s="151" t="e">
        <f t="shared" si="1061"/>
        <v>#DIV/0!</v>
      </c>
      <c r="R171" s="151" t="e">
        <f t="shared" ref="R171:V171" si="1062">R27/R14</f>
        <v>#DIV/0!</v>
      </c>
      <c r="S171" s="151" t="e">
        <f t="shared" si="1062"/>
        <v>#DIV/0!</v>
      </c>
      <c r="T171" s="151" t="e">
        <f t="shared" si="1062"/>
        <v>#DIV/0!</v>
      </c>
      <c r="U171" s="151" t="e">
        <f t="shared" si="1062"/>
        <v>#DIV/0!</v>
      </c>
      <c r="V171" s="151" t="e">
        <f t="shared" si="1062"/>
        <v>#DIV/0!</v>
      </c>
      <c r="W171" s="151" t="e">
        <f t="shared" ref="W171" si="1063">W27/W14</f>
        <v>#DIV/0!</v>
      </c>
      <c r="X171" s="151" t="e">
        <f t="shared" ref="X171:AA171" si="1064">X27/X14</f>
        <v>#DIV/0!</v>
      </c>
      <c r="Y171" s="151" t="e">
        <f t="shared" ref="Y171:Z171" si="1065">Y27/Y14</f>
        <v>#DIV/0!</v>
      </c>
      <c r="Z171" s="151" t="e">
        <f t="shared" si="1065"/>
        <v>#DIV/0!</v>
      </c>
      <c r="AA171" s="151" t="e">
        <f t="shared" si="1064"/>
        <v>#DIV/0!</v>
      </c>
      <c r="AB171" s="101" t="e">
        <f t="shared" si="838"/>
        <v>#DIV/0!</v>
      </c>
      <c r="AC171" s="109"/>
      <c r="AD171" s="10" t="e">
        <f t="shared" ref="AD171:AM171" si="1066">AD27/AD14</f>
        <v>#DIV/0!</v>
      </c>
      <c r="AE171" s="10" t="e">
        <f t="shared" si="1066"/>
        <v>#DIV/0!</v>
      </c>
      <c r="AF171" s="10" t="e">
        <f t="shared" si="1066"/>
        <v>#DIV/0!</v>
      </c>
      <c r="AG171" s="10" t="e">
        <f t="shared" si="1066"/>
        <v>#DIV/0!</v>
      </c>
      <c r="AH171" s="10" t="e">
        <f t="shared" si="1066"/>
        <v>#DIV/0!</v>
      </c>
      <c r="AI171" s="10" t="e">
        <f t="shared" si="1066"/>
        <v>#DIV/0!</v>
      </c>
      <c r="AJ171" s="10" t="e">
        <f t="shared" si="1066"/>
        <v>#DIV/0!</v>
      </c>
      <c r="AK171" s="10" t="e">
        <f t="shared" si="1066"/>
        <v>#DIV/0!</v>
      </c>
      <c r="AL171" s="10" t="e">
        <f t="shared" si="1066"/>
        <v>#DIV/0!</v>
      </c>
      <c r="AM171" s="10" t="e">
        <f t="shared" si="1066"/>
        <v>#DIV/0!</v>
      </c>
      <c r="AN171" s="101" t="e">
        <f t="shared" si="1002"/>
        <v>#DIV/0!</v>
      </c>
      <c r="AO171" s="21">
        <f t="shared" si="660"/>
        <v>0.01</v>
      </c>
      <c r="AP171" s="122" t="e">
        <f t="shared" si="872"/>
        <v>#DIV/0!</v>
      </c>
    </row>
    <row r="172" spans="2:42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506</v>
      </c>
      <c r="U172" s="167"/>
      <c r="V172" s="10"/>
      <c r="W172" s="10"/>
      <c r="X172" s="10"/>
      <c r="Y172" s="10"/>
      <c r="Z172" s="10"/>
      <c r="AA172" s="10"/>
      <c r="AB172" s="109"/>
      <c r="AC172" s="109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13"/>
      <c r="AO172" s="10"/>
      <c r="AP172" s="10"/>
    </row>
    <row r="173" spans="2:42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505</v>
      </c>
      <c r="U173" s="13" t="s">
        <v>408</v>
      </c>
      <c r="V173" s="13" t="s">
        <v>408</v>
      </c>
      <c r="W173" s="13"/>
      <c r="X173" s="13"/>
      <c r="Y173" s="13"/>
      <c r="Z173" s="13"/>
      <c r="AA173" s="13"/>
      <c r="AB173" s="13" t="s">
        <v>499</v>
      </c>
      <c r="AC173" s="10"/>
      <c r="AD173" s="105" t="s">
        <v>54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13"/>
      <c r="AO173" s="10"/>
      <c r="AP173" s="10"/>
    </row>
    <row r="174" spans="2:42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AVERAGE(G106:AA106)</f>
        <v>17.36972402597403</v>
      </c>
      <c r="U174" s="110">
        <f>AVERAGE(S106:AA106)</f>
        <v>27.592329545454547</v>
      </c>
      <c r="V174" s="110">
        <f>AVERAGE(S76:AA76)</f>
        <v>28.876419635435678</v>
      </c>
      <c r="W174" s="110"/>
      <c r="X174" s="110"/>
      <c r="Y174" s="110"/>
      <c r="Z174" s="110"/>
      <c r="AA174" s="110"/>
      <c r="AB174" s="110">
        <f>AVERAGE(M76:AA76)</f>
        <v>50.149977161084436</v>
      </c>
      <c r="AC174" s="10"/>
      <c r="AD174" s="165" t="s">
        <v>370</v>
      </c>
      <c r="AE174" s="166" t="s">
        <v>371</v>
      </c>
      <c r="AF174" s="10"/>
      <c r="AG174" s="10"/>
      <c r="AH174" s="10"/>
      <c r="AI174" s="10"/>
      <c r="AJ174" s="10"/>
      <c r="AK174" s="10"/>
      <c r="AL174" s="10"/>
      <c r="AM174" s="10"/>
      <c r="AN174" s="113"/>
      <c r="AO174" s="10"/>
      <c r="AP174" s="10"/>
    </row>
    <row r="175" spans="2:42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6" t="e">
        <f>AD175+AE175</f>
        <v>#DIV/0!</v>
      </c>
      <c r="AD175" s="110">
        <f>PV($C$1, ($AM$3-$AD$3), 0, -AM76)</f>
        <v>23.261402379523645</v>
      </c>
      <c r="AE175" s="110" t="e">
        <f>PV($C$1, ($AM$3-$AD$3), 0, -AP76)</f>
        <v>#DIV/0!</v>
      </c>
      <c r="AF175" s="10"/>
      <c r="AG175" s="10"/>
      <c r="AH175" s="10"/>
      <c r="AI175" s="10"/>
      <c r="AJ175" s="10"/>
      <c r="AK175" s="10"/>
      <c r="AL175" s="10"/>
      <c r="AM175" s="10"/>
      <c r="AN175" s="113"/>
      <c r="AO175" s="10"/>
      <c r="AP175" s="10"/>
    </row>
    <row r="176" spans="2:42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6" t="e">
        <f t="shared" ref="AC176:AC194" si="1067">AD176+AE176</f>
        <v>#DIV/0!</v>
      </c>
      <c r="AD176" s="110">
        <f>PV($C$1, ($AM$3-$AD$3), 0, -AM78)</f>
        <v>135.60123992544212</v>
      </c>
      <c r="AE176" s="110" t="e">
        <f>PV($C$1, ($AM$3-$AD$3), 0, -AP78)</f>
        <v>#DIV/0!</v>
      </c>
      <c r="AF176" s="10"/>
      <c r="AG176" s="10"/>
      <c r="AH176" s="10"/>
      <c r="AI176" s="10"/>
      <c r="AJ176" s="10"/>
      <c r="AK176" s="10"/>
      <c r="AL176" s="10"/>
      <c r="AM176" s="10"/>
      <c r="AN176" s="113"/>
      <c r="AO176" s="10"/>
      <c r="AP176" s="10"/>
    </row>
    <row r="177" spans="2:42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6" t="e">
        <f t="shared" si="1067"/>
        <v>#DIV/0!</v>
      </c>
      <c r="AD177" s="110">
        <f>PV($C$1, ($AM$3-$AD$3), 0, -AM79)</f>
        <v>135.60123992544212</v>
      </c>
      <c r="AE177" s="110" t="e">
        <f>PV($C$1, ($AM$3-$AD$3), 0, -AP79)</f>
        <v>#DIV/0!</v>
      </c>
      <c r="AF177" s="10"/>
      <c r="AG177" s="10"/>
      <c r="AH177" s="10"/>
      <c r="AI177" s="10"/>
      <c r="AJ177" s="10"/>
      <c r="AK177" s="10"/>
      <c r="AL177" s="10"/>
      <c r="AM177" s="10"/>
      <c r="AN177" s="113"/>
      <c r="AO177" s="10"/>
      <c r="AP177" s="10"/>
    </row>
    <row r="178" spans="2:42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6" t="e">
        <f t="shared" si="1067"/>
        <v>#DIV/0!</v>
      </c>
      <c r="AD178" s="110">
        <f>PV($C$1, ($AM$3-$AD$3), 0, -AM80)</f>
        <v>0</v>
      </c>
      <c r="AE178" s="110" t="e">
        <f>PV($C$1, ($AM$3-$AD$3), 0, -AP80)</f>
        <v>#DIV/0!</v>
      </c>
      <c r="AF178" s="10"/>
      <c r="AG178" s="10"/>
      <c r="AH178" s="10"/>
      <c r="AI178" s="10"/>
      <c r="AJ178" s="10"/>
      <c r="AK178" s="10"/>
      <c r="AL178" s="10"/>
      <c r="AM178" s="10"/>
      <c r="AN178" s="113"/>
      <c r="AO178" s="10"/>
      <c r="AP178" s="10"/>
    </row>
    <row r="179" spans="2:42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6" t="e">
        <f t="shared" si="1067"/>
        <v>#DIV/0!</v>
      </c>
      <c r="AD179" s="110">
        <f>PV($C$1, ($AM$3-$AD$3), 0, -AM86)</f>
        <v>0</v>
      </c>
      <c r="AE179" s="110" t="e">
        <f>PV($C$1, ($AM$3-$AD$3), 0, -AP86)</f>
        <v>#DIV/0!</v>
      </c>
      <c r="AF179" s="10"/>
      <c r="AG179" s="10"/>
      <c r="AH179" s="10"/>
      <c r="AI179" s="10"/>
      <c r="AJ179" s="10"/>
      <c r="AK179" s="10"/>
      <c r="AL179" s="10"/>
      <c r="AM179" s="10"/>
      <c r="AN179" s="113"/>
      <c r="AO179" s="10"/>
      <c r="AP179" s="10"/>
    </row>
    <row r="180" spans="2:42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16"/>
      <c r="AD180" s="1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13"/>
      <c r="AO180" s="10"/>
      <c r="AP180" s="10"/>
    </row>
    <row r="181" spans="2:42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6" t="e">
        <f t="shared" si="1067"/>
        <v>#DIV/0!</v>
      </c>
      <c r="AD181" s="110">
        <f>PV($C$1, ($AM$3-$AD$3), 0, -AM82)</f>
        <v>135.60123992544212</v>
      </c>
      <c r="AE181" s="110" t="e">
        <f>PV($C$1, ($AM$3-$AD$3), 0, -$AP$82)</f>
        <v>#DIV/0!</v>
      </c>
      <c r="AF181" s="10"/>
      <c r="AG181" s="10"/>
      <c r="AH181" s="10"/>
      <c r="AI181" s="10"/>
      <c r="AJ181" s="10"/>
      <c r="AK181" s="10"/>
      <c r="AL181" s="10"/>
      <c r="AM181" s="10"/>
      <c r="AN181" s="113"/>
      <c r="AO181" s="10"/>
      <c r="AP181" s="10"/>
    </row>
    <row r="182" spans="2:42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6" t="e">
        <f t="shared" si="1067"/>
        <v>#DIV/0!</v>
      </c>
      <c r="AD182" s="110">
        <f>PV($C$1, ($AM$3-$AD$3), 0, -AM83)</f>
        <v>135.60123992544212</v>
      </c>
      <c r="AE182" s="110" t="e">
        <f>PV($C$1, ($AM$3-$AD$3), 0, -$AP$83)</f>
        <v>#DIV/0!</v>
      </c>
      <c r="AF182" s="10"/>
      <c r="AG182" s="10"/>
      <c r="AH182" s="10"/>
      <c r="AI182" s="10"/>
      <c r="AJ182" s="10"/>
      <c r="AK182" s="10"/>
      <c r="AL182" s="10"/>
      <c r="AM182" s="10"/>
      <c r="AN182" s="113"/>
      <c r="AO182" s="10"/>
      <c r="AP182" s="10"/>
    </row>
    <row r="183" spans="2:42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6" t="e">
        <f t="shared" si="1067"/>
        <v>#DIV/0!</v>
      </c>
      <c r="AD183" s="110">
        <f>PV($C$1, ($AM$3-$AD$3), 0, -AM84)</f>
        <v>135.60123992544212</v>
      </c>
      <c r="AE183" s="110" t="e">
        <f>PV($C$1, ($AM$3-$AD$3), 0, -$AP$84)</f>
        <v>#DIV/0!</v>
      </c>
      <c r="AF183" s="10"/>
      <c r="AG183" s="10"/>
      <c r="AH183" s="10"/>
      <c r="AI183" s="10"/>
      <c r="AJ183" s="10"/>
      <c r="AK183" s="10"/>
      <c r="AL183" s="10"/>
      <c r="AM183" s="10"/>
      <c r="AN183" s="113"/>
      <c r="AO183" s="10"/>
      <c r="AP183" s="10"/>
    </row>
    <row r="184" spans="2:42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6"/>
      <c r="AD184" s="1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13"/>
      <c r="AO184" s="10"/>
      <c r="AP184" s="10"/>
    </row>
    <row r="185" spans="2:42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16" t="e">
        <f t="shared" si="1067"/>
        <v>#DIV/0!</v>
      </c>
      <c r="AD185" s="110">
        <f>PV($C$1, ($AM$3-$AD$3), 0, -AM89)</f>
        <v>0</v>
      </c>
      <c r="AE185" s="110" t="e">
        <f>PV($C$1, ($AM$3-$AD$3), 0, -AP89)</f>
        <v>#DIV/0!</v>
      </c>
      <c r="AF185" s="10"/>
      <c r="AG185" s="10"/>
      <c r="AH185" s="10"/>
      <c r="AI185" s="10"/>
      <c r="AJ185" s="10"/>
      <c r="AK185" s="10"/>
      <c r="AL185" s="10"/>
      <c r="AM185" s="10"/>
      <c r="AN185" s="113"/>
      <c r="AO185" s="10"/>
      <c r="AP185" s="10"/>
    </row>
    <row r="186" spans="2:42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6" t="e">
        <f t="shared" si="1067"/>
        <v>#DIV/0!</v>
      </c>
      <c r="AD186" s="110">
        <f>PV($C$1, ($AM$3-$AD$3), 0, -AM90)</f>
        <v>0</v>
      </c>
      <c r="AE186" s="110" t="e">
        <f>PV($C$1, ($AM$3-$AD$3), 0, -AP90)</f>
        <v>#DIV/0!</v>
      </c>
      <c r="AF186" s="10"/>
      <c r="AG186" s="10"/>
      <c r="AH186" s="10"/>
      <c r="AI186" s="10"/>
      <c r="AJ186" s="10"/>
      <c r="AK186" s="10"/>
      <c r="AL186" s="10"/>
      <c r="AM186" s="10"/>
      <c r="AN186" s="113"/>
      <c r="AO186" s="10"/>
      <c r="AP186" s="10"/>
    </row>
    <row r="187" spans="2:42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6"/>
      <c r="AD187" s="110"/>
      <c r="AE187" s="110"/>
      <c r="AF187" s="10"/>
      <c r="AG187" s="10"/>
      <c r="AH187" s="10"/>
      <c r="AI187" s="10"/>
      <c r="AJ187" s="10"/>
      <c r="AK187" s="10"/>
      <c r="AL187" s="10"/>
      <c r="AM187" s="10"/>
      <c r="AN187" s="113"/>
      <c r="AO187" s="10"/>
      <c r="AP187" s="10"/>
    </row>
    <row r="188" spans="2:42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6" t="e">
        <f t="shared" ref="AC188" si="1068">AD188+AE188</f>
        <v>#DIV/0!</v>
      </c>
      <c r="AD188" s="110">
        <f>PV($C$1, ($AM$3-$AD$3), 0, -AM12)</f>
        <v>0</v>
      </c>
      <c r="AE188" s="110" t="e">
        <f>PV($C$1, ($AM$3-$AD$3), 0, -AP12)</f>
        <v>#DIV/0!</v>
      </c>
      <c r="AF188" s="10"/>
      <c r="AG188" s="10"/>
      <c r="AH188" s="10"/>
      <c r="AI188" s="10"/>
      <c r="AJ188" s="10"/>
      <c r="AK188" s="10"/>
      <c r="AL188" s="10"/>
      <c r="AM188" s="10"/>
      <c r="AN188" s="113"/>
      <c r="AO188" s="10"/>
      <c r="AP188" s="10"/>
    </row>
    <row r="189" spans="2:42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6" t="e">
        <f>AD189+AE189</f>
        <v>#DIV/0!</v>
      </c>
      <c r="AD189" s="116">
        <f>AD188/T61</f>
        <v>0</v>
      </c>
      <c r="AE189" s="116" t="e">
        <f>AE188/T61</f>
        <v>#DIV/0!</v>
      </c>
      <c r="AF189" s="10"/>
      <c r="AG189" s="10"/>
      <c r="AH189" s="10"/>
      <c r="AI189" s="10"/>
      <c r="AJ189" s="10"/>
      <c r="AK189" s="10"/>
      <c r="AL189" s="10"/>
      <c r="AM189" s="10"/>
      <c r="AN189" s="113"/>
      <c r="AO189" s="10"/>
      <c r="AP189" s="10"/>
    </row>
    <row r="190" spans="2:42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16"/>
      <c r="AD190" s="116"/>
      <c r="AE190" s="116"/>
      <c r="AF190" s="10"/>
      <c r="AG190" s="10"/>
      <c r="AH190" s="10"/>
      <c r="AI190" s="10"/>
      <c r="AJ190" s="10"/>
      <c r="AK190" s="10"/>
      <c r="AL190" s="10"/>
      <c r="AM190" s="10"/>
      <c r="AN190" s="113"/>
      <c r="AO190" s="10"/>
      <c r="AP190" s="10"/>
    </row>
    <row r="191" spans="2:42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6"/>
      <c r="AD191" s="110"/>
      <c r="AE191" s="110"/>
      <c r="AF191" s="10"/>
      <c r="AG191" s="10"/>
      <c r="AH191" s="10"/>
      <c r="AI191" s="10"/>
      <c r="AJ191" s="10"/>
      <c r="AK191" s="10"/>
      <c r="AL191" s="10"/>
      <c r="AM191" s="10"/>
      <c r="AN191" s="113"/>
      <c r="AO191" s="10"/>
      <c r="AP191" s="10"/>
    </row>
    <row r="192" spans="2:42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6" t="e">
        <f t="shared" ref="AC192" si="1069">AD192+AE192</f>
        <v>#DIV/0!</v>
      </c>
      <c r="AD192" s="110">
        <f>PV($C$1, ($AM$3-$AD$3), 0, -AM92)+PV($C$1, ($AL$3-$AD$3), 0, -AM92)+PV($C$1, ($AK$3-$AD$3), 0, -AM92)+PV($C$1, ($AJ$3-$AD$3), 0, -AM92)+PV($C$1, ($AI$3-$AD$3), 0, -AM92)+PV($C$1, ($AH$3-$AD$3), 0, -AM92)+PV($C$1, ($AG$3-$AD$3), 0, -AM92)+PV($C$1, ($AF$3-$AD$3), 0, -AM92)+PV($C$1, ($AE$3-$AD$3), 0, -AM92)+PV($C$1, ($AD$3-$AD$3), 0, -AM92)</f>
        <v>0</v>
      </c>
      <c r="AE192" s="110" t="e">
        <f>PV($C$1, ($AM$3-$AD$3), 0, -AP92)</f>
        <v>#DIV/0!</v>
      </c>
      <c r="AF192" s="10"/>
      <c r="AG192" s="10"/>
      <c r="AH192" s="10"/>
      <c r="AI192" s="10"/>
      <c r="AJ192" s="10"/>
      <c r="AK192" s="10"/>
      <c r="AL192" s="10"/>
      <c r="AM192" s="10"/>
      <c r="AN192" s="113"/>
      <c r="AO192" s="10"/>
      <c r="AP192" s="10"/>
    </row>
    <row r="193" spans="2:42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6"/>
      <c r="AD193" s="110"/>
      <c r="AE193" s="110"/>
      <c r="AF193" s="10"/>
      <c r="AG193" s="10"/>
      <c r="AH193" s="10"/>
      <c r="AI193" s="10"/>
      <c r="AJ193" s="10"/>
      <c r="AK193" s="10"/>
      <c r="AL193" s="10"/>
      <c r="AM193" s="10"/>
      <c r="AN193" s="113"/>
      <c r="AO193" s="10"/>
      <c r="AP193" s="10"/>
    </row>
    <row r="194" spans="2:42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6" t="e">
        <f t="shared" si="1067"/>
        <v>#DIV/0!</v>
      </c>
      <c r="AD194" s="110">
        <f>PV($C$1, ($AM$3-$AD$3), 0, -AM94)+PV($C$1, ($AL$3-$AD$3), 0, -AM94)+PV($C$1, ($AK$3-$AD$3), 0, -AM94)+PV($C$1, ($AJ$3-$AD$3), 0, -AM94)+PV($C$1, ($AI$3-$AD$3), 0, -AM94)+PV($C$1, ($AH$3-$AD$3), 0, -AM94)+PV($C$1, ($AG$3-$AD$3), 0, -AM94)+PV($C$1, ($AF$3-$AD$3), 0, -AM94)+PV($C$1, ($AE$3-$AD$3), 0, -AM94)+PV($C$1, ($AD$3-$AD$3), 0, -AM94)</f>
        <v>0</v>
      </c>
      <c r="AE194" s="110" t="e">
        <f>PV($C$1, ($AM$3-$AD$3), 0, -AP94)</f>
        <v>#DIV/0!</v>
      </c>
      <c r="AF194" s="10"/>
      <c r="AG194" s="10"/>
      <c r="AH194" s="10"/>
      <c r="AI194" s="10"/>
      <c r="AJ194" s="10"/>
      <c r="AK194" s="10"/>
      <c r="AL194" s="10"/>
      <c r="AM194" s="10"/>
      <c r="AN194" s="113"/>
      <c r="AO194" s="10"/>
      <c r="AP194" s="10"/>
    </row>
    <row r="195" spans="2:42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16"/>
      <c r="AD195" s="110"/>
      <c r="AE195" s="110"/>
      <c r="AF195" s="10"/>
      <c r="AG195" s="10"/>
      <c r="AH195" s="10"/>
      <c r="AI195" s="10"/>
      <c r="AJ195" s="10"/>
      <c r="AK195" s="10"/>
      <c r="AL195" s="10"/>
      <c r="AM195" s="10"/>
      <c r="AN195" s="113"/>
      <c r="AO195" s="10"/>
      <c r="AP195" s="10"/>
    </row>
    <row r="196" spans="2:42" x14ac:dyDescent="0.15">
      <c r="B196" s="10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6" t="e">
        <f t="shared" ref="AC196:AC199" si="1070">AD196+AE196</f>
        <v>#DIV/0!</v>
      </c>
      <c r="AD196" s="110">
        <f>PV($C$1, ($AM$3-$AD$3), 0, -AM96)+PV($C$1, ($AL$3-$AD$3), 0, -AM96)+PV($C$1, ($AK$3-$AD$3), 0, -AM96)+PV($C$1, ($AJ$3-$AD$3), 0, -AM96)+PV($C$1, ($AI$3-$AD$3), 0, -AM96)+PV($C$1, ($AH$3-$AD$3), 0, -AM96)+PV($C$1, ($AG$3-$AD$3), 0, -AM96)+PV($C$1, ($AF$3-$AD$3), 0, -AM96)+PV($C$1, ($AE$3-$AD$3), 0, -AM96)+PV($C$1, ($AD$3-$AD$3), 0, -AM96)</f>
        <v>0</v>
      </c>
      <c r="AE196" s="110" t="e">
        <f>PV($C$1, ($AM$3-$AD$3), 0, -AP96)</f>
        <v>#DIV/0!</v>
      </c>
      <c r="AF196" s="10"/>
      <c r="AG196" s="10"/>
      <c r="AH196" s="10"/>
      <c r="AI196" s="10"/>
      <c r="AJ196" s="10"/>
      <c r="AK196" s="10"/>
      <c r="AL196" s="10"/>
      <c r="AM196" s="10"/>
      <c r="AN196" s="113"/>
      <c r="AO196" s="10"/>
      <c r="AP196" s="10"/>
    </row>
    <row r="197" spans="2:42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6" t="e">
        <f t="shared" si="1070"/>
        <v>#DIV/0!</v>
      </c>
      <c r="AD197" s="110">
        <f>PV($C$1, ($AM$3-$AD$3), 0, -AM97)+PV($C$1, ($AL$3-$AD$3), 0, -AM97)+PV($C$1, ($AK$3-$AD$3), 0, -AM97)+PV($C$1, ($AJ$3-$AD$3), 0, -AM97)+PV($C$1, ($AI$3-$AD$3), 0, -AM97)+PV($C$1, ($AH$3-$AD$3), 0, -AM97)+PV($C$1, ($AG$3-$AD$3), 0, -AM97)+PV($C$1, ($AF$3-$AD$3), 0, -AM97)+PV($C$1, ($AE$3-$AD$3), 0, -AM97)+PV($C$1, ($AD$3-$AD$3), 0, -AM97)</f>
        <v>0</v>
      </c>
      <c r="AE197" s="110" t="e">
        <f>PV($C$1, ($AM$3-$AD$3), 0, -AP97)</f>
        <v>#DIV/0!</v>
      </c>
      <c r="AF197" s="10"/>
      <c r="AG197" s="10"/>
      <c r="AH197" s="10"/>
      <c r="AI197" s="10"/>
      <c r="AJ197" s="10"/>
      <c r="AK197" s="10"/>
      <c r="AL197" s="10"/>
      <c r="AM197" s="10"/>
      <c r="AN197" s="113"/>
      <c r="AO197" s="10"/>
      <c r="AP197" s="10"/>
    </row>
    <row r="198" spans="2:42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6" t="e">
        <f t="shared" si="1070"/>
        <v>#DIV/0!</v>
      </c>
      <c r="AD198" s="110">
        <f>PV($C$1, ($AM$3-$AD$3), 0, -AM98)+PV($C$1, ($AL$3-$AD$3), 0, -AM98)+PV($C$1, ($AK$3-$AD$3), 0, -AM98)+PV($C$1, ($AJ$3-$AD$3), 0, -AM98)+PV($C$1, ($AI$3-$AD$3), 0, -AM98)+PV($C$1, ($AH$3-$AD$3), 0, -AM98)+PV($C$1, ($AG$3-$AD$3), 0, -AM98)+PV($C$1, ($AF$3-$AD$3), 0, -AM98)+PV($C$1, ($AE$3-$AD$3), 0, -AM98)+PV($C$1, ($AD$3-$AD$3), 0, -AM98)</f>
        <v>0</v>
      </c>
      <c r="AE198" s="110" t="e">
        <f>PV($C$1, ($AM$3-$AD$3), 0, -AP98)</f>
        <v>#DIV/0!</v>
      </c>
      <c r="AF198" s="10"/>
      <c r="AG198" s="10"/>
      <c r="AH198" s="10"/>
      <c r="AI198" s="10"/>
      <c r="AJ198" s="10"/>
      <c r="AK198" s="10"/>
      <c r="AL198" s="10"/>
      <c r="AM198" s="10"/>
      <c r="AN198" s="113"/>
      <c r="AO198" s="10"/>
      <c r="AP198" s="10"/>
    </row>
    <row r="199" spans="2:42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6" t="e">
        <f t="shared" si="1070"/>
        <v>#DIV/0!</v>
      </c>
      <c r="AD199" s="110">
        <f>PV($C$1, ($AM$3-$AD$3), 0, -AM99)+PV($C$1, ($AL$3-$AD$3), 0, -AM99)+PV($C$1, ($AK$3-$AD$3), 0, -AM99)+PV($C$1, ($AJ$3-$AD$3), 0, -AM99)+PV($C$1, ($AI$3-$AD$3), 0, -AM99)+PV($C$1, ($AH$3-$AD$3), 0, -AM99)+PV($C$1, ($AG$3-$AD$3), 0, -AM99)+PV($C$1, ($AF$3-$AD$3), 0, -AM99)+PV($C$1, ($AE$3-$AD$3), 0, -AM99)+PV($C$1, ($AD$3-$AD$3), 0, -AM99)</f>
        <v>0</v>
      </c>
      <c r="AE199" s="110" t="e">
        <f>PV($C$1, ($AM$3-$AD$3), 0, -AP99)</f>
        <v>#DIV/0!</v>
      </c>
      <c r="AF199" s="10"/>
      <c r="AG199" s="10"/>
      <c r="AH199" s="10"/>
      <c r="AI199" s="10"/>
      <c r="AJ199" s="10"/>
      <c r="AK199" s="10"/>
      <c r="AL199" s="10"/>
      <c r="AM199" s="10"/>
      <c r="AN199" s="113"/>
      <c r="AO199" s="10"/>
      <c r="AP199" s="10"/>
    </row>
    <row r="200" spans="2:42" x14ac:dyDescent="0.15">
      <c r="B200" s="10" t="s">
        <v>397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95" t="e">
        <f>AC197+AC198+AC199</f>
        <v>#DIV/0!</v>
      </c>
      <c r="AD200" s="95">
        <f t="shared" ref="AD200:AE200" si="1071">AD197+AD198+AD199</f>
        <v>0</v>
      </c>
      <c r="AE200" s="95" t="e">
        <f t="shared" si="1071"/>
        <v>#DIV/0!</v>
      </c>
      <c r="AF200" s="10"/>
      <c r="AG200" s="10"/>
      <c r="AH200" s="10"/>
      <c r="AI200" s="10"/>
      <c r="AJ200" s="10"/>
      <c r="AK200" s="10"/>
      <c r="AL200" s="10"/>
      <c r="AM200" s="10"/>
      <c r="AN200" s="113"/>
      <c r="AO200" s="10"/>
      <c r="AP200" s="10"/>
    </row>
    <row r="201" spans="2:42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6"/>
      <c r="AD201" s="110"/>
      <c r="AE201" s="110"/>
      <c r="AF201" s="10"/>
      <c r="AG201" s="10"/>
      <c r="AH201" s="10"/>
      <c r="AI201" s="10"/>
      <c r="AJ201" s="10"/>
      <c r="AK201" s="10"/>
      <c r="AL201" s="10"/>
      <c r="AM201" s="10"/>
      <c r="AN201" s="113"/>
      <c r="AO201" s="10"/>
      <c r="AP201" s="10"/>
    </row>
    <row r="202" spans="2:42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6" t="e">
        <f>AD202+AE202</f>
        <v>#DIV/0!</v>
      </c>
      <c r="AD202" s="110">
        <f>PV($C$1, ($AM$3-$AD$3), 0, -AM100)+PV($C$1, ($AL$3-$AD$3), 0, -AM100)+PV($C$1, ($AK$3-$AD$3), 0, -AM100)+PV($C$1, ($AJ$3-$AD$3), 0, -AM100)+PV($C$1, ($AI$3-$AD$3), 0, -AM100)+PV($C$1, ($AH$3-$AD$3), 0, -AM100)+PV($C$1, ($AG$3-$AD$3), 0, -AM100)+PV($C$1, ($AF$3-$AD$3), 0, -AM100)+PV($C$1, ($AE$3-$AD$3), 0, -AM100)+PV($C$1, ($AD$3-$AD$3), 0, -AM100)</f>
        <v>0</v>
      </c>
      <c r="AE202" s="110" t="e">
        <f>PV($C$1, ($AM$3-$AD$3), 0, -AP100)</f>
        <v>#DIV/0!</v>
      </c>
      <c r="AF202" s="10"/>
      <c r="AG202" s="10"/>
      <c r="AH202" s="10"/>
      <c r="AI202" s="10"/>
      <c r="AJ202" s="10"/>
      <c r="AK202" s="10"/>
      <c r="AL202" s="10"/>
      <c r="AM202" s="10"/>
      <c r="AN202" s="113"/>
      <c r="AO202" s="10"/>
      <c r="AP202" s="10"/>
    </row>
    <row r="203" spans="2:42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54"/>
      <c r="AA203" s="10">
        <v>1093</v>
      </c>
      <c r="AB203" s="10"/>
      <c r="AC203" s="10"/>
      <c r="AD203" s="104"/>
      <c r="AE203" s="10"/>
      <c r="AF203" s="10"/>
      <c r="AG203" s="10"/>
      <c r="AH203" s="10"/>
      <c r="AI203" s="10"/>
      <c r="AJ203" s="10"/>
      <c r="AK203" s="10"/>
      <c r="AL203" s="10"/>
      <c r="AM203" s="10"/>
      <c r="AN203" s="113"/>
      <c r="AO203" s="10"/>
      <c r="AP203" s="10"/>
    </row>
    <row r="204" spans="2:42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67"/>
      <c r="Y204" s="13" t="s">
        <v>331</v>
      </c>
      <c r="Z204" s="13"/>
      <c r="AA204" s="10">
        <v>1213</v>
      </c>
      <c r="AB204" s="13" t="s">
        <v>332</v>
      </c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13"/>
      <c r="AO204" s="10"/>
      <c r="AP204" s="10"/>
    </row>
    <row r="205" spans="2:42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296</v>
      </c>
      <c r="H205" s="12">
        <v>392</v>
      </c>
      <c r="I205" s="12">
        <v>589</v>
      </c>
      <c r="J205" s="12">
        <v>853</v>
      </c>
      <c r="K205" s="12">
        <v>769</v>
      </c>
      <c r="L205" s="12">
        <v>332</v>
      </c>
      <c r="M205" s="12">
        <v>952</v>
      </c>
      <c r="N205" s="12">
        <v>1116</v>
      </c>
      <c r="O205" s="12">
        <v>890</v>
      </c>
      <c r="P205" s="12">
        <v>1045</v>
      </c>
      <c r="Q205" s="12">
        <v>1245</v>
      </c>
      <c r="R205" s="12">
        <v>315</v>
      </c>
      <c r="S205" s="12">
        <v>236</v>
      </c>
      <c r="T205" s="12">
        <v>276</v>
      </c>
      <c r="U205" s="12">
        <v>278</v>
      </c>
      <c r="V205" s="12">
        <v>400</v>
      </c>
      <c r="W205" s="12">
        <v>323</v>
      </c>
      <c r="X205" s="12">
        <v>582</v>
      </c>
      <c r="Y205" s="12">
        <v>730</v>
      </c>
      <c r="Z205" s="12">
        <v>877</v>
      </c>
      <c r="AA205" s="12">
        <v>1093</v>
      </c>
      <c r="AB205" s="101">
        <f t="shared" ref="AB205:AB236" si="1072">((V205/G205)^(1/($K$2-$K$1) ))-1</f>
        <v>1.5169155871484374E-2</v>
      </c>
      <c r="AC205" s="21">
        <v>0.02</v>
      </c>
      <c r="AD205" s="168">
        <v>1200</v>
      </c>
      <c r="AE205" s="102">
        <f t="shared" ref="AE205:AM205" si="1073">AD205*(1+$AC205)</f>
        <v>1224</v>
      </c>
      <c r="AF205" s="102">
        <f t="shared" si="1073"/>
        <v>1248.48</v>
      </c>
      <c r="AG205" s="102">
        <f t="shared" si="1073"/>
        <v>1273.4496000000001</v>
      </c>
      <c r="AH205" s="102">
        <f t="shared" si="1073"/>
        <v>1298.9185920000002</v>
      </c>
      <c r="AI205" s="102">
        <f t="shared" si="1073"/>
        <v>1324.8969638400004</v>
      </c>
      <c r="AJ205" s="102">
        <f t="shared" si="1073"/>
        <v>1351.3949031168004</v>
      </c>
      <c r="AK205" s="102">
        <f t="shared" si="1073"/>
        <v>1378.4228011791365</v>
      </c>
      <c r="AL205" s="102">
        <f t="shared" si="1073"/>
        <v>1405.9912572027192</v>
      </c>
      <c r="AM205" s="102">
        <f t="shared" si="1073"/>
        <v>1434.1110823467736</v>
      </c>
      <c r="AN205" s="114">
        <f t="shared" ref="AN205:AN212" si="1074">((AM205/J205)^(1/($AM$3-$K$1) ))-1</f>
        <v>1.7468857647595648E-2</v>
      </c>
      <c r="AO205" s="21">
        <f t="shared" ref="AO205:AO212" si="1075">$O$1</f>
        <v>0.01</v>
      </c>
      <c r="AP205" s="108">
        <f t="shared" ref="AP205:AP216" si="1076">(AM205*(1+AN205))/($C$1-AO205)</f>
        <v>6948.3969747387091</v>
      </c>
    </row>
    <row r="206" spans="2:42" x14ac:dyDescent="0.15">
      <c r="B206" s="10" t="s">
        <v>302</v>
      </c>
      <c r="C206" s="15"/>
      <c r="D206" s="15"/>
      <c r="E206" s="15"/>
      <c r="F206" s="15"/>
      <c r="G206" s="15">
        <f t="shared" ref="G206" si="1077">G205/G70</f>
        <v>1.3049119021934554</v>
      </c>
      <c r="H206" s="15">
        <f t="shared" ref="H206:I206" si="1078">H205/H70</f>
        <v>1.4274769449042326</v>
      </c>
      <c r="I206" s="15">
        <f t="shared" si="1078"/>
        <v>2.028673821239007</v>
      </c>
      <c r="J206" s="15">
        <f t="shared" ref="J206:Q206" si="1079">J205/J70</f>
        <v>1.8459559000529584</v>
      </c>
      <c r="K206" s="15">
        <f t="shared" si="1079"/>
        <v>1.4127108423782855</v>
      </c>
      <c r="L206" s="15">
        <f t="shared" si="1079"/>
        <v>0.57152764877082174</v>
      </c>
      <c r="M206" s="15">
        <f t="shared" si="1079"/>
        <v>1.7880047967301165</v>
      </c>
      <c r="N206" s="15">
        <f t="shared" si="1079"/>
        <v>2.0854563756210016</v>
      </c>
      <c r="O206" s="15">
        <f t="shared" si="1079"/>
        <v>1.5381199555942273</v>
      </c>
      <c r="P206" s="15">
        <f t="shared" si="1079"/>
        <v>1.623746698291197</v>
      </c>
      <c r="Q206" s="15">
        <f t="shared" si="1079"/>
        <v>1.7995173635986579</v>
      </c>
      <c r="R206" s="15">
        <f t="shared" ref="R206:V206" si="1080">R205/R70</f>
        <v>2.0216480446927374</v>
      </c>
      <c r="S206" s="15">
        <f t="shared" si="1080"/>
        <v>1.3522954780807732</v>
      </c>
      <c r="T206" s="15">
        <f t="shared" si="1080"/>
        <v>14.094235325085549</v>
      </c>
      <c r="U206" s="15">
        <f t="shared" si="1080"/>
        <v>1.5001891248980828</v>
      </c>
      <c r="V206" s="15">
        <f t="shared" si="1080"/>
        <v>1.9618296193624054</v>
      </c>
      <c r="W206" s="15">
        <f t="shared" ref="W206" si="1081">W205/W70</f>
        <v>1.3951971479310483</v>
      </c>
      <c r="X206" s="15">
        <f t="shared" ref="X206:AA206" si="1082">X205/X70</f>
        <v>2.494925306466822</v>
      </c>
      <c r="Y206" s="15">
        <f t="shared" ref="Y206:Z206" si="1083">Y205/Y70</f>
        <v>3.2158998578102782</v>
      </c>
      <c r="Z206" s="15">
        <f t="shared" si="1083"/>
        <v>3.287960983574858</v>
      </c>
      <c r="AA206" s="15">
        <f t="shared" si="1082"/>
        <v>3.2451837106515065</v>
      </c>
      <c r="AB206" s="101">
        <f t="shared" si="1072"/>
        <v>2.0596335722684156E-2</v>
      </c>
      <c r="AC206" s="109"/>
      <c r="AD206" s="15">
        <f t="shared" ref="AD206:AM206" si="1084">AD205/AD70</f>
        <v>3.3037551874219782</v>
      </c>
      <c r="AE206" s="15">
        <f t="shared" si="1084"/>
        <v>3.1247517245398417</v>
      </c>
      <c r="AF206" s="15">
        <f t="shared" si="1084"/>
        <v>2.9554469947375011</v>
      </c>
      <c r="AG206" s="15">
        <f t="shared" si="1084"/>
        <v>2.7953155030226329</v>
      </c>
      <c r="AH206" s="15">
        <f t="shared" si="1084"/>
        <v>2.6438602266770426</v>
      </c>
      <c r="AI206" s="15">
        <f t="shared" si="1084"/>
        <v>2.5006110725770867</v>
      </c>
      <c r="AJ206" s="15">
        <f t="shared" si="1084"/>
        <v>2.3651234180992735</v>
      </c>
      <c r="AK206" s="15">
        <f t="shared" si="1084"/>
        <v>2.2369767310822581</v>
      </c>
      <c r="AL206" s="15">
        <f t="shared" si="1084"/>
        <v>2.1157732645618017</v>
      </c>
      <c r="AM206" s="15">
        <f t="shared" si="1084"/>
        <v>2.0011368222273616</v>
      </c>
      <c r="AN206" s="114">
        <f t="shared" ref="AN206" si="1085">((AM206/J206)^(1/($AM$3-$K$1) ))-1</f>
        <v>2.6942290577665062E-3</v>
      </c>
      <c r="AO206" s="21">
        <f t="shared" si="1075"/>
        <v>0.01</v>
      </c>
      <c r="AP206" s="108">
        <f t="shared" ref="AP206" si="1086">(AM206*(1+AN206))/($C$1-AO206)</f>
        <v>9.5548968723922538</v>
      </c>
    </row>
    <row r="207" spans="2:42" x14ac:dyDescent="0.15">
      <c r="B207" s="10" t="s">
        <v>330</v>
      </c>
      <c r="C207" s="15"/>
      <c r="D207" s="15"/>
      <c r="E207" s="15"/>
      <c r="F207" s="15"/>
      <c r="G207" s="15">
        <f t="shared" ref="G207" si="1087">G205/G76</f>
        <v>11.484050632911392</v>
      </c>
      <c r="H207" s="15">
        <f t="shared" ref="H207:I207" si="1088">H205/H76</f>
        <v>13.596396396396397</v>
      </c>
      <c r="I207" s="15">
        <f t="shared" si="1088"/>
        <v>22.687218370883883</v>
      </c>
      <c r="J207" s="15">
        <f t="shared" ref="J207:Q207" si="1089">J205/J76</f>
        <v>32.099079112599412</v>
      </c>
      <c r="K207" s="15">
        <f t="shared" si="1089"/>
        <v>27.522626327647249</v>
      </c>
      <c r="L207" s="15">
        <f t="shared" si="1089"/>
        <v>9.3987780040733195</v>
      </c>
      <c r="M207" s="15">
        <f t="shared" si="1089"/>
        <v>19.677026022304833</v>
      </c>
      <c r="N207" s="15">
        <f t="shared" si="1089"/>
        <v>16.048425787106449</v>
      </c>
      <c r="O207" s="15">
        <f t="shared" si="1089"/>
        <v>8.5840589417280651</v>
      </c>
      <c r="P207" s="15">
        <f t="shared" si="1089"/>
        <v>7.1151824731309787</v>
      </c>
      <c r="Q207" s="15">
        <f t="shared" si="1089"/>
        <v>12.261282863749251</v>
      </c>
      <c r="R207" s="15">
        <f t="shared" ref="R207:V207" si="1090">R205/R76</f>
        <v>14.092489568845618</v>
      </c>
      <c r="S207" s="15">
        <f t="shared" si="1090"/>
        <v>12.549514918542926</v>
      </c>
      <c r="T207" s="15">
        <f t="shared" si="1090"/>
        <v>14.165079365079366</v>
      </c>
      <c r="U207" s="15">
        <f t="shared" si="1090"/>
        <v>19.61490273656446</v>
      </c>
      <c r="V207" s="15">
        <f t="shared" si="1090"/>
        <v>45.280365617859026</v>
      </c>
      <c r="W207" s="15">
        <f t="shared" ref="W207" si="1091">W205/W76</f>
        <v>18.617461024498883</v>
      </c>
      <c r="X207" s="15">
        <f t="shared" ref="X207:AA207" si="1092">X205/X76</f>
        <v>19.890301201839854</v>
      </c>
      <c r="Y207" s="15">
        <f t="shared" ref="Y207:Z207" si="1093">Y205/Y76</f>
        <v>19.649381375324829</v>
      </c>
      <c r="Z207" s="15">
        <f t="shared" si="1093"/>
        <v>17.762411861996924</v>
      </c>
      <c r="AA207" s="15">
        <f t="shared" si="1092"/>
        <v>16.698248735921531</v>
      </c>
      <c r="AB207" s="101">
        <f t="shared" si="1072"/>
        <v>7.1003133102854887E-2</v>
      </c>
      <c r="AC207" s="109"/>
      <c r="AD207" s="102">
        <f t="shared" ref="AD207:AM207" si="1094">AD205/AD76</f>
        <v>16.999631084394871</v>
      </c>
      <c r="AE207" s="102">
        <f t="shared" si="1094"/>
        <v>16.0785601638222</v>
      </c>
      <c r="AF207" s="102">
        <f t="shared" si="1094"/>
        <v>15.207394540400561</v>
      </c>
      <c r="AG207" s="102">
        <f t="shared" si="1094"/>
        <v>14.383430254393401</v>
      </c>
      <c r="AH207" s="102">
        <f t="shared" si="1094"/>
        <v>13.604109851518995</v>
      </c>
      <c r="AI207" s="102">
        <f t="shared" si="1094"/>
        <v>12.867014445018512</v>
      </c>
      <c r="AJ207" s="102">
        <f t="shared" si="1094"/>
        <v>12.169856207815689</v>
      </c>
      <c r="AK207" s="102">
        <f t="shared" si="1094"/>
        <v>11.510471271464949</v>
      </c>
      <c r="AL207" s="102">
        <f t="shared" si="1094"/>
        <v>10.886813009847391</v>
      </c>
      <c r="AM207" s="102">
        <f t="shared" si="1094"/>
        <v>10.296945686768387</v>
      </c>
      <c r="AN207" s="114">
        <f t="shared" si="1074"/>
        <v>-3.7190141951109923E-2</v>
      </c>
      <c r="AO207" s="21">
        <f t="shared" si="1075"/>
        <v>0.01</v>
      </c>
      <c r="AP207" s="108">
        <f t="shared" si="1076"/>
        <v>47.20952769054572</v>
      </c>
    </row>
    <row r="208" spans="2:42" x14ac:dyDescent="0.15">
      <c r="B208" s="10" t="s">
        <v>402</v>
      </c>
      <c r="C208" s="15"/>
      <c r="D208" s="15"/>
      <c r="E208" s="15"/>
      <c r="F208" s="15"/>
      <c r="G208" s="15">
        <f t="shared" ref="G208" si="1095">G205/G74</f>
        <v>18144.8</v>
      </c>
      <c r="H208" s="15">
        <f t="shared" ref="H208:I208" si="1096">H205/H74</f>
        <v>24147.200000000001</v>
      </c>
      <c r="I208" s="15">
        <f t="shared" si="1096"/>
        <v>52362.100000000006</v>
      </c>
      <c r="J208" s="15">
        <f t="shared" ref="J208:Q208" si="1097">J205/J74</f>
        <v>76684.700000000012</v>
      </c>
      <c r="K208" s="15">
        <f t="shared" si="1097"/>
        <v>7773.8909090909092</v>
      </c>
      <c r="L208" s="15">
        <f t="shared" si="1097"/>
        <v>36918.400000000001</v>
      </c>
      <c r="M208" s="15">
        <f t="shared" si="1097"/>
        <v>105862.40000000001</v>
      </c>
      <c r="N208" s="15">
        <f t="shared" si="1097"/>
        <v>128451.59999999999</v>
      </c>
      <c r="O208" s="15">
        <f t="shared" si="1097"/>
        <v>102528</v>
      </c>
      <c r="P208" s="15">
        <f t="shared" si="1097"/>
        <v>142.08549528301887</v>
      </c>
      <c r="Q208" s="15" t="e">
        <f t="shared" si="1097"/>
        <v>#DIV/0!</v>
      </c>
      <c r="R208" s="15" t="e">
        <f t="shared" ref="R208:V208" si="1098">R205/R74</f>
        <v>#DIV/0!</v>
      </c>
      <c r="S208" s="15" t="e">
        <f t="shared" si="1098"/>
        <v>#DIV/0!</v>
      </c>
      <c r="T208" s="15" t="e">
        <f t="shared" si="1098"/>
        <v>#DIV/0!</v>
      </c>
      <c r="U208" s="15" t="e">
        <f t="shared" si="1098"/>
        <v>#DIV/0!</v>
      </c>
      <c r="V208" s="15" t="e">
        <f t="shared" si="1098"/>
        <v>#DIV/0!</v>
      </c>
      <c r="W208" s="15" t="e">
        <f t="shared" ref="W208" si="1099">W205/W74</f>
        <v>#DIV/0!</v>
      </c>
      <c r="X208" s="15" t="e">
        <f t="shared" ref="X208:AA208" si="1100">X205/X74</f>
        <v>#DIV/0!</v>
      </c>
      <c r="Y208" s="15" t="e">
        <f t="shared" ref="Y208:Z208" si="1101">Y205/Y74</f>
        <v>#DIV/0!</v>
      </c>
      <c r="Z208" s="15" t="e">
        <f t="shared" si="1101"/>
        <v>#DIV/0!</v>
      </c>
      <c r="AA208" s="15" t="e">
        <f t="shared" si="1100"/>
        <v>#DIV/0!</v>
      </c>
      <c r="AB208" s="101" t="e">
        <f t="shared" si="1072"/>
        <v>#DIV/0!</v>
      </c>
      <c r="AC208" s="109"/>
      <c r="AD208" s="15" t="e">
        <f t="shared" ref="AD208:AM208" si="1102">AD205/AD74</f>
        <v>#DIV/0!</v>
      </c>
      <c r="AE208" s="15" t="e">
        <f t="shared" si="1102"/>
        <v>#DIV/0!</v>
      </c>
      <c r="AF208" s="15" t="e">
        <f t="shared" si="1102"/>
        <v>#DIV/0!</v>
      </c>
      <c r="AG208" s="15" t="e">
        <f t="shared" si="1102"/>
        <v>#DIV/0!</v>
      </c>
      <c r="AH208" s="15" t="e">
        <f t="shared" si="1102"/>
        <v>#DIV/0!</v>
      </c>
      <c r="AI208" s="15" t="e">
        <f t="shared" si="1102"/>
        <v>#DIV/0!</v>
      </c>
      <c r="AJ208" s="15" t="e">
        <f t="shared" si="1102"/>
        <v>#DIV/0!</v>
      </c>
      <c r="AK208" s="15" t="e">
        <f t="shared" si="1102"/>
        <v>#DIV/0!</v>
      </c>
      <c r="AL208" s="15" t="e">
        <f t="shared" si="1102"/>
        <v>#DIV/0!</v>
      </c>
      <c r="AM208" s="15" t="e">
        <f t="shared" si="1102"/>
        <v>#DIV/0!</v>
      </c>
      <c r="AN208" s="114" t="e">
        <f t="shared" ref="AN208:AN209" si="1103">((AM208/J208)^(1/($AM$3-$K$1) ))-1</f>
        <v>#DIV/0!</v>
      </c>
      <c r="AO208" s="21">
        <f t="shared" si="1075"/>
        <v>0.01</v>
      </c>
      <c r="AP208" s="108" t="e">
        <f t="shared" ref="AP208:AP209" si="1104">(AM208*(1+AN208))/($C$1-AO208)</f>
        <v>#DIV/0!</v>
      </c>
    </row>
    <row r="209" spans="2:42" x14ac:dyDescent="0.15">
      <c r="B209" s="10" t="s">
        <v>403</v>
      </c>
      <c r="C209" s="15"/>
      <c r="D209" s="15"/>
      <c r="E209" s="15"/>
      <c r="F209" s="15"/>
      <c r="G209" s="15" t="e">
        <f t="shared" ref="G209" si="1105">G205/G75</f>
        <v>#DIV/0!</v>
      </c>
      <c r="H209" s="15" t="e">
        <f t="shared" ref="H209:I209" si="1106">H205/H75</f>
        <v>#DIV/0!</v>
      </c>
      <c r="I209" s="15" t="e">
        <f t="shared" si="1106"/>
        <v>#DIV/0!</v>
      </c>
      <c r="J209" s="15" t="e">
        <f t="shared" ref="J209:Q209" si="1107">J205/J75</f>
        <v>#DIV/0!</v>
      </c>
      <c r="K209" s="15" t="e">
        <f t="shared" si="1107"/>
        <v>#DIV/0!</v>
      </c>
      <c r="L209" s="15" t="e">
        <f t="shared" si="1107"/>
        <v>#DIV/0!</v>
      </c>
      <c r="M209" s="15" t="e">
        <f t="shared" si="1107"/>
        <v>#DIV/0!</v>
      </c>
      <c r="N209" s="15" t="e">
        <f t="shared" si="1107"/>
        <v>#DIV/0!</v>
      </c>
      <c r="O209" s="15" t="e">
        <f t="shared" si="1107"/>
        <v>#DIV/0!</v>
      </c>
      <c r="P209" s="15" t="e">
        <f t="shared" si="1107"/>
        <v>#DIV/0!</v>
      </c>
      <c r="Q209" s="15" t="e">
        <f t="shared" si="1107"/>
        <v>#DIV/0!</v>
      </c>
      <c r="R209" s="15" t="e">
        <f t="shared" ref="R209:V209" si="1108">R205/R75</f>
        <v>#DIV/0!</v>
      </c>
      <c r="S209" s="15" t="e">
        <f t="shared" si="1108"/>
        <v>#DIV/0!</v>
      </c>
      <c r="T209" s="15" t="e">
        <f t="shared" si="1108"/>
        <v>#DIV/0!</v>
      </c>
      <c r="U209" s="15" t="e">
        <f t="shared" si="1108"/>
        <v>#DIV/0!</v>
      </c>
      <c r="V209" s="15" t="e">
        <f t="shared" si="1108"/>
        <v>#DIV/0!</v>
      </c>
      <c r="W209" s="15" t="e">
        <f t="shared" ref="W209" si="1109">W205/W75</f>
        <v>#DIV/0!</v>
      </c>
      <c r="X209" s="15" t="e">
        <f t="shared" ref="X209:AA209" si="1110">X205/X75</f>
        <v>#DIV/0!</v>
      </c>
      <c r="Y209" s="15" t="e">
        <f t="shared" ref="Y209:Z209" si="1111">Y205/Y75</f>
        <v>#DIV/0!</v>
      </c>
      <c r="Z209" s="15" t="e">
        <f t="shared" si="1111"/>
        <v>#DIV/0!</v>
      </c>
      <c r="AA209" s="15" t="e">
        <f t="shared" si="1110"/>
        <v>#DIV/0!</v>
      </c>
      <c r="AB209" s="101" t="e">
        <f t="shared" si="1072"/>
        <v>#DIV/0!</v>
      </c>
      <c r="AC209" s="109"/>
      <c r="AD209" s="15" t="e">
        <f t="shared" ref="AD209:AM210" si="1112">AD205/AD75</f>
        <v>#DIV/0!</v>
      </c>
      <c r="AE209" s="15" t="e">
        <f t="shared" si="1112"/>
        <v>#DIV/0!</v>
      </c>
      <c r="AF209" s="15" t="e">
        <f t="shared" si="1112"/>
        <v>#DIV/0!</v>
      </c>
      <c r="AG209" s="15" t="e">
        <f t="shared" si="1112"/>
        <v>#DIV/0!</v>
      </c>
      <c r="AH209" s="15" t="e">
        <f t="shared" si="1112"/>
        <v>#DIV/0!</v>
      </c>
      <c r="AI209" s="15" t="e">
        <f t="shared" si="1112"/>
        <v>#DIV/0!</v>
      </c>
      <c r="AJ209" s="15" t="e">
        <f t="shared" si="1112"/>
        <v>#DIV/0!</v>
      </c>
      <c r="AK209" s="15" t="e">
        <f t="shared" si="1112"/>
        <v>#DIV/0!</v>
      </c>
      <c r="AL209" s="15" t="e">
        <f t="shared" si="1112"/>
        <v>#DIV/0!</v>
      </c>
      <c r="AM209" s="15" t="e">
        <f t="shared" si="1112"/>
        <v>#DIV/0!</v>
      </c>
      <c r="AN209" s="114" t="e">
        <f t="shared" si="1103"/>
        <v>#DIV/0!</v>
      </c>
      <c r="AO209" s="21">
        <f t="shared" si="1075"/>
        <v>0.01</v>
      </c>
      <c r="AP209" s="108" t="e">
        <f t="shared" si="1104"/>
        <v>#DIV/0!</v>
      </c>
    </row>
    <row r="210" spans="2:42" x14ac:dyDescent="0.15">
      <c r="B210" s="10" t="s">
        <v>215</v>
      </c>
      <c r="C210" s="15"/>
      <c r="D210" s="15"/>
      <c r="E210" s="15"/>
      <c r="F210" s="15"/>
      <c r="G210" s="15">
        <f t="shared" ref="G210" si="1113">G205/G79</f>
        <v>2.5416444880235329</v>
      </c>
      <c r="H210" s="15">
        <f t="shared" ref="H210:I210" si="1114">H205/H79</f>
        <v>2.0930224495102712</v>
      </c>
      <c r="I210" s="15">
        <f t="shared" si="1114"/>
        <v>2.4524425085476089</v>
      </c>
      <c r="J210" s="15">
        <f t="shared" ref="J210:Q210" si="1115">J205/J79</f>
        <v>3.3247214394103626</v>
      </c>
      <c r="K210" s="15">
        <f t="shared" si="1115"/>
        <v>1.9608979797748172</v>
      </c>
      <c r="L210" s="15">
        <f t="shared" si="1115"/>
        <v>0.80847932725998606</v>
      </c>
      <c r="M210" s="15">
        <f t="shared" si="1115"/>
        <v>2.1096112074291069</v>
      </c>
      <c r="N210" s="15">
        <f t="shared" si="1115"/>
        <v>2.3721440443213297</v>
      </c>
      <c r="O210" s="15">
        <f t="shared" si="1115"/>
        <v>1.7053608556078574</v>
      </c>
      <c r="P210" s="15">
        <f t="shared" si="1115"/>
        <v>1.7822688006626826</v>
      </c>
      <c r="Q210" s="15">
        <f t="shared" si="1115"/>
        <v>1.9021969827110325</v>
      </c>
      <c r="R210" s="15">
        <f t="shared" ref="R210:V210" si="1116">R205/R79</f>
        <v>2.1835454403965184</v>
      </c>
      <c r="S210" s="15">
        <f t="shared" si="1116"/>
        <v>1.4753174090811276</v>
      </c>
      <c r="T210" s="15">
        <f t="shared" si="1116"/>
        <v>1.5526000386622851</v>
      </c>
      <c r="U210" s="15">
        <f t="shared" si="1116"/>
        <v>1.6323327662843659</v>
      </c>
      <c r="V210" s="15">
        <f t="shared" si="1116"/>
        <v>2.2804734461176182</v>
      </c>
      <c r="W210" s="15">
        <f t="shared" ref="W210" si="1117">W205/W79</f>
        <v>1.7177320587534215</v>
      </c>
      <c r="X210" s="15">
        <f t="shared" ref="X210:AA210" si="1118">X205/X79</f>
        <v>2.5746606914212546</v>
      </c>
      <c r="Y210" s="15">
        <f t="shared" ref="Y210:Z210" si="1119">Y205/Y79</f>
        <v>2.8083771258786223</v>
      </c>
      <c r="Z210" s="15">
        <f t="shared" si="1119"/>
        <v>2.8828576810775171</v>
      </c>
      <c r="AA210" s="15">
        <f t="shared" si="1118"/>
        <v>2.8644626191708205</v>
      </c>
      <c r="AB210" s="101">
        <f t="shared" si="1072"/>
        <v>-5.4067423963125583E-3</v>
      </c>
      <c r="AC210" s="109"/>
      <c r="AD210" s="15">
        <f t="shared" si="1112"/>
        <v>4.680218281610788E-2</v>
      </c>
      <c r="AE210" s="102">
        <f t="shared" ref="AE210:AM210" si="1120">AE205/AE79</f>
        <v>2.7581595703674271</v>
      </c>
      <c r="AF210" s="102">
        <f t="shared" si="1120"/>
        <v>2.6087174700093376</v>
      </c>
      <c r="AG210" s="102">
        <f t="shared" si="1120"/>
        <v>2.4673724143615585</v>
      </c>
      <c r="AH210" s="102">
        <f t="shared" si="1120"/>
        <v>2.3336856908197872</v>
      </c>
      <c r="AI210" s="102">
        <f t="shared" si="1120"/>
        <v>2.2072423570262787</v>
      </c>
      <c r="AJ210" s="102">
        <f t="shared" si="1120"/>
        <v>2.0876499529546728</v>
      </c>
      <c r="AK210" s="102">
        <f t="shared" si="1120"/>
        <v>1.9745372827764009</v>
      </c>
      <c r="AL210" s="102">
        <f t="shared" si="1120"/>
        <v>1.8675532627277884</v>
      </c>
      <c r="AM210" s="102">
        <f t="shared" si="1120"/>
        <v>1.76636583140181</v>
      </c>
      <c r="AN210" s="114">
        <f t="shared" si="1074"/>
        <v>-2.0861382262789441E-2</v>
      </c>
      <c r="AO210" s="21">
        <f t="shared" si="1075"/>
        <v>0.01</v>
      </c>
      <c r="AP210" s="108">
        <f t="shared" si="1076"/>
        <v>8.2357952313190808</v>
      </c>
    </row>
    <row r="211" spans="2:42" x14ac:dyDescent="0.15">
      <c r="B211" s="10" t="s">
        <v>216</v>
      </c>
      <c r="C211" s="15"/>
      <c r="D211" s="15"/>
      <c r="E211" s="15"/>
      <c r="F211" s="15"/>
      <c r="G211" s="15">
        <f t="shared" ref="G211" si="1121">G205/G88</f>
        <v>0.39217584887716944</v>
      </c>
      <c r="H211" s="15">
        <f t="shared" ref="H211:I211" si="1122">H205/H88</f>
        <v>0.44184369910889099</v>
      </c>
      <c r="I211" s="15">
        <f t="shared" si="1122"/>
        <v>0.62326187613821671</v>
      </c>
      <c r="J211" s="15">
        <f t="shared" ref="J211:Q211" si="1123">J205/J88</f>
        <v>0.6357755190024541</v>
      </c>
      <c r="K211" s="15">
        <f t="shared" si="1123"/>
        <v>0.53430138835084917</v>
      </c>
      <c r="L211" s="15">
        <f t="shared" si="1123"/>
        <v>0.24926843430762893</v>
      </c>
      <c r="M211" s="15">
        <f t="shared" si="1123"/>
        <v>0.56817823195702</v>
      </c>
      <c r="N211" s="15">
        <f t="shared" si="1123"/>
        <v>0.61268959990841965</v>
      </c>
      <c r="O211" s="15">
        <f t="shared" si="1123"/>
        <v>0.42744221725644532</v>
      </c>
      <c r="P211" s="15">
        <f t="shared" si="1123"/>
        <v>0.47127306720486883</v>
      </c>
      <c r="Q211" s="15">
        <f t="shared" si="1123"/>
        <v>0.53501563848749478</v>
      </c>
      <c r="R211" s="15">
        <f t="shared" ref="R211:V211" si="1124">R205/R88</f>
        <v>0.60240585808608116</v>
      </c>
      <c r="S211" s="15">
        <f t="shared" si="1124"/>
        <v>0.47935282683782915</v>
      </c>
      <c r="T211" s="15">
        <f t="shared" si="1124"/>
        <v>0.52752536116465953</v>
      </c>
      <c r="U211" s="15">
        <f t="shared" si="1124"/>
        <v>0.47950737089845163</v>
      </c>
      <c r="V211" s="15">
        <f t="shared" si="1124"/>
        <v>0.64691109994977392</v>
      </c>
      <c r="W211" s="15">
        <f t="shared" ref="W211" si="1125">W205/W88</f>
        <v>0.47123831944294114</v>
      </c>
      <c r="X211" s="15">
        <f t="shared" ref="X211:AA211" si="1126">X205/X88</f>
        <v>0.74949401578148933</v>
      </c>
      <c r="Y211" s="15">
        <f t="shared" ref="Y211:Z211" si="1127">Y205/Y88</f>
        <v>0.89335686840170203</v>
      </c>
      <c r="Z211" s="15">
        <f t="shared" si="1127"/>
        <v>0.95714962528398839</v>
      </c>
      <c r="AA211" s="15">
        <f t="shared" si="1126"/>
        <v>0.93025550013177583</v>
      </c>
      <c r="AB211" s="101">
        <f t="shared" si="1072"/>
        <v>2.5340679298787139E-2</v>
      </c>
      <c r="AC211" s="109"/>
      <c r="AD211" s="102">
        <f t="shared" ref="AD211:AM211" si="1128">AD205/AD88</f>
        <v>0.94704543970830379</v>
      </c>
      <c r="AE211" s="102">
        <f t="shared" si="1128"/>
        <v>0.89573279588410848</v>
      </c>
      <c r="AF211" s="102">
        <f t="shared" si="1128"/>
        <v>0.84720036439802404</v>
      </c>
      <c r="AG211" s="102">
        <f t="shared" si="1128"/>
        <v>0.80129750829063995</v>
      </c>
      <c r="AH211" s="102">
        <f t="shared" si="1128"/>
        <v>0.75788175238689259</v>
      </c>
      <c r="AI211" s="102">
        <f t="shared" si="1128"/>
        <v>0.71681834107574838</v>
      </c>
      <c r="AJ211" s="102">
        <f t="shared" si="1128"/>
        <v>0.67797982005018964</v>
      </c>
      <c r="AK211" s="102">
        <f t="shared" si="1128"/>
        <v>0.64124564070928847</v>
      </c>
      <c r="AL211" s="102">
        <f t="shared" si="1128"/>
        <v>0.60650178599449422</v>
      </c>
      <c r="AM211" s="102">
        <f t="shared" si="1128"/>
        <v>0.57364041649879238</v>
      </c>
      <c r="AN211" s="114">
        <f t="shared" si="1074"/>
        <v>-3.422223982824435E-3</v>
      </c>
      <c r="AO211" s="21">
        <f t="shared" si="1075"/>
        <v>0.01</v>
      </c>
      <c r="AP211" s="108">
        <f t="shared" si="1076"/>
        <v>2.7222728119425375</v>
      </c>
    </row>
    <row r="212" spans="2:42" x14ac:dyDescent="0.15">
      <c r="B212" s="10" t="s">
        <v>217</v>
      </c>
      <c r="C212" s="15"/>
      <c r="D212" s="15"/>
      <c r="E212" s="15"/>
      <c r="F212" s="15"/>
      <c r="G212" s="15">
        <f t="shared" ref="G212" si="1129">G205/G90</f>
        <v>4.3754039064383896</v>
      </c>
      <c r="H212" s="15">
        <f t="shared" ref="H212:I212" si="1130">H205/H90</f>
        <v>5.7796074676878888</v>
      </c>
      <c r="I212" s="15">
        <f t="shared" si="1130"/>
        <v>12.641743119266055</v>
      </c>
      <c r="J212" s="15">
        <f t="shared" ref="J212:Q212" si="1131">J205/J90</f>
        <v>17.669285714285714</v>
      </c>
      <c r="K212" s="15">
        <f t="shared" si="1131"/>
        <v>18.279777682770415</v>
      </c>
      <c r="L212" s="15">
        <f t="shared" si="1131"/>
        <v>8.2095619301756741</v>
      </c>
      <c r="M212" s="15">
        <f t="shared" si="1131"/>
        <v>27.411289487312274</v>
      </c>
      <c r="N212" s="15">
        <f t="shared" si="1131"/>
        <v>23.401639642922206</v>
      </c>
      <c r="O212" s="15">
        <f t="shared" si="1131"/>
        <v>18.878291290738353</v>
      </c>
      <c r="P212" s="15">
        <f t="shared" si="1131"/>
        <v>22.01507399963457</v>
      </c>
      <c r="Q212" s="15" t="e">
        <f t="shared" si="1131"/>
        <v>#DIV/0!</v>
      </c>
      <c r="R212" s="15" t="e">
        <f t="shared" ref="R212:V212" si="1132">R205/R90</f>
        <v>#DIV/0!</v>
      </c>
      <c r="S212" s="15" t="e">
        <f t="shared" si="1132"/>
        <v>#DIV/0!</v>
      </c>
      <c r="T212" s="15" t="e">
        <f t="shared" si="1132"/>
        <v>#DIV/0!</v>
      </c>
      <c r="U212" s="15" t="e">
        <f t="shared" si="1132"/>
        <v>#DIV/0!</v>
      </c>
      <c r="V212" s="15" t="e">
        <f t="shared" si="1132"/>
        <v>#DIV/0!</v>
      </c>
      <c r="W212" s="15" t="e">
        <f t="shared" ref="W212" si="1133">W205/W90</f>
        <v>#DIV/0!</v>
      </c>
      <c r="X212" s="15" t="e">
        <f t="shared" ref="X212:AA212" si="1134">X205/X90</f>
        <v>#DIV/0!</v>
      </c>
      <c r="Y212" s="15" t="e">
        <f t="shared" ref="Y212:Z212" si="1135">Y205/Y90</f>
        <v>#DIV/0!</v>
      </c>
      <c r="Z212" s="15" t="e">
        <f t="shared" si="1135"/>
        <v>#DIV/0!</v>
      </c>
      <c r="AA212" s="15" t="e">
        <f t="shared" si="1134"/>
        <v>#DIV/0!</v>
      </c>
      <c r="AB212" s="101" t="e">
        <f t="shared" si="1072"/>
        <v>#DIV/0!</v>
      </c>
      <c r="AC212" s="109"/>
      <c r="AD212" s="102" t="e">
        <f t="shared" ref="AD212:AM212" si="1136">AD205/AD90</f>
        <v>#DIV/0!</v>
      </c>
      <c r="AE212" s="102" t="e">
        <f t="shared" si="1136"/>
        <v>#DIV/0!</v>
      </c>
      <c r="AF212" s="102" t="e">
        <f t="shared" si="1136"/>
        <v>#DIV/0!</v>
      </c>
      <c r="AG212" s="102" t="e">
        <f t="shared" si="1136"/>
        <v>#DIV/0!</v>
      </c>
      <c r="AH212" s="102" t="e">
        <f t="shared" si="1136"/>
        <v>#DIV/0!</v>
      </c>
      <c r="AI212" s="102" t="e">
        <f t="shared" si="1136"/>
        <v>#DIV/0!</v>
      </c>
      <c r="AJ212" s="102" t="e">
        <f t="shared" si="1136"/>
        <v>#DIV/0!</v>
      </c>
      <c r="AK212" s="102" t="e">
        <f t="shared" si="1136"/>
        <v>#DIV/0!</v>
      </c>
      <c r="AL212" s="102" t="e">
        <f t="shared" si="1136"/>
        <v>#DIV/0!</v>
      </c>
      <c r="AM212" s="102" t="e">
        <f t="shared" si="1136"/>
        <v>#DIV/0!</v>
      </c>
      <c r="AN212" s="114" t="e">
        <f t="shared" si="1074"/>
        <v>#DIV/0!</v>
      </c>
      <c r="AO212" s="21">
        <f t="shared" si="1075"/>
        <v>0.01</v>
      </c>
      <c r="AP212" s="108" t="e">
        <f t="shared" si="1076"/>
        <v>#DIV/0!</v>
      </c>
    </row>
    <row r="213" spans="2:42" x14ac:dyDescent="0.15">
      <c r="B213" s="10" t="s">
        <v>231</v>
      </c>
      <c r="C213" s="15"/>
      <c r="D213" s="15"/>
      <c r="E213" s="15"/>
      <c r="F213" s="15"/>
      <c r="G213" s="153">
        <f t="shared" ref="G213" si="1137">G205/G84</f>
        <v>2.2387168414558913</v>
      </c>
      <c r="H213" s="153">
        <f t="shared" ref="H213:I213" si="1138">H205/H84</f>
        <v>1.9128010139416984</v>
      </c>
      <c r="I213" s="153">
        <f t="shared" si="1138"/>
        <v>2.3178301093355764</v>
      </c>
      <c r="J213" s="153">
        <f t="shared" ref="J213:Q213" si="1139">J205/J84</f>
        <v>3.1538021797244502</v>
      </c>
      <c r="K213" s="153">
        <f t="shared" si="1139"/>
        <v>1.8972488462903798</v>
      </c>
      <c r="L213" s="153">
        <f t="shared" si="1139"/>
        <v>0.78338107666518131</v>
      </c>
      <c r="M213" s="153">
        <f t="shared" si="1139"/>
        <v>2.063755458515284</v>
      </c>
      <c r="N213" s="153">
        <f t="shared" si="1139"/>
        <v>2.3227297385266357</v>
      </c>
      <c r="O213" s="153">
        <f t="shared" si="1139"/>
        <v>1.6732162673803774</v>
      </c>
      <c r="P213" s="153">
        <f t="shared" si="1139"/>
        <v>1.7522541520025596</v>
      </c>
      <c r="Q213" s="153">
        <f t="shared" si="1139"/>
        <v>1.9021969827110325</v>
      </c>
      <c r="R213" s="153">
        <f t="shared" ref="R213:V213" si="1140">R205/R84</f>
        <v>2.1830227297209954</v>
      </c>
      <c r="S213" s="153">
        <f t="shared" si="1140"/>
        <v>1.5214318209558049</v>
      </c>
      <c r="T213" s="153">
        <f t="shared" si="1140"/>
        <v>1.6</v>
      </c>
      <c r="U213" s="153">
        <f t="shared" si="1140"/>
        <v>1.6788260746872354</v>
      </c>
      <c r="V213" s="153">
        <f t="shared" si="1140"/>
        <v>2.3441836762551302</v>
      </c>
      <c r="W213" s="153">
        <f t="shared" ref="W213" si="1141">W205/W84</f>
        <v>1.7632849018714456</v>
      </c>
      <c r="X213" s="153">
        <f>X205/X84</f>
        <v>2.6272219500244978</v>
      </c>
      <c r="Y213" s="153">
        <f t="shared" ref="Y213:Z213" si="1142">Y205/Y84</f>
        <v>2.8595618822918492</v>
      </c>
      <c r="Z213" s="153">
        <f t="shared" si="1142"/>
        <v>2.9254568741397766</v>
      </c>
      <c r="AA213" s="153">
        <f t="shared" ref="X213:AA213" si="1143">AA205/AA84</f>
        <v>2.8644626191708205</v>
      </c>
      <c r="AB213" s="101">
        <f t="shared" si="1072"/>
        <v>2.3043692733573096E-3</v>
      </c>
      <c r="AC213" s="109"/>
      <c r="AD213" s="111">
        <f t="shared" ref="AD213:AM213" si="1144">AD205/AD84</f>
        <v>2.9161625599809402</v>
      </c>
      <c r="AE213" s="111">
        <f t="shared" si="1144"/>
        <v>2.7581595703674271</v>
      </c>
      <c r="AF213" s="111">
        <f t="shared" si="1144"/>
        <v>2.6087174700093376</v>
      </c>
      <c r="AG213" s="111">
        <f t="shared" si="1144"/>
        <v>2.4673724143615585</v>
      </c>
      <c r="AH213" s="111">
        <f t="shared" si="1144"/>
        <v>2.3336856908197872</v>
      </c>
      <c r="AI213" s="111">
        <f t="shared" si="1144"/>
        <v>2.2072423570262787</v>
      </c>
      <c r="AJ213" s="111">
        <f t="shared" si="1144"/>
        <v>2.0876499529546728</v>
      </c>
      <c r="AK213" s="111">
        <f t="shared" si="1144"/>
        <v>1.9745372827764009</v>
      </c>
      <c r="AL213" s="111">
        <f t="shared" si="1144"/>
        <v>1.8675532627277884</v>
      </c>
      <c r="AM213" s="111">
        <f t="shared" si="1144"/>
        <v>1.76636583140181</v>
      </c>
      <c r="AN213" s="114">
        <f t="shared" ref="AN213" si="1145">((AM213/J213)^(1/($AM$3-$K$1) ))-1</f>
        <v>-1.9137328763332406E-2</v>
      </c>
      <c r="AO213" s="21">
        <f t="shared" ref="AO213:AO216" si="1146">$O$1</f>
        <v>0.01</v>
      </c>
      <c r="AP213" s="108">
        <f t="shared" si="1076"/>
        <v>8.2502967036664607</v>
      </c>
    </row>
    <row r="214" spans="2:42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09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08"/>
    </row>
    <row r="215" spans="2:42" x14ac:dyDescent="0.15">
      <c r="B215" s="10" t="s">
        <v>264</v>
      </c>
      <c r="C215" s="127"/>
      <c r="D215" s="127"/>
      <c r="E215" s="127"/>
      <c r="F215" s="127"/>
      <c r="G215" s="127">
        <f t="shared" ref="G215" si="1147">G63/G205</f>
        <v>2.5337837837837839E-2</v>
      </c>
      <c r="H215" s="127">
        <f t="shared" ref="H215:I215" si="1148">H63/H205</f>
        <v>2.1683673469387755E-2</v>
      </c>
      <c r="I215" s="127">
        <f t="shared" si="1148"/>
        <v>1.4431239388794566E-2</v>
      </c>
      <c r="J215" s="127">
        <f t="shared" ref="J215:Q215" si="1149">J63/J205</f>
        <v>1.1723329425556858E-2</v>
      </c>
      <c r="K215" s="127">
        <f t="shared" si="1149"/>
        <v>1.4304291287386216E-2</v>
      </c>
      <c r="L215" s="127">
        <f t="shared" si="1149"/>
        <v>3.313253012048193E-2</v>
      </c>
      <c r="M215" s="127">
        <f t="shared" si="1149"/>
        <v>1.2605042016806723E-2</v>
      </c>
      <c r="N215" s="127">
        <f t="shared" si="1149"/>
        <v>1.2544802867383513E-2</v>
      </c>
      <c r="O215" s="127">
        <f t="shared" si="1149"/>
        <v>1.853932584269663E-2</v>
      </c>
      <c r="P215" s="127">
        <f t="shared" si="1149"/>
        <v>1.9138755980861243E-2</v>
      </c>
      <c r="Q215" s="127">
        <f t="shared" si="1149"/>
        <v>0</v>
      </c>
      <c r="R215" s="127">
        <f t="shared" ref="R215:V215" si="1150">R63/R205</f>
        <v>0</v>
      </c>
      <c r="S215" s="127">
        <f t="shared" si="1150"/>
        <v>0</v>
      </c>
      <c r="T215" s="127">
        <f t="shared" si="1150"/>
        <v>0</v>
      </c>
      <c r="U215" s="127">
        <f t="shared" si="1150"/>
        <v>0</v>
      </c>
      <c r="V215" s="127">
        <f t="shared" si="1150"/>
        <v>0</v>
      </c>
      <c r="W215" s="127">
        <f t="shared" ref="W215" si="1151">W63/W205</f>
        <v>0</v>
      </c>
      <c r="X215" s="127">
        <f t="shared" ref="X215:AA215" si="1152">X63/X205</f>
        <v>0</v>
      </c>
      <c r="Y215" s="127">
        <f t="shared" ref="Y215:Z215" si="1153">Y63/Y205</f>
        <v>0</v>
      </c>
      <c r="Z215" s="127">
        <f t="shared" si="1153"/>
        <v>0</v>
      </c>
      <c r="AA215" s="127">
        <f t="shared" si="1152"/>
        <v>0</v>
      </c>
      <c r="AB215" s="101">
        <f t="shared" si="1072"/>
        <v>-1</v>
      </c>
      <c r="AC215" s="109"/>
      <c r="AD215" s="127">
        <f t="shared" ref="AD215:AM215" si="1154">AD63/AD205</f>
        <v>0</v>
      </c>
      <c r="AE215" s="127">
        <f t="shared" si="1154"/>
        <v>0</v>
      </c>
      <c r="AF215" s="127">
        <f t="shared" si="1154"/>
        <v>0</v>
      </c>
      <c r="AG215" s="127">
        <f t="shared" si="1154"/>
        <v>0</v>
      </c>
      <c r="AH215" s="127">
        <f t="shared" si="1154"/>
        <v>0</v>
      </c>
      <c r="AI215" s="127">
        <f t="shared" si="1154"/>
        <v>0</v>
      </c>
      <c r="AJ215" s="127">
        <f t="shared" si="1154"/>
        <v>0</v>
      </c>
      <c r="AK215" s="127">
        <f t="shared" si="1154"/>
        <v>0</v>
      </c>
      <c r="AL215" s="127">
        <f t="shared" si="1154"/>
        <v>0</v>
      </c>
      <c r="AM215" s="127">
        <f t="shared" si="1154"/>
        <v>0</v>
      </c>
      <c r="AN215" s="114">
        <f t="shared" ref="AN215:AN220" si="1155">((AM215/J215)^(1/($AM$3-$K$1) ))-1</f>
        <v>-1</v>
      </c>
      <c r="AO215" s="21">
        <f t="shared" si="1146"/>
        <v>0.01</v>
      </c>
      <c r="AP215" s="108">
        <f t="shared" si="1076"/>
        <v>0</v>
      </c>
    </row>
    <row r="216" spans="2:42" x14ac:dyDescent="0.15">
      <c r="B216" s="10" t="s">
        <v>132</v>
      </c>
      <c r="C216" s="127"/>
      <c r="D216" s="127"/>
      <c r="E216" s="127"/>
      <c r="F216" s="127"/>
      <c r="G216" s="137">
        <f t="shared" ref="G216" si="1156">G205*G61</f>
        <v>18144.8</v>
      </c>
      <c r="H216" s="137">
        <f t="shared" ref="H216:I216" si="1157">H205*H61</f>
        <v>24147.200000000001</v>
      </c>
      <c r="I216" s="137">
        <f t="shared" si="1157"/>
        <v>52362.100000000006</v>
      </c>
      <c r="J216" s="137">
        <f t="shared" ref="J216:Q216" si="1158">J205*J61</f>
        <v>76684.700000000012</v>
      </c>
      <c r="K216" s="137">
        <f t="shared" si="1158"/>
        <v>85512.8</v>
      </c>
      <c r="L216" s="108">
        <f t="shared" si="1158"/>
        <v>36918.400000000001</v>
      </c>
      <c r="M216" s="108">
        <f t="shared" si="1158"/>
        <v>105862.40000000001</v>
      </c>
      <c r="N216" s="108">
        <f t="shared" si="1158"/>
        <v>128451.59999999999</v>
      </c>
      <c r="O216" s="108">
        <f t="shared" si="1158"/>
        <v>102528</v>
      </c>
      <c r="P216" s="108">
        <f t="shared" si="1158"/>
        <v>120488.5</v>
      </c>
      <c r="Q216" s="108">
        <f t="shared" si="1158"/>
        <v>143175</v>
      </c>
      <c r="R216" s="108">
        <f t="shared" ref="R216:V216" si="1159">R205*R61</f>
        <v>182385</v>
      </c>
      <c r="S216" s="108">
        <f t="shared" si="1159"/>
        <v>137116</v>
      </c>
      <c r="T216" s="108">
        <f t="shared" si="1159"/>
        <v>160632</v>
      </c>
      <c r="U216" s="108">
        <f t="shared" si="1159"/>
        <v>178476</v>
      </c>
      <c r="V216" s="108">
        <f t="shared" si="1159"/>
        <v>257600</v>
      </c>
      <c r="W216" s="108">
        <f t="shared" ref="W216" si="1160">W205*W61</f>
        <v>208981</v>
      </c>
      <c r="X216" s="108">
        <f t="shared" ref="X216:AA216" si="1161">X205*X61</f>
        <v>402162</v>
      </c>
      <c r="Y216" s="108">
        <f t="shared" ref="Y216:Z216" si="1162">Y205*Y61</f>
        <v>506620</v>
      </c>
      <c r="Z216" s="108">
        <f t="shared" si="1162"/>
        <v>612146</v>
      </c>
      <c r="AA216" s="108">
        <f t="shared" si="1161"/>
        <v>769472</v>
      </c>
      <c r="AB216" s="101">
        <f t="shared" si="1072"/>
        <v>0.14185164963398944</v>
      </c>
      <c r="AC216" s="109"/>
      <c r="AD216" s="108">
        <f t="shared" ref="AD216:AM216" si="1163">AD205*AD61</f>
        <v>861696</v>
      </c>
      <c r="AE216" s="108">
        <f t="shared" si="1163"/>
        <v>896508.51840000018</v>
      </c>
      <c r="AF216" s="108">
        <f t="shared" si="1163"/>
        <v>932727.46254336007</v>
      </c>
      <c r="AG216" s="108">
        <f t="shared" si="1163"/>
        <v>970409.65203011187</v>
      </c>
      <c r="AH216" s="108">
        <f t="shared" si="1163"/>
        <v>1009614.2019721286</v>
      </c>
      <c r="AI216" s="108">
        <f t="shared" si="1163"/>
        <v>1050402.6157318025</v>
      </c>
      <c r="AJ216" s="108">
        <f t="shared" si="1163"/>
        <v>1092838.8814073675</v>
      </c>
      <c r="AK216" s="108">
        <f t="shared" si="1163"/>
        <v>1136989.5722162251</v>
      </c>
      <c r="AL216" s="108">
        <f t="shared" si="1163"/>
        <v>1182923.9509337607</v>
      </c>
      <c r="AM216" s="108">
        <f t="shared" si="1163"/>
        <v>1230714.0785514847</v>
      </c>
      <c r="AN216" s="114">
        <f t="shared" si="1155"/>
        <v>9.6936821303739817E-2</v>
      </c>
      <c r="AO216" s="21">
        <f t="shared" si="1146"/>
        <v>0.01</v>
      </c>
      <c r="AP216" s="108">
        <f t="shared" si="1076"/>
        <v>6428645.6631429847</v>
      </c>
    </row>
    <row r="217" spans="2:42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53"/>
      <c r="AC217" s="109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11"/>
      <c r="AN217" s="111"/>
      <c r="AO217" s="111"/>
      <c r="AP217" s="108"/>
    </row>
    <row r="218" spans="2:42" x14ac:dyDescent="0.15">
      <c r="B218" s="10" t="s">
        <v>312</v>
      </c>
      <c r="C218" s="134"/>
      <c r="D218" s="134"/>
      <c r="E218" s="134"/>
      <c r="F218" s="134"/>
      <c r="G218" s="134">
        <f t="shared" ref="G218" si="1164">G76/G205</f>
        <v>8.7077289361139287E-2</v>
      </c>
      <c r="H218" s="134">
        <f t="shared" ref="H218:I218" si="1165">H76/H205</f>
        <v>7.3548900079512328E-2</v>
      </c>
      <c r="I218" s="134">
        <f t="shared" si="1165"/>
        <v>4.4077682140326681E-2</v>
      </c>
      <c r="J218" s="134">
        <f t="shared" ref="J218:Q218" si="1166">J76/J205</f>
        <v>3.1153541710406379E-2</v>
      </c>
      <c r="K218" s="134">
        <f t="shared" si="1166"/>
        <v>3.6333741849173457E-2</v>
      </c>
      <c r="L218" s="134">
        <f t="shared" si="1166"/>
        <v>0.10639681026263326</v>
      </c>
      <c r="M218" s="134">
        <f t="shared" si="1166"/>
        <v>5.0820687987425187E-2</v>
      </c>
      <c r="N218" s="134">
        <f t="shared" si="1166"/>
        <v>6.2311407565184079E-2</v>
      </c>
      <c r="O218" s="134">
        <f t="shared" si="1166"/>
        <v>0.11649500624219726</v>
      </c>
      <c r="P218" s="134">
        <f t="shared" si="1166"/>
        <v>0.14054453329570871</v>
      </c>
      <c r="Q218" s="134">
        <f t="shared" si="1166"/>
        <v>8.1557534485769162E-2</v>
      </c>
      <c r="R218" s="134">
        <f t="shared" ref="R218:V218" si="1167">R76/R205</f>
        <v>7.095978287688133E-2</v>
      </c>
      <c r="S218" s="134">
        <f t="shared" si="1167"/>
        <v>7.9684354852825337E-2</v>
      </c>
      <c r="T218" s="134">
        <f t="shared" si="1167"/>
        <v>7.0596145226355891E-2</v>
      </c>
      <c r="U218" s="134">
        <f t="shared" si="1167"/>
        <v>5.098164459086936E-2</v>
      </c>
      <c r="V218" s="134">
        <f t="shared" si="1167"/>
        <v>2.2084627329192544E-2</v>
      </c>
      <c r="W218" s="134">
        <f t="shared" ref="W218" si="1168">W76/W205</f>
        <v>5.3713016972834857E-2</v>
      </c>
      <c r="X218" s="134">
        <f t="shared" ref="X218:AA218" si="1169">X76/X205</f>
        <v>5.0275759519795502E-2</v>
      </c>
      <c r="Y218" s="134">
        <f t="shared" ref="Y218:Z218" si="1170">Y76/Y205</f>
        <v>5.0892187438316687E-2</v>
      </c>
      <c r="Z218" s="134">
        <f t="shared" si="1170"/>
        <v>5.6298660777004177E-2</v>
      </c>
      <c r="AA218" s="134">
        <f t="shared" si="1169"/>
        <v>5.9886519587457374E-2</v>
      </c>
      <c r="AB218" s="101">
        <f t="shared" si="1072"/>
        <v>-6.6295915397696636E-2</v>
      </c>
      <c r="AC218" s="109"/>
      <c r="AD218" s="134">
        <f t="shared" ref="AD218:AM218" si="1171">AD76/AD205</f>
        <v>5.882480596405229E-2</v>
      </c>
      <c r="AE218" s="134">
        <f t="shared" si="1171"/>
        <v>6.2194623760532031E-2</v>
      </c>
      <c r="AF218" s="134">
        <f t="shared" si="1171"/>
        <v>6.5757483791412191E-2</v>
      </c>
      <c r="AG218" s="134">
        <f t="shared" si="1171"/>
        <v>6.9524444608375063E-2</v>
      </c>
      <c r="AH218" s="134">
        <f t="shared" si="1171"/>
        <v>7.3507198259527645E-2</v>
      </c>
      <c r="AI218" s="134">
        <f t="shared" si="1171"/>
        <v>7.7718106579662063E-2</v>
      </c>
      <c r="AJ218" s="134">
        <f t="shared" si="1171"/>
        <v>8.2170239559427413E-2</v>
      </c>
      <c r="AK218" s="134">
        <f t="shared" si="1171"/>
        <v>8.6877415912504946E-2</v>
      </c>
      <c r="AL218" s="134">
        <f t="shared" si="1171"/>
        <v>9.1854245966700762E-2</v>
      </c>
      <c r="AM218" s="134">
        <f t="shared" si="1171"/>
        <v>9.711617701208268E-2</v>
      </c>
      <c r="AN218" s="114">
        <f t="shared" ref="AN218" si="1172">((AM218/J218)^(1/($AM$3-$K$1) ))-1</f>
        <v>3.8626673418648672E-2</v>
      </c>
      <c r="AO218" s="21">
        <f t="shared" ref="AO218" si="1173">$O$1</f>
        <v>0.01</v>
      </c>
      <c r="AP218" s="108">
        <f t="shared" ref="AP218" si="1174">(AM218*(1+AN218))/($C$1-AO218)</f>
        <v>0.4803211993580766</v>
      </c>
    </row>
    <row r="219" spans="2:42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175">G207</f>
        <v>11.484050632911392</v>
      </c>
      <c r="H219" s="152">
        <f t="shared" ref="H219:I219" si="1176">H207</f>
        <v>13.596396396396397</v>
      </c>
      <c r="I219" s="152">
        <f t="shared" si="1176"/>
        <v>22.687218370883883</v>
      </c>
      <c r="J219" s="152">
        <f t="shared" ref="J219:Q219" si="1177">J207</f>
        <v>32.099079112599412</v>
      </c>
      <c r="K219" s="152">
        <f t="shared" si="1177"/>
        <v>27.522626327647249</v>
      </c>
      <c r="L219" s="152">
        <f t="shared" si="1177"/>
        <v>9.3987780040733195</v>
      </c>
      <c r="M219" s="152">
        <f t="shared" si="1177"/>
        <v>19.677026022304833</v>
      </c>
      <c r="N219" s="152">
        <f t="shared" si="1177"/>
        <v>16.048425787106449</v>
      </c>
      <c r="O219" s="152">
        <f t="shared" si="1177"/>
        <v>8.5840589417280651</v>
      </c>
      <c r="P219" s="152">
        <f t="shared" si="1177"/>
        <v>7.1151824731309787</v>
      </c>
      <c r="Q219" s="152">
        <f t="shared" si="1177"/>
        <v>12.261282863749251</v>
      </c>
      <c r="R219" s="152">
        <f t="shared" ref="R219:V219" si="1178">R207</f>
        <v>14.092489568845618</v>
      </c>
      <c r="S219" s="152">
        <f t="shared" si="1178"/>
        <v>12.549514918542926</v>
      </c>
      <c r="T219" s="152">
        <f t="shared" si="1178"/>
        <v>14.165079365079366</v>
      </c>
      <c r="U219" s="152">
        <f t="shared" si="1178"/>
        <v>19.61490273656446</v>
      </c>
      <c r="V219" s="152">
        <f t="shared" si="1178"/>
        <v>45.280365617859026</v>
      </c>
      <c r="W219" s="152">
        <f t="shared" ref="W219" si="1179">W207</f>
        <v>18.617461024498883</v>
      </c>
      <c r="X219" s="152">
        <f t="shared" ref="X219:AA219" si="1180">X207</f>
        <v>19.890301201839854</v>
      </c>
      <c r="Y219" s="152">
        <f t="shared" ref="Y219:Z219" si="1181">Y207</f>
        <v>19.649381375324829</v>
      </c>
      <c r="Z219" s="152">
        <f t="shared" si="1181"/>
        <v>17.762411861996924</v>
      </c>
      <c r="AA219" s="152">
        <f t="shared" si="1180"/>
        <v>16.698248735921531</v>
      </c>
      <c r="AB219" s="101">
        <f t="shared" si="1072"/>
        <v>7.1003133102854887E-2</v>
      </c>
      <c r="AC219" s="109"/>
      <c r="AD219" s="127">
        <f t="shared" ref="AD219:AM219" si="1182">AD207</f>
        <v>16.999631084394871</v>
      </c>
      <c r="AE219" s="127">
        <f t="shared" si="1182"/>
        <v>16.0785601638222</v>
      </c>
      <c r="AF219" s="127">
        <f t="shared" si="1182"/>
        <v>15.207394540400561</v>
      </c>
      <c r="AG219" s="127">
        <f t="shared" si="1182"/>
        <v>14.383430254393401</v>
      </c>
      <c r="AH219" s="127">
        <f t="shared" si="1182"/>
        <v>13.604109851518995</v>
      </c>
      <c r="AI219" s="127">
        <f t="shared" si="1182"/>
        <v>12.867014445018512</v>
      </c>
      <c r="AJ219" s="127">
        <f t="shared" si="1182"/>
        <v>12.169856207815689</v>
      </c>
      <c r="AK219" s="127">
        <f t="shared" si="1182"/>
        <v>11.510471271464949</v>
      </c>
      <c r="AL219" s="127">
        <f t="shared" si="1182"/>
        <v>10.886813009847391</v>
      </c>
      <c r="AM219" s="127">
        <f t="shared" si="1182"/>
        <v>10.296945686768387</v>
      </c>
      <c r="AN219" s="114">
        <f t="shared" ref="AN219" si="1183">((AM219/J219)^(1/($AM$3-$K$1) ))-1</f>
        <v>-3.7190141951109923E-2</v>
      </c>
      <c r="AO219" s="21">
        <f t="shared" ref="AO219:AO221" si="1184">$O$1</f>
        <v>0.01</v>
      </c>
      <c r="AP219" s="152">
        <f>(AP206)/($O$2*100)</f>
        <v>0.95548968723922534</v>
      </c>
    </row>
    <row r="220" spans="2:42" x14ac:dyDescent="0.15">
      <c r="B220" s="10" t="s">
        <v>430</v>
      </c>
      <c r="C220" s="152"/>
      <c r="D220" s="152"/>
      <c r="E220" s="152"/>
      <c r="F220" s="152"/>
      <c r="G220" s="152">
        <f t="shared" ref="G220" si="1185">(G207)/($O$2*100)</f>
        <v>1.1484050632911393</v>
      </c>
      <c r="H220" s="152">
        <f t="shared" ref="H220:I220" si="1186">(H207)/($O$2*100)</f>
        <v>1.3596396396396397</v>
      </c>
      <c r="I220" s="152">
        <f t="shared" si="1186"/>
        <v>2.2687218370883881</v>
      </c>
      <c r="J220" s="152">
        <f t="shared" ref="J220:Q220" si="1187">(J207)/($O$2*100)</f>
        <v>3.2099079112599411</v>
      </c>
      <c r="K220" s="152">
        <f t="shared" si="1187"/>
        <v>2.752262632764725</v>
      </c>
      <c r="L220" s="152">
        <f t="shared" si="1187"/>
        <v>0.93987780040733193</v>
      </c>
      <c r="M220" s="152">
        <f t="shared" si="1187"/>
        <v>1.9677026022304833</v>
      </c>
      <c r="N220" s="152">
        <f t="shared" si="1187"/>
        <v>1.6048425787106448</v>
      </c>
      <c r="O220" s="152">
        <f t="shared" si="1187"/>
        <v>0.85840589417280655</v>
      </c>
      <c r="P220" s="152">
        <f t="shared" si="1187"/>
        <v>0.71151824731309787</v>
      </c>
      <c r="Q220" s="152">
        <f t="shared" si="1187"/>
        <v>1.2261282863749252</v>
      </c>
      <c r="R220" s="152">
        <f t="shared" ref="R220:V220" si="1188">(R207)/($O$2*100)</f>
        <v>1.4092489568845619</v>
      </c>
      <c r="S220" s="152">
        <f t="shared" si="1188"/>
        <v>1.2549514918542926</v>
      </c>
      <c r="T220" s="152">
        <f t="shared" si="1188"/>
        <v>1.4165079365079367</v>
      </c>
      <c r="U220" s="152">
        <f t="shared" si="1188"/>
        <v>1.9614902736564459</v>
      </c>
      <c r="V220" s="152">
        <f t="shared" si="1188"/>
        <v>4.5280365617859024</v>
      </c>
      <c r="W220" s="152">
        <f t="shared" ref="W220" si="1189">(W207)/($O$2*100)</f>
        <v>1.8617461024498883</v>
      </c>
      <c r="X220" s="152">
        <f t="shared" ref="X220:AA220" si="1190">(X207)/($O$2*100)</f>
        <v>1.9890301201839855</v>
      </c>
      <c r="Y220" s="152">
        <f t="shared" ref="Y220:Z220" si="1191">(Y207)/($O$2*100)</f>
        <v>1.9649381375324828</v>
      </c>
      <c r="Z220" s="152">
        <f t="shared" si="1191"/>
        <v>1.7762411861996923</v>
      </c>
      <c r="AA220" s="152">
        <f t="shared" si="1190"/>
        <v>1.669824873592153</v>
      </c>
      <c r="AB220" s="101">
        <f t="shared" si="1072"/>
        <v>7.1003133102854887E-2</v>
      </c>
      <c r="AC220" s="109"/>
      <c r="AD220" s="152">
        <f t="shared" ref="AD220:AM220" si="1192">(AD207)/($O$2*100)</f>
        <v>1.6999631084394871</v>
      </c>
      <c r="AE220" s="152">
        <f t="shared" si="1192"/>
        <v>1.60785601638222</v>
      </c>
      <c r="AF220" s="152">
        <f t="shared" si="1192"/>
        <v>1.5207394540400561</v>
      </c>
      <c r="AG220" s="152">
        <f t="shared" si="1192"/>
        <v>1.4383430254393401</v>
      </c>
      <c r="AH220" s="152">
        <f t="shared" si="1192"/>
        <v>1.3604109851518995</v>
      </c>
      <c r="AI220" s="152">
        <f t="shared" si="1192"/>
        <v>1.2867014445018512</v>
      </c>
      <c r="AJ220" s="152">
        <f t="shared" si="1192"/>
        <v>1.216985620781569</v>
      </c>
      <c r="AK220" s="152">
        <f t="shared" si="1192"/>
        <v>1.1510471271464948</v>
      </c>
      <c r="AL220" s="152">
        <f t="shared" si="1192"/>
        <v>1.0886813009847391</v>
      </c>
      <c r="AM220" s="152">
        <f t="shared" si="1192"/>
        <v>1.0296945686768386</v>
      </c>
      <c r="AN220" s="114">
        <f t="shared" si="1155"/>
        <v>-3.7190141951109923E-2</v>
      </c>
      <c r="AO220" s="21">
        <f t="shared" si="1184"/>
        <v>0.01</v>
      </c>
      <c r="AP220" s="152">
        <f>(AP207)/($O$2*100)</f>
        <v>4.7209527690545716</v>
      </c>
    </row>
    <row r="221" spans="2:42" x14ac:dyDescent="0.15">
      <c r="B221" s="10" t="s">
        <v>431</v>
      </c>
      <c r="C221" s="127"/>
      <c r="D221" s="127"/>
      <c r="E221" s="127"/>
      <c r="F221" s="127"/>
      <c r="G221" s="127">
        <f t="shared" ref="G221" si="1193">G220-1</f>
        <v>0.14840506329113934</v>
      </c>
      <c r="H221" s="127">
        <f t="shared" ref="H221:I221" si="1194">H220-1</f>
        <v>0.35963963963963974</v>
      </c>
      <c r="I221" s="127">
        <f t="shared" si="1194"/>
        <v>1.2687218370883881</v>
      </c>
      <c r="J221" s="127">
        <f t="shared" ref="J221:Q221" si="1195">J220-1</f>
        <v>2.2099079112599411</v>
      </c>
      <c r="K221" s="127">
        <f t="shared" si="1195"/>
        <v>1.752262632764725</v>
      </c>
      <c r="L221" s="127">
        <f t="shared" si="1195"/>
        <v>-6.0122199592668069E-2</v>
      </c>
      <c r="M221" s="127">
        <f t="shared" si="1195"/>
        <v>0.96770260223048332</v>
      </c>
      <c r="N221" s="127">
        <f t="shared" si="1195"/>
        <v>0.60484257871064484</v>
      </c>
      <c r="O221" s="127">
        <f t="shared" si="1195"/>
        <v>-0.14159410582719345</v>
      </c>
      <c r="P221" s="127">
        <f t="shared" si="1195"/>
        <v>-0.28848175268690213</v>
      </c>
      <c r="Q221" s="127">
        <f t="shared" si="1195"/>
        <v>0.22612828637492521</v>
      </c>
      <c r="R221" s="127">
        <f t="shared" ref="R221:V221" si="1196">R220-1</f>
        <v>0.40924895688456187</v>
      </c>
      <c r="S221" s="127">
        <f t="shared" si="1196"/>
        <v>0.25495149185429256</v>
      </c>
      <c r="T221" s="127">
        <f t="shared" si="1196"/>
        <v>0.41650793650793672</v>
      </c>
      <c r="U221" s="127">
        <f t="shared" si="1196"/>
        <v>0.9614902736564459</v>
      </c>
      <c r="V221" s="127">
        <f t="shared" si="1196"/>
        <v>3.5280365617859024</v>
      </c>
      <c r="W221" s="127">
        <f t="shared" ref="W221" si="1197">W220-1</f>
        <v>0.86174610244988825</v>
      </c>
      <c r="X221" s="127">
        <f t="shared" ref="X221:AA221" si="1198">X220-1</f>
        <v>0.98903012018398551</v>
      </c>
      <c r="Y221" s="127">
        <f t="shared" ref="Y221:Z221" si="1199">Y220-1</f>
        <v>0.96493813753248281</v>
      </c>
      <c r="Z221" s="127">
        <f t="shared" si="1199"/>
        <v>0.77624118619969229</v>
      </c>
      <c r="AA221" s="127">
        <f t="shared" si="1198"/>
        <v>0.66982487359215304</v>
      </c>
      <c r="AB221" s="101">
        <f t="shared" si="1072"/>
        <v>0.17166705326616416</v>
      </c>
      <c r="AC221" s="109"/>
      <c r="AD221" s="127">
        <f t="shared" ref="AD221:AM221" si="1200">AD220-1</f>
        <v>0.69996310843948706</v>
      </c>
      <c r="AE221" s="127">
        <f t="shared" si="1200"/>
        <v>0.60785601638221998</v>
      </c>
      <c r="AF221" s="127">
        <f t="shared" si="1200"/>
        <v>0.52073945404005606</v>
      </c>
      <c r="AG221" s="127">
        <f t="shared" si="1200"/>
        <v>0.43834302543934012</v>
      </c>
      <c r="AH221" s="127">
        <f t="shared" si="1200"/>
        <v>0.36041098515189951</v>
      </c>
      <c r="AI221" s="127">
        <f t="shared" si="1200"/>
        <v>0.2867014445018512</v>
      </c>
      <c r="AJ221" s="127">
        <f t="shared" si="1200"/>
        <v>0.21698562078156902</v>
      </c>
      <c r="AK221" s="127">
        <f t="shared" si="1200"/>
        <v>0.15104712714649482</v>
      </c>
      <c r="AL221" s="127">
        <f t="shared" si="1200"/>
        <v>8.8681300984739142E-2</v>
      </c>
      <c r="AM221" s="127">
        <f t="shared" si="1200"/>
        <v>2.9694568676838617E-2</v>
      </c>
      <c r="AN221" s="114">
        <f t="shared" ref="AN221" si="1201">((AM221/J221)^(1/($AM$3-$K$1) ))-1</f>
        <v>-0.13381612451605218</v>
      </c>
      <c r="AO221" s="21">
        <f t="shared" si="1184"/>
        <v>0.01</v>
      </c>
      <c r="AP221" s="152" t="e">
        <f>(AP208)/($O$2*100)</f>
        <v>#DIV/0!</v>
      </c>
    </row>
    <row r="222" spans="2:42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53"/>
      <c r="AC222" s="109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11"/>
      <c r="AN222" s="113"/>
      <c r="AO222" s="10"/>
      <c r="AP222" s="108"/>
    </row>
    <row r="223" spans="2:42" x14ac:dyDescent="0.15">
      <c r="B223" s="10" t="s">
        <v>500</v>
      </c>
      <c r="C223" s="127"/>
      <c r="D223" s="127"/>
      <c r="E223" s="127"/>
      <c r="F223" s="127"/>
      <c r="G223" s="127">
        <f t="shared" ref="G223:AA223" si="1202">1/G224</f>
        <v>5.8681500087750096E-2</v>
      </c>
      <c r="H223" s="127">
        <f t="shared" si="1202"/>
        <v>4.4310520474423548E-2</v>
      </c>
      <c r="I223" s="127">
        <f t="shared" si="1202"/>
        <v>2.9490193592485621E-2</v>
      </c>
      <c r="J223" s="127">
        <f t="shared" si="1202"/>
        <v>2.0363099678750329E-2</v>
      </c>
      <c r="K223" s="127">
        <f t="shared" si="1202"/>
        <v>2.2587417459003941E-2</v>
      </c>
      <c r="L223" s="127">
        <f t="shared" si="1202"/>
        <v>5.2318445861367559E-2</v>
      </c>
      <c r="M223" s="127">
        <f t="shared" si="1202"/>
        <v>1.8245508430644989E-2</v>
      </c>
      <c r="N223" s="127">
        <f t="shared" si="1202"/>
        <v>1.5564268840478521E-2</v>
      </c>
      <c r="O223" s="127">
        <f t="shared" si="1202"/>
        <v>1.9516543849409023E-2</v>
      </c>
      <c r="P223" s="127">
        <f t="shared" si="1202"/>
        <v>1.6621745479400984E-2</v>
      </c>
      <c r="Q223" s="127">
        <f t="shared" si="1202"/>
        <v>1.3951585563031348E-2</v>
      </c>
      <c r="R223" s="127">
        <f t="shared" si="1202"/>
        <v>5.5141981034838188E-2</v>
      </c>
      <c r="S223" s="127">
        <f t="shared" si="1202"/>
        <v>7.3600525533788264E-2</v>
      </c>
      <c r="T223" s="127">
        <f t="shared" si="1202"/>
        <v>6.2933782702804461E-2</v>
      </c>
      <c r="U223" s="127">
        <f t="shared" si="1202"/>
        <v>6.248102167616558E-2</v>
      </c>
      <c r="V223" s="127">
        <f t="shared" si="1202"/>
        <v>4.3424310064935079E-2</v>
      </c>
      <c r="W223" s="127">
        <f t="shared" si="1202"/>
        <v>5.3776235374532598E-2</v>
      </c>
      <c r="X223" s="127">
        <f t="shared" si="1202"/>
        <v>2.9844886642567063E-2</v>
      </c>
      <c r="Y223" s="127">
        <f t="shared" si="1202"/>
        <v>2.3794142501334287E-2</v>
      </c>
      <c r="Z223" s="127">
        <f t="shared" si="1202"/>
        <v>1.9805842674998894E-2</v>
      </c>
      <c r="AA223" s="127">
        <f t="shared" si="1202"/>
        <v>1.5891787763928664E-2</v>
      </c>
      <c r="AB223" s="101">
        <f t="shared" si="1072"/>
        <v>-1.4942490897945193E-2</v>
      </c>
      <c r="AC223" s="109"/>
      <c r="AD223" s="127">
        <f t="shared" ref="AD223:AM223" si="1203">1/AD224</f>
        <v>1.4474770021645026E-2</v>
      </c>
      <c r="AE223" s="127">
        <f t="shared" si="1203"/>
        <v>1.4190951001612771E-2</v>
      </c>
      <c r="AF223" s="127">
        <f t="shared" si="1203"/>
        <v>1.3912697060404678E-2</v>
      </c>
      <c r="AG223" s="127">
        <f t="shared" si="1203"/>
        <v>1.3639899078828111E-2</v>
      </c>
      <c r="AH223" s="127">
        <f t="shared" si="1203"/>
        <v>1.3372450077282463E-2</v>
      </c>
      <c r="AI223" s="127">
        <f t="shared" si="1203"/>
        <v>1.3110245173806333E-2</v>
      </c>
      <c r="AJ223" s="127">
        <f t="shared" si="1203"/>
        <v>1.2853181542947385E-2</v>
      </c>
      <c r="AK223" s="127">
        <f t="shared" si="1203"/>
        <v>1.2601158375438612E-2</v>
      </c>
      <c r="AL223" s="127">
        <f t="shared" si="1203"/>
        <v>1.2354076838665306E-2</v>
      </c>
      <c r="AM223" s="127">
        <f t="shared" si="1203"/>
        <v>1.2111840037907162E-2</v>
      </c>
      <c r="AN223" s="114">
        <f t="shared" ref="AN223" si="1204">((AM223/J223)^(1/($AM$3-$K$1) ))-1</f>
        <v>-1.7168935949532615E-2</v>
      </c>
      <c r="AO223" s="21">
        <f t="shared" ref="AO223:AO226" si="1205">$O$1</f>
        <v>0.01</v>
      </c>
      <c r="AP223" s="152">
        <f>(AP210)/($O$2*100)</f>
        <v>0.82357952313190808</v>
      </c>
    </row>
    <row r="224" spans="2:42" x14ac:dyDescent="0.15">
      <c r="B224" s="10" t="s">
        <v>507</v>
      </c>
      <c r="C224" s="10"/>
      <c r="D224" s="10"/>
      <c r="E224" s="10"/>
      <c r="F224" s="10"/>
      <c r="G224" s="111">
        <f t="shared" ref="G224:Q224" si="1206">G205/$T$174</f>
        <v>17.041145821164044</v>
      </c>
      <c r="H224" s="111">
        <f t="shared" si="1206"/>
        <v>22.568003925325353</v>
      </c>
      <c r="I224" s="111">
        <f t="shared" si="1206"/>
        <v>33.909577326573043</v>
      </c>
      <c r="J224" s="111">
        <f t="shared" si="1206"/>
        <v>49.108437113016649</v>
      </c>
      <c r="K224" s="111">
        <f t="shared" si="1206"/>
        <v>44.272436271875499</v>
      </c>
      <c r="L224" s="111">
        <f t="shared" si="1206"/>
        <v>19.113717610224533</v>
      </c>
      <c r="M224" s="111">
        <f t="shared" si="1206"/>
        <v>54.808009532932999</v>
      </c>
      <c r="N224" s="111">
        <f t="shared" si="1206"/>
        <v>64.24972546087524</v>
      </c>
      <c r="O224" s="111">
        <f t="shared" si="1206"/>
        <v>51.238580340662153</v>
      </c>
      <c r="P224" s="111">
        <f t="shared" si="1206"/>
        <v>60.162153321339268</v>
      </c>
      <c r="Q224" s="111">
        <f t="shared" si="1206"/>
        <v>71.676441038342006</v>
      </c>
      <c r="R224" s="111">
        <f t="shared" ref="R224:V224" si="1207">R205/$T$174</f>
        <v>18.135003154279303</v>
      </c>
      <c r="S224" s="111">
        <f t="shared" si="1207"/>
        <v>13.586859506063222</v>
      </c>
      <c r="T224" s="111">
        <f t="shared" si="1207"/>
        <v>15.889717049463769</v>
      </c>
      <c r="U224" s="111">
        <f t="shared" si="1207"/>
        <v>16.004859926633795</v>
      </c>
      <c r="V224" s="111">
        <f t="shared" si="1207"/>
        <v>23.028575434005461</v>
      </c>
      <c r="W224" s="111">
        <f t="shared" ref="W224" si="1208">W205/$T$174</f>
        <v>18.595574662959411</v>
      </c>
      <c r="X224" s="111">
        <f t="shared" ref="X224:AA224" si="1209">X205/$T$174</f>
        <v>33.506577256477946</v>
      </c>
      <c r="Y224" s="111">
        <f t="shared" ref="Y224:Z224" si="1210">Y205/$T$174</f>
        <v>42.027150167059972</v>
      </c>
      <c r="Z224" s="111">
        <f t="shared" si="1210"/>
        <v>50.490151639056975</v>
      </c>
      <c r="AA224" s="111">
        <f t="shared" si="1209"/>
        <v>62.925582373419928</v>
      </c>
      <c r="AB224" s="101">
        <f t="shared" si="1072"/>
        <v>1.5169155871484374E-2</v>
      </c>
      <c r="AC224" s="109"/>
      <c r="AD224" s="111">
        <f t="shared" ref="AD224:AM224" si="1211">AD205/$T$174</f>
        <v>69.085726302016383</v>
      </c>
      <c r="AE224" s="111">
        <f t="shared" si="1211"/>
        <v>70.467440828056709</v>
      </c>
      <c r="AF224" s="111">
        <f t="shared" si="1211"/>
        <v>71.876789644617844</v>
      </c>
      <c r="AG224" s="111">
        <f t="shared" si="1211"/>
        <v>73.31432543751022</v>
      </c>
      <c r="AH224" s="111">
        <f t="shared" si="1211"/>
        <v>74.780611946260422</v>
      </c>
      <c r="AI224" s="111">
        <f t="shared" si="1211"/>
        <v>76.27622418518564</v>
      </c>
      <c r="AJ224" s="111">
        <f t="shared" si="1211"/>
        <v>77.80174866888936</v>
      </c>
      <c r="AK224" s="111">
        <f t="shared" si="1211"/>
        <v>79.357783642267151</v>
      </c>
      <c r="AL224" s="111">
        <f t="shared" si="1211"/>
        <v>80.944939315112492</v>
      </c>
      <c r="AM224" s="111">
        <f t="shared" si="1211"/>
        <v>82.563838101414746</v>
      </c>
      <c r="AN224" s="114">
        <f t="shared" ref="AN224:AN226" si="1212">((AM224/J224)^(1/($AM$3-$K$1) ))-1</f>
        <v>1.7468857647595648E-2</v>
      </c>
      <c r="AO224" s="21">
        <f t="shared" si="1205"/>
        <v>0.01</v>
      </c>
      <c r="AP224" s="152">
        <f>(AP210)/($O$2*100)</f>
        <v>0.82357952313190808</v>
      </c>
    </row>
    <row r="225" spans="2:42" x14ac:dyDescent="0.15">
      <c r="B225" s="10" t="s">
        <v>430</v>
      </c>
      <c r="C225" s="10"/>
      <c r="D225" s="10"/>
      <c r="E225" s="10"/>
      <c r="F225" s="10"/>
      <c r="G225" s="152">
        <f t="shared" ref="G225" si="1213">(G224)/($O$2*100)</f>
        <v>1.7041145821164043</v>
      </c>
      <c r="H225" s="152">
        <f t="shared" ref="H225:I225" si="1214">(H224)/($O$2*100)</f>
        <v>2.2568003925325355</v>
      </c>
      <c r="I225" s="152">
        <f t="shared" si="1214"/>
        <v>3.3909577326573044</v>
      </c>
      <c r="J225" s="152">
        <f t="shared" ref="J225:Q225" si="1215">(J224)/($O$2*100)</f>
        <v>4.9108437113016645</v>
      </c>
      <c r="K225" s="152">
        <f t="shared" si="1215"/>
        <v>4.4272436271875497</v>
      </c>
      <c r="L225" s="152">
        <f t="shared" si="1215"/>
        <v>1.9113717610224534</v>
      </c>
      <c r="M225" s="152">
        <f t="shared" si="1215"/>
        <v>5.4808009532932997</v>
      </c>
      <c r="N225" s="152">
        <f t="shared" si="1215"/>
        <v>6.424972546087524</v>
      </c>
      <c r="O225" s="152">
        <f t="shared" si="1215"/>
        <v>5.123858034066215</v>
      </c>
      <c r="P225" s="152">
        <f t="shared" si="1215"/>
        <v>6.0162153321339265</v>
      </c>
      <c r="Q225" s="152">
        <f t="shared" si="1215"/>
        <v>7.1676441038342009</v>
      </c>
      <c r="R225" s="152">
        <f t="shared" ref="R225:V225" si="1216">(R224)/($O$2*100)</f>
        <v>1.8135003154279303</v>
      </c>
      <c r="S225" s="152">
        <f t="shared" si="1216"/>
        <v>1.3586859506063222</v>
      </c>
      <c r="T225" s="152">
        <f t="shared" si="1216"/>
        <v>1.588971704946377</v>
      </c>
      <c r="U225" s="152">
        <f t="shared" si="1216"/>
        <v>1.6004859926633794</v>
      </c>
      <c r="V225" s="152">
        <f t="shared" si="1216"/>
        <v>2.3028575434005463</v>
      </c>
      <c r="W225" s="152">
        <f t="shared" ref="W225" si="1217">(W224)/($O$2*100)</f>
        <v>1.8595574662959411</v>
      </c>
      <c r="X225" s="152">
        <f t="shared" ref="X225:AA225" si="1218">(X224)/($O$2*100)</f>
        <v>3.3506577256477947</v>
      </c>
      <c r="Y225" s="152">
        <f t="shared" ref="Y225:Z225" si="1219">(Y224)/($O$2*100)</f>
        <v>4.202715016705997</v>
      </c>
      <c r="Z225" s="152">
        <f t="shared" si="1219"/>
        <v>5.0490151639056977</v>
      </c>
      <c r="AA225" s="152">
        <f t="shared" si="1218"/>
        <v>6.2925582373419928</v>
      </c>
      <c r="AB225" s="101">
        <f t="shared" si="1072"/>
        <v>1.5169155871484374E-2</v>
      </c>
      <c r="AC225" s="109"/>
      <c r="AD225" s="152">
        <f t="shared" ref="AD225:AM225" si="1220">(AD224)/($O$2*100)</f>
        <v>6.9085726302016379</v>
      </c>
      <c r="AE225" s="152">
        <f t="shared" si="1220"/>
        <v>7.0467440828056711</v>
      </c>
      <c r="AF225" s="152">
        <f t="shared" si="1220"/>
        <v>7.1876789644617842</v>
      </c>
      <c r="AG225" s="152">
        <f t="shared" si="1220"/>
        <v>7.3314325437510224</v>
      </c>
      <c r="AH225" s="152">
        <f t="shared" si="1220"/>
        <v>7.4780611946260418</v>
      </c>
      <c r="AI225" s="152">
        <f t="shared" si="1220"/>
        <v>7.6276224185185644</v>
      </c>
      <c r="AJ225" s="152">
        <f t="shared" si="1220"/>
        <v>7.7801748668889363</v>
      </c>
      <c r="AK225" s="152">
        <f t="shared" si="1220"/>
        <v>7.9357783642267155</v>
      </c>
      <c r="AL225" s="152">
        <f t="shared" si="1220"/>
        <v>8.0944939315112485</v>
      </c>
      <c r="AM225" s="152">
        <f t="shared" si="1220"/>
        <v>8.2563838101414753</v>
      </c>
      <c r="AN225" s="114">
        <f t="shared" si="1212"/>
        <v>1.7468857647595648E-2</v>
      </c>
      <c r="AO225" s="21">
        <f t="shared" si="1205"/>
        <v>0.01</v>
      </c>
      <c r="AP225" s="152">
        <f>(AP211)/($O$2*100)</f>
        <v>0.27222728119425377</v>
      </c>
    </row>
    <row r="226" spans="2:42" x14ac:dyDescent="0.15">
      <c r="B226" s="10" t="s">
        <v>432</v>
      </c>
      <c r="C226" s="10"/>
      <c r="D226" s="10"/>
      <c r="E226" s="10"/>
      <c r="F226" s="10"/>
      <c r="G226" s="127">
        <f t="shared" ref="G226" si="1221">G225-1</f>
        <v>0.70411458211640432</v>
      </c>
      <c r="H226" s="127">
        <f t="shared" ref="H226:I226" si="1222">H225-1</f>
        <v>1.2568003925325355</v>
      </c>
      <c r="I226" s="127">
        <f t="shared" si="1222"/>
        <v>2.3909577326573044</v>
      </c>
      <c r="J226" s="127">
        <f t="shared" ref="J226:Q226" si="1223">J225-1</f>
        <v>3.9108437113016645</v>
      </c>
      <c r="K226" s="127">
        <f t="shared" si="1223"/>
        <v>3.4272436271875497</v>
      </c>
      <c r="L226" s="127">
        <f t="shared" si="1223"/>
        <v>0.91137176102245343</v>
      </c>
      <c r="M226" s="127">
        <f t="shared" si="1223"/>
        <v>4.4808009532932997</v>
      </c>
      <c r="N226" s="127">
        <f t="shared" si="1223"/>
        <v>5.424972546087524</v>
      </c>
      <c r="O226" s="127">
        <f t="shared" si="1223"/>
        <v>4.123858034066215</v>
      </c>
      <c r="P226" s="127">
        <f t="shared" si="1223"/>
        <v>5.0162153321339265</v>
      </c>
      <c r="Q226" s="127">
        <f t="shared" si="1223"/>
        <v>6.1676441038342009</v>
      </c>
      <c r="R226" s="127">
        <f t="shared" ref="R226:V226" si="1224">R225-1</f>
        <v>0.81350031542793033</v>
      </c>
      <c r="S226" s="127">
        <f t="shared" si="1224"/>
        <v>0.35868595060632225</v>
      </c>
      <c r="T226" s="127">
        <f t="shared" si="1224"/>
        <v>0.58897170494637696</v>
      </c>
      <c r="U226" s="127">
        <f t="shared" si="1224"/>
        <v>0.60048599266337943</v>
      </c>
      <c r="V226" s="127">
        <f t="shared" si="1224"/>
        <v>1.3028575434005463</v>
      </c>
      <c r="W226" s="127">
        <f t="shared" ref="W226" si="1225">W225-1</f>
        <v>0.8595574662959411</v>
      </c>
      <c r="X226" s="127">
        <f t="shared" ref="X226:AA226" si="1226">X225-1</f>
        <v>2.3506577256477947</v>
      </c>
      <c r="Y226" s="127">
        <f t="shared" ref="Y226:Z226" si="1227">Y225-1</f>
        <v>3.202715016705997</v>
      </c>
      <c r="Z226" s="127">
        <f t="shared" si="1227"/>
        <v>4.0490151639056977</v>
      </c>
      <c r="AA226" s="127">
        <f t="shared" si="1226"/>
        <v>5.2925582373419928</v>
      </c>
      <c r="AB226" s="101">
        <f t="shared" si="1072"/>
        <v>3.1246956090175138E-2</v>
      </c>
      <c r="AC226" s="109"/>
      <c r="AD226" s="127">
        <f t="shared" ref="AD226:AM226" si="1228">AD225-1</f>
        <v>5.9085726302016379</v>
      </c>
      <c r="AE226" s="127">
        <f t="shared" si="1228"/>
        <v>6.0467440828056711</v>
      </c>
      <c r="AF226" s="127">
        <f t="shared" si="1228"/>
        <v>6.1876789644617842</v>
      </c>
      <c r="AG226" s="127">
        <f t="shared" si="1228"/>
        <v>6.3314325437510224</v>
      </c>
      <c r="AH226" s="127">
        <f t="shared" si="1228"/>
        <v>6.4780611946260418</v>
      </c>
      <c r="AI226" s="127">
        <f t="shared" si="1228"/>
        <v>6.6276224185185644</v>
      </c>
      <c r="AJ226" s="127">
        <f t="shared" si="1228"/>
        <v>6.7801748668889363</v>
      </c>
      <c r="AK226" s="127">
        <f t="shared" si="1228"/>
        <v>6.9357783642267155</v>
      </c>
      <c r="AL226" s="127">
        <f t="shared" si="1228"/>
        <v>7.0944939315112485</v>
      </c>
      <c r="AM226" s="127">
        <f t="shared" si="1228"/>
        <v>7.2563838101414753</v>
      </c>
      <c r="AN226" s="114">
        <f t="shared" si="1212"/>
        <v>2.0818016089932945E-2</v>
      </c>
      <c r="AO226" s="21">
        <f t="shared" si="1205"/>
        <v>0.01</v>
      </c>
      <c r="AP226" s="152" t="e">
        <f>(AP212)/($O$2*100)</f>
        <v>#DIV/0!</v>
      </c>
    </row>
    <row r="227" spans="2:42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53"/>
      <c r="AC227" s="109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3"/>
      <c r="AO227" s="10"/>
      <c r="AP227" s="10"/>
    </row>
    <row r="228" spans="2:42" x14ac:dyDescent="0.15">
      <c r="B228" s="10" t="s">
        <v>500</v>
      </c>
      <c r="C228" s="10"/>
      <c r="D228" s="10"/>
      <c r="E228" s="10"/>
      <c r="F228" s="10"/>
      <c r="G228" s="127">
        <f t="shared" ref="G228:AA228" si="1229">1/G229</f>
        <v>9.3217329545454544E-2</v>
      </c>
      <c r="H228" s="127">
        <f t="shared" si="1229"/>
        <v>7.0388595779220783E-2</v>
      </c>
      <c r="I228" s="127">
        <f t="shared" si="1229"/>
        <v>4.6846060348819267E-2</v>
      </c>
      <c r="J228" s="127">
        <f t="shared" si="1229"/>
        <v>3.2347396887988919E-2</v>
      </c>
      <c r="K228" s="127">
        <f t="shared" si="1229"/>
        <v>3.5880792646884978E-2</v>
      </c>
      <c r="L228" s="127">
        <f t="shared" si="1229"/>
        <v>8.3109426341730561E-2</v>
      </c>
      <c r="M228" s="127">
        <f t="shared" si="1229"/>
        <v>2.8983539438502678E-2</v>
      </c>
      <c r="N228" s="127">
        <f t="shared" si="1229"/>
        <v>2.4724309628543498E-2</v>
      </c>
      <c r="O228" s="127">
        <f t="shared" si="1229"/>
        <v>3.100261746680286E-2</v>
      </c>
      <c r="P228" s="127">
        <f t="shared" si="1229"/>
        <v>2.6404143105698132E-2</v>
      </c>
      <c r="Q228" s="127">
        <f t="shared" si="1229"/>
        <v>2.216251369112815E-2</v>
      </c>
      <c r="R228" s="127">
        <f t="shared" si="1229"/>
        <v>8.7594696969696975E-2</v>
      </c>
      <c r="S228" s="127">
        <f t="shared" si="1229"/>
        <v>0.11691665061633283</v>
      </c>
      <c r="T228" s="127">
        <f t="shared" si="1229"/>
        <v>9.9972208498023726E-2</v>
      </c>
      <c r="U228" s="127">
        <f t="shared" si="1229"/>
        <v>9.9252983976455211E-2</v>
      </c>
      <c r="V228" s="127">
        <f t="shared" si="1229"/>
        <v>6.8980823863636367E-2</v>
      </c>
      <c r="W228" s="127">
        <f t="shared" si="1229"/>
        <v>8.5425168871376314E-2</v>
      </c>
      <c r="X228" s="127">
        <f t="shared" si="1229"/>
        <v>4.7409500937207118E-2</v>
      </c>
      <c r="Y228" s="127">
        <f t="shared" si="1229"/>
        <v>3.7797711706102119E-2</v>
      </c>
      <c r="Z228" s="127">
        <f t="shared" si="1229"/>
        <v>3.1462177360837569E-2</v>
      </c>
      <c r="AA228" s="127">
        <f t="shared" si="1229"/>
        <v>2.5244583298677539E-2</v>
      </c>
      <c r="AB228" s="101">
        <f t="shared" si="1072"/>
        <v>-1.4942490897945193E-2</v>
      </c>
      <c r="AC228" s="109"/>
      <c r="AD228" s="127">
        <f t="shared" ref="AD228:AM228" si="1230">1/AD229</f>
        <v>2.2993607954545456E-2</v>
      </c>
      <c r="AE228" s="127">
        <f t="shared" si="1230"/>
        <v>2.2542752896613193E-2</v>
      </c>
      <c r="AF228" s="127">
        <f t="shared" si="1230"/>
        <v>2.2100738133934501E-2</v>
      </c>
      <c r="AG228" s="127">
        <f t="shared" si="1230"/>
        <v>2.1667390327386762E-2</v>
      </c>
      <c r="AH228" s="127">
        <f t="shared" si="1230"/>
        <v>2.1242539536653688E-2</v>
      </c>
      <c r="AI228" s="127">
        <f t="shared" si="1230"/>
        <v>2.0826019153582044E-2</v>
      </c>
      <c r="AJ228" s="127">
        <f t="shared" si="1230"/>
        <v>2.0417665836845143E-2</v>
      </c>
      <c r="AK228" s="127">
        <f t="shared" si="1230"/>
        <v>2.0017319447887393E-2</v>
      </c>
      <c r="AL228" s="127">
        <f t="shared" si="1230"/>
        <v>1.9624822988124895E-2</v>
      </c>
      <c r="AM228" s="127">
        <f t="shared" si="1230"/>
        <v>1.924002253737735E-2</v>
      </c>
      <c r="AN228" s="114">
        <f t="shared" ref="AN228" si="1231">((AM228/J228)^(1/($AM$3-$K$1) ))-1</f>
        <v>-1.7168935949532615E-2</v>
      </c>
      <c r="AO228" s="21">
        <f t="shared" ref="AO228" si="1232">$O$1</f>
        <v>0.01</v>
      </c>
      <c r="AP228" s="152">
        <f>(AP214)/($O$2*100)</f>
        <v>0</v>
      </c>
    </row>
    <row r="229" spans="2:42" x14ac:dyDescent="0.15">
      <c r="B229" s="10" t="s">
        <v>409</v>
      </c>
      <c r="C229" s="10"/>
      <c r="D229" s="10"/>
      <c r="E229" s="10"/>
      <c r="F229" s="10"/>
      <c r="G229" s="111">
        <f t="shared" ref="G229" si="1233">G205/$U$174</f>
        <v>10.727619047619047</v>
      </c>
      <c r="H229" s="111">
        <f t="shared" ref="H229:Q229" si="1234">H205/$U$174</f>
        <v>14.206846846846846</v>
      </c>
      <c r="I229" s="111">
        <f t="shared" si="1234"/>
        <v>21.346512226512225</v>
      </c>
      <c r="J229" s="111">
        <f t="shared" si="1234"/>
        <v>30.914388674388672</v>
      </c>
      <c r="K229" s="111">
        <f t="shared" si="1234"/>
        <v>27.87006435006435</v>
      </c>
      <c r="L229" s="111">
        <f t="shared" si="1234"/>
        <v>12.032329472329472</v>
      </c>
      <c r="M229" s="111">
        <f t="shared" si="1234"/>
        <v>34.502342342342338</v>
      </c>
      <c r="N229" s="111">
        <f t="shared" si="1234"/>
        <v>40.446023166023167</v>
      </c>
      <c r="O229" s="111">
        <f t="shared" si="1234"/>
        <v>32.255341055341056</v>
      </c>
      <c r="P229" s="111">
        <f t="shared" si="1234"/>
        <v>37.872844272844269</v>
      </c>
      <c r="Q229" s="111">
        <f t="shared" si="1234"/>
        <v>45.121235521235519</v>
      </c>
      <c r="R229" s="111">
        <f t="shared" ref="R229:V229" si="1235">R205/$U$174</f>
        <v>11.416216216216215</v>
      </c>
      <c r="S229" s="111">
        <f t="shared" si="1235"/>
        <v>8.553101673101672</v>
      </c>
      <c r="T229" s="111">
        <f t="shared" si="1235"/>
        <v>10.002779922779922</v>
      </c>
      <c r="U229" s="111">
        <f t="shared" si="1235"/>
        <v>10.075263835263835</v>
      </c>
      <c r="V229" s="111">
        <f t="shared" si="1235"/>
        <v>14.496782496782496</v>
      </c>
      <c r="W229" s="111">
        <f t="shared" ref="W229" si="1236">W205/$U$174</f>
        <v>11.706151866151865</v>
      </c>
      <c r="X229" s="111">
        <f t="shared" ref="X229:AA229" si="1237">X205/$U$174</f>
        <v>21.092818532818534</v>
      </c>
      <c r="Y229" s="111">
        <f t="shared" ref="Y229:Z229" si="1238">Y205/$U$174</f>
        <v>26.456628056628055</v>
      </c>
      <c r="Z229" s="111">
        <f t="shared" si="1238"/>
        <v>31.784195624195622</v>
      </c>
      <c r="AA229" s="111">
        <f t="shared" si="1237"/>
        <v>39.612458172458169</v>
      </c>
      <c r="AB229" s="101">
        <f t="shared" si="1072"/>
        <v>1.5169155871484374E-2</v>
      </c>
      <c r="AC229" s="109"/>
      <c r="AD229" s="111">
        <f t="shared" ref="AD229:AM229" si="1239">AD205/$U$174</f>
        <v>43.490347490347489</v>
      </c>
      <c r="AE229" s="111">
        <f t="shared" si="1239"/>
        <v>44.360154440154439</v>
      </c>
      <c r="AF229" s="111">
        <f t="shared" si="1239"/>
        <v>45.247357528957529</v>
      </c>
      <c r="AG229" s="111">
        <f t="shared" si="1239"/>
        <v>46.152304679536684</v>
      </c>
      <c r="AH229" s="111">
        <f t="shared" si="1239"/>
        <v>47.075350773127418</v>
      </c>
      <c r="AI229" s="111">
        <f t="shared" si="1239"/>
        <v>48.016857788589974</v>
      </c>
      <c r="AJ229" s="111">
        <f t="shared" si="1239"/>
        <v>48.97719494436177</v>
      </c>
      <c r="AK229" s="111">
        <f t="shared" si="1239"/>
        <v>49.956738843249013</v>
      </c>
      <c r="AL229" s="111">
        <f t="shared" si="1239"/>
        <v>50.955873620113991</v>
      </c>
      <c r="AM229" s="111">
        <f t="shared" si="1239"/>
        <v>51.974991092516269</v>
      </c>
      <c r="AN229" s="114">
        <f t="shared" ref="AN229:AN231" si="1240">((AM229/J229)^(1/($AM$3-$K$1) ))-1</f>
        <v>1.7468857647595648E-2</v>
      </c>
      <c r="AO229" s="21">
        <f t="shared" ref="AO229:AO231" si="1241">$O$1</f>
        <v>0.01</v>
      </c>
      <c r="AP229" s="152">
        <f>(AP214)/($O$2*100)</f>
        <v>0</v>
      </c>
    </row>
    <row r="230" spans="2:42" x14ac:dyDescent="0.15">
      <c r="B230" s="10" t="s">
        <v>430</v>
      </c>
      <c r="C230" s="10"/>
      <c r="D230" s="10"/>
      <c r="E230" s="10"/>
      <c r="F230" s="10"/>
      <c r="G230" s="152">
        <f t="shared" ref="G230" si="1242">(G229)/($O$2*100)</f>
        <v>1.0727619047619048</v>
      </c>
      <c r="H230" s="152">
        <f t="shared" ref="H230:I230" si="1243">(H229)/($O$2*100)</f>
        <v>1.4206846846846846</v>
      </c>
      <c r="I230" s="152">
        <f t="shared" si="1243"/>
        <v>2.1346512226512226</v>
      </c>
      <c r="J230" s="152">
        <f t="shared" ref="J230:Q230" si="1244">(J229)/($O$2*100)</f>
        <v>3.0914388674388671</v>
      </c>
      <c r="K230" s="152">
        <f t="shared" si="1244"/>
        <v>2.7870064350064352</v>
      </c>
      <c r="L230" s="152">
        <f t="shared" si="1244"/>
        <v>1.2032329472329473</v>
      </c>
      <c r="M230" s="152">
        <f t="shared" si="1244"/>
        <v>3.4502342342342338</v>
      </c>
      <c r="N230" s="152">
        <f t="shared" si="1244"/>
        <v>4.0446023166023171</v>
      </c>
      <c r="O230" s="152">
        <f t="shared" si="1244"/>
        <v>3.2255341055341056</v>
      </c>
      <c r="P230" s="152">
        <f t="shared" si="1244"/>
        <v>3.787284427284427</v>
      </c>
      <c r="Q230" s="152">
        <f t="shared" si="1244"/>
        <v>4.5121235521235521</v>
      </c>
      <c r="R230" s="152">
        <f t="shared" ref="R230:V230" si="1245">(R229)/($O$2*100)</f>
        <v>1.1416216216216215</v>
      </c>
      <c r="S230" s="152">
        <f t="shared" si="1245"/>
        <v>0.85531016731016718</v>
      </c>
      <c r="T230" s="152">
        <f t="shared" si="1245"/>
        <v>1.0002779922779923</v>
      </c>
      <c r="U230" s="152">
        <f t="shared" si="1245"/>
        <v>1.0075263835263835</v>
      </c>
      <c r="V230" s="152">
        <f t="shared" si="1245"/>
        <v>1.4496782496782497</v>
      </c>
      <c r="W230" s="152">
        <f t="shared" ref="W230" si="1246">(W229)/($O$2*100)</f>
        <v>1.1706151866151866</v>
      </c>
      <c r="X230" s="152">
        <f t="shared" ref="X230:AA230" si="1247">(X229)/($O$2*100)</f>
        <v>2.1092818532818534</v>
      </c>
      <c r="Y230" s="152">
        <f t="shared" ref="Y230:Z230" si="1248">(Y229)/($O$2*100)</f>
        <v>2.6456628056628055</v>
      </c>
      <c r="Z230" s="152">
        <f t="shared" si="1248"/>
        <v>3.1784195624195624</v>
      </c>
      <c r="AA230" s="152">
        <f t="shared" si="1247"/>
        <v>3.9612458172458167</v>
      </c>
      <c r="AB230" s="101">
        <f t="shared" si="1072"/>
        <v>1.5169155871484374E-2</v>
      </c>
      <c r="AC230" s="109"/>
      <c r="AD230" s="152">
        <f t="shared" ref="AD230:AM230" si="1249">(AD229)/($O$2*100)</f>
        <v>4.3490347490347485</v>
      </c>
      <c r="AE230" s="152">
        <f t="shared" si="1249"/>
        <v>4.4360154440154442</v>
      </c>
      <c r="AF230" s="152">
        <f t="shared" si="1249"/>
        <v>4.5247357528957526</v>
      </c>
      <c r="AG230" s="152">
        <f t="shared" si="1249"/>
        <v>4.6152304679536682</v>
      </c>
      <c r="AH230" s="152">
        <f t="shared" si="1249"/>
        <v>4.707535077312742</v>
      </c>
      <c r="AI230" s="152">
        <f t="shared" si="1249"/>
        <v>4.8016857788589977</v>
      </c>
      <c r="AJ230" s="152">
        <f t="shared" si="1249"/>
        <v>4.8977194944361768</v>
      </c>
      <c r="AK230" s="152">
        <f t="shared" si="1249"/>
        <v>4.9956738843249013</v>
      </c>
      <c r="AL230" s="152">
        <f t="shared" si="1249"/>
        <v>5.0955873620113987</v>
      </c>
      <c r="AM230" s="152">
        <f t="shared" si="1249"/>
        <v>5.1974991092516269</v>
      </c>
      <c r="AN230" s="114">
        <f t="shared" si="1240"/>
        <v>1.7468857647595648E-2</v>
      </c>
      <c r="AO230" s="21">
        <f t="shared" si="1241"/>
        <v>0.01</v>
      </c>
      <c r="AP230" s="152">
        <f>(AP215)/($O$2*100)</f>
        <v>0</v>
      </c>
    </row>
    <row r="231" spans="2:42" x14ac:dyDescent="0.15">
      <c r="B231" s="10" t="s">
        <v>432</v>
      </c>
      <c r="C231" s="10"/>
      <c r="D231" s="10"/>
      <c r="E231" s="10"/>
      <c r="F231" s="10"/>
      <c r="G231" s="127">
        <f t="shared" ref="G231" si="1250">G230-1</f>
        <v>7.2761904761904805E-2</v>
      </c>
      <c r="H231" s="127">
        <f t="shared" ref="H231:I231" si="1251">H230-1</f>
        <v>0.42068468468468456</v>
      </c>
      <c r="I231" s="127">
        <f t="shared" si="1251"/>
        <v>1.1346512226512226</v>
      </c>
      <c r="J231" s="127">
        <f t="shared" ref="J231:Q231" si="1252">J230-1</f>
        <v>2.0914388674388671</v>
      </c>
      <c r="K231" s="127">
        <f t="shared" si="1252"/>
        <v>1.7870064350064352</v>
      </c>
      <c r="L231" s="127">
        <f t="shared" si="1252"/>
        <v>0.20323294723294727</v>
      </c>
      <c r="M231" s="127">
        <f t="shared" si="1252"/>
        <v>2.4502342342342338</v>
      </c>
      <c r="N231" s="127">
        <f t="shared" si="1252"/>
        <v>3.0446023166023171</v>
      </c>
      <c r="O231" s="127">
        <f t="shared" si="1252"/>
        <v>2.2255341055341056</v>
      </c>
      <c r="P231" s="127">
        <f t="shared" si="1252"/>
        <v>2.787284427284427</v>
      </c>
      <c r="Q231" s="127">
        <f t="shared" si="1252"/>
        <v>3.5121235521235521</v>
      </c>
      <c r="R231" s="127">
        <f t="shared" ref="R231:V231" si="1253">R230-1</f>
        <v>0.14162162162162151</v>
      </c>
      <c r="S231" s="127">
        <f t="shared" si="1253"/>
        <v>-0.14468983268983282</v>
      </c>
      <c r="T231" s="127">
        <f t="shared" si="1253"/>
        <v>2.7799227799230053E-4</v>
      </c>
      <c r="U231" s="127">
        <f t="shared" si="1253"/>
        <v>7.5263835263834622E-3</v>
      </c>
      <c r="V231" s="127">
        <f t="shared" si="1253"/>
        <v>0.44967824967824965</v>
      </c>
      <c r="W231" s="127">
        <f t="shared" ref="W231" si="1254">W230-1</f>
        <v>0.1706151866151866</v>
      </c>
      <c r="X231" s="127">
        <f t="shared" ref="X231:AA231" si="1255">X230-1</f>
        <v>1.1092818532818534</v>
      </c>
      <c r="Y231" s="127">
        <f t="shared" ref="Y231:Z231" si="1256">Y230-1</f>
        <v>1.6456628056628055</v>
      </c>
      <c r="Z231" s="127">
        <f t="shared" si="1256"/>
        <v>2.1784195624195624</v>
      </c>
      <c r="AA231" s="127">
        <f t="shared" si="1255"/>
        <v>2.9612458172458167</v>
      </c>
      <c r="AB231" s="101">
        <f t="shared" si="1072"/>
        <v>9.5342379475231942E-2</v>
      </c>
      <c r="AC231" s="109"/>
      <c r="AD231" s="127">
        <f t="shared" ref="AD231:AM231" si="1257">AD230-1</f>
        <v>3.3490347490347485</v>
      </c>
      <c r="AE231" s="127">
        <f t="shared" si="1257"/>
        <v>3.4360154440154442</v>
      </c>
      <c r="AF231" s="127">
        <f t="shared" si="1257"/>
        <v>3.5247357528957526</v>
      </c>
      <c r="AG231" s="127">
        <f t="shared" si="1257"/>
        <v>3.6152304679536682</v>
      </c>
      <c r="AH231" s="127">
        <f t="shared" si="1257"/>
        <v>3.707535077312742</v>
      </c>
      <c r="AI231" s="127">
        <f t="shared" si="1257"/>
        <v>3.8016857788589977</v>
      </c>
      <c r="AJ231" s="127">
        <f t="shared" si="1257"/>
        <v>3.8977194944361768</v>
      </c>
      <c r="AK231" s="127">
        <f t="shared" si="1257"/>
        <v>3.9956738843249013</v>
      </c>
      <c r="AL231" s="127">
        <f t="shared" si="1257"/>
        <v>4.0955873620113987</v>
      </c>
      <c r="AM231" s="127">
        <f t="shared" si="1257"/>
        <v>4.1974991092516269</v>
      </c>
      <c r="AN231" s="114">
        <f t="shared" si="1240"/>
        <v>2.3492932134704159E-2</v>
      </c>
      <c r="AO231" s="21">
        <f t="shared" si="1241"/>
        <v>0.01</v>
      </c>
      <c r="AP231" s="152">
        <f>(AP216)/($O$2*100)</f>
        <v>642864.56631429843</v>
      </c>
    </row>
    <row r="232" spans="2:42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53"/>
      <c r="AC232" s="109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3"/>
      <c r="AO232" s="10"/>
      <c r="AP232" s="10"/>
    </row>
    <row r="233" spans="2:42" x14ac:dyDescent="0.15">
      <c r="B233" s="10" t="s">
        <v>501</v>
      </c>
      <c r="C233" s="10"/>
      <c r="D233" s="10"/>
      <c r="E233" s="10"/>
      <c r="F233" s="10"/>
      <c r="G233" s="127">
        <f t="shared" ref="G233:AA233" si="1258">1/G234</f>
        <v>7.8585818849742042E-2</v>
      </c>
      <c r="H233" s="127">
        <f t="shared" si="1258"/>
        <v>5.9340312192662364E-2</v>
      </c>
      <c r="I233" s="127">
        <f t="shared" si="1258"/>
        <v>3.9493043089174264E-2</v>
      </c>
      <c r="J233" s="127">
        <f t="shared" si="1258"/>
        <v>2.7270108299558785E-2</v>
      </c>
      <c r="K233" s="127">
        <f t="shared" si="1258"/>
        <v>3.0248897762709552E-2</v>
      </c>
      <c r="L233" s="127">
        <f t="shared" si="1258"/>
        <v>7.0064464998565196E-2</v>
      </c>
      <c r="M233" s="127">
        <f t="shared" si="1258"/>
        <v>2.4434246196978621E-2</v>
      </c>
      <c r="N233" s="127">
        <f t="shared" si="1258"/>
        <v>2.0843550519286422E-2</v>
      </c>
      <c r="O233" s="127">
        <f t="shared" si="1258"/>
        <v>2.6136407168004094E-2</v>
      </c>
      <c r="P233" s="127">
        <f t="shared" si="1258"/>
        <v>2.2259715195716408E-2</v>
      </c>
      <c r="Q233" s="127">
        <f t="shared" si="1258"/>
        <v>1.8683857332950717E-2</v>
      </c>
      <c r="R233" s="127">
        <f t="shared" si="1258"/>
        <v>7.3845721839757614E-2</v>
      </c>
      <c r="S233" s="127">
        <f t="shared" si="1258"/>
        <v>9.8565264320015444E-2</v>
      </c>
      <c r="T233" s="127">
        <f t="shared" si="1258"/>
        <v>8.4280443404071176E-2</v>
      </c>
      <c r="U233" s="127">
        <f t="shared" si="1258"/>
        <v>8.3674109278862027E-2</v>
      </c>
      <c r="V233" s="127">
        <f t="shared" si="1258"/>
        <v>5.8153505948809109E-2</v>
      </c>
      <c r="W233" s="127">
        <f t="shared" si="1258"/>
        <v>7.2016725633200135E-2</v>
      </c>
      <c r="X233" s="127">
        <f t="shared" si="1258"/>
        <v>3.9968045325642E-2</v>
      </c>
      <c r="Y233" s="127">
        <f t="shared" si="1258"/>
        <v>3.1864934766470746E-2</v>
      </c>
      <c r="Z233" s="127">
        <f t="shared" si="1258"/>
        <v>2.6523833956127306E-2</v>
      </c>
      <c r="AA233" s="127">
        <f t="shared" si="1258"/>
        <v>2.1282161371933801E-2</v>
      </c>
      <c r="AB233" s="101">
        <f t="shared" si="1072"/>
        <v>-1.4942490897945193E-2</v>
      </c>
      <c r="AC233" s="109"/>
      <c r="AD233" s="127">
        <f t="shared" ref="AD233:AM233" si="1259">1/AD234</f>
        <v>589.55219362029652</v>
      </c>
      <c r="AE233" s="127">
        <f t="shared" si="1259"/>
        <v>10.003891668160028</v>
      </c>
      <c r="AF233" s="127">
        <f t="shared" si="1259"/>
        <v>10.57697119855443</v>
      </c>
      <c r="AG233" s="127">
        <f t="shared" si="1259"/>
        <v>11.182879967714221</v>
      </c>
      <c r="AH233" s="127">
        <f t="shared" si="1259"/>
        <v>11.823498620228415</v>
      </c>
      <c r="AI233" s="127">
        <f t="shared" si="1259"/>
        <v>12.500815534651343</v>
      </c>
      <c r="AJ233" s="127">
        <f t="shared" si="1259"/>
        <v>13.216932995113877</v>
      </c>
      <c r="AK233" s="127">
        <f t="shared" si="1259"/>
        <v>13.974073716479497</v>
      </c>
      <c r="AL233" s="127">
        <f t="shared" si="1259"/>
        <v>14.774587743298202</v>
      </c>
      <c r="AM233" s="127">
        <f t="shared" si="1259"/>
        <v>15.62095974397157</v>
      </c>
      <c r="AN233" s="114">
        <f t="shared" ref="AN233:AN236" si="1260">((AM233/J233)^(1/($AM$3-$K$1) ))-1</f>
        <v>0.2357597006922012</v>
      </c>
      <c r="AO233" s="21">
        <f t="shared" ref="AO233:AO236" si="1261">$O$1</f>
        <v>0.01</v>
      </c>
      <c r="AP233" s="152">
        <f>(AP218)/($O$2*100)</f>
        <v>4.8032119935807659E-2</v>
      </c>
    </row>
    <row r="234" spans="2:42" x14ac:dyDescent="0.15">
      <c r="B234" s="10" t="s">
        <v>498</v>
      </c>
      <c r="C234" s="10"/>
      <c r="D234" s="10"/>
      <c r="E234" s="10"/>
      <c r="F234" s="10"/>
      <c r="G234" s="111">
        <f t="shared" ref="G234" si="1262">G205/$AD$175</f>
        <v>12.724942166881583</v>
      </c>
      <c r="H234" s="111">
        <f t="shared" ref="H234:V234" si="1263">H205/$AD$175</f>
        <v>16.851950437221554</v>
      </c>
      <c r="I234" s="111">
        <f t="shared" si="1263"/>
        <v>25.320915325315042</v>
      </c>
      <c r="J234" s="111">
        <f t="shared" si="1263"/>
        <v>36.670188068749965</v>
      </c>
      <c r="K234" s="111">
        <f t="shared" si="1263"/>
        <v>33.059055832202489</v>
      </c>
      <c r="L234" s="111">
        <f t="shared" si="1263"/>
        <v>14.272570268259072</v>
      </c>
      <c r="M234" s="111">
        <f t="shared" si="1263"/>
        <v>40.92616534753806</v>
      </c>
      <c r="N234" s="111">
        <f t="shared" si="1263"/>
        <v>47.976471142702181</v>
      </c>
      <c r="O234" s="111">
        <f t="shared" si="1263"/>
        <v>38.260805839610164</v>
      </c>
      <c r="P234" s="111">
        <f t="shared" si="1263"/>
        <v>44.924204609429907</v>
      </c>
      <c r="Q234" s="111">
        <f t="shared" si="1263"/>
        <v>53.522138505971519</v>
      </c>
      <c r="R234" s="111">
        <f t="shared" si="1263"/>
        <v>13.541745887053034</v>
      </c>
      <c r="S234" s="111">
        <f t="shared" si="1263"/>
        <v>10.145561997919099</v>
      </c>
      <c r="T234" s="111">
        <f t="shared" si="1263"/>
        <v>11.865148777227422</v>
      </c>
      <c r="U234" s="111">
        <f t="shared" si="1263"/>
        <v>11.951128116192837</v>
      </c>
      <c r="V234" s="111">
        <f t="shared" si="1263"/>
        <v>17.19586779308322</v>
      </c>
      <c r="W234" s="111">
        <f t="shared" ref="W234" si="1264">W205/$AD$175</f>
        <v>13.885663242914699</v>
      </c>
      <c r="X234" s="111">
        <f>X205/$AD$175</f>
        <v>25.019987638936083</v>
      </c>
      <c r="Y234" s="111">
        <f t="shared" ref="Y234" si="1265">Y205/$AD$175</f>
        <v>31.382458722376875</v>
      </c>
      <c r="Z234" s="111">
        <f>Z205/$AD$175</f>
        <v>37.701940136334954</v>
      </c>
      <c r="AA234" s="111">
        <f>AA205/$AD$175</f>
        <v>46.9877087445999</v>
      </c>
      <c r="AB234" s="101">
        <f t="shared" si="1072"/>
        <v>1.5169155871484374E-2</v>
      </c>
      <c r="AC234" s="109"/>
      <c r="AD234" s="111">
        <f t="shared" ref="AD234:AM234" si="1266">AD210/$U$174</f>
        <v>1.6962026616494181E-3</v>
      </c>
      <c r="AE234" s="111">
        <f t="shared" si="1266"/>
        <v>9.9961098457589118E-2</v>
      </c>
      <c r="AF234" s="111">
        <f t="shared" si="1266"/>
        <v>9.454502439570521E-2</v>
      </c>
      <c r="AG234" s="111">
        <f t="shared" si="1266"/>
        <v>8.9422403073901521E-2</v>
      </c>
      <c r="AH234" s="111">
        <f t="shared" si="1266"/>
        <v>8.4577334689170142E-2</v>
      </c>
      <c r="AI234" s="111">
        <f t="shared" si="1266"/>
        <v>7.9994780918738739E-2</v>
      </c>
      <c r="AJ234" s="111">
        <f t="shared" si="1266"/>
        <v>7.5660518243505254E-2</v>
      </c>
      <c r="AK234" s="111">
        <f t="shared" si="1266"/>
        <v>7.1561093800493497E-2</v>
      </c>
      <c r="AL234" s="111">
        <f t="shared" si="1266"/>
        <v>6.768378362730311E-2</v>
      </c>
      <c r="AM234" s="111">
        <f t="shared" si="1266"/>
        <v>6.4016553168951051E-2</v>
      </c>
      <c r="AN234" s="114">
        <f t="shared" si="1260"/>
        <v>-0.19078118550082368</v>
      </c>
      <c r="AO234" s="21">
        <f t="shared" si="1261"/>
        <v>0.01</v>
      </c>
      <c r="AP234" s="152">
        <f>(AP219)/($O$2*100)</f>
        <v>9.5548968723922531E-2</v>
      </c>
    </row>
    <row r="235" spans="2:42" x14ac:dyDescent="0.15">
      <c r="B235" s="10" t="s">
        <v>430</v>
      </c>
      <c r="C235" s="10"/>
      <c r="D235" s="10"/>
      <c r="E235" s="10"/>
      <c r="F235" s="10"/>
      <c r="G235" s="152">
        <f t="shared" ref="G235" si="1267">(G234)/($O$2*100)</f>
        <v>1.2724942166881583</v>
      </c>
      <c r="H235" s="152">
        <f t="shared" ref="H235:Q235" si="1268">(H234)/($O$2*100)</f>
        <v>1.6851950437221555</v>
      </c>
      <c r="I235" s="152">
        <f t="shared" si="1268"/>
        <v>2.5320915325315041</v>
      </c>
      <c r="J235" s="152">
        <f t="shared" si="1268"/>
        <v>3.6670188068749967</v>
      </c>
      <c r="K235" s="152">
        <f t="shared" si="1268"/>
        <v>3.3059055832202491</v>
      </c>
      <c r="L235" s="152">
        <f t="shared" si="1268"/>
        <v>1.4272570268259073</v>
      </c>
      <c r="M235" s="152">
        <f t="shared" si="1268"/>
        <v>4.0926165347538062</v>
      </c>
      <c r="N235" s="152">
        <f t="shared" si="1268"/>
        <v>4.7976471142702177</v>
      </c>
      <c r="O235" s="152">
        <f t="shared" si="1268"/>
        <v>3.8260805839610166</v>
      </c>
      <c r="P235" s="152">
        <f t="shared" si="1268"/>
        <v>4.4924204609429905</v>
      </c>
      <c r="Q235" s="152">
        <f t="shared" si="1268"/>
        <v>5.3522138505971517</v>
      </c>
      <c r="R235" s="152">
        <f t="shared" ref="R235:V235" si="1269">(R234)/($O$2*100)</f>
        <v>1.3541745887053034</v>
      </c>
      <c r="S235" s="152">
        <f t="shared" si="1269"/>
        <v>1.0145561997919099</v>
      </c>
      <c r="T235" s="152">
        <f t="shared" si="1269"/>
        <v>1.1865148777227421</v>
      </c>
      <c r="U235" s="152">
        <f t="shared" si="1269"/>
        <v>1.1951128116192837</v>
      </c>
      <c r="V235" s="152">
        <f t="shared" si="1269"/>
        <v>1.7195867793083219</v>
      </c>
      <c r="W235" s="152">
        <f t="shared" ref="W235" si="1270">(W234)/($O$2*100)</f>
        <v>1.3885663242914699</v>
      </c>
      <c r="X235" s="152">
        <f t="shared" ref="X235:AA235" si="1271">(X234)/($O$2*100)</f>
        <v>2.5019987638936083</v>
      </c>
      <c r="Y235" s="152">
        <f t="shared" ref="Y235:Z235" si="1272">(Y234)/($O$2*100)</f>
        <v>3.1382458722376874</v>
      </c>
      <c r="Z235" s="152">
        <f t="shared" si="1272"/>
        <v>3.7701940136334953</v>
      </c>
      <c r="AA235" s="152">
        <f t="shared" si="1271"/>
        <v>4.6987708744599903</v>
      </c>
      <c r="AB235" s="101">
        <f t="shared" si="1072"/>
        <v>1.5169155871484374E-2</v>
      </c>
      <c r="AC235" s="109"/>
      <c r="AD235" s="152">
        <f t="shared" ref="AD235:AM235" si="1273">(AD234)/($O$2*100)</f>
        <v>1.696202661649418E-4</v>
      </c>
      <c r="AE235" s="152">
        <f t="shared" si="1273"/>
        <v>9.9961098457589121E-3</v>
      </c>
      <c r="AF235" s="152">
        <f t="shared" si="1273"/>
        <v>9.4545024395705207E-3</v>
      </c>
      <c r="AG235" s="152">
        <f t="shared" si="1273"/>
        <v>8.9422403073901521E-3</v>
      </c>
      <c r="AH235" s="152">
        <f t="shared" si="1273"/>
        <v>8.4577334689170149E-3</v>
      </c>
      <c r="AI235" s="152">
        <f t="shared" si="1273"/>
        <v>7.9994780918738739E-3</v>
      </c>
      <c r="AJ235" s="152">
        <f t="shared" si="1273"/>
        <v>7.5660518243505252E-3</v>
      </c>
      <c r="AK235" s="152">
        <f t="shared" si="1273"/>
        <v>7.1561093800493495E-3</v>
      </c>
      <c r="AL235" s="152">
        <f t="shared" si="1273"/>
        <v>6.7683783627303113E-3</v>
      </c>
      <c r="AM235" s="152">
        <f t="shared" si="1273"/>
        <v>6.4016553168951048E-3</v>
      </c>
      <c r="AN235" s="114">
        <f t="shared" si="1260"/>
        <v>-0.19078118550082368</v>
      </c>
      <c r="AO235" s="21">
        <f t="shared" si="1261"/>
        <v>0.01</v>
      </c>
      <c r="AP235" s="152">
        <f>(AP220)/($O$2*100)</f>
        <v>0.47209527690545716</v>
      </c>
    </row>
    <row r="236" spans="2:42" x14ac:dyDescent="0.15">
      <c r="B236" s="10" t="s">
        <v>432</v>
      </c>
      <c r="C236" s="10"/>
      <c r="D236" s="10"/>
      <c r="E236" s="10"/>
      <c r="F236" s="10"/>
      <c r="G236" s="127">
        <f t="shared" ref="G236" si="1274">G235-1</f>
        <v>0.27249421668815832</v>
      </c>
      <c r="H236" s="127">
        <f t="shared" ref="H236:Q236" si="1275">H235-1</f>
        <v>0.68519504372215545</v>
      </c>
      <c r="I236" s="127">
        <f t="shared" si="1275"/>
        <v>1.5320915325315041</v>
      </c>
      <c r="J236" s="127">
        <f t="shared" si="1275"/>
        <v>2.6670188068749967</v>
      </c>
      <c r="K236" s="127">
        <f t="shared" si="1275"/>
        <v>2.3059055832202491</v>
      </c>
      <c r="L236" s="127">
        <f t="shared" si="1275"/>
        <v>0.42725702682590727</v>
      </c>
      <c r="M236" s="127">
        <f t="shared" si="1275"/>
        <v>3.0926165347538062</v>
      </c>
      <c r="N236" s="127">
        <f t="shared" si="1275"/>
        <v>3.7976471142702177</v>
      </c>
      <c r="O236" s="127">
        <f t="shared" si="1275"/>
        <v>2.8260805839610166</v>
      </c>
      <c r="P236" s="127">
        <f t="shared" si="1275"/>
        <v>3.4924204609429905</v>
      </c>
      <c r="Q236" s="127">
        <f t="shared" si="1275"/>
        <v>4.3522138505971517</v>
      </c>
      <c r="R236" s="127">
        <f t="shared" ref="R236:V236" si="1276">R235-1</f>
        <v>0.35417458870530338</v>
      </c>
      <c r="S236" s="127">
        <f t="shared" si="1276"/>
        <v>1.4556199791909918E-2</v>
      </c>
      <c r="T236" s="127">
        <f t="shared" si="1276"/>
        <v>0.18651487772274211</v>
      </c>
      <c r="U236" s="127">
        <f t="shared" si="1276"/>
        <v>0.19511281161928373</v>
      </c>
      <c r="V236" s="127">
        <f t="shared" si="1276"/>
        <v>0.71958677930832193</v>
      </c>
      <c r="W236" s="127">
        <f t="shared" ref="W236" si="1277">W235-1</f>
        <v>0.38856632429146987</v>
      </c>
      <c r="X236" s="127">
        <f t="shared" ref="X236:AA236" si="1278">X235-1</f>
        <v>1.5019987638936083</v>
      </c>
      <c r="Y236" s="127">
        <f t="shared" ref="Y236:Z236" si="1279">Y235-1</f>
        <v>2.1382458722376874</v>
      </c>
      <c r="Z236" s="127">
        <f t="shared" si="1279"/>
        <v>2.7701940136334953</v>
      </c>
      <c r="AA236" s="127">
        <f t="shared" si="1278"/>
        <v>3.6987708744599903</v>
      </c>
      <c r="AB236" s="101">
        <f t="shared" si="1072"/>
        <v>4.9750993445571767E-2</v>
      </c>
      <c r="AC236" s="109"/>
      <c r="AD236" s="127">
        <f t="shared" ref="AD236:AM236" si="1280">AD235-1</f>
        <v>-0.99983037973383504</v>
      </c>
      <c r="AE236" s="127">
        <f t="shared" si="1280"/>
        <v>-0.99000389015424106</v>
      </c>
      <c r="AF236" s="127">
        <f t="shared" si="1280"/>
        <v>-0.99054549756042953</v>
      </c>
      <c r="AG236" s="127">
        <f t="shared" si="1280"/>
        <v>-0.9910577596926099</v>
      </c>
      <c r="AH236" s="127">
        <f t="shared" si="1280"/>
        <v>-0.99154226653108302</v>
      </c>
      <c r="AI236" s="127">
        <f t="shared" si="1280"/>
        <v>-0.99200052190812615</v>
      </c>
      <c r="AJ236" s="127">
        <f t="shared" si="1280"/>
        <v>-0.99243394817564945</v>
      </c>
      <c r="AK236" s="127">
        <f t="shared" si="1280"/>
        <v>-0.9928438906199506</v>
      </c>
      <c r="AL236" s="127">
        <f t="shared" si="1280"/>
        <v>-0.99323162163726963</v>
      </c>
      <c r="AM236" s="127">
        <f t="shared" si="1280"/>
        <v>-0.99359834468310493</v>
      </c>
      <c r="AN236" s="114" t="e">
        <f t="shared" si="1260"/>
        <v>#NUM!</v>
      </c>
      <c r="AO236" s="21">
        <f t="shared" si="1261"/>
        <v>0.01</v>
      </c>
      <c r="AP236" s="152" t="e">
        <f>(AP221)/($O$2*100)</f>
        <v>#DIV/0!</v>
      </c>
    </row>
    <row r="237" spans="2:42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53"/>
      <c r="AC237" s="109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3"/>
      <c r="AO237" s="10"/>
      <c r="AP237" s="10"/>
    </row>
    <row r="238" spans="2:42" x14ac:dyDescent="0.15">
      <c r="B238" s="10" t="s">
        <v>508</v>
      </c>
      <c r="C238" s="10"/>
      <c r="D238" s="10"/>
      <c r="E238" s="10"/>
      <c r="F238" s="10"/>
      <c r="G238" s="10">
        <f>G216/L59</f>
        <v>4.6193482688391034</v>
      </c>
      <c r="H238" s="10">
        <f t="shared" ref="H238:L238" si="1281">H216/M59</f>
        <v>4.4883271375464684</v>
      </c>
      <c r="I238" s="10">
        <f t="shared" si="1281"/>
        <v>6.5419915042478767</v>
      </c>
      <c r="J238" s="10">
        <f t="shared" si="1281"/>
        <v>6.4203533154722043</v>
      </c>
      <c r="K238" s="10">
        <f t="shared" si="1281"/>
        <v>5.0497696941065318</v>
      </c>
      <c r="L238" s="10">
        <f t="shared" si="1281"/>
        <v>3.1616339813308212</v>
      </c>
      <c r="M238" s="10">
        <f>M216/S59</f>
        <v>9.6890353285740449</v>
      </c>
      <c r="N238" s="10">
        <f>N216/T59</f>
        <v>11.327301587301587</v>
      </c>
      <c r="O238" s="10">
        <f>O216/U59</f>
        <v>11.26805143422354</v>
      </c>
      <c r="P238" s="10">
        <f>P216/V59</f>
        <v>21.179205484267886</v>
      </c>
      <c r="Q238" s="10">
        <f t="shared" ref="Q238:W238" si="1282">Q216/AA59</f>
        <v>3.107028927323626</v>
      </c>
      <c r="R238" s="10">
        <f t="shared" si="1282"/>
        <v>992818.12680856767</v>
      </c>
      <c r="S238" s="10">
        <f t="shared" si="1282"/>
        <v>1371160</v>
      </c>
      <c r="T238" s="10">
        <f t="shared" si="1282"/>
        <v>3.1689653199603067</v>
      </c>
      <c r="U238" s="10">
        <f t="shared" si="1282"/>
        <v>3.2009033320952445</v>
      </c>
      <c r="V238" s="10">
        <f t="shared" si="1282"/>
        <v>4.1999672904721335</v>
      </c>
      <c r="W238" s="10">
        <f t="shared" si="1282"/>
        <v>3.0975203427800562</v>
      </c>
      <c r="X238" s="10">
        <f>X216/AG59</f>
        <v>5.9608527861054981</v>
      </c>
      <c r="Y238" s="10">
        <f>Y216/AG59</f>
        <v>7.509131241879559</v>
      </c>
      <c r="Z238" s="10">
        <f t="shared" ref="Z238:AA238" si="1283">Z216/AG59</f>
        <v>9.073239613895236</v>
      </c>
      <c r="AA238" s="10">
        <f t="shared" si="1283"/>
        <v>10.368298697879256</v>
      </c>
      <c r="AB238" s="109"/>
      <c r="AC238" s="109"/>
      <c r="AD238" s="15">
        <f>AD216/AI59</f>
        <v>10.555433424439997</v>
      </c>
      <c r="AE238" s="15">
        <f t="shared" ref="AE238:AH238" si="1284">AE216/AJ59</f>
        <v>9.9835208498067036</v>
      </c>
      <c r="AF238" s="15">
        <f t="shared" si="1284"/>
        <v>9.4425955383080833</v>
      </c>
      <c r="AG238" s="15">
        <f t="shared" si="1284"/>
        <v>8.9309785436870275</v>
      </c>
      <c r="AH238" s="15">
        <f t="shared" si="1284"/>
        <v>8.4470818880472578</v>
      </c>
      <c r="AI238" s="15"/>
      <c r="AJ238" s="111"/>
      <c r="AK238" s="111"/>
      <c r="AL238" s="111"/>
      <c r="AM238" s="111"/>
      <c r="AN238" s="113"/>
      <c r="AO238" s="10"/>
      <c r="AP238" s="10"/>
    </row>
    <row r="239" spans="2:42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09"/>
      <c r="AC239" s="109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3"/>
      <c r="AO239" s="10"/>
      <c r="AP239" s="10"/>
    </row>
    <row r="240" spans="2:42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09"/>
      <c r="AC240" s="109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3"/>
      <c r="AO240" s="10"/>
      <c r="AP240" s="10"/>
    </row>
    <row r="241" spans="2:53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0" t="s">
        <v>292</v>
      </c>
      <c r="O241" s="301"/>
      <c r="P241" s="10"/>
      <c r="Q241" s="10"/>
      <c r="R241" s="10"/>
      <c r="S241" s="10"/>
      <c r="T241" s="93" t="s">
        <v>371</v>
      </c>
      <c r="U241" s="165" t="s">
        <v>370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13"/>
      <c r="AO241" s="10"/>
      <c r="AP241" s="10"/>
    </row>
    <row r="242" spans="2:53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293</v>
      </c>
      <c r="O242" s="12">
        <v>1</v>
      </c>
      <c r="P242" s="10"/>
      <c r="Q242" s="10"/>
      <c r="R242" s="10"/>
      <c r="S242" s="10"/>
      <c r="T242" s="109" t="e">
        <f>(V205-AE192)/V205</f>
        <v>#DIV/0!</v>
      </c>
      <c r="U242" s="109">
        <f>(V205-AD192)/V205</f>
        <v>1</v>
      </c>
      <c r="V242" s="109"/>
      <c r="W242" s="109"/>
      <c r="X242" s="109"/>
      <c r="Y242" s="109"/>
      <c r="Z242" s="109"/>
      <c r="AA242" s="109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13"/>
      <c r="AO242" s="10"/>
      <c r="AP242" s="10"/>
    </row>
    <row r="243" spans="2:53" x14ac:dyDescent="0.15">
      <c r="B243" s="10" t="s">
        <v>290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(T205-(N243*AC183))/T205</f>
        <v>#DIV/0!</v>
      </c>
      <c r="Q243" s="10"/>
      <c r="R243" s="10"/>
      <c r="S243" s="10"/>
      <c r="T243" s="109" t="e">
        <f>(V205-AE183)/V205</f>
        <v>#DIV/0!</v>
      </c>
      <c r="U243" s="109">
        <f>(V205-AD183)/V205</f>
        <v>0.66099690018639479</v>
      </c>
      <c r="V243" s="109"/>
      <c r="W243" s="109"/>
      <c r="X243" s="109"/>
      <c r="Y243" s="109"/>
      <c r="Z243" s="109"/>
      <c r="AA243" s="109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13"/>
      <c r="AO243" s="10"/>
      <c r="AP243" s="10"/>
    </row>
    <row r="244" spans="2:53" x14ac:dyDescent="0.15">
      <c r="B244" s="10" t="s">
        <v>291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(T205-(N244*AC176))/T205</f>
        <v>#DIV/0!</v>
      </c>
      <c r="Q244" s="10"/>
      <c r="R244" s="10"/>
      <c r="S244" s="10"/>
      <c r="T244" s="109" t="e">
        <f>(V205-AE176)/V205</f>
        <v>#DIV/0!</v>
      </c>
      <c r="U244" s="109">
        <f>(V205-AD176)/V205</f>
        <v>0.66099690018639479</v>
      </c>
      <c r="V244" s="109"/>
      <c r="W244" s="109"/>
      <c r="X244" s="109"/>
      <c r="Y244" s="109"/>
      <c r="Z244" s="109"/>
      <c r="AA244" s="109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13"/>
      <c r="AO244" s="10"/>
      <c r="AP244" s="10"/>
    </row>
    <row r="245" spans="2:53" x14ac:dyDescent="0.15">
      <c r="B245" s="10" t="s">
        <v>294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(T205-(N245*AC189))/T205</f>
        <v>#DIV/0!</v>
      </c>
      <c r="Q245" s="10"/>
      <c r="R245" s="10"/>
      <c r="S245" s="10"/>
      <c r="T245" s="109" t="e">
        <f>(V205-AE189)/V205</f>
        <v>#DIV/0!</v>
      </c>
      <c r="U245" s="109">
        <f>(V205-AD189)/V205</f>
        <v>1</v>
      </c>
      <c r="V245" s="109"/>
      <c r="W245" s="109"/>
      <c r="X245" s="109"/>
      <c r="Y245" s="109"/>
      <c r="Z245" s="109"/>
      <c r="AA245" s="109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13"/>
      <c r="AO245" s="10"/>
      <c r="AP245" s="10"/>
    </row>
    <row r="246" spans="2:53" x14ac:dyDescent="0.15">
      <c r="B246" s="10" t="s">
        <v>340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(T205-(N246*AC202))/T205</f>
        <v>#DIV/0!</v>
      </c>
      <c r="Q246" s="10"/>
      <c r="R246" s="10"/>
      <c r="S246" s="10"/>
      <c r="T246" s="109" t="e">
        <f>(V205-AE202)/V205</f>
        <v>#DIV/0!</v>
      </c>
      <c r="U246" s="109">
        <f>(V205-AD202)/V205</f>
        <v>1</v>
      </c>
      <c r="V246" s="109"/>
      <c r="W246" s="109"/>
      <c r="X246" s="109"/>
      <c r="Y246" s="109"/>
      <c r="Z246" s="109"/>
      <c r="AA246" s="109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13"/>
      <c r="AO246" s="10"/>
      <c r="AP246" s="10"/>
    </row>
    <row r="247" spans="2:53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V205/AE175</f>
        <v>#DIV/0!</v>
      </c>
      <c r="U247" s="15">
        <f>V205/AD175</f>
        <v>17.19586779308322</v>
      </c>
      <c r="V247" s="15"/>
      <c r="W247" s="15"/>
      <c r="X247" s="15"/>
      <c r="Y247" s="15"/>
      <c r="Z247" s="15"/>
      <c r="AA247" s="98" t="s">
        <v>5</v>
      </c>
      <c r="AB247" s="98" t="s">
        <v>6</v>
      </c>
      <c r="AC247" s="98" t="s">
        <v>7</v>
      </c>
      <c r="AD247" s="98" t="s">
        <v>8</v>
      </c>
      <c r="AE247" s="98" t="s">
        <v>9</v>
      </c>
      <c r="AF247" s="98" t="s">
        <v>192</v>
      </c>
      <c r="AG247" s="98" t="s">
        <v>193</v>
      </c>
      <c r="AH247" s="98" t="s">
        <v>194</v>
      </c>
      <c r="AI247" s="98" t="s">
        <v>195</v>
      </c>
      <c r="AJ247" s="98" t="s">
        <v>196</v>
      </c>
      <c r="AK247" s="98" t="s">
        <v>348</v>
      </c>
      <c r="AL247" s="98" t="s">
        <v>349</v>
      </c>
      <c r="AM247" s="98" t="s">
        <v>350</v>
      </c>
      <c r="AN247" s="98" t="s">
        <v>351</v>
      </c>
      <c r="AO247" s="98" t="s">
        <v>352</v>
      </c>
      <c r="AP247" s="98" t="s">
        <v>353</v>
      </c>
      <c r="AQ247" s="98" t="s">
        <v>354</v>
      </c>
      <c r="AR247" s="98" t="s">
        <v>355</v>
      </c>
      <c r="AS247" s="98" t="s">
        <v>356</v>
      </c>
      <c r="AT247" s="98" t="s">
        <v>357</v>
      </c>
      <c r="AU247" s="98" t="s">
        <v>358</v>
      </c>
      <c r="AV247" s="98" t="s">
        <v>359</v>
      </c>
      <c r="AW247" s="98" t="s">
        <v>360</v>
      </c>
      <c r="AX247" s="98" t="s">
        <v>361</v>
      </c>
      <c r="AY247" s="98" t="s">
        <v>362</v>
      </c>
      <c r="AZ247" s="98" t="s">
        <v>363</v>
      </c>
      <c r="BA247" s="98" t="s">
        <v>364</v>
      </c>
    </row>
    <row r="248" spans="2:53" x14ac:dyDescent="0.15">
      <c r="B248" s="10" t="s">
        <v>312</v>
      </c>
      <c r="C248" s="10"/>
      <c r="D248" s="10"/>
      <c r="E248" s="10"/>
      <c r="F248" s="10"/>
      <c r="G248" s="10"/>
      <c r="H248" s="10"/>
      <c r="I248" s="10"/>
      <c r="J248" s="160" t="s">
        <v>387</v>
      </c>
      <c r="K248" s="161"/>
      <c r="L248" s="160" t="s">
        <v>388</v>
      </c>
      <c r="M248" s="161"/>
      <c r="N248" s="10"/>
      <c r="O248" s="160" t="s">
        <v>389</v>
      </c>
      <c r="P248" s="161"/>
      <c r="Q248" s="160" t="s">
        <v>390</v>
      </c>
      <c r="R248" s="160"/>
      <c r="S248" s="161"/>
      <c r="T248" s="127" t="e">
        <f>1/T247</f>
        <v>#DIV/0!</v>
      </c>
      <c r="U248" s="127">
        <f>1/U247</f>
        <v>5.8153505948809109E-2</v>
      </c>
      <c r="V248" s="127"/>
      <c r="W248" s="127"/>
      <c r="X248" s="127"/>
      <c r="Y248" s="127"/>
      <c r="Z248" s="127"/>
      <c r="AA248" s="10">
        <f>V205-AA249</f>
        <v>342.32752626475292</v>
      </c>
      <c r="AB248" s="156">
        <f>AA248-AB249</f>
        <v>276.00418146921879</v>
      </c>
      <c r="AC248" s="156">
        <f t="shared" ref="AC248:AE248" si="1285">AB248-AC249</f>
        <v>199.73233495435454</v>
      </c>
      <c r="AD248" s="156">
        <f t="shared" si="1285"/>
        <v>112.01971146226064</v>
      </c>
      <c r="AE248" s="156">
        <f t="shared" si="1285"/>
        <v>11.150194446352671</v>
      </c>
      <c r="AF248" s="156">
        <f>AE248-AF249</f>
        <v>-104.84975012194148</v>
      </c>
      <c r="AG248" s="156">
        <f t="shared" ref="AG248:AJ248" si="1286">AF248-AG249</f>
        <v>-238.24968637547977</v>
      </c>
      <c r="AH248" s="156">
        <f t="shared" si="1286"/>
        <v>-391.65961306704878</v>
      </c>
      <c r="AI248" s="156">
        <f t="shared" si="1286"/>
        <v>-568.08102876235307</v>
      </c>
      <c r="AJ248" s="156">
        <f t="shared" si="1286"/>
        <v>-770.96565681195307</v>
      </c>
      <c r="AK248" s="156">
        <f t="shared" ref="AK248" si="1287">AJ248-AK249</f>
        <v>-1004.2829790689931</v>
      </c>
      <c r="AL248" s="156">
        <f t="shared" ref="AL248" si="1288">AK248-AL249</f>
        <v>-1272.597899664589</v>
      </c>
      <c r="AM248" s="156">
        <f t="shared" ref="AM248" si="1289">AL248-AM249</f>
        <v>-1581.1600583495244</v>
      </c>
      <c r="AN248" s="156">
        <f t="shared" ref="AN248" si="1290">AM248-AN249</f>
        <v>-1936.0065408372002</v>
      </c>
      <c r="AO248" s="156">
        <f t="shared" ref="AO248" si="1291">AN248-AO249</f>
        <v>-2344.0799956980272</v>
      </c>
      <c r="AP248" s="156">
        <f t="shared" ref="AP248" si="1292">AO248-AP249</f>
        <v>-2813.3644687879782</v>
      </c>
      <c r="AQ248" s="156">
        <f t="shared" ref="AQ248" si="1293">AP248-AQ249</f>
        <v>-3353.0416128414217</v>
      </c>
      <c r="AR248" s="156">
        <f t="shared" ref="AR248" si="1294">AQ248-AR249</f>
        <v>-3973.6703285028816</v>
      </c>
      <c r="AS248" s="156">
        <f t="shared" ref="AS248" si="1295">AR248-AS249</f>
        <v>-4687.3933515135604</v>
      </c>
      <c r="AT248" s="156">
        <f t="shared" ref="AT248" si="1296">AS248-AT249</f>
        <v>-5508.1748279758413</v>
      </c>
      <c r="AU248" s="156">
        <f t="shared" ref="AU248" si="1297">AT248-AU249</f>
        <v>-6452.0735259074645</v>
      </c>
      <c r="AV248" s="156">
        <f t="shared" ref="AV248" si="1298">AU248-AV249</f>
        <v>-7537.5570285288304</v>
      </c>
      <c r="AW248" s="156">
        <f t="shared" ref="AW248" si="1299">AV248-AW249</f>
        <v>-8785.8630565434014</v>
      </c>
      <c r="AX248" s="156">
        <f t="shared" ref="AX248" si="1300">AW248-AX249</f>
        <v>-10221.414988760158</v>
      </c>
      <c r="AY248" s="156">
        <f t="shared" ref="AY248" si="1301">AX248-AY249</f>
        <v>-11872.299710809428</v>
      </c>
      <c r="AZ248" s="156">
        <f t="shared" ref="AZ248" si="1302">AY248-AZ249</f>
        <v>-13770.817141166088</v>
      </c>
      <c r="BA248" s="156">
        <f t="shared" ref="BA248" si="1303">AZ248-BA249</f>
        <v>-15954.112186076247</v>
      </c>
    </row>
    <row r="249" spans="2:53" x14ac:dyDescent="0.15">
      <c r="B249" s="10" t="s">
        <v>337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23.028575434005461</v>
      </c>
      <c r="U249" s="152" t="s">
        <v>407</v>
      </c>
      <c r="V249" s="152"/>
      <c r="W249" s="152"/>
      <c r="X249" s="152"/>
      <c r="Y249" s="152"/>
      <c r="Z249" s="152"/>
      <c r="AA249" s="157">
        <f>AB174*(1+$N$249)</f>
        <v>57.672473735247095</v>
      </c>
      <c r="AB249" s="157">
        <f>AA249*(1+$N$249)</f>
        <v>66.323344795534155</v>
      </c>
      <c r="AC249" s="157">
        <f t="shared" ref="AC249:AJ249" si="1304">AB249*(1+$N$249)</f>
        <v>76.271846514864265</v>
      </c>
      <c r="AD249" s="157">
        <f t="shared" si="1304"/>
        <v>87.712623492093897</v>
      </c>
      <c r="AE249" s="157">
        <f t="shared" si="1304"/>
        <v>100.86951701590797</v>
      </c>
      <c r="AF249" s="157">
        <f t="shared" si="1304"/>
        <v>115.99994456829415</v>
      </c>
      <c r="AG249" s="157">
        <f t="shared" si="1304"/>
        <v>133.39993625353827</v>
      </c>
      <c r="AH249" s="157">
        <f t="shared" si="1304"/>
        <v>153.40992669156901</v>
      </c>
      <c r="AI249" s="157">
        <f t="shared" si="1304"/>
        <v>176.42141569530435</v>
      </c>
      <c r="AJ249" s="157">
        <f t="shared" si="1304"/>
        <v>202.8846280496</v>
      </c>
      <c r="AK249" s="157">
        <f t="shared" ref="AK249" si="1305">AJ249*(1+$N$249)</f>
        <v>233.31732225703999</v>
      </c>
      <c r="AL249" s="157">
        <f t="shared" ref="AL249" si="1306">AK249*(1+$N$249)</f>
        <v>268.31492059559599</v>
      </c>
      <c r="AM249" s="157">
        <f t="shared" ref="AM249" si="1307">AL249*(1+$N$249)</f>
        <v>308.56215868493535</v>
      </c>
      <c r="AN249" s="157">
        <f t="shared" ref="AN249" si="1308">AM249*(1+$N$249)</f>
        <v>354.84648248767564</v>
      </c>
      <c r="AO249" s="157">
        <f t="shared" ref="AO249" si="1309">AN249*(1+$N$249)</f>
        <v>408.07345486082698</v>
      </c>
      <c r="AP249" s="157">
        <f t="shared" ref="AP249" si="1310">AO249*(1+$N$249)</f>
        <v>469.28447308995101</v>
      </c>
      <c r="AQ249" s="157">
        <f t="shared" ref="AQ249" si="1311">AP249*(1+$N$249)</f>
        <v>539.67714405344361</v>
      </c>
      <c r="AR249" s="157">
        <f t="shared" ref="AR249" si="1312">AQ249*(1+$N$249)</f>
        <v>620.62871566146009</v>
      </c>
      <c r="AS249" s="157">
        <f t="shared" ref="AS249" si="1313">AR249*(1+$N$249)</f>
        <v>713.72302301067907</v>
      </c>
      <c r="AT249" s="157">
        <f t="shared" ref="AT249" si="1314">AS249*(1+$N$249)</f>
        <v>820.78147646228092</v>
      </c>
      <c r="AU249" s="157">
        <f t="shared" ref="AU249" si="1315">AT249*(1+$N$249)</f>
        <v>943.89869793162302</v>
      </c>
      <c r="AV249" s="157">
        <f t="shared" ref="AV249" si="1316">AU249*(1+$N$249)</f>
        <v>1085.4835026213664</v>
      </c>
      <c r="AW249" s="157">
        <f t="shared" ref="AW249" si="1317">AV249*(1+$N$249)</f>
        <v>1248.3060280145712</v>
      </c>
      <c r="AX249" s="157">
        <f t="shared" ref="AX249" si="1318">AW249*(1+$N$249)</f>
        <v>1435.5519322167568</v>
      </c>
      <c r="AY249" s="157">
        <f t="shared" ref="AY249" si="1319">AX249*(1+$N$249)</f>
        <v>1650.8847220492701</v>
      </c>
      <c r="AZ249" s="157">
        <f t="shared" ref="AZ249" si="1320">AY249*(1+$N$249)</f>
        <v>1898.5174303566605</v>
      </c>
      <c r="BA249" s="157">
        <f t="shared" ref="BA249" si="1321">AZ249*(1+$N$249)</f>
        <v>2183.2950449101595</v>
      </c>
    </row>
    <row r="250" spans="2:53" x14ac:dyDescent="0.15">
      <c r="B250" s="10" t="s">
        <v>336</v>
      </c>
      <c r="C250" s="10"/>
      <c r="D250" s="10"/>
      <c r="E250" s="13" t="s">
        <v>332</v>
      </c>
      <c r="F250" s="13"/>
      <c r="G250" s="13"/>
      <c r="H250" s="13"/>
      <c r="I250" s="12"/>
      <c r="J250" s="162">
        <v>0</v>
      </c>
      <c r="K250" s="163">
        <f>U207</f>
        <v>19.61490273656446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406</v>
      </c>
      <c r="T250" s="152">
        <f>V205/V76</f>
        <v>45.280365617859026</v>
      </c>
      <c r="U250" s="152" t="s">
        <v>407</v>
      </c>
      <c r="V250" s="152"/>
      <c r="W250" s="152"/>
      <c r="X250" s="152"/>
      <c r="Y250" s="152"/>
      <c r="Z250" s="152"/>
      <c r="AA250" s="157">
        <f>U76*(1+$N$250)</f>
        <v>16.298831775700933</v>
      </c>
      <c r="AB250" s="157">
        <f>AA250*(1+$N$250)</f>
        <v>18.743656542056073</v>
      </c>
      <c r="AC250" s="157">
        <f t="shared" ref="AC250:AJ250" si="1322">AB250*(1+$N$250)</f>
        <v>21.555205023364483</v>
      </c>
      <c r="AD250" s="157">
        <f t="shared" si="1322"/>
        <v>24.788485776869152</v>
      </c>
      <c r="AE250" s="157">
        <f t="shared" si="1322"/>
        <v>28.506758643399522</v>
      </c>
      <c r="AF250" s="157">
        <f t="shared" si="1322"/>
        <v>32.782772439909451</v>
      </c>
      <c r="AG250" s="157">
        <f t="shared" si="1322"/>
        <v>37.700188305895864</v>
      </c>
      <c r="AH250" s="157">
        <f t="shared" si="1322"/>
        <v>43.355216551780238</v>
      </c>
      <c r="AI250" s="157">
        <f t="shared" si="1322"/>
        <v>49.858499034547272</v>
      </c>
      <c r="AJ250" s="157">
        <f t="shared" si="1322"/>
        <v>57.33727388972936</v>
      </c>
      <c r="AK250" s="157">
        <f t="shared" ref="AK250" si="1323">AJ250*(1+$N$250)</f>
        <v>65.937864973188752</v>
      </c>
      <c r="AL250" s="157">
        <f t="shared" ref="AL250" si="1324">AK250*(1+$N$250)</f>
        <v>75.828544719167056</v>
      </c>
      <c r="AM250" s="157">
        <f t="shared" ref="AM250" si="1325">AL250*(1+$N$250)</f>
        <v>87.202826427042112</v>
      </c>
      <c r="AN250" s="157">
        <f t="shared" ref="AN250" si="1326">AM250*(1+$N$250)</f>
        <v>100.28325039109842</v>
      </c>
      <c r="AO250" s="157">
        <f t="shared" ref="AO250" si="1327">AN250*(1+$N$250)</f>
        <v>115.32573794976318</v>
      </c>
      <c r="AP250" s="157">
        <f t="shared" ref="AP250" si="1328">AO250*(1+$N$250)</f>
        <v>132.62459864222765</v>
      </c>
      <c r="AQ250" s="157">
        <f t="shared" ref="AQ250" si="1329">AP250*(1+$N$250)</f>
        <v>152.5182884385618</v>
      </c>
      <c r="AR250" s="157">
        <f t="shared" ref="AR250" si="1330">AQ250*(1+$N$250)</f>
        <v>175.39603170434606</v>
      </c>
      <c r="AS250" s="157">
        <f t="shared" ref="AS250" si="1331">AR250*(1+$N$250)</f>
        <v>201.70543645999794</v>
      </c>
      <c r="AT250" s="157">
        <f t="shared" ref="AT250" si="1332">AS250*(1+$N$250)</f>
        <v>231.96125192899763</v>
      </c>
      <c r="AU250" s="157">
        <f t="shared" ref="AU250" si="1333">AT250*(1+$N$250)</f>
        <v>266.75543971834725</v>
      </c>
      <c r="AV250" s="157">
        <f t="shared" ref="AV250" si="1334">AU250*(1+$N$250)</f>
        <v>306.76875567609932</v>
      </c>
      <c r="AW250" s="157">
        <f t="shared" ref="AW250" si="1335">AV250*(1+$N$250)</f>
        <v>352.78406902751419</v>
      </c>
      <c r="AX250" s="157">
        <f t="shared" ref="AX250" si="1336">AW250*(1+$N$250)</f>
        <v>405.70167938164127</v>
      </c>
      <c r="AY250" s="157">
        <f t="shared" ref="AY250" si="1337">AX250*(1+$N$250)</f>
        <v>466.55693128888743</v>
      </c>
      <c r="AZ250" s="157">
        <f t="shared" ref="AZ250" si="1338">AY250*(1+$N$250)</f>
        <v>536.54047098222054</v>
      </c>
      <c r="BA250" s="157">
        <f t="shared" ref="BA250" si="1339">AZ250*(1+$N$250)</f>
        <v>617.02154162955355</v>
      </c>
    </row>
    <row r="251" spans="2:53" x14ac:dyDescent="0.15">
      <c r="B251" s="10"/>
      <c r="C251" s="10"/>
      <c r="D251" s="10"/>
      <c r="E251" s="13" t="s">
        <v>392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/>
      <c r="AA251" s="10">
        <f>V205-AA250</f>
        <v>383.70116822429907</v>
      </c>
      <c r="AB251" s="156">
        <f>AA251-AB250</f>
        <v>364.95751168224297</v>
      </c>
      <c r="AC251" s="156">
        <f t="shared" ref="AC251:AH251" si="1340">AB251-AC250</f>
        <v>343.4023066588785</v>
      </c>
      <c r="AD251" s="156">
        <f t="shared" si="1340"/>
        <v>318.61382088200935</v>
      </c>
      <c r="AE251" s="156">
        <f t="shared" si="1340"/>
        <v>290.10706223860984</v>
      </c>
      <c r="AF251" s="156">
        <f t="shared" si="1340"/>
        <v>257.32428979870042</v>
      </c>
      <c r="AG251" s="156">
        <f t="shared" si="1340"/>
        <v>219.62410149280456</v>
      </c>
      <c r="AH251" s="156">
        <f t="shared" si="1340"/>
        <v>176.26888494102431</v>
      </c>
      <c r="AI251" s="156">
        <f>AH251-AI250</f>
        <v>126.41038590647705</v>
      </c>
      <c r="AJ251" s="156">
        <f t="shared" ref="AJ251" si="1341">AI251-AJ250</f>
        <v>69.073112016747686</v>
      </c>
      <c r="AK251" s="156">
        <f t="shared" ref="AK251" si="1342">AJ251-AK250</f>
        <v>3.1352470435589339</v>
      </c>
      <c r="AL251" s="156">
        <f t="shared" ref="AL251" si="1343">AK251-AL250</f>
        <v>-72.693297675608122</v>
      </c>
      <c r="AM251" s="156">
        <f t="shared" ref="AM251" si="1344">AL251-AM250</f>
        <v>-159.89612410265022</v>
      </c>
      <c r="AN251" s="156">
        <f t="shared" ref="AN251" si="1345">AM251-AN250</f>
        <v>-260.17937449374864</v>
      </c>
      <c r="AO251" s="156">
        <f t="shared" ref="AO251" si="1346">AN251-AO250</f>
        <v>-375.50511244351185</v>
      </c>
      <c r="AP251" s="156">
        <f t="shared" ref="AP251" si="1347">AO251-AP250</f>
        <v>-508.12971108573947</v>
      </c>
      <c r="AQ251" s="156">
        <f t="shared" ref="AQ251" si="1348">AP251-AQ250</f>
        <v>-660.64799952430121</v>
      </c>
      <c r="AR251" s="156">
        <f t="shared" ref="AR251" si="1349">AQ251-AR250</f>
        <v>-836.04403122864733</v>
      </c>
      <c r="AS251" s="156">
        <f t="shared" ref="AS251" si="1350">AR251-AS250</f>
        <v>-1037.7494676886454</v>
      </c>
      <c r="AT251" s="156">
        <f t="shared" ref="AT251" si="1351">AS251-AT250</f>
        <v>-1269.710719617643</v>
      </c>
      <c r="AU251" s="156">
        <f t="shared" ref="AU251" si="1352">AT251-AU250</f>
        <v>-1536.4661593359901</v>
      </c>
      <c r="AV251" s="156">
        <f t="shared" ref="AV251" si="1353">AU251-AV250</f>
        <v>-1843.2349150120895</v>
      </c>
      <c r="AW251" s="156">
        <f t="shared" ref="AW251" si="1354">AV251-AW250</f>
        <v>-2196.0189840396038</v>
      </c>
      <c r="AX251" s="156">
        <f t="shared" ref="AX251" si="1355">AW251-AX250</f>
        <v>-2601.7206634212453</v>
      </c>
      <c r="AY251" s="156">
        <f t="shared" ref="AY251" si="1356">AX251-AY250</f>
        <v>-3068.2775947101327</v>
      </c>
      <c r="AZ251" s="156">
        <f t="shared" ref="AZ251" si="1357">AY251-AZ250</f>
        <v>-3604.8180656923532</v>
      </c>
      <c r="BA251" s="156">
        <f t="shared" ref="BA251" si="1358">AZ251-BA250</f>
        <v>-4221.8396073219064</v>
      </c>
    </row>
    <row r="252" spans="2:53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spans="2:53" x14ac:dyDescent="0.15">
      <c r="B253" s="10" t="s">
        <v>254</v>
      </c>
      <c r="C253" s="15"/>
      <c r="D253" s="15"/>
      <c r="E253" s="15"/>
      <c r="F253" s="15"/>
      <c r="G253" s="15"/>
      <c r="H253" s="15">
        <f t="shared" ref="H253:I253" si="1359">H10/H7</f>
        <v>0</v>
      </c>
      <c r="I253" s="15">
        <f t="shared" si="1359"/>
        <v>0</v>
      </c>
      <c r="J253" s="15">
        <f t="shared" ref="J253:U253" si="1360">J10/J7</f>
        <v>0</v>
      </c>
      <c r="K253" s="15">
        <f t="shared" si="1360"/>
        <v>0</v>
      </c>
      <c r="L253" s="15">
        <f t="shared" si="1360"/>
        <v>0</v>
      </c>
      <c r="M253" s="15">
        <f t="shared" si="1360"/>
        <v>0</v>
      </c>
      <c r="N253" s="15">
        <f t="shared" si="1360"/>
        <v>0</v>
      </c>
      <c r="O253" s="15">
        <f t="shared" si="1360"/>
        <v>0</v>
      </c>
      <c r="P253" s="15">
        <f t="shared" si="1360"/>
        <v>0</v>
      </c>
      <c r="Q253" s="15">
        <f t="shared" si="1360"/>
        <v>0</v>
      </c>
      <c r="R253" s="15">
        <f t="shared" ref="R253" si="1361">R10/R7</f>
        <v>0</v>
      </c>
      <c r="S253" s="15">
        <f t="shared" si="1360"/>
        <v>0</v>
      </c>
      <c r="T253" s="15">
        <f t="shared" si="1360"/>
        <v>0</v>
      </c>
      <c r="U253" s="15">
        <f t="shared" si="1360"/>
        <v>0</v>
      </c>
      <c r="V253" s="15">
        <f t="shared" ref="V253:AA253" si="1362">V10/V7</f>
        <v>0</v>
      </c>
      <c r="W253" s="15">
        <f t="shared" ref="W253:X253" si="1363">W10/W7</f>
        <v>0</v>
      </c>
      <c r="X253" s="15">
        <f t="shared" si="1363"/>
        <v>0</v>
      </c>
      <c r="Y253" s="15"/>
      <c r="Z253" s="15"/>
      <c r="AA253" s="15">
        <f t="shared" si="1362"/>
        <v>0</v>
      </c>
      <c r="AB253" s="101" t="e">
        <f t="shared" ref="AB253:AB255" si="1364">((V253/G253)^(1/($K$2-$K$1) ))-1</f>
        <v>#DIV/0!</v>
      </c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spans="2:53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365">H10/H12</f>
        <v>#DIV/0!</v>
      </c>
      <c r="I254" s="96" t="e">
        <f t="shared" si="1365"/>
        <v>#DIV/0!</v>
      </c>
      <c r="J254" s="96" t="e">
        <f t="shared" ref="J254:U254" si="1366">J10/J12</f>
        <v>#DIV/0!</v>
      </c>
      <c r="K254" s="96" t="e">
        <f t="shared" si="1366"/>
        <v>#DIV/0!</v>
      </c>
      <c r="L254" s="96" t="e">
        <f t="shared" si="1366"/>
        <v>#DIV/0!</v>
      </c>
      <c r="M254" s="96" t="e">
        <f t="shared" si="1366"/>
        <v>#DIV/0!</v>
      </c>
      <c r="N254" s="96" t="e">
        <f t="shared" si="1366"/>
        <v>#DIV/0!</v>
      </c>
      <c r="O254" s="96" t="e">
        <f t="shared" si="1366"/>
        <v>#DIV/0!</v>
      </c>
      <c r="P254" s="96" t="e">
        <f t="shared" si="1366"/>
        <v>#DIV/0!</v>
      </c>
      <c r="Q254" s="96" t="e">
        <f t="shared" si="1366"/>
        <v>#DIV/0!</v>
      </c>
      <c r="R254" s="96" t="e">
        <f t="shared" ref="R254" si="1367">R10/R12</f>
        <v>#DIV/0!</v>
      </c>
      <c r="S254" s="96" t="e">
        <f t="shared" si="1366"/>
        <v>#DIV/0!</v>
      </c>
      <c r="T254" s="96" t="e">
        <f t="shared" si="1366"/>
        <v>#DIV/0!</v>
      </c>
      <c r="U254" s="96" t="e">
        <f t="shared" si="1366"/>
        <v>#DIV/0!</v>
      </c>
      <c r="V254" s="96" t="e">
        <f t="shared" ref="V254:AA254" si="1368">V10/V12</f>
        <v>#DIV/0!</v>
      </c>
      <c r="W254" s="96" t="e">
        <f t="shared" ref="W254:X254" si="1369">W10/W12</f>
        <v>#DIV/0!</v>
      </c>
      <c r="X254" s="96" t="e">
        <f t="shared" si="1369"/>
        <v>#DIV/0!</v>
      </c>
      <c r="Y254" s="96"/>
      <c r="Z254" s="96"/>
      <c r="AA254" s="96" t="e">
        <f t="shared" si="1368"/>
        <v>#DIV/0!</v>
      </c>
      <c r="AB254" s="101" t="e">
        <f t="shared" si="1364"/>
        <v>#DIV/0!</v>
      </c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spans="2:53" x14ac:dyDescent="0.15">
      <c r="B255" s="10" t="s">
        <v>256</v>
      </c>
      <c r="C255" s="15"/>
      <c r="D255" s="15"/>
      <c r="E255" s="15"/>
      <c r="F255" s="15"/>
      <c r="G255" s="15"/>
      <c r="H255" s="15">
        <f t="shared" ref="H255:I255" si="1370">H10/(H12+H13)</f>
        <v>0</v>
      </c>
      <c r="I255" s="15">
        <f t="shared" si="1370"/>
        <v>0</v>
      </c>
      <c r="J255" s="15">
        <f t="shared" ref="J255:U255" si="1371">J10/(J12+J13)</f>
        <v>0</v>
      </c>
      <c r="K255" s="15">
        <f t="shared" si="1371"/>
        <v>0</v>
      </c>
      <c r="L255" s="15">
        <f t="shared" si="1371"/>
        <v>0</v>
      </c>
      <c r="M255" s="15">
        <f t="shared" si="1371"/>
        <v>0</v>
      </c>
      <c r="N255" s="15">
        <f t="shared" si="1371"/>
        <v>0</v>
      </c>
      <c r="O255" s="15">
        <f t="shared" si="1371"/>
        <v>0</v>
      </c>
      <c r="P255" s="15">
        <f t="shared" si="1371"/>
        <v>0</v>
      </c>
      <c r="Q255" s="15">
        <f t="shared" si="1371"/>
        <v>0</v>
      </c>
      <c r="R255" s="15">
        <f t="shared" ref="R255" si="1372">R10/(R12+R13)</f>
        <v>0</v>
      </c>
      <c r="S255" s="15">
        <f t="shared" si="1371"/>
        <v>0</v>
      </c>
      <c r="T255" s="15">
        <f t="shared" si="1371"/>
        <v>0</v>
      </c>
      <c r="U255" s="15">
        <f t="shared" si="1371"/>
        <v>0</v>
      </c>
      <c r="V255" s="15">
        <f t="shared" ref="V255:AA255" si="1373">V10/(V12+V13)</f>
        <v>0</v>
      </c>
      <c r="W255" s="15">
        <f t="shared" ref="W255:X255" si="1374">W10/(W12+W13)</f>
        <v>0</v>
      </c>
      <c r="X255" s="15">
        <f t="shared" si="1374"/>
        <v>0</v>
      </c>
      <c r="Y255" s="15"/>
      <c r="Z255" s="15"/>
      <c r="AA255" s="15">
        <f t="shared" si="1373"/>
        <v>0</v>
      </c>
      <c r="AB255" s="101" t="e">
        <f t="shared" si="1364"/>
        <v>#DIV/0!</v>
      </c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spans="2:53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spans="2:42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spans="2:42" ht="15" customHeight="1" x14ac:dyDescent="0.15">
      <c r="B258" s="10"/>
      <c r="C258" s="145" t="s">
        <v>318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2" t="s">
        <v>511</v>
      </c>
      <c r="N258" s="302"/>
      <c r="O258" s="302"/>
      <c r="P258" s="303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39"/>
      <c r="AB258" s="140"/>
      <c r="AC258" s="14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spans="2:42" x14ac:dyDescent="0.15">
      <c r="B259" s="10"/>
      <c r="C259" s="138" t="s">
        <v>281</v>
      </c>
      <c r="D259" s="138" t="s">
        <v>0</v>
      </c>
      <c r="E259" s="138" t="s">
        <v>319</v>
      </c>
      <c r="F259" s="138"/>
      <c r="G259" s="138" t="s">
        <v>320</v>
      </c>
      <c r="H259" s="138" t="s">
        <v>321</v>
      </c>
      <c r="I259" s="138" t="s">
        <v>322</v>
      </c>
      <c r="J259" s="138" t="s">
        <v>323</v>
      </c>
      <c r="K259" s="138" t="s">
        <v>324</v>
      </c>
      <c r="L259" s="10"/>
      <c r="M259" s="138" t="s">
        <v>281</v>
      </c>
      <c r="N259" s="138"/>
      <c r="O259" s="138" t="s">
        <v>0</v>
      </c>
      <c r="P259" s="138" t="s">
        <v>313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1"/>
      <c r="AB259" s="142"/>
      <c r="AC259" s="142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2:42" x14ac:dyDescent="0.15">
      <c r="B260" s="10"/>
      <c r="C260" s="139" t="s">
        <v>282</v>
      </c>
      <c r="D260" s="11">
        <v>300</v>
      </c>
      <c r="E260" s="147" t="s">
        <v>325</v>
      </c>
      <c r="F260" s="147"/>
      <c r="G260" s="12">
        <v>1</v>
      </c>
      <c r="H260" s="12">
        <v>10</v>
      </c>
      <c r="I260" s="139">
        <f>G260/H260</f>
        <v>0.1</v>
      </c>
      <c r="J260" s="139">
        <f>I260*D261</f>
        <v>0.2</v>
      </c>
      <c r="K260" s="148">
        <f>J260+D261</f>
        <v>2.2000000000000002</v>
      </c>
      <c r="L260" s="10"/>
      <c r="M260" s="139" t="s">
        <v>282</v>
      </c>
      <c r="N260" s="139"/>
      <c r="O260" s="11">
        <v>70</v>
      </c>
      <c r="P260" s="144">
        <f>O260</f>
        <v>70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2:42" x14ac:dyDescent="0.15">
      <c r="B261" s="10"/>
      <c r="C261" s="139" t="s">
        <v>283</v>
      </c>
      <c r="D261" s="11">
        <v>2</v>
      </c>
      <c r="E261" s="147" t="s">
        <v>326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2.2000000000000002</v>
      </c>
      <c r="L261" s="10"/>
      <c r="M261" s="139" t="s">
        <v>283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39"/>
      <c r="AB261" s="140"/>
      <c r="AC261" s="14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2:42" x14ac:dyDescent="0.15">
      <c r="B262" s="10"/>
      <c r="C262" s="139" t="s">
        <v>285</v>
      </c>
      <c r="D262" s="140">
        <f>D260*D261</f>
        <v>600</v>
      </c>
      <c r="E262" s="147" t="s">
        <v>338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2.2000000000000002</v>
      </c>
      <c r="L262" s="10"/>
      <c r="M262" s="139" t="s">
        <v>284</v>
      </c>
      <c r="N262" s="139"/>
      <c r="O262" s="140">
        <f>O260*O261</f>
        <v>70</v>
      </c>
      <c r="P262" s="144">
        <f>O262</f>
        <v>70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1"/>
      <c r="AB262" s="142"/>
      <c r="AC262" s="142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2:42" x14ac:dyDescent="0.15">
      <c r="B263" s="10"/>
      <c r="C263" s="139"/>
      <c r="D263" s="140"/>
      <c r="E263" s="147" t="s">
        <v>393</v>
      </c>
      <c r="F263" s="147"/>
      <c r="G263" s="12">
        <v>0</v>
      </c>
      <c r="H263" s="12">
        <v>1</v>
      </c>
      <c r="I263" s="139">
        <f t="shared" ref="I263:I266" si="1375">G263/H263</f>
        <v>0</v>
      </c>
      <c r="J263" s="139">
        <f t="shared" ref="J263:J265" si="1376">I263*K262</f>
        <v>0</v>
      </c>
      <c r="K263" s="139">
        <f t="shared" ref="K263:K265" si="1377">J263+K262</f>
        <v>2.2000000000000002</v>
      </c>
      <c r="L263" s="10"/>
      <c r="M263" s="139" t="s">
        <v>286</v>
      </c>
      <c r="N263" s="139"/>
      <c r="O263" s="11">
        <v>1200</v>
      </c>
      <c r="P263" s="11">
        <v>1300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2:42" x14ac:dyDescent="0.15">
      <c r="B264" s="10"/>
      <c r="C264" s="139"/>
      <c r="D264" s="140"/>
      <c r="E264" s="147" t="s">
        <v>394</v>
      </c>
      <c r="F264" s="147"/>
      <c r="G264" s="12">
        <v>0</v>
      </c>
      <c r="H264" s="12">
        <v>1</v>
      </c>
      <c r="I264" s="139">
        <f t="shared" si="1375"/>
        <v>0</v>
      </c>
      <c r="J264" s="139">
        <f t="shared" si="1376"/>
        <v>0</v>
      </c>
      <c r="K264" s="139">
        <f t="shared" si="1377"/>
        <v>2.2000000000000002</v>
      </c>
      <c r="L264" s="10"/>
      <c r="M264" s="139" t="s">
        <v>287</v>
      </c>
      <c r="N264" s="139"/>
      <c r="O264" s="140">
        <f>O263*O261</f>
        <v>1200</v>
      </c>
      <c r="P264" s="140">
        <f>P263*P261</f>
        <v>1300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39"/>
      <c r="AB264" s="140"/>
      <c r="AC264" s="14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2:42" x14ac:dyDescent="0.15">
      <c r="B265" s="10"/>
      <c r="C265" s="139"/>
      <c r="D265" s="140"/>
      <c r="E265" s="147" t="s">
        <v>395</v>
      </c>
      <c r="F265" s="147"/>
      <c r="G265" s="12">
        <v>0</v>
      </c>
      <c r="H265" s="12">
        <v>1</v>
      </c>
      <c r="I265" s="139">
        <f t="shared" si="1375"/>
        <v>0</v>
      </c>
      <c r="J265" s="139">
        <f t="shared" si="1376"/>
        <v>0</v>
      </c>
      <c r="K265" s="139">
        <f t="shared" si="1377"/>
        <v>2.2000000000000002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1"/>
      <c r="AB265" s="142"/>
      <c r="AC265" s="142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2:42" x14ac:dyDescent="0.15">
      <c r="B266" s="10"/>
      <c r="C266" s="139"/>
      <c r="D266" s="140"/>
      <c r="E266" s="147" t="s">
        <v>327</v>
      </c>
      <c r="F266" s="147"/>
      <c r="G266" s="12">
        <v>10</v>
      </c>
      <c r="H266" s="12">
        <v>2</v>
      </c>
      <c r="I266" s="139">
        <f t="shared" si="1375"/>
        <v>5</v>
      </c>
      <c r="J266" s="139">
        <f>I266*K265</f>
        <v>11</v>
      </c>
      <c r="K266" s="139">
        <f>J266</f>
        <v>11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2:42" x14ac:dyDescent="0.15">
      <c r="B267" s="10"/>
      <c r="C267" s="139"/>
      <c r="D267" s="140"/>
      <c r="E267" s="147" t="s">
        <v>396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288</v>
      </c>
      <c r="N267" s="141"/>
      <c r="O267" s="142">
        <f>O264/O262</f>
        <v>17.142857142857142</v>
      </c>
      <c r="P267" s="142">
        <f>P264/P262</f>
        <v>18.571428571428573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1"/>
      <c r="AB267" s="142"/>
      <c r="AC267" s="142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2:42" x14ac:dyDescent="0.15">
      <c r="B268" s="10"/>
      <c r="C268" s="139" t="s">
        <v>286</v>
      </c>
      <c r="D268" s="11">
        <v>1200</v>
      </c>
      <c r="E268" s="147"/>
      <c r="F268" s="147"/>
      <c r="G268" s="139"/>
      <c r="H268" s="139"/>
      <c r="I268" s="141" t="s">
        <v>328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2:42" x14ac:dyDescent="0.15">
      <c r="B269" s="10"/>
      <c r="C269" s="139" t="s">
        <v>283</v>
      </c>
      <c r="D269" s="11">
        <v>11</v>
      </c>
      <c r="E269" s="147" t="s">
        <v>327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10</v>
      </c>
      <c r="K269" s="148">
        <f>J269</f>
        <v>10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2:42" x14ac:dyDescent="0.15">
      <c r="B270" s="10"/>
      <c r="C270" s="139" t="s">
        <v>285</v>
      </c>
      <c r="D270" s="140">
        <f>D269*D268</f>
        <v>13200</v>
      </c>
      <c r="E270" s="139"/>
      <c r="F270" s="139"/>
      <c r="G270" s="139"/>
      <c r="H270" s="139"/>
      <c r="I270" s="141" t="s">
        <v>328</v>
      </c>
      <c r="J270" s="139"/>
      <c r="K270" s="139">
        <f>K269</f>
        <v>10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2:42" x14ac:dyDescent="0.15">
      <c r="B271" s="10"/>
      <c r="C271" s="139"/>
      <c r="D271" s="140"/>
      <c r="E271" s="147" t="s">
        <v>327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50</v>
      </c>
      <c r="K271" s="139">
        <f>J271</f>
        <v>50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2:42" x14ac:dyDescent="0.15">
      <c r="B272" s="10"/>
      <c r="C272" s="141" t="s">
        <v>288</v>
      </c>
      <c r="D272" s="142">
        <f>D270/D262</f>
        <v>22</v>
      </c>
      <c r="E272" s="147"/>
      <c r="F272" s="147"/>
      <c r="G272" s="139"/>
      <c r="H272" s="139"/>
      <c r="I272" s="141" t="s">
        <v>328</v>
      </c>
      <c r="J272" s="139"/>
      <c r="K272" s="139">
        <f>K271</f>
        <v>50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2:40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2:40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2:40" ht="14" x14ac:dyDescent="0.15">
      <c r="B275" s="10"/>
      <c r="C275" s="10"/>
      <c r="D275" s="293" t="s">
        <v>15</v>
      </c>
      <c r="E275" s="294"/>
      <c r="F275" s="294"/>
      <c r="G275" s="294"/>
      <c r="H275" s="294"/>
      <c r="I275" s="294"/>
      <c r="J275" s="295"/>
      <c r="K275" s="10"/>
      <c r="L275" s="293" t="s">
        <v>333</v>
      </c>
      <c r="M275" s="294"/>
      <c r="N275" s="29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2:40" x14ac:dyDescent="0.15">
      <c r="B276" s="10"/>
      <c r="C276" s="10"/>
      <c r="D276" s="10" t="s">
        <v>16</v>
      </c>
      <c r="E276" s="108"/>
      <c r="F276" s="108"/>
      <c r="G276" s="108">
        <f>D262</f>
        <v>600</v>
      </c>
      <c r="H276" s="11">
        <v>70</v>
      </c>
      <c r="I276" s="10"/>
      <c r="J276" s="10"/>
      <c r="K276" s="10"/>
      <c r="L276" s="10" t="s">
        <v>16</v>
      </c>
      <c r="M276" s="108"/>
      <c r="N276" s="11">
        <f>H276</f>
        <v>70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2:40" x14ac:dyDescent="0.15">
      <c r="B277" s="10"/>
      <c r="C277" s="10"/>
      <c r="D277" s="10" t="s">
        <v>17</v>
      </c>
      <c r="E277" s="108"/>
      <c r="F277" s="108"/>
      <c r="G277" s="108">
        <f>D270</f>
        <v>13200</v>
      </c>
      <c r="H277" s="11">
        <v>1200</v>
      </c>
      <c r="I277" s="10"/>
      <c r="J277" s="10"/>
      <c r="K277" s="10"/>
      <c r="L277" s="10" t="s">
        <v>17</v>
      </c>
      <c r="M277" s="10"/>
      <c r="N277" s="11">
        <f>H277</f>
        <v>1200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2:40" x14ac:dyDescent="0.15">
      <c r="B278" s="10"/>
      <c r="C278" s="10"/>
      <c r="D278" s="10" t="s">
        <v>18</v>
      </c>
      <c r="E278" s="10"/>
      <c r="F278" s="10"/>
      <c r="G278" s="12">
        <v>20</v>
      </c>
      <c r="H278" s="12">
        <v>20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2:40" x14ac:dyDescent="0.15">
      <c r="B279" s="10"/>
      <c r="C279" s="10"/>
      <c r="D279" s="13" t="s">
        <v>19</v>
      </c>
      <c r="E279" s="3"/>
      <c r="F279" s="3"/>
      <c r="G279" s="3">
        <f>((G277/G276)^(1/G278))-1</f>
        <v>0.167135110667888</v>
      </c>
      <c r="H279" s="3">
        <f>((H277/H276)^(1/H278))-1</f>
        <v>0.15266779754082016</v>
      </c>
      <c r="I279" s="10"/>
      <c r="J279" s="10"/>
      <c r="K279" s="10"/>
      <c r="L279" s="13" t="s">
        <v>334</v>
      </c>
      <c r="M279" s="13"/>
      <c r="N279" s="164">
        <f>(N277-N276)/N276</f>
        <v>16.142857142857142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2:40" x14ac:dyDescent="0.15">
      <c r="B280" s="10"/>
      <c r="C280" s="10"/>
      <c r="D280" s="13" t="s">
        <v>20</v>
      </c>
      <c r="E280" s="137"/>
      <c r="F280" s="137"/>
      <c r="G280" s="137">
        <f>G278*12</f>
        <v>240</v>
      </c>
      <c r="H280" s="14">
        <f>H278*12</f>
        <v>240</v>
      </c>
      <c r="I280" s="10"/>
      <c r="J280" s="10"/>
      <c r="K280" s="10"/>
      <c r="L280" s="13" t="s">
        <v>335</v>
      </c>
      <c r="M280" s="13"/>
      <c r="N280" s="258">
        <f>N277/N276</f>
        <v>17.142857142857142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2:40" x14ac:dyDescent="0.15">
      <c r="B281" s="10"/>
      <c r="C281" s="10"/>
      <c r="D281" s="10" t="s">
        <v>18</v>
      </c>
      <c r="E281" s="15"/>
      <c r="F281" s="15"/>
      <c r="G281" s="15">
        <f>G280/12</f>
        <v>20</v>
      </c>
      <c r="H281" s="15">
        <f>H280/12</f>
        <v>20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2:40" x14ac:dyDescent="0.15">
      <c r="B282" s="10"/>
      <c r="C282" s="10"/>
      <c r="D282" s="13" t="s">
        <v>21</v>
      </c>
      <c r="E282" s="3"/>
      <c r="F282" s="3"/>
      <c r="G282" s="3">
        <f>((G277/G276)^(1/G281))-1</f>
        <v>0.167135110667888</v>
      </c>
      <c r="H282" s="3">
        <f>((H277/H276)^(1/H281))-1</f>
        <v>0.15266779754082016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2:40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2:40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</sheetData>
  <mergeCells count="8">
    <mergeCell ref="A36:A45"/>
    <mergeCell ref="A128:A136"/>
    <mergeCell ref="D275:J275"/>
    <mergeCell ref="L275:N275"/>
    <mergeCell ref="AO2:AP2"/>
    <mergeCell ref="AO3:AP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79" t="s">
        <v>15</v>
      </c>
      <c r="C2" s="279"/>
      <c r="E2" s="279" t="s">
        <v>53</v>
      </c>
      <c r="F2" s="279"/>
      <c r="H2" s="307" t="s">
        <v>24</v>
      </c>
      <c r="I2" s="308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4" t="s">
        <v>56</v>
      </c>
      <c r="E10" s="305"/>
      <c r="F10" s="305"/>
      <c r="G10" s="305"/>
      <c r="H10" s="306"/>
      <c r="I10" s="304" t="s">
        <v>60</v>
      </c>
      <c r="J10" s="305"/>
      <c r="K10" s="305"/>
      <c r="L10" s="306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09" t="s">
        <v>372</v>
      </c>
      <c r="C3" s="310"/>
      <c r="F3" s="309" t="s">
        <v>373</v>
      </c>
      <c r="G3" s="310"/>
    </row>
    <row r="4" spans="2:7" x14ac:dyDescent="0.15">
      <c r="B4" s="159" t="s">
        <v>374</v>
      </c>
      <c r="C4" s="159"/>
      <c r="F4" s="159" t="s">
        <v>375</v>
      </c>
      <c r="G4" s="159"/>
    </row>
    <row r="5" spans="2:7" x14ac:dyDescent="0.15">
      <c r="B5" s="159" t="s">
        <v>376</v>
      </c>
      <c r="C5" s="159"/>
      <c r="F5" s="159" t="s">
        <v>241</v>
      </c>
      <c r="G5" s="159"/>
    </row>
    <row r="6" spans="2:7" x14ac:dyDescent="0.15">
      <c r="B6" s="159" t="s">
        <v>377</v>
      </c>
      <c r="C6" s="159"/>
      <c r="F6" s="159" t="s">
        <v>378</v>
      </c>
      <c r="G6" s="159"/>
    </row>
    <row r="7" spans="2:7" x14ac:dyDescent="0.15">
      <c r="B7" s="159" t="s">
        <v>379</v>
      </c>
      <c r="C7" s="159"/>
      <c r="F7" s="159" t="s">
        <v>380</v>
      </c>
      <c r="G7" s="159"/>
    </row>
    <row r="8" spans="2:7" x14ac:dyDescent="0.15">
      <c r="B8" s="159" t="s">
        <v>381</v>
      </c>
      <c r="C8" s="159"/>
      <c r="F8" s="159" t="s">
        <v>382</v>
      </c>
      <c r="G8" s="159"/>
    </row>
    <row r="9" spans="2:7" x14ac:dyDescent="0.15">
      <c r="B9" s="159" t="s">
        <v>383</v>
      </c>
      <c r="C9" s="159"/>
      <c r="F9" s="159" t="s">
        <v>384</v>
      </c>
      <c r="G9" s="159"/>
    </row>
    <row r="10" spans="2:7" x14ac:dyDescent="0.15">
      <c r="B10" s="159" t="s">
        <v>382</v>
      </c>
      <c r="C10" s="159"/>
      <c r="F10" s="159"/>
      <c r="G10" s="159"/>
    </row>
    <row r="11" spans="2:7" x14ac:dyDescent="0.15">
      <c r="B11" s="159" t="s">
        <v>385</v>
      </c>
      <c r="C11" s="159"/>
      <c r="F11" s="159"/>
      <c r="G11" s="159"/>
    </row>
    <row r="12" spans="2:7" x14ac:dyDescent="0.15">
      <c r="B12" s="159" t="s">
        <v>386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2024-07-29T16:38:09Z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a46355-4d07-4939-a6f8-8ba816b56327_Enabled">
    <vt:lpwstr>true</vt:lpwstr>
  </property>
  <property fmtid="{D5CDD505-2E9C-101B-9397-08002B2CF9AE}" pid="3" name="MSIP_Label_82a46355-4d07-4939-a6f8-8ba816b56327_SetDate">
    <vt:lpwstr>2024-07-29T15:21:18Z</vt:lpwstr>
  </property>
  <property fmtid="{D5CDD505-2E9C-101B-9397-08002B2CF9AE}" pid="4" name="MSIP_Label_82a46355-4d07-4939-a6f8-8ba816b56327_Method">
    <vt:lpwstr>Standard</vt:lpwstr>
  </property>
  <property fmtid="{D5CDD505-2E9C-101B-9397-08002B2CF9AE}" pid="5" name="MSIP_Label_82a46355-4d07-4939-a6f8-8ba816b56327_Name">
    <vt:lpwstr>Internal Use Only</vt:lpwstr>
  </property>
  <property fmtid="{D5CDD505-2E9C-101B-9397-08002B2CF9AE}" pid="6" name="MSIP_Label_82a46355-4d07-4939-a6f8-8ba816b56327_SiteId">
    <vt:lpwstr>c9f9d6eb-ac24-4f8d-ba12-8aca79668852</vt:lpwstr>
  </property>
  <property fmtid="{D5CDD505-2E9C-101B-9397-08002B2CF9AE}" pid="7" name="MSIP_Label_82a46355-4d07-4939-a6f8-8ba816b56327_ActionId">
    <vt:lpwstr>2128131c-17f2-4d17-84b1-4f4e6f60f584</vt:lpwstr>
  </property>
  <property fmtid="{D5CDD505-2E9C-101B-9397-08002B2CF9AE}" pid="8" name="MSIP_Label_82a46355-4d07-4939-a6f8-8ba816b56327_ContentBits">
    <vt:lpwstr>0</vt:lpwstr>
  </property>
</Properties>
</file>
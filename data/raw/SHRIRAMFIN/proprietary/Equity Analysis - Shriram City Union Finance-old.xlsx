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L12" i="18" l="1"/>
  <c r="K12" i="18"/>
  <c r="J12" i="18"/>
  <c r="I12" i="18"/>
  <c r="H12" i="18"/>
  <c r="G12" i="18"/>
  <c r="M12" i="18"/>
  <c r="R43" i="18" l="1"/>
  <c r="S4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G209" i="18" s="1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K210" i="18" s="1"/>
  <c r="H202" i="18"/>
  <c r="I202" i="18" s="1"/>
  <c r="J202" i="18" s="1"/>
  <c r="J203" i="18" s="1"/>
  <c r="H200" i="18"/>
  <c r="H198" i="18"/>
  <c r="H197" i="18"/>
  <c r="I197" i="18" s="1"/>
  <c r="J197" i="18" s="1"/>
  <c r="G212" i="18" l="1"/>
  <c r="K209" i="18"/>
  <c r="G215" i="18"/>
  <c r="D205" i="18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Q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Q97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64" i="18" s="1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AG188" i="18" l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03" i="18" s="1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R138" i="18"/>
  <c r="P184" i="18" s="1"/>
  <c r="P185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<sst xmlns="http://schemas.openxmlformats.org/spreadsheetml/2006/main" count="617" uniqueCount="428">
  <si>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</si>
  <si>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</si>
  <si>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</si>
  <si>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</si>
  <si>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</si>
  <si>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</si>
  <si>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</si>
  <si>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</si>
  <si>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</si>
  <si>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</si>
  <si>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</si>
  <si>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</si>
  <si>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</si>
  <si>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</si>
  <si>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</si>
  <si>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</si>
  <si>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</si>
  <si>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</si>
  <si>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</si>
  <si>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</si>
  <si>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</si>
  <si>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</si>
  <si>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</si>
  <si>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</si>
  <si>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</si>
  <si>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</si>
  <si>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</si>
  <si>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</si>
  <si>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</si>
  <si>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</si>
  <si>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</si>
  <si>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</si>
  <si>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</si>
  <si>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</si>
  <si>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</si>
  <si>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</si>
  <si>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</si>
  <si>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</si>
  <si>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</si>
  <si>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</si>
  <si>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</si>
  <si>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</si>
  <si>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</si>
  <si>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</si>
  <si>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</si>
  <si>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</si>
  <si>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</si>
  <si>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</si>
  <si>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</si>
  <si>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</si>
  <si>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</si>
  <si>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</si>
  <si>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</si>
  <si>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</si>
  <si>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</si>
  <si>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</si>
  <si>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</si>
  <si>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</si>
  <si>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</si>
  <si>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</si>
  <si>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</si>
  <si>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</si>
  <si>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</si>
  <si>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</si>
  <si>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</si>
  <si>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</si>
  <si>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</si>
  <si>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</si>
  <si>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</si>
  <si>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</si>
  <si>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</si>
  <si>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</si>
  <si>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</si>
  <si>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</si>
  <si>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</si>
  <si>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</si>
  <si>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</si>
  <si>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</si>
  <si>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</si>
  <si>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</si>
  <si>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</si>
  <si>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</si>
  <si>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</si>
  <si>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</si>
  <si>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</si>
  <si>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</si>
  <si>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</si>
  <si>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</si>
  <si>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</si>
  <si>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</si>
  <si>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</si>
  <si>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</si>
  <si>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</si>
  <si>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</si>
  <si>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</si>
  <si>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</si>
  <si>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</si>
  <si>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</si>
  <si>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</si>
  <si>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</si>
  <si>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</si>
  <si>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</si>
  <si>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</si>
  <si>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</si>
  <si>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</si>
  <si>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</si>
  <si>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</si>
  <si>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</si>
  <si>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</si>
  <si>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</si>
  <si>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</si>
  <si>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</si>
  <si>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</si>
  <si>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</si>
  <si>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</si>
  <si>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</si>
  <si>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</si>
  <si>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</si>
  <si>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</si>
  <si>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</si>
  <si>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</si>
  <si>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</si>
  <si>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</si>
  <si>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</si>
  <si>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</si>
  <si>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</si>
  <si>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</si>
  <si>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</si>
  <si>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</si>
  <si>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</si>
  <si>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</si>
  <si>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</si>
  <si>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</si>
  <si>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</si>
  <si>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</si>
  <si>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</si>
  <si>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</si>
  <si>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</si>
  <si>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</si>
  <si>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</si>
  <si>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</si>
  <si>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</si>
  <si>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</si>
  <si>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</si>
  <si>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</si>
  <si>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</si>
  <si>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</si>
  <si>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</si>
  <si>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</si>
  <si>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</si>
  <si>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</si>
  <si>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</si>
  <si>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</si>
  <si>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</si>
  <si>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</si>
  <si>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</si>
  <si>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</si>
  <si>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</si>
  <si>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</si>
  <si>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</si>
  <si>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</si>
  <si>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</si>
  <si>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</si>
  <si>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</si>
  <si>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</si>
  <si>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</si>
  <si>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</si>
  <si>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</si>
  <si>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</si>
  <si>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</si>
  <si>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</si>
  <si>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</si>
  <si>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</si>
  <si>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</si>
  <si>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</si>
  <si>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</si>
  <si>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</si>
  <si>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</si>
  <si>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</si>
  <si>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</si>
  <si>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</si>
  <si>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</si>
  <si>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</si>
  <si>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</si>
  <si>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</si>
  <si>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</si>
  <si>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</si>
  <si>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</si>
  <si>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</si>
  <si>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</si>
  <si>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</si>
  <si>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</si>
  <si>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</si>
  <si>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</si>
  <si>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</si>
  <si>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</si>
  <si>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</si>
  <si>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</si>
  <si>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</si>
  <si>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</si>
  <si>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</si>
  <si>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</si>
  <si>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</si>
  <si>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</si>
  <si>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</si>
  <si>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</si>
  <si>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</si>
  <si>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</si>
  <si>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</si>
  <si>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</si>
  <si>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</si>
  <si>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</si>
  <si>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</si>
  <si>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</si>
  <si>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</si>
  <si>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</si>
  <si>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</si>
  <si>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</si>
  <si>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</si>
  <si>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</si>
  <si>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</si>
  <si>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</si>
  <si>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</si>
  <si>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</si>
  <si>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</si>
  <si>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</si>
  <si>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</si>
  <si>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</si>
  <si>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</si>
  <si>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</si>
  <si>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</si>
  <si>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</si>
  <si>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</si>
  <si>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</si>
  <si>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</si>
  <si>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</si>
  <si>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</si>
  <si>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</si>
  <si>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</si>
  <si>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</si>
  <si>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</si>
  <si>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</si>
  <si>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</si>
  <si>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</si>
  <si>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</si>
  <si>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</si>
  <si>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</si>
  <si>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</si>
  <si>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</si>
  <si>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</si>
  <si>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</si>
  <si>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</si>
  <si>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</si>
  <si>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</si>
  <si>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</si>
  <si>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</si>
  <si>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</si>
  <si>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</si>
  <si>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</si>
  <si>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</si>
  <si>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</si>
  <si>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</si>
  <si>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</si>
  <si>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</si>
  <si>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</si>
  <si>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</si>
  <si>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</si>
  <si>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</si>
  <si>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</si>
  <si>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</si>
  <si>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</si>
  <si>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</si>
  <si>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</si>
  <si>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</si>
  <si>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</si>
  <si>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</si>
  <si>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</si>
  <si>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</si>
  <si>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</si>
  <si>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</si>
  <si>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</si>
  <si>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</si>
  <si>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</si>
  <si>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</si>
  <si>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</si>
  <si>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</si>
  <si>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</si>
  <si>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</si>
  <si>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</si>
  <si>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</si>
  <si>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</si>
  <si>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</si>
  <si>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</si>
  <si>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</si>
  <si>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</si>
  <si>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</si>
  <si>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</si>
  <si>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</si>
  <si>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</si>
  <si>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</si>
  <si>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</si>
  <si>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</si>
  <si>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</si>
  <si>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</si>
  <si>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</si>
  <si>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</si>
  <si>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</si>
  <si>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</si>
  <si>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</si>
  <si>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</si>
  <si>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</si>
  <si>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</si>
  <si>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</si>
  <si>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</si>
  <si>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</si>
  <si>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</si>
  <si>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</si>
  <si>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</si>
  <si>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</si>
  <si>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</si>
  <si>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</si>
  <si>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</si>
  <si>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</si>
  <si>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</si>
  <si>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</si>
  <si>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</si>
  <si>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</si>
  <si>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</si>
  <si>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</si>
  <si>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</si>
  <si>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</si>
  <si>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</si>
  <si>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</si>
  <si>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</si>
  <si>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</si>
  <si>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</si>
  <si>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</si>
  <si>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</si>
  <si>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</si>
  <si>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</si>
  <si>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</si>
  <si>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</si>
  <si>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</si>
  <si>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</si>
  <si>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</si>
  <si>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</si>
  <si>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</si>
  <si>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</si>
  <si>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</si>
  <si>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</si>
  <si>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</si>
  <si>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</si>
  <si>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</si>
  <si>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</si>
  <si>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</si>
  <si>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</si>
  <si>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</si>
  <si>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</si>
  <si>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</si>
  <si>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</si>
  <si>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</si>
  <si>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</si>
  <si>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</si>
  <si>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</si>
  <si>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</si>
  <si>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</si>
  <si>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</si>
  <si>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</si>
  <si>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</si>
  <si>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</si>
  <si>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</si>
  <si>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</si>
  <si>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</si>
  <si>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</si>
  <si>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</si>
  <si>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</si>
  <si>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</si>
  <si>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</si>
  <si>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</si>
  <si>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</si>
  <si>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</si>
  <si>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</si>
  <si>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</si>
  <si>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</si>
  <si>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</si>
  <si>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</si>
  <si>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</si>
  <si>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</si>
  <si>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</si>
  <si>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</si>
  <si>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</si>
  <si>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</si>
  <si>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</si>
  <si>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</si>
  <si>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</si>
  <si>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</si>
  <si>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</si>
  <si>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</si>
  <si>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</si>
  <si>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</si>
  <si>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</si>
  <si>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</si>
  <si>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</si>
  <si>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</si>
  <si>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</si>
  <si>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</si>
  <si>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</si>
  <si>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</si>
  <si>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</si>
  <si>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</si>
  <si>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</si>
  <si>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</si>
  <si>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</si>
  <si>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</si>
  <si>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</si>
  <si>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</si>
  <si>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</si>
  <si>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</si>
  <si>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</si>
  <si>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</si>
  <si>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</si>
  <si>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</si>
  <si>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</si>
  <si>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</si>
  <si>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</si>
  <si>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</si>
  <si>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</si>
  <si>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Top Expenses ( Miscl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</si>
</sst>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8" fontId="8" fillId="5" borderId="1" xfId="2" applyNumberFormat="1" applyFont="1" applyFill="1" applyBorder="1"/>
    <xf numFmtId="174" fontId="8" fillId="5" borderId="1" xfId="2" applyNumberFormat="1" applyFont="1" applyFill="1" applyBorder="1"/>
    <xf numFmtId="9" fontId="5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79520"/>
        <c:axId val="95181056"/>
      </c:lineChart>
      <c:catAx>
        <c:axId val="95179520"/>
        <c:scaling>
          <c:orientation val="minMax"/>
        </c:scaling>
        <c:delete val="0"/>
        <c:axPos val="b"/>
        <c:majorTickMark val="out"/>
        <c:minorTickMark val="none"/>
        <c:tickLblPos val="nextTo"/>
        <c:crossAx val="95181056"/>
        <c:crosses val="autoZero"/>
        <c:auto val="1"/>
        <c:lblAlgn val="ctr"/>
        <c:lblOffset val="100"/>
        <c:noMultiLvlLbl val="0"/>
      </c:catAx>
      <c:valAx>
        <c:axId val="9518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17952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161" activePane="bottomRight" state="frozen"/>
      <selection pane="topRight" activeCell="C1" sqref="C1"/>
      <selection pane="bottomLeft" activeCell="A5" sqref="A5"/>
      <selection pane="bottomRight" activeCell="A168" sqref="A168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326</v>
      </c>
      <c r="L1" s="164">
        <v>0.05</v>
      </c>
      <c r="N1" s="104" t="s">
        <v>398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327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30</v>
      </c>
      <c r="H6" s="147">
        <v>43</v>
      </c>
      <c r="I6" s="147">
        <v>63</v>
      </c>
      <c r="J6" s="147">
        <v>281</v>
      </c>
      <c r="K6" s="147">
        <v>377</v>
      </c>
      <c r="L6" s="147">
        <v>620</v>
      </c>
      <c r="M6" s="147">
        <v>928</v>
      </c>
      <c r="N6" s="147">
        <v>1143</v>
      </c>
      <c r="O6" s="147">
        <v>1593</v>
      </c>
      <c r="P6" s="147">
        <v>2190</v>
      </c>
      <c r="Q6" s="118">
        <f>((P6/G6)^(1/($H$2-$H$1) ))-1</f>
        <v>0.61077868231128107</v>
      </c>
      <c r="R6" s="31">
        <f>$L$2</f>
        <v>0.12</v>
      </c>
      <c r="S6" s="154">
        <f>P6*(1+$R6)</f>
        <v>2452.8000000000002</v>
      </c>
      <c r="T6" s="154">
        <f>S6*(1+$R6)</f>
        <v>2747.1360000000004</v>
      </c>
      <c r="U6" s="154">
        <f t="shared" ref="U6:AB6" si="0">T6*(1+$R6)</f>
        <v>3076.7923200000009</v>
      </c>
      <c r="V6" s="154">
        <f t="shared" si="0"/>
        <v>3446.0073984000014</v>
      </c>
      <c r="W6" s="154">
        <f t="shared" si="0"/>
        <v>3859.5282862080021</v>
      </c>
      <c r="X6" s="154">
        <f t="shared" si="0"/>
        <v>4322.6716805529632</v>
      </c>
      <c r="Y6" s="154">
        <f t="shared" si="0"/>
        <v>4841.392282219319</v>
      </c>
      <c r="Z6" s="154">
        <f t="shared" si="0"/>
        <v>5422.359356085638</v>
      </c>
      <c r="AA6" s="154">
        <f t="shared" si="0"/>
        <v>6073.0424788159153</v>
      </c>
      <c r="AB6" s="154">
        <f t="shared" si="0"/>
        <v>6801.8075762738254</v>
      </c>
      <c r="AC6" s="138">
        <f>((AB6/G6)^(1/($AB$3-$H$1) ))-1</f>
        <v>0.3303743000840198</v>
      </c>
      <c r="AD6" s="31">
        <f>$L$1</f>
        <v>0.05</v>
      </c>
      <c r="AE6" s="146">
        <f t="shared" ref="AE6:AE43" si="1">(AB6*(1+AD6))/($C$1-AD6)</f>
        <v>42011.164441691275</v>
      </c>
    </row>
    <row r="7" spans="2:31" x14ac:dyDescent="0.2">
      <c r="B7" s="20" t="s">
        <v>240</v>
      </c>
      <c r="C7" s="141"/>
      <c r="D7" s="141"/>
      <c r="E7" s="147"/>
      <c r="F7" s="147"/>
      <c r="G7" s="147">
        <v>80</v>
      </c>
      <c r="H7" s="147">
        <v>93</v>
      </c>
      <c r="I7" s="147">
        <v>114</v>
      </c>
      <c r="J7" s="147">
        <v>349</v>
      </c>
      <c r="K7" s="147">
        <v>450</v>
      </c>
      <c r="L7" s="147">
        <v>709</v>
      </c>
      <c r="M7" s="147">
        <v>1000</v>
      </c>
      <c r="N7" s="147">
        <v>1212</v>
      </c>
      <c r="O7" s="147">
        <v>1730</v>
      </c>
      <c r="P7" s="147">
        <v>2289</v>
      </c>
      <c r="Q7" s="118">
        <f>((P7/G7)^(1/($H$2-$H$1) ))-1</f>
        <v>0.45157518076629644</v>
      </c>
      <c r="R7" s="31">
        <f>$L$2</f>
        <v>0.12</v>
      </c>
      <c r="S7" s="154">
        <f t="shared" ref="S7:S16" si="2">P7*(1+$R7)</f>
        <v>2563.6800000000003</v>
      </c>
      <c r="T7" s="154">
        <f t="shared" ref="T7:AB7" si="3">S7*(1+$R7)</f>
        <v>2871.3216000000007</v>
      </c>
      <c r="U7" s="154">
        <f t="shared" si="3"/>
        <v>3215.880192000001</v>
      </c>
      <c r="V7" s="154">
        <f t="shared" si="3"/>
        <v>3601.7858150400016</v>
      </c>
      <c r="W7" s="154">
        <f t="shared" si="3"/>
        <v>4034.0001128448021</v>
      </c>
      <c r="X7" s="154">
        <f t="shared" si="3"/>
        <v>4518.0801263861786</v>
      </c>
      <c r="Y7" s="154">
        <f t="shared" si="3"/>
        <v>5060.2497415525204</v>
      </c>
      <c r="Z7" s="154">
        <f t="shared" si="3"/>
        <v>5667.4797105388234</v>
      </c>
      <c r="AA7" s="154">
        <f t="shared" si="3"/>
        <v>6347.5772758034827</v>
      </c>
      <c r="AB7" s="154">
        <f t="shared" si="3"/>
        <v>7109.2865488999014</v>
      </c>
      <c r="AC7" s="138">
        <f>((AB7/G7)^(1/($AB$3-$H$1) ))-1</f>
        <v>0.26638294878797319</v>
      </c>
      <c r="AD7" s="31">
        <f>$L$1</f>
        <v>0.05</v>
      </c>
      <c r="AE7" s="146">
        <f t="shared" si="1"/>
        <v>43910.299272617041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0.13978494623655913</v>
      </c>
      <c r="I8" s="151">
        <f t="shared" ref="I8:P8" si="4">(I7-H7)/I7</f>
        <v>0.18421052631578946</v>
      </c>
      <c r="J8" s="151">
        <f t="shared" si="4"/>
        <v>0.67335243553008595</v>
      </c>
      <c r="K8" s="151">
        <f t="shared" si="4"/>
        <v>0.22444444444444445</v>
      </c>
      <c r="L8" s="151">
        <f t="shared" si="4"/>
        <v>0.36530324400564174</v>
      </c>
      <c r="M8" s="151">
        <f t="shared" si="4"/>
        <v>0.29099999999999998</v>
      </c>
      <c r="N8" s="151">
        <f t="shared" si="4"/>
        <v>0.17491749174917492</v>
      </c>
      <c r="O8" s="151">
        <f t="shared" si="4"/>
        <v>0.29942196531791909</v>
      </c>
      <c r="P8" s="151">
        <f t="shared" si="4"/>
        <v>0.24421144604630843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121</v>
      </c>
      <c r="H9" s="147">
        <v>147</v>
      </c>
      <c r="I9" s="147">
        <v>231</v>
      </c>
      <c r="J9" s="147">
        <v>323</v>
      </c>
      <c r="K9" s="147">
        <v>299</v>
      </c>
      <c r="L9" s="147">
        <v>340</v>
      </c>
      <c r="M9" s="147">
        <v>465</v>
      </c>
      <c r="N9" s="147">
        <v>701</v>
      </c>
      <c r="O9" s="147">
        <v>3273</v>
      </c>
      <c r="P9" s="147">
        <v>3942</v>
      </c>
      <c r="Q9" s="118">
        <f t="shared" ref="Q9:Q16" si="5">((P9/G9)^(1/($H$2-$H$1) ))-1</f>
        <v>0.47266332783200782</v>
      </c>
      <c r="R9" s="31">
        <f t="shared" ref="R9:R40" si="6">$L$2</f>
        <v>0.12</v>
      </c>
      <c r="S9" s="154">
        <f t="shared" ref="S9" si="7">P9*(1+$R9)</f>
        <v>4415.0400000000009</v>
      </c>
      <c r="T9" s="154">
        <f t="shared" ref="T9" si="8">S9*(1+$R9)</f>
        <v>4944.8448000000017</v>
      </c>
      <c r="U9" s="154">
        <f t="shared" ref="U9" si="9">T9*(1+$R9)</f>
        <v>5538.2261760000019</v>
      </c>
      <c r="V9" s="154">
        <f t="shared" ref="V9" si="10">U9*(1+$R9)</f>
        <v>6202.8133171200025</v>
      </c>
      <c r="W9" s="154">
        <f t="shared" ref="W9" si="11">V9*(1+$R9)</f>
        <v>6947.1509151744031</v>
      </c>
      <c r="X9" s="154">
        <f t="shared" ref="X9" si="12">W9*(1+$R9)</f>
        <v>7780.809024995332</v>
      </c>
      <c r="Y9" s="154">
        <f t="shared" ref="Y9" si="13">X9*(1+$R9)</f>
        <v>8714.5061079947718</v>
      </c>
      <c r="Z9" s="154">
        <f t="shared" ref="Z9" si="14">Y9*(1+$R9)</f>
        <v>9760.2468409541452</v>
      </c>
      <c r="AA9" s="154">
        <f t="shared" ref="AA9" si="15">Z9*(1+$R9)</f>
        <v>10931.476461868644</v>
      </c>
      <c r="AB9" s="154">
        <f t="shared" ref="AB9" si="16">AA9*(1+$R9)</f>
        <v>12243.253637292883</v>
      </c>
      <c r="AC9" s="138">
        <f>((AB9/G9)^(1/($AB$3-$H$1) ))-1</f>
        <v>0.27506458384752364</v>
      </c>
      <c r="AD9" s="31">
        <f t="shared" ref="AD9:AD79" si="17">$L$1</f>
        <v>0.05</v>
      </c>
      <c r="AE9" s="146">
        <f t="shared" si="1"/>
        <v>75620.095995044292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600</v>
      </c>
      <c r="H10" s="147">
        <v>651</v>
      </c>
      <c r="I10" s="147">
        <v>868</v>
      </c>
      <c r="J10" s="147">
        <v>1524</v>
      </c>
      <c r="K10" s="147">
        <v>3005</v>
      </c>
      <c r="L10" s="147">
        <v>4322</v>
      </c>
      <c r="M10" s="147">
        <v>4667</v>
      </c>
      <c r="N10" s="147">
        <v>7327</v>
      </c>
      <c r="O10" s="147">
        <v>7551</v>
      </c>
      <c r="P10" s="147">
        <v>9878</v>
      </c>
      <c r="Q10" s="118">
        <f t="shared" si="5"/>
        <v>0.36511312195686951</v>
      </c>
      <c r="R10" s="31">
        <f t="shared" si="6"/>
        <v>0.12</v>
      </c>
      <c r="S10" s="154">
        <f t="shared" si="2"/>
        <v>11063.36</v>
      </c>
      <c r="T10" s="154">
        <f t="shared" ref="T10:AB10" si="18">S10*(1+$R10)</f>
        <v>12390.963200000002</v>
      </c>
      <c r="U10" s="154">
        <f t="shared" si="18"/>
        <v>13877.878784000004</v>
      </c>
      <c r="V10" s="154">
        <f t="shared" si="18"/>
        <v>15543.224238080005</v>
      </c>
      <c r="W10" s="154">
        <f t="shared" si="18"/>
        <v>17408.411146649607</v>
      </c>
      <c r="X10" s="154">
        <f t="shared" si="18"/>
        <v>19497.420484247563</v>
      </c>
      <c r="Y10" s="154">
        <f t="shared" si="18"/>
        <v>21837.110942357271</v>
      </c>
      <c r="Z10" s="154">
        <f t="shared" si="18"/>
        <v>24457.564255440146</v>
      </c>
      <c r="AA10" s="154">
        <f t="shared" si="18"/>
        <v>27392.471966092966</v>
      </c>
      <c r="AB10" s="154">
        <f t="shared" si="18"/>
        <v>30679.568602024126</v>
      </c>
      <c r="AC10" s="138">
        <f t="shared" ref="AC10:AC42" si="19">((AB10/G10)^(1/($AB$3-$H$1) ))-1</f>
        <v>0.23007466460305048</v>
      </c>
      <c r="AD10" s="31">
        <f t="shared" si="17"/>
        <v>0.05</v>
      </c>
      <c r="AE10" s="146">
        <f t="shared" si="1"/>
        <v>189491.45313014905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7.8341013824884786E-2</v>
      </c>
      <c r="I11" s="148">
        <f t="shared" si="20"/>
        <v>0.25</v>
      </c>
      <c r="J11" s="148">
        <f t="shared" si="20"/>
        <v>0.43044619422572178</v>
      </c>
      <c r="K11" s="148">
        <f t="shared" si="20"/>
        <v>0.49284525790349415</v>
      </c>
      <c r="L11" s="148">
        <f t="shared" si="20"/>
        <v>0.30472003701989819</v>
      </c>
      <c r="M11" s="148">
        <f t="shared" si="20"/>
        <v>7.3923291193486174E-2</v>
      </c>
      <c r="N11" s="148">
        <f t="shared" si="20"/>
        <v>0.36304080797052002</v>
      </c>
      <c r="O11" s="148">
        <f t="shared" si="20"/>
        <v>2.9664945040392E-2</v>
      </c>
      <c r="P11" s="148">
        <f t="shared" si="20"/>
        <v>0.23557400283458191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f>91+18</f>
        <v>109</v>
      </c>
      <c r="H12" s="147">
        <f>80+14</f>
        <v>94</v>
      </c>
      <c r="I12" s="147">
        <f>102+130</f>
        <v>232</v>
      </c>
      <c r="J12" s="147">
        <f>178+187</f>
        <v>365</v>
      </c>
      <c r="K12" s="147">
        <f>385+490</f>
        <v>875</v>
      </c>
      <c r="L12" s="147">
        <f>391+1216</f>
        <v>1607</v>
      </c>
      <c r="M12" s="147">
        <f>967+434</f>
        <v>1401</v>
      </c>
      <c r="N12" s="147">
        <v>2167</v>
      </c>
      <c r="O12" s="147">
        <v>1160</v>
      </c>
      <c r="P12" s="147">
        <v>2179</v>
      </c>
      <c r="Q12" s="118">
        <f t="shared" si="5"/>
        <v>0.39487968105366633</v>
      </c>
      <c r="R12" s="31">
        <f t="shared" si="6"/>
        <v>0.12</v>
      </c>
      <c r="S12" s="154">
        <f t="shared" si="2"/>
        <v>2440.48</v>
      </c>
      <c r="T12" s="154">
        <f t="shared" ref="T12:AB12" si="21">S12*(1+$R12)</f>
        <v>2733.3376000000003</v>
      </c>
      <c r="U12" s="154">
        <f t="shared" si="21"/>
        <v>3061.3381120000008</v>
      </c>
      <c r="V12" s="154">
        <f t="shared" si="21"/>
        <v>3428.6986854400011</v>
      </c>
      <c r="W12" s="154">
        <f t="shared" si="21"/>
        <v>3840.1425276928017</v>
      </c>
      <c r="X12" s="154">
        <f t="shared" si="21"/>
        <v>4300.9596310159386</v>
      </c>
      <c r="Y12" s="154">
        <f t="shared" si="21"/>
        <v>4817.0747867378514</v>
      </c>
      <c r="Z12" s="154">
        <f t="shared" si="21"/>
        <v>5395.1237611463939</v>
      </c>
      <c r="AA12" s="154">
        <f t="shared" si="21"/>
        <v>6042.5386124839615</v>
      </c>
      <c r="AB12" s="154">
        <f t="shared" si="21"/>
        <v>6767.6432459820371</v>
      </c>
      <c r="AC12" s="138">
        <f t="shared" si="19"/>
        <v>0.24270772445223932</v>
      </c>
      <c r="AD12" s="31">
        <f t="shared" si="17"/>
        <v>0.05</v>
      </c>
      <c r="AE12" s="146">
        <f t="shared" si="1"/>
        <v>41800.149460477289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1.6</v>
      </c>
      <c r="H13" s="147">
        <v>1.6</v>
      </c>
      <c r="I13" s="147">
        <v>6.6</v>
      </c>
      <c r="J13" s="147">
        <v>6</v>
      </c>
      <c r="K13" s="147">
        <v>6</v>
      </c>
      <c r="L13" s="147">
        <v>6</v>
      </c>
      <c r="M13" s="147">
        <v>1</v>
      </c>
      <c r="N13" s="147">
        <v>3</v>
      </c>
      <c r="O13" s="147">
        <v>3</v>
      </c>
      <c r="P13" s="147">
        <v>24.21</v>
      </c>
      <c r="Q13" s="118">
        <f t="shared" si="5"/>
        <v>0.35237520848722914</v>
      </c>
      <c r="R13" s="31">
        <f t="shared" si="6"/>
        <v>0.12</v>
      </c>
      <c r="S13" s="154">
        <f t="shared" si="2"/>
        <v>27.115200000000005</v>
      </c>
      <c r="T13" s="154">
        <f t="shared" ref="T13:AB13" si="22">S13*(1+$R13)</f>
        <v>30.36902400000001</v>
      </c>
      <c r="U13" s="154">
        <f t="shared" si="22"/>
        <v>34.013306880000016</v>
      </c>
      <c r="V13" s="154">
        <f t="shared" si="22"/>
        <v>38.094903705600025</v>
      </c>
      <c r="W13" s="154">
        <f t="shared" si="22"/>
        <v>42.666292150272035</v>
      </c>
      <c r="X13" s="154">
        <f t="shared" si="22"/>
        <v>47.786247208304687</v>
      </c>
      <c r="Y13" s="154">
        <f t="shared" si="22"/>
        <v>53.520596873301251</v>
      </c>
      <c r="Z13" s="154">
        <f t="shared" si="22"/>
        <v>59.943068498097404</v>
      </c>
      <c r="AA13" s="154">
        <f t="shared" si="22"/>
        <v>67.136236717869096</v>
      </c>
      <c r="AB13" s="154">
        <f t="shared" si="22"/>
        <v>75.192585124013391</v>
      </c>
      <c r="AC13" s="138">
        <f t="shared" si="19"/>
        <v>0.22462436679192255</v>
      </c>
      <c r="AD13" s="31">
        <f t="shared" si="17"/>
        <v>0.05</v>
      </c>
      <c r="AE13" s="146">
        <f t="shared" si="1"/>
        <v>464.42479047184747</v>
      </c>
    </row>
    <row r="14" spans="2:31" x14ac:dyDescent="0.2">
      <c r="B14" s="20" t="s">
        <v>372</v>
      </c>
      <c r="C14" s="141"/>
      <c r="D14" s="141"/>
      <c r="E14" s="147"/>
      <c r="F14" s="147"/>
      <c r="G14" s="147">
        <v>639</v>
      </c>
      <c r="H14" s="147">
        <v>708</v>
      </c>
      <c r="I14" s="147">
        <v>853</v>
      </c>
      <c r="J14" s="147">
        <v>1710</v>
      </c>
      <c r="K14" s="147">
        <v>2748</v>
      </c>
      <c r="L14" s="147">
        <v>3753</v>
      </c>
      <c r="M14" s="147">
        <v>4731</v>
      </c>
      <c r="N14" s="147">
        <v>6989</v>
      </c>
      <c r="O14" s="147">
        <v>0</v>
      </c>
      <c r="P14" s="147">
        <v>0</v>
      </c>
      <c r="Q14" s="118">
        <f t="shared" ref="Q14" si="23">((P14/G14)^(1/($H$2-$H$1) ))-1</f>
        <v>-1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>
        <f t="shared" ref="AC14" si="34">((AB14/G14)^(1/($AB$3-$H$1) ))-1</f>
        <v>-1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736</v>
      </c>
      <c r="H15" s="147">
        <v>790</v>
      </c>
      <c r="I15" s="147">
        <v>956</v>
      </c>
      <c r="J15" s="147">
        <v>1889</v>
      </c>
      <c r="K15" s="147">
        <v>3135</v>
      </c>
      <c r="L15" s="147">
        <v>4146</v>
      </c>
      <c r="M15" s="147">
        <v>5698</v>
      </c>
      <c r="N15" s="147">
        <v>9157</v>
      </c>
      <c r="O15" s="147">
        <v>1160</v>
      </c>
      <c r="P15" s="147">
        <v>2179</v>
      </c>
      <c r="Q15" s="118">
        <f t="shared" si="5"/>
        <v>0.12817245161054647</v>
      </c>
      <c r="R15" s="31">
        <f t="shared" si="6"/>
        <v>0.12</v>
      </c>
      <c r="S15" s="154">
        <f t="shared" si="2"/>
        <v>2440.48</v>
      </c>
      <c r="T15" s="154">
        <f t="shared" ref="T15:AB15" si="36">S15*(1+$R15)</f>
        <v>2733.3376000000003</v>
      </c>
      <c r="U15" s="154">
        <f t="shared" si="36"/>
        <v>3061.3381120000008</v>
      </c>
      <c r="V15" s="154">
        <f t="shared" si="36"/>
        <v>3428.6986854400011</v>
      </c>
      <c r="W15" s="154">
        <f t="shared" si="36"/>
        <v>3840.1425276928017</v>
      </c>
      <c r="X15" s="154">
        <f t="shared" si="36"/>
        <v>4300.9596310159386</v>
      </c>
      <c r="Y15" s="154">
        <f t="shared" si="36"/>
        <v>4817.0747867378514</v>
      </c>
      <c r="Z15" s="154">
        <f t="shared" si="36"/>
        <v>5395.1237611463939</v>
      </c>
      <c r="AA15" s="154">
        <f t="shared" si="36"/>
        <v>6042.5386124839615</v>
      </c>
      <c r="AB15" s="154">
        <f t="shared" si="36"/>
        <v>6767.6432459820371</v>
      </c>
      <c r="AC15" s="138">
        <f t="shared" si="19"/>
        <v>0.12386375528184468</v>
      </c>
      <c r="AD15" s="31">
        <f t="shared" si="17"/>
        <v>0.05</v>
      </c>
      <c r="AE15" s="146">
        <f t="shared" si="1"/>
        <v>41800.149460477289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645</v>
      </c>
      <c r="H16" s="147">
        <v>682</v>
      </c>
      <c r="I16" s="147">
        <v>919</v>
      </c>
      <c r="J16" s="147">
        <v>1811</v>
      </c>
      <c r="K16" s="147">
        <v>3356</v>
      </c>
      <c r="L16" s="147">
        <v>4989</v>
      </c>
      <c r="M16" s="147">
        <v>5645</v>
      </c>
      <c r="N16" s="147">
        <v>8507</v>
      </c>
      <c r="O16" s="147">
        <v>9226</v>
      </c>
      <c r="P16" s="147">
        <v>12087</v>
      </c>
      <c r="Q16" s="118">
        <f t="shared" si="5"/>
        <v>0.38489754461523407</v>
      </c>
      <c r="R16" s="31">
        <f t="shared" si="6"/>
        <v>0.12</v>
      </c>
      <c r="S16" s="154">
        <f t="shared" si="2"/>
        <v>13537.44</v>
      </c>
      <c r="T16" s="154">
        <f t="shared" ref="T16:AB16" si="37">S16*(1+$R16)</f>
        <v>15161.932800000002</v>
      </c>
      <c r="U16" s="154">
        <f t="shared" si="37"/>
        <v>16981.364736000003</v>
      </c>
      <c r="V16" s="154">
        <f t="shared" si="37"/>
        <v>19019.128504320004</v>
      </c>
      <c r="W16" s="154">
        <f t="shared" si="37"/>
        <v>21301.423924838407</v>
      </c>
      <c r="X16" s="154">
        <f t="shared" si="37"/>
        <v>23857.594795819019</v>
      </c>
      <c r="Y16" s="154">
        <f t="shared" si="37"/>
        <v>26720.506171317305</v>
      </c>
      <c r="Z16" s="154">
        <f t="shared" si="37"/>
        <v>29926.966911875385</v>
      </c>
      <c r="AA16" s="154">
        <f t="shared" si="37"/>
        <v>33518.202941300435</v>
      </c>
      <c r="AB16" s="154">
        <f t="shared" si="37"/>
        <v>37540.387294256492</v>
      </c>
      <c r="AC16" s="138">
        <f t="shared" si="19"/>
        <v>0.23848721621262259</v>
      </c>
      <c r="AD16" s="31">
        <f t="shared" si="17"/>
        <v>0.05</v>
      </c>
      <c r="AE16" s="146">
        <f t="shared" si="1"/>
        <v>231867.09799393718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39</v>
      </c>
      <c r="H18" s="147">
        <v>60</v>
      </c>
      <c r="I18" s="147">
        <v>56</v>
      </c>
      <c r="J18" s="147">
        <v>56</v>
      </c>
      <c r="K18" s="147">
        <v>51</v>
      </c>
      <c r="L18" s="147">
        <v>37</v>
      </c>
      <c r="M18" s="147">
        <v>20</v>
      </c>
      <c r="N18" s="147">
        <v>29</v>
      </c>
      <c r="O18" s="147">
        <v>53</v>
      </c>
      <c r="P18" s="147">
        <v>90</v>
      </c>
      <c r="Q18" s="118">
        <f>((P18/G18)^(1/($H$2-$H$1) ))-1</f>
        <v>9.7370043024747055E-2</v>
      </c>
      <c r="R18" s="31">
        <f t="shared" si="6"/>
        <v>0.12</v>
      </c>
      <c r="S18" s="154">
        <f t="shared" ref="S18:S34" si="38">P18*(1+$R18)</f>
        <v>100.80000000000001</v>
      </c>
      <c r="T18" s="154">
        <f t="shared" ref="T18:T34" si="39">S18*(1+$R18)</f>
        <v>112.89600000000003</v>
      </c>
      <c r="U18" s="154">
        <f t="shared" ref="U18:U34" si="40">T18*(1+$R18)</f>
        <v>126.44352000000005</v>
      </c>
      <c r="V18" s="154">
        <f t="shared" ref="V18:V34" si="41">U18*(1+$R18)</f>
        <v>141.61674240000008</v>
      </c>
      <c r="W18" s="154">
        <f t="shared" ref="W18:W36" si="42">V18*(1+$R18)</f>
        <v>158.61075148800009</v>
      </c>
      <c r="X18" s="154">
        <f t="shared" ref="X18:X36" si="43">W18*(1+$R18)</f>
        <v>177.64404166656013</v>
      </c>
      <c r="Y18" s="154">
        <f t="shared" ref="Y18:Y36" si="44">X18*(1+$R18)</f>
        <v>198.96132666654736</v>
      </c>
      <c r="Z18" s="154">
        <f t="shared" ref="Z18:Z36" si="45">Y18*(1+$R18)</f>
        <v>222.83668586653306</v>
      </c>
      <c r="AA18" s="154">
        <f t="shared" ref="AA18:AA36" si="46">Z18*(1+$R18)</f>
        <v>249.57708817051704</v>
      </c>
      <c r="AB18" s="154">
        <f t="shared" ref="AB18:AB36" si="47">AA18*(1+$R18)</f>
        <v>279.52633875097911</v>
      </c>
      <c r="AC18" s="138">
        <f t="shared" si="19"/>
        <v>0.10922295582277286</v>
      </c>
      <c r="AD18" s="31">
        <f t="shared" si="17"/>
        <v>0.05</v>
      </c>
      <c r="AE18" s="146">
        <f t="shared" si="1"/>
        <v>1726.4862099325182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141</v>
      </c>
      <c r="H25" s="147">
        <v>181</v>
      </c>
      <c r="I25" s="147">
        <v>204</v>
      </c>
      <c r="J25" s="147">
        <v>348</v>
      </c>
      <c r="K25" s="147">
        <v>623</v>
      </c>
      <c r="L25" s="147">
        <v>922</v>
      </c>
      <c r="M25" s="147">
        <v>1102</v>
      </c>
      <c r="N25" s="147">
        <v>1320</v>
      </c>
      <c r="O25" s="147">
        <v>2052</v>
      </c>
      <c r="P25" s="147">
        <v>3071</v>
      </c>
      <c r="Q25" s="118">
        <f>((P25/G25)^(1/($H$2-$H$1) ))-1</f>
        <v>0.40822941481017949</v>
      </c>
      <c r="R25" s="31">
        <f t="shared" si="6"/>
        <v>0.12</v>
      </c>
      <c r="S25" s="154">
        <f t="shared" si="38"/>
        <v>3439.5200000000004</v>
      </c>
      <c r="T25" s="154">
        <f t="shared" si="39"/>
        <v>3852.262400000001</v>
      </c>
      <c r="U25" s="154">
        <f t="shared" si="40"/>
        <v>4314.5338880000018</v>
      </c>
      <c r="V25" s="154">
        <f t="shared" si="41"/>
        <v>4832.2779545600024</v>
      </c>
      <c r="W25" s="154">
        <f t="shared" si="42"/>
        <v>5412.1513091072029</v>
      </c>
      <c r="X25" s="154">
        <f t="shared" si="43"/>
        <v>6061.6094662000678</v>
      </c>
      <c r="Y25" s="154">
        <f t="shared" si="44"/>
        <v>6789.0026021440763</v>
      </c>
      <c r="Z25" s="154">
        <f t="shared" si="45"/>
        <v>7603.6829144013664</v>
      </c>
      <c r="AA25" s="154">
        <f t="shared" si="46"/>
        <v>8516.1248641295315</v>
      </c>
      <c r="AB25" s="154">
        <f t="shared" si="47"/>
        <v>9538.0598478250758</v>
      </c>
      <c r="AC25" s="138">
        <f t="shared" si="19"/>
        <v>0.24832730491050459</v>
      </c>
      <c r="AD25" s="31">
        <f t="shared" si="17"/>
        <v>0.05</v>
      </c>
      <c r="AE25" s="146">
        <f t="shared" si="1"/>
        <v>58911.546118919599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0.22099447513812154</v>
      </c>
      <c r="I26" s="148">
        <f t="shared" ref="I26" si="70">(I25-H25)/I25</f>
        <v>0.11274509803921569</v>
      </c>
      <c r="J26" s="148">
        <f t="shared" ref="J26" si="71">(J25-I25)/J25</f>
        <v>0.41379310344827586</v>
      </c>
      <c r="K26" s="148">
        <f t="shared" ref="K26" si="72">(K25-J25)/K25</f>
        <v>0.44141252006420545</v>
      </c>
      <c r="L26" s="148">
        <f t="shared" ref="L26" si="73">(L25-K25)/L25</f>
        <v>0.324295010845987</v>
      </c>
      <c r="M26" s="148">
        <f t="shared" ref="M26" si="74">(M25-L25)/M25</f>
        <v>0.16333938294010888</v>
      </c>
      <c r="N26" s="148">
        <f t="shared" ref="N26" si="75">(N25-M25)/N25</f>
        <v>0.16515151515151516</v>
      </c>
      <c r="O26" s="148">
        <f t="shared" ref="O26" si="76">(O25-N25)/O25</f>
        <v>0.35672514619883039</v>
      </c>
      <c r="P26" s="148">
        <f t="shared" ref="P26" si="77">(P25-O25)/P25</f>
        <v>0.3318137414522957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41</v>
      </c>
      <c r="H27" s="147">
        <v>45</v>
      </c>
      <c r="I27" s="147">
        <v>55</v>
      </c>
      <c r="J27" s="147">
        <v>132</v>
      </c>
      <c r="K27" s="147">
        <v>244</v>
      </c>
      <c r="L27" s="147">
        <v>306</v>
      </c>
      <c r="M27" s="147">
        <v>294</v>
      </c>
      <c r="N27" s="147">
        <v>364</v>
      </c>
      <c r="O27" s="147">
        <v>589</v>
      </c>
      <c r="P27" s="147">
        <v>970</v>
      </c>
      <c r="Q27" s="118">
        <f>((P27/G27)^(1/($H$2-$H$1) ))-1</f>
        <v>0.42123312039557614</v>
      </c>
      <c r="R27" s="31">
        <f t="shared" si="6"/>
        <v>0.12</v>
      </c>
      <c r="S27" s="154">
        <f t="shared" si="38"/>
        <v>1086.4000000000001</v>
      </c>
      <c r="T27" s="154">
        <f t="shared" si="39"/>
        <v>1216.7680000000003</v>
      </c>
      <c r="U27" s="154">
        <f t="shared" si="40"/>
        <v>1362.7801600000005</v>
      </c>
      <c r="V27" s="154">
        <f t="shared" si="41"/>
        <v>1526.3137792000007</v>
      </c>
      <c r="W27" s="154">
        <f t="shared" si="42"/>
        <v>1709.471432704001</v>
      </c>
      <c r="X27" s="154">
        <f t="shared" si="43"/>
        <v>1914.6080046284812</v>
      </c>
      <c r="Y27" s="154">
        <f t="shared" si="44"/>
        <v>2144.3609651838992</v>
      </c>
      <c r="Z27" s="154">
        <f t="shared" si="45"/>
        <v>2401.6842810059675</v>
      </c>
      <c r="AA27" s="154">
        <f t="shared" si="46"/>
        <v>2689.8863947266836</v>
      </c>
      <c r="AB27" s="154">
        <f t="shared" si="47"/>
        <v>3012.6727620938859</v>
      </c>
      <c r="AC27" s="138">
        <f t="shared" si="19"/>
        <v>0.25377433039488029</v>
      </c>
      <c r="AD27" s="31">
        <f t="shared" si="17"/>
        <v>0.05</v>
      </c>
      <c r="AE27" s="146">
        <f t="shared" si="1"/>
        <v>18607.684707050474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8.8888888888888892E-2</v>
      </c>
      <c r="I28" s="148">
        <f t="shared" si="78"/>
        <v>0.18181818181818182</v>
      </c>
      <c r="J28" s="148">
        <f t="shared" si="78"/>
        <v>0.58333333333333337</v>
      </c>
      <c r="K28" s="148">
        <f t="shared" si="78"/>
        <v>0.45901639344262296</v>
      </c>
      <c r="L28" s="148">
        <f t="shared" si="78"/>
        <v>0.20261437908496732</v>
      </c>
      <c r="M28" s="148">
        <f t="shared" si="78"/>
        <v>-4.0816326530612242E-2</v>
      </c>
      <c r="N28" s="148">
        <f t="shared" ref="N28" si="79">(N27-M27)/N27</f>
        <v>0.19230769230769232</v>
      </c>
      <c r="O28" s="148">
        <f t="shared" ref="O28" si="80">(O27-N27)/O27</f>
        <v>0.38200339558573854</v>
      </c>
      <c r="P28" s="148">
        <f t="shared" ref="P28" si="81">(P27-O27)/P27</f>
        <v>0.39278350515463917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323</v>
      </c>
      <c r="C29" s="149"/>
      <c r="D29" s="149"/>
      <c r="E29" s="150"/>
      <c r="F29" s="147"/>
      <c r="G29" s="147">
        <v>67</v>
      </c>
      <c r="H29" s="147">
        <v>95</v>
      </c>
      <c r="I29" s="147">
        <v>97</v>
      </c>
      <c r="J29" s="147">
        <v>132</v>
      </c>
      <c r="K29" s="147">
        <v>240</v>
      </c>
      <c r="L29" s="147">
        <v>414</v>
      </c>
      <c r="M29" s="147">
        <v>517</v>
      </c>
      <c r="N29" s="147">
        <v>588</v>
      </c>
      <c r="O29" s="147">
        <v>928</v>
      </c>
      <c r="P29" s="147">
        <v>1410</v>
      </c>
      <c r="Q29" s="118">
        <f>((P29/G29)^(1/($H$2-$H$1) ))-1</f>
        <v>0.40286549832748997</v>
      </c>
      <c r="R29" s="31">
        <f t="shared" si="6"/>
        <v>0.12</v>
      </c>
      <c r="S29" s="154">
        <f t="shared" ref="S29" si="82">P29*(1+$R29)</f>
        <v>1579.2</v>
      </c>
      <c r="T29" s="154">
        <f t="shared" ref="T29" si="83">S29*(1+$R29)</f>
        <v>1768.7040000000002</v>
      </c>
      <c r="U29" s="154">
        <f t="shared" ref="U29" si="84">T29*(1+$R29)</f>
        <v>1980.9484800000005</v>
      </c>
      <c r="V29" s="154">
        <f t="shared" ref="V29" si="85">U29*(1+$R29)</f>
        <v>2218.6622976000008</v>
      </c>
      <c r="W29" s="154">
        <f t="shared" ref="W29" si="86">V29*(1+$R29)</f>
        <v>2484.9017733120013</v>
      </c>
      <c r="X29" s="154">
        <f t="shared" ref="X29" si="87">W29*(1+$R29)</f>
        <v>2783.0899861094417</v>
      </c>
      <c r="Y29" s="154">
        <f t="shared" ref="Y29" si="88">X29*(1+$R29)</f>
        <v>3117.0607844425749</v>
      </c>
      <c r="Z29" s="154">
        <f t="shared" ref="Z29" si="89">Y29*(1+$R29)</f>
        <v>3491.1080785756844</v>
      </c>
      <c r="AA29" s="154">
        <f t="shared" ref="AA29" si="90">Z29*(1+$R29)</f>
        <v>3910.0410480047667</v>
      </c>
      <c r="AB29" s="154">
        <f t="shared" ref="AB29" si="91">AA29*(1+$R29)</f>
        <v>4379.2459737653389</v>
      </c>
      <c r="AC29" s="138">
        <f t="shared" ref="AC29" si="92">((AB29/G29)^(1/($AB$3-$H$1) ))-1</f>
        <v>0.24607274426649317</v>
      </c>
      <c r="AD29" s="31">
        <f t="shared" si="17"/>
        <v>0.05</v>
      </c>
      <c r="AE29" s="146">
        <f t="shared" ref="AE29" si="93">(AB29*(1+AD29))/($C$1-AD29)</f>
        <v>27048.283955609448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0.29473684210526313</v>
      </c>
      <c r="I30" s="148">
        <f t="shared" si="94"/>
        <v>2.0618556701030927E-2</v>
      </c>
      <c r="J30" s="148">
        <f t="shared" si="94"/>
        <v>0.26515151515151514</v>
      </c>
      <c r="K30" s="148">
        <f t="shared" si="94"/>
        <v>0.45</v>
      </c>
      <c r="L30" s="148">
        <f t="shared" si="94"/>
        <v>0.42028985507246375</v>
      </c>
      <c r="M30" s="148">
        <f t="shared" ref="M30" si="95">(M29-L29)/M29</f>
        <v>0.19922630560928434</v>
      </c>
      <c r="N30" s="148">
        <f t="shared" ref="N30" si="96">(N29-M29)/N29</f>
        <v>0.12074829931972789</v>
      </c>
      <c r="O30" s="148">
        <f t="shared" ref="O30" si="97">(O29-N29)/O29</f>
        <v>0.36637931034482757</v>
      </c>
      <c r="P30" s="148">
        <f t="shared" ref="P30" si="98">(P29-O29)/P29</f>
        <v>0.34184397163120567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331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330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427</v>
      </c>
      <c r="C33" s="141"/>
      <c r="D33" s="141"/>
      <c r="E33" s="147"/>
      <c r="F33" s="147"/>
      <c r="G33" s="147">
        <v>7</v>
      </c>
      <c r="H33" s="147">
        <v>8</v>
      </c>
      <c r="I33" s="147">
        <v>8</v>
      </c>
      <c r="J33" s="147">
        <v>11</v>
      </c>
      <c r="K33" s="147">
        <v>24</v>
      </c>
      <c r="L33" s="147">
        <v>49</v>
      </c>
      <c r="M33" s="147">
        <v>33</v>
      </c>
      <c r="N33" s="147">
        <v>320</v>
      </c>
      <c r="O33" s="147">
        <v>315</v>
      </c>
      <c r="P33" s="147">
        <v>383</v>
      </c>
      <c r="Q33" s="118">
        <f>((P33/G33)^(1/($H$2-$H$1) ))-1</f>
        <v>0.55999175780897614</v>
      </c>
      <c r="R33" s="31">
        <f t="shared" si="6"/>
        <v>0.12</v>
      </c>
      <c r="S33" s="154">
        <f t="shared" si="38"/>
        <v>428.96000000000004</v>
      </c>
      <c r="T33" s="154">
        <f t="shared" si="39"/>
        <v>480.43520000000007</v>
      </c>
      <c r="U33" s="154">
        <f t="shared" si="40"/>
        <v>538.08742400000017</v>
      </c>
      <c r="V33" s="154">
        <f t="shared" si="41"/>
        <v>602.65791488000025</v>
      </c>
      <c r="W33" s="154">
        <f t="shared" si="42"/>
        <v>674.97686466560037</v>
      </c>
      <c r="X33" s="154">
        <f t="shared" si="43"/>
        <v>755.97408842547247</v>
      </c>
      <c r="Y33" s="154">
        <f t="shared" si="44"/>
        <v>846.69097903652926</v>
      </c>
      <c r="Z33" s="154">
        <f t="shared" si="45"/>
        <v>948.29389652091288</v>
      </c>
      <c r="AA33" s="154">
        <f t="shared" si="46"/>
        <v>1062.0891641034225</v>
      </c>
      <c r="AB33" s="154">
        <f t="shared" si="47"/>
        <v>1189.5398637958333</v>
      </c>
      <c r="AC33" s="138">
        <f t="shared" si="19"/>
        <v>0.31033761575343521</v>
      </c>
      <c r="AD33" s="31">
        <f t="shared" si="17"/>
        <v>0.05</v>
      </c>
      <c r="AE33" s="146">
        <f t="shared" si="1"/>
        <v>7347.1579822683834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5</v>
      </c>
      <c r="H34" s="147">
        <v>6</v>
      </c>
      <c r="I34" s="147">
        <v>5</v>
      </c>
      <c r="J34" s="147">
        <v>9.3000000000000007</v>
      </c>
      <c r="K34" s="147">
        <v>23</v>
      </c>
      <c r="L34" s="147">
        <v>218</v>
      </c>
      <c r="M34" s="147">
        <v>36</v>
      </c>
      <c r="N34" s="147">
        <v>44</v>
      </c>
      <c r="O34" s="147">
        <v>94</v>
      </c>
      <c r="P34" s="147">
        <v>230</v>
      </c>
      <c r="Q34" s="118">
        <f>((P34/G34)^(1/($H$2-$H$1) ))-1</f>
        <v>0.53020941656498866</v>
      </c>
      <c r="R34" s="31">
        <f t="shared" si="6"/>
        <v>0.12</v>
      </c>
      <c r="S34" s="154">
        <f t="shared" si="38"/>
        <v>257.60000000000002</v>
      </c>
      <c r="T34" s="154">
        <f t="shared" si="39"/>
        <v>288.51200000000006</v>
      </c>
      <c r="U34" s="154">
        <f t="shared" si="40"/>
        <v>323.13344000000012</v>
      </c>
      <c r="V34" s="154">
        <f t="shared" si="41"/>
        <v>361.90945280000017</v>
      </c>
      <c r="W34" s="154">
        <f t="shared" si="42"/>
        <v>405.33858713600023</v>
      </c>
      <c r="X34" s="154">
        <f t="shared" si="43"/>
        <v>453.97921759232031</v>
      </c>
      <c r="Y34" s="154">
        <f t="shared" si="44"/>
        <v>508.45672370339878</v>
      </c>
      <c r="Z34" s="154">
        <f t="shared" si="45"/>
        <v>569.47153054780665</v>
      </c>
      <c r="AA34" s="154">
        <f t="shared" si="46"/>
        <v>637.80811421354349</v>
      </c>
      <c r="AB34" s="154">
        <f t="shared" si="47"/>
        <v>714.3450879191688</v>
      </c>
      <c r="AC34" s="138">
        <f t="shared" si="19"/>
        <v>0.29842776162038542</v>
      </c>
      <c r="AD34" s="31">
        <f t="shared" si="17"/>
        <v>0.05</v>
      </c>
      <c r="AE34" s="146">
        <f t="shared" si="1"/>
        <v>4412.1314253831015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96</v>
      </c>
      <c r="H36" s="147">
        <v>133</v>
      </c>
      <c r="I36" s="147">
        <v>146</v>
      </c>
      <c r="J36" s="147">
        <v>208</v>
      </c>
      <c r="K36" s="147">
        <v>368</v>
      </c>
      <c r="L36" s="147">
        <v>623</v>
      </c>
      <c r="M36" s="147">
        <v>778</v>
      </c>
      <c r="N36" s="147">
        <v>953</v>
      </c>
      <c r="O36" s="147">
        <v>1444</v>
      </c>
      <c r="P36" s="147">
        <v>2082</v>
      </c>
      <c r="Q36" s="118">
        <f>((P36/G36)^(1/($H$2-$H$1) ))-1</f>
        <v>0.40756260830948854</v>
      </c>
      <c r="R36" s="31">
        <f t="shared" si="6"/>
        <v>0.12</v>
      </c>
      <c r="S36" s="154">
        <f t="shared" ref="S36" si="102">P36*(1+$R36)</f>
        <v>2331.84</v>
      </c>
      <c r="T36" s="154">
        <f t="shared" ref="T36" si="103">S36*(1+$R36)</f>
        <v>2611.6608000000006</v>
      </c>
      <c r="U36" s="154">
        <f t="shared" ref="U36" si="104">T36*(1+$R36)</f>
        <v>2925.0600960000011</v>
      </c>
      <c r="V36" s="154">
        <f t="shared" ref="V36" si="105">U36*(1+$R36)</f>
        <v>3276.0673075200016</v>
      </c>
      <c r="W36" s="154">
        <f t="shared" si="42"/>
        <v>3669.1953844224022</v>
      </c>
      <c r="X36" s="154">
        <f t="shared" si="43"/>
        <v>4109.4988305530906</v>
      </c>
      <c r="Y36" s="154">
        <f t="shared" si="44"/>
        <v>4602.6386902194618</v>
      </c>
      <c r="Z36" s="154">
        <f t="shared" si="45"/>
        <v>5154.9553330457975</v>
      </c>
      <c r="AA36" s="154">
        <f t="shared" si="46"/>
        <v>5773.5499730112933</v>
      </c>
      <c r="AB36" s="154">
        <f t="shared" si="47"/>
        <v>6466.3759697726491</v>
      </c>
      <c r="AC36" s="138">
        <f t="shared" si="19"/>
        <v>0.24804727919348535</v>
      </c>
      <c r="AD36" s="31">
        <f t="shared" si="17"/>
        <v>0.05</v>
      </c>
      <c r="AE36" s="146">
        <f t="shared" si="1"/>
        <v>39939.380989772246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0.2781954887218045</v>
      </c>
      <c r="I37" s="148">
        <f t="shared" ref="I37" si="108">(I36-H36)/I36</f>
        <v>8.9041095890410954E-2</v>
      </c>
      <c r="J37" s="148">
        <f t="shared" ref="J37" si="109">(J36-I36)/J36</f>
        <v>0.29807692307692307</v>
      </c>
      <c r="K37" s="148">
        <f t="shared" ref="K37" si="110">(K36-J36)/K36</f>
        <v>0.43478260869565216</v>
      </c>
      <c r="L37" s="148">
        <f t="shared" ref="L37" si="111">(L36-K36)/L36</f>
        <v>0.40930979133226325</v>
      </c>
      <c r="M37" s="148">
        <f t="shared" ref="M37" si="112">(M36-L36)/M36</f>
        <v>0.19922879177377892</v>
      </c>
      <c r="N37" s="148">
        <f t="shared" ref="N37" si="113">(N36-M36)/N36</f>
        <v>0.18363064008394545</v>
      </c>
      <c r="O37" s="148">
        <f t="shared" ref="O37" si="114">(O36-N36)/O36</f>
        <v>0.3400277008310249</v>
      </c>
      <c r="P37" s="148">
        <f t="shared" ref="P37" si="115">(P36-O36)/P36</f>
        <v>0.30643611911623436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400</v>
      </c>
      <c r="C38" s="149"/>
      <c r="D38" s="149"/>
      <c r="E38" s="150"/>
      <c r="F38" s="150"/>
      <c r="G38" s="147">
        <v>27</v>
      </c>
      <c r="H38" s="147">
        <v>36</v>
      </c>
      <c r="I38" s="147">
        <v>48</v>
      </c>
      <c r="J38" s="147">
        <v>79</v>
      </c>
      <c r="K38" s="147">
        <v>127</v>
      </c>
      <c r="L38" s="147">
        <v>192</v>
      </c>
      <c r="M38" s="147">
        <v>286</v>
      </c>
      <c r="N38" s="147">
        <v>360</v>
      </c>
      <c r="O38" s="147">
        <v>519</v>
      </c>
      <c r="P38" s="147">
        <v>665</v>
      </c>
      <c r="Q38" s="118">
        <f>((P38/G38)^(1/($H$2-$H$1) ))-1</f>
        <v>0.42759964483643587</v>
      </c>
      <c r="R38" s="31">
        <f t="shared" si="6"/>
        <v>0.12</v>
      </c>
      <c r="S38" s="154">
        <f t="shared" ref="S38" si="116">P38*(1+$R38)</f>
        <v>744.80000000000007</v>
      </c>
      <c r="T38" s="154">
        <f t="shared" ref="T38" si="117">S38*(1+$R38)</f>
        <v>834.17600000000016</v>
      </c>
      <c r="U38" s="154">
        <f t="shared" ref="U38" si="118">T38*(1+$R38)</f>
        <v>934.27712000000031</v>
      </c>
      <c r="V38" s="154">
        <f t="shared" ref="V38" si="119">U38*(1+$R38)</f>
        <v>1046.3903744000004</v>
      </c>
      <c r="W38" s="154">
        <f t="shared" ref="W38" si="120">V38*(1+$R38)</f>
        <v>1171.9572193280005</v>
      </c>
      <c r="X38" s="154">
        <f t="shared" ref="X38" si="121">W38*(1+$R38)</f>
        <v>1312.5920856473608</v>
      </c>
      <c r="Y38" s="154">
        <f t="shared" ref="Y38" si="122">X38*(1+$R38)</f>
        <v>1470.1031359250442</v>
      </c>
      <c r="Z38" s="154">
        <f t="shared" ref="Z38" si="123">Y38*(1+$R38)</f>
        <v>1646.5155122360495</v>
      </c>
      <c r="AA38" s="154">
        <f t="shared" ref="AA38" si="124">Z38*(1+$R38)</f>
        <v>1844.0973737043757</v>
      </c>
      <c r="AB38" s="154">
        <f t="shared" ref="AB38" si="125">AA38*(1+$R38)</f>
        <v>2065.3890585489012</v>
      </c>
      <c r="AC38" s="138">
        <f t="shared" ref="AC38" si="126">((AB38/G38)^(1/($AB$3-$H$1) ))-1</f>
        <v>0.2564315917655795</v>
      </c>
      <c r="AD38" s="31">
        <f t="shared" si="17"/>
        <v>0.05</v>
      </c>
      <c r="AE38" s="146">
        <f t="shared" ref="AE38" si="127">(AB38*(1+AD38))/($C$1-AD38)</f>
        <v>12756.814773390273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0.25</v>
      </c>
      <c r="I39" s="148">
        <f t="shared" ref="I39" si="130">(I38-H38)/I38</f>
        <v>0.25</v>
      </c>
      <c r="J39" s="148">
        <f t="shared" ref="J39" si="131">(J38-I38)/J38</f>
        <v>0.39240506329113922</v>
      </c>
      <c r="K39" s="148">
        <f t="shared" ref="K39" si="132">(K38-J38)/K38</f>
        <v>0.37795275590551181</v>
      </c>
      <c r="L39" s="148">
        <f t="shared" ref="L39" si="133">(L38-K38)/L38</f>
        <v>0.33854166666666669</v>
      </c>
      <c r="M39" s="148">
        <f t="shared" ref="M39" si="134">(M38-L38)/M38</f>
        <v>0.32867132867132864</v>
      </c>
      <c r="N39" s="148">
        <f t="shared" ref="N39" si="135">(N38-M38)/N38</f>
        <v>0.20555555555555555</v>
      </c>
      <c r="O39" s="148">
        <f t="shared" ref="O39" si="136">(O38-N38)/O38</f>
        <v>0.30635838150289019</v>
      </c>
      <c r="P39" s="148">
        <f t="shared" ref="P39" si="137">(P38-O38)/P38</f>
        <v>0.21954887218045113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401</v>
      </c>
      <c r="C40" s="141"/>
      <c r="D40" s="141"/>
      <c r="E40" s="147"/>
      <c r="F40" s="147"/>
      <c r="G40" s="147">
        <v>18</v>
      </c>
      <c r="H40" s="147">
        <v>23</v>
      </c>
      <c r="I40" s="147">
        <v>31</v>
      </c>
      <c r="J40" s="147">
        <v>51</v>
      </c>
      <c r="K40" s="147">
        <v>87</v>
      </c>
      <c r="L40" s="147">
        <v>117</v>
      </c>
      <c r="M40" s="147">
        <v>194</v>
      </c>
      <c r="N40" s="147">
        <v>240</v>
      </c>
      <c r="O40" s="147">
        <v>338</v>
      </c>
      <c r="P40" s="147">
        <v>449</v>
      </c>
      <c r="Q40" s="118">
        <f>((P40/G40)^(1/($H$2-$H$1) ))-1</f>
        <v>0.42961572029816764</v>
      </c>
      <c r="R40" s="31">
        <f t="shared" si="6"/>
        <v>0.12</v>
      </c>
      <c r="S40" s="154">
        <f>P40*(1+$R40)</f>
        <v>502.88000000000005</v>
      </c>
      <c r="T40" s="154">
        <f t="shared" ref="T40:AB40" si="138">S40*(1+$R40)</f>
        <v>563.2256000000001</v>
      </c>
      <c r="U40" s="154">
        <f t="shared" si="138"/>
        <v>630.81267200000013</v>
      </c>
      <c r="V40" s="154">
        <f t="shared" si="138"/>
        <v>706.51019264000024</v>
      </c>
      <c r="W40" s="154">
        <f t="shared" si="138"/>
        <v>791.29141575680035</v>
      </c>
      <c r="X40" s="154">
        <f t="shared" si="138"/>
        <v>886.24638564761642</v>
      </c>
      <c r="Y40" s="154">
        <f t="shared" si="138"/>
        <v>992.5959519253305</v>
      </c>
      <c r="Z40" s="154">
        <f t="shared" si="138"/>
        <v>1111.7074661563702</v>
      </c>
      <c r="AA40" s="154">
        <f t="shared" si="138"/>
        <v>1245.1123620951348</v>
      </c>
      <c r="AB40" s="154">
        <f t="shared" si="138"/>
        <v>1394.5258455465512</v>
      </c>
      <c r="AC40" s="138">
        <f t="shared" si="19"/>
        <v>0.25727176104104132</v>
      </c>
      <c r="AD40" s="31">
        <f t="shared" si="17"/>
        <v>0.05</v>
      </c>
      <c r="AE40" s="146">
        <f t="shared" si="1"/>
        <v>8613.2478695522295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0.21739130434782608</v>
      </c>
      <c r="I41" s="148">
        <f t="shared" si="139"/>
        <v>0.25806451612903225</v>
      </c>
      <c r="J41" s="148">
        <f t="shared" si="139"/>
        <v>0.39215686274509803</v>
      </c>
      <c r="K41" s="148">
        <f t="shared" si="139"/>
        <v>0.41379310344827586</v>
      </c>
      <c r="L41" s="148">
        <f t="shared" si="139"/>
        <v>0.25641025641025639</v>
      </c>
      <c r="M41" s="148">
        <f t="shared" si="139"/>
        <v>0.39690721649484534</v>
      </c>
      <c r="N41" s="148">
        <f t="shared" si="139"/>
        <v>0.19166666666666668</v>
      </c>
      <c r="O41" s="148">
        <f t="shared" si="139"/>
        <v>0.28994082840236685</v>
      </c>
      <c r="P41" s="148">
        <f t="shared" si="139"/>
        <v>0.24721603563474387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206">
        <v>2.71</v>
      </c>
      <c r="H42" s="206">
        <v>2.71</v>
      </c>
      <c r="I42" s="206">
        <v>2.71</v>
      </c>
      <c r="J42" s="206">
        <v>3.9</v>
      </c>
      <c r="K42" s="206">
        <v>4.1100000000000003</v>
      </c>
      <c r="L42" s="206">
        <v>3.06</v>
      </c>
      <c r="M42" s="206">
        <v>4.91</v>
      </c>
      <c r="N42" s="206">
        <v>4.95</v>
      </c>
      <c r="O42" s="206">
        <v>5.23</v>
      </c>
      <c r="P42" s="206">
        <v>5.54</v>
      </c>
      <c r="Q42" s="118">
        <f>((P42/G42)^(1/($H$2-$H$1) ))-1</f>
        <v>8.2690926272795728E-2</v>
      </c>
      <c r="R42" s="31">
        <v>0.1</v>
      </c>
      <c r="S42" s="154">
        <f t="shared" ref="S42:S43" si="140">P42*(1+$R42)</f>
        <v>6.0940000000000003</v>
      </c>
      <c r="T42" s="154">
        <f t="shared" ref="T42:AB42" si="141">S42*(1+$R42)</f>
        <v>6.7034000000000011</v>
      </c>
      <c r="U42" s="154">
        <f t="shared" si="141"/>
        <v>7.3737400000000015</v>
      </c>
      <c r="V42" s="154">
        <f t="shared" si="141"/>
        <v>8.1111140000000024</v>
      </c>
      <c r="W42" s="154">
        <f t="shared" si="141"/>
        <v>8.9222254000000039</v>
      </c>
      <c r="X42" s="154">
        <f t="shared" si="141"/>
        <v>9.8144479400000044</v>
      </c>
      <c r="Y42" s="154">
        <f t="shared" si="141"/>
        <v>10.795892734000006</v>
      </c>
      <c r="Z42" s="154">
        <f t="shared" si="141"/>
        <v>11.875482007400008</v>
      </c>
      <c r="AA42" s="154">
        <f t="shared" si="141"/>
        <v>13.06303020814001</v>
      </c>
      <c r="AB42" s="154">
        <f t="shared" si="141"/>
        <v>14.369333228954012</v>
      </c>
      <c r="AC42" s="138">
        <f t="shared" si="19"/>
        <v>9.1766738932619774E-2</v>
      </c>
      <c r="AD42" s="31">
        <f t="shared" si="17"/>
        <v>0.05</v>
      </c>
      <c r="AE42" s="146">
        <f t="shared" si="1"/>
        <v>88.751764061186563</v>
      </c>
    </row>
    <row r="43" spans="2:31" x14ac:dyDescent="0.2">
      <c r="B43" s="20" t="s">
        <v>282</v>
      </c>
      <c r="C43" s="145"/>
      <c r="D43" s="145"/>
      <c r="E43" s="145"/>
      <c r="F43" s="147"/>
      <c r="G43" s="207">
        <v>2.1</v>
      </c>
      <c r="H43" s="207">
        <v>2.5</v>
      </c>
      <c r="I43" s="207">
        <v>3</v>
      </c>
      <c r="J43" s="207">
        <v>3</v>
      </c>
      <c r="K43" s="207">
        <v>4</v>
      </c>
      <c r="L43" s="207">
        <v>4</v>
      </c>
      <c r="M43" s="207">
        <v>5</v>
      </c>
      <c r="N43" s="207">
        <v>6</v>
      </c>
      <c r="O43" s="207">
        <v>6.5</v>
      </c>
      <c r="P43" s="207">
        <v>8.5</v>
      </c>
      <c r="Q43" s="118">
        <f>((P43/G43)^(1/($H$2-$H$1) ))-1</f>
        <v>0.16806396391177136</v>
      </c>
      <c r="R43" s="31">
        <f>P1</f>
        <v>0.05</v>
      </c>
      <c r="S43" s="154">
        <f t="shared" si="140"/>
        <v>8.9250000000000007</v>
      </c>
      <c r="T43" s="154">
        <f t="shared" ref="T43" si="142">S43*(1+$R43)</f>
        <v>9.3712500000000016</v>
      </c>
      <c r="U43" s="154">
        <f t="shared" ref="U43" si="143">T43*(1+$R43)</f>
        <v>9.8398125000000025</v>
      </c>
      <c r="V43" s="154">
        <f t="shared" ref="V43" si="144">U43*(1+$R43)</f>
        <v>10.331803125000002</v>
      </c>
      <c r="W43" s="154">
        <f t="shared" ref="W43" si="145">V43*(1+$R43)</f>
        <v>10.848393281250003</v>
      </c>
      <c r="X43" s="154">
        <f t="shared" ref="X43" si="146">W43*(1+$R43)</f>
        <v>11.390812945312502</v>
      </c>
      <c r="Y43" s="154">
        <f t="shared" ref="Y43" si="147">X43*(1+$R43)</f>
        <v>11.960353592578128</v>
      </c>
      <c r="Z43" s="154">
        <f t="shared" ref="Z43" si="148">Y43*(1+$R43)</f>
        <v>12.558371272207035</v>
      </c>
      <c r="AA43" s="154">
        <f t="shared" ref="AA43" si="149">Z43*(1+$R43)</f>
        <v>13.186289835817387</v>
      </c>
      <c r="AB43" s="154">
        <f t="shared" ref="AB43" si="150">AA43*(1+$R43)</f>
        <v>13.845604327608257</v>
      </c>
      <c r="AC43" s="138">
        <f t="shared" ref="AC43" si="151">((AB43/G43)^(1/($AB$3-$H$1) ))-1</f>
        <v>0.10435865204139994</v>
      </c>
      <c r="AD43" s="31">
        <f t="shared" si="17"/>
        <v>0.05</v>
      </c>
      <c r="AE43" s="146">
        <f t="shared" si="1"/>
        <v>85.516967905815719</v>
      </c>
    </row>
    <row r="44" spans="2:31" x14ac:dyDescent="0.2">
      <c r="B44" s="20" t="s">
        <v>426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424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>
        <f t="shared" si="152"/>
        <v>52.02952029520295</v>
      </c>
      <c r="H49" s="133">
        <f t="shared" si="152"/>
        <v>66.789667896678964</v>
      </c>
      <c r="I49" s="133">
        <f t="shared" si="152"/>
        <v>75.276752767527682</v>
      </c>
      <c r="J49" s="133">
        <f t="shared" si="152"/>
        <v>89.230769230769226</v>
      </c>
      <c r="K49" s="133">
        <f t="shared" si="152"/>
        <v>151.58150851581507</v>
      </c>
      <c r="L49" s="133">
        <f t="shared" si="152"/>
        <v>301.30718954248363</v>
      </c>
      <c r="M49" s="133">
        <f t="shared" si="152"/>
        <v>224.43991853360487</v>
      </c>
      <c r="N49" s="133">
        <f t="shared" si="152"/>
        <v>266.66666666666663</v>
      </c>
      <c r="O49" s="133">
        <f t="shared" si="152"/>
        <v>392.3518164435946</v>
      </c>
      <c r="P49" s="133">
        <f t="shared" si="152"/>
        <v>554.33212996389886</v>
      </c>
      <c r="Q49" s="118">
        <f>((P49/G49)^(1/($H$2-$H$1) ))-1</f>
        <v>0.30067536416700391</v>
      </c>
      <c r="R49" s="128"/>
      <c r="S49" s="158">
        <f t="shared" ref="S49:AB49" si="153">S25/S42</f>
        <v>564.41089596324252</v>
      </c>
      <c r="T49" s="158">
        <f t="shared" si="153"/>
        <v>574.67291225348333</v>
      </c>
      <c r="U49" s="158">
        <f t="shared" si="153"/>
        <v>585.12151065809223</v>
      </c>
      <c r="V49" s="158">
        <f t="shared" si="153"/>
        <v>595.76008357914839</v>
      </c>
      <c r="W49" s="158">
        <f t="shared" si="153"/>
        <v>606.5920850987693</v>
      </c>
      <c r="X49" s="158">
        <f t="shared" si="153"/>
        <v>617.62103210056512</v>
      </c>
      <c r="Y49" s="158">
        <f t="shared" si="153"/>
        <v>628.85050541148439</v>
      </c>
      <c r="Z49" s="158">
        <f t="shared" si="153"/>
        <v>640.28415096442052</v>
      </c>
      <c r="AA49" s="158">
        <f t="shared" si="153"/>
        <v>651.92568098195545</v>
      </c>
      <c r="AB49" s="158">
        <f t="shared" si="153"/>
        <v>663.77887518162731</v>
      </c>
      <c r="AC49" s="138">
        <f t="shared" ref="AC49" si="154">((AB49/G49)^(1/($AB$3-$H$1) ))-1</f>
        <v>0.1434011134383415</v>
      </c>
      <c r="AD49" s="31">
        <f t="shared" si="17"/>
        <v>0.05</v>
      </c>
      <c r="AE49" s="146">
        <f t="shared" ref="AE49:AE50" si="155">(AB49*(1+AD49))/($C$1-AD49)</f>
        <v>4099.8106996512288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>
        <f t="shared" si="156"/>
        <v>15.129151291512915</v>
      </c>
      <c r="H50" s="133">
        <f t="shared" si="156"/>
        <v>16.605166051660518</v>
      </c>
      <c r="I50" s="133">
        <f t="shared" si="156"/>
        <v>20.29520295202952</v>
      </c>
      <c r="J50" s="133">
        <f t="shared" si="156"/>
        <v>33.846153846153847</v>
      </c>
      <c r="K50" s="133">
        <f t="shared" si="156"/>
        <v>59.367396593673959</v>
      </c>
      <c r="L50" s="133">
        <f t="shared" si="156"/>
        <v>100</v>
      </c>
      <c r="M50" s="133">
        <f t="shared" si="156"/>
        <v>59.877800407331975</v>
      </c>
      <c r="N50" s="133">
        <f t="shared" si="156"/>
        <v>73.535353535353536</v>
      </c>
      <c r="O50" s="133">
        <f t="shared" si="156"/>
        <v>112.61950286806882</v>
      </c>
      <c r="P50" s="133">
        <f t="shared" si="156"/>
        <v>175.09025270758121</v>
      </c>
      <c r="Q50" s="118">
        <f>((P50/G50)^(1/($H$2-$H$1) ))-1</f>
        <v>0.31268590685268283</v>
      </c>
      <c r="R50" s="128"/>
      <c r="S50" s="158">
        <f t="shared" ref="S50:AB50" si="157">S27/S42</f>
        <v>178.27371184771908</v>
      </c>
      <c r="T50" s="158">
        <f t="shared" si="157"/>
        <v>181.51505206313215</v>
      </c>
      <c r="U50" s="158">
        <f t="shared" si="157"/>
        <v>184.8153257370073</v>
      </c>
      <c r="V50" s="158">
        <f t="shared" si="157"/>
        <v>188.17560438677106</v>
      </c>
      <c r="W50" s="158">
        <f t="shared" si="157"/>
        <v>191.5969790119851</v>
      </c>
      <c r="X50" s="158">
        <f t="shared" si="157"/>
        <v>195.08056044856664</v>
      </c>
      <c r="Y50" s="158">
        <f t="shared" si="157"/>
        <v>198.62747972944968</v>
      </c>
      <c r="Z50" s="158">
        <f t="shared" si="157"/>
        <v>202.23888845180332</v>
      </c>
      <c r="AA50" s="158">
        <f t="shared" si="157"/>
        <v>205.91595915092699</v>
      </c>
      <c r="AB50" s="158">
        <f t="shared" si="157"/>
        <v>209.65988568094386</v>
      </c>
      <c r="AC50" s="138">
        <f t="shared" ref="AC50" si="158">((AB50/G50)^(1/($AB$3-$H$1) ))-1</f>
        <v>0.14839029774862866</v>
      </c>
      <c r="AD50" s="31">
        <f t="shared" si="17"/>
        <v>0.05</v>
      </c>
      <c r="AE50" s="146">
        <f t="shared" si="155"/>
        <v>1294.9581174411239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>
        <f t="shared" si="159"/>
        <v>6.6420664206642064</v>
      </c>
      <c r="H52" s="133">
        <f t="shared" si="159"/>
        <v>8.4870848708487081</v>
      </c>
      <c r="I52" s="133">
        <f t="shared" si="159"/>
        <v>11.439114391143912</v>
      </c>
      <c r="J52" s="133">
        <f t="shared" si="159"/>
        <v>13.076923076923077</v>
      </c>
      <c r="K52" s="133">
        <f t="shared" si="159"/>
        <v>21.167883211678831</v>
      </c>
      <c r="L52" s="133">
        <f t="shared" si="159"/>
        <v>38.235294117647058</v>
      </c>
      <c r="M52" s="133">
        <f t="shared" si="159"/>
        <v>39.5112016293279</v>
      </c>
      <c r="N52" s="133">
        <f t="shared" si="159"/>
        <v>48.484848484848484</v>
      </c>
      <c r="O52" s="133">
        <f t="shared" si="159"/>
        <v>64.627151051625233</v>
      </c>
      <c r="P52" s="133">
        <f t="shared" si="159"/>
        <v>81.046931407942239</v>
      </c>
      <c r="Q52" s="118">
        <f>((P52/G52)^(1/($H$2-$H$1) ))-1</f>
        <v>0.32042828253828026</v>
      </c>
      <c r="R52" s="128"/>
      <c r="S52" s="158">
        <f t="shared" ref="S52:AB52" si="160">S40/S42</f>
        <v>82.520511978995742</v>
      </c>
      <c r="T52" s="158">
        <f t="shared" si="160"/>
        <v>84.020884924068383</v>
      </c>
      <c r="U52" s="158">
        <f t="shared" si="160"/>
        <v>85.548537377233259</v>
      </c>
      <c r="V52" s="158">
        <f t="shared" si="160"/>
        <v>87.103965329546597</v>
      </c>
      <c r="W52" s="158">
        <f t="shared" si="160"/>
        <v>88.687673790083807</v>
      </c>
      <c r="X52" s="158">
        <f t="shared" si="160"/>
        <v>90.300176949903516</v>
      </c>
      <c r="Y52" s="158">
        <f t="shared" si="160"/>
        <v>91.941998348992669</v>
      </c>
      <c r="Z52" s="158">
        <f t="shared" si="160"/>
        <v>93.613671046247077</v>
      </c>
      <c r="AA52" s="158">
        <f t="shared" si="160"/>
        <v>95.315737792542478</v>
      </c>
      <c r="AB52" s="158">
        <f t="shared" si="160"/>
        <v>97.048751206952346</v>
      </c>
      <c r="AC52" s="138">
        <f t="shared" ref="AC52:AC66" si="161">((AB52/G52)^(1/($AB$3-$H$1) ))-1</f>
        <v>0.15159375735354419</v>
      </c>
      <c r="AD52" s="31">
        <f t="shared" si="17"/>
        <v>0.05</v>
      </c>
      <c r="AE52" s="146">
        <f t="shared" ref="AE52:AE80" si="162">(AB52*(1+AD52))/($C$1-AD52)</f>
        <v>599.41875745470577</v>
      </c>
    </row>
    <row r="53" spans="2:31" x14ac:dyDescent="0.2">
      <c r="B53" s="20" t="s">
        <v>387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>
        <f>G20/G42</f>
        <v>0</v>
      </c>
      <c r="H53" s="133">
        <f t="shared" ref="H53:P53" si="164">H20/H42</f>
        <v>0</v>
      </c>
      <c r="I53" s="133">
        <f t="shared" si="164"/>
        <v>0</v>
      </c>
      <c r="J53" s="133">
        <f t="shared" si="164"/>
        <v>0</v>
      </c>
      <c r="K53" s="133">
        <f t="shared" si="164"/>
        <v>0</v>
      </c>
      <c r="L53" s="133">
        <f t="shared" si="164"/>
        <v>0</v>
      </c>
      <c r="M53" s="133">
        <f t="shared" si="164"/>
        <v>0</v>
      </c>
      <c r="N53" s="133">
        <f t="shared" si="164"/>
        <v>0</v>
      </c>
      <c r="O53" s="133">
        <f t="shared" si="164"/>
        <v>0</v>
      </c>
      <c r="P53" s="133">
        <f t="shared" si="164"/>
        <v>0</v>
      </c>
      <c r="Q53" s="118" t="e">
        <f>((P53/G53)^(1/($H$2-$H$1) ))-1</f>
        <v>#DIV/0!</v>
      </c>
      <c r="R53" s="128"/>
      <c r="S53" s="133">
        <f t="shared" ref="S53:AB53" si="165">S20/S42</f>
        <v>0</v>
      </c>
      <c r="T53" s="133">
        <f t="shared" si="165"/>
        <v>0</v>
      </c>
      <c r="U53" s="133">
        <f t="shared" si="165"/>
        <v>0</v>
      </c>
      <c r="V53" s="133">
        <f t="shared" si="165"/>
        <v>0</v>
      </c>
      <c r="W53" s="133">
        <f t="shared" si="165"/>
        <v>0</v>
      </c>
      <c r="X53" s="133">
        <f t="shared" si="165"/>
        <v>0</v>
      </c>
      <c r="Y53" s="133">
        <f t="shared" si="165"/>
        <v>0</v>
      </c>
      <c r="Z53" s="133">
        <f t="shared" si="165"/>
        <v>0</v>
      </c>
      <c r="AA53" s="133">
        <f t="shared" si="165"/>
        <v>0</v>
      </c>
      <c r="AB53" s="133">
        <f t="shared" si="165"/>
        <v>0</v>
      </c>
      <c r="AC53" s="138" t="e">
        <f t="shared" ref="AC53" si="166">((AB53/G53)^(1/($AB$3-$H$1) ))-1</f>
        <v>#DIV/0!</v>
      </c>
      <c r="AD53" s="31">
        <f t="shared" si="17"/>
        <v>0.05</v>
      </c>
      <c r="AE53" s="146">
        <f t="shared" si="162"/>
        <v>0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>
        <f t="shared" si="167"/>
        <v>29.520295202952031</v>
      </c>
      <c r="H54" s="133">
        <f t="shared" si="167"/>
        <v>34.317343173431738</v>
      </c>
      <c r="I54" s="133">
        <f t="shared" si="167"/>
        <v>42.066420664206646</v>
      </c>
      <c r="J54" s="133">
        <f t="shared" si="167"/>
        <v>89.487179487179489</v>
      </c>
      <c r="K54" s="133">
        <f t="shared" si="167"/>
        <v>109.4890510948905</v>
      </c>
      <c r="L54" s="133">
        <f t="shared" si="167"/>
        <v>231.69934640522877</v>
      </c>
      <c r="M54" s="133">
        <f t="shared" si="167"/>
        <v>203.66598778004072</v>
      </c>
      <c r="N54" s="133">
        <f t="shared" si="167"/>
        <v>244.84848484848484</v>
      </c>
      <c r="O54" s="133">
        <f t="shared" si="167"/>
        <v>330.7839388145315</v>
      </c>
      <c r="P54" s="133">
        <f t="shared" si="167"/>
        <v>413.17689530685919</v>
      </c>
      <c r="Q54" s="118">
        <f>((P54/G54)^(1/($H$2-$H$1) ))-1</f>
        <v>0.34071058096274842</v>
      </c>
      <c r="R54" s="128"/>
      <c r="S54" s="158">
        <f t="shared" ref="S54:AB54" si="168">S7/S42</f>
        <v>420.68920249425668</v>
      </c>
      <c r="T54" s="158">
        <f t="shared" si="168"/>
        <v>428.33809708506135</v>
      </c>
      <c r="U54" s="158">
        <f t="shared" si="168"/>
        <v>436.12606248660791</v>
      </c>
      <c r="V54" s="158">
        <f t="shared" si="168"/>
        <v>444.05562725909175</v>
      </c>
      <c r="W54" s="158">
        <f t="shared" si="168"/>
        <v>452.12936593652972</v>
      </c>
      <c r="X54" s="158">
        <f t="shared" si="168"/>
        <v>460.34989986264844</v>
      </c>
      <c r="Y54" s="158">
        <f t="shared" si="168"/>
        <v>468.71989804196932</v>
      </c>
      <c r="Z54" s="158">
        <f t="shared" si="168"/>
        <v>477.24207800636879</v>
      </c>
      <c r="AA54" s="158">
        <f t="shared" si="168"/>
        <v>485.91920669739369</v>
      </c>
      <c r="AB54" s="158">
        <f t="shared" si="168"/>
        <v>494.75410136461898</v>
      </c>
      <c r="AC54" s="138">
        <f t="shared" si="161"/>
        <v>0.15993911852093001</v>
      </c>
      <c r="AD54" s="31">
        <f t="shared" si="17"/>
        <v>0.05</v>
      </c>
      <c r="AE54" s="146">
        <f t="shared" si="162"/>
        <v>3055.8341554873527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>
        <f t="shared" si="169"/>
        <v>11.07011070110701</v>
      </c>
      <c r="H55" s="144">
        <f t="shared" si="169"/>
        <v>15.867158671586717</v>
      </c>
      <c r="I55" s="144">
        <f t="shared" si="169"/>
        <v>23.247232472324722</v>
      </c>
      <c r="J55" s="144">
        <f t="shared" si="169"/>
        <v>72.051282051282058</v>
      </c>
      <c r="K55" s="144">
        <f t="shared" si="169"/>
        <v>91.727493917274927</v>
      </c>
      <c r="L55" s="144">
        <f t="shared" si="169"/>
        <v>202.61437908496731</v>
      </c>
      <c r="M55" s="144">
        <f t="shared" si="169"/>
        <v>189.0020366598778</v>
      </c>
      <c r="N55" s="144">
        <f t="shared" si="169"/>
        <v>230.90909090909091</v>
      </c>
      <c r="O55" s="144">
        <f t="shared" si="169"/>
        <v>304.58891013384317</v>
      </c>
      <c r="P55" s="144">
        <f t="shared" si="169"/>
        <v>395.30685920577616</v>
      </c>
      <c r="Q55" s="118">
        <f>((P55/G55)^(1/($H$2-$H$1) ))-1</f>
        <v>0.48775485526275464</v>
      </c>
      <c r="R55" s="128"/>
      <c r="S55" s="157">
        <f t="shared" ref="S55:AB55" si="170">S6/S42</f>
        <v>402.49425664588119</v>
      </c>
      <c r="T55" s="157">
        <f t="shared" si="170"/>
        <v>409.81233403944265</v>
      </c>
      <c r="U55" s="157">
        <f t="shared" si="170"/>
        <v>417.26346738561438</v>
      </c>
      <c r="V55" s="157">
        <f t="shared" si="170"/>
        <v>424.85007588353466</v>
      </c>
      <c r="W55" s="157">
        <f t="shared" si="170"/>
        <v>432.57462271778076</v>
      </c>
      <c r="X55" s="157">
        <f t="shared" si="170"/>
        <v>440.4396158581041</v>
      </c>
      <c r="Y55" s="157">
        <f t="shared" si="170"/>
        <v>448.44760887370597</v>
      </c>
      <c r="Z55" s="157">
        <f t="shared" si="170"/>
        <v>456.60120176231885</v>
      </c>
      <c r="AA55" s="157">
        <f t="shared" si="170"/>
        <v>464.903041794361</v>
      </c>
      <c r="AB55" s="157">
        <f t="shared" si="170"/>
        <v>473.35582437244028</v>
      </c>
      <c r="AC55" s="138">
        <f t="shared" si="161"/>
        <v>0.21855177726395847</v>
      </c>
      <c r="AD55" s="31">
        <f t="shared" si="17"/>
        <v>0.05</v>
      </c>
      <c r="AE55" s="146">
        <f t="shared" si="162"/>
        <v>2923.668327006249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>
        <f t="shared" si="171"/>
        <v>221.40221402214021</v>
      </c>
      <c r="H56" s="144">
        <f t="shared" si="171"/>
        <v>240.22140221402213</v>
      </c>
      <c r="I56" s="144">
        <f t="shared" si="171"/>
        <v>320.29520295202951</v>
      </c>
      <c r="J56" s="144">
        <f t="shared" si="171"/>
        <v>390.76923076923077</v>
      </c>
      <c r="K56" s="144">
        <f t="shared" si="171"/>
        <v>731.14355231143543</v>
      </c>
      <c r="L56" s="144">
        <f t="shared" si="171"/>
        <v>1412.4183006535948</v>
      </c>
      <c r="M56" s="144">
        <f t="shared" si="171"/>
        <v>950.50916496945013</v>
      </c>
      <c r="N56" s="144">
        <f t="shared" si="171"/>
        <v>1480.2020202020201</v>
      </c>
      <c r="O56" s="144">
        <f t="shared" si="171"/>
        <v>1443.7858508604206</v>
      </c>
      <c r="P56" s="144">
        <f t="shared" si="171"/>
        <v>1783.0324909747292</v>
      </c>
      <c r="Q56" s="118">
        <f>((P56/G56)^(1/($H$2-$H$1) ))-1</f>
        <v>0.26085209437962398</v>
      </c>
      <c r="R56" s="128"/>
      <c r="S56" s="157">
        <f t="shared" ref="S56:AB56" si="172">S10/S42</f>
        <v>1815.4512635379062</v>
      </c>
      <c r="T56" s="157">
        <f t="shared" si="172"/>
        <v>1848.4594683295045</v>
      </c>
      <c r="U56" s="157">
        <f t="shared" si="172"/>
        <v>1882.0678222991319</v>
      </c>
      <c r="V56" s="157">
        <f t="shared" si="172"/>
        <v>1916.2872372500251</v>
      </c>
      <c r="W56" s="157">
        <f t="shared" si="172"/>
        <v>1951.1288233818436</v>
      </c>
      <c r="X56" s="157">
        <f t="shared" si="172"/>
        <v>1986.6038928978774</v>
      </c>
      <c r="Y56" s="157">
        <f t="shared" si="172"/>
        <v>2022.7239636778386</v>
      </c>
      <c r="Z56" s="157">
        <f t="shared" si="172"/>
        <v>2059.5007630174359</v>
      </c>
      <c r="AA56" s="157">
        <f t="shared" si="172"/>
        <v>2096.9462314359348</v>
      </c>
      <c r="AB56" s="157">
        <f t="shared" si="172"/>
        <v>2135.0725265529518</v>
      </c>
      <c r="AC56" s="138">
        <f t="shared" si="161"/>
        <v>0.12668267015136347</v>
      </c>
      <c r="AD56" s="31">
        <f t="shared" si="17"/>
        <v>0.05</v>
      </c>
      <c r="AE56" s="146">
        <f t="shared" si="162"/>
        <v>13187.212664003529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>
        <f t="shared" si="173"/>
        <v>-191.8819188191882</v>
      </c>
      <c r="H58" s="144">
        <f t="shared" si="173"/>
        <v>-205.9040590405904</v>
      </c>
      <c r="I58" s="144">
        <f t="shared" si="173"/>
        <v>-278.22878228782287</v>
      </c>
      <c r="J58" s="144">
        <f t="shared" si="173"/>
        <v>-301.28205128205127</v>
      </c>
      <c r="K58" s="144">
        <f t="shared" si="173"/>
        <v>-621.65450121654499</v>
      </c>
      <c r="L58" s="144">
        <f t="shared" si="173"/>
        <v>-1180.7189542483659</v>
      </c>
      <c r="M58" s="144">
        <f t="shared" si="173"/>
        <v>-746.8431771894094</v>
      </c>
      <c r="N58" s="144">
        <f t="shared" si="173"/>
        <v>-1235.3535353535353</v>
      </c>
      <c r="O58" s="144">
        <f t="shared" si="173"/>
        <v>-1113.001912045889</v>
      </c>
      <c r="P58" s="144">
        <f t="shared" si="173"/>
        <v>-1369.8555956678699</v>
      </c>
      <c r="Q58" s="118">
        <f>((P58/G58)^(1/($H$2-$H$1) ))-1</f>
        <v>0.24408189702748317</v>
      </c>
      <c r="R58" s="128"/>
      <c r="S58" s="157">
        <f t="shared" ref="S58:AB58" si="174">(S7-S10)/S42</f>
        <v>-1394.7620610436495</v>
      </c>
      <c r="T58" s="157">
        <f t="shared" si="174"/>
        <v>-1420.121371244443</v>
      </c>
      <c r="U58" s="157">
        <f t="shared" si="174"/>
        <v>-1445.9417598125242</v>
      </c>
      <c r="V58" s="157">
        <f t="shared" si="174"/>
        <v>-1472.2316099909333</v>
      </c>
      <c r="W58" s="157">
        <f t="shared" si="174"/>
        <v>-1498.999457445314</v>
      </c>
      <c r="X58" s="157">
        <f t="shared" si="174"/>
        <v>-1526.2539930352289</v>
      </c>
      <c r="Y58" s="157">
        <f t="shared" si="174"/>
        <v>-1554.0040656358692</v>
      </c>
      <c r="Z58" s="157">
        <f t="shared" si="174"/>
        <v>-1582.258685011067</v>
      </c>
      <c r="AA58" s="157">
        <f t="shared" si="174"/>
        <v>-1611.0270247385408</v>
      </c>
      <c r="AB58" s="157">
        <f t="shared" si="174"/>
        <v>-1640.3184251883326</v>
      </c>
      <c r="AC58" s="138">
        <f t="shared" si="161"/>
        <v>0.11955918793345655</v>
      </c>
      <c r="AD58" s="31">
        <f t="shared" si="17"/>
        <v>0.05</v>
      </c>
      <c r="AE58" s="146">
        <f t="shared" si="162"/>
        <v>-10131.378508516174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>
        <f t="shared" si="175"/>
        <v>-236.53136531365314</v>
      </c>
      <c r="H59" s="144">
        <f t="shared" si="175"/>
        <v>-260.14760147601476</v>
      </c>
      <c r="I59" s="144">
        <f t="shared" si="175"/>
        <v>-363.46863468634689</v>
      </c>
      <c r="J59" s="144">
        <f t="shared" si="175"/>
        <v>-384.10256410256409</v>
      </c>
      <c r="K59" s="144">
        <f t="shared" si="175"/>
        <v>-694.40389294403883</v>
      </c>
      <c r="L59" s="144">
        <f t="shared" si="175"/>
        <v>-1291.8300653594772</v>
      </c>
      <c r="M59" s="144">
        <f t="shared" si="175"/>
        <v>-841.54786150712823</v>
      </c>
      <c r="N59" s="144">
        <f t="shared" si="175"/>
        <v>-1376.969696969697</v>
      </c>
      <c r="O59" s="144">
        <f t="shared" si="175"/>
        <v>-1738.814531548757</v>
      </c>
      <c r="P59" s="144">
        <f t="shared" si="175"/>
        <v>-2081.407942238267</v>
      </c>
      <c r="Q59" s="118">
        <f>((P59/G59)^(1/($H$2-$H$1) ))-1</f>
        <v>0.27332991110314242</v>
      </c>
      <c r="R59" s="128"/>
      <c r="S59" s="157">
        <f t="shared" ref="S59:AB59" si="176">(S7-S10-S9)/S42</f>
        <v>-2119.2517230062358</v>
      </c>
      <c r="T59" s="157">
        <f t="shared" si="176"/>
        <v>-2157.7835725154396</v>
      </c>
      <c r="U59" s="157">
        <f t="shared" si="176"/>
        <v>-2197.01600110663</v>
      </c>
      <c r="V59" s="157">
        <f t="shared" si="176"/>
        <v>-2236.9617465812958</v>
      </c>
      <c r="W59" s="157">
        <f t="shared" si="176"/>
        <v>-2277.6337783373192</v>
      </c>
      <c r="X59" s="157">
        <f t="shared" si="176"/>
        <v>-2319.0453015798162</v>
      </c>
      <c r="Y59" s="157">
        <f t="shared" si="176"/>
        <v>-2361.2097616085398</v>
      </c>
      <c r="Z59" s="157">
        <f t="shared" si="176"/>
        <v>-2404.1408481832409</v>
      </c>
      <c r="AA59" s="157">
        <f t="shared" si="176"/>
        <v>-2447.8524999683905</v>
      </c>
      <c r="AB59" s="157">
        <f t="shared" si="176"/>
        <v>-2492.3589090587247</v>
      </c>
      <c r="AC59" s="138">
        <f t="shared" si="161"/>
        <v>0.13195057773076213</v>
      </c>
      <c r="AD59" s="31">
        <f t="shared" si="17"/>
        <v>0.05</v>
      </c>
      <c r="AE59" s="146">
        <f t="shared" si="162"/>
        <v>-15393.981497127421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>
        <f t="shared" si="177"/>
        <v>35.055350553505534</v>
      </c>
      <c r="H60" s="144">
        <f t="shared" si="177"/>
        <v>31.365313653136532</v>
      </c>
      <c r="I60" s="144">
        <f t="shared" si="177"/>
        <v>-10.701107011070111</v>
      </c>
      <c r="J60" s="144">
        <f t="shared" si="177"/>
        <v>100.25641025641026</v>
      </c>
      <c r="K60" s="144">
        <f t="shared" si="177"/>
        <v>68.369829683698285</v>
      </c>
      <c r="L60" s="144">
        <f t="shared" si="177"/>
        <v>63.071895424836597</v>
      </c>
      <c r="M60" s="144">
        <f t="shared" si="177"/>
        <v>318.94093686354375</v>
      </c>
      <c r="N60" s="144">
        <f t="shared" si="177"/>
        <v>472.9292929292929</v>
      </c>
      <c r="O60" s="144">
        <f t="shared" si="177"/>
        <v>-1517.0172084130018</v>
      </c>
      <c r="P60" s="144">
        <f t="shared" si="177"/>
        <v>-1688.0866425992779</v>
      </c>
      <c r="Q60" s="118">
        <f>((P60/G60)^(1/($H$2-$H$1) ))-1</f>
        <v>-2.5380131424255414</v>
      </c>
      <c r="R60" s="128"/>
      <c r="S60" s="157">
        <f t="shared" ref="S60:AB60" si="178">(S7+S15-S10-S9)/S42</f>
        <v>-1718.7791270101741</v>
      </c>
      <c r="T60" s="157">
        <f t="shared" si="178"/>
        <v>-1750.0296565921772</v>
      </c>
      <c r="U60" s="157">
        <f t="shared" si="178"/>
        <v>-1781.848377621126</v>
      </c>
      <c r="V60" s="157">
        <f t="shared" si="178"/>
        <v>-1814.245620850601</v>
      </c>
      <c r="W60" s="157">
        <f t="shared" si="178"/>
        <v>-1847.2319048660661</v>
      </c>
      <c r="X60" s="157">
        <f t="shared" si="178"/>
        <v>-1880.817939499995</v>
      </c>
      <c r="Y60" s="157">
        <f t="shared" si="178"/>
        <v>-1915.0146293090854</v>
      </c>
      <c r="Z60" s="157">
        <f t="shared" si="178"/>
        <v>-1949.8330771147052</v>
      </c>
      <c r="AA60" s="157">
        <f t="shared" si="178"/>
        <v>-1985.2845876076999</v>
      </c>
      <c r="AB60" s="157">
        <f t="shared" si="178"/>
        <v>-2021.3806710187491</v>
      </c>
      <c r="AC60" s="138">
        <f t="shared" si="161"/>
        <v>-2.2378802123366635</v>
      </c>
      <c r="AD60" s="31">
        <f t="shared" si="17"/>
        <v>0.05</v>
      </c>
      <c r="AE60" s="146">
        <f t="shared" si="162"/>
        <v>-12484.998262174629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>
        <f t="shared" si="179"/>
        <v>40.221402214022142</v>
      </c>
      <c r="H62" s="144">
        <f t="shared" si="179"/>
        <v>34.686346863468636</v>
      </c>
      <c r="I62" s="144">
        <f t="shared" si="179"/>
        <v>85.608856088560884</v>
      </c>
      <c r="J62" s="144">
        <f t="shared" si="179"/>
        <v>93.589743589743591</v>
      </c>
      <c r="K62" s="144">
        <f t="shared" si="179"/>
        <v>212.89537712895375</v>
      </c>
      <c r="L62" s="144">
        <f t="shared" si="179"/>
        <v>525.16339869281046</v>
      </c>
      <c r="M62" s="144">
        <f t="shared" si="179"/>
        <v>285.33604887983705</v>
      </c>
      <c r="N62" s="144">
        <f t="shared" si="179"/>
        <v>437.77777777777777</v>
      </c>
      <c r="O62" s="144">
        <f t="shared" si="179"/>
        <v>221.79732313575525</v>
      </c>
      <c r="P62" s="144">
        <f t="shared" si="179"/>
        <v>393.32129963898916</v>
      </c>
      <c r="Q62" s="118">
        <f>((P62/G62)^(1/($H$2-$H$1) ))-1</f>
        <v>0.28834522134178409</v>
      </c>
      <c r="R62" s="128"/>
      <c r="S62" s="157">
        <f t="shared" ref="S62:AB62" si="180">S12/S42</f>
        <v>400.47259599606167</v>
      </c>
      <c r="T62" s="157">
        <f t="shared" si="180"/>
        <v>407.75391592326281</v>
      </c>
      <c r="U62" s="157">
        <f t="shared" si="180"/>
        <v>415.16762348550401</v>
      </c>
      <c r="V62" s="157">
        <f t="shared" si="180"/>
        <v>422.71612573069496</v>
      </c>
      <c r="W62" s="157">
        <f t="shared" si="180"/>
        <v>430.40187347125305</v>
      </c>
      <c r="X62" s="157">
        <f t="shared" si="180"/>
        <v>438.22736207982132</v>
      </c>
      <c r="Y62" s="157">
        <f t="shared" si="180"/>
        <v>446.19513229945443</v>
      </c>
      <c r="Z62" s="157">
        <f t="shared" si="180"/>
        <v>454.30777106853543</v>
      </c>
      <c r="AA62" s="157">
        <f t="shared" si="180"/>
        <v>462.56791236069057</v>
      </c>
      <c r="AB62" s="157">
        <f t="shared" si="180"/>
        <v>470.97823803997579</v>
      </c>
      <c r="AC62" s="138">
        <f t="shared" si="161"/>
        <v>0.13825387799154698</v>
      </c>
      <c r="AD62" s="31">
        <f t="shared" si="17"/>
        <v>0.05</v>
      </c>
      <c r="AE62" s="146">
        <f t="shared" si="162"/>
        <v>2908.9832349527919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>
        <f t="shared" si="181"/>
        <v>0.59040590405904059</v>
      </c>
      <c r="H63" s="144">
        <f t="shared" si="181"/>
        <v>0.59040590405904059</v>
      </c>
      <c r="I63" s="144">
        <f t="shared" si="181"/>
        <v>2.4354243542435423</v>
      </c>
      <c r="J63" s="144">
        <f t="shared" si="181"/>
        <v>1.5384615384615385</v>
      </c>
      <c r="K63" s="144">
        <f t="shared" si="181"/>
        <v>1.4598540145985401</v>
      </c>
      <c r="L63" s="144">
        <f t="shared" si="181"/>
        <v>1.9607843137254901</v>
      </c>
      <c r="M63" s="144">
        <f t="shared" si="181"/>
        <v>0.20366598778004072</v>
      </c>
      <c r="N63" s="144">
        <f t="shared" si="181"/>
        <v>0.60606060606060608</v>
      </c>
      <c r="O63" s="144">
        <f t="shared" si="181"/>
        <v>0.57361376673040143</v>
      </c>
      <c r="P63" s="144">
        <f t="shared" si="181"/>
        <v>4.3700361010830324</v>
      </c>
      <c r="Q63" s="118">
        <f>((P63/G63)^(1/($H$2-$H$1) ))-1</f>
        <v>0.24908704383699942</v>
      </c>
      <c r="R63" s="128"/>
      <c r="S63" s="157">
        <f t="shared" ref="S63:AB63" si="182">S13/S42</f>
        <v>4.4494913029209062</v>
      </c>
      <c r="T63" s="157">
        <f t="shared" si="182"/>
        <v>4.5303911447921958</v>
      </c>
      <c r="U63" s="157">
        <f t="shared" si="182"/>
        <v>4.6127618928793268</v>
      </c>
      <c r="V63" s="157">
        <f t="shared" si="182"/>
        <v>4.6966302909316786</v>
      </c>
      <c r="W63" s="157">
        <f t="shared" si="182"/>
        <v>4.7820235689486186</v>
      </c>
      <c r="X63" s="157">
        <f t="shared" si="182"/>
        <v>4.8689694520204121</v>
      </c>
      <c r="Y63" s="157">
        <f t="shared" si="182"/>
        <v>4.9574961693298745</v>
      </c>
      <c r="Z63" s="157">
        <f t="shared" si="182"/>
        <v>5.0476324633176901</v>
      </c>
      <c r="AA63" s="157">
        <f t="shared" si="182"/>
        <v>5.1394075990143753</v>
      </c>
      <c r="AB63" s="157">
        <f t="shared" si="182"/>
        <v>5.2328513735419087</v>
      </c>
      <c r="AC63" s="138">
        <f t="shared" si="161"/>
        <v>0.12169048856461129</v>
      </c>
      <c r="AD63" s="31">
        <f t="shared" si="17"/>
        <v>0.05</v>
      </c>
      <c r="AE63" s="146">
        <f t="shared" si="162"/>
        <v>32.320552601288263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>
        <f t="shared" si="183"/>
        <v>40.811808118081181</v>
      </c>
      <c r="H64" s="144">
        <f t="shared" si="183"/>
        <v>35.276752767527675</v>
      </c>
      <c r="I64" s="144">
        <f t="shared" si="183"/>
        <v>88.044280442804421</v>
      </c>
      <c r="J64" s="144">
        <f t="shared" si="183"/>
        <v>95.128205128205124</v>
      </c>
      <c r="K64" s="144">
        <f t="shared" si="183"/>
        <v>214.35523114355229</v>
      </c>
      <c r="L64" s="144">
        <f t="shared" si="183"/>
        <v>527.12418300653599</v>
      </c>
      <c r="M64" s="144">
        <f t="shared" si="183"/>
        <v>285.53971486761708</v>
      </c>
      <c r="N64" s="144">
        <f t="shared" si="183"/>
        <v>438.38383838383839</v>
      </c>
      <c r="O64" s="144">
        <f t="shared" ref="O64" si="184">(O62+O63)</f>
        <v>222.37093690248565</v>
      </c>
      <c r="P64" s="144">
        <f t="shared" si="183"/>
        <v>397.69133574007219</v>
      </c>
      <c r="Q64" s="118">
        <f>((P64/G64)^(1/($H$2-$H$1) ))-1</f>
        <v>0.28784102234378595</v>
      </c>
      <c r="R64" s="128"/>
      <c r="S64" s="157">
        <f t="shared" ref="S64:AB64" si="185">(S62+S63)</f>
        <v>404.9220872989826</v>
      </c>
      <c r="T64" s="157">
        <f t="shared" si="185"/>
        <v>412.284307068055</v>
      </c>
      <c r="U64" s="157">
        <f t="shared" si="185"/>
        <v>419.78038537838336</v>
      </c>
      <c r="V64" s="157">
        <f t="shared" si="185"/>
        <v>427.41275602162665</v>
      </c>
      <c r="W64" s="157">
        <f t="shared" si="185"/>
        <v>435.18389704020166</v>
      </c>
      <c r="X64" s="157">
        <f t="shared" si="185"/>
        <v>443.09633153184171</v>
      </c>
      <c r="Y64" s="157">
        <f t="shared" si="185"/>
        <v>451.15262846878431</v>
      </c>
      <c r="Z64" s="157">
        <f t="shared" si="185"/>
        <v>459.35540353185314</v>
      </c>
      <c r="AA64" s="157">
        <f t="shared" si="185"/>
        <v>467.70731995970493</v>
      </c>
      <c r="AB64" s="157">
        <f t="shared" si="185"/>
        <v>476.2110894135177</v>
      </c>
      <c r="AC64" s="138">
        <f t="shared" si="161"/>
        <v>0.1380428488131531</v>
      </c>
      <c r="AD64" s="31">
        <f t="shared" si="17"/>
        <v>0.05</v>
      </c>
      <c r="AE64" s="146">
        <f t="shared" si="162"/>
        <v>2941.3037875540804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271.58671586715866</v>
      </c>
      <c r="H65" s="144">
        <f t="shared" si="186"/>
        <v>291.51291512915128</v>
      </c>
      <c r="I65" s="144">
        <f t="shared" si="186"/>
        <v>352.76752767527677</v>
      </c>
      <c r="J65" s="144">
        <f t="shared" si="186"/>
        <v>484.35897435897436</v>
      </c>
      <c r="K65" s="144">
        <f t="shared" si="186"/>
        <v>762.77372262773713</v>
      </c>
      <c r="L65" s="144">
        <f t="shared" si="186"/>
        <v>1354.9019607843138</v>
      </c>
      <c r="M65" s="144">
        <f t="shared" si="186"/>
        <v>1160.4887983706722</v>
      </c>
      <c r="N65" s="144">
        <f t="shared" si="186"/>
        <v>1849.8989898989898</v>
      </c>
      <c r="O65" s="144">
        <f t="shared" si="186"/>
        <v>221.79732313575525</v>
      </c>
      <c r="P65" s="144">
        <f t="shared" si="186"/>
        <v>393.32129963898916</v>
      </c>
      <c r="Q65" s="118">
        <f>((P65/G65)^(1/($H$2-$H$1) ))-1</f>
        <v>4.2007856752178219E-2</v>
      </c>
      <c r="R65" s="128"/>
      <c r="S65" s="157">
        <f t="shared" ref="S65:AB65" si="187">S15/S42</f>
        <v>400.47259599606167</v>
      </c>
      <c r="T65" s="157">
        <f t="shared" si="187"/>
        <v>407.75391592326281</v>
      </c>
      <c r="U65" s="157">
        <f t="shared" si="187"/>
        <v>415.16762348550401</v>
      </c>
      <c r="V65" s="157">
        <f t="shared" si="187"/>
        <v>422.71612573069496</v>
      </c>
      <c r="W65" s="157">
        <f t="shared" si="187"/>
        <v>430.40187347125305</v>
      </c>
      <c r="X65" s="157">
        <f t="shared" si="187"/>
        <v>438.22736207982132</v>
      </c>
      <c r="Y65" s="157">
        <f t="shared" si="187"/>
        <v>446.19513229945443</v>
      </c>
      <c r="Z65" s="157">
        <f t="shared" si="187"/>
        <v>454.30777106853543</v>
      </c>
      <c r="AA65" s="157">
        <f t="shared" si="187"/>
        <v>462.56791236069057</v>
      </c>
      <c r="AB65" s="157">
        <f t="shared" si="187"/>
        <v>470.97823803997579</v>
      </c>
      <c r="AC65" s="138">
        <f t="shared" si="161"/>
        <v>2.939915203920318E-2</v>
      </c>
      <c r="AD65" s="31">
        <f t="shared" si="17"/>
        <v>0.05</v>
      </c>
      <c r="AE65" s="146">
        <f t="shared" si="162"/>
        <v>2908.9832349527919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>
        <f t="shared" si="188"/>
        <v>238.00738007380073</v>
      </c>
      <c r="H66" s="144">
        <f t="shared" si="188"/>
        <v>251.66051660516607</v>
      </c>
      <c r="I66" s="144">
        <f t="shared" si="188"/>
        <v>339.11439114391146</v>
      </c>
      <c r="J66" s="144">
        <f t="shared" si="188"/>
        <v>464.35897435897436</v>
      </c>
      <c r="K66" s="144">
        <f t="shared" si="188"/>
        <v>816.54501216545009</v>
      </c>
      <c r="L66" s="144">
        <f t="shared" si="188"/>
        <v>1630.392156862745</v>
      </c>
      <c r="M66" s="144">
        <f t="shared" si="188"/>
        <v>1149.6945010183299</v>
      </c>
      <c r="N66" s="144">
        <f t="shared" si="188"/>
        <v>1718.5858585858584</v>
      </c>
      <c r="O66" s="144">
        <f t="shared" si="188"/>
        <v>1764.0535372848947</v>
      </c>
      <c r="P66" s="144">
        <f t="shared" si="188"/>
        <v>2181.7689530685921</v>
      </c>
      <c r="Q66" s="118">
        <f>((P66/G66)^(1/($H$2-$H$1) ))-1</f>
        <v>0.27912547432423396</v>
      </c>
      <c r="R66" s="128"/>
      <c r="S66" s="157">
        <f t="shared" ref="S66:AB66" si="189">S16/S42</f>
        <v>2221.4374794880209</v>
      </c>
      <c r="T66" s="157">
        <f t="shared" si="189"/>
        <v>2261.8272518423487</v>
      </c>
      <c r="U66" s="157">
        <f t="shared" si="189"/>
        <v>2302.9513836940278</v>
      </c>
      <c r="V66" s="157">
        <f t="shared" si="189"/>
        <v>2344.823227033919</v>
      </c>
      <c r="W66" s="157">
        <f t="shared" si="189"/>
        <v>2387.4563766163537</v>
      </c>
      <c r="X66" s="157">
        <f t="shared" si="189"/>
        <v>2430.8646743730151</v>
      </c>
      <c r="Y66" s="157">
        <f t="shared" si="189"/>
        <v>2475.0622139070701</v>
      </c>
      <c r="Z66" s="157">
        <f t="shared" si="189"/>
        <v>2520.0633450690166</v>
      </c>
      <c r="AA66" s="157">
        <f t="shared" si="189"/>
        <v>2565.882678615726</v>
      </c>
      <c r="AB66" s="157">
        <f t="shared" si="189"/>
        <v>2612.5350909541939</v>
      </c>
      <c r="AC66" s="138">
        <f t="shared" si="161"/>
        <v>0.13438811794490646</v>
      </c>
      <c r="AD66" s="137"/>
      <c r="AE66" s="146">
        <f t="shared" si="162"/>
        <v>11875.159504337245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2.1</v>
      </c>
      <c r="H68" s="159">
        <f t="shared" si="190"/>
        <v>2.5</v>
      </c>
      <c r="I68" s="159">
        <f t="shared" si="190"/>
        <v>3</v>
      </c>
      <c r="J68" s="159">
        <f t="shared" si="190"/>
        <v>3</v>
      </c>
      <c r="K68" s="159">
        <f t="shared" si="190"/>
        <v>4</v>
      </c>
      <c r="L68" s="159">
        <f t="shared" si="190"/>
        <v>4</v>
      </c>
      <c r="M68" s="159">
        <f t="shared" si="190"/>
        <v>5</v>
      </c>
      <c r="N68" s="159">
        <f t="shared" si="190"/>
        <v>6</v>
      </c>
      <c r="O68" s="159">
        <f t="shared" si="190"/>
        <v>6.5</v>
      </c>
      <c r="P68" s="159">
        <f t="shared" si="190"/>
        <v>8.5</v>
      </c>
      <c r="Q68" s="118">
        <f>((P68/G68)^(1/($H$2-$H$1) ))-1</f>
        <v>0.16806396391177136</v>
      </c>
      <c r="R68" s="128"/>
      <c r="S68" s="159">
        <f t="shared" ref="S68:AB68" si="191">S43</f>
        <v>8.9250000000000007</v>
      </c>
      <c r="T68" s="159">
        <f t="shared" si="191"/>
        <v>9.3712500000000016</v>
      </c>
      <c r="U68" s="159">
        <f t="shared" si="191"/>
        <v>9.8398125000000025</v>
      </c>
      <c r="V68" s="159">
        <f t="shared" si="191"/>
        <v>10.331803125000002</v>
      </c>
      <c r="W68" s="159">
        <f t="shared" si="191"/>
        <v>10.848393281250003</v>
      </c>
      <c r="X68" s="159">
        <f t="shared" si="191"/>
        <v>11.390812945312502</v>
      </c>
      <c r="Y68" s="159">
        <f t="shared" si="191"/>
        <v>11.960353592578128</v>
      </c>
      <c r="Z68" s="159">
        <f t="shared" si="191"/>
        <v>12.558371272207035</v>
      </c>
      <c r="AA68" s="159">
        <f t="shared" si="191"/>
        <v>13.186289835817387</v>
      </c>
      <c r="AB68" s="159">
        <f t="shared" si="191"/>
        <v>13.845604327608257</v>
      </c>
      <c r="AC68" s="138">
        <f t="shared" ref="AC68" si="192">((AB68/G68)^(1/($AB$3-$H$1) ))-1</f>
        <v>0.10435865204139994</v>
      </c>
      <c r="AD68" s="31">
        <f t="shared" si="17"/>
        <v>0.05</v>
      </c>
      <c r="AE68" s="146">
        <f t="shared" si="162"/>
        <v>85.516967905815719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316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0</v>
      </c>
      <c r="H70" s="144">
        <f t="shared" si="193"/>
        <v>0</v>
      </c>
      <c r="I70" s="144">
        <f t="shared" si="193"/>
        <v>0</v>
      </c>
      <c r="J70" s="144">
        <f t="shared" si="193"/>
        <v>0</v>
      </c>
      <c r="K70" s="144">
        <f t="shared" si="193"/>
        <v>0</v>
      </c>
      <c r="L70" s="144">
        <f t="shared" si="193"/>
        <v>0</v>
      </c>
      <c r="M70" s="144">
        <f t="shared" si="193"/>
        <v>0</v>
      </c>
      <c r="N70" s="144">
        <f t="shared" si="193"/>
        <v>0</v>
      </c>
      <c r="O70" s="144">
        <f t="shared" si="193"/>
        <v>0</v>
      </c>
      <c r="P70" s="144">
        <f t="shared" si="193"/>
        <v>0</v>
      </c>
      <c r="Q70" s="118" t="e">
        <f>((P70/G70)^(1/($H$2-$H$1) ))-1</f>
        <v>#DIV/0!</v>
      </c>
      <c r="R70" s="128"/>
      <c r="S70" s="144">
        <f t="shared" ref="S70:AB70" si="194">S20+S21</f>
        <v>0</v>
      </c>
      <c r="T70" s="144">
        <f t="shared" si="194"/>
        <v>0</v>
      </c>
      <c r="U70" s="144">
        <f t="shared" si="194"/>
        <v>0</v>
      </c>
      <c r="V70" s="144">
        <f t="shared" si="194"/>
        <v>0</v>
      </c>
      <c r="W70" s="144">
        <f t="shared" si="194"/>
        <v>0</v>
      </c>
      <c r="X70" s="144">
        <f t="shared" si="194"/>
        <v>0</v>
      </c>
      <c r="Y70" s="144">
        <f t="shared" si="194"/>
        <v>0</v>
      </c>
      <c r="Z70" s="144">
        <f t="shared" si="194"/>
        <v>0</v>
      </c>
      <c r="AA70" s="144">
        <f t="shared" si="194"/>
        <v>0</v>
      </c>
      <c r="AB70" s="144">
        <f t="shared" si="194"/>
        <v>0</v>
      </c>
      <c r="AC70" s="138" t="e">
        <f t="shared" ref="AC70:AC75" si="195">((AB70/G70)^(1/($AB$3-$H$1) ))-1</f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317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>
        <f t="shared" si="196"/>
        <v>0</v>
      </c>
      <c r="H72" s="144">
        <f t="shared" si="196"/>
        <v>0</v>
      </c>
      <c r="I72" s="144">
        <f t="shared" si="196"/>
        <v>0</v>
      </c>
      <c r="J72" s="144">
        <f t="shared" si="196"/>
        <v>0</v>
      </c>
      <c r="K72" s="144">
        <f t="shared" si="196"/>
        <v>0</v>
      </c>
      <c r="L72" s="144">
        <f t="shared" si="196"/>
        <v>0</v>
      </c>
      <c r="M72" s="144">
        <f t="shared" si="196"/>
        <v>0</v>
      </c>
      <c r="N72" s="144">
        <f t="shared" si="196"/>
        <v>0</v>
      </c>
      <c r="O72" s="144">
        <f t="shared" si="196"/>
        <v>0</v>
      </c>
      <c r="P72" s="144">
        <f t="shared" si="196"/>
        <v>0</v>
      </c>
      <c r="Q72" s="118" t="e">
        <f>((P72/G72)^(1/($H$2-$H$1) ))-1</f>
        <v>#DIV/0!</v>
      </c>
      <c r="R72" s="128"/>
      <c r="S72" s="146">
        <f t="shared" ref="S72:AB72" si="197">S70/S42</f>
        <v>0</v>
      </c>
      <c r="T72" s="146">
        <f t="shared" si="197"/>
        <v>0</v>
      </c>
      <c r="U72" s="146">
        <f t="shared" si="197"/>
        <v>0</v>
      </c>
      <c r="V72" s="146">
        <f t="shared" si="197"/>
        <v>0</v>
      </c>
      <c r="W72" s="146">
        <f t="shared" si="197"/>
        <v>0</v>
      </c>
      <c r="X72" s="146">
        <f t="shared" si="197"/>
        <v>0</v>
      </c>
      <c r="Y72" s="146">
        <f t="shared" si="197"/>
        <v>0</v>
      </c>
      <c r="Z72" s="146">
        <f t="shared" si="197"/>
        <v>0</v>
      </c>
      <c r="AA72" s="146">
        <f t="shared" si="197"/>
        <v>0</v>
      </c>
      <c r="AB72" s="146">
        <f t="shared" si="197"/>
        <v>0</v>
      </c>
      <c r="AC72" s="138" t="e">
        <f t="shared" si="195"/>
        <v>#DIV/0!</v>
      </c>
      <c r="AD72" s="31">
        <f t="shared" si="17"/>
        <v>0.05</v>
      </c>
      <c r="AE72" s="146">
        <f t="shared" si="162"/>
        <v>0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>
        <f t="shared" si="198"/>
        <v>0</v>
      </c>
      <c r="H73" s="144">
        <f t="shared" si="198"/>
        <v>0</v>
      </c>
      <c r="I73" s="144">
        <f t="shared" si="198"/>
        <v>0</v>
      </c>
      <c r="J73" s="144">
        <f t="shared" si="198"/>
        <v>0</v>
      </c>
      <c r="K73" s="144">
        <f t="shared" si="198"/>
        <v>0</v>
      </c>
      <c r="L73" s="144">
        <f t="shared" si="198"/>
        <v>0</v>
      </c>
      <c r="M73" s="144">
        <f t="shared" si="198"/>
        <v>0</v>
      </c>
      <c r="N73" s="144">
        <f t="shared" si="198"/>
        <v>0</v>
      </c>
      <c r="O73" s="144">
        <f t="shared" si="198"/>
        <v>0</v>
      </c>
      <c r="P73" s="144">
        <f t="shared" si="198"/>
        <v>0</v>
      </c>
      <c r="Q73" s="118" t="e">
        <f>((P73/G73)^(1/($H$2-$H$1) ))-1</f>
        <v>#DIV/0!</v>
      </c>
      <c r="R73" s="128"/>
      <c r="S73" s="146">
        <f t="shared" ref="S73:AB73" si="199">S20/S42</f>
        <v>0</v>
      </c>
      <c r="T73" s="146">
        <f t="shared" si="199"/>
        <v>0</v>
      </c>
      <c r="U73" s="146">
        <f t="shared" si="199"/>
        <v>0</v>
      </c>
      <c r="V73" s="146">
        <f t="shared" si="199"/>
        <v>0</v>
      </c>
      <c r="W73" s="146">
        <f t="shared" si="199"/>
        <v>0</v>
      </c>
      <c r="X73" s="146">
        <f t="shared" si="199"/>
        <v>0</v>
      </c>
      <c r="Y73" s="146">
        <f t="shared" si="199"/>
        <v>0</v>
      </c>
      <c r="Z73" s="146">
        <f t="shared" si="199"/>
        <v>0</v>
      </c>
      <c r="AA73" s="146">
        <f t="shared" si="199"/>
        <v>0</v>
      </c>
      <c r="AB73" s="146">
        <f t="shared" si="199"/>
        <v>0</v>
      </c>
      <c r="AC73" s="138" t="e">
        <f t="shared" si="195"/>
        <v>#DIV/0!</v>
      </c>
      <c r="AD73" s="31">
        <f t="shared" si="17"/>
        <v>0.05</v>
      </c>
      <c r="AE73" s="146">
        <f t="shared" si="162"/>
        <v>0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>
        <f t="shared" si="200"/>
        <v>0</v>
      </c>
      <c r="H74" s="144">
        <f t="shared" si="200"/>
        <v>0</v>
      </c>
      <c r="I74" s="144">
        <f t="shared" si="200"/>
        <v>0</v>
      </c>
      <c r="J74" s="144">
        <f t="shared" si="200"/>
        <v>0</v>
      </c>
      <c r="K74" s="144">
        <f t="shared" si="200"/>
        <v>0</v>
      </c>
      <c r="L74" s="144">
        <f t="shared" si="200"/>
        <v>0</v>
      </c>
      <c r="M74" s="144">
        <f t="shared" si="200"/>
        <v>0</v>
      </c>
      <c r="N74" s="144">
        <f t="shared" si="200"/>
        <v>0</v>
      </c>
      <c r="O74" s="144">
        <f t="shared" si="200"/>
        <v>0</v>
      </c>
      <c r="P74" s="144">
        <f t="shared" si="200"/>
        <v>0</v>
      </c>
      <c r="Q74" s="118" t="e">
        <f>((P74/G74)^(1/($H$2-$H$1) ))-1</f>
        <v>#DIV/0!</v>
      </c>
      <c r="R74" s="128"/>
      <c r="S74" s="146">
        <f t="shared" ref="S74:AB74" si="201">S21/S42</f>
        <v>0</v>
      </c>
      <c r="T74" s="146">
        <f t="shared" si="201"/>
        <v>0</v>
      </c>
      <c r="U74" s="146">
        <f t="shared" si="201"/>
        <v>0</v>
      </c>
      <c r="V74" s="146">
        <f t="shared" si="201"/>
        <v>0</v>
      </c>
      <c r="W74" s="146">
        <f t="shared" si="201"/>
        <v>0</v>
      </c>
      <c r="X74" s="146">
        <f t="shared" si="201"/>
        <v>0</v>
      </c>
      <c r="Y74" s="146">
        <f t="shared" si="201"/>
        <v>0</v>
      </c>
      <c r="Z74" s="146">
        <f t="shared" si="201"/>
        <v>0</v>
      </c>
      <c r="AA74" s="146">
        <f t="shared" si="201"/>
        <v>0</v>
      </c>
      <c r="AB74" s="146">
        <f t="shared" si="201"/>
        <v>0</v>
      </c>
      <c r="AC74" s="138" t="e">
        <f t="shared" si="195"/>
        <v>#DIV/0!</v>
      </c>
      <c r="AD74" s="31">
        <f t="shared" si="17"/>
        <v>0.05</v>
      </c>
      <c r="AE74" s="146">
        <f t="shared" si="162"/>
        <v>0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>
        <f t="shared" si="202"/>
        <v>0</v>
      </c>
      <c r="H75" s="144">
        <f t="shared" si="202"/>
        <v>0</v>
      </c>
      <c r="I75" s="144">
        <f t="shared" si="202"/>
        <v>0</v>
      </c>
      <c r="J75" s="144">
        <f t="shared" si="202"/>
        <v>0</v>
      </c>
      <c r="K75" s="144">
        <f t="shared" si="202"/>
        <v>0</v>
      </c>
      <c r="L75" s="144">
        <f t="shared" si="202"/>
        <v>0</v>
      </c>
      <c r="M75" s="144">
        <f t="shared" si="202"/>
        <v>0</v>
      </c>
      <c r="N75" s="144">
        <f t="shared" si="202"/>
        <v>0</v>
      </c>
      <c r="O75" s="144">
        <f t="shared" si="202"/>
        <v>0</v>
      </c>
      <c r="P75" s="144">
        <f t="shared" si="202"/>
        <v>0</v>
      </c>
      <c r="Q75" s="118" t="e">
        <f>((P75/G75)^(1/($H$2-$H$1) ))-1</f>
        <v>#DIV/0!</v>
      </c>
      <c r="R75" s="128"/>
      <c r="S75" s="146">
        <f t="shared" ref="S75:AB75" si="203">S22/S42</f>
        <v>0</v>
      </c>
      <c r="T75" s="146">
        <f t="shared" si="203"/>
        <v>0</v>
      </c>
      <c r="U75" s="146">
        <f t="shared" si="203"/>
        <v>0</v>
      </c>
      <c r="V75" s="146">
        <f t="shared" si="203"/>
        <v>0</v>
      </c>
      <c r="W75" s="146">
        <f t="shared" si="203"/>
        <v>0</v>
      </c>
      <c r="X75" s="146">
        <f t="shared" si="203"/>
        <v>0</v>
      </c>
      <c r="Y75" s="146">
        <f t="shared" si="203"/>
        <v>0</v>
      </c>
      <c r="Z75" s="146">
        <f t="shared" si="203"/>
        <v>0</v>
      </c>
      <c r="AA75" s="146">
        <f t="shared" si="203"/>
        <v>0</v>
      </c>
      <c r="AB75" s="146">
        <f t="shared" si="203"/>
        <v>0</v>
      </c>
      <c r="AC75" s="138" t="e">
        <f t="shared" si="195"/>
        <v>#DIV/0!</v>
      </c>
      <c r="AD75" s="31">
        <f t="shared" si="17"/>
        <v>0.05</v>
      </c>
      <c r="AE75" s="146">
        <f t="shared" si="162"/>
        <v>0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>
        <f t="shared" si="204"/>
        <v>0</v>
      </c>
      <c r="H76" s="144">
        <f t="shared" si="204"/>
        <v>0</v>
      </c>
      <c r="I76" s="144">
        <f t="shared" si="204"/>
        <v>0</v>
      </c>
      <c r="J76" s="144">
        <f t="shared" si="204"/>
        <v>0</v>
      </c>
      <c r="K76" s="144">
        <f t="shared" si="204"/>
        <v>0</v>
      </c>
      <c r="L76" s="144">
        <f t="shared" si="204"/>
        <v>0</v>
      </c>
      <c r="M76" s="144">
        <f t="shared" si="204"/>
        <v>0</v>
      </c>
      <c r="N76" s="144">
        <f t="shared" si="204"/>
        <v>0</v>
      </c>
      <c r="O76" s="144">
        <f t="shared" si="204"/>
        <v>0</v>
      </c>
      <c r="P76" s="144">
        <f t="shared" si="204"/>
        <v>0</v>
      </c>
      <c r="Q76" s="118" t="e">
        <f>((P76/G76)^(1/($H$2-$H$1) ))-1</f>
        <v>#DIV/0!</v>
      </c>
      <c r="R76" s="128"/>
      <c r="S76" s="146">
        <f t="shared" ref="S76:AB76" si="205">S23/S42</f>
        <v>0</v>
      </c>
      <c r="T76" s="146">
        <f t="shared" si="205"/>
        <v>0</v>
      </c>
      <c r="U76" s="146">
        <f t="shared" si="205"/>
        <v>0</v>
      </c>
      <c r="V76" s="146">
        <f t="shared" si="205"/>
        <v>0</v>
      </c>
      <c r="W76" s="146">
        <f t="shared" si="205"/>
        <v>0</v>
      </c>
      <c r="X76" s="146">
        <f t="shared" si="205"/>
        <v>0</v>
      </c>
      <c r="Y76" s="146">
        <f t="shared" si="205"/>
        <v>0</v>
      </c>
      <c r="Z76" s="146">
        <f t="shared" si="205"/>
        <v>0</v>
      </c>
      <c r="AA76" s="146">
        <f t="shared" si="205"/>
        <v>0</v>
      </c>
      <c r="AB76" s="146">
        <f t="shared" si="205"/>
        <v>0</v>
      </c>
      <c r="AC76" s="138" t="e">
        <f t="shared" ref="AC76" si="206">((AB76/G76)^(1/($AB$3-$H$1) ))-1</f>
        <v>#DIV/0!</v>
      </c>
      <c r="AD76" s="31">
        <f t="shared" si="17"/>
        <v>0.05</v>
      </c>
      <c r="AE76" s="146">
        <f t="shared" si="162"/>
        <v>0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>
        <f t="shared" si="207"/>
        <v>35.424354243542439</v>
      </c>
      <c r="H78" s="144">
        <f t="shared" si="207"/>
        <v>49.077490774907751</v>
      </c>
      <c r="I78" s="144">
        <f t="shared" si="207"/>
        <v>53.874538745387454</v>
      </c>
      <c r="J78" s="144">
        <f t="shared" si="207"/>
        <v>53.333333333333336</v>
      </c>
      <c r="K78" s="144">
        <f t="shared" si="207"/>
        <v>89.537712895377126</v>
      </c>
      <c r="L78" s="144">
        <f t="shared" si="207"/>
        <v>203.59477124183007</v>
      </c>
      <c r="M78" s="144">
        <f t="shared" si="207"/>
        <v>158.45213849287168</v>
      </c>
      <c r="N78" s="144">
        <f t="shared" si="207"/>
        <v>192.52525252525251</v>
      </c>
      <c r="O78" s="144">
        <f t="shared" si="207"/>
        <v>276.09942638623323</v>
      </c>
      <c r="P78" s="144">
        <f t="shared" si="207"/>
        <v>375.81227436823104</v>
      </c>
      <c r="Q78" s="118">
        <f>((P78/G78)^(1/($H$2-$H$1) ))-1</f>
        <v>0.3000594852633296</v>
      </c>
      <c r="R78" s="128"/>
      <c r="S78" s="144">
        <f t="shared" ref="S78:AB78" si="208">S36/S42</f>
        <v>382.64522481128978</v>
      </c>
      <c r="T78" s="144">
        <f t="shared" si="208"/>
        <v>389.60241071694963</v>
      </c>
      <c r="U78" s="144">
        <f t="shared" si="208"/>
        <v>396.68609091180332</v>
      </c>
      <c r="V78" s="144">
        <f t="shared" si="208"/>
        <v>403.89856529201791</v>
      </c>
      <c r="W78" s="144">
        <f t="shared" si="208"/>
        <v>411.2421755700546</v>
      </c>
      <c r="X78" s="144">
        <f t="shared" si="208"/>
        <v>418.71930603496469</v>
      </c>
      <c r="Y78" s="144">
        <f t="shared" si="208"/>
        <v>426.3323843265095</v>
      </c>
      <c r="Z78" s="144">
        <f t="shared" si="208"/>
        <v>434.08388222335509</v>
      </c>
      <c r="AA78" s="144">
        <f t="shared" si="208"/>
        <v>441.97631644559789</v>
      </c>
      <c r="AB78" s="144">
        <f t="shared" si="208"/>
        <v>450.01224947188149</v>
      </c>
      <c r="AC78" s="138">
        <f t="shared" ref="AC78:AC80" si="209">((AB78/G78)^(1/($AB$3-$H$1) ))-1</f>
        <v>0.14314462484326573</v>
      </c>
      <c r="AD78" s="31">
        <f t="shared" si="17"/>
        <v>0.05</v>
      </c>
      <c r="AE78" s="146">
        <f t="shared" si="162"/>
        <v>2779.4874232086804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>
        <f t="shared" si="210"/>
        <v>6.6420664206642064</v>
      </c>
      <c r="H79" s="144">
        <f t="shared" si="210"/>
        <v>8.4870848708487081</v>
      </c>
      <c r="I79" s="144">
        <f t="shared" si="210"/>
        <v>11.439114391143912</v>
      </c>
      <c r="J79" s="144">
        <f t="shared" si="210"/>
        <v>13.076923076923077</v>
      </c>
      <c r="K79" s="144">
        <f t="shared" si="210"/>
        <v>21.167883211678831</v>
      </c>
      <c r="L79" s="144">
        <f t="shared" si="210"/>
        <v>38.235294117647058</v>
      </c>
      <c r="M79" s="144">
        <f t="shared" si="210"/>
        <v>39.5112016293279</v>
      </c>
      <c r="N79" s="144">
        <f t="shared" si="210"/>
        <v>48.484848484848484</v>
      </c>
      <c r="O79" s="144">
        <f t="shared" si="210"/>
        <v>64.627151051625233</v>
      </c>
      <c r="P79" s="144">
        <f t="shared" si="210"/>
        <v>81.046931407942239</v>
      </c>
      <c r="Q79" s="118">
        <f>((P79/G79)^(1/($H$2-$H$1) ))-1</f>
        <v>0.32042828253828026</v>
      </c>
      <c r="R79" s="128"/>
      <c r="S79" s="144">
        <f t="shared" ref="S79:AB79" si="211">S40/S42</f>
        <v>82.520511978995742</v>
      </c>
      <c r="T79" s="144">
        <f t="shared" si="211"/>
        <v>84.020884924068383</v>
      </c>
      <c r="U79" s="144">
        <f t="shared" si="211"/>
        <v>85.548537377233259</v>
      </c>
      <c r="V79" s="144">
        <f t="shared" si="211"/>
        <v>87.103965329546597</v>
      </c>
      <c r="W79" s="144">
        <f t="shared" si="211"/>
        <v>88.687673790083807</v>
      </c>
      <c r="X79" s="144">
        <f t="shared" si="211"/>
        <v>90.300176949903516</v>
      </c>
      <c r="Y79" s="144">
        <f t="shared" si="211"/>
        <v>91.941998348992669</v>
      </c>
      <c r="Z79" s="144">
        <f t="shared" si="211"/>
        <v>93.613671046247077</v>
      </c>
      <c r="AA79" s="144">
        <f t="shared" si="211"/>
        <v>95.315737792542478</v>
      </c>
      <c r="AB79" s="144">
        <f t="shared" si="211"/>
        <v>97.048751206952346</v>
      </c>
      <c r="AC79" s="138">
        <f t="shared" si="209"/>
        <v>0.15159375735354419</v>
      </c>
      <c r="AD79" s="31">
        <f t="shared" si="17"/>
        <v>0.05</v>
      </c>
      <c r="AE79" s="146">
        <f t="shared" si="162"/>
        <v>599.41875745470577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>
        <f t="shared" si="212"/>
        <v>11.07011070110701</v>
      </c>
      <c r="H80" s="144">
        <f t="shared" si="212"/>
        <v>15.867158671586717</v>
      </c>
      <c r="I80" s="144">
        <f t="shared" si="212"/>
        <v>23.247232472324722</v>
      </c>
      <c r="J80" s="144">
        <f t="shared" si="212"/>
        <v>72.051282051282058</v>
      </c>
      <c r="K80" s="144">
        <f t="shared" si="212"/>
        <v>91.727493917274927</v>
      </c>
      <c r="L80" s="144">
        <f t="shared" si="212"/>
        <v>202.61437908496731</v>
      </c>
      <c r="M80" s="144">
        <f t="shared" si="212"/>
        <v>189.0020366598778</v>
      </c>
      <c r="N80" s="144">
        <f t="shared" si="212"/>
        <v>230.90909090909091</v>
      </c>
      <c r="O80" s="144">
        <f t="shared" si="212"/>
        <v>304.58891013384317</v>
      </c>
      <c r="P80" s="144">
        <f t="shared" si="212"/>
        <v>395.30685920577616</v>
      </c>
      <c r="Q80" s="118">
        <f>((P80/G80)^(1/($H$2-$H$1) ))-1</f>
        <v>0.48775485526275464</v>
      </c>
      <c r="R80" s="128"/>
      <c r="S80" s="144">
        <f t="shared" ref="S80:AB80" si="213">S6/S42</f>
        <v>402.49425664588119</v>
      </c>
      <c r="T80" s="144">
        <f t="shared" si="213"/>
        <v>409.81233403944265</v>
      </c>
      <c r="U80" s="144">
        <f t="shared" si="213"/>
        <v>417.26346738561438</v>
      </c>
      <c r="V80" s="144">
        <f t="shared" si="213"/>
        <v>424.85007588353466</v>
      </c>
      <c r="W80" s="144">
        <f t="shared" si="213"/>
        <v>432.57462271778076</v>
      </c>
      <c r="X80" s="144">
        <f t="shared" si="213"/>
        <v>440.4396158581041</v>
      </c>
      <c r="Y80" s="144">
        <f t="shared" si="213"/>
        <v>448.44760887370597</v>
      </c>
      <c r="Z80" s="144">
        <f t="shared" si="213"/>
        <v>456.60120176231885</v>
      </c>
      <c r="AA80" s="144">
        <f t="shared" si="213"/>
        <v>464.903041794361</v>
      </c>
      <c r="AB80" s="144">
        <f t="shared" si="213"/>
        <v>473.35582437244028</v>
      </c>
      <c r="AC80" s="138">
        <f t="shared" si="209"/>
        <v>0.21855177726395847</v>
      </c>
      <c r="AD80" s="31">
        <f t="shared" ref="AD80" si="214">$L$1</f>
        <v>0.05</v>
      </c>
      <c r="AE80" s="146">
        <f t="shared" si="162"/>
        <v>2923.668327006249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>
        <f t="shared" si="215"/>
        <v>0.68085106382978722</v>
      </c>
      <c r="H84" s="152">
        <f t="shared" si="215"/>
        <v>0.73480662983425415</v>
      </c>
      <c r="I84" s="152">
        <f t="shared" si="215"/>
        <v>0.71568627450980393</v>
      </c>
      <c r="J84" s="152">
        <f t="shared" si="215"/>
        <v>0.5977011494252874</v>
      </c>
      <c r="K84" s="152">
        <f t="shared" si="215"/>
        <v>0.5906902086677368</v>
      </c>
      <c r="L84" s="152">
        <f t="shared" si="215"/>
        <v>0.675704989154013</v>
      </c>
      <c r="M84" s="152">
        <f t="shared" si="215"/>
        <v>0.70598911070780401</v>
      </c>
      <c r="N84" s="152">
        <f t="shared" si="215"/>
        <v>0.72196969696969693</v>
      </c>
      <c r="O84" s="152">
        <f t="shared" si="215"/>
        <v>0.70370370370370372</v>
      </c>
      <c r="P84" s="152">
        <f t="shared" si="215"/>
        <v>0.67795506349723222</v>
      </c>
      <c r="Q84" s="118">
        <f t="shared" ref="Q84:Q134" si="216">((P84/G84)^(1/($H$2-$H$1) ))-1</f>
        <v>-4.7350701077419899E-4</v>
      </c>
      <c r="R84" s="152"/>
      <c r="S84" s="152">
        <f t="shared" ref="S84:AB84" si="217">S36/S25</f>
        <v>0.67795506349723211</v>
      </c>
      <c r="T84" s="152">
        <f t="shared" si="217"/>
        <v>0.67795506349723211</v>
      </c>
      <c r="U84" s="152">
        <f t="shared" si="217"/>
        <v>0.67795506349723211</v>
      </c>
      <c r="V84" s="152">
        <f t="shared" si="217"/>
        <v>0.67795506349723211</v>
      </c>
      <c r="W84" s="152">
        <f t="shared" si="217"/>
        <v>0.67795506349723222</v>
      </c>
      <c r="X84" s="152">
        <f t="shared" si="217"/>
        <v>0.67795506349723211</v>
      </c>
      <c r="Y84" s="152">
        <f t="shared" si="217"/>
        <v>0.67795506349723222</v>
      </c>
      <c r="Z84" s="152">
        <f t="shared" si="217"/>
        <v>0.67795506349723211</v>
      </c>
      <c r="AA84" s="152">
        <f t="shared" si="217"/>
        <v>0.67795506349723211</v>
      </c>
      <c r="AB84" s="152">
        <f t="shared" si="217"/>
        <v>0.67795506349723211</v>
      </c>
      <c r="AC84" s="138">
        <f t="shared" ref="AC84:AC121" si="218">((AB84/G84)^(1/($AB$3-$H$1) ))-1</f>
        <v>-2.2432074978873118E-4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>
        <f t="shared" si="219"/>
        <v>0.1276595744680851</v>
      </c>
      <c r="H85" s="152">
        <f t="shared" si="219"/>
        <v>0.1270718232044199</v>
      </c>
      <c r="I85" s="152">
        <f t="shared" si="219"/>
        <v>0.15196078431372548</v>
      </c>
      <c r="J85" s="152">
        <f t="shared" si="219"/>
        <v>0.14655172413793102</v>
      </c>
      <c r="K85" s="152">
        <f t="shared" si="219"/>
        <v>0.13964686998394862</v>
      </c>
      <c r="L85" s="152">
        <f t="shared" si="219"/>
        <v>0.12689804772234273</v>
      </c>
      <c r="M85" s="152">
        <f t="shared" si="219"/>
        <v>0.17604355716878403</v>
      </c>
      <c r="N85" s="152">
        <f t="shared" si="219"/>
        <v>0.18181818181818182</v>
      </c>
      <c r="O85" s="152">
        <f t="shared" si="219"/>
        <v>0.16471734892787523</v>
      </c>
      <c r="P85" s="152">
        <f t="shared" si="219"/>
        <v>0.14620644741126668</v>
      </c>
      <c r="Q85" s="118">
        <f t="shared" si="216"/>
        <v>1.5186662956383934E-2</v>
      </c>
      <c r="R85" s="152"/>
      <c r="S85" s="152">
        <f t="shared" ref="S85:AB85" si="220">S40/S25</f>
        <v>0.14620644741126668</v>
      </c>
      <c r="T85" s="152">
        <f t="shared" si="220"/>
        <v>0.14620644741126668</v>
      </c>
      <c r="U85" s="152">
        <f t="shared" si="220"/>
        <v>0.14620644741126665</v>
      </c>
      <c r="V85" s="152">
        <f t="shared" si="220"/>
        <v>0.14620644741126668</v>
      </c>
      <c r="W85" s="152">
        <f t="shared" si="220"/>
        <v>0.14620644741126668</v>
      </c>
      <c r="X85" s="152">
        <f t="shared" si="220"/>
        <v>0.14620644741126668</v>
      </c>
      <c r="Y85" s="152">
        <f t="shared" si="220"/>
        <v>0.14620644741126668</v>
      </c>
      <c r="Z85" s="152">
        <f t="shared" si="220"/>
        <v>0.14620644741126665</v>
      </c>
      <c r="AA85" s="152">
        <f t="shared" si="220"/>
        <v>0.14620644741126668</v>
      </c>
      <c r="AB85" s="152">
        <f t="shared" si="220"/>
        <v>0.14620644741126668</v>
      </c>
      <c r="AC85" s="138">
        <f t="shared" si="218"/>
        <v>7.1651529974168238E-3</v>
      </c>
      <c r="AD85" s="146"/>
      <c r="AE85" s="146"/>
    </row>
    <row r="86" spans="2:31" x14ac:dyDescent="0.2">
      <c r="B86" s="20" t="s">
        <v>358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>
        <f>G40/G7</f>
        <v>0.22500000000000001</v>
      </c>
      <c r="H86" s="152">
        <f t="shared" si="221"/>
        <v>0.24731182795698925</v>
      </c>
      <c r="I86" s="152">
        <f t="shared" si="221"/>
        <v>0.27192982456140352</v>
      </c>
      <c r="J86" s="152">
        <f t="shared" si="221"/>
        <v>0.14613180515759314</v>
      </c>
      <c r="K86" s="152">
        <f t="shared" si="221"/>
        <v>0.19333333333333333</v>
      </c>
      <c r="L86" s="152">
        <f t="shared" si="221"/>
        <v>0.16502115655853314</v>
      </c>
      <c r="M86" s="152">
        <f t="shared" si="221"/>
        <v>0.19400000000000001</v>
      </c>
      <c r="N86" s="152">
        <f t="shared" si="221"/>
        <v>0.19801980198019803</v>
      </c>
      <c r="O86" s="152">
        <f t="shared" si="221"/>
        <v>0.19537572254335261</v>
      </c>
      <c r="P86" s="152">
        <f t="shared" ref="P86" si="222">P40/P7</f>
        <v>0.19615552643075579</v>
      </c>
      <c r="Q86" s="118">
        <f t="shared" si="216"/>
        <v>-1.5128021448077011E-2</v>
      </c>
      <c r="R86" s="20"/>
      <c r="S86" s="152">
        <f t="shared" ref="S86" si="223">S40/S7</f>
        <v>0.19615552643075579</v>
      </c>
      <c r="T86" s="152">
        <f t="shared" ref="T86:AB86" si="224">T40/T7</f>
        <v>0.19615552643075579</v>
      </c>
      <c r="U86" s="152">
        <f t="shared" si="224"/>
        <v>0.19615552643075576</v>
      </c>
      <c r="V86" s="152">
        <f t="shared" si="224"/>
        <v>0.19615552643075576</v>
      </c>
      <c r="W86" s="152">
        <f t="shared" si="224"/>
        <v>0.19615552643075576</v>
      </c>
      <c r="X86" s="152">
        <f t="shared" si="224"/>
        <v>0.19615552643075576</v>
      </c>
      <c r="Y86" s="152">
        <f t="shared" si="224"/>
        <v>0.19615552643075579</v>
      </c>
      <c r="Z86" s="152">
        <f t="shared" si="224"/>
        <v>0.19615552643075576</v>
      </c>
      <c r="AA86" s="152">
        <f t="shared" si="224"/>
        <v>0.19615552643075579</v>
      </c>
      <c r="AB86" s="152">
        <f t="shared" si="224"/>
        <v>0.19615552643075579</v>
      </c>
      <c r="AC86" s="138">
        <f t="shared" si="218"/>
        <v>-7.1946544729237782E-3</v>
      </c>
      <c r="AD86" s="146"/>
      <c r="AE86" s="146"/>
    </row>
    <row r="87" spans="2:31" x14ac:dyDescent="0.2">
      <c r="B87" s="20" t="s">
        <v>359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>
        <f>(G40)/(G7+G10)</f>
        <v>2.6470588235294117E-2</v>
      </c>
      <c r="H87" s="152">
        <f t="shared" ref="H87:O87" si="226">(H40)/(H7+H10)</f>
        <v>3.0913978494623656E-2</v>
      </c>
      <c r="I87" s="152">
        <f t="shared" si="226"/>
        <v>3.1568228105906315E-2</v>
      </c>
      <c r="J87" s="152">
        <f t="shared" si="226"/>
        <v>2.7229044313934865E-2</v>
      </c>
      <c r="K87" s="152">
        <f t="shared" si="226"/>
        <v>2.5180897250361794E-2</v>
      </c>
      <c r="L87" s="152">
        <f t="shared" si="226"/>
        <v>2.3255813953488372E-2</v>
      </c>
      <c r="M87" s="152">
        <f t="shared" si="226"/>
        <v>3.4233280395270869E-2</v>
      </c>
      <c r="N87" s="152">
        <f t="shared" si="226"/>
        <v>2.8106335636491394E-2</v>
      </c>
      <c r="O87" s="152">
        <f t="shared" si="226"/>
        <v>3.6418489386919516E-2</v>
      </c>
      <c r="P87" s="152">
        <f t="shared" ref="P87" si="227">(P40)/(P7+P10)</f>
        <v>3.6903098545245337E-2</v>
      </c>
      <c r="Q87" s="118">
        <f t="shared" si="216"/>
        <v>3.7607850516823138E-2</v>
      </c>
      <c r="R87" s="20"/>
      <c r="S87" s="152">
        <f t="shared" ref="S87:AB87" si="228">(S40)/(S7+S10)</f>
        <v>3.6903098545245337E-2</v>
      </c>
      <c r="T87" s="152">
        <f t="shared" si="228"/>
        <v>3.6903098545245337E-2</v>
      </c>
      <c r="U87" s="152">
        <f t="shared" si="228"/>
        <v>3.690309854524533E-2</v>
      </c>
      <c r="V87" s="152">
        <f t="shared" si="228"/>
        <v>3.690309854524533E-2</v>
      </c>
      <c r="W87" s="152">
        <f t="shared" si="228"/>
        <v>3.6903098545245337E-2</v>
      </c>
      <c r="X87" s="152">
        <f t="shared" si="228"/>
        <v>3.690309854524533E-2</v>
      </c>
      <c r="Y87" s="152">
        <f t="shared" si="228"/>
        <v>3.6903098545245337E-2</v>
      </c>
      <c r="Z87" s="152">
        <f t="shared" si="228"/>
        <v>3.690309854524533E-2</v>
      </c>
      <c r="AA87" s="152">
        <f t="shared" si="228"/>
        <v>3.6903098545245337E-2</v>
      </c>
      <c r="AB87" s="152">
        <f t="shared" si="228"/>
        <v>3.6903098545245337E-2</v>
      </c>
      <c r="AC87" s="138">
        <f t="shared" si="218"/>
        <v>1.7641236223961521E-2</v>
      </c>
      <c r="AD87" s="146"/>
      <c r="AE87" s="146"/>
    </row>
    <row r="88" spans="2:31" x14ac:dyDescent="0.2">
      <c r="B88" s="20" t="s">
        <v>375</v>
      </c>
      <c r="C88" s="152"/>
      <c r="D88" s="152"/>
      <c r="E88" s="152"/>
      <c r="F88" s="152"/>
      <c r="G88" s="152">
        <f>G20/G25</f>
        <v>0</v>
      </c>
      <c r="H88" s="152">
        <f t="shared" ref="H88:P88" si="229">H20/H25</f>
        <v>0</v>
      </c>
      <c r="I88" s="152">
        <f t="shared" si="229"/>
        <v>0</v>
      </c>
      <c r="J88" s="152">
        <f t="shared" si="229"/>
        <v>0</v>
      </c>
      <c r="K88" s="152">
        <f t="shared" si="229"/>
        <v>0</v>
      </c>
      <c r="L88" s="152">
        <f t="shared" si="229"/>
        <v>0</v>
      </c>
      <c r="M88" s="152">
        <f t="shared" si="229"/>
        <v>0</v>
      </c>
      <c r="N88" s="152">
        <f t="shared" si="229"/>
        <v>0</v>
      </c>
      <c r="O88" s="152">
        <f t="shared" si="229"/>
        <v>0</v>
      </c>
      <c r="P88" s="152">
        <f t="shared" si="229"/>
        <v>0</v>
      </c>
      <c r="Q88" s="118" t="e">
        <f t="shared" si="216"/>
        <v>#DIV/0!</v>
      </c>
      <c r="R88" s="20"/>
      <c r="S88" s="152">
        <f t="shared" ref="S88:AB88" si="230">S20/S25</f>
        <v>0</v>
      </c>
      <c r="T88" s="152">
        <f t="shared" si="230"/>
        <v>0</v>
      </c>
      <c r="U88" s="152">
        <f t="shared" si="230"/>
        <v>0</v>
      </c>
      <c r="V88" s="152">
        <f t="shared" si="230"/>
        <v>0</v>
      </c>
      <c r="W88" s="152">
        <f t="shared" si="230"/>
        <v>0</v>
      </c>
      <c r="X88" s="152">
        <f t="shared" si="230"/>
        <v>0</v>
      </c>
      <c r="Y88" s="152">
        <f t="shared" si="230"/>
        <v>0</v>
      </c>
      <c r="Z88" s="152">
        <f t="shared" si="230"/>
        <v>0</v>
      </c>
      <c r="AA88" s="152">
        <f t="shared" si="230"/>
        <v>0</v>
      </c>
      <c r="AB88" s="152">
        <f t="shared" si="230"/>
        <v>0</v>
      </c>
      <c r="AC88" s="138" t="e">
        <f t="shared" si="21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322</v>
      </c>
      <c r="C90" s="152"/>
      <c r="D90" s="152"/>
      <c r="E90" s="152"/>
      <c r="F90" s="152"/>
      <c r="G90" s="152">
        <f>G29/G25</f>
        <v>0.47517730496453903</v>
      </c>
      <c r="H90" s="152">
        <f t="shared" ref="H90:P90" si="231">H29/H25</f>
        <v>0.52486187845303867</v>
      </c>
      <c r="I90" s="152">
        <f t="shared" si="231"/>
        <v>0.47549019607843135</v>
      </c>
      <c r="J90" s="152">
        <f t="shared" si="231"/>
        <v>0.37931034482758619</v>
      </c>
      <c r="K90" s="152">
        <f t="shared" si="231"/>
        <v>0.3852327447833066</v>
      </c>
      <c r="L90" s="152">
        <f t="shared" si="231"/>
        <v>0.44902386117136661</v>
      </c>
      <c r="M90" s="152">
        <f t="shared" si="231"/>
        <v>0.4691470054446461</v>
      </c>
      <c r="N90" s="152">
        <f t="shared" si="231"/>
        <v>0.44545454545454544</v>
      </c>
      <c r="O90" s="152">
        <f t="shared" si="231"/>
        <v>0.45224171539961011</v>
      </c>
      <c r="P90" s="152">
        <f t="shared" si="231"/>
        <v>0.45913383262780855</v>
      </c>
      <c r="Q90" s="118">
        <f t="shared" si="216"/>
        <v>-3.8089791523155947E-3</v>
      </c>
      <c r="R90" s="20"/>
      <c r="S90" s="152">
        <f t="shared" ref="S90:AB90" si="232">S29/S25</f>
        <v>0.45913383262780849</v>
      </c>
      <c r="T90" s="152">
        <f t="shared" si="232"/>
        <v>0.45913383262780844</v>
      </c>
      <c r="U90" s="152">
        <f t="shared" si="232"/>
        <v>0.45913383262780844</v>
      </c>
      <c r="V90" s="152">
        <f t="shared" si="232"/>
        <v>0.45913383262780849</v>
      </c>
      <c r="W90" s="152">
        <f t="shared" si="232"/>
        <v>0.45913383262780855</v>
      </c>
      <c r="X90" s="152">
        <f t="shared" si="232"/>
        <v>0.45913383262780855</v>
      </c>
      <c r="Y90" s="152">
        <f t="shared" si="232"/>
        <v>0.45913383262780855</v>
      </c>
      <c r="Z90" s="152">
        <f t="shared" si="232"/>
        <v>0.45913383262780855</v>
      </c>
      <c r="AA90" s="152">
        <f t="shared" si="232"/>
        <v>0.45913383262780849</v>
      </c>
      <c r="AB90" s="152">
        <f t="shared" si="232"/>
        <v>0.45913383262780849</v>
      </c>
      <c r="AC90" s="138">
        <f t="shared" si="218"/>
        <v>-1.8060653124727377E-3</v>
      </c>
      <c r="AD90" s="146"/>
      <c r="AE90" s="146"/>
    </row>
    <row r="91" spans="2:31" x14ac:dyDescent="0.2">
      <c r="B91" s="20" t="s">
        <v>368</v>
      </c>
      <c r="C91" s="152"/>
      <c r="D91" s="152"/>
      <c r="E91" s="152"/>
      <c r="F91" s="152"/>
      <c r="G91" s="152">
        <f>G29/G36</f>
        <v>0.69791666666666663</v>
      </c>
      <c r="H91" s="152">
        <f t="shared" ref="H91:P91" si="233">H29/H36</f>
        <v>0.7142857142857143</v>
      </c>
      <c r="I91" s="152">
        <f t="shared" si="233"/>
        <v>0.66438356164383561</v>
      </c>
      <c r="J91" s="152">
        <f t="shared" si="233"/>
        <v>0.63461538461538458</v>
      </c>
      <c r="K91" s="152">
        <f t="shared" si="233"/>
        <v>0.65217391304347827</v>
      </c>
      <c r="L91" s="152">
        <f t="shared" si="233"/>
        <v>0.66452648475120391</v>
      </c>
      <c r="M91" s="152">
        <f t="shared" si="233"/>
        <v>0.66452442159383029</v>
      </c>
      <c r="N91" s="152">
        <f t="shared" si="233"/>
        <v>0.61699895068205668</v>
      </c>
      <c r="O91" s="152">
        <f t="shared" si="233"/>
        <v>0.64265927977839332</v>
      </c>
      <c r="P91" s="152">
        <f t="shared" si="233"/>
        <v>0.67723342939481268</v>
      </c>
      <c r="Q91" s="118">
        <f t="shared" ref="Q91" si="234">((P91/G91)^(1/($H$2-$H$1) ))-1</f>
        <v>-3.3370522591813501E-3</v>
      </c>
      <c r="R91" s="20"/>
      <c r="S91" s="152">
        <f t="shared" ref="S91:AB91" si="235">S29/S36</f>
        <v>0.67723342939481268</v>
      </c>
      <c r="T91" s="152">
        <f t="shared" si="235"/>
        <v>0.67723342939481257</v>
      </c>
      <c r="U91" s="152">
        <f t="shared" si="235"/>
        <v>0.67723342939481257</v>
      </c>
      <c r="V91" s="152">
        <f t="shared" si="235"/>
        <v>0.67723342939481257</v>
      </c>
      <c r="W91" s="152">
        <f t="shared" si="235"/>
        <v>0.67723342939481268</v>
      </c>
      <c r="X91" s="152">
        <f t="shared" si="235"/>
        <v>0.67723342939481268</v>
      </c>
      <c r="Y91" s="152">
        <f t="shared" si="235"/>
        <v>0.67723342939481268</v>
      </c>
      <c r="Z91" s="152">
        <f t="shared" si="235"/>
        <v>0.67723342939481268</v>
      </c>
      <c r="AA91" s="152">
        <f t="shared" si="235"/>
        <v>0.67723342939481279</v>
      </c>
      <c r="AB91" s="152">
        <f t="shared" si="235"/>
        <v>0.67723342939481268</v>
      </c>
      <c r="AC91" s="138">
        <f t="shared" ref="AC91" si="236">((AB91/G91)^(1/($AB$3-$H$1) ))-1</f>
        <v>-1.5820994604210936E-3</v>
      </c>
      <c r="AD91" s="146"/>
      <c r="AE91" s="146"/>
    </row>
    <row r="92" spans="2:31" ht="12" customHeight="1" x14ac:dyDescent="0.2">
      <c r="B92" s="20" t="s">
        <v>367</v>
      </c>
      <c r="C92" s="152"/>
      <c r="D92" s="152"/>
      <c r="E92" s="152"/>
      <c r="F92" s="152"/>
      <c r="G92" s="171">
        <f t="shared" ref="G92:P92" si="237">G29/G40</f>
        <v>3.7222222222222223</v>
      </c>
      <c r="H92" s="171">
        <f t="shared" si="237"/>
        <v>4.1304347826086953</v>
      </c>
      <c r="I92" s="171">
        <f t="shared" si="237"/>
        <v>3.129032258064516</v>
      </c>
      <c r="J92" s="171">
        <f t="shared" si="237"/>
        <v>2.5882352941176472</v>
      </c>
      <c r="K92" s="171">
        <f t="shared" si="237"/>
        <v>2.7586206896551726</v>
      </c>
      <c r="L92" s="171">
        <f t="shared" si="237"/>
        <v>3.5384615384615383</v>
      </c>
      <c r="M92" s="171">
        <f t="shared" si="237"/>
        <v>2.6649484536082473</v>
      </c>
      <c r="N92" s="171">
        <f t="shared" si="237"/>
        <v>2.4500000000000002</v>
      </c>
      <c r="O92" s="171">
        <f t="shared" si="237"/>
        <v>2.7455621301775146</v>
      </c>
      <c r="P92" s="171">
        <f t="shared" si="237"/>
        <v>3.1403118040089089</v>
      </c>
      <c r="Q92" s="118">
        <f t="shared" ref="Q92" si="238">((P92/G92)^(1/($H$2-$H$1) ))-1</f>
        <v>-1.8711477210881844E-2</v>
      </c>
      <c r="R92" s="20"/>
      <c r="S92" s="171">
        <f t="shared" ref="S92:AB92" si="239">S29/S40</f>
        <v>3.1403118040089084</v>
      </c>
      <c r="T92" s="171">
        <f t="shared" si="239"/>
        <v>3.1403118040089084</v>
      </c>
      <c r="U92" s="171">
        <f t="shared" si="239"/>
        <v>3.1403118040089089</v>
      </c>
      <c r="V92" s="171">
        <f t="shared" si="239"/>
        <v>3.1403118040089089</v>
      </c>
      <c r="W92" s="171">
        <f t="shared" si="239"/>
        <v>3.1403118040089089</v>
      </c>
      <c r="X92" s="171">
        <f t="shared" si="239"/>
        <v>3.1403118040089093</v>
      </c>
      <c r="Y92" s="171">
        <f t="shared" si="239"/>
        <v>3.1403118040089089</v>
      </c>
      <c r="Z92" s="171">
        <f t="shared" si="239"/>
        <v>3.1403118040089093</v>
      </c>
      <c r="AA92" s="171">
        <f t="shared" si="239"/>
        <v>3.1403118040089089</v>
      </c>
      <c r="AB92" s="171">
        <f t="shared" si="239"/>
        <v>3.1403118040089089</v>
      </c>
      <c r="AC92" s="138">
        <f t="shared" ref="AC92" si="240">((AB92/G92)^(1/($AB$3-$H$1) ))-1</f>
        <v>-8.907395458620071E-3</v>
      </c>
      <c r="AD92" s="146"/>
      <c r="AE92" s="146"/>
    </row>
    <row r="93" spans="2:31" ht="12" customHeight="1" x14ac:dyDescent="0.2">
      <c r="B93" s="20" t="s">
        <v>324</v>
      </c>
      <c r="C93" s="152"/>
      <c r="D93" s="152"/>
      <c r="E93" s="152"/>
      <c r="F93" s="152"/>
      <c r="G93" s="171">
        <f t="shared" ref="G93:P93" si="241">G29/G12</f>
        <v>0.61467889908256879</v>
      </c>
      <c r="H93" s="171">
        <f t="shared" si="241"/>
        <v>1.0106382978723405</v>
      </c>
      <c r="I93" s="171">
        <f t="shared" si="241"/>
        <v>0.41810344827586204</v>
      </c>
      <c r="J93" s="171">
        <f t="shared" si="241"/>
        <v>0.36164383561643837</v>
      </c>
      <c r="K93" s="171">
        <f t="shared" si="241"/>
        <v>0.2742857142857143</v>
      </c>
      <c r="L93" s="171">
        <f t="shared" si="241"/>
        <v>0.25762289981331676</v>
      </c>
      <c r="M93" s="171">
        <f t="shared" si="241"/>
        <v>0.36902212705210563</v>
      </c>
      <c r="N93" s="171">
        <f t="shared" si="241"/>
        <v>0.27134287032764193</v>
      </c>
      <c r="O93" s="171">
        <f t="shared" si="241"/>
        <v>0.8</v>
      </c>
      <c r="P93" s="171">
        <f t="shared" si="241"/>
        <v>0.64708581918311148</v>
      </c>
      <c r="Q93" s="118">
        <f t="shared" si="216"/>
        <v>5.7250939864514905E-3</v>
      </c>
      <c r="R93" s="20"/>
      <c r="S93" s="152">
        <f t="shared" ref="S93:AB93" si="242">S29/S12</f>
        <v>0.64708581918311159</v>
      </c>
      <c r="T93" s="152">
        <f t="shared" si="242"/>
        <v>0.64708581918311148</v>
      </c>
      <c r="U93" s="152">
        <f t="shared" si="242"/>
        <v>0.64708581918311148</v>
      </c>
      <c r="V93" s="152">
        <f t="shared" si="242"/>
        <v>0.64708581918311159</v>
      </c>
      <c r="W93" s="152">
        <f t="shared" si="242"/>
        <v>0.64708581918311159</v>
      </c>
      <c r="X93" s="152">
        <f t="shared" si="242"/>
        <v>0.64708581918311148</v>
      </c>
      <c r="Y93" s="152">
        <f t="shared" si="242"/>
        <v>0.64708581918311159</v>
      </c>
      <c r="Z93" s="152">
        <f t="shared" si="242"/>
        <v>0.64708581918311159</v>
      </c>
      <c r="AA93" s="152">
        <f t="shared" si="242"/>
        <v>0.64708581918311159</v>
      </c>
      <c r="AB93" s="152">
        <f t="shared" si="242"/>
        <v>0.64708581918311159</v>
      </c>
      <c r="AC93" s="138">
        <f t="shared" si="218"/>
        <v>2.7078127447361933E-3</v>
      </c>
      <c r="AD93" s="146"/>
      <c r="AE93" s="146"/>
    </row>
    <row r="94" spans="2:31" ht="12" customHeight="1" x14ac:dyDescent="0.2">
      <c r="B94" s="20" t="s">
        <v>369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43">H29/H23</f>
        <v>#DIV/0!</v>
      </c>
      <c r="I94" s="171" t="e">
        <f t="shared" si="243"/>
        <v>#DIV/0!</v>
      </c>
      <c r="J94" s="171" t="e">
        <f t="shared" si="243"/>
        <v>#DIV/0!</v>
      </c>
      <c r="K94" s="171" t="e">
        <f t="shared" si="243"/>
        <v>#DIV/0!</v>
      </c>
      <c r="L94" s="171" t="e">
        <f t="shared" si="243"/>
        <v>#DIV/0!</v>
      </c>
      <c r="M94" s="171" t="e">
        <f t="shared" si="243"/>
        <v>#DIV/0!</v>
      </c>
      <c r="N94" s="171" t="e">
        <f t="shared" si="243"/>
        <v>#DIV/0!</v>
      </c>
      <c r="O94" s="171" t="e">
        <f t="shared" si="243"/>
        <v>#DIV/0!</v>
      </c>
      <c r="P94" s="171" t="e">
        <f t="shared" si="243"/>
        <v>#DIV/0!</v>
      </c>
      <c r="Q94" s="118" t="e">
        <f t="shared" ref="Q94" si="244">((P94/G94)^(1/($H$2-$H$1) ))-1</f>
        <v>#DIV/0!</v>
      </c>
      <c r="R94" s="20"/>
      <c r="S94" s="171" t="e">
        <f t="shared" ref="S94:AB94" si="245">S29/S23</f>
        <v>#DIV/0!</v>
      </c>
      <c r="T94" s="171" t="e">
        <f t="shared" si="245"/>
        <v>#DIV/0!</v>
      </c>
      <c r="U94" s="171" t="e">
        <f t="shared" si="245"/>
        <v>#DIV/0!</v>
      </c>
      <c r="V94" s="171" t="e">
        <f t="shared" si="245"/>
        <v>#DIV/0!</v>
      </c>
      <c r="W94" s="171" t="e">
        <f t="shared" si="245"/>
        <v>#DIV/0!</v>
      </c>
      <c r="X94" s="171" t="e">
        <f t="shared" si="245"/>
        <v>#DIV/0!</v>
      </c>
      <c r="Y94" s="171" t="e">
        <f t="shared" si="245"/>
        <v>#DIV/0!</v>
      </c>
      <c r="Z94" s="171" t="e">
        <f t="shared" si="245"/>
        <v>#DIV/0!</v>
      </c>
      <c r="AA94" s="171" t="e">
        <f t="shared" si="245"/>
        <v>#DIV/0!</v>
      </c>
      <c r="AB94" s="171" t="e">
        <f t="shared" si="245"/>
        <v>#DIV/0!</v>
      </c>
      <c r="AC94" s="138" t="e">
        <f t="shared" ref="AC94" si="24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402</v>
      </c>
      <c r="C96" s="152"/>
      <c r="D96" s="152"/>
      <c r="E96" s="152"/>
      <c r="F96" s="152"/>
      <c r="G96" s="127">
        <f>1/G90</f>
        <v>2.1044776119402986</v>
      </c>
      <c r="H96" s="127">
        <f t="shared" ref="H96:P96" si="247">1/H90</f>
        <v>1.9052631578947368</v>
      </c>
      <c r="I96" s="127">
        <f t="shared" si="247"/>
        <v>2.1030927835051547</v>
      </c>
      <c r="J96" s="127">
        <f t="shared" si="247"/>
        <v>2.6363636363636367</v>
      </c>
      <c r="K96" s="127">
        <f t="shared" si="247"/>
        <v>2.5958333333333332</v>
      </c>
      <c r="L96" s="127">
        <f t="shared" si="247"/>
        <v>2.2270531400966185</v>
      </c>
      <c r="M96" s="127">
        <f t="shared" si="247"/>
        <v>2.1315280464216633</v>
      </c>
      <c r="N96" s="127">
        <f t="shared" si="247"/>
        <v>2.2448979591836737</v>
      </c>
      <c r="O96" s="127">
        <f t="shared" si="247"/>
        <v>2.2112068965517242</v>
      </c>
      <c r="P96" s="127">
        <f t="shared" si="247"/>
        <v>2.178014184397163</v>
      </c>
      <c r="Q96" s="118">
        <f t="shared" si="216"/>
        <v>3.8235429476913829E-3</v>
      </c>
      <c r="R96" s="20"/>
      <c r="S96" s="127">
        <f t="shared" ref="S96:AB96" si="248">1/S90</f>
        <v>2.1780141843971634</v>
      </c>
      <c r="T96" s="127">
        <f t="shared" si="248"/>
        <v>2.1780141843971634</v>
      </c>
      <c r="U96" s="127">
        <f t="shared" si="248"/>
        <v>2.1780141843971634</v>
      </c>
      <c r="V96" s="127">
        <f t="shared" si="248"/>
        <v>2.1780141843971634</v>
      </c>
      <c r="W96" s="127">
        <f t="shared" si="248"/>
        <v>2.178014184397163</v>
      </c>
      <c r="X96" s="127">
        <f t="shared" si="248"/>
        <v>2.178014184397163</v>
      </c>
      <c r="Y96" s="127">
        <f t="shared" si="248"/>
        <v>2.178014184397163</v>
      </c>
      <c r="Z96" s="127">
        <f t="shared" si="248"/>
        <v>2.178014184397163</v>
      </c>
      <c r="AA96" s="127">
        <f t="shared" si="248"/>
        <v>2.1780141843971634</v>
      </c>
      <c r="AB96" s="127">
        <f t="shared" si="248"/>
        <v>2.1780141843971634</v>
      </c>
      <c r="AC96" s="138">
        <f t="shared" si="218"/>
        <v>1.8093330861983503E-3</v>
      </c>
      <c r="AD96" s="146"/>
      <c r="AE96" s="146"/>
    </row>
    <row r="97" spans="2:31" ht="12" customHeight="1" x14ac:dyDescent="0.2">
      <c r="B97" s="20" t="s">
        <v>403</v>
      </c>
      <c r="C97" s="152"/>
      <c r="D97" s="152"/>
      <c r="E97" s="152"/>
      <c r="F97" s="152"/>
      <c r="G97" s="127">
        <f t="shared" ref="G97:P100" si="249">1/G91</f>
        <v>1.4328358208955225</v>
      </c>
      <c r="H97" s="127">
        <f t="shared" si="249"/>
        <v>1.4</v>
      </c>
      <c r="I97" s="127">
        <f t="shared" si="249"/>
        <v>1.5051546391752577</v>
      </c>
      <c r="J97" s="127">
        <f t="shared" si="249"/>
        <v>1.5757575757575759</v>
      </c>
      <c r="K97" s="127">
        <f t="shared" si="249"/>
        <v>1.5333333333333332</v>
      </c>
      <c r="L97" s="127">
        <f t="shared" si="249"/>
        <v>1.5048309178743959</v>
      </c>
      <c r="M97" s="127">
        <f t="shared" si="249"/>
        <v>1.504835589941973</v>
      </c>
      <c r="N97" s="127">
        <f t="shared" si="249"/>
        <v>1.6207482993197277</v>
      </c>
      <c r="O97" s="127">
        <f t="shared" si="249"/>
        <v>1.5560344827586208</v>
      </c>
      <c r="P97" s="127">
        <f t="shared" si="249"/>
        <v>1.4765957446808511</v>
      </c>
      <c r="Q97" s="118">
        <f t="shared" si="216"/>
        <v>3.3482254625254448E-3</v>
      </c>
      <c r="R97" s="20"/>
      <c r="S97" s="127">
        <f t="shared" ref="S97:AB97" si="250">1/S91</f>
        <v>1.4765957446808511</v>
      </c>
      <c r="T97" s="127">
        <f t="shared" si="250"/>
        <v>1.4765957446808513</v>
      </c>
      <c r="U97" s="127">
        <f t="shared" si="250"/>
        <v>1.4765957446808513</v>
      </c>
      <c r="V97" s="127">
        <f t="shared" si="250"/>
        <v>1.4765957446808513</v>
      </c>
      <c r="W97" s="127">
        <f t="shared" si="250"/>
        <v>1.4765957446808511</v>
      </c>
      <c r="X97" s="127">
        <f t="shared" si="250"/>
        <v>1.4765957446808511</v>
      </c>
      <c r="Y97" s="127">
        <f t="shared" si="250"/>
        <v>1.4765957446808511</v>
      </c>
      <c r="Z97" s="127">
        <f t="shared" si="250"/>
        <v>1.4765957446808511</v>
      </c>
      <c r="AA97" s="127">
        <f t="shared" si="250"/>
        <v>1.4765957446808509</v>
      </c>
      <c r="AB97" s="127">
        <f t="shared" si="250"/>
        <v>1.4765957446808511</v>
      </c>
      <c r="AC97" s="138">
        <f t="shared" si="218"/>
        <v>1.5846064654549963E-3</v>
      </c>
      <c r="AD97" s="146"/>
      <c r="AE97" s="146"/>
    </row>
    <row r="98" spans="2:31" ht="12" customHeight="1" x14ac:dyDescent="0.2">
      <c r="B98" s="20" t="s">
        <v>404</v>
      </c>
      <c r="C98" s="152"/>
      <c r="D98" s="152"/>
      <c r="E98" s="152"/>
      <c r="F98" s="152"/>
      <c r="G98" s="127">
        <f t="shared" si="249"/>
        <v>0.26865671641791045</v>
      </c>
      <c r="H98" s="127">
        <f t="shared" si="249"/>
        <v>0.24210526315789477</v>
      </c>
      <c r="I98" s="127">
        <f t="shared" si="249"/>
        <v>0.31958762886597941</v>
      </c>
      <c r="J98" s="127">
        <f t="shared" si="249"/>
        <v>0.38636363636363635</v>
      </c>
      <c r="K98" s="127">
        <f t="shared" si="249"/>
        <v>0.36249999999999999</v>
      </c>
      <c r="L98" s="127">
        <f t="shared" si="249"/>
        <v>0.28260869565217395</v>
      </c>
      <c r="M98" s="127">
        <f t="shared" si="249"/>
        <v>0.37524177949709869</v>
      </c>
      <c r="N98" s="127">
        <f t="shared" si="249"/>
        <v>0.4081632653061224</v>
      </c>
      <c r="O98" s="127">
        <f t="shared" si="249"/>
        <v>0.36422413793103453</v>
      </c>
      <c r="P98" s="127">
        <f t="shared" si="249"/>
        <v>0.3184397163120567</v>
      </c>
      <c r="Q98" s="118">
        <f t="shared" si="216"/>
        <v>1.9068272762121197E-2</v>
      </c>
      <c r="R98" s="20"/>
      <c r="S98" s="127">
        <f t="shared" ref="S98:AB98" si="251">1/S92</f>
        <v>0.31843971631205675</v>
      </c>
      <c r="T98" s="127">
        <f t="shared" si="251"/>
        <v>0.31843971631205675</v>
      </c>
      <c r="U98" s="127">
        <f t="shared" si="251"/>
        <v>0.3184397163120567</v>
      </c>
      <c r="V98" s="127">
        <f t="shared" si="251"/>
        <v>0.3184397163120567</v>
      </c>
      <c r="W98" s="127">
        <f t="shared" si="251"/>
        <v>0.3184397163120567</v>
      </c>
      <c r="X98" s="127">
        <f t="shared" si="251"/>
        <v>0.3184397163120567</v>
      </c>
      <c r="Y98" s="127">
        <f t="shared" si="251"/>
        <v>0.3184397163120567</v>
      </c>
      <c r="Z98" s="127">
        <f t="shared" si="251"/>
        <v>0.3184397163120567</v>
      </c>
      <c r="AA98" s="127">
        <f t="shared" si="251"/>
        <v>0.3184397163120567</v>
      </c>
      <c r="AB98" s="127">
        <f t="shared" si="251"/>
        <v>0.3184397163120567</v>
      </c>
      <c r="AC98" s="138">
        <f t="shared" si="218"/>
        <v>8.9874502320010929E-3</v>
      </c>
      <c r="AD98" s="146"/>
      <c r="AE98" s="146"/>
    </row>
    <row r="99" spans="2:31" ht="12" customHeight="1" x14ac:dyDescent="0.2">
      <c r="B99" s="20" t="s">
        <v>405</v>
      </c>
      <c r="C99" s="152"/>
      <c r="D99" s="152"/>
      <c r="E99" s="152"/>
      <c r="F99" s="152"/>
      <c r="G99" s="127">
        <f t="shared" si="249"/>
        <v>1.6268656716417911</v>
      </c>
      <c r="H99" s="127">
        <f t="shared" si="249"/>
        <v>0.98947368421052628</v>
      </c>
      <c r="I99" s="127">
        <f t="shared" si="249"/>
        <v>2.3917525773195876</v>
      </c>
      <c r="J99" s="127">
        <f t="shared" si="249"/>
        <v>2.7651515151515151</v>
      </c>
      <c r="K99" s="127">
        <f t="shared" si="249"/>
        <v>3.645833333333333</v>
      </c>
      <c r="L99" s="127">
        <f t="shared" si="249"/>
        <v>3.8816425120772942</v>
      </c>
      <c r="M99" s="127">
        <f t="shared" si="249"/>
        <v>2.7098646034816247</v>
      </c>
      <c r="N99" s="127">
        <f t="shared" si="249"/>
        <v>3.6853741496598635</v>
      </c>
      <c r="O99" s="127">
        <f t="shared" si="249"/>
        <v>1.25</v>
      </c>
      <c r="P99" s="127">
        <f t="shared" si="249"/>
        <v>1.5453900709219859</v>
      </c>
      <c r="Q99" s="118">
        <f t="shared" si="216"/>
        <v>-5.6925038667958727E-3</v>
      </c>
      <c r="R99" s="20"/>
      <c r="S99" s="127">
        <f t="shared" ref="S99:AB99" si="252">1/S93</f>
        <v>1.5453900709219857</v>
      </c>
      <c r="T99" s="127">
        <f t="shared" si="252"/>
        <v>1.5453900709219859</v>
      </c>
      <c r="U99" s="127">
        <f t="shared" si="252"/>
        <v>1.5453900709219859</v>
      </c>
      <c r="V99" s="127">
        <f t="shared" si="252"/>
        <v>1.5453900709219857</v>
      </c>
      <c r="W99" s="127">
        <f t="shared" si="252"/>
        <v>1.5453900709219857</v>
      </c>
      <c r="X99" s="127">
        <f t="shared" si="252"/>
        <v>1.5453900709219859</v>
      </c>
      <c r="Y99" s="127">
        <f t="shared" si="252"/>
        <v>1.5453900709219857</v>
      </c>
      <c r="Z99" s="127">
        <f t="shared" si="252"/>
        <v>1.5453900709219857</v>
      </c>
      <c r="AA99" s="127">
        <f t="shared" si="252"/>
        <v>1.5453900709219857</v>
      </c>
      <c r="AB99" s="127">
        <f t="shared" si="252"/>
        <v>1.5453900709219857</v>
      </c>
      <c r="AC99" s="138">
        <f t="shared" si="218"/>
        <v>-2.7005002956185242E-3</v>
      </c>
      <c r="AD99" s="146"/>
      <c r="AE99" s="146"/>
    </row>
    <row r="100" spans="2:31" ht="12" customHeight="1" x14ac:dyDescent="0.2">
      <c r="B100" s="20" t="s">
        <v>406</v>
      </c>
      <c r="C100" s="152"/>
      <c r="D100" s="152"/>
      <c r="E100" s="152"/>
      <c r="F100" s="152"/>
      <c r="G100" s="127" t="e">
        <f t="shared" si="249"/>
        <v>#DIV/0!</v>
      </c>
      <c r="H100" s="127" t="e">
        <f t="shared" si="249"/>
        <v>#DIV/0!</v>
      </c>
      <c r="I100" s="127" t="e">
        <f t="shared" si="249"/>
        <v>#DIV/0!</v>
      </c>
      <c r="J100" s="127" t="e">
        <f t="shared" si="249"/>
        <v>#DIV/0!</v>
      </c>
      <c r="K100" s="127" t="e">
        <f t="shared" si="249"/>
        <v>#DIV/0!</v>
      </c>
      <c r="L100" s="127" t="e">
        <f t="shared" si="249"/>
        <v>#DIV/0!</v>
      </c>
      <c r="M100" s="127" t="e">
        <f t="shared" si="249"/>
        <v>#DIV/0!</v>
      </c>
      <c r="N100" s="127" t="e">
        <f t="shared" si="249"/>
        <v>#DIV/0!</v>
      </c>
      <c r="O100" s="127" t="e">
        <f t="shared" si="249"/>
        <v>#DIV/0!</v>
      </c>
      <c r="P100" s="127" t="e">
        <f t="shared" si="249"/>
        <v>#DIV/0!</v>
      </c>
      <c r="Q100" s="118" t="e">
        <f t="shared" si="216"/>
        <v>#DIV/0!</v>
      </c>
      <c r="R100" s="20"/>
      <c r="S100" s="127" t="e">
        <f t="shared" ref="S100:AB100" si="253">1/S94</f>
        <v>#DIV/0!</v>
      </c>
      <c r="T100" s="127" t="e">
        <f t="shared" si="253"/>
        <v>#DIV/0!</v>
      </c>
      <c r="U100" s="127" t="e">
        <f t="shared" si="253"/>
        <v>#DIV/0!</v>
      </c>
      <c r="V100" s="127" t="e">
        <f t="shared" si="253"/>
        <v>#DIV/0!</v>
      </c>
      <c r="W100" s="127" t="e">
        <f t="shared" si="253"/>
        <v>#DIV/0!</v>
      </c>
      <c r="X100" s="127" t="e">
        <f t="shared" si="253"/>
        <v>#DIV/0!</v>
      </c>
      <c r="Y100" s="127" t="e">
        <f t="shared" si="253"/>
        <v>#DIV/0!</v>
      </c>
      <c r="Z100" s="127" t="e">
        <f t="shared" si="253"/>
        <v>#DIV/0!</v>
      </c>
      <c r="AA100" s="127" t="e">
        <f t="shared" si="253"/>
        <v>#DIV/0!</v>
      </c>
      <c r="AB100" s="127" t="e">
        <f t="shared" si="253"/>
        <v>#DIV/0!</v>
      </c>
      <c r="AC100" s="138" t="e">
        <f t="shared" si="21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325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489.4</v>
      </c>
      <c r="H103" s="163">
        <f t="shared" si="254"/>
        <v>555.4</v>
      </c>
      <c r="I103" s="163">
        <f t="shared" si="254"/>
        <v>629.4</v>
      </c>
      <c r="J103" s="163">
        <f t="shared" si="254"/>
        <v>1153</v>
      </c>
      <c r="K103" s="163">
        <f t="shared" si="254"/>
        <v>2124</v>
      </c>
      <c r="L103" s="163">
        <f t="shared" si="254"/>
        <v>2709</v>
      </c>
      <c r="M103" s="163">
        <f t="shared" si="254"/>
        <v>3265</v>
      </c>
      <c r="N103" s="163">
        <f t="shared" si="254"/>
        <v>5157</v>
      </c>
      <c r="O103" s="163">
        <f t="shared" si="254"/>
        <v>6388</v>
      </c>
      <c r="P103" s="163">
        <f>P10-(P12+P13)</f>
        <v>7674.79</v>
      </c>
      <c r="Q103" s="118">
        <f t="shared" si="216"/>
        <v>0.3577584177915123</v>
      </c>
      <c r="R103" s="20"/>
      <c r="S103" s="163">
        <f>S10-(S12+S13)</f>
        <v>8595.7648000000008</v>
      </c>
      <c r="T103" s="163">
        <f t="shared" ref="T103:AB103" si="255">T10-(T12+T13)</f>
        <v>9627.2565760000016</v>
      </c>
      <c r="U103" s="163">
        <f t="shared" si="255"/>
        <v>10782.527365120004</v>
      </c>
      <c r="V103" s="163">
        <f t="shared" si="255"/>
        <v>12076.430648934404</v>
      </c>
      <c r="W103" s="163">
        <f t="shared" si="255"/>
        <v>13525.602326806533</v>
      </c>
      <c r="X103" s="163">
        <f t="shared" si="255"/>
        <v>15148.67460602332</v>
      </c>
      <c r="Y103" s="163">
        <f t="shared" si="255"/>
        <v>16966.515558746119</v>
      </c>
      <c r="Z103" s="163">
        <f t="shared" si="255"/>
        <v>19002.497425795656</v>
      </c>
      <c r="AA103" s="163">
        <f t="shared" si="255"/>
        <v>21282.797116891135</v>
      </c>
      <c r="AB103" s="163">
        <f t="shared" si="255"/>
        <v>23836.732770918075</v>
      </c>
      <c r="AC103" s="138">
        <f t="shared" si="218"/>
        <v>0.22693101636554092</v>
      </c>
      <c r="AD103" s="146"/>
      <c r="AE103" s="146"/>
    </row>
    <row r="104" spans="2:31" ht="12" customHeight="1" x14ac:dyDescent="0.2">
      <c r="B104" s="20" t="s">
        <v>320</v>
      </c>
      <c r="C104" s="20"/>
      <c r="D104" s="20"/>
      <c r="E104" s="20"/>
      <c r="F104" s="20"/>
      <c r="G104" s="152">
        <f t="shared" ref="G104:P104" si="256">G40/G18</f>
        <v>0.46153846153846156</v>
      </c>
      <c r="H104" s="152">
        <f t="shared" si="256"/>
        <v>0.38333333333333336</v>
      </c>
      <c r="I104" s="152">
        <f t="shared" si="256"/>
        <v>0.5535714285714286</v>
      </c>
      <c r="J104" s="152">
        <f t="shared" si="256"/>
        <v>0.9107142857142857</v>
      </c>
      <c r="K104" s="152">
        <f t="shared" si="256"/>
        <v>1.7058823529411764</v>
      </c>
      <c r="L104" s="152">
        <f t="shared" si="256"/>
        <v>3.1621621621621623</v>
      </c>
      <c r="M104" s="152">
        <f t="shared" si="256"/>
        <v>9.6999999999999993</v>
      </c>
      <c r="N104" s="152">
        <f t="shared" si="256"/>
        <v>8.2758620689655178</v>
      </c>
      <c r="O104" s="152">
        <f t="shared" si="256"/>
        <v>6.3773584905660377</v>
      </c>
      <c r="P104" s="152">
        <f t="shared" si="256"/>
        <v>4.9888888888888889</v>
      </c>
      <c r="Q104" s="118">
        <f t="shared" si="216"/>
        <v>0.30276539749311149</v>
      </c>
      <c r="R104" s="20"/>
      <c r="S104" s="152">
        <f t="shared" ref="S104:AB104" si="257">S40/S18</f>
        <v>4.9888888888888889</v>
      </c>
      <c r="T104" s="152">
        <f t="shared" si="257"/>
        <v>4.988888888888888</v>
      </c>
      <c r="U104" s="152">
        <f t="shared" si="257"/>
        <v>4.988888888888888</v>
      </c>
      <c r="V104" s="152">
        <f t="shared" si="257"/>
        <v>4.988888888888888</v>
      </c>
      <c r="W104" s="152">
        <f t="shared" si="257"/>
        <v>4.988888888888888</v>
      </c>
      <c r="X104" s="152">
        <f t="shared" si="257"/>
        <v>4.988888888888888</v>
      </c>
      <c r="Y104" s="152">
        <f t="shared" si="257"/>
        <v>4.988888888888888</v>
      </c>
      <c r="Z104" s="152">
        <f t="shared" si="257"/>
        <v>4.9888888888888872</v>
      </c>
      <c r="AA104" s="152">
        <f t="shared" si="257"/>
        <v>4.988888888888888</v>
      </c>
      <c r="AB104" s="152">
        <f t="shared" si="257"/>
        <v>4.988888888888888</v>
      </c>
      <c r="AC104" s="138">
        <f t="shared" si="218"/>
        <v>0.13347073682626087</v>
      </c>
      <c r="AD104" s="20"/>
      <c r="AE104" s="20"/>
    </row>
    <row r="105" spans="2:31" x14ac:dyDescent="0.2">
      <c r="B105" s="20" t="s">
        <v>321</v>
      </c>
      <c r="C105" s="20"/>
      <c r="D105" s="20"/>
      <c r="E105" s="20"/>
      <c r="F105" s="20"/>
      <c r="G105" s="152">
        <f t="shared" ref="G105:P105" si="258">G40/G25</f>
        <v>0.1276595744680851</v>
      </c>
      <c r="H105" s="152">
        <f t="shared" si="258"/>
        <v>0.1270718232044199</v>
      </c>
      <c r="I105" s="152">
        <f t="shared" si="258"/>
        <v>0.15196078431372548</v>
      </c>
      <c r="J105" s="152">
        <f t="shared" si="258"/>
        <v>0.14655172413793102</v>
      </c>
      <c r="K105" s="152">
        <f t="shared" si="258"/>
        <v>0.13964686998394862</v>
      </c>
      <c r="L105" s="152">
        <f t="shared" si="258"/>
        <v>0.12689804772234273</v>
      </c>
      <c r="M105" s="152">
        <f t="shared" si="258"/>
        <v>0.17604355716878403</v>
      </c>
      <c r="N105" s="152">
        <f t="shared" si="258"/>
        <v>0.18181818181818182</v>
      </c>
      <c r="O105" s="152">
        <f t="shared" si="258"/>
        <v>0.16471734892787523</v>
      </c>
      <c r="P105" s="152">
        <f t="shared" si="258"/>
        <v>0.14620644741126668</v>
      </c>
      <c r="Q105" s="118">
        <f t="shared" si="216"/>
        <v>1.5186662956383934E-2</v>
      </c>
      <c r="R105" s="20"/>
      <c r="S105" s="152">
        <f t="shared" ref="S105:AB105" si="259">S40/S25</f>
        <v>0.14620644741126668</v>
      </c>
      <c r="T105" s="152">
        <f t="shared" si="259"/>
        <v>0.14620644741126668</v>
      </c>
      <c r="U105" s="152">
        <f t="shared" si="259"/>
        <v>0.14620644741126665</v>
      </c>
      <c r="V105" s="152">
        <f t="shared" si="259"/>
        <v>0.14620644741126668</v>
      </c>
      <c r="W105" s="152">
        <f t="shared" si="259"/>
        <v>0.14620644741126668</v>
      </c>
      <c r="X105" s="152">
        <f t="shared" si="259"/>
        <v>0.14620644741126668</v>
      </c>
      <c r="Y105" s="152">
        <f t="shared" si="259"/>
        <v>0.14620644741126668</v>
      </c>
      <c r="Z105" s="152">
        <f t="shared" si="259"/>
        <v>0.14620644741126665</v>
      </c>
      <c r="AA105" s="152">
        <f t="shared" si="259"/>
        <v>0.14620644741126668</v>
      </c>
      <c r="AB105" s="152">
        <f t="shared" si="259"/>
        <v>0.14620644741126668</v>
      </c>
      <c r="AC105" s="138">
        <f t="shared" si="218"/>
        <v>7.1651529974168238E-3</v>
      </c>
      <c r="AD105" s="20"/>
      <c r="AE105" s="20"/>
    </row>
    <row r="106" spans="2:31" x14ac:dyDescent="0.2">
      <c r="B106" s="20" t="s">
        <v>347</v>
      </c>
      <c r="C106" s="20"/>
      <c r="D106" s="20"/>
      <c r="E106" s="152"/>
      <c r="F106" s="152"/>
      <c r="G106" s="152">
        <f t="shared" ref="G106:O106" si="260">G25/G18</f>
        <v>3.6153846153846154</v>
      </c>
      <c r="H106" s="152">
        <f t="shared" si="260"/>
        <v>3.0166666666666666</v>
      </c>
      <c r="I106" s="152">
        <f t="shared" si="260"/>
        <v>3.6428571428571428</v>
      </c>
      <c r="J106" s="152">
        <f t="shared" si="260"/>
        <v>6.2142857142857144</v>
      </c>
      <c r="K106" s="152">
        <f t="shared" si="260"/>
        <v>12.215686274509803</v>
      </c>
      <c r="L106" s="152">
        <f t="shared" si="260"/>
        <v>24.918918918918919</v>
      </c>
      <c r="M106" s="152">
        <f t="shared" si="260"/>
        <v>55.1</v>
      </c>
      <c r="N106" s="152">
        <f t="shared" si="260"/>
        <v>45.517241379310342</v>
      </c>
      <c r="O106" s="152">
        <f t="shared" si="260"/>
        <v>38.716981132075475</v>
      </c>
      <c r="P106" s="152">
        <f>P25/P18</f>
        <v>34.12222222222222</v>
      </c>
      <c r="Q106" s="118">
        <f t="shared" si="216"/>
        <v>0.28327670666914884</v>
      </c>
      <c r="R106" s="20"/>
      <c r="S106" s="152">
        <f>S25/S18</f>
        <v>34.12222222222222</v>
      </c>
      <c r="T106" s="152">
        <f t="shared" ref="T106:AB106" si="261">T25/T18</f>
        <v>34.12222222222222</v>
      </c>
      <c r="U106" s="152">
        <f t="shared" si="261"/>
        <v>34.12222222222222</v>
      </c>
      <c r="V106" s="152">
        <f t="shared" si="261"/>
        <v>34.12222222222222</v>
      </c>
      <c r="W106" s="152">
        <f t="shared" si="261"/>
        <v>34.12222222222222</v>
      </c>
      <c r="X106" s="152">
        <f t="shared" si="261"/>
        <v>34.12222222222222</v>
      </c>
      <c r="Y106" s="152">
        <f t="shared" si="261"/>
        <v>34.12222222222222</v>
      </c>
      <c r="Z106" s="152">
        <f t="shared" si="261"/>
        <v>34.12222222222222</v>
      </c>
      <c r="AA106" s="152">
        <f t="shared" si="261"/>
        <v>34.12222222222222</v>
      </c>
      <c r="AB106" s="152">
        <f t="shared" si="261"/>
        <v>34.12222222222222</v>
      </c>
      <c r="AC106" s="138">
        <f t="shared" si="218"/>
        <v>0.12540702331980702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333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5.6909999999999998</v>
      </c>
      <c r="H108" s="165">
        <f t="shared" ref="H108:P108" si="263">H68*H42</f>
        <v>6.7750000000000004</v>
      </c>
      <c r="I108" s="165">
        <f t="shared" si="263"/>
        <v>8.129999999999999</v>
      </c>
      <c r="J108" s="165">
        <f t="shared" si="263"/>
        <v>11.7</v>
      </c>
      <c r="K108" s="165">
        <f t="shared" si="263"/>
        <v>16.440000000000001</v>
      </c>
      <c r="L108" s="165">
        <f t="shared" si="263"/>
        <v>12.24</v>
      </c>
      <c r="M108" s="165">
        <f t="shared" si="263"/>
        <v>24.55</v>
      </c>
      <c r="N108" s="165">
        <f t="shared" si="263"/>
        <v>29.700000000000003</v>
      </c>
      <c r="O108" s="165">
        <f t="shared" si="263"/>
        <v>33.995000000000005</v>
      </c>
      <c r="P108" s="165">
        <f t="shared" si="263"/>
        <v>47.09</v>
      </c>
      <c r="Q108" s="118">
        <f t="shared" si="216"/>
        <v>0.26465225503350931</v>
      </c>
      <c r="R108" s="20"/>
      <c r="S108" s="165">
        <f t="shared" ref="S108:AB108" si="264">S68*S42</f>
        <v>54.388950000000008</v>
      </c>
      <c r="T108" s="165">
        <f t="shared" si="264"/>
        <v>62.819237250000022</v>
      </c>
      <c r="U108" s="165">
        <f t="shared" si="264"/>
        <v>72.556219023750032</v>
      </c>
      <c r="V108" s="165">
        <f t="shared" si="264"/>
        <v>83.802432972431291</v>
      </c>
      <c r="W108" s="165">
        <f t="shared" si="264"/>
        <v>96.791810083158154</v>
      </c>
      <c r="X108" s="165">
        <f t="shared" si="264"/>
        <v>111.79454064604768</v>
      </c>
      <c r="Y108" s="165">
        <f t="shared" si="264"/>
        <v>129.12269444618508</v>
      </c>
      <c r="Z108" s="165">
        <f t="shared" si="264"/>
        <v>149.13671208534379</v>
      </c>
      <c r="AA108" s="165">
        <f t="shared" si="264"/>
        <v>172.25290245857209</v>
      </c>
      <c r="AB108" s="165">
        <f t="shared" si="264"/>
        <v>198.95210233965079</v>
      </c>
      <c r="AC108" s="138">
        <f t="shared" si="218"/>
        <v>0.20570204415126292</v>
      </c>
      <c r="AD108" s="20"/>
      <c r="AE108" s="20"/>
    </row>
    <row r="109" spans="2:31" x14ac:dyDescent="0.2">
      <c r="B109" s="20" t="s">
        <v>334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6.6584699999999994</v>
      </c>
      <c r="H109" s="165">
        <f t="shared" si="265"/>
        <v>7.9267500000000002</v>
      </c>
      <c r="I109" s="165">
        <f t="shared" si="265"/>
        <v>9.5120999999999984</v>
      </c>
      <c r="J109" s="165">
        <f t="shared" si="265"/>
        <v>13.689</v>
      </c>
      <c r="K109" s="165">
        <f t="shared" si="265"/>
        <v>19.2348</v>
      </c>
      <c r="L109" s="165">
        <f t="shared" si="265"/>
        <v>14.3208</v>
      </c>
      <c r="M109" s="165">
        <f t="shared" si="265"/>
        <v>28.723500000000001</v>
      </c>
      <c r="N109" s="165">
        <f t="shared" si="265"/>
        <v>34.749000000000002</v>
      </c>
      <c r="O109" s="165">
        <f t="shared" si="265"/>
        <v>39.774150000000006</v>
      </c>
      <c r="P109" s="165">
        <f t="shared" si="265"/>
        <v>55.095300000000009</v>
      </c>
      <c r="Q109" s="118">
        <f t="shared" si="216"/>
        <v>0.26465225503350931</v>
      </c>
      <c r="R109" s="20"/>
      <c r="S109" s="165">
        <f t="shared" ref="S109:AB109" si="266">(S108*0.17)+S108</f>
        <v>63.635071500000009</v>
      </c>
      <c r="T109" s="165">
        <f t="shared" si="266"/>
        <v>73.498507582500025</v>
      </c>
      <c r="U109" s="165">
        <f t="shared" si="266"/>
        <v>84.890776257787536</v>
      </c>
      <c r="V109" s="165">
        <f t="shared" si="266"/>
        <v>98.048846577744612</v>
      </c>
      <c r="W109" s="165">
        <f t="shared" si="266"/>
        <v>113.24641779729504</v>
      </c>
      <c r="X109" s="165">
        <f t="shared" si="266"/>
        <v>130.7996125558758</v>
      </c>
      <c r="Y109" s="165">
        <f t="shared" si="266"/>
        <v>151.07355250203653</v>
      </c>
      <c r="Z109" s="165">
        <f t="shared" si="266"/>
        <v>174.48995313985222</v>
      </c>
      <c r="AA109" s="165">
        <f t="shared" si="266"/>
        <v>201.53589587652937</v>
      </c>
      <c r="AB109" s="165">
        <f t="shared" si="266"/>
        <v>232.77395973739144</v>
      </c>
      <c r="AC109" s="138">
        <f t="shared" si="218"/>
        <v>0.20570204415126292</v>
      </c>
      <c r="AD109" s="20"/>
      <c r="AE109" s="20"/>
    </row>
    <row r="110" spans="2:31" x14ac:dyDescent="0.2">
      <c r="B110" s="20" t="s">
        <v>335</v>
      </c>
      <c r="C110" s="20"/>
      <c r="D110" s="20"/>
      <c r="E110" s="20"/>
      <c r="F110" s="152" t="e">
        <f t="shared" ref="F110:P110" si="267">F109/F40</f>
        <v>#DIV/0!</v>
      </c>
      <c r="G110" s="152">
        <f t="shared" si="267"/>
        <v>0.36991499999999999</v>
      </c>
      <c r="H110" s="152">
        <f t="shared" si="267"/>
        <v>0.34464130434782608</v>
      </c>
      <c r="I110" s="152">
        <f t="shared" si="267"/>
        <v>0.3068419354838709</v>
      </c>
      <c r="J110" s="152">
        <f t="shared" si="267"/>
        <v>0.26841176470588235</v>
      </c>
      <c r="K110" s="152">
        <f t="shared" si="267"/>
        <v>0.2210896551724138</v>
      </c>
      <c r="L110" s="152">
        <f t="shared" si="267"/>
        <v>0.12239999999999999</v>
      </c>
      <c r="M110" s="152">
        <f t="shared" si="267"/>
        <v>0.14805927835051547</v>
      </c>
      <c r="N110" s="152">
        <f t="shared" si="267"/>
        <v>0.14478750000000001</v>
      </c>
      <c r="O110" s="152">
        <f t="shared" si="267"/>
        <v>0.11767500000000002</v>
      </c>
      <c r="P110" s="152">
        <f t="shared" si="267"/>
        <v>0.12270668151447664</v>
      </c>
      <c r="Q110" s="118">
        <f t="shared" si="216"/>
        <v>-0.11539007505475152</v>
      </c>
      <c r="R110" s="20"/>
      <c r="S110" s="152">
        <f t="shared" ref="S110:AB110" si="268">S109/S40</f>
        <v>0.12654126531180401</v>
      </c>
      <c r="T110" s="152">
        <f t="shared" si="268"/>
        <v>0.13049567985279792</v>
      </c>
      <c r="U110" s="152">
        <f t="shared" si="268"/>
        <v>0.13457366984819785</v>
      </c>
      <c r="V110" s="152">
        <f t="shared" si="268"/>
        <v>0.13877909703095404</v>
      </c>
      <c r="W110" s="152">
        <f t="shared" si="268"/>
        <v>0.14311594381317133</v>
      </c>
      <c r="X110" s="152">
        <f t="shared" si="268"/>
        <v>0.14758831705733297</v>
      </c>
      <c r="Y110" s="152">
        <f t="shared" si="268"/>
        <v>0.1522004519653746</v>
      </c>
      <c r="Z110" s="152">
        <f t="shared" si="268"/>
        <v>0.15695671608929257</v>
      </c>
      <c r="AA110" s="152">
        <f t="shared" si="268"/>
        <v>0.16186161346708297</v>
      </c>
      <c r="AB110" s="152">
        <f t="shared" si="268"/>
        <v>0.1669197888879293</v>
      </c>
      <c r="AC110" s="138">
        <f t="shared" si="218"/>
        <v>-4.1017159923386726E-2</v>
      </c>
      <c r="AD110" s="20"/>
      <c r="AE110" s="20"/>
    </row>
    <row r="111" spans="2:31" x14ac:dyDescent="0.2">
      <c r="B111" s="20" t="s">
        <v>328</v>
      </c>
      <c r="C111" s="20"/>
      <c r="D111" s="20"/>
      <c r="E111" s="20"/>
      <c r="F111" s="152" t="e">
        <f>1-F110</f>
        <v>#DIV/0!</v>
      </c>
      <c r="G111" s="152">
        <f>1-G110</f>
        <v>0.63008500000000001</v>
      </c>
      <c r="H111" s="152">
        <f t="shared" ref="H111:P111" si="269">1-H110</f>
        <v>0.65535869565217397</v>
      </c>
      <c r="I111" s="152">
        <f t="shared" si="269"/>
        <v>0.69315806451612905</v>
      </c>
      <c r="J111" s="152">
        <f t="shared" si="269"/>
        <v>0.73158823529411765</v>
      </c>
      <c r="K111" s="152">
        <f t="shared" si="269"/>
        <v>0.77891034482758625</v>
      </c>
      <c r="L111" s="152">
        <f t="shared" si="269"/>
        <v>0.87760000000000005</v>
      </c>
      <c r="M111" s="152">
        <f t="shared" si="269"/>
        <v>0.85194072164948453</v>
      </c>
      <c r="N111" s="152">
        <f t="shared" si="269"/>
        <v>0.85521249999999993</v>
      </c>
      <c r="O111" s="152">
        <f t="shared" si="269"/>
        <v>0.88232500000000003</v>
      </c>
      <c r="P111" s="152">
        <f t="shared" si="269"/>
        <v>0.87729331848552339</v>
      </c>
      <c r="Q111" s="118">
        <f t="shared" si="216"/>
        <v>3.7460910512749246E-2</v>
      </c>
      <c r="R111" s="20"/>
      <c r="S111" s="152">
        <f t="shared" ref="S111:AB111" si="270">1-S110</f>
        <v>0.87345873468819601</v>
      </c>
      <c r="T111" s="152">
        <f t="shared" si="270"/>
        <v>0.86950432014720214</v>
      </c>
      <c r="U111" s="152">
        <f t="shared" si="270"/>
        <v>0.86542633015180215</v>
      </c>
      <c r="V111" s="152">
        <f t="shared" si="270"/>
        <v>0.86122090296904596</v>
      </c>
      <c r="W111" s="152">
        <f t="shared" si="270"/>
        <v>0.85688405618682872</v>
      </c>
      <c r="X111" s="152">
        <f t="shared" si="270"/>
        <v>0.852411682942667</v>
      </c>
      <c r="Y111" s="152">
        <f t="shared" si="270"/>
        <v>0.84779954803462543</v>
      </c>
      <c r="Z111" s="152">
        <f t="shared" si="270"/>
        <v>0.84304328391070738</v>
      </c>
      <c r="AA111" s="152">
        <f t="shared" si="270"/>
        <v>0.83813838653291706</v>
      </c>
      <c r="AB111" s="152">
        <f t="shared" si="270"/>
        <v>0.83308021111207076</v>
      </c>
      <c r="AC111" s="138">
        <f t="shared" si="218"/>
        <v>1.4807251698367496E-2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332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>
        <f t="shared" si="271"/>
        <v>0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329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>
        <f t="shared" si="273"/>
        <v>0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353</v>
      </c>
      <c r="C116" s="20"/>
      <c r="D116" s="20"/>
      <c r="E116" s="20"/>
      <c r="F116" s="20"/>
      <c r="G116" s="152">
        <f>G27/G25</f>
        <v>0.29078014184397161</v>
      </c>
      <c r="H116" s="152">
        <f t="shared" ref="H116:P116" si="275">H27/H25</f>
        <v>0.24861878453038674</v>
      </c>
      <c r="I116" s="152">
        <f t="shared" si="275"/>
        <v>0.26960784313725489</v>
      </c>
      <c r="J116" s="152">
        <f t="shared" si="275"/>
        <v>0.37931034482758619</v>
      </c>
      <c r="K116" s="152">
        <f t="shared" si="275"/>
        <v>0.391653290529695</v>
      </c>
      <c r="L116" s="152">
        <f t="shared" si="275"/>
        <v>0.33188720173535791</v>
      </c>
      <c r="M116" s="152">
        <f t="shared" si="275"/>
        <v>0.26678765880217786</v>
      </c>
      <c r="N116" s="152">
        <f t="shared" si="275"/>
        <v>0.27575757575757576</v>
      </c>
      <c r="O116" s="152">
        <f t="shared" si="275"/>
        <v>0.28703703703703703</v>
      </c>
      <c r="P116" s="152">
        <f t="shared" si="275"/>
        <v>0.31585802670140017</v>
      </c>
      <c r="Q116" s="118">
        <f t="shared" si="216"/>
        <v>9.2340817828673316E-3</v>
      </c>
      <c r="R116" s="20"/>
      <c r="S116" s="152">
        <f t="shared" ref="S116:AB116" si="276">S27/S25</f>
        <v>0.31585802670140017</v>
      </c>
      <c r="T116" s="152">
        <f t="shared" si="276"/>
        <v>0.31585802670140017</v>
      </c>
      <c r="U116" s="152">
        <f t="shared" si="276"/>
        <v>0.31585802670140017</v>
      </c>
      <c r="V116" s="152">
        <f t="shared" si="276"/>
        <v>0.31585802670140017</v>
      </c>
      <c r="W116" s="152">
        <f t="shared" si="276"/>
        <v>0.31585802670140023</v>
      </c>
      <c r="X116" s="152">
        <f t="shared" si="276"/>
        <v>0.31585802670140017</v>
      </c>
      <c r="Y116" s="152">
        <f t="shared" si="276"/>
        <v>0.31585802670140023</v>
      </c>
      <c r="Z116" s="152">
        <f t="shared" si="276"/>
        <v>0.31585802670140023</v>
      </c>
      <c r="AA116" s="152">
        <f t="shared" si="276"/>
        <v>0.31585802670140017</v>
      </c>
      <c r="AB116" s="152">
        <f t="shared" si="276"/>
        <v>0.31585802670140017</v>
      </c>
      <c r="AC116" s="138">
        <f t="shared" si="218"/>
        <v>4.3634593771593178E-3</v>
      </c>
      <c r="AD116" s="20"/>
      <c r="AE116" s="20"/>
    </row>
    <row r="117" spans="2:31" x14ac:dyDescent="0.2">
      <c r="B117" s="20" t="str">
        <f>B33</f>
        <v>Top Expenses ( Miscl )</v>
      </c>
      <c r="C117" s="20"/>
      <c r="D117" s="20"/>
      <c r="E117" s="20"/>
      <c r="F117" s="20"/>
      <c r="G117" s="152">
        <f>G33/G25</f>
        <v>4.9645390070921988E-2</v>
      </c>
      <c r="H117" s="152">
        <f t="shared" ref="H117:P117" si="277">H33/H25</f>
        <v>4.4198895027624308E-2</v>
      </c>
      <c r="I117" s="152">
        <f t="shared" si="277"/>
        <v>3.9215686274509803E-2</v>
      </c>
      <c r="J117" s="152">
        <f t="shared" si="277"/>
        <v>3.1609195402298854E-2</v>
      </c>
      <c r="K117" s="152">
        <f t="shared" si="277"/>
        <v>3.8523274478330656E-2</v>
      </c>
      <c r="L117" s="152">
        <f t="shared" si="277"/>
        <v>5.3145336225596529E-2</v>
      </c>
      <c r="M117" s="152">
        <f t="shared" si="277"/>
        <v>2.9945553539019964E-2</v>
      </c>
      <c r="N117" s="152">
        <f t="shared" si="277"/>
        <v>0.24242424242424243</v>
      </c>
      <c r="O117" s="152">
        <f t="shared" si="277"/>
        <v>0.15350877192982457</v>
      </c>
      <c r="P117" s="152">
        <f t="shared" si="277"/>
        <v>0.12471507652230544</v>
      </c>
      <c r="Q117" s="118">
        <f t="shared" si="216"/>
        <v>0.10776819558143735</v>
      </c>
      <c r="R117" s="20"/>
      <c r="S117" s="152">
        <f t="shared" ref="S117:AB117" si="278">S33/S25</f>
        <v>0.12471507652230543</v>
      </c>
      <c r="T117" s="152">
        <f t="shared" si="278"/>
        <v>0.12471507652230543</v>
      </c>
      <c r="U117" s="152">
        <f t="shared" si="278"/>
        <v>0.12471507652230543</v>
      </c>
      <c r="V117" s="152">
        <f t="shared" si="278"/>
        <v>0.12471507652230543</v>
      </c>
      <c r="W117" s="152">
        <f t="shared" si="278"/>
        <v>0.12471507652230544</v>
      </c>
      <c r="X117" s="152">
        <f t="shared" si="278"/>
        <v>0.12471507652230544</v>
      </c>
      <c r="Y117" s="152">
        <f t="shared" si="278"/>
        <v>0.12471507652230544</v>
      </c>
      <c r="Z117" s="152">
        <f t="shared" si="278"/>
        <v>0.12471507652230544</v>
      </c>
      <c r="AA117" s="152">
        <f t="shared" si="278"/>
        <v>0.12471507652230543</v>
      </c>
      <c r="AB117" s="152">
        <f t="shared" si="278"/>
        <v>0.12471507652230544</v>
      </c>
      <c r="AC117" s="138">
        <f t="shared" si="218"/>
        <v>4.9674721204128858E-2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3.5460992907801421E-2</v>
      </c>
      <c r="H118" s="152">
        <f t="shared" ref="H118:P118" si="279">H34/H25</f>
        <v>3.3149171270718231E-2</v>
      </c>
      <c r="I118" s="152">
        <f t="shared" si="279"/>
        <v>2.4509803921568627E-2</v>
      </c>
      <c r="J118" s="152">
        <f t="shared" si="279"/>
        <v>2.6724137931034484E-2</v>
      </c>
      <c r="K118" s="152">
        <f t="shared" si="279"/>
        <v>3.691813804173355E-2</v>
      </c>
      <c r="L118" s="152">
        <f t="shared" si="279"/>
        <v>0.23644251626898047</v>
      </c>
      <c r="M118" s="152">
        <f t="shared" si="279"/>
        <v>3.2667876588021776E-2</v>
      </c>
      <c r="N118" s="152">
        <f t="shared" si="279"/>
        <v>3.3333333333333333E-2</v>
      </c>
      <c r="O118" s="152">
        <f t="shared" si="279"/>
        <v>4.5808966861598438E-2</v>
      </c>
      <c r="P118" s="152">
        <f t="shared" si="279"/>
        <v>7.4894171279713442E-2</v>
      </c>
      <c r="Q118" s="118">
        <f t="shared" si="216"/>
        <v>8.6619410496585392E-2</v>
      </c>
      <c r="R118" s="20"/>
      <c r="S118" s="152">
        <f t="shared" ref="S118:AB118" si="280">S34/S25</f>
        <v>7.4894171279713442E-2</v>
      </c>
      <c r="T118" s="152">
        <f t="shared" si="280"/>
        <v>7.4894171279713442E-2</v>
      </c>
      <c r="U118" s="152">
        <f t="shared" si="280"/>
        <v>7.4894171279713442E-2</v>
      </c>
      <c r="V118" s="152">
        <f t="shared" si="280"/>
        <v>7.4894171279713442E-2</v>
      </c>
      <c r="W118" s="152">
        <f t="shared" si="280"/>
        <v>7.4894171279713456E-2</v>
      </c>
      <c r="X118" s="152">
        <f t="shared" si="280"/>
        <v>7.4894171279713456E-2</v>
      </c>
      <c r="Y118" s="152">
        <f t="shared" si="280"/>
        <v>7.4894171279713456E-2</v>
      </c>
      <c r="Z118" s="152">
        <f t="shared" si="280"/>
        <v>7.4894171279713442E-2</v>
      </c>
      <c r="AA118" s="152">
        <f t="shared" si="280"/>
        <v>7.4894171279713442E-2</v>
      </c>
      <c r="AB118" s="152">
        <f t="shared" si="280"/>
        <v>7.4894171279713442E-2</v>
      </c>
      <c r="AC118" s="138">
        <f t="shared" si="218"/>
        <v>4.0134071018716355E-2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361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364</v>
      </c>
      <c r="C121" s="20"/>
      <c r="D121" s="20"/>
      <c r="E121" s="20"/>
      <c r="F121" s="20"/>
      <c r="G121" s="25">
        <f>G15/G9</f>
        <v>6.0826446280991737</v>
      </c>
      <c r="H121" s="25">
        <f t="shared" ref="H121:AB121" si="281">H15/H9</f>
        <v>5.3741496598639458</v>
      </c>
      <c r="I121" s="25">
        <f t="shared" si="281"/>
        <v>4.1385281385281383</v>
      </c>
      <c r="J121" s="25">
        <f t="shared" si="281"/>
        <v>5.848297213622291</v>
      </c>
      <c r="K121" s="25">
        <f t="shared" si="281"/>
        <v>10.48494983277592</v>
      </c>
      <c r="L121" s="25">
        <f t="shared" si="281"/>
        <v>12.194117647058823</v>
      </c>
      <c r="M121" s="25">
        <f t="shared" si="281"/>
        <v>12.253763440860215</v>
      </c>
      <c r="N121" s="25">
        <f t="shared" si="281"/>
        <v>13.062767475035663</v>
      </c>
      <c r="O121" s="25">
        <f t="shared" si="281"/>
        <v>0.35441490986862206</v>
      </c>
      <c r="P121" s="25">
        <f t="shared" si="281"/>
        <v>0.55276509386098427</v>
      </c>
      <c r="Q121" s="118">
        <f t="shared" si="216"/>
        <v>-0.23392371474925377</v>
      </c>
      <c r="R121" s="20"/>
      <c r="S121" s="20">
        <f t="shared" si="281"/>
        <v>0.55276509386098416</v>
      </c>
      <c r="T121" s="20">
        <f t="shared" si="281"/>
        <v>0.55276509386098416</v>
      </c>
      <c r="U121" s="20">
        <f t="shared" si="281"/>
        <v>0.55276509386098427</v>
      </c>
      <c r="V121" s="20">
        <f t="shared" si="281"/>
        <v>0.55276509386098427</v>
      </c>
      <c r="W121" s="20">
        <f t="shared" si="281"/>
        <v>0.55276509386098427</v>
      </c>
      <c r="X121" s="20">
        <f t="shared" si="281"/>
        <v>0.55276509386098427</v>
      </c>
      <c r="Y121" s="20">
        <f t="shared" si="281"/>
        <v>0.55276509386098438</v>
      </c>
      <c r="Z121" s="20">
        <f t="shared" si="281"/>
        <v>0.55276509386098438</v>
      </c>
      <c r="AA121" s="20">
        <f t="shared" si="281"/>
        <v>0.55276509386098427</v>
      </c>
      <c r="AB121" s="20">
        <f t="shared" si="281"/>
        <v>0.55276509386098427</v>
      </c>
      <c r="AC121" s="138">
        <f t="shared" si="218"/>
        <v>-0.11858287845265714</v>
      </c>
      <c r="AD121" s="20"/>
      <c r="AE121" s="20"/>
    </row>
    <row r="122" spans="2:31" x14ac:dyDescent="0.2">
      <c r="B122" s="20" t="s">
        <v>354</v>
      </c>
      <c r="C122" s="20"/>
      <c r="D122" s="20"/>
      <c r="E122" s="20"/>
      <c r="F122" s="20"/>
      <c r="G122" s="25">
        <f>G12/G9</f>
        <v>0.90082644628099173</v>
      </c>
      <c r="H122" s="25">
        <f t="shared" ref="H122:P122" si="282">H12/H9</f>
        <v>0.63945578231292521</v>
      </c>
      <c r="I122" s="25">
        <f t="shared" si="282"/>
        <v>1.0043290043290043</v>
      </c>
      <c r="J122" s="25">
        <f t="shared" si="282"/>
        <v>1.1300309597523219</v>
      </c>
      <c r="K122" s="25">
        <f t="shared" si="282"/>
        <v>2.9264214046822743</v>
      </c>
      <c r="L122" s="25">
        <f t="shared" si="282"/>
        <v>4.7264705882352942</v>
      </c>
      <c r="M122" s="25">
        <f t="shared" si="282"/>
        <v>3.0129032258064514</v>
      </c>
      <c r="N122" s="25">
        <f t="shared" si="282"/>
        <v>3.0912981455064195</v>
      </c>
      <c r="O122" s="25">
        <f t="shared" si="282"/>
        <v>0.35441490986862206</v>
      </c>
      <c r="P122" s="25">
        <f t="shared" si="282"/>
        <v>0.55276509386098427</v>
      </c>
      <c r="Q122" s="118">
        <f t="shared" si="216"/>
        <v>-5.2818349794077735E-2</v>
      </c>
      <c r="R122" s="128"/>
      <c r="S122" s="20">
        <f t="shared" ref="S122:AB122" si="283">S12/S9</f>
        <v>0.55276509386098416</v>
      </c>
      <c r="T122" s="20">
        <f t="shared" si="283"/>
        <v>0.55276509386098416</v>
      </c>
      <c r="U122" s="20">
        <f t="shared" si="283"/>
        <v>0.55276509386098427</v>
      </c>
      <c r="V122" s="20">
        <f t="shared" si="283"/>
        <v>0.55276509386098427</v>
      </c>
      <c r="W122" s="20">
        <f t="shared" si="283"/>
        <v>0.55276509386098427</v>
      </c>
      <c r="X122" s="20">
        <f t="shared" si="283"/>
        <v>0.55276509386098427</v>
      </c>
      <c r="Y122" s="20">
        <f t="shared" si="283"/>
        <v>0.55276509386098438</v>
      </c>
      <c r="Z122" s="20">
        <f t="shared" si="283"/>
        <v>0.55276509386098438</v>
      </c>
      <c r="AA122" s="20">
        <f t="shared" si="283"/>
        <v>0.55276509386098427</v>
      </c>
      <c r="AB122" s="20">
        <f t="shared" si="283"/>
        <v>0.55276509386098427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356</v>
      </c>
      <c r="C123" s="20"/>
      <c r="D123" s="20"/>
      <c r="E123" s="20"/>
      <c r="F123" s="20"/>
      <c r="G123" s="25">
        <f>G25/360</f>
        <v>0.39166666666666666</v>
      </c>
      <c r="H123" s="25">
        <f t="shared" ref="H123:P123" si="285">H25/360</f>
        <v>0.50277777777777777</v>
      </c>
      <c r="I123" s="25">
        <f t="shared" si="285"/>
        <v>0.56666666666666665</v>
      </c>
      <c r="J123" s="25">
        <f t="shared" si="285"/>
        <v>0.96666666666666667</v>
      </c>
      <c r="K123" s="25">
        <f t="shared" si="285"/>
        <v>1.7305555555555556</v>
      </c>
      <c r="L123" s="25">
        <f t="shared" si="285"/>
        <v>2.5611111111111109</v>
      </c>
      <c r="M123" s="25">
        <f t="shared" si="285"/>
        <v>3.0611111111111109</v>
      </c>
      <c r="N123" s="25">
        <f t="shared" si="285"/>
        <v>3.6666666666666665</v>
      </c>
      <c r="O123" s="25">
        <f t="shared" si="285"/>
        <v>5.7</v>
      </c>
      <c r="P123" s="25">
        <f t="shared" si="285"/>
        <v>8.530555555555555</v>
      </c>
      <c r="Q123" s="118">
        <f t="shared" si="216"/>
        <v>0.40822941481017949</v>
      </c>
      <c r="R123" s="128"/>
      <c r="S123" s="25">
        <f t="shared" ref="S123:AB123" si="286">S25/360</f>
        <v>9.5542222222222239</v>
      </c>
      <c r="T123" s="25">
        <f t="shared" si="286"/>
        <v>10.700728888888891</v>
      </c>
      <c r="U123" s="25">
        <f t="shared" si="286"/>
        <v>11.98481635555556</v>
      </c>
      <c r="V123" s="25">
        <f t="shared" si="286"/>
        <v>13.422994318222228</v>
      </c>
      <c r="W123" s="25">
        <f t="shared" si="286"/>
        <v>15.033753636408896</v>
      </c>
      <c r="X123" s="25">
        <f t="shared" si="286"/>
        <v>16.837804072777967</v>
      </c>
      <c r="Y123" s="25">
        <f t="shared" si="286"/>
        <v>18.858340561511323</v>
      </c>
      <c r="Z123" s="25">
        <f t="shared" si="286"/>
        <v>21.121341428892684</v>
      </c>
      <c r="AA123" s="25">
        <f t="shared" si="286"/>
        <v>23.65590240035981</v>
      </c>
      <c r="AB123" s="25">
        <f t="shared" si="286"/>
        <v>26.494610688402989</v>
      </c>
      <c r="AC123" s="118">
        <f t="shared" ref="AC123:AC134" si="287">((AB123/S123)^(1/($H$2-$H$1) ))-1</f>
        <v>0.12000000000000011</v>
      </c>
      <c r="AD123" s="20"/>
      <c r="AE123" s="20"/>
    </row>
    <row r="124" spans="2:31" x14ac:dyDescent="0.2">
      <c r="B124" s="20" t="s">
        <v>355</v>
      </c>
      <c r="C124" s="20"/>
      <c r="D124" s="20"/>
      <c r="E124" s="20"/>
      <c r="F124" s="20"/>
      <c r="G124" s="25">
        <f>G27/360</f>
        <v>0.11388888888888889</v>
      </c>
      <c r="H124" s="25">
        <f t="shared" ref="H124:P124" si="288">H27/360</f>
        <v>0.125</v>
      </c>
      <c r="I124" s="25">
        <f t="shared" si="288"/>
        <v>0.15277777777777779</v>
      </c>
      <c r="J124" s="25">
        <f t="shared" si="288"/>
        <v>0.36666666666666664</v>
      </c>
      <c r="K124" s="25">
        <f t="shared" si="288"/>
        <v>0.67777777777777781</v>
      </c>
      <c r="L124" s="25">
        <f t="shared" si="288"/>
        <v>0.85</v>
      </c>
      <c r="M124" s="25">
        <f t="shared" si="288"/>
        <v>0.81666666666666665</v>
      </c>
      <c r="N124" s="25">
        <f t="shared" si="288"/>
        <v>1.0111111111111111</v>
      </c>
      <c r="O124" s="25">
        <f t="shared" si="288"/>
        <v>1.6361111111111111</v>
      </c>
      <c r="P124" s="25">
        <f t="shared" si="288"/>
        <v>2.6944444444444446</v>
      </c>
      <c r="Q124" s="118">
        <f t="shared" si="216"/>
        <v>0.42123312039557614</v>
      </c>
      <c r="R124" s="128"/>
      <c r="S124" s="25">
        <f t="shared" ref="S124:AB124" si="289">S27/360</f>
        <v>3.0177777777777779</v>
      </c>
      <c r="T124" s="25">
        <f t="shared" si="289"/>
        <v>3.3799111111111118</v>
      </c>
      <c r="U124" s="25">
        <f t="shared" si="289"/>
        <v>3.7855004444444456</v>
      </c>
      <c r="V124" s="25">
        <f t="shared" si="289"/>
        <v>4.2397604977777794</v>
      </c>
      <c r="W124" s="25">
        <f t="shared" si="289"/>
        <v>4.7485317575111141</v>
      </c>
      <c r="X124" s="25">
        <f t="shared" si="289"/>
        <v>5.3183555684124482</v>
      </c>
      <c r="Y124" s="25">
        <f t="shared" si="289"/>
        <v>5.9565582366219427</v>
      </c>
      <c r="Z124" s="25">
        <f t="shared" si="289"/>
        <v>6.6713452250165766</v>
      </c>
      <c r="AA124" s="25">
        <f t="shared" si="289"/>
        <v>7.471906652018566</v>
      </c>
      <c r="AB124" s="25">
        <f t="shared" si="289"/>
        <v>8.3685354502607936</v>
      </c>
      <c r="AC124" s="118">
        <f t="shared" si="287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365</v>
      </c>
      <c r="C126" s="20"/>
      <c r="D126" s="20"/>
      <c r="E126" s="20"/>
      <c r="F126" s="20"/>
      <c r="G126" s="25">
        <f>G10/G7</f>
        <v>7.5</v>
      </c>
      <c r="H126" s="25">
        <f t="shared" ref="H126:P126" si="290">H10/H7</f>
        <v>7</v>
      </c>
      <c r="I126" s="25">
        <f t="shared" si="290"/>
        <v>7.6140350877192979</v>
      </c>
      <c r="J126" s="25">
        <f t="shared" si="290"/>
        <v>4.36676217765043</v>
      </c>
      <c r="K126" s="25">
        <f t="shared" si="290"/>
        <v>6.677777777777778</v>
      </c>
      <c r="L126" s="25">
        <f t="shared" si="290"/>
        <v>6.0959097320169251</v>
      </c>
      <c r="M126" s="25">
        <f t="shared" si="290"/>
        <v>4.6669999999999998</v>
      </c>
      <c r="N126" s="25">
        <f t="shared" si="290"/>
        <v>6.0453795379537958</v>
      </c>
      <c r="O126" s="25">
        <f t="shared" si="290"/>
        <v>4.3647398843930638</v>
      </c>
      <c r="P126" s="25">
        <f t="shared" si="290"/>
        <v>4.3154215814766275</v>
      </c>
      <c r="Q126" s="118">
        <f t="shared" si="216"/>
        <v>-5.9564299496897455E-2</v>
      </c>
      <c r="R126" s="128"/>
      <c r="S126" s="25">
        <f t="shared" ref="S126:AB126" si="291">S10/S7</f>
        <v>4.3154215814766275</v>
      </c>
      <c r="T126" s="25">
        <f t="shared" si="291"/>
        <v>4.3154215814766275</v>
      </c>
      <c r="U126" s="25">
        <f t="shared" si="291"/>
        <v>4.3154215814766275</v>
      </c>
      <c r="V126" s="25">
        <f t="shared" si="291"/>
        <v>4.3154215814766266</v>
      </c>
      <c r="W126" s="25">
        <f t="shared" si="291"/>
        <v>4.3154215814766266</v>
      </c>
      <c r="X126" s="25">
        <f t="shared" si="291"/>
        <v>4.3154215814766275</v>
      </c>
      <c r="Y126" s="25">
        <f t="shared" si="291"/>
        <v>4.3154215814766266</v>
      </c>
      <c r="Z126" s="25">
        <f t="shared" si="291"/>
        <v>4.3154215814766275</v>
      </c>
      <c r="AA126" s="25">
        <f t="shared" si="291"/>
        <v>4.3154215814766275</v>
      </c>
      <c r="AB126" s="25">
        <f t="shared" si="291"/>
        <v>4.3154215814766275</v>
      </c>
      <c r="AC126" s="118">
        <f t="shared" si="287"/>
        <v>0</v>
      </c>
      <c r="AD126" s="20"/>
      <c r="AE126" s="20"/>
    </row>
    <row r="127" spans="2:31" x14ac:dyDescent="0.2">
      <c r="B127" s="20" t="s">
        <v>357</v>
      </c>
      <c r="C127" s="20"/>
      <c r="D127" s="20"/>
      <c r="E127" s="20"/>
      <c r="F127" s="20"/>
      <c r="G127" s="25">
        <f>G10/(G10+G7)</f>
        <v>0.88235294117647056</v>
      </c>
      <c r="H127" s="25">
        <f t="shared" ref="H127:P127" si="292">H10/(H10+H7)</f>
        <v>0.875</v>
      </c>
      <c r="I127" s="25">
        <f t="shared" si="292"/>
        <v>0.88391038696537683</v>
      </c>
      <c r="J127" s="25">
        <f t="shared" si="292"/>
        <v>0.81366791243993597</v>
      </c>
      <c r="K127" s="25">
        <f t="shared" si="292"/>
        <v>0.86975397973950797</v>
      </c>
      <c r="L127" s="25">
        <f t="shared" si="292"/>
        <v>0.85907374279467308</v>
      </c>
      <c r="M127" s="25">
        <f t="shared" si="292"/>
        <v>0.82353979177695424</v>
      </c>
      <c r="N127" s="25">
        <f t="shared" si="292"/>
        <v>0.85806300503571842</v>
      </c>
      <c r="O127" s="25">
        <f t="shared" si="292"/>
        <v>0.8135976726645836</v>
      </c>
      <c r="P127" s="25">
        <f t="shared" si="292"/>
        <v>0.81186816799539741</v>
      </c>
      <c r="Q127" s="118">
        <f t="shared" si="216"/>
        <v>-9.2078087315974333E-3</v>
      </c>
      <c r="R127" s="128"/>
      <c r="S127" s="25">
        <f t="shared" ref="S127:AB127" si="293">S10/(S10+S7)</f>
        <v>0.81186816799539741</v>
      </c>
      <c r="T127" s="25">
        <f t="shared" si="293"/>
        <v>0.81186816799539741</v>
      </c>
      <c r="U127" s="25">
        <f t="shared" si="293"/>
        <v>0.81186816799539741</v>
      </c>
      <c r="V127" s="25">
        <f t="shared" si="293"/>
        <v>0.81186816799539729</v>
      </c>
      <c r="W127" s="25">
        <f t="shared" si="293"/>
        <v>0.81186816799539741</v>
      </c>
      <c r="X127" s="25">
        <f t="shared" si="293"/>
        <v>0.81186816799539741</v>
      </c>
      <c r="Y127" s="25">
        <f t="shared" si="293"/>
        <v>0.81186816799539729</v>
      </c>
      <c r="Z127" s="25">
        <f t="shared" si="293"/>
        <v>0.81186816799539741</v>
      </c>
      <c r="AA127" s="25">
        <f t="shared" si="293"/>
        <v>0.81186816799539741</v>
      </c>
      <c r="AB127" s="25">
        <f t="shared" si="293"/>
        <v>0.81186816799539741</v>
      </c>
      <c r="AC127" s="118">
        <f t="shared" si="287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362</v>
      </c>
      <c r="C129" s="20"/>
      <c r="D129" s="20"/>
      <c r="E129" s="20"/>
      <c r="F129" s="20"/>
      <c r="G129" s="25">
        <f>G16</f>
        <v>645</v>
      </c>
      <c r="H129" s="25">
        <f t="shared" ref="H129:P129" si="294">H16</f>
        <v>682</v>
      </c>
      <c r="I129" s="25">
        <f t="shared" si="294"/>
        <v>919</v>
      </c>
      <c r="J129" s="25">
        <f t="shared" si="294"/>
        <v>1811</v>
      </c>
      <c r="K129" s="25">
        <f t="shared" si="294"/>
        <v>3356</v>
      </c>
      <c r="L129" s="25">
        <f t="shared" si="294"/>
        <v>4989</v>
      </c>
      <c r="M129" s="25">
        <f t="shared" si="294"/>
        <v>5645</v>
      </c>
      <c r="N129" s="25">
        <f t="shared" si="294"/>
        <v>8507</v>
      </c>
      <c r="O129" s="25">
        <f t="shared" si="294"/>
        <v>9226</v>
      </c>
      <c r="P129" s="25">
        <f t="shared" si="294"/>
        <v>12087</v>
      </c>
      <c r="Q129" s="118">
        <f t="shared" si="216"/>
        <v>0.38489754461523407</v>
      </c>
      <c r="R129" s="128"/>
      <c r="S129" s="25">
        <f t="shared" ref="S129:AB129" si="295">S16</f>
        <v>13537.44</v>
      </c>
      <c r="T129" s="25">
        <f t="shared" si="295"/>
        <v>15161.932800000002</v>
      </c>
      <c r="U129" s="25">
        <f t="shared" si="295"/>
        <v>16981.364736000003</v>
      </c>
      <c r="V129" s="25">
        <f t="shared" si="295"/>
        <v>19019.128504320004</v>
      </c>
      <c r="W129" s="25">
        <f t="shared" si="295"/>
        <v>21301.423924838407</v>
      </c>
      <c r="X129" s="25">
        <f t="shared" si="295"/>
        <v>23857.594795819019</v>
      </c>
      <c r="Y129" s="25">
        <f t="shared" si="295"/>
        <v>26720.506171317305</v>
      </c>
      <c r="Z129" s="25">
        <f t="shared" si="295"/>
        <v>29926.966911875385</v>
      </c>
      <c r="AA129" s="25">
        <f t="shared" si="295"/>
        <v>33518.202941300435</v>
      </c>
      <c r="AB129" s="25">
        <f t="shared" si="295"/>
        <v>37540.387294256492</v>
      </c>
      <c r="AC129" s="118">
        <f t="shared" si="287"/>
        <v>0.12000000000000011</v>
      </c>
      <c r="AD129" s="20"/>
      <c r="AE129" s="20"/>
    </row>
    <row r="130" spans="2:31" x14ac:dyDescent="0.2">
      <c r="B130" s="20" t="s">
        <v>363</v>
      </c>
      <c r="C130" s="20"/>
      <c r="D130" s="20"/>
      <c r="E130" s="20"/>
      <c r="F130" s="20"/>
      <c r="G130" s="119">
        <f t="shared" ref="G130:P130" si="296">G129*365/G25</f>
        <v>1669.6808510638298</v>
      </c>
      <c r="H130" s="119">
        <f t="shared" si="296"/>
        <v>1375.3038674033148</v>
      </c>
      <c r="I130" s="119">
        <f t="shared" si="296"/>
        <v>1644.2892156862745</v>
      </c>
      <c r="J130" s="119">
        <f t="shared" si="296"/>
        <v>1899.4683908045977</v>
      </c>
      <c r="K130" s="119">
        <f t="shared" si="296"/>
        <v>1966.1958266452648</v>
      </c>
      <c r="L130" s="119">
        <f t="shared" si="296"/>
        <v>1975.0379609544468</v>
      </c>
      <c r="M130" s="119">
        <f t="shared" si="296"/>
        <v>1869.7141560798548</v>
      </c>
      <c r="N130" s="119">
        <f t="shared" si="296"/>
        <v>2352.314393939394</v>
      </c>
      <c r="O130" s="119">
        <f t="shared" si="296"/>
        <v>1641.0769980506823</v>
      </c>
      <c r="P130" s="119">
        <f t="shared" si="296"/>
        <v>1436.5858026701401</v>
      </c>
      <c r="Q130" s="118">
        <f t="shared" si="216"/>
        <v>-1.6568230964050912E-2</v>
      </c>
      <c r="R130" s="128"/>
      <c r="S130" s="119">
        <f t="shared" ref="S130:AB130" si="297">S129*365/S25</f>
        <v>1436.5858026701401</v>
      </c>
      <c r="T130" s="119">
        <f t="shared" si="297"/>
        <v>1436.5858026701399</v>
      </c>
      <c r="U130" s="119">
        <f t="shared" si="297"/>
        <v>1436.5858026701396</v>
      </c>
      <c r="V130" s="119">
        <f t="shared" si="297"/>
        <v>1436.5858026701396</v>
      </c>
      <c r="W130" s="119">
        <f t="shared" si="297"/>
        <v>1436.5858026701396</v>
      </c>
      <c r="X130" s="119">
        <f t="shared" si="297"/>
        <v>1436.5858026701399</v>
      </c>
      <c r="Y130" s="119">
        <f t="shared" si="297"/>
        <v>1436.5858026701401</v>
      </c>
      <c r="Z130" s="119">
        <f t="shared" si="297"/>
        <v>1436.5858026701399</v>
      </c>
      <c r="AA130" s="119">
        <f t="shared" si="297"/>
        <v>1436.5858026701399</v>
      </c>
      <c r="AB130" s="119">
        <f t="shared" si="297"/>
        <v>1436.5858026701401</v>
      </c>
      <c r="AC130" s="118">
        <f t="shared" si="287"/>
        <v>0</v>
      </c>
      <c r="AD130" s="20"/>
      <c r="AE130" s="20"/>
    </row>
    <row r="131" spans="2:31" x14ac:dyDescent="0.2">
      <c r="B131" s="20" t="s">
        <v>366</v>
      </c>
      <c r="C131" s="20"/>
      <c r="D131" s="20"/>
      <c r="E131" s="20"/>
      <c r="F131" s="20"/>
      <c r="G131" s="133">
        <f>G78/G29</f>
        <v>0.52872170512749905</v>
      </c>
      <c r="H131" s="133">
        <f t="shared" ref="H131:P131" si="298">H78/H29</f>
        <v>0.51660516605166051</v>
      </c>
      <c r="I131" s="133">
        <f t="shared" si="298"/>
        <v>0.55540761593182941</v>
      </c>
      <c r="J131" s="133">
        <f t="shared" si="298"/>
        <v>0.40404040404040403</v>
      </c>
      <c r="K131" s="133">
        <f t="shared" si="298"/>
        <v>0.37307380373073801</v>
      </c>
      <c r="L131" s="133">
        <f t="shared" si="298"/>
        <v>0.49177480976287458</v>
      </c>
      <c r="M131" s="133">
        <f t="shared" si="298"/>
        <v>0.30648382687209225</v>
      </c>
      <c r="N131" s="133">
        <f t="shared" si="298"/>
        <v>0.32742389885247025</v>
      </c>
      <c r="O131" s="133">
        <f t="shared" si="298"/>
        <v>0.2975209336058548</v>
      </c>
      <c r="P131" s="133">
        <f t="shared" si="298"/>
        <v>0.26653352792073126</v>
      </c>
      <c r="Q131" s="118">
        <f t="shared" si="216"/>
        <v>-7.3282872225973739E-2</v>
      </c>
      <c r="R131" s="128"/>
      <c r="S131" s="133">
        <f t="shared" ref="S131:AB131" si="299">S78/S29</f>
        <v>0.24230320720066476</v>
      </c>
      <c r="T131" s="133">
        <f t="shared" si="299"/>
        <v>0.22027564290969523</v>
      </c>
      <c r="U131" s="133">
        <f t="shared" si="299"/>
        <v>0.2002505844633593</v>
      </c>
      <c r="V131" s="133">
        <f t="shared" si="299"/>
        <v>0.18204598587578116</v>
      </c>
      <c r="W131" s="133">
        <f t="shared" si="299"/>
        <v>0.16549635079616465</v>
      </c>
      <c r="X131" s="133">
        <f t="shared" si="299"/>
        <v>0.15045122799651331</v>
      </c>
      <c r="Y131" s="133">
        <f t="shared" si="299"/>
        <v>0.13677384363319392</v>
      </c>
      <c r="Z131" s="133">
        <f t="shared" si="299"/>
        <v>0.12433985784835808</v>
      </c>
      <c r="AA131" s="133">
        <f t="shared" si="299"/>
        <v>0.11303623440759823</v>
      </c>
      <c r="AB131" s="133">
        <f t="shared" si="299"/>
        <v>0.10276021309781658</v>
      </c>
      <c r="AC131" s="118">
        <f t="shared" si="287"/>
        <v>-9.0909090909090939E-2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373</v>
      </c>
      <c r="C133" s="20"/>
      <c r="D133" s="20"/>
      <c r="E133" s="20"/>
      <c r="F133" s="20"/>
      <c r="G133" s="180">
        <f>G25/G14</f>
        <v>0.22065727699530516</v>
      </c>
      <c r="H133" s="180">
        <f t="shared" ref="H133:P133" si="300">H25/H14</f>
        <v>0.2556497175141243</v>
      </c>
      <c r="I133" s="180">
        <f t="shared" si="300"/>
        <v>0.2391559202813599</v>
      </c>
      <c r="J133" s="180">
        <f t="shared" si="300"/>
        <v>0.20350877192982456</v>
      </c>
      <c r="K133" s="180">
        <f t="shared" si="300"/>
        <v>0.2267103347889374</v>
      </c>
      <c r="L133" s="180">
        <f t="shared" si="300"/>
        <v>0.2456701305622169</v>
      </c>
      <c r="M133" s="180">
        <f t="shared" si="300"/>
        <v>0.23293172690763053</v>
      </c>
      <c r="N133" s="180">
        <f t="shared" si="300"/>
        <v>0.18886822149091428</v>
      </c>
      <c r="O133" s="180" t="e">
        <f t="shared" si="300"/>
        <v>#DIV/0!</v>
      </c>
      <c r="P133" s="180" t="e">
        <f t="shared" si="300"/>
        <v>#DIV/0!</v>
      </c>
      <c r="Q133" s="118" t="e">
        <f t="shared" si="216"/>
        <v>#DIV/0!</v>
      </c>
      <c r="R133" s="128"/>
      <c r="S133" s="20" t="e">
        <f t="shared" ref="S133" si="301">S25/S14</f>
        <v>#DIV/0!</v>
      </c>
      <c r="T133" s="20" t="e">
        <f t="shared" ref="T133:AB133" si="302">T25/T14</f>
        <v>#DIV/0!</v>
      </c>
      <c r="U133" s="20" t="e">
        <f t="shared" si="302"/>
        <v>#DIV/0!</v>
      </c>
      <c r="V133" s="20" t="e">
        <f t="shared" si="302"/>
        <v>#DIV/0!</v>
      </c>
      <c r="W133" s="20" t="e">
        <f t="shared" si="302"/>
        <v>#DIV/0!</v>
      </c>
      <c r="X133" s="20" t="e">
        <f t="shared" si="302"/>
        <v>#DIV/0!</v>
      </c>
      <c r="Y133" s="20" t="e">
        <f t="shared" si="302"/>
        <v>#DIV/0!</v>
      </c>
      <c r="Z133" s="20" t="e">
        <f t="shared" si="302"/>
        <v>#DIV/0!</v>
      </c>
      <c r="AA133" s="20" t="e">
        <f t="shared" si="302"/>
        <v>#DIV/0!</v>
      </c>
      <c r="AB133" s="20" t="e">
        <f t="shared" si="302"/>
        <v>#DIV/0!</v>
      </c>
      <c r="AC133" s="118" t="e">
        <f t="shared" si="287"/>
        <v>#DIV/0!</v>
      </c>
      <c r="AD133" s="20"/>
      <c r="AE133" s="20"/>
    </row>
    <row r="134" spans="2:31" x14ac:dyDescent="0.2">
      <c r="B134" s="20" t="s">
        <v>374</v>
      </c>
      <c r="C134" s="20"/>
      <c r="D134" s="20"/>
      <c r="E134" s="20"/>
      <c r="F134" s="20"/>
      <c r="G134" s="180">
        <f>G27/G14</f>
        <v>6.416275430359937E-2</v>
      </c>
      <c r="H134" s="180">
        <f t="shared" ref="H134:P134" si="303">H27/H14</f>
        <v>6.3559322033898302E-2</v>
      </c>
      <c r="I134" s="180">
        <f t="shared" si="303"/>
        <v>6.4478311840562713E-2</v>
      </c>
      <c r="J134" s="180">
        <f t="shared" si="303"/>
        <v>7.7192982456140355E-2</v>
      </c>
      <c r="K134" s="180">
        <f t="shared" si="303"/>
        <v>8.8791848617176122E-2</v>
      </c>
      <c r="L134" s="180">
        <f t="shared" si="303"/>
        <v>8.1534772182254203E-2</v>
      </c>
      <c r="M134" s="180">
        <f t="shared" si="303"/>
        <v>6.2143310082435003E-2</v>
      </c>
      <c r="N134" s="180">
        <f t="shared" si="303"/>
        <v>5.2081842895979398E-2</v>
      </c>
      <c r="O134" s="180" t="e">
        <f t="shared" si="303"/>
        <v>#DIV/0!</v>
      </c>
      <c r="P134" s="180" t="e">
        <f t="shared" si="303"/>
        <v>#DIV/0!</v>
      </c>
      <c r="Q134" s="118" t="e">
        <f t="shared" si="216"/>
        <v>#DIV/0!</v>
      </c>
      <c r="R134" s="128"/>
      <c r="S134" s="20" t="e">
        <f t="shared" ref="S134:AB134" si="304">S27/S14</f>
        <v>#DIV/0!</v>
      </c>
      <c r="T134" s="20" t="e">
        <f t="shared" si="304"/>
        <v>#DIV/0!</v>
      </c>
      <c r="U134" s="20" t="e">
        <f t="shared" si="304"/>
        <v>#DIV/0!</v>
      </c>
      <c r="V134" s="20" t="e">
        <f t="shared" si="304"/>
        <v>#DIV/0!</v>
      </c>
      <c r="W134" s="20" t="e">
        <f t="shared" si="304"/>
        <v>#DIV/0!</v>
      </c>
      <c r="X134" s="20" t="e">
        <f t="shared" si="304"/>
        <v>#DIV/0!</v>
      </c>
      <c r="Y134" s="20" t="e">
        <f t="shared" si="304"/>
        <v>#DIV/0!</v>
      </c>
      <c r="Z134" s="20" t="e">
        <f t="shared" si="304"/>
        <v>#DIV/0!</v>
      </c>
      <c r="AA134" s="20" t="e">
        <f t="shared" si="304"/>
        <v>#DIV/0!</v>
      </c>
      <c r="AB134" s="20" t="e">
        <f t="shared" si="304"/>
        <v>#DIV/0!</v>
      </c>
      <c r="AC134" s="118" t="e">
        <f t="shared" si="287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33.271849866264958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116.3221403303957</v>
      </c>
      <c r="S138" s="133">
        <f>PV($C$1, ($AB$3-$S$3), 0, -AB52)</f>
        <v>16.208822832923989</v>
      </c>
      <c r="T138" s="133">
        <f>PV($C$1, ($AB$3-$S$3), 0, -AE52)</f>
        <v>100.11331749747171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593.00975326564753</v>
      </c>
      <c r="S139" s="133">
        <f>PV($C$1, ($AB$3-$S$3), 0, -AB54)</f>
        <v>82.632506602590226</v>
      </c>
      <c r="T139" s="133">
        <f>PV($C$1, ($AB$3-$S$3), 0, -AE54)</f>
        <v>510.37724666305729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567.36188713489219</v>
      </c>
      <c r="S140" s="133">
        <f>PV($C$1, ($AB$3-$S$3), 0, -AB55)</f>
        <v>79.05862361715711</v>
      </c>
      <c r="T140" s="133">
        <f>PV($C$1, ($AB$3-$S$3), 0, -AE55)</f>
        <v>488.3032635177351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2559.0870872687055</v>
      </c>
      <c r="S141" s="133">
        <f>PV($C$1, ($AB$3-$S$3), 0, -AB56)</f>
        <v>356.59410232432776</v>
      </c>
      <c r="T141" s="133">
        <f>PV($C$1, ($AB$3-$S$3), 0, -AE56)</f>
        <v>2202.4929849443779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564.51212423147479</v>
      </c>
      <c r="S142" s="133">
        <f>PV($C$1, ($AB$3-$S$3), 0, -AB62)</f>
        <v>78.661525507664507</v>
      </c>
      <c r="T142" s="133">
        <f>PV($C$1, ($AB$3-$S$3), 0, -AE62)</f>
        <v>485.85059872381026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-1966.0773340030578</v>
      </c>
      <c r="S144" s="133">
        <f>PV($C$1, ($AB$3-$S$3), 0, -AB58)</f>
        <v>-273.96159572173752</v>
      </c>
      <c r="T144" s="133">
        <f>PV($C$1, ($AB$3-$S$3), 0, -$AE$58)</f>
        <v>-1692.1157382813203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-2987.3287308458634</v>
      </c>
      <c r="S145" s="133">
        <f>PV($C$1, ($AB$3-$S$3), 0, -AB59)</f>
        <v>-416.26711823262025</v>
      </c>
      <c r="T145" s="133">
        <f>PV($C$1, ($AB$3-$S$3), 0, -$AE$59)</f>
        <v>-2571.0616126132431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-2422.816606614389</v>
      </c>
      <c r="S146" s="133">
        <f>PV($C$1, ($AB$3-$S$3), 0, -AB60)</f>
        <v>-337.60559272495578</v>
      </c>
      <c r="T146" s="133">
        <f>PV($C$1, ($AB$3-$S$3), 0, -$AE$60)</f>
        <v>-2085.2110138894332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564.51212423147479</v>
      </c>
      <c r="S148" s="133">
        <f>PV($C$1, ($AB$3-$S$3), 0, -AB65)</f>
        <v>78.661525507664507</v>
      </c>
      <c r="T148" s="133">
        <f>PV($C$1, ($AB$3-$S$3), 0, -AE65)</f>
        <v>485.85059872381026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2419.6959984763489</v>
      </c>
      <c r="S149" s="133">
        <f>PV($C$1, ($AB$3-$S$3), 0, -AB66)</f>
        <v>436.33862267606293</v>
      </c>
      <c r="T149" s="133">
        <f>PV($C$1, ($AB$3-$S$3), 0, -AE66)</f>
        <v>1983.357375800286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8111.6628248667457</v>
      </c>
      <c r="S151" s="133">
        <f>PV($C$1, ($AB$3-$S$3), 0, -AB12)</f>
        <v>1130.3136723174973</v>
      </c>
      <c r="T151" s="133">
        <f>PV($C$1, ($AB$3-$S$3), 0, -AE12)</f>
        <v>6981.3491525492482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1464.1990658604234</v>
      </c>
      <c r="S152" s="140">
        <f>S151/P42</f>
        <v>204.02773868546882</v>
      </c>
      <c r="T152" s="140">
        <f>T151/P42</f>
        <v>1260.1713271749545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80.551821960276285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66.269006728183797</v>
      </c>
      <c r="T155" s="133">
        <f>PV($C$1, ($AB$3-$S$3), 0, -AE68)</f>
        <v>14.282815232092494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0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0" s="133">
        <f>PV($C$1, ($AB$3-$S$3), 0, -AE73)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0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1" s="133">
        <f>PV($C$1, ($AB$3-$S$3), 0, -AE74)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0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2" s="133">
        <f>PV($C$1, ($AB$3-$S$3), 0, -AE75)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950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389</v>
      </c>
      <c r="P166" s="20">
        <v>1200</v>
      </c>
      <c r="Q166" s="20" t="s">
        <v>391</v>
      </c>
      <c r="R166" s="23" t="s">
        <v>390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25</v>
      </c>
      <c r="H167" s="22">
        <v>33</v>
      </c>
      <c r="I167" s="22">
        <v>138</v>
      </c>
      <c r="J167" s="22">
        <v>160</v>
      </c>
      <c r="K167" s="22">
        <v>300</v>
      </c>
      <c r="L167" s="22">
        <v>300</v>
      </c>
      <c r="M167" s="22">
        <v>430</v>
      </c>
      <c r="N167" s="22">
        <v>495</v>
      </c>
      <c r="O167" s="22">
        <v>580</v>
      </c>
      <c r="P167" s="22">
        <v>800</v>
      </c>
      <c r="Q167" s="118">
        <f t="shared" ref="Q167:Q172" si="309">((P167/G167)^(1/($H$2-$H$1) ))-1</f>
        <v>0.46973449227559883</v>
      </c>
      <c r="R167" s="31">
        <f>L2-3%</f>
        <v>0.09</v>
      </c>
      <c r="S167" s="119">
        <f t="shared" ref="S167" si="310">P167*(1+$R167)</f>
        <v>872.00000000000011</v>
      </c>
      <c r="T167" s="119">
        <f t="shared" ref="T167:AB167" si="311">S167*(1+$R167)</f>
        <v>950.48000000000025</v>
      </c>
      <c r="U167" s="119">
        <f t="shared" si="311"/>
        <v>1036.0232000000003</v>
      </c>
      <c r="V167" s="119">
        <f t="shared" si="311"/>
        <v>1129.2652880000005</v>
      </c>
      <c r="W167" s="119">
        <f t="shared" si="311"/>
        <v>1230.8991639200005</v>
      </c>
      <c r="X167" s="119">
        <f t="shared" si="311"/>
        <v>1341.6800886728006</v>
      </c>
      <c r="Y167" s="119">
        <f t="shared" si="311"/>
        <v>1462.4312966533528</v>
      </c>
      <c r="Z167" s="119">
        <f t="shared" si="311"/>
        <v>1594.0501133521545</v>
      </c>
      <c r="AA167" s="119">
        <f t="shared" si="311"/>
        <v>1737.5146235538487</v>
      </c>
      <c r="AB167" s="119">
        <f t="shared" si="311"/>
        <v>1893.8909396736951</v>
      </c>
      <c r="AC167" s="138">
        <f t="shared" ref="AC167:AC172" si="312">((AB167/G167)^(1/($AB$3-$H$1) ))-1</f>
        <v>0.2557887170809956</v>
      </c>
      <c r="AD167" s="31">
        <v>0.08</v>
      </c>
      <c r="AE167" s="127">
        <f t="shared" ref="AE167:AE175" si="313">(AB167*(1+AC167))/($C$1-AD167)</f>
        <v>16988.049095886792</v>
      </c>
    </row>
    <row r="168" spans="2:31" x14ac:dyDescent="0.2">
      <c r="B168" s="20" t="s">
        <v>360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>
        <f t="shared" si="314"/>
        <v>0.48049645390070922</v>
      </c>
      <c r="H168" s="25">
        <f t="shared" si="314"/>
        <v>0.49408839779005526</v>
      </c>
      <c r="I168" s="25">
        <f t="shared" si="314"/>
        <v>1.8332352941176469</v>
      </c>
      <c r="J168" s="25">
        <f t="shared" si="314"/>
        <v>1.7931034482758621</v>
      </c>
      <c r="K168" s="25">
        <f t="shared" si="314"/>
        <v>1.9791332263242376</v>
      </c>
      <c r="L168" s="25">
        <f t="shared" si="314"/>
        <v>0.99566160520607383</v>
      </c>
      <c r="M168" s="25">
        <f t="shared" si="314"/>
        <v>1.9158802177858441</v>
      </c>
      <c r="N168" s="25">
        <f t="shared" si="314"/>
        <v>1.8562500000000002</v>
      </c>
      <c r="O168" s="25">
        <f t="shared" si="314"/>
        <v>1.4782651072124757</v>
      </c>
      <c r="P168" s="25">
        <f t="shared" si="314"/>
        <v>1.4431781178769132</v>
      </c>
      <c r="Q168" s="118">
        <f t="shared" ref="Q168" si="315">((P168/G168)^(1/($H$2-$H$1) ))-1</f>
        <v>0.12997795819471514</v>
      </c>
      <c r="R168" s="128"/>
      <c r="S168" s="25">
        <f t="shared" ref="S168:AB168" si="316">S167/S49</f>
        <v>1.5449737172628741</v>
      </c>
      <c r="T168" s="25">
        <f t="shared" si="316"/>
        <v>1.6539495419626662</v>
      </c>
      <c r="U168" s="25">
        <f t="shared" si="316"/>
        <v>1.7706120542975325</v>
      </c>
      <c r="V168" s="25">
        <f t="shared" si="316"/>
        <v>1.8955034402703055</v>
      </c>
      <c r="W168" s="25">
        <f t="shared" si="316"/>
        <v>2.0292041293608003</v>
      </c>
      <c r="X168" s="25">
        <f t="shared" si="316"/>
        <v>2.172335492056785</v>
      </c>
      <c r="Y168" s="25">
        <f t="shared" si="316"/>
        <v>2.3255627276572195</v>
      </c>
      <c r="Z168" s="25">
        <f t="shared" si="316"/>
        <v>2.4895979557687555</v>
      </c>
      <c r="AA168" s="25">
        <f t="shared" si="316"/>
        <v>2.6652035258631588</v>
      </c>
      <c r="AB168" s="25">
        <f t="shared" si="316"/>
        <v>2.8531955602767214</v>
      </c>
      <c r="AC168" s="138">
        <f t="shared" ref="AC168" si="317">((AB168/G168)^(1/($AB$3-$H$1) ))-1</f>
        <v>9.8292368550080722E-2</v>
      </c>
      <c r="AD168" s="31">
        <v>0.08</v>
      </c>
      <c r="AE168" s="127">
        <f t="shared" ref="AE168" si="318">(AB168*(1+AC168))/($C$1-AD168)</f>
        <v>22.383163641663533</v>
      </c>
    </row>
    <row r="169" spans="2:31" x14ac:dyDescent="0.2">
      <c r="B169" s="20" t="s">
        <v>388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>
        <f t="shared" si="319"/>
        <v>3.7638888888888888</v>
      </c>
      <c r="H169" s="25">
        <f t="shared" si="319"/>
        <v>3.8882608695652174</v>
      </c>
      <c r="I169" s="25">
        <f t="shared" si="319"/>
        <v>12.063870967741934</v>
      </c>
      <c r="J169" s="25">
        <f t="shared" si="319"/>
        <v>12.23529411764706</v>
      </c>
      <c r="K169" s="25">
        <f t="shared" si="319"/>
        <v>14.172413793103448</v>
      </c>
      <c r="L169" s="25">
        <f t="shared" si="319"/>
        <v>7.8461538461538467</v>
      </c>
      <c r="M169" s="25">
        <f t="shared" si="319"/>
        <v>10.882989690721651</v>
      </c>
      <c r="N169" s="25">
        <f t="shared" si="319"/>
        <v>10.209375</v>
      </c>
      <c r="O169" s="25">
        <f t="shared" si="319"/>
        <v>8.9745562130177525</v>
      </c>
      <c r="P169" s="25">
        <f t="shared" si="319"/>
        <v>9.8708240534521163</v>
      </c>
      <c r="Q169" s="118">
        <f t="shared" si="309"/>
        <v>0.11307407733671448</v>
      </c>
      <c r="R169" s="128"/>
      <c r="S169" s="119">
        <f t="shared" ref="S169:AB169" si="320">S167/S52</f>
        <v>10.56706967865097</v>
      </c>
      <c r="T169" s="119">
        <f t="shared" si="320"/>
        <v>11.312425486341533</v>
      </c>
      <c r="U169" s="119">
        <f t="shared" si="320"/>
        <v>12.110355498324553</v>
      </c>
      <c r="V169" s="119">
        <f t="shared" si="320"/>
        <v>12.964568073652803</v>
      </c>
      <c r="W169" s="119">
        <f t="shared" si="320"/>
        <v>13.879033143133672</v>
      </c>
      <c r="X169" s="119">
        <f t="shared" si="320"/>
        <v>14.858000659479705</v>
      </c>
      <c r="Y169" s="119">
        <f t="shared" si="320"/>
        <v>15.906020348853723</v>
      </c>
      <c r="Z169" s="119">
        <f t="shared" si="320"/>
        <v>17.027962855603228</v>
      </c>
      <c r="AA169" s="119">
        <f t="shared" si="320"/>
        <v>18.229042378453816</v>
      </c>
      <c r="AB169" s="119">
        <f t="shared" si="320"/>
        <v>19.514840903362611</v>
      </c>
      <c r="AC169" s="138">
        <f t="shared" si="312"/>
        <v>9.0478920246059635E-2</v>
      </c>
      <c r="AD169" s="31">
        <v>0.08</v>
      </c>
      <c r="AE169" s="127">
        <f t="shared" si="313"/>
        <v>152.0037331219464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>
        <f t="shared" si="321"/>
        <v>2.2583333333333333</v>
      </c>
      <c r="H170" s="25">
        <f t="shared" si="321"/>
        <v>2.079767441860465</v>
      </c>
      <c r="I170" s="25">
        <f t="shared" si="321"/>
        <v>5.9361904761904762</v>
      </c>
      <c r="J170" s="25">
        <f t="shared" si="321"/>
        <v>2.2206405693950177</v>
      </c>
      <c r="K170" s="25">
        <f t="shared" si="321"/>
        <v>3.2705570291777191</v>
      </c>
      <c r="L170" s="25">
        <f t="shared" si="321"/>
        <v>1.4806451612903226</v>
      </c>
      <c r="M170" s="25">
        <f t="shared" si="321"/>
        <v>2.2751077586206896</v>
      </c>
      <c r="N170" s="25">
        <f t="shared" si="321"/>
        <v>2.143700787401575</v>
      </c>
      <c r="O170" s="25">
        <f t="shared" si="321"/>
        <v>1.9042059008160706</v>
      </c>
      <c r="P170" s="25">
        <f t="shared" si="321"/>
        <v>2.0237442922374429</v>
      </c>
      <c r="Q170" s="118">
        <f t="shared" si="309"/>
        <v>-1.2112454497063774E-2</v>
      </c>
      <c r="R170" s="128"/>
      <c r="S170" s="119">
        <f t="shared" ref="S170:AB170" si="322">S167/S55</f>
        <v>2.1664905414220486</v>
      </c>
      <c r="T170" s="119">
        <f t="shared" si="322"/>
        <v>2.3193054992544972</v>
      </c>
      <c r="U170" s="119">
        <f t="shared" si="322"/>
        <v>2.4828993692911978</v>
      </c>
      <c r="V170" s="119">
        <f t="shared" si="322"/>
        <v>2.6580324498037022</v>
      </c>
      <c r="W170" s="119">
        <f t="shared" si="322"/>
        <v>2.8455186672452135</v>
      </c>
      <c r="X170" s="119">
        <f t="shared" si="322"/>
        <v>3.0462293589526879</v>
      </c>
      <c r="Y170" s="119">
        <f t="shared" si="322"/>
        <v>3.2610973226645297</v>
      </c>
      <c r="Z170" s="119">
        <f t="shared" si="322"/>
        <v>3.4911211516739025</v>
      </c>
      <c r="AA170" s="119">
        <f t="shared" si="322"/>
        <v>3.7373698757651872</v>
      </c>
      <c r="AB170" s="119">
        <f t="shared" si="322"/>
        <v>4.0009879295021964</v>
      </c>
      <c r="AC170" s="138">
        <f t="shared" si="312"/>
        <v>3.0558356658956454E-2</v>
      </c>
      <c r="AD170" s="31">
        <v>0.08</v>
      </c>
      <c r="AE170" s="127">
        <f t="shared" si="313"/>
        <v>29.451796754572172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>
        <f t="shared" si="323"/>
        <v>0.61256781193490051</v>
      </c>
      <c r="H171" s="25">
        <f t="shared" si="323"/>
        <v>0.93546025104602515</v>
      </c>
      <c r="I171" s="25">
        <f t="shared" si="323"/>
        <v>1.5673931265716683</v>
      </c>
      <c r="J171" s="25">
        <f t="shared" si="323"/>
        <v>1.6819407008086253</v>
      </c>
      <c r="K171" s="25">
        <f t="shared" si="323"/>
        <v>1.3995459704880819</v>
      </c>
      <c r="L171" s="25">
        <f t="shared" si="323"/>
        <v>0.56912585244885305</v>
      </c>
      <c r="M171" s="25">
        <f t="shared" si="323"/>
        <v>1.5059201141226821</v>
      </c>
      <c r="N171" s="25">
        <f t="shared" si="323"/>
        <v>1.129147465437788</v>
      </c>
      <c r="O171" s="25">
        <f t="shared" si="323"/>
        <v>2.6082545141874465</v>
      </c>
      <c r="P171" s="25">
        <f t="shared" si="323"/>
        <v>2.0116103321971126</v>
      </c>
      <c r="Q171" s="118">
        <f t="shared" si="309"/>
        <v>0.14123907126422997</v>
      </c>
      <c r="R171" s="128"/>
      <c r="S171" s="119">
        <f t="shared" ref="S171:AB171" si="324">S167/S64</f>
        <v>2.1535007038431591</v>
      </c>
      <c r="T171" s="119">
        <f t="shared" si="324"/>
        <v>2.3053994142035252</v>
      </c>
      <c r="U171" s="119">
        <f t="shared" si="324"/>
        <v>2.4680124085982378</v>
      </c>
      <c r="V171" s="119">
        <f t="shared" si="324"/>
        <v>2.6420954267047212</v>
      </c>
      <c r="W171" s="119">
        <f t="shared" si="324"/>
        <v>2.8284575148383579</v>
      </c>
      <c r="X171" s="119">
        <f t="shared" si="324"/>
        <v>3.0279647859742775</v>
      </c>
      <c r="Y171" s="119">
        <f t="shared" si="324"/>
        <v>3.2415444449849633</v>
      </c>
      <c r="Z171" s="119">
        <f t="shared" si="324"/>
        <v>3.4701890978008669</v>
      </c>
      <c r="AA171" s="119">
        <f t="shared" si="324"/>
        <v>3.7149613645207507</v>
      </c>
      <c r="AB171" s="119">
        <f t="shared" si="324"/>
        <v>3.976998817911054</v>
      </c>
      <c r="AC171" s="138">
        <f t="shared" si="312"/>
        <v>0.10346347537848666</v>
      </c>
      <c r="AD171" s="31">
        <v>0.08</v>
      </c>
      <c r="AE171" s="127">
        <f t="shared" si="313"/>
        <v>31.346235265630462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>
        <f t="shared" si="325"/>
        <v>0.10503875968992249</v>
      </c>
      <c r="H172" s="25">
        <f t="shared" si="325"/>
        <v>0.13112903225806452</v>
      </c>
      <c r="I172" s="25">
        <f t="shared" si="325"/>
        <v>0.40694232861806307</v>
      </c>
      <c r="J172" s="25">
        <f t="shared" si="325"/>
        <v>0.34456101601325234</v>
      </c>
      <c r="K172" s="25">
        <f t="shared" si="325"/>
        <v>0.36740166865315854</v>
      </c>
      <c r="L172" s="25">
        <f t="shared" si="325"/>
        <v>0.18400481058328325</v>
      </c>
      <c r="M172" s="25">
        <f t="shared" si="325"/>
        <v>0.37401240035429584</v>
      </c>
      <c r="N172" s="25">
        <f t="shared" si="325"/>
        <v>0.28802750675913957</v>
      </c>
      <c r="O172" s="25">
        <f t="shared" si="325"/>
        <v>0.32878820724040758</v>
      </c>
      <c r="P172" s="25">
        <f t="shared" si="325"/>
        <v>0.36667494001820139</v>
      </c>
      <c r="Q172" s="118">
        <f t="shared" si="309"/>
        <v>0.14901510584961497</v>
      </c>
      <c r="R172" s="128"/>
      <c r="S172" s="119">
        <f t="shared" ref="S172:AB172" si="326">S167/S66</f>
        <v>0.39253861882305674</v>
      </c>
      <c r="T172" s="119">
        <f t="shared" si="326"/>
        <v>0.42022661068646877</v>
      </c>
      <c r="U172" s="119">
        <f t="shared" si="326"/>
        <v>0.44986759483310368</v>
      </c>
      <c r="V172" s="119">
        <f t="shared" si="326"/>
        <v>0.48159932696865304</v>
      </c>
      <c r="W172" s="119">
        <f t="shared" si="326"/>
        <v>0.51556927949590625</v>
      </c>
      <c r="X172" s="119">
        <f t="shared" si="326"/>
        <v>0.551935326888921</v>
      </c>
      <c r="Y172" s="119">
        <f t="shared" si="326"/>
        <v>0.59086647941055026</v>
      </c>
      <c r="Z172" s="119">
        <f t="shared" si="326"/>
        <v>0.63254366858325883</v>
      </c>
      <c r="AA172" s="119">
        <f t="shared" si="326"/>
        <v>0.67716058806368518</v>
      </c>
      <c r="AB172" s="119">
        <f t="shared" si="326"/>
        <v>0.72492459382889152</v>
      </c>
      <c r="AC172" s="138">
        <f t="shared" si="312"/>
        <v>0.10701857434475093</v>
      </c>
      <c r="AD172" s="31">
        <v>0.08</v>
      </c>
      <c r="AE172" s="127">
        <f t="shared" si="313"/>
        <v>5.7321785026279075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7">G167/G60</f>
        <v>0.7131578947368421</v>
      </c>
      <c r="H173" s="182">
        <f t="shared" si="327"/>
        <v>1.0521176470588236</v>
      </c>
      <c r="I173" s="182">
        <f t="shared" si="327"/>
        <v>-12.895862068965517</v>
      </c>
      <c r="J173" s="182">
        <f t="shared" si="327"/>
        <v>1.5959079283887467</v>
      </c>
      <c r="K173" s="182">
        <f t="shared" si="327"/>
        <v>4.3879003558718868</v>
      </c>
      <c r="L173" s="182">
        <f t="shared" si="327"/>
        <v>4.7564766839378239</v>
      </c>
      <c r="M173" s="182">
        <f t="shared" si="327"/>
        <v>1.3482120051085569</v>
      </c>
      <c r="N173" s="182">
        <f t="shared" si="327"/>
        <v>1.04666809055959</v>
      </c>
      <c r="O173" s="182">
        <f t="shared" si="327"/>
        <v>-0.38232921603226622</v>
      </c>
      <c r="P173" s="182">
        <f t="shared" si="327"/>
        <v>-0.47390932420872545</v>
      </c>
      <c r="Q173" s="118">
        <f t="shared" ref="Q173:Q175" si="328">((P173/G173)^(1/($H$2-$H$1) ))-1</f>
        <v>-1.9556059384237361</v>
      </c>
      <c r="R173" s="128"/>
      <c r="S173" s="135">
        <f t="shared" ref="S173:AB173" si="329">S167/S60</f>
        <v>-0.50733685689844799</v>
      </c>
      <c r="T173" s="135">
        <f t="shared" si="329"/>
        <v>-0.54312222448324932</v>
      </c>
      <c r="U173" s="135">
        <f t="shared" si="329"/>
        <v>-0.58143173853162133</v>
      </c>
      <c r="V173" s="135">
        <f t="shared" si="329"/>
        <v>-0.62244344151733411</v>
      </c>
      <c r="W173" s="135">
        <f t="shared" si="329"/>
        <v>-0.66634793426721761</v>
      </c>
      <c r="X173" s="135">
        <f t="shared" si="329"/>
        <v>-0.71334926177356583</v>
      </c>
      <c r="Y173" s="135">
        <f t="shared" si="329"/>
        <v>-0.76366586148795146</v>
      </c>
      <c r="Z173" s="135">
        <f t="shared" si="329"/>
        <v>-0.81753157850361946</v>
      </c>
      <c r="AA173" s="135">
        <f t="shared" si="329"/>
        <v>-0.8751967523444999</v>
      </c>
      <c r="AB173" s="135">
        <f t="shared" si="329"/>
        <v>-0.93692938041165652</v>
      </c>
      <c r="AC173" s="138">
        <f t="shared" ref="AC173" si="330">((AB173/G173)^(1/($AB$3-$H$1) ))-1</f>
        <v>-2.0144670740883139</v>
      </c>
      <c r="AD173" s="31">
        <v>0.08</v>
      </c>
      <c r="AE173" s="127">
        <f t="shared" si="313"/>
        <v>6.7891714798113565</v>
      </c>
    </row>
    <row r="174" spans="2:31" x14ac:dyDescent="0.2">
      <c r="B174" s="20" t="s">
        <v>370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 t="e">
        <f t="shared" si="331"/>
        <v>#DIV/0!</v>
      </c>
      <c r="G174" s="161">
        <f t="shared" si="331"/>
        <v>0.26568265682656828</v>
      </c>
      <c r="H174" s="161">
        <f t="shared" si="331"/>
        <v>0.25718439002571841</v>
      </c>
      <c r="I174" s="161">
        <f t="shared" si="331"/>
        <v>8.2892133269158785E-2</v>
      </c>
      <c r="J174" s="161">
        <f t="shared" si="331"/>
        <v>8.1730769230769232E-2</v>
      </c>
      <c r="K174" s="161">
        <f t="shared" si="331"/>
        <v>7.0559610705596104E-2</v>
      </c>
      <c r="L174" s="161">
        <f t="shared" si="331"/>
        <v>0.12745098039215685</v>
      </c>
      <c r="M174" s="161">
        <f t="shared" si="331"/>
        <v>9.1886515417041625E-2</v>
      </c>
      <c r="N174" s="161">
        <f t="shared" si="331"/>
        <v>9.7949188858279773E-2</v>
      </c>
      <c r="O174" s="161">
        <f t="shared" si="331"/>
        <v>0.11142612250280212</v>
      </c>
      <c r="P174" s="161">
        <f t="shared" si="331"/>
        <v>0.10130866425992779</v>
      </c>
      <c r="Q174" s="118">
        <f t="shared" si="328"/>
        <v>-0.10158719858724063</v>
      </c>
      <c r="R174" s="128"/>
      <c r="S174" s="161">
        <f t="shared" ref="S174:AB174" si="332">S52/S167</f>
        <v>9.4633614654811612E-2</v>
      </c>
      <c r="T174" s="161">
        <f t="shared" si="332"/>
        <v>8.8398372321425348E-2</v>
      </c>
      <c r="U174" s="161">
        <f t="shared" si="332"/>
        <v>8.2573959132607483E-2</v>
      </c>
      <c r="V174" s="161">
        <f t="shared" si="332"/>
        <v>7.7133306278999475E-2</v>
      </c>
      <c r="W174" s="161">
        <f t="shared" si="332"/>
        <v>7.2051128467455733E-2</v>
      </c>
      <c r="X174" s="161">
        <f t="shared" si="332"/>
        <v>6.730380640829893E-2</v>
      </c>
      <c r="Y174" s="161">
        <f t="shared" si="332"/>
        <v>6.2869277045283403E-2</v>
      </c>
      <c r="Z174" s="161">
        <f t="shared" si="332"/>
        <v>5.8726931018112931E-2</v>
      </c>
      <c r="AA174" s="161">
        <f t="shared" si="332"/>
        <v>5.4857516880972873E-2</v>
      </c>
      <c r="AB174" s="161">
        <f t="shared" si="332"/>
        <v>5.1243051631934627E-2</v>
      </c>
      <c r="AC174" s="138">
        <f t="shared" ref="AC174:AC175" si="333">((AB174/G174)^(1/($AB$3-$H$1) ))-1</f>
        <v>-8.2971727895156056E-2</v>
      </c>
      <c r="AD174" s="31">
        <v>0.08</v>
      </c>
      <c r="AE174" s="127">
        <f t="shared" si="313"/>
        <v>0.33565233639580222</v>
      </c>
    </row>
    <row r="175" spans="2:31" x14ac:dyDescent="0.2">
      <c r="B175" s="20" t="s">
        <v>319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 t="e">
        <f t="shared" si="334"/>
        <v>#DIV/0!</v>
      </c>
      <c r="G175" s="152">
        <f t="shared" si="334"/>
        <v>8.4000000000000005E-2</v>
      </c>
      <c r="H175" s="152">
        <f t="shared" si="334"/>
        <v>7.575757575757576E-2</v>
      </c>
      <c r="I175" s="152">
        <f t="shared" si="334"/>
        <v>2.1739130434782608E-2</v>
      </c>
      <c r="J175" s="152">
        <f t="shared" si="334"/>
        <v>1.8749999999999999E-2</v>
      </c>
      <c r="K175" s="152">
        <f t="shared" si="334"/>
        <v>1.3333333333333334E-2</v>
      </c>
      <c r="L175" s="152">
        <f t="shared" si="334"/>
        <v>1.3333333333333334E-2</v>
      </c>
      <c r="M175" s="152">
        <f t="shared" si="334"/>
        <v>1.1627906976744186E-2</v>
      </c>
      <c r="N175" s="152">
        <f t="shared" si="334"/>
        <v>1.2121212121212121E-2</v>
      </c>
      <c r="O175" s="152">
        <f t="shared" si="334"/>
        <v>1.1206896551724138E-2</v>
      </c>
      <c r="P175" s="152">
        <f t="shared" si="334"/>
        <v>1.0625000000000001E-2</v>
      </c>
      <c r="Q175" s="118">
        <f t="shared" si="328"/>
        <v>-0.20525511917240857</v>
      </c>
      <c r="R175" s="128"/>
      <c r="S175" s="152">
        <f t="shared" ref="S175:AB175" si="335">S43/S167</f>
        <v>1.0235091743119266E-2</v>
      </c>
      <c r="T175" s="152">
        <f t="shared" si="335"/>
        <v>9.8594920461240621E-3</v>
      </c>
      <c r="U175" s="152">
        <f t="shared" si="335"/>
        <v>9.49767582424795E-3</v>
      </c>
      <c r="V175" s="152">
        <f t="shared" si="335"/>
        <v>9.1491372618902264E-3</v>
      </c>
      <c r="W175" s="152">
        <f t="shared" si="335"/>
        <v>8.8133891054905846E-3</v>
      </c>
      <c r="X175" s="152">
        <f t="shared" si="335"/>
        <v>8.4899619823533157E-3</v>
      </c>
      <c r="Y175" s="152">
        <f t="shared" si="335"/>
        <v>8.1784037444687895E-3</v>
      </c>
      <c r="Z175" s="152">
        <f t="shared" si="335"/>
        <v>7.8782788364148894E-3</v>
      </c>
      <c r="AA175" s="152">
        <f t="shared" si="335"/>
        <v>7.5891676864547099E-3</v>
      </c>
      <c r="AB175" s="152">
        <f t="shared" si="335"/>
        <v>7.3106661199793073E-3</v>
      </c>
      <c r="AC175" s="138">
        <f t="shared" si="333"/>
        <v>-0.12058562318634747</v>
      </c>
      <c r="AD175" s="31">
        <v>0.08</v>
      </c>
      <c r="AE175" s="127">
        <f t="shared" si="313"/>
        <v>4.5922177785673465E-2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8" t="s">
        <v>350</v>
      </c>
      <c r="L178" s="19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351</v>
      </c>
      <c r="L179" s="22">
        <v>1</v>
      </c>
      <c r="M179" s="20"/>
      <c r="N179" s="20"/>
      <c r="O179" s="20"/>
      <c r="P179" s="128">
        <f>(P167-R155)/P167</f>
        <v>0.89931022254965465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348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4.0285207582679865</v>
      </c>
      <c r="N180" s="20"/>
      <c r="O180" s="20"/>
      <c r="P180" s="128">
        <f>(P167-R146)/P167</f>
        <v>4.0285207582679865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349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0.25873780841794058</v>
      </c>
      <c r="N181" s="20"/>
      <c r="O181" s="20"/>
      <c r="P181" s="128">
        <f>(P167-R139)/P167</f>
        <v>0.25873780841794058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352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-0.83024883232552926</v>
      </c>
      <c r="N182" s="20"/>
      <c r="O182" s="20"/>
      <c r="P182" s="128">
        <f>(P167-R152)/P167</f>
        <v>-0.83024883232552926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1</v>
      </c>
      <c r="N183" s="20"/>
      <c r="O183" s="20"/>
      <c r="P183" s="128">
        <f>(P167-R164)/P167</f>
        <v>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6.8774525445260828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407</v>
      </c>
      <c r="AD184" s="115" t="s">
        <v>408</v>
      </c>
      <c r="AE184" s="115" t="s">
        <v>409</v>
      </c>
      <c r="AF184" s="115" t="s">
        <v>410</v>
      </c>
      <c r="AG184" s="115" t="s">
        <v>411</v>
      </c>
      <c r="AH184" s="115" t="s">
        <v>412</v>
      </c>
      <c r="AI184" s="115" t="s">
        <v>413</v>
      </c>
      <c r="AJ184" s="115" t="s">
        <v>414</v>
      </c>
      <c r="AK184" s="115" t="s">
        <v>415</v>
      </c>
      <c r="AL184" s="115" t="s">
        <v>416</v>
      </c>
      <c r="AM184" s="115" t="s">
        <v>417</v>
      </c>
      <c r="AN184" s="115" t="s">
        <v>418</v>
      </c>
      <c r="AO184" s="115" t="s">
        <v>419</v>
      </c>
      <c r="AP184" s="115" t="s">
        <v>420</v>
      </c>
      <c r="AQ184" s="115" t="s">
        <v>421</v>
      </c>
      <c r="AR184" s="115" t="s">
        <v>422</v>
      </c>
      <c r="AS184" s="115" t="s">
        <v>423</v>
      </c>
    </row>
    <row r="185" spans="2:45" x14ac:dyDescent="0.2">
      <c r="B185" s="20" t="s">
        <v>370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0.14540267541299462</v>
      </c>
      <c r="Q185" s="20"/>
      <c r="R185" s="20"/>
      <c r="S185" s="185">
        <f>P167-S186</f>
        <v>765.06455764042175</v>
      </c>
      <c r="T185" s="185">
        <f>S185-T186</f>
        <v>728.38234316286457</v>
      </c>
      <c r="U185" s="185">
        <f t="shared" ref="U185:W185" si="336">T185-U186</f>
        <v>689.86601796142963</v>
      </c>
      <c r="V185" s="185">
        <f t="shared" si="336"/>
        <v>649.42387649992293</v>
      </c>
      <c r="W185" s="185">
        <f t="shared" si="336"/>
        <v>606.95962796534081</v>
      </c>
      <c r="X185" s="185">
        <f>W185-X186</f>
        <v>562.37216700402962</v>
      </c>
      <c r="Y185" s="185">
        <f t="shared" ref="Y185:AB185" si="337">X185-Y186</f>
        <v>515.55533299465287</v>
      </c>
      <c r="Z185" s="185">
        <f t="shared" si="337"/>
        <v>466.39765728480728</v>
      </c>
      <c r="AA185" s="185">
        <f t="shared" si="337"/>
        <v>414.78209778946945</v>
      </c>
      <c r="AB185" s="185">
        <f t="shared" si="337"/>
        <v>360.58576031936468</v>
      </c>
      <c r="AC185" s="185">
        <f t="shared" ref="AC185" si="338">AB185-AC186</f>
        <v>303.67960597575473</v>
      </c>
      <c r="AD185" s="185">
        <f t="shared" ref="AD185" si="339">AC185-AD186</f>
        <v>243.92814391496424</v>
      </c>
      <c r="AE185" s="185">
        <f t="shared" ref="AE185" si="340">AD185-AE186</f>
        <v>181.18910875113423</v>
      </c>
      <c r="AF185" s="185">
        <f t="shared" ref="AF185" si="341">AE185-AF186</f>
        <v>115.3131218291127</v>
      </c>
      <c r="AG185" s="185">
        <f t="shared" ref="AG185" si="342">AF185-AG186</f>
        <v>46.143335560990096</v>
      </c>
      <c r="AH185" s="185">
        <f t="shared" ref="AH185" si="343">AG185-AH186</f>
        <v>-26.484940020538644</v>
      </c>
      <c r="AI185" s="185">
        <f t="shared" ref="AI185" si="344">AH185-AI186</f>
        <v>-102.74462938114382</v>
      </c>
      <c r="AJ185" s="185">
        <f t="shared" ref="AJ185" si="345">AI185-AJ186</f>
        <v>-182.81730320977925</v>
      </c>
      <c r="AK185" s="185">
        <f t="shared" ref="AK185" si="346">AJ185-AK186</f>
        <v>-266.8936107298465</v>
      </c>
      <c r="AL185" s="185">
        <f t="shared" ref="AL185" si="347">AK185-AL186</f>
        <v>-355.17373362591707</v>
      </c>
      <c r="AM185" s="185">
        <f t="shared" ref="AM185" si="348">AL185-AM186</f>
        <v>-447.86786266679121</v>
      </c>
      <c r="AN185" s="185">
        <f t="shared" ref="AN185" si="349">AM185-AN186</f>
        <v>-545.19669815970906</v>
      </c>
      <c r="AO185" s="185">
        <f t="shared" ref="AO185" si="350">AN185-AO186</f>
        <v>-647.39197542727277</v>
      </c>
      <c r="AP185" s="185">
        <f t="shared" ref="AP185" si="351">AO185-AP186</f>
        <v>-754.69701655821473</v>
      </c>
      <c r="AQ185" s="185">
        <f t="shared" ref="AQ185" si="352">AP185-AQ186</f>
        <v>-867.36730974570378</v>
      </c>
      <c r="AR185" s="185">
        <f t="shared" ref="AR185" si="353">AQ185-AR186</f>
        <v>-985.67111759256727</v>
      </c>
      <c r="AS185" s="185">
        <f t="shared" ref="AS185" si="354">AR185-AS186</f>
        <v>-1109.890115831774</v>
      </c>
    </row>
    <row r="186" spans="2:45" x14ac:dyDescent="0.2">
      <c r="B186" s="20" t="s">
        <v>396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>
        <v>17</v>
      </c>
      <c r="N186" s="20"/>
      <c r="O186" s="20"/>
      <c r="P186" s="181">
        <f>P167/Q137</f>
        <v>24.044349899857451</v>
      </c>
      <c r="Q186" s="20"/>
      <c r="R186" s="20"/>
      <c r="S186" s="186">
        <f>Q137*(1+$K$186)</f>
        <v>34.935442359578211</v>
      </c>
      <c r="T186" s="186">
        <f>S186*(1+$K$186)</f>
        <v>36.682214477557125</v>
      </c>
      <c r="U186" s="186">
        <f t="shared" ref="U186:AB186" si="355">T186*(1+$K$186)</f>
        <v>38.516325201434981</v>
      </c>
      <c r="V186" s="186">
        <f t="shared" si="355"/>
        <v>40.442141461506729</v>
      </c>
      <c r="W186" s="186">
        <f t="shared" si="355"/>
        <v>42.464248534582069</v>
      </c>
      <c r="X186" s="186">
        <f t="shared" si="355"/>
        <v>44.587460961311173</v>
      </c>
      <c r="Y186" s="186">
        <f t="shared" si="355"/>
        <v>46.816834009376734</v>
      </c>
      <c r="Z186" s="186">
        <f t="shared" si="355"/>
        <v>49.15767570984557</v>
      </c>
      <c r="AA186" s="186">
        <f t="shared" si="355"/>
        <v>51.615559495337848</v>
      </c>
      <c r="AB186" s="186">
        <f t="shared" si="355"/>
        <v>54.196337470104744</v>
      </c>
      <c r="AC186" s="186">
        <f t="shared" ref="AC186" si="356">AB186*(1+$K$186)</f>
        <v>56.906154343609984</v>
      </c>
      <c r="AD186" s="186">
        <f t="shared" ref="AD186" si="357">AC186*(1+$K$186)</f>
        <v>59.751462060790487</v>
      </c>
      <c r="AE186" s="186">
        <f t="shared" ref="AE186" si="358">AD186*(1+$K$186)</f>
        <v>62.739035163830017</v>
      </c>
      <c r="AF186" s="186">
        <f t="shared" ref="AF186" si="359">AE186*(1+$K$186)</f>
        <v>65.875986922021525</v>
      </c>
      <c r="AG186" s="186">
        <f t="shared" ref="AG186" si="360">AF186*(1+$K$186)</f>
        <v>69.169786268122607</v>
      </c>
      <c r="AH186" s="186">
        <f t="shared" ref="AH186" si="361">AG186*(1+$K$186)</f>
        <v>72.62827558152874</v>
      </c>
      <c r="AI186" s="186">
        <f t="shared" ref="AI186" si="362">AH186*(1+$K$186)</f>
        <v>76.259689360605179</v>
      </c>
      <c r="AJ186" s="186">
        <f t="shared" ref="AJ186" si="363">AI186*(1+$K$186)</f>
        <v>80.072673828635445</v>
      </c>
      <c r="AK186" s="186">
        <f t="shared" ref="AK186" si="364">AJ186*(1+$K$186)</f>
        <v>84.076307520067218</v>
      </c>
      <c r="AL186" s="186">
        <f t="shared" ref="AL186" si="365">AK186*(1+$K$186)</f>
        <v>88.28012289607058</v>
      </c>
      <c r="AM186" s="186">
        <f t="shared" ref="AM186" si="366">AL186*(1+$K$186)</f>
        <v>92.694129040874117</v>
      </c>
      <c r="AN186" s="186">
        <f t="shared" ref="AN186" si="367">AM186*(1+$K$186)</f>
        <v>97.328835492917833</v>
      </c>
      <c r="AO186" s="186">
        <f t="shared" ref="AO186" si="368">AN186*(1+$K$186)</f>
        <v>102.19527726756372</v>
      </c>
      <c r="AP186" s="186">
        <f t="shared" ref="AP186" si="369">AO186*(1+$K$186)</f>
        <v>107.30504113094192</v>
      </c>
      <c r="AQ186" s="186">
        <f t="shared" ref="AQ186" si="370">AP186*(1+$K$186)</f>
        <v>112.67029318748902</v>
      </c>
      <c r="AR186" s="186">
        <f t="shared" ref="AR186" si="371">AQ186*(1+$K$186)</f>
        <v>118.30380784686348</v>
      </c>
      <c r="AS186" s="186">
        <f t="shared" ref="AS186" si="372">AR186*(1+$K$186)</f>
        <v>124.21899823920666</v>
      </c>
    </row>
    <row r="187" spans="2:45" x14ac:dyDescent="0.2">
      <c r="B187" s="20" t="s">
        <v>395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>
        <v>9</v>
      </c>
      <c r="N187" s="20"/>
      <c r="O187" s="20"/>
      <c r="P187" s="181">
        <f>P167/P52</f>
        <v>9.8708240534521163</v>
      </c>
      <c r="Q187" s="20"/>
      <c r="R187" s="20"/>
      <c r="S187" s="186">
        <f>P52*(1+$K$187)</f>
        <v>85.099277978339359</v>
      </c>
      <c r="T187" s="186">
        <f>S187*(1+$K$187)</f>
        <v>89.354241877256328</v>
      </c>
      <c r="U187" s="186">
        <f t="shared" ref="U187:AB187" si="373">T187*(1+$K$187)</f>
        <v>93.821953971119143</v>
      </c>
      <c r="V187" s="186">
        <f t="shared" si="373"/>
        <v>98.513051669675107</v>
      </c>
      <c r="W187" s="186">
        <f t="shared" si="373"/>
        <v>103.43870425315886</v>
      </c>
      <c r="X187" s="186">
        <f t="shared" si="373"/>
        <v>108.6106394658168</v>
      </c>
      <c r="Y187" s="186">
        <f t="shared" si="373"/>
        <v>114.04117143910764</v>
      </c>
      <c r="Z187" s="186">
        <f t="shared" si="373"/>
        <v>119.74323001106303</v>
      </c>
      <c r="AA187" s="186">
        <f t="shared" si="373"/>
        <v>125.73039151161619</v>
      </c>
      <c r="AB187" s="186">
        <f t="shared" si="373"/>
        <v>132.016911087197</v>
      </c>
      <c r="AC187" s="186">
        <f t="shared" ref="AC187" si="374">AB187*(1+$K$187)</f>
        <v>138.61775664155687</v>
      </c>
      <c r="AD187" s="186">
        <f t="shared" ref="AD187" si="375">AC187*(1+$K$187)</f>
        <v>145.54864447363471</v>
      </c>
      <c r="AE187" s="186">
        <f t="shared" ref="AE187" si="376">AD187*(1+$K$187)</f>
        <v>152.82607669731644</v>
      </c>
      <c r="AF187" s="186">
        <f t="shared" ref="AF187" si="377">AE187*(1+$K$187)</f>
        <v>160.46738053218226</v>
      </c>
      <c r="AG187" s="186">
        <f t="shared" ref="AG187" si="378">AF187*(1+$K$187)</f>
        <v>168.49074955879138</v>
      </c>
      <c r="AH187" s="186">
        <f t="shared" ref="AH187" si="379">AG187*(1+$K$187)</f>
        <v>176.91528703673094</v>
      </c>
      <c r="AI187" s="186">
        <f t="shared" ref="AI187" si="380">AH187*(1+$K$187)</f>
        <v>185.76105138856749</v>
      </c>
      <c r="AJ187" s="186">
        <f t="shared" ref="AJ187" si="381">AI187*(1+$K$187)</f>
        <v>195.04910395799587</v>
      </c>
      <c r="AK187" s="186">
        <f t="shared" ref="AK187" si="382">AJ187*(1+$K$187)</f>
        <v>204.80155915589566</v>
      </c>
      <c r="AL187" s="186">
        <f t="shared" ref="AL187" si="383">AK187*(1+$K$187)</f>
        <v>215.04163711369046</v>
      </c>
      <c r="AM187" s="186">
        <f t="shared" ref="AM187" si="384">AL187*(1+$K$187)</f>
        <v>225.79371896937499</v>
      </c>
      <c r="AN187" s="186">
        <f t="shared" ref="AN187" si="385">AM187*(1+$K$187)</f>
        <v>237.08340491784375</v>
      </c>
      <c r="AO187" s="186">
        <f t="shared" ref="AO187" si="386">AN187*(1+$K$187)</f>
        <v>248.93757516373594</v>
      </c>
      <c r="AP187" s="186">
        <f t="shared" ref="AP187" si="387">AO187*(1+$K$187)</f>
        <v>261.38445392192273</v>
      </c>
      <c r="AQ187" s="186">
        <f t="shared" ref="AQ187" si="388">AP187*(1+$K$187)</f>
        <v>274.4536766180189</v>
      </c>
      <c r="AR187" s="186">
        <f t="shared" ref="AR187" si="389">AQ187*(1+$K$187)</f>
        <v>288.17636044891987</v>
      </c>
      <c r="AS187" s="186">
        <f t="shared" ref="AS187" si="390">AR187*(1+$K$187)</f>
        <v>302.58517847136585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714.90072202166061</v>
      </c>
      <c r="T188" s="185">
        <f>S188-T187</f>
        <v>625.54648014440431</v>
      </c>
      <c r="U188" s="185">
        <f t="shared" ref="U188:Z188" si="391">T188-U187</f>
        <v>531.7245261732852</v>
      </c>
      <c r="V188" s="185">
        <f t="shared" si="391"/>
        <v>433.21147450361008</v>
      </c>
      <c r="W188" s="185">
        <f t="shared" si="391"/>
        <v>329.77277025045123</v>
      </c>
      <c r="X188" s="185">
        <f t="shared" si="391"/>
        <v>221.16213078463443</v>
      </c>
      <c r="Y188" s="185">
        <f t="shared" si="391"/>
        <v>107.12095934552679</v>
      </c>
      <c r="Z188" s="185">
        <f t="shared" si="391"/>
        <v>-12.622270665536249</v>
      </c>
      <c r="AA188" s="185">
        <f>Z188-AA187</f>
        <v>-138.35266217715244</v>
      </c>
      <c r="AB188" s="185">
        <f t="shared" ref="AB188" si="392">AA188-AB187</f>
        <v>-270.36957326434947</v>
      </c>
      <c r="AC188" s="185">
        <f t="shared" ref="AC188" si="393">AB188-AC187</f>
        <v>-408.98732990590634</v>
      </c>
      <c r="AD188" s="185">
        <f t="shared" ref="AD188" si="394">AC188-AD187</f>
        <v>-554.53597437954102</v>
      </c>
      <c r="AE188" s="185">
        <f t="shared" ref="AE188" si="395">AD188-AE187</f>
        <v>-707.36205107685748</v>
      </c>
      <c r="AF188" s="185">
        <f t="shared" ref="AF188" si="396">AE188-AF187</f>
        <v>-867.82943160903972</v>
      </c>
      <c r="AG188" s="185">
        <f t="shared" ref="AG188" si="397">AF188-AG187</f>
        <v>-1036.3201811678312</v>
      </c>
      <c r="AH188" s="185">
        <f t="shared" ref="AH188" si="398">AG188-AH187</f>
        <v>-1213.235468204562</v>
      </c>
      <c r="AI188" s="185">
        <f t="shared" ref="AI188" si="399">AH188-AI187</f>
        <v>-1398.9965195931295</v>
      </c>
      <c r="AJ188" s="185">
        <f t="shared" ref="AJ188" si="400">AI188-AJ187</f>
        <v>-1594.0456235511253</v>
      </c>
      <c r="AK188" s="185">
        <f t="shared" ref="AK188" si="401">AJ188-AK187</f>
        <v>-1798.8471827070209</v>
      </c>
      <c r="AL188" s="185">
        <f t="shared" ref="AL188" si="402">AK188-AL187</f>
        <v>-2013.8888198207114</v>
      </c>
      <c r="AM188" s="185">
        <f t="shared" ref="AM188" si="403">AL188-AM187</f>
        <v>-2239.6825387900863</v>
      </c>
      <c r="AN188" s="185">
        <f t="shared" ref="AN188" si="404">AM188-AN187</f>
        <v>-2476.7659437079301</v>
      </c>
      <c r="AO188" s="185">
        <f t="shared" ref="AO188" si="405">AN188-AO187</f>
        <v>-2725.7035188716659</v>
      </c>
      <c r="AP188" s="185">
        <f t="shared" ref="AP188" si="406">AO188-AP187</f>
        <v>-2987.0879727935885</v>
      </c>
      <c r="AQ188" s="185">
        <f t="shared" ref="AQ188" si="407">AP188-AQ187</f>
        <v>-3261.5416494116075</v>
      </c>
      <c r="AR188" s="185">
        <f t="shared" ref="AR188" si="408">AQ188-AR187</f>
        <v>-3549.7180098605272</v>
      </c>
      <c r="AS188" s="185">
        <f t="shared" ref="AS188" si="409">AR188-AS187</f>
        <v>-3852.3031883318931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0">C10/C7</f>
        <v>#DIV/0!</v>
      </c>
      <c r="D190" s="25" t="e">
        <f t="shared" si="410"/>
        <v>#DIV/0!</v>
      </c>
      <c r="E190" s="25" t="e">
        <f t="shared" si="410"/>
        <v>#DIV/0!</v>
      </c>
      <c r="F190" s="25" t="e">
        <f t="shared" si="410"/>
        <v>#DIV/0!</v>
      </c>
      <c r="G190" s="25">
        <f t="shared" si="410"/>
        <v>7.5</v>
      </c>
      <c r="H190" s="25">
        <f t="shared" si="410"/>
        <v>7</v>
      </c>
      <c r="I190" s="25">
        <f t="shared" si="410"/>
        <v>7.6140350877192979</v>
      </c>
      <c r="J190" s="25">
        <f t="shared" si="410"/>
        <v>4.36676217765043</v>
      </c>
      <c r="K190" s="25">
        <f t="shared" si="410"/>
        <v>6.677777777777778</v>
      </c>
      <c r="L190" s="25">
        <f t="shared" si="410"/>
        <v>6.0959097320169251</v>
      </c>
      <c r="M190" s="25">
        <f t="shared" si="410"/>
        <v>4.6669999999999998</v>
      </c>
      <c r="N190" s="25">
        <f t="shared" si="410"/>
        <v>6.0453795379537958</v>
      </c>
      <c r="O190" s="25">
        <f t="shared" si="410"/>
        <v>4.3647398843930638</v>
      </c>
      <c r="P190" s="25">
        <f t="shared" si="410"/>
        <v>4.3154215814766275</v>
      </c>
      <c r="Q190" s="118">
        <f t="shared" ref="Q190:Q192" si="411">((P190/G190)^(1/($H$2-$H$1) ))-1</f>
        <v>-5.9564299496897455E-2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5.5045871559633026</v>
      </c>
      <c r="H191" s="112">
        <f t="shared" ref="H191:P191" si="412">H10/H12</f>
        <v>6.9255319148936172</v>
      </c>
      <c r="I191" s="112">
        <f t="shared" si="412"/>
        <v>3.7413793103448274</v>
      </c>
      <c r="J191" s="112">
        <f t="shared" si="412"/>
        <v>4.1753424657534248</v>
      </c>
      <c r="K191" s="112">
        <f t="shared" si="412"/>
        <v>3.4342857142857142</v>
      </c>
      <c r="L191" s="112">
        <f t="shared" si="412"/>
        <v>2.6894835096453016</v>
      </c>
      <c r="M191" s="112">
        <f t="shared" si="412"/>
        <v>3.3311920057102071</v>
      </c>
      <c r="N191" s="112">
        <f t="shared" si="412"/>
        <v>3.3811721273650206</v>
      </c>
      <c r="O191" s="112">
        <f t="shared" si="412"/>
        <v>6.50948275862069</v>
      </c>
      <c r="P191" s="112">
        <f t="shared" si="412"/>
        <v>4.5332721431849476</v>
      </c>
      <c r="Q191" s="118">
        <f t="shared" si="411"/>
        <v>-2.1339875762124261E-2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5.4249547920434003</v>
      </c>
      <c r="H192" s="25">
        <f t="shared" ref="H192:P192" si="413">H10/(H12+H13)</f>
        <v>6.8096234309623433</v>
      </c>
      <c r="I192" s="25">
        <f t="shared" si="413"/>
        <v>3.6378876781223806</v>
      </c>
      <c r="J192" s="25">
        <f t="shared" si="413"/>
        <v>4.1078167115902966</v>
      </c>
      <c r="K192" s="25">
        <f t="shared" si="413"/>
        <v>3.4108967082860384</v>
      </c>
      <c r="L192" s="25">
        <f t="shared" si="413"/>
        <v>2.6794792312461251</v>
      </c>
      <c r="M192" s="25">
        <f t="shared" si="413"/>
        <v>3.3288159771754637</v>
      </c>
      <c r="N192" s="25">
        <f t="shared" si="413"/>
        <v>3.3764976958525343</v>
      </c>
      <c r="O192" s="25">
        <f t="shared" si="413"/>
        <v>6.4926913155631985</v>
      </c>
      <c r="P192" s="25">
        <f t="shared" si="413"/>
        <v>4.4834582268598995</v>
      </c>
      <c r="Q192" s="118">
        <f t="shared" si="411"/>
        <v>-2.0956723303505287E-2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376</v>
      </c>
      <c r="D195" s="175"/>
      <c r="E195" s="175"/>
      <c r="F195" s="175"/>
      <c r="G195" s="175"/>
      <c r="H195" s="175"/>
      <c r="I195" s="175"/>
      <c r="J195" s="175"/>
      <c r="K195" s="20"/>
      <c r="L195" s="195" t="s">
        <v>336</v>
      </c>
      <c r="M195" s="196"/>
      <c r="N195" s="197"/>
      <c r="O195" s="23" t="s">
        <v>339</v>
      </c>
      <c r="P195" s="20"/>
      <c r="Q195" s="195" t="s">
        <v>337</v>
      </c>
      <c r="R195" s="196"/>
      <c r="S195" s="197"/>
      <c r="T195" s="23" t="s">
        <v>339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338</v>
      </c>
      <c r="D196" s="166" t="s">
        <v>0</v>
      </c>
      <c r="E196" s="166" t="s">
        <v>377</v>
      </c>
      <c r="F196" s="166" t="s">
        <v>378</v>
      </c>
      <c r="G196" s="166" t="s">
        <v>379</v>
      </c>
      <c r="H196" s="166" t="s">
        <v>380</v>
      </c>
      <c r="I196" s="166" t="s">
        <v>381</v>
      </c>
      <c r="J196" s="166" t="s">
        <v>382</v>
      </c>
      <c r="K196" s="20"/>
      <c r="L196" s="166" t="s">
        <v>338</v>
      </c>
      <c r="M196" s="166"/>
      <c r="N196" s="166" t="s">
        <v>0</v>
      </c>
      <c r="O196" s="166" t="s">
        <v>371</v>
      </c>
      <c r="P196" s="20"/>
      <c r="Q196" s="166" t="s">
        <v>338</v>
      </c>
      <c r="R196" s="166"/>
      <c r="S196" s="166" t="s">
        <v>0</v>
      </c>
      <c r="T196" s="166" t="s">
        <v>371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340</v>
      </c>
      <c r="D197" s="21">
        <v>25</v>
      </c>
      <c r="E197" s="176" t="s">
        <v>383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340</v>
      </c>
      <c r="M197" s="167"/>
      <c r="N197" s="21">
        <v>25</v>
      </c>
      <c r="O197" s="173">
        <f>N197</f>
        <v>25</v>
      </c>
      <c r="P197" s="20"/>
      <c r="Q197" s="167" t="s">
        <v>340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341</v>
      </c>
      <c r="D198" s="21">
        <v>1</v>
      </c>
      <c r="E198" s="176" t="s">
        <v>384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341</v>
      </c>
      <c r="M198" s="167"/>
      <c r="N198" s="21">
        <v>1</v>
      </c>
      <c r="O198" s="173">
        <f>N198</f>
        <v>1</v>
      </c>
      <c r="P198" s="20"/>
      <c r="Q198" s="167" t="s">
        <v>341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343</v>
      </c>
      <c r="D199" s="168">
        <f>D197*D198</f>
        <v>25</v>
      </c>
      <c r="E199" s="176" t="s">
        <v>397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342</v>
      </c>
      <c r="M199" s="167"/>
      <c r="N199" s="168">
        <f>N197*N198</f>
        <v>25</v>
      </c>
      <c r="O199" s="173">
        <f>N199</f>
        <v>25</v>
      </c>
      <c r="P199" s="20"/>
      <c r="Q199" s="167" t="s">
        <v>343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385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344</v>
      </c>
      <c r="M200" s="167"/>
      <c r="N200" s="21">
        <v>1200</v>
      </c>
      <c r="O200" s="21">
        <v>1250</v>
      </c>
      <c r="P200" s="20"/>
      <c r="Q200" s="167" t="s">
        <v>344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344</v>
      </c>
      <c r="D201" s="21">
        <v>1200</v>
      </c>
      <c r="E201" s="176"/>
      <c r="F201" s="167"/>
      <c r="G201" s="167"/>
      <c r="H201" s="169" t="s">
        <v>386</v>
      </c>
      <c r="I201" s="167"/>
      <c r="J201" s="167">
        <f>J200</f>
        <v>20</v>
      </c>
      <c r="K201" s="20"/>
      <c r="L201" s="167" t="s">
        <v>345</v>
      </c>
      <c r="M201" s="167"/>
      <c r="N201" s="168">
        <f>N200*N198</f>
        <v>1200</v>
      </c>
      <c r="O201" s="168">
        <f>O200*O198</f>
        <v>1250</v>
      </c>
      <c r="P201" s="20"/>
      <c r="Q201" s="167" t="s">
        <v>341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341</v>
      </c>
      <c r="D202" s="21">
        <v>1</v>
      </c>
      <c r="E202" s="176" t="s">
        <v>385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343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343</v>
      </c>
      <c r="D203" s="168">
        <f>D202*D201</f>
        <v>1200</v>
      </c>
      <c r="E203" s="167"/>
      <c r="F203" s="167"/>
      <c r="G203" s="167"/>
      <c r="H203" s="169" t="s">
        <v>386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385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346</v>
      </c>
      <c r="M204" s="169"/>
      <c r="N204" s="170">
        <f>N201/N199</f>
        <v>48</v>
      </c>
      <c r="O204" s="170">
        <f>O201/O199</f>
        <v>50</v>
      </c>
      <c r="P204" s="20"/>
      <c r="Q204" s="169" t="s">
        <v>346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346</v>
      </c>
      <c r="D205" s="170">
        <f>D203/D199</f>
        <v>48</v>
      </c>
      <c r="E205" s="176"/>
      <c r="F205" s="167"/>
      <c r="G205" s="167"/>
      <c r="H205" s="169" t="s">
        <v>386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8" t="s">
        <v>27</v>
      </c>
      <c r="E208" s="189"/>
      <c r="F208" s="189"/>
      <c r="G208" s="190"/>
      <c r="H208" s="20"/>
      <c r="I208" s="188" t="s">
        <v>392</v>
      </c>
      <c r="J208" s="189"/>
      <c r="K208" s="19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25</v>
      </c>
      <c r="H209" s="20"/>
      <c r="I209" s="20" t="s">
        <v>28</v>
      </c>
      <c r="J209" s="127"/>
      <c r="K209" s="21">
        <f>G209</f>
        <v>25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1200</v>
      </c>
      <c r="H210" s="20"/>
      <c r="I210" s="20" t="s">
        <v>29</v>
      </c>
      <c r="J210" s="20"/>
      <c r="K210" s="21">
        <f>G210</f>
        <v>1200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0.47273335753468881</v>
      </c>
      <c r="H212" s="20"/>
      <c r="I212" s="23" t="s">
        <v>393</v>
      </c>
      <c r="J212" s="23"/>
      <c r="K212" s="208">
        <f>(K210-K209)/K209</f>
        <v>47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120</v>
      </c>
      <c r="H213" s="20"/>
      <c r="I213" s="23" t="s">
        <v>394</v>
      </c>
      <c r="J213" s="23"/>
      <c r="K213" s="23">
        <f>K210/K209</f>
        <v>48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0.47273335753468881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2014-04-18T06:21:30Z</dcterms:modified>
</cp:coreProperties>
</file>
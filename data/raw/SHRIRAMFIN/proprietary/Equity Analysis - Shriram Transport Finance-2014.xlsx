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  <sheet name="4. Analysis" sheetId="19" r:id="rId8"/>
  </sheets>
  <calcPr calcId="144525"/>
</workbook>
</file>

<file path=xl/calcChain.xml><?xml version="1.0" encoding="utf-8"?>
<calcChain xmlns="http://schemas.openxmlformats.org/spreadsheetml/2006/main">
  <c r="G180" i="18" l="1"/>
  <c r="H180" i="18"/>
  <c r="I180" i="18"/>
  <c r="J180" i="18"/>
  <c r="K180" i="18"/>
  <c r="L180" i="18"/>
  <c r="M180" i="18"/>
  <c r="N180" i="18"/>
  <c r="O180" i="18"/>
  <c r="P180" i="18"/>
  <c r="P41" i="18"/>
  <c r="O41" i="18"/>
  <c r="N41" i="18"/>
  <c r="M41" i="18"/>
  <c r="L41" i="18"/>
  <c r="K41" i="18"/>
  <c r="J41" i="18"/>
  <c r="I41" i="18"/>
  <c r="H41" i="18"/>
  <c r="G41" i="18"/>
  <c r="P39" i="18"/>
  <c r="O39" i="18"/>
  <c r="N39" i="18"/>
  <c r="M39" i="18"/>
  <c r="L39" i="18"/>
  <c r="K39" i="18"/>
  <c r="J39" i="18"/>
  <c r="I39" i="18"/>
  <c r="H39" i="18"/>
  <c r="G39" i="18"/>
  <c r="P37" i="18"/>
  <c r="O37" i="18"/>
  <c r="N37" i="18"/>
  <c r="M37" i="18"/>
  <c r="L37" i="18"/>
  <c r="K37" i="18"/>
  <c r="J37" i="18"/>
  <c r="I37" i="18"/>
  <c r="H37" i="18"/>
  <c r="G37" i="18"/>
  <c r="P30" i="18"/>
  <c r="O30" i="18"/>
  <c r="N30" i="18"/>
  <c r="M30" i="18"/>
  <c r="L30" i="18"/>
  <c r="K30" i="18"/>
  <c r="J30" i="18"/>
  <c r="I30" i="18"/>
  <c r="H30" i="18"/>
  <c r="G30" i="18"/>
  <c r="P28" i="18"/>
  <c r="O28" i="18"/>
  <c r="N28" i="18"/>
  <c r="M28" i="18"/>
  <c r="L28" i="18"/>
  <c r="K28" i="18"/>
  <c r="J28" i="18"/>
  <c r="I28" i="18"/>
  <c r="H28" i="18"/>
  <c r="G28" i="18"/>
  <c r="P26" i="18"/>
  <c r="O26" i="18"/>
  <c r="N26" i="18"/>
  <c r="M26" i="18"/>
  <c r="L26" i="18"/>
  <c r="K26" i="18"/>
  <c r="J26" i="18"/>
  <c r="I26" i="18"/>
  <c r="H26" i="18"/>
  <c r="G26" i="18"/>
  <c r="O12" i="18"/>
  <c r="N12" i="18"/>
  <c r="M12" i="18"/>
  <c r="L12" i="18"/>
  <c r="K12" i="18"/>
  <c r="J12" i="18"/>
  <c r="I12" i="18"/>
  <c r="H12" i="18"/>
  <c r="G12" i="18"/>
  <c r="P11" i="18"/>
  <c r="O11" i="18"/>
  <c r="N11" i="18"/>
  <c r="M11" i="18"/>
  <c r="L11" i="18"/>
  <c r="K11" i="18"/>
  <c r="J11" i="18"/>
  <c r="I11" i="18"/>
  <c r="H11" i="18"/>
  <c r="G11" i="18"/>
  <c r="P8" i="18"/>
  <c r="O8" i="18"/>
  <c r="N8" i="18"/>
  <c r="M8" i="18"/>
  <c r="L8" i="18"/>
  <c r="K8" i="18"/>
  <c r="J8" i="18"/>
  <c r="I8" i="18"/>
  <c r="H8" i="18"/>
  <c r="G8" i="18"/>
  <c r="E179" i="18" l="1"/>
  <c r="D179" i="18"/>
  <c r="C179" i="18"/>
  <c r="Q190" i="18" l="1"/>
  <c r="Q196" i="18"/>
  <c r="Q195" i="18"/>
  <c r="Q194" i="18"/>
  <c r="Q178" i="18"/>
  <c r="Q50" i="18"/>
  <c r="Q171" i="18" s="1"/>
  <c r="Q51" i="18"/>
  <c r="Q52" i="18"/>
  <c r="Q91" i="18" s="1"/>
  <c r="Q54" i="18"/>
  <c r="Q191" i="18" s="1"/>
  <c r="Q55" i="18"/>
  <c r="Q56" i="18"/>
  <c r="Q57" i="18"/>
  <c r="Q173" i="18" s="1"/>
  <c r="Q58" i="18"/>
  <c r="Q60" i="18"/>
  <c r="Q61" i="18"/>
  <c r="Q62" i="18"/>
  <c r="Q176" i="18" s="1"/>
  <c r="Q64" i="18"/>
  <c r="Q65" i="18"/>
  <c r="Q67" i="18"/>
  <c r="Q68" i="18"/>
  <c r="Q175" i="18" s="1"/>
  <c r="Q70" i="18"/>
  <c r="Q111" i="18" s="1"/>
  <c r="Q112" i="18" s="1"/>
  <c r="Q113" i="18" s="1"/>
  <c r="Q114" i="18" s="1"/>
  <c r="Q72" i="18"/>
  <c r="Q74" i="18"/>
  <c r="Q75" i="18"/>
  <c r="Q76" i="18"/>
  <c r="Q77" i="18"/>
  <c r="Q78" i="18"/>
  <c r="Q80" i="18"/>
  <c r="Q81" i="18"/>
  <c r="Q82" i="18"/>
  <c r="Q86" i="18"/>
  <c r="Q87" i="18"/>
  <c r="Q88" i="18"/>
  <c r="Q89" i="18"/>
  <c r="Q90" i="18"/>
  <c r="Q93" i="18"/>
  <c r="Q99" i="18" s="1"/>
  <c r="Q94" i="18"/>
  <c r="Q95" i="18"/>
  <c r="Q101" i="18" s="1"/>
  <c r="Q96" i="18"/>
  <c r="Q102" i="18" s="1"/>
  <c r="Q97" i="18"/>
  <c r="Q103" i="18" s="1"/>
  <c r="Q100" i="18"/>
  <c r="Q106" i="18"/>
  <c r="Q107" i="18"/>
  <c r="Q108" i="18"/>
  <c r="Q109" i="18"/>
  <c r="Q116" i="18"/>
  <c r="Q117" i="18"/>
  <c r="Q119" i="18"/>
  <c r="Q120" i="18"/>
  <c r="Q121" i="18"/>
  <c r="Q124" i="18"/>
  <c r="Q125" i="18"/>
  <c r="Q126" i="18"/>
  <c r="Q127" i="18"/>
  <c r="Q129" i="18"/>
  <c r="Q130" i="18"/>
  <c r="Q132" i="18"/>
  <c r="Q133" i="18"/>
  <c r="Q134" i="18"/>
  <c r="Q136" i="18"/>
  <c r="Q137" i="18"/>
  <c r="T17" i="18"/>
  <c r="T19" i="18"/>
  <c r="T24" i="18"/>
  <c r="T35" i="18"/>
  <c r="T42" i="18"/>
  <c r="T44" i="18"/>
  <c r="R44" i="18"/>
  <c r="R42" i="18"/>
  <c r="R40" i="18"/>
  <c r="R38" i="18"/>
  <c r="R36" i="18"/>
  <c r="R34" i="18"/>
  <c r="R33" i="18"/>
  <c r="R32" i="18"/>
  <c r="R31" i="18"/>
  <c r="R29" i="18"/>
  <c r="R27" i="18"/>
  <c r="R25" i="18"/>
  <c r="R23" i="18"/>
  <c r="R22" i="18"/>
  <c r="R21" i="18"/>
  <c r="R20" i="18"/>
  <c r="R18" i="18"/>
  <c r="R16" i="18"/>
  <c r="R15" i="18"/>
  <c r="R14" i="18"/>
  <c r="R13" i="18"/>
  <c r="R12" i="18"/>
  <c r="R10" i="18"/>
  <c r="R9" i="18"/>
  <c r="R7" i="18"/>
  <c r="R6" i="18"/>
  <c r="Q8" i="18"/>
  <c r="Q11" i="18"/>
  <c r="Q26" i="18"/>
  <c r="Q28" i="18"/>
  <c r="Q30" i="18"/>
  <c r="Q37" i="18"/>
  <c r="Q39" i="18"/>
  <c r="Q41" i="18"/>
  <c r="Q43" i="18"/>
  <c r="Q177" i="18" l="1"/>
  <c r="Q172" i="18"/>
  <c r="H191" i="18" s="1"/>
  <c r="T191" i="18"/>
  <c r="T192" i="18" s="1"/>
  <c r="Q66" i="18"/>
  <c r="Q174" i="18" s="1"/>
  <c r="AE52" i="18"/>
  <c r="H52" i="18"/>
  <c r="H91" i="18" s="1"/>
  <c r="I52" i="18"/>
  <c r="I91" i="18" s="1"/>
  <c r="J52" i="18"/>
  <c r="J91" i="18" s="1"/>
  <c r="K52" i="18"/>
  <c r="K91" i="18" s="1"/>
  <c r="L52" i="18"/>
  <c r="L91" i="18" s="1"/>
  <c r="M52" i="18"/>
  <c r="M91" i="18" s="1"/>
  <c r="N52" i="18"/>
  <c r="N91" i="18" s="1"/>
  <c r="O52" i="18"/>
  <c r="O91" i="18" s="1"/>
  <c r="P52" i="18"/>
  <c r="G52" i="18"/>
  <c r="G91" i="18" s="1"/>
  <c r="P43" i="18"/>
  <c r="O43" i="18"/>
  <c r="N43" i="18"/>
  <c r="M43" i="18"/>
  <c r="L43" i="18"/>
  <c r="K43" i="18"/>
  <c r="J43" i="18"/>
  <c r="I43" i="18"/>
  <c r="H43" i="18"/>
  <c r="G43" i="18"/>
  <c r="Q179" i="18" l="1"/>
  <c r="Q180" i="18" s="1"/>
  <c r="R52" i="18"/>
  <c r="P91" i="18"/>
  <c r="R91" i="18" s="1"/>
  <c r="S44" i="18"/>
  <c r="S42" i="18"/>
  <c r="K187" i="18" l="1"/>
  <c r="K186" i="18"/>
  <c r="K185" i="18"/>
  <c r="K184" i="18"/>
  <c r="AE38" i="18" l="1"/>
  <c r="S38" i="18"/>
  <c r="T38" i="18" l="1"/>
  <c r="U38" i="18" l="1"/>
  <c r="V38" i="18" s="1"/>
  <c r="W38" i="18" s="1"/>
  <c r="X38" i="18" l="1"/>
  <c r="U205" i="18"/>
  <c r="U206" i="18" s="1"/>
  <c r="D203" i="18"/>
  <c r="G213" i="18" s="1"/>
  <c r="H203" i="18"/>
  <c r="L106" i="18"/>
  <c r="J106" i="18"/>
  <c r="H106" i="18"/>
  <c r="F106" i="18"/>
  <c r="G106" i="18"/>
  <c r="I106" i="18"/>
  <c r="K106" i="18"/>
  <c r="M106" i="18"/>
  <c r="N106" i="18"/>
  <c r="O106" i="18"/>
  <c r="P106" i="18"/>
  <c r="H137" i="18"/>
  <c r="I137" i="18"/>
  <c r="J137" i="18"/>
  <c r="K137" i="18"/>
  <c r="L137" i="18"/>
  <c r="M137" i="18"/>
  <c r="N137" i="18"/>
  <c r="O137" i="18"/>
  <c r="P137" i="18"/>
  <c r="H136" i="18"/>
  <c r="I136" i="18"/>
  <c r="J136" i="18"/>
  <c r="K136" i="18"/>
  <c r="L136" i="18"/>
  <c r="M136" i="18"/>
  <c r="N136" i="18"/>
  <c r="O136" i="18"/>
  <c r="P136" i="18"/>
  <c r="G217" i="18"/>
  <c r="G218" i="18" s="1"/>
  <c r="K213" i="18"/>
  <c r="AE55" i="18"/>
  <c r="C55" i="18"/>
  <c r="D55" i="18"/>
  <c r="E55" i="18"/>
  <c r="F55" i="18"/>
  <c r="H55" i="18"/>
  <c r="I55" i="18"/>
  <c r="J55" i="18"/>
  <c r="K55" i="18"/>
  <c r="L55" i="18"/>
  <c r="M55" i="18"/>
  <c r="N55" i="18"/>
  <c r="O55" i="18"/>
  <c r="P55" i="18"/>
  <c r="G55" i="18"/>
  <c r="H208" i="18"/>
  <c r="D207" i="18"/>
  <c r="G214" i="18" s="1"/>
  <c r="K214" i="18" s="1"/>
  <c r="H206" i="18"/>
  <c r="I206" i="18" s="1"/>
  <c r="J206" i="18" s="1"/>
  <c r="J207" i="18" s="1"/>
  <c r="H204" i="18"/>
  <c r="H202" i="18"/>
  <c r="H201" i="18"/>
  <c r="I201" i="18" s="1"/>
  <c r="J201" i="18" s="1"/>
  <c r="G216" i="18" l="1"/>
  <c r="G219" i="18"/>
  <c r="Y38" i="18"/>
  <c r="D209" i="18"/>
  <c r="K217" i="18"/>
  <c r="R55" i="18"/>
  <c r="K216" i="18"/>
  <c r="I202" i="18"/>
  <c r="J202" i="18" s="1"/>
  <c r="I208" i="18"/>
  <c r="J208" i="18" s="1"/>
  <c r="J209" i="18" s="1"/>
  <c r="H90" i="18"/>
  <c r="I90" i="18"/>
  <c r="J90" i="18"/>
  <c r="K90" i="18"/>
  <c r="L90" i="18"/>
  <c r="M90" i="18"/>
  <c r="N90" i="18"/>
  <c r="O90" i="18"/>
  <c r="P90" i="18"/>
  <c r="G90" i="18"/>
  <c r="G137" i="18"/>
  <c r="G136" i="18"/>
  <c r="AE14" i="18"/>
  <c r="S14" i="18"/>
  <c r="U202" i="18"/>
  <c r="U201" i="18"/>
  <c r="O202" i="18"/>
  <c r="O205" i="18" s="1"/>
  <c r="O201" i="18"/>
  <c r="H97" i="18"/>
  <c r="H103" i="18" s="1"/>
  <c r="I97" i="18"/>
  <c r="I103" i="18" s="1"/>
  <c r="J97" i="18"/>
  <c r="J103" i="18" s="1"/>
  <c r="K97" i="18"/>
  <c r="K103" i="18" s="1"/>
  <c r="L97" i="18"/>
  <c r="L103" i="18" s="1"/>
  <c r="M97" i="18"/>
  <c r="M103" i="18" s="1"/>
  <c r="N97" i="18"/>
  <c r="N103" i="18" s="1"/>
  <c r="O97" i="18"/>
  <c r="O103" i="18" s="1"/>
  <c r="P97" i="18"/>
  <c r="P103" i="18" s="1"/>
  <c r="G97" i="18"/>
  <c r="G103" i="18" s="1"/>
  <c r="H94" i="18"/>
  <c r="H100" i="18" s="1"/>
  <c r="I94" i="18"/>
  <c r="I100" i="18" s="1"/>
  <c r="J94" i="18"/>
  <c r="J100" i="18" s="1"/>
  <c r="K94" i="18"/>
  <c r="K100" i="18" s="1"/>
  <c r="L94" i="18"/>
  <c r="L100" i="18" s="1"/>
  <c r="M94" i="18"/>
  <c r="M100" i="18" s="1"/>
  <c r="N94" i="18"/>
  <c r="N100" i="18" s="1"/>
  <c r="O94" i="18"/>
  <c r="O100" i="18" s="1"/>
  <c r="P94" i="18"/>
  <c r="P100" i="18" s="1"/>
  <c r="R100" i="18" s="1"/>
  <c r="G94" i="18"/>
  <c r="G100" i="18" s="1"/>
  <c r="H95" i="18"/>
  <c r="H101" i="18" s="1"/>
  <c r="I95" i="18"/>
  <c r="I101" i="18" s="1"/>
  <c r="J95" i="18"/>
  <c r="J101" i="18" s="1"/>
  <c r="K95" i="18"/>
  <c r="K101" i="18" s="1"/>
  <c r="L95" i="18"/>
  <c r="L101" i="18" s="1"/>
  <c r="M95" i="18"/>
  <c r="M101" i="18" s="1"/>
  <c r="N95" i="18"/>
  <c r="N101" i="18" s="1"/>
  <c r="O95" i="18"/>
  <c r="O101" i="18" s="1"/>
  <c r="P95" i="18"/>
  <c r="P101" i="18" s="1"/>
  <c r="G95" i="18"/>
  <c r="G101" i="18" s="1"/>
  <c r="H132" i="18"/>
  <c r="H133" i="18" s="1"/>
  <c r="I132" i="18"/>
  <c r="I133" i="18" s="1"/>
  <c r="J132" i="18"/>
  <c r="J133" i="18" s="1"/>
  <c r="K132" i="18"/>
  <c r="K133" i="18" s="1"/>
  <c r="L132" i="18"/>
  <c r="L133" i="18" s="1"/>
  <c r="M132" i="18"/>
  <c r="M133" i="18" s="1"/>
  <c r="N132" i="18"/>
  <c r="N133" i="18" s="1"/>
  <c r="O132" i="18"/>
  <c r="O133" i="18" s="1"/>
  <c r="P132" i="18"/>
  <c r="P133" i="18" s="1"/>
  <c r="G132" i="18"/>
  <c r="G133" i="18" s="1"/>
  <c r="R103" i="18" l="1"/>
  <c r="T14" i="18"/>
  <c r="U14" i="18" s="1"/>
  <c r="V14" i="18" s="1"/>
  <c r="W14" i="18" s="1"/>
  <c r="X14" i="18" s="1"/>
  <c r="Y14" i="18" s="1"/>
  <c r="Z14" i="18" s="1"/>
  <c r="AA14" i="18" s="1"/>
  <c r="AB14" i="18" s="1"/>
  <c r="AC14" i="18" s="1"/>
  <c r="Z38" i="18"/>
  <c r="R101" i="18"/>
  <c r="I203" i="18"/>
  <c r="J203" i="18" s="1"/>
  <c r="I204" i="18" s="1"/>
  <c r="J204" i="18" s="1"/>
  <c r="J205" i="18" s="1"/>
  <c r="R136" i="18"/>
  <c r="R137" i="18"/>
  <c r="R90" i="18"/>
  <c r="R97" i="18"/>
  <c r="R94" i="18"/>
  <c r="R133" i="18"/>
  <c r="R132" i="18"/>
  <c r="R95" i="18"/>
  <c r="P89" i="18"/>
  <c r="P88" i="18"/>
  <c r="E89" i="18"/>
  <c r="F89" i="18"/>
  <c r="H89" i="18"/>
  <c r="I89" i="18"/>
  <c r="J89" i="18"/>
  <c r="K89" i="18"/>
  <c r="L89" i="18"/>
  <c r="M89" i="18"/>
  <c r="N89" i="18"/>
  <c r="O89" i="18"/>
  <c r="G89" i="18"/>
  <c r="G88" i="18"/>
  <c r="H130" i="18"/>
  <c r="I130" i="18"/>
  <c r="J130" i="18"/>
  <c r="K130" i="18"/>
  <c r="L130" i="18"/>
  <c r="M130" i="18"/>
  <c r="N130" i="18"/>
  <c r="O130" i="18"/>
  <c r="P130" i="18"/>
  <c r="G130" i="18"/>
  <c r="H129" i="18"/>
  <c r="I129" i="18"/>
  <c r="J129" i="18"/>
  <c r="K129" i="18"/>
  <c r="L129" i="18"/>
  <c r="M129" i="18"/>
  <c r="N129" i="18"/>
  <c r="O129" i="18"/>
  <c r="P129" i="18"/>
  <c r="G129" i="18"/>
  <c r="H126" i="18"/>
  <c r="I126" i="18"/>
  <c r="J126" i="18"/>
  <c r="K126" i="18"/>
  <c r="L126" i="18"/>
  <c r="M126" i="18"/>
  <c r="N126" i="18"/>
  <c r="O126" i="18"/>
  <c r="P126" i="18"/>
  <c r="G126" i="18"/>
  <c r="H127" i="18"/>
  <c r="I127" i="18"/>
  <c r="J127" i="18"/>
  <c r="K127" i="18"/>
  <c r="L127" i="18"/>
  <c r="M127" i="18"/>
  <c r="N127" i="18"/>
  <c r="O127" i="18"/>
  <c r="P127" i="18"/>
  <c r="G127" i="18"/>
  <c r="H125" i="18"/>
  <c r="I125" i="18"/>
  <c r="J125" i="18"/>
  <c r="K125" i="18"/>
  <c r="L125" i="18"/>
  <c r="M125" i="18"/>
  <c r="N125" i="18"/>
  <c r="O125" i="18"/>
  <c r="P125" i="18"/>
  <c r="G125" i="18"/>
  <c r="H124" i="18"/>
  <c r="I124" i="18"/>
  <c r="J124" i="18"/>
  <c r="K124" i="18"/>
  <c r="L124" i="18"/>
  <c r="M124" i="18"/>
  <c r="N124" i="18"/>
  <c r="O124" i="18"/>
  <c r="P124" i="18"/>
  <c r="G124" i="18"/>
  <c r="S170" i="18"/>
  <c r="H121" i="18"/>
  <c r="I121" i="18"/>
  <c r="J121" i="18"/>
  <c r="K121" i="18"/>
  <c r="L121" i="18"/>
  <c r="M121" i="18"/>
  <c r="N121" i="18"/>
  <c r="O121" i="18"/>
  <c r="P121" i="18"/>
  <c r="G121" i="18"/>
  <c r="H120" i="18"/>
  <c r="I120" i="18"/>
  <c r="J120" i="18"/>
  <c r="K120" i="18"/>
  <c r="L120" i="18"/>
  <c r="M120" i="18"/>
  <c r="N120" i="18"/>
  <c r="O120" i="18"/>
  <c r="P120" i="18"/>
  <c r="G120" i="18"/>
  <c r="H119" i="18"/>
  <c r="I119" i="18"/>
  <c r="J119" i="18"/>
  <c r="K119" i="18"/>
  <c r="L119" i="18"/>
  <c r="M119" i="18"/>
  <c r="N119" i="18"/>
  <c r="O119" i="18"/>
  <c r="P119" i="18"/>
  <c r="G119" i="18"/>
  <c r="B121" i="18"/>
  <c r="B120" i="18"/>
  <c r="AE32" i="18"/>
  <c r="S32" i="18"/>
  <c r="G109" i="18"/>
  <c r="H109" i="18"/>
  <c r="I109" i="18"/>
  <c r="J109" i="18"/>
  <c r="K109" i="18"/>
  <c r="L109" i="18"/>
  <c r="M109" i="18"/>
  <c r="N109" i="18"/>
  <c r="O109" i="18"/>
  <c r="P109" i="18"/>
  <c r="T206" i="18"/>
  <c r="N205" i="18"/>
  <c r="T203" i="18"/>
  <c r="U203" i="18" s="1"/>
  <c r="U208" i="18" s="1"/>
  <c r="N203" i="18"/>
  <c r="O203" i="18" s="1"/>
  <c r="O208" i="18" s="1"/>
  <c r="F117" i="18"/>
  <c r="H117" i="18"/>
  <c r="I117" i="18"/>
  <c r="J117" i="18"/>
  <c r="K117" i="18"/>
  <c r="L117" i="18"/>
  <c r="M117" i="18"/>
  <c r="N117" i="18"/>
  <c r="O117" i="18"/>
  <c r="P117" i="18"/>
  <c r="G117" i="18"/>
  <c r="F116" i="18"/>
  <c r="H116" i="18"/>
  <c r="I116" i="18"/>
  <c r="J116" i="18"/>
  <c r="K116" i="18"/>
  <c r="L116" i="18"/>
  <c r="M116" i="18"/>
  <c r="N116" i="18"/>
  <c r="O116" i="18"/>
  <c r="P116" i="18"/>
  <c r="G116" i="18"/>
  <c r="AD14" i="18" l="1"/>
  <c r="AF14" i="18"/>
  <c r="T32" i="18"/>
  <c r="U32" i="18" s="1"/>
  <c r="V32" i="18" s="1"/>
  <c r="W32" i="18" s="1"/>
  <c r="X32" i="18" s="1"/>
  <c r="Y32" i="18" s="1"/>
  <c r="Z32" i="18" s="1"/>
  <c r="AA32" i="18" s="1"/>
  <c r="AB32" i="18" s="1"/>
  <c r="AC32" i="18" s="1"/>
  <c r="AD32" i="18" s="1"/>
  <c r="AA38" i="18"/>
  <c r="R127" i="18"/>
  <c r="R89" i="18"/>
  <c r="R124" i="18"/>
  <c r="R130" i="18"/>
  <c r="R129" i="18"/>
  <c r="R125" i="18"/>
  <c r="R126" i="18"/>
  <c r="R119" i="18"/>
  <c r="R120" i="18"/>
  <c r="R121" i="18"/>
  <c r="R109" i="18"/>
  <c r="N208" i="18"/>
  <c r="T208" i="18"/>
  <c r="R117" i="18"/>
  <c r="R116" i="18"/>
  <c r="S9" i="18"/>
  <c r="T9" i="18" s="1"/>
  <c r="S10" i="18"/>
  <c r="T10" i="18" s="1"/>
  <c r="S12" i="18"/>
  <c r="T12" i="18" s="1"/>
  <c r="S13" i="18"/>
  <c r="T13" i="18" s="1"/>
  <c r="S15" i="18"/>
  <c r="T15" i="18" s="1"/>
  <c r="S16" i="18"/>
  <c r="T16" i="18" s="1"/>
  <c r="S18" i="18"/>
  <c r="T18" i="18" s="1"/>
  <c r="S20" i="18"/>
  <c r="T20" i="18" s="1"/>
  <c r="S21" i="18"/>
  <c r="T21" i="18" s="1"/>
  <c r="S22" i="18"/>
  <c r="T22" i="18" s="1"/>
  <c r="S23" i="18"/>
  <c r="T23" i="18" s="1"/>
  <c r="S25" i="18"/>
  <c r="T25" i="18" s="1"/>
  <c r="S27" i="18"/>
  <c r="T27" i="18" s="1"/>
  <c r="S29" i="18"/>
  <c r="T29" i="18" s="1"/>
  <c r="S31" i="18"/>
  <c r="S33" i="18"/>
  <c r="T33" i="18" s="1"/>
  <c r="S34" i="18"/>
  <c r="T34" i="18" s="1"/>
  <c r="S36" i="18"/>
  <c r="T36" i="18" s="1"/>
  <c r="S40" i="18"/>
  <c r="T40" i="18" s="1"/>
  <c r="T52" i="18" s="1"/>
  <c r="S7" i="18"/>
  <c r="T7" i="18" s="1"/>
  <c r="S6" i="18"/>
  <c r="T6" i="18" s="1"/>
  <c r="AE9" i="18"/>
  <c r="AE10" i="18"/>
  <c r="AE11" i="18"/>
  <c r="AE12" i="18"/>
  <c r="AE13" i="18"/>
  <c r="AE15" i="18"/>
  <c r="AE16" i="18"/>
  <c r="AE18" i="18"/>
  <c r="AE20" i="18"/>
  <c r="AE21" i="18"/>
  <c r="AE22" i="18"/>
  <c r="AE23" i="18"/>
  <c r="AE25" i="18"/>
  <c r="AE27" i="18"/>
  <c r="AE29" i="18"/>
  <c r="AE31" i="18"/>
  <c r="AE33" i="18"/>
  <c r="AE34" i="18"/>
  <c r="AE36" i="18"/>
  <c r="AE40" i="18"/>
  <c r="AE42" i="18"/>
  <c r="AE44" i="18"/>
  <c r="AE50" i="18"/>
  <c r="AE51" i="18"/>
  <c r="AE54" i="18"/>
  <c r="AE56" i="18"/>
  <c r="AE57" i="18"/>
  <c r="AE58" i="18"/>
  <c r="AE60" i="18"/>
  <c r="AE61" i="18"/>
  <c r="AE62" i="18"/>
  <c r="AE64" i="18"/>
  <c r="AE65" i="18"/>
  <c r="AE66" i="18"/>
  <c r="AE67" i="18"/>
  <c r="AE69" i="18"/>
  <c r="AE70" i="18"/>
  <c r="AE72" i="18"/>
  <c r="AE74" i="18"/>
  <c r="AE75" i="18"/>
  <c r="AE76" i="18"/>
  <c r="AE77" i="18"/>
  <c r="AE78" i="18"/>
  <c r="AE80" i="18"/>
  <c r="AE81" i="18"/>
  <c r="AE82" i="18"/>
  <c r="AE7" i="18"/>
  <c r="AE6" i="18"/>
  <c r="AF32" i="18" l="1"/>
  <c r="T91" i="18"/>
  <c r="T31" i="18"/>
  <c r="U31" i="18" s="1"/>
  <c r="V31" i="18" s="1"/>
  <c r="W31" i="18" s="1"/>
  <c r="X31" i="18" s="1"/>
  <c r="Y31" i="18" s="1"/>
  <c r="Z31" i="18" s="1"/>
  <c r="AA31" i="18" s="1"/>
  <c r="AB31" i="18" s="1"/>
  <c r="AC31" i="18" s="1"/>
  <c r="AB38" i="18"/>
  <c r="R106" i="18"/>
  <c r="H93" i="18"/>
  <c r="H99" i="18" s="1"/>
  <c r="I93" i="18"/>
  <c r="I99" i="18" s="1"/>
  <c r="J93" i="18"/>
  <c r="J99" i="18" s="1"/>
  <c r="K93" i="18"/>
  <c r="K99" i="18" s="1"/>
  <c r="L93" i="18"/>
  <c r="L99" i="18" s="1"/>
  <c r="M93" i="18"/>
  <c r="M99" i="18" s="1"/>
  <c r="N93" i="18"/>
  <c r="N99" i="18" s="1"/>
  <c r="O93" i="18"/>
  <c r="O99" i="18" s="1"/>
  <c r="P93" i="18"/>
  <c r="P99" i="18" s="1"/>
  <c r="H96" i="18"/>
  <c r="H102" i="18" s="1"/>
  <c r="I96" i="18"/>
  <c r="I102" i="18" s="1"/>
  <c r="J96" i="18"/>
  <c r="J102" i="18" s="1"/>
  <c r="K96" i="18"/>
  <c r="K102" i="18" s="1"/>
  <c r="L96" i="18"/>
  <c r="L102" i="18" s="1"/>
  <c r="M96" i="18"/>
  <c r="M102" i="18" s="1"/>
  <c r="N96" i="18"/>
  <c r="N102" i="18" s="1"/>
  <c r="O96" i="18"/>
  <c r="O102" i="18" s="1"/>
  <c r="P96" i="18"/>
  <c r="P102" i="18" s="1"/>
  <c r="G96" i="18"/>
  <c r="G102" i="18" s="1"/>
  <c r="G93" i="18"/>
  <c r="G99" i="18" s="1"/>
  <c r="R99" i="18" l="1"/>
  <c r="AC38" i="18"/>
  <c r="R102" i="18"/>
  <c r="U29" i="18"/>
  <c r="R96" i="18"/>
  <c r="R93" i="18"/>
  <c r="H108" i="18"/>
  <c r="I108" i="18"/>
  <c r="J108" i="18"/>
  <c r="K108" i="18"/>
  <c r="L108" i="18"/>
  <c r="M108" i="18"/>
  <c r="N108" i="18"/>
  <c r="O108" i="18"/>
  <c r="P108" i="18"/>
  <c r="G108" i="18"/>
  <c r="H107" i="18"/>
  <c r="I107" i="18"/>
  <c r="J107" i="18"/>
  <c r="K107" i="18"/>
  <c r="L107" i="18"/>
  <c r="M107" i="18"/>
  <c r="N107" i="18"/>
  <c r="O107" i="18"/>
  <c r="P107" i="18"/>
  <c r="G107" i="18"/>
  <c r="AF38" i="18" l="1"/>
  <c r="AD38" i="18"/>
  <c r="V29" i="18"/>
  <c r="R107" i="18"/>
  <c r="R108" i="18"/>
  <c r="AF69" i="18"/>
  <c r="W29" i="18" l="1"/>
  <c r="C178" i="18"/>
  <c r="D178" i="18"/>
  <c r="E178" i="18"/>
  <c r="F178" i="18"/>
  <c r="G178" i="18"/>
  <c r="H178" i="18"/>
  <c r="I178" i="18"/>
  <c r="J178" i="18"/>
  <c r="K178" i="18"/>
  <c r="L178" i="18"/>
  <c r="M178" i="18"/>
  <c r="N178" i="18"/>
  <c r="O178" i="18"/>
  <c r="P178" i="18"/>
  <c r="C9" i="15"/>
  <c r="D70" i="18"/>
  <c r="E70" i="18"/>
  <c r="E111" i="18" s="1"/>
  <c r="E112" i="18" s="1"/>
  <c r="F70" i="18"/>
  <c r="F111" i="18" s="1"/>
  <c r="F112" i="18" s="1"/>
  <c r="G70" i="18"/>
  <c r="G111" i="18" s="1"/>
  <c r="G112" i="18" s="1"/>
  <c r="H70" i="18"/>
  <c r="H111" i="18" s="1"/>
  <c r="H112" i="18" s="1"/>
  <c r="I70" i="18"/>
  <c r="I111" i="18" s="1"/>
  <c r="I112" i="18" s="1"/>
  <c r="J70" i="18"/>
  <c r="J111" i="18" s="1"/>
  <c r="J112" i="18" s="1"/>
  <c r="K70" i="18"/>
  <c r="K111" i="18" s="1"/>
  <c r="K112" i="18" s="1"/>
  <c r="L70" i="18"/>
  <c r="L111" i="18" s="1"/>
  <c r="L112" i="18" s="1"/>
  <c r="M70" i="18"/>
  <c r="M111" i="18" s="1"/>
  <c r="M112" i="18" s="1"/>
  <c r="N70" i="18"/>
  <c r="N111" i="18" s="1"/>
  <c r="N112" i="18" s="1"/>
  <c r="O70" i="18"/>
  <c r="O111" i="18" s="1"/>
  <c r="O112" i="18" s="1"/>
  <c r="P70" i="18"/>
  <c r="P111" i="18" s="1"/>
  <c r="C70" i="18"/>
  <c r="T70" i="18" l="1"/>
  <c r="T111" i="18" s="1"/>
  <c r="T112" i="18" s="1"/>
  <c r="X29" i="18"/>
  <c r="R178" i="18"/>
  <c r="N113" i="18"/>
  <c r="N114" i="18" s="1"/>
  <c r="J113" i="18"/>
  <c r="J114" i="18" s="1"/>
  <c r="L113" i="18"/>
  <c r="L114" i="18" s="1"/>
  <c r="H113" i="18"/>
  <c r="H114" i="18" s="1"/>
  <c r="M113" i="18"/>
  <c r="M114" i="18" s="1"/>
  <c r="I113" i="18"/>
  <c r="I114" i="18" s="1"/>
  <c r="F113" i="18"/>
  <c r="F114" i="18" s="1"/>
  <c r="O113" i="18"/>
  <c r="O114" i="18" s="1"/>
  <c r="K113" i="18"/>
  <c r="K114" i="18" s="1"/>
  <c r="G113" i="18"/>
  <c r="G114" i="18" s="1"/>
  <c r="P112" i="18"/>
  <c r="R111" i="18"/>
  <c r="U44" i="18"/>
  <c r="V44" i="18" l="1"/>
  <c r="Y29" i="18"/>
  <c r="P113" i="18"/>
  <c r="R112" i="18"/>
  <c r="U70" i="18"/>
  <c r="C80" i="18"/>
  <c r="D80" i="18"/>
  <c r="E80" i="18"/>
  <c r="F80" i="18"/>
  <c r="G80" i="18"/>
  <c r="G134" i="18" s="1"/>
  <c r="H80" i="18"/>
  <c r="H134" i="18" s="1"/>
  <c r="I80" i="18"/>
  <c r="I134" i="18" s="1"/>
  <c r="J80" i="18"/>
  <c r="J134" i="18" s="1"/>
  <c r="K80" i="18"/>
  <c r="K134" i="18" s="1"/>
  <c r="L80" i="18"/>
  <c r="L134" i="18" s="1"/>
  <c r="M80" i="18"/>
  <c r="M134" i="18" s="1"/>
  <c r="N80" i="18"/>
  <c r="N134" i="18" s="1"/>
  <c r="O80" i="18"/>
  <c r="O134" i="18" s="1"/>
  <c r="C81" i="18"/>
  <c r="D81" i="18"/>
  <c r="E81" i="18"/>
  <c r="F81" i="18"/>
  <c r="G81" i="18"/>
  <c r="H81" i="18"/>
  <c r="I81" i="18"/>
  <c r="J81" i="18"/>
  <c r="K81" i="18"/>
  <c r="L81" i="18"/>
  <c r="M81" i="18"/>
  <c r="N81" i="18"/>
  <c r="O81" i="18"/>
  <c r="C82" i="18"/>
  <c r="D82" i="18"/>
  <c r="E82" i="18"/>
  <c r="F82" i="18"/>
  <c r="G82" i="18"/>
  <c r="H82" i="18"/>
  <c r="I82" i="18"/>
  <c r="J82" i="18"/>
  <c r="K82" i="18"/>
  <c r="L82" i="18"/>
  <c r="M82" i="18"/>
  <c r="N82" i="18"/>
  <c r="O82" i="18"/>
  <c r="P82" i="18"/>
  <c r="P81" i="18"/>
  <c r="P80" i="18"/>
  <c r="P134" i="18" s="1"/>
  <c r="E88" i="18"/>
  <c r="F88" i="18"/>
  <c r="H88" i="18"/>
  <c r="I88" i="18"/>
  <c r="J88" i="18"/>
  <c r="K88" i="18"/>
  <c r="L88" i="18"/>
  <c r="M88" i="18"/>
  <c r="N88" i="18"/>
  <c r="O88" i="18"/>
  <c r="E86" i="18"/>
  <c r="E87" i="18"/>
  <c r="F87" i="18"/>
  <c r="G87" i="18"/>
  <c r="H87" i="18"/>
  <c r="I87" i="18"/>
  <c r="J87" i="18"/>
  <c r="K87" i="18"/>
  <c r="L87" i="18"/>
  <c r="M87" i="18"/>
  <c r="N87" i="18"/>
  <c r="O87" i="18"/>
  <c r="F86" i="18"/>
  <c r="G86" i="18"/>
  <c r="H86" i="18"/>
  <c r="I86" i="18"/>
  <c r="J86" i="18"/>
  <c r="K86" i="18"/>
  <c r="L86" i="18"/>
  <c r="M86" i="18"/>
  <c r="N86" i="18"/>
  <c r="O86" i="18"/>
  <c r="P87" i="18"/>
  <c r="W44" i="18" l="1"/>
  <c r="V70" i="18"/>
  <c r="R134" i="18"/>
  <c r="Z29" i="18"/>
  <c r="R82" i="18"/>
  <c r="R80" i="18"/>
  <c r="R81" i="18"/>
  <c r="R87" i="18"/>
  <c r="R88" i="18"/>
  <c r="P86" i="18"/>
  <c r="R86" i="18" s="1"/>
  <c r="C194" i="18"/>
  <c r="D194" i="18"/>
  <c r="E194" i="18"/>
  <c r="F194" i="18"/>
  <c r="C195" i="18"/>
  <c r="D195" i="18"/>
  <c r="E195" i="18"/>
  <c r="F195" i="18"/>
  <c r="C196" i="18"/>
  <c r="D196" i="18"/>
  <c r="E196" i="18"/>
  <c r="F196" i="18"/>
  <c r="H196" i="18"/>
  <c r="I196" i="18"/>
  <c r="J196" i="18"/>
  <c r="K196" i="18"/>
  <c r="L196" i="18"/>
  <c r="M196" i="18"/>
  <c r="N196" i="18"/>
  <c r="O196" i="18"/>
  <c r="P196" i="18"/>
  <c r="G196" i="18"/>
  <c r="H195" i="18"/>
  <c r="I195" i="18"/>
  <c r="J195" i="18"/>
  <c r="K195" i="18"/>
  <c r="L195" i="18"/>
  <c r="M195" i="18"/>
  <c r="N195" i="18"/>
  <c r="O195" i="18"/>
  <c r="P195" i="18"/>
  <c r="G195" i="18"/>
  <c r="H194" i="18"/>
  <c r="I194" i="18"/>
  <c r="J194" i="18"/>
  <c r="K194" i="18"/>
  <c r="L194" i="18"/>
  <c r="M194" i="18"/>
  <c r="N194" i="18"/>
  <c r="O194" i="18"/>
  <c r="P194" i="18"/>
  <c r="G194" i="18"/>
  <c r="H51" i="18"/>
  <c r="I51" i="18"/>
  <c r="J51" i="18"/>
  <c r="K51" i="18"/>
  <c r="L51" i="18"/>
  <c r="M51" i="18"/>
  <c r="N51" i="18"/>
  <c r="O51" i="18"/>
  <c r="P51" i="18"/>
  <c r="C51" i="18"/>
  <c r="D51" i="18"/>
  <c r="E51" i="18"/>
  <c r="F51" i="18"/>
  <c r="G51" i="18"/>
  <c r="G54" i="18"/>
  <c r="H50" i="18"/>
  <c r="H171" i="18" s="1"/>
  <c r="I50" i="18"/>
  <c r="I171" i="18" s="1"/>
  <c r="J50" i="18"/>
  <c r="J171" i="18" s="1"/>
  <c r="K50" i="18"/>
  <c r="K171" i="18" s="1"/>
  <c r="L50" i="18"/>
  <c r="L171" i="18" s="1"/>
  <c r="M50" i="18"/>
  <c r="M171" i="18" s="1"/>
  <c r="N50" i="18"/>
  <c r="N171" i="18" s="1"/>
  <c r="O50" i="18"/>
  <c r="O171" i="18" s="1"/>
  <c r="P50" i="18"/>
  <c r="P171" i="18" s="1"/>
  <c r="C50" i="18"/>
  <c r="C171" i="18" s="1"/>
  <c r="D50" i="18"/>
  <c r="D171" i="18" s="1"/>
  <c r="E50" i="18"/>
  <c r="E171" i="18" s="1"/>
  <c r="F50" i="18"/>
  <c r="F171" i="18" s="1"/>
  <c r="G50" i="18"/>
  <c r="G171" i="18" s="1"/>
  <c r="T94" i="18"/>
  <c r="T100" i="18" s="1"/>
  <c r="G177" i="18" l="1"/>
  <c r="X44" i="18"/>
  <c r="W70" i="18"/>
  <c r="R171" i="18"/>
  <c r="AA29" i="18"/>
  <c r="U36" i="18"/>
  <c r="U94" i="18" s="1"/>
  <c r="U100" i="18" s="1"/>
  <c r="R196" i="18"/>
  <c r="R51" i="18"/>
  <c r="R50" i="18"/>
  <c r="R195" i="18"/>
  <c r="R194" i="18"/>
  <c r="Y44" i="18" l="1"/>
  <c r="X70" i="18"/>
  <c r="AB29" i="18"/>
  <c r="V36" i="18"/>
  <c r="V94" i="18" s="1"/>
  <c r="V100" i="18" s="1"/>
  <c r="I77" i="18"/>
  <c r="J77" i="18"/>
  <c r="K77" i="18"/>
  <c r="L77" i="18"/>
  <c r="M77" i="18"/>
  <c r="N77" i="18"/>
  <c r="O77" i="18"/>
  <c r="P77" i="18"/>
  <c r="I78" i="18"/>
  <c r="J78" i="18"/>
  <c r="K78" i="18"/>
  <c r="L78" i="18"/>
  <c r="M78" i="18"/>
  <c r="N78" i="18"/>
  <c r="O78" i="18"/>
  <c r="P78" i="18"/>
  <c r="I72" i="18"/>
  <c r="I74" i="18" s="1"/>
  <c r="J72" i="18"/>
  <c r="J74" i="18" s="1"/>
  <c r="K72" i="18"/>
  <c r="K74" i="18" s="1"/>
  <c r="L72" i="18"/>
  <c r="L74" i="18" s="1"/>
  <c r="M72" i="18"/>
  <c r="M74" i="18" s="1"/>
  <c r="N72" i="18"/>
  <c r="N74" i="18" s="1"/>
  <c r="O72" i="18"/>
  <c r="O74" i="18" s="1"/>
  <c r="P72" i="18"/>
  <c r="P74" i="18" s="1"/>
  <c r="I75" i="18"/>
  <c r="J75" i="18"/>
  <c r="K75" i="18"/>
  <c r="L75" i="18"/>
  <c r="M75" i="18"/>
  <c r="N75" i="18"/>
  <c r="O75" i="18"/>
  <c r="P75" i="18"/>
  <c r="I76" i="18"/>
  <c r="J76" i="18"/>
  <c r="K76" i="18"/>
  <c r="L76" i="18"/>
  <c r="M76" i="18"/>
  <c r="N76" i="18"/>
  <c r="O76" i="18"/>
  <c r="P76" i="18"/>
  <c r="C75" i="18"/>
  <c r="D75" i="18"/>
  <c r="E75" i="18"/>
  <c r="F75" i="18"/>
  <c r="G75" i="18"/>
  <c r="C76" i="18"/>
  <c r="D76" i="18"/>
  <c r="E76" i="18"/>
  <c r="F76" i="18"/>
  <c r="G76" i="18"/>
  <c r="C77" i="18"/>
  <c r="D77" i="18"/>
  <c r="E77" i="18"/>
  <c r="F77" i="18"/>
  <c r="G77" i="18"/>
  <c r="C78" i="18"/>
  <c r="D78" i="18"/>
  <c r="E78" i="18"/>
  <c r="F78" i="18"/>
  <c r="G78" i="18"/>
  <c r="H78" i="18"/>
  <c r="H77" i="18"/>
  <c r="U22" i="18"/>
  <c r="V22" i="18" s="1"/>
  <c r="W22" i="18" s="1"/>
  <c r="X22" i="18" s="1"/>
  <c r="Y22" i="18" s="1"/>
  <c r="Z22" i="18" s="1"/>
  <c r="AA22" i="18" s="1"/>
  <c r="AB22" i="18" s="1"/>
  <c r="AC22" i="18" s="1"/>
  <c r="C72" i="18"/>
  <c r="C74" i="18" s="1"/>
  <c r="D72" i="18"/>
  <c r="D74" i="18" s="1"/>
  <c r="E72" i="18"/>
  <c r="E74" i="18" s="1"/>
  <c r="F72" i="18"/>
  <c r="F74" i="18" s="1"/>
  <c r="G72" i="18"/>
  <c r="G74" i="18" s="1"/>
  <c r="H72" i="18"/>
  <c r="H74" i="18" s="1"/>
  <c r="H76" i="18"/>
  <c r="H75" i="18"/>
  <c r="Z44" i="18" l="1"/>
  <c r="Y70" i="18"/>
  <c r="U23" i="18"/>
  <c r="T97" i="18"/>
  <c r="T103" i="18" s="1"/>
  <c r="AC29" i="18"/>
  <c r="AF31" i="18"/>
  <c r="AD31" i="18"/>
  <c r="AD22" i="18"/>
  <c r="AF22" i="18"/>
  <c r="W36" i="18"/>
  <c r="W94" i="18" s="1"/>
  <c r="W100" i="18" s="1"/>
  <c r="R77" i="18"/>
  <c r="R78" i="18"/>
  <c r="R76" i="18"/>
  <c r="R74" i="18"/>
  <c r="R75" i="18"/>
  <c r="R72" i="18"/>
  <c r="T55" i="18"/>
  <c r="U21" i="18"/>
  <c r="R70" i="18"/>
  <c r="R170" i="18"/>
  <c r="Z70" i="18" l="1"/>
  <c r="AA44" i="18"/>
  <c r="V23" i="18"/>
  <c r="U97" i="18"/>
  <c r="U103" i="18" s="1"/>
  <c r="AF29" i="18"/>
  <c r="AD29" i="18"/>
  <c r="U20" i="18"/>
  <c r="T72" i="18"/>
  <c r="V21" i="18"/>
  <c r="C19" i="15"/>
  <c r="U9" i="18"/>
  <c r="V9" i="18" s="1"/>
  <c r="W9" i="18" s="1"/>
  <c r="X9" i="18" s="1"/>
  <c r="Y9" i="18" s="1"/>
  <c r="Z9" i="18" s="1"/>
  <c r="AA9" i="18" s="1"/>
  <c r="AB9" i="18" s="1"/>
  <c r="AC9" i="18" s="1"/>
  <c r="AF9" i="18" s="1"/>
  <c r="T90" i="18"/>
  <c r="U33" i="18"/>
  <c r="V33" i="18" s="1"/>
  <c r="W33" i="18" s="1"/>
  <c r="X33" i="18" s="1"/>
  <c r="Y33" i="18" s="1"/>
  <c r="Z33" i="18" s="1"/>
  <c r="AA33" i="18" s="1"/>
  <c r="AB33" i="18" s="1"/>
  <c r="AC33" i="18" s="1"/>
  <c r="AF33" i="18" s="1"/>
  <c r="U34" i="18"/>
  <c r="V34" i="18" s="1"/>
  <c r="W34" i="18" s="1"/>
  <c r="X34" i="18" s="1"/>
  <c r="Y34" i="18" s="1"/>
  <c r="Z34" i="18" s="1"/>
  <c r="AA34" i="18" s="1"/>
  <c r="AB34" i="18" s="1"/>
  <c r="AC34" i="18" s="1"/>
  <c r="AF34" i="18" s="1"/>
  <c r="X36" i="18"/>
  <c r="X94" i="18" s="1"/>
  <c r="X100" i="18" s="1"/>
  <c r="O68" i="18"/>
  <c r="O175" i="18" s="1"/>
  <c r="O67" i="18"/>
  <c r="O65" i="18"/>
  <c r="O64" i="18"/>
  <c r="O62" i="18"/>
  <c r="O176" i="18" s="1"/>
  <c r="O61" i="18"/>
  <c r="O60" i="18"/>
  <c r="O58" i="18"/>
  <c r="O57" i="18"/>
  <c r="O173" i="18" s="1"/>
  <c r="O56" i="18"/>
  <c r="O54" i="18"/>
  <c r="AA70" i="18" l="1"/>
  <c r="AB44" i="18"/>
  <c r="U72" i="18"/>
  <c r="T126" i="18"/>
  <c r="T136" i="18"/>
  <c r="T127" i="18"/>
  <c r="T137" i="18"/>
  <c r="W23" i="18"/>
  <c r="V97" i="18"/>
  <c r="V103" i="18" s="1"/>
  <c r="T120" i="18"/>
  <c r="T121" i="18"/>
  <c r="T119" i="18"/>
  <c r="T109" i="18"/>
  <c r="P114" i="18"/>
  <c r="R114" i="18" s="1"/>
  <c r="R113" i="18"/>
  <c r="T93" i="18"/>
  <c r="T99" i="18" s="1"/>
  <c r="T117" i="18"/>
  <c r="T116" i="18"/>
  <c r="U18" i="18"/>
  <c r="O172" i="18"/>
  <c r="O179" i="18" s="1"/>
  <c r="O177" i="18"/>
  <c r="V20" i="18"/>
  <c r="U27" i="18"/>
  <c r="Y36" i="18"/>
  <c r="Y94" i="18" s="1"/>
  <c r="Y100" i="18" s="1"/>
  <c r="U25" i="18"/>
  <c r="U90" i="18" s="1"/>
  <c r="T86" i="18"/>
  <c r="W21" i="18"/>
  <c r="AD33" i="18"/>
  <c r="AD34" i="18"/>
  <c r="AD9" i="18"/>
  <c r="O66" i="18"/>
  <c r="O174" i="18" s="1"/>
  <c r="D62" i="18"/>
  <c r="E62" i="18"/>
  <c r="F62" i="18"/>
  <c r="G62" i="18"/>
  <c r="G176" i="18" s="1"/>
  <c r="H62" i="18"/>
  <c r="H176" i="18" s="1"/>
  <c r="I62" i="18"/>
  <c r="I176" i="18" s="1"/>
  <c r="J62" i="18"/>
  <c r="J176" i="18" s="1"/>
  <c r="K62" i="18"/>
  <c r="K176" i="18" s="1"/>
  <c r="L62" i="18"/>
  <c r="L176" i="18" s="1"/>
  <c r="M62" i="18"/>
  <c r="M176" i="18" s="1"/>
  <c r="N62" i="18"/>
  <c r="N176" i="18" s="1"/>
  <c r="P62" i="18"/>
  <c r="C62" i="18"/>
  <c r="C61" i="18"/>
  <c r="AC44" i="18" l="1"/>
  <c r="AB70" i="18"/>
  <c r="U127" i="18"/>
  <c r="U137" i="18"/>
  <c r="U126" i="18"/>
  <c r="U136" i="18"/>
  <c r="X23" i="18"/>
  <c r="W97" i="18"/>
  <c r="W103" i="18" s="1"/>
  <c r="U119" i="18"/>
  <c r="U121" i="18"/>
  <c r="U120" i="18"/>
  <c r="U109" i="18"/>
  <c r="U93" i="18"/>
  <c r="U99" i="18" s="1"/>
  <c r="U117" i="18"/>
  <c r="U116" i="18"/>
  <c r="V18" i="18"/>
  <c r="W20" i="18"/>
  <c r="V72" i="18"/>
  <c r="V27" i="18"/>
  <c r="V25" i="18"/>
  <c r="U86" i="18"/>
  <c r="Z36" i="18"/>
  <c r="Z94" i="18" s="1"/>
  <c r="Z100" i="18" s="1"/>
  <c r="X21" i="18"/>
  <c r="P176" i="18"/>
  <c r="R176" i="18" s="1"/>
  <c r="R62" i="18"/>
  <c r="D61" i="18"/>
  <c r="E61" i="18"/>
  <c r="F61" i="18"/>
  <c r="G61" i="18"/>
  <c r="H61" i="18"/>
  <c r="I61" i="18"/>
  <c r="J61" i="18"/>
  <c r="K61" i="18"/>
  <c r="L61" i="18"/>
  <c r="M61" i="18"/>
  <c r="N61" i="18"/>
  <c r="P61" i="18"/>
  <c r="D60" i="18"/>
  <c r="E60" i="18"/>
  <c r="F60" i="18"/>
  <c r="G60" i="18"/>
  <c r="H60" i="18"/>
  <c r="I60" i="18"/>
  <c r="J60" i="18"/>
  <c r="K60" i="18"/>
  <c r="L60" i="18"/>
  <c r="M60" i="18"/>
  <c r="N60" i="18"/>
  <c r="P60" i="18"/>
  <c r="C60" i="18"/>
  <c r="AF44" i="18" l="1"/>
  <c r="AC70" i="18"/>
  <c r="AD44" i="18"/>
  <c r="V126" i="18"/>
  <c r="V136" i="18"/>
  <c r="V127" i="18"/>
  <c r="V137" i="18"/>
  <c r="V90" i="18"/>
  <c r="Y23" i="18"/>
  <c r="X97" i="18"/>
  <c r="X103" i="18" s="1"/>
  <c r="V121" i="18"/>
  <c r="V120" i="18"/>
  <c r="V119" i="18"/>
  <c r="V109" i="18"/>
  <c r="V93" i="18"/>
  <c r="V99" i="18" s="1"/>
  <c r="V117" i="18"/>
  <c r="V116" i="18"/>
  <c r="W18" i="18"/>
  <c r="X20" i="18"/>
  <c r="W72" i="18"/>
  <c r="W27" i="18"/>
  <c r="W25" i="18"/>
  <c r="W90" i="18" s="1"/>
  <c r="V86" i="18"/>
  <c r="AA36" i="18"/>
  <c r="AA94" i="18" s="1"/>
  <c r="AA100" i="18" s="1"/>
  <c r="Y21" i="18"/>
  <c r="R60" i="18"/>
  <c r="R61" i="18"/>
  <c r="C46" i="15"/>
  <c r="T158" i="18" l="1"/>
  <c r="Q183" i="18" s="1"/>
  <c r="AF70" i="18"/>
  <c r="U158" i="18" s="1"/>
  <c r="AD70" i="18"/>
  <c r="W127" i="18"/>
  <c r="W137" i="18"/>
  <c r="W126" i="18"/>
  <c r="W136" i="18"/>
  <c r="Z23" i="18"/>
  <c r="Y97" i="18"/>
  <c r="Y103" i="18" s="1"/>
  <c r="W109" i="18"/>
  <c r="W121" i="18"/>
  <c r="W120" i="18"/>
  <c r="W119" i="18"/>
  <c r="W93" i="18"/>
  <c r="W99" i="18" s="1"/>
  <c r="W117" i="18"/>
  <c r="W116" i="18"/>
  <c r="X18" i="18"/>
  <c r="Y20" i="18"/>
  <c r="X72" i="18"/>
  <c r="X27" i="18"/>
  <c r="X25" i="18"/>
  <c r="W86" i="18"/>
  <c r="AB36" i="18"/>
  <c r="AB94" i="18" s="1"/>
  <c r="AB100" i="18" s="1"/>
  <c r="Z21" i="18"/>
  <c r="T170" i="18"/>
  <c r="T178" i="18" s="1"/>
  <c r="C54" i="18"/>
  <c r="D54" i="18"/>
  <c r="E54" i="18"/>
  <c r="F54" i="18"/>
  <c r="H54" i="18"/>
  <c r="I54" i="18"/>
  <c r="J54" i="18"/>
  <c r="K54" i="18"/>
  <c r="L54" i="18"/>
  <c r="L177" i="18" s="1"/>
  <c r="M54" i="18"/>
  <c r="N54" i="18"/>
  <c r="N177" i="18" s="1"/>
  <c r="P54" i="18"/>
  <c r="P191" i="18" s="1"/>
  <c r="D68" i="18"/>
  <c r="D175" i="18" s="1"/>
  <c r="E68" i="18"/>
  <c r="E175" i="18" s="1"/>
  <c r="F68" i="18"/>
  <c r="F175" i="18" s="1"/>
  <c r="G68" i="18"/>
  <c r="H68" i="18"/>
  <c r="H175" i="18" s="1"/>
  <c r="I68" i="18"/>
  <c r="I175" i="18" s="1"/>
  <c r="J68" i="18"/>
  <c r="J175" i="18" s="1"/>
  <c r="K68" i="18"/>
  <c r="K175" i="18" s="1"/>
  <c r="L68" i="18"/>
  <c r="L175" i="18" s="1"/>
  <c r="M68" i="18"/>
  <c r="M175" i="18" s="1"/>
  <c r="N68" i="18"/>
  <c r="P68" i="18"/>
  <c r="D67" i="18"/>
  <c r="E67" i="18"/>
  <c r="F67" i="18"/>
  <c r="G67" i="18"/>
  <c r="H67" i="18"/>
  <c r="I67" i="18"/>
  <c r="J67" i="18"/>
  <c r="K67" i="18"/>
  <c r="L67" i="18"/>
  <c r="M67" i="18"/>
  <c r="N67" i="18"/>
  <c r="P67" i="18"/>
  <c r="D65" i="18"/>
  <c r="E65" i="18"/>
  <c r="F65" i="18"/>
  <c r="G65" i="18"/>
  <c r="H65" i="18"/>
  <c r="I65" i="18"/>
  <c r="J65" i="18"/>
  <c r="K65" i="18"/>
  <c r="L65" i="18"/>
  <c r="M65" i="18"/>
  <c r="N65" i="18"/>
  <c r="P65" i="18"/>
  <c r="D64" i="18"/>
  <c r="D66" i="18" s="1"/>
  <c r="D174" i="18" s="1"/>
  <c r="E64" i="18"/>
  <c r="E66" i="18" s="1"/>
  <c r="E174" i="18" s="1"/>
  <c r="F64" i="18"/>
  <c r="G64" i="18"/>
  <c r="H64" i="18"/>
  <c r="I64" i="18"/>
  <c r="J64" i="18"/>
  <c r="K64" i="18"/>
  <c r="L64" i="18"/>
  <c r="M64" i="18"/>
  <c r="N64" i="18"/>
  <c r="P64" i="18"/>
  <c r="D58" i="18"/>
  <c r="E58" i="18"/>
  <c r="F58" i="18"/>
  <c r="G58" i="18"/>
  <c r="H58" i="18"/>
  <c r="I58" i="18"/>
  <c r="J58" i="18"/>
  <c r="K58" i="18"/>
  <c r="L58" i="18"/>
  <c r="M58" i="18"/>
  <c r="N58" i="18"/>
  <c r="P58" i="18"/>
  <c r="D57" i="18"/>
  <c r="D173" i="18" s="1"/>
  <c r="E57" i="18"/>
  <c r="E173" i="18" s="1"/>
  <c r="F57" i="18"/>
  <c r="F173" i="18" s="1"/>
  <c r="G57" i="18"/>
  <c r="H57" i="18"/>
  <c r="H173" i="18" s="1"/>
  <c r="I57" i="18"/>
  <c r="I173" i="18" s="1"/>
  <c r="J57" i="18"/>
  <c r="J173" i="18" s="1"/>
  <c r="K57" i="18"/>
  <c r="K173" i="18" s="1"/>
  <c r="L57" i="18"/>
  <c r="L173" i="18" s="1"/>
  <c r="M57" i="18"/>
  <c r="M173" i="18" s="1"/>
  <c r="N57" i="18"/>
  <c r="P57" i="18"/>
  <c r="C68" i="18"/>
  <c r="C175" i="18" s="1"/>
  <c r="C67" i="18"/>
  <c r="C65" i="18"/>
  <c r="C64" i="18"/>
  <c r="C58" i="18"/>
  <c r="C57" i="18"/>
  <c r="C173" i="18" s="1"/>
  <c r="D56" i="18"/>
  <c r="E56" i="18"/>
  <c r="F56" i="18"/>
  <c r="G56" i="18"/>
  <c r="H56" i="18"/>
  <c r="I56" i="18"/>
  <c r="J56" i="18"/>
  <c r="K56" i="18"/>
  <c r="L56" i="18"/>
  <c r="M56" i="18"/>
  <c r="N56" i="18"/>
  <c r="P56" i="18"/>
  <c r="C56" i="18"/>
  <c r="T124" i="18"/>
  <c r="T132" i="18"/>
  <c r="T133" i="18" s="1"/>
  <c r="T95" i="18"/>
  <c r="T101" i="18" s="1"/>
  <c r="R140" i="18" l="1"/>
  <c r="T106" i="18"/>
  <c r="S158" i="18"/>
  <c r="P183" i="18" s="1"/>
  <c r="X126" i="18"/>
  <c r="X136" i="18"/>
  <c r="X90" i="18"/>
  <c r="X127" i="18"/>
  <c r="X137" i="18"/>
  <c r="AA23" i="18"/>
  <c r="Z97" i="18"/>
  <c r="Z103" i="18" s="1"/>
  <c r="T88" i="18"/>
  <c r="T89" i="18"/>
  <c r="T130" i="18"/>
  <c r="T129" i="18"/>
  <c r="T96" i="18"/>
  <c r="T102" i="18" s="1"/>
  <c r="T125" i="18"/>
  <c r="H177" i="18"/>
  <c r="H172" i="18"/>
  <c r="H179" i="18" s="1"/>
  <c r="X109" i="18"/>
  <c r="X120" i="18"/>
  <c r="X119" i="18"/>
  <c r="X121" i="18"/>
  <c r="T108" i="18"/>
  <c r="T113" i="18"/>
  <c r="T114" i="18" s="1"/>
  <c r="X93" i="18"/>
  <c r="X99" i="18" s="1"/>
  <c r="X117" i="18"/>
  <c r="X116" i="18"/>
  <c r="T107" i="18"/>
  <c r="Y18" i="18"/>
  <c r="D172" i="18"/>
  <c r="D176" i="18" s="1"/>
  <c r="D177" i="18"/>
  <c r="E172" i="18"/>
  <c r="E176" i="18" s="1"/>
  <c r="E177" i="18"/>
  <c r="C172" i="18"/>
  <c r="C176" i="18" s="1"/>
  <c r="C177" i="18"/>
  <c r="P172" i="18"/>
  <c r="P179" i="18" s="1"/>
  <c r="P177" i="18"/>
  <c r="R177" i="18" s="1"/>
  <c r="K172" i="18"/>
  <c r="K179" i="18" s="1"/>
  <c r="K177" i="18"/>
  <c r="F172" i="18"/>
  <c r="F177" i="18"/>
  <c r="J172" i="18"/>
  <c r="J179" i="18" s="1"/>
  <c r="J177" i="18"/>
  <c r="M172" i="18"/>
  <c r="M179" i="18" s="1"/>
  <c r="M177" i="18"/>
  <c r="I172" i="18"/>
  <c r="I179" i="18" s="1"/>
  <c r="I177" i="18"/>
  <c r="Z20" i="18"/>
  <c r="Y72" i="18"/>
  <c r="H66" i="18"/>
  <c r="H174" i="18" s="1"/>
  <c r="Y27" i="18"/>
  <c r="U12" i="18"/>
  <c r="U15" i="18"/>
  <c r="U124" i="18" s="1"/>
  <c r="U13" i="18"/>
  <c r="U10" i="18"/>
  <c r="U16" i="18"/>
  <c r="U132" i="18" s="1"/>
  <c r="U133" i="18" s="1"/>
  <c r="U6" i="18"/>
  <c r="U7" i="18"/>
  <c r="Y25" i="18"/>
  <c r="Y90" i="18" s="1"/>
  <c r="X86" i="18"/>
  <c r="U40" i="18"/>
  <c r="T87" i="18"/>
  <c r="AC36" i="18"/>
  <c r="F66" i="18"/>
  <c r="F174" i="18" s="1"/>
  <c r="L66" i="18"/>
  <c r="L174" i="18" s="1"/>
  <c r="K66" i="18"/>
  <c r="K174" i="18" s="1"/>
  <c r="J66" i="18"/>
  <c r="J174" i="18" s="1"/>
  <c r="AA21" i="18"/>
  <c r="C66" i="18"/>
  <c r="C174" i="18" s="1"/>
  <c r="U170" i="18"/>
  <c r="U178" i="18" s="1"/>
  <c r="I66" i="18"/>
  <c r="I174" i="18" s="1"/>
  <c r="R56" i="18"/>
  <c r="G173" i="18"/>
  <c r="R57" i="18"/>
  <c r="R58" i="18"/>
  <c r="R65" i="18"/>
  <c r="R67" i="18"/>
  <c r="G172" i="18"/>
  <c r="G179" i="18" s="1"/>
  <c r="R54" i="18"/>
  <c r="G175" i="18"/>
  <c r="R68" i="18"/>
  <c r="G66" i="18"/>
  <c r="R64" i="18"/>
  <c r="N173" i="18"/>
  <c r="N172" i="18"/>
  <c r="N179" i="18" s="1"/>
  <c r="N175" i="18"/>
  <c r="P173" i="18"/>
  <c r="L172" i="18"/>
  <c r="L179" i="18" s="1"/>
  <c r="N66" i="18"/>
  <c r="M66" i="18"/>
  <c r="M174" i="18" s="1"/>
  <c r="P175" i="18"/>
  <c r="P66" i="18"/>
  <c r="T65" i="18"/>
  <c r="C6" i="12"/>
  <c r="C26" i="15"/>
  <c r="C58" i="15"/>
  <c r="C57" i="15"/>
  <c r="C54" i="15"/>
  <c r="C53" i="15"/>
  <c r="C50" i="15"/>
  <c r="C49" i="15"/>
  <c r="C45" i="15"/>
  <c r="F176" i="18" l="1"/>
  <c r="F179" i="18"/>
  <c r="R179" i="18"/>
  <c r="T190" i="18"/>
  <c r="T189" i="18" s="1"/>
  <c r="P190" i="18"/>
  <c r="U95" i="18"/>
  <c r="U101" i="18" s="1"/>
  <c r="U52" i="18"/>
  <c r="U91" i="18" s="1"/>
  <c r="U191" i="18"/>
  <c r="V191" i="18" s="1"/>
  <c r="W191" i="18" s="1"/>
  <c r="X191" i="18" s="1"/>
  <c r="Y191" i="18" s="1"/>
  <c r="Z191" i="18" s="1"/>
  <c r="AA191" i="18" s="1"/>
  <c r="AB191" i="18" s="1"/>
  <c r="AC191" i="18" s="1"/>
  <c r="AD191" i="18" s="1"/>
  <c r="AE191" i="18" s="1"/>
  <c r="AF191" i="18" s="1"/>
  <c r="AG191" i="18" s="1"/>
  <c r="AH191" i="18" s="1"/>
  <c r="AI191" i="18" s="1"/>
  <c r="AJ191" i="18" s="1"/>
  <c r="AK191" i="18" s="1"/>
  <c r="AL191" i="18" s="1"/>
  <c r="AM191" i="18" s="1"/>
  <c r="AN191" i="18" s="1"/>
  <c r="AO191" i="18" s="1"/>
  <c r="AP191" i="18" s="1"/>
  <c r="AQ191" i="18" s="1"/>
  <c r="AR191" i="18" s="1"/>
  <c r="AS191" i="18" s="1"/>
  <c r="AT191" i="18" s="1"/>
  <c r="U106" i="18"/>
  <c r="Y126" i="18"/>
  <c r="Y136" i="18"/>
  <c r="Y127" i="18"/>
  <c r="Y137" i="18"/>
  <c r="AF36" i="18"/>
  <c r="AC94" i="18"/>
  <c r="AB23" i="18"/>
  <c r="AA97" i="18"/>
  <c r="AA103" i="18" s="1"/>
  <c r="U130" i="18"/>
  <c r="U129" i="18"/>
  <c r="U96" i="18"/>
  <c r="U102" i="18" s="1"/>
  <c r="U125" i="18"/>
  <c r="U89" i="18"/>
  <c r="Y119" i="18"/>
  <c r="Y120" i="18"/>
  <c r="Y121" i="18"/>
  <c r="Y109" i="18"/>
  <c r="Y93" i="18"/>
  <c r="Y99" i="18" s="1"/>
  <c r="Y117" i="18"/>
  <c r="Y116" i="18"/>
  <c r="U107" i="18"/>
  <c r="U108" i="18"/>
  <c r="Z18" i="18"/>
  <c r="AA20" i="18"/>
  <c r="Z72" i="18"/>
  <c r="T64" i="18"/>
  <c r="T81" i="18"/>
  <c r="T60" i="18"/>
  <c r="T62" i="18"/>
  <c r="T176" i="18" s="1"/>
  <c r="T68" i="18"/>
  <c r="T175" i="18" s="1"/>
  <c r="T78" i="18"/>
  <c r="T80" i="18"/>
  <c r="T134" i="18" s="1"/>
  <c r="T51" i="18"/>
  <c r="T50" i="18"/>
  <c r="T171" i="18" s="1"/>
  <c r="T61" i="18"/>
  <c r="T57" i="18"/>
  <c r="T58" i="18"/>
  <c r="T67" i="18"/>
  <c r="T56" i="18"/>
  <c r="T82" i="18"/>
  <c r="T54" i="18"/>
  <c r="T177" i="18" s="1"/>
  <c r="Z27" i="18"/>
  <c r="V15" i="18"/>
  <c r="V124" i="18" s="1"/>
  <c r="V13" i="18"/>
  <c r="V12" i="18"/>
  <c r="T66" i="18"/>
  <c r="V16" i="18"/>
  <c r="V132" i="18" s="1"/>
  <c r="V133" i="18" s="1"/>
  <c r="V10" i="18"/>
  <c r="V7" i="18"/>
  <c r="V6" i="18"/>
  <c r="AD36" i="18"/>
  <c r="Z25" i="18"/>
  <c r="Z90" i="18" s="1"/>
  <c r="Y86" i="18"/>
  <c r="V40" i="18"/>
  <c r="U88" i="18"/>
  <c r="U87" i="18"/>
  <c r="U42" i="18"/>
  <c r="T75" i="18"/>
  <c r="T76" i="18"/>
  <c r="T77" i="18"/>
  <c r="T74" i="18"/>
  <c r="AB21" i="18"/>
  <c r="V170" i="18"/>
  <c r="V178" i="18" s="1"/>
  <c r="R173" i="18"/>
  <c r="R172" i="18"/>
  <c r="R175" i="18"/>
  <c r="G174" i="18"/>
  <c r="R66" i="18"/>
  <c r="N174" i="18"/>
  <c r="P174" i="18"/>
  <c r="C16" i="15"/>
  <c r="C21" i="15"/>
  <c r="C10" i="15"/>
  <c r="V95" i="18" l="1"/>
  <c r="V101" i="18" s="1"/>
  <c r="V52" i="18"/>
  <c r="V91" i="18" s="1"/>
  <c r="U192" i="18"/>
  <c r="V192" i="18" s="1"/>
  <c r="W192" i="18" s="1"/>
  <c r="X192" i="18" s="1"/>
  <c r="Y192" i="18" s="1"/>
  <c r="Z192" i="18" s="1"/>
  <c r="AA192" i="18" s="1"/>
  <c r="AB192" i="18" s="1"/>
  <c r="AC192" i="18" s="1"/>
  <c r="AD192" i="18" s="1"/>
  <c r="AE192" i="18" s="1"/>
  <c r="AF192" i="18" s="1"/>
  <c r="AG192" i="18" s="1"/>
  <c r="AH192" i="18" s="1"/>
  <c r="AI192" i="18" s="1"/>
  <c r="AJ192" i="18" s="1"/>
  <c r="AK192" i="18" s="1"/>
  <c r="AL192" i="18" s="1"/>
  <c r="AM192" i="18" s="1"/>
  <c r="AN192" i="18" s="1"/>
  <c r="AO192" i="18" s="1"/>
  <c r="AP192" i="18" s="1"/>
  <c r="AQ192" i="18" s="1"/>
  <c r="AR192" i="18" s="1"/>
  <c r="AS192" i="18" s="1"/>
  <c r="AT192" i="18" s="1"/>
  <c r="AD94" i="18"/>
  <c r="AC100" i="18"/>
  <c r="AD100" i="18" s="1"/>
  <c r="U190" i="18"/>
  <c r="V190" i="18" s="1"/>
  <c r="W190" i="18" s="1"/>
  <c r="X190" i="18" s="1"/>
  <c r="Y190" i="18" s="1"/>
  <c r="Z190" i="18" s="1"/>
  <c r="AA190" i="18" s="1"/>
  <c r="AB190" i="18" s="1"/>
  <c r="AC190" i="18" s="1"/>
  <c r="AD190" i="18" s="1"/>
  <c r="V106" i="18"/>
  <c r="U111" i="18"/>
  <c r="U112" i="18" s="1"/>
  <c r="U113" i="18" s="1"/>
  <c r="U114" i="18" s="1"/>
  <c r="U55" i="18"/>
  <c r="Z126" i="18"/>
  <c r="Z136" i="18"/>
  <c r="Z127" i="18"/>
  <c r="Z137" i="18"/>
  <c r="AC23" i="18"/>
  <c r="AB97" i="18"/>
  <c r="AB103" i="18" s="1"/>
  <c r="V96" i="18"/>
  <c r="V102" i="18" s="1"/>
  <c r="V125" i="18"/>
  <c r="V130" i="18"/>
  <c r="V129" i="18"/>
  <c r="V89" i="18"/>
  <c r="Z121" i="18"/>
  <c r="Z120" i="18"/>
  <c r="Z119" i="18"/>
  <c r="Z109" i="18"/>
  <c r="U64" i="18"/>
  <c r="Z93" i="18"/>
  <c r="Z99" i="18" s="1"/>
  <c r="Z117" i="18"/>
  <c r="Z116" i="18"/>
  <c r="V107" i="18"/>
  <c r="V108" i="18"/>
  <c r="U60" i="18"/>
  <c r="AA18" i="18"/>
  <c r="AB20" i="18"/>
  <c r="AA72" i="18"/>
  <c r="U62" i="18"/>
  <c r="U176" i="18" s="1"/>
  <c r="U68" i="18"/>
  <c r="U175" i="18" s="1"/>
  <c r="U78" i="18"/>
  <c r="U80" i="18"/>
  <c r="U134" i="18" s="1"/>
  <c r="U50" i="18"/>
  <c r="U171" i="18" s="1"/>
  <c r="U51" i="18"/>
  <c r="U57" i="18"/>
  <c r="U56" i="18"/>
  <c r="U67" i="18"/>
  <c r="U82" i="18"/>
  <c r="U61" i="18"/>
  <c r="U58" i="18"/>
  <c r="U54" i="18"/>
  <c r="U177" i="18" s="1"/>
  <c r="U65" i="18"/>
  <c r="U81" i="18"/>
  <c r="AA27" i="18"/>
  <c r="W13" i="18"/>
  <c r="W12" i="18"/>
  <c r="W15" i="18"/>
  <c r="W124" i="18" s="1"/>
  <c r="W10" i="18"/>
  <c r="W16" i="18"/>
  <c r="W132" i="18" s="1"/>
  <c r="W133" i="18" s="1"/>
  <c r="W6" i="18"/>
  <c r="W7" i="18"/>
  <c r="W40" i="18"/>
  <c r="V88" i="18"/>
  <c r="V87" i="18"/>
  <c r="AA25" i="18"/>
  <c r="AA90" i="18" s="1"/>
  <c r="Z86" i="18"/>
  <c r="V42" i="18"/>
  <c r="U77" i="18"/>
  <c r="U76" i="18"/>
  <c r="U75" i="18"/>
  <c r="U74" i="18"/>
  <c r="AC21" i="18"/>
  <c r="AF21" i="18" s="1"/>
  <c r="T174" i="18"/>
  <c r="W170" i="18"/>
  <c r="W178" i="18" s="1"/>
  <c r="T172" i="18"/>
  <c r="T179" i="18" s="1"/>
  <c r="T173" i="18"/>
  <c r="R174" i="18"/>
  <c r="D31" i="8"/>
  <c r="D29" i="8"/>
  <c r="D28" i="8"/>
  <c r="D13" i="8"/>
  <c r="D30" i="8" s="1"/>
  <c r="E14" i="8"/>
  <c r="F14" i="8" s="1"/>
  <c r="G14" i="8" s="1"/>
  <c r="H14" i="8" s="1"/>
  <c r="I14" i="8" s="1"/>
  <c r="W95" i="18" l="1"/>
  <c r="W101" i="18" s="1"/>
  <c r="W52" i="18"/>
  <c r="W91" i="18" s="1"/>
  <c r="U189" i="18"/>
  <c r="V189" i="18" s="1"/>
  <c r="W189" i="18" s="1"/>
  <c r="X189" i="18" s="1"/>
  <c r="Y189" i="18" s="1"/>
  <c r="Z189" i="18" s="1"/>
  <c r="AA189" i="18" s="1"/>
  <c r="AB189" i="18" s="1"/>
  <c r="AC189" i="18" s="1"/>
  <c r="AD189" i="18" s="1"/>
  <c r="AE190" i="18"/>
  <c r="AF190" i="18" s="1"/>
  <c r="AG190" i="18" s="1"/>
  <c r="AH190" i="18" s="1"/>
  <c r="AI190" i="18" s="1"/>
  <c r="AJ190" i="18" s="1"/>
  <c r="AK190" i="18" s="1"/>
  <c r="AL190" i="18" s="1"/>
  <c r="AM190" i="18" s="1"/>
  <c r="AN190" i="18" s="1"/>
  <c r="AO190" i="18" s="1"/>
  <c r="AP190" i="18" s="1"/>
  <c r="AQ190" i="18" s="1"/>
  <c r="AR190" i="18" s="1"/>
  <c r="AS190" i="18" s="1"/>
  <c r="AT190" i="18" s="1"/>
  <c r="W106" i="18"/>
  <c r="V111" i="18"/>
  <c r="V112" i="18" s="1"/>
  <c r="V113" i="18" s="1"/>
  <c r="V114" i="18" s="1"/>
  <c r="V55" i="18"/>
  <c r="AA126" i="18"/>
  <c r="AA136" i="18"/>
  <c r="AA127" i="18"/>
  <c r="AA137" i="18"/>
  <c r="AF23" i="18"/>
  <c r="AC97" i="18"/>
  <c r="AD23" i="18"/>
  <c r="W89" i="18"/>
  <c r="W129" i="18"/>
  <c r="W130" i="18"/>
  <c r="W96" i="18"/>
  <c r="W102" i="18" s="1"/>
  <c r="W125" i="18"/>
  <c r="AA121" i="18"/>
  <c r="AA120" i="18"/>
  <c r="AA119" i="18"/>
  <c r="AA109" i="18"/>
  <c r="V64" i="18"/>
  <c r="U66" i="18"/>
  <c r="U174" i="18" s="1"/>
  <c r="AA93" i="18"/>
  <c r="AA99" i="18" s="1"/>
  <c r="AA117" i="18"/>
  <c r="AA116" i="18"/>
  <c r="W108" i="18"/>
  <c r="W107" i="18"/>
  <c r="AB18" i="18"/>
  <c r="AC20" i="18"/>
  <c r="AB72" i="18"/>
  <c r="V82" i="18"/>
  <c r="V81" i="18"/>
  <c r="V60" i="18"/>
  <c r="V68" i="18"/>
  <c r="V175" i="18" s="1"/>
  <c r="V67" i="18"/>
  <c r="V62" i="18"/>
  <c r="V176" i="18" s="1"/>
  <c r="V65" i="18"/>
  <c r="V56" i="18"/>
  <c r="V78" i="18"/>
  <c r="V80" i="18"/>
  <c r="V134" i="18" s="1"/>
  <c r="V51" i="18"/>
  <c r="V50" i="18"/>
  <c r="V171" i="18" s="1"/>
  <c r="V61" i="18"/>
  <c r="V57" i="18"/>
  <c r="V58" i="18"/>
  <c r="V54" i="18"/>
  <c r="V177" i="18" s="1"/>
  <c r="AB27" i="18"/>
  <c r="X12" i="18"/>
  <c r="X15" i="18"/>
  <c r="X124" i="18" s="1"/>
  <c r="X13" i="18"/>
  <c r="X16" i="18"/>
  <c r="X132" i="18" s="1"/>
  <c r="X133" i="18" s="1"/>
  <c r="X10" i="18"/>
  <c r="X7" i="18"/>
  <c r="X6" i="18"/>
  <c r="AB25" i="18"/>
  <c r="AA86" i="18"/>
  <c r="X40" i="18"/>
  <c r="W87" i="18"/>
  <c r="W88" i="18"/>
  <c r="W42" i="18"/>
  <c r="V77" i="18"/>
  <c r="V75" i="18"/>
  <c r="V76" i="18"/>
  <c r="V74" i="18"/>
  <c r="AD21" i="18"/>
  <c r="X170" i="18"/>
  <c r="X178" i="18" s="1"/>
  <c r="U172" i="18"/>
  <c r="U179" i="18" s="1"/>
  <c r="U173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X95" i="18" l="1"/>
  <c r="X101" i="18" s="1"/>
  <c r="X52" i="18"/>
  <c r="X91" i="18" s="1"/>
  <c r="AE189" i="18"/>
  <c r="AF189" i="18" s="1"/>
  <c r="AG189" i="18" s="1"/>
  <c r="AH189" i="18" s="1"/>
  <c r="AI189" i="18" s="1"/>
  <c r="AJ189" i="18" s="1"/>
  <c r="AK189" i="18" s="1"/>
  <c r="AL189" i="18" s="1"/>
  <c r="AM189" i="18" s="1"/>
  <c r="AN189" i="18" s="1"/>
  <c r="AO189" i="18" s="1"/>
  <c r="AP189" i="18" s="1"/>
  <c r="AQ189" i="18" s="1"/>
  <c r="AR189" i="18" s="1"/>
  <c r="AS189" i="18" s="1"/>
  <c r="AT189" i="18" s="1"/>
  <c r="AD97" i="18"/>
  <c r="AC103" i="18"/>
  <c r="AD103" i="18" s="1"/>
  <c r="X106" i="18"/>
  <c r="W111" i="18"/>
  <c r="W112" i="18" s="1"/>
  <c r="W113" i="18" s="1"/>
  <c r="W114" i="18" s="1"/>
  <c r="W55" i="18"/>
  <c r="AB126" i="18"/>
  <c r="AB136" i="18"/>
  <c r="AB127" i="18"/>
  <c r="AB137" i="18"/>
  <c r="AF20" i="18"/>
  <c r="AB90" i="18"/>
  <c r="X130" i="18"/>
  <c r="X129" i="18"/>
  <c r="X96" i="18"/>
  <c r="X102" i="18" s="1"/>
  <c r="X125" i="18"/>
  <c r="X89" i="18"/>
  <c r="AB120" i="18"/>
  <c r="AB119" i="18"/>
  <c r="AB121" i="18"/>
  <c r="AB109" i="18"/>
  <c r="V66" i="18"/>
  <c r="V174" i="18" s="1"/>
  <c r="AB93" i="18"/>
  <c r="AB99" i="18" s="1"/>
  <c r="AB117" i="18"/>
  <c r="AB116" i="18"/>
  <c r="W67" i="18"/>
  <c r="X108" i="18"/>
  <c r="X107" i="18"/>
  <c r="AC18" i="18"/>
  <c r="W82" i="18"/>
  <c r="W58" i="18"/>
  <c r="W65" i="18"/>
  <c r="AD20" i="18"/>
  <c r="AC72" i="18"/>
  <c r="W56" i="18"/>
  <c r="W64" i="18"/>
  <c r="W61" i="18"/>
  <c r="W81" i="18"/>
  <c r="W57" i="18"/>
  <c r="W62" i="18"/>
  <c r="W176" i="18" s="1"/>
  <c r="W78" i="18"/>
  <c r="W80" i="18"/>
  <c r="W134" i="18" s="1"/>
  <c r="W50" i="18"/>
  <c r="W171" i="18" s="1"/>
  <c r="W51" i="18"/>
  <c r="W60" i="18"/>
  <c r="W68" i="18"/>
  <c r="W175" i="18" s="1"/>
  <c r="W54" i="18"/>
  <c r="W177" i="18" s="1"/>
  <c r="AC27" i="18"/>
  <c r="AC137" i="18" s="1"/>
  <c r="AD137" i="18" s="1"/>
  <c r="Y15" i="18"/>
  <c r="Y124" i="18" s="1"/>
  <c r="Y13" i="18"/>
  <c r="Y12" i="18"/>
  <c r="Y10" i="18"/>
  <c r="Y16" i="18"/>
  <c r="Y132" i="18" s="1"/>
  <c r="Y133" i="18" s="1"/>
  <c r="Y6" i="18"/>
  <c r="Y7" i="18"/>
  <c r="Y40" i="18"/>
  <c r="X88" i="18"/>
  <c r="X87" i="18"/>
  <c r="AC25" i="18"/>
  <c r="AC90" i="18" s="1"/>
  <c r="AD90" i="18" s="1"/>
  <c r="AB86" i="18"/>
  <c r="X42" i="18"/>
  <c r="W77" i="18"/>
  <c r="W75" i="18"/>
  <c r="W76" i="18"/>
  <c r="W74" i="18"/>
  <c r="Y170" i="18"/>
  <c r="Y178" i="18" s="1"/>
  <c r="V172" i="18"/>
  <c r="V179" i="18" s="1"/>
  <c r="V173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Y95" i="18" l="1"/>
  <c r="Y101" i="18" s="1"/>
  <c r="Y52" i="18"/>
  <c r="Y91" i="18" s="1"/>
  <c r="Y106" i="18"/>
  <c r="X111" i="18"/>
  <c r="X112" i="18" s="1"/>
  <c r="X113" i="18" s="1"/>
  <c r="X114" i="18" s="1"/>
  <c r="X55" i="18"/>
  <c r="AC126" i="18"/>
  <c r="AD126" i="18" s="1"/>
  <c r="AC136" i="18"/>
  <c r="AD136" i="18" s="1"/>
  <c r="Y96" i="18"/>
  <c r="Y102" i="18" s="1"/>
  <c r="Y125" i="18"/>
  <c r="Y130" i="18"/>
  <c r="Y129" i="18"/>
  <c r="AF27" i="18"/>
  <c r="AC127" i="18"/>
  <c r="AD127" i="18" s="1"/>
  <c r="Y89" i="18"/>
  <c r="AC119" i="18"/>
  <c r="AD119" i="18" s="1"/>
  <c r="AC121" i="18"/>
  <c r="AD121" i="18" s="1"/>
  <c r="AC120" i="18"/>
  <c r="AD120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C109" i="18"/>
  <c r="AD109" i="18" s="1"/>
  <c r="W66" i="18"/>
  <c r="W174" i="18" s="1"/>
  <c r="X65" i="18"/>
  <c r="AC93" i="18"/>
  <c r="AC117" i="18"/>
  <c r="AD117" i="18" s="1"/>
  <c r="AC116" i="18"/>
  <c r="AD116" i="18" s="1"/>
  <c r="Y108" i="18"/>
  <c r="Y107" i="18"/>
  <c r="AF25" i="18"/>
  <c r="AF18" i="18"/>
  <c r="AD18" i="18"/>
  <c r="T160" i="18"/>
  <c r="AF72" i="18"/>
  <c r="AD72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X68" i="18"/>
  <c r="X175" i="18" s="1"/>
  <c r="X67" i="18"/>
  <c r="X62" i="18"/>
  <c r="X176" i="18" s="1"/>
  <c r="X64" i="18"/>
  <c r="X61" i="18"/>
  <c r="X81" i="18"/>
  <c r="X60" i="18"/>
  <c r="X82" i="18"/>
  <c r="X78" i="18"/>
  <c r="X80" i="18"/>
  <c r="X134" i="18" s="1"/>
  <c r="X51" i="18"/>
  <c r="X50" i="18"/>
  <c r="X171" i="18" s="1"/>
  <c r="X56" i="18"/>
  <c r="X57" i="18"/>
  <c r="X58" i="18"/>
  <c r="X54" i="18"/>
  <c r="X177" i="18" s="1"/>
  <c r="AD27" i="18"/>
  <c r="Z12" i="18"/>
  <c r="Z15" i="18"/>
  <c r="Z124" i="18" s="1"/>
  <c r="Z13" i="18"/>
  <c r="Z10" i="18"/>
  <c r="Z16" i="18"/>
  <c r="Z132" i="18" s="1"/>
  <c r="Z133" i="18" s="1"/>
  <c r="Z7" i="18"/>
  <c r="Z6" i="18"/>
  <c r="AD25" i="18"/>
  <c r="AC86" i="18"/>
  <c r="AD86" i="18" s="1"/>
  <c r="Z40" i="18"/>
  <c r="Y88" i="18"/>
  <c r="Y87" i="18"/>
  <c r="O31" i="9"/>
  <c r="O32" i="9" s="1"/>
  <c r="Y42" i="18"/>
  <c r="X77" i="18"/>
  <c r="X75" i="18"/>
  <c r="X76" i="18"/>
  <c r="X74" i="18"/>
  <c r="Z170" i="18"/>
  <c r="Z178" i="18" s="1"/>
  <c r="W172" i="18"/>
  <c r="W179" i="18" s="1"/>
  <c r="W173" i="18"/>
  <c r="P31" i="11"/>
  <c r="N32" i="11"/>
  <c r="T19" i="9"/>
  <c r="D22" i="9"/>
  <c r="Z95" i="18" l="1"/>
  <c r="Z101" i="18" s="1"/>
  <c r="Z52" i="18"/>
  <c r="Z91" i="18" s="1"/>
  <c r="AD93" i="18"/>
  <c r="AC99" i="18"/>
  <c r="AD99" i="18" s="1"/>
  <c r="Z106" i="18"/>
  <c r="Y111" i="18"/>
  <c r="Y112" i="18" s="1"/>
  <c r="Y113" i="18" s="1"/>
  <c r="Y114" i="18" s="1"/>
  <c r="Y55" i="18"/>
  <c r="Z130" i="18"/>
  <c r="Z129" i="18"/>
  <c r="Z96" i="18"/>
  <c r="Z102" i="18" s="1"/>
  <c r="Z125" i="18"/>
  <c r="Z89" i="18"/>
  <c r="X66" i="18"/>
  <c r="X174" i="18" s="1"/>
  <c r="Y58" i="18"/>
  <c r="Z107" i="18"/>
  <c r="Z108" i="18"/>
  <c r="U160" i="18"/>
  <c r="S160" i="18" s="1"/>
  <c r="Y60" i="18"/>
  <c r="Y67" i="18"/>
  <c r="Y54" i="18"/>
  <c r="Y177" i="18" s="1"/>
  <c r="Y62" i="18"/>
  <c r="Y176" i="18" s="1"/>
  <c r="Y57" i="18"/>
  <c r="Y56" i="18"/>
  <c r="Y78" i="18"/>
  <c r="Y80" i="18"/>
  <c r="Y134" i="18" s="1"/>
  <c r="Y51" i="18"/>
  <c r="Y50" i="18"/>
  <c r="Y171" i="18" s="1"/>
  <c r="Y82" i="18"/>
  <c r="Y61" i="18"/>
  <c r="Y68" i="18"/>
  <c r="Y175" i="18" s="1"/>
  <c r="Y65" i="18"/>
  <c r="Y64" i="18"/>
  <c r="Y81" i="18"/>
  <c r="AA13" i="18"/>
  <c r="AA12" i="18"/>
  <c r="AA15" i="18"/>
  <c r="AA124" i="18" s="1"/>
  <c r="AA10" i="18"/>
  <c r="AA16" i="18"/>
  <c r="AA132" i="18" s="1"/>
  <c r="AA133" i="18" s="1"/>
  <c r="AA6" i="18"/>
  <c r="AA7" i="18"/>
  <c r="AA40" i="18"/>
  <c r="Z88" i="18"/>
  <c r="Z87" i="18"/>
  <c r="Z42" i="18"/>
  <c r="Y77" i="18"/>
  <c r="Y75" i="18"/>
  <c r="Y76" i="18"/>
  <c r="Y74" i="18"/>
  <c r="AA170" i="18"/>
  <c r="AA178" i="18" s="1"/>
  <c r="X172" i="18"/>
  <c r="X179" i="18" s="1"/>
  <c r="X173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AA95" i="18" l="1"/>
  <c r="AA101" i="18" s="1"/>
  <c r="AA52" i="18"/>
  <c r="AA91" i="18" s="1"/>
  <c r="AA106" i="18"/>
  <c r="Z111" i="18"/>
  <c r="Z112" i="18" s="1"/>
  <c r="Z113" i="18" s="1"/>
  <c r="Z114" i="18" s="1"/>
  <c r="Z55" i="18"/>
  <c r="AA96" i="18"/>
  <c r="AA102" i="18" s="1"/>
  <c r="AA125" i="18"/>
  <c r="AA129" i="18"/>
  <c r="AA130" i="18"/>
  <c r="AA89" i="18"/>
  <c r="AA107" i="18"/>
  <c r="AA108" i="18"/>
  <c r="Y66" i="18"/>
  <c r="Y174" i="18" s="1"/>
  <c r="Z78" i="18"/>
  <c r="Z80" i="18"/>
  <c r="Z134" i="18" s="1"/>
  <c r="Z50" i="18"/>
  <c r="Z171" i="18" s="1"/>
  <c r="Z51" i="18"/>
  <c r="Z62" i="18"/>
  <c r="Z176" i="18" s="1"/>
  <c r="Z68" i="18"/>
  <c r="Z175" i="18" s="1"/>
  <c r="Z67" i="18"/>
  <c r="Z65" i="18"/>
  <c r="Z56" i="18"/>
  <c r="Z54" i="18"/>
  <c r="Z177" i="18" s="1"/>
  <c r="Z61" i="18"/>
  <c r="Z57" i="18"/>
  <c r="Z58" i="18"/>
  <c r="Z64" i="18"/>
  <c r="Z81" i="18"/>
  <c r="Z60" i="18"/>
  <c r="Z82" i="18"/>
  <c r="AB12" i="18"/>
  <c r="AB15" i="18"/>
  <c r="AB124" i="18" s="1"/>
  <c r="AB13" i="18"/>
  <c r="AB10" i="18"/>
  <c r="AB16" i="18"/>
  <c r="AB132" i="18" s="1"/>
  <c r="AB133" i="18" s="1"/>
  <c r="AB7" i="18"/>
  <c r="AB6" i="18"/>
  <c r="AB40" i="18"/>
  <c r="AA87" i="18"/>
  <c r="AA88" i="18"/>
  <c r="AA42" i="18"/>
  <c r="Z77" i="18"/>
  <c r="Z75" i="18"/>
  <c r="Z76" i="18"/>
  <c r="Z74" i="18"/>
  <c r="AB170" i="18"/>
  <c r="AB178" i="18" s="1"/>
  <c r="Y172" i="18"/>
  <c r="Y179" i="18" s="1"/>
  <c r="Y173" i="18"/>
  <c r="N34" i="11"/>
  <c r="O33" i="11"/>
  <c r="D25" i="8"/>
  <c r="D23" i="8"/>
  <c r="AB95" i="18" l="1"/>
  <c r="AB101" i="18" s="1"/>
  <c r="AB52" i="18"/>
  <c r="AB91" i="18" s="1"/>
  <c r="AB106" i="18"/>
  <c r="AA111" i="18"/>
  <c r="AA112" i="18" s="1"/>
  <c r="AA113" i="18" s="1"/>
  <c r="AA114" i="18" s="1"/>
  <c r="AA55" i="18"/>
  <c r="AB89" i="18"/>
  <c r="AB129" i="18"/>
  <c r="AB130" i="18"/>
  <c r="AB96" i="18"/>
  <c r="AB102" i="18" s="1"/>
  <c r="AB125" i="18"/>
  <c r="AB107" i="18"/>
  <c r="AB108" i="18"/>
  <c r="Z66" i="18"/>
  <c r="Z174" i="18" s="1"/>
  <c r="AA78" i="18"/>
  <c r="AA80" i="18"/>
  <c r="AA134" i="18" s="1"/>
  <c r="AA51" i="18"/>
  <c r="AA50" i="18"/>
  <c r="AA171" i="18" s="1"/>
  <c r="AA56" i="18"/>
  <c r="AA67" i="18"/>
  <c r="AA57" i="18"/>
  <c r="AA62" i="18"/>
  <c r="AA176" i="18" s="1"/>
  <c r="AA65" i="18"/>
  <c r="AA64" i="18"/>
  <c r="AA82" i="18"/>
  <c r="AA68" i="18"/>
  <c r="AA175" i="18" s="1"/>
  <c r="AA54" i="18"/>
  <c r="AA177" i="18" s="1"/>
  <c r="AA61" i="18"/>
  <c r="AA81" i="18"/>
  <c r="AA60" i="18"/>
  <c r="AA58" i="18"/>
  <c r="AC15" i="18"/>
  <c r="AC13" i="18"/>
  <c r="AF13" i="18" s="1"/>
  <c r="AC12" i="18"/>
  <c r="AC125" i="18" s="1"/>
  <c r="AD125" i="18" s="1"/>
  <c r="AC10" i="18"/>
  <c r="AC16" i="18"/>
  <c r="AC6" i="18"/>
  <c r="AF6" i="18" s="1"/>
  <c r="AC7" i="18"/>
  <c r="AF7" i="18" s="1"/>
  <c r="AC40" i="18"/>
  <c r="AB88" i="18"/>
  <c r="AB87" i="18"/>
  <c r="AB42" i="18"/>
  <c r="AA77" i="18"/>
  <c r="AA75" i="18"/>
  <c r="AA76" i="18"/>
  <c r="AA74" i="18"/>
  <c r="AC170" i="18"/>
  <c r="AC178" i="18" s="1"/>
  <c r="Z172" i="18"/>
  <c r="Z179" i="18" s="1"/>
  <c r="Z173" i="18"/>
  <c r="N35" i="11"/>
  <c r="O34" i="11"/>
  <c r="D35" i="8"/>
  <c r="E5" i="8"/>
  <c r="E18" i="8" s="1"/>
  <c r="D18" i="8"/>
  <c r="D19" i="8"/>
  <c r="D21" i="8"/>
  <c r="D20" i="8"/>
  <c r="AC95" i="18" l="1"/>
  <c r="AC101" i="18" s="1"/>
  <c r="AD101" i="18" s="1"/>
  <c r="AC52" i="18"/>
  <c r="AC106" i="18"/>
  <c r="AD178" i="18"/>
  <c r="AF178" i="18" s="1"/>
  <c r="AB111" i="18"/>
  <c r="AB112" i="18" s="1"/>
  <c r="AB113" i="18" s="1"/>
  <c r="AB114" i="18" s="1"/>
  <c r="AB55" i="18"/>
  <c r="AF16" i="18"/>
  <c r="AC132" i="18"/>
  <c r="AC130" i="18"/>
  <c r="AD130" i="18" s="1"/>
  <c r="AC129" i="18"/>
  <c r="AD129" i="18" s="1"/>
  <c r="AF15" i="18"/>
  <c r="AC124" i="18"/>
  <c r="AD124" i="18" s="1"/>
  <c r="AC89" i="18"/>
  <c r="AD89" i="18" s="1"/>
  <c r="AF10" i="18"/>
  <c r="AD106" i="18"/>
  <c r="AF12" i="18"/>
  <c r="AC96" i="18"/>
  <c r="AF40" i="18"/>
  <c r="AC107" i="18"/>
  <c r="AD107" i="18" s="1"/>
  <c r="AC108" i="18"/>
  <c r="AD108" i="18" s="1"/>
  <c r="AA66" i="18"/>
  <c r="AA174" i="18" s="1"/>
  <c r="AB78" i="18"/>
  <c r="AB80" i="18"/>
  <c r="AB134" i="18" s="1"/>
  <c r="AB50" i="18"/>
  <c r="AB171" i="18" s="1"/>
  <c r="AB51" i="18"/>
  <c r="AB60" i="18"/>
  <c r="AB68" i="18"/>
  <c r="AB175" i="18" s="1"/>
  <c r="AB54" i="18"/>
  <c r="AB177" i="18" s="1"/>
  <c r="AB62" i="18"/>
  <c r="AB176" i="18" s="1"/>
  <c r="AB65" i="18"/>
  <c r="AB81" i="18"/>
  <c r="AB56" i="18"/>
  <c r="AB57" i="18"/>
  <c r="AB58" i="18"/>
  <c r="AB61" i="18"/>
  <c r="AB82" i="18"/>
  <c r="AB64" i="18"/>
  <c r="AB67" i="18"/>
  <c r="AD15" i="18"/>
  <c r="AD13" i="18"/>
  <c r="T154" i="18"/>
  <c r="AD12" i="18"/>
  <c r="AD10" i="18"/>
  <c r="AD16" i="18"/>
  <c r="AD7" i="18"/>
  <c r="AD6" i="18"/>
  <c r="AC88" i="18"/>
  <c r="AD88" i="18" s="1"/>
  <c r="AC87" i="18"/>
  <c r="AD87" i="18" s="1"/>
  <c r="AD40" i="18"/>
  <c r="AC42" i="18"/>
  <c r="AB77" i="18"/>
  <c r="AB75" i="18"/>
  <c r="AB76" i="18"/>
  <c r="AB74" i="18"/>
  <c r="AD170" i="18"/>
  <c r="AF170" i="18" s="1"/>
  <c r="AA172" i="18"/>
  <c r="AA179" i="18" s="1"/>
  <c r="AA173" i="18"/>
  <c r="N36" i="11"/>
  <c r="O35" i="11"/>
  <c r="F5" i="8"/>
  <c r="G5" i="8" s="1"/>
  <c r="H5" i="8" s="1"/>
  <c r="I5" i="8" s="1"/>
  <c r="AD95" i="18" l="1"/>
  <c r="AC91" i="18"/>
  <c r="AD91" i="18" s="1"/>
  <c r="AD52" i="18"/>
  <c r="AF52" i="18"/>
  <c r="AD96" i="18"/>
  <c r="AC102" i="18"/>
  <c r="AD102" i="18" s="1"/>
  <c r="AC111" i="18"/>
  <c r="AC112" i="18" s="1"/>
  <c r="AC113" i="18" s="1"/>
  <c r="AC114" i="18" s="1"/>
  <c r="AC55" i="18"/>
  <c r="AD132" i="18"/>
  <c r="AC133" i="18"/>
  <c r="AD133" i="18" s="1"/>
  <c r="AF42" i="18"/>
  <c r="U154" i="18"/>
  <c r="U155" i="18" s="1"/>
  <c r="AB66" i="18"/>
  <c r="AB174" i="18" s="1"/>
  <c r="AC78" i="18"/>
  <c r="AC80" i="18"/>
  <c r="AC50" i="18"/>
  <c r="AC171" i="18" s="1"/>
  <c r="AD171" i="18" s="1"/>
  <c r="AF171" i="18" s="1"/>
  <c r="AC51" i="18"/>
  <c r="AC60" i="18"/>
  <c r="AC65" i="18"/>
  <c r="AC54" i="18"/>
  <c r="AC62" i="18"/>
  <c r="AC58" i="18"/>
  <c r="AC81" i="18"/>
  <c r="AC57" i="18"/>
  <c r="AF57" i="18" s="1"/>
  <c r="AC56" i="18"/>
  <c r="AC67" i="18"/>
  <c r="AC82" i="18"/>
  <c r="AC61" i="18"/>
  <c r="AC68" i="18"/>
  <c r="AC64" i="18"/>
  <c r="T155" i="18"/>
  <c r="Q186" i="18" s="1"/>
  <c r="AC77" i="18"/>
  <c r="AC75" i="18"/>
  <c r="AD42" i="18"/>
  <c r="AC76" i="18"/>
  <c r="AC74" i="18"/>
  <c r="AB172" i="18"/>
  <c r="AB179" i="18" s="1"/>
  <c r="AB173" i="18"/>
  <c r="N37" i="11"/>
  <c r="O36" i="11"/>
  <c r="F18" i="8"/>
  <c r="G18" i="8"/>
  <c r="AF54" i="18" l="1"/>
  <c r="AC177" i="18"/>
  <c r="AF55" i="18"/>
  <c r="AD55" i="18"/>
  <c r="AF80" i="18"/>
  <c r="AC134" i="18"/>
  <c r="AD134" i="18" s="1"/>
  <c r="AD111" i="18"/>
  <c r="S154" i="18"/>
  <c r="S155" i="18"/>
  <c r="AD81" i="18"/>
  <c r="AF81" i="18"/>
  <c r="AD51" i="18"/>
  <c r="AF51" i="18"/>
  <c r="T151" i="18"/>
  <c r="AF67" i="18"/>
  <c r="AC175" i="18"/>
  <c r="AD175" i="18" s="1"/>
  <c r="AF175" i="18" s="1"/>
  <c r="AF68" i="18"/>
  <c r="AD50" i="18"/>
  <c r="AF50" i="18"/>
  <c r="AD65" i="18"/>
  <c r="AF65" i="18"/>
  <c r="T145" i="18"/>
  <c r="AF64" i="18"/>
  <c r="T144" i="18"/>
  <c r="AF58" i="18"/>
  <c r="AC176" i="18"/>
  <c r="AD176" i="18" s="1"/>
  <c r="AF176" i="18" s="1"/>
  <c r="AF62" i="18"/>
  <c r="AD61" i="18"/>
  <c r="AF61" i="18"/>
  <c r="T142" i="18"/>
  <c r="Q185" i="18" s="1"/>
  <c r="AF56" i="18"/>
  <c r="T147" i="18"/>
  <c r="AF60" i="18"/>
  <c r="AD82" i="18"/>
  <c r="AF82" i="18"/>
  <c r="T167" i="18"/>
  <c r="Q187" i="18" s="1"/>
  <c r="AF78" i="18"/>
  <c r="T165" i="18"/>
  <c r="AF77" i="18"/>
  <c r="T164" i="18"/>
  <c r="AF76" i="18"/>
  <c r="T162" i="18"/>
  <c r="AF74" i="18"/>
  <c r="T163" i="18"/>
  <c r="AF75" i="18"/>
  <c r="AD67" i="18"/>
  <c r="T148" i="18"/>
  <c r="AD56" i="18"/>
  <c r="AD58" i="18"/>
  <c r="U144" i="18" s="1"/>
  <c r="AD60" i="18"/>
  <c r="T149" i="18"/>
  <c r="Q184" i="18" s="1"/>
  <c r="AD78" i="18"/>
  <c r="AD64" i="18"/>
  <c r="T152" i="18"/>
  <c r="AC66" i="18"/>
  <c r="AD62" i="18"/>
  <c r="AD68" i="18"/>
  <c r="AD80" i="18"/>
  <c r="AD76" i="18"/>
  <c r="AD75" i="18"/>
  <c r="AD74" i="18"/>
  <c r="AD77" i="18"/>
  <c r="T141" i="18"/>
  <c r="Q188" i="18" s="1"/>
  <c r="Q189" i="18" s="1"/>
  <c r="AD54" i="18"/>
  <c r="AC172" i="18"/>
  <c r="AC179" i="18" s="1"/>
  <c r="AD179" i="18" s="1"/>
  <c r="AD57" i="18"/>
  <c r="U143" i="18" s="1"/>
  <c r="AC173" i="18"/>
  <c r="T143" i="18"/>
  <c r="N38" i="11"/>
  <c r="O37" i="11"/>
  <c r="H18" i="8"/>
  <c r="M186" i="18" l="1"/>
  <c r="P186" i="18"/>
  <c r="AD177" i="18"/>
  <c r="AF177" i="18" s="1"/>
  <c r="U141" i="18"/>
  <c r="S141" i="18" s="1"/>
  <c r="AD112" i="18"/>
  <c r="U152" i="18"/>
  <c r="S152" i="18" s="1"/>
  <c r="U142" i="18"/>
  <c r="S142" i="18" s="1"/>
  <c r="U151" i="18"/>
  <c r="S151" i="18" s="1"/>
  <c r="U147" i="18"/>
  <c r="S147" i="18" s="1"/>
  <c r="U149" i="18"/>
  <c r="S149" i="18" s="1"/>
  <c r="P184" i="18" s="1"/>
  <c r="U167" i="18"/>
  <c r="S167" i="18" s="1"/>
  <c r="P187" i="18" s="1"/>
  <c r="U164" i="18"/>
  <c r="S164" i="18" s="1"/>
  <c r="AD66" i="18"/>
  <c r="AF66" i="18"/>
  <c r="U145" i="18"/>
  <c r="S145" i="18" s="1"/>
  <c r="S144" i="18"/>
  <c r="U148" i="18"/>
  <c r="S148" i="18" s="1"/>
  <c r="U162" i="18"/>
  <c r="S162" i="18" s="1"/>
  <c r="AC174" i="18"/>
  <c r="AD174" i="18" s="1"/>
  <c r="AF174" i="18" s="1"/>
  <c r="U165" i="18"/>
  <c r="S165" i="18" s="1"/>
  <c r="U163" i="18"/>
  <c r="S163" i="18" s="1"/>
  <c r="AD173" i="18"/>
  <c r="AF173" i="18" s="1"/>
  <c r="AD172" i="18"/>
  <c r="AF172" i="18" s="1"/>
  <c r="AF179" i="18" s="1"/>
  <c r="S143" i="18"/>
  <c r="N39" i="11"/>
  <c r="O38" i="11"/>
  <c r="I18" i="8"/>
  <c r="M185" i="18" l="1"/>
  <c r="P185" i="18"/>
  <c r="P188" i="18"/>
  <c r="P189" i="18" s="1"/>
  <c r="M187" i="18"/>
  <c r="M184" i="18"/>
  <c r="AD114" i="18"/>
  <c r="AD113" i="18"/>
  <c r="N40" i="11"/>
  <c r="O39" i="11"/>
  <c r="N41" i="11" l="1"/>
  <c r="O40" i="11"/>
  <c r="N42" i="11" l="1"/>
  <c r="O41" i="11"/>
</calcChain>
</file>

<file path=xl/comments1.xml><?xml version="1.0" encoding="utf-8"?>
<comments xmlns="http://schemas.openxmlformats.org/spreadsheetml/2006/main">
  <authors>
    <author>Author</author>
  </authors>
  <commentList>
    <comment ref="B13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7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179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<sst xmlns="http://schemas.openxmlformats.org/spreadsheetml/2006/main" count="644" uniqueCount="453">
  <si>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</si>
  <si>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</si>
  <si>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</si>
  <si>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</si>
  <si>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</si>
  <si>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</si>
  <si>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</si>
  <si>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</si>
  <si>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</si>
  <si>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</si>
  <si>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</si>
  <si>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</si>
  <si>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</si>
  <si>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</si>
  <si>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</si>
  <si>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</si>
  <si>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</si>
  <si>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</si>
  <si>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</si>
  <si>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</si>
  <si>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</si>
  <si>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</si>
  <si>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</si>
  <si>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</si>
  <si>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</si>
  <si>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</si>
  <si>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</si>
  <si>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</si>
  <si>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</si>
  <si>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</si>
  <si>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</si>
  <si>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</si>
  <si>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</si>
  <si>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</si>
  <si>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</si>
  <si>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</si>
  <si>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</si>
  <si>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</si>
  <si>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</si>
  <si>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</si>
  <si>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</si>
  <si>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</si>
  <si>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</si>
  <si>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</si>
  <si>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</si>
  <si>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</si>
  <si>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</si>
  <si>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</si>
  <si>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</si>
  <si>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</si>
  <si>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</si>
  <si>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</si>
  <si>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</si>
  <si>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</si>
  <si>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</si>
  <si>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</si>
  <si>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</si>
  <si>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</si>
  <si>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</si>
  <si>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</si>
  <si>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</si>
  <si>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</si>
  <si>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</si>
  <si>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</si>
  <si>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</si>
  <si>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</si>
  <si>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</si>
  <si>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</si>
  <si>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</si>
  <si>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</si>
  <si>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</si>
  <si>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</si>
  <si>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</si>
  <si>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</si>
  <si>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</si>
  <si>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</si>
  <si>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</si>
  <si>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</si>
  <si>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</si>
  <si>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</si>
  <si>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</si>
  <si>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</si>
  <si>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</si>
  <si>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</si>
  <si>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</si>
  <si>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</si>
  <si>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</si>
  <si>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</si>
  <si>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</si>
  <si>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</si>
  <si>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</si>
  <si>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</si>
  <si>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</si>
  <si>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</si>
  <si>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</si>
  <si>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</si>
  <si>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</si>
  <si>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</si>
  <si>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</si>
  <si>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</si>
  <si>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</si>
  <si>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</si>
  <si>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</si>
  <si>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</si>
  <si>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</si>
  <si>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</si>
  <si>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</si>
  <si>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</si>
  <si>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</si>
  <si>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</si>
  <si>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</si>
  <si>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</si>
  <si>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</si>
  <si>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</si>
  <si>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</si>
  <si>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</si>
  <si>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</si>
  <si>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</si>
  <si>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</si>
  <si>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</si>
  <si>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</si>
  <si>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</si>
  <si>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</si>
  <si>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</si>
  <si>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</si>
  <si>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</si>
  <si>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</si>
  <si>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</si>
  <si>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</si>
  <si>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</si>
  <si>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</si>
  <si>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</si>
  <si>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</si>
  <si>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</si>
  <si>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</si>
  <si>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</si>
  <si>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</si>
  <si>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</si>
  <si>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</si>
  <si>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</si>
  <si>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</si>
  <si>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</si>
  <si>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</si>
  <si>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</si>
  <si>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</si>
  <si>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</si>
  <si>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</si>
  <si>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</si>
  <si>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</si>
  <si>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</si>
  <si>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</si>
  <si>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</si>
  <si>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</si>
  <si>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</si>
  <si>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</si>
  <si>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</si>
  <si>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</si>
  <si>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</si>
  <si>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</si>
  <si>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</si>
  <si>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</si>
  <si>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</si>
  <si>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</si>
  <si>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</si>
  <si>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</si>
  <si>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</si>
  <si>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</si>
  <si>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</si>
  <si>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</si>
  <si>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</si>
  <si>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</si>
  <si>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</si>
  <si>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</si>
  <si>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</si>
  <si>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</si>
  <si>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</si>
  <si>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</si>
  <si>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</si>
  <si>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</si>
  <si>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</si>
  <si>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</si>
  <si>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</si>
  <si>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</si>
  <si>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</si>
  <si>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</si>
  <si>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</si>
  <si>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</si>
  <si>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</si>
  <si>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</si>
  <si>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</si>
  <si>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</si>
  <si>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</si>
  <si>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</si>
  <si>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</si>
  <si>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</si>
  <si>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</si>
  <si>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</si>
  <si>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</si>
  <si>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</si>
  <si>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</si>
  <si>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</si>
  <si>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</si>
  <si>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</si>
  <si>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</si>
  <si>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</si>
  <si>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</si>
  <si>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</si>
  <si>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</si>
  <si>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</si>
  <si>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</si>
  <si>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</si>
  <si>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</si>
  <si>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</si>
  <si>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</si>
  <si>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</si>
  <si>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</si>
  <si>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</si>
  <si>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</si>
  <si>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</si>
  <si>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</si>
  <si>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</si>
  <si>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</si>
  <si>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</si>
  <si>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</si>
  <si>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</si>
  <si>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</si>
  <si>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</si>
  <si>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</si>
  <si>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</si>
  <si>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</si>
  <si>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</si>
  <si>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</si>
  <si>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</si>
  <si>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</si>
  <si>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</si>
  <si>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</si>
  <si>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</si>
  <si>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</si>
  <si>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</si>
  <si>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</si>
  <si>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</si>
  <si>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</si>
  <si>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</si>
  <si>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</si>
  <si>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</si>
  <si>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</si>
  <si>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</si>
  <si>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</si>
  <si>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</si>
  <si>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</si>
  <si>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</si>
  <si>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</si>
  <si>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</si>
  <si>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</si>
  <si>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</si>
  <si>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</si>
  <si>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</si>
  <si>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</si>
  <si>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</si>
  <si>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</si>
  <si>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</si>
  <si>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</si>
  <si>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</si>
  <si>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</si>
  <si>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</si>
  <si>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</si>
  <si>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</si>
  <si>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</si>
  <si>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</si>
  <si>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</si>
  <si>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</si>
  <si>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</si>
  <si>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</si>
  <si>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</si>
  <si>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</si>
  <si>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</si>
  <si>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</si>
  <si>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</si>
  <si>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</si>
  <si>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</si>
  <si>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</si>
  <si>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</si>
  <si>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</si>
  <si>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</si>
  <si>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</si>
  <si>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</si>
  <si>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</si>
  <si>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</si>
  <si>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</si>
  <si>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</si>
  <si>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</si>
  <si>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</si>
  <si>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</si>
  <si>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</si>
  <si>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</si>
  <si>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</si>
  <si>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</si>
  <si>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</si>
  <si>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</si>
  <si>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</si>
  <si>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</si>
  <si>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</si>
  <si>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</si>
  <si>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</si>
  <si>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</si>
  <si>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</si>
  <si>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</si>
  <si>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</si>
  <si>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</si>
  <si>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</si>
  <si>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</si>
  <si>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</si>
  <si>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</si>
  <si>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</si>
  <si>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</si>
  <si>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</si>
  <si>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</si>
  <si>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</si>
  <si>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</si>
  <si>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</si>
  <si>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</si>
  <si>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</si>
  <si>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</si>
  <si>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</si>
  <si>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</si>
  <si>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</si>
  <si>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</si>
  <si>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</si>
  <si>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</si>
  <si>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</si>
  <si>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</si>
  <si>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</si>
  <si>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</si>
  <si>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</si>
  <si>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</si>
  <si>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</si>
  <si>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</si>
  <si>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</si>
  <si>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</si>
  <si>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</si>
  <si>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</si>
  <si>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</si>
  <si>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</si>
  <si>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</si>
  <si>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</si>
  <si>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</si>
  <si>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</si>
  <si>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</si>
  <si>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</si>
  <si>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</si>
  <si>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</si>
  <si>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</si>
  <si>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</si>
  <si>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</si>
  <si>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</si>
  <si>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</si>
  <si>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</si>
  <si>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</si>
  <si>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</si>
  <si>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</si>
  <si>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</si>
  <si>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</si>
  <si>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</si>
  <si>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</si>
  <si>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</si>
  <si>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</si>
  <si>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</si>
  <si>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</si>
  <si>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</si>
  <si>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</si>
  <si>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</si>
  <si>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</si>
  <si>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</si>
  <si>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</si>
  <si>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</si>
  <si>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</si>
  <si>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</si>
  <si>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</si>
  <si>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</si>
  <si>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</si>
  <si>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</si>
  <si>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</si>
  <si>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</si>
  <si>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</si>
  <si>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</si>
  <si>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</si>
  <si>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</si>
  <si>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</si>
  <si>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</si>
  <si>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</si>
  <si>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</si>
  <si>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</si>
  <si>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</si>
  <si>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</si>
  <si>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</si>
  <si>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</si>
  <si>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</si>
  <si>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</si>
  <si>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</si>
  <si>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</si>
  <si>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</si>
  <si>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</si>
  <si>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</si>
  <si>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</si>
  <si>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</si>
  <si>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</si>
  <si>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</si>
  <si>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</si>
  <si>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</si>
  <si>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</si>
  <si>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</si>
  <si>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</si>
  <si>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</si>
  <si>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</si>
  <si>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</si>
  <si>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</si>
  <si>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</si>
  <si>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</si>
  <si>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</si>
  <si>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</si>
  <si>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</si>
  <si>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</si>
  <si>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</si>
  <si>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</si>
  <si>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</si>
  <si>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</si>
  <si>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</si>
  <si>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</si>
  <si>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</si>
  <si>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</si>
  <si>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</si>
  <si>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</si>
  <si>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</si>
  <si>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</si>
  <si>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</si>
  <si>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</si>
  <si>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</si>
  <si>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</si>
  <si>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</si>
  <si>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</si>
  <si>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</si>
  <si>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</si>
  <si>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</si>
  <si>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</si>
  <si>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</si>
  <si>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</si>
  <si>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PEG</t>
  </si>
  <si>
    <t>Optimistic</t>
  </si>
  <si>
    <t>Pessimistic</t>
  </si>
  <si>
    <t>Worst</t>
  </si>
  <si>
    <t>Expected</t>
  </si>
  <si>
    <t>Ref</t>
  </si>
  <si>
    <t>Discount/Prem to 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</si>
</sst>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15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0" fontId="15" fillId="5" borderId="0" xfId="0" applyFont="1" applyFill="1"/>
    <xf numFmtId="0" fontId="15" fillId="5" borderId="1" xfId="0" applyFont="1" applyFill="1" applyBorder="1"/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/>
    </xf>
    <xf numFmtId="174" fontId="8" fillId="5" borderId="1" xfId="2" applyNumberFormat="1" applyFont="1" applyFill="1" applyBorder="1"/>
    <xf numFmtId="9" fontId="5" fillId="5" borderId="1" xfId="1" applyFont="1" applyFill="1" applyBorder="1"/>
    <xf numFmtId="0" fontId="4" fillId="5" borderId="1" xfId="0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363264"/>
        <c:axId val="101008128"/>
      </c:lineChart>
      <c:catAx>
        <c:axId val="100363264"/>
        <c:scaling>
          <c:orientation val="minMax"/>
        </c:scaling>
        <c:delete val="0"/>
        <c:axPos val="b"/>
        <c:majorTickMark val="out"/>
        <c:minorTickMark val="none"/>
        <c:tickLblPos val="nextTo"/>
        <c:crossAx val="101008128"/>
        <c:crosses val="autoZero"/>
        <c:auto val="1"/>
        <c:lblAlgn val="ctr"/>
        <c:lblOffset val="100"/>
        <c:noMultiLvlLbl val="0"/>
      </c:catAx>
      <c:valAx>
        <c:axId val="1010081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0363264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279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319</v>
      </c>
      <c r="C9" s="152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267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266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T221"/>
  <sheetViews>
    <sheetView tabSelected="1" zoomScale="80" zoomScaleNormal="80" workbookViewId="0">
      <pane xSplit="2" ySplit="3" topLeftCell="C168" activePane="bottomRight" state="frozen"/>
      <selection pane="topRight" activeCell="C1" sqref="C1"/>
      <selection pane="bottomLeft" activeCell="A5" sqref="A5"/>
      <selection pane="bottomRight" activeCell="Q170" sqref="Q170"/>
    </sheetView>
  </sheetViews>
  <sheetFormatPr defaultRowHeight="12.75" x14ac:dyDescent="0.2"/>
  <cols>
    <col min="1" max="1" width="4.7109375" style="104" customWidth="1"/>
    <col min="2" max="2" width="34.5703125" style="104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3.42578125" style="104" bestFit="1" customWidth="1"/>
    <col min="8" max="15" width="10.140625" style="104" bestFit="1" customWidth="1"/>
    <col min="16" max="16" width="10.7109375" style="104" bestFit="1" customWidth="1"/>
    <col min="17" max="17" width="10.7109375" style="104" customWidth="1"/>
    <col min="18" max="18" width="9.42578125" style="104" bestFit="1" customWidth="1"/>
    <col min="19" max="19" width="10.85546875" style="104" bestFit="1" customWidth="1"/>
    <col min="20" max="21" width="9.7109375" style="104" bestFit="1" customWidth="1"/>
    <col min="22" max="28" width="8" style="104" bestFit="1" customWidth="1"/>
    <col min="29" max="29" width="11.28515625" style="104" bestFit="1" customWidth="1"/>
    <col min="30" max="30" width="9.28515625" style="104" bestFit="1" customWidth="1"/>
    <col min="31" max="31" width="9" style="104" customWidth="1"/>
    <col min="32" max="32" width="10.7109375" style="104" customWidth="1"/>
    <col min="33" max="16384" width="9.140625" style="104"/>
  </cols>
  <sheetData>
    <row r="1" spans="2:32" x14ac:dyDescent="0.2">
      <c r="B1" s="123" t="s">
        <v>241</v>
      </c>
      <c r="C1" s="124">
        <v>0.22</v>
      </c>
      <c r="F1" s="104" t="s">
        <v>252</v>
      </c>
      <c r="H1" s="126">
        <v>2004</v>
      </c>
      <c r="J1" s="104" t="s">
        <v>327</v>
      </c>
      <c r="L1" s="164">
        <v>0.05</v>
      </c>
      <c r="N1" s="104" t="s">
        <v>398</v>
      </c>
      <c r="P1" s="164">
        <v>0.05</v>
      </c>
      <c r="Q1" s="164"/>
    </row>
    <row r="2" spans="2:32" x14ac:dyDescent="0.2">
      <c r="B2" s="153" t="s">
        <v>315</v>
      </c>
      <c r="C2" s="120"/>
      <c r="F2" s="104" t="s">
        <v>253</v>
      </c>
      <c r="H2" s="126">
        <v>2013</v>
      </c>
      <c r="J2" s="104" t="s">
        <v>328</v>
      </c>
      <c r="L2" s="164">
        <v>0.12</v>
      </c>
      <c r="T2" s="115" t="s">
        <v>11</v>
      </c>
      <c r="U2" s="115" t="s">
        <v>12</v>
      </c>
      <c r="V2" s="115" t="s">
        <v>13</v>
      </c>
      <c r="W2" s="115" t="s">
        <v>14</v>
      </c>
      <c r="X2" s="115" t="s">
        <v>15</v>
      </c>
      <c r="Y2" s="115" t="s">
        <v>234</v>
      </c>
      <c r="Z2" s="115" t="s">
        <v>235</v>
      </c>
      <c r="AA2" s="115" t="s">
        <v>236</v>
      </c>
      <c r="AB2" s="115" t="s">
        <v>237</v>
      </c>
      <c r="AC2" s="115" t="s">
        <v>238</v>
      </c>
      <c r="AE2" s="192" t="s">
        <v>291</v>
      </c>
      <c r="AF2" s="193"/>
    </row>
    <row r="3" spans="2:32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4">
        <v>2014</v>
      </c>
      <c r="R3" s="116" t="s">
        <v>1</v>
      </c>
      <c r="S3" s="116" t="s">
        <v>254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15">
        <v>2024</v>
      </c>
      <c r="AD3" s="136" t="s">
        <v>1</v>
      </c>
      <c r="AE3" s="194" t="s">
        <v>292</v>
      </c>
      <c r="AF3" s="195"/>
    </row>
    <row r="4" spans="2:32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37"/>
      <c r="AE4" s="20"/>
      <c r="AF4" s="20"/>
    </row>
    <row r="5" spans="2:32" x14ac:dyDescent="0.2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20"/>
      <c r="S5" s="20"/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37"/>
      <c r="AE5" s="20"/>
      <c r="AF5" s="154"/>
    </row>
    <row r="6" spans="2:32" x14ac:dyDescent="0.2">
      <c r="B6" s="20" t="s">
        <v>16</v>
      </c>
      <c r="C6" s="141"/>
      <c r="D6" s="141"/>
      <c r="E6" s="147"/>
      <c r="F6" s="147"/>
      <c r="G6" s="147">
        <v>50</v>
      </c>
      <c r="H6" s="147">
        <v>131</v>
      </c>
      <c r="I6" s="147">
        <v>649</v>
      </c>
      <c r="J6" s="147">
        <v>882</v>
      </c>
      <c r="K6" s="147">
        <v>1570</v>
      </c>
      <c r="L6" s="147">
        <v>2067</v>
      </c>
      <c r="M6" s="147">
        <v>3610</v>
      </c>
      <c r="N6" s="147">
        <v>4663</v>
      </c>
      <c r="O6" s="147">
        <v>5806</v>
      </c>
      <c r="P6" s="147">
        <v>7110</v>
      </c>
      <c r="Q6" s="147">
        <v>8283</v>
      </c>
      <c r="R6" s="118">
        <f>((Q6/G6)^(1/($H$2-$H$1) ))-1</f>
        <v>0.76432967867753643</v>
      </c>
      <c r="S6" s="31">
        <f>$L$2</f>
        <v>0.12</v>
      </c>
      <c r="T6" s="154">
        <f>Q6*(1+$S6)</f>
        <v>9276.9600000000009</v>
      </c>
      <c r="U6" s="154">
        <f>T6*(1+$S6)</f>
        <v>10390.195200000002</v>
      </c>
      <c r="V6" s="154">
        <f t="shared" ref="V6:AC6" si="0">U6*(1+$S6)</f>
        <v>11637.018624000004</v>
      </c>
      <c r="W6" s="154">
        <f t="shared" si="0"/>
        <v>13033.460858880006</v>
      </c>
      <c r="X6" s="154">
        <f t="shared" si="0"/>
        <v>14597.476161945608</v>
      </c>
      <c r="Y6" s="154">
        <f t="shared" si="0"/>
        <v>16349.173301379082</v>
      </c>
      <c r="Z6" s="154">
        <f t="shared" si="0"/>
        <v>18311.074097544573</v>
      </c>
      <c r="AA6" s="154">
        <f t="shared" si="0"/>
        <v>20508.402989249924</v>
      </c>
      <c r="AB6" s="154">
        <f t="shared" si="0"/>
        <v>22969.411347959918</v>
      </c>
      <c r="AC6" s="154">
        <f t="shared" si="0"/>
        <v>25725.740709715112</v>
      </c>
      <c r="AD6" s="138">
        <f>((AC6/G6)^(1/($AC$3-$H$1) ))-1</f>
        <v>0.36637495870834647</v>
      </c>
      <c r="AE6" s="31">
        <f>$L$1</f>
        <v>0.05</v>
      </c>
      <c r="AF6" s="146">
        <f t="shared" ref="AF6:AF44" si="1">(AC6*(1+AE6))/($C$1-AE6)</f>
        <v>158894.28085412277</v>
      </c>
    </row>
    <row r="7" spans="2:32" x14ac:dyDescent="0.2">
      <c r="B7" s="20" t="s">
        <v>240</v>
      </c>
      <c r="C7" s="141"/>
      <c r="D7" s="141"/>
      <c r="E7" s="147"/>
      <c r="F7" s="147"/>
      <c r="G7" s="147">
        <v>131</v>
      </c>
      <c r="H7" s="147">
        <v>223</v>
      </c>
      <c r="I7" s="147">
        <v>839</v>
      </c>
      <c r="J7" s="147">
        <v>1086</v>
      </c>
      <c r="K7" s="147">
        <v>1817</v>
      </c>
      <c r="L7" s="147">
        <v>2316</v>
      </c>
      <c r="M7" s="147">
        <v>3844</v>
      </c>
      <c r="N7" s="147">
        <v>4893</v>
      </c>
      <c r="O7" s="147">
        <v>6032</v>
      </c>
      <c r="P7" s="147">
        <v>7337</v>
      </c>
      <c r="Q7" s="147">
        <v>8510</v>
      </c>
      <c r="R7" s="118">
        <f>((Q7/G7)^(1/($H$2-$H$1) ))-1</f>
        <v>0.59003422993738797</v>
      </c>
      <c r="S7" s="31">
        <f>$L$2</f>
        <v>0.12</v>
      </c>
      <c r="T7" s="154">
        <f t="shared" ref="T7:T44" si="2">Q7*(1+$S7)</f>
        <v>9531.2000000000007</v>
      </c>
      <c r="U7" s="154">
        <f t="shared" ref="U7:AC7" si="3">T7*(1+$S7)</f>
        <v>10674.944000000001</v>
      </c>
      <c r="V7" s="154">
        <f t="shared" si="3"/>
        <v>11955.937280000002</v>
      </c>
      <c r="W7" s="154">
        <f t="shared" si="3"/>
        <v>13390.649753600004</v>
      </c>
      <c r="X7" s="154">
        <f t="shared" si="3"/>
        <v>14997.527724032007</v>
      </c>
      <c r="Y7" s="154">
        <f t="shared" si="3"/>
        <v>16797.231050915849</v>
      </c>
      <c r="Z7" s="154">
        <f t="shared" si="3"/>
        <v>18812.898777025752</v>
      </c>
      <c r="AA7" s="154">
        <f t="shared" si="3"/>
        <v>21070.446630268845</v>
      </c>
      <c r="AB7" s="154">
        <f t="shared" si="3"/>
        <v>23598.90022590111</v>
      </c>
      <c r="AC7" s="154">
        <f t="shared" si="3"/>
        <v>26430.768253009246</v>
      </c>
      <c r="AD7" s="138">
        <f>((AC7/G7)^(1/($AC$3-$H$1) ))-1</f>
        <v>0.30389291218123304</v>
      </c>
      <c r="AE7" s="31">
        <f>$L$1</f>
        <v>0.05</v>
      </c>
      <c r="AF7" s="146">
        <f t="shared" si="1"/>
        <v>163248.86273917477</v>
      </c>
    </row>
    <row r="8" spans="2:32" x14ac:dyDescent="0.2">
      <c r="B8" s="20"/>
      <c r="C8" s="141"/>
      <c r="D8" s="141"/>
      <c r="E8" s="147"/>
      <c r="F8" s="147"/>
      <c r="G8" s="148">
        <f>(G7-F7)/G7</f>
        <v>1</v>
      </c>
      <c r="H8" s="151">
        <f>(H7-G7)/H7</f>
        <v>0.41255605381165922</v>
      </c>
      <c r="I8" s="151">
        <f t="shared" ref="I8:P8" si="4">(I7-H7)/I7</f>
        <v>0.73420738974970201</v>
      </c>
      <c r="J8" s="151">
        <f t="shared" si="4"/>
        <v>0.22744014732965009</v>
      </c>
      <c r="K8" s="151">
        <f t="shared" si="4"/>
        <v>0.40231150247660979</v>
      </c>
      <c r="L8" s="151">
        <f t="shared" si="4"/>
        <v>0.21545768566493956</v>
      </c>
      <c r="M8" s="151">
        <f t="shared" si="4"/>
        <v>0.39750260145681582</v>
      </c>
      <c r="N8" s="151">
        <f t="shared" si="4"/>
        <v>0.21438790108318007</v>
      </c>
      <c r="O8" s="151">
        <f t="shared" si="4"/>
        <v>0.1888262599469496</v>
      </c>
      <c r="P8" s="151">
        <f t="shared" si="4"/>
        <v>0.17786561264822134</v>
      </c>
      <c r="Q8" s="151">
        <f t="shared" ref="I8:Q8" si="5">(Q7-P7)/Q7</f>
        <v>0.13783783783783785</v>
      </c>
      <c r="R8" s="128"/>
      <c r="S8" s="20"/>
      <c r="T8" s="154"/>
      <c r="U8" s="154"/>
      <c r="V8" s="154"/>
      <c r="W8" s="154"/>
      <c r="X8" s="154"/>
      <c r="Y8" s="154"/>
      <c r="Z8" s="154"/>
      <c r="AA8" s="154"/>
      <c r="AB8" s="154"/>
      <c r="AC8" s="154"/>
      <c r="AD8" s="137"/>
      <c r="AE8" s="137"/>
      <c r="AF8" s="146"/>
    </row>
    <row r="9" spans="2:32" x14ac:dyDescent="0.2">
      <c r="B9" s="20" t="s">
        <v>269</v>
      </c>
      <c r="C9" s="141"/>
      <c r="D9" s="141"/>
      <c r="E9" s="147"/>
      <c r="F9" s="147"/>
      <c r="G9" s="147">
        <v>174</v>
      </c>
      <c r="H9" s="147">
        <v>234</v>
      </c>
      <c r="I9" s="147">
        <v>745</v>
      </c>
      <c r="J9" s="147">
        <v>861</v>
      </c>
      <c r="K9" s="147">
        <v>1404</v>
      </c>
      <c r="L9" s="147">
        <v>2143</v>
      </c>
      <c r="M9" s="147">
        <v>3916</v>
      </c>
      <c r="N9" s="147">
        <v>5772</v>
      </c>
      <c r="O9" s="147">
        <v>10804</v>
      </c>
      <c r="P9" s="147">
        <v>12541</v>
      </c>
      <c r="Q9" s="147">
        <v>14851</v>
      </c>
      <c r="R9" s="118">
        <f>((Q9/G9)^(1/($H$2-$H$1) ))-1</f>
        <v>0.63899826720662478</v>
      </c>
      <c r="S9" s="31">
        <f t="shared" ref="S9:S40" si="6">$L$2</f>
        <v>0.12</v>
      </c>
      <c r="T9" s="154">
        <f t="shared" si="2"/>
        <v>16633.120000000003</v>
      </c>
      <c r="U9" s="154">
        <f t="shared" ref="U9" si="7">T9*(1+$S9)</f>
        <v>18629.094400000005</v>
      </c>
      <c r="V9" s="154">
        <f t="shared" ref="V9" si="8">U9*(1+$S9)</f>
        <v>20864.585728000009</v>
      </c>
      <c r="W9" s="154">
        <f t="shared" ref="W9" si="9">V9*(1+$S9)</f>
        <v>23368.336015360012</v>
      </c>
      <c r="X9" s="154">
        <f t="shared" ref="X9" si="10">W9*(1+$S9)</f>
        <v>26172.536337203215</v>
      </c>
      <c r="Y9" s="154">
        <f t="shared" ref="Y9" si="11">X9*(1+$S9)</f>
        <v>29313.240697667603</v>
      </c>
      <c r="Z9" s="154">
        <f t="shared" ref="Z9" si="12">Y9*(1+$S9)</f>
        <v>32830.829581387719</v>
      </c>
      <c r="AA9" s="154">
        <f t="shared" ref="AA9" si="13">Z9*(1+$S9)</f>
        <v>36770.529131154246</v>
      </c>
      <c r="AB9" s="154">
        <f t="shared" ref="AB9" si="14">AA9*(1+$S9)</f>
        <v>41182.992626892759</v>
      </c>
      <c r="AC9" s="154">
        <f t="shared" ref="AC9" si="15">AB9*(1+$S9)</f>
        <v>46124.951742119898</v>
      </c>
      <c r="AD9" s="138">
        <f>((AC9/G9)^(1/($AC$3-$H$1) ))-1</f>
        <v>0.32181091512594051</v>
      </c>
      <c r="AE9" s="31">
        <f t="shared" ref="AE9:AE81" si="16">$L$1</f>
        <v>0.05</v>
      </c>
      <c r="AF9" s="146">
        <f t="shared" si="1"/>
        <v>284889.40781897586</v>
      </c>
    </row>
    <row r="10" spans="2:32" x14ac:dyDescent="0.2">
      <c r="B10" s="20" t="s">
        <v>4</v>
      </c>
      <c r="C10" s="141"/>
      <c r="D10" s="141"/>
      <c r="E10" s="147"/>
      <c r="F10" s="147"/>
      <c r="G10" s="147">
        <v>915</v>
      </c>
      <c r="H10" s="147">
        <v>1481</v>
      </c>
      <c r="I10" s="147">
        <v>4396</v>
      </c>
      <c r="J10" s="147">
        <v>8738</v>
      </c>
      <c r="K10" s="147">
        <v>14786</v>
      </c>
      <c r="L10" s="147">
        <v>20121</v>
      </c>
      <c r="M10" s="147">
        <v>18459</v>
      </c>
      <c r="N10" s="147">
        <v>20189</v>
      </c>
      <c r="O10" s="147">
        <v>18636</v>
      </c>
      <c r="P10" s="147">
        <v>25942</v>
      </c>
      <c r="Q10" s="147">
        <v>27355</v>
      </c>
      <c r="R10" s="118">
        <f>((Q10/G10)^(1/($H$2-$H$1) ))-1</f>
        <v>0.45867080817701256</v>
      </c>
      <c r="S10" s="31">
        <f t="shared" si="6"/>
        <v>0.12</v>
      </c>
      <c r="T10" s="154">
        <f t="shared" si="2"/>
        <v>30637.600000000002</v>
      </c>
      <c r="U10" s="154">
        <f t="shared" ref="U10:AC10" si="17">T10*(1+$S10)</f>
        <v>34314.112000000008</v>
      </c>
      <c r="V10" s="154">
        <f t="shared" si="17"/>
        <v>38431.805440000011</v>
      </c>
      <c r="W10" s="154">
        <f t="shared" si="17"/>
        <v>43043.622092800018</v>
      </c>
      <c r="X10" s="154">
        <f t="shared" si="17"/>
        <v>48208.856743936027</v>
      </c>
      <c r="Y10" s="154">
        <f t="shared" si="17"/>
        <v>53993.919553208354</v>
      </c>
      <c r="Z10" s="154">
        <f t="shared" si="17"/>
        <v>60473.189899593359</v>
      </c>
      <c r="AA10" s="154">
        <f t="shared" si="17"/>
        <v>67729.972687544563</v>
      </c>
      <c r="AB10" s="154">
        <f t="shared" si="17"/>
        <v>75857.569410049924</v>
      </c>
      <c r="AC10" s="154">
        <f t="shared" si="17"/>
        <v>84960.477739255919</v>
      </c>
      <c r="AD10" s="138">
        <f t="shared" ref="AD10:AD42" si="18">((AC10/G10)^(1/($AC$3-$H$1) ))-1</f>
        <v>0.25426641238553893</v>
      </c>
      <c r="AE10" s="31">
        <f t="shared" si="16"/>
        <v>0.05</v>
      </c>
      <c r="AF10" s="146">
        <f t="shared" si="1"/>
        <v>524755.8919189336</v>
      </c>
    </row>
    <row r="11" spans="2:32" x14ac:dyDescent="0.2">
      <c r="B11" s="20"/>
      <c r="C11" s="141"/>
      <c r="D11" s="141"/>
      <c r="E11" s="147"/>
      <c r="F11" s="147"/>
      <c r="G11" s="148">
        <f>(G10-F10)/G10</f>
        <v>1</v>
      </c>
      <c r="H11" s="148">
        <f t="shared" ref="H11:P11" si="19">(H10-G10)/H10</f>
        <v>0.38217420661715057</v>
      </c>
      <c r="I11" s="148">
        <f t="shared" si="19"/>
        <v>0.6631028207461328</v>
      </c>
      <c r="J11" s="148">
        <f t="shared" si="19"/>
        <v>0.49691004806591899</v>
      </c>
      <c r="K11" s="148">
        <f t="shared" si="19"/>
        <v>0.40903557419180303</v>
      </c>
      <c r="L11" s="148">
        <f t="shared" si="19"/>
        <v>0.26514586750161523</v>
      </c>
      <c r="M11" s="148">
        <f t="shared" si="19"/>
        <v>-9.0037380139769224E-2</v>
      </c>
      <c r="N11" s="148">
        <f t="shared" si="19"/>
        <v>8.5690227351528064E-2</v>
      </c>
      <c r="O11" s="148">
        <f t="shared" si="19"/>
        <v>-8.3333333333333329E-2</v>
      </c>
      <c r="P11" s="148">
        <f t="shared" si="19"/>
        <v>0.28162824762932698</v>
      </c>
      <c r="Q11" s="148">
        <f t="shared" ref="H11:Q11" si="20">(Q10-P10)/Q10</f>
        <v>5.1654176567355145E-2</v>
      </c>
      <c r="R11" s="128"/>
      <c r="S11" s="20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19"/>
      <c r="AE11" s="31">
        <f t="shared" si="16"/>
        <v>0.05</v>
      </c>
      <c r="AF11" s="154"/>
    </row>
    <row r="12" spans="2:32" x14ac:dyDescent="0.2">
      <c r="B12" s="20" t="s">
        <v>2</v>
      </c>
      <c r="C12" s="141"/>
      <c r="D12" s="141"/>
      <c r="E12" s="147"/>
      <c r="F12" s="147"/>
      <c r="G12" s="147">
        <f>109+52</f>
        <v>161</v>
      </c>
      <c r="H12" s="147">
        <f>176+4</f>
        <v>180</v>
      </c>
      <c r="I12" s="147">
        <f>183+69</f>
        <v>252</v>
      </c>
      <c r="J12" s="147">
        <f>312+1499</f>
        <v>1811</v>
      </c>
      <c r="K12" s="147">
        <f>520+2222</f>
        <v>2742</v>
      </c>
      <c r="L12" s="147">
        <f>1043+5365</f>
        <v>6408</v>
      </c>
      <c r="M12" s="147">
        <f>1763+4547</f>
        <v>6310</v>
      </c>
      <c r="N12" s="147">
        <f>1016+5940</f>
        <v>6956</v>
      </c>
      <c r="O12" s="147">
        <f>5321</f>
        <v>5321</v>
      </c>
      <c r="P12" s="147">
        <v>6351</v>
      </c>
      <c r="Q12" s="147">
        <v>7118</v>
      </c>
      <c r="R12" s="118">
        <f>((Q12/G12)^(1/($H$2-$H$1) ))-1</f>
        <v>0.52348050374171895</v>
      </c>
      <c r="S12" s="31">
        <f t="shared" si="6"/>
        <v>0.12</v>
      </c>
      <c r="T12" s="154">
        <f t="shared" si="2"/>
        <v>7972.1600000000008</v>
      </c>
      <c r="U12" s="154">
        <f t="shared" ref="U12:AC12" si="21">T12*(1+$S12)</f>
        <v>8928.8192000000017</v>
      </c>
      <c r="V12" s="154">
        <f t="shared" si="21"/>
        <v>10000.277504000003</v>
      </c>
      <c r="W12" s="154">
        <f t="shared" si="21"/>
        <v>11200.310804480005</v>
      </c>
      <c r="X12" s="154">
        <f t="shared" si="21"/>
        <v>12544.348101017606</v>
      </c>
      <c r="Y12" s="154">
        <f t="shared" si="21"/>
        <v>14049.669873139719</v>
      </c>
      <c r="Z12" s="154">
        <f t="shared" si="21"/>
        <v>15735.630257916488</v>
      </c>
      <c r="AA12" s="154">
        <f t="shared" si="21"/>
        <v>17623.905888866469</v>
      </c>
      <c r="AB12" s="154">
        <f t="shared" si="21"/>
        <v>19738.774595530449</v>
      </c>
      <c r="AC12" s="154">
        <f t="shared" si="21"/>
        <v>22107.427546994106</v>
      </c>
      <c r="AD12" s="138">
        <f t="shared" si="18"/>
        <v>0.27904438860732239</v>
      </c>
      <c r="AE12" s="31">
        <f t="shared" si="16"/>
        <v>0.05</v>
      </c>
      <c r="AF12" s="146">
        <f t="shared" si="1"/>
        <v>136545.87602555184</v>
      </c>
    </row>
    <row r="13" spans="2:32" x14ac:dyDescent="0.2">
      <c r="B13" s="20" t="s">
        <v>218</v>
      </c>
      <c r="C13" s="141"/>
      <c r="D13" s="141"/>
      <c r="E13" s="147"/>
      <c r="F13" s="147"/>
      <c r="G13" s="147">
        <v>5</v>
      </c>
      <c r="H13" s="147">
        <v>4</v>
      </c>
      <c r="I13" s="147">
        <v>9</v>
      </c>
      <c r="J13" s="147">
        <v>224</v>
      </c>
      <c r="K13" s="147">
        <v>16</v>
      </c>
      <c r="L13" s="147">
        <v>30</v>
      </c>
      <c r="M13" s="147">
        <v>84</v>
      </c>
      <c r="N13" s="147">
        <v>302</v>
      </c>
      <c r="O13" s="147">
        <v>3666</v>
      </c>
      <c r="P13" s="147">
        <v>3280</v>
      </c>
      <c r="Q13" s="147">
        <v>2435</v>
      </c>
      <c r="R13" s="118">
        <f>((Q13/G13)^(1/($H$2-$H$1) ))-1</f>
        <v>0.98890632566209402</v>
      </c>
      <c r="S13" s="31">
        <f t="shared" si="6"/>
        <v>0.12</v>
      </c>
      <c r="T13" s="154">
        <f t="shared" si="2"/>
        <v>2727.2000000000003</v>
      </c>
      <c r="U13" s="154">
        <f t="shared" ref="U13:AC13" si="22">T13*(1+$S13)</f>
        <v>3054.4640000000004</v>
      </c>
      <c r="V13" s="154">
        <f t="shared" si="22"/>
        <v>3420.9996800000008</v>
      </c>
      <c r="W13" s="154">
        <f t="shared" si="22"/>
        <v>3831.5196416000013</v>
      </c>
      <c r="X13" s="154">
        <f t="shared" si="22"/>
        <v>4291.3019985920018</v>
      </c>
      <c r="Y13" s="154">
        <f t="shared" si="22"/>
        <v>4806.2582384230427</v>
      </c>
      <c r="Z13" s="154">
        <f t="shared" si="22"/>
        <v>5383.0092270338082</v>
      </c>
      <c r="AA13" s="154">
        <f t="shared" si="22"/>
        <v>6028.9703342778657</v>
      </c>
      <c r="AB13" s="154">
        <f t="shared" si="22"/>
        <v>6752.4467743912101</v>
      </c>
      <c r="AC13" s="154">
        <f t="shared" si="22"/>
        <v>7562.7403873181556</v>
      </c>
      <c r="AD13" s="138">
        <f t="shared" si="18"/>
        <v>0.44206706890018133</v>
      </c>
      <c r="AE13" s="31">
        <f t="shared" si="16"/>
        <v>0.05</v>
      </c>
      <c r="AF13" s="146">
        <f t="shared" si="1"/>
        <v>46711.043568729787</v>
      </c>
    </row>
    <row r="14" spans="2:32" x14ac:dyDescent="0.2">
      <c r="B14" s="20" t="s">
        <v>373</v>
      </c>
      <c r="C14" s="141"/>
      <c r="D14" s="141"/>
      <c r="E14" s="147"/>
      <c r="F14" s="147"/>
      <c r="G14" s="147">
        <v>439</v>
      </c>
      <c r="H14" s="147">
        <v>287</v>
      </c>
      <c r="I14" s="147">
        <v>273</v>
      </c>
      <c r="J14" s="147">
        <v>56</v>
      </c>
      <c r="K14" s="147">
        <v>0.67</v>
      </c>
      <c r="L14" s="147">
        <v>1</v>
      </c>
      <c r="M14" s="147">
        <v>0</v>
      </c>
      <c r="N14" s="147">
        <v>13</v>
      </c>
      <c r="O14" s="147">
        <v>1</v>
      </c>
      <c r="P14" s="147">
        <v>0</v>
      </c>
      <c r="Q14" s="147">
        <v>0</v>
      </c>
      <c r="R14" s="118">
        <f>((Q14/G14)^(1/($H$2-$H$1) ))-1</f>
        <v>-1</v>
      </c>
      <c r="S14" s="31">
        <f t="shared" si="6"/>
        <v>0.12</v>
      </c>
      <c r="T14" s="154">
        <f t="shared" si="2"/>
        <v>0</v>
      </c>
      <c r="U14" s="154">
        <f t="shared" ref="U14" si="23">T14*(1+$S14)</f>
        <v>0</v>
      </c>
      <c r="V14" s="154">
        <f t="shared" ref="V14" si="24">U14*(1+$S14)</f>
        <v>0</v>
      </c>
      <c r="W14" s="154">
        <f t="shared" ref="W14" si="25">V14*(1+$S14)</f>
        <v>0</v>
      </c>
      <c r="X14" s="154">
        <f t="shared" ref="X14" si="26">W14*(1+$S14)</f>
        <v>0</v>
      </c>
      <c r="Y14" s="154">
        <f t="shared" ref="Y14" si="27">X14*(1+$S14)</f>
        <v>0</v>
      </c>
      <c r="Z14" s="154">
        <f t="shared" ref="Z14" si="28">Y14*(1+$S14)</f>
        <v>0</v>
      </c>
      <c r="AA14" s="154">
        <f t="shared" ref="AA14" si="29">Z14*(1+$S14)</f>
        <v>0</v>
      </c>
      <c r="AB14" s="154">
        <f t="shared" ref="AB14" si="30">AA14*(1+$S14)</f>
        <v>0</v>
      </c>
      <c r="AC14" s="154">
        <f t="shared" ref="AC14" si="31">AB14*(1+$S14)</f>
        <v>0</v>
      </c>
      <c r="AD14" s="138">
        <f t="shared" ref="AD14" si="32">((AC14/G14)^(1/($AC$3-$H$1) ))-1</f>
        <v>-1</v>
      </c>
      <c r="AE14" s="31">
        <f t="shared" si="16"/>
        <v>0.05</v>
      </c>
      <c r="AF14" s="146">
        <f t="shared" ref="AF14" si="33">(AC14*(1+AE14))/($C$1-AE14)</f>
        <v>0</v>
      </c>
    </row>
    <row r="15" spans="2:32" x14ac:dyDescent="0.2">
      <c r="B15" s="20" t="s">
        <v>19</v>
      </c>
      <c r="C15" s="141"/>
      <c r="D15" s="141"/>
      <c r="E15" s="147"/>
      <c r="F15" s="147"/>
      <c r="G15" s="147">
        <v>553</v>
      </c>
      <c r="H15" s="147">
        <v>465</v>
      </c>
      <c r="I15" s="147">
        <v>464</v>
      </c>
      <c r="J15" s="147">
        <v>373</v>
      </c>
      <c r="K15" s="147">
        <v>524</v>
      </c>
      <c r="L15" s="147">
        <v>1048</v>
      </c>
      <c r="M15" s="147">
        <v>1763</v>
      </c>
      <c r="N15" s="147">
        <v>1016</v>
      </c>
      <c r="O15" s="147">
        <v>5323</v>
      </c>
      <c r="P15" s="147">
        <v>6351</v>
      </c>
      <c r="Q15" s="147">
        <v>7120</v>
      </c>
      <c r="R15" s="118">
        <f>((Q15/G15)^(1/($H$2-$H$1) ))-1</f>
        <v>0.32833035059621984</v>
      </c>
      <c r="S15" s="31">
        <f t="shared" si="6"/>
        <v>0.12</v>
      </c>
      <c r="T15" s="154">
        <f t="shared" si="2"/>
        <v>7974.4000000000005</v>
      </c>
      <c r="U15" s="154">
        <f t="shared" ref="U15:AC15" si="34">T15*(1+$S15)</f>
        <v>8931.3280000000013</v>
      </c>
      <c r="V15" s="154">
        <f t="shared" si="34"/>
        <v>10003.087360000003</v>
      </c>
      <c r="W15" s="154">
        <f t="shared" si="34"/>
        <v>11203.457843200005</v>
      </c>
      <c r="X15" s="154">
        <f t="shared" si="34"/>
        <v>12547.872784384008</v>
      </c>
      <c r="Y15" s="154">
        <f t="shared" si="34"/>
        <v>14053.617518510091</v>
      </c>
      <c r="Z15" s="154">
        <f t="shared" si="34"/>
        <v>15740.051620731303</v>
      </c>
      <c r="AA15" s="154">
        <f t="shared" si="34"/>
        <v>17628.85781521906</v>
      </c>
      <c r="AB15" s="154">
        <f t="shared" si="34"/>
        <v>19744.320753045351</v>
      </c>
      <c r="AC15" s="154">
        <f t="shared" si="34"/>
        <v>22113.639243410795</v>
      </c>
      <c r="AD15" s="138">
        <f t="shared" si="18"/>
        <v>0.20253231136848604</v>
      </c>
      <c r="AE15" s="31">
        <f t="shared" si="16"/>
        <v>0.05</v>
      </c>
      <c r="AF15" s="146">
        <f t="shared" si="1"/>
        <v>136584.24238577258</v>
      </c>
    </row>
    <row r="16" spans="2:32" x14ac:dyDescent="0.2">
      <c r="B16" s="20" t="s">
        <v>23</v>
      </c>
      <c r="C16" s="141"/>
      <c r="D16" s="141"/>
      <c r="E16" s="147"/>
      <c r="F16" s="147"/>
      <c r="G16" s="147">
        <v>988</v>
      </c>
      <c r="H16" s="147">
        <v>1651</v>
      </c>
      <c r="I16" s="147">
        <v>5068</v>
      </c>
      <c r="J16" s="147">
        <v>9432</v>
      </c>
      <c r="K16" s="147">
        <v>16444</v>
      </c>
      <c r="L16" s="147">
        <v>22373</v>
      </c>
      <c r="M16" s="147">
        <v>22136</v>
      </c>
      <c r="N16" s="147">
        <v>24690</v>
      </c>
      <c r="O16" s="147">
        <v>20949</v>
      </c>
      <c r="P16" s="147">
        <v>29928</v>
      </c>
      <c r="Q16" s="147">
        <v>33275</v>
      </c>
      <c r="R16" s="118">
        <f>((Q16/G16)^(1/($H$2-$H$1) ))-1</f>
        <v>0.47811012212790915</v>
      </c>
      <c r="S16" s="31">
        <f t="shared" si="6"/>
        <v>0.12</v>
      </c>
      <c r="T16" s="154">
        <f t="shared" si="2"/>
        <v>37268</v>
      </c>
      <c r="U16" s="154">
        <f t="shared" ref="U16:AC16" si="35">T16*(1+$S16)</f>
        <v>41740.160000000003</v>
      </c>
      <c r="V16" s="154">
        <f t="shared" si="35"/>
        <v>46748.979200000009</v>
      </c>
      <c r="W16" s="154">
        <f t="shared" si="35"/>
        <v>52358.856704000013</v>
      </c>
      <c r="X16" s="154">
        <f t="shared" si="35"/>
        <v>58641.919508480023</v>
      </c>
      <c r="Y16" s="154">
        <f t="shared" si="35"/>
        <v>65678.949849497629</v>
      </c>
      <c r="Z16" s="154">
        <f t="shared" si="35"/>
        <v>73560.423831437351</v>
      </c>
      <c r="AA16" s="154">
        <f t="shared" si="35"/>
        <v>82387.674691209846</v>
      </c>
      <c r="AB16" s="154">
        <f t="shared" si="35"/>
        <v>92274.195654155032</v>
      </c>
      <c r="AC16" s="154">
        <f t="shared" si="35"/>
        <v>103347.09913265365</v>
      </c>
      <c r="AD16" s="138">
        <f t="shared" si="18"/>
        <v>0.26176090622430359</v>
      </c>
      <c r="AE16" s="31">
        <f t="shared" si="16"/>
        <v>0.05</v>
      </c>
      <c r="AF16" s="146">
        <f t="shared" si="1"/>
        <v>638320.31817227264</v>
      </c>
    </row>
    <row r="17" spans="2:32" x14ac:dyDescent="0.2">
      <c r="B17" s="20"/>
      <c r="C17" s="141"/>
      <c r="D17" s="141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28"/>
      <c r="S17" s="20"/>
      <c r="T17" s="154">
        <f t="shared" si="2"/>
        <v>0</v>
      </c>
      <c r="U17" s="154"/>
      <c r="V17" s="154"/>
      <c r="W17" s="154"/>
      <c r="X17" s="154"/>
      <c r="Y17" s="154"/>
      <c r="Z17" s="154"/>
      <c r="AA17" s="154"/>
      <c r="AB17" s="154"/>
      <c r="AC17" s="154"/>
      <c r="AD17" s="139"/>
      <c r="AE17" s="137"/>
      <c r="AF17" s="154"/>
    </row>
    <row r="18" spans="2:32" x14ac:dyDescent="0.2">
      <c r="B18" s="20" t="s">
        <v>277</v>
      </c>
      <c r="C18" s="141"/>
      <c r="D18" s="141"/>
      <c r="E18" s="147"/>
      <c r="F18" s="147"/>
      <c r="G18" s="147">
        <v>52</v>
      </c>
      <c r="H18" s="147">
        <v>49</v>
      </c>
      <c r="I18" s="147">
        <v>131</v>
      </c>
      <c r="J18" s="147">
        <v>127</v>
      </c>
      <c r="K18" s="147">
        <v>142</v>
      </c>
      <c r="L18" s="147">
        <v>134</v>
      </c>
      <c r="M18" s="147">
        <v>46</v>
      </c>
      <c r="N18" s="147">
        <v>43</v>
      </c>
      <c r="O18" s="147">
        <v>53</v>
      </c>
      <c r="P18" s="147">
        <v>72</v>
      </c>
      <c r="Q18" s="147">
        <v>154</v>
      </c>
      <c r="R18" s="118">
        <f>((Q18/G18)^(1/($H$2-$H$1) ))-1</f>
        <v>0.12821227274149782</v>
      </c>
      <c r="S18" s="31">
        <f t="shared" si="6"/>
        <v>0.12</v>
      </c>
      <c r="T18" s="154">
        <f t="shared" si="2"/>
        <v>172.48000000000002</v>
      </c>
      <c r="U18" s="154">
        <f t="shared" ref="U18:U34" si="36">T18*(1+$S18)</f>
        <v>193.17760000000004</v>
      </c>
      <c r="V18" s="154">
        <f t="shared" ref="V18:V34" si="37">U18*(1+$S18)</f>
        <v>216.35891200000006</v>
      </c>
      <c r="W18" s="154">
        <f t="shared" ref="W18:W34" si="38">V18*(1+$S18)</f>
        <v>242.32198144000009</v>
      </c>
      <c r="X18" s="154">
        <f t="shared" ref="X18:X36" si="39">W18*(1+$S18)</f>
        <v>271.40061921280011</v>
      </c>
      <c r="Y18" s="154">
        <f t="shared" ref="Y18:Y36" si="40">X18*(1+$S18)</f>
        <v>303.96869351833612</v>
      </c>
      <c r="Z18" s="154">
        <f t="shared" ref="Z18:Z36" si="41">Y18*(1+$S18)</f>
        <v>340.44493674053649</v>
      </c>
      <c r="AA18" s="154">
        <f t="shared" ref="AA18:AA36" si="42">Z18*(1+$S18)</f>
        <v>381.2983291494009</v>
      </c>
      <c r="AB18" s="154">
        <f t="shared" ref="AB18:AB36" si="43">AA18*(1+$S18)</f>
        <v>427.05412864732904</v>
      </c>
      <c r="AC18" s="154">
        <f t="shared" ref="AC18:AC36" si="44">AB18*(1+$S18)</f>
        <v>478.30062408500856</v>
      </c>
      <c r="AD18" s="138">
        <f t="shared" si="18"/>
        <v>0.11733880033958344</v>
      </c>
      <c r="AE18" s="31">
        <f t="shared" si="16"/>
        <v>0.05</v>
      </c>
      <c r="AF18" s="146">
        <f t="shared" si="1"/>
        <v>2954.2097369956414</v>
      </c>
    </row>
    <row r="19" spans="2:32" x14ac:dyDescent="0.2">
      <c r="B19" s="20"/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28"/>
      <c r="S19" s="20"/>
      <c r="T19" s="154">
        <f t="shared" si="2"/>
        <v>0</v>
      </c>
      <c r="U19" s="154"/>
      <c r="V19" s="154"/>
      <c r="W19" s="154"/>
      <c r="X19" s="154"/>
      <c r="Y19" s="154"/>
      <c r="Z19" s="154"/>
      <c r="AA19" s="154"/>
      <c r="AB19" s="154"/>
      <c r="AC19" s="154"/>
      <c r="AD19" s="139"/>
      <c r="AE19" s="137"/>
      <c r="AF19" s="154"/>
    </row>
    <row r="20" spans="2:32" x14ac:dyDescent="0.2">
      <c r="B20" s="20" t="s">
        <v>283</v>
      </c>
      <c r="C20" s="141"/>
      <c r="D20" s="141"/>
      <c r="E20" s="147"/>
      <c r="F20" s="147"/>
      <c r="G20" s="147">
        <v>-281</v>
      </c>
      <c r="H20" s="147">
        <v>-556</v>
      </c>
      <c r="I20" s="147">
        <v>-3308</v>
      </c>
      <c r="J20" s="147">
        <v>-2564</v>
      </c>
      <c r="K20" s="147">
        <v>-5802</v>
      </c>
      <c r="L20" s="147">
        <v>-1554</v>
      </c>
      <c r="M20" s="147">
        <v>867</v>
      </c>
      <c r="N20" s="147">
        <v>-524</v>
      </c>
      <c r="O20" s="147">
        <v>-865</v>
      </c>
      <c r="P20" s="147">
        <v>-7003</v>
      </c>
      <c r="Q20" s="147"/>
      <c r="R20" s="118">
        <f>((Q20/G20)^(1/($H$2-$H$1) ))-1</f>
        <v>-1</v>
      </c>
      <c r="S20" s="31">
        <f t="shared" si="6"/>
        <v>0.12</v>
      </c>
      <c r="T20" s="154">
        <f t="shared" si="2"/>
        <v>0</v>
      </c>
      <c r="U20" s="154">
        <f t="shared" ref="U20:U22" si="45">T20*(1+$S20)</f>
        <v>0</v>
      </c>
      <c r="V20" s="154">
        <f t="shared" ref="V20:V22" si="46">U20*(1+$S20)</f>
        <v>0</v>
      </c>
      <c r="W20" s="154">
        <f t="shared" ref="W20:W22" si="47">V20*(1+$S20)</f>
        <v>0</v>
      </c>
      <c r="X20" s="154">
        <f t="shared" ref="X20:X22" si="48">W20*(1+$S20)</f>
        <v>0</v>
      </c>
      <c r="Y20" s="154">
        <f t="shared" ref="Y20:Y22" si="49">X20*(1+$S20)</f>
        <v>0</v>
      </c>
      <c r="Z20" s="154">
        <f t="shared" ref="Z20:Z22" si="50">Y20*(1+$S20)</f>
        <v>0</v>
      </c>
      <c r="AA20" s="154">
        <f t="shared" ref="AA20:AA22" si="51">Z20*(1+$S20)</f>
        <v>0</v>
      </c>
      <c r="AB20" s="154">
        <f t="shared" ref="AB20:AB22" si="52">AA20*(1+$S20)</f>
        <v>0</v>
      </c>
      <c r="AC20" s="154">
        <f t="shared" ref="AC20:AC22" si="53">AB20*(1+$S20)</f>
        <v>0</v>
      </c>
      <c r="AD20" s="138">
        <f t="shared" ref="AD20:AD22" si="54">((AC20/G20)^(1/($AC$3-$H$1) ))-1</f>
        <v>-1</v>
      </c>
      <c r="AE20" s="31">
        <f t="shared" si="16"/>
        <v>0.05</v>
      </c>
      <c r="AF20" s="146">
        <f t="shared" si="1"/>
        <v>0</v>
      </c>
    </row>
    <row r="21" spans="2:32" x14ac:dyDescent="0.2">
      <c r="B21" s="20" t="s">
        <v>284</v>
      </c>
      <c r="C21" s="141"/>
      <c r="D21" s="141"/>
      <c r="E21" s="147"/>
      <c r="F21" s="147"/>
      <c r="G21" s="147">
        <v>-12</v>
      </c>
      <c r="H21" s="147">
        <v>12</v>
      </c>
      <c r="I21" s="147">
        <v>-122</v>
      </c>
      <c r="J21" s="147">
        <v>-527</v>
      </c>
      <c r="K21" s="147">
        <v>-1428</v>
      </c>
      <c r="L21" s="147">
        <v>263</v>
      </c>
      <c r="M21" s="147">
        <v>-1961</v>
      </c>
      <c r="N21" s="147">
        <v>-1538</v>
      </c>
      <c r="O21" s="147">
        <v>-15</v>
      </c>
      <c r="P21" s="147">
        <v>-4</v>
      </c>
      <c r="Q21" s="147"/>
      <c r="R21" s="118">
        <f>((Q21/G21)^(1/($H$2-$H$1) ))-1</f>
        <v>-1</v>
      </c>
      <c r="S21" s="31">
        <f t="shared" si="6"/>
        <v>0.12</v>
      </c>
      <c r="T21" s="154">
        <f t="shared" si="2"/>
        <v>0</v>
      </c>
      <c r="U21" s="154">
        <f t="shared" si="45"/>
        <v>0</v>
      </c>
      <c r="V21" s="154">
        <f t="shared" si="46"/>
        <v>0</v>
      </c>
      <c r="W21" s="154">
        <f t="shared" si="47"/>
        <v>0</v>
      </c>
      <c r="X21" s="154">
        <f t="shared" si="48"/>
        <v>0</v>
      </c>
      <c r="Y21" s="154">
        <f t="shared" si="49"/>
        <v>0</v>
      </c>
      <c r="Z21" s="154">
        <f t="shared" si="50"/>
        <v>0</v>
      </c>
      <c r="AA21" s="154">
        <f t="shared" si="51"/>
        <v>0</v>
      </c>
      <c r="AB21" s="154">
        <f t="shared" si="52"/>
        <v>0</v>
      </c>
      <c r="AC21" s="154">
        <f t="shared" si="53"/>
        <v>0</v>
      </c>
      <c r="AD21" s="138">
        <f t="shared" si="54"/>
        <v>-1</v>
      </c>
      <c r="AE21" s="31">
        <f t="shared" si="16"/>
        <v>0.05</v>
      </c>
      <c r="AF21" s="146">
        <f t="shared" si="1"/>
        <v>0</v>
      </c>
    </row>
    <row r="22" spans="2:32" x14ac:dyDescent="0.2">
      <c r="B22" s="20" t="s">
        <v>285</v>
      </c>
      <c r="C22" s="141"/>
      <c r="D22" s="141"/>
      <c r="E22" s="147"/>
      <c r="F22" s="147"/>
      <c r="G22" s="147">
        <v>349</v>
      </c>
      <c r="H22" s="147">
        <v>611</v>
      </c>
      <c r="I22" s="147">
        <v>3438</v>
      </c>
      <c r="J22" s="147">
        <v>4351</v>
      </c>
      <c r="K22" s="147">
        <v>6462</v>
      </c>
      <c r="L22" s="147">
        <v>5230</v>
      </c>
      <c r="M22" s="147">
        <v>-1043</v>
      </c>
      <c r="N22" s="147">
        <v>1241</v>
      </c>
      <c r="O22" s="147">
        <v>3056</v>
      </c>
      <c r="P22" s="147">
        <v>7685</v>
      </c>
      <c r="Q22" s="147"/>
      <c r="R22" s="118">
        <f>((Q22/G22)^(1/($H$2-$H$1) ))-1</f>
        <v>-1</v>
      </c>
      <c r="S22" s="31">
        <f t="shared" si="6"/>
        <v>0.12</v>
      </c>
      <c r="T22" s="154">
        <f t="shared" si="2"/>
        <v>0</v>
      </c>
      <c r="U22" s="154">
        <f t="shared" si="45"/>
        <v>0</v>
      </c>
      <c r="V22" s="154">
        <f t="shared" si="46"/>
        <v>0</v>
      </c>
      <c r="W22" s="154">
        <f t="shared" si="47"/>
        <v>0</v>
      </c>
      <c r="X22" s="154">
        <f t="shared" si="48"/>
        <v>0</v>
      </c>
      <c r="Y22" s="154">
        <f t="shared" si="49"/>
        <v>0</v>
      </c>
      <c r="Z22" s="154">
        <f t="shared" si="50"/>
        <v>0</v>
      </c>
      <c r="AA22" s="154">
        <f t="shared" si="51"/>
        <v>0</v>
      </c>
      <c r="AB22" s="154">
        <f t="shared" si="52"/>
        <v>0</v>
      </c>
      <c r="AC22" s="154">
        <f t="shared" si="53"/>
        <v>0</v>
      </c>
      <c r="AD22" s="138">
        <f t="shared" si="54"/>
        <v>-1</v>
      </c>
      <c r="AE22" s="31">
        <f t="shared" si="16"/>
        <v>0.05</v>
      </c>
      <c r="AF22" s="146">
        <f t="shared" si="1"/>
        <v>0</v>
      </c>
    </row>
    <row r="23" spans="2:32" x14ac:dyDescent="0.2">
      <c r="B23" s="20" t="s">
        <v>295</v>
      </c>
      <c r="C23" s="141"/>
      <c r="D23" s="141"/>
      <c r="E23" s="147"/>
      <c r="F23" s="147"/>
      <c r="G23" s="147">
        <v>109</v>
      </c>
      <c r="H23" s="147">
        <v>176</v>
      </c>
      <c r="I23" s="147">
        <v>183</v>
      </c>
      <c r="J23" s="147">
        <v>1464</v>
      </c>
      <c r="K23" s="147">
        <v>672</v>
      </c>
      <c r="L23" s="147">
        <v>4610</v>
      </c>
      <c r="M23" s="147">
        <v>2473</v>
      </c>
      <c r="N23" s="147">
        <v>1651</v>
      </c>
      <c r="O23" s="147">
        <v>3827</v>
      </c>
      <c r="P23" s="147">
        <v>4469</v>
      </c>
      <c r="Q23" s="147"/>
      <c r="R23" s="118">
        <f>((Q23/G23)^(1/($H$2-$H$1) ))-1</f>
        <v>-1</v>
      </c>
      <c r="S23" s="31">
        <f t="shared" si="6"/>
        <v>0.12</v>
      </c>
      <c r="T23" s="154">
        <f t="shared" si="2"/>
        <v>0</v>
      </c>
      <c r="U23" s="154">
        <f t="shared" ref="U23" si="55">T23*(1+$S23)</f>
        <v>0</v>
      </c>
      <c r="V23" s="154">
        <f t="shared" ref="V23" si="56">U23*(1+$S23)</f>
        <v>0</v>
      </c>
      <c r="W23" s="154">
        <f t="shared" ref="W23" si="57">V23*(1+$S23)</f>
        <v>0</v>
      </c>
      <c r="X23" s="154">
        <f t="shared" ref="X23" si="58">W23*(1+$S23)</f>
        <v>0</v>
      </c>
      <c r="Y23" s="154">
        <f t="shared" ref="Y23" si="59">X23*(1+$S23)</f>
        <v>0</v>
      </c>
      <c r="Z23" s="154">
        <f t="shared" ref="Z23" si="60">Y23*(1+$S23)</f>
        <v>0</v>
      </c>
      <c r="AA23" s="154">
        <f t="shared" ref="AA23" si="61">Z23*(1+$S23)</f>
        <v>0</v>
      </c>
      <c r="AB23" s="154">
        <f t="shared" ref="AB23" si="62">AA23*(1+$S23)</f>
        <v>0</v>
      </c>
      <c r="AC23" s="154">
        <f t="shared" ref="AC23" si="63">AB23*(1+$S23)</f>
        <v>0</v>
      </c>
      <c r="AD23" s="138">
        <f t="shared" ref="AD23" si="64">((AC23/G23)^(1/($AC$3-$H$1) ))-1</f>
        <v>-1</v>
      </c>
      <c r="AE23" s="31">
        <f t="shared" si="16"/>
        <v>0.05</v>
      </c>
      <c r="AF23" s="146">
        <f t="shared" si="1"/>
        <v>0</v>
      </c>
    </row>
    <row r="24" spans="2:32" x14ac:dyDescent="0.2">
      <c r="B24" s="20"/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28"/>
      <c r="S24" s="20"/>
      <c r="T24" s="154">
        <f t="shared" si="2"/>
        <v>0</v>
      </c>
      <c r="U24" s="154"/>
      <c r="V24" s="154"/>
      <c r="W24" s="154"/>
      <c r="X24" s="154"/>
      <c r="Y24" s="154"/>
      <c r="Z24" s="154"/>
      <c r="AA24" s="154"/>
      <c r="AB24" s="154"/>
      <c r="AC24" s="154"/>
      <c r="AD24" s="119"/>
      <c r="AE24" s="137"/>
      <c r="AF24" s="154"/>
    </row>
    <row r="25" spans="2:32" x14ac:dyDescent="0.2">
      <c r="B25" s="20" t="s">
        <v>89</v>
      </c>
      <c r="C25" s="141"/>
      <c r="D25" s="141"/>
      <c r="E25" s="147"/>
      <c r="F25" s="147"/>
      <c r="G25" s="147">
        <v>259</v>
      </c>
      <c r="H25" s="147">
        <v>346</v>
      </c>
      <c r="I25" s="147">
        <v>907</v>
      </c>
      <c r="J25" s="147">
        <v>1414</v>
      </c>
      <c r="K25" s="147">
        <v>2493</v>
      </c>
      <c r="L25" s="147">
        <v>3723</v>
      </c>
      <c r="M25" s="147">
        <v>4499</v>
      </c>
      <c r="N25" s="147">
        <v>5525</v>
      </c>
      <c r="O25" s="147">
        <v>6175</v>
      </c>
      <c r="P25" s="147">
        <v>7015</v>
      </c>
      <c r="Q25" s="147">
        <v>8480</v>
      </c>
      <c r="R25" s="118">
        <f>((Q25/G25)^(1/($H$2-$H$1) ))-1</f>
        <v>0.47347920060160131</v>
      </c>
      <c r="S25" s="31">
        <f t="shared" si="6"/>
        <v>0.12</v>
      </c>
      <c r="T25" s="154">
        <f t="shared" si="2"/>
        <v>9497.6</v>
      </c>
      <c r="U25" s="154">
        <f t="shared" si="36"/>
        <v>10637.312000000002</v>
      </c>
      <c r="V25" s="154">
        <f t="shared" si="37"/>
        <v>11913.789440000002</v>
      </c>
      <c r="W25" s="154">
        <f t="shared" si="38"/>
        <v>13343.444172800004</v>
      </c>
      <c r="X25" s="154">
        <f t="shared" si="39"/>
        <v>14944.657473536006</v>
      </c>
      <c r="Y25" s="154">
        <f t="shared" si="40"/>
        <v>16738.016370360328</v>
      </c>
      <c r="Z25" s="154">
        <f t="shared" si="41"/>
        <v>18746.578334803569</v>
      </c>
      <c r="AA25" s="154">
        <f t="shared" si="42"/>
        <v>20996.167734980001</v>
      </c>
      <c r="AB25" s="154">
        <f t="shared" si="43"/>
        <v>23515.707863177602</v>
      </c>
      <c r="AC25" s="154">
        <f t="shared" si="44"/>
        <v>26337.592806758916</v>
      </c>
      <c r="AD25" s="138">
        <f t="shared" si="18"/>
        <v>0.25998047650724709</v>
      </c>
      <c r="AE25" s="31">
        <f t="shared" si="16"/>
        <v>0.05</v>
      </c>
      <c r="AF25" s="146">
        <f t="shared" si="1"/>
        <v>162673.36733586391</v>
      </c>
    </row>
    <row r="26" spans="2:32" s="123" customFormat="1" x14ac:dyDescent="0.2">
      <c r="B26" s="23"/>
      <c r="C26" s="149"/>
      <c r="D26" s="149"/>
      <c r="E26" s="150"/>
      <c r="F26" s="150"/>
      <c r="G26" s="148">
        <f>(G25-F25)/G25</f>
        <v>1</v>
      </c>
      <c r="H26" s="148">
        <f>(H25-G25)/H25</f>
        <v>0.25144508670520233</v>
      </c>
      <c r="I26" s="148">
        <f t="shared" ref="I26:P26" si="65">(I25-H25)/I25</f>
        <v>0.61852260198456455</v>
      </c>
      <c r="J26" s="148">
        <f t="shared" si="65"/>
        <v>0.35855728429985856</v>
      </c>
      <c r="K26" s="148">
        <f t="shared" si="65"/>
        <v>0.43281187324508624</v>
      </c>
      <c r="L26" s="148">
        <f t="shared" si="65"/>
        <v>0.33037872683319902</v>
      </c>
      <c r="M26" s="148">
        <f t="shared" si="65"/>
        <v>0.1724827739497666</v>
      </c>
      <c r="N26" s="148">
        <f t="shared" si="65"/>
        <v>0.18570135746606334</v>
      </c>
      <c r="O26" s="148">
        <f t="shared" si="65"/>
        <v>0.10526315789473684</v>
      </c>
      <c r="P26" s="148">
        <f t="shared" si="65"/>
        <v>0.11974340698503208</v>
      </c>
      <c r="Q26" s="148">
        <f t="shared" ref="P26:Q26" si="66">(Q25-P25)/Q25</f>
        <v>0.17275943396226415</v>
      </c>
      <c r="R26" s="128"/>
      <c r="S26" s="20"/>
      <c r="T26" s="154"/>
      <c r="U26" s="155"/>
      <c r="V26" s="155"/>
      <c r="W26" s="155"/>
      <c r="X26" s="155"/>
      <c r="Y26" s="155"/>
      <c r="Z26" s="155"/>
      <c r="AA26" s="155"/>
      <c r="AB26" s="155"/>
      <c r="AC26" s="155"/>
      <c r="AD26" s="119"/>
      <c r="AE26" s="137"/>
      <c r="AF26" s="154"/>
    </row>
    <row r="27" spans="2:32" x14ac:dyDescent="0.2">
      <c r="B27" s="20" t="s">
        <v>261</v>
      </c>
      <c r="C27" s="141"/>
      <c r="D27" s="141"/>
      <c r="E27" s="147"/>
      <c r="F27" s="147"/>
      <c r="G27" s="147">
        <v>79</v>
      </c>
      <c r="H27" s="147">
        <v>101</v>
      </c>
      <c r="I27" s="147">
        <v>267</v>
      </c>
      <c r="J27" s="147">
        <v>391</v>
      </c>
      <c r="K27" s="147">
        <v>553</v>
      </c>
      <c r="L27" s="147">
        <v>785</v>
      </c>
      <c r="M27" s="147">
        <v>908</v>
      </c>
      <c r="N27" s="147">
        <v>1390</v>
      </c>
      <c r="O27" s="147">
        <v>1669</v>
      </c>
      <c r="P27" s="147">
        <v>1775</v>
      </c>
      <c r="Q27" s="147">
        <v>2274</v>
      </c>
      <c r="R27" s="118">
        <f>((Q27/G27)^(1/($H$2-$H$1) ))-1</f>
        <v>0.45254388781304189</v>
      </c>
      <c r="S27" s="31">
        <f t="shared" si="6"/>
        <v>0.12</v>
      </c>
      <c r="T27" s="154">
        <f t="shared" si="2"/>
        <v>2546.88</v>
      </c>
      <c r="U27" s="154">
        <f t="shared" si="36"/>
        <v>2852.5056000000004</v>
      </c>
      <c r="V27" s="154">
        <f t="shared" si="37"/>
        <v>3194.8062720000007</v>
      </c>
      <c r="W27" s="154">
        <f t="shared" si="38"/>
        <v>3578.1830246400013</v>
      </c>
      <c r="X27" s="154">
        <f t="shared" si="39"/>
        <v>4007.564987596802</v>
      </c>
      <c r="Y27" s="154">
        <f t="shared" si="40"/>
        <v>4488.4727861084184</v>
      </c>
      <c r="Z27" s="154">
        <f t="shared" si="41"/>
        <v>5027.0895204414292</v>
      </c>
      <c r="AA27" s="154">
        <f t="shared" si="42"/>
        <v>5630.3402628944013</v>
      </c>
      <c r="AB27" s="154">
        <f t="shared" si="43"/>
        <v>6305.9810944417304</v>
      </c>
      <c r="AC27" s="154">
        <f t="shared" si="44"/>
        <v>7062.6988257747389</v>
      </c>
      <c r="AD27" s="138">
        <f t="shared" si="18"/>
        <v>0.25189290983709967</v>
      </c>
      <c r="AE27" s="31">
        <f t="shared" si="16"/>
        <v>0.05</v>
      </c>
      <c r="AF27" s="146">
        <f t="shared" si="1"/>
        <v>43622.55157096163</v>
      </c>
    </row>
    <row r="28" spans="2:32" s="123" customFormat="1" x14ac:dyDescent="0.2">
      <c r="B28" s="23"/>
      <c r="C28" s="149"/>
      <c r="D28" s="149"/>
      <c r="E28" s="150"/>
      <c r="F28" s="150"/>
      <c r="G28" s="148">
        <f t="shared" ref="G28:P28" si="67">(G27-F27)/G27</f>
        <v>1</v>
      </c>
      <c r="H28" s="148">
        <f t="shared" si="67"/>
        <v>0.21782178217821782</v>
      </c>
      <c r="I28" s="148">
        <f t="shared" si="67"/>
        <v>0.62172284644194753</v>
      </c>
      <c r="J28" s="148">
        <f t="shared" si="67"/>
        <v>0.31713554987212278</v>
      </c>
      <c r="K28" s="148">
        <f t="shared" si="67"/>
        <v>0.29294755877034356</v>
      </c>
      <c r="L28" s="148">
        <f t="shared" si="67"/>
        <v>0.29554140127388534</v>
      </c>
      <c r="M28" s="148">
        <f t="shared" si="67"/>
        <v>0.13546255506607929</v>
      </c>
      <c r="N28" s="148">
        <f t="shared" si="67"/>
        <v>0.34676258992805753</v>
      </c>
      <c r="O28" s="148">
        <f t="shared" si="67"/>
        <v>0.16716596764529659</v>
      </c>
      <c r="P28" s="148">
        <f t="shared" si="67"/>
        <v>5.9718309859154932E-2</v>
      </c>
      <c r="Q28" s="148">
        <f t="shared" ref="P28:Q28" si="68">(Q27-P27)/Q27</f>
        <v>0.21943711521547934</v>
      </c>
      <c r="R28" s="128"/>
      <c r="S28" s="20"/>
      <c r="T28" s="154"/>
      <c r="U28" s="155"/>
      <c r="V28" s="155"/>
      <c r="W28" s="155"/>
      <c r="X28" s="155"/>
      <c r="Y28" s="155"/>
      <c r="Z28" s="155"/>
      <c r="AA28" s="155"/>
      <c r="AB28" s="155"/>
      <c r="AC28" s="155"/>
      <c r="AD28" s="119"/>
      <c r="AE28" s="137"/>
      <c r="AF28" s="154"/>
    </row>
    <row r="29" spans="2:32" s="123" customFormat="1" x14ac:dyDescent="0.2">
      <c r="B29" s="20" t="s">
        <v>324</v>
      </c>
      <c r="C29" s="149"/>
      <c r="D29" s="149"/>
      <c r="E29" s="150"/>
      <c r="F29" s="147"/>
      <c r="G29" s="147">
        <v>117</v>
      </c>
      <c r="H29" s="147">
        <v>163</v>
      </c>
      <c r="I29" s="147">
        <v>415</v>
      </c>
      <c r="J29" s="147">
        <v>724</v>
      </c>
      <c r="K29" s="147">
        <v>1297</v>
      </c>
      <c r="L29" s="147">
        <v>1977</v>
      </c>
      <c r="M29" s="147">
        <v>2246</v>
      </c>
      <c r="N29" s="147">
        <v>2274</v>
      </c>
      <c r="O29" s="147">
        <v>2531</v>
      </c>
      <c r="P29" s="147">
        <v>3053</v>
      </c>
      <c r="Q29" s="147">
        <v>4202</v>
      </c>
      <c r="R29" s="118">
        <f>((Q29/G29)^(1/($H$2-$H$1) ))-1</f>
        <v>0.4887020913767397</v>
      </c>
      <c r="S29" s="31">
        <f t="shared" si="6"/>
        <v>0.12</v>
      </c>
      <c r="T29" s="154">
        <f t="shared" si="2"/>
        <v>4706.2400000000007</v>
      </c>
      <c r="U29" s="154">
        <f t="shared" ref="U29" si="69">T29*(1+$S29)</f>
        <v>5270.988800000001</v>
      </c>
      <c r="V29" s="154">
        <f t="shared" ref="V29" si="70">U29*(1+$S29)</f>
        <v>5903.5074560000021</v>
      </c>
      <c r="W29" s="154">
        <f t="shared" ref="W29" si="71">V29*(1+$S29)</f>
        <v>6611.9283507200025</v>
      </c>
      <c r="X29" s="154">
        <f t="shared" ref="X29" si="72">W29*(1+$S29)</f>
        <v>7405.3597528064038</v>
      </c>
      <c r="Y29" s="154">
        <f t="shared" ref="Y29" si="73">X29*(1+$S29)</f>
        <v>8294.0029231431727</v>
      </c>
      <c r="Z29" s="154">
        <f t="shared" ref="Z29" si="74">Y29*(1+$S29)</f>
        <v>9289.283273920355</v>
      </c>
      <c r="AA29" s="154">
        <f t="shared" ref="AA29" si="75">Z29*(1+$S29)</f>
        <v>10403.997266790799</v>
      </c>
      <c r="AB29" s="154">
        <f t="shared" ref="AB29" si="76">AA29*(1+$S29)</f>
        <v>11652.476938805696</v>
      </c>
      <c r="AC29" s="154">
        <f t="shared" ref="AC29" si="77">AB29*(1+$S29)</f>
        <v>13050.774171462381</v>
      </c>
      <c r="AD29" s="138">
        <f t="shared" ref="AD29" si="78">((AC29/G29)^(1/($AC$3-$H$1) ))-1</f>
        <v>0.26582165375087397</v>
      </c>
      <c r="AE29" s="31">
        <f t="shared" si="16"/>
        <v>0.05</v>
      </c>
      <c r="AF29" s="146">
        <f t="shared" ref="AF29" si="79">(AC29*(1+AE29))/($C$1-AE29)</f>
        <v>80607.722823738251</v>
      </c>
    </row>
    <row r="30" spans="2:32" s="123" customFormat="1" x14ac:dyDescent="0.2">
      <c r="B30" s="23"/>
      <c r="C30" s="149"/>
      <c r="D30" s="149"/>
      <c r="E30" s="150"/>
      <c r="F30" s="150"/>
      <c r="G30" s="148">
        <f t="shared" ref="G30:P30" si="80">(G29-F29)/G29</f>
        <v>1</v>
      </c>
      <c r="H30" s="148">
        <f t="shared" si="80"/>
        <v>0.2822085889570552</v>
      </c>
      <c r="I30" s="148">
        <f t="shared" si="80"/>
        <v>0.60722891566265058</v>
      </c>
      <c r="J30" s="148">
        <f t="shared" si="80"/>
        <v>0.42679558011049723</v>
      </c>
      <c r="K30" s="148">
        <f t="shared" si="80"/>
        <v>0.4417887432536623</v>
      </c>
      <c r="L30" s="148">
        <f t="shared" si="80"/>
        <v>0.34395548811330301</v>
      </c>
      <c r="M30" s="148">
        <f t="shared" si="80"/>
        <v>0.11976847729296528</v>
      </c>
      <c r="N30" s="148">
        <f t="shared" si="80"/>
        <v>1.2313104661389622E-2</v>
      </c>
      <c r="O30" s="148">
        <f t="shared" si="80"/>
        <v>0.10154089292769657</v>
      </c>
      <c r="P30" s="148">
        <f t="shared" si="80"/>
        <v>0.17097936455944973</v>
      </c>
      <c r="Q30" s="148">
        <f t="shared" ref="P30:Q30" si="81">(Q29-P29)/Q29</f>
        <v>0.2734412184673965</v>
      </c>
      <c r="R30" s="128"/>
      <c r="S30" s="20"/>
      <c r="T30" s="154"/>
      <c r="U30" s="155"/>
      <c r="V30" s="155"/>
      <c r="W30" s="155"/>
      <c r="X30" s="155"/>
      <c r="Y30" s="155"/>
      <c r="Z30" s="155"/>
      <c r="AA30" s="155"/>
      <c r="AB30" s="155"/>
      <c r="AC30" s="155"/>
      <c r="AD30" s="162"/>
      <c r="AE30" s="137"/>
      <c r="AF30" s="154"/>
    </row>
    <row r="31" spans="2:32" x14ac:dyDescent="0.2">
      <c r="B31" s="20" t="s">
        <v>332</v>
      </c>
      <c r="C31" s="141"/>
      <c r="D31" s="141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18" t="e">
        <f>((Q31/G31)^(1/($H$2-$H$1) ))-1</f>
        <v>#DIV/0!</v>
      </c>
      <c r="S31" s="31">
        <f t="shared" si="6"/>
        <v>0.12</v>
      </c>
      <c r="T31" s="154">
        <f t="shared" si="2"/>
        <v>0</v>
      </c>
      <c r="U31" s="154">
        <f>T31*(1+$S31)</f>
        <v>0</v>
      </c>
      <c r="V31" s="154">
        <f t="shared" ref="V31:AC32" si="82">U31*(1+$S31)</f>
        <v>0</v>
      </c>
      <c r="W31" s="154">
        <f t="shared" si="82"/>
        <v>0</v>
      </c>
      <c r="X31" s="154">
        <f t="shared" si="82"/>
        <v>0</v>
      </c>
      <c r="Y31" s="154">
        <f t="shared" si="82"/>
        <v>0</v>
      </c>
      <c r="Z31" s="154">
        <f t="shared" si="82"/>
        <v>0</v>
      </c>
      <c r="AA31" s="154">
        <f t="shared" si="82"/>
        <v>0</v>
      </c>
      <c r="AB31" s="154">
        <f t="shared" si="82"/>
        <v>0</v>
      </c>
      <c r="AC31" s="154">
        <f t="shared" si="82"/>
        <v>0</v>
      </c>
      <c r="AD31" s="138" t="e">
        <f t="shared" ref="AD31" si="83">((AC31/G31)^(1/($AC$3-$H$1) ))-1</f>
        <v>#DIV/0!</v>
      </c>
      <c r="AE31" s="31">
        <f t="shared" si="16"/>
        <v>0.05</v>
      </c>
      <c r="AF31" s="146">
        <f t="shared" si="1"/>
        <v>0</v>
      </c>
    </row>
    <row r="32" spans="2:32" x14ac:dyDescent="0.2">
      <c r="B32" s="20" t="s">
        <v>331</v>
      </c>
      <c r="C32" s="141"/>
      <c r="D32" s="141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18" t="e">
        <f>((Q32/G32)^(1/($H$2-$H$1) ))-1</f>
        <v>#DIV/0!</v>
      </c>
      <c r="S32" s="31">
        <f t="shared" si="6"/>
        <v>0.12</v>
      </c>
      <c r="T32" s="154">
        <f t="shared" si="2"/>
        <v>0</v>
      </c>
      <c r="U32" s="154">
        <f>T32*(1+$S32)</f>
        <v>0</v>
      </c>
      <c r="V32" s="154">
        <f t="shared" si="82"/>
        <v>0</v>
      </c>
      <c r="W32" s="154">
        <f t="shared" si="82"/>
        <v>0</v>
      </c>
      <c r="X32" s="154">
        <f t="shared" si="82"/>
        <v>0</v>
      </c>
      <c r="Y32" s="154">
        <f t="shared" si="82"/>
        <v>0</v>
      </c>
      <c r="Z32" s="154">
        <f t="shared" si="82"/>
        <v>0</v>
      </c>
      <c r="AA32" s="154">
        <f t="shared" si="82"/>
        <v>0</v>
      </c>
      <c r="AB32" s="154">
        <f t="shared" si="82"/>
        <v>0</v>
      </c>
      <c r="AC32" s="154">
        <f t="shared" si="82"/>
        <v>0</v>
      </c>
      <c r="AD32" s="138" t="e">
        <f t="shared" ref="AD32" si="84">((AC32/G32)^(1/($AC$3-$H$1) ))-1</f>
        <v>#DIV/0!</v>
      </c>
      <c r="AE32" s="31">
        <f t="shared" si="16"/>
        <v>0.05</v>
      </c>
      <c r="AF32" s="146">
        <f t="shared" si="1"/>
        <v>0</v>
      </c>
    </row>
    <row r="33" spans="2:32" x14ac:dyDescent="0.2">
      <c r="B33" s="20" t="s">
        <v>316</v>
      </c>
      <c r="C33" s="141"/>
      <c r="D33" s="141"/>
      <c r="E33" s="147"/>
      <c r="F33" s="147"/>
      <c r="G33" s="147">
        <v>8</v>
      </c>
      <c r="H33" s="147">
        <v>10</v>
      </c>
      <c r="I33" s="147">
        <v>26</v>
      </c>
      <c r="J33" s="147">
        <v>29</v>
      </c>
      <c r="K33" s="147">
        <v>54</v>
      </c>
      <c r="L33" s="147">
        <v>60</v>
      </c>
      <c r="M33" s="147">
        <v>56</v>
      </c>
      <c r="N33" s="147">
        <v>83</v>
      </c>
      <c r="O33" s="147">
        <v>423</v>
      </c>
      <c r="P33" s="147">
        <v>465</v>
      </c>
      <c r="Q33" s="147">
        <v>1803</v>
      </c>
      <c r="R33" s="118">
        <f>((Q33/G33)^(1/($H$2-$H$1) ))-1</f>
        <v>0.82571915073749036</v>
      </c>
      <c r="S33" s="31">
        <f t="shared" si="6"/>
        <v>0.12</v>
      </c>
      <c r="T33" s="154">
        <f t="shared" si="2"/>
        <v>2019.3600000000001</v>
      </c>
      <c r="U33" s="154">
        <f t="shared" si="36"/>
        <v>2261.6832000000004</v>
      </c>
      <c r="V33" s="154">
        <f t="shared" si="37"/>
        <v>2533.0851840000005</v>
      </c>
      <c r="W33" s="154">
        <f t="shared" si="38"/>
        <v>2837.0554060800009</v>
      </c>
      <c r="X33" s="154">
        <f t="shared" si="39"/>
        <v>3177.5020548096013</v>
      </c>
      <c r="Y33" s="154">
        <f t="shared" si="40"/>
        <v>3558.8023013867537</v>
      </c>
      <c r="Z33" s="154">
        <f t="shared" si="41"/>
        <v>3985.8585775531647</v>
      </c>
      <c r="AA33" s="154">
        <f t="shared" si="42"/>
        <v>4464.1616068595449</v>
      </c>
      <c r="AB33" s="154">
        <f t="shared" si="43"/>
        <v>4999.8609996826908</v>
      </c>
      <c r="AC33" s="154">
        <f t="shared" si="44"/>
        <v>5599.8443196446142</v>
      </c>
      <c r="AD33" s="138">
        <f t="shared" si="18"/>
        <v>0.38756807254638126</v>
      </c>
      <c r="AE33" s="31">
        <f t="shared" si="16"/>
        <v>0.05</v>
      </c>
      <c r="AF33" s="146">
        <f t="shared" si="1"/>
        <v>34587.273738981443</v>
      </c>
    </row>
    <row r="34" spans="2:32" x14ac:dyDescent="0.2">
      <c r="B34" s="20" t="s">
        <v>308</v>
      </c>
      <c r="C34" s="141"/>
      <c r="D34" s="141"/>
      <c r="E34" s="147"/>
      <c r="F34" s="147"/>
      <c r="G34" s="147">
        <v>11</v>
      </c>
      <c r="H34" s="147">
        <v>14</v>
      </c>
      <c r="I34" s="147">
        <v>47</v>
      </c>
      <c r="J34" s="147">
        <v>72</v>
      </c>
      <c r="K34" s="147">
        <v>125</v>
      </c>
      <c r="L34" s="147">
        <v>200</v>
      </c>
      <c r="M34" s="147">
        <v>225</v>
      </c>
      <c r="N34" s="147">
        <v>371</v>
      </c>
      <c r="O34" s="147">
        <v>407</v>
      </c>
      <c r="P34" s="147">
        <v>438</v>
      </c>
      <c r="Q34" s="147">
        <v>471</v>
      </c>
      <c r="R34" s="118">
        <f>((Q34/G34)^(1/($H$2-$H$1) ))-1</f>
        <v>0.51807079281444546</v>
      </c>
      <c r="S34" s="31">
        <f t="shared" si="6"/>
        <v>0.12</v>
      </c>
      <c r="T34" s="154">
        <f t="shared" si="2"/>
        <v>527.5200000000001</v>
      </c>
      <c r="U34" s="154">
        <f t="shared" si="36"/>
        <v>590.82240000000013</v>
      </c>
      <c r="V34" s="154">
        <f t="shared" si="37"/>
        <v>661.72108800000024</v>
      </c>
      <c r="W34" s="154">
        <f t="shared" si="38"/>
        <v>741.12761856000031</v>
      </c>
      <c r="X34" s="154">
        <f t="shared" si="39"/>
        <v>830.06293278720045</v>
      </c>
      <c r="Y34" s="154">
        <f t="shared" si="40"/>
        <v>929.67048472166459</v>
      </c>
      <c r="Z34" s="154">
        <f t="shared" si="41"/>
        <v>1041.2309428882645</v>
      </c>
      <c r="AA34" s="154">
        <f t="shared" si="42"/>
        <v>1166.1786560348564</v>
      </c>
      <c r="AB34" s="154">
        <f t="shared" si="43"/>
        <v>1306.1200947590394</v>
      </c>
      <c r="AC34" s="154">
        <f t="shared" si="44"/>
        <v>1462.8545061301243</v>
      </c>
      <c r="AD34" s="138">
        <f t="shared" si="18"/>
        <v>0.27699860381069352</v>
      </c>
      <c r="AE34" s="31">
        <f t="shared" si="16"/>
        <v>0.05</v>
      </c>
      <c r="AF34" s="146">
        <f t="shared" si="1"/>
        <v>9035.2778319801801</v>
      </c>
    </row>
    <row r="35" spans="2:32" x14ac:dyDescent="0.2">
      <c r="B35" s="20"/>
      <c r="C35" s="141"/>
      <c r="D35" s="141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28"/>
      <c r="S35" s="20"/>
      <c r="T35" s="154">
        <f t="shared" si="2"/>
        <v>0</v>
      </c>
      <c r="U35" s="154"/>
      <c r="V35" s="154"/>
      <c r="W35" s="154"/>
      <c r="X35" s="154"/>
      <c r="Y35" s="154"/>
      <c r="Z35" s="154"/>
      <c r="AA35" s="154"/>
      <c r="AB35" s="154"/>
      <c r="AC35" s="154"/>
      <c r="AD35" s="139"/>
      <c r="AE35" s="137"/>
      <c r="AF35" s="154"/>
    </row>
    <row r="36" spans="2:32" x14ac:dyDescent="0.2">
      <c r="B36" s="20" t="s">
        <v>278</v>
      </c>
      <c r="C36" s="141"/>
      <c r="D36" s="141"/>
      <c r="E36" s="147"/>
      <c r="F36" s="147"/>
      <c r="G36" s="147">
        <v>171</v>
      </c>
      <c r="H36" s="147">
        <v>244</v>
      </c>
      <c r="I36" s="147">
        <v>637</v>
      </c>
      <c r="J36" s="147">
        <v>1018</v>
      </c>
      <c r="K36" s="147">
        <v>1898</v>
      </c>
      <c r="L36" s="147">
        <v>2907</v>
      </c>
      <c r="M36" s="147">
        <v>3494</v>
      </c>
      <c r="N36" s="147">
        <v>3935</v>
      </c>
      <c r="O36" s="147">
        <v>4505</v>
      </c>
      <c r="P36" s="147">
        <v>5237</v>
      </c>
      <c r="Q36" s="147">
        <v>6201</v>
      </c>
      <c r="R36" s="118">
        <f>((Q36/G36)^(1/($H$2-$H$1) ))-1</f>
        <v>0.4903008799551356</v>
      </c>
      <c r="S36" s="31">
        <f t="shared" si="6"/>
        <v>0.12</v>
      </c>
      <c r="T36" s="154">
        <f t="shared" si="2"/>
        <v>6945.1200000000008</v>
      </c>
      <c r="U36" s="154">
        <f t="shared" ref="U36" si="85">T36*(1+$S36)</f>
        <v>7778.5344000000014</v>
      </c>
      <c r="V36" s="154">
        <f t="shared" ref="V36" si="86">U36*(1+$S36)</f>
        <v>8711.9585280000028</v>
      </c>
      <c r="W36" s="154">
        <f t="shared" ref="W36" si="87">V36*(1+$S36)</f>
        <v>9757.3935513600045</v>
      </c>
      <c r="X36" s="154">
        <f t="shared" si="39"/>
        <v>10928.280777523207</v>
      </c>
      <c r="Y36" s="154">
        <f t="shared" si="40"/>
        <v>12239.674470825992</v>
      </c>
      <c r="Z36" s="154">
        <f t="shared" si="41"/>
        <v>13708.435407325112</v>
      </c>
      <c r="AA36" s="154">
        <f t="shared" si="42"/>
        <v>15353.447656204127</v>
      </c>
      <c r="AB36" s="154">
        <f t="shared" si="43"/>
        <v>17195.861374948625</v>
      </c>
      <c r="AC36" s="154">
        <f t="shared" si="44"/>
        <v>19259.364739942463</v>
      </c>
      <c r="AD36" s="138">
        <f t="shared" si="18"/>
        <v>0.26643321514571605</v>
      </c>
      <c r="AE36" s="31">
        <f t="shared" si="16"/>
        <v>0.05</v>
      </c>
      <c r="AF36" s="146">
        <f t="shared" si="1"/>
        <v>118954.89986435052</v>
      </c>
    </row>
    <row r="37" spans="2:32" s="123" customFormat="1" x14ac:dyDescent="0.2">
      <c r="B37" s="23"/>
      <c r="C37" s="149"/>
      <c r="D37" s="149"/>
      <c r="E37" s="150"/>
      <c r="F37" s="150"/>
      <c r="G37" s="148">
        <f t="shared" ref="G37:P37" si="88">(G36-F36)/G36</f>
        <v>1</v>
      </c>
      <c r="H37" s="148">
        <f t="shared" si="88"/>
        <v>0.29918032786885246</v>
      </c>
      <c r="I37" s="148">
        <f t="shared" si="88"/>
        <v>0.61695447409733128</v>
      </c>
      <c r="J37" s="148">
        <f t="shared" si="88"/>
        <v>0.3742632612966601</v>
      </c>
      <c r="K37" s="148">
        <f t="shared" si="88"/>
        <v>0.46364594309799789</v>
      </c>
      <c r="L37" s="148">
        <f t="shared" si="88"/>
        <v>0.34709322325421399</v>
      </c>
      <c r="M37" s="148">
        <f t="shared" si="88"/>
        <v>0.1680022896393818</v>
      </c>
      <c r="N37" s="148">
        <f t="shared" si="88"/>
        <v>0.11207115628970775</v>
      </c>
      <c r="O37" s="148">
        <f t="shared" si="88"/>
        <v>0.12652608213096558</v>
      </c>
      <c r="P37" s="148">
        <f t="shared" si="88"/>
        <v>0.13977468016039718</v>
      </c>
      <c r="Q37" s="148">
        <f t="shared" ref="P37:Q37" si="89">(Q36-P36)/Q36</f>
        <v>0.15545879696823092</v>
      </c>
      <c r="R37" s="128"/>
      <c r="S37" s="20"/>
      <c r="T37" s="154"/>
      <c r="U37" s="155"/>
      <c r="V37" s="155"/>
      <c r="W37" s="155"/>
      <c r="X37" s="155"/>
      <c r="Y37" s="155"/>
      <c r="Z37" s="155"/>
      <c r="AA37" s="155"/>
      <c r="AB37" s="155"/>
      <c r="AC37" s="155"/>
      <c r="AD37" s="139"/>
      <c r="AE37" s="137"/>
      <c r="AF37" s="156"/>
    </row>
    <row r="38" spans="2:32" s="123" customFormat="1" x14ac:dyDescent="0.2">
      <c r="B38" s="20" t="s">
        <v>400</v>
      </c>
      <c r="C38" s="149"/>
      <c r="D38" s="149"/>
      <c r="E38" s="150"/>
      <c r="F38" s="150"/>
      <c r="G38" s="147">
        <v>56</v>
      </c>
      <c r="H38" s="147">
        <v>78</v>
      </c>
      <c r="I38" s="147">
        <v>216</v>
      </c>
      <c r="J38" s="147">
        <v>286</v>
      </c>
      <c r="K38" s="147">
        <v>605</v>
      </c>
      <c r="L38" s="147">
        <v>926</v>
      </c>
      <c r="M38" s="147">
        <v>1324</v>
      </c>
      <c r="N38" s="147">
        <v>1837</v>
      </c>
      <c r="O38" s="147">
        <v>1957</v>
      </c>
      <c r="P38" s="147">
        <v>2162</v>
      </c>
      <c r="Q38" s="147">
        <v>1970</v>
      </c>
      <c r="R38" s="118">
        <f>((Q38/G38)^(1/($H$2-$H$1) ))-1</f>
        <v>0.48528121644011746</v>
      </c>
      <c r="S38" s="31">
        <f t="shared" si="6"/>
        <v>0.12</v>
      </c>
      <c r="T38" s="154">
        <f t="shared" si="2"/>
        <v>2206.4</v>
      </c>
      <c r="U38" s="154">
        <f t="shared" ref="U38" si="90">T38*(1+$S38)</f>
        <v>2471.1680000000001</v>
      </c>
      <c r="V38" s="154">
        <f t="shared" ref="V38" si="91">U38*(1+$S38)</f>
        <v>2767.7081600000006</v>
      </c>
      <c r="W38" s="154">
        <f t="shared" ref="W38" si="92">V38*(1+$S38)</f>
        <v>3099.8331392000009</v>
      </c>
      <c r="X38" s="154">
        <f t="shared" ref="X38" si="93">W38*(1+$S38)</f>
        <v>3471.8131159040013</v>
      </c>
      <c r="Y38" s="154">
        <f t="shared" ref="Y38" si="94">X38*(1+$S38)</f>
        <v>3888.4306898124819</v>
      </c>
      <c r="Z38" s="154">
        <f t="shared" ref="Z38" si="95">Y38*(1+$S38)</f>
        <v>4355.04237258998</v>
      </c>
      <c r="AA38" s="154">
        <f t="shared" ref="AA38" si="96">Z38*(1+$S38)</f>
        <v>4877.6474573007781</v>
      </c>
      <c r="AB38" s="154">
        <f t="shared" ref="AB38" si="97">AA38*(1+$S38)</f>
        <v>5462.9651521768719</v>
      </c>
      <c r="AC38" s="154">
        <f t="shared" ref="AC38" si="98">AB38*(1+$S38)</f>
        <v>6118.5209704380968</v>
      </c>
      <c r="AD38" s="138">
        <f t="shared" ref="AD38" si="99">((AC38/G38)^(1/($AC$3-$H$1) ))-1</f>
        <v>0.26451190162543248</v>
      </c>
      <c r="AE38" s="31">
        <f t="shared" si="16"/>
        <v>0.05</v>
      </c>
      <c r="AF38" s="146">
        <f t="shared" ref="AF38" si="100">(AC38*(1+AE38))/($C$1-AE38)</f>
        <v>37790.864817411777</v>
      </c>
    </row>
    <row r="39" spans="2:32" s="123" customFormat="1" x14ac:dyDescent="0.2">
      <c r="B39" s="23"/>
      <c r="C39" s="149"/>
      <c r="D39" s="149"/>
      <c r="E39" s="150"/>
      <c r="F39" s="150"/>
      <c r="G39" s="148">
        <f t="shared" ref="G39:P39" si="101">(G38-F38)/G38</f>
        <v>1</v>
      </c>
      <c r="H39" s="148">
        <f t="shared" si="101"/>
        <v>0.28205128205128205</v>
      </c>
      <c r="I39" s="148">
        <f t="shared" si="101"/>
        <v>0.63888888888888884</v>
      </c>
      <c r="J39" s="148">
        <f t="shared" si="101"/>
        <v>0.24475524475524477</v>
      </c>
      <c r="K39" s="148">
        <f t="shared" si="101"/>
        <v>0.52727272727272723</v>
      </c>
      <c r="L39" s="148">
        <f t="shared" si="101"/>
        <v>0.3466522678185745</v>
      </c>
      <c r="M39" s="148">
        <f t="shared" si="101"/>
        <v>0.30060422960725075</v>
      </c>
      <c r="N39" s="148">
        <f t="shared" si="101"/>
        <v>0.27925966249319545</v>
      </c>
      <c r="O39" s="148">
        <f t="shared" si="101"/>
        <v>6.1318344404701075E-2</v>
      </c>
      <c r="P39" s="148">
        <f t="shared" si="101"/>
        <v>9.4819611470860321E-2</v>
      </c>
      <c r="Q39" s="148">
        <f t="shared" ref="P39:Q39" si="102">(Q38-P38)/Q38</f>
        <v>-9.746192893401015E-2</v>
      </c>
      <c r="R39" s="128"/>
      <c r="S39" s="20"/>
      <c r="T39" s="154"/>
      <c r="U39" s="155"/>
      <c r="V39" s="155"/>
      <c r="W39" s="155"/>
      <c r="X39" s="155"/>
      <c r="Y39" s="155"/>
      <c r="Z39" s="155"/>
      <c r="AA39" s="155"/>
      <c r="AB39" s="155"/>
      <c r="AC39" s="155"/>
      <c r="AD39" s="139"/>
      <c r="AE39" s="137"/>
      <c r="AF39" s="156"/>
    </row>
    <row r="40" spans="2:32" x14ac:dyDescent="0.2">
      <c r="B40" s="20" t="s">
        <v>401</v>
      </c>
      <c r="C40" s="141"/>
      <c r="D40" s="141"/>
      <c r="E40" s="147"/>
      <c r="F40" s="147"/>
      <c r="G40" s="147">
        <v>37</v>
      </c>
      <c r="H40" s="147">
        <v>49</v>
      </c>
      <c r="I40" s="147">
        <v>141</v>
      </c>
      <c r="J40" s="147">
        <v>190</v>
      </c>
      <c r="K40" s="147">
        <v>389</v>
      </c>
      <c r="L40" s="147">
        <v>612</v>
      </c>
      <c r="M40" s="147">
        <v>873</v>
      </c>
      <c r="N40" s="147">
        <v>1217</v>
      </c>
      <c r="O40" s="147">
        <v>1308</v>
      </c>
      <c r="P40" s="147">
        <v>1463</v>
      </c>
      <c r="Q40" s="147">
        <v>1357</v>
      </c>
      <c r="R40" s="118">
        <f>((Q40/G40)^(1/($H$2-$H$1) ))-1</f>
        <v>0.49217510992911162</v>
      </c>
      <c r="S40" s="31">
        <f t="shared" si="6"/>
        <v>0.12</v>
      </c>
      <c r="T40" s="154">
        <f t="shared" si="2"/>
        <v>1519.8400000000001</v>
      </c>
      <c r="U40" s="154">
        <f t="shared" ref="U40:AC40" si="103">T40*(1+$S40)</f>
        <v>1702.2208000000003</v>
      </c>
      <c r="V40" s="154">
        <f t="shared" si="103"/>
        <v>1906.4872960000005</v>
      </c>
      <c r="W40" s="154">
        <f t="shared" si="103"/>
        <v>2135.2657715200007</v>
      </c>
      <c r="X40" s="154">
        <f t="shared" si="103"/>
        <v>2391.4976641024009</v>
      </c>
      <c r="Y40" s="154">
        <f t="shared" si="103"/>
        <v>2678.4773837946891</v>
      </c>
      <c r="Z40" s="154">
        <f t="shared" si="103"/>
        <v>2999.8946698500522</v>
      </c>
      <c r="AA40" s="154">
        <f t="shared" si="103"/>
        <v>3359.8820302320587</v>
      </c>
      <c r="AB40" s="154">
        <f t="shared" si="103"/>
        <v>3763.0678738599063</v>
      </c>
      <c r="AC40" s="154">
        <f t="shared" si="103"/>
        <v>4214.6360187230957</v>
      </c>
      <c r="AD40" s="138">
        <f t="shared" si="18"/>
        <v>0.26714967787044852</v>
      </c>
      <c r="AE40" s="31">
        <f t="shared" si="16"/>
        <v>0.05</v>
      </c>
      <c r="AF40" s="146">
        <f t="shared" si="1"/>
        <v>26031.575409760302</v>
      </c>
    </row>
    <row r="41" spans="2:32" s="123" customFormat="1" x14ac:dyDescent="0.2">
      <c r="B41" s="23"/>
      <c r="C41" s="149"/>
      <c r="D41" s="149"/>
      <c r="E41" s="150"/>
      <c r="F41" s="150"/>
      <c r="G41" s="148">
        <f>(G40-F40)/G40</f>
        <v>1</v>
      </c>
      <c r="H41" s="148">
        <f t="shared" ref="H41:P41" si="104">(H40-G40)/H40</f>
        <v>0.24489795918367346</v>
      </c>
      <c r="I41" s="148">
        <f t="shared" si="104"/>
        <v>0.65248226950354615</v>
      </c>
      <c r="J41" s="148">
        <f t="shared" si="104"/>
        <v>0.25789473684210529</v>
      </c>
      <c r="K41" s="148">
        <f t="shared" si="104"/>
        <v>0.51156812339331614</v>
      </c>
      <c r="L41" s="148">
        <f t="shared" si="104"/>
        <v>0.36437908496732024</v>
      </c>
      <c r="M41" s="148">
        <f t="shared" si="104"/>
        <v>0.29896907216494845</v>
      </c>
      <c r="N41" s="148">
        <f t="shared" si="104"/>
        <v>0.2826622843056697</v>
      </c>
      <c r="O41" s="148">
        <f t="shared" si="104"/>
        <v>6.9571865443425071E-2</v>
      </c>
      <c r="P41" s="148">
        <f t="shared" si="104"/>
        <v>0.10594668489405332</v>
      </c>
      <c r="Q41" s="148">
        <f t="shared" ref="H41:Q41" si="105">(Q40-P40)/Q40</f>
        <v>-7.8113485630066329E-2</v>
      </c>
      <c r="R41" s="128"/>
      <c r="S41" s="20"/>
      <c r="T41" s="154"/>
      <c r="U41" s="155"/>
      <c r="V41" s="155"/>
      <c r="W41" s="155"/>
      <c r="X41" s="155"/>
      <c r="Y41" s="155"/>
      <c r="Z41" s="155"/>
      <c r="AA41" s="155"/>
      <c r="AB41" s="155"/>
      <c r="AC41" s="155"/>
      <c r="AD41" s="139"/>
      <c r="AE41" s="137"/>
      <c r="AF41" s="156"/>
    </row>
    <row r="42" spans="2:32" x14ac:dyDescent="0.2">
      <c r="B42" s="20" t="s">
        <v>239</v>
      </c>
      <c r="C42" s="142">
        <v>1</v>
      </c>
      <c r="D42" s="142">
        <v>1</v>
      </c>
      <c r="E42" s="145">
        <v>1</v>
      </c>
      <c r="F42" s="145">
        <v>1</v>
      </c>
      <c r="G42" s="209">
        <v>4.1900000000000004</v>
      </c>
      <c r="H42" s="209">
        <v>6.54</v>
      </c>
      <c r="I42" s="209">
        <v>15.05</v>
      </c>
      <c r="J42" s="209">
        <v>18.41</v>
      </c>
      <c r="K42" s="209">
        <v>20.309999999999999</v>
      </c>
      <c r="L42" s="209">
        <v>20.350000000000001</v>
      </c>
      <c r="M42" s="209">
        <v>22.55</v>
      </c>
      <c r="N42" s="209">
        <v>22.61</v>
      </c>
      <c r="O42" s="209">
        <v>22.65</v>
      </c>
      <c r="P42" s="209">
        <v>22.68</v>
      </c>
      <c r="Q42" s="145">
        <v>22.68</v>
      </c>
      <c r="R42" s="118">
        <f>((Q42/G42)^(1/($H$2-$H$1) ))-1</f>
        <v>0.20640218231007368</v>
      </c>
      <c r="S42" s="31">
        <f>P1</f>
        <v>0.05</v>
      </c>
      <c r="T42" s="154">
        <f t="shared" si="2"/>
        <v>23.814</v>
      </c>
      <c r="U42" s="154">
        <f t="shared" ref="U42:AC42" si="106">T42*(1+$S42)</f>
        <v>25.0047</v>
      </c>
      <c r="V42" s="154">
        <f t="shared" si="106"/>
        <v>26.254935</v>
      </c>
      <c r="W42" s="154">
        <f t="shared" si="106"/>
        <v>27.567681750000002</v>
      </c>
      <c r="X42" s="154">
        <f t="shared" si="106"/>
        <v>28.946065837500004</v>
      </c>
      <c r="Y42" s="154">
        <f t="shared" si="106"/>
        <v>30.393369129375007</v>
      </c>
      <c r="Z42" s="154">
        <f t="shared" si="106"/>
        <v>31.913037585843757</v>
      </c>
      <c r="AA42" s="154">
        <f t="shared" si="106"/>
        <v>33.508689465135944</v>
      </c>
      <c r="AB42" s="154">
        <f t="shared" si="106"/>
        <v>35.184123938392744</v>
      </c>
      <c r="AC42" s="154">
        <f t="shared" si="106"/>
        <v>36.943330135312387</v>
      </c>
      <c r="AD42" s="138">
        <f t="shared" si="18"/>
        <v>0.11497749330423979</v>
      </c>
      <c r="AE42" s="31">
        <f t="shared" si="16"/>
        <v>0.05</v>
      </c>
      <c r="AF42" s="146">
        <f t="shared" si="1"/>
        <v>228.17939201222359</v>
      </c>
    </row>
    <row r="43" spans="2:32" x14ac:dyDescent="0.2">
      <c r="B43" s="20"/>
      <c r="C43" s="142"/>
      <c r="D43" s="142"/>
      <c r="E43" s="143"/>
      <c r="F43" s="147"/>
      <c r="G43" s="148">
        <f>(G42-F42)/G42</f>
        <v>0.76133651551312653</v>
      </c>
      <c r="H43" s="148">
        <f t="shared" ref="H43" si="107">(H42-G42)/H42</f>
        <v>0.35932721712538218</v>
      </c>
      <c r="I43" s="148">
        <f t="shared" ref="I43" si="108">(I42-H42)/I42</f>
        <v>0.56544850498338883</v>
      </c>
      <c r="J43" s="148">
        <f t="shared" ref="J43" si="109">(J42-I42)/J42</f>
        <v>0.18250950570342203</v>
      </c>
      <c r="K43" s="148">
        <f t="shared" ref="K43" si="110">(K42-J42)/K42</f>
        <v>9.3549975381585368E-2</v>
      </c>
      <c r="L43" s="148">
        <f t="shared" ref="L43" si="111">(L42-K42)/L42</f>
        <v>1.9656019656020983E-3</v>
      </c>
      <c r="M43" s="148">
        <f t="shared" ref="M43" si="112">(M42-L42)/M42</f>
        <v>9.7560975609756059E-2</v>
      </c>
      <c r="N43" s="148">
        <f t="shared" ref="N43" si="113">(N42-M42)/N42</f>
        <v>2.6536930561697797E-3</v>
      </c>
      <c r="O43" s="148">
        <f t="shared" ref="O43" si="114">(O42-N42)/O42</f>
        <v>1.766004415011E-3</v>
      </c>
      <c r="P43" s="148">
        <f t="shared" ref="P43:Q43" si="115">(P42-O42)/P42</f>
        <v>1.322751322751373E-3</v>
      </c>
      <c r="Q43" s="148">
        <f t="shared" si="115"/>
        <v>0</v>
      </c>
      <c r="R43" s="128"/>
      <c r="S43" s="20"/>
      <c r="T43" s="154"/>
      <c r="U43" s="154"/>
      <c r="V43" s="154"/>
      <c r="W43" s="154"/>
      <c r="X43" s="154"/>
      <c r="Y43" s="154"/>
      <c r="Z43" s="154"/>
      <c r="AA43" s="154"/>
      <c r="AB43" s="154"/>
      <c r="AC43" s="154"/>
      <c r="AD43" s="138"/>
      <c r="AE43" s="31"/>
      <c r="AF43" s="146"/>
    </row>
    <row r="44" spans="2:32" x14ac:dyDescent="0.2">
      <c r="B44" s="20" t="s">
        <v>282</v>
      </c>
      <c r="C44" s="145"/>
      <c r="D44" s="145"/>
      <c r="E44" s="145"/>
      <c r="F44" s="147"/>
      <c r="G44" s="145">
        <v>2.5</v>
      </c>
      <c r="H44" s="145">
        <v>2.5</v>
      </c>
      <c r="I44" s="145">
        <v>3</v>
      </c>
      <c r="J44" s="145">
        <v>3</v>
      </c>
      <c r="K44" s="145">
        <v>5</v>
      </c>
      <c r="L44" s="145">
        <v>5</v>
      </c>
      <c r="M44" s="145">
        <v>6</v>
      </c>
      <c r="N44" s="145">
        <v>6.5</v>
      </c>
      <c r="O44" s="145">
        <v>6.5</v>
      </c>
      <c r="P44" s="145">
        <v>7</v>
      </c>
      <c r="Q44" s="145">
        <v>7</v>
      </c>
      <c r="R44" s="118">
        <f>((Q44/G44)^(1/($H$2-$H$1) ))-1</f>
        <v>0.12120293435923335</v>
      </c>
      <c r="S44" s="31">
        <f>P1</f>
        <v>0.05</v>
      </c>
      <c r="T44" s="154">
        <f t="shared" si="2"/>
        <v>7.3500000000000005</v>
      </c>
      <c r="U44" s="154">
        <f t="shared" ref="U44" si="116">T44*(1+$S44)</f>
        <v>7.7175000000000011</v>
      </c>
      <c r="V44" s="154">
        <f t="shared" ref="V44" si="117">U44*(1+$S44)</f>
        <v>8.1033750000000015</v>
      </c>
      <c r="W44" s="154">
        <f t="shared" ref="W44" si="118">V44*(1+$S44)</f>
        <v>8.5085437500000012</v>
      </c>
      <c r="X44" s="154">
        <f t="shared" ref="X44" si="119">W44*(1+$S44)</f>
        <v>8.9339709375000016</v>
      </c>
      <c r="Y44" s="154">
        <f t="shared" ref="Y44" si="120">X44*(1+$S44)</f>
        <v>9.3806694843750016</v>
      </c>
      <c r="Z44" s="154">
        <f t="shared" ref="Z44" si="121">Y44*(1+$S44)</f>
        <v>9.8497029585937526</v>
      </c>
      <c r="AA44" s="154">
        <f t="shared" ref="AA44" si="122">Z44*(1+$S44)</f>
        <v>10.342188106523441</v>
      </c>
      <c r="AB44" s="154">
        <f t="shared" ref="AB44" si="123">AA44*(1+$S44)</f>
        <v>10.859297511849613</v>
      </c>
      <c r="AC44" s="154">
        <f t="shared" ref="AC44" si="124">AB44*(1+$S44)</f>
        <v>11.402262387442095</v>
      </c>
      <c r="AD44" s="138">
        <f t="shared" ref="AD44" si="125">((AC44/G44)^(1/($AC$3-$H$1) ))-1</f>
        <v>7.8828848210078961E-2</v>
      </c>
      <c r="AE44" s="31">
        <f t="shared" si="16"/>
        <v>0.05</v>
      </c>
      <c r="AF44" s="146">
        <f t="shared" si="1"/>
        <v>70.425738275377654</v>
      </c>
    </row>
    <row r="45" spans="2:32" x14ac:dyDescent="0.2">
      <c r="B45" s="20" t="s">
        <v>426</v>
      </c>
      <c r="C45" s="20"/>
      <c r="D45" s="20"/>
      <c r="E45" s="127"/>
      <c r="F45" s="127"/>
      <c r="G45" s="147">
        <v>0</v>
      </c>
      <c r="H45" s="147">
        <v>0</v>
      </c>
      <c r="I45" s="147">
        <v>0</v>
      </c>
      <c r="J45" s="147">
        <v>0</v>
      </c>
      <c r="K45" s="147">
        <v>0</v>
      </c>
      <c r="L45" s="147">
        <v>0</v>
      </c>
      <c r="M45" s="147">
        <v>0</v>
      </c>
      <c r="N45" s="147">
        <v>0</v>
      </c>
      <c r="O45" s="147">
        <v>0</v>
      </c>
      <c r="P45" s="147">
        <v>0</v>
      </c>
      <c r="Q45" s="147">
        <v>0</v>
      </c>
      <c r="R45" s="128"/>
      <c r="S45" s="128"/>
      <c r="T45" s="154"/>
      <c r="U45" s="154"/>
      <c r="V45" s="154"/>
      <c r="W45" s="154"/>
      <c r="X45" s="154"/>
      <c r="Y45" s="154"/>
      <c r="Z45" s="154"/>
      <c r="AA45" s="154"/>
      <c r="AB45" s="154"/>
      <c r="AC45" s="154"/>
      <c r="AD45" s="139"/>
      <c r="AE45" s="137"/>
      <c r="AF45" s="154"/>
    </row>
    <row r="46" spans="2:32" x14ac:dyDescent="0.2">
      <c r="B46" s="20" t="s">
        <v>424</v>
      </c>
      <c r="C46" s="20"/>
      <c r="D46" s="20"/>
      <c r="E46" s="127"/>
      <c r="F46" s="127"/>
      <c r="G46" s="147">
        <v>0</v>
      </c>
      <c r="H46" s="147">
        <v>0</v>
      </c>
      <c r="I46" s="147">
        <v>0</v>
      </c>
      <c r="J46" s="147">
        <v>0</v>
      </c>
      <c r="K46" s="147">
        <v>0</v>
      </c>
      <c r="L46" s="147">
        <v>0</v>
      </c>
      <c r="M46" s="147">
        <v>0</v>
      </c>
      <c r="N46" s="147">
        <v>0</v>
      </c>
      <c r="O46" s="147">
        <v>0</v>
      </c>
      <c r="P46" s="147">
        <v>0</v>
      </c>
      <c r="Q46" s="147">
        <v>0</v>
      </c>
      <c r="R46" s="128"/>
      <c r="S46" s="128"/>
      <c r="T46" s="154"/>
      <c r="U46" s="154"/>
      <c r="V46" s="154"/>
      <c r="W46" s="154"/>
      <c r="X46" s="154"/>
      <c r="Y46" s="154"/>
      <c r="Z46" s="154"/>
      <c r="AA46" s="154"/>
      <c r="AB46" s="154"/>
      <c r="AC46" s="154"/>
      <c r="AD46" s="139"/>
      <c r="AE46" s="137"/>
      <c r="AF46" s="154"/>
    </row>
    <row r="47" spans="2:32" x14ac:dyDescent="0.2">
      <c r="B47" s="20" t="s">
        <v>425</v>
      </c>
      <c r="C47" s="20"/>
      <c r="D47" s="20"/>
      <c r="E47" s="127"/>
      <c r="F47" s="12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>
        <v>0</v>
      </c>
      <c r="R47" s="128"/>
      <c r="S47" s="128"/>
      <c r="T47" s="154"/>
      <c r="U47" s="154"/>
      <c r="V47" s="154"/>
      <c r="W47" s="154"/>
      <c r="X47" s="154"/>
      <c r="Y47" s="154"/>
      <c r="Z47" s="154"/>
      <c r="AA47" s="154"/>
      <c r="AB47" s="154"/>
      <c r="AC47" s="154"/>
      <c r="AD47" s="139"/>
      <c r="AE47" s="137"/>
      <c r="AF47" s="154"/>
    </row>
    <row r="48" spans="2:32" x14ac:dyDescent="0.2">
      <c r="B48" s="20"/>
      <c r="C48" s="20"/>
      <c r="D48" s="20"/>
      <c r="E48" s="127"/>
      <c r="F48" s="127"/>
      <c r="G48" s="127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128"/>
      <c r="S48" s="128"/>
      <c r="T48" s="154"/>
      <c r="U48" s="154"/>
      <c r="V48" s="154"/>
      <c r="W48" s="154"/>
      <c r="X48" s="154"/>
      <c r="Y48" s="154"/>
      <c r="Z48" s="154"/>
      <c r="AA48" s="154"/>
      <c r="AB48" s="154"/>
      <c r="AC48" s="154"/>
      <c r="AD48" s="139"/>
      <c r="AE48" s="137"/>
      <c r="AF48" s="154"/>
    </row>
    <row r="49" spans="2:32" x14ac:dyDescent="0.2">
      <c r="B49" s="108" t="s">
        <v>243</v>
      </c>
      <c r="C49" s="20"/>
      <c r="D49" s="20"/>
      <c r="E49" s="127"/>
      <c r="F49" s="127"/>
      <c r="G49" s="127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128"/>
      <c r="S49" s="128"/>
      <c r="T49" s="154"/>
      <c r="U49" s="154"/>
      <c r="V49" s="154"/>
      <c r="W49" s="154"/>
      <c r="X49" s="154"/>
      <c r="Y49" s="154"/>
      <c r="Z49" s="154"/>
      <c r="AA49" s="154"/>
      <c r="AB49" s="154"/>
      <c r="AC49" s="154"/>
      <c r="AD49" s="139"/>
      <c r="AE49" s="137"/>
      <c r="AF49" s="154"/>
    </row>
    <row r="50" spans="2:32" x14ac:dyDescent="0.2">
      <c r="B50" s="20" t="s">
        <v>303</v>
      </c>
      <c r="C50" s="133">
        <f t="shared" ref="C50:P50" si="126">C25/C42</f>
        <v>0</v>
      </c>
      <c r="D50" s="133">
        <f t="shared" si="126"/>
        <v>0</v>
      </c>
      <c r="E50" s="133">
        <f t="shared" si="126"/>
        <v>0</v>
      </c>
      <c r="F50" s="133">
        <f t="shared" si="126"/>
        <v>0</v>
      </c>
      <c r="G50" s="133">
        <f t="shared" si="126"/>
        <v>61.813842482100235</v>
      </c>
      <c r="H50" s="133">
        <f t="shared" si="126"/>
        <v>52.905198776758411</v>
      </c>
      <c r="I50" s="133">
        <f t="shared" si="126"/>
        <v>60.265780730897006</v>
      </c>
      <c r="J50" s="133">
        <f t="shared" si="126"/>
        <v>76.806083650190118</v>
      </c>
      <c r="K50" s="133">
        <f t="shared" si="126"/>
        <v>122.74741506646973</v>
      </c>
      <c r="L50" s="133">
        <f t="shared" si="126"/>
        <v>182.94840294840293</v>
      </c>
      <c r="M50" s="133">
        <f t="shared" si="126"/>
        <v>199.51219512195121</v>
      </c>
      <c r="N50" s="133">
        <f t="shared" si="126"/>
        <v>244.3609022556391</v>
      </c>
      <c r="O50" s="133">
        <f t="shared" si="126"/>
        <v>272.62693156732894</v>
      </c>
      <c r="P50" s="133">
        <f t="shared" si="126"/>
        <v>309.30335097001762</v>
      </c>
      <c r="Q50" s="133">
        <f t="shared" ref="Q50" si="127">Q25/Q42</f>
        <v>373.89770723104056</v>
      </c>
      <c r="R50" s="118">
        <f>((P50/G50)^(1/($H$2-$H$1) ))-1</f>
        <v>0.19591379624479655</v>
      </c>
      <c r="S50" s="128"/>
      <c r="T50" s="158">
        <f t="shared" ref="T50:AC50" si="128">T25/T42</f>
        <v>398.82422104644326</v>
      </c>
      <c r="U50" s="158">
        <f t="shared" si="128"/>
        <v>425.41250244953955</v>
      </c>
      <c r="V50" s="158">
        <f t="shared" si="128"/>
        <v>453.77333594617556</v>
      </c>
      <c r="W50" s="158">
        <f t="shared" si="128"/>
        <v>484.02489167592057</v>
      </c>
      <c r="X50" s="158">
        <f t="shared" si="128"/>
        <v>516.2932177876487</v>
      </c>
      <c r="Y50" s="158">
        <f t="shared" si="128"/>
        <v>550.71276564015852</v>
      </c>
      <c r="Z50" s="158">
        <f t="shared" si="128"/>
        <v>587.42695001616914</v>
      </c>
      <c r="AA50" s="158">
        <f t="shared" si="128"/>
        <v>626.58874668391388</v>
      </c>
      <c r="AB50" s="158">
        <f t="shared" si="128"/>
        <v>668.3613297961748</v>
      </c>
      <c r="AC50" s="158">
        <f t="shared" si="128"/>
        <v>712.91875178258636</v>
      </c>
      <c r="AD50" s="138">
        <f t="shared" ref="AD50" si="129">((AC50/G50)^(1/($AC$3-$H$1) ))-1</f>
        <v>0.13005014367894563</v>
      </c>
      <c r="AE50" s="31">
        <f t="shared" si="16"/>
        <v>0.05</v>
      </c>
      <c r="AF50" s="146">
        <f t="shared" ref="AF50:AF51" si="130">(AC50*(1+AE50))/($C$1-AE50)</f>
        <v>4403.3217021865639</v>
      </c>
    </row>
    <row r="51" spans="2:32" x14ac:dyDescent="0.2">
      <c r="B51" s="20" t="s">
        <v>304</v>
      </c>
      <c r="C51" s="133">
        <f t="shared" ref="C51:P51" si="131">C27/C42</f>
        <v>0</v>
      </c>
      <c r="D51" s="133">
        <f t="shared" si="131"/>
        <v>0</v>
      </c>
      <c r="E51" s="133">
        <f t="shared" si="131"/>
        <v>0</v>
      </c>
      <c r="F51" s="133">
        <f t="shared" si="131"/>
        <v>0</v>
      </c>
      <c r="G51" s="133">
        <f t="shared" si="131"/>
        <v>18.854415274463005</v>
      </c>
      <c r="H51" s="133">
        <f t="shared" si="131"/>
        <v>15.443425076452598</v>
      </c>
      <c r="I51" s="133">
        <f t="shared" si="131"/>
        <v>17.740863787375414</v>
      </c>
      <c r="J51" s="133">
        <f t="shared" si="131"/>
        <v>21.238457360130365</v>
      </c>
      <c r="K51" s="133">
        <f t="shared" si="131"/>
        <v>27.22796651895618</v>
      </c>
      <c r="L51" s="133">
        <f t="shared" si="131"/>
        <v>38.574938574938571</v>
      </c>
      <c r="M51" s="133">
        <f t="shared" si="131"/>
        <v>40.266075388026607</v>
      </c>
      <c r="N51" s="133">
        <f t="shared" si="131"/>
        <v>61.477222467934546</v>
      </c>
      <c r="O51" s="133">
        <f t="shared" si="131"/>
        <v>73.686534216335545</v>
      </c>
      <c r="P51" s="133">
        <f t="shared" si="131"/>
        <v>78.262786596119923</v>
      </c>
      <c r="Q51" s="133">
        <f t="shared" ref="Q51" si="132">Q27/Q42</f>
        <v>100.26455026455027</v>
      </c>
      <c r="R51" s="118">
        <f>((P51/G51)^(1/($H$2-$H$1) ))-1</f>
        <v>0.17133864269297505</v>
      </c>
      <c r="S51" s="128"/>
      <c r="T51" s="158">
        <f t="shared" ref="T51:AC51" si="133">T27/T42</f>
        <v>106.94885361552029</v>
      </c>
      <c r="U51" s="158">
        <f t="shared" si="133"/>
        <v>114.07877718988831</v>
      </c>
      <c r="V51" s="158">
        <f t="shared" si="133"/>
        <v>121.68402900254755</v>
      </c>
      <c r="W51" s="158">
        <f t="shared" si="133"/>
        <v>129.7962976027174</v>
      </c>
      <c r="X51" s="158">
        <f t="shared" si="133"/>
        <v>138.44938410956522</v>
      </c>
      <c r="Y51" s="158">
        <f t="shared" si="133"/>
        <v>147.6793430502029</v>
      </c>
      <c r="Z51" s="158">
        <f t="shared" si="133"/>
        <v>157.52463258688311</v>
      </c>
      <c r="AA51" s="158">
        <f t="shared" si="133"/>
        <v>168.02627475934202</v>
      </c>
      <c r="AB51" s="158">
        <f t="shared" si="133"/>
        <v>179.22802640996483</v>
      </c>
      <c r="AC51" s="158">
        <f t="shared" si="133"/>
        <v>191.17656150396249</v>
      </c>
      <c r="AD51" s="138">
        <f t="shared" ref="AD51" si="134">((AC51/G51)^(1/($AC$3-$H$1) ))-1</f>
        <v>0.12279657424035584</v>
      </c>
      <c r="AE51" s="31">
        <f t="shared" si="16"/>
        <v>0.05</v>
      </c>
      <c r="AF51" s="146">
        <f t="shared" si="130"/>
        <v>1180.7964092891802</v>
      </c>
    </row>
    <row r="52" spans="2:32" x14ac:dyDescent="0.2">
      <c r="B52" s="20" t="s">
        <v>427</v>
      </c>
      <c r="C52" s="133"/>
      <c r="D52" s="133"/>
      <c r="E52" s="133"/>
      <c r="F52" s="133"/>
      <c r="G52" s="133">
        <f>G38-G40</f>
        <v>19</v>
      </c>
      <c r="H52" s="133">
        <f t="shared" ref="H52:P52" si="135">H38-H40</f>
        <v>29</v>
      </c>
      <c r="I52" s="133">
        <f t="shared" si="135"/>
        <v>75</v>
      </c>
      <c r="J52" s="133">
        <f t="shared" si="135"/>
        <v>96</v>
      </c>
      <c r="K52" s="133">
        <f t="shared" si="135"/>
        <v>216</v>
      </c>
      <c r="L52" s="133">
        <f t="shared" si="135"/>
        <v>314</v>
      </c>
      <c r="M52" s="133">
        <f t="shared" si="135"/>
        <v>451</v>
      </c>
      <c r="N52" s="133">
        <f t="shared" si="135"/>
        <v>620</v>
      </c>
      <c r="O52" s="133">
        <f t="shared" si="135"/>
        <v>649</v>
      </c>
      <c r="P52" s="133">
        <f t="shared" si="135"/>
        <v>699</v>
      </c>
      <c r="Q52" s="133">
        <f t="shared" ref="Q52" si="136">Q38-Q40</f>
        <v>613</v>
      </c>
      <c r="R52" s="118">
        <f>((P52/G52)^(1/($H$2-$H$1) ))-1</f>
        <v>0.492688840807886</v>
      </c>
      <c r="S52" s="128"/>
      <c r="T52" s="133">
        <f t="shared" ref="T52:AC52" si="137">T38-T40</f>
        <v>686.56</v>
      </c>
      <c r="U52" s="133">
        <f t="shared" si="137"/>
        <v>768.94719999999984</v>
      </c>
      <c r="V52" s="133">
        <f t="shared" si="137"/>
        <v>861.22086400000012</v>
      </c>
      <c r="W52" s="133">
        <f t="shared" si="137"/>
        <v>964.56736768000019</v>
      </c>
      <c r="X52" s="133">
        <f t="shared" si="137"/>
        <v>1080.3154518016004</v>
      </c>
      <c r="Y52" s="133">
        <f t="shared" si="137"/>
        <v>1209.9533060177928</v>
      </c>
      <c r="Z52" s="133">
        <f t="shared" si="137"/>
        <v>1355.1477027399278</v>
      </c>
      <c r="AA52" s="133">
        <f t="shared" si="137"/>
        <v>1517.7654270687194</v>
      </c>
      <c r="AB52" s="133">
        <f t="shared" si="137"/>
        <v>1699.8972783169656</v>
      </c>
      <c r="AC52" s="133">
        <f t="shared" si="137"/>
        <v>1903.8849517150011</v>
      </c>
      <c r="AD52" s="138">
        <f t="shared" ref="AD52" si="138">((AC52/G52)^(1/($AC$3-$H$1) ))-1</f>
        <v>0.25905399391386097</v>
      </c>
      <c r="AE52" s="31">
        <f t="shared" si="16"/>
        <v>0.05</v>
      </c>
      <c r="AF52" s="146">
        <f t="shared" ref="AF52" si="139">(AC52*(1+AE52))/($C$1-AE52)</f>
        <v>11759.289407651479</v>
      </c>
    </row>
    <row r="53" spans="2:32" x14ac:dyDescent="0.2">
      <c r="B53" s="20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28"/>
      <c r="S53" s="128"/>
      <c r="T53" s="158"/>
      <c r="U53" s="158"/>
      <c r="V53" s="158"/>
      <c r="W53" s="158"/>
      <c r="X53" s="158"/>
      <c r="Y53" s="158"/>
      <c r="Z53" s="158"/>
      <c r="AA53" s="158"/>
      <c r="AB53" s="158"/>
      <c r="AC53" s="158"/>
      <c r="AD53" s="119"/>
      <c r="AE53" s="137"/>
      <c r="AF53" s="146"/>
    </row>
    <row r="54" spans="2:32" x14ac:dyDescent="0.2">
      <c r="B54" s="20" t="s">
        <v>257</v>
      </c>
      <c r="C54" s="25">
        <f t="shared" ref="C54:P54" si="140">C40/C42</f>
        <v>0</v>
      </c>
      <c r="D54" s="25">
        <f t="shared" si="140"/>
        <v>0</v>
      </c>
      <c r="E54" s="25">
        <f t="shared" si="140"/>
        <v>0</v>
      </c>
      <c r="F54" s="133">
        <f t="shared" si="140"/>
        <v>0</v>
      </c>
      <c r="G54" s="133">
        <f t="shared" si="140"/>
        <v>8.8305489260143197</v>
      </c>
      <c r="H54" s="133">
        <f t="shared" si="140"/>
        <v>7.4923547400611623</v>
      </c>
      <c r="I54" s="133">
        <f t="shared" si="140"/>
        <v>9.368770764119601</v>
      </c>
      <c r="J54" s="133">
        <f t="shared" si="140"/>
        <v>10.320478001086366</v>
      </c>
      <c r="K54" s="133">
        <f t="shared" si="140"/>
        <v>19.153126538650913</v>
      </c>
      <c r="L54" s="133">
        <f t="shared" si="140"/>
        <v>30.073710073710071</v>
      </c>
      <c r="M54" s="133">
        <f t="shared" si="140"/>
        <v>38.713968957871394</v>
      </c>
      <c r="N54" s="133">
        <f t="shared" si="140"/>
        <v>53.825740822644846</v>
      </c>
      <c r="O54" s="133">
        <f t="shared" si="140"/>
        <v>57.748344370860934</v>
      </c>
      <c r="P54" s="133">
        <f t="shared" si="140"/>
        <v>64.506172839506178</v>
      </c>
      <c r="Q54" s="133">
        <f t="shared" ref="Q54" si="141">Q40/Q42</f>
        <v>59.832451499118164</v>
      </c>
      <c r="R54" s="118">
        <f>((P54/G54)^(1/($H$2-$H$1) ))-1</f>
        <v>0.24726019889077411</v>
      </c>
      <c r="S54" s="128"/>
      <c r="T54" s="158">
        <f t="shared" ref="T54:AC54" si="142">T40/T42</f>
        <v>63.821281599059382</v>
      </c>
      <c r="U54" s="158">
        <f t="shared" si="142"/>
        <v>68.076033705663349</v>
      </c>
      <c r="V54" s="158">
        <f t="shared" si="142"/>
        <v>72.614435952707581</v>
      </c>
      <c r="W54" s="158">
        <f t="shared" si="142"/>
        <v>77.455398349554756</v>
      </c>
      <c r="X54" s="158">
        <f t="shared" si="142"/>
        <v>82.619091572858395</v>
      </c>
      <c r="Y54" s="158">
        <f t="shared" si="142"/>
        <v>88.127031011048956</v>
      </c>
      <c r="Z54" s="158">
        <f t="shared" si="142"/>
        <v>94.002166411785566</v>
      </c>
      <c r="AA54" s="158">
        <f t="shared" si="142"/>
        <v>100.2689775059046</v>
      </c>
      <c r="AB54" s="158">
        <f t="shared" si="142"/>
        <v>106.95357600629825</v>
      </c>
      <c r="AC54" s="158">
        <f t="shared" si="142"/>
        <v>114.08381440671815</v>
      </c>
      <c r="AD54" s="138">
        <f t="shared" ref="AD54:AD68" si="143">((AC54/G54)^(1/($AC$3-$H$1) ))-1</f>
        <v>0.13648005047639633</v>
      </c>
      <c r="AE54" s="31">
        <f t="shared" si="16"/>
        <v>0.05</v>
      </c>
      <c r="AF54" s="146">
        <f t="shared" ref="AF54:AF82" si="144">(AC54*(1+AE54))/($C$1-AE54)</f>
        <v>704.63532427678865</v>
      </c>
    </row>
    <row r="55" spans="2:32" x14ac:dyDescent="0.2">
      <c r="B55" s="20" t="s">
        <v>388</v>
      </c>
      <c r="C55" s="133">
        <f t="shared" ref="C55:F55" si="145">C20/C42</f>
        <v>0</v>
      </c>
      <c r="D55" s="133">
        <f t="shared" si="145"/>
        <v>0</v>
      </c>
      <c r="E55" s="133">
        <f t="shared" si="145"/>
        <v>0</v>
      </c>
      <c r="F55" s="133">
        <f t="shared" si="145"/>
        <v>0</v>
      </c>
      <c r="G55" s="133">
        <f>G20/G42</f>
        <v>-67.064439140811444</v>
      </c>
      <c r="H55" s="133">
        <f t="shared" ref="H55:P55" si="146">H20/H42</f>
        <v>-85.015290519877681</v>
      </c>
      <c r="I55" s="133">
        <f t="shared" si="146"/>
        <v>-219.80066445182723</v>
      </c>
      <c r="J55" s="133">
        <f t="shared" si="146"/>
        <v>-139.27213470939708</v>
      </c>
      <c r="K55" s="133">
        <f t="shared" si="146"/>
        <v>-285.67208271787297</v>
      </c>
      <c r="L55" s="133">
        <f t="shared" si="146"/>
        <v>-76.36363636363636</v>
      </c>
      <c r="M55" s="133">
        <f t="shared" si="146"/>
        <v>38.447893569844787</v>
      </c>
      <c r="N55" s="133">
        <f t="shared" si="146"/>
        <v>-23.175586023883238</v>
      </c>
      <c r="O55" s="133">
        <f t="shared" si="146"/>
        <v>-38.189845474613691</v>
      </c>
      <c r="P55" s="133">
        <f t="shared" si="146"/>
        <v>-308.77425044091711</v>
      </c>
      <c r="Q55" s="133">
        <f t="shared" ref="Q55" si="147">Q20/Q42</f>
        <v>0</v>
      </c>
      <c r="R55" s="118">
        <f>((P55/G55)^(1/($H$2-$H$1) ))-1</f>
        <v>0.18490408762652288</v>
      </c>
      <c r="S55" s="128"/>
      <c r="T55" s="133">
        <f t="shared" ref="T55:AC55" si="148">T20/T42</f>
        <v>0</v>
      </c>
      <c r="U55" s="133">
        <f t="shared" si="148"/>
        <v>0</v>
      </c>
      <c r="V55" s="133">
        <f t="shared" si="148"/>
        <v>0</v>
      </c>
      <c r="W55" s="133">
        <f t="shared" si="148"/>
        <v>0</v>
      </c>
      <c r="X55" s="133">
        <f t="shared" si="148"/>
        <v>0</v>
      </c>
      <c r="Y55" s="133">
        <f t="shared" si="148"/>
        <v>0</v>
      </c>
      <c r="Z55" s="133">
        <f t="shared" si="148"/>
        <v>0</v>
      </c>
      <c r="AA55" s="133">
        <f t="shared" si="148"/>
        <v>0</v>
      </c>
      <c r="AB55" s="133">
        <f t="shared" si="148"/>
        <v>0</v>
      </c>
      <c r="AC55" s="133">
        <f t="shared" si="148"/>
        <v>0</v>
      </c>
      <c r="AD55" s="138">
        <f t="shared" ref="AD55" si="149">((AC55/G55)^(1/($AC$3-$H$1) ))-1</f>
        <v>-1</v>
      </c>
      <c r="AE55" s="31">
        <f t="shared" si="16"/>
        <v>0.05</v>
      </c>
      <c r="AF55" s="146">
        <f t="shared" si="144"/>
        <v>0</v>
      </c>
    </row>
    <row r="56" spans="2:32" x14ac:dyDescent="0.2">
      <c r="B56" s="20" t="s">
        <v>245</v>
      </c>
      <c r="C56" s="25">
        <f t="shared" ref="C56:P56" si="150">C7/C42</f>
        <v>0</v>
      </c>
      <c r="D56" s="25">
        <f t="shared" si="150"/>
        <v>0</v>
      </c>
      <c r="E56" s="25">
        <f t="shared" si="150"/>
        <v>0</v>
      </c>
      <c r="F56" s="133">
        <f t="shared" si="150"/>
        <v>0</v>
      </c>
      <c r="G56" s="133">
        <f t="shared" si="150"/>
        <v>31.264916467780427</v>
      </c>
      <c r="H56" s="133">
        <f t="shared" si="150"/>
        <v>34.097859327217122</v>
      </c>
      <c r="I56" s="133">
        <f t="shared" si="150"/>
        <v>55.747508305647841</v>
      </c>
      <c r="J56" s="133">
        <f t="shared" si="150"/>
        <v>58.989679521998916</v>
      </c>
      <c r="K56" s="133">
        <f t="shared" si="150"/>
        <v>89.463318562284599</v>
      </c>
      <c r="L56" s="133">
        <f t="shared" si="150"/>
        <v>113.8083538083538</v>
      </c>
      <c r="M56" s="133">
        <f t="shared" si="150"/>
        <v>170.46563192904657</v>
      </c>
      <c r="N56" s="133">
        <f t="shared" si="150"/>
        <v>216.40866873065016</v>
      </c>
      <c r="O56" s="133">
        <f t="shared" si="150"/>
        <v>266.31346578366447</v>
      </c>
      <c r="P56" s="133">
        <f t="shared" si="150"/>
        <v>323.50088183421519</v>
      </c>
      <c r="Q56" s="133">
        <f t="shared" ref="Q56" si="151">Q7/Q42</f>
        <v>375.2204585537919</v>
      </c>
      <c r="R56" s="118">
        <f>((P56/G56)^(1/($H$2-$H$1) ))-1</f>
        <v>0.29645538915589165</v>
      </c>
      <c r="S56" s="128"/>
      <c r="T56" s="158">
        <f t="shared" ref="T56:AC56" si="152">T7/T42</f>
        <v>400.23515579071136</v>
      </c>
      <c r="U56" s="158">
        <f t="shared" si="152"/>
        <v>426.91749951009217</v>
      </c>
      <c r="V56" s="158">
        <f t="shared" si="152"/>
        <v>455.3786661440983</v>
      </c>
      <c r="W56" s="158">
        <f t="shared" si="152"/>
        <v>485.73724388703823</v>
      </c>
      <c r="X56" s="158">
        <f t="shared" si="152"/>
        <v>518.11972681284078</v>
      </c>
      <c r="Y56" s="158">
        <f t="shared" si="152"/>
        <v>552.66104193369688</v>
      </c>
      <c r="Z56" s="158">
        <f t="shared" si="152"/>
        <v>589.50511139594335</v>
      </c>
      <c r="AA56" s="158">
        <f t="shared" si="152"/>
        <v>628.80545215567304</v>
      </c>
      <c r="AB56" s="158">
        <f t="shared" si="152"/>
        <v>670.72581563271797</v>
      </c>
      <c r="AC56" s="158">
        <f t="shared" si="152"/>
        <v>715.44087000823242</v>
      </c>
      <c r="AD56" s="138">
        <f t="shared" si="143"/>
        <v>0.1694342890430387</v>
      </c>
      <c r="AE56" s="31">
        <f t="shared" si="16"/>
        <v>0.05</v>
      </c>
      <c r="AF56" s="146">
        <f t="shared" si="144"/>
        <v>4418.8994912273183</v>
      </c>
    </row>
    <row r="57" spans="2:32" x14ac:dyDescent="0.2">
      <c r="B57" s="20" t="s">
        <v>246</v>
      </c>
      <c r="C57" s="127">
        <f t="shared" ref="C57:P57" si="153">C6/C42</f>
        <v>0</v>
      </c>
      <c r="D57" s="127">
        <f t="shared" si="153"/>
        <v>0</v>
      </c>
      <c r="E57" s="127">
        <f t="shared" si="153"/>
        <v>0</v>
      </c>
      <c r="F57" s="144">
        <f t="shared" si="153"/>
        <v>0</v>
      </c>
      <c r="G57" s="144">
        <f t="shared" si="153"/>
        <v>11.933174224343674</v>
      </c>
      <c r="H57" s="144">
        <f t="shared" si="153"/>
        <v>20.030581039755351</v>
      </c>
      <c r="I57" s="144">
        <f t="shared" si="153"/>
        <v>43.122923588039868</v>
      </c>
      <c r="J57" s="144">
        <f t="shared" si="153"/>
        <v>47.908745247148289</v>
      </c>
      <c r="K57" s="144">
        <f t="shared" si="153"/>
        <v>77.301821762678486</v>
      </c>
      <c r="L57" s="144">
        <f t="shared" si="153"/>
        <v>101.57248157248156</v>
      </c>
      <c r="M57" s="144">
        <f t="shared" si="153"/>
        <v>160.08869179600887</v>
      </c>
      <c r="N57" s="144">
        <f t="shared" si="153"/>
        <v>206.23617868199912</v>
      </c>
      <c r="O57" s="144">
        <f t="shared" si="153"/>
        <v>256.33554083885213</v>
      </c>
      <c r="P57" s="144">
        <f t="shared" si="153"/>
        <v>313.49206349206349</v>
      </c>
      <c r="Q57" s="144">
        <f t="shared" ref="Q57" si="154">Q6/Q42</f>
        <v>365.2116402116402</v>
      </c>
      <c r="R57" s="118">
        <f>((P57/G57)^(1/($H$2-$H$1) ))-1</f>
        <v>0.43786778018211159</v>
      </c>
      <c r="S57" s="128"/>
      <c r="T57" s="157">
        <f t="shared" ref="T57:AC57" si="155">T6/T42</f>
        <v>389.55908289241626</v>
      </c>
      <c r="U57" s="157">
        <f t="shared" si="155"/>
        <v>415.52968841857739</v>
      </c>
      <c r="V57" s="157">
        <f t="shared" si="155"/>
        <v>443.23166764648261</v>
      </c>
      <c r="W57" s="157">
        <f t="shared" si="155"/>
        <v>472.78044548958144</v>
      </c>
      <c r="X57" s="157">
        <f t="shared" si="155"/>
        <v>504.29914185555356</v>
      </c>
      <c r="Y57" s="157">
        <f t="shared" si="155"/>
        <v>537.91908464592382</v>
      </c>
      <c r="Z57" s="157">
        <f t="shared" si="155"/>
        <v>573.78035695565211</v>
      </c>
      <c r="AA57" s="157">
        <f t="shared" si="155"/>
        <v>612.03238075269564</v>
      </c>
      <c r="AB57" s="157">
        <f t="shared" si="155"/>
        <v>652.83453946954205</v>
      </c>
      <c r="AC57" s="157">
        <f t="shared" si="155"/>
        <v>696.35684210084491</v>
      </c>
      <c r="AD57" s="138">
        <f t="shared" si="143"/>
        <v>0.22547313009797998</v>
      </c>
      <c r="AE57" s="31">
        <f t="shared" si="16"/>
        <v>0.05</v>
      </c>
      <c r="AF57" s="146">
        <f t="shared" si="144"/>
        <v>4301.0275541522778</v>
      </c>
    </row>
    <row r="58" spans="2:32" x14ac:dyDescent="0.2">
      <c r="B58" s="20" t="s">
        <v>247</v>
      </c>
      <c r="C58" s="127">
        <f t="shared" ref="C58:P58" si="156">C10/C42</f>
        <v>0</v>
      </c>
      <c r="D58" s="127">
        <f t="shared" si="156"/>
        <v>0</v>
      </c>
      <c r="E58" s="127">
        <f t="shared" si="156"/>
        <v>0</v>
      </c>
      <c r="F58" s="144">
        <f t="shared" si="156"/>
        <v>0</v>
      </c>
      <c r="G58" s="144">
        <f t="shared" si="156"/>
        <v>218.37708830548925</v>
      </c>
      <c r="H58" s="144">
        <f t="shared" si="156"/>
        <v>226.45259938837921</v>
      </c>
      <c r="I58" s="144">
        <f t="shared" si="156"/>
        <v>292.09302325581393</v>
      </c>
      <c r="J58" s="144">
        <f t="shared" si="156"/>
        <v>474.6333514394351</v>
      </c>
      <c r="K58" s="144">
        <f t="shared" si="156"/>
        <v>728.01575578532743</v>
      </c>
      <c r="L58" s="144">
        <f t="shared" si="156"/>
        <v>988.74692874692869</v>
      </c>
      <c r="M58" s="144">
        <f t="shared" si="156"/>
        <v>818.58093126385802</v>
      </c>
      <c r="N58" s="144">
        <f t="shared" si="156"/>
        <v>892.92348518354709</v>
      </c>
      <c r="O58" s="144">
        <f t="shared" si="156"/>
        <v>822.78145695364242</v>
      </c>
      <c r="P58" s="144">
        <f t="shared" si="156"/>
        <v>1143.8271604938273</v>
      </c>
      <c r="Q58" s="144">
        <f t="shared" ref="Q58" si="157">Q10/Q42</f>
        <v>1206.1287477954145</v>
      </c>
      <c r="R58" s="118">
        <f>((P58/G58)^(1/($H$2-$H$1) ))-1</f>
        <v>0.20200403614681028</v>
      </c>
      <c r="S58" s="128"/>
      <c r="T58" s="157">
        <f t="shared" ref="T58:AC58" si="158">T10/T42</f>
        <v>1286.5373309817755</v>
      </c>
      <c r="U58" s="157">
        <f t="shared" si="158"/>
        <v>1372.3064863805607</v>
      </c>
      <c r="V58" s="157">
        <f t="shared" si="158"/>
        <v>1463.7935854725984</v>
      </c>
      <c r="W58" s="157">
        <f t="shared" si="158"/>
        <v>1561.3798245041048</v>
      </c>
      <c r="X58" s="157">
        <f t="shared" si="158"/>
        <v>1665.4718128043787</v>
      </c>
      <c r="Y58" s="157">
        <f t="shared" si="158"/>
        <v>1776.5032669913373</v>
      </c>
      <c r="Z58" s="157">
        <f t="shared" si="158"/>
        <v>1894.9368181240932</v>
      </c>
      <c r="AA58" s="157">
        <f t="shared" si="158"/>
        <v>2021.2659393323661</v>
      </c>
      <c r="AB58" s="157">
        <f t="shared" si="158"/>
        <v>2156.0170019545239</v>
      </c>
      <c r="AC58" s="157">
        <f t="shared" si="158"/>
        <v>2299.7514687514922</v>
      </c>
      <c r="AD58" s="138">
        <f t="shared" si="143"/>
        <v>0.1249253190470383</v>
      </c>
      <c r="AE58" s="31">
        <f t="shared" si="16"/>
        <v>0.05</v>
      </c>
      <c r="AF58" s="146">
        <f t="shared" si="144"/>
        <v>14204.347306994512</v>
      </c>
    </row>
    <row r="59" spans="2:32" x14ac:dyDescent="0.2">
      <c r="B59" s="20"/>
      <c r="C59" s="127"/>
      <c r="D59" s="127"/>
      <c r="E59" s="127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28"/>
      <c r="S59" s="128"/>
      <c r="T59" s="157"/>
      <c r="U59" s="157"/>
      <c r="V59" s="157"/>
      <c r="W59" s="157"/>
      <c r="X59" s="157"/>
      <c r="Y59" s="157"/>
      <c r="Z59" s="157"/>
      <c r="AA59" s="157"/>
      <c r="AB59" s="157"/>
      <c r="AC59" s="157"/>
      <c r="AD59" s="139"/>
      <c r="AE59" s="137"/>
      <c r="AF59" s="146"/>
    </row>
    <row r="60" spans="2:32" x14ac:dyDescent="0.2">
      <c r="B60" s="20" t="s">
        <v>270</v>
      </c>
      <c r="C60" s="127">
        <f t="shared" ref="C60:P60" si="159">(C7-C10)/C42</f>
        <v>0</v>
      </c>
      <c r="D60" s="127">
        <f t="shared" si="159"/>
        <v>0</v>
      </c>
      <c r="E60" s="127">
        <f t="shared" si="159"/>
        <v>0</v>
      </c>
      <c r="F60" s="144">
        <f t="shared" si="159"/>
        <v>0</v>
      </c>
      <c r="G60" s="144">
        <f t="shared" si="159"/>
        <v>-187.11217183770881</v>
      </c>
      <c r="H60" s="144">
        <f t="shared" si="159"/>
        <v>-192.35474006116209</v>
      </c>
      <c r="I60" s="144">
        <f t="shared" si="159"/>
        <v>-236.34551495016609</v>
      </c>
      <c r="J60" s="144">
        <f t="shared" si="159"/>
        <v>-415.64367191743617</v>
      </c>
      <c r="K60" s="144">
        <f t="shared" si="159"/>
        <v>-638.55243722304283</v>
      </c>
      <c r="L60" s="144">
        <f t="shared" si="159"/>
        <v>-874.9385749385749</v>
      </c>
      <c r="M60" s="144">
        <f t="shared" si="159"/>
        <v>-648.11529933481154</v>
      </c>
      <c r="N60" s="144">
        <f t="shared" si="159"/>
        <v>-676.51481645289698</v>
      </c>
      <c r="O60" s="144">
        <f t="shared" si="159"/>
        <v>-556.46799116997795</v>
      </c>
      <c r="P60" s="144">
        <f t="shared" si="159"/>
        <v>-820.32627865961206</v>
      </c>
      <c r="Q60" s="144">
        <f t="shared" ref="Q60" si="160">(Q7-Q10)/Q42</f>
        <v>-830.90828924162258</v>
      </c>
      <c r="R60" s="118">
        <f>((P60/G60)^(1/($H$2-$H$1) ))-1</f>
        <v>0.17847536763781191</v>
      </c>
      <c r="S60" s="128"/>
      <c r="T60" s="157">
        <f t="shared" ref="T60:AC60" si="161">(T7-T10)/T42</f>
        <v>-886.30217519106418</v>
      </c>
      <c r="U60" s="157">
        <f t="shared" si="161"/>
        <v>-945.38898687046856</v>
      </c>
      <c r="V60" s="157">
        <f t="shared" si="161"/>
        <v>-1008.4149193284999</v>
      </c>
      <c r="W60" s="157">
        <f t="shared" si="161"/>
        <v>-1075.6425806170666</v>
      </c>
      <c r="X60" s="157">
        <f t="shared" si="161"/>
        <v>-1147.3520859915379</v>
      </c>
      <c r="Y60" s="157">
        <f t="shared" si="161"/>
        <v>-1223.8422250576405</v>
      </c>
      <c r="Z60" s="157">
        <f t="shared" si="161"/>
        <v>-1305.4317067281497</v>
      </c>
      <c r="AA60" s="157">
        <f t="shared" si="161"/>
        <v>-1392.4604871766931</v>
      </c>
      <c r="AB60" s="157">
        <f t="shared" si="161"/>
        <v>-1485.291186321806</v>
      </c>
      <c r="AC60" s="157">
        <f t="shared" si="161"/>
        <v>-1584.3105987432598</v>
      </c>
      <c r="AD60" s="138">
        <f t="shared" si="143"/>
        <v>0.11272261408647277</v>
      </c>
      <c r="AE60" s="31">
        <f t="shared" si="16"/>
        <v>0.05</v>
      </c>
      <c r="AF60" s="146">
        <f t="shared" si="144"/>
        <v>-9785.4478157671929</v>
      </c>
    </row>
    <row r="61" spans="2:32" x14ac:dyDescent="0.2">
      <c r="B61" s="20" t="s">
        <v>271</v>
      </c>
      <c r="C61" s="127">
        <f t="shared" ref="C61:P61" si="162">(C7-C10-C9)/C42</f>
        <v>0</v>
      </c>
      <c r="D61" s="127">
        <f t="shared" si="162"/>
        <v>0</v>
      </c>
      <c r="E61" s="127">
        <f t="shared" si="162"/>
        <v>0</v>
      </c>
      <c r="F61" s="144">
        <f t="shared" si="162"/>
        <v>0</v>
      </c>
      <c r="G61" s="144">
        <f t="shared" si="162"/>
        <v>-228.63961813842479</v>
      </c>
      <c r="H61" s="144">
        <f t="shared" si="162"/>
        <v>-228.13455657492355</v>
      </c>
      <c r="I61" s="144">
        <f t="shared" si="162"/>
        <v>-285.8471760797342</v>
      </c>
      <c r="J61" s="144">
        <f t="shared" si="162"/>
        <v>-462.41173275393805</v>
      </c>
      <c r="K61" s="144">
        <f t="shared" si="162"/>
        <v>-707.68094534711975</v>
      </c>
      <c r="L61" s="144">
        <f t="shared" si="162"/>
        <v>-980.24570024570016</v>
      </c>
      <c r="M61" s="144">
        <f t="shared" si="162"/>
        <v>-821.77383592017736</v>
      </c>
      <c r="N61" s="144">
        <f t="shared" si="162"/>
        <v>-931.80008845643522</v>
      </c>
      <c r="O61" s="144">
        <f t="shared" si="162"/>
        <v>-1033.4657836644592</v>
      </c>
      <c r="P61" s="144">
        <f t="shared" si="162"/>
        <v>-1373.2804232804233</v>
      </c>
      <c r="Q61" s="144">
        <f t="shared" ref="Q61" si="163">(Q7-Q10-Q9)/Q42</f>
        <v>-1485.7142857142858</v>
      </c>
      <c r="R61" s="118">
        <f>((P61/G61)^(1/($H$2-$H$1) ))-1</f>
        <v>0.22042746167051375</v>
      </c>
      <c r="S61" s="128"/>
      <c r="T61" s="157">
        <f t="shared" ref="T61:AC61" si="164">(T7-T10-T9)/T42</f>
        <v>-1584.7619047619048</v>
      </c>
      <c r="U61" s="157">
        <f t="shared" si="164"/>
        <v>-1690.4126984126988</v>
      </c>
      <c r="V61" s="157">
        <f t="shared" si="164"/>
        <v>-1803.106878306879</v>
      </c>
      <c r="W61" s="157">
        <f t="shared" si="164"/>
        <v>-1923.3140035273375</v>
      </c>
      <c r="X61" s="157">
        <f t="shared" si="164"/>
        <v>-2051.534937095827</v>
      </c>
      <c r="Y61" s="157">
        <f t="shared" si="164"/>
        <v>-2188.3039329022154</v>
      </c>
      <c r="Z61" s="157">
        <f t="shared" si="164"/>
        <v>-2334.1908617623631</v>
      </c>
      <c r="AA61" s="157">
        <f t="shared" si="164"/>
        <v>-2489.8035858798539</v>
      </c>
      <c r="AB61" s="157">
        <f t="shared" si="164"/>
        <v>-2655.790491605178</v>
      </c>
      <c r="AC61" s="157">
        <f t="shared" si="164"/>
        <v>-2832.8431910455229</v>
      </c>
      <c r="AD61" s="138">
        <f t="shared" si="143"/>
        <v>0.13410575027753735</v>
      </c>
      <c r="AE61" s="31">
        <f t="shared" si="16"/>
        <v>0.05</v>
      </c>
      <c r="AF61" s="146">
        <f t="shared" si="144"/>
        <v>-17496.972650575288</v>
      </c>
    </row>
    <row r="62" spans="2:32" x14ac:dyDescent="0.2">
      <c r="B62" s="20" t="s">
        <v>276</v>
      </c>
      <c r="C62" s="127">
        <f t="shared" ref="C62:P62" si="165">(C7+C15-C10-C9)/C42</f>
        <v>0</v>
      </c>
      <c r="D62" s="127">
        <f t="shared" si="165"/>
        <v>0</v>
      </c>
      <c r="E62" s="127">
        <f t="shared" si="165"/>
        <v>0</v>
      </c>
      <c r="F62" s="144">
        <f t="shared" si="165"/>
        <v>0</v>
      </c>
      <c r="G62" s="144">
        <f t="shared" si="165"/>
        <v>-96.658711217183765</v>
      </c>
      <c r="H62" s="144">
        <f t="shared" si="165"/>
        <v>-157.03363914373088</v>
      </c>
      <c r="I62" s="144">
        <f t="shared" si="165"/>
        <v>-255.01661129568106</v>
      </c>
      <c r="J62" s="144">
        <f t="shared" si="165"/>
        <v>-442.15100488864749</v>
      </c>
      <c r="K62" s="144">
        <f t="shared" si="165"/>
        <v>-681.88084687346134</v>
      </c>
      <c r="L62" s="144">
        <f t="shared" si="165"/>
        <v>-928.74692874692869</v>
      </c>
      <c r="M62" s="144">
        <f t="shared" si="165"/>
        <v>-743.59201773835923</v>
      </c>
      <c r="N62" s="144">
        <f t="shared" si="165"/>
        <v>-886.86421937195928</v>
      </c>
      <c r="O62" s="144">
        <f t="shared" si="165"/>
        <v>-798.45474613686542</v>
      </c>
      <c r="P62" s="144">
        <f t="shared" si="165"/>
        <v>-1093.2539682539682</v>
      </c>
      <c r="Q62" s="144">
        <f t="shared" ref="Q62" si="166">(Q7+Q15-Q10-Q9)/Q42</f>
        <v>-1171.7813051146384</v>
      </c>
      <c r="R62" s="118">
        <f>((P62/G62)^(1/($H$2-$H$1) ))-1</f>
        <v>0.30934272717527822</v>
      </c>
      <c r="S62" s="128"/>
      <c r="T62" s="157">
        <f t="shared" ref="T62:AC62" si="167">(T7+T15-T10-T9)/T42</f>
        <v>-1249.9000587889477</v>
      </c>
      <c r="U62" s="157">
        <f t="shared" si="167"/>
        <v>-1333.226729374878</v>
      </c>
      <c r="V62" s="157">
        <f t="shared" si="167"/>
        <v>-1422.1085113332033</v>
      </c>
      <c r="W62" s="157">
        <f t="shared" si="167"/>
        <v>-1516.9157454220838</v>
      </c>
      <c r="X62" s="157">
        <f t="shared" si="167"/>
        <v>-1618.0434617835558</v>
      </c>
      <c r="Y62" s="157">
        <f t="shared" si="167"/>
        <v>-1725.9130259024594</v>
      </c>
      <c r="Z62" s="157">
        <f t="shared" si="167"/>
        <v>-1840.9738942959568</v>
      </c>
      <c r="AA62" s="157">
        <f t="shared" si="167"/>
        <v>-1963.7054872490205</v>
      </c>
      <c r="AB62" s="157">
        <f t="shared" si="167"/>
        <v>-2094.6191863989552</v>
      </c>
      <c r="AC62" s="157">
        <f t="shared" si="167"/>
        <v>-2234.2604654922188</v>
      </c>
      <c r="AD62" s="138">
        <f t="shared" si="143"/>
        <v>0.1700236491567082</v>
      </c>
      <c r="AE62" s="31">
        <f t="shared" si="16"/>
        <v>0.05</v>
      </c>
      <c r="AF62" s="146">
        <f t="shared" si="144"/>
        <v>-13799.844051569589</v>
      </c>
    </row>
    <row r="63" spans="2:32" x14ac:dyDescent="0.2">
      <c r="B63" s="20"/>
      <c r="C63" s="127"/>
      <c r="D63" s="127"/>
      <c r="E63" s="127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28"/>
      <c r="S63" s="128"/>
      <c r="T63" s="154"/>
      <c r="U63" s="154"/>
      <c r="V63" s="154"/>
      <c r="W63" s="154"/>
      <c r="X63" s="154"/>
      <c r="Y63" s="154"/>
      <c r="Z63" s="154"/>
      <c r="AA63" s="154"/>
      <c r="AB63" s="154"/>
      <c r="AC63" s="154"/>
      <c r="AD63" s="139"/>
      <c r="AE63" s="137"/>
      <c r="AF63" s="154"/>
    </row>
    <row r="64" spans="2:32" x14ac:dyDescent="0.2">
      <c r="B64" s="20" t="s">
        <v>248</v>
      </c>
      <c r="C64" s="127">
        <f t="shared" ref="C64:P64" si="168">C12/C42</f>
        <v>0</v>
      </c>
      <c r="D64" s="127">
        <f t="shared" si="168"/>
        <v>0</v>
      </c>
      <c r="E64" s="127">
        <f t="shared" si="168"/>
        <v>0</v>
      </c>
      <c r="F64" s="144">
        <f t="shared" si="168"/>
        <v>0</v>
      </c>
      <c r="G64" s="144">
        <f t="shared" si="168"/>
        <v>38.424821002386629</v>
      </c>
      <c r="H64" s="144">
        <f t="shared" si="168"/>
        <v>27.522935779816514</v>
      </c>
      <c r="I64" s="144">
        <f t="shared" si="168"/>
        <v>16.744186046511626</v>
      </c>
      <c r="J64" s="144">
        <f t="shared" si="168"/>
        <v>98.370450841933732</v>
      </c>
      <c r="K64" s="144">
        <f t="shared" si="168"/>
        <v>135.00738552437224</v>
      </c>
      <c r="L64" s="144">
        <f t="shared" si="168"/>
        <v>314.88943488943488</v>
      </c>
      <c r="M64" s="144">
        <f t="shared" si="168"/>
        <v>279.82261640798225</v>
      </c>
      <c r="N64" s="144">
        <f t="shared" si="168"/>
        <v>307.65148164528972</v>
      </c>
      <c r="O64" s="144">
        <f t="shared" si="168"/>
        <v>234.92273730684329</v>
      </c>
      <c r="P64" s="144">
        <f t="shared" si="168"/>
        <v>280.02645502645504</v>
      </c>
      <c r="Q64" s="144">
        <f t="shared" ref="Q64" si="169">Q12/Q42</f>
        <v>313.84479717813053</v>
      </c>
      <c r="R64" s="118">
        <f>((P64/G64)^(1/($H$2-$H$1) ))-1</f>
        <v>0.24693272611095929</v>
      </c>
      <c r="S64" s="128"/>
      <c r="T64" s="157">
        <f t="shared" ref="T64:AC64" si="170">T12/T42</f>
        <v>334.76778365667258</v>
      </c>
      <c r="U64" s="157">
        <f t="shared" si="170"/>
        <v>357.08563590045077</v>
      </c>
      <c r="V64" s="157">
        <f t="shared" si="170"/>
        <v>380.89134496048092</v>
      </c>
      <c r="W64" s="157">
        <f t="shared" si="170"/>
        <v>406.28410129117964</v>
      </c>
      <c r="X64" s="157">
        <f t="shared" si="170"/>
        <v>433.3697080439249</v>
      </c>
      <c r="Y64" s="157">
        <f t="shared" si="170"/>
        <v>462.26102191351993</v>
      </c>
      <c r="Z64" s="157">
        <f t="shared" si="170"/>
        <v>493.07842337442128</v>
      </c>
      <c r="AA64" s="157">
        <f t="shared" si="170"/>
        <v>525.95031826604952</v>
      </c>
      <c r="AB64" s="157">
        <f t="shared" si="170"/>
        <v>561.01367281711953</v>
      </c>
      <c r="AC64" s="157">
        <f t="shared" si="170"/>
        <v>598.41458433826085</v>
      </c>
      <c r="AD64" s="138">
        <f t="shared" si="143"/>
        <v>0.1471481678225357</v>
      </c>
      <c r="AE64" s="31">
        <f t="shared" si="16"/>
        <v>0.05</v>
      </c>
      <c r="AF64" s="146">
        <f t="shared" si="144"/>
        <v>3696.0900797363174</v>
      </c>
    </row>
    <row r="65" spans="2:32" x14ac:dyDescent="0.2">
      <c r="B65" s="20" t="s">
        <v>255</v>
      </c>
      <c r="C65" s="127">
        <f t="shared" ref="C65:P65" si="171">C13/C42</f>
        <v>0</v>
      </c>
      <c r="D65" s="127">
        <f t="shared" si="171"/>
        <v>0</v>
      </c>
      <c r="E65" s="127">
        <f t="shared" si="171"/>
        <v>0</v>
      </c>
      <c r="F65" s="144">
        <f t="shared" si="171"/>
        <v>0</v>
      </c>
      <c r="G65" s="144">
        <f t="shared" si="171"/>
        <v>1.1933174224343674</v>
      </c>
      <c r="H65" s="144">
        <f t="shared" si="171"/>
        <v>0.6116207951070336</v>
      </c>
      <c r="I65" s="144">
        <f t="shared" si="171"/>
        <v>0.59800664451827235</v>
      </c>
      <c r="J65" s="144">
        <f t="shared" si="171"/>
        <v>12.167300380228136</v>
      </c>
      <c r="K65" s="144">
        <f t="shared" si="171"/>
        <v>0.78778926637124569</v>
      </c>
      <c r="L65" s="144">
        <f t="shared" si="171"/>
        <v>1.4742014742014742</v>
      </c>
      <c r="M65" s="144">
        <f t="shared" si="171"/>
        <v>3.7250554323725056</v>
      </c>
      <c r="N65" s="144">
        <f t="shared" si="171"/>
        <v>13.356921716054844</v>
      </c>
      <c r="O65" s="144">
        <f t="shared" si="171"/>
        <v>161.85430463576159</v>
      </c>
      <c r="P65" s="144">
        <f t="shared" si="171"/>
        <v>144.62081128747795</v>
      </c>
      <c r="Q65" s="144">
        <f t="shared" ref="Q65" si="172">Q13/Q42</f>
        <v>107.36331569664902</v>
      </c>
      <c r="R65" s="118">
        <f>((P65/G65)^(1/($H$2-$H$1) ))-1</f>
        <v>0.70410833777227677</v>
      </c>
      <c r="S65" s="128"/>
      <c r="T65" s="157">
        <f t="shared" ref="T65:AC65" si="173">T13/T42</f>
        <v>114.52087007642564</v>
      </c>
      <c r="U65" s="157">
        <f t="shared" si="173"/>
        <v>122.15559474818735</v>
      </c>
      <c r="V65" s="157">
        <f t="shared" si="173"/>
        <v>130.29930106473319</v>
      </c>
      <c r="W65" s="157">
        <f t="shared" si="173"/>
        <v>138.98592113571542</v>
      </c>
      <c r="X65" s="157">
        <f t="shared" si="173"/>
        <v>148.25164921142976</v>
      </c>
      <c r="Y65" s="157">
        <f t="shared" si="173"/>
        <v>158.13509249219177</v>
      </c>
      <c r="Z65" s="157">
        <f t="shared" si="173"/>
        <v>168.67743199167123</v>
      </c>
      <c r="AA65" s="157">
        <f t="shared" si="173"/>
        <v>179.92259412444935</v>
      </c>
      <c r="AB65" s="157">
        <f t="shared" si="173"/>
        <v>191.91743373274596</v>
      </c>
      <c r="AC65" s="157">
        <f t="shared" si="173"/>
        <v>204.71192931492899</v>
      </c>
      <c r="AD65" s="138">
        <f t="shared" si="143"/>
        <v>0.29335980103653059</v>
      </c>
      <c r="AE65" s="31">
        <f t="shared" si="16"/>
        <v>0.05</v>
      </c>
      <c r="AF65" s="146">
        <f t="shared" si="144"/>
        <v>1264.3972104745617</v>
      </c>
    </row>
    <row r="66" spans="2:32" x14ac:dyDescent="0.2">
      <c r="B66" s="20" t="s">
        <v>256</v>
      </c>
      <c r="C66" s="127">
        <f>(C64+C65)</f>
        <v>0</v>
      </c>
      <c r="D66" s="127">
        <f t="shared" ref="D66:P66" si="174">(D64+D65)</f>
        <v>0</v>
      </c>
      <c r="E66" s="127">
        <f t="shared" si="174"/>
        <v>0</v>
      </c>
      <c r="F66" s="144">
        <f t="shared" si="174"/>
        <v>0</v>
      </c>
      <c r="G66" s="144">
        <f t="shared" si="174"/>
        <v>39.618138424820998</v>
      </c>
      <c r="H66" s="144">
        <f t="shared" si="174"/>
        <v>28.134556574923547</v>
      </c>
      <c r="I66" s="144">
        <f t="shared" si="174"/>
        <v>17.342192691029897</v>
      </c>
      <c r="J66" s="144">
        <f t="shared" si="174"/>
        <v>110.53775122216187</v>
      </c>
      <c r="K66" s="144">
        <f t="shared" si="174"/>
        <v>135.79517479074349</v>
      </c>
      <c r="L66" s="144">
        <f t="shared" si="174"/>
        <v>316.36363636363637</v>
      </c>
      <c r="M66" s="144">
        <f t="shared" si="174"/>
        <v>283.54767184035478</v>
      </c>
      <c r="N66" s="144">
        <f t="shared" si="174"/>
        <v>321.00840336134456</v>
      </c>
      <c r="O66" s="144">
        <f t="shared" ref="O66" si="175">(O64+O65)</f>
        <v>396.77704194260491</v>
      </c>
      <c r="P66" s="144">
        <f t="shared" si="174"/>
        <v>424.64726631393296</v>
      </c>
      <c r="Q66" s="144">
        <f t="shared" ref="Q66" si="176">(Q64+Q65)</f>
        <v>421.20811287477954</v>
      </c>
      <c r="R66" s="118">
        <f>((P66/G66)^(1/($H$2-$H$1) ))-1</f>
        <v>0.30154552425918646</v>
      </c>
      <c r="S66" s="128"/>
      <c r="T66" s="157">
        <f t="shared" ref="T66:AC66" si="177">(T64+T65)</f>
        <v>449.28865373309822</v>
      </c>
      <c r="U66" s="157">
        <f t="shared" si="177"/>
        <v>479.24123064863812</v>
      </c>
      <c r="V66" s="157">
        <f t="shared" si="177"/>
        <v>511.19064602521411</v>
      </c>
      <c r="W66" s="157">
        <f t="shared" si="177"/>
        <v>545.27002242689503</v>
      </c>
      <c r="X66" s="157">
        <f t="shared" si="177"/>
        <v>581.62135725535472</v>
      </c>
      <c r="Y66" s="157">
        <f t="shared" si="177"/>
        <v>620.39611440571173</v>
      </c>
      <c r="Z66" s="157">
        <f t="shared" si="177"/>
        <v>661.75585536609253</v>
      </c>
      <c r="AA66" s="157">
        <f t="shared" si="177"/>
        <v>705.87291239049887</v>
      </c>
      <c r="AB66" s="157">
        <f t="shared" si="177"/>
        <v>752.93110654986549</v>
      </c>
      <c r="AC66" s="157">
        <f t="shared" si="177"/>
        <v>803.12651365318982</v>
      </c>
      <c r="AD66" s="138">
        <f t="shared" si="143"/>
        <v>0.16237027391137282</v>
      </c>
      <c r="AE66" s="31">
        <f t="shared" si="16"/>
        <v>0.05</v>
      </c>
      <c r="AF66" s="146">
        <f t="shared" si="144"/>
        <v>4960.4872902108791</v>
      </c>
    </row>
    <row r="67" spans="2:32" x14ac:dyDescent="0.2">
      <c r="B67" s="20" t="s">
        <v>249</v>
      </c>
      <c r="C67" s="127">
        <f t="shared" ref="C67:P67" si="178">C15/C42</f>
        <v>0</v>
      </c>
      <c r="D67" s="127">
        <f t="shared" si="178"/>
        <v>0</v>
      </c>
      <c r="E67" s="127">
        <f t="shared" si="178"/>
        <v>0</v>
      </c>
      <c r="F67" s="144">
        <f t="shared" si="178"/>
        <v>0</v>
      </c>
      <c r="G67" s="144">
        <f t="shared" si="178"/>
        <v>131.98090692124103</v>
      </c>
      <c r="H67" s="144">
        <f t="shared" si="178"/>
        <v>71.100917431192656</v>
      </c>
      <c r="I67" s="144">
        <f t="shared" si="178"/>
        <v>30.830564784053156</v>
      </c>
      <c r="J67" s="144">
        <f t="shared" si="178"/>
        <v>20.260727865290601</v>
      </c>
      <c r="K67" s="144">
        <f t="shared" si="178"/>
        <v>25.800098473658299</v>
      </c>
      <c r="L67" s="144">
        <f t="shared" si="178"/>
        <v>51.498771498771497</v>
      </c>
      <c r="M67" s="144">
        <f t="shared" si="178"/>
        <v>78.181818181818173</v>
      </c>
      <c r="N67" s="144">
        <f t="shared" si="178"/>
        <v>44.935869084475897</v>
      </c>
      <c r="O67" s="144">
        <f t="shared" si="178"/>
        <v>235.01103752759383</v>
      </c>
      <c r="P67" s="144">
        <f t="shared" si="178"/>
        <v>280.02645502645504</v>
      </c>
      <c r="Q67" s="144">
        <f t="shared" ref="Q67" si="179">Q15/Q42</f>
        <v>313.93298059964729</v>
      </c>
      <c r="R67" s="118">
        <f>((P67/G67)^(1/($H$2-$H$1) ))-1</f>
        <v>8.7173008621421522E-2</v>
      </c>
      <c r="S67" s="128"/>
      <c r="T67" s="157">
        <f t="shared" ref="T67:AC67" si="180">T15/T42</f>
        <v>334.8618459729571</v>
      </c>
      <c r="U67" s="157">
        <f t="shared" si="180"/>
        <v>357.18596903782094</v>
      </c>
      <c r="V67" s="157">
        <f t="shared" si="180"/>
        <v>380.99836697367573</v>
      </c>
      <c r="W67" s="157">
        <f t="shared" si="180"/>
        <v>406.39825810525417</v>
      </c>
      <c r="X67" s="157">
        <f t="shared" si="180"/>
        <v>433.49147531227112</v>
      </c>
      <c r="Y67" s="157">
        <f t="shared" si="180"/>
        <v>462.39090699975594</v>
      </c>
      <c r="Z67" s="157">
        <f t="shared" si="180"/>
        <v>493.21696746640635</v>
      </c>
      <c r="AA67" s="157">
        <f t="shared" si="180"/>
        <v>526.09809863083342</v>
      </c>
      <c r="AB67" s="157">
        <f t="shared" si="180"/>
        <v>561.17130520622243</v>
      </c>
      <c r="AC67" s="157">
        <f t="shared" si="180"/>
        <v>598.58272555330382</v>
      </c>
      <c r="AD67" s="138">
        <f t="shared" si="143"/>
        <v>7.852608558472074E-2</v>
      </c>
      <c r="AE67" s="31">
        <f t="shared" si="16"/>
        <v>0.05</v>
      </c>
      <c r="AF67" s="146">
        <f t="shared" si="144"/>
        <v>3697.1285990057004</v>
      </c>
    </row>
    <row r="68" spans="2:32" x14ac:dyDescent="0.2">
      <c r="B68" s="20" t="s">
        <v>250</v>
      </c>
      <c r="C68" s="127">
        <f t="shared" ref="C68:P68" si="181">C16/C42</f>
        <v>0</v>
      </c>
      <c r="D68" s="127">
        <f t="shared" si="181"/>
        <v>0</v>
      </c>
      <c r="E68" s="127">
        <f t="shared" si="181"/>
        <v>0</v>
      </c>
      <c r="F68" s="144">
        <f t="shared" si="181"/>
        <v>0</v>
      </c>
      <c r="G68" s="144">
        <f t="shared" si="181"/>
        <v>235.79952267303099</v>
      </c>
      <c r="H68" s="144">
        <f t="shared" si="181"/>
        <v>252.44648318042815</v>
      </c>
      <c r="I68" s="144">
        <f t="shared" si="181"/>
        <v>336.74418604651163</v>
      </c>
      <c r="J68" s="144">
        <f t="shared" si="181"/>
        <v>512.33025529603481</v>
      </c>
      <c r="K68" s="144">
        <f t="shared" si="181"/>
        <v>809.65041851304784</v>
      </c>
      <c r="L68" s="144">
        <f t="shared" si="181"/>
        <v>1099.4103194103193</v>
      </c>
      <c r="M68" s="144">
        <f t="shared" si="181"/>
        <v>981.64079822616407</v>
      </c>
      <c r="N68" s="144">
        <f t="shared" si="181"/>
        <v>1091.9946926138878</v>
      </c>
      <c r="O68" s="144">
        <f t="shared" si="181"/>
        <v>924.90066225165572</v>
      </c>
      <c r="P68" s="144">
        <f t="shared" si="181"/>
        <v>1319.5767195767196</v>
      </c>
      <c r="Q68" s="144">
        <f t="shared" ref="Q68" si="182">Q16/Q42</f>
        <v>1467.1516754850088</v>
      </c>
      <c r="R68" s="118">
        <f>((P68/G68)^(1/($H$2-$H$1) ))-1</f>
        <v>0.21087435211140071</v>
      </c>
      <c r="S68" s="128"/>
      <c r="T68" s="157">
        <f t="shared" ref="T68:AC68" si="183">T16/T42</f>
        <v>1564.9617871840094</v>
      </c>
      <c r="U68" s="157">
        <f t="shared" si="183"/>
        <v>1669.2925729962769</v>
      </c>
      <c r="V68" s="157">
        <f t="shared" si="183"/>
        <v>1780.5787445293622</v>
      </c>
      <c r="W68" s="157">
        <f t="shared" si="183"/>
        <v>1899.283994164653</v>
      </c>
      <c r="X68" s="157">
        <f t="shared" si="183"/>
        <v>2025.9029271089632</v>
      </c>
      <c r="Y68" s="157">
        <f t="shared" si="183"/>
        <v>2160.9631222495609</v>
      </c>
      <c r="Z68" s="157">
        <f t="shared" si="183"/>
        <v>2305.0273303995318</v>
      </c>
      <c r="AA68" s="157">
        <f t="shared" si="183"/>
        <v>2458.6958190928344</v>
      </c>
      <c r="AB68" s="157">
        <f t="shared" si="183"/>
        <v>2622.6088736990232</v>
      </c>
      <c r="AC68" s="157">
        <f t="shared" si="183"/>
        <v>2797.4494652789581</v>
      </c>
      <c r="AD68" s="138">
        <f t="shared" si="143"/>
        <v>0.13164697386408264</v>
      </c>
      <c r="AE68" s="137"/>
      <c r="AF68" s="146">
        <f t="shared" si="144"/>
        <v>12715.679387631628</v>
      </c>
    </row>
    <row r="69" spans="2:32" x14ac:dyDescent="0.2">
      <c r="B69" s="20"/>
      <c r="C69" s="127"/>
      <c r="D69" s="127"/>
      <c r="E69" s="127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28"/>
      <c r="S69" s="128"/>
      <c r="T69" s="154"/>
      <c r="U69" s="154"/>
      <c r="V69" s="154"/>
      <c r="W69" s="154"/>
      <c r="X69" s="154"/>
      <c r="Y69" s="154"/>
      <c r="Z69" s="154"/>
      <c r="AA69" s="154"/>
      <c r="AB69" s="154"/>
      <c r="AC69" s="154"/>
      <c r="AD69" s="139"/>
      <c r="AE69" s="31">
        <f t="shared" si="16"/>
        <v>0.05</v>
      </c>
      <c r="AF69" s="146">
        <f t="shared" si="144"/>
        <v>0</v>
      </c>
    </row>
    <row r="70" spans="2:32" x14ac:dyDescent="0.2">
      <c r="B70" s="20" t="s">
        <v>282</v>
      </c>
      <c r="C70" s="159">
        <f>C44</f>
        <v>0</v>
      </c>
      <c r="D70" s="159">
        <f t="shared" ref="D70:P70" si="184">D44</f>
        <v>0</v>
      </c>
      <c r="E70" s="159">
        <f t="shared" si="184"/>
        <v>0</v>
      </c>
      <c r="F70" s="159">
        <f t="shared" si="184"/>
        <v>0</v>
      </c>
      <c r="G70" s="159">
        <f t="shared" si="184"/>
        <v>2.5</v>
      </c>
      <c r="H70" s="159">
        <f t="shared" si="184"/>
        <v>2.5</v>
      </c>
      <c r="I70" s="159">
        <f t="shared" si="184"/>
        <v>3</v>
      </c>
      <c r="J70" s="159">
        <f t="shared" si="184"/>
        <v>3</v>
      </c>
      <c r="K70" s="159">
        <f t="shared" si="184"/>
        <v>5</v>
      </c>
      <c r="L70" s="159">
        <f t="shared" si="184"/>
        <v>5</v>
      </c>
      <c r="M70" s="159">
        <f t="shared" si="184"/>
        <v>6</v>
      </c>
      <c r="N70" s="159">
        <f t="shared" si="184"/>
        <v>6.5</v>
      </c>
      <c r="O70" s="159">
        <f t="shared" si="184"/>
        <v>6.5</v>
      </c>
      <c r="P70" s="159">
        <f t="shared" si="184"/>
        <v>7</v>
      </c>
      <c r="Q70" s="159">
        <f t="shared" ref="Q70" si="185">Q44</f>
        <v>7</v>
      </c>
      <c r="R70" s="118">
        <f>((P70/G70)^(1/($H$2-$H$1) ))-1</f>
        <v>0.12120293435923335</v>
      </c>
      <c r="S70" s="128"/>
      <c r="T70" s="159">
        <f t="shared" ref="T70:AC70" si="186">T44</f>
        <v>7.3500000000000005</v>
      </c>
      <c r="U70" s="159">
        <f t="shared" si="186"/>
        <v>7.7175000000000011</v>
      </c>
      <c r="V70" s="159">
        <f t="shared" si="186"/>
        <v>8.1033750000000015</v>
      </c>
      <c r="W70" s="159">
        <f t="shared" si="186"/>
        <v>8.5085437500000012</v>
      </c>
      <c r="X70" s="159">
        <f t="shared" si="186"/>
        <v>8.9339709375000016</v>
      </c>
      <c r="Y70" s="159">
        <f t="shared" si="186"/>
        <v>9.3806694843750016</v>
      </c>
      <c r="Z70" s="159">
        <f t="shared" si="186"/>
        <v>9.8497029585937526</v>
      </c>
      <c r="AA70" s="159">
        <f t="shared" si="186"/>
        <v>10.342188106523441</v>
      </c>
      <c r="AB70" s="159">
        <f t="shared" si="186"/>
        <v>10.859297511849613</v>
      </c>
      <c r="AC70" s="159">
        <f t="shared" si="186"/>
        <v>11.402262387442095</v>
      </c>
      <c r="AD70" s="138">
        <f t="shared" ref="AD70" si="187">((AC70/G70)^(1/($AC$3-$H$1) ))-1</f>
        <v>7.8828848210078961E-2</v>
      </c>
      <c r="AE70" s="31">
        <f t="shared" si="16"/>
        <v>0.05</v>
      </c>
      <c r="AF70" s="146">
        <f t="shared" si="144"/>
        <v>70.425738275377654</v>
      </c>
    </row>
    <row r="71" spans="2:32" x14ac:dyDescent="0.2">
      <c r="B71" s="20"/>
      <c r="C71" s="127"/>
      <c r="D71" s="127"/>
      <c r="E71" s="127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28"/>
      <c r="S71" s="128"/>
      <c r="T71" s="154"/>
      <c r="U71" s="154"/>
      <c r="V71" s="154"/>
      <c r="W71" s="154"/>
      <c r="X71" s="154"/>
      <c r="Y71" s="154"/>
      <c r="Z71" s="154"/>
      <c r="AA71" s="154"/>
      <c r="AB71" s="154"/>
      <c r="AC71" s="154"/>
      <c r="AD71" s="139"/>
      <c r="AE71" s="137"/>
      <c r="AF71" s="154"/>
    </row>
    <row r="72" spans="2:32" x14ac:dyDescent="0.2">
      <c r="B72" s="20" t="s">
        <v>317</v>
      </c>
      <c r="C72" s="127">
        <f t="shared" ref="C72:P72" si="188">C20+C21</f>
        <v>0</v>
      </c>
      <c r="D72" s="127">
        <f t="shared" si="188"/>
        <v>0</v>
      </c>
      <c r="E72" s="127">
        <f t="shared" si="188"/>
        <v>0</v>
      </c>
      <c r="F72" s="144">
        <f t="shared" si="188"/>
        <v>0</v>
      </c>
      <c r="G72" s="144">
        <f t="shared" si="188"/>
        <v>-293</v>
      </c>
      <c r="H72" s="144">
        <f t="shared" si="188"/>
        <v>-544</v>
      </c>
      <c r="I72" s="144">
        <f t="shared" si="188"/>
        <v>-3430</v>
      </c>
      <c r="J72" s="144">
        <f t="shared" si="188"/>
        <v>-3091</v>
      </c>
      <c r="K72" s="144">
        <f t="shared" si="188"/>
        <v>-7230</v>
      </c>
      <c r="L72" s="144">
        <f t="shared" si="188"/>
        <v>-1291</v>
      </c>
      <c r="M72" s="144">
        <f t="shared" si="188"/>
        <v>-1094</v>
      </c>
      <c r="N72" s="144">
        <f t="shared" si="188"/>
        <v>-2062</v>
      </c>
      <c r="O72" s="144">
        <f t="shared" si="188"/>
        <v>-880</v>
      </c>
      <c r="P72" s="144">
        <f t="shared" si="188"/>
        <v>-7007</v>
      </c>
      <c r="Q72" s="144">
        <f t="shared" ref="Q72" si="189">Q20+Q21</f>
        <v>0</v>
      </c>
      <c r="R72" s="118">
        <f>((P72/G72)^(1/($H$2-$H$1) ))-1</f>
        <v>0.42293461423864476</v>
      </c>
      <c r="S72" s="128"/>
      <c r="T72" s="144">
        <f t="shared" ref="T72:AC72" si="190">T20+T21</f>
        <v>0</v>
      </c>
      <c r="U72" s="144">
        <f t="shared" si="190"/>
        <v>0</v>
      </c>
      <c r="V72" s="144">
        <f t="shared" si="190"/>
        <v>0</v>
      </c>
      <c r="W72" s="144">
        <f t="shared" si="190"/>
        <v>0</v>
      </c>
      <c r="X72" s="144">
        <f t="shared" si="190"/>
        <v>0</v>
      </c>
      <c r="Y72" s="144">
        <f t="shared" si="190"/>
        <v>0</v>
      </c>
      <c r="Z72" s="144">
        <f t="shared" si="190"/>
        <v>0</v>
      </c>
      <c r="AA72" s="144">
        <f t="shared" si="190"/>
        <v>0</v>
      </c>
      <c r="AB72" s="144">
        <f t="shared" si="190"/>
        <v>0</v>
      </c>
      <c r="AC72" s="144">
        <f t="shared" si="190"/>
        <v>0</v>
      </c>
      <c r="AD72" s="138">
        <f t="shared" ref="AD72:AD77" si="191">((AC72/G72)^(1/($AC$3-$H$1) ))-1</f>
        <v>-1</v>
      </c>
      <c r="AE72" s="31">
        <f t="shared" si="16"/>
        <v>0.05</v>
      </c>
      <c r="AF72" s="146">
        <f t="shared" si="144"/>
        <v>0</v>
      </c>
    </row>
    <row r="73" spans="2:32" x14ac:dyDescent="0.2">
      <c r="B73" s="20"/>
      <c r="C73" s="127"/>
      <c r="D73" s="127"/>
      <c r="E73" s="127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28"/>
      <c r="S73" s="128"/>
      <c r="T73" s="146"/>
      <c r="U73" s="146"/>
      <c r="V73" s="146"/>
      <c r="W73" s="146"/>
      <c r="X73" s="146"/>
      <c r="Y73" s="146"/>
      <c r="Z73" s="146"/>
      <c r="AA73" s="146"/>
      <c r="AB73" s="146"/>
      <c r="AC73" s="146"/>
      <c r="AD73" s="139"/>
      <c r="AE73" s="137"/>
      <c r="AF73" s="146"/>
    </row>
    <row r="74" spans="2:32" x14ac:dyDescent="0.2">
      <c r="B74" s="20" t="s">
        <v>318</v>
      </c>
      <c r="C74" s="127">
        <f t="shared" ref="C74:P74" si="192">C72/C42</f>
        <v>0</v>
      </c>
      <c r="D74" s="127">
        <f t="shared" si="192"/>
        <v>0</v>
      </c>
      <c r="E74" s="127">
        <f t="shared" si="192"/>
        <v>0</v>
      </c>
      <c r="F74" s="144">
        <f t="shared" si="192"/>
        <v>0</v>
      </c>
      <c r="G74" s="144">
        <f t="shared" si="192"/>
        <v>-69.928400954653938</v>
      </c>
      <c r="H74" s="144">
        <f t="shared" si="192"/>
        <v>-83.180428134556578</v>
      </c>
      <c r="I74" s="144">
        <f t="shared" si="192"/>
        <v>-227.90697674418604</v>
      </c>
      <c r="J74" s="144">
        <f t="shared" si="192"/>
        <v>-167.89788158609451</v>
      </c>
      <c r="K74" s="144">
        <f t="shared" si="192"/>
        <v>-355.98227474150667</v>
      </c>
      <c r="L74" s="144">
        <f t="shared" si="192"/>
        <v>-63.439803439803434</v>
      </c>
      <c r="M74" s="144">
        <f t="shared" si="192"/>
        <v>-48.514412416851442</v>
      </c>
      <c r="N74" s="144">
        <f t="shared" si="192"/>
        <v>-91.198584697036708</v>
      </c>
      <c r="O74" s="144">
        <f t="shared" si="192"/>
        <v>-38.852097130242825</v>
      </c>
      <c r="P74" s="144">
        <f t="shared" si="192"/>
        <v>-308.95061728395063</v>
      </c>
      <c r="Q74" s="144">
        <f t="shared" ref="Q74" si="193">Q72/Q42</f>
        <v>0</v>
      </c>
      <c r="R74" s="118">
        <f>((P74/G74)^(1/($H$2-$H$1) ))-1</f>
        <v>0.1794861076212122</v>
      </c>
      <c r="S74" s="128"/>
      <c r="T74" s="146">
        <f t="shared" ref="T74:AC74" si="194">T72/T42</f>
        <v>0</v>
      </c>
      <c r="U74" s="146">
        <f t="shared" si="194"/>
        <v>0</v>
      </c>
      <c r="V74" s="146">
        <f t="shared" si="194"/>
        <v>0</v>
      </c>
      <c r="W74" s="146">
        <f t="shared" si="194"/>
        <v>0</v>
      </c>
      <c r="X74" s="146">
        <f t="shared" si="194"/>
        <v>0</v>
      </c>
      <c r="Y74" s="146">
        <f t="shared" si="194"/>
        <v>0</v>
      </c>
      <c r="Z74" s="146">
        <f t="shared" si="194"/>
        <v>0</v>
      </c>
      <c r="AA74" s="146">
        <f t="shared" si="194"/>
        <v>0</v>
      </c>
      <c r="AB74" s="146">
        <f t="shared" si="194"/>
        <v>0</v>
      </c>
      <c r="AC74" s="146">
        <f t="shared" si="194"/>
        <v>0</v>
      </c>
      <c r="AD74" s="138">
        <f t="shared" si="191"/>
        <v>-1</v>
      </c>
      <c r="AE74" s="31">
        <f t="shared" si="16"/>
        <v>0.05</v>
      </c>
      <c r="AF74" s="146">
        <f t="shared" si="144"/>
        <v>0</v>
      </c>
    </row>
    <row r="75" spans="2:32" x14ac:dyDescent="0.2">
      <c r="B75" s="20" t="s">
        <v>287</v>
      </c>
      <c r="C75" s="127">
        <f t="shared" ref="C75:P75" si="195">C20/C42</f>
        <v>0</v>
      </c>
      <c r="D75" s="127">
        <f t="shared" si="195"/>
        <v>0</v>
      </c>
      <c r="E75" s="127">
        <f t="shared" si="195"/>
        <v>0</v>
      </c>
      <c r="F75" s="144">
        <f t="shared" si="195"/>
        <v>0</v>
      </c>
      <c r="G75" s="144">
        <f t="shared" si="195"/>
        <v>-67.064439140811444</v>
      </c>
      <c r="H75" s="144">
        <f t="shared" si="195"/>
        <v>-85.015290519877681</v>
      </c>
      <c r="I75" s="144">
        <f t="shared" si="195"/>
        <v>-219.80066445182723</v>
      </c>
      <c r="J75" s="144">
        <f t="shared" si="195"/>
        <v>-139.27213470939708</v>
      </c>
      <c r="K75" s="144">
        <f t="shared" si="195"/>
        <v>-285.67208271787297</v>
      </c>
      <c r="L75" s="144">
        <f t="shared" si="195"/>
        <v>-76.36363636363636</v>
      </c>
      <c r="M75" s="144">
        <f t="shared" si="195"/>
        <v>38.447893569844787</v>
      </c>
      <c r="N75" s="144">
        <f t="shared" si="195"/>
        <v>-23.175586023883238</v>
      </c>
      <c r="O75" s="144">
        <f t="shared" si="195"/>
        <v>-38.189845474613691</v>
      </c>
      <c r="P75" s="144">
        <f t="shared" si="195"/>
        <v>-308.77425044091711</v>
      </c>
      <c r="Q75" s="144">
        <f t="shared" ref="Q75" si="196">Q20/Q42</f>
        <v>0</v>
      </c>
      <c r="R75" s="118">
        <f>((P75/G75)^(1/($H$2-$H$1) ))-1</f>
        <v>0.18490408762652288</v>
      </c>
      <c r="S75" s="128"/>
      <c r="T75" s="146">
        <f t="shared" ref="T75:AC75" si="197">T20/T42</f>
        <v>0</v>
      </c>
      <c r="U75" s="146">
        <f t="shared" si="197"/>
        <v>0</v>
      </c>
      <c r="V75" s="146">
        <f t="shared" si="197"/>
        <v>0</v>
      </c>
      <c r="W75" s="146">
        <f t="shared" si="197"/>
        <v>0</v>
      </c>
      <c r="X75" s="146">
        <f t="shared" si="197"/>
        <v>0</v>
      </c>
      <c r="Y75" s="146">
        <f t="shared" si="197"/>
        <v>0</v>
      </c>
      <c r="Z75" s="146">
        <f t="shared" si="197"/>
        <v>0</v>
      </c>
      <c r="AA75" s="146">
        <f t="shared" si="197"/>
        <v>0</v>
      </c>
      <c r="AB75" s="146">
        <f t="shared" si="197"/>
        <v>0</v>
      </c>
      <c r="AC75" s="146">
        <f t="shared" si="197"/>
        <v>0</v>
      </c>
      <c r="AD75" s="138">
        <f t="shared" si="191"/>
        <v>-1</v>
      </c>
      <c r="AE75" s="31">
        <f t="shared" si="16"/>
        <v>0.05</v>
      </c>
      <c r="AF75" s="146">
        <f t="shared" si="144"/>
        <v>0</v>
      </c>
    </row>
    <row r="76" spans="2:32" x14ac:dyDescent="0.2">
      <c r="B76" s="20" t="s">
        <v>288</v>
      </c>
      <c r="C76" s="127">
        <f t="shared" ref="C76:P76" si="198">C21/C42</f>
        <v>0</v>
      </c>
      <c r="D76" s="127">
        <f t="shared" si="198"/>
        <v>0</v>
      </c>
      <c r="E76" s="127">
        <f t="shared" si="198"/>
        <v>0</v>
      </c>
      <c r="F76" s="144">
        <f t="shared" si="198"/>
        <v>0</v>
      </c>
      <c r="G76" s="144">
        <f t="shared" si="198"/>
        <v>-2.8639618138424821</v>
      </c>
      <c r="H76" s="144">
        <f t="shared" si="198"/>
        <v>1.8348623853211008</v>
      </c>
      <c r="I76" s="144">
        <f t="shared" si="198"/>
        <v>-8.1063122923588029</v>
      </c>
      <c r="J76" s="144">
        <f t="shared" si="198"/>
        <v>-28.625746876697448</v>
      </c>
      <c r="K76" s="144">
        <f t="shared" si="198"/>
        <v>-70.310192023633689</v>
      </c>
      <c r="L76" s="144">
        <f t="shared" si="198"/>
        <v>12.923832923832922</v>
      </c>
      <c r="M76" s="144">
        <f t="shared" si="198"/>
        <v>-86.962305986696222</v>
      </c>
      <c r="N76" s="144">
        <f t="shared" si="198"/>
        <v>-68.022998673153467</v>
      </c>
      <c r="O76" s="144">
        <f t="shared" si="198"/>
        <v>-0.66225165562913912</v>
      </c>
      <c r="P76" s="144">
        <f t="shared" si="198"/>
        <v>-0.17636684303350969</v>
      </c>
      <c r="Q76" s="144">
        <f t="shared" ref="Q76" si="199">Q21/Q42</f>
        <v>0</v>
      </c>
      <c r="R76" s="118">
        <f>((P76/G76)^(1/($H$2-$H$1) ))-1</f>
        <v>-0.26634072364105532</v>
      </c>
      <c r="S76" s="128"/>
      <c r="T76" s="146">
        <f t="shared" ref="T76:AC76" si="200">T21/T42</f>
        <v>0</v>
      </c>
      <c r="U76" s="146">
        <f t="shared" si="200"/>
        <v>0</v>
      </c>
      <c r="V76" s="146">
        <f t="shared" si="200"/>
        <v>0</v>
      </c>
      <c r="W76" s="146">
        <f t="shared" si="200"/>
        <v>0</v>
      </c>
      <c r="X76" s="146">
        <f t="shared" si="200"/>
        <v>0</v>
      </c>
      <c r="Y76" s="146">
        <f t="shared" si="200"/>
        <v>0</v>
      </c>
      <c r="Z76" s="146">
        <f t="shared" si="200"/>
        <v>0</v>
      </c>
      <c r="AA76" s="146">
        <f t="shared" si="200"/>
        <v>0</v>
      </c>
      <c r="AB76" s="146">
        <f t="shared" si="200"/>
        <v>0</v>
      </c>
      <c r="AC76" s="146">
        <f t="shared" si="200"/>
        <v>0</v>
      </c>
      <c r="AD76" s="138">
        <f t="shared" si="191"/>
        <v>-1</v>
      </c>
      <c r="AE76" s="31">
        <f t="shared" si="16"/>
        <v>0.05</v>
      </c>
      <c r="AF76" s="146">
        <f t="shared" si="144"/>
        <v>0</v>
      </c>
    </row>
    <row r="77" spans="2:32" x14ac:dyDescent="0.2">
      <c r="B77" s="20" t="s">
        <v>289</v>
      </c>
      <c r="C77" s="127">
        <f t="shared" ref="C77:P77" si="201">C22/C42</f>
        <v>0</v>
      </c>
      <c r="D77" s="127">
        <f t="shared" si="201"/>
        <v>0</v>
      </c>
      <c r="E77" s="127">
        <f t="shared" si="201"/>
        <v>0</v>
      </c>
      <c r="F77" s="144">
        <f t="shared" si="201"/>
        <v>0</v>
      </c>
      <c r="G77" s="144">
        <f t="shared" si="201"/>
        <v>83.293556085918851</v>
      </c>
      <c r="H77" s="144">
        <f t="shared" si="201"/>
        <v>93.425076452599384</v>
      </c>
      <c r="I77" s="144">
        <f t="shared" si="201"/>
        <v>228.43853820598005</v>
      </c>
      <c r="J77" s="144">
        <f t="shared" si="201"/>
        <v>236.33894622487779</v>
      </c>
      <c r="K77" s="144">
        <f t="shared" si="201"/>
        <v>318.16838995568685</v>
      </c>
      <c r="L77" s="144">
        <f t="shared" si="201"/>
        <v>257.00245700245699</v>
      </c>
      <c r="M77" s="144">
        <f t="shared" si="201"/>
        <v>-46.252771618625275</v>
      </c>
      <c r="N77" s="144">
        <f t="shared" si="201"/>
        <v>54.887218045112782</v>
      </c>
      <c r="O77" s="144">
        <f t="shared" si="201"/>
        <v>134.92273730684329</v>
      </c>
      <c r="P77" s="144">
        <f t="shared" si="201"/>
        <v>338.84479717813053</v>
      </c>
      <c r="Q77" s="144">
        <f t="shared" ref="Q77" si="202">Q22/Q42</f>
        <v>0</v>
      </c>
      <c r="R77" s="118">
        <f>((P77/G77)^(1/($H$2-$H$1) ))-1</f>
        <v>0.16871854471928982</v>
      </c>
      <c r="S77" s="128"/>
      <c r="T77" s="146">
        <f t="shared" ref="T77:AC77" si="203">T22/T42</f>
        <v>0</v>
      </c>
      <c r="U77" s="146">
        <f t="shared" si="203"/>
        <v>0</v>
      </c>
      <c r="V77" s="146">
        <f t="shared" si="203"/>
        <v>0</v>
      </c>
      <c r="W77" s="146">
        <f t="shared" si="203"/>
        <v>0</v>
      </c>
      <c r="X77" s="146">
        <f t="shared" si="203"/>
        <v>0</v>
      </c>
      <c r="Y77" s="146">
        <f t="shared" si="203"/>
        <v>0</v>
      </c>
      <c r="Z77" s="146">
        <f t="shared" si="203"/>
        <v>0</v>
      </c>
      <c r="AA77" s="146">
        <f t="shared" si="203"/>
        <v>0</v>
      </c>
      <c r="AB77" s="146">
        <f t="shared" si="203"/>
        <v>0</v>
      </c>
      <c r="AC77" s="146">
        <f t="shared" si="203"/>
        <v>0</v>
      </c>
      <c r="AD77" s="138">
        <f t="shared" si="191"/>
        <v>-1</v>
      </c>
      <c r="AE77" s="31">
        <f t="shared" si="16"/>
        <v>0.05</v>
      </c>
      <c r="AF77" s="146">
        <f t="shared" si="144"/>
        <v>0</v>
      </c>
    </row>
    <row r="78" spans="2:32" x14ac:dyDescent="0.2">
      <c r="B78" s="20" t="s">
        <v>296</v>
      </c>
      <c r="C78" s="127">
        <f t="shared" ref="C78:P78" si="204">C23/C42</f>
        <v>0</v>
      </c>
      <c r="D78" s="127">
        <f t="shared" si="204"/>
        <v>0</v>
      </c>
      <c r="E78" s="127">
        <f t="shared" si="204"/>
        <v>0</v>
      </c>
      <c r="F78" s="144">
        <f t="shared" si="204"/>
        <v>0</v>
      </c>
      <c r="G78" s="144">
        <f t="shared" si="204"/>
        <v>26.01431980906921</v>
      </c>
      <c r="H78" s="144">
        <f t="shared" si="204"/>
        <v>26.911314984709481</v>
      </c>
      <c r="I78" s="144">
        <f t="shared" si="204"/>
        <v>12.159468438538205</v>
      </c>
      <c r="J78" s="144">
        <f t="shared" si="204"/>
        <v>79.521998913633894</v>
      </c>
      <c r="K78" s="144">
        <f t="shared" si="204"/>
        <v>33.087149187592324</v>
      </c>
      <c r="L78" s="144">
        <f t="shared" si="204"/>
        <v>226.53562653562653</v>
      </c>
      <c r="M78" s="144">
        <f t="shared" si="204"/>
        <v>109.66740576496673</v>
      </c>
      <c r="N78" s="144">
        <f t="shared" si="204"/>
        <v>73.02078726227333</v>
      </c>
      <c r="O78" s="144">
        <f t="shared" si="204"/>
        <v>168.96247240618104</v>
      </c>
      <c r="P78" s="144">
        <f t="shared" si="204"/>
        <v>197.04585537918871</v>
      </c>
      <c r="Q78" s="144">
        <f t="shared" ref="Q78" si="205">Q23/Q42</f>
        <v>0</v>
      </c>
      <c r="R78" s="118">
        <f>((P78/G78)^(1/($H$2-$H$1) ))-1</f>
        <v>0.25229340129917599</v>
      </c>
      <c r="S78" s="128"/>
      <c r="T78" s="146">
        <f t="shared" ref="T78:AC78" si="206">T23/T42</f>
        <v>0</v>
      </c>
      <c r="U78" s="146">
        <f t="shared" si="206"/>
        <v>0</v>
      </c>
      <c r="V78" s="146">
        <f t="shared" si="206"/>
        <v>0</v>
      </c>
      <c r="W78" s="146">
        <f t="shared" si="206"/>
        <v>0</v>
      </c>
      <c r="X78" s="146">
        <f t="shared" si="206"/>
        <v>0</v>
      </c>
      <c r="Y78" s="146">
        <f t="shared" si="206"/>
        <v>0</v>
      </c>
      <c r="Z78" s="146">
        <f t="shared" si="206"/>
        <v>0</v>
      </c>
      <c r="AA78" s="146">
        <f t="shared" si="206"/>
        <v>0</v>
      </c>
      <c r="AB78" s="146">
        <f t="shared" si="206"/>
        <v>0</v>
      </c>
      <c r="AC78" s="146">
        <f t="shared" si="206"/>
        <v>0</v>
      </c>
      <c r="AD78" s="138">
        <f t="shared" ref="AD78" si="207">((AC78/G78)^(1/($AC$3-$H$1) ))-1</f>
        <v>-1</v>
      </c>
      <c r="AE78" s="31">
        <f t="shared" si="16"/>
        <v>0.05</v>
      </c>
      <c r="AF78" s="146">
        <f t="shared" si="144"/>
        <v>0</v>
      </c>
    </row>
    <row r="79" spans="2:32" x14ac:dyDescent="0.2">
      <c r="B79" s="20"/>
      <c r="C79" s="127"/>
      <c r="D79" s="127"/>
      <c r="E79" s="127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144"/>
      <c r="R79" s="128"/>
      <c r="S79" s="128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39"/>
      <c r="AE79" s="137"/>
      <c r="AF79" s="154"/>
    </row>
    <row r="80" spans="2:32" x14ac:dyDescent="0.2">
      <c r="B80" s="20" t="s">
        <v>311</v>
      </c>
      <c r="C80" s="144">
        <f t="shared" ref="C80:P80" si="208">C36/C42</f>
        <v>0</v>
      </c>
      <c r="D80" s="144">
        <f t="shared" si="208"/>
        <v>0</v>
      </c>
      <c r="E80" s="144">
        <f t="shared" si="208"/>
        <v>0</v>
      </c>
      <c r="F80" s="144">
        <f t="shared" si="208"/>
        <v>0</v>
      </c>
      <c r="G80" s="144">
        <f t="shared" si="208"/>
        <v>40.811455847255367</v>
      </c>
      <c r="H80" s="144">
        <f t="shared" si="208"/>
        <v>37.308868501529055</v>
      </c>
      <c r="I80" s="144">
        <f t="shared" si="208"/>
        <v>42.325581395348834</v>
      </c>
      <c r="J80" s="144">
        <f t="shared" si="208"/>
        <v>55.296034763715369</v>
      </c>
      <c r="K80" s="144">
        <f t="shared" si="208"/>
        <v>93.451501723289027</v>
      </c>
      <c r="L80" s="144">
        <f t="shared" si="208"/>
        <v>142.85012285012283</v>
      </c>
      <c r="M80" s="144">
        <f t="shared" si="208"/>
        <v>154.94456762749445</v>
      </c>
      <c r="N80" s="144">
        <f t="shared" si="208"/>
        <v>174.03803626713844</v>
      </c>
      <c r="O80" s="144">
        <f t="shared" si="208"/>
        <v>198.89624724061812</v>
      </c>
      <c r="P80" s="144">
        <f t="shared" si="208"/>
        <v>230.90828924162258</v>
      </c>
      <c r="Q80" s="144">
        <f t="shared" ref="Q80" si="209">Q36/Q42</f>
        <v>273.41269841269843</v>
      </c>
      <c r="R80" s="118">
        <f>((P80/G80)^(1/($H$2-$H$1) ))-1</f>
        <v>0.21235163927660183</v>
      </c>
      <c r="S80" s="128"/>
      <c r="T80" s="144">
        <f t="shared" ref="T80:AC80" si="210">T36/T42</f>
        <v>291.64021164021165</v>
      </c>
      <c r="U80" s="144">
        <f t="shared" si="210"/>
        <v>311.08289241622583</v>
      </c>
      <c r="V80" s="144">
        <f t="shared" si="210"/>
        <v>331.8217519106409</v>
      </c>
      <c r="W80" s="144">
        <f t="shared" si="210"/>
        <v>353.94320203801698</v>
      </c>
      <c r="X80" s="144">
        <f t="shared" si="210"/>
        <v>377.53941550721817</v>
      </c>
      <c r="Y80" s="144">
        <f t="shared" si="210"/>
        <v>402.70870987436604</v>
      </c>
      <c r="Z80" s="144">
        <f t="shared" si="210"/>
        <v>429.55595719932381</v>
      </c>
      <c r="AA80" s="144">
        <f t="shared" si="210"/>
        <v>458.19302101261212</v>
      </c>
      <c r="AB80" s="144">
        <f t="shared" si="210"/>
        <v>488.73922241345292</v>
      </c>
      <c r="AC80" s="144">
        <f t="shared" si="210"/>
        <v>521.32183724101651</v>
      </c>
      <c r="AD80" s="138">
        <f t="shared" ref="AD80:AD82" si="211">((AC80/G80)^(1/($AC$3-$H$1) ))-1</f>
        <v>0.13583747003954016</v>
      </c>
      <c r="AE80" s="31">
        <f t="shared" si="16"/>
        <v>0.05</v>
      </c>
      <c r="AF80" s="146">
        <f t="shared" si="144"/>
        <v>3219.9289947239258</v>
      </c>
    </row>
    <row r="81" spans="2:32" x14ac:dyDescent="0.2">
      <c r="B81" s="20" t="s">
        <v>312</v>
      </c>
      <c r="C81" s="144">
        <f t="shared" ref="C81:P81" si="212">C40/C42</f>
        <v>0</v>
      </c>
      <c r="D81" s="144">
        <f t="shared" si="212"/>
        <v>0</v>
      </c>
      <c r="E81" s="144">
        <f t="shared" si="212"/>
        <v>0</v>
      </c>
      <c r="F81" s="144">
        <f t="shared" si="212"/>
        <v>0</v>
      </c>
      <c r="G81" s="144">
        <f t="shared" si="212"/>
        <v>8.8305489260143197</v>
      </c>
      <c r="H81" s="144">
        <f t="shared" si="212"/>
        <v>7.4923547400611623</v>
      </c>
      <c r="I81" s="144">
        <f t="shared" si="212"/>
        <v>9.368770764119601</v>
      </c>
      <c r="J81" s="144">
        <f t="shared" si="212"/>
        <v>10.320478001086366</v>
      </c>
      <c r="K81" s="144">
        <f t="shared" si="212"/>
        <v>19.153126538650913</v>
      </c>
      <c r="L81" s="144">
        <f t="shared" si="212"/>
        <v>30.073710073710071</v>
      </c>
      <c r="M81" s="144">
        <f t="shared" si="212"/>
        <v>38.713968957871394</v>
      </c>
      <c r="N81" s="144">
        <f t="shared" si="212"/>
        <v>53.825740822644846</v>
      </c>
      <c r="O81" s="144">
        <f t="shared" si="212"/>
        <v>57.748344370860934</v>
      </c>
      <c r="P81" s="144">
        <f t="shared" si="212"/>
        <v>64.506172839506178</v>
      </c>
      <c r="Q81" s="144">
        <f t="shared" ref="Q81" si="213">Q40/Q42</f>
        <v>59.832451499118164</v>
      </c>
      <c r="R81" s="118">
        <f>((P81/G81)^(1/($H$2-$H$1) ))-1</f>
        <v>0.24726019889077411</v>
      </c>
      <c r="S81" s="128"/>
      <c r="T81" s="144">
        <f t="shared" ref="T81:AC81" si="214">T40/T42</f>
        <v>63.821281599059382</v>
      </c>
      <c r="U81" s="144">
        <f t="shared" si="214"/>
        <v>68.076033705663349</v>
      </c>
      <c r="V81" s="144">
        <f t="shared" si="214"/>
        <v>72.614435952707581</v>
      </c>
      <c r="W81" s="144">
        <f t="shared" si="214"/>
        <v>77.455398349554756</v>
      </c>
      <c r="X81" s="144">
        <f t="shared" si="214"/>
        <v>82.619091572858395</v>
      </c>
      <c r="Y81" s="144">
        <f t="shared" si="214"/>
        <v>88.127031011048956</v>
      </c>
      <c r="Z81" s="144">
        <f t="shared" si="214"/>
        <v>94.002166411785566</v>
      </c>
      <c r="AA81" s="144">
        <f t="shared" si="214"/>
        <v>100.2689775059046</v>
      </c>
      <c r="AB81" s="144">
        <f t="shared" si="214"/>
        <v>106.95357600629825</v>
      </c>
      <c r="AC81" s="144">
        <f t="shared" si="214"/>
        <v>114.08381440671815</v>
      </c>
      <c r="AD81" s="138">
        <f t="shared" si="211"/>
        <v>0.13648005047639633</v>
      </c>
      <c r="AE81" s="31">
        <f t="shared" si="16"/>
        <v>0.05</v>
      </c>
      <c r="AF81" s="146">
        <f t="shared" si="144"/>
        <v>704.63532427678865</v>
      </c>
    </row>
    <row r="82" spans="2:32" x14ac:dyDescent="0.2">
      <c r="B82" s="20" t="s">
        <v>313</v>
      </c>
      <c r="C82" s="144">
        <f t="shared" ref="C82:P82" si="215">C6/C42</f>
        <v>0</v>
      </c>
      <c r="D82" s="144">
        <f t="shared" si="215"/>
        <v>0</v>
      </c>
      <c r="E82" s="144">
        <f t="shared" si="215"/>
        <v>0</v>
      </c>
      <c r="F82" s="144">
        <f t="shared" si="215"/>
        <v>0</v>
      </c>
      <c r="G82" s="144">
        <f t="shared" si="215"/>
        <v>11.933174224343674</v>
      </c>
      <c r="H82" s="144">
        <f t="shared" si="215"/>
        <v>20.030581039755351</v>
      </c>
      <c r="I82" s="144">
        <f t="shared" si="215"/>
        <v>43.122923588039868</v>
      </c>
      <c r="J82" s="144">
        <f t="shared" si="215"/>
        <v>47.908745247148289</v>
      </c>
      <c r="K82" s="144">
        <f t="shared" si="215"/>
        <v>77.301821762678486</v>
      </c>
      <c r="L82" s="144">
        <f t="shared" si="215"/>
        <v>101.57248157248156</v>
      </c>
      <c r="M82" s="144">
        <f t="shared" si="215"/>
        <v>160.08869179600887</v>
      </c>
      <c r="N82" s="144">
        <f t="shared" si="215"/>
        <v>206.23617868199912</v>
      </c>
      <c r="O82" s="144">
        <f t="shared" si="215"/>
        <v>256.33554083885213</v>
      </c>
      <c r="P82" s="144">
        <f t="shared" si="215"/>
        <v>313.49206349206349</v>
      </c>
      <c r="Q82" s="144">
        <f t="shared" ref="Q82" si="216">Q6/Q42</f>
        <v>365.2116402116402</v>
      </c>
      <c r="R82" s="118">
        <f>((P82/G82)^(1/($H$2-$H$1) ))-1</f>
        <v>0.43786778018211159</v>
      </c>
      <c r="S82" s="128"/>
      <c r="T82" s="144">
        <f t="shared" ref="T82:AC82" si="217">T6/T42</f>
        <v>389.55908289241626</v>
      </c>
      <c r="U82" s="144">
        <f t="shared" si="217"/>
        <v>415.52968841857739</v>
      </c>
      <c r="V82" s="144">
        <f t="shared" si="217"/>
        <v>443.23166764648261</v>
      </c>
      <c r="W82" s="144">
        <f t="shared" si="217"/>
        <v>472.78044548958144</v>
      </c>
      <c r="X82" s="144">
        <f t="shared" si="217"/>
        <v>504.29914185555356</v>
      </c>
      <c r="Y82" s="144">
        <f t="shared" si="217"/>
        <v>537.91908464592382</v>
      </c>
      <c r="Z82" s="144">
        <f t="shared" si="217"/>
        <v>573.78035695565211</v>
      </c>
      <c r="AA82" s="144">
        <f t="shared" si="217"/>
        <v>612.03238075269564</v>
      </c>
      <c r="AB82" s="144">
        <f t="shared" si="217"/>
        <v>652.83453946954205</v>
      </c>
      <c r="AC82" s="144">
        <f t="shared" si="217"/>
        <v>696.35684210084491</v>
      </c>
      <c r="AD82" s="138">
        <f t="shared" si="211"/>
        <v>0.22547313009797998</v>
      </c>
      <c r="AE82" s="31">
        <f t="shared" ref="AE82" si="218">$L$1</f>
        <v>0.05</v>
      </c>
      <c r="AF82" s="146">
        <f t="shared" si="144"/>
        <v>4301.0275541522778</v>
      </c>
    </row>
    <row r="83" spans="2:32" x14ac:dyDescent="0.2">
      <c r="B83" s="20"/>
      <c r="C83" s="127"/>
      <c r="D83" s="127"/>
      <c r="E83" s="127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4"/>
      <c r="R83" s="128"/>
      <c r="S83" s="128"/>
      <c r="T83" s="119"/>
      <c r="U83" s="119"/>
      <c r="V83" s="119"/>
      <c r="W83" s="119"/>
      <c r="X83" s="119"/>
      <c r="Y83" s="119"/>
      <c r="Z83" s="119"/>
      <c r="AA83" s="119"/>
      <c r="AB83" s="119"/>
      <c r="AC83" s="119"/>
      <c r="AD83" s="139"/>
      <c r="AE83" s="20"/>
      <c r="AF83" s="154"/>
    </row>
    <row r="84" spans="2:32" x14ac:dyDescent="0.2">
      <c r="B84" s="20"/>
      <c r="C84" s="127"/>
      <c r="D84" s="127"/>
      <c r="E84" s="127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44"/>
      <c r="R84" s="128"/>
      <c r="S84" s="128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39"/>
      <c r="AE84" s="20"/>
      <c r="AF84" s="154"/>
    </row>
    <row r="85" spans="2:32" x14ac:dyDescent="0.2">
      <c r="B85" s="108" t="s">
        <v>310</v>
      </c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</row>
    <row r="86" spans="2:32" x14ac:dyDescent="0.2">
      <c r="B86" s="20" t="s">
        <v>309</v>
      </c>
      <c r="C86" s="152"/>
      <c r="D86" s="152"/>
      <c r="E86" s="152" t="e">
        <f t="shared" ref="E86:P86" si="219">E36/E25</f>
        <v>#DIV/0!</v>
      </c>
      <c r="F86" s="152" t="e">
        <f t="shared" si="219"/>
        <v>#DIV/0!</v>
      </c>
      <c r="G86" s="152">
        <f t="shared" si="219"/>
        <v>0.66023166023166024</v>
      </c>
      <c r="H86" s="152">
        <f t="shared" si="219"/>
        <v>0.7052023121387283</v>
      </c>
      <c r="I86" s="152">
        <f t="shared" si="219"/>
        <v>0.70231532524807061</v>
      </c>
      <c r="J86" s="152">
        <f t="shared" si="219"/>
        <v>0.71994342291371993</v>
      </c>
      <c r="K86" s="152">
        <f t="shared" si="219"/>
        <v>0.76133172884075406</v>
      </c>
      <c r="L86" s="152">
        <f t="shared" si="219"/>
        <v>0.78082191780821919</v>
      </c>
      <c r="M86" s="152">
        <f t="shared" si="219"/>
        <v>0.77661702600577909</v>
      </c>
      <c r="N86" s="152">
        <f t="shared" si="219"/>
        <v>0.71221719457013577</v>
      </c>
      <c r="O86" s="152">
        <f t="shared" si="219"/>
        <v>0.72955465587044532</v>
      </c>
      <c r="P86" s="152">
        <f t="shared" si="219"/>
        <v>0.74654312188168215</v>
      </c>
      <c r="Q86" s="152">
        <f t="shared" ref="Q86" si="220">Q36/Q25</f>
        <v>0.73124999999999996</v>
      </c>
      <c r="R86" s="118">
        <f t="shared" ref="R86:R137" si="221">((P86/G86)^(1/($H$2-$H$1) ))-1</f>
        <v>1.3745006607851273E-2</v>
      </c>
      <c r="S86" s="152"/>
      <c r="T86" s="152">
        <f t="shared" ref="T86:AC86" si="222">T36/T25</f>
        <v>0.73125000000000007</v>
      </c>
      <c r="U86" s="152">
        <f t="shared" si="222"/>
        <v>0.73124999999999996</v>
      </c>
      <c r="V86" s="152">
        <f t="shared" si="222"/>
        <v>0.73125000000000007</v>
      </c>
      <c r="W86" s="152">
        <f t="shared" si="222"/>
        <v>0.73125000000000018</v>
      </c>
      <c r="X86" s="152">
        <f t="shared" si="222"/>
        <v>0.73125000000000018</v>
      </c>
      <c r="Y86" s="152">
        <f t="shared" si="222"/>
        <v>0.73125000000000007</v>
      </c>
      <c r="Z86" s="152">
        <f t="shared" si="222"/>
        <v>0.73125000000000018</v>
      </c>
      <c r="AA86" s="152">
        <f t="shared" si="222"/>
        <v>0.73125000000000007</v>
      </c>
      <c r="AB86" s="152">
        <f t="shared" si="222"/>
        <v>0.73125000000000018</v>
      </c>
      <c r="AC86" s="152">
        <f t="shared" si="222"/>
        <v>0.73125000000000018</v>
      </c>
      <c r="AD86" s="138">
        <f t="shared" ref="AD86:AD124" si="223">((AC86/G86)^(1/($AC$3-$H$1) ))-1</f>
        <v>5.1213004953509778E-3</v>
      </c>
      <c r="AE86" s="146"/>
      <c r="AF86" s="146"/>
    </row>
    <row r="87" spans="2:32" x14ac:dyDescent="0.2">
      <c r="B87" s="20" t="s">
        <v>266</v>
      </c>
      <c r="C87" s="152"/>
      <c r="D87" s="152"/>
      <c r="E87" s="152" t="e">
        <f t="shared" ref="E87:P87" si="224">E40/E25</f>
        <v>#DIV/0!</v>
      </c>
      <c r="F87" s="152" t="e">
        <f t="shared" si="224"/>
        <v>#DIV/0!</v>
      </c>
      <c r="G87" s="152">
        <f t="shared" si="224"/>
        <v>0.14285714285714285</v>
      </c>
      <c r="H87" s="152">
        <f t="shared" si="224"/>
        <v>0.1416184971098266</v>
      </c>
      <c r="I87" s="152">
        <f t="shared" si="224"/>
        <v>0.15545755237045203</v>
      </c>
      <c r="J87" s="152">
        <f t="shared" si="224"/>
        <v>0.13437057991513437</v>
      </c>
      <c r="K87" s="152">
        <f t="shared" si="224"/>
        <v>0.1560369033293221</v>
      </c>
      <c r="L87" s="152">
        <f t="shared" si="224"/>
        <v>0.16438356164383561</v>
      </c>
      <c r="M87" s="152">
        <f t="shared" si="224"/>
        <v>0.19404312069348745</v>
      </c>
      <c r="N87" s="152">
        <f t="shared" si="224"/>
        <v>0.22027149321266967</v>
      </c>
      <c r="O87" s="152">
        <f t="shared" si="224"/>
        <v>0.21182186234817812</v>
      </c>
      <c r="P87" s="152">
        <f t="shared" si="224"/>
        <v>0.20855310049893086</v>
      </c>
      <c r="Q87" s="152">
        <f t="shared" ref="Q87" si="225">Q40/Q25</f>
        <v>0.16002358490566038</v>
      </c>
      <c r="R87" s="118">
        <f t="shared" si="221"/>
        <v>4.293486939209723E-2</v>
      </c>
      <c r="S87" s="152"/>
      <c r="T87" s="152">
        <f t="shared" ref="T87:AC87" si="226">T40/T25</f>
        <v>0.16002358490566038</v>
      </c>
      <c r="U87" s="152">
        <f t="shared" si="226"/>
        <v>0.16002358490566038</v>
      </c>
      <c r="V87" s="152">
        <f t="shared" si="226"/>
        <v>0.16002358490566038</v>
      </c>
      <c r="W87" s="152">
        <f t="shared" si="226"/>
        <v>0.16002358490566038</v>
      </c>
      <c r="X87" s="152">
        <f t="shared" si="226"/>
        <v>0.16002358490566038</v>
      </c>
      <c r="Y87" s="152">
        <f t="shared" si="226"/>
        <v>0.16002358490566035</v>
      </c>
      <c r="Z87" s="152">
        <f t="shared" si="226"/>
        <v>0.16002358490566038</v>
      </c>
      <c r="AA87" s="152">
        <f t="shared" si="226"/>
        <v>0.16002358490566035</v>
      </c>
      <c r="AB87" s="152">
        <f t="shared" si="226"/>
        <v>0.16002358490566038</v>
      </c>
      <c r="AC87" s="152">
        <f t="shared" si="226"/>
        <v>0.1600235849056604</v>
      </c>
      <c r="AD87" s="138">
        <f t="shared" si="223"/>
        <v>5.6899305162847469E-3</v>
      </c>
      <c r="AE87" s="146"/>
      <c r="AF87" s="146"/>
    </row>
    <row r="88" spans="2:32" x14ac:dyDescent="0.2">
      <c r="B88" s="20" t="s">
        <v>359</v>
      </c>
      <c r="C88" s="152"/>
      <c r="D88" s="152"/>
      <c r="E88" s="152" t="e">
        <f t="shared" ref="E88:O88" si="227">E40/E7</f>
        <v>#DIV/0!</v>
      </c>
      <c r="F88" s="152" t="e">
        <f t="shared" si="227"/>
        <v>#DIV/0!</v>
      </c>
      <c r="G88" s="152">
        <f>G40/G7</f>
        <v>0.28244274809160308</v>
      </c>
      <c r="H88" s="152">
        <f t="shared" si="227"/>
        <v>0.21973094170403587</v>
      </c>
      <c r="I88" s="152">
        <f t="shared" si="227"/>
        <v>0.16805721096543505</v>
      </c>
      <c r="J88" s="152">
        <f t="shared" si="227"/>
        <v>0.17495395948434622</v>
      </c>
      <c r="K88" s="152">
        <f t="shared" si="227"/>
        <v>0.21408915795266922</v>
      </c>
      <c r="L88" s="152">
        <f t="shared" si="227"/>
        <v>0.26424870466321243</v>
      </c>
      <c r="M88" s="152">
        <f t="shared" si="227"/>
        <v>0.22710718002081165</v>
      </c>
      <c r="N88" s="152">
        <f t="shared" si="227"/>
        <v>0.24872266503167792</v>
      </c>
      <c r="O88" s="152">
        <f t="shared" si="227"/>
        <v>0.21684350132625996</v>
      </c>
      <c r="P88" s="152">
        <f t="shared" ref="P88:Q88" si="228">P40/P7</f>
        <v>0.19940029985007496</v>
      </c>
      <c r="Q88" s="152">
        <f t="shared" si="228"/>
        <v>0.15945945945945947</v>
      </c>
      <c r="R88" s="118">
        <f t="shared" si="221"/>
        <v>-3.7945918291217073E-2</v>
      </c>
      <c r="S88" s="20"/>
      <c r="T88" s="152">
        <f t="shared" ref="T88" si="229">T40/T7</f>
        <v>0.15945945945945947</v>
      </c>
      <c r="U88" s="152">
        <f t="shared" ref="U88:AC88" si="230">U40/U7</f>
        <v>0.15945945945945947</v>
      </c>
      <c r="V88" s="152">
        <f t="shared" si="230"/>
        <v>0.15945945945945947</v>
      </c>
      <c r="W88" s="152">
        <f t="shared" si="230"/>
        <v>0.15945945945945947</v>
      </c>
      <c r="X88" s="152">
        <f t="shared" si="230"/>
        <v>0.15945945945945944</v>
      </c>
      <c r="Y88" s="152">
        <f t="shared" si="230"/>
        <v>0.15945945945945944</v>
      </c>
      <c r="Z88" s="152">
        <f t="shared" si="230"/>
        <v>0.15945945945945944</v>
      </c>
      <c r="AA88" s="152">
        <f t="shared" si="230"/>
        <v>0.15945945945945944</v>
      </c>
      <c r="AB88" s="152">
        <f t="shared" si="230"/>
        <v>0.15945945945945944</v>
      </c>
      <c r="AC88" s="152">
        <f t="shared" si="230"/>
        <v>0.15945945945945944</v>
      </c>
      <c r="AD88" s="138">
        <f t="shared" si="223"/>
        <v>-2.8179641109727482E-2</v>
      </c>
      <c r="AE88" s="146"/>
      <c r="AF88" s="146"/>
    </row>
    <row r="89" spans="2:32" x14ac:dyDescent="0.2">
      <c r="B89" s="20" t="s">
        <v>360</v>
      </c>
      <c r="C89" s="152"/>
      <c r="D89" s="152"/>
      <c r="E89" s="152" t="e">
        <f t="shared" ref="E89:F89" si="231">(E40)/(E7+E10)</f>
        <v>#DIV/0!</v>
      </c>
      <c r="F89" s="152" t="e">
        <f t="shared" si="231"/>
        <v>#DIV/0!</v>
      </c>
      <c r="G89" s="152">
        <f>(G40)/(G7+G10)</f>
        <v>3.5372848948374759E-2</v>
      </c>
      <c r="H89" s="152">
        <f t="shared" ref="H89:O89" si="232">(H40)/(H7+H10)</f>
        <v>2.8755868544600938E-2</v>
      </c>
      <c r="I89" s="152">
        <f t="shared" si="232"/>
        <v>2.6934097421203437E-2</v>
      </c>
      <c r="J89" s="152">
        <f t="shared" si="232"/>
        <v>1.9340390879478829E-2</v>
      </c>
      <c r="K89" s="152">
        <f t="shared" si="232"/>
        <v>2.3429500692645908E-2</v>
      </c>
      <c r="L89" s="152">
        <f t="shared" si="232"/>
        <v>2.7276373846770958E-2</v>
      </c>
      <c r="M89" s="152">
        <f t="shared" si="232"/>
        <v>3.9142716226516612E-2</v>
      </c>
      <c r="N89" s="152">
        <f t="shared" si="232"/>
        <v>4.8520851606729927E-2</v>
      </c>
      <c r="O89" s="152">
        <f t="shared" si="232"/>
        <v>5.3024160856169934E-2</v>
      </c>
      <c r="P89" s="152">
        <f t="shared" ref="P89:Q89" si="233">(P40)/(P7+P10)</f>
        <v>4.3961657501727813E-2</v>
      </c>
      <c r="Q89" s="152">
        <f t="shared" si="233"/>
        <v>3.7836330684511359E-2</v>
      </c>
      <c r="R89" s="118">
        <f t="shared" si="221"/>
        <v>2.4446623611229068E-2</v>
      </c>
      <c r="S89" s="20"/>
      <c r="T89" s="152">
        <f t="shared" ref="T89:AC89" si="234">(T40)/(T7+T10)</f>
        <v>3.7836330684511366E-2</v>
      </c>
      <c r="U89" s="152">
        <f t="shared" si="234"/>
        <v>3.7836330684511359E-2</v>
      </c>
      <c r="V89" s="152">
        <f t="shared" si="234"/>
        <v>3.7836330684511366E-2</v>
      </c>
      <c r="W89" s="152">
        <f t="shared" si="234"/>
        <v>3.7836330684511359E-2</v>
      </c>
      <c r="X89" s="152">
        <f t="shared" si="234"/>
        <v>3.7836330684511359E-2</v>
      </c>
      <c r="Y89" s="152">
        <f t="shared" si="234"/>
        <v>3.7836330684511352E-2</v>
      </c>
      <c r="Z89" s="152">
        <f t="shared" si="234"/>
        <v>3.7836330684511359E-2</v>
      </c>
      <c r="AA89" s="152">
        <f t="shared" si="234"/>
        <v>3.7836330684511359E-2</v>
      </c>
      <c r="AB89" s="152">
        <f t="shared" si="234"/>
        <v>3.7836330684511352E-2</v>
      </c>
      <c r="AC89" s="152">
        <f t="shared" si="234"/>
        <v>3.7836330684511366E-2</v>
      </c>
      <c r="AD89" s="138">
        <f t="shared" si="223"/>
        <v>3.3719333827957332E-3</v>
      </c>
      <c r="AE89" s="146"/>
      <c r="AF89" s="146"/>
    </row>
    <row r="90" spans="2:32" x14ac:dyDescent="0.2">
      <c r="B90" s="20" t="s">
        <v>376</v>
      </c>
      <c r="C90" s="152"/>
      <c r="D90" s="152"/>
      <c r="E90" s="152"/>
      <c r="F90" s="152"/>
      <c r="G90" s="152">
        <f>G20/G25</f>
        <v>-1.084942084942085</v>
      </c>
      <c r="H90" s="152">
        <f t="shared" ref="H90:P90" si="235">H20/H25</f>
        <v>-1.6069364161849711</v>
      </c>
      <c r="I90" s="152">
        <f t="shared" si="235"/>
        <v>-3.6471885336273431</v>
      </c>
      <c r="J90" s="152">
        <f t="shared" si="235"/>
        <v>-1.8132956152758133</v>
      </c>
      <c r="K90" s="152">
        <f t="shared" si="235"/>
        <v>-2.3273164861612514</v>
      </c>
      <c r="L90" s="152">
        <f t="shared" si="235"/>
        <v>-0.41740531829170024</v>
      </c>
      <c r="M90" s="152">
        <f t="shared" si="235"/>
        <v>0.19270949099799956</v>
      </c>
      <c r="N90" s="152">
        <f t="shared" si="235"/>
        <v>-9.4841628959276017E-2</v>
      </c>
      <c r="O90" s="152">
        <f t="shared" si="235"/>
        <v>-0.14008097165991903</v>
      </c>
      <c r="P90" s="152">
        <f t="shared" si="235"/>
        <v>-0.99828937990021382</v>
      </c>
      <c r="Q90" s="152">
        <f t="shared" ref="Q90" si="236">Q20/Q25</f>
        <v>0</v>
      </c>
      <c r="R90" s="118">
        <f t="shared" si="221"/>
        <v>-9.206105534399267E-3</v>
      </c>
      <c r="S90" s="20"/>
      <c r="T90" s="152">
        <f t="shared" ref="T90:AC90" si="237">T20/T25</f>
        <v>0</v>
      </c>
      <c r="U90" s="152">
        <f t="shared" si="237"/>
        <v>0</v>
      </c>
      <c r="V90" s="152">
        <f t="shared" si="237"/>
        <v>0</v>
      </c>
      <c r="W90" s="152">
        <f t="shared" si="237"/>
        <v>0</v>
      </c>
      <c r="X90" s="152">
        <f t="shared" si="237"/>
        <v>0</v>
      </c>
      <c r="Y90" s="152">
        <f t="shared" si="237"/>
        <v>0</v>
      </c>
      <c r="Z90" s="152">
        <f t="shared" si="237"/>
        <v>0</v>
      </c>
      <c r="AA90" s="152">
        <f t="shared" si="237"/>
        <v>0</v>
      </c>
      <c r="AB90" s="152">
        <f t="shared" si="237"/>
        <v>0</v>
      </c>
      <c r="AC90" s="152">
        <f t="shared" si="237"/>
        <v>0</v>
      </c>
      <c r="AD90" s="138">
        <f t="shared" si="223"/>
        <v>-1</v>
      </c>
      <c r="AE90" s="146"/>
      <c r="AF90" s="146"/>
    </row>
    <row r="91" spans="2:32" x14ac:dyDescent="0.2">
      <c r="B91" s="20" t="s">
        <v>428</v>
      </c>
      <c r="C91" s="152"/>
      <c r="D91" s="152"/>
      <c r="E91" s="152"/>
      <c r="F91" s="152"/>
      <c r="G91" s="152">
        <f>G52/G25</f>
        <v>7.3359073359073365E-2</v>
      </c>
      <c r="H91" s="152">
        <f t="shared" ref="H91:P91" si="238">H52/H25</f>
        <v>8.3815028901734104E-2</v>
      </c>
      <c r="I91" s="152">
        <f t="shared" si="238"/>
        <v>8.2690187431091508E-2</v>
      </c>
      <c r="J91" s="152">
        <f t="shared" si="238"/>
        <v>6.7892503536067891E-2</v>
      </c>
      <c r="K91" s="152">
        <f t="shared" si="238"/>
        <v>8.6642599277978335E-2</v>
      </c>
      <c r="L91" s="152">
        <f t="shared" si="238"/>
        <v>8.4340585549288208E-2</v>
      </c>
      <c r="M91" s="152">
        <f t="shared" si="238"/>
        <v>0.10024449877750612</v>
      </c>
      <c r="N91" s="152">
        <f t="shared" si="238"/>
        <v>0.11221719457013575</v>
      </c>
      <c r="O91" s="152">
        <f t="shared" si="238"/>
        <v>0.10510121457489878</v>
      </c>
      <c r="P91" s="152">
        <f t="shared" si="238"/>
        <v>9.9643620812544548E-2</v>
      </c>
      <c r="Q91" s="152">
        <f t="shared" ref="Q91" si="239">Q52/Q25</f>
        <v>7.2287735849056609E-2</v>
      </c>
      <c r="R91" s="118">
        <f t="shared" si="221"/>
        <v>3.4611486991317442E-2</v>
      </c>
      <c r="S91" s="20"/>
      <c r="T91" s="152">
        <f t="shared" ref="T91:AC91" si="240">T52/T25</f>
        <v>7.2287735849056595E-2</v>
      </c>
      <c r="U91" s="152">
        <f t="shared" si="240"/>
        <v>7.2287735849056581E-2</v>
      </c>
      <c r="V91" s="152">
        <f t="shared" si="240"/>
        <v>7.2287735849056595E-2</v>
      </c>
      <c r="W91" s="152">
        <f t="shared" si="240"/>
        <v>7.2287735849056595E-2</v>
      </c>
      <c r="X91" s="152">
        <f t="shared" si="240"/>
        <v>7.2287735849056595E-2</v>
      </c>
      <c r="Y91" s="152">
        <f t="shared" si="240"/>
        <v>7.2287735849056609E-2</v>
      </c>
      <c r="Z91" s="152">
        <f t="shared" si="240"/>
        <v>7.2287735849056609E-2</v>
      </c>
      <c r="AA91" s="152">
        <f t="shared" si="240"/>
        <v>7.2287735849056609E-2</v>
      </c>
      <c r="AB91" s="152">
        <f t="shared" si="240"/>
        <v>7.2287735849056595E-2</v>
      </c>
      <c r="AC91" s="152">
        <f t="shared" si="240"/>
        <v>7.2287735849056581E-2</v>
      </c>
      <c r="AD91" s="138">
        <f t="shared" si="223"/>
        <v>-7.3531503913015772E-4</v>
      </c>
      <c r="AE91" s="146"/>
      <c r="AF91" s="146"/>
    </row>
    <row r="92" spans="2:32" x14ac:dyDescent="0.2">
      <c r="B92" s="20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20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3"/>
      <c r="AE92" s="146"/>
      <c r="AF92" s="146"/>
    </row>
    <row r="93" spans="2:32" x14ac:dyDescent="0.2">
      <c r="B93" s="20" t="s">
        <v>323</v>
      </c>
      <c r="C93" s="152"/>
      <c r="D93" s="152"/>
      <c r="E93" s="152"/>
      <c r="F93" s="152"/>
      <c r="G93" s="152">
        <f>G29/G25</f>
        <v>0.45173745173745172</v>
      </c>
      <c r="H93" s="152">
        <f t="shared" ref="H93:P93" si="241">H29/H25</f>
        <v>0.47109826589595377</v>
      </c>
      <c r="I93" s="152">
        <f t="shared" si="241"/>
        <v>0.45755237045203967</v>
      </c>
      <c r="J93" s="152">
        <f t="shared" si="241"/>
        <v>0.51202263083451205</v>
      </c>
      <c r="K93" s="152">
        <f t="shared" si="241"/>
        <v>0.52025671881267554</v>
      </c>
      <c r="L93" s="152">
        <f t="shared" si="241"/>
        <v>0.53102336825141017</v>
      </c>
      <c r="M93" s="152">
        <f t="shared" si="241"/>
        <v>0.49922204934429876</v>
      </c>
      <c r="N93" s="152">
        <f t="shared" si="241"/>
        <v>0.41158371040723984</v>
      </c>
      <c r="O93" s="152">
        <f t="shared" si="241"/>
        <v>0.40987854251012146</v>
      </c>
      <c r="P93" s="152">
        <f t="shared" si="241"/>
        <v>0.43521026372059873</v>
      </c>
      <c r="Q93" s="152">
        <f t="shared" ref="Q93" si="242">Q29/Q25</f>
        <v>0.49551886792452832</v>
      </c>
      <c r="R93" s="118">
        <f t="shared" si="221"/>
        <v>-4.1327557740833409E-3</v>
      </c>
      <c r="S93" s="20"/>
      <c r="T93" s="152">
        <f t="shared" ref="T93:AC93" si="243">T29/T25</f>
        <v>0.49551886792452837</v>
      </c>
      <c r="U93" s="152">
        <f t="shared" si="243"/>
        <v>0.49551886792452832</v>
      </c>
      <c r="V93" s="152">
        <f t="shared" si="243"/>
        <v>0.49551886792452837</v>
      </c>
      <c r="W93" s="152">
        <f t="shared" si="243"/>
        <v>0.49551886792452837</v>
      </c>
      <c r="X93" s="152">
        <f t="shared" si="243"/>
        <v>0.49551886792452832</v>
      </c>
      <c r="Y93" s="152">
        <f t="shared" si="243"/>
        <v>0.49551886792452832</v>
      </c>
      <c r="Z93" s="152">
        <f t="shared" si="243"/>
        <v>0.49551886792452837</v>
      </c>
      <c r="AA93" s="152">
        <f t="shared" si="243"/>
        <v>0.49551886792452837</v>
      </c>
      <c r="AB93" s="152">
        <f t="shared" si="243"/>
        <v>0.49551886792452837</v>
      </c>
      <c r="AC93" s="152">
        <f t="shared" si="243"/>
        <v>0.49551886792452843</v>
      </c>
      <c r="AD93" s="138">
        <f t="shared" si="223"/>
        <v>4.6359267881825872E-3</v>
      </c>
      <c r="AE93" s="146"/>
      <c r="AF93" s="146"/>
    </row>
    <row r="94" spans="2:32" x14ac:dyDescent="0.2">
      <c r="B94" s="20" t="s">
        <v>369</v>
      </c>
      <c r="C94" s="152"/>
      <c r="D94" s="152"/>
      <c r="E94" s="152"/>
      <c r="F94" s="152"/>
      <c r="G94" s="152">
        <f>G29/G36</f>
        <v>0.68421052631578949</v>
      </c>
      <c r="H94" s="152">
        <f t="shared" ref="H94:P94" si="244">H29/H36</f>
        <v>0.66803278688524592</v>
      </c>
      <c r="I94" s="152">
        <f t="shared" si="244"/>
        <v>0.65149136577708011</v>
      </c>
      <c r="J94" s="152">
        <f t="shared" si="244"/>
        <v>0.71119842829076618</v>
      </c>
      <c r="K94" s="152">
        <f t="shared" si="244"/>
        <v>0.68335089567966278</v>
      </c>
      <c r="L94" s="152">
        <f t="shared" si="244"/>
        <v>0.68008255933952533</v>
      </c>
      <c r="M94" s="152">
        <f t="shared" si="244"/>
        <v>0.64281625643961071</v>
      </c>
      <c r="N94" s="152">
        <f t="shared" si="244"/>
        <v>0.57789072426937738</v>
      </c>
      <c r="O94" s="152">
        <f t="shared" si="244"/>
        <v>0.56182019977802444</v>
      </c>
      <c r="P94" s="152">
        <f t="shared" si="244"/>
        <v>0.58296734771815928</v>
      </c>
      <c r="Q94" s="152">
        <f t="shared" ref="Q94" si="245">Q29/Q36</f>
        <v>0.67763263989679079</v>
      </c>
      <c r="R94" s="118">
        <f t="shared" ref="R94" si="246">((P94/G94)^(1/($H$2-$H$1) ))-1</f>
        <v>-1.7635364184684255E-2</v>
      </c>
      <c r="S94" s="20"/>
      <c r="T94" s="152">
        <f t="shared" ref="T94:AC94" si="247">T29/T36</f>
        <v>0.6776326398967909</v>
      </c>
      <c r="U94" s="152">
        <f t="shared" si="247"/>
        <v>0.6776326398967909</v>
      </c>
      <c r="V94" s="152">
        <f t="shared" si="247"/>
        <v>0.6776326398967909</v>
      </c>
      <c r="W94" s="152">
        <f t="shared" si="247"/>
        <v>0.67763263989679079</v>
      </c>
      <c r="X94" s="152">
        <f t="shared" si="247"/>
        <v>0.67763263989679079</v>
      </c>
      <c r="Y94" s="152">
        <f t="shared" si="247"/>
        <v>0.67763263989679079</v>
      </c>
      <c r="Z94" s="152">
        <f t="shared" si="247"/>
        <v>0.67763263989679079</v>
      </c>
      <c r="AA94" s="152">
        <f t="shared" si="247"/>
        <v>0.67763263989679079</v>
      </c>
      <c r="AB94" s="152">
        <f t="shared" si="247"/>
        <v>0.67763263989679079</v>
      </c>
      <c r="AC94" s="152">
        <f t="shared" si="247"/>
        <v>0.67763263989679079</v>
      </c>
      <c r="AD94" s="138">
        <f t="shared" ref="AD94" si="248">((AC94/G94)^(1/($AC$3-$H$1) ))-1</f>
        <v>-4.8290062794320576E-4</v>
      </c>
      <c r="AE94" s="146"/>
      <c r="AF94" s="146"/>
    </row>
    <row r="95" spans="2:32" ht="12" customHeight="1" x14ac:dyDescent="0.2">
      <c r="B95" s="20" t="s">
        <v>368</v>
      </c>
      <c r="C95" s="152"/>
      <c r="D95" s="152"/>
      <c r="E95" s="152"/>
      <c r="F95" s="152"/>
      <c r="G95" s="171">
        <f t="shared" ref="G95:P95" si="249">G29/G40</f>
        <v>3.1621621621621623</v>
      </c>
      <c r="H95" s="171">
        <f t="shared" si="249"/>
        <v>3.3265306122448979</v>
      </c>
      <c r="I95" s="171">
        <f t="shared" si="249"/>
        <v>2.9432624113475176</v>
      </c>
      <c r="J95" s="171">
        <f t="shared" si="249"/>
        <v>3.8105263157894735</v>
      </c>
      <c r="K95" s="171">
        <f t="shared" si="249"/>
        <v>3.3341902313624678</v>
      </c>
      <c r="L95" s="171">
        <f t="shared" si="249"/>
        <v>3.2303921568627452</v>
      </c>
      <c r="M95" s="171">
        <f t="shared" si="249"/>
        <v>2.5727376861397482</v>
      </c>
      <c r="N95" s="171">
        <f t="shared" si="249"/>
        <v>1.8685291700903861</v>
      </c>
      <c r="O95" s="171">
        <f t="shared" si="249"/>
        <v>1.9350152905198776</v>
      </c>
      <c r="P95" s="171">
        <f t="shared" si="249"/>
        <v>2.086807928913192</v>
      </c>
      <c r="Q95" s="171">
        <f t="shared" ref="Q95" si="250">Q29/Q40</f>
        <v>3.0965364775239497</v>
      </c>
      <c r="R95" s="118">
        <f t="shared" ref="R95" si="251">((P95/G95)^(1/($H$2-$H$1) ))-1</f>
        <v>-4.5129975559849989E-2</v>
      </c>
      <c r="S95" s="20"/>
      <c r="T95" s="171">
        <f t="shared" ref="T95:AC95" si="252">T29/T40</f>
        <v>3.0965364775239501</v>
      </c>
      <c r="U95" s="171">
        <f t="shared" si="252"/>
        <v>3.0965364775239501</v>
      </c>
      <c r="V95" s="171">
        <f t="shared" si="252"/>
        <v>3.0965364775239501</v>
      </c>
      <c r="W95" s="171">
        <f t="shared" si="252"/>
        <v>3.0965364775239501</v>
      </c>
      <c r="X95" s="171">
        <f t="shared" si="252"/>
        <v>3.0965364775239501</v>
      </c>
      <c r="Y95" s="171">
        <f t="shared" si="252"/>
        <v>3.0965364775239506</v>
      </c>
      <c r="Z95" s="171">
        <f t="shared" si="252"/>
        <v>3.0965364775239506</v>
      </c>
      <c r="AA95" s="171">
        <f t="shared" si="252"/>
        <v>3.0965364775239506</v>
      </c>
      <c r="AB95" s="171">
        <f t="shared" si="252"/>
        <v>3.0965364775239506</v>
      </c>
      <c r="AC95" s="171">
        <f t="shared" si="252"/>
        <v>3.0965364775239501</v>
      </c>
      <c r="AD95" s="138">
        <f t="shared" ref="AD95" si="253">((AC95/G95)^(1/($AC$3-$H$1) ))-1</f>
        <v>-1.0480404507590135E-3</v>
      </c>
      <c r="AE95" s="146"/>
      <c r="AF95" s="146"/>
    </row>
    <row r="96" spans="2:32" ht="12" customHeight="1" x14ac:dyDescent="0.2">
      <c r="B96" s="20" t="s">
        <v>325</v>
      </c>
      <c r="C96" s="152"/>
      <c r="D96" s="152"/>
      <c r="E96" s="152"/>
      <c r="F96" s="152"/>
      <c r="G96" s="171">
        <f t="shared" ref="G96:P96" si="254">G29/G12</f>
        <v>0.72670807453416153</v>
      </c>
      <c r="H96" s="171">
        <f t="shared" si="254"/>
        <v>0.90555555555555556</v>
      </c>
      <c r="I96" s="171">
        <f t="shared" si="254"/>
        <v>1.6468253968253967</v>
      </c>
      <c r="J96" s="171">
        <f t="shared" si="254"/>
        <v>0.39977912755383765</v>
      </c>
      <c r="K96" s="171">
        <f t="shared" si="254"/>
        <v>0.47301239970824216</v>
      </c>
      <c r="L96" s="171">
        <f t="shared" si="254"/>
        <v>0.30852059925093633</v>
      </c>
      <c r="M96" s="171">
        <f t="shared" si="254"/>
        <v>0.3559429477020602</v>
      </c>
      <c r="N96" s="171">
        <f t="shared" si="254"/>
        <v>0.32691201840138012</v>
      </c>
      <c r="O96" s="171">
        <f t="shared" si="254"/>
        <v>0.47566246946062768</v>
      </c>
      <c r="P96" s="171">
        <f t="shared" si="254"/>
        <v>0.480711698945048</v>
      </c>
      <c r="Q96" s="171">
        <f t="shared" ref="Q96" si="255">Q29/Q12</f>
        <v>0.5903343635852768</v>
      </c>
      <c r="R96" s="118">
        <f t="shared" si="221"/>
        <v>-4.4879205061396088E-2</v>
      </c>
      <c r="S96" s="20"/>
      <c r="T96" s="152">
        <f t="shared" ref="T96:AC96" si="256">T29/T12</f>
        <v>0.5903343635852768</v>
      </c>
      <c r="U96" s="152">
        <f t="shared" si="256"/>
        <v>0.5903343635852768</v>
      </c>
      <c r="V96" s="152">
        <f t="shared" si="256"/>
        <v>0.5903343635852768</v>
      </c>
      <c r="W96" s="152">
        <f t="shared" si="256"/>
        <v>0.59033436358527669</v>
      </c>
      <c r="X96" s="152">
        <f t="shared" si="256"/>
        <v>0.5903343635852768</v>
      </c>
      <c r="Y96" s="152">
        <f t="shared" si="256"/>
        <v>0.5903343635852768</v>
      </c>
      <c r="Z96" s="152">
        <f t="shared" si="256"/>
        <v>0.5903343635852768</v>
      </c>
      <c r="AA96" s="152">
        <f t="shared" si="256"/>
        <v>0.5903343635852768</v>
      </c>
      <c r="AB96" s="152">
        <f t="shared" si="256"/>
        <v>0.59033436358527669</v>
      </c>
      <c r="AC96" s="152">
        <f t="shared" si="256"/>
        <v>0.59033436358527669</v>
      </c>
      <c r="AD96" s="138">
        <f t="shared" si="223"/>
        <v>-1.0337979646543594E-2</v>
      </c>
      <c r="AE96" s="146"/>
      <c r="AF96" s="146"/>
    </row>
    <row r="97" spans="2:32" ht="12" customHeight="1" x14ac:dyDescent="0.2">
      <c r="B97" s="20" t="s">
        <v>370</v>
      </c>
      <c r="C97" s="152"/>
      <c r="D97" s="152"/>
      <c r="E97" s="152"/>
      <c r="F97" s="152"/>
      <c r="G97" s="171">
        <f>G29/G23</f>
        <v>1.073394495412844</v>
      </c>
      <c r="H97" s="171">
        <f t="shared" ref="H97:P97" si="257">H29/H23</f>
        <v>0.92613636363636365</v>
      </c>
      <c r="I97" s="171">
        <f t="shared" si="257"/>
        <v>2.2677595628415301</v>
      </c>
      <c r="J97" s="171">
        <f t="shared" si="257"/>
        <v>0.49453551912568305</v>
      </c>
      <c r="K97" s="171">
        <f t="shared" si="257"/>
        <v>1.9300595238095237</v>
      </c>
      <c r="L97" s="171">
        <f t="shared" si="257"/>
        <v>0.42885032537960954</v>
      </c>
      <c r="M97" s="171">
        <f t="shared" si="257"/>
        <v>0.90820865345733925</v>
      </c>
      <c r="N97" s="171">
        <f t="shared" si="257"/>
        <v>1.3773470623864326</v>
      </c>
      <c r="O97" s="171">
        <f t="shared" si="257"/>
        <v>0.66135354063234908</v>
      </c>
      <c r="P97" s="171">
        <f t="shared" si="257"/>
        <v>0.68315059297381964</v>
      </c>
      <c r="Q97" s="171" t="e">
        <f t="shared" ref="Q97" si="258">Q29/Q23</f>
        <v>#DIV/0!</v>
      </c>
      <c r="R97" s="118">
        <f t="shared" ref="R97" si="259">((P97/G97)^(1/($H$2-$H$1) ))-1</f>
        <v>-4.8967777549173586E-2</v>
      </c>
      <c r="S97" s="20"/>
      <c r="T97" s="171" t="e">
        <f t="shared" ref="T97:AC97" si="260">T29/T23</f>
        <v>#DIV/0!</v>
      </c>
      <c r="U97" s="171" t="e">
        <f t="shared" si="260"/>
        <v>#DIV/0!</v>
      </c>
      <c r="V97" s="171" t="e">
        <f t="shared" si="260"/>
        <v>#DIV/0!</v>
      </c>
      <c r="W97" s="171" t="e">
        <f t="shared" si="260"/>
        <v>#DIV/0!</v>
      </c>
      <c r="X97" s="171" t="e">
        <f t="shared" si="260"/>
        <v>#DIV/0!</v>
      </c>
      <c r="Y97" s="171" t="e">
        <f t="shared" si="260"/>
        <v>#DIV/0!</v>
      </c>
      <c r="Z97" s="171" t="e">
        <f t="shared" si="260"/>
        <v>#DIV/0!</v>
      </c>
      <c r="AA97" s="171" t="e">
        <f t="shared" si="260"/>
        <v>#DIV/0!</v>
      </c>
      <c r="AB97" s="171" t="e">
        <f t="shared" si="260"/>
        <v>#DIV/0!</v>
      </c>
      <c r="AC97" s="171" t="e">
        <f t="shared" si="260"/>
        <v>#DIV/0!</v>
      </c>
      <c r="AD97" s="138" t="e">
        <f t="shared" ref="AD97" si="261">((AC97/G97)^(1/($AC$3-$H$1) ))-1</f>
        <v>#DIV/0!</v>
      </c>
      <c r="AE97" s="146"/>
      <c r="AF97" s="146"/>
    </row>
    <row r="98" spans="2:32" ht="12" customHeight="1" x14ac:dyDescent="0.2">
      <c r="B98" s="20"/>
      <c r="C98" s="152"/>
      <c r="D98" s="152"/>
      <c r="E98" s="152"/>
      <c r="F98" s="152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20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46"/>
      <c r="AF98" s="146"/>
    </row>
    <row r="99" spans="2:32" ht="12" customHeight="1" x14ac:dyDescent="0.2">
      <c r="B99" s="20" t="s">
        <v>402</v>
      </c>
      <c r="C99" s="152"/>
      <c r="D99" s="152"/>
      <c r="E99" s="152"/>
      <c r="F99" s="152"/>
      <c r="G99" s="127">
        <f>1/G93</f>
        <v>2.2136752136752138</v>
      </c>
      <c r="H99" s="127">
        <f t="shared" ref="H99:P99" si="262">1/H93</f>
        <v>2.1226993865030672</v>
      </c>
      <c r="I99" s="127">
        <f t="shared" si="262"/>
        <v>2.185542168674699</v>
      </c>
      <c r="J99" s="127">
        <f t="shared" si="262"/>
        <v>1.9530386740331491</v>
      </c>
      <c r="K99" s="127">
        <f t="shared" si="262"/>
        <v>1.9221279876638395</v>
      </c>
      <c r="L99" s="127">
        <f t="shared" si="262"/>
        <v>1.8831562974203337</v>
      </c>
      <c r="M99" s="127">
        <f t="shared" si="262"/>
        <v>2.0031166518254673</v>
      </c>
      <c r="N99" s="127">
        <f t="shared" si="262"/>
        <v>2.4296394019349163</v>
      </c>
      <c r="O99" s="127">
        <f t="shared" si="262"/>
        <v>2.4397471355195575</v>
      </c>
      <c r="P99" s="127">
        <f t="shared" si="262"/>
        <v>2.2977399279397313</v>
      </c>
      <c r="Q99" s="127">
        <f t="shared" ref="Q99" si="263">1/Q93</f>
        <v>2.0180866254164682</v>
      </c>
      <c r="R99" s="118">
        <f t="shared" si="221"/>
        <v>4.1499063234033962E-3</v>
      </c>
      <c r="S99" s="20"/>
      <c r="T99" s="127">
        <f t="shared" ref="T99:AC99" si="264">1/T93</f>
        <v>2.0180866254164682</v>
      </c>
      <c r="U99" s="127">
        <f t="shared" si="264"/>
        <v>2.0180866254164682</v>
      </c>
      <c r="V99" s="127">
        <f t="shared" si="264"/>
        <v>2.0180866254164682</v>
      </c>
      <c r="W99" s="127">
        <f t="shared" si="264"/>
        <v>2.0180866254164682</v>
      </c>
      <c r="X99" s="127">
        <f t="shared" si="264"/>
        <v>2.0180866254164682</v>
      </c>
      <c r="Y99" s="127">
        <f t="shared" si="264"/>
        <v>2.0180866254164682</v>
      </c>
      <c r="Z99" s="127">
        <f t="shared" si="264"/>
        <v>2.0180866254164682</v>
      </c>
      <c r="AA99" s="127">
        <f t="shared" si="264"/>
        <v>2.0180866254164682</v>
      </c>
      <c r="AB99" s="127">
        <f t="shared" si="264"/>
        <v>2.0180866254164682</v>
      </c>
      <c r="AC99" s="127">
        <f t="shared" si="264"/>
        <v>2.0180866254164678</v>
      </c>
      <c r="AD99" s="138">
        <f t="shared" si="223"/>
        <v>-4.6145341457214384E-3</v>
      </c>
      <c r="AE99" s="146"/>
      <c r="AF99" s="146"/>
    </row>
    <row r="100" spans="2:32" ht="12" customHeight="1" x14ac:dyDescent="0.2">
      <c r="B100" s="20" t="s">
        <v>403</v>
      </c>
      <c r="C100" s="152"/>
      <c r="D100" s="152"/>
      <c r="E100" s="152"/>
      <c r="F100" s="152"/>
      <c r="G100" s="127">
        <f t="shared" ref="G100:P103" si="265">1/G94</f>
        <v>1.4615384615384615</v>
      </c>
      <c r="H100" s="127">
        <f t="shared" si="265"/>
        <v>1.4969325153374233</v>
      </c>
      <c r="I100" s="127">
        <f t="shared" si="265"/>
        <v>1.5349397590361444</v>
      </c>
      <c r="J100" s="127">
        <f t="shared" si="265"/>
        <v>1.4060773480662985</v>
      </c>
      <c r="K100" s="127">
        <f t="shared" si="265"/>
        <v>1.4633770239013109</v>
      </c>
      <c r="L100" s="127">
        <f t="shared" si="265"/>
        <v>1.4704097116843702</v>
      </c>
      <c r="M100" s="127">
        <f t="shared" si="265"/>
        <v>1.5556544968833483</v>
      </c>
      <c r="N100" s="127">
        <f t="shared" si="265"/>
        <v>1.7304309586631486</v>
      </c>
      <c r="O100" s="127">
        <f t="shared" si="265"/>
        <v>1.7799288818648755</v>
      </c>
      <c r="P100" s="127">
        <f t="shared" si="265"/>
        <v>1.7153619390763184</v>
      </c>
      <c r="Q100" s="127">
        <f t="shared" ref="Q100" si="266">1/Q94</f>
        <v>1.4757258448357926</v>
      </c>
      <c r="R100" s="118">
        <f t="shared" si="221"/>
        <v>1.7951953421091682E-2</v>
      </c>
      <c r="S100" s="20"/>
      <c r="T100" s="127">
        <f t="shared" ref="T100:AC100" si="267">1/T94</f>
        <v>1.4757258448357924</v>
      </c>
      <c r="U100" s="127">
        <f t="shared" si="267"/>
        <v>1.4757258448357924</v>
      </c>
      <c r="V100" s="127">
        <f t="shared" si="267"/>
        <v>1.4757258448357924</v>
      </c>
      <c r="W100" s="127">
        <f t="shared" si="267"/>
        <v>1.4757258448357926</v>
      </c>
      <c r="X100" s="127">
        <f t="shared" si="267"/>
        <v>1.4757258448357926</v>
      </c>
      <c r="Y100" s="127">
        <f t="shared" si="267"/>
        <v>1.4757258448357926</v>
      </c>
      <c r="Z100" s="127">
        <f t="shared" si="267"/>
        <v>1.4757258448357926</v>
      </c>
      <c r="AA100" s="127">
        <f t="shared" si="267"/>
        <v>1.4757258448357926</v>
      </c>
      <c r="AB100" s="127">
        <f t="shared" si="267"/>
        <v>1.4757258448357926</v>
      </c>
      <c r="AC100" s="127">
        <f t="shared" si="267"/>
        <v>1.4757258448357926</v>
      </c>
      <c r="AD100" s="138">
        <f t="shared" si="223"/>
        <v>4.831339336230922E-4</v>
      </c>
      <c r="AE100" s="146"/>
      <c r="AF100" s="146"/>
    </row>
    <row r="101" spans="2:32" ht="12" customHeight="1" x14ac:dyDescent="0.2">
      <c r="B101" s="20" t="s">
        <v>404</v>
      </c>
      <c r="C101" s="152"/>
      <c r="D101" s="152"/>
      <c r="E101" s="152"/>
      <c r="F101" s="152"/>
      <c r="G101" s="127">
        <f t="shared" si="265"/>
        <v>0.31623931623931623</v>
      </c>
      <c r="H101" s="127">
        <f t="shared" si="265"/>
        <v>0.30061349693251532</v>
      </c>
      <c r="I101" s="127">
        <f t="shared" si="265"/>
        <v>0.33975903614457831</v>
      </c>
      <c r="J101" s="127">
        <f t="shared" si="265"/>
        <v>0.26243093922651933</v>
      </c>
      <c r="K101" s="127">
        <f t="shared" si="265"/>
        <v>0.29992289899768698</v>
      </c>
      <c r="L101" s="127">
        <f t="shared" si="265"/>
        <v>0.30955993930197268</v>
      </c>
      <c r="M101" s="127">
        <f t="shared" si="265"/>
        <v>0.3886910062333036</v>
      </c>
      <c r="N101" s="127">
        <f t="shared" si="265"/>
        <v>0.53518029903254183</v>
      </c>
      <c r="O101" s="127">
        <f t="shared" si="265"/>
        <v>0.51679178190438568</v>
      </c>
      <c r="P101" s="127">
        <f t="shared" si="265"/>
        <v>0.47920078611202099</v>
      </c>
      <c r="Q101" s="127">
        <f t="shared" ref="Q101" si="268">1/Q95</f>
        <v>0.32294145644930988</v>
      </c>
      <c r="R101" s="118">
        <f t="shared" si="221"/>
        <v>4.7262951401485509E-2</v>
      </c>
      <c r="S101" s="20"/>
      <c r="T101" s="127">
        <f t="shared" ref="T101:AC101" si="269">1/T95</f>
        <v>0.32294145644930983</v>
      </c>
      <c r="U101" s="127">
        <f t="shared" si="269"/>
        <v>0.32294145644930983</v>
      </c>
      <c r="V101" s="127">
        <f t="shared" si="269"/>
        <v>0.32294145644930983</v>
      </c>
      <c r="W101" s="127">
        <f t="shared" si="269"/>
        <v>0.32294145644930983</v>
      </c>
      <c r="X101" s="127">
        <f t="shared" si="269"/>
        <v>0.32294145644930983</v>
      </c>
      <c r="Y101" s="127">
        <f t="shared" si="269"/>
        <v>0.32294145644930977</v>
      </c>
      <c r="Z101" s="127">
        <f t="shared" si="269"/>
        <v>0.32294145644930977</v>
      </c>
      <c r="AA101" s="127">
        <f t="shared" si="269"/>
        <v>0.32294145644930977</v>
      </c>
      <c r="AB101" s="127">
        <f t="shared" si="269"/>
        <v>0.32294145644930977</v>
      </c>
      <c r="AC101" s="127">
        <f t="shared" si="269"/>
        <v>0.32294145644930983</v>
      </c>
      <c r="AD101" s="138">
        <f t="shared" si="223"/>
        <v>1.0491399919090316E-3</v>
      </c>
      <c r="AE101" s="146"/>
      <c r="AF101" s="146"/>
    </row>
    <row r="102" spans="2:32" ht="12" customHeight="1" x14ac:dyDescent="0.2">
      <c r="B102" s="20" t="s">
        <v>405</v>
      </c>
      <c r="C102" s="152"/>
      <c r="D102" s="152"/>
      <c r="E102" s="152"/>
      <c r="F102" s="152"/>
      <c r="G102" s="127">
        <f t="shared" si="265"/>
        <v>1.3760683760683761</v>
      </c>
      <c r="H102" s="127">
        <f t="shared" si="265"/>
        <v>1.1042944785276074</v>
      </c>
      <c r="I102" s="127">
        <f t="shared" si="265"/>
        <v>0.60722891566265058</v>
      </c>
      <c r="J102" s="127">
        <f t="shared" si="265"/>
        <v>2.5013812154696131</v>
      </c>
      <c r="K102" s="127">
        <f t="shared" si="265"/>
        <v>2.1141094834232845</v>
      </c>
      <c r="L102" s="127">
        <f t="shared" si="265"/>
        <v>3.2412746585735963</v>
      </c>
      <c r="M102" s="127">
        <f t="shared" si="265"/>
        <v>2.8094390026714162</v>
      </c>
      <c r="N102" s="127">
        <f t="shared" si="265"/>
        <v>3.0589270008795073</v>
      </c>
      <c r="O102" s="127">
        <f t="shared" si="265"/>
        <v>2.1023310944290796</v>
      </c>
      <c r="P102" s="127">
        <f t="shared" si="265"/>
        <v>2.0802489354733051</v>
      </c>
      <c r="Q102" s="127">
        <f t="shared" ref="Q102" si="270">1/Q96</f>
        <v>1.6939552594002856</v>
      </c>
      <c r="R102" s="118">
        <f t="shared" si="221"/>
        <v>4.6987988638945932E-2</v>
      </c>
      <c r="S102" s="20"/>
      <c r="T102" s="127">
        <f t="shared" ref="T102:AC102" si="271">1/T96</f>
        <v>1.6939552594002856</v>
      </c>
      <c r="U102" s="127">
        <f t="shared" si="271"/>
        <v>1.6939552594002856</v>
      </c>
      <c r="V102" s="127">
        <f t="shared" si="271"/>
        <v>1.6939552594002856</v>
      </c>
      <c r="W102" s="127">
        <f t="shared" si="271"/>
        <v>1.6939552594002858</v>
      </c>
      <c r="X102" s="127">
        <f t="shared" si="271"/>
        <v>1.6939552594002856</v>
      </c>
      <c r="Y102" s="127">
        <f t="shared" si="271"/>
        <v>1.6939552594002856</v>
      </c>
      <c r="Z102" s="127">
        <f t="shared" si="271"/>
        <v>1.6939552594002856</v>
      </c>
      <c r="AA102" s="127">
        <f t="shared" si="271"/>
        <v>1.6939552594002856</v>
      </c>
      <c r="AB102" s="127">
        <f t="shared" si="271"/>
        <v>1.6939552594002858</v>
      </c>
      <c r="AC102" s="127">
        <f t="shared" si="271"/>
        <v>1.6939552594002858</v>
      </c>
      <c r="AD102" s="138">
        <f t="shared" si="223"/>
        <v>1.0445969870452876E-2</v>
      </c>
      <c r="AE102" s="146"/>
      <c r="AF102" s="146"/>
    </row>
    <row r="103" spans="2:32" ht="12" customHeight="1" x14ac:dyDescent="0.2">
      <c r="B103" s="20" t="s">
        <v>406</v>
      </c>
      <c r="C103" s="152"/>
      <c r="D103" s="152"/>
      <c r="E103" s="152"/>
      <c r="F103" s="152"/>
      <c r="G103" s="127">
        <f t="shared" si="265"/>
        <v>0.93162393162393164</v>
      </c>
      <c r="H103" s="127">
        <f t="shared" si="265"/>
        <v>1.0797546012269938</v>
      </c>
      <c r="I103" s="127">
        <f t="shared" si="265"/>
        <v>0.44096385542168676</v>
      </c>
      <c r="J103" s="127">
        <f t="shared" si="265"/>
        <v>2.0220994475138121</v>
      </c>
      <c r="K103" s="127">
        <f t="shared" si="265"/>
        <v>0.51811873554356214</v>
      </c>
      <c r="L103" s="127">
        <f t="shared" si="265"/>
        <v>2.3318158826504805</v>
      </c>
      <c r="M103" s="127">
        <f t="shared" si="265"/>
        <v>1.1010685663401603</v>
      </c>
      <c r="N103" s="127">
        <f t="shared" si="265"/>
        <v>0.72603342128408088</v>
      </c>
      <c r="O103" s="127">
        <f t="shared" si="265"/>
        <v>1.5120505728960885</v>
      </c>
      <c r="P103" s="127">
        <f t="shared" si="265"/>
        <v>1.4638060923681624</v>
      </c>
      <c r="Q103" s="127" t="e">
        <f t="shared" ref="Q103" si="272">1/Q97</f>
        <v>#DIV/0!</v>
      </c>
      <c r="R103" s="118">
        <f t="shared" si="221"/>
        <v>5.1489083538077018E-2</v>
      </c>
      <c r="S103" s="20"/>
      <c r="T103" s="127" t="e">
        <f t="shared" ref="T103:AC103" si="273">1/T97</f>
        <v>#DIV/0!</v>
      </c>
      <c r="U103" s="127" t="e">
        <f t="shared" si="273"/>
        <v>#DIV/0!</v>
      </c>
      <c r="V103" s="127" t="e">
        <f t="shared" si="273"/>
        <v>#DIV/0!</v>
      </c>
      <c r="W103" s="127" t="e">
        <f t="shared" si="273"/>
        <v>#DIV/0!</v>
      </c>
      <c r="X103" s="127" t="e">
        <f t="shared" si="273"/>
        <v>#DIV/0!</v>
      </c>
      <c r="Y103" s="127" t="e">
        <f t="shared" si="273"/>
        <v>#DIV/0!</v>
      </c>
      <c r="Z103" s="127" t="e">
        <f t="shared" si="273"/>
        <v>#DIV/0!</v>
      </c>
      <c r="AA103" s="127" t="e">
        <f t="shared" si="273"/>
        <v>#DIV/0!</v>
      </c>
      <c r="AB103" s="127" t="e">
        <f t="shared" si="273"/>
        <v>#DIV/0!</v>
      </c>
      <c r="AC103" s="127" t="e">
        <f t="shared" si="273"/>
        <v>#DIV/0!</v>
      </c>
      <c r="AD103" s="138" t="e">
        <f t="shared" si="223"/>
        <v>#DIV/0!</v>
      </c>
      <c r="AE103" s="146"/>
      <c r="AF103" s="146"/>
    </row>
    <row r="104" spans="2:32" ht="12" customHeight="1" x14ac:dyDescent="0.2">
      <c r="B104" s="20"/>
      <c r="C104" s="152"/>
      <c r="D104" s="152"/>
      <c r="E104" s="152"/>
      <c r="F104" s="152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20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  <c r="AE104" s="146"/>
      <c r="AF104" s="146"/>
    </row>
    <row r="105" spans="2:32" ht="12" customHeight="1" x14ac:dyDescent="0.2">
      <c r="B105" s="20"/>
      <c r="C105" s="152"/>
      <c r="D105" s="152"/>
      <c r="E105" s="152"/>
      <c r="F105" s="152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20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52"/>
      <c r="AE105" s="146"/>
      <c r="AF105" s="146"/>
    </row>
    <row r="106" spans="2:32" x14ac:dyDescent="0.2">
      <c r="B106" s="20" t="s">
        <v>326</v>
      </c>
      <c r="C106" s="152"/>
      <c r="D106" s="152"/>
      <c r="E106" s="152"/>
      <c r="F106" s="163">
        <f t="shared" ref="F106:O106" si="274">F10-(F12+F13)</f>
        <v>0</v>
      </c>
      <c r="G106" s="163">
        <f t="shared" si="274"/>
        <v>749</v>
      </c>
      <c r="H106" s="163">
        <f t="shared" si="274"/>
        <v>1297</v>
      </c>
      <c r="I106" s="163">
        <f t="shared" si="274"/>
        <v>4135</v>
      </c>
      <c r="J106" s="163">
        <f t="shared" si="274"/>
        <v>6703</v>
      </c>
      <c r="K106" s="163">
        <f t="shared" si="274"/>
        <v>12028</v>
      </c>
      <c r="L106" s="163">
        <f t="shared" si="274"/>
        <v>13683</v>
      </c>
      <c r="M106" s="163">
        <f t="shared" si="274"/>
        <v>12065</v>
      </c>
      <c r="N106" s="163">
        <f t="shared" si="274"/>
        <v>12931</v>
      </c>
      <c r="O106" s="163">
        <f t="shared" si="274"/>
        <v>9649</v>
      </c>
      <c r="P106" s="163">
        <f>P10-(P12+P13)</f>
        <v>16311</v>
      </c>
      <c r="Q106" s="163">
        <f>Q10-(Q12+Q13)</f>
        <v>17802</v>
      </c>
      <c r="R106" s="118">
        <f t="shared" si="221"/>
        <v>0.4082071011591144</v>
      </c>
      <c r="S106" s="20"/>
      <c r="T106" s="163">
        <f>T10-(T12+T13)</f>
        <v>19938.240000000002</v>
      </c>
      <c r="U106" s="163">
        <f t="shared" ref="U106:AC106" si="275">U10-(U12+U13)</f>
        <v>22330.828800000007</v>
      </c>
      <c r="V106" s="163">
        <f t="shared" si="275"/>
        <v>25010.528256000005</v>
      </c>
      <c r="W106" s="163">
        <f t="shared" si="275"/>
        <v>28011.791646720012</v>
      </c>
      <c r="X106" s="163">
        <f t="shared" si="275"/>
        <v>31373.206644326419</v>
      </c>
      <c r="Y106" s="163">
        <f t="shared" si="275"/>
        <v>35137.991441645594</v>
      </c>
      <c r="Z106" s="163">
        <f t="shared" si="275"/>
        <v>39354.550414643061</v>
      </c>
      <c r="AA106" s="163">
        <f t="shared" si="275"/>
        <v>44077.096464400223</v>
      </c>
      <c r="AB106" s="163">
        <f t="shared" si="275"/>
        <v>49366.348040128265</v>
      </c>
      <c r="AC106" s="163">
        <f t="shared" si="275"/>
        <v>55290.309804943659</v>
      </c>
      <c r="AD106" s="138">
        <f t="shared" si="223"/>
        <v>0.23996195532107234</v>
      </c>
      <c r="AE106" s="146"/>
      <c r="AF106" s="146"/>
    </row>
    <row r="107" spans="2:32" ht="12" customHeight="1" x14ac:dyDescent="0.2">
      <c r="B107" s="20" t="s">
        <v>321</v>
      </c>
      <c r="C107" s="20"/>
      <c r="D107" s="20"/>
      <c r="E107" s="20"/>
      <c r="F107" s="20"/>
      <c r="G107" s="152">
        <f t="shared" ref="G107:P107" si="276">G40/G18</f>
        <v>0.71153846153846156</v>
      </c>
      <c r="H107" s="152">
        <f t="shared" si="276"/>
        <v>1</v>
      </c>
      <c r="I107" s="152">
        <f t="shared" si="276"/>
        <v>1.0763358778625953</v>
      </c>
      <c r="J107" s="152">
        <f t="shared" si="276"/>
        <v>1.4960629921259843</v>
      </c>
      <c r="K107" s="152">
        <f t="shared" si="276"/>
        <v>2.73943661971831</v>
      </c>
      <c r="L107" s="152">
        <f t="shared" si="276"/>
        <v>4.5671641791044779</v>
      </c>
      <c r="M107" s="152">
        <f t="shared" si="276"/>
        <v>18.978260869565219</v>
      </c>
      <c r="N107" s="152">
        <f t="shared" si="276"/>
        <v>28.302325581395348</v>
      </c>
      <c r="O107" s="152">
        <f t="shared" si="276"/>
        <v>24.679245283018869</v>
      </c>
      <c r="P107" s="152">
        <f t="shared" si="276"/>
        <v>20.319444444444443</v>
      </c>
      <c r="Q107" s="152">
        <f t="shared" ref="Q107" si="277">Q40/Q18</f>
        <v>8.8116883116883109</v>
      </c>
      <c r="R107" s="118">
        <f t="shared" si="221"/>
        <v>0.4512623843223853</v>
      </c>
      <c r="S107" s="20"/>
      <c r="T107" s="152">
        <f t="shared" ref="T107:AC107" si="278">T40/T18</f>
        <v>8.8116883116883109</v>
      </c>
      <c r="U107" s="152">
        <f t="shared" si="278"/>
        <v>8.8116883116883109</v>
      </c>
      <c r="V107" s="152">
        <f t="shared" si="278"/>
        <v>8.8116883116883109</v>
      </c>
      <c r="W107" s="152">
        <f t="shared" si="278"/>
        <v>8.8116883116883109</v>
      </c>
      <c r="X107" s="152">
        <f t="shared" si="278"/>
        <v>8.8116883116883109</v>
      </c>
      <c r="Y107" s="152">
        <f t="shared" si="278"/>
        <v>8.8116883116883109</v>
      </c>
      <c r="Z107" s="152">
        <f t="shared" si="278"/>
        <v>8.8116883116883127</v>
      </c>
      <c r="AA107" s="152">
        <f t="shared" si="278"/>
        <v>8.8116883116883127</v>
      </c>
      <c r="AB107" s="152">
        <f t="shared" si="278"/>
        <v>8.8116883116883127</v>
      </c>
      <c r="AC107" s="152">
        <f t="shared" si="278"/>
        <v>8.8116883116883127</v>
      </c>
      <c r="AD107" s="138">
        <f t="shared" si="223"/>
        <v>0.13407829163843088</v>
      </c>
      <c r="AE107" s="20"/>
      <c r="AF107" s="20"/>
    </row>
    <row r="108" spans="2:32" x14ac:dyDescent="0.2">
      <c r="B108" s="20" t="s">
        <v>322</v>
      </c>
      <c r="C108" s="20"/>
      <c r="D108" s="20"/>
      <c r="E108" s="20"/>
      <c r="F108" s="20"/>
      <c r="G108" s="152">
        <f t="shared" ref="G108:P108" si="279">G40/G25</f>
        <v>0.14285714285714285</v>
      </c>
      <c r="H108" s="152">
        <f t="shared" si="279"/>
        <v>0.1416184971098266</v>
      </c>
      <c r="I108" s="152">
        <f t="shared" si="279"/>
        <v>0.15545755237045203</v>
      </c>
      <c r="J108" s="152">
        <f t="shared" si="279"/>
        <v>0.13437057991513437</v>
      </c>
      <c r="K108" s="152">
        <f t="shared" si="279"/>
        <v>0.1560369033293221</v>
      </c>
      <c r="L108" s="152">
        <f t="shared" si="279"/>
        <v>0.16438356164383561</v>
      </c>
      <c r="M108" s="152">
        <f t="shared" si="279"/>
        <v>0.19404312069348745</v>
      </c>
      <c r="N108" s="152">
        <f t="shared" si="279"/>
        <v>0.22027149321266967</v>
      </c>
      <c r="O108" s="152">
        <f t="shared" si="279"/>
        <v>0.21182186234817812</v>
      </c>
      <c r="P108" s="152">
        <f t="shared" si="279"/>
        <v>0.20855310049893086</v>
      </c>
      <c r="Q108" s="152">
        <f t="shared" ref="Q108" si="280">Q40/Q25</f>
        <v>0.16002358490566038</v>
      </c>
      <c r="R108" s="118">
        <f t="shared" si="221"/>
        <v>4.293486939209723E-2</v>
      </c>
      <c r="S108" s="20"/>
      <c r="T108" s="152">
        <f t="shared" ref="T108:AC108" si="281">T40/T25</f>
        <v>0.16002358490566038</v>
      </c>
      <c r="U108" s="152">
        <f t="shared" si="281"/>
        <v>0.16002358490566038</v>
      </c>
      <c r="V108" s="152">
        <f t="shared" si="281"/>
        <v>0.16002358490566038</v>
      </c>
      <c r="W108" s="152">
        <f t="shared" si="281"/>
        <v>0.16002358490566038</v>
      </c>
      <c r="X108" s="152">
        <f t="shared" si="281"/>
        <v>0.16002358490566038</v>
      </c>
      <c r="Y108" s="152">
        <f t="shared" si="281"/>
        <v>0.16002358490566035</v>
      </c>
      <c r="Z108" s="152">
        <f t="shared" si="281"/>
        <v>0.16002358490566038</v>
      </c>
      <c r="AA108" s="152">
        <f t="shared" si="281"/>
        <v>0.16002358490566035</v>
      </c>
      <c r="AB108" s="152">
        <f t="shared" si="281"/>
        <v>0.16002358490566038</v>
      </c>
      <c r="AC108" s="152">
        <f t="shared" si="281"/>
        <v>0.1600235849056604</v>
      </c>
      <c r="AD108" s="138">
        <f t="shared" si="223"/>
        <v>5.6899305162847469E-3</v>
      </c>
      <c r="AE108" s="20"/>
      <c r="AF108" s="20"/>
    </row>
    <row r="109" spans="2:32" x14ac:dyDescent="0.2">
      <c r="B109" s="20" t="s">
        <v>348</v>
      </c>
      <c r="C109" s="20"/>
      <c r="D109" s="20"/>
      <c r="E109" s="152"/>
      <c r="F109" s="152"/>
      <c r="G109" s="152">
        <f t="shared" ref="G109:O109" si="282">G25/G18</f>
        <v>4.9807692307692308</v>
      </c>
      <c r="H109" s="152">
        <f t="shared" si="282"/>
        <v>7.0612244897959187</v>
      </c>
      <c r="I109" s="152">
        <f t="shared" si="282"/>
        <v>6.9236641221374047</v>
      </c>
      <c r="J109" s="152">
        <f t="shared" si="282"/>
        <v>11.133858267716535</v>
      </c>
      <c r="K109" s="152">
        <f t="shared" si="282"/>
        <v>17.556338028169016</v>
      </c>
      <c r="L109" s="152">
        <f t="shared" si="282"/>
        <v>27.78358208955224</v>
      </c>
      <c r="M109" s="152">
        <f t="shared" si="282"/>
        <v>97.804347826086953</v>
      </c>
      <c r="N109" s="152">
        <f t="shared" si="282"/>
        <v>128.48837209302326</v>
      </c>
      <c r="O109" s="152">
        <f t="shared" si="282"/>
        <v>116.50943396226415</v>
      </c>
      <c r="P109" s="152">
        <f>P25/P18</f>
        <v>97.430555555555557</v>
      </c>
      <c r="Q109" s="152">
        <f>Q25/Q18</f>
        <v>55.064935064935064</v>
      </c>
      <c r="R109" s="118">
        <f t="shared" si="221"/>
        <v>0.39151775140886103</v>
      </c>
      <c r="S109" s="20"/>
      <c r="T109" s="152">
        <f>T25/T18</f>
        <v>55.064935064935064</v>
      </c>
      <c r="U109" s="152">
        <f t="shared" ref="U109:AC109" si="283">U25/U18</f>
        <v>55.064935064935064</v>
      </c>
      <c r="V109" s="152">
        <f t="shared" si="283"/>
        <v>55.064935064935057</v>
      </c>
      <c r="W109" s="152">
        <f t="shared" si="283"/>
        <v>55.064935064935064</v>
      </c>
      <c r="X109" s="152">
        <f t="shared" si="283"/>
        <v>55.064935064935064</v>
      </c>
      <c r="Y109" s="152">
        <f t="shared" si="283"/>
        <v>55.064935064935071</v>
      </c>
      <c r="Z109" s="152">
        <f t="shared" si="283"/>
        <v>55.064935064935071</v>
      </c>
      <c r="AA109" s="152">
        <f t="shared" si="283"/>
        <v>55.064935064935071</v>
      </c>
      <c r="AB109" s="152">
        <f t="shared" si="283"/>
        <v>55.064935064935071</v>
      </c>
      <c r="AC109" s="152">
        <f t="shared" si="283"/>
        <v>55.064935064935071</v>
      </c>
      <c r="AD109" s="138">
        <f t="shared" si="223"/>
        <v>0.12766197336413243</v>
      </c>
      <c r="AE109" s="20"/>
      <c r="AF109" s="20"/>
    </row>
    <row r="110" spans="2:32" x14ac:dyDescent="0.2">
      <c r="B110" s="20"/>
      <c r="C110" s="20"/>
      <c r="D110" s="20"/>
      <c r="E110" s="20"/>
      <c r="F110" s="20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28"/>
      <c r="S110" s="20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52"/>
      <c r="AD110" s="128"/>
      <c r="AE110" s="20"/>
      <c r="AF110" s="20"/>
    </row>
    <row r="111" spans="2:32" x14ac:dyDescent="0.2">
      <c r="B111" s="20" t="s">
        <v>334</v>
      </c>
      <c r="C111" s="20"/>
      <c r="D111" s="20"/>
      <c r="E111" s="165">
        <f t="shared" ref="E111:F111" si="284">E70*E42</f>
        <v>0</v>
      </c>
      <c r="F111" s="165">
        <f t="shared" si="284"/>
        <v>0</v>
      </c>
      <c r="G111" s="165">
        <f>G70*G42</f>
        <v>10.475000000000001</v>
      </c>
      <c r="H111" s="165">
        <f t="shared" ref="H111:P111" si="285">H70*H42</f>
        <v>16.350000000000001</v>
      </c>
      <c r="I111" s="165">
        <f t="shared" si="285"/>
        <v>45.150000000000006</v>
      </c>
      <c r="J111" s="165">
        <f t="shared" si="285"/>
        <v>55.230000000000004</v>
      </c>
      <c r="K111" s="165">
        <f t="shared" si="285"/>
        <v>101.55</v>
      </c>
      <c r="L111" s="165">
        <f t="shared" si="285"/>
        <v>101.75</v>
      </c>
      <c r="M111" s="165">
        <f t="shared" si="285"/>
        <v>135.30000000000001</v>
      </c>
      <c r="N111" s="165">
        <f t="shared" si="285"/>
        <v>146.965</v>
      </c>
      <c r="O111" s="165">
        <f t="shared" si="285"/>
        <v>147.22499999999999</v>
      </c>
      <c r="P111" s="165">
        <f t="shared" si="285"/>
        <v>158.76</v>
      </c>
      <c r="Q111" s="165">
        <f t="shared" ref="Q111" si="286">Q70*Q42</f>
        <v>158.76</v>
      </c>
      <c r="R111" s="118">
        <f t="shared" si="221"/>
        <v>0.35262166682343721</v>
      </c>
      <c r="S111" s="20"/>
      <c r="T111" s="165">
        <f t="shared" ref="T111:AC111" si="287">T70*T42</f>
        <v>175.03290000000001</v>
      </c>
      <c r="U111" s="165">
        <f t="shared" si="287"/>
        <v>192.97377225000002</v>
      </c>
      <c r="V111" s="165">
        <f t="shared" si="287"/>
        <v>212.75358390562505</v>
      </c>
      <c r="W111" s="165">
        <f t="shared" si="287"/>
        <v>234.56082625595161</v>
      </c>
      <c r="X111" s="165">
        <f t="shared" si="287"/>
        <v>258.60331094718669</v>
      </c>
      <c r="Y111" s="165">
        <f t="shared" si="287"/>
        <v>285.11015031927332</v>
      </c>
      <c r="Z111" s="165">
        <f t="shared" si="287"/>
        <v>314.33394072699889</v>
      </c>
      <c r="AA111" s="165">
        <f t="shared" si="287"/>
        <v>346.55316965151627</v>
      </c>
      <c r="AB111" s="165">
        <f t="shared" si="287"/>
        <v>382.07486954079673</v>
      </c>
      <c r="AC111" s="165">
        <f t="shared" si="287"/>
        <v>421.23754366872851</v>
      </c>
      <c r="AD111" s="138">
        <f t="shared" si="223"/>
        <v>0.2028698848815742</v>
      </c>
      <c r="AE111" s="20"/>
      <c r="AF111" s="20"/>
    </row>
    <row r="112" spans="2:32" x14ac:dyDescent="0.2">
      <c r="B112" s="20" t="s">
        <v>335</v>
      </c>
      <c r="C112" s="20"/>
      <c r="D112" s="20"/>
      <c r="E112" s="165">
        <f>(E111*0.17)+E111</f>
        <v>0</v>
      </c>
      <c r="F112" s="165">
        <f>(F111*0.17)+F111</f>
        <v>0</v>
      </c>
      <c r="G112" s="165">
        <f t="shared" ref="G112:P112" si="288">(G111*0.17)+G111</f>
        <v>12.255750000000003</v>
      </c>
      <c r="H112" s="165">
        <f t="shared" si="288"/>
        <v>19.1295</v>
      </c>
      <c r="I112" s="165">
        <f t="shared" si="288"/>
        <v>52.825500000000005</v>
      </c>
      <c r="J112" s="165">
        <f t="shared" si="288"/>
        <v>64.619100000000003</v>
      </c>
      <c r="K112" s="165">
        <f t="shared" si="288"/>
        <v>118.8135</v>
      </c>
      <c r="L112" s="165">
        <f t="shared" si="288"/>
        <v>119.0475</v>
      </c>
      <c r="M112" s="165">
        <f t="shared" si="288"/>
        <v>158.30100000000002</v>
      </c>
      <c r="N112" s="165">
        <f t="shared" si="288"/>
        <v>171.94905</v>
      </c>
      <c r="O112" s="165">
        <f t="shared" si="288"/>
        <v>172.25324999999998</v>
      </c>
      <c r="P112" s="165">
        <f t="shared" si="288"/>
        <v>185.7492</v>
      </c>
      <c r="Q112" s="165">
        <f t="shared" ref="Q112" si="289">(Q111*0.17)+Q111</f>
        <v>185.7492</v>
      </c>
      <c r="R112" s="118">
        <f t="shared" si="221"/>
        <v>0.35262166682343721</v>
      </c>
      <c r="S112" s="20"/>
      <c r="T112" s="165">
        <f t="shared" ref="T112:AC112" si="290">(T111*0.17)+T111</f>
        <v>204.78849300000002</v>
      </c>
      <c r="U112" s="165">
        <f t="shared" si="290"/>
        <v>225.77931353250003</v>
      </c>
      <c r="V112" s="165">
        <f t="shared" si="290"/>
        <v>248.92169316958132</v>
      </c>
      <c r="W112" s="165">
        <f t="shared" si="290"/>
        <v>274.43616671946336</v>
      </c>
      <c r="X112" s="165">
        <f t="shared" si="290"/>
        <v>302.56587380820844</v>
      </c>
      <c r="Y112" s="165">
        <f t="shared" si="290"/>
        <v>333.5788758735498</v>
      </c>
      <c r="Z112" s="165">
        <f t="shared" si="290"/>
        <v>367.77071065058868</v>
      </c>
      <c r="AA112" s="165">
        <f t="shared" si="290"/>
        <v>405.46720849227404</v>
      </c>
      <c r="AB112" s="165">
        <f t="shared" si="290"/>
        <v>447.02759736273219</v>
      </c>
      <c r="AC112" s="165">
        <f t="shared" si="290"/>
        <v>492.84792609241237</v>
      </c>
      <c r="AD112" s="138">
        <f t="shared" si="223"/>
        <v>0.2028698848815742</v>
      </c>
      <c r="AE112" s="20"/>
      <c r="AF112" s="20"/>
    </row>
    <row r="113" spans="2:32" x14ac:dyDescent="0.2">
      <c r="B113" s="20" t="s">
        <v>336</v>
      </c>
      <c r="C113" s="20"/>
      <c r="D113" s="20"/>
      <c r="E113" s="20"/>
      <c r="F113" s="152" t="e">
        <f t="shared" ref="F113:P113" si="291">F112/F40</f>
        <v>#DIV/0!</v>
      </c>
      <c r="G113" s="152">
        <f t="shared" si="291"/>
        <v>0.33123648648648657</v>
      </c>
      <c r="H113" s="152">
        <f t="shared" si="291"/>
        <v>0.39039795918367348</v>
      </c>
      <c r="I113" s="152">
        <f t="shared" si="291"/>
        <v>0.37464893617021278</v>
      </c>
      <c r="J113" s="152">
        <f t="shared" si="291"/>
        <v>0.34010052631578946</v>
      </c>
      <c r="K113" s="152">
        <f t="shared" si="291"/>
        <v>0.30543316195372749</v>
      </c>
      <c r="L113" s="152">
        <f t="shared" si="291"/>
        <v>0.19452205882352941</v>
      </c>
      <c r="M113" s="152">
        <f t="shared" si="291"/>
        <v>0.18132989690721651</v>
      </c>
      <c r="N113" s="152">
        <f t="shared" si="291"/>
        <v>0.1412892769104355</v>
      </c>
      <c r="O113" s="152">
        <f t="shared" si="291"/>
        <v>0.13169208715596328</v>
      </c>
      <c r="P113" s="152">
        <f t="shared" si="291"/>
        <v>0.12696459330143542</v>
      </c>
      <c r="Q113" s="152">
        <f t="shared" ref="Q113" si="292">Q112/Q40</f>
        <v>0.1368822402358143</v>
      </c>
      <c r="R113" s="118">
        <f t="shared" si="221"/>
        <v>-0.10106733514277721</v>
      </c>
      <c r="S113" s="20"/>
      <c r="T113" s="152">
        <f t="shared" ref="T113:AC113" si="293">T112/T40</f>
        <v>0.13474345523212969</v>
      </c>
      <c r="U113" s="152">
        <f t="shared" si="293"/>
        <v>0.13263808874412766</v>
      </c>
      <c r="V113" s="152">
        <f t="shared" si="293"/>
        <v>0.13056561860750068</v>
      </c>
      <c r="W113" s="152">
        <f t="shared" si="293"/>
        <v>0.12852553081675844</v>
      </c>
      <c r="X113" s="152">
        <f t="shared" si="293"/>
        <v>0.12651731939774663</v>
      </c>
      <c r="Y113" s="152">
        <f t="shared" si="293"/>
        <v>0.12454048628215683</v>
      </c>
      <c r="Z113" s="152">
        <f t="shared" si="293"/>
        <v>0.12259454118399812</v>
      </c>
      <c r="AA113" s="152">
        <f t="shared" si="293"/>
        <v>0.12067900147799815</v>
      </c>
      <c r="AB113" s="152">
        <f t="shared" si="293"/>
        <v>0.11879339207990443</v>
      </c>
      <c r="AC113" s="152">
        <f t="shared" si="293"/>
        <v>0.11693724532865593</v>
      </c>
      <c r="AD113" s="138">
        <f t="shared" si="223"/>
        <v>-5.0727861208079261E-2</v>
      </c>
      <c r="AE113" s="20"/>
      <c r="AF113" s="20"/>
    </row>
    <row r="114" spans="2:32" x14ac:dyDescent="0.2">
      <c r="B114" s="20" t="s">
        <v>329</v>
      </c>
      <c r="C114" s="20"/>
      <c r="D114" s="20"/>
      <c r="E114" s="20"/>
      <c r="F114" s="152" t="e">
        <f>1-F113</f>
        <v>#DIV/0!</v>
      </c>
      <c r="G114" s="152">
        <f>1-G113</f>
        <v>0.66876351351351349</v>
      </c>
      <c r="H114" s="152">
        <f t="shared" ref="H114:P114" si="294">1-H113</f>
        <v>0.60960204081632652</v>
      </c>
      <c r="I114" s="152">
        <f t="shared" si="294"/>
        <v>0.62535106382978722</v>
      </c>
      <c r="J114" s="152">
        <f t="shared" si="294"/>
        <v>0.65989947368421054</v>
      </c>
      <c r="K114" s="152">
        <f t="shared" si="294"/>
        <v>0.69456683804627251</v>
      </c>
      <c r="L114" s="152">
        <f t="shared" si="294"/>
        <v>0.80547794117647054</v>
      </c>
      <c r="M114" s="152">
        <f t="shared" si="294"/>
        <v>0.81867010309278343</v>
      </c>
      <c r="N114" s="152">
        <f t="shared" si="294"/>
        <v>0.85871072308956453</v>
      </c>
      <c r="O114" s="152">
        <f t="shared" si="294"/>
        <v>0.86830791284403674</v>
      </c>
      <c r="P114" s="152">
        <f t="shared" si="294"/>
        <v>0.87303540669856461</v>
      </c>
      <c r="Q114" s="152">
        <f t="shared" ref="Q114" si="295">1-Q113</f>
        <v>0.8631177597641857</v>
      </c>
      <c r="R114" s="118">
        <f t="shared" si="221"/>
        <v>3.0059099343423545E-2</v>
      </c>
      <c r="S114" s="20"/>
      <c r="T114" s="152">
        <f t="shared" ref="T114:AC114" si="296">1-T113</f>
        <v>0.86525654476787028</v>
      </c>
      <c r="U114" s="152">
        <f t="shared" si="296"/>
        <v>0.86736191125587236</v>
      </c>
      <c r="V114" s="152">
        <f t="shared" si="296"/>
        <v>0.86943438139249929</v>
      </c>
      <c r="W114" s="152">
        <f t="shared" si="296"/>
        <v>0.87147446918324156</v>
      </c>
      <c r="X114" s="152">
        <f t="shared" si="296"/>
        <v>0.87348268060225331</v>
      </c>
      <c r="Y114" s="152">
        <f t="shared" si="296"/>
        <v>0.87545951371784314</v>
      </c>
      <c r="Z114" s="152">
        <f t="shared" si="296"/>
        <v>0.87740545881600185</v>
      </c>
      <c r="AA114" s="152">
        <f t="shared" si="296"/>
        <v>0.87932099852200185</v>
      </c>
      <c r="AB114" s="152">
        <f t="shared" si="296"/>
        <v>0.88120660792009553</v>
      </c>
      <c r="AC114" s="152">
        <f t="shared" si="296"/>
        <v>0.8830627546713441</v>
      </c>
      <c r="AD114" s="138">
        <f t="shared" si="223"/>
        <v>1.3995318343031471E-2</v>
      </c>
      <c r="AE114" s="20"/>
      <c r="AF114" s="20"/>
    </row>
    <row r="115" spans="2:32" x14ac:dyDescent="0.2">
      <c r="B115" s="20"/>
      <c r="C115" s="20"/>
      <c r="D115" s="20"/>
      <c r="E115" s="20"/>
      <c r="F115" s="20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28"/>
      <c r="S115" s="20"/>
      <c r="T115" s="152"/>
      <c r="U115" s="152"/>
      <c r="V115" s="152"/>
      <c r="W115" s="152"/>
      <c r="X115" s="152"/>
      <c r="Y115" s="152"/>
      <c r="Z115" s="152"/>
      <c r="AA115" s="152"/>
      <c r="AB115" s="152"/>
      <c r="AC115" s="152"/>
      <c r="AD115" s="128"/>
      <c r="AE115" s="20"/>
      <c r="AF115" s="20"/>
    </row>
    <row r="116" spans="2:32" x14ac:dyDescent="0.2">
      <c r="B116" s="20" t="s">
        <v>333</v>
      </c>
      <c r="C116" s="152"/>
      <c r="D116" s="152"/>
      <c r="E116" s="152"/>
      <c r="F116" s="152" t="e">
        <f>F31/F25</f>
        <v>#DIV/0!</v>
      </c>
      <c r="G116" s="152">
        <f>G31/G25</f>
        <v>0</v>
      </c>
      <c r="H116" s="152">
        <f t="shared" ref="H116:P116" si="297">H31/H25</f>
        <v>0</v>
      </c>
      <c r="I116" s="152">
        <f t="shared" si="297"/>
        <v>0</v>
      </c>
      <c r="J116" s="152">
        <f t="shared" si="297"/>
        <v>0</v>
      </c>
      <c r="K116" s="152">
        <f t="shared" si="297"/>
        <v>0</v>
      </c>
      <c r="L116" s="152">
        <f t="shared" si="297"/>
        <v>0</v>
      </c>
      <c r="M116" s="152">
        <f t="shared" si="297"/>
        <v>0</v>
      </c>
      <c r="N116" s="152">
        <f t="shared" si="297"/>
        <v>0</v>
      </c>
      <c r="O116" s="152">
        <f t="shared" si="297"/>
        <v>0</v>
      </c>
      <c r="P116" s="152">
        <f t="shared" si="297"/>
        <v>0</v>
      </c>
      <c r="Q116" s="152">
        <f t="shared" ref="Q116" si="298">Q31/Q25</f>
        <v>0</v>
      </c>
      <c r="R116" s="118" t="e">
        <f t="shared" si="221"/>
        <v>#DIV/0!</v>
      </c>
      <c r="S116" s="20"/>
      <c r="T116" s="152">
        <f t="shared" ref="T116:AC116" si="299">T31/T25</f>
        <v>0</v>
      </c>
      <c r="U116" s="152">
        <f t="shared" si="299"/>
        <v>0</v>
      </c>
      <c r="V116" s="152">
        <f t="shared" si="299"/>
        <v>0</v>
      </c>
      <c r="W116" s="152">
        <f t="shared" si="299"/>
        <v>0</v>
      </c>
      <c r="X116" s="152">
        <f t="shared" si="299"/>
        <v>0</v>
      </c>
      <c r="Y116" s="152">
        <f t="shared" si="299"/>
        <v>0</v>
      </c>
      <c r="Z116" s="152">
        <f t="shared" si="299"/>
        <v>0</v>
      </c>
      <c r="AA116" s="152">
        <f t="shared" si="299"/>
        <v>0</v>
      </c>
      <c r="AB116" s="152">
        <f t="shared" si="299"/>
        <v>0</v>
      </c>
      <c r="AC116" s="152">
        <f t="shared" si="299"/>
        <v>0</v>
      </c>
      <c r="AD116" s="138" t="e">
        <f t="shared" si="223"/>
        <v>#DIV/0!</v>
      </c>
      <c r="AE116" s="20"/>
      <c r="AF116" s="20"/>
    </row>
    <row r="117" spans="2:32" x14ac:dyDescent="0.2">
      <c r="B117" s="20" t="s">
        <v>330</v>
      </c>
      <c r="C117" s="152"/>
      <c r="D117" s="152"/>
      <c r="E117" s="152"/>
      <c r="F117" s="152" t="e">
        <f>F32/F25</f>
        <v>#DIV/0!</v>
      </c>
      <c r="G117" s="152">
        <f>G32/G25</f>
        <v>0</v>
      </c>
      <c r="H117" s="152">
        <f t="shared" ref="H117:P117" si="300">H32/H25</f>
        <v>0</v>
      </c>
      <c r="I117" s="152">
        <f t="shared" si="300"/>
        <v>0</v>
      </c>
      <c r="J117" s="152">
        <f t="shared" si="300"/>
        <v>0</v>
      </c>
      <c r="K117" s="152">
        <f t="shared" si="300"/>
        <v>0</v>
      </c>
      <c r="L117" s="152">
        <f t="shared" si="300"/>
        <v>0</v>
      </c>
      <c r="M117" s="152">
        <f t="shared" si="300"/>
        <v>0</v>
      </c>
      <c r="N117" s="152">
        <f t="shared" si="300"/>
        <v>0</v>
      </c>
      <c r="O117" s="152">
        <f t="shared" si="300"/>
        <v>0</v>
      </c>
      <c r="P117" s="152">
        <f t="shared" si="300"/>
        <v>0</v>
      </c>
      <c r="Q117" s="152">
        <f t="shared" ref="Q117" si="301">Q32/Q25</f>
        <v>0</v>
      </c>
      <c r="R117" s="118" t="e">
        <f t="shared" si="221"/>
        <v>#DIV/0!</v>
      </c>
      <c r="S117" s="20"/>
      <c r="T117" s="152">
        <f t="shared" ref="T117:AC117" si="302">T32/T25</f>
        <v>0</v>
      </c>
      <c r="U117" s="152">
        <f t="shared" si="302"/>
        <v>0</v>
      </c>
      <c r="V117" s="152">
        <f t="shared" si="302"/>
        <v>0</v>
      </c>
      <c r="W117" s="152">
        <f t="shared" si="302"/>
        <v>0</v>
      </c>
      <c r="X117" s="152">
        <f t="shared" si="302"/>
        <v>0</v>
      </c>
      <c r="Y117" s="152">
        <f t="shared" si="302"/>
        <v>0</v>
      </c>
      <c r="Z117" s="152">
        <f t="shared" si="302"/>
        <v>0</v>
      </c>
      <c r="AA117" s="152">
        <f t="shared" si="302"/>
        <v>0</v>
      </c>
      <c r="AB117" s="152">
        <f t="shared" si="302"/>
        <v>0</v>
      </c>
      <c r="AC117" s="152">
        <f t="shared" si="302"/>
        <v>0</v>
      </c>
      <c r="AD117" s="138" t="e">
        <f t="shared" si="223"/>
        <v>#DIV/0!</v>
      </c>
      <c r="AE117" s="20"/>
      <c r="AF117" s="20"/>
    </row>
    <row r="118" spans="2:32" x14ac:dyDescent="0.2">
      <c r="B118" s="20"/>
      <c r="C118" s="20"/>
      <c r="D118" s="20"/>
      <c r="E118" s="20"/>
      <c r="F118" s="20"/>
      <c r="G118" s="152"/>
      <c r="H118" s="152"/>
      <c r="I118" s="152"/>
      <c r="J118" s="152"/>
      <c r="K118" s="152"/>
      <c r="L118" s="152"/>
      <c r="M118" s="152"/>
      <c r="N118" s="152"/>
      <c r="O118" s="152"/>
      <c r="P118" s="152"/>
      <c r="Q118" s="152"/>
      <c r="R118" s="128"/>
      <c r="S118" s="20"/>
      <c r="T118" s="152"/>
      <c r="U118" s="152"/>
      <c r="V118" s="152"/>
      <c r="W118" s="152"/>
      <c r="X118" s="152"/>
      <c r="Y118" s="152"/>
      <c r="Z118" s="152"/>
      <c r="AA118" s="152"/>
      <c r="AB118" s="152"/>
      <c r="AC118" s="152"/>
      <c r="AD118" s="128"/>
      <c r="AE118" s="20"/>
      <c r="AF118" s="20"/>
    </row>
    <row r="119" spans="2:32" x14ac:dyDescent="0.2">
      <c r="B119" s="20" t="s">
        <v>354</v>
      </c>
      <c r="C119" s="20"/>
      <c r="D119" s="20"/>
      <c r="E119" s="20"/>
      <c r="F119" s="20"/>
      <c r="G119" s="152">
        <f>G27/G25</f>
        <v>0.30501930501930502</v>
      </c>
      <c r="H119" s="152">
        <f t="shared" ref="H119:P119" si="303">H27/H25</f>
        <v>0.29190751445086704</v>
      </c>
      <c r="I119" s="152">
        <f t="shared" si="303"/>
        <v>0.29437706725468576</v>
      </c>
      <c r="J119" s="152">
        <f t="shared" si="303"/>
        <v>0.27652050919377652</v>
      </c>
      <c r="K119" s="152">
        <f t="shared" si="303"/>
        <v>0.22182109907741676</v>
      </c>
      <c r="L119" s="152">
        <f t="shared" si="303"/>
        <v>0.21085146387322051</v>
      </c>
      <c r="M119" s="152">
        <f t="shared" si="303"/>
        <v>0.2018226272505001</v>
      </c>
      <c r="N119" s="152">
        <f t="shared" si="303"/>
        <v>0.25158371040723981</v>
      </c>
      <c r="O119" s="152">
        <f t="shared" si="303"/>
        <v>0.27028340080971658</v>
      </c>
      <c r="P119" s="152">
        <f t="shared" si="303"/>
        <v>0.25302922309337134</v>
      </c>
      <c r="Q119" s="152">
        <f t="shared" ref="Q119" si="304">Q27/Q25</f>
        <v>0.26816037735849058</v>
      </c>
      <c r="R119" s="118">
        <f t="shared" si="221"/>
        <v>-2.0549268374516649E-2</v>
      </c>
      <c r="S119" s="20"/>
      <c r="T119" s="152">
        <f t="shared" ref="T119:AC119" si="305">T27/T25</f>
        <v>0.26816037735849058</v>
      </c>
      <c r="U119" s="152">
        <f t="shared" si="305"/>
        <v>0.26816037735849058</v>
      </c>
      <c r="V119" s="152">
        <f t="shared" si="305"/>
        <v>0.26816037735849058</v>
      </c>
      <c r="W119" s="152">
        <f t="shared" si="305"/>
        <v>0.26816037735849058</v>
      </c>
      <c r="X119" s="152">
        <f t="shared" si="305"/>
        <v>0.26816037735849058</v>
      </c>
      <c r="Y119" s="152">
        <f t="shared" si="305"/>
        <v>0.26816037735849058</v>
      </c>
      <c r="Z119" s="152">
        <f t="shared" si="305"/>
        <v>0.26816037735849058</v>
      </c>
      <c r="AA119" s="152">
        <f t="shared" si="305"/>
        <v>0.26816037735849058</v>
      </c>
      <c r="AB119" s="152">
        <f t="shared" si="305"/>
        <v>0.26816037735849058</v>
      </c>
      <c r="AC119" s="152">
        <f t="shared" si="305"/>
        <v>0.26816037735849063</v>
      </c>
      <c r="AD119" s="138">
        <f t="shared" si="223"/>
        <v>-6.4188031647653965E-3</v>
      </c>
      <c r="AE119" s="20"/>
      <c r="AF119" s="20"/>
    </row>
    <row r="120" spans="2:32" x14ac:dyDescent="0.2">
      <c r="B120" s="20" t="str">
        <f>B33</f>
        <v>Top Expenses ( Raw material )</v>
      </c>
      <c r="C120" s="20"/>
      <c r="D120" s="20"/>
      <c r="E120" s="20"/>
      <c r="F120" s="20"/>
      <c r="G120" s="152">
        <f>G33/G25</f>
        <v>3.0888030888030889E-2</v>
      </c>
      <c r="H120" s="152">
        <f t="shared" ref="H120:P120" si="306">H33/H25</f>
        <v>2.8901734104046242E-2</v>
      </c>
      <c r="I120" s="152">
        <f t="shared" si="306"/>
        <v>2.8665931642778392E-2</v>
      </c>
      <c r="J120" s="152">
        <f t="shared" si="306"/>
        <v>2.050919377652051E-2</v>
      </c>
      <c r="K120" s="152">
        <f t="shared" si="306"/>
        <v>2.1660649819494584E-2</v>
      </c>
      <c r="L120" s="152">
        <f t="shared" si="306"/>
        <v>1.6116035455278E-2</v>
      </c>
      <c r="M120" s="152">
        <f t="shared" si="306"/>
        <v>1.2447210491220271E-2</v>
      </c>
      <c r="N120" s="152">
        <f t="shared" si="306"/>
        <v>1.5022624434389141E-2</v>
      </c>
      <c r="O120" s="152">
        <f t="shared" si="306"/>
        <v>6.8502024291497973E-2</v>
      </c>
      <c r="P120" s="152">
        <f t="shared" si="306"/>
        <v>6.6286528866714184E-2</v>
      </c>
      <c r="Q120" s="152">
        <f t="shared" ref="Q120" si="307">Q33/Q25</f>
        <v>0.21261792452830189</v>
      </c>
      <c r="R120" s="118">
        <f t="shared" si="221"/>
        <v>8.8549892884197234E-2</v>
      </c>
      <c r="S120" s="20"/>
      <c r="T120" s="152">
        <f t="shared" ref="T120:AC120" si="308">T33/T25</f>
        <v>0.21261792452830189</v>
      </c>
      <c r="U120" s="152">
        <f t="shared" si="308"/>
        <v>0.21261792452830189</v>
      </c>
      <c r="V120" s="152">
        <f t="shared" si="308"/>
        <v>0.21261792452830189</v>
      </c>
      <c r="W120" s="152">
        <f t="shared" si="308"/>
        <v>0.21261792452830189</v>
      </c>
      <c r="X120" s="152">
        <f t="shared" si="308"/>
        <v>0.21261792452830189</v>
      </c>
      <c r="Y120" s="152">
        <f t="shared" si="308"/>
        <v>0.21261792452830189</v>
      </c>
      <c r="Z120" s="152">
        <f t="shared" si="308"/>
        <v>0.21261792452830189</v>
      </c>
      <c r="AA120" s="152">
        <f t="shared" si="308"/>
        <v>0.21261792452830189</v>
      </c>
      <c r="AB120" s="152">
        <f t="shared" si="308"/>
        <v>0.21261792452830189</v>
      </c>
      <c r="AC120" s="152">
        <f t="shared" si="308"/>
        <v>0.21261792452830189</v>
      </c>
      <c r="AD120" s="138">
        <f t="shared" si="223"/>
        <v>0.10126156588776336</v>
      </c>
      <c r="AE120" s="20"/>
      <c r="AF120" s="20"/>
    </row>
    <row r="121" spans="2:32" x14ac:dyDescent="0.2">
      <c r="B121" s="20" t="str">
        <f>B34</f>
        <v>2nd highest Expenses Comp. ( Empl )</v>
      </c>
      <c r="C121" s="20"/>
      <c r="D121" s="20"/>
      <c r="E121" s="20"/>
      <c r="F121" s="20"/>
      <c r="G121" s="152">
        <f>G34/G25</f>
        <v>4.2471042471042469E-2</v>
      </c>
      <c r="H121" s="152">
        <f t="shared" ref="H121:P121" si="309">H34/H25</f>
        <v>4.046242774566474E-2</v>
      </c>
      <c r="I121" s="152">
        <f t="shared" si="309"/>
        <v>5.1819184123484012E-2</v>
      </c>
      <c r="J121" s="152">
        <f t="shared" si="309"/>
        <v>5.0919377652050922E-2</v>
      </c>
      <c r="K121" s="152">
        <f t="shared" si="309"/>
        <v>5.0140393100681913E-2</v>
      </c>
      <c r="L121" s="152">
        <f t="shared" si="309"/>
        <v>5.3720118184260007E-2</v>
      </c>
      <c r="M121" s="152">
        <f t="shared" si="309"/>
        <v>5.0011113580795734E-2</v>
      </c>
      <c r="N121" s="152">
        <f t="shared" si="309"/>
        <v>6.714932126696832E-2</v>
      </c>
      <c r="O121" s="152">
        <f t="shared" si="309"/>
        <v>6.5910931174089069E-2</v>
      </c>
      <c r="P121" s="152">
        <f t="shared" si="309"/>
        <v>6.2437633642195296E-2</v>
      </c>
      <c r="Q121" s="152">
        <f t="shared" ref="Q121" si="310">Q34/Q25</f>
        <v>5.5542452830188681E-2</v>
      </c>
      <c r="R121" s="118">
        <f t="shared" si="221"/>
        <v>4.3746025882437145E-2</v>
      </c>
      <c r="S121" s="20"/>
      <c r="T121" s="152">
        <f t="shared" ref="T121:AC121" si="311">T34/T25</f>
        <v>5.5542452830188688E-2</v>
      </c>
      <c r="U121" s="152">
        <f t="shared" si="311"/>
        <v>5.5542452830188681E-2</v>
      </c>
      <c r="V121" s="152">
        <f t="shared" si="311"/>
        <v>5.5542452830188688E-2</v>
      </c>
      <c r="W121" s="152">
        <f t="shared" si="311"/>
        <v>5.5542452830188688E-2</v>
      </c>
      <c r="X121" s="152">
        <f t="shared" si="311"/>
        <v>5.5542452830188688E-2</v>
      </c>
      <c r="Y121" s="152">
        <f t="shared" si="311"/>
        <v>5.5542452830188688E-2</v>
      </c>
      <c r="Z121" s="152">
        <f t="shared" si="311"/>
        <v>5.5542452830188688E-2</v>
      </c>
      <c r="AA121" s="152">
        <f t="shared" si="311"/>
        <v>5.5542452830188688E-2</v>
      </c>
      <c r="AB121" s="152">
        <f t="shared" si="311"/>
        <v>5.5542452830188695E-2</v>
      </c>
      <c r="AC121" s="152">
        <f t="shared" si="311"/>
        <v>5.5542452830188702E-2</v>
      </c>
      <c r="AD121" s="138">
        <f t="shared" si="223"/>
        <v>1.3506659524298303E-2</v>
      </c>
      <c r="AE121" s="20"/>
      <c r="AF121" s="20"/>
    </row>
    <row r="122" spans="2:32" x14ac:dyDescent="0.2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128"/>
      <c r="S122" s="128"/>
      <c r="T122" s="119"/>
      <c r="U122" s="119"/>
      <c r="V122" s="119"/>
      <c r="W122" s="119"/>
      <c r="X122" s="119"/>
      <c r="Y122" s="119"/>
      <c r="Z122" s="119"/>
      <c r="AA122" s="119"/>
      <c r="AB122" s="119"/>
      <c r="AC122" s="119"/>
      <c r="AD122" s="139"/>
      <c r="AE122" s="20"/>
      <c r="AF122" s="20"/>
    </row>
    <row r="123" spans="2:32" x14ac:dyDescent="0.2">
      <c r="B123" s="108" t="s">
        <v>362</v>
      </c>
      <c r="C123" s="20"/>
      <c r="D123" s="20"/>
      <c r="E123" s="20"/>
      <c r="F123" s="20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118"/>
      <c r="S123" s="128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138"/>
      <c r="AE123" s="20"/>
      <c r="AF123" s="20"/>
    </row>
    <row r="124" spans="2:32" x14ac:dyDescent="0.2">
      <c r="B124" s="20" t="s">
        <v>365</v>
      </c>
      <c r="C124" s="20"/>
      <c r="D124" s="20"/>
      <c r="E124" s="20"/>
      <c r="F124" s="20"/>
      <c r="G124" s="25">
        <f>G15/G9</f>
        <v>3.1781609195402298</v>
      </c>
      <c r="H124" s="25">
        <f t="shared" ref="H124:AC124" si="312">H15/H9</f>
        <v>1.9871794871794872</v>
      </c>
      <c r="I124" s="25">
        <f t="shared" si="312"/>
        <v>0.62281879194630874</v>
      </c>
      <c r="J124" s="25">
        <f t="shared" si="312"/>
        <v>0.43321718931475028</v>
      </c>
      <c r="K124" s="25">
        <f t="shared" si="312"/>
        <v>0.37321937321937321</v>
      </c>
      <c r="L124" s="25">
        <f t="shared" si="312"/>
        <v>0.48903406439570696</v>
      </c>
      <c r="M124" s="25">
        <f t="shared" si="312"/>
        <v>0.45020429009193053</v>
      </c>
      <c r="N124" s="25">
        <f t="shared" si="312"/>
        <v>0.17602217602217601</v>
      </c>
      <c r="O124" s="25">
        <f t="shared" si="312"/>
        <v>0.49268789337282487</v>
      </c>
      <c r="P124" s="25">
        <f t="shared" si="312"/>
        <v>0.50641894585758707</v>
      </c>
      <c r="Q124" s="25">
        <f t="shared" ref="Q124" si="313">Q15/Q9</f>
        <v>0.47942899468049288</v>
      </c>
      <c r="R124" s="118">
        <f t="shared" si="221"/>
        <v>-0.18460048026647435</v>
      </c>
      <c r="S124" s="20"/>
      <c r="T124" s="20">
        <f t="shared" si="312"/>
        <v>0.47942899468049283</v>
      </c>
      <c r="U124" s="20">
        <f t="shared" si="312"/>
        <v>0.47942899468049283</v>
      </c>
      <c r="V124" s="20">
        <f t="shared" si="312"/>
        <v>0.47942899468049283</v>
      </c>
      <c r="W124" s="20">
        <f t="shared" si="312"/>
        <v>0.47942899468049288</v>
      </c>
      <c r="X124" s="20">
        <f t="shared" si="312"/>
        <v>0.47942899468049294</v>
      </c>
      <c r="Y124" s="20">
        <f t="shared" si="312"/>
        <v>0.47942899468049294</v>
      </c>
      <c r="Z124" s="20">
        <f t="shared" si="312"/>
        <v>0.47942899468049294</v>
      </c>
      <c r="AA124" s="20">
        <f t="shared" si="312"/>
        <v>0.47942899468049294</v>
      </c>
      <c r="AB124" s="20">
        <f t="shared" si="312"/>
        <v>0.47942899468049299</v>
      </c>
      <c r="AC124" s="20">
        <f t="shared" si="312"/>
        <v>0.47942899468049294</v>
      </c>
      <c r="AD124" s="138">
        <f t="shared" si="223"/>
        <v>-9.0238779535339098E-2</v>
      </c>
      <c r="AE124" s="20"/>
      <c r="AF124" s="20"/>
    </row>
    <row r="125" spans="2:32" x14ac:dyDescent="0.2">
      <c r="B125" s="20" t="s">
        <v>355</v>
      </c>
      <c r="C125" s="20"/>
      <c r="D125" s="20"/>
      <c r="E125" s="20"/>
      <c r="F125" s="20"/>
      <c r="G125" s="25">
        <f>G12/G9</f>
        <v>0.92528735632183912</v>
      </c>
      <c r="H125" s="25">
        <f t="shared" ref="H125:P125" si="314">H12/H9</f>
        <v>0.76923076923076927</v>
      </c>
      <c r="I125" s="25">
        <f t="shared" si="314"/>
        <v>0.338255033557047</v>
      </c>
      <c r="J125" s="25">
        <f t="shared" si="314"/>
        <v>2.1033681765389081</v>
      </c>
      <c r="K125" s="25">
        <f t="shared" si="314"/>
        <v>1.9529914529914529</v>
      </c>
      <c r="L125" s="25">
        <f t="shared" si="314"/>
        <v>2.9902006532897807</v>
      </c>
      <c r="M125" s="25">
        <f t="shared" si="314"/>
        <v>1.611338100102145</v>
      </c>
      <c r="N125" s="25">
        <f t="shared" si="314"/>
        <v>1.2051282051282051</v>
      </c>
      <c r="O125" s="25">
        <f t="shared" si="314"/>
        <v>0.49250277674935211</v>
      </c>
      <c r="P125" s="25">
        <f t="shared" si="314"/>
        <v>0.50641894585758707</v>
      </c>
      <c r="Q125" s="25">
        <f t="shared" ref="Q125" si="315">Q12/Q9</f>
        <v>0.47929432361457142</v>
      </c>
      <c r="R125" s="118">
        <f t="shared" si="221"/>
        <v>-6.4777787943641862E-2</v>
      </c>
      <c r="S125" s="128"/>
      <c r="T125" s="20">
        <f t="shared" ref="T125:AC125" si="316">T12/T9</f>
        <v>0.47929432361457136</v>
      </c>
      <c r="U125" s="20">
        <f t="shared" si="316"/>
        <v>0.47929432361457136</v>
      </c>
      <c r="V125" s="20">
        <f t="shared" si="316"/>
        <v>0.47929432361457136</v>
      </c>
      <c r="W125" s="20">
        <f t="shared" si="316"/>
        <v>0.47929432361457136</v>
      </c>
      <c r="X125" s="20">
        <f t="shared" si="316"/>
        <v>0.47929432361457136</v>
      </c>
      <c r="Y125" s="20">
        <f t="shared" si="316"/>
        <v>0.47929432361457136</v>
      </c>
      <c r="Z125" s="20">
        <f t="shared" si="316"/>
        <v>0.47929432361457136</v>
      </c>
      <c r="AA125" s="20">
        <f t="shared" si="316"/>
        <v>0.47929432361457142</v>
      </c>
      <c r="AB125" s="20">
        <f t="shared" si="316"/>
        <v>0.47929432361457147</v>
      </c>
      <c r="AC125" s="20">
        <f t="shared" si="316"/>
        <v>0.47929432361457147</v>
      </c>
      <c r="AD125" s="118">
        <f t="shared" ref="AD125" si="317">((AC125/T125)^(1/($H$2-$H$1) ))-1</f>
        <v>0</v>
      </c>
      <c r="AE125" s="20"/>
      <c r="AF125" s="20"/>
    </row>
    <row r="126" spans="2:32" x14ac:dyDescent="0.2">
      <c r="B126" s="20" t="s">
        <v>357</v>
      </c>
      <c r="C126" s="20"/>
      <c r="D126" s="20"/>
      <c r="E126" s="20"/>
      <c r="F126" s="20"/>
      <c r="G126" s="25">
        <f>G25/360</f>
        <v>0.71944444444444444</v>
      </c>
      <c r="H126" s="25">
        <f t="shared" ref="H126:P126" si="318">H25/360</f>
        <v>0.96111111111111114</v>
      </c>
      <c r="I126" s="25">
        <f t="shared" si="318"/>
        <v>2.5194444444444444</v>
      </c>
      <c r="J126" s="25">
        <f t="shared" si="318"/>
        <v>3.9277777777777776</v>
      </c>
      <c r="K126" s="25">
        <f t="shared" si="318"/>
        <v>6.9249999999999998</v>
      </c>
      <c r="L126" s="25">
        <f t="shared" si="318"/>
        <v>10.341666666666667</v>
      </c>
      <c r="M126" s="25">
        <f t="shared" si="318"/>
        <v>12.497222222222222</v>
      </c>
      <c r="N126" s="25">
        <f t="shared" si="318"/>
        <v>15.347222222222221</v>
      </c>
      <c r="O126" s="25">
        <f t="shared" si="318"/>
        <v>17.152777777777779</v>
      </c>
      <c r="P126" s="25">
        <f t="shared" si="318"/>
        <v>19.486111111111111</v>
      </c>
      <c r="Q126" s="25">
        <f t="shared" ref="Q126" si="319">Q25/360</f>
        <v>23.555555555555557</v>
      </c>
      <c r="R126" s="118">
        <f t="shared" si="221"/>
        <v>0.4427530136444473</v>
      </c>
      <c r="S126" s="128"/>
      <c r="T126" s="25">
        <f t="shared" ref="T126:AC126" si="320">T25/360</f>
        <v>26.382222222222222</v>
      </c>
      <c r="U126" s="25">
        <f t="shared" si="320"/>
        <v>29.548088888888895</v>
      </c>
      <c r="V126" s="25">
        <f t="shared" si="320"/>
        <v>33.093859555555561</v>
      </c>
      <c r="W126" s="25">
        <f t="shared" si="320"/>
        <v>37.065122702222233</v>
      </c>
      <c r="X126" s="25">
        <f t="shared" si="320"/>
        <v>41.512937426488904</v>
      </c>
      <c r="Y126" s="25">
        <f t="shared" si="320"/>
        <v>46.494489917667579</v>
      </c>
      <c r="Z126" s="25">
        <f t="shared" si="320"/>
        <v>52.07382870778769</v>
      </c>
      <c r="AA126" s="25">
        <f t="shared" si="320"/>
        <v>58.322688152722222</v>
      </c>
      <c r="AB126" s="25">
        <f t="shared" si="320"/>
        <v>65.3214107310489</v>
      </c>
      <c r="AC126" s="25">
        <f t="shared" si="320"/>
        <v>73.15998001877476</v>
      </c>
      <c r="AD126" s="118">
        <f t="shared" ref="AD126:AD137" si="321">((AC126/T126)^(1/($H$2-$H$1) ))-1</f>
        <v>0.12000000000000011</v>
      </c>
      <c r="AE126" s="20"/>
      <c r="AF126" s="20"/>
    </row>
    <row r="127" spans="2:32" x14ac:dyDescent="0.2">
      <c r="B127" s="20" t="s">
        <v>356</v>
      </c>
      <c r="C127" s="20"/>
      <c r="D127" s="20"/>
      <c r="E127" s="20"/>
      <c r="F127" s="20"/>
      <c r="G127" s="25">
        <f>G27/360</f>
        <v>0.21944444444444444</v>
      </c>
      <c r="H127" s="25">
        <f t="shared" ref="H127:P127" si="322">H27/360</f>
        <v>0.28055555555555556</v>
      </c>
      <c r="I127" s="25">
        <f t="shared" si="322"/>
        <v>0.7416666666666667</v>
      </c>
      <c r="J127" s="25">
        <f t="shared" si="322"/>
        <v>1.086111111111111</v>
      </c>
      <c r="K127" s="25">
        <f t="shared" si="322"/>
        <v>1.5361111111111112</v>
      </c>
      <c r="L127" s="25">
        <f t="shared" si="322"/>
        <v>2.1805555555555554</v>
      </c>
      <c r="M127" s="25">
        <f t="shared" si="322"/>
        <v>2.5222222222222221</v>
      </c>
      <c r="N127" s="25">
        <f t="shared" si="322"/>
        <v>3.8611111111111112</v>
      </c>
      <c r="O127" s="25">
        <f t="shared" si="322"/>
        <v>4.6361111111111111</v>
      </c>
      <c r="P127" s="25">
        <f t="shared" si="322"/>
        <v>4.9305555555555554</v>
      </c>
      <c r="Q127" s="25">
        <f t="shared" ref="Q127" si="323">Q27/360</f>
        <v>6.3166666666666664</v>
      </c>
      <c r="R127" s="118">
        <f t="shared" si="221"/>
        <v>0.41310549476892477</v>
      </c>
      <c r="S127" s="128"/>
      <c r="T127" s="25">
        <f t="shared" ref="T127:AC127" si="324">T27/360</f>
        <v>7.0746666666666673</v>
      </c>
      <c r="U127" s="25">
        <f t="shared" si="324"/>
        <v>7.9236266666666682</v>
      </c>
      <c r="V127" s="25">
        <f t="shared" si="324"/>
        <v>8.8744618666666693</v>
      </c>
      <c r="W127" s="25">
        <f t="shared" si="324"/>
        <v>9.9393972906666708</v>
      </c>
      <c r="X127" s="25">
        <f t="shared" si="324"/>
        <v>11.132124965546673</v>
      </c>
      <c r="Y127" s="25">
        <f t="shared" si="324"/>
        <v>12.467979961412274</v>
      </c>
      <c r="Z127" s="25">
        <f t="shared" si="324"/>
        <v>13.964137556781747</v>
      </c>
      <c r="AA127" s="25">
        <f t="shared" si="324"/>
        <v>15.639834063595559</v>
      </c>
      <c r="AB127" s="25">
        <f t="shared" si="324"/>
        <v>17.516614151227028</v>
      </c>
      <c r="AC127" s="25">
        <f t="shared" si="324"/>
        <v>19.618607849374275</v>
      </c>
      <c r="AD127" s="118">
        <f t="shared" si="321"/>
        <v>0.12000000000000011</v>
      </c>
      <c r="AE127" s="20"/>
      <c r="AF127" s="20"/>
    </row>
    <row r="128" spans="2:32" x14ac:dyDescent="0.2">
      <c r="B128" s="20"/>
      <c r="C128" s="20"/>
      <c r="D128" s="20"/>
      <c r="E128" s="20"/>
      <c r="F128" s="20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128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128"/>
      <c r="AE128" s="20"/>
      <c r="AF128" s="20"/>
    </row>
    <row r="129" spans="2:32" x14ac:dyDescent="0.2">
      <c r="B129" s="20" t="s">
        <v>366</v>
      </c>
      <c r="C129" s="20"/>
      <c r="D129" s="20"/>
      <c r="E129" s="20"/>
      <c r="F129" s="20"/>
      <c r="G129" s="25">
        <f>G10/G7</f>
        <v>6.9847328244274811</v>
      </c>
      <c r="H129" s="25">
        <f t="shared" ref="H129:P129" si="325">H10/H7</f>
        <v>6.6412556053811658</v>
      </c>
      <c r="I129" s="25">
        <f t="shared" si="325"/>
        <v>5.2395709177592371</v>
      </c>
      <c r="J129" s="25">
        <f t="shared" si="325"/>
        <v>8.0460405156537753</v>
      </c>
      <c r="K129" s="25">
        <f t="shared" si="325"/>
        <v>8.1375894331315362</v>
      </c>
      <c r="L129" s="25">
        <f t="shared" si="325"/>
        <v>8.687823834196891</v>
      </c>
      <c r="M129" s="25">
        <f t="shared" si="325"/>
        <v>4.802029136316337</v>
      </c>
      <c r="N129" s="25">
        <f t="shared" si="325"/>
        <v>4.126098508072757</v>
      </c>
      <c r="O129" s="25">
        <f t="shared" si="325"/>
        <v>3.0895225464190981</v>
      </c>
      <c r="P129" s="25">
        <f t="shared" si="325"/>
        <v>3.5357775657625732</v>
      </c>
      <c r="Q129" s="25">
        <f t="shared" ref="Q129" si="326">Q10/Q7</f>
        <v>3.2144535840188015</v>
      </c>
      <c r="R129" s="118">
        <f t="shared" si="221"/>
        <v>-7.2853531096490398E-2</v>
      </c>
      <c r="S129" s="128"/>
      <c r="T129" s="25">
        <f t="shared" ref="T129:AC129" si="327">T10/T7</f>
        <v>3.2144535840188015</v>
      </c>
      <c r="U129" s="25">
        <f t="shared" si="327"/>
        <v>3.214453584018802</v>
      </c>
      <c r="V129" s="25">
        <f t="shared" si="327"/>
        <v>3.214453584018802</v>
      </c>
      <c r="W129" s="25">
        <f t="shared" si="327"/>
        <v>3.2144535840188015</v>
      </c>
      <c r="X129" s="25">
        <f t="shared" si="327"/>
        <v>3.214453584018802</v>
      </c>
      <c r="Y129" s="25">
        <f t="shared" si="327"/>
        <v>3.2144535840188015</v>
      </c>
      <c r="Z129" s="25">
        <f t="shared" si="327"/>
        <v>3.2144535840188015</v>
      </c>
      <c r="AA129" s="25">
        <f t="shared" si="327"/>
        <v>3.2144535840188011</v>
      </c>
      <c r="AB129" s="25">
        <f t="shared" si="327"/>
        <v>3.2144535840188011</v>
      </c>
      <c r="AC129" s="25">
        <f t="shared" si="327"/>
        <v>3.2144535840188011</v>
      </c>
      <c r="AD129" s="118">
        <f t="shared" si="321"/>
        <v>0</v>
      </c>
      <c r="AE129" s="20"/>
      <c r="AF129" s="20"/>
    </row>
    <row r="130" spans="2:32" x14ac:dyDescent="0.2">
      <c r="B130" s="20" t="s">
        <v>358</v>
      </c>
      <c r="C130" s="20"/>
      <c r="D130" s="20"/>
      <c r="E130" s="20"/>
      <c r="F130" s="20"/>
      <c r="G130" s="25">
        <f>G10/(G10+G7)</f>
        <v>0.87476099426386233</v>
      </c>
      <c r="H130" s="25">
        <f t="shared" ref="H130:P130" si="328">H10/(H10+H7)</f>
        <v>0.869131455399061</v>
      </c>
      <c r="I130" s="25">
        <f t="shared" si="328"/>
        <v>0.83973256924546325</v>
      </c>
      <c r="J130" s="25">
        <f t="shared" si="328"/>
        <v>0.88945439739413679</v>
      </c>
      <c r="K130" s="25">
        <f t="shared" si="328"/>
        <v>0.89056194663615007</v>
      </c>
      <c r="L130" s="25">
        <f t="shared" si="328"/>
        <v>0.89677764407006288</v>
      </c>
      <c r="M130" s="25">
        <f t="shared" si="328"/>
        <v>0.82764650495449044</v>
      </c>
      <c r="N130" s="25">
        <f t="shared" si="328"/>
        <v>0.80491986284985251</v>
      </c>
      <c r="O130" s="25">
        <f t="shared" si="328"/>
        <v>0.75547267715258637</v>
      </c>
      <c r="P130" s="25">
        <f t="shared" si="328"/>
        <v>0.77953063493494401</v>
      </c>
      <c r="Q130" s="25">
        <f t="shared" ref="Q130" si="329">Q10/(Q10+Q7)</f>
        <v>0.76272131604628468</v>
      </c>
      <c r="R130" s="118">
        <f t="shared" si="221"/>
        <v>-1.2724868882386775E-2</v>
      </c>
      <c r="S130" s="128"/>
      <c r="T130" s="25">
        <f t="shared" ref="T130:AC130" si="330">T10/(T10+T7)</f>
        <v>0.76272131604628468</v>
      </c>
      <c r="U130" s="25">
        <f t="shared" si="330"/>
        <v>0.76272131604628468</v>
      </c>
      <c r="V130" s="25">
        <f t="shared" si="330"/>
        <v>0.76272131604628479</v>
      </c>
      <c r="W130" s="25">
        <f t="shared" si="330"/>
        <v>0.76272131604628468</v>
      </c>
      <c r="X130" s="25">
        <f t="shared" si="330"/>
        <v>0.76272131604628468</v>
      </c>
      <c r="Y130" s="25">
        <f t="shared" si="330"/>
        <v>0.76272131604628457</v>
      </c>
      <c r="Z130" s="25">
        <f t="shared" si="330"/>
        <v>0.76272131604628468</v>
      </c>
      <c r="AA130" s="25">
        <f t="shared" si="330"/>
        <v>0.76272131604628457</v>
      </c>
      <c r="AB130" s="25">
        <f t="shared" si="330"/>
        <v>0.76272131604628457</v>
      </c>
      <c r="AC130" s="25">
        <f t="shared" si="330"/>
        <v>0.76272131604628468</v>
      </c>
      <c r="AD130" s="118">
        <f t="shared" si="321"/>
        <v>0</v>
      </c>
      <c r="AE130" s="20"/>
      <c r="AF130" s="20"/>
    </row>
    <row r="131" spans="2:32" x14ac:dyDescent="0.2">
      <c r="B131" s="20"/>
      <c r="C131" s="20"/>
      <c r="D131" s="20"/>
      <c r="E131" s="20"/>
      <c r="F131" s="20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128"/>
      <c r="S131" s="128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137"/>
      <c r="AE131" s="20"/>
      <c r="AF131" s="20"/>
    </row>
    <row r="132" spans="2:32" x14ac:dyDescent="0.2">
      <c r="B132" s="20" t="s">
        <v>363</v>
      </c>
      <c r="C132" s="20"/>
      <c r="D132" s="20"/>
      <c r="E132" s="20"/>
      <c r="F132" s="20"/>
      <c r="G132" s="25">
        <f>G16</f>
        <v>988</v>
      </c>
      <c r="H132" s="25">
        <f t="shared" ref="H132:P132" si="331">H16</f>
        <v>1651</v>
      </c>
      <c r="I132" s="25">
        <f t="shared" si="331"/>
        <v>5068</v>
      </c>
      <c r="J132" s="25">
        <f t="shared" si="331"/>
        <v>9432</v>
      </c>
      <c r="K132" s="25">
        <f t="shared" si="331"/>
        <v>16444</v>
      </c>
      <c r="L132" s="25">
        <f t="shared" si="331"/>
        <v>22373</v>
      </c>
      <c r="M132" s="25">
        <f t="shared" si="331"/>
        <v>22136</v>
      </c>
      <c r="N132" s="25">
        <f t="shared" si="331"/>
        <v>24690</v>
      </c>
      <c r="O132" s="25">
        <f t="shared" si="331"/>
        <v>20949</v>
      </c>
      <c r="P132" s="25">
        <f t="shared" si="331"/>
        <v>29928</v>
      </c>
      <c r="Q132" s="25">
        <f t="shared" ref="Q132" si="332">Q16</f>
        <v>33275</v>
      </c>
      <c r="R132" s="118">
        <f t="shared" si="221"/>
        <v>0.46080146089049023</v>
      </c>
      <c r="S132" s="128"/>
      <c r="T132" s="25">
        <f t="shared" ref="T132:AC132" si="333">T16</f>
        <v>37268</v>
      </c>
      <c r="U132" s="25">
        <f t="shared" si="333"/>
        <v>41740.160000000003</v>
      </c>
      <c r="V132" s="25">
        <f t="shared" si="333"/>
        <v>46748.979200000009</v>
      </c>
      <c r="W132" s="25">
        <f t="shared" si="333"/>
        <v>52358.856704000013</v>
      </c>
      <c r="X132" s="25">
        <f t="shared" si="333"/>
        <v>58641.919508480023</v>
      </c>
      <c r="Y132" s="25">
        <f t="shared" si="333"/>
        <v>65678.949849497629</v>
      </c>
      <c r="Z132" s="25">
        <f t="shared" si="333"/>
        <v>73560.423831437351</v>
      </c>
      <c r="AA132" s="25">
        <f t="shared" si="333"/>
        <v>82387.674691209846</v>
      </c>
      <c r="AB132" s="25">
        <f t="shared" si="333"/>
        <v>92274.195654155032</v>
      </c>
      <c r="AC132" s="25">
        <f t="shared" si="333"/>
        <v>103347.09913265365</v>
      </c>
      <c r="AD132" s="118">
        <f t="shared" si="321"/>
        <v>0.12000000000000011</v>
      </c>
      <c r="AE132" s="20"/>
      <c r="AF132" s="20"/>
    </row>
    <row r="133" spans="2:32" x14ac:dyDescent="0.2">
      <c r="B133" s="20" t="s">
        <v>364</v>
      </c>
      <c r="C133" s="20"/>
      <c r="D133" s="20"/>
      <c r="E133" s="20"/>
      <c r="F133" s="20"/>
      <c r="G133" s="119">
        <f t="shared" ref="G133:P133" si="334">G132*365/G25</f>
        <v>1392.3552123552124</v>
      </c>
      <c r="H133" s="119">
        <f t="shared" si="334"/>
        <v>1741.6618497109826</v>
      </c>
      <c r="I133" s="119">
        <f t="shared" si="334"/>
        <v>2039.4928335170894</v>
      </c>
      <c r="J133" s="119">
        <f t="shared" si="334"/>
        <v>2434.7100424328146</v>
      </c>
      <c r="K133" s="119">
        <f t="shared" si="334"/>
        <v>2407.5651825110308</v>
      </c>
      <c r="L133" s="119">
        <f t="shared" si="334"/>
        <v>2193.4313725490197</v>
      </c>
      <c r="M133" s="119">
        <f t="shared" si="334"/>
        <v>1795.8746388086242</v>
      </c>
      <c r="N133" s="119">
        <f t="shared" si="334"/>
        <v>1631.1040723981901</v>
      </c>
      <c r="O133" s="119">
        <f t="shared" si="334"/>
        <v>1238.280971659919</v>
      </c>
      <c r="P133" s="119">
        <f t="shared" si="334"/>
        <v>1557.1945830363507</v>
      </c>
      <c r="Q133" s="119">
        <f t="shared" ref="Q133" si="335">Q132*365/Q25</f>
        <v>1432.2376179245282</v>
      </c>
      <c r="R133" s="118">
        <f t="shared" si="221"/>
        <v>1.2509727635537704E-2</v>
      </c>
      <c r="S133" s="128"/>
      <c r="T133" s="119">
        <f t="shared" ref="T133:AC133" si="336">T132*365/T25</f>
        <v>1432.2376179245282</v>
      </c>
      <c r="U133" s="119">
        <f t="shared" si="336"/>
        <v>1432.2376179245282</v>
      </c>
      <c r="V133" s="119">
        <f t="shared" si="336"/>
        <v>1432.2376179245284</v>
      </c>
      <c r="W133" s="119">
        <f t="shared" si="336"/>
        <v>1432.2376179245284</v>
      </c>
      <c r="X133" s="119">
        <f t="shared" si="336"/>
        <v>1432.2376179245284</v>
      </c>
      <c r="Y133" s="119">
        <f t="shared" si="336"/>
        <v>1432.2376179245282</v>
      </c>
      <c r="Z133" s="119">
        <f t="shared" si="336"/>
        <v>1432.2376179245282</v>
      </c>
      <c r="AA133" s="119">
        <f t="shared" si="336"/>
        <v>1432.2376179245282</v>
      </c>
      <c r="AB133" s="119">
        <f t="shared" si="336"/>
        <v>1432.2376179245282</v>
      </c>
      <c r="AC133" s="119">
        <f t="shared" si="336"/>
        <v>1432.2376179245282</v>
      </c>
      <c r="AD133" s="118">
        <f t="shared" si="321"/>
        <v>0</v>
      </c>
      <c r="AE133" s="20"/>
      <c r="AF133" s="20"/>
    </row>
    <row r="134" spans="2:32" x14ac:dyDescent="0.2">
      <c r="B134" s="20" t="s">
        <v>367</v>
      </c>
      <c r="C134" s="20"/>
      <c r="D134" s="20"/>
      <c r="E134" s="20"/>
      <c r="F134" s="20"/>
      <c r="G134" s="133">
        <f>G80/G29</f>
        <v>0.34881586194235359</v>
      </c>
      <c r="H134" s="133">
        <f t="shared" ref="H134:P134" si="337">H80/H29</f>
        <v>0.2288887638130617</v>
      </c>
      <c r="I134" s="133">
        <f t="shared" si="337"/>
        <v>0.10198935275987671</v>
      </c>
      <c r="J134" s="133">
        <f t="shared" si="337"/>
        <v>7.6375738623916251E-2</v>
      </c>
      <c r="K134" s="133">
        <f t="shared" si="337"/>
        <v>7.2052044505234406E-2</v>
      </c>
      <c r="L134" s="133">
        <f t="shared" si="337"/>
        <v>7.2256005488175429E-2</v>
      </c>
      <c r="M134" s="133">
        <f t="shared" si="337"/>
        <v>6.8986895648928959E-2</v>
      </c>
      <c r="N134" s="133">
        <f t="shared" si="337"/>
        <v>7.6533876986428509E-2</v>
      </c>
      <c r="O134" s="133">
        <f t="shared" si="337"/>
        <v>7.8584056594475746E-2</v>
      </c>
      <c r="P134" s="133">
        <f t="shared" si="337"/>
        <v>7.5633242463682471E-2</v>
      </c>
      <c r="Q134" s="133">
        <f t="shared" ref="Q134" si="338">Q80/Q29</f>
        <v>6.5067277109161936E-2</v>
      </c>
      <c r="R134" s="118">
        <f t="shared" si="221"/>
        <v>-0.1562084615332251</v>
      </c>
      <c r="S134" s="128"/>
      <c r="T134" s="133">
        <f t="shared" ref="T134:AC134" si="339">T80/T29</f>
        <v>6.1968835342058971E-2</v>
      </c>
      <c r="U134" s="133">
        <f t="shared" si="339"/>
        <v>5.9017938421008553E-2</v>
      </c>
      <c r="V134" s="133">
        <f t="shared" si="339"/>
        <v>5.6207560400960518E-2</v>
      </c>
      <c r="W134" s="133">
        <f t="shared" si="339"/>
        <v>5.3531009905676691E-2</v>
      </c>
      <c r="X134" s="133">
        <f t="shared" si="339"/>
        <v>5.0981914195882563E-2</v>
      </c>
      <c r="Y134" s="133">
        <f t="shared" si="339"/>
        <v>4.8554203996078626E-2</v>
      </c>
      <c r="Z134" s="133">
        <f t="shared" si="339"/>
        <v>4.6242099043884405E-2</v>
      </c>
      <c r="AA134" s="133">
        <f t="shared" si="339"/>
        <v>4.4040094327508952E-2</v>
      </c>
      <c r="AB134" s="133">
        <f t="shared" si="339"/>
        <v>4.1942946978579955E-2</v>
      </c>
      <c r="AC134" s="133">
        <f t="shared" si="339"/>
        <v>3.9945663789123766E-2</v>
      </c>
      <c r="AD134" s="118">
        <f t="shared" si="321"/>
        <v>-4.7619047619047672E-2</v>
      </c>
      <c r="AE134" s="20"/>
      <c r="AF134" s="20"/>
    </row>
    <row r="135" spans="2:32" x14ac:dyDescent="0.2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128"/>
      <c r="S135" s="128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137"/>
      <c r="AE135" s="20"/>
      <c r="AF135" s="20"/>
    </row>
    <row r="136" spans="2:32" x14ac:dyDescent="0.2">
      <c r="B136" s="20" t="s">
        <v>374</v>
      </c>
      <c r="C136" s="20"/>
      <c r="D136" s="20"/>
      <c r="E136" s="20"/>
      <c r="F136" s="20"/>
      <c r="G136" s="180">
        <f>G25/G14</f>
        <v>0.58997722095671978</v>
      </c>
      <c r="H136" s="180">
        <f t="shared" ref="H136:P136" si="340">H25/H14</f>
        <v>1.2055749128919862</v>
      </c>
      <c r="I136" s="180">
        <f t="shared" si="340"/>
        <v>3.3223443223443225</v>
      </c>
      <c r="J136" s="180">
        <f t="shared" si="340"/>
        <v>25.25</v>
      </c>
      <c r="K136" s="180">
        <f t="shared" si="340"/>
        <v>3720.8955223880594</v>
      </c>
      <c r="L136" s="180">
        <f t="shared" si="340"/>
        <v>3723</v>
      </c>
      <c r="M136" s="180" t="e">
        <f t="shared" si="340"/>
        <v>#DIV/0!</v>
      </c>
      <c r="N136" s="180">
        <f t="shared" si="340"/>
        <v>425</v>
      </c>
      <c r="O136" s="180">
        <f t="shared" si="340"/>
        <v>6175</v>
      </c>
      <c r="P136" s="180" t="e">
        <f t="shared" si="340"/>
        <v>#DIV/0!</v>
      </c>
      <c r="Q136" s="180" t="e">
        <f t="shared" ref="Q136" si="341">Q25/Q14</f>
        <v>#DIV/0!</v>
      </c>
      <c r="R136" s="118" t="e">
        <f t="shared" si="221"/>
        <v>#DIV/0!</v>
      </c>
      <c r="S136" s="128"/>
      <c r="T136" s="20" t="e">
        <f t="shared" ref="T136" si="342">T25/T14</f>
        <v>#DIV/0!</v>
      </c>
      <c r="U136" s="20" t="e">
        <f t="shared" ref="U136:AC136" si="343">U25/U14</f>
        <v>#DIV/0!</v>
      </c>
      <c r="V136" s="20" t="e">
        <f t="shared" si="343"/>
        <v>#DIV/0!</v>
      </c>
      <c r="W136" s="20" t="e">
        <f t="shared" si="343"/>
        <v>#DIV/0!</v>
      </c>
      <c r="X136" s="20" t="e">
        <f t="shared" si="343"/>
        <v>#DIV/0!</v>
      </c>
      <c r="Y136" s="20" t="e">
        <f t="shared" si="343"/>
        <v>#DIV/0!</v>
      </c>
      <c r="Z136" s="20" t="e">
        <f t="shared" si="343"/>
        <v>#DIV/0!</v>
      </c>
      <c r="AA136" s="20" t="e">
        <f t="shared" si="343"/>
        <v>#DIV/0!</v>
      </c>
      <c r="AB136" s="20" t="e">
        <f t="shared" si="343"/>
        <v>#DIV/0!</v>
      </c>
      <c r="AC136" s="20" t="e">
        <f t="shared" si="343"/>
        <v>#DIV/0!</v>
      </c>
      <c r="AD136" s="118" t="e">
        <f t="shared" si="321"/>
        <v>#DIV/0!</v>
      </c>
      <c r="AE136" s="20"/>
      <c r="AF136" s="20"/>
    </row>
    <row r="137" spans="2:32" x14ac:dyDescent="0.2">
      <c r="B137" s="20" t="s">
        <v>375</v>
      </c>
      <c r="C137" s="20"/>
      <c r="D137" s="20"/>
      <c r="E137" s="20"/>
      <c r="F137" s="20"/>
      <c r="G137" s="180">
        <f>G27/G14</f>
        <v>0.17995444191343962</v>
      </c>
      <c r="H137" s="180">
        <f t="shared" ref="H137:P137" si="344">H27/H14</f>
        <v>0.3519163763066202</v>
      </c>
      <c r="I137" s="180">
        <f t="shared" si="344"/>
        <v>0.97802197802197799</v>
      </c>
      <c r="J137" s="180">
        <f t="shared" si="344"/>
        <v>6.9821428571428568</v>
      </c>
      <c r="K137" s="180">
        <f t="shared" si="344"/>
        <v>825.37313432835811</v>
      </c>
      <c r="L137" s="180">
        <f t="shared" si="344"/>
        <v>785</v>
      </c>
      <c r="M137" s="180" t="e">
        <f t="shared" si="344"/>
        <v>#DIV/0!</v>
      </c>
      <c r="N137" s="180">
        <f t="shared" si="344"/>
        <v>106.92307692307692</v>
      </c>
      <c r="O137" s="180">
        <f t="shared" si="344"/>
        <v>1669</v>
      </c>
      <c r="P137" s="180" t="e">
        <f t="shared" si="344"/>
        <v>#DIV/0!</v>
      </c>
      <c r="Q137" s="180" t="e">
        <f t="shared" ref="Q137" si="345">Q27/Q14</f>
        <v>#DIV/0!</v>
      </c>
      <c r="R137" s="118" t="e">
        <f t="shared" si="221"/>
        <v>#DIV/0!</v>
      </c>
      <c r="S137" s="128"/>
      <c r="T137" s="20" t="e">
        <f t="shared" ref="T137:AC137" si="346">T27/T14</f>
        <v>#DIV/0!</v>
      </c>
      <c r="U137" s="20" t="e">
        <f t="shared" si="346"/>
        <v>#DIV/0!</v>
      </c>
      <c r="V137" s="20" t="e">
        <f t="shared" si="346"/>
        <v>#DIV/0!</v>
      </c>
      <c r="W137" s="20" t="e">
        <f t="shared" si="346"/>
        <v>#DIV/0!</v>
      </c>
      <c r="X137" s="20" t="e">
        <f t="shared" si="346"/>
        <v>#DIV/0!</v>
      </c>
      <c r="Y137" s="20" t="e">
        <f t="shared" si="346"/>
        <v>#DIV/0!</v>
      </c>
      <c r="Z137" s="20" t="e">
        <f t="shared" si="346"/>
        <v>#DIV/0!</v>
      </c>
      <c r="AA137" s="20" t="e">
        <f t="shared" si="346"/>
        <v>#DIV/0!</v>
      </c>
      <c r="AB137" s="20" t="e">
        <f t="shared" si="346"/>
        <v>#DIV/0!</v>
      </c>
      <c r="AC137" s="20" t="e">
        <f t="shared" si="346"/>
        <v>#DIV/0!</v>
      </c>
      <c r="AD137" s="118" t="e">
        <f t="shared" si="321"/>
        <v>#DIV/0!</v>
      </c>
      <c r="AE137" s="20"/>
      <c r="AF137" s="20"/>
    </row>
    <row r="138" spans="2:32" x14ac:dyDescent="0.2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128"/>
      <c r="S138" s="128"/>
      <c r="T138" s="119"/>
      <c r="U138" s="119"/>
      <c r="V138" s="119"/>
      <c r="W138" s="119"/>
      <c r="X138" s="119"/>
      <c r="Y138" s="119"/>
      <c r="Z138" s="119"/>
      <c r="AA138" s="119"/>
      <c r="AB138" s="119"/>
      <c r="AC138" s="119"/>
      <c r="AD138" s="137"/>
      <c r="AE138" s="20"/>
      <c r="AF138" s="20"/>
    </row>
    <row r="139" spans="2:32" x14ac:dyDescent="0.2">
      <c r="B139" s="108" t="s">
        <v>244</v>
      </c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3"/>
      <c r="S139" s="23"/>
      <c r="T139" s="122" t="s">
        <v>66</v>
      </c>
      <c r="U139" s="20"/>
      <c r="V139" s="20"/>
      <c r="W139" s="20"/>
      <c r="X139" s="20"/>
      <c r="Y139" s="20"/>
      <c r="Z139" s="20"/>
      <c r="AA139" s="20"/>
      <c r="AB139" s="20"/>
      <c r="AC139" s="20"/>
      <c r="AD139" s="137"/>
      <c r="AE139" s="20"/>
      <c r="AF139" s="20"/>
    </row>
    <row r="140" spans="2:32" x14ac:dyDescent="0.2">
      <c r="B140" s="23" t="s">
        <v>280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5"/>
      <c r="Q140" s="25"/>
      <c r="R140" s="160">
        <f>AVERAGE(G54:Q54)</f>
        <v>32.715060684876725</v>
      </c>
      <c r="S140" s="23"/>
      <c r="T140" s="134"/>
      <c r="U140" s="20"/>
      <c r="V140" s="20"/>
      <c r="W140" s="20"/>
      <c r="X140" s="20"/>
      <c r="Y140" s="20"/>
      <c r="Z140" s="20"/>
      <c r="AA140" s="20"/>
      <c r="AB140" s="20"/>
      <c r="AC140" s="20"/>
      <c r="AD140" s="137"/>
      <c r="AE140" s="20"/>
      <c r="AF140" s="20"/>
    </row>
    <row r="141" spans="2:32" x14ac:dyDescent="0.2">
      <c r="B141" s="20" t="s">
        <v>25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140">
        <f>T141+U141</f>
        <v>136.74028056833379</v>
      </c>
      <c r="T141" s="133">
        <f>PV($C$1, ($AC$3-$T$3), 0, -AC54)</f>
        <v>19.053973521816999</v>
      </c>
      <c r="U141" s="133">
        <f>PV($C$1, ($AC$3-$T$3), 0, -AF54)</f>
        <v>117.68630704651679</v>
      </c>
      <c r="V141" s="20"/>
      <c r="W141" s="20"/>
      <c r="X141" s="20"/>
      <c r="Y141" s="20"/>
      <c r="Z141" s="20"/>
      <c r="AA141" s="20"/>
      <c r="AB141" s="20"/>
      <c r="AC141" s="20"/>
      <c r="AD141" s="137"/>
      <c r="AE141" s="20"/>
      <c r="AF141" s="20"/>
    </row>
    <row r="142" spans="2:32" x14ac:dyDescent="0.2">
      <c r="B142" s="20" t="s">
        <v>272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140">
        <f t="shared" ref="S142:S160" si="347">T142+U142</f>
        <v>857.5237933946355</v>
      </c>
      <c r="T142" s="133">
        <f>PV($C$1, ($AC$3-$T$3), 0, -AC56)</f>
        <v>119.49102039105577</v>
      </c>
      <c r="U142" s="133">
        <f>PV($C$1, ($AC$3-$T$3), 0, -AF56)</f>
        <v>738.03277300357979</v>
      </c>
      <c r="V142" s="20"/>
      <c r="W142" s="20"/>
      <c r="X142" s="20"/>
      <c r="Y142" s="20"/>
      <c r="Z142" s="20"/>
      <c r="AA142" s="20"/>
      <c r="AB142" s="20"/>
      <c r="AC142" s="20"/>
      <c r="AD142" s="137"/>
      <c r="AE142" s="20"/>
      <c r="AF142" s="20"/>
    </row>
    <row r="143" spans="2:32" x14ac:dyDescent="0.2">
      <c r="B143" s="20" t="s">
        <v>273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140">
        <f t="shared" si="347"/>
        <v>834.64977446389742</v>
      </c>
      <c r="T143" s="133">
        <f>PV($C$1, ($AC$3-$T$3), 0, -AC57)</f>
        <v>116.30365709742833</v>
      </c>
      <c r="U143" s="133">
        <f>PV($C$1, ($AC$3-$T$3), 0, -AF57)</f>
        <v>718.34611736646912</v>
      </c>
      <c r="V143" s="20"/>
      <c r="W143" s="20"/>
      <c r="X143" s="20"/>
      <c r="Y143" s="20"/>
      <c r="Z143" s="20"/>
      <c r="AA143" s="20"/>
      <c r="AB143" s="20"/>
      <c r="AC143" s="20"/>
      <c r="AD143" s="137"/>
      <c r="AE143" s="20"/>
      <c r="AF143" s="20"/>
    </row>
    <row r="144" spans="2:32" x14ac:dyDescent="0.2">
      <c r="B144" s="20" t="s">
        <v>274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140">
        <f t="shared" si="347"/>
        <v>2756.4704310587845</v>
      </c>
      <c r="T144" s="133">
        <f>PV($C$1, ($AC$3-$T$3), 0, -AC58)</f>
        <v>384.09833875409288</v>
      </c>
      <c r="U144" s="133">
        <f>PV($C$1, ($AC$3-$T$3), 0, -AF58)</f>
        <v>2372.3720923046917</v>
      </c>
      <c r="V144" s="20"/>
      <c r="W144" s="20"/>
      <c r="X144" s="20"/>
      <c r="Y144" s="20"/>
      <c r="Z144" s="20"/>
      <c r="AA144" s="20"/>
      <c r="AB144" s="20"/>
      <c r="AC144" s="20"/>
      <c r="AD144" s="137"/>
      <c r="AE144" s="20"/>
      <c r="AF144" s="20"/>
    </row>
    <row r="145" spans="2:32" x14ac:dyDescent="0.2">
      <c r="B145" s="20" t="s">
        <v>275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140">
        <f t="shared" si="347"/>
        <v>717.25668171363316</v>
      </c>
      <c r="T145" s="133">
        <f>PV($C$1, ($AC$3-$T$3), 0, -AC64)</f>
        <v>99.945603189604597</v>
      </c>
      <c r="U145" s="133">
        <f>PV($C$1, ($AC$3-$T$3), 0, -AF64)</f>
        <v>617.31107852402852</v>
      </c>
      <c r="V145" s="20"/>
      <c r="W145" s="20"/>
      <c r="X145" s="20"/>
      <c r="Y145" s="20"/>
      <c r="Z145" s="20"/>
      <c r="AA145" s="20"/>
      <c r="AB145" s="20"/>
      <c r="AC145" s="20"/>
      <c r="AD145" s="137"/>
      <c r="AE145" s="20"/>
      <c r="AF145" s="20"/>
    </row>
    <row r="146" spans="2:32" x14ac:dyDescent="0.2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140"/>
      <c r="T146" s="133"/>
      <c r="U146" s="20"/>
      <c r="V146" s="20"/>
      <c r="W146" s="20"/>
      <c r="X146" s="20"/>
      <c r="Y146" s="20"/>
      <c r="Z146" s="20"/>
      <c r="AA146" s="20"/>
      <c r="AB146" s="20"/>
      <c r="AC146" s="20"/>
      <c r="AD146" s="137"/>
      <c r="AE146" s="20"/>
      <c r="AF146" s="20"/>
    </row>
    <row r="147" spans="2:32" x14ac:dyDescent="0.2">
      <c r="B147" s="20" t="s">
        <v>270</v>
      </c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140">
        <f t="shared" si="347"/>
        <v>-1898.946637664149</v>
      </c>
      <c r="T147" s="133">
        <f>PV($C$1, ($AC$3-$T$3), 0, -AC60)</f>
        <v>-264.60731836303711</v>
      </c>
      <c r="U147" s="133">
        <f>PV($C$1, ($AC$3-$T$3), 0, -$AF$60)</f>
        <v>-1634.3393193011118</v>
      </c>
      <c r="V147" s="20"/>
      <c r="W147" s="20"/>
      <c r="X147" s="20"/>
      <c r="Y147" s="20"/>
      <c r="Z147" s="20"/>
      <c r="AA147" s="20"/>
      <c r="AB147" s="20"/>
      <c r="AC147" s="20"/>
      <c r="AD147" s="137"/>
      <c r="AE147" s="20"/>
      <c r="AF147" s="20"/>
    </row>
    <row r="148" spans="2:32" x14ac:dyDescent="0.2">
      <c r="B148" s="20" t="s">
        <v>271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140">
        <f t="shared" si="347"/>
        <v>-3395.4314620711675</v>
      </c>
      <c r="T148" s="133">
        <f>PV($C$1, ($AC$3-$T$3), 0, -AC61)</f>
        <v>-473.13389225581847</v>
      </c>
      <c r="U148" s="133">
        <f>PV($C$1, ($AC$3-$T$3), 0, -$AF$61)</f>
        <v>-2922.2975698153491</v>
      </c>
      <c r="V148" s="20"/>
      <c r="W148" s="20"/>
      <c r="X148" s="20"/>
      <c r="Y148" s="20"/>
      <c r="Z148" s="20"/>
      <c r="AA148" s="20"/>
      <c r="AB148" s="20"/>
      <c r="AC148" s="20"/>
      <c r="AD148" s="137"/>
      <c r="AE148" s="20"/>
      <c r="AF148" s="20"/>
    </row>
    <row r="149" spans="2:32" x14ac:dyDescent="0.2">
      <c r="B149" s="20" t="s">
        <v>276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140">
        <f t="shared" si="347"/>
        <v>-2677.9732471510965</v>
      </c>
      <c r="T149" s="133">
        <f>PV($C$1, ($AC$3-$T$3), 0, -AC62)</f>
        <v>-373.16020657023472</v>
      </c>
      <c r="U149" s="133">
        <f>PV($C$1, ($AC$3-$T$3), 0, -$AF$62)</f>
        <v>-2304.813040580862</v>
      </c>
      <c r="V149" s="20"/>
      <c r="W149" s="20"/>
      <c r="X149" s="20"/>
      <c r="Y149" s="20"/>
      <c r="Z149" s="20"/>
      <c r="AA149" s="20"/>
      <c r="AB149" s="20"/>
      <c r="AC149" s="20"/>
      <c r="AD149" s="137"/>
      <c r="AE149" s="20"/>
      <c r="AF149" s="20"/>
    </row>
    <row r="150" spans="2:32" x14ac:dyDescent="0.2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140"/>
      <c r="T150" s="133"/>
      <c r="U150" s="20"/>
      <c r="V150" s="20"/>
      <c r="W150" s="20"/>
      <c r="X150" s="20"/>
      <c r="Y150" s="20"/>
      <c r="Z150" s="20"/>
      <c r="AA150" s="20"/>
      <c r="AB150" s="20"/>
      <c r="AC150" s="20"/>
      <c r="AD150" s="137"/>
      <c r="AE150" s="20"/>
      <c r="AF150" s="20"/>
    </row>
    <row r="151" spans="2:32" x14ac:dyDescent="0.2">
      <c r="B151" s="20" t="s">
        <v>249</v>
      </c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140">
        <f t="shared" si="347"/>
        <v>717.45821492007121</v>
      </c>
      <c r="T151" s="133">
        <f>PV($C$1, ($AC$3-$T$3), 0, -AC67)</f>
        <v>99.973685685583689</v>
      </c>
      <c r="U151" s="133">
        <f>PV($C$1, ($AC$3-$T$3), 0, -AF67)</f>
        <v>617.48452923448747</v>
      </c>
      <c r="V151" s="20"/>
      <c r="W151" s="20"/>
      <c r="X151" s="20"/>
      <c r="Y151" s="20"/>
      <c r="Z151" s="20"/>
      <c r="AA151" s="20"/>
      <c r="AB151" s="20"/>
      <c r="AC151" s="20"/>
      <c r="AD151" s="137"/>
      <c r="AE151" s="20"/>
      <c r="AF151" s="20"/>
    </row>
    <row r="152" spans="2:32" x14ac:dyDescent="0.2">
      <c r="B152" s="20" t="s">
        <v>250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140">
        <f t="shared" si="347"/>
        <v>2590.9612852713944</v>
      </c>
      <c r="T152" s="133">
        <f>PV($C$1, ($AC$3-$T$3), 0, -AC68)</f>
        <v>467.22252685221861</v>
      </c>
      <c r="U152" s="133">
        <f>PV($C$1, ($AC$3-$T$3), 0, -AF68)</f>
        <v>2123.7387584191756</v>
      </c>
      <c r="V152" s="20"/>
      <c r="W152" s="20"/>
      <c r="X152" s="20"/>
      <c r="Y152" s="20"/>
      <c r="Z152" s="20"/>
      <c r="AA152" s="20"/>
      <c r="AB152" s="20"/>
      <c r="AC152" s="20"/>
      <c r="AD152" s="137"/>
      <c r="AE152" s="20"/>
      <c r="AF152" s="20"/>
    </row>
    <row r="153" spans="2:32" x14ac:dyDescent="0.2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140"/>
      <c r="T153" s="133"/>
      <c r="U153" s="133"/>
      <c r="V153" s="20"/>
      <c r="W153" s="20"/>
      <c r="X153" s="20"/>
      <c r="Y153" s="20"/>
      <c r="Z153" s="20"/>
      <c r="AA153" s="20"/>
      <c r="AB153" s="20"/>
      <c r="AC153" s="20"/>
      <c r="AD153" s="137"/>
      <c r="AE153" s="20"/>
      <c r="AF153" s="20"/>
    </row>
    <row r="154" spans="2:32" x14ac:dyDescent="0.2">
      <c r="B154" s="20" t="s">
        <v>293</v>
      </c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140">
        <f t="shared" ref="S154" si="348">T154+U154</f>
        <v>26497.850384305424</v>
      </c>
      <c r="T154" s="133">
        <f>PV($C$1, ($AC$3-$T$3), 0, -AC12)</f>
        <v>3692.323414206493</v>
      </c>
      <c r="U154" s="133">
        <f>PV($C$1, ($AC$3-$T$3), 0, -AF12)</f>
        <v>22805.52697009893</v>
      </c>
      <c r="V154" s="20"/>
      <c r="W154" s="20"/>
      <c r="X154" s="20"/>
      <c r="Y154" s="20"/>
      <c r="Z154" s="20"/>
      <c r="AA154" s="20"/>
      <c r="AB154" s="20"/>
      <c r="AC154" s="20"/>
      <c r="AD154" s="137"/>
      <c r="AE154" s="20"/>
      <c r="AF154" s="20"/>
    </row>
    <row r="155" spans="2:32" x14ac:dyDescent="0.2">
      <c r="B155" s="20" t="s">
        <v>294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140">
        <f>T155+U155</f>
        <v>1168.3355548635548</v>
      </c>
      <c r="T155" s="140">
        <f>T154/P42</f>
        <v>162.80085600557729</v>
      </c>
      <c r="U155" s="140">
        <f>U154/P42</f>
        <v>1005.5346988579776</v>
      </c>
      <c r="V155" s="20"/>
      <c r="W155" s="20"/>
      <c r="X155" s="20"/>
      <c r="Y155" s="20"/>
      <c r="Z155" s="20"/>
      <c r="AA155" s="20"/>
      <c r="AB155" s="20"/>
      <c r="AC155" s="20"/>
      <c r="AD155" s="137"/>
      <c r="AE155" s="20"/>
      <c r="AF155" s="20"/>
    </row>
    <row r="156" spans="2:32" x14ac:dyDescent="0.2"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140"/>
      <c r="T156" s="140"/>
      <c r="U156" s="140"/>
      <c r="V156" s="20"/>
      <c r="W156" s="20"/>
      <c r="X156" s="20"/>
      <c r="Y156" s="20"/>
      <c r="Z156" s="20"/>
      <c r="AA156" s="20"/>
      <c r="AB156" s="20"/>
      <c r="AC156" s="20"/>
      <c r="AD156" s="137"/>
      <c r="AE156" s="20"/>
      <c r="AF156" s="20"/>
    </row>
    <row r="157" spans="2:32" x14ac:dyDescent="0.2">
      <c r="B157" s="108" t="s">
        <v>297</v>
      </c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140"/>
      <c r="T157" s="133"/>
      <c r="U157" s="133"/>
      <c r="V157" s="20"/>
      <c r="W157" s="20"/>
      <c r="X157" s="20"/>
      <c r="Y157" s="20"/>
      <c r="Z157" s="20"/>
      <c r="AA157" s="20"/>
      <c r="AB157" s="20"/>
      <c r="AC157" s="20"/>
      <c r="AD157" s="137"/>
      <c r="AE157" s="20"/>
      <c r="AF157" s="20"/>
    </row>
    <row r="158" spans="2:32" x14ac:dyDescent="0.2">
      <c r="B158" s="20" t="s">
        <v>282</v>
      </c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140">
        <f t="shared" ref="S158" si="349">T158+U158</f>
        <v>66.336794555521649</v>
      </c>
      <c r="T158" s="133">
        <f>PV($C$1, ($AC$3-$T$3), 0, -AC70)+PV($C$1, ($AB$3-$T$3), 0, -AC70)+PV($C$1, ($AA$3-$T$3), 0, -AC70)+PV($C$1, ($Z$3-$T$3), 0, -AC70)+PV($C$1, ($Y$3-$T$3), 0, -AC70)+PV($C$1, ($X$3-$T$3), 0, -AC70)+PV($C$1, ($W$3-$T$3), 0, -AC70)+PV($C$1, ($V$3-$T$3), 0, -AC70)+PV($C$1, ($U$3-$T$3), 0, -AC70)+PV($C$1, ($T$3-$T$3), 0, -AC70)</f>
        <v>54.574476129092538</v>
      </c>
      <c r="U158" s="133">
        <f>PV($C$1, ($AC$3-$T$3), 0, -AF70)</f>
        <v>11.762318426429113</v>
      </c>
      <c r="V158" s="20"/>
      <c r="W158" s="20"/>
      <c r="X158" s="20"/>
      <c r="Y158" s="20"/>
      <c r="Z158" s="20"/>
      <c r="AA158" s="20"/>
      <c r="AB158" s="20"/>
      <c r="AC158" s="20"/>
      <c r="AD158" s="137"/>
      <c r="AE158" s="20"/>
      <c r="AF158" s="20"/>
    </row>
    <row r="159" spans="2:32" x14ac:dyDescent="0.2">
      <c r="B159" s="23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140"/>
      <c r="T159" s="133"/>
      <c r="U159" s="133"/>
      <c r="V159" s="20"/>
      <c r="W159" s="20"/>
      <c r="X159" s="20"/>
      <c r="Y159" s="20"/>
      <c r="Z159" s="20"/>
      <c r="AA159" s="20"/>
      <c r="AB159" s="20"/>
      <c r="AC159" s="20"/>
      <c r="AD159" s="137"/>
      <c r="AE159" s="20"/>
      <c r="AF159" s="20"/>
    </row>
    <row r="160" spans="2:32" x14ac:dyDescent="0.2">
      <c r="B160" s="20" t="s">
        <v>290</v>
      </c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140">
        <f t="shared" si="347"/>
        <v>0</v>
      </c>
      <c r="T160" s="133">
        <f>PV($C$1, ($AC$3-$T$3), 0, -AC72)+PV($C$1, ($AB$3-$T$3), 0, -AC72)+PV($C$1, ($AA$3-$T$3), 0, -AC72)+PV($C$1, ($Z$3-$T$3), 0, -AC72)+PV($C$1, ($Y$3-$T$3), 0, -AC72)+PV($C$1, ($X$3-$T$3), 0, -AC72)+PV($C$1, ($W$3-$T$3), 0, -AC72)+PV($C$1, ($V$3-$T$3), 0, -AC72)+PV($C$1, ($U$3-$T$3), 0, -AC72)+PV($C$1, ($T$3-$T$3), 0, -AC72)</f>
        <v>0</v>
      </c>
      <c r="U160" s="133">
        <f>PV($C$1, ($AC$3-$T$3), 0, -AF72)</f>
        <v>0</v>
      </c>
      <c r="V160" s="20"/>
      <c r="W160" s="20"/>
      <c r="X160" s="20"/>
      <c r="Y160" s="20"/>
      <c r="Z160" s="20"/>
      <c r="AA160" s="20"/>
      <c r="AB160" s="20"/>
      <c r="AC160" s="20"/>
      <c r="AD160" s="137"/>
      <c r="AE160" s="20"/>
      <c r="AF160" s="20"/>
    </row>
    <row r="161" spans="2:32" x14ac:dyDescent="0.2"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140"/>
      <c r="T161" s="133"/>
      <c r="U161" s="133"/>
      <c r="V161" s="20"/>
      <c r="W161" s="20"/>
      <c r="X161" s="20"/>
      <c r="Y161" s="20"/>
      <c r="Z161" s="20"/>
      <c r="AA161" s="20"/>
      <c r="AB161" s="20"/>
      <c r="AC161" s="20"/>
      <c r="AD161" s="137"/>
      <c r="AE161" s="20"/>
      <c r="AF161" s="20"/>
    </row>
    <row r="162" spans="2:32" x14ac:dyDescent="0.2">
      <c r="B162" s="20" t="s">
        <v>286</v>
      </c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140">
        <f t="shared" ref="S162:S165" si="350">T162+U162</f>
        <v>0</v>
      </c>
      <c r="T162" s="133">
        <f>PV($C$1, ($AC$3-$T$3), 0, -AC74)+PV($C$1, ($AB$3-$T$3), 0, -AC74)+PV($C$1, ($AA$3-$T$3), 0, -AC74)+PV($C$1, ($Z$3-$T$3), 0, -AC74)+PV($C$1, ($Y$3-$T$3), 0, -AC74)+PV($C$1, ($X$3-$T$3), 0, -AC74)+PV($C$1, ($W$3-$T$3), 0, -AC74)+PV($C$1, ($V$3-$T$3), 0, -AC74)+PV($C$1, ($U$3-$T$3), 0, -AC74)+PV($C$1, ($T$3-$T$3), 0, -AC74)</f>
        <v>0</v>
      </c>
      <c r="U162" s="133">
        <f>PV($C$1, ($AC$3-$T$3), 0, -AF74)</f>
        <v>0</v>
      </c>
      <c r="V162" s="20"/>
      <c r="W162" s="20"/>
      <c r="X162" s="20"/>
      <c r="Y162" s="20"/>
      <c r="Z162" s="20"/>
      <c r="AA162" s="20"/>
      <c r="AB162" s="20"/>
      <c r="AC162" s="20"/>
      <c r="AD162" s="137"/>
      <c r="AE162" s="20"/>
      <c r="AF162" s="20"/>
    </row>
    <row r="163" spans="2:32" x14ac:dyDescent="0.2">
      <c r="B163" s="20" t="s">
        <v>287</v>
      </c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140">
        <f t="shared" si="350"/>
        <v>0</v>
      </c>
      <c r="T163" s="133">
        <f>PV($C$1, ($AC$3-$T$3), 0, -AC75)+PV($C$1, ($AB$3-$T$3), 0, -AC75)+PV($C$1, ($AA$3-$T$3), 0, -AC75)+PV($C$1, ($Z$3-$T$3), 0, -AC75)+PV($C$1, ($Y$3-$T$3), 0, -AC75)+PV($C$1, ($X$3-$T$3), 0, -AC75)+PV($C$1, ($W$3-$T$3), 0, -AC75)+PV($C$1, ($V$3-$T$3), 0, -AC75)+PV($C$1, ($U$3-$T$3), 0, -AC75)+PV($C$1, ($T$3-$T$3), 0, -AC75)</f>
        <v>0</v>
      </c>
      <c r="U163" s="133">
        <f>PV($C$1, ($AC$3-$T$3), 0, -AF75)</f>
        <v>0</v>
      </c>
      <c r="V163" s="20"/>
      <c r="W163" s="20"/>
      <c r="X163" s="20"/>
      <c r="Y163" s="20"/>
      <c r="Z163" s="20"/>
      <c r="AA163" s="20"/>
      <c r="AB163" s="20"/>
      <c r="AC163" s="20"/>
      <c r="AD163" s="137"/>
      <c r="AE163" s="20"/>
      <c r="AF163" s="20"/>
    </row>
    <row r="164" spans="2:32" x14ac:dyDescent="0.2">
      <c r="B164" s="20" t="s">
        <v>288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140">
        <f t="shared" si="350"/>
        <v>0</v>
      </c>
      <c r="T164" s="133">
        <f>PV($C$1, ($AC$3-$T$3), 0, -AC76)+PV($C$1, ($AB$3-$T$3), 0, -AC76)+PV($C$1, ($AA$3-$T$3), 0, -AC76)+PV($C$1, ($Z$3-$T$3), 0, -AC76)+PV($C$1, ($Y$3-$T$3), 0, -AC76)+PV($C$1, ($X$3-$T$3), 0, -AC76)+PV($C$1, ($W$3-$T$3), 0, -AC76)+PV($C$1, ($V$3-$T$3), 0, -AC76)+PV($C$1, ($U$3-$T$3), 0, -AC76)+PV($C$1, ($T$3-$T$3), 0, -AC76)</f>
        <v>0</v>
      </c>
      <c r="U164" s="133">
        <f>PV($C$1, ($AC$3-$T$3), 0, -AF76)</f>
        <v>0</v>
      </c>
      <c r="V164" s="20"/>
      <c r="W164" s="20"/>
      <c r="X164" s="20"/>
      <c r="Y164" s="20"/>
      <c r="Z164" s="20"/>
      <c r="AA164" s="20"/>
      <c r="AB164" s="20"/>
      <c r="AC164" s="20"/>
      <c r="AD164" s="137"/>
      <c r="AE164" s="20"/>
      <c r="AF164" s="20"/>
    </row>
    <row r="165" spans="2:32" x14ac:dyDescent="0.2">
      <c r="B165" s="20" t="s">
        <v>289</v>
      </c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140">
        <f t="shared" si="350"/>
        <v>0</v>
      </c>
      <c r="T165" s="133">
        <f>PV($C$1, ($AC$3-$T$3), 0, -AC77)+PV($C$1, ($AB$3-$T$3), 0, -AC77)+PV($C$1, ($AA$3-$T$3), 0, -AC77)+PV($C$1, ($Z$3-$T$3), 0, -AC77)+PV($C$1, ($Y$3-$T$3), 0, -AC77)+PV($C$1, ($X$3-$T$3), 0, -AC77)+PV($C$1, ($W$3-$T$3), 0, -AC77)+PV($C$1, ($V$3-$T$3), 0, -AC77)+PV($C$1, ($U$3-$T$3), 0, -AC77)+PV($C$1, ($T$3-$T$3), 0, -AC77)</f>
        <v>0</v>
      </c>
      <c r="U165" s="133">
        <f>PV($C$1, ($AC$3-$T$3), 0, -AF77)</f>
        <v>0</v>
      </c>
      <c r="V165" s="20"/>
      <c r="W165" s="20"/>
      <c r="X165" s="20"/>
      <c r="Y165" s="20"/>
      <c r="Z165" s="20"/>
      <c r="AA165" s="20"/>
      <c r="AB165" s="20"/>
      <c r="AC165" s="20"/>
      <c r="AD165" s="137"/>
      <c r="AE165" s="20"/>
      <c r="AF165" s="20"/>
    </row>
    <row r="166" spans="2:32" x14ac:dyDescent="0.2"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140"/>
      <c r="T166" s="133"/>
      <c r="U166" s="133"/>
      <c r="V166" s="20"/>
      <c r="W166" s="20"/>
      <c r="X166" s="20"/>
      <c r="Y166" s="20"/>
      <c r="Z166" s="20"/>
      <c r="AA166" s="20"/>
      <c r="AB166" s="20"/>
      <c r="AC166" s="20"/>
      <c r="AD166" s="137"/>
      <c r="AE166" s="20"/>
      <c r="AF166" s="20"/>
    </row>
    <row r="167" spans="2:32" x14ac:dyDescent="0.2">
      <c r="B167" s="20" t="s">
        <v>298</v>
      </c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140">
        <f>T167+U167</f>
        <v>0</v>
      </c>
      <c r="T167" s="133">
        <f>PV($C$1, ($AC$3-$T$3), 0, -AC78)+PV($C$1, ($AB$3-$T$3), 0, -AC78)+PV($C$1, ($AA$3-$T$3), 0, -AC78)+PV($C$1, ($Z$3-$T$3), 0, -AC78)+PV($C$1, ($Y$3-$T$3), 0, -AC78)+PV($C$1, ($X$3-$T$3), 0, -AC78)+PV($C$1, ($W$3-$T$3), 0, -AC78)+PV($C$1, ($V$3-$T$3), 0, -AC78)+PV($C$1, ($U$3-$T$3), 0, -AC78)+PV($C$1, ($T$3-$T$3), 0, -AC78)</f>
        <v>0</v>
      </c>
      <c r="U167" s="133">
        <f>PV($C$1, ($AC$3-$T$3), 0, -AF78)</f>
        <v>0</v>
      </c>
      <c r="V167" s="20"/>
      <c r="W167" s="20"/>
      <c r="X167" s="20"/>
      <c r="Y167" s="20"/>
      <c r="Z167" s="20"/>
      <c r="AA167" s="20"/>
      <c r="AB167" s="20"/>
      <c r="AC167" s="20"/>
      <c r="AD167" s="137"/>
      <c r="AE167" s="20"/>
      <c r="AF167" s="20"/>
    </row>
    <row r="168" spans="2:32" x14ac:dyDescent="0.2"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183">
        <v>41729</v>
      </c>
      <c r="P168" s="20">
        <v>640</v>
      </c>
      <c r="Q168" s="20"/>
      <c r="R168" s="20"/>
      <c r="S168" s="20"/>
      <c r="T168" s="121"/>
      <c r="U168" s="20"/>
      <c r="V168" s="20"/>
      <c r="W168" s="20"/>
      <c r="X168" s="20"/>
      <c r="Y168" s="20"/>
      <c r="Z168" s="20"/>
      <c r="AA168" s="20"/>
      <c r="AB168" s="20"/>
      <c r="AC168" s="20"/>
      <c r="AD168" s="137"/>
      <c r="AE168" s="20"/>
      <c r="AF168" s="20"/>
    </row>
    <row r="169" spans="2:32" x14ac:dyDescent="0.2">
      <c r="B169" s="108" t="s">
        <v>251</v>
      </c>
      <c r="C169" s="20"/>
      <c r="D169" s="20"/>
      <c r="E169" s="20"/>
      <c r="F169" s="20"/>
      <c r="G169" s="20">
        <v>18</v>
      </c>
      <c r="H169" s="20"/>
      <c r="I169" s="20"/>
      <c r="J169" s="20"/>
      <c r="K169" s="20"/>
      <c r="L169" s="20"/>
      <c r="M169" s="20"/>
      <c r="N169" s="20"/>
      <c r="O169" s="23" t="s">
        <v>390</v>
      </c>
      <c r="P169" s="20">
        <v>980</v>
      </c>
      <c r="Q169" s="20"/>
      <c r="R169" s="20">
        <v>700</v>
      </c>
      <c r="S169" s="23" t="s">
        <v>391</v>
      </c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137"/>
      <c r="AE169" s="20"/>
      <c r="AF169" s="20"/>
    </row>
    <row r="170" spans="2:32" x14ac:dyDescent="0.2">
      <c r="B170" s="20" t="s">
        <v>204</v>
      </c>
      <c r="C170" s="22">
        <v>0</v>
      </c>
      <c r="D170" s="22">
        <v>0</v>
      </c>
      <c r="E170" s="22">
        <v>0</v>
      </c>
      <c r="F170" s="22">
        <v>13.5</v>
      </c>
      <c r="G170" s="22">
        <v>18</v>
      </c>
      <c r="H170" s="22">
        <v>50</v>
      </c>
      <c r="I170" s="22">
        <v>120</v>
      </c>
      <c r="J170" s="22">
        <v>115</v>
      </c>
      <c r="K170" s="22">
        <v>307</v>
      </c>
      <c r="L170" s="22">
        <v>180</v>
      </c>
      <c r="M170" s="22">
        <v>480</v>
      </c>
      <c r="N170" s="22">
        <v>710</v>
      </c>
      <c r="O170" s="22">
        <v>505</v>
      </c>
      <c r="P170" s="22">
        <v>640</v>
      </c>
      <c r="Q170" s="22">
        <v>630</v>
      </c>
      <c r="R170" s="118">
        <f t="shared" ref="R170:R175" si="351">((P170/G170)^(1/($H$2-$H$1) ))-1</f>
        <v>0.48704137406314496</v>
      </c>
      <c r="S170" s="31">
        <f>L2-3%</f>
        <v>0.09</v>
      </c>
      <c r="T170" s="119">
        <f t="shared" ref="T170" si="352">P170*(1+$S170)</f>
        <v>697.6</v>
      </c>
      <c r="U170" s="119">
        <f t="shared" ref="U170:AC170" si="353">T170*(1+$S170)</f>
        <v>760.38400000000013</v>
      </c>
      <c r="V170" s="119">
        <f t="shared" si="353"/>
        <v>828.81856000000016</v>
      </c>
      <c r="W170" s="119">
        <f t="shared" si="353"/>
        <v>903.41223040000023</v>
      </c>
      <c r="X170" s="119">
        <f t="shared" si="353"/>
        <v>984.71933113600028</v>
      </c>
      <c r="Y170" s="119">
        <f t="shared" si="353"/>
        <v>1073.3440709382403</v>
      </c>
      <c r="Z170" s="119">
        <f t="shared" si="353"/>
        <v>1169.9450373226821</v>
      </c>
      <c r="AA170" s="119">
        <f t="shared" si="353"/>
        <v>1275.2400906817236</v>
      </c>
      <c r="AB170" s="119">
        <f t="shared" si="353"/>
        <v>1390.0116988430789</v>
      </c>
      <c r="AC170" s="119">
        <f t="shared" si="353"/>
        <v>1515.1127517389561</v>
      </c>
      <c r="AD170" s="138">
        <f t="shared" ref="AD170:AD175" si="354">((AC170/G170)^(1/($AC$3-$H$1) ))-1</f>
        <v>0.24812655248806315</v>
      </c>
      <c r="AE170" s="31">
        <v>0.08</v>
      </c>
      <c r="AF170" s="127">
        <f t="shared" ref="AF170:AF178" si="355">(AC170*(1+AD170))/($C$1-AE170)</f>
        <v>13507.517538990329</v>
      </c>
    </row>
    <row r="171" spans="2:32" x14ac:dyDescent="0.2">
      <c r="B171" s="20" t="s">
        <v>361</v>
      </c>
      <c r="C171" s="25" t="e">
        <f t="shared" ref="C171:P171" si="356">C170/C50</f>
        <v>#DIV/0!</v>
      </c>
      <c r="D171" s="25" t="e">
        <f t="shared" si="356"/>
        <v>#DIV/0!</v>
      </c>
      <c r="E171" s="25" t="e">
        <f t="shared" si="356"/>
        <v>#DIV/0!</v>
      </c>
      <c r="F171" s="25" t="e">
        <f t="shared" si="356"/>
        <v>#DIV/0!</v>
      </c>
      <c r="G171" s="25">
        <f t="shared" si="356"/>
        <v>0.29119691119691121</v>
      </c>
      <c r="H171" s="25">
        <f t="shared" si="356"/>
        <v>0.94508670520231208</v>
      </c>
      <c r="I171" s="25">
        <f t="shared" si="356"/>
        <v>1.9911797133406837</v>
      </c>
      <c r="J171" s="25">
        <f t="shared" si="356"/>
        <v>1.4972772277227722</v>
      </c>
      <c r="K171" s="25">
        <f t="shared" si="356"/>
        <v>2.5010709987966302</v>
      </c>
      <c r="L171" s="25">
        <f t="shared" si="356"/>
        <v>0.98388396454472216</v>
      </c>
      <c r="M171" s="25">
        <f t="shared" si="356"/>
        <v>2.4058679706601467</v>
      </c>
      <c r="N171" s="25">
        <f t="shared" si="356"/>
        <v>2.9055384615384616</v>
      </c>
      <c r="O171" s="25">
        <f t="shared" si="356"/>
        <v>1.8523481781376516</v>
      </c>
      <c r="P171" s="25">
        <f t="shared" si="356"/>
        <v>2.0691660727013543</v>
      </c>
      <c r="Q171" s="25">
        <f t="shared" ref="Q171" si="357">Q170/Q50</f>
        <v>1.6849528301886794</v>
      </c>
      <c r="R171" s="118">
        <f t="shared" ref="R171" si="358">((P171/G171)^(1/($H$2-$H$1) ))-1</f>
        <v>0.24343525322017134</v>
      </c>
      <c r="S171" s="128"/>
      <c r="T171" s="25">
        <f t="shared" ref="T171:AC171" si="359">T170/T50</f>
        <v>1.7491415094339624</v>
      </c>
      <c r="U171" s="25">
        <f t="shared" si="359"/>
        <v>1.7874039799528303</v>
      </c>
      <c r="V171" s="25">
        <f t="shared" si="359"/>
        <v>1.8265034420142983</v>
      </c>
      <c r="W171" s="25">
        <f t="shared" si="359"/>
        <v>1.8664582048083613</v>
      </c>
      <c r="X171" s="25">
        <f t="shared" si="359"/>
        <v>1.907286978038544</v>
      </c>
      <c r="Y171" s="25">
        <f t="shared" si="359"/>
        <v>1.9490088806831374</v>
      </c>
      <c r="Z171" s="25">
        <f t="shared" si="359"/>
        <v>1.9916434499480811</v>
      </c>
      <c r="AA171" s="25">
        <f t="shared" si="359"/>
        <v>2.0352106504156953</v>
      </c>
      <c r="AB171" s="25">
        <f t="shared" si="359"/>
        <v>2.0797308833935388</v>
      </c>
      <c r="AC171" s="25">
        <f t="shared" si="359"/>
        <v>2.125224996467773</v>
      </c>
      <c r="AD171" s="138">
        <f t="shared" ref="AD171" si="360">((AC171/G171)^(1/($AC$3-$H$1) ))-1</f>
        <v>0.10448776053840647</v>
      </c>
      <c r="AE171" s="31">
        <v>0.08</v>
      </c>
      <c r="AF171" s="127">
        <f t="shared" ref="AF171" si="361">(AC171*(1+AD171))/($C$1-AE171)</f>
        <v>16.766321407063806</v>
      </c>
    </row>
    <row r="172" spans="2:32" x14ac:dyDescent="0.2">
      <c r="B172" s="20" t="s">
        <v>389</v>
      </c>
      <c r="C172" s="25" t="e">
        <f t="shared" ref="C172:P172" si="362">C170/C54</f>
        <v>#DIV/0!</v>
      </c>
      <c r="D172" s="25" t="e">
        <f t="shared" si="362"/>
        <v>#DIV/0!</v>
      </c>
      <c r="E172" s="25" t="e">
        <f t="shared" si="362"/>
        <v>#DIV/0!</v>
      </c>
      <c r="F172" s="25" t="e">
        <f t="shared" si="362"/>
        <v>#DIV/0!</v>
      </c>
      <c r="G172" s="25">
        <f t="shared" si="362"/>
        <v>2.0383783783783782</v>
      </c>
      <c r="H172" s="25">
        <f t="shared" si="362"/>
        <v>6.6734693877551017</v>
      </c>
      <c r="I172" s="25">
        <f t="shared" si="362"/>
        <v>12.808510638297873</v>
      </c>
      <c r="J172" s="25">
        <f t="shared" si="362"/>
        <v>11.142894736842106</v>
      </c>
      <c r="K172" s="25">
        <f t="shared" si="362"/>
        <v>16.028714652956296</v>
      </c>
      <c r="L172" s="25">
        <f t="shared" si="362"/>
        <v>5.9852941176470598</v>
      </c>
      <c r="M172" s="25">
        <f t="shared" si="362"/>
        <v>12.398625429553265</v>
      </c>
      <c r="N172" s="25">
        <f t="shared" si="362"/>
        <v>13.190714872637633</v>
      </c>
      <c r="O172" s="25">
        <f t="shared" si="362"/>
        <v>8.7448394495412831</v>
      </c>
      <c r="P172" s="25">
        <f t="shared" si="362"/>
        <v>9.9215311004784681</v>
      </c>
      <c r="Q172" s="25">
        <f t="shared" ref="Q172" si="363">Q170/Q54</f>
        <v>10.529403095062639</v>
      </c>
      <c r="R172" s="118">
        <f t="shared" si="351"/>
        <v>0.19224631346820442</v>
      </c>
      <c r="S172" s="128"/>
      <c r="T172" s="119">
        <f t="shared" ref="T172:AC172" si="364">T170/T54</f>
        <v>10.930523212969785</v>
      </c>
      <c r="U172" s="119">
        <f t="shared" si="364"/>
        <v>11.1696284082535</v>
      </c>
      <c r="V172" s="119">
        <f t="shared" si="364"/>
        <v>11.413964029684044</v>
      </c>
      <c r="W172" s="119">
        <f t="shared" si="364"/>
        <v>11.663644492833383</v>
      </c>
      <c r="X172" s="119">
        <f t="shared" si="364"/>
        <v>11.918786716114115</v>
      </c>
      <c r="Y172" s="119">
        <f t="shared" si="364"/>
        <v>12.179510175529112</v>
      </c>
      <c r="Z172" s="119">
        <f t="shared" si="364"/>
        <v>12.445936960618811</v>
      </c>
      <c r="AA172" s="119">
        <f t="shared" si="364"/>
        <v>12.718191831632348</v>
      </c>
      <c r="AB172" s="119">
        <f t="shared" si="364"/>
        <v>12.996402277949306</v>
      </c>
      <c r="AC172" s="119">
        <f t="shared" si="364"/>
        <v>13.280698577779448</v>
      </c>
      <c r="AD172" s="138">
        <f t="shared" si="354"/>
        <v>9.8238857747539043E-2</v>
      </c>
      <c r="AE172" s="31">
        <v>0.08</v>
      </c>
      <c r="AF172" s="127">
        <f t="shared" si="355"/>
        <v>104.18128025821333</v>
      </c>
    </row>
    <row r="173" spans="2:32" x14ac:dyDescent="0.2">
      <c r="B173" s="20" t="s">
        <v>258</v>
      </c>
      <c r="C173" s="25" t="e">
        <f t="shared" ref="C173:P173" si="365">C170/C57</f>
        <v>#DIV/0!</v>
      </c>
      <c r="D173" s="25" t="e">
        <f t="shared" si="365"/>
        <v>#DIV/0!</v>
      </c>
      <c r="E173" s="25" t="e">
        <f t="shared" si="365"/>
        <v>#DIV/0!</v>
      </c>
      <c r="F173" s="25" t="e">
        <f t="shared" si="365"/>
        <v>#DIV/0!</v>
      </c>
      <c r="G173" s="25">
        <f t="shared" si="365"/>
        <v>1.5084000000000002</v>
      </c>
      <c r="H173" s="25">
        <f t="shared" si="365"/>
        <v>2.4961832061068705</v>
      </c>
      <c r="I173" s="25">
        <f t="shared" si="365"/>
        <v>2.7827426810477656</v>
      </c>
      <c r="J173" s="25">
        <f t="shared" si="365"/>
        <v>2.4003968253968253</v>
      </c>
      <c r="K173" s="25">
        <f t="shared" si="365"/>
        <v>3.9714458598726115</v>
      </c>
      <c r="L173" s="25">
        <f t="shared" si="365"/>
        <v>1.7721335268505081</v>
      </c>
      <c r="M173" s="25">
        <f t="shared" si="365"/>
        <v>2.9983379501385041</v>
      </c>
      <c r="N173" s="25">
        <f t="shared" si="365"/>
        <v>3.4426549431696332</v>
      </c>
      <c r="O173" s="25">
        <f t="shared" si="365"/>
        <v>1.9700740613158798</v>
      </c>
      <c r="P173" s="25">
        <f t="shared" si="365"/>
        <v>2.0415189873417723</v>
      </c>
      <c r="Q173" s="25">
        <f t="shared" ref="Q173" si="366">Q170/Q57</f>
        <v>1.7250271640709889</v>
      </c>
      <c r="R173" s="118">
        <f t="shared" si="351"/>
        <v>3.4198967776303713E-2</v>
      </c>
      <c r="S173" s="128"/>
      <c r="T173" s="119">
        <f t="shared" ref="T173:AC173" si="367">T170/T57</f>
        <v>1.7907424846070263</v>
      </c>
      <c r="U173" s="119">
        <f t="shared" si="367"/>
        <v>1.8299149764578051</v>
      </c>
      <c r="V173" s="119">
        <f t="shared" si="367"/>
        <v>1.8699443665678195</v>
      </c>
      <c r="W173" s="119">
        <f t="shared" si="367"/>
        <v>1.9108493995864906</v>
      </c>
      <c r="X173" s="119">
        <f t="shared" si="367"/>
        <v>1.952649230202445</v>
      </c>
      <c r="Y173" s="119">
        <f t="shared" si="367"/>
        <v>1.9953634321131235</v>
      </c>
      <c r="Z173" s="119">
        <f t="shared" si="367"/>
        <v>2.0390120071905979</v>
      </c>
      <c r="AA173" s="119">
        <f t="shared" si="367"/>
        <v>2.0836153948478926</v>
      </c>
      <c r="AB173" s="119">
        <f t="shared" si="367"/>
        <v>2.1291944816101904</v>
      </c>
      <c r="AC173" s="119">
        <f t="shared" si="367"/>
        <v>2.1757706108954133</v>
      </c>
      <c r="AD173" s="138">
        <f t="shared" si="354"/>
        <v>1.8485450095728995E-2</v>
      </c>
      <c r="AE173" s="31">
        <v>0.08</v>
      </c>
      <c r="AF173" s="127">
        <f t="shared" si="355"/>
        <v>15.82850507102053</v>
      </c>
    </row>
    <row r="174" spans="2:32" x14ac:dyDescent="0.2">
      <c r="B174" s="20" t="s">
        <v>259</v>
      </c>
      <c r="C174" s="25" t="e">
        <f t="shared" ref="C174:P174" si="368">C170/C66</f>
        <v>#DIV/0!</v>
      </c>
      <c r="D174" s="25" t="e">
        <f t="shared" si="368"/>
        <v>#DIV/0!</v>
      </c>
      <c r="E174" s="25" t="e">
        <f t="shared" si="368"/>
        <v>#DIV/0!</v>
      </c>
      <c r="F174" s="25" t="e">
        <f t="shared" si="368"/>
        <v>#DIV/0!</v>
      </c>
      <c r="G174" s="25">
        <f t="shared" si="368"/>
        <v>0.45433734939759041</v>
      </c>
      <c r="H174" s="25">
        <f t="shared" si="368"/>
        <v>1.7771739130434783</v>
      </c>
      <c r="I174" s="25">
        <f t="shared" si="368"/>
        <v>6.919540229885059</v>
      </c>
      <c r="J174" s="25">
        <f t="shared" si="368"/>
        <v>1.0403685503685502</v>
      </c>
      <c r="K174" s="25">
        <f t="shared" si="368"/>
        <v>2.2607577955039884</v>
      </c>
      <c r="L174" s="25">
        <f t="shared" si="368"/>
        <v>0.56896551724137934</v>
      </c>
      <c r="M174" s="25">
        <f t="shared" si="368"/>
        <v>1.6928370347200499</v>
      </c>
      <c r="N174" s="25">
        <f t="shared" si="368"/>
        <v>2.2117801047120418</v>
      </c>
      <c r="O174" s="25">
        <f t="shared" si="368"/>
        <v>1.272755090686547</v>
      </c>
      <c r="P174" s="25">
        <f t="shared" si="368"/>
        <v>1.5071332156577719</v>
      </c>
      <c r="Q174" s="25">
        <f t="shared" ref="Q174" si="369">Q170/Q66</f>
        <v>1.4956976865905998</v>
      </c>
      <c r="R174" s="118">
        <f t="shared" si="351"/>
        <v>0.14251967860251313</v>
      </c>
      <c r="S174" s="128"/>
      <c r="T174" s="119">
        <f t="shared" ref="T174:AC174" si="370">T170/T66</f>
        <v>1.5526766460797654</v>
      </c>
      <c r="U174" s="119">
        <f t="shared" si="370"/>
        <v>1.5866414477127604</v>
      </c>
      <c r="V174" s="119">
        <f t="shared" si="370"/>
        <v>1.6213492293814769</v>
      </c>
      <c r="W174" s="119">
        <f t="shared" si="370"/>
        <v>1.6568162437741967</v>
      </c>
      <c r="X174" s="119">
        <f t="shared" si="370"/>
        <v>1.6930590991067573</v>
      </c>
      <c r="Y174" s="119">
        <f t="shared" si="370"/>
        <v>1.7300947668997175</v>
      </c>
      <c r="Z174" s="119">
        <f t="shared" si="370"/>
        <v>1.7679405899256491</v>
      </c>
      <c r="AA174" s="119">
        <f t="shared" si="370"/>
        <v>1.8066142903302722</v>
      </c>
      <c r="AB174" s="119">
        <f t="shared" si="370"/>
        <v>1.8461339779312471</v>
      </c>
      <c r="AC174" s="119">
        <f t="shared" si="370"/>
        <v>1.8865181586984936</v>
      </c>
      <c r="AD174" s="138">
        <f t="shared" si="354"/>
        <v>7.3777074742388704E-2</v>
      </c>
      <c r="AE174" s="31">
        <v>0.08</v>
      </c>
      <c r="AF174" s="127">
        <f t="shared" si="355"/>
        <v>14.469285356397613</v>
      </c>
    </row>
    <row r="175" spans="2:32" x14ac:dyDescent="0.2">
      <c r="B175" s="20" t="s">
        <v>260</v>
      </c>
      <c r="C175" s="25" t="e">
        <f t="shared" ref="C175:P175" si="371">C170/C68</f>
        <v>#DIV/0!</v>
      </c>
      <c r="D175" s="25" t="e">
        <f t="shared" si="371"/>
        <v>#DIV/0!</v>
      </c>
      <c r="E175" s="25" t="e">
        <f t="shared" si="371"/>
        <v>#DIV/0!</v>
      </c>
      <c r="F175" s="25" t="e">
        <f t="shared" si="371"/>
        <v>#DIV/0!</v>
      </c>
      <c r="G175" s="25">
        <f t="shared" si="371"/>
        <v>7.6336032388663974E-2</v>
      </c>
      <c r="H175" s="25">
        <f t="shared" si="371"/>
        <v>0.19806178073894609</v>
      </c>
      <c r="I175" s="25">
        <f t="shared" si="371"/>
        <v>0.35635359116022097</v>
      </c>
      <c r="J175" s="25">
        <f t="shared" si="371"/>
        <v>0.22446458863443594</v>
      </c>
      <c r="K175" s="25">
        <f t="shared" si="371"/>
        <v>0.37917599124300655</v>
      </c>
      <c r="L175" s="25">
        <f t="shared" si="371"/>
        <v>0.16372413176596792</v>
      </c>
      <c r="M175" s="25">
        <f t="shared" si="371"/>
        <v>0.48897723165883628</v>
      </c>
      <c r="N175" s="25">
        <f t="shared" si="371"/>
        <v>0.65018631024706353</v>
      </c>
      <c r="O175" s="25">
        <f t="shared" si="371"/>
        <v>0.54600458255763995</v>
      </c>
      <c r="P175" s="25">
        <f t="shared" si="371"/>
        <v>0.48500400962309542</v>
      </c>
      <c r="Q175" s="25">
        <f t="shared" ref="Q175" si="372">Q170/Q68</f>
        <v>0.42940345604808416</v>
      </c>
      <c r="R175" s="118">
        <f t="shared" si="351"/>
        <v>0.22807240195499401</v>
      </c>
      <c r="S175" s="128"/>
      <c r="T175" s="119">
        <f t="shared" ref="T175:AC175" si="373">T170/T68</f>
        <v>0.44576168294515406</v>
      </c>
      <c r="U175" s="119">
        <f t="shared" si="373"/>
        <v>0.4555127197595793</v>
      </c>
      <c r="V175" s="119">
        <f t="shared" si="373"/>
        <v>0.46547706050432003</v>
      </c>
      <c r="W175" s="119">
        <f t="shared" si="373"/>
        <v>0.47565937120285207</v>
      </c>
      <c r="X175" s="119">
        <f t="shared" si="373"/>
        <v>0.48606441994791449</v>
      </c>
      <c r="Y175" s="119">
        <f t="shared" si="373"/>
        <v>0.49669707913427508</v>
      </c>
      <c r="Z175" s="119">
        <f t="shared" si="373"/>
        <v>0.50756232774033738</v>
      </c>
      <c r="AA175" s="119">
        <f t="shared" si="373"/>
        <v>0.51866525365965721</v>
      </c>
      <c r="AB175" s="119">
        <f t="shared" si="373"/>
        <v>0.53001105608346233</v>
      </c>
      <c r="AC175" s="119">
        <f t="shared" si="373"/>
        <v>0.54160504793528808</v>
      </c>
      <c r="AD175" s="138">
        <f t="shared" si="354"/>
        <v>0.10292925383457097</v>
      </c>
      <c r="AE175" s="31">
        <v>0.08</v>
      </c>
      <c r="AF175" s="127">
        <f t="shared" si="355"/>
        <v>4.2668003670878871</v>
      </c>
    </row>
    <row r="176" spans="2:32" x14ac:dyDescent="0.2">
      <c r="B176" s="20" t="s">
        <v>281</v>
      </c>
      <c r="C176" s="25" t="e">
        <f>C172/C122</f>
        <v>#DIV/0!</v>
      </c>
      <c r="D176" s="25" t="e">
        <f>D172/D122</f>
        <v>#DIV/0!</v>
      </c>
      <c r="E176" s="25" t="e">
        <f>E172/E122</f>
        <v>#DIV/0!</v>
      </c>
      <c r="F176" s="25" t="e">
        <f>F172/F122</f>
        <v>#DIV/0!</v>
      </c>
      <c r="G176" s="182">
        <f t="shared" ref="G176:P176" si="374">G170/G62</f>
        <v>-0.18622222222222223</v>
      </c>
      <c r="H176" s="182">
        <f t="shared" si="374"/>
        <v>-0.3184031158714703</v>
      </c>
      <c r="I176" s="182">
        <f t="shared" si="374"/>
        <v>-0.47055758207399689</v>
      </c>
      <c r="J176" s="182">
        <f t="shared" si="374"/>
        <v>-0.26009213759213756</v>
      </c>
      <c r="K176" s="182">
        <f t="shared" si="374"/>
        <v>-0.4502252870243339</v>
      </c>
      <c r="L176" s="182">
        <f t="shared" si="374"/>
        <v>-0.19380952380952382</v>
      </c>
      <c r="M176" s="182">
        <f t="shared" si="374"/>
        <v>-0.6455152671755725</v>
      </c>
      <c r="N176" s="182">
        <f t="shared" si="374"/>
        <v>-0.80057350887692003</v>
      </c>
      <c r="O176" s="182">
        <f t="shared" si="374"/>
        <v>-0.63247166159800938</v>
      </c>
      <c r="P176" s="182">
        <f t="shared" si="374"/>
        <v>-0.58540834845735035</v>
      </c>
      <c r="Q176" s="182">
        <f t="shared" ref="Q176" si="375">Q170/Q62</f>
        <v>-0.53764298615291994</v>
      </c>
      <c r="R176" s="118">
        <f t="shared" ref="R176:R179" si="376">((P176/G176)^(1/($H$2-$H$1) ))-1</f>
        <v>0.13571591547403816</v>
      </c>
      <c r="S176" s="128"/>
      <c r="T176" s="135">
        <f t="shared" ref="T176:AC176" si="377">T170/T62</f>
        <v>-0.55812462372065019</v>
      </c>
      <c r="U176" s="135">
        <f t="shared" si="377"/>
        <v>-0.57033359986453935</v>
      </c>
      <c r="V176" s="135">
        <f t="shared" si="377"/>
        <v>-0.58280964736157614</v>
      </c>
      <c r="W176" s="135">
        <f t="shared" si="377"/>
        <v>-0.59555860839761054</v>
      </c>
      <c r="X176" s="135">
        <f t="shared" si="377"/>
        <v>-0.60858645295630831</v>
      </c>
      <c r="Y176" s="135">
        <f t="shared" si="377"/>
        <v>-0.62189928161472763</v>
      </c>
      <c r="Z176" s="135">
        <f t="shared" si="377"/>
        <v>-0.63550332840004986</v>
      </c>
      <c r="AA176" s="135">
        <f t="shared" si="377"/>
        <v>-0.64940496370880108</v>
      </c>
      <c r="AB176" s="135">
        <f t="shared" si="377"/>
        <v>-0.66361069728993116</v>
      </c>
      <c r="AC176" s="135">
        <f t="shared" si="377"/>
        <v>-0.67812718129314842</v>
      </c>
      <c r="AD176" s="138">
        <f t="shared" ref="AD176" si="378">((AC176/G176)^(1/($AC$3-$H$1) ))-1</f>
        <v>6.675326895114253E-2</v>
      </c>
      <c r="AE176" s="31">
        <v>0.08</v>
      </c>
      <c r="AF176" s="127">
        <f t="shared" si="355"/>
        <v>-5.1671027672077861</v>
      </c>
    </row>
    <row r="177" spans="2:46" x14ac:dyDescent="0.2">
      <c r="B177" s="20" t="s">
        <v>371</v>
      </c>
      <c r="C177" s="161" t="e">
        <f t="shared" ref="C177:P177" si="379">C54/C170</f>
        <v>#DIV/0!</v>
      </c>
      <c r="D177" s="161" t="e">
        <f t="shared" si="379"/>
        <v>#DIV/0!</v>
      </c>
      <c r="E177" s="161" t="e">
        <f t="shared" si="379"/>
        <v>#DIV/0!</v>
      </c>
      <c r="F177" s="161">
        <f t="shared" si="379"/>
        <v>0</v>
      </c>
      <c r="G177" s="161">
        <f t="shared" si="379"/>
        <v>0.49058605144523998</v>
      </c>
      <c r="H177" s="161">
        <f t="shared" si="379"/>
        <v>0.14984709480122324</v>
      </c>
      <c r="I177" s="161">
        <f t="shared" si="379"/>
        <v>7.8073089700996676E-2</v>
      </c>
      <c r="J177" s="161">
        <f t="shared" si="379"/>
        <v>8.9743286965968408E-2</v>
      </c>
      <c r="K177" s="161">
        <f t="shared" si="379"/>
        <v>6.2388034327853135E-2</v>
      </c>
      <c r="L177" s="161">
        <f t="shared" si="379"/>
        <v>0.16707616707616707</v>
      </c>
      <c r="M177" s="161">
        <f t="shared" si="379"/>
        <v>8.06541019955654E-2</v>
      </c>
      <c r="N177" s="161">
        <f t="shared" si="379"/>
        <v>7.5810902567105418E-2</v>
      </c>
      <c r="O177" s="161">
        <f t="shared" si="379"/>
        <v>0.11435315717002165</v>
      </c>
      <c r="P177" s="161">
        <f t="shared" si="379"/>
        <v>0.10079089506172841</v>
      </c>
      <c r="Q177" s="161">
        <f t="shared" ref="Q177" si="380">Q54/Q170</f>
        <v>9.4972145236695504E-2</v>
      </c>
      <c r="R177" s="118">
        <f t="shared" si="376"/>
        <v>-0.16124714440002452</v>
      </c>
      <c r="S177" s="128"/>
      <c r="T177" s="161">
        <f t="shared" ref="T177:AC177" si="381">T54/T170</f>
        <v>9.1486928897734202E-2</v>
      </c>
      <c r="U177" s="161">
        <f t="shared" si="381"/>
        <v>8.9528493110932555E-2</v>
      </c>
      <c r="V177" s="161">
        <f t="shared" si="381"/>
        <v>8.761198102598905E-2</v>
      </c>
      <c r="W177" s="161">
        <f t="shared" si="381"/>
        <v>8.5736495193628429E-2</v>
      </c>
      <c r="X177" s="161">
        <f t="shared" si="381"/>
        <v>8.390115737602781E-2</v>
      </c>
      <c r="Y177" s="161">
        <f t="shared" si="381"/>
        <v>8.2105108135562377E-2</v>
      </c>
      <c r="Z177" s="161">
        <f t="shared" si="381"/>
        <v>8.0347506432354623E-2</v>
      </c>
      <c r="AA177" s="161">
        <f t="shared" si="381"/>
        <v>7.8627529230438767E-2</v>
      </c>
      <c r="AB177" s="161">
        <f t="shared" si="381"/>
        <v>7.6944371112355969E-2</v>
      </c>
      <c r="AC177" s="161">
        <f t="shared" si="381"/>
        <v>7.5297243901999725E-2</v>
      </c>
      <c r="AD177" s="138">
        <f t="shared" ref="AD177:AD179" si="382">((AC177/G177)^(1/($AC$3-$H$1) ))-1</f>
        <v>-8.9451267412832713E-2</v>
      </c>
      <c r="AE177" s="31">
        <v>0.08</v>
      </c>
      <c r="AF177" s="127">
        <f t="shared" si="355"/>
        <v>0.48972721430194749</v>
      </c>
    </row>
    <row r="178" spans="2:46" x14ac:dyDescent="0.2">
      <c r="B178" s="20" t="s">
        <v>320</v>
      </c>
      <c r="C178" s="152" t="e">
        <f t="shared" ref="C178:P178" si="383">C44/C170</f>
        <v>#DIV/0!</v>
      </c>
      <c r="D178" s="152" t="e">
        <f t="shared" si="383"/>
        <v>#DIV/0!</v>
      </c>
      <c r="E178" s="152" t="e">
        <f t="shared" si="383"/>
        <v>#DIV/0!</v>
      </c>
      <c r="F178" s="152">
        <f t="shared" si="383"/>
        <v>0</v>
      </c>
      <c r="G178" s="152">
        <f t="shared" si="383"/>
        <v>0.1388888888888889</v>
      </c>
      <c r="H178" s="152">
        <f t="shared" si="383"/>
        <v>0.05</v>
      </c>
      <c r="I178" s="152">
        <f t="shared" si="383"/>
        <v>2.5000000000000001E-2</v>
      </c>
      <c r="J178" s="152">
        <f t="shared" si="383"/>
        <v>2.6086956521739129E-2</v>
      </c>
      <c r="K178" s="152">
        <f t="shared" si="383"/>
        <v>1.6286644951140065E-2</v>
      </c>
      <c r="L178" s="152">
        <f t="shared" si="383"/>
        <v>2.7777777777777776E-2</v>
      </c>
      <c r="M178" s="152">
        <f t="shared" si="383"/>
        <v>1.2500000000000001E-2</v>
      </c>
      <c r="N178" s="152">
        <f t="shared" si="383"/>
        <v>9.1549295774647887E-3</v>
      </c>
      <c r="O178" s="152">
        <f t="shared" si="383"/>
        <v>1.2871287128712871E-2</v>
      </c>
      <c r="P178" s="152">
        <f t="shared" si="383"/>
        <v>1.0937499999999999E-2</v>
      </c>
      <c r="Q178" s="152">
        <f t="shared" ref="Q178" si="384">Q44/Q170</f>
        <v>1.1111111111111112E-2</v>
      </c>
      <c r="R178" s="118">
        <f t="shared" si="376"/>
        <v>-0.24601766035890871</v>
      </c>
      <c r="S178" s="128"/>
      <c r="T178" s="152">
        <f t="shared" ref="T178:AC178" si="385">T44/T170</f>
        <v>1.053612385321101E-2</v>
      </c>
      <c r="U178" s="152">
        <f t="shared" si="385"/>
        <v>1.0149477106304183E-2</v>
      </c>
      <c r="V178" s="152">
        <f t="shared" si="385"/>
        <v>9.7770192308434794E-3</v>
      </c>
      <c r="W178" s="152">
        <f t="shared" si="385"/>
        <v>9.4182295342987634E-3</v>
      </c>
      <c r="X178" s="152">
        <f t="shared" si="385"/>
        <v>9.0726064321226627E-3</v>
      </c>
      <c r="Y178" s="152">
        <f t="shared" si="385"/>
        <v>8.7396667465401787E-3</v>
      </c>
      <c r="Z178" s="152">
        <f t="shared" si="385"/>
        <v>8.4189450310708149E-3</v>
      </c>
      <c r="AA178" s="152">
        <f t="shared" si="385"/>
        <v>8.1099929198388578E-3</v>
      </c>
      <c r="AB178" s="152">
        <f t="shared" si="385"/>
        <v>7.8123785007622017E-3</v>
      </c>
      <c r="AC178" s="152">
        <f t="shared" si="385"/>
        <v>7.5256857117434045E-3</v>
      </c>
      <c r="AD178" s="138">
        <f t="shared" si="382"/>
        <v>-0.13564145714270692</v>
      </c>
      <c r="AE178" s="31">
        <v>0.08</v>
      </c>
      <c r="AF178" s="127">
        <f t="shared" si="355"/>
        <v>4.646350525574628E-2</v>
      </c>
    </row>
    <row r="179" spans="2:46" x14ac:dyDescent="0.2">
      <c r="B179" s="20" t="s">
        <v>446</v>
      </c>
      <c r="C179" s="181" t="e">
        <f t="shared" ref="C179:O179" si="386">(C172)/($L$2*100)</f>
        <v>#DIV/0!</v>
      </c>
      <c r="D179" s="181" t="e">
        <f t="shared" si="386"/>
        <v>#DIV/0!</v>
      </c>
      <c r="E179" s="181" t="e">
        <f t="shared" si="386"/>
        <v>#DIV/0!</v>
      </c>
      <c r="F179" s="181" t="e">
        <f t="shared" si="386"/>
        <v>#DIV/0!</v>
      </c>
      <c r="G179" s="181">
        <f t="shared" si="386"/>
        <v>0.16986486486486485</v>
      </c>
      <c r="H179" s="181">
        <f t="shared" si="386"/>
        <v>0.55612244897959184</v>
      </c>
      <c r="I179" s="181">
        <f t="shared" si="386"/>
        <v>1.0673758865248228</v>
      </c>
      <c r="J179" s="181">
        <f t="shared" si="386"/>
        <v>0.9285745614035088</v>
      </c>
      <c r="K179" s="181">
        <f t="shared" si="386"/>
        <v>1.3357262210796914</v>
      </c>
      <c r="L179" s="181">
        <f t="shared" si="386"/>
        <v>0.49877450980392163</v>
      </c>
      <c r="M179" s="181">
        <f t="shared" si="386"/>
        <v>1.0332187857961055</v>
      </c>
      <c r="N179" s="181">
        <f t="shared" si="386"/>
        <v>1.0992262393864694</v>
      </c>
      <c r="O179" s="181">
        <f t="shared" si="386"/>
        <v>0.72873662079510693</v>
      </c>
      <c r="P179" s="181">
        <f>(P172)/($L$2*100)</f>
        <v>0.82679425837320564</v>
      </c>
      <c r="Q179" s="181">
        <f>(Q172)/($L$2*100)</f>
        <v>0.87745025792188658</v>
      </c>
      <c r="R179" s="118">
        <f t="shared" si="376"/>
        <v>0.19224631346820442</v>
      </c>
      <c r="S179" s="128"/>
      <c r="T179" s="181">
        <f>(T172)/($L$2*100)</f>
        <v>0.91087693441414874</v>
      </c>
      <c r="U179" s="181">
        <f t="shared" ref="U179:AC179" si="387">(U172)/($L$2*100)</f>
        <v>0.93080236735445832</v>
      </c>
      <c r="V179" s="181">
        <f t="shared" si="387"/>
        <v>0.95116366914033701</v>
      </c>
      <c r="W179" s="181">
        <f t="shared" si="387"/>
        <v>0.97197037440278189</v>
      </c>
      <c r="X179" s="181">
        <f t="shared" si="387"/>
        <v>0.99323222634284292</v>
      </c>
      <c r="Y179" s="181">
        <f t="shared" si="387"/>
        <v>1.0149591812940926</v>
      </c>
      <c r="Z179" s="181">
        <f t="shared" si="387"/>
        <v>1.037161413384901</v>
      </c>
      <c r="AA179" s="181">
        <f t="shared" si="387"/>
        <v>1.0598493193026957</v>
      </c>
      <c r="AB179" s="181">
        <f t="shared" si="387"/>
        <v>1.0830335231624422</v>
      </c>
      <c r="AC179" s="181">
        <f t="shared" si="387"/>
        <v>1.1067248814816206</v>
      </c>
      <c r="AD179" s="138">
        <f t="shared" si="382"/>
        <v>9.8238857747539043E-2</v>
      </c>
      <c r="AE179" s="31">
        <v>0.08</v>
      </c>
      <c r="AF179" s="181">
        <f>(AF172)/($L$2*100)</f>
        <v>8.6817733548511118</v>
      </c>
    </row>
    <row r="180" spans="2:46" x14ac:dyDescent="0.2">
      <c r="B180" s="20" t="s">
        <v>452</v>
      </c>
      <c r="C180" s="152"/>
      <c r="D180" s="152"/>
      <c r="E180" s="152"/>
      <c r="F180" s="152"/>
      <c r="G180" s="152">
        <f t="shared" ref="G180:P180" si="388">G179-1</f>
        <v>-0.83013513513513515</v>
      </c>
      <c r="H180" s="152">
        <f t="shared" si="388"/>
        <v>-0.44387755102040816</v>
      </c>
      <c r="I180" s="152">
        <f t="shared" si="388"/>
        <v>6.7375886524822848E-2</v>
      </c>
      <c r="J180" s="152">
        <f t="shared" si="388"/>
        <v>-7.1425438596491198E-2</v>
      </c>
      <c r="K180" s="152">
        <f t="shared" si="388"/>
        <v>0.33572622107969141</v>
      </c>
      <c r="L180" s="152">
        <f t="shared" si="388"/>
        <v>-0.50122549019607843</v>
      </c>
      <c r="M180" s="152">
        <f t="shared" si="388"/>
        <v>3.3218785796105488E-2</v>
      </c>
      <c r="N180" s="152">
        <f t="shared" si="388"/>
        <v>9.922623938646935E-2</v>
      </c>
      <c r="O180" s="152">
        <f t="shared" si="388"/>
        <v>-0.27126337920489307</v>
      </c>
      <c r="P180" s="152">
        <f t="shared" si="388"/>
        <v>-0.17320574162679436</v>
      </c>
      <c r="Q180" s="152">
        <f>Q179-1</f>
        <v>-0.12254974207811342</v>
      </c>
      <c r="R180" s="128"/>
      <c r="S180" s="128"/>
      <c r="T180" s="135"/>
      <c r="U180" s="135"/>
      <c r="V180" s="135"/>
      <c r="W180" s="135"/>
      <c r="X180" s="135"/>
      <c r="Y180" s="135"/>
      <c r="Z180" s="135"/>
      <c r="AA180" s="135"/>
      <c r="AB180" s="135"/>
      <c r="AC180" s="135"/>
      <c r="AD180" s="137"/>
      <c r="AE180" s="20"/>
      <c r="AF180" s="127"/>
    </row>
    <row r="181" spans="2:46" x14ac:dyDescent="0.2">
      <c r="B181" s="20"/>
      <c r="C181" s="129"/>
      <c r="D181" s="129"/>
      <c r="E181" s="129"/>
      <c r="F181" s="129"/>
      <c r="G181" s="135"/>
      <c r="H181" s="135"/>
      <c r="I181" s="135"/>
      <c r="J181" s="135"/>
      <c r="K181" s="135"/>
      <c r="L181" s="135"/>
      <c r="M181" s="135"/>
      <c r="N181" s="135"/>
      <c r="O181" s="135"/>
      <c r="P181" s="135"/>
      <c r="Q181" s="135"/>
      <c r="R181" s="128"/>
      <c r="S181" s="128"/>
      <c r="T181" s="135"/>
      <c r="U181" s="135"/>
      <c r="V181" s="135"/>
      <c r="W181" s="135"/>
      <c r="X181" s="135"/>
      <c r="Y181" s="135"/>
      <c r="Z181" s="135"/>
      <c r="AA181" s="135"/>
      <c r="AB181" s="135"/>
      <c r="AC181" s="135"/>
      <c r="AD181" s="137"/>
      <c r="AE181" s="20"/>
      <c r="AF181" s="20"/>
    </row>
    <row r="182" spans="2:46" x14ac:dyDescent="0.2">
      <c r="B182" s="108" t="s">
        <v>301</v>
      </c>
      <c r="C182" s="20"/>
      <c r="D182" s="20"/>
      <c r="E182" s="20"/>
      <c r="F182" s="20"/>
      <c r="G182" s="20"/>
      <c r="H182" s="20"/>
      <c r="I182" s="20"/>
      <c r="J182" s="20"/>
      <c r="K182" s="199" t="s">
        <v>351</v>
      </c>
      <c r="L182" s="200"/>
      <c r="M182" s="20"/>
      <c r="N182" s="20"/>
      <c r="O182" s="20"/>
      <c r="P182" s="108" t="s">
        <v>430</v>
      </c>
      <c r="Q182" s="108" t="s">
        <v>429</v>
      </c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137"/>
      <c r="AE182" s="20"/>
      <c r="AF182" s="20"/>
    </row>
    <row r="183" spans="2:46" x14ac:dyDescent="0.2">
      <c r="B183" s="20" t="s">
        <v>299</v>
      </c>
      <c r="C183" s="20" t="s">
        <v>314</v>
      </c>
      <c r="D183" s="20"/>
      <c r="E183" s="20"/>
      <c r="F183" s="20"/>
      <c r="G183" s="20"/>
      <c r="H183" s="20"/>
      <c r="I183" s="20"/>
      <c r="J183" s="20"/>
      <c r="K183" s="20" t="s">
        <v>352</v>
      </c>
      <c r="L183" s="22">
        <v>1</v>
      </c>
      <c r="M183" s="20"/>
      <c r="N183" s="20"/>
      <c r="O183" s="20"/>
      <c r="P183" s="128">
        <f>(Q170-S158)/Q170</f>
        <v>0.89470350070552107</v>
      </c>
      <c r="Q183" s="128">
        <f>(Q170-T158)/Q170</f>
        <v>0.91337384741413885</v>
      </c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137"/>
      <c r="AE183" s="20"/>
      <c r="AF183" s="20"/>
    </row>
    <row r="184" spans="2:46" x14ac:dyDescent="0.2">
      <c r="B184" s="20" t="s">
        <v>349</v>
      </c>
      <c r="C184" s="20" t="s">
        <v>314</v>
      </c>
      <c r="D184" s="20"/>
      <c r="E184" s="20"/>
      <c r="F184" s="20"/>
      <c r="G184" s="20"/>
      <c r="H184" s="20"/>
      <c r="I184" s="20"/>
      <c r="J184" s="20"/>
      <c r="K184" s="172">
        <f>$L$183</f>
        <v>1</v>
      </c>
      <c r="L184" s="20"/>
      <c r="M184" s="128">
        <f>(P170-(K184*S149))/P170</f>
        <v>5.1843331986735883</v>
      </c>
      <c r="N184" s="20"/>
      <c r="O184" s="20"/>
      <c r="P184" s="128">
        <f>(Q170-S149)/Q170</f>
        <v>5.2507511859541216</v>
      </c>
      <c r="Q184" s="128">
        <f>(Q170-T149)/Q170</f>
        <v>1.5923177882067219</v>
      </c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137"/>
      <c r="AE184" s="20"/>
      <c r="AF184" s="20"/>
    </row>
    <row r="185" spans="2:46" x14ac:dyDescent="0.2">
      <c r="B185" s="20" t="s">
        <v>350</v>
      </c>
      <c r="C185" s="20" t="s">
        <v>314</v>
      </c>
      <c r="D185" s="20"/>
      <c r="E185" s="20"/>
      <c r="F185" s="20"/>
      <c r="G185" s="20"/>
      <c r="H185" s="20"/>
      <c r="I185" s="20"/>
      <c r="J185" s="20"/>
      <c r="K185" s="172">
        <f>$L$183</f>
        <v>1</v>
      </c>
      <c r="L185" s="20"/>
      <c r="M185" s="128">
        <f>(P170-(K185*S142))/P170</f>
        <v>-0.339880927179118</v>
      </c>
      <c r="N185" s="20"/>
      <c r="O185" s="20"/>
      <c r="P185" s="128">
        <f>(Q170-S142)/Q170</f>
        <v>-0.36114887840418336</v>
      </c>
      <c r="Q185" s="128">
        <f>(Q170-T142)/Q170</f>
        <v>0.81033171366499079</v>
      </c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137"/>
      <c r="AE185" s="20"/>
      <c r="AF185" s="20"/>
    </row>
    <row r="186" spans="2:46" x14ac:dyDescent="0.2">
      <c r="B186" s="20" t="s">
        <v>353</v>
      </c>
      <c r="C186" s="20" t="s">
        <v>314</v>
      </c>
      <c r="D186" s="20"/>
      <c r="E186" s="20"/>
      <c r="F186" s="20"/>
      <c r="G186" s="20"/>
      <c r="H186" s="20"/>
      <c r="I186" s="20"/>
      <c r="J186" s="20"/>
      <c r="K186" s="172">
        <f>$L$183</f>
        <v>1</v>
      </c>
      <c r="L186" s="20"/>
      <c r="M186" s="128">
        <f>(P170-(K186*S155))/P170</f>
        <v>-0.82552430447430436</v>
      </c>
      <c r="N186" s="20"/>
      <c r="O186" s="20"/>
      <c r="P186" s="128">
        <f>(Q170-S155)/Q170</f>
        <v>-0.85450088073580122</v>
      </c>
      <c r="Q186" s="128">
        <f>(Q170-T155)/Q170</f>
        <v>0.74158594284828994</v>
      </c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137"/>
      <c r="AE186" s="20"/>
      <c r="AF186" s="20"/>
    </row>
    <row r="187" spans="2:46" x14ac:dyDescent="0.2">
      <c r="B187" s="20" t="s">
        <v>399</v>
      </c>
      <c r="C187" s="20" t="s">
        <v>314</v>
      </c>
      <c r="D187" s="20"/>
      <c r="E187" s="20"/>
      <c r="F187" s="20"/>
      <c r="G187" s="20"/>
      <c r="H187" s="20"/>
      <c r="I187" s="20"/>
      <c r="J187" s="20"/>
      <c r="K187" s="172">
        <f>$L$183</f>
        <v>1</v>
      </c>
      <c r="L187" s="20"/>
      <c r="M187" s="128">
        <f>(P170-(K187*S167))/P170</f>
        <v>1</v>
      </c>
      <c r="N187" s="20"/>
      <c r="O187" s="20"/>
      <c r="P187" s="128">
        <f>(Q170-S167)/Q170</f>
        <v>1</v>
      </c>
      <c r="Q187" s="128">
        <f>(Q170-T167)/Q170</f>
        <v>1</v>
      </c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137"/>
      <c r="AE187" s="20"/>
      <c r="AF187" s="20"/>
    </row>
    <row r="188" spans="2:46" x14ac:dyDescent="0.2">
      <c r="B188" s="20" t="s">
        <v>300</v>
      </c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5">
        <f>Q170/S141</f>
        <v>4.6072744430648402</v>
      </c>
      <c r="Q188" s="25">
        <f>Q170/T141</f>
        <v>33.063969532582973</v>
      </c>
      <c r="R188" s="20"/>
      <c r="S188" s="20"/>
      <c r="T188" s="115" t="s">
        <v>11</v>
      </c>
      <c r="U188" s="115" t="s">
        <v>12</v>
      </c>
      <c r="V188" s="115" t="s">
        <v>13</v>
      </c>
      <c r="W188" s="115" t="s">
        <v>14</v>
      </c>
      <c r="X188" s="115" t="s">
        <v>15</v>
      </c>
      <c r="Y188" s="115" t="s">
        <v>234</v>
      </c>
      <c r="Z188" s="115" t="s">
        <v>235</v>
      </c>
      <c r="AA188" s="115" t="s">
        <v>236</v>
      </c>
      <c r="AB188" s="115" t="s">
        <v>237</v>
      </c>
      <c r="AC188" s="115" t="s">
        <v>238</v>
      </c>
      <c r="AD188" s="115" t="s">
        <v>407</v>
      </c>
      <c r="AE188" s="115" t="s">
        <v>408</v>
      </c>
      <c r="AF188" s="115" t="s">
        <v>409</v>
      </c>
      <c r="AG188" s="115" t="s">
        <v>410</v>
      </c>
      <c r="AH188" s="115" t="s">
        <v>411</v>
      </c>
      <c r="AI188" s="115" t="s">
        <v>412</v>
      </c>
      <c r="AJ188" s="115" t="s">
        <v>413</v>
      </c>
      <c r="AK188" s="115" t="s">
        <v>414</v>
      </c>
      <c r="AL188" s="115" t="s">
        <v>415</v>
      </c>
      <c r="AM188" s="115" t="s">
        <v>416</v>
      </c>
      <c r="AN188" s="115" t="s">
        <v>417</v>
      </c>
      <c r="AO188" s="115" t="s">
        <v>418</v>
      </c>
      <c r="AP188" s="115" t="s">
        <v>419</v>
      </c>
      <c r="AQ188" s="115" t="s">
        <v>420</v>
      </c>
      <c r="AR188" s="115" t="s">
        <v>421</v>
      </c>
      <c r="AS188" s="115" t="s">
        <v>422</v>
      </c>
      <c r="AT188" s="115" t="s">
        <v>423</v>
      </c>
    </row>
    <row r="189" spans="2:46" x14ac:dyDescent="0.2">
      <c r="B189" s="20" t="s">
        <v>371</v>
      </c>
      <c r="C189" s="20"/>
      <c r="D189" s="20"/>
      <c r="E189" s="20"/>
      <c r="F189" s="20"/>
      <c r="G189" s="213" t="s">
        <v>449</v>
      </c>
      <c r="H189" s="211"/>
      <c r="I189" s="213" t="s">
        <v>448</v>
      </c>
      <c r="J189" s="211"/>
      <c r="K189" s="213" t="s">
        <v>451</v>
      </c>
      <c r="L189" s="213" t="s">
        <v>450</v>
      </c>
      <c r="M189" s="211"/>
      <c r="N189" s="211" t="s">
        <v>447</v>
      </c>
      <c r="O189" s="211"/>
      <c r="P189" s="152">
        <f>1/P188</f>
        <v>0.21704806439418059</v>
      </c>
      <c r="Q189" s="152">
        <f>1/Q188</f>
        <v>3.0244402415582541E-2</v>
      </c>
      <c r="R189" s="20"/>
      <c r="S189" s="20"/>
      <c r="T189" s="129">
        <f>Q170-T190</f>
        <v>594.0134332466356</v>
      </c>
      <c r="U189" s="185">
        <f>T189-U190</f>
        <v>554.42820981793477</v>
      </c>
      <c r="V189" s="185">
        <f t="shared" ref="V189:X189" si="389">U189-V190</f>
        <v>510.88446404636386</v>
      </c>
      <c r="W189" s="185">
        <f t="shared" si="389"/>
        <v>462.98634369763585</v>
      </c>
      <c r="X189" s="185">
        <f t="shared" si="389"/>
        <v>410.29841131403498</v>
      </c>
      <c r="Y189" s="185">
        <f>X189-Y190</f>
        <v>352.34168569207407</v>
      </c>
      <c r="Z189" s="185">
        <f t="shared" ref="Z189:AC189" si="390">Y189-Z190</f>
        <v>288.58928750791705</v>
      </c>
      <c r="AA189" s="185">
        <f t="shared" si="390"/>
        <v>218.46164950534433</v>
      </c>
      <c r="AB189" s="185">
        <f t="shared" si="390"/>
        <v>141.32124770251431</v>
      </c>
      <c r="AC189" s="185">
        <f t="shared" si="390"/>
        <v>56.466805719401293</v>
      </c>
      <c r="AD189" s="185">
        <f t="shared" ref="AD189" si="391">AC189-AD190</f>
        <v>-36.87308046202304</v>
      </c>
      <c r="AE189" s="185">
        <f t="shared" ref="AE189" si="392">AD189-AE190</f>
        <v>-139.5469552615898</v>
      </c>
      <c r="AF189" s="185">
        <f t="shared" ref="AF189" si="393">AE189-AF190</f>
        <v>-252.48821754111327</v>
      </c>
      <c r="AG189" s="185">
        <f t="shared" ref="AG189" si="394">AF189-AG190</f>
        <v>-376.72360604858909</v>
      </c>
      <c r="AH189" s="185">
        <f t="shared" ref="AH189" si="395">AG189-AH190</f>
        <v>-513.38253340681251</v>
      </c>
      <c r="AI189" s="185">
        <f t="shared" ref="AI189" si="396">AH189-AI190</f>
        <v>-663.70735350085829</v>
      </c>
      <c r="AJ189" s="185">
        <f t="shared" ref="AJ189" si="397">AI189-AJ190</f>
        <v>-829.06465560430865</v>
      </c>
      <c r="AK189" s="185">
        <f t="shared" ref="AK189" si="398">AJ189-AK190</f>
        <v>-1010.9576879181041</v>
      </c>
      <c r="AL189" s="185">
        <f t="shared" ref="AL189" si="399">AK189-AL190</f>
        <v>-1211.0400234632791</v>
      </c>
      <c r="AM189" s="185">
        <f t="shared" ref="AM189" si="400">AL189-AM190</f>
        <v>-1431.1305925629717</v>
      </c>
      <c r="AN189" s="185">
        <f t="shared" ref="AN189" si="401">AM189-AN190</f>
        <v>-1673.2302185726335</v>
      </c>
      <c r="AO189" s="185">
        <f t="shared" ref="AO189" si="402">AN189-AO190</f>
        <v>-1939.5398071832615</v>
      </c>
      <c r="AP189" s="185">
        <f t="shared" ref="AP189" si="403">AO189-AP190</f>
        <v>-2232.4803546549524</v>
      </c>
      <c r="AQ189" s="185">
        <f t="shared" ref="AQ189" si="404">AP189-AQ190</f>
        <v>-2554.7149568738123</v>
      </c>
      <c r="AR189" s="185">
        <f t="shared" ref="AR189" si="405">AQ189-AR190</f>
        <v>-2909.1730193145581</v>
      </c>
      <c r="AS189" s="185">
        <f t="shared" ref="AS189" si="406">AR189-AS190</f>
        <v>-3299.0768879993789</v>
      </c>
      <c r="AT189" s="185">
        <f t="shared" ref="AT189" si="407">AS189-AT190</f>
        <v>-3727.9711435526815</v>
      </c>
    </row>
    <row r="190" spans="2:46" x14ac:dyDescent="0.2">
      <c r="B190" s="20" t="s">
        <v>396</v>
      </c>
      <c r="C190" s="20"/>
      <c r="D190" s="20"/>
      <c r="E190" s="20"/>
      <c r="F190" s="20"/>
      <c r="G190" s="214">
        <v>0</v>
      </c>
      <c r="H190" s="211"/>
      <c r="I190" s="214">
        <v>0.05</v>
      </c>
      <c r="J190" s="211">
        <v>14</v>
      </c>
      <c r="K190" s="184">
        <v>0.1</v>
      </c>
      <c r="L190" s="214">
        <v>0.1</v>
      </c>
      <c r="M190" s="211">
        <v>10</v>
      </c>
      <c r="N190" s="214">
        <v>0.2</v>
      </c>
      <c r="O190" s="211">
        <v>8</v>
      </c>
      <c r="P190" s="181">
        <f>Q170/R140</f>
        <v>19.257185736819732</v>
      </c>
      <c r="Q190" s="181" t="e">
        <f>Q170/S140</f>
        <v>#DIV/0!</v>
      </c>
      <c r="R190" s="20"/>
      <c r="S190" s="20"/>
      <c r="T190" s="186">
        <f>R140*(1+$K$190)</f>
        <v>35.9865667533644</v>
      </c>
      <c r="U190" s="186">
        <f>T190*(1+$K$190)</f>
        <v>39.585223428700843</v>
      </c>
      <c r="V190" s="186">
        <f t="shared" ref="V190:AC190" si="408">U190*(1+$K$190)</f>
        <v>43.543745771570933</v>
      </c>
      <c r="W190" s="186">
        <f t="shared" si="408"/>
        <v>47.898120348728028</v>
      </c>
      <c r="X190" s="186">
        <f t="shared" si="408"/>
        <v>52.687932383600838</v>
      </c>
      <c r="Y190" s="186">
        <f t="shared" si="408"/>
        <v>57.956725621960928</v>
      </c>
      <c r="Z190" s="186">
        <f t="shared" si="408"/>
        <v>63.752398184157023</v>
      </c>
      <c r="AA190" s="186">
        <f t="shared" si="408"/>
        <v>70.127638002572738</v>
      </c>
      <c r="AB190" s="186">
        <f t="shared" si="408"/>
        <v>77.140401802830013</v>
      </c>
      <c r="AC190" s="186">
        <f t="shared" si="408"/>
        <v>84.85444198311302</v>
      </c>
      <c r="AD190" s="186">
        <f t="shared" ref="AD190" si="409">AC190*(1+$K$190)</f>
        <v>93.339886181424333</v>
      </c>
      <c r="AE190" s="186">
        <f t="shared" ref="AE190" si="410">AD190*(1+$K$190)</f>
        <v>102.67387479956678</v>
      </c>
      <c r="AF190" s="186">
        <f t="shared" ref="AF190" si="411">AE190*(1+$K$190)</f>
        <v>112.94126227952346</v>
      </c>
      <c r="AG190" s="186">
        <f t="shared" ref="AG190" si="412">AF190*(1+$K$190)</f>
        <v>124.23538850747582</v>
      </c>
      <c r="AH190" s="186">
        <f t="shared" ref="AH190" si="413">AG190*(1+$K$190)</f>
        <v>136.65892735822342</v>
      </c>
      <c r="AI190" s="186">
        <f t="shared" ref="AI190" si="414">AH190*(1+$K$190)</f>
        <v>150.32482009404578</v>
      </c>
      <c r="AJ190" s="186">
        <f t="shared" ref="AJ190" si="415">AI190*(1+$K$190)</f>
        <v>165.35730210345037</v>
      </c>
      <c r="AK190" s="186">
        <f t="shared" ref="AK190" si="416">AJ190*(1+$K$190)</f>
        <v>181.89303231379543</v>
      </c>
      <c r="AL190" s="186">
        <f t="shared" ref="AL190" si="417">AK190*(1+$K$190)</f>
        <v>200.082335545175</v>
      </c>
      <c r="AM190" s="186">
        <f t="shared" ref="AM190" si="418">AL190*(1+$K$190)</f>
        <v>220.09056909969252</v>
      </c>
      <c r="AN190" s="186">
        <f t="shared" ref="AN190" si="419">AM190*(1+$K$190)</f>
        <v>242.09962600966179</v>
      </c>
      <c r="AO190" s="186">
        <f t="shared" ref="AO190" si="420">AN190*(1+$K$190)</f>
        <v>266.309588610628</v>
      </c>
      <c r="AP190" s="186">
        <f t="shared" ref="AP190" si="421">AO190*(1+$K$190)</f>
        <v>292.94054747169082</v>
      </c>
      <c r="AQ190" s="186">
        <f t="shared" ref="AQ190" si="422">AP190*(1+$K$190)</f>
        <v>322.23460221885995</v>
      </c>
      <c r="AR190" s="186">
        <f t="shared" ref="AR190" si="423">AQ190*(1+$K$190)</f>
        <v>354.45806244074595</v>
      </c>
      <c r="AS190" s="186">
        <f t="shared" ref="AS190" si="424">AR190*(1+$K$190)</f>
        <v>389.90386868482057</v>
      </c>
      <c r="AT190" s="186">
        <f t="shared" ref="AT190" si="425">AS190*(1+$K$190)</f>
        <v>428.89425555330268</v>
      </c>
    </row>
    <row r="191" spans="2:46" x14ac:dyDescent="0.2">
      <c r="B191" s="20" t="s">
        <v>395</v>
      </c>
      <c r="C191" s="20"/>
      <c r="D191" s="20"/>
      <c r="E191" s="20"/>
      <c r="F191" s="20"/>
      <c r="G191" s="214">
        <v>0</v>
      </c>
      <c r="H191" s="212">
        <f>Q172</f>
        <v>10.529403095062639</v>
      </c>
      <c r="I191" s="214">
        <v>0.05</v>
      </c>
      <c r="J191" s="211">
        <v>9</v>
      </c>
      <c r="K191" s="184">
        <v>0.1</v>
      </c>
      <c r="L191" s="214">
        <v>0.1</v>
      </c>
      <c r="M191" s="211">
        <v>7</v>
      </c>
      <c r="N191" s="214">
        <v>0.2</v>
      </c>
      <c r="O191" s="211">
        <v>5</v>
      </c>
      <c r="P191" s="181">
        <f>Q170/P54</f>
        <v>9.7665071770334926</v>
      </c>
      <c r="Q191" s="181">
        <f>Q170/Q54</f>
        <v>10.529403095062639</v>
      </c>
      <c r="R191" s="20"/>
      <c r="S191" s="20"/>
      <c r="T191" s="186">
        <f>Q54*(1+$K$191)</f>
        <v>65.815696649029988</v>
      </c>
      <c r="U191" s="186">
        <f>T191*(1+$K$191)</f>
        <v>72.397266313932988</v>
      </c>
      <c r="V191" s="186">
        <f t="shared" ref="V191:AC191" si="426">U191*(1+$K$191)</f>
        <v>79.636992945326298</v>
      </c>
      <c r="W191" s="186">
        <f t="shared" si="426"/>
        <v>87.60069223985893</v>
      </c>
      <c r="X191" s="186">
        <f t="shared" si="426"/>
        <v>96.360761463844824</v>
      </c>
      <c r="Y191" s="186">
        <f t="shared" si="426"/>
        <v>105.99683761022932</v>
      </c>
      <c r="Z191" s="186">
        <f t="shared" si="426"/>
        <v>116.59652137125227</v>
      </c>
      <c r="AA191" s="186">
        <f t="shared" si="426"/>
        <v>128.25617350837751</v>
      </c>
      <c r="AB191" s="186">
        <f t="shared" si="426"/>
        <v>141.08179085921529</v>
      </c>
      <c r="AC191" s="186">
        <f t="shared" si="426"/>
        <v>155.18996994513682</v>
      </c>
      <c r="AD191" s="186">
        <f t="shared" ref="AD191" si="427">AC191*(1+$K$191)</f>
        <v>170.70896693965051</v>
      </c>
      <c r="AE191" s="186">
        <f t="shared" ref="AE191" si="428">AD191*(1+$K$191)</f>
        <v>187.77986363361558</v>
      </c>
      <c r="AF191" s="186">
        <f t="shared" ref="AF191" si="429">AE191*(1+$K$191)</f>
        <v>206.55784999697715</v>
      </c>
      <c r="AG191" s="186">
        <f t="shared" ref="AG191" si="430">AF191*(1+$K$191)</f>
        <v>227.2136349966749</v>
      </c>
      <c r="AH191" s="186">
        <f t="shared" ref="AH191" si="431">AG191*(1+$K$191)</f>
        <v>249.93499849634242</v>
      </c>
      <c r="AI191" s="186">
        <f t="shared" ref="AI191" si="432">AH191*(1+$K$191)</f>
        <v>274.92849834597666</v>
      </c>
      <c r="AJ191" s="186">
        <f t="shared" ref="AJ191" si="433">AI191*(1+$K$191)</f>
        <v>302.42134818057434</v>
      </c>
      <c r="AK191" s="186">
        <f t="shared" ref="AK191" si="434">AJ191*(1+$K$191)</f>
        <v>332.66348299863182</v>
      </c>
      <c r="AL191" s="186">
        <f t="shared" ref="AL191" si="435">AK191*(1+$K$191)</f>
        <v>365.92983129849506</v>
      </c>
      <c r="AM191" s="186">
        <f t="shared" ref="AM191" si="436">AL191*(1+$K$191)</f>
        <v>402.52281442834459</v>
      </c>
      <c r="AN191" s="186">
        <f t="shared" ref="AN191" si="437">AM191*(1+$K$191)</f>
        <v>442.77509587117908</v>
      </c>
      <c r="AO191" s="186">
        <f t="shared" ref="AO191" si="438">AN191*(1+$K$191)</f>
        <v>487.05260545829702</v>
      </c>
      <c r="AP191" s="186">
        <f t="shared" ref="AP191" si="439">AO191*(1+$K$191)</f>
        <v>535.75786600412675</v>
      </c>
      <c r="AQ191" s="186">
        <f t="shared" ref="AQ191" si="440">AP191*(1+$K$191)</f>
        <v>589.33365260453945</v>
      </c>
      <c r="AR191" s="186">
        <f t="shared" ref="AR191" si="441">AQ191*(1+$K$191)</f>
        <v>648.26701786499348</v>
      </c>
      <c r="AS191" s="186">
        <f t="shared" ref="AS191" si="442">AR191*(1+$K$191)</f>
        <v>713.09371965149285</v>
      </c>
      <c r="AT191" s="186">
        <f t="shared" ref="AT191" si="443">AS191*(1+$K$191)</f>
        <v>784.4030916166422</v>
      </c>
    </row>
    <row r="192" spans="2:46" x14ac:dyDescent="0.2"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129">
        <f>Q170-T191</f>
        <v>564.18430335097003</v>
      </c>
      <c r="U192" s="185">
        <f>T192-U191</f>
        <v>491.78703703703707</v>
      </c>
      <c r="V192" s="185">
        <f t="shared" ref="V192:AA192" si="444">U192-V191</f>
        <v>412.15004409171075</v>
      </c>
      <c r="W192" s="185">
        <f t="shared" si="444"/>
        <v>324.54935185185184</v>
      </c>
      <c r="X192" s="185">
        <f t="shared" si="444"/>
        <v>228.18859038800701</v>
      </c>
      <c r="Y192" s="185">
        <f t="shared" si="444"/>
        <v>122.19175277777769</v>
      </c>
      <c r="Z192" s="185">
        <f t="shared" si="444"/>
        <v>5.5952314065254285</v>
      </c>
      <c r="AA192" s="185">
        <f t="shared" si="444"/>
        <v>-122.66094210185209</v>
      </c>
      <c r="AB192" s="185">
        <f>AA192-AB191</f>
        <v>-263.74273296106736</v>
      </c>
      <c r="AC192" s="185">
        <f t="shared" ref="AC192" si="445">AB192-AC191</f>
        <v>-418.93270290620421</v>
      </c>
      <c r="AD192" s="185">
        <f t="shared" ref="AD192" si="446">AC192-AD191</f>
        <v>-589.64166984585472</v>
      </c>
      <c r="AE192" s="185">
        <f t="shared" ref="AE192" si="447">AD192-AE191</f>
        <v>-777.42153347947033</v>
      </c>
      <c r="AF192" s="185">
        <f t="shared" ref="AF192" si="448">AE192-AF191</f>
        <v>-983.97938347644754</v>
      </c>
      <c r="AG192" s="185">
        <f t="shared" ref="AG192" si="449">AF192-AG191</f>
        <v>-1211.1930184731225</v>
      </c>
      <c r="AH192" s="185">
        <f t="shared" ref="AH192" si="450">AG192-AH191</f>
        <v>-1461.1280169694649</v>
      </c>
      <c r="AI192" s="185">
        <f t="shared" ref="AI192" si="451">AH192-AI191</f>
        <v>-1736.0565153154416</v>
      </c>
      <c r="AJ192" s="185">
        <f t="shared" ref="AJ192" si="452">AI192-AJ191</f>
        <v>-2038.477863496016</v>
      </c>
      <c r="AK192" s="185">
        <f t="shared" ref="AK192" si="453">AJ192-AK191</f>
        <v>-2371.1413464946477</v>
      </c>
      <c r="AL192" s="185">
        <f t="shared" ref="AL192" si="454">AK192-AL191</f>
        <v>-2737.0711777931429</v>
      </c>
      <c r="AM192" s="185">
        <f t="shared" ref="AM192" si="455">AL192-AM191</f>
        <v>-3139.5939922214875</v>
      </c>
      <c r="AN192" s="185">
        <f t="shared" ref="AN192" si="456">AM192-AN191</f>
        <v>-3582.3690880926665</v>
      </c>
      <c r="AO192" s="185">
        <f t="shared" ref="AO192" si="457">AN192-AO191</f>
        <v>-4069.4216935509635</v>
      </c>
      <c r="AP192" s="185">
        <f t="shared" ref="AP192" si="458">AO192-AP191</f>
        <v>-4605.1795595550902</v>
      </c>
      <c r="AQ192" s="185">
        <f t="shared" ref="AQ192" si="459">AP192-AQ191</f>
        <v>-5194.5132121596298</v>
      </c>
      <c r="AR192" s="185">
        <f t="shared" ref="AR192" si="460">AQ192-AR191</f>
        <v>-5842.7802300246231</v>
      </c>
      <c r="AS192" s="185">
        <f t="shared" ref="AS192" si="461">AR192-AS191</f>
        <v>-6555.8739496761154</v>
      </c>
      <c r="AT192" s="185">
        <f t="shared" ref="AT192" si="462">AS192-AT191</f>
        <v>-7340.2770412927575</v>
      </c>
    </row>
    <row r="193" spans="2:32" x14ac:dyDescent="0.2">
      <c r="B193" s="108" t="s">
        <v>302</v>
      </c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</row>
    <row r="194" spans="2:32" x14ac:dyDescent="0.2">
      <c r="B194" s="20" t="s">
        <v>305</v>
      </c>
      <c r="C194" s="25" t="e">
        <f t="shared" ref="C194:P194" si="463">C10/C7</f>
        <v>#DIV/0!</v>
      </c>
      <c r="D194" s="25" t="e">
        <f t="shared" si="463"/>
        <v>#DIV/0!</v>
      </c>
      <c r="E194" s="25" t="e">
        <f t="shared" si="463"/>
        <v>#DIV/0!</v>
      </c>
      <c r="F194" s="25" t="e">
        <f t="shared" si="463"/>
        <v>#DIV/0!</v>
      </c>
      <c r="G194" s="25">
        <f t="shared" si="463"/>
        <v>6.9847328244274811</v>
      </c>
      <c r="H194" s="25">
        <f t="shared" si="463"/>
        <v>6.6412556053811658</v>
      </c>
      <c r="I194" s="25">
        <f t="shared" si="463"/>
        <v>5.2395709177592371</v>
      </c>
      <c r="J194" s="25">
        <f t="shared" si="463"/>
        <v>8.0460405156537753</v>
      </c>
      <c r="K194" s="25">
        <f t="shared" si="463"/>
        <v>8.1375894331315362</v>
      </c>
      <c r="L194" s="25">
        <f t="shared" si="463"/>
        <v>8.687823834196891</v>
      </c>
      <c r="M194" s="25">
        <f t="shared" si="463"/>
        <v>4.802029136316337</v>
      </c>
      <c r="N194" s="25">
        <f t="shared" si="463"/>
        <v>4.126098508072757</v>
      </c>
      <c r="O194" s="25">
        <f t="shared" si="463"/>
        <v>3.0895225464190981</v>
      </c>
      <c r="P194" s="25">
        <f t="shared" si="463"/>
        <v>3.5357775657625732</v>
      </c>
      <c r="Q194" s="25">
        <f t="shared" ref="Q194" si="464">Q10/Q7</f>
        <v>3.2144535840188015</v>
      </c>
      <c r="R194" s="118">
        <f t="shared" ref="R194:R196" si="465">((P194/G194)^(1/($H$2-$H$1) ))-1</f>
        <v>-7.2853531096490398E-2</v>
      </c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</row>
    <row r="195" spans="2:32" x14ac:dyDescent="0.2">
      <c r="B195" s="20" t="s">
        <v>306</v>
      </c>
      <c r="C195" s="112" t="e">
        <f>C10/C12</f>
        <v>#DIV/0!</v>
      </c>
      <c r="D195" s="112" t="e">
        <f>D10/D12</f>
        <v>#DIV/0!</v>
      </c>
      <c r="E195" s="112" t="e">
        <f>E10/E12</f>
        <v>#DIV/0!</v>
      </c>
      <c r="F195" s="112" t="e">
        <f>F10/F12</f>
        <v>#DIV/0!</v>
      </c>
      <c r="G195" s="112">
        <f>G10/G12</f>
        <v>5.683229813664596</v>
      </c>
      <c r="H195" s="112">
        <f t="shared" ref="H195:P195" si="466">H10/H12</f>
        <v>8.2277777777777779</v>
      </c>
      <c r="I195" s="112">
        <f t="shared" si="466"/>
        <v>17.444444444444443</v>
      </c>
      <c r="J195" s="112">
        <f t="shared" si="466"/>
        <v>4.8249585864163445</v>
      </c>
      <c r="K195" s="112">
        <f t="shared" si="466"/>
        <v>5.3924142961342083</v>
      </c>
      <c r="L195" s="112">
        <f t="shared" si="466"/>
        <v>3.1399812734082397</v>
      </c>
      <c r="M195" s="112">
        <f t="shared" si="466"/>
        <v>2.9253565768621237</v>
      </c>
      <c r="N195" s="112">
        <f t="shared" si="466"/>
        <v>2.9023864289821737</v>
      </c>
      <c r="O195" s="112">
        <f t="shared" si="466"/>
        <v>3.5023491824844952</v>
      </c>
      <c r="P195" s="112">
        <f t="shared" si="466"/>
        <v>4.0847110691229727</v>
      </c>
      <c r="Q195" s="112">
        <f t="shared" ref="Q195" si="467">Q10/Q12</f>
        <v>3.8430738971621241</v>
      </c>
      <c r="R195" s="118">
        <f t="shared" si="465"/>
        <v>-3.6031366426861222E-2</v>
      </c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</row>
    <row r="196" spans="2:32" x14ac:dyDescent="0.2">
      <c r="B196" s="20" t="s">
        <v>307</v>
      </c>
      <c r="C196" s="25" t="e">
        <f>C10/(C12+C13)</f>
        <v>#DIV/0!</v>
      </c>
      <c r="D196" s="25" t="e">
        <f>D10/(D12+D13)</f>
        <v>#DIV/0!</v>
      </c>
      <c r="E196" s="25" t="e">
        <f>E10/(E12+E13)</f>
        <v>#DIV/0!</v>
      </c>
      <c r="F196" s="25" t="e">
        <f>F10/(F12+F13)</f>
        <v>#DIV/0!</v>
      </c>
      <c r="G196" s="25">
        <f>G10/(G12+G13)</f>
        <v>5.5120481927710845</v>
      </c>
      <c r="H196" s="25">
        <f t="shared" ref="H196:P196" si="468">H10/(H12+H13)</f>
        <v>8.0489130434782616</v>
      </c>
      <c r="I196" s="25">
        <f t="shared" si="468"/>
        <v>16.842911877394634</v>
      </c>
      <c r="J196" s="25">
        <f t="shared" si="468"/>
        <v>4.2938574938574936</v>
      </c>
      <c r="K196" s="25">
        <f t="shared" si="468"/>
        <v>5.3611312545322694</v>
      </c>
      <c r="L196" s="25">
        <f t="shared" si="468"/>
        <v>3.1253494874184531</v>
      </c>
      <c r="M196" s="25">
        <f t="shared" si="468"/>
        <v>2.886925242414764</v>
      </c>
      <c r="N196" s="25">
        <f t="shared" si="468"/>
        <v>2.781620281069165</v>
      </c>
      <c r="O196" s="25">
        <f t="shared" si="468"/>
        <v>2.073661956158896</v>
      </c>
      <c r="P196" s="25">
        <f t="shared" si="468"/>
        <v>2.6935936039871251</v>
      </c>
      <c r="Q196" s="25">
        <f t="shared" ref="Q196" si="469">Q10/(Q12+Q13)</f>
        <v>2.8634983774730451</v>
      </c>
      <c r="R196" s="118">
        <f t="shared" si="465"/>
        <v>-7.6479451741830684E-2</v>
      </c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</row>
    <row r="197" spans="2:32" x14ac:dyDescent="0.2"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</row>
    <row r="198" spans="2:32" x14ac:dyDescent="0.2"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</row>
    <row r="199" spans="2:32" x14ac:dyDescent="0.2">
      <c r="B199" s="20"/>
      <c r="C199" s="174" t="s">
        <v>377</v>
      </c>
      <c r="D199" s="175"/>
      <c r="E199" s="175"/>
      <c r="F199" s="175"/>
      <c r="G199" s="175"/>
      <c r="H199" s="175"/>
      <c r="I199" s="175"/>
      <c r="J199" s="175"/>
      <c r="K199" s="20"/>
      <c r="L199" s="196" t="s">
        <v>337</v>
      </c>
      <c r="M199" s="197"/>
      <c r="N199" s="198"/>
      <c r="O199" s="23" t="s">
        <v>340</v>
      </c>
      <c r="P199" s="20"/>
      <c r="Q199" s="137"/>
      <c r="R199" s="196" t="s">
        <v>338</v>
      </c>
      <c r="S199" s="197"/>
      <c r="T199" s="198"/>
      <c r="U199" s="23" t="s">
        <v>340</v>
      </c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</row>
    <row r="200" spans="2:32" x14ac:dyDescent="0.2">
      <c r="B200" s="20"/>
      <c r="C200" s="166" t="s">
        <v>339</v>
      </c>
      <c r="D200" s="166" t="s">
        <v>0</v>
      </c>
      <c r="E200" s="166" t="s">
        <v>378</v>
      </c>
      <c r="F200" s="166" t="s">
        <v>379</v>
      </c>
      <c r="G200" s="166" t="s">
        <v>380</v>
      </c>
      <c r="H200" s="166" t="s">
        <v>381</v>
      </c>
      <c r="I200" s="166" t="s">
        <v>382</v>
      </c>
      <c r="J200" s="166" t="s">
        <v>383</v>
      </c>
      <c r="K200" s="20"/>
      <c r="L200" s="166" t="s">
        <v>339</v>
      </c>
      <c r="M200" s="166"/>
      <c r="N200" s="166" t="s">
        <v>0</v>
      </c>
      <c r="O200" s="166" t="s">
        <v>372</v>
      </c>
      <c r="P200" s="20"/>
      <c r="Q200" s="20"/>
      <c r="R200" s="166" t="s">
        <v>339</v>
      </c>
      <c r="S200" s="166"/>
      <c r="T200" s="166" t="s">
        <v>0</v>
      </c>
      <c r="U200" s="166" t="s">
        <v>372</v>
      </c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</row>
    <row r="201" spans="2:32" x14ac:dyDescent="0.2">
      <c r="B201" s="20"/>
      <c r="C201" s="167" t="s">
        <v>341</v>
      </c>
      <c r="D201" s="21">
        <v>18</v>
      </c>
      <c r="E201" s="176" t="s">
        <v>384</v>
      </c>
      <c r="F201" s="22">
        <v>1</v>
      </c>
      <c r="G201" s="22">
        <v>1</v>
      </c>
      <c r="H201" s="167">
        <f>F201/G201</f>
        <v>1</v>
      </c>
      <c r="I201" s="167">
        <f>H201*D202</f>
        <v>1</v>
      </c>
      <c r="J201" s="177">
        <f>I201+D202</f>
        <v>2</v>
      </c>
      <c r="K201" s="20"/>
      <c r="L201" s="167" t="s">
        <v>341</v>
      </c>
      <c r="M201" s="167"/>
      <c r="N201" s="21">
        <v>18</v>
      </c>
      <c r="O201" s="173">
        <f>N201</f>
        <v>18</v>
      </c>
      <c r="P201" s="20"/>
      <c r="Q201" s="20"/>
      <c r="R201" s="167" t="s">
        <v>341</v>
      </c>
      <c r="S201" s="167"/>
      <c r="T201" s="21">
        <v>1</v>
      </c>
      <c r="U201" s="173">
        <f>T201</f>
        <v>1</v>
      </c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</row>
    <row r="202" spans="2:32" x14ac:dyDescent="0.2">
      <c r="B202" s="20"/>
      <c r="C202" s="167" t="s">
        <v>342</v>
      </c>
      <c r="D202" s="21">
        <v>1</v>
      </c>
      <c r="E202" s="176" t="s">
        <v>385</v>
      </c>
      <c r="F202" s="22">
        <v>0</v>
      </c>
      <c r="G202" s="22">
        <v>1</v>
      </c>
      <c r="H202" s="167">
        <f>F202/G202</f>
        <v>0</v>
      </c>
      <c r="I202" s="167">
        <f>H202*J201</f>
        <v>0</v>
      </c>
      <c r="J202" s="167">
        <f>I202+J201</f>
        <v>2</v>
      </c>
      <c r="K202" s="20"/>
      <c r="L202" s="167" t="s">
        <v>342</v>
      </c>
      <c r="M202" s="167"/>
      <c r="N202" s="21">
        <v>1</v>
      </c>
      <c r="O202" s="173">
        <f>N202</f>
        <v>1</v>
      </c>
      <c r="P202" s="20"/>
      <c r="Q202" s="20"/>
      <c r="R202" s="167" t="s">
        <v>342</v>
      </c>
      <c r="S202" s="167"/>
      <c r="T202" s="21">
        <v>1</v>
      </c>
      <c r="U202" s="173">
        <f>T202</f>
        <v>1</v>
      </c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</row>
    <row r="203" spans="2:32" x14ac:dyDescent="0.2">
      <c r="B203" s="20"/>
      <c r="C203" s="167" t="s">
        <v>344</v>
      </c>
      <c r="D203" s="168">
        <f>D201*D202</f>
        <v>18</v>
      </c>
      <c r="E203" s="176" t="s">
        <v>397</v>
      </c>
      <c r="F203" s="22">
        <v>0</v>
      </c>
      <c r="G203" s="22">
        <v>1</v>
      </c>
      <c r="H203" s="167">
        <f>F203/G203</f>
        <v>0</v>
      </c>
      <c r="I203" s="167">
        <f>H203*J202</f>
        <v>0</v>
      </c>
      <c r="J203" s="167">
        <f>I203+J202</f>
        <v>2</v>
      </c>
      <c r="K203" s="20"/>
      <c r="L203" s="167" t="s">
        <v>343</v>
      </c>
      <c r="M203" s="167"/>
      <c r="N203" s="168">
        <f>N201*N202</f>
        <v>18</v>
      </c>
      <c r="O203" s="173">
        <f>N203</f>
        <v>18</v>
      </c>
      <c r="P203" s="20"/>
      <c r="Q203" s="20"/>
      <c r="R203" s="167" t="s">
        <v>344</v>
      </c>
      <c r="S203" s="167"/>
      <c r="T203" s="168">
        <f>T201*T202</f>
        <v>1</v>
      </c>
      <c r="U203" s="173">
        <f>T203</f>
        <v>1</v>
      </c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</row>
    <row r="204" spans="2:32" x14ac:dyDescent="0.2">
      <c r="B204" s="20"/>
      <c r="C204" s="167"/>
      <c r="D204" s="168"/>
      <c r="E204" s="176" t="s">
        <v>386</v>
      </c>
      <c r="F204" s="22">
        <v>10</v>
      </c>
      <c r="G204" s="22">
        <v>1</v>
      </c>
      <c r="H204" s="167">
        <f>F204/G204</f>
        <v>10</v>
      </c>
      <c r="I204" s="167">
        <f>H204*J203</f>
        <v>20</v>
      </c>
      <c r="J204" s="167">
        <f>I204</f>
        <v>20</v>
      </c>
      <c r="K204" s="20"/>
      <c r="L204" s="167" t="s">
        <v>345</v>
      </c>
      <c r="M204" s="167"/>
      <c r="N204" s="21">
        <v>650</v>
      </c>
      <c r="O204" s="21">
        <v>950</v>
      </c>
      <c r="P204" s="20"/>
      <c r="Q204" s="20"/>
      <c r="R204" s="167" t="s">
        <v>345</v>
      </c>
      <c r="S204" s="167">
        <v>0</v>
      </c>
      <c r="T204" s="21">
        <v>1</v>
      </c>
      <c r="U204" s="21">
        <v>1</v>
      </c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</row>
    <row r="205" spans="2:32" x14ac:dyDescent="0.2">
      <c r="B205" s="20"/>
      <c r="C205" s="167" t="s">
        <v>345</v>
      </c>
      <c r="D205" s="21">
        <v>950</v>
      </c>
      <c r="E205" s="176"/>
      <c r="F205" s="167"/>
      <c r="G205" s="167"/>
      <c r="H205" s="169" t="s">
        <v>387</v>
      </c>
      <c r="I205" s="167"/>
      <c r="J205" s="167">
        <f>J204</f>
        <v>20</v>
      </c>
      <c r="K205" s="20"/>
      <c r="L205" s="167" t="s">
        <v>346</v>
      </c>
      <c r="M205" s="167"/>
      <c r="N205" s="168">
        <f>N204*N202</f>
        <v>650</v>
      </c>
      <c r="O205" s="168">
        <f>O204*O202</f>
        <v>950</v>
      </c>
      <c r="P205" s="20"/>
      <c r="Q205" s="20"/>
      <c r="R205" s="167" t="s">
        <v>342</v>
      </c>
      <c r="S205" s="167"/>
      <c r="T205" s="21">
        <v>1</v>
      </c>
      <c r="U205" s="127">
        <f>T205</f>
        <v>1</v>
      </c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</row>
    <row r="206" spans="2:32" x14ac:dyDescent="0.2">
      <c r="B206" s="20"/>
      <c r="C206" s="167" t="s">
        <v>342</v>
      </c>
      <c r="D206" s="21">
        <v>1</v>
      </c>
      <c r="E206" s="176" t="s">
        <v>386</v>
      </c>
      <c r="F206" s="22">
        <v>10</v>
      </c>
      <c r="G206" s="22">
        <v>2</v>
      </c>
      <c r="H206" s="167">
        <f>F206/G206</f>
        <v>5</v>
      </c>
      <c r="I206" s="177">
        <f>H206*D202</f>
        <v>5</v>
      </c>
      <c r="J206" s="177">
        <f>I206</f>
        <v>5</v>
      </c>
      <c r="K206" s="20"/>
      <c r="L206" s="167"/>
      <c r="M206" s="167"/>
      <c r="N206" s="168"/>
      <c r="O206" s="168"/>
      <c r="P206" s="20"/>
      <c r="Q206" s="20"/>
      <c r="R206" s="167" t="s">
        <v>344</v>
      </c>
      <c r="S206" s="167"/>
      <c r="T206" s="168">
        <f>T205*T204</f>
        <v>1</v>
      </c>
      <c r="U206" s="168">
        <f>U205*U204</f>
        <v>1</v>
      </c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</row>
    <row r="207" spans="2:32" x14ac:dyDescent="0.2">
      <c r="B207" s="20"/>
      <c r="C207" s="167" t="s">
        <v>344</v>
      </c>
      <c r="D207" s="168">
        <f>D206*D205</f>
        <v>950</v>
      </c>
      <c r="E207" s="167"/>
      <c r="F207" s="167"/>
      <c r="G207" s="167"/>
      <c r="H207" s="169" t="s">
        <v>387</v>
      </c>
      <c r="I207" s="167"/>
      <c r="J207" s="167">
        <f>J206</f>
        <v>5</v>
      </c>
      <c r="K207" s="20"/>
      <c r="L207" s="167"/>
      <c r="M207" s="167"/>
      <c r="N207" s="168"/>
      <c r="O207" s="168"/>
      <c r="P207" s="20"/>
      <c r="Q207" s="20"/>
      <c r="R207" s="167"/>
      <c r="S207" s="167"/>
      <c r="T207" s="168"/>
      <c r="U207" s="168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</row>
    <row r="208" spans="2:32" x14ac:dyDescent="0.2">
      <c r="B208" s="20"/>
      <c r="C208" s="167"/>
      <c r="D208" s="168"/>
      <c r="E208" s="176" t="s">
        <v>386</v>
      </c>
      <c r="F208" s="22">
        <v>10</v>
      </c>
      <c r="G208" s="22">
        <v>2</v>
      </c>
      <c r="H208" s="167">
        <f>F208/G208</f>
        <v>5</v>
      </c>
      <c r="I208" s="167">
        <f>H208*J207</f>
        <v>25</v>
      </c>
      <c r="J208" s="167">
        <f>I208</f>
        <v>25</v>
      </c>
      <c r="K208" s="20"/>
      <c r="L208" s="169" t="s">
        <v>347</v>
      </c>
      <c r="M208" s="169"/>
      <c r="N208" s="170">
        <f>N205/N203</f>
        <v>36.111111111111114</v>
      </c>
      <c r="O208" s="170">
        <f>O205/O203</f>
        <v>52.777777777777779</v>
      </c>
      <c r="P208" s="20"/>
      <c r="Q208" s="20"/>
      <c r="R208" s="169" t="s">
        <v>347</v>
      </c>
      <c r="S208" s="169"/>
      <c r="T208" s="170">
        <f>T206/T203</f>
        <v>1</v>
      </c>
      <c r="U208" s="170">
        <f>U206/U203</f>
        <v>1</v>
      </c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</row>
    <row r="209" spans="2:32" x14ac:dyDescent="0.2">
      <c r="B209" s="20"/>
      <c r="C209" s="169" t="s">
        <v>347</v>
      </c>
      <c r="D209" s="170">
        <f>D207/D203</f>
        <v>52.777777777777779</v>
      </c>
      <c r="E209" s="176"/>
      <c r="F209" s="167"/>
      <c r="G209" s="167"/>
      <c r="H209" s="169" t="s">
        <v>387</v>
      </c>
      <c r="I209" s="167"/>
      <c r="J209" s="167">
        <f>J208</f>
        <v>25</v>
      </c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</row>
    <row r="210" spans="2:32" x14ac:dyDescent="0.2"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</row>
    <row r="211" spans="2:32" x14ac:dyDescent="0.2">
      <c r="B211" s="20"/>
      <c r="C211" s="20"/>
      <c r="D211" s="137"/>
      <c r="E211" s="178"/>
      <c r="F211" s="178"/>
      <c r="G211" s="179"/>
      <c r="H211" s="20"/>
      <c r="I211" s="137"/>
      <c r="J211" s="178"/>
      <c r="K211" s="179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</row>
    <row r="212" spans="2:32" ht="14.25" x14ac:dyDescent="0.2">
      <c r="B212" s="20"/>
      <c r="C212" s="20"/>
      <c r="D212" s="189" t="s">
        <v>27</v>
      </c>
      <c r="E212" s="190"/>
      <c r="F212" s="190"/>
      <c r="G212" s="191"/>
      <c r="H212" s="20"/>
      <c r="I212" s="189" t="s">
        <v>392</v>
      </c>
      <c r="J212" s="190"/>
      <c r="K212" s="191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</row>
    <row r="213" spans="2:32" x14ac:dyDescent="0.2">
      <c r="B213" s="20"/>
      <c r="C213" s="20"/>
      <c r="D213" s="20" t="s">
        <v>28</v>
      </c>
      <c r="E213" s="127"/>
      <c r="F213" s="127"/>
      <c r="G213" s="21">
        <f>D203</f>
        <v>18</v>
      </c>
      <c r="H213" s="20"/>
      <c r="I213" s="20" t="s">
        <v>28</v>
      </c>
      <c r="J213" s="127"/>
      <c r="K213" s="21">
        <f>G213</f>
        <v>18</v>
      </c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</row>
    <row r="214" spans="2:32" x14ac:dyDescent="0.2">
      <c r="B214" s="20"/>
      <c r="C214" s="20"/>
      <c r="D214" s="20" t="s">
        <v>29</v>
      </c>
      <c r="E214" s="127"/>
      <c r="F214" s="127"/>
      <c r="G214" s="21">
        <f>D207</f>
        <v>950</v>
      </c>
      <c r="H214" s="20"/>
      <c r="I214" s="20" t="s">
        <v>29</v>
      </c>
      <c r="J214" s="20"/>
      <c r="K214" s="21">
        <f>G214</f>
        <v>950</v>
      </c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</row>
    <row r="215" spans="2:32" x14ac:dyDescent="0.2">
      <c r="B215" s="20"/>
      <c r="C215" s="20"/>
      <c r="D215" s="20" t="s">
        <v>30</v>
      </c>
      <c r="E215" s="20"/>
      <c r="F215" s="20"/>
      <c r="G215" s="22">
        <v>1</v>
      </c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</row>
    <row r="216" spans="2:32" x14ac:dyDescent="0.2">
      <c r="B216" s="20"/>
      <c r="C216" s="20"/>
      <c r="D216" s="23" t="s">
        <v>31</v>
      </c>
      <c r="E216" s="3"/>
      <c r="F216" s="3"/>
      <c r="G216" s="3">
        <f>((G214/G213)^(1/G215))-1</f>
        <v>51.777777777777779</v>
      </c>
      <c r="H216" s="20"/>
      <c r="I216" s="23" t="s">
        <v>393</v>
      </c>
      <c r="J216" s="23"/>
      <c r="K216" s="210">
        <f>(K214-K213)/K213</f>
        <v>51.777777777777779</v>
      </c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</row>
    <row r="217" spans="2:32" x14ac:dyDescent="0.2">
      <c r="B217" s="20"/>
      <c r="C217" s="20"/>
      <c r="D217" s="23" t="s">
        <v>32</v>
      </c>
      <c r="E217" s="165"/>
      <c r="F217" s="165"/>
      <c r="G217" s="24">
        <f>G215*12</f>
        <v>12</v>
      </c>
      <c r="H217" s="20"/>
      <c r="I217" s="23" t="s">
        <v>394</v>
      </c>
      <c r="J217" s="23"/>
      <c r="K217" s="23">
        <f>K214/K213</f>
        <v>52.777777777777779</v>
      </c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</row>
    <row r="218" spans="2:32" x14ac:dyDescent="0.2">
      <c r="B218" s="20"/>
      <c r="C218" s="20"/>
      <c r="D218" s="20" t="s">
        <v>30</v>
      </c>
      <c r="E218" s="25"/>
      <c r="F218" s="25"/>
      <c r="G218" s="25">
        <f>G217/12</f>
        <v>1</v>
      </c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</row>
    <row r="219" spans="2:32" x14ac:dyDescent="0.2">
      <c r="B219" s="20"/>
      <c r="C219" s="20"/>
      <c r="D219" s="23" t="s">
        <v>33</v>
      </c>
      <c r="E219" s="3"/>
      <c r="F219" s="3"/>
      <c r="G219" s="3">
        <f>((G214/G213)^(1/G218))-1</f>
        <v>51.777777777777779</v>
      </c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</row>
    <row r="220" spans="2:32" x14ac:dyDescent="0.2"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</row>
    <row r="221" spans="2:32" x14ac:dyDescent="0.2">
      <c r="C221" s="20"/>
      <c r="D221" s="20"/>
      <c r="E221" s="20"/>
      <c r="F221" s="20"/>
      <c r="G221" s="20"/>
      <c r="H221" s="20"/>
      <c r="I221" s="20"/>
      <c r="J221" s="20"/>
      <c r="K221" s="20"/>
    </row>
  </sheetData>
  <mergeCells count="7">
    <mergeCell ref="D212:G212"/>
    <mergeCell ref="I212:K212"/>
    <mergeCell ref="AE2:AF2"/>
    <mergeCell ref="AE3:AF3"/>
    <mergeCell ref="L199:N199"/>
    <mergeCell ref="R199:T199"/>
    <mergeCell ref="K182:L182"/>
  </mergeCells>
  <pageMargins left="0.7" right="0.7" top="0.75" bottom="0.75" header="0.3" footer="0.3"/>
  <pageSetup orientation="portrait" r:id="rId1"/>
  <ignoredErrors>
    <ignoredError sqref="C172" evalError="1"/>
    <ignoredError sqref="U3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A5" zoomScale="80" zoomScaleNormal="80" workbookViewId="0">
      <selection activeCell="F26" sqref="F26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01" t="s">
        <v>27</v>
      </c>
      <c r="K5" s="201"/>
      <c r="M5" s="201" t="s">
        <v>65</v>
      </c>
      <c r="N5" s="201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01" t="s">
        <v>36</v>
      </c>
      <c r="K14" s="201"/>
      <c r="L14" s="201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201" t="s">
        <v>27</v>
      </c>
      <c r="S5" s="201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01" t="s">
        <v>36</v>
      </c>
      <c r="S14" s="201"/>
      <c r="T14" s="201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201" t="s">
        <v>27</v>
      </c>
      <c r="C2" s="201"/>
      <c r="E2" s="201" t="s">
        <v>65</v>
      </c>
      <c r="F2" s="201"/>
      <c r="H2" s="205" t="s">
        <v>36</v>
      </c>
      <c r="I2" s="206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202" t="s">
        <v>68</v>
      </c>
      <c r="E10" s="203"/>
      <c r="F10" s="203"/>
      <c r="G10" s="203"/>
      <c r="H10" s="204"/>
      <c r="I10" s="202" t="s">
        <v>72</v>
      </c>
      <c r="J10" s="203"/>
      <c r="K10" s="203"/>
      <c r="L10" s="204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3"/>
  <sheetViews>
    <sheetView workbookViewId="0">
      <selection activeCell="D19" sqref="D19"/>
    </sheetView>
  </sheetViews>
  <sheetFormatPr defaultRowHeight="14.25" x14ac:dyDescent="0.2"/>
  <cols>
    <col min="1" max="1" width="9.140625" style="187"/>
    <col min="2" max="2" width="16.5703125" style="187" customWidth="1"/>
    <col min="3" max="3" width="39.7109375" style="187" customWidth="1"/>
    <col min="4" max="5" width="9.140625" style="187"/>
    <col min="6" max="6" width="19" style="187" bestFit="1" customWidth="1"/>
    <col min="7" max="7" width="49" style="187" customWidth="1"/>
    <col min="8" max="16384" width="9.140625" style="187"/>
  </cols>
  <sheetData>
    <row r="3" spans="2:7" x14ac:dyDescent="0.2">
      <c r="B3" s="207" t="s">
        <v>431</v>
      </c>
      <c r="C3" s="208"/>
      <c r="F3" s="207" t="s">
        <v>432</v>
      </c>
      <c r="G3" s="208"/>
    </row>
    <row r="4" spans="2:7" x14ac:dyDescent="0.2">
      <c r="B4" s="188" t="s">
        <v>433</v>
      </c>
      <c r="C4" s="188"/>
      <c r="F4" s="188" t="s">
        <v>434</v>
      </c>
      <c r="G4" s="188"/>
    </row>
    <row r="5" spans="2:7" x14ac:dyDescent="0.2">
      <c r="B5" s="188" t="s">
        <v>435</v>
      </c>
      <c r="C5" s="188"/>
      <c r="F5" s="188" t="s">
        <v>292</v>
      </c>
      <c r="G5" s="188"/>
    </row>
    <row r="6" spans="2:7" x14ac:dyDescent="0.2">
      <c r="B6" s="188" t="s">
        <v>436</v>
      </c>
      <c r="C6" s="188"/>
      <c r="F6" s="188" t="s">
        <v>437</v>
      </c>
      <c r="G6" s="188"/>
    </row>
    <row r="7" spans="2:7" x14ac:dyDescent="0.2">
      <c r="B7" s="188" t="s">
        <v>438</v>
      </c>
      <c r="C7" s="188"/>
      <c r="F7" s="188" t="s">
        <v>439</v>
      </c>
      <c r="G7" s="188"/>
    </row>
    <row r="8" spans="2:7" x14ac:dyDescent="0.2">
      <c r="B8" s="188" t="s">
        <v>440</v>
      </c>
      <c r="C8" s="188"/>
      <c r="F8" s="188" t="s">
        <v>441</v>
      </c>
      <c r="G8" s="188"/>
    </row>
    <row r="9" spans="2:7" x14ac:dyDescent="0.2">
      <c r="B9" s="188" t="s">
        <v>442</v>
      </c>
      <c r="C9" s="188"/>
      <c r="F9" s="188" t="s">
        <v>443</v>
      </c>
      <c r="G9" s="188"/>
    </row>
    <row r="10" spans="2:7" x14ac:dyDescent="0.2">
      <c r="B10" s="188" t="s">
        <v>441</v>
      </c>
      <c r="C10" s="188"/>
      <c r="F10" s="188"/>
      <c r="G10" s="188"/>
    </row>
    <row r="11" spans="2:7" x14ac:dyDescent="0.2">
      <c r="B11" s="188" t="s">
        <v>444</v>
      </c>
      <c r="C11" s="188"/>
      <c r="F11" s="188"/>
      <c r="G11" s="188"/>
    </row>
    <row r="12" spans="2:7" x14ac:dyDescent="0.2">
      <c r="B12" s="188" t="s">
        <v>445</v>
      </c>
      <c r="C12" s="188"/>
      <c r="F12" s="188"/>
      <c r="G12" s="188"/>
    </row>
    <row r="13" spans="2:7" x14ac:dyDescent="0.2">
      <c r="B13" s="188"/>
      <c r="C13" s="188"/>
      <c r="F13" s="188"/>
      <c r="G13" s="188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2014-06-07T04:25:49Z</dcterms:modified>
</cp:coreProperties>
</file>
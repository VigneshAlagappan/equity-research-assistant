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5725"/>
</workbook>
</file>

<file path=xl/calcChain.xml><?xml version="1.0" encoding="utf-8"?>
<calcChain xmlns="http://schemas.openxmlformats.org/spreadsheetml/2006/main">
  <c r="F14" i="19"/>
  <c r="F9"/>
  <c r="F10"/>
  <c r="F11"/>
  <c r="F12"/>
  <c r="F13"/>
  <c r="K14"/>
  <c r="I13"/>
  <c r="H23"/>
  <c r="G24" s="1"/>
  <c r="G23"/>
  <c r="H19"/>
  <c r="G19"/>
  <c r="H18"/>
  <c r="G26" s="1"/>
  <c r="G27" s="1"/>
  <c r="G28" s="1"/>
  <c r="G18"/>
  <c r="D28"/>
  <c r="D27"/>
  <c r="D26"/>
  <c r="E23"/>
  <c r="D23"/>
  <c r="D24" s="1"/>
  <c r="E19"/>
  <c r="D19"/>
  <c r="E18"/>
  <c r="D18"/>
  <c r="G201" i="18"/>
  <c r="G60"/>
  <c r="G58"/>
  <c r="G56"/>
  <c r="G54"/>
  <c r="G52"/>
  <c r="G48"/>
  <c r="G46"/>
  <c r="G44"/>
  <c r="G39"/>
  <c r="G37"/>
  <c r="G30"/>
  <c r="G28"/>
  <c r="G26"/>
  <c r="G11"/>
  <c r="G8"/>
  <c r="G7"/>
  <c r="G9"/>
  <c r="G10"/>
  <c r="G12"/>
  <c r="G13"/>
  <c r="G14"/>
  <c r="G15"/>
  <c r="G16"/>
  <c r="G17"/>
  <c r="G18"/>
  <c r="G19"/>
  <c r="G20"/>
  <c r="G21"/>
  <c r="G22"/>
  <c r="G23"/>
  <c r="G24"/>
  <c r="G25"/>
  <c r="G27"/>
  <c r="G29"/>
  <c r="G31"/>
  <c r="G32"/>
  <c r="G33"/>
  <c r="G34"/>
  <c r="G36"/>
  <c r="G38"/>
  <c r="G40"/>
  <c r="G41"/>
  <c r="G42"/>
  <c r="G43"/>
  <c r="G45"/>
  <c r="G47"/>
  <c r="G49"/>
  <c r="G51"/>
  <c r="G53"/>
  <c r="G55"/>
  <c r="G57"/>
  <c r="G59"/>
  <c r="G61"/>
  <c r="G62"/>
  <c r="G63"/>
  <c r="G6"/>
  <c r="R52"/>
  <c r="U153"/>
  <c r="U7"/>
  <c r="U9"/>
  <c r="U10"/>
  <c r="U12"/>
  <c r="U13"/>
  <c r="U14"/>
  <c r="U15"/>
  <c r="U16"/>
  <c r="U18"/>
  <c r="U20"/>
  <c r="U21"/>
  <c r="U22"/>
  <c r="U23"/>
  <c r="U25"/>
  <c r="U27"/>
  <c r="U29"/>
  <c r="U31"/>
  <c r="U32"/>
  <c r="U33"/>
  <c r="U34"/>
  <c r="U36"/>
  <c r="U38"/>
  <c r="U40"/>
  <c r="U41"/>
  <c r="U42"/>
  <c r="U43"/>
  <c r="U45"/>
  <c r="U47"/>
  <c r="U49"/>
  <c r="U50"/>
  <c r="U51"/>
  <c r="U53"/>
  <c r="U55"/>
  <c r="U57"/>
  <c r="U59"/>
  <c r="U6"/>
  <c r="P56"/>
  <c r="O56"/>
  <c r="N56"/>
  <c r="M56"/>
  <c r="L56"/>
  <c r="K56"/>
  <c r="J56"/>
  <c r="I56"/>
  <c r="H56"/>
  <c r="P54"/>
  <c r="O54"/>
  <c r="N54"/>
  <c r="M54"/>
  <c r="L54"/>
  <c r="K54"/>
  <c r="J54"/>
  <c r="I54"/>
  <c r="H54"/>
  <c r="P52"/>
  <c r="O52"/>
  <c r="N52"/>
  <c r="M52"/>
  <c r="L52"/>
  <c r="K52"/>
  <c r="J52"/>
  <c r="I52"/>
  <c r="H52"/>
  <c r="P30"/>
  <c r="O30"/>
  <c r="N30"/>
  <c r="M30"/>
  <c r="L30"/>
  <c r="K30"/>
  <c r="J30"/>
  <c r="I30"/>
  <c r="H30"/>
  <c r="P28"/>
  <c r="O28"/>
  <c r="N28"/>
  <c r="M28"/>
  <c r="L28"/>
  <c r="K28"/>
  <c r="J28"/>
  <c r="I28"/>
  <c r="H28"/>
  <c r="P26"/>
  <c r="O26"/>
  <c r="N26"/>
  <c r="M26"/>
  <c r="L26"/>
  <c r="K26"/>
  <c r="J26"/>
  <c r="I26"/>
  <c r="H26"/>
  <c r="P11"/>
  <c r="O11"/>
  <c r="N11"/>
  <c r="M11"/>
  <c r="L11"/>
  <c r="K11"/>
  <c r="J11"/>
  <c r="I11"/>
  <c r="H11"/>
  <c r="P8"/>
  <c r="O8"/>
  <c r="N8"/>
  <c r="M8"/>
  <c r="L8"/>
  <c r="K8"/>
  <c r="J8"/>
  <c r="I8"/>
  <c r="H8"/>
  <c r="G211" l="1"/>
  <c r="G212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H232"/>
  <c r="AI231"/>
  <c r="AH231"/>
  <c r="AH230"/>
  <c r="AH229"/>
  <c r="R58"/>
  <c r="Q58"/>
  <c r="P58"/>
  <c r="O58"/>
  <c r="N58"/>
  <c r="M58"/>
  <c r="L58"/>
  <c r="K58"/>
  <c r="J58"/>
  <c r="I58"/>
  <c r="H58"/>
  <c r="R56"/>
  <c r="Q56"/>
  <c r="R54"/>
  <c r="Q54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U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J47"/>
  <c r="I47" s="1"/>
  <c r="J45"/>
  <c r="I45" s="1"/>
  <c r="H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J36"/>
  <c r="I36" s="1"/>
  <c r="I143" l="1"/>
  <c r="H141"/>
  <c r="H142" s="1"/>
  <c r="H143"/>
  <c r="H43"/>
  <c r="I125"/>
  <c r="I126"/>
  <c r="I127"/>
  <c r="I128"/>
  <c r="I131"/>
  <c r="H47"/>
  <c r="I129"/>
  <c r="I39"/>
  <c r="H39"/>
  <c r="H36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H47"/>
  <c r="V47"/>
  <c r="W47" s="1"/>
  <c r="X47" s="1"/>
  <c r="Y47" s="1"/>
  <c r="Z47" s="1"/>
  <c r="AA47" s="1"/>
  <c r="AB47" s="1"/>
  <c r="AC47" s="1"/>
  <c r="AD47" s="1"/>
  <c r="AE47" s="1"/>
  <c r="AF47" s="1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W57"/>
  <c r="G129" l="1"/>
  <c r="U129" s="1"/>
  <c r="G125"/>
  <c r="G127"/>
  <c r="G131"/>
  <c r="G126"/>
  <c r="G128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G47" i="18"/>
  <c r="T126"/>
  <c r="S126"/>
  <c r="R126"/>
  <c r="Q126"/>
  <c r="P126"/>
  <c r="O126"/>
  <c r="N126"/>
  <c r="M126"/>
  <c r="L126"/>
  <c r="K126"/>
  <c r="K46"/>
  <c r="V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U126" l="1"/>
  <c r="I49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U132" s="1"/>
  <c r="T131"/>
  <c r="U131" s="1"/>
  <c r="T128"/>
  <c r="U128" s="1"/>
  <c r="T127"/>
  <c r="U127" s="1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U125" s="1"/>
  <c r="S125"/>
  <c r="R125"/>
  <c r="Q125"/>
  <c r="P125"/>
  <c r="O125"/>
  <c r="N125"/>
  <c r="M125"/>
  <c r="L125"/>
  <c r="K125"/>
  <c r="J125"/>
  <c r="T124"/>
  <c r="U124" s="1"/>
  <c r="S124"/>
  <c r="R124"/>
  <c r="Q124"/>
  <c r="P124"/>
  <c r="O124"/>
  <c r="N124"/>
  <c r="M124"/>
  <c r="L124"/>
  <c r="K124"/>
  <c r="J124"/>
  <c r="AH49"/>
  <c r="AH45"/>
  <c r="AH43"/>
  <c r="AH42"/>
  <c r="AH41"/>
  <c r="AH40"/>
  <c r="AH38"/>
  <c r="AH36"/>
  <c r="V40"/>
  <c r="W40" s="1"/>
  <c r="X40" s="1"/>
  <c r="Y40" s="1"/>
  <c r="Z40" s="1"/>
  <c r="AA40" s="1"/>
  <c r="AB40" s="1"/>
  <c r="AC40" s="1"/>
  <c r="AD40" s="1"/>
  <c r="AE40" s="1"/>
  <c r="AF40" s="1"/>
  <c r="W49"/>
  <c r="X49" s="1"/>
  <c r="Y49" s="1"/>
  <c r="Z49" s="1"/>
  <c r="AA49" s="1"/>
  <c r="AB49" s="1"/>
  <c r="AC49" s="1"/>
  <c r="AD49" s="1"/>
  <c r="AE49" s="1"/>
  <c r="AF49" s="1"/>
  <c r="V45"/>
  <c r="W45" s="1"/>
  <c r="X45" s="1"/>
  <c r="Y45" s="1"/>
  <c r="Z45" s="1"/>
  <c r="AA45" s="1"/>
  <c r="AB45" s="1"/>
  <c r="AC45" s="1"/>
  <c r="AD45" s="1"/>
  <c r="AE45" s="1"/>
  <c r="AF45" s="1"/>
  <c r="H49" l="1"/>
  <c r="G130" s="1"/>
  <c r="U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G49" i="18"/>
  <c r="AG45"/>
  <c r="AG40"/>
  <c r="V43"/>
  <c r="W43" s="1"/>
  <c r="X43" s="1"/>
  <c r="Y43" s="1"/>
  <c r="Z43" s="1"/>
  <c r="AA43" s="1"/>
  <c r="AB43" s="1"/>
  <c r="AC43" s="1"/>
  <c r="AD43" s="1"/>
  <c r="AE43" s="1"/>
  <c r="AF43" s="1"/>
  <c r="AG43" s="1"/>
  <c r="V42"/>
  <c r="W42" s="1"/>
  <c r="X42" s="1"/>
  <c r="Y42" s="1"/>
  <c r="Z42" s="1"/>
  <c r="AA42" s="1"/>
  <c r="AB42" s="1"/>
  <c r="AC42" s="1"/>
  <c r="AD42" s="1"/>
  <c r="AE42" s="1"/>
  <c r="AF42" s="1"/>
  <c r="AG42" s="1"/>
  <c r="V41"/>
  <c r="W41" s="1"/>
  <c r="X41" s="1"/>
  <c r="Y41" s="1"/>
  <c r="Z41" s="1"/>
  <c r="AA41" s="1"/>
  <c r="AB41" s="1"/>
  <c r="AC41" s="1"/>
  <c r="AD41" s="1"/>
  <c r="AE41" s="1"/>
  <c r="AF41" s="1"/>
  <c r="V38"/>
  <c r="W38" s="1"/>
  <c r="V36"/>
  <c r="W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X38" i="18"/>
  <c r="W127"/>
  <c r="X36"/>
  <c r="W126"/>
  <c r="W128"/>
  <c r="AG41"/>
  <c r="B215"/>
  <c r="AH227"/>
  <c r="AH224"/>
  <c r="AH226"/>
  <c r="AH225"/>
  <c r="AH222"/>
  <c r="AH221"/>
  <c r="AH220"/>
  <c r="AH219"/>
  <c r="AH214"/>
  <c r="AH217"/>
  <c r="AH216"/>
  <c r="AH215"/>
  <c r="AH212"/>
  <c r="AH211"/>
  <c r="AH208"/>
  <c r="AH207"/>
  <c r="AH210"/>
  <c r="AH209"/>
  <c r="AH206"/>
  <c r="AH205"/>
  <c r="AH204"/>
  <c r="AH203"/>
  <c r="AH202"/>
  <c r="AH201"/>
  <c r="AI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Y38" i="18"/>
  <c r="X127"/>
  <c r="Y36"/>
  <c r="X126"/>
  <c r="X128"/>
  <c r="AI225"/>
  <c r="T212"/>
  <c r="U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Z38" i="18"/>
  <c r="Y127"/>
  <c r="Z36"/>
  <c r="Y128"/>
  <c r="Y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A38" i="18"/>
  <c r="Z127"/>
  <c r="AA36"/>
  <c r="Z128"/>
  <c r="Z126"/>
  <c r="T102"/>
  <c r="U102" s="1"/>
  <c r="S102"/>
  <c r="R102"/>
  <c r="Q102"/>
  <c r="P102"/>
  <c r="O102"/>
  <c r="N102"/>
  <c r="M102"/>
  <c r="L102"/>
  <c r="K102"/>
  <c r="J102"/>
  <c r="V170" s="1"/>
  <c r="H82" i="20" l="1"/>
  <c r="G63"/>
  <c r="C64" s="1"/>
  <c r="F63"/>
  <c r="J57"/>
  <c r="P56"/>
  <c r="I108"/>
  <c r="M107"/>
  <c r="N107" s="1"/>
  <c r="J108" s="1"/>
  <c r="B108"/>
  <c r="F107"/>
  <c r="G107" s="1"/>
  <c r="C108" s="1"/>
  <c r="AB38" i="18"/>
  <c r="AA127"/>
  <c r="AB36"/>
  <c r="AA126"/>
  <c r="AA128"/>
  <c r="G220"/>
  <c r="T170"/>
  <c r="C1"/>
  <c r="AI47" s="1"/>
  <c r="T225" l="1"/>
  <c r="G225"/>
  <c r="G219"/>
  <c r="G221"/>
  <c r="G222" s="1"/>
  <c r="W225"/>
  <c r="W226" s="1"/>
  <c r="W227" s="1"/>
  <c r="H225"/>
  <c r="I225"/>
  <c r="W220"/>
  <c r="W221" s="1"/>
  <c r="W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C38" i="18"/>
  <c r="AB127"/>
  <c r="AC36"/>
  <c r="AB126"/>
  <c r="AB128"/>
  <c r="AI45"/>
  <c r="AI40"/>
  <c r="AI49"/>
  <c r="AI41"/>
  <c r="AI42"/>
  <c r="AI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H71"/>
  <c r="AH70"/>
  <c r="AH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U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U70" s="1"/>
  <c r="W224" l="1"/>
  <c r="G224"/>
  <c r="G226"/>
  <c r="G227" s="1"/>
  <c r="U220"/>
  <c r="T219"/>
  <c r="W219"/>
  <c r="T205"/>
  <c r="U205" s="1"/>
  <c r="T204"/>
  <c r="U204" s="1"/>
  <c r="H219"/>
  <c r="H221"/>
  <c r="I224"/>
  <c r="I226"/>
  <c r="I227" s="1"/>
  <c r="U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D38" i="18"/>
  <c r="AC127"/>
  <c r="AD36"/>
  <c r="AC128"/>
  <c r="AC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U224" l="1"/>
  <c r="U221"/>
  <c r="H222"/>
  <c r="U222" s="1"/>
  <c r="U226"/>
  <c r="H227"/>
  <c r="U227" s="1"/>
  <c r="U219"/>
  <c r="M58" i="20"/>
  <c r="N58" s="1"/>
  <c r="B111"/>
  <c r="F110"/>
  <c r="G110" s="1"/>
  <c r="C111" s="1"/>
  <c r="I111"/>
  <c r="M110"/>
  <c r="N110" s="1"/>
  <c r="J111" s="1"/>
  <c r="F66"/>
  <c r="G66"/>
  <c r="AE38" i="18"/>
  <c r="AD127"/>
  <c r="AE36"/>
  <c r="AD128"/>
  <c r="AD126"/>
  <c r="S222"/>
  <c r="J147"/>
  <c r="K147"/>
  <c r="L147"/>
  <c r="M147"/>
  <c r="N147"/>
  <c r="O147"/>
  <c r="P147"/>
  <c r="Q147"/>
  <c r="R147"/>
  <c r="S147"/>
  <c r="T147"/>
  <c r="U147" s="1"/>
  <c r="T146"/>
  <c r="U146" s="1"/>
  <c r="J59" i="20" l="1"/>
  <c r="P58"/>
  <c r="C67"/>
  <c r="H66"/>
  <c r="H85" s="1"/>
  <c r="I112"/>
  <c r="M111"/>
  <c r="N111" s="1"/>
  <c r="J112" s="1"/>
  <c r="B112"/>
  <c r="F111"/>
  <c r="G111" s="1"/>
  <c r="C112" s="1"/>
  <c r="AF38" i="18"/>
  <c r="AE127"/>
  <c r="AF36"/>
  <c r="AE126"/>
  <c r="AE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G38" i="18"/>
  <c r="AF127"/>
  <c r="AG127" s="1"/>
  <c r="AI38"/>
  <c r="AF126"/>
  <c r="AG126" s="1"/>
  <c r="AF128"/>
  <c r="AG128" s="1"/>
  <c r="AG36"/>
  <c r="AI36"/>
  <c r="T250"/>
  <c r="T249"/>
  <c r="T248"/>
  <c r="T211"/>
  <c r="U211" s="1"/>
  <c r="T66"/>
  <c r="U66" s="1"/>
  <c r="T67"/>
  <c r="U67" s="1"/>
  <c r="T68"/>
  <c r="U68" s="1"/>
  <c r="T72"/>
  <c r="U72" s="1"/>
  <c r="T73"/>
  <c r="T74"/>
  <c r="U74" s="1"/>
  <c r="T75"/>
  <c r="U75" s="1"/>
  <c r="T76"/>
  <c r="U76" s="1"/>
  <c r="T78"/>
  <c r="U78" s="1"/>
  <c r="T79"/>
  <c r="U79" s="1"/>
  <c r="T80"/>
  <c r="U80" s="1"/>
  <c r="T82"/>
  <c r="U82" s="1"/>
  <c r="T83"/>
  <c r="U83" s="1"/>
  <c r="T85"/>
  <c r="U85" s="1"/>
  <c r="T86"/>
  <c r="U86" s="1"/>
  <c r="T88"/>
  <c r="U88" s="1"/>
  <c r="T90"/>
  <c r="U90" s="1"/>
  <c r="T93"/>
  <c r="U93" s="1"/>
  <c r="T94"/>
  <c r="U94" s="1"/>
  <c r="T95"/>
  <c r="U95" s="1"/>
  <c r="T96"/>
  <c r="U96" s="1"/>
  <c r="T98"/>
  <c r="U98" s="1"/>
  <c r="T99"/>
  <c r="U99" s="1"/>
  <c r="T100"/>
  <c r="U100" s="1"/>
  <c r="T105"/>
  <c r="U105" s="1"/>
  <c r="T106"/>
  <c r="U106" s="1"/>
  <c r="T107"/>
  <c r="U107" s="1"/>
  <c r="T108"/>
  <c r="U108" s="1"/>
  <c r="T109"/>
  <c r="U109" s="1"/>
  <c r="T112"/>
  <c r="U112" s="1"/>
  <c r="T113"/>
  <c r="U113" s="1"/>
  <c r="T114"/>
  <c r="U114" s="1"/>
  <c r="T115"/>
  <c r="U115" s="1"/>
  <c r="T116"/>
  <c r="U116" s="1"/>
  <c r="T134"/>
  <c r="U134" s="1"/>
  <c r="T135"/>
  <c r="U135" s="1"/>
  <c r="T136"/>
  <c r="U136" s="1"/>
  <c r="T137"/>
  <c r="U137" s="1"/>
  <c r="T145"/>
  <c r="U145" s="1"/>
  <c r="T149"/>
  <c r="U149" s="1"/>
  <c r="T150"/>
  <c r="U150" s="1"/>
  <c r="T151"/>
  <c r="U151" s="1"/>
  <c r="T154"/>
  <c r="U154" s="1"/>
  <c r="T155"/>
  <c r="U155" s="1"/>
  <c r="T156"/>
  <c r="U156" s="1"/>
  <c r="T157"/>
  <c r="U157" s="1"/>
  <c r="T159"/>
  <c r="U159" s="1"/>
  <c r="T160"/>
  <c r="U160" s="1"/>
  <c r="T162"/>
  <c r="U162" s="1"/>
  <c r="T166"/>
  <c r="U166" s="1"/>
  <c r="T167"/>
  <c r="U167" s="1"/>
  <c r="W17"/>
  <c r="W19"/>
  <c r="W24"/>
  <c r="T92" l="1"/>
  <c r="U92" s="1"/>
  <c r="T139"/>
  <c r="U139" s="1"/>
  <c r="T214"/>
  <c r="U214" s="1"/>
  <c r="T110"/>
  <c r="U110" s="1"/>
  <c r="T164"/>
  <c r="U164" s="1"/>
  <c r="T122"/>
  <c r="U122" s="1"/>
  <c r="T120"/>
  <c r="U120" s="1"/>
  <c r="T119"/>
  <c r="U119" s="1"/>
  <c r="T202"/>
  <c r="U202" s="1"/>
  <c r="T118"/>
  <c r="U118" s="1"/>
  <c r="T163"/>
  <c r="U163" s="1"/>
  <c r="T208"/>
  <c r="U208" s="1"/>
  <c r="T121"/>
  <c r="U121" s="1"/>
  <c r="T209"/>
  <c r="U209" s="1"/>
  <c r="T206"/>
  <c r="U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U203" s="1"/>
  <c r="T84"/>
  <c r="U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U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U215" s="1"/>
  <c r="K245"/>
  <c r="W59"/>
  <c r="U140" l="1"/>
  <c r="T143"/>
  <c r="U143" s="1"/>
  <c r="T141"/>
  <c r="T142" s="1"/>
  <c r="U142" s="1"/>
  <c r="T217"/>
  <c r="U217" s="1"/>
  <c r="U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U141" l="1"/>
  <c r="F71" i="20"/>
  <c r="G71"/>
  <c r="C72" s="1"/>
  <c r="B117"/>
  <c r="F116"/>
  <c r="G116" s="1"/>
  <c r="C117" s="1"/>
  <c r="I117"/>
  <c r="M116"/>
  <c r="N116" s="1"/>
  <c r="J117" s="1"/>
  <c r="M61"/>
  <c r="N61"/>
  <c r="AH53" i="18"/>
  <c r="V53"/>
  <c r="J62" i="20" l="1"/>
  <c r="P61"/>
  <c r="F72"/>
  <c r="G72" s="1"/>
  <c r="C73" s="1"/>
  <c r="I118"/>
  <c r="M117"/>
  <c r="N117" s="1"/>
  <c r="J118" s="1"/>
  <c r="B118"/>
  <c r="F117"/>
  <c r="G117" s="1"/>
  <c r="C118" s="1"/>
  <c r="W53" i="18"/>
  <c r="F73" i="20" l="1"/>
  <c r="G73"/>
  <c r="C74" s="1"/>
  <c r="B119"/>
  <c r="F118"/>
  <c r="G118" s="1"/>
  <c r="C119" s="1"/>
  <c r="I119"/>
  <c r="M118"/>
  <c r="N118" s="1"/>
  <c r="J119" s="1"/>
  <c r="M62"/>
  <c r="N62" s="1"/>
  <c r="X53" i="18"/>
  <c r="W245"/>
  <c r="W246" s="1"/>
  <c r="J63" i="20" l="1"/>
  <c r="P62"/>
  <c r="F74"/>
  <c r="G74" s="1"/>
  <c r="C75" s="1"/>
  <c r="I120"/>
  <c r="M119"/>
  <c r="N119" s="1"/>
  <c r="J120" s="1"/>
  <c r="B120"/>
  <c r="F119"/>
  <c r="G119" s="1"/>
  <c r="C120" s="1"/>
  <c r="Y53" i="18"/>
  <c r="V259"/>
  <c r="V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H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Z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H14"/>
  <c r="V14"/>
  <c r="V256"/>
  <c r="V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A53" i="18"/>
  <c r="W14"/>
  <c r="X14" s="1"/>
  <c r="Y14" s="1"/>
  <c r="Z14" s="1"/>
  <c r="AA14" s="1"/>
  <c r="AB14" s="1"/>
  <c r="AC14" s="1"/>
  <c r="AD14" s="1"/>
  <c r="AE14" s="1"/>
  <c r="AF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H32"/>
  <c r="V32"/>
  <c r="J137"/>
  <c r="K137"/>
  <c r="L137"/>
  <c r="M137"/>
  <c r="N137"/>
  <c r="O137"/>
  <c r="P137"/>
  <c r="Q137"/>
  <c r="R137"/>
  <c r="S137"/>
  <c r="U260"/>
  <c r="O259"/>
  <c r="U257"/>
  <c r="V257" s="1"/>
  <c r="V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B53"/>
  <c r="AG14"/>
  <c r="AI14"/>
  <c r="W32"/>
  <c r="X32" s="1"/>
  <c r="Y32" s="1"/>
  <c r="Z32" s="1"/>
  <c r="AA32" s="1"/>
  <c r="AB32" s="1"/>
  <c r="AC32" s="1"/>
  <c r="AD32" s="1"/>
  <c r="AE32" s="1"/>
  <c r="AF32" s="1"/>
  <c r="AG32" s="1"/>
  <c r="O262"/>
  <c r="U262"/>
  <c r="V9"/>
  <c r="W9" s="1"/>
  <c r="V10"/>
  <c r="W10" s="1"/>
  <c r="V12"/>
  <c r="W12" s="1"/>
  <c r="V13"/>
  <c r="W13" s="1"/>
  <c r="V15"/>
  <c r="W15" s="1"/>
  <c r="V16"/>
  <c r="W16" s="1"/>
  <c r="V18"/>
  <c r="W18" s="1"/>
  <c r="V20"/>
  <c r="W20" s="1"/>
  <c r="V21"/>
  <c r="W21" s="1"/>
  <c r="V22"/>
  <c r="W22" s="1"/>
  <c r="V23"/>
  <c r="W23" s="1"/>
  <c r="V25"/>
  <c r="W25" s="1"/>
  <c r="W129" s="1"/>
  <c r="V27"/>
  <c r="W27" s="1"/>
  <c r="V29"/>
  <c r="W29" s="1"/>
  <c r="V31"/>
  <c r="V33"/>
  <c r="W33" s="1"/>
  <c r="V34"/>
  <c r="W34" s="1"/>
  <c r="V51"/>
  <c r="W51" s="1"/>
  <c r="V55"/>
  <c r="W55" s="1"/>
  <c r="W130" s="1"/>
  <c r="V7"/>
  <c r="W7" s="1"/>
  <c r="V6"/>
  <c r="W6" s="1"/>
  <c r="AH9"/>
  <c r="AH10"/>
  <c r="AH11"/>
  <c r="AH12"/>
  <c r="AH13"/>
  <c r="AH15"/>
  <c r="AH16"/>
  <c r="AH18"/>
  <c r="AH20"/>
  <c r="AH21"/>
  <c r="AH22"/>
  <c r="AH23"/>
  <c r="AH25"/>
  <c r="AH27"/>
  <c r="AH29"/>
  <c r="AH31"/>
  <c r="AH33"/>
  <c r="AH34"/>
  <c r="AH51"/>
  <c r="AH55"/>
  <c r="AH57"/>
  <c r="AH59"/>
  <c r="AH66"/>
  <c r="AH67"/>
  <c r="AH72"/>
  <c r="AH74"/>
  <c r="AH75"/>
  <c r="AH76"/>
  <c r="AH78"/>
  <c r="AH79"/>
  <c r="AH80"/>
  <c r="AH82"/>
  <c r="AH83"/>
  <c r="AH84"/>
  <c r="AH85"/>
  <c r="AH87"/>
  <c r="AH88"/>
  <c r="AH90"/>
  <c r="AH92"/>
  <c r="AH93"/>
  <c r="AH94"/>
  <c r="AH95"/>
  <c r="AH96"/>
  <c r="AH98"/>
  <c r="AH99"/>
  <c r="AH100"/>
  <c r="AH7"/>
  <c r="AH6"/>
  <c r="J65" i="20" l="1"/>
  <c r="P64"/>
  <c r="F78"/>
  <c r="G78" s="1"/>
  <c r="W132" i="18"/>
  <c r="W131"/>
  <c r="W124"/>
  <c r="W125"/>
  <c r="W68"/>
  <c r="W110" s="1"/>
  <c r="AC53"/>
  <c r="AI32"/>
  <c r="W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D53" i="18"/>
  <c r="X31"/>
  <c r="W147"/>
  <c r="X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E53" i="18"/>
  <c r="Y31"/>
  <c r="Y29"/>
  <c r="AI87"/>
  <c r="M67" i="20" l="1"/>
  <c r="N67"/>
  <c r="J68" s="1"/>
  <c r="AF53" i="18"/>
  <c r="Z31"/>
  <c r="Z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G53" i="18"/>
  <c r="AI53"/>
  <c r="AA31"/>
  <c r="W88"/>
  <c r="AA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X59"/>
  <c r="M69" i="20" l="1"/>
  <c r="N69"/>
  <c r="J70" s="1"/>
  <c r="AB31" i="18"/>
  <c r="Y59"/>
  <c r="AB29"/>
  <c r="S141"/>
  <c r="X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C31" i="18"/>
  <c r="Z59"/>
  <c r="Y88"/>
  <c r="AC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W113"/>
  <c r="W119" s="1"/>
  <c r="J214" l="1"/>
  <c r="M71" i="20"/>
  <c r="N71" s="1"/>
  <c r="J72" s="1"/>
  <c r="AD31" i="18"/>
  <c r="AA59"/>
  <c r="Z88"/>
  <c r="AD29"/>
  <c r="X51"/>
  <c r="U250"/>
  <c r="U249"/>
  <c r="U248"/>
  <c r="M72" i="20" l="1"/>
  <c r="N72" s="1"/>
  <c r="J73" s="1"/>
  <c r="X113" i="18"/>
  <c r="X119" s="1"/>
  <c r="AE31"/>
  <c r="AB59"/>
  <c r="AA88"/>
  <c r="AE29"/>
  <c r="Y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X22"/>
  <c r="Y22" s="1"/>
  <c r="Z22" s="1"/>
  <c r="AA22" s="1"/>
  <c r="AB22" s="1"/>
  <c r="AC22" s="1"/>
  <c r="AD22" s="1"/>
  <c r="AE22" s="1"/>
  <c r="AF22" s="1"/>
  <c r="J90"/>
  <c r="J92" s="1"/>
  <c r="K90"/>
  <c r="K92" s="1"/>
  <c r="K94"/>
  <c r="K93"/>
  <c r="N73" i="20" l="1"/>
  <c r="J74" s="1"/>
  <c r="M73"/>
  <c r="Y113" i="18"/>
  <c r="Y119" s="1"/>
  <c r="AF31"/>
  <c r="AG31" s="1"/>
  <c r="AC59"/>
  <c r="AB88"/>
  <c r="X23"/>
  <c r="W116"/>
  <c r="W122" s="1"/>
  <c r="AF29"/>
  <c r="AG22"/>
  <c r="AI22"/>
  <c r="Z51"/>
  <c r="X21"/>
  <c r="M74" i="20" l="1"/>
  <c r="N74" s="1"/>
  <c r="J75" s="1"/>
  <c r="AI31" i="18"/>
  <c r="Z113"/>
  <c r="Z119" s="1"/>
  <c r="AC88"/>
  <c r="AD59"/>
  <c r="Y23"/>
  <c r="X116"/>
  <c r="X122" s="1"/>
  <c r="AI29"/>
  <c r="AG29"/>
  <c r="X20"/>
  <c r="W90"/>
  <c r="Y21"/>
  <c r="X9"/>
  <c r="Y9" s="1"/>
  <c r="Z9" s="1"/>
  <c r="AA9" s="1"/>
  <c r="AB9" s="1"/>
  <c r="AC9" s="1"/>
  <c r="AD9" s="1"/>
  <c r="AE9" s="1"/>
  <c r="AF9" s="1"/>
  <c r="AI9" s="1"/>
  <c r="W109"/>
  <c r="X33"/>
  <c r="Y33" s="1"/>
  <c r="Z33" s="1"/>
  <c r="AA33" s="1"/>
  <c r="AB33" s="1"/>
  <c r="AC33" s="1"/>
  <c r="AD33" s="1"/>
  <c r="AE33" s="1"/>
  <c r="AF33" s="1"/>
  <c r="AI33" s="1"/>
  <c r="X34"/>
  <c r="Y34" s="1"/>
  <c r="Z34" s="1"/>
  <c r="AA34" s="1"/>
  <c r="AB34" s="1"/>
  <c r="AC34" s="1"/>
  <c r="AD34" s="1"/>
  <c r="AE34" s="1"/>
  <c r="AF34" s="1"/>
  <c r="AI34" s="1"/>
  <c r="AA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A113" i="18"/>
  <c r="AA119" s="1"/>
  <c r="AD88"/>
  <c r="AE59"/>
  <c r="X90"/>
  <c r="W156"/>
  <c r="W166"/>
  <c r="W157"/>
  <c r="W167"/>
  <c r="Z23"/>
  <c r="Y116"/>
  <c r="Y122" s="1"/>
  <c r="W150"/>
  <c r="W151"/>
  <c r="W149"/>
  <c r="W137"/>
  <c r="S142"/>
  <c r="W112"/>
  <c r="W118" s="1"/>
  <c r="W146"/>
  <c r="W145"/>
  <c r="X18"/>
  <c r="R203"/>
  <c r="Y20"/>
  <c r="X27"/>
  <c r="AB51"/>
  <c r="X25"/>
  <c r="X129" s="1"/>
  <c r="W105"/>
  <c r="Z21"/>
  <c r="AG33"/>
  <c r="AG34"/>
  <c r="AG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X124" i="18"/>
  <c r="X125"/>
  <c r="R216"/>
  <c r="R217" s="1"/>
  <c r="R215"/>
  <c r="AB113"/>
  <c r="AB119" s="1"/>
  <c r="X109"/>
  <c r="X147"/>
  <c r="AF59"/>
  <c r="AE88"/>
  <c r="X157"/>
  <c r="X167"/>
  <c r="X156"/>
  <c r="X166"/>
  <c r="AA23"/>
  <c r="Z116"/>
  <c r="Z122" s="1"/>
  <c r="X149"/>
  <c r="X151"/>
  <c r="X150"/>
  <c r="X137"/>
  <c r="X112"/>
  <c r="X118" s="1"/>
  <c r="X146"/>
  <c r="X145"/>
  <c r="Y18"/>
  <c r="Z20"/>
  <c r="Y90"/>
  <c r="Y27"/>
  <c r="Y25"/>
  <c r="X105"/>
  <c r="AC51"/>
  <c r="AA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Y125" i="18"/>
  <c r="Y129"/>
  <c r="Y147"/>
  <c r="Y124"/>
  <c r="AC113"/>
  <c r="AC119" s="1"/>
  <c r="AI59"/>
  <c r="AF88"/>
  <c r="AG59"/>
  <c r="Y156"/>
  <c r="Y166"/>
  <c r="Y157"/>
  <c r="Y167"/>
  <c r="Y109"/>
  <c r="AB23"/>
  <c r="AA116"/>
  <c r="AA122" s="1"/>
  <c r="Y151"/>
  <c r="Y150"/>
  <c r="Y149"/>
  <c r="Y137"/>
  <c r="Y112"/>
  <c r="Y118" s="1"/>
  <c r="Y146"/>
  <c r="Y145"/>
  <c r="Z18"/>
  <c r="AA20"/>
  <c r="Z90"/>
  <c r="Z27"/>
  <c r="Z25"/>
  <c r="Z129" s="1"/>
  <c r="Y105"/>
  <c r="AD51"/>
  <c r="AB21"/>
  <c r="M78" i="20" l="1"/>
  <c r="N78" s="1"/>
  <c r="Z124" i="18"/>
  <c r="Z125"/>
  <c r="AD113"/>
  <c r="AD119" s="1"/>
  <c r="Z109"/>
  <c r="Z147"/>
  <c r="W188"/>
  <c r="T237" s="1"/>
  <c r="AI88"/>
  <c r="X188" s="1"/>
  <c r="AG88"/>
  <c r="Z157"/>
  <c r="Z167"/>
  <c r="Z156"/>
  <c r="Z166"/>
  <c r="AC23"/>
  <c r="AB116"/>
  <c r="AB122" s="1"/>
  <c r="Z137"/>
  <c r="Z151"/>
  <c r="Z150"/>
  <c r="Z149"/>
  <c r="Z112"/>
  <c r="Z118" s="1"/>
  <c r="Z146"/>
  <c r="Z145"/>
  <c r="AA18"/>
  <c r="AB20"/>
  <c r="AA90"/>
  <c r="AA27"/>
  <c r="AA25"/>
  <c r="Z105"/>
  <c r="AE51"/>
  <c r="AC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W154"/>
  <c r="W162"/>
  <c r="W163" s="1"/>
  <c r="W114"/>
  <c r="W120" s="1"/>
  <c r="K214" l="1"/>
  <c r="U170"/>
  <c r="W244" s="1"/>
  <c r="W243" s="1"/>
  <c r="N81" i="20"/>
  <c r="N82" s="1"/>
  <c r="J79"/>
  <c r="AA125" i="18"/>
  <c r="AA129"/>
  <c r="AA147"/>
  <c r="AA124"/>
  <c r="W211"/>
  <c r="AE113"/>
  <c r="AE119" s="1"/>
  <c r="W134"/>
  <c r="V188"/>
  <c r="S237" s="1"/>
  <c r="AA156"/>
  <c r="AA166"/>
  <c r="AA109"/>
  <c r="AA157"/>
  <c r="AA167"/>
  <c r="AD23"/>
  <c r="AC116"/>
  <c r="AC122" s="1"/>
  <c r="W107"/>
  <c r="W108"/>
  <c r="W160"/>
  <c r="W159"/>
  <c r="W115"/>
  <c r="W121" s="1"/>
  <c r="W155"/>
  <c r="K203"/>
  <c r="AA137"/>
  <c r="AA150"/>
  <c r="AA149"/>
  <c r="AA151"/>
  <c r="W136"/>
  <c r="AA112"/>
  <c r="AA118" s="1"/>
  <c r="AA146"/>
  <c r="AA145"/>
  <c r="W135"/>
  <c r="AB18"/>
  <c r="S203"/>
  <c r="N203"/>
  <c r="M203"/>
  <c r="P203"/>
  <c r="L203"/>
  <c r="AC20"/>
  <c r="AB90"/>
  <c r="K84"/>
  <c r="K207" s="1"/>
  <c r="AB27"/>
  <c r="X12"/>
  <c r="X15"/>
  <c r="X154" s="1"/>
  <c r="X13"/>
  <c r="X10"/>
  <c r="X16"/>
  <c r="X162" s="1"/>
  <c r="X163" s="1"/>
  <c r="X6"/>
  <c r="X7"/>
  <c r="AB25"/>
  <c r="AB129" s="1"/>
  <c r="AA105"/>
  <c r="X55"/>
  <c r="X130" s="1"/>
  <c r="W106"/>
  <c r="AF51"/>
  <c r="O84"/>
  <c r="O207" s="1"/>
  <c r="N84"/>
  <c r="N207" s="1"/>
  <c r="M84"/>
  <c r="M207" s="1"/>
  <c r="AD21"/>
  <c r="X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X132" i="18"/>
  <c r="X131"/>
  <c r="AB124"/>
  <c r="AB125"/>
  <c r="X211"/>
  <c r="X220"/>
  <c r="X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B109"/>
  <c r="AB147"/>
  <c r="X114"/>
  <c r="X120" s="1"/>
  <c r="X68"/>
  <c r="X110" s="1"/>
  <c r="X245"/>
  <c r="Y245" s="1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X134"/>
  <c r="AB156"/>
  <c r="AB166"/>
  <c r="AB157"/>
  <c r="AB167"/>
  <c r="AI51"/>
  <c r="AF113"/>
  <c r="AE23"/>
  <c r="AD116"/>
  <c r="AD122" s="1"/>
  <c r="X160"/>
  <c r="X159"/>
  <c r="X115"/>
  <c r="X121" s="1"/>
  <c r="X155"/>
  <c r="X108"/>
  <c r="AB149"/>
  <c r="AB150"/>
  <c r="AB151"/>
  <c r="AB137"/>
  <c r="AB112"/>
  <c r="AB118" s="1"/>
  <c r="AB146"/>
  <c r="AB145"/>
  <c r="X135"/>
  <c r="X136"/>
  <c r="AC18"/>
  <c r="AD20"/>
  <c r="AC90"/>
  <c r="AC27"/>
  <c r="Y15"/>
  <c r="Y154" s="1"/>
  <c r="Y13"/>
  <c r="Y12"/>
  <c r="Y16"/>
  <c r="Y162" s="1"/>
  <c r="Y163" s="1"/>
  <c r="Y10"/>
  <c r="Y7"/>
  <c r="Y6"/>
  <c r="AG51"/>
  <c r="AC25"/>
  <c r="AC129" s="1"/>
  <c r="AB105"/>
  <c r="Y55"/>
  <c r="Y130" s="1"/>
  <c r="X107"/>
  <c r="X106"/>
  <c r="AE21"/>
  <c r="Y201"/>
  <c r="J207"/>
  <c r="Q207"/>
  <c r="S207"/>
  <c r="M80" i="20" l="1"/>
  <c r="N80" s="1"/>
  <c r="Y131" i="18"/>
  <c r="Y132"/>
  <c r="AC124"/>
  <c r="AC125"/>
  <c r="X226"/>
  <c r="X227" s="1"/>
  <c r="X224"/>
  <c r="X221"/>
  <c r="X222" s="1"/>
  <c r="X219"/>
  <c r="Y211"/>
  <c r="Y225"/>
  <c r="Y220"/>
  <c r="AC109"/>
  <c r="AC147"/>
  <c r="Y114"/>
  <c r="Y120" s="1"/>
  <c r="Y68"/>
  <c r="Y110" s="1"/>
  <c r="X246"/>
  <c r="Y246" s="1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G113"/>
  <c r="AF119"/>
  <c r="AG119" s="1"/>
  <c r="X244"/>
  <c r="Y244" s="1"/>
  <c r="Z244" s="1"/>
  <c r="AA244" s="1"/>
  <c r="AB244" s="1"/>
  <c r="AC244" s="1"/>
  <c r="AD244" s="1"/>
  <c r="AE244" s="1"/>
  <c r="AF244" s="1"/>
  <c r="AG244" s="1"/>
  <c r="Y134"/>
  <c r="AC156"/>
  <c r="AC166"/>
  <c r="AC157"/>
  <c r="AC167"/>
  <c r="AF23"/>
  <c r="AE116"/>
  <c r="AE122" s="1"/>
  <c r="Y115"/>
  <c r="Y121" s="1"/>
  <c r="Y155"/>
  <c r="Y160"/>
  <c r="Y159"/>
  <c r="Y108"/>
  <c r="AC151"/>
  <c r="AC150"/>
  <c r="AC149"/>
  <c r="AC137"/>
  <c r="AC112"/>
  <c r="AC118" s="1"/>
  <c r="AC146"/>
  <c r="AC145"/>
  <c r="Y135"/>
  <c r="Y136"/>
  <c r="AD18"/>
  <c r="AE20"/>
  <c r="AD90"/>
  <c r="AD27"/>
  <c r="Z13"/>
  <c r="Z12"/>
  <c r="Z15"/>
  <c r="Z154" s="1"/>
  <c r="Z10"/>
  <c r="Z16"/>
  <c r="Z162" s="1"/>
  <c r="Z163" s="1"/>
  <c r="Z6"/>
  <c r="Z7"/>
  <c r="Z55"/>
  <c r="Z130" s="1"/>
  <c r="Y107"/>
  <c r="Y106"/>
  <c r="AD25"/>
  <c r="AD129" s="1"/>
  <c r="AC105"/>
  <c r="AF21"/>
  <c r="AI21" s="1"/>
  <c r="Z201"/>
  <c r="Z132" l="1"/>
  <c r="Z131"/>
  <c r="AD124"/>
  <c r="AD125"/>
  <c r="Y221"/>
  <c r="Y222" s="1"/>
  <c r="Y219"/>
  <c r="Y226"/>
  <c r="Y227" s="1"/>
  <c r="Y224"/>
  <c r="Z211"/>
  <c r="Z220"/>
  <c r="Z225"/>
  <c r="AD109"/>
  <c r="AD147"/>
  <c r="Z114"/>
  <c r="Z120" s="1"/>
  <c r="Z68"/>
  <c r="Z110" s="1"/>
  <c r="X243"/>
  <c r="Y243" s="1"/>
  <c r="Z243" s="1"/>
  <c r="AA243" s="1"/>
  <c r="AB243" s="1"/>
  <c r="AC243" s="1"/>
  <c r="AD243" s="1"/>
  <c r="AE243" s="1"/>
  <c r="AF243" s="1"/>
  <c r="AG243" s="1"/>
  <c r="AH244"/>
  <c r="AI244" s="1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Z134"/>
  <c r="AD156"/>
  <c r="AD166"/>
  <c r="AD157"/>
  <c r="AD167"/>
  <c r="AI23"/>
  <c r="AF116"/>
  <c r="AG23"/>
  <c r="Z108"/>
  <c r="Z159"/>
  <c r="Z160"/>
  <c r="Z115"/>
  <c r="Z121" s="1"/>
  <c r="Z155"/>
  <c r="AD151"/>
  <c r="AD150"/>
  <c r="AD149"/>
  <c r="AD137"/>
  <c r="AD112"/>
  <c r="AD118" s="1"/>
  <c r="AD146"/>
  <c r="AD145"/>
  <c r="Z136"/>
  <c r="Z135"/>
  <c r="AE18"/>
  <c r="AF20"/>
  <c r="AE90"/>
  <c r="AE27"/>
  <c r="AA12"/>
  <c r="AA15"/>
  <c r="AA154" s="1"/>
  <c r="AA13"/>
  <c r="AA16"/>
  <c r="AA162" s="1"/>
  <c r="AA163" s="1"/>
  <c r="AA10"/>
  <c r="AA7"/>
  <c r="AA6"/>
  <c r="AE25"/>
  <c r="AD105"/>
  <c r="AA55"/>
  <c r="AA130" s="1"/>
  <c r="Z106"/>
  <c r="Z107"/>
  <c r="AG21"/>
  <c r="AA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E125" i="18" l="1"/>
  <c r="AE129"/>
  <c r="AA132"/>
  <c r="AA131"/>
  <c r="AE147"/>
  <c r="AE124"/>
  <c r="Z226"/>
  <c r="Z227" s="1"/>
  <c r="Z224"/>
  <c r="Z221"/>
  <c r="Z222" s="1"/>
  <c r="Z219"/>
  <c r="AA211"/>
  <c r="AA225"/>
  <c r="AA220"/>
  <c r="AA114"/>
  <c r="AA120" s="1"/>
  <c r="AA68"/>
  <c r="AA110" s="1"/>
  <c r="AH243"/>
  <c r="AI243" s="1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G116"/>
  <c r="AF122"/>
  <c r="AG122" s="1"/>
  <c r="AA134"/>
  <c r="AE156"/>
  <c r="AE166"/>
  <c r="AE157"/>
  <c r="AE167"/>
  <c r="AI20"/>
  <c r="AE109"/>
  <c r="AA160"/>
  <c r="AA159"/>
  <c r="AA115"/>
  <c r="AA121" s="1"/>
  <c r="AA155"/>
  <c r="AA108"/>
  <c r="AE150"/>
  <c r="AE149"/>
  <c r="AE151"/>
  <c r="AE137"/>
  <c r="AE112"/>
  <c r="AE118" s="1"/>
  <c r="AE146"/>
  <c r="AE145"/>
  <c r="AA136"/>
  <c r="AA135"/>
  <c r="AF18"/>
  <c r="AG20"/>
  <c r="AF90"/>
  <c r="AF27"/>
  <c r="AF167" s="1"/>
  <c r="AG167" s="1"/>
  <c r="AB15"/>
  <c r="AB154" s="1"/>
  <c r="AB13"/>
  <c r="AB12"/>
  <c r="AB10"/>
  <c r="AB16"/>
  <c r="AB162" s="1"/>
  <c r="AB163" s="1"/>
  <c r="AB6"/>
  <c r="AB7"/>
  <c r="AB55"/>
  <c r="AB130" s="1"/>
  <c r="AA107"/>
  <c r="AA106"/>
  <c r="AF25"/>
  <c r="AF129" s="1"/>
  <c r="AG129" s="1"/>
  <c r="AE105"/>
  <c r="AB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132" i="18" l="1"/>
  <c r="AB131"/>
  <c r="AF124"/>
  <c r="AG124" s="1"/>
  <c r="AF125"/>
  <c r="AG125" s="1"/>
  <c r="AA221"/>
  <c r="AA222" s="1"/>
  <c r="AA219"/>
  <c r="AA226"/>
  <c r="AA227" s="1"/>
  <c r="AA224"/>
  <c r="AB211"/>
  <c r="AB225"/>
  <c r="AB220"/>
  <c r="AF109"/>
  <c r="AG109" s="1"/>
  <c r="AF147"/>
  <c r="AG147" s="1"/>
  <c r="AB114"/>
  <c r="AB120" s="1"/>
  <c r="AB68"/>
  <c r="AB110" s="1"/>
  <c r="AB134"/>
  <c r="AF156"/>
  <c r="AG156" s="1"/>
  <c r="AF166"/>
  <c r="AG166" s="1"/>
  <c r="AB115"/>
  <c r="AB121" s="1"/>
  <c r="AB155"/>
  <c r="AB160"/>
  <c r="AB159"/>
  <c r="AI27"/>
  <c r="AF157"/>
  <c r="AG157" s="1"/>
  <c r="AB108"/>
  <c r="AF149"/>
  <c r="AG149" s="1"/>
  <c r="AF151"/>
  <c r="AG151" s="1"/>
  <c r="AF150"/>
  <c r="AG150" s="1"/>
  <c r="N32" i="9"/>
  <c r="N33" s="1"/>
  <c r="N34" s="1"/>
  <c r="N35" s="1"/>
  <c r="N36" s="1"/>
  <c r="N37" s="1"/>
  <c r="N38" s="1"/>
  <c r="N39" s="1"/>
  <c r="N40" s="1"/>
  <c r="N41" s="1"/>
  <c r="N42" s="1"/>
  <c r="M45"/>
  <c r="AF137" i="18"/>
  <c r="AG137" s="1"/>
  <c r="AF112"/>
  <c r="AF146"/>
  <c r="AG146" s="1"/>
  <c r="AF145"/>
  <c r="AG145" s="1"/>
  <c r="AB136"/>
  <c r="AB135"/>
  <c r="AI25"/>
  <c r="AI18"/>
  <c r="AG18"/>
  <c r="W190"/>
  <c r="AI90"/>
  <c r="AG90"/>
  <c r="M32" i="9"/>
  <c r="M33" s="1"/>
  <c r="M34" s="1"/>
  <c r="M35" s="1"/>
  <c r="M36" s="1"/>
  <c r="M37" s="1"/>
  <c r="M38" s="1"/>
  <c r="M39" s="1"/>
  <c r="M40" s="1"/>
  <c r="M41" s="1"/>
  <c r="P32"/>
  <c r="AG27" i="18"/>
  <c r="AC12"/>
  <c r="AC15"/>
  <c r="AC154" s="1"/>
  <c r="AC13"/>
  <c r="AC10"/>
  <c r="AC16"/>
  <c r="AC162" s="1"/>
  <c r="AC163" s="1"/>
  <c r="AC7"/>
  <c r="AC6"/>
  <c r="AG25"/>
  <c r="AF105"/>
  <c r="AG105" s="1"/>
  <c r="AC55"/>
  <c r="AC130" s="1"/>
  <c r="AB107"/>
  <c r="AB106"/>
  <c r="O31" i="9"/>
  <c r="O32" s="1"/>
  <c r="AC201" i="18"/>
  <c r="P31" i="11"/>
  <c r="N32"/>
  <c r="T19" i="9"/>
  <c r="D22"/>
  <c r="AC131" i="18" l="1"/>
  <c r="AC132"/>
  <c r="AB221"/>
  <c r="AB222" s="1"/>
  <c r="AB219"/>
  <c r="AB226"/>
  <c r="AB227" s="1"/>
  <c r="AB224"/>
  <c r="AC211"/>
  <c r="AC220"/>
  <c r="AC225"/>
  <c r="AC114"/>
  <c r="AC120" s="1"/>
  <c r="AC68"/>
  <c r="AC110" s="1"/>
  <c r="AG112"/>
  <c r="AF118"/>
  <c r="AG118" s="1"/>
  <c r="AC134"/>
  <c r="AC160"/>
  <c r="AC159"/>
  <c r="AC115"/>
  <c r="AC121" s="1"/>
  <c r="AC155"/>
  <c r="AC108"/>
  <c r="AC135"/>
  <c r="AC136"/>
  <c r="X190"/>
  <c r="V190" s="1"/>
  <c r="AD13"/>
  <c r="AD12"/>
  <c r="AD15"/>
  <c r="AD154" s="1"/>
  <c r="AD10"/>
  <c r="AD16"/>
  <c r="AD162" s="1"/>
  <c r="AD163" s="1"/>
  <c r="AD6"/>
  <c r="AD7"/>
  <c r="AD55"/>
  <c r="AD130" s="1"/>
  <c r="AC107"/>
  <c r="AC106"/>
  <c r="AD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D132" i="18" l="1"/>
  <c r="AD131"/>
  <c r="AC226"/>
  <c r="AC227" s="1"/>
  <c r="AC224"/>
  <c r="AC221"/>
  <c r="AC222" s="1"/>
  <c r="AC219"/>
  <c r="AD211"/>
  <c r="AD225"/>
  <c r="AD220"/>
  <c r="AD114"/>
  <c r="AD120" s="1"/>
  <c r="AD68"/>
  <c r="AD110" s="1"/>
  <c r="AD134"/>
  <c r="AD115"/>
  <c r="AD121" s="1"/>
  <c r="AD155"/>
  <c r="AD159"/>
  <c r="AD160"/>
  <c r="AD108"/>
  <c r="AD135"/>
  <c r="AD136"/>
  <c r="AE12"/>
  <c r="AE15"/>
  <c r="AE154" s="1"/>
  <c r="AE13"/>
  <c r="AE10"/>
  <c r="AE16"/>
  <c r="AE162" s="1"/>
  <c r="AE163" s="1"/>
  <c r="AE7"/>
  <c r="AE6"/>
  <c r="AE55"/>
  <c r="AE130" s="1"/>
  <c r="AD106"/>
  <c r="AD107"/>
  <c r="AE201"/>
  <c r="N34" i="11"/>
  <c r="O33"/>
  <c r="AE132" i="18" l="1"/>
  <c r="AE131"/>
  <c r="AD221"/>
  <c r="AD222" s="1"/>
  <c r="AD219"/>
  <c r="AD226"/>
  <c r="AD227" s="1"/>
  <c r="AD224"/>
  <c r="AE211"/>
  <c r="AE225"/>
  <c r="AE220"/>
  <c r="AE114"/>
  <c r="AE120" s="1"/>
  <c r="AE68"/>
  <c r="AE110" s="1"/>
  <c r="AE134"/>
  <c r="AE108"/>
  <c r="AE159"/>
  <c r="AE160"/>
  <c r="AE115"/>
  <c r="AE121" s="1"/>
  <c r="AE155"/>
  <c r="AE135"/>
  <c r="AE136"/>
  <c r="AF15"/>
  <c r="AF13"/>
  <c r="AI13" s="1"/>
  <c r="AF12"/>
  <c r="AF155" s="1"/>
  <c r="AG155" s="1"/>
  <c r="AF10"/>
  <c r="AF16"/>
  <c r="AF6"/>
  <c r="AI6" s="1"/>
  <c r="AF7"/>
  <c r="AI7" s="1"/>
  <c r="AF55"/>
  <c r="AF130" s="1"/>
  <c r="AG130" s="1"/>
  <c r="AE107"/>
  <c r="AE106"/>
  <c r="AF201"/>
  <c r="N35" i="11"/>
  <c r="O34"/>
  <c r="AF132" i="18" l="1"/>
  <c r="AG132" s="1"/>
  <c r="AF131"/>
  <c r="AG131" s="1"/>
  <c r="AE221"/>
  <c r="AE222" s="1"/>
  <c r="AE219"/>
  <c r="AE226"/>
  <c r="AE227" s="1"/>
  <c r="AE224"/>
  <c r="AF211"/>
  <c r="AG211" s="1"/>
  <c r="AI211" s="1"/>
  <c r="AI227" s="1"/>
  <c r="AF225"/>
  <c r="AF224" s="1"/>
  <c r="AG224" s="1"/>
  <c r="AF220"/>
  <c r="AF219" s="1"/>
  <c r="AG219" s="1"/>
  <c r="AF114"/>
  <c r="AF120" s="1"/>
  <c r="AG120" s="1"/>
  <c r="AF68"/>
  <c r="AF134"/>
  <c r="AG134" s="1"/>
  <c r="AI16"/>
  <c r="AF162"/>
  <c r="AF160"/>
  <c r="AG160" s="1"/>
  <c r="AF159"/>
  <c r="AG159" s="1"/>
  <c r="AI15"/>
  <c r="AF154"/>
  <c r="AG154" s="1"/>
  <c r="AF108"/>
  <c r="AG108" s="1"/>
  <c r="AI10"/>
  <c r="AI12"/>
  <c r="AF115"/>
  <c r="AI55"/>
  <c r="AF135"/>
  <c r="AG135" s="1"/>
  <c r="AF136"/>
  <c r="AG136" s="1"/>
  <c r="AG15"/>
  <c r="AG13"/>
  <c r="W184"/>
  <c r="AG12"/>
  <c r="AG10"/>
  <c r="AG16"/>
  <c r="AG7"/>
  <c r="AG6"/>
  <c r="AF107"/>
  <c r="AG107" s="1"/>
  <c r="AF106"/>
  <c r="AG106" s="1"/>
  <c r="AG55"/>
  <c r="AG201"/>
  <c r="AI201" s="1"/>
  <c r="N36" i="11"/>
  <c r="O35"/>
  <c r="AF221" i="18" l="1"/>
  <c r="AG220"/>
  <c r="AG225"/>
  <c r="AF226"/>
  <c r="AG68"/>
  <c r="AI68"/>
  <c r="AG114"/>
  <c r="AF110"/>
  <c r="AG110" s="1"/>
  <c r="AG115"/>
  <c r="AF121"/>
  <c r="AG121" s="1"/>
  <c r="AG162"/>
  <c r="AF163"/>
  <c r="AG163" s="1"/>
  <c r="X184"/>
  <c r="X185" s="1"/>
  <c r="W185"/>
  <c r="T240" s="1"/>
  <c r="N37" i="11"/>
  <c r="O36"/>
  <c r="AG221" i="18" l="1"/>
  <c r="AF222"/>
  <c r="AG222" s="1"/>
  <c r="AF227"/>
  <c r="AG227" s="1"/>
  <c r="AG226"/>
  <c r="V184"/>
  <c r="V185"/>
  <c r="N38" i="11"/>
  <c r="O37"/>
  <c r="P240" i="18" l="1"/>
  <c r="S240"/>
  <c r="N39" i="11"/>
  <c r="O38"/>
  <c r="N40" l="1"/>
  <c r="O39"/>
  <c r="N41" l="1"/>
  <c r="O40"/>
  <c r="N42" l="1"/>
  <c r="O41"/>
  <c r="W212" i="18"/>
  <c r="W93"/>
  <c r="W74"/>
  <c r="W79"/>
  <c r="W100"/>
  <c r="W102"/>
  <c r="W95"/>
  <c r="W92"/>
  <c r="W78"/>
  <c r="W73"/>
  <c r="W67"/>
  <c r="W85"/>
  <c r="W99"/>
  <c r="W83"/>
  <c r="W76"/>
  <c r="W94"/>
  <c r="W96"/>
  <c r="W80"/>
  <c r="W209" s="1"/>
  <c r="W66"/>
  <c r="W202" s="1"/>
  <c r="W71"/>
  <c r="W205" s="1"/>
  <c r="W86"/>
  <c r="W208" s="1"/>
  <c r="W98"/>
  <c r="W164" s="1"/>
  <c r="W70"/>
  <c r="W204" s="1"/>
  <c r="W82"/>
  <c r="W139"/>
  <c r="W140" s="1"/>
  <c r="W72"/>
  <c r="W214" s="1"/>
  <c r="W75"/>
  <c r="W206" s="1"/>
  <c r="W230" s="1"/>
  <c r="X57"/>
  <c r="W231" l="1"/>
  <c r="W232" s="1"/>
  <c r="W229"/>
  <c r="W84"/>
  <c r="W207" s="1"/>
  <c r="X76"/>
  <c r="X99"/>
  <c r="X83"/>
  <c r="X95"/>
  <c r="X79"/>
  <c r="X78"/>
  <c r="X212"/>
  <c r="X94"/>
  <c r="X74"/>
  <c r="X98"/>
  <c r="X164" s="1"/>
  <c r="X86"/>
  <c r="X208" s="1"/>
  <c r="X70"/>
  <c r="X204" s="1"/>
  <c r="X139"/>
  <c r="X140" s="1"/>
  <c r="X92"/>
  <c r="X73"/>
  <c r="X102"/>
  <c r="X85"/>
  <c r="X100"/>
  <c r="X93"/>
  <c r="X96"/>
  <c r="X67"/>
  <c r="X75"/>
  <c r="X206" s="1"/>
  <c r="X230" s="1"/>
  <c r="X66"/>
  <c r="X202" s="1"/>
  <c r="X80"/>
  <c r="X209" s="1"/>
  <c r="X71"/>
  <c r="X205" s="1"/>
  <c r="X72"/>
  <c r="X214" s="1"/>
  <c r="Y57"/>
  <c r="X82"/>
  <c r="W141"/>
  <c r="W142" s="1"/>
  <c r="W143"/>
  <c r="W203"/>
  <c r="X231" l="1"/>
  <c r="X232" s="1"/>
  <c r="X229"/>
  <c r="X84"/>
  <c r="X207" s="1"/>
  <c r="W216"/>
  <c r="W217" s="1"/>
  <c r="W215"/>
  <c r="Y93"/>
  <c r="Y70"/>
  <c r="Y204" s="1"/>
  <c r="Y94"/>
  <c r="Y95"/>
  <c r="Y99"/>
  <c r="Y79"/>
  <c r="Y76"/>
  <c r="Y102"/>
  <c r="Y85"/>
  <c r="Y83"/>
  <c r="Y66"/>
  <c r="Y202" s="1"/>
  <c r="Y75"/>
  <c r="Y206" s="1"/>
  <c r="Y230" s="1"/>
  <c r="Y71"/>
  <c r="Y205" s="1"/>
  <c r="Y74"/>
  <c r="Y73"/>
  <c r="Y92"/>
  <c r="Y96"/>
  <c r="Y67"/>
  <c r="Y80"/>
  <c r="Y209" s="1"/>
  <c r="Y100"/>
  <c r="Y78"/>
  <c r="Y212"/>
  <c r="Y98"/>
  <c r="Y164" s="1"/>
  <c r="Y86"/>
  <c r="Y208" s="1"/>
  <c r="Y82"/>
  <c r="Y139"/>
  <c r="Y140" s="1"/>
  <c r="Y72"/>
  <c r="Y214" s="1"/>
  <c r="Z57"/>
  <c r="X203"/>
  <c r="X143"/>
  <c r="X141"/>
  <c r="X142" s="1"/>
  <c r="Y231" l="1"/>
  <c r="Y232" s="1"/>
  <c r="Y229"/>
  <c r="X216"/>
  <c r="X217" s="1"/>
  <c r="X215"/>
  <c r="Z93"/>
  <c r="Z212"/>
  <c r="Z67"/>
  <c r="Z94"/>
  <c r="Z79"/>
  <c r="Z74"/>
  <c r="Z78"/>
  <c r="Z92"/>
  <c r="Z98"/>
  <c r="Z164" s="1"/>
  <c r="Z70"/>
  <c r="Z204" s="1"/>
  <c r="Z71"/>
  <c r="Z205" s="1"/>
  <c r="Z86"/>
  <c r="Z208" s="1"/>
  <c r="Z102"/>
  <c r="Z73"/>
  <c r="Z96"/>
  <c r="Z100"/>
  <c r="Z99"/>
  <c r="Z76"/>
  <c r="Z95"/>
  <c r="Z85"/>
  <c r="Z83"/>
  <c r="Z80"/>
  <c r="Z209" s="1"/>
  <c r="Z66"/>
  <c r="Z202" s="1"/>
  <c r="Z139"/>
  <c r="Z140" s="1"/>
  <c r="Z72"/>
  <c r="Z214" s="1"/>
  <c r="Z75"/>
  <c r="Z206" s="1"/>
  <c r="Z230" s="1"/>
  <c r="AA57"/>
  <c r="Z82"/>
  <c r="Y203"/>
  <c r="Y141"/>
  <c r="Y142" s="1"/>
  <c r="Y143"/>
  <c r="Y84"/>
  <c r="Y207" s="1"/>
  <c r="Z231" l="1"/>
  <c r="Z232" s="1"/>
  <c r="Z229"/>
  <c r="Y216"/>
  <c r="Y217" s="1"/>
  <c r="Y215"/>
  <c r="Z203"/>
  <c r="Z84"/>
  <c r="Z207" s="1"/>
  <c r="Z143"/>
  <c r="Z141"/>
  <c r="Z142" s="1"/>
  <c r="AA73"/>
  <c r="AA94"/>
  <c r="AA83"/>
  <c r="AA93"/>
  <c r="AA92"/>
  <c r="AA78"/>
  <c r="AA67"/>
  <c r="AA76"/>
  <c r="AA75"/>
  <c r="AA206" s="1"/>
  <c r="AA230" s="1"/>
  <c r="AA66"/>
  <c r="AA202" s="1"/>
  <c r="AA98"/>
  <c r="AA164" s="1"/>
  <c r="AA212"/>
  <c r="AA96"/>
  <c r="AA74"/>
  <c r="AA102"/>
  <c r="AA95"/>
  <c r="AA79"/>
  <c r="AA85"/>
  <c r="AA99"/>
  <c r="AA100"/>
  <c r="AA70"/>
  <c r="AA204" s="1"/>
  <c r="AA71"/>
  <c r="AA205" s="1"/>
  <c r="AA86"/>
  <c r="AA208" s="1"/>
  <c r="AA80"/>
  <c r="AA209" s="1"/>
  <c r="AA82"/>
  <c r="AA72"/>
  <c r="AA214" s="1"/>
  <c r="AA139"/>
  <c r="AA140" s="1"/>
  <c r="AB57"/>
  <c r="AA231" l="1"/>
  <c r="AA232" s="1"/>
  <c r="AA229"/>
  <c r="AA84"/>
  <c r="AA207" s="1"/>
  <c r="Z216"/>
  <c r="Z217" s="1"/>
  <c r="Z215"/>
  <c r="AB73"/>
  <c r="AB76"/>
  <c r="AB78"/>
  <c r="AB67"/>
  <c r="AB80"/>
  <c r="AB209" s="1"/>
  <c r="AB92"/>
  <c r="AB85"/>
  <c r="AB93"/>
  <c r="AB83"/>
  <c r="AB71"/>
  <c r="AB205" s="1"/>
  <c r="AB66"/>
  <c r="AB202" s="1"/>
  <c r="AB75"/>
  <c r="AB206" s="1"/>
  <c r="AB230" s="1"/>
  <c r="AB95"/>
  <c r="AB94"/>
  <c r="AB74"/>
  <c r="AB100"/>
  <c r="AB86"/>
  <c r="AB208" s="1"/>
  <c r="AB102"/>
  <c r="AB212"/>
  <c r="AB99"/>
  <c r="AB96"/>
  <c r="AB79"/>
  <c r="AB98"/>
  <c r="AB164" s="1"/>
  <c r="AB70"/>
  <c r="AB204" s="1"/>
  <c r="AC57"/>
  <c r="AB139"/>
  <c r="AB140" s="1"/>
  <c r="AB82"/>
  <c r="AB72"/>
  <c r="AB214" s="1"/>
  <c r="AA141"/>
  <c r="AA142" s="1"/>
  <c r="AA143"/>
  <c r="AA203"/>
  <c r="AB231" l="1"/>
  <c r="AB232" s="1"/>
  <c r="AB229"/>
  <c r="AA216"/>
  <c r="AA217" s="1"/>
  <c r="AA215"/>
  <c r="AB84"/>
  <c r="AB207" s="1"/>
  <c r="AC92"/>
  <c r="AC79"/>
  <c r="AC212"/>
  <c r="AC78"/>
  <c r="AC80"/>
  <c r="AC209" s="1"/>
  <c r="AC95"/>
  <c r="AC67"/>
  <c r="AC83"/>
  <c r="AC100"/>
  <c r="AC98"/>
  <c r="AC164" s="1"/>
  <c r="AC66"/>
  <c r="AC202" s="1"/>
  <c r="AC99"/>
  <c r="AC74"/>
  <c r="AC76"/>
  <c r="AC96"/>
  <c r="AC86"/>
  <c r="AC208" s="1"/>
  <c r="AC73"/>
  <c r="AC102"/>
  <c r="AC94"/>
  <c r="AC93"/>
  <c r="AC85"/>
  <c r="AC70"/>
  <c r="AC204" s="1"/>
  <c r="AC71"/>
  <c r="AC205" s="1"/>
  <c r="AC75"/>
  <c r="AC206" s="1"/>
  <c r="AC230" s="1"/>
  <c r="AC139"/>
  <c r="AC140" s="1"/>
  <c r="AC72"/>
  <c r="AC214" s="1"/>
  <c r="AC82"/>
  <c r="AD57"/>
  <c r="AB203"/>
  <c r="AB141"/>
  <c r="AB142" s="1"/>
  <c r="AB143"/>
  <c r="AC231" l="1"/>
  <c r="AC232" s="1"/>
  <c r="AC229"/>
  <c r="AB216"/>
  <c r="AB217" s="1"/>
  <c r="AB215"/>
  <c r="AC84"/>
  <c r="AC207" s="1"/>
  <c r="AC143"/>
  <c r="AC141"/>
  <c r="AC142" s="1"/>
  <c r="AD92"/>
  <c r="AD94"/>
  <c r="AD76"/>
  <c r="AD96"/>
  <c r="AD66"/>
  <c r="AD202" s="1"/>
  <c r="AD74"/>
  <c r="AD83"/>
  <c r="AD100"/>
  <c r="AD95"/>
  <c r="AD70"/>
  <c r="AD204" s="1"/>
  <c r="AD80"/>
  <c r="AD209" s="1"/>
  <c r="AD85"/>
  <c r="AD79"/>
  <c r="AD212"/>
  <c r="AD99"/>
  <c r="AD102"/>
  <c r="AD93"/>
  <c r="AD67"/>
  <c r="AD73"/>
  <c r="AD78"/>
  <c r="AD71"/>
  <c r="AD205" s="1"/>
  <c r="AD86"/>
  <c r="AD208" s="1"/>
  <c r="AD98"/>
  <c r="AD164" s="1"/>
  <c r="AD75"/>
  <c r="AD206" s="1"/>
  <c r="AD230" s="1"/>
  <c r="AD139"/>
  <c r="AD140" s="1"/>
  <c r="AD82"/>
  <c r="AD72"/>
  <c r="AD214" s="1"/>
  <c r="AE57"/>
  <c r="AC203"/>
  <c r="AD231" l="1"/>
  <c r="AD232" s="1"/>
  <c r="AD229"/>
  <c r="AC216"/>
  <c r="AC217" s="1"/>
  <c r="AC215"/>
  <c r="AD203"/>
  <c r="AD84"/>
  <c r="AD207" s="1"/>
  <c r="AD141"/>
  <c r="AD142" s="1"/>
  <c r="AD143"/>
  <c r="AE79"/>
  <c r="AE92"/>
  <c r="AE83"/>
  <c r="AE73"/>
  <c r="AE98"/>
  <c r="AE164" s="1"/>
  <c r="AE100"/>
  <c r="AE93"/>
  <c r="AE99"/>
  <c r="AE76"/>
  <c r="AE66"/>
  <c r="AE202" s="1"/>
  <c r="AE86"/>
  <c r="AE208" s="1"/>
  <c r="AE96"/>
  <c r="AE71"/>
  <c r="AE205" s="1"/>
  <c r="AE102"/>
  <c r="AE94"/>
  <c r="AE95"/>
  <c r="AE85"/>
  <c r="AE78"/>
  <c r="AE67"/>
  <c r="AE212"/>
  <c r="AE74"/>
  <c r="AE70"/>
  <c r="AE204" s="1"/>
  <c r="AE80"/>
  <c r="AE209" s="1"/>
  <c r="AE75"/>
  <c r="AE206" s="1"/>
  <c r="AE230" s="1"/>
  <c r="AE139"/>
  <c r="AE140" s="1"/>
  <c r="AE72"/>
  <c r="AE214" s="1"/>
  <c r="AF57"/>
  <c r="AE82"/>
  <c r="AE231" l="1"/>
  <c r="AE232" s="1"/>
  <c r="AE229"/>
  <c r="AD216"/>
  <c r="AD217" s="1"/>
  <c r="AD215"/>
  <c r="AE84"/>
  <c r="AE207" s="1"/>
  <c r="AE203"/>
  <c r="AF212"/>
  <c r="AF99"/>
  <c r="AF100"/>
  <c r="AF67"/>
  <c r="AG57"/>
  <c r="AF73"/>
  <c r="AI57"/>
  <c r="AF102"/>
  <c r="AF98"/>
  <c r="AF70"/>
  <c r="AF66"/>
  <c r="AF71"/>
  <c r="AF75"/>
  <c r="AF85"/>
  <c r="AF72"/>
  <c r="AF214" s="1"/>
  <c r="AF86"/>
  <c r="AF93"/>
  <c r="AF95"/>
  <c r="AF80"/>
  <c r="AF82"/>
  <c r="AF78"/>
  <c r="AF83"/>
  <c r="AF94"/>
  <c r="AF92"/>
  <c r="AF76"/>
  <c r="AF96"/>
  <c r="AF139"/>
  <c r="AF74"/>
  <c r="AF79"/>
  <c r="AE143"/>
  <c r="AE141"/>
  <c r="AE142" s="1"/>
  <c r="AE216" l="1"/>
  <c r="AE217" s="1"/>
  <c r="AE215"/>
  <c r="AF140"/>
  <c r="AG139"/>
  <c r="AG94"/>
  <c r="W194"/>
  <c r="AI94"/>
  <c r="X194" s="1"/>
  <c r="AI80"/>
  <c r="X179" s="1"/>
  <c r="AF209"/>
  <c r="AG80"/>
  <c r="W179"/>
  <c r="AG72"/>
  <c r="AI72"/>
  <c r="X171" s="1"/>
  <c r="W171"/>
  <c r="G230" s="1"/>
  <c r="AF203"/>
  <c r="AF215" s="1"/>
  <c r="AG215" s="1"/>
  <c r="AI66"/>
  <c r="AG66"/>
  <c r="AF202"/>
  <c r="AG100"/>
  <c r="AI100"/>
  <c r="W198"/>
  <c r="AI96"/>
  <c r="X198" s="1"/>
  <c r="AG96"/>
  <c r="AI83"/>
  <c r="AG83"/>
  <c r="AI95"/>
  <c r="X195" s="1"/>
  <c r="AG95"/>
  <c r="W195"/>
  <c r="AG85"/>
  <c r="W181"/>
  <c r="AI85"/>
  <c r="X181" s="1"/>
  <c r="AG70"/>
  <c r="AI70"/>
  <c r="AF204"/>
  <c r="AG73"/>
  <c r="AI73"/>
  <c r="AI99"/>
  <c r="AG99"/>
  <c r="AG79"/>
  <c r="AI79"/>
  <c r="X178" s="1"/>
  <c r="W178"/>
  <c r="AG76"/>
  <c r="W174"/>
  <c r="AI76"/>
  <c r="X174" s="1"/>
  <c r="W177"/>
  <c r="AG78"/>
  <c r="AI78"/>
  <c r="X177" s="1"/>
  <c r="AG93"/>
  <c r="W193"/>
  <c r="AI93"/>
  <c r="X193" s="1"/>
  <c r="AG75"/>
  <c r="AI75"/>
  <c r="X173" s="1"/>
  <c r="AF206"/>
  <c r="AF230" s="1"/>
  <c r="W173"/>
  <c r="AI98"/>
  <c r="AG98"/>
  <c r="AF164"/>
  <c r="AG164" s="1"/>
  <c r="AG212"/>
  <c r="AI212" s="1"/>
  <c r="W172"/>
  <c r="AI74"/>
  <c r="X172" s="1"/>
  <c r="AG74"/>
  <c r="AG92"/>
  <c r="W192"/>
  <c r="AI92"/>
  <c r="X192" s="1"/>
  <c r="AG82"/>
  <c r="AI82"/>
  <c r="X175" s="1"/>
  <c r="W175"/>
  <c r="AF84"/>
  <c r="AG86"/>
  <c r="AF208"/>
  <c r="W182"/>
  <c r="AI86"/>
  <c r="X182" s="1"/>
  <c r="AG71"/>
  <c r="AI71"/>
  <c r="AF205"/>
  <c r="AG67"/>
  <c r="AI67"/>
  <c r="G229" l="1"/>
  <c r="G231"/>
  <c r="G232" s="1"/>
  <c r="AF231"/>
  <c r="AF232" s="1"/>
  <c r="AF229"/>
  <c r="I230"/>
  <c r="K230"/>
  <c r="M230"/>
  <c r="O230"/>
  <c r="Q230"/>
  <c r="S230"/>
  <c r="H230"/>
  <c r="J230"/>
  <c r="L230"/>
  <c r="N230"/>
  <c r="P230"/>
  <c r="R230"/>
  <c r="T230"/>
  <c r="V175"/>
  <c r="X196"/>
  <c r="AG214"/>
  <c r="AI214" s="1"/>
  <c r="V192"/>
  <c r="V177"/>
  <c r="V173"/>
  <c r="V181"/>
  <c r="AI84"/>
  <c r="AF207"/>
  <c r="AG84"/>
  <c r="AG206"/>
  <c r="AI206" s="1"/>
  <c r="W196"/>
  <c r="V193"/>
  <c r="V178"/>
  <c r="T241"/>
  <c r="V198"/>
  <c r="AI226"/>
  <c r="V194"/>
  <c r="AG205"/>
  <c r="AI205" s="1"/>
  <c r="V182"/>
  <c r="T239"/>
  <c r="V172"/>
  <c r="V195"/>
  <c r="AG209"/>
  <c r="AI209" s="1"/>
  <c r="AG208"/>
  <c r="AI208" s="1"/>
  <c r="AI222" s="1"/>
  <c r="V174"/>
  <c r="AF216"/>
  <c r="AG203"/>
  <c r="AI203" s="1"/>
  <c r="AI216" s="1"/>
  <c r="AI232" s="1"/>
  <c r="AG204"/>
  <c r="AI204" s="1"/>
  <c r="AI217" s="1"/>
  <c r="AG202"/>
  <c r="AI202" s="1"/>
  <c r="AI215" s="1"/>
  <c r="V171"/>
  <c r="S242" s="1"/>
  <c r="S243" s="1"/>
  <c r="T242"/>
  <c r="T243" s="1"/>
  <c r="V179"/>
  <c r="T238"/>
  <c r="AF143"/>
  <c r="AG140"/>
  <c r="AF141"/>
  <c r="AI230" l="1"/>
  <c r="AI229"/>
  <c r="T231"/>
  <c r="T229"/>
  <c r="U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G229" s="1"/>
  <c r="J231"/>
  <c r="AG230"/>
  <c r="S231"/>
  <c r="S232" s="1"/>
  <c r="S229"/>
  <c r="O231"/>
  <c r="O232" s="1"/>
  <c r="O229"/>
  <c r="K231"/>
  <c r="K232" s="1"/>
  <c r="K229"/>
  <c r="AI220"/>
  <c r="AI219"/>
  <c r="AG216"/>
  <c r="AF217"/>
  <c r="AG217" s="1"/>
  <c r="V196"/>
  <c r="AG141"/>
  <c r="AF142"/>
  <c r="AG142" s="1"/>
  <c r="S238"/>
  <c r="P238"/>
  <c r="P239"/>
  <c r="S239"/>
  <c r="P241"/>
  <c r="S241"/>
  <c r="AG207"/>
  <c r="AI207" s="1"/>
  <c r="AI221" s="1"/>
  <c r="U229" l="1"/>
  <c r="J232"/>
  <c r="AG232" s="1"/>
  <c r="AG231"/>
  <c r="U231"/>
  <c r="T232"/>
  <c r="U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V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<sst xmlns="http://schemas.openxmlformats.org/spreadsheetml/2006/main" count="793" uniqueCount="520">
  <si>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</si>
  <si>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</si>
  <si>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</si>
  <si>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</si>
  <si>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</si>
  <si>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</si>
  <si>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</si>
  <si>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</si>
  <si>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</si>
  <si>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</si>
  <si>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</si>
  <si>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</si>
  <si>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</si>
  <si>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</si>
  <si>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</si>
  <si>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</si>
  <si>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</si>
  <si>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</si>
  <si>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</si>
  <si>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</si>
  <si>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</si>
  <si>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</si>
  <si>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</si>
  <si>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</si>
  <si>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</si>
  <si>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</si>
  <si>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</si>
  <si>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</si>
  <si>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</si>
  <si>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</si>
  <si>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</si>
  <si>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</si>
  <si>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</si>
  <si>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</si>
  <si>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</si>
  <si>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</si>
  <si>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</si>
  <si>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</si>
  <si>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</si>
  <si>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</si>
  <si>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</si>
  <si>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</si>
  <si>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</si>
  <si>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</si>
  <si>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</si>
  <si>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</si>
  <si>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</si>
  <si>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</si>
  <si>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</si>
  <si>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</si>
  <si>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</si>
  <si>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</si>
  <si>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</si>
  <si>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</si>
  <si>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</si>
  <si>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</si>
  <si>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</si>
  <si>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</si>
  <si>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</si>
  <si>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</si>
  <si>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</si>
  <si>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</si>
  <si>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</si>
  <si>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</si>
  <si>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</si>
  <si>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</si>
  <si>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</si>
  <si>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</si>
  <si>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</si>
  <si>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</si>
  <si>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</si>
  <si>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</si>
  <si>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</si>
  <si>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</si>
  <si>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</si>
  <si>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</si>
  <si>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</si>
  <si>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</si>
  <si>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</si>
  <si>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</si>
  <si>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</si>
  <si>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</si>
  <si>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</si>
  <si>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</si>
  <si>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</si>
  <si>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</si>
  <si>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</si>
  <si>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</si>
  <si>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</si>
  <si>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</si>
  <si>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</si>
  <si>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</si>
  <si>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</si>
  <si>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</si>
  <si>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</si>
  <si>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</si>
  <si>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</si>
  <si>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</si>
  <si>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</si>
  <si>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</si>
  <si>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</si>
  <si>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</si>
  <si>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</si>
  <si>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</si>
  <si>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</si>
  <si>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</si>
  <si>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</si>
  <si>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</si>
  <si>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</si>
  <si>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</si>
  <si>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</si>
  <si>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</si>
  <si>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</si>
  <si>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</si>
  <si>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</si>
  <si>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</si>
  <si>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</si>
  <si>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</si>
  <si>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</si>
  <si>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</si>
  <si>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</si>
  <si>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</si>
  <si>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</si>
  <si>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</si>
  <si>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</si>
  <si>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</si>
  <si>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</si>
  <si>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</si>
  <si>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</si>
  <si>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</si>
  <si>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</si>
  <si>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</si>
  <si>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</si>
  <si>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</si>
  <si>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</si>
  <si>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</si>
  <si>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</si>
  <si>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</si>
  <si>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</si>
  <si>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</si>
  <si>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</si>
  <si>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</si>
  <si>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</si>
  <si>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</si>
  <si>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</si>
  <si>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</si>
  <si>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</si>
  <si>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</si>
  <si>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</si>
  <si>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</si>
  <si>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</si>
  <si>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</si>
  <si>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</si>
  <si>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</si>
  <si>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</si>
  <si>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</si>
  <si>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</si>
  <si>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</si>
  <si>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</si>
  <si>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</si>
  <si>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</si>
  <si>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</si>
  <si>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</si>
  <si>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</si>
  <si>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</si>
  <si>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</si>
  <si>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</si>
  <si>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</si>
  <si>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</si>
  <si>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</si>
  <si>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</si>
  <si>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</si>
  <si>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</si>
  <si>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</si>
  <si>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</si>
  <si>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</si>
  <si>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</si>
  <si>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</si>
  <si>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</si>
  <si>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</si>
  <si>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</si>
  <si>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</si>
  <si>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</si>
  <si>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</si>
  <si>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</si>
  <si>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</si>
  <si>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</si>
  <si>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</si>
  <si>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</si>
  <si>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</si>
  <si>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</si>
  <si>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</si>
  <si>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</si>
  <si>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</si>
  <si>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</si>
  <si>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</si>
  <si>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</si>
  <si>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</si>
  <si>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</si>
  <si>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</si>
  <si>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</si>
  <si>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</si>
  <si>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</si>
  <si>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</si>
  <si>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</si>
  <si>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</si>
  <si>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</si>
  <si>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</si>
  <si>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</si>
  <si>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</si>
  <si>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</si>
  <si>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</si>
  <si>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</si>
  <si>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</si>
  <si>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</si>
  <si>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</si>
  <si>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</si>
  <si>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</si>
  <si>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</si>
  <si>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</si>
  <si>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</si>
  <si>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</si>
  <si>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</si>
  <si>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</si>
  <si>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</si>
  <si>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</si>
  <si>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</si>
  <si>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</si>
  <si>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</si>
  <si>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</si>
  <si>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</si>
  <si>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</si>
  <si>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</si>
  <si>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</si>
  <si>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</si>
  <si>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</si>
  <si>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</si>
  <si>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</si>
  <si>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</si>
  <si>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</si>
  <si>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</si>
  <si>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</si>
  <si>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</si>
  <si>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</si>
  <si>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</si>
  <si>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</si>
  <si>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</si>
  <si>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</si>
  <si>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</si>
  <si>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</si>
  <si>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</si>
  <si>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</si>
  <si>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</si>
  <si>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</si>
  <si>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</si>
  <si>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</si>
  <si>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</si>
  <si>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</si>
  <si>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</si>
  <si>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</si>
  <si>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</si>
  <si>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</si>
  <si>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</si>
  <si>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</si>
  <si>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</si>
  <si>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</si>
  <si>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</si>
  <si>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</si>
  <si>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</si>
  <si>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</si>
  <si>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</si>
  <si>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</si>
  <si>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</si>
  <si>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</si>
  <si>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</si>
  <si>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</si>
  <si>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</si>
  <si>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</si>
  <si>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</si>
  <si>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</si>
  <si>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</si>
  <si>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</si>
  <si>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</si>
  <si>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</si>
  <si>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</si>
  <si>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</si>
  <si>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</si>
  <si>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</si>
  <si>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</si>
  <si>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</si>
  <si>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</si>
  <si>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</si>
  <si>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</si>
  <si>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</si>
  <si>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</si>
  <si>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</si>
  <si>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</si>
  <si>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</si>
  <si>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</si>
  <si>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</si>
  <si>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</si>
  <si>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</si>
  <si>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</si>
  <si>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</si>
  <si>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</si>
  <si>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</si>
  <si>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</si>
  <si>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</si>
  <si>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</si>
  <si>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</si>
  <si>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</si>
  <si>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</si>
  <si>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</si>
  <si>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</si>
  <si>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</si>
  <si>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</si>
  <si>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</si>
  <si>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</si>
  <si>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</si>
  <si>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</si>
  <si>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</si>
  <si>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</si>
  <si>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</si>
  <si>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</si>
  <si>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</si>
  <si>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</si>
  <si>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</si>
  <si>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</si>
  <si>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</si>
  <si>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</si>
  <si>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</si>
  <si>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</si>
  <si>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</si>
  <si>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</si>
  <si>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</si>
  <si>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</si>
  <si>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</si>
  <si>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</si>
  <si>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</si>
  <si>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</si>
  <si>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</si>
  <si>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</si>
  <si>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</si>
  <si>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</si>
  <si>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</si>
  <si>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</si>
  <si>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</si>
  <si>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</si>
  <si>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</si>
  <si>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</si>
  <si>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</si>
  <si>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</si>
  <si>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</si>
  <si>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</si>
  <si>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</si>
  <si>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</si>
  <si>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</si>
  <si>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</si>
  <si>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</si>
  <si>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</si>
  <si>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</si>
  <si>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</si>
  <si>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</si>
  <si>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</si>
  <si>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</si>
  <si>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</si>
  <si>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</si>
  <si>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</si>
  <si>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</si>
  <si>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</si>
  <si>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</si>
  <si>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</si>
  <si>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</si>
  <si>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</si>
  <si>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</si>
  <si>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</si>
  <si>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</si>
  <si>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</si>
  <si>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</si>
  <si>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</si>
  <si>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</si>
  <si>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</si>
  <si>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</si>
  <si>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</si>
  <si>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</si>
  <si>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</si>
  <si>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</si>
  <si>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</si>
  <si>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</si>
  <si>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</si>
  <si>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</si>
  <si>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</si>
  <si>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</si>
  <si>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</si>
  <si>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</si>
  <si>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</si>
  <si>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</si>
  <si>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</si>
  <si>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</si>
  <si>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</si>
  <si>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</si>
  <si>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</si>
  <si>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</si>
  <si>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</si>
  <si>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</si>
  <si>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</si>
  <si>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</si>
  <si>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</si>
  <si>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</si>
  <si>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</si>
  <si>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</si>
  <si>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</si>
  <si>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</si>
  <si>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</si>
  <si>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</si>
  <si>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</si>
  <si>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</si>
  <si>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</si>
  <si>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</si>
  <si>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</si>
  <si>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</si>
  <si>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</si>
  <si>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</si>
  <si>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</si>
  <si>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</si>
  <si>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</si>
  <si>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</si>
  <si>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</si>
  <si>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</si>
  <si>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</si>
  <si>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</si>
  <si>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</si>
  <si>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</si>
  <si>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</si>
  <si>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</si>
  <si>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</si>
  <si>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</si>
  <si>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</si>
  <si>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</si>
  <si>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</si>
  <si>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</si>
  <si>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</si>
  <si>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</si>
  <si>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</si>
  <si>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</si>
  <si>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</si>
  <si>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</si>
  <si>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</si>
  <si>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</si>
  <si>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</si>
  <si>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</si>
  <si>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</si>
  <si>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</si>
  <si>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</si>
  <si>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</si>
  <si>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</si>
  <si>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</si>
  <si>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</si>
  <si>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</si>
  <si>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</si>
  <si>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</si>
  <si>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</si>
  <si>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</si>
  <si>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</si>
  <si>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</si>
  <si>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</si>
  <si>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</si>
  <si>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</si>
  <si>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</si>
  <si>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</si>
  <si>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</si>
  <si>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</si>
  <si>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</si>
  <si>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</si>
  <si>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</si>
  <si>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</si>
  <si>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</si>
  <si>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</si>
  <si>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</si>
  <si>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</si>
  <si>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</si>
  <si>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</si>
  <si>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</si>
  <si>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</si>
  <si>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</si>
  <si>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</si>
  <si>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</si>
  <si>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</si>
  <si>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</si>
  <si>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</si>
  <si>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</si>
  <si>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</si>
  <si>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</si>
  <si>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</si>
  <si>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</si>
  <si>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</si>
  <si>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</si>
  <si>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13 yrs</t>
  </si>
  <si>
    <t>Items</t>
  </si>
  <si>
    <t>IDFC Bank</t>
  </si>
  <si>
    <t>Shiram City Union Finance</t>
  </si>
  <si>
    <t>P&amp;L</t>
  </si>
  <si>
    <t>Balance sheet</t>
  </si>
  <si>
    <t>Book value</t>
  </si>
  <si>
    <t>Reserves &amp; Surplus</t>
  </si>
  <si>
    <t>L.T. Borrowings</t>
  </si>
  <si>
    <t>S.T. Borrowings</t>
  </si>
  <si>
    <t>Non-Current Assets</t>
  </si>
  <si>
    <t>Total Assets</t>
  </si>
  <si>
    <t># Shareholders in Crs</t>
  </si>
  <si>
    <t>Market</t>
  </si>
  <si>
    <t>Valuation Calc</t>
  </si>
  <si>
    <t>Avg P/E expected</t>
  </si>
  <si>
    <t>Price Ratio</t>
  </si>
  <si>
    <t>Expected Price for Swap ratio</t>
  </si>
  <si>
    <t># shares</t>
  </si>
  <si>
    <t>Total New shares to be issued</t>
  </si>
  <si>
    <t>All issues</t>
  </si>
  <si>
    <t>Kotak</t>
  </si>
  <si>
    <t>ING Vysya</t>
  </si>
</sst>
</file>

<file path=xl/styles.xml><?xml version="1.0" encoding="utf-8"?>
<styleSheet xmlns="http://schemas.openxmlformats.org/spreadsheetml/2006/main">
  <numFmts count="20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  <numFmt numFmtId="182" formatCode="_(* #,##0.000_);_(* \(#,##0.0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64" fontId="14" fillId="5" borderId="1" xfId="2" applyNumberFormat="1" applyFont="1" applyFill="1" applyBorder="1"/>
    <xf numFmtId="164" fontId="14" fillId="5" borderId="1" xfId="0" applyNumberFormat="1" applyFont="1" applyFill="1" applyBorder="1"/>
    <xf numFmtId="182" fontId="1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3182848"/>
        <c:axId val="33184384"/>
      </c:lineChart>
      <c:catAx>
        <c:axId val="33182848"/>
        <c:scaling>
          <c:orientation val="minMax"/>
        </c:scaling>
        <c:axPos val="b"/>
        <c:tickLblPos val="nextTo"/>
        <c:crossAx val="33184384"/>
        <c:crosses val="autoZero"/>
        <c:auto val="1"/>
        <c:lblAlgn val="ctr"/>
        <c:lblOffset val="100"/>
      </c:catAx>
      <c:valAx>
        <c:axId val="33184384"/>
        <c:scaling>
          <c:orientation val="minMax"/>
        </c:scaling>
        <c:axPos val="l"/>
        <c:majorGridlines/>
        <c:numFmt formatCode="General" sourceLinked="1"/>
        <c:tickLblPos val="nextTo"/>
        <c:crossAx val="3318284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5" t="s">
        <v>425</v>
      </c>
      <c r="C3" s="285"/>
      <c r="D3" s="285"/>
      <c r="G3" s="285" t="s">
        <v>426</v>
      </c>
      <c r="H3" s="285"/>
      <c r="I3" s="285"/>
      <c r="P3" s="286" t="s">
        <v>427</v>
      </c>
      <c r="Q3" s="287"/>
      <c r="R3" s="287"/>
      <c r="S3" s="288"/>
      <c r="T3" s="286" t="s">
        <v>428</v>
      </c>
      <c r="U3" s="287"/>
      <c r="V3" s="287"/>
      <c r="W3" s="288"/>
    </row>
    <row r="4" spans="2:23">
      <c r="B4" s="185" t="s">
        <v>429</v>
      </c>
      <c r="C4" s="289">
        <v>9500000</v>
      </c>
      <c r="D4" s="289"/>
      <c r="G4" s="185" t="s">
        <v>430</v>
      </c>
      <c r="H4" s="290">
        <v>200000</v>
      </c>
      <c r="I4" s="290"/>
      <c r="K4" s="186" t="s">
        <v>431</v>
      </c>
      <c r="L4" s="186" t="s">
        <v>78</v>
      </c>
      <c r="M4" s="186" t="s">
        <v>378</v>
      </c>
      <c r="N4" s="186" t="s">
        <v>432</v>
      </c>
      <c r="O4" s="186" t="s">
        <v>433</v>
      </c>
      <c r="P4" s="187" t="s">
        <v>434</v>
      </c>
      <c r="Q4" s="188" t="s">
        <v>287</v>
      </c>
      <c r="R4" s="188" t="s">
        <v>433</v>
      </c>
      <c r="S4" s="189" t="s">
        <v>435</v>
      </c>
      <c r="T4" s="187" t="s">
        <v>434</v>
      </c>
      <c r="U4" s="188" t="s">
        <v>287</v>
      </c>
      <c r="V4" s="188" t="s">
        <v>433</v>
      </c>
      <c r="W4" s="189" t="s">
        <v>435</v>
      </c>
    </row>
    <row r="5" spans="2:23">
      <c r="B5" s="185" t="s">
        <v>436</v>
      </c>
      <c r="C5" s="291">
        <v>0.08</v>
      </c>
      <c r="D5" s="292"/>
      <c r="G5" s="185" t="s">
        <v>436</v>
      </c>
      <c r="H5" s="293">
        <v>0.12</v>
      </c>
      <c r="I5" s="293"/>
      <c r="K5" s="185" t="s">
        <v>437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438</v>
      </c>
      <c r="C6" s="290">
        <v>30</v>
      </c>
      <c r="D6" s="290"/>
      <c r="G6" s="185" t="s">
        <v>438</v>
      </c>
      <c r="H6" s="290">
        <v>10</v>
      </c>
      <c r="I6" s="290"/>
      <c r="K6" s="185" t="s">
        <v>439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440</v>
      </c>
    </row>
    <row r="7" spans="2:23">
      <c r="B7" s="185"/>
      <c r="C7" s="294"/>
      <c r="D7" s="294"/>
      <c r="G7" s="185"/>
      <c r="H7" s="294"/>
      <c r="I7" s="294"/>
      <c r="K7" s="185" t="s">
        <v>441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94"/>
      <c r="D8" s="294"/>
      <c r="G8" s="185"/>
      <c r="H8" s="294"/>
      <c r="I8" s="294"/>
      <c r="K8" s="185" t="s">
        <v>442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430</v>
      </c>
      <c r="C9" s="295">
        <f>C4*(1/(1+C5)^C6)</f>
        <v>944084.6592231117</v>
      </c>
      <c r="D9" s="295"/>
      <c r="G9" s="203" t="s">
        <v>443</v>
      </c>
      <c r="H9" s="295">
        <f>H4*((1+H5)^H6)</f>
        <v>621169.64166884217</v>
      </c>
      <c r="I9" s="295"/>
      <c r="K9" s="185" t="s">
        <v>444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445</v>
      </c>
      <c r="C10" s="295">
        <f>C4-C9</f>
        <v>8555915.3407768887</v>
      </c>
      <c r="D10" s="295"/>
      <c r="G10" s="203" t="s">
        <v>445</v>
      </c>
      <c r="H10" s="296">
        <f>H9-H4</f>
        <v>421169.64166884217</v>
      </c>
      <c r="I10" s="296"/>
      <c r="K10" s="185" t="s">
        <v>446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447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448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85" t="s">
        <v>449</v>
      </c>
      <c r="C14" s="285"/>
      <c r="D14" s="285"/>
      <c r="G14" s="285" t="s">
        <v>450</v>
      </c>
      <c r="H14" s="285"/>
      <c r="I14" s="285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451</v>
      </c>
      <c r="C15" s="290">
        <v>24000</v>
      </c>
      <c r="D15" s="290"/>
      <c r="G15" s="185" t="s">
        <v>451</v>
      </c>
      <c r="H15" s="290">
        <v>200000</v>
      </c>
      <c r="I15" s="290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436</v>
      </c>
      <c r="C16" s="291">
        <v>0.1</v>
      </c>
      <c r="D16" s="292"/>
      <c r="G16" s="185" t="s">
        <v>436</v>
      </c>
      <c r="H16" s="291">
        <v>0.12</v>
      </c>
      <c r="I16" s="292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438</v>
      </c>
      <c r="C17" s="290">
        <v>20</v>
      </c>
      <c r="D17" s="290"/>
      <c r="G17" s="185" t="s">
        <v>438</v>
      </c>
      <c r="H17" s="290">
        <v>10</v>
      </c>
      <c r="I17" s="290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94"/>
      <c r="D18" s="294"/>
      <c r="G18" s="185"/>
      <c r="H18" s="294"/>
      <c r="I18" s="294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452</v>
      </c>
      <c r="C19" s="297">
        <f>( ( 1-  (1/ ( (1+C16)^C17) ) ) / C16)</f>
        <v>8.5135637197585652</v>
      </c>
      <c r="D19" s="298"/>
      <c r="G19" s="203" t="s">
        <v>453</v>
      </c>
      <c r="H19" s="297">
        <f>( ((1+H16)^H17) -1 ) / H16</f>
        <v>17.548735069535095</v>
      </c>
      <c r="I19" s="298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454</v>
      </c>
      <c r="C20" s="299">
        <f>C19 * C15</f>
        <v>204325.52927420556</v>
      </c>
      <c r="D20" s="300"/>
      <c r="G20" s="203" t="s">
        <v>455</v>
      </c>
      <c r="H20" s="297">
        <f>H19 * H15</f>
        <v>3509747.013907019</v>
      </c>
      <c r="I20" s="298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301"/>
      <c r="D21" s="302"/>
      <c r="G21" s="203"/>
      <c r="H21" s="301"/>
      <c r="I21" s="302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95"/>
      <c r="D22" s="295"/>
      <c r="G22" s="203"/>
      <c r="H22" s="295"/>
      <c r="I22" s="295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85" t="s">
        <v>456</v>
      </c>
      <c r="C26" s="285"/>
      <c r="D26" s="285"/>
      <c r="G26" s="285" t="s">
        <v>457</v>
      </c>
      <c r="H26" s="285"/>
      <c r="I26" s="285"/>
      <c r="K26" s="285" t="s">
        <v>15</v>
      </c>
      <c r="L26" s="285"/>
    </row>
    <row r="27" spans="2:18">
      <c r="B27" s="185" t="s">
        <v>451</v>
      </c>
      <c r="C27" s="290">
        <v>100</v>
      </c>
      <c r="D27" s="290"/>
      <c r="G27" s="185" t="s">
        <v>451</v>
      </c>
      <c r="H27" s="290">
        <v>200000</v>
      </c>
      <c r="I27" s="290"/>
      <c r="K27" s="10" t="s">
        <v>16</v>
      </c>
      <c r="L27" s="11">
        <v>45</v>
      </c>
      <c r="M27" s="216">
        <f>L27*M39</f>
        <v>9375000</v>
      </c>
      <c r="N27" t="s">
        <v>458</v>
      </c>
    </row>
    <row r="28" spans="2:18">
      <c r="B28" s="185" t="s">
        <v>436</v>
      </c>
      <c r="C28" s="291">
        <v>0.05</v>
      </c>
      <c r="D28" s="292"/>
      <c r="G28" s="185" t="s">
        <v>436</v>
      </c>
      <c r="H28" s="291">
        <v>0.12</v>
      </c>
      <c r="I28" s="292"/>
      <c r="K28" s="10" t="s">
        <v>17</v>
      </c>
      <c r="L28" s="11">
        <v>240</v>
      </c>
      <c r="M28" s="217"/>
      <c r="R28">
        <v>416</v>
      </c>
    </row>
    <row r="29" spans="2:18">
      <c r="B29" s="185" t="s">
        <v>438</v>
      </c>
      <c r="C29" s="290">
        <v>3</v>
      </c>
      <c r="D29" s="290"/>
      <c r="G29" s="185" t="s">
        <v>438</v>
      </c>
      <c r="H29" s="290">
        <v>11</v>
      </c>
      <c r="I29" s="290"/>
      <c r="K29" s="10" t="s">
        <v>18</v>
      </c>
      <c r="L29" s="12">
        <v>10</v>
      </c>
      <c r="M29" s="218">
        <f>L27/100000</f>
        <v>4.4999999999999999E-4</v>
      </c>
      <c r="N29" t="s">
        <v>459</v>
      </c>
    </row>
    <row r="30" spans="2:18" ht="15.75" thickBot="1">
      <c r="B30" s="185"/>
      <c r="C30" s="294"/>
      <c r="D30" s="294"/>
      <c r="G30" s="185"/>
      <c r="H30" s="294"/>
      <c r="I30" s="294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460</v>
      </c>
    </row>
    <row r="31" spans="2:18">
      <c r="B31" s="203" t="s">
        <v>452</v>
      </c>
      <c r="C31" s="297">
        <f>( ( ( 1-  (1/ ( (1+C28)^C29) ) ) / C28) ) * (1+C28)</f>
        <v>2.859410430839004</v>
      </c>
      <c r="D31" s="298"/>
      <c r="G31" s="203" t="s">
        <v>453</v>
      </c>
      <c r="H31" s="297">
        <f>(( ((1+H28)^H29) -1 ) / H28 ) * ( 1+H28)</f>
        <v>23.133133271224832</v>
      </c>
      <c r="I31" s="298"/>
      <c r="K31" s="13" t="s">
        <v>20</v>
      </c>
      <c r="L31" s="14">
        <f>L29*12</f>
        <v>120</v>
      </c>
      <c r="P31" s="219" t="s">
        <v>461</v>
      </c>
      <c r="Q31" s="220" t="s">
        <v>462</v>
      </c>
    </row>
    <row r="32" spans="2:18">
      <c r="B32" s="203" t="s">
        <v>463</v>
      </c>
      <c r="C32" s="297">
        <f>C31 * C27</f>
        <v>285.94104308390041</v>
      </c>
      <c r="D32" s="298"/>
      <c r="G32" s="203" t="s">
        <v>464</v>
      </c>
      <c r="H32" s="297">
        <f>H31 * H27</f>
        <v>4626626.6542449668</v>
      </c>
      <c r="I32" s="298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301"/>
      <c r="D33" s="302"/>
      <c r="G33" s="203"/>
      <c r="H33" s="301"/>
      <c r="I33" s="302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95"/>
      <c r="D34" s="295"/>
      <c r="G34" s="203"/>
      <c r="H34" s="295"/>
      <c r="I34" s="295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85" t="s">
        <v>24</v>
      </c>
      <c r="C36" s="285"/>
      <c r="D36" s="285"/>
      <c r="E36" s="223"/>
      <c r="G36" s="285" t="s">
        <v>53</v>
      </c>
      <c r="H36" s="285"/>
      <c r="K36" s="285" t="s">
        <v>337</v>
      </c>
      <c r="L36" s="285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465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466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467</v>
      </c>
      <c r="L39" s="10"/>
      <c r="M39" s="217">
        <f>M37/L38</f>
        <v>208333.33333333334</v>
      </c>
      <c r="N39" t="s">
        <v>468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469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305" t="s">
        <v>443</v>
      </c>
      <c r="D43" s="305"/>
      <c r="E43" s="305"/>
      <c r="F43" s="305"/>
      <c r="J43" s="305" t="s">
        <v>443</v>
      </c>
      <c r="K43" s="305"/>
      <c r="L43" s="305"/>
      <c r="M43" s="305"/>
    </row>
    <row r="44" spans="2:17" ht="15.75" thickBot="1">
      <c r="B44" s="233"/>
      <c r="C44" s="303" t="s">
        <v>470</v>
      </c>
      <c r="D44" s="304"/>
      <c r="E44" s="234" t="s">
        <v>471</v>
      </c>
      <c r="F44" s="234"/>
      <c r="G44" s="235"/>
      <c r="I44" s="233"/>
      <c r="J44" s="303" t="s">
        <v>472</v>
      </c>
      <c r="K44" s="304"/>
      <c r="L44" s="234" t="s">
        <v>473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306" t="s">
        <v>474</v>
      </c>
      <c r="C46" s="307"/>
      <c r="D46" s="307"/>
      <c r="E46" s="307"/>
      <c r="F46" s="307"/>
      <c r="G46" s="308"/>
      <c r="I46" s="306" t="s">
        <v>474</v>
      </c>
      <c r="J46" s="307"/>
      <c r="K46" s="307"/>
      <c r="L46" s="307"/>
      <c r="M46" s="307"/>
      <c r="N46" s="308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475</v>
      </c>
      <c r="D48" s="238" t="s">
        <v>476</v>
      </c>
      <c r="E48" s="238" t="s">
        <v>477</v>
      </c>
      <c r="F48" s="238" t="s">
        <v>478</v>
      </c>
      <c r="G48" s="239" t="s">
        <v>479</v>
      </c>
      <c r="I48" s="237" t="s">
        <v>14</v>
      </c>
      <c r="J48" s="238" t="s">
        <v>475</v>
      </c>
      <c r="K48" s="238" t="s">
        <v>480</v>
      </c>
      <c r="L48" s="238" t="s">
        <v>477</v>
      </c>
      <c r="M48" s="238" t="s">
        <v>478</v>
      </c>
      <c r="N48" s="239" t="s">
        <v>479</v>
      </c>
      <c r="O48" s="240" t="s">
        <v>481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309" t="s">
        <v>482</v>
      </c>
      <c r="C81" s="310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309" t="s">
        <v>482</v>
      </c>
      <c r="J81" s="310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483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483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305" t="s">
        <v>484</v>
      </c>
      <c r="D84" s="305"/>
      <c r="E84" s="305"/>
      <c r="F84" s="305"/>
      <c r="H84" s="254">
        <f t="shared" si="14"/>
        <v>0</v>
      </c>
      <c r="J84" s="305" t="s">
        <v>484</v>
      </c>
      <c r="K84" s="305"/>
      <c r="L84" s="305"/>
      <c r="M84" s="305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303" t="s">
        <v>470</v>
      </c>
      <c r="D86" s="304"/>
      <c r="E86" s="234" t="s">
        <v>471</v>
      </c>
      <c r="F86" s="234"/>
      <c r="G86" s="235"/>
      <c r="H86" s="254">
        <f t="shared" si="14"/>
        <v>0</v>
      </c>
      <c r="I86" s="233"/>
      <c r="J86" s="303" t="s">
        <v>485</v>
      </c>
      <c r="K86" s="304"/>
      <c r="L86" s="234" t="s">
        <v>486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306" t="s">
        <v>487</v>
      </c>
      <c r="C88" s="307"/>
      <c r="D88" s="307"/>
      <c r="E88" s="307"/>
      <c r="F88" s="307"/>
      <c r="G88" s="308"/>
      <c r="H88" s="254">
        <f t="shared" si="14"/>
        <v>0</v>
      </c>
      <c r="I88" s="306" t="s">
        <v>487</v>
      </c>
      <c r="J88" s="307"/>
      <c r="K88" s="307"/>
      <c r="L88" s="307"/>
      <c r="M88" s="307"/>
      <c r="N88" s="308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475</v>
      </c>
      <c r="D90" s="238" t="s">
        <v>488</v>
      </c>
      <c r="E90" s="238" t="s">
        <v>477</v>
      </c>
      <c r="F90" s="238" t="s">
        <v>489</v>
      </c>
      <c r="G90" s="239" t="s">
        <v>490</v>
      </c>
      <c r="I90" s="237" t="s">
        <v>14</v>
      </c>
      <c r="J90" s="238" t="s">
        <v>491</v>
      </c>
      <c r="K90" s="238" t="s">
        <v>492</v>
      </c>
      <c r="L90" s="238" t="s">
        <v>477</v>
      </c>
      <c r="M90" s="238" t="s">
        <v>489</v>
      </c>
      <c r="N90" s="239" t="s">
        <v>490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309" t="s">
        <v>493</v>
      </c>
      <c r="C124" s="310"/>
      <c r="D124" s="259">
        <f>SUM(D91:D123)</f>
        <v>1900</v>
      </c>
      <c r="E124" s="257"/>
      <c r="F124" s="257"/>
      <c r="G124" s="271">
        <f>G121</f>
        <v>1413.1902480939689</v>
      </c>
      <c r="I124" s="309" t="s">
        <v>493</v>
      </c>
      <c r="J124" s="310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79"/>
  <sheetViews>
    <sheetView tabSelected="1" zoomScale="80" zoomScaleNormal="80" workbookViewId="0">
      <pane xSplit="2" ySplit="3" topLeftCell="K4" activePane="bottomRight" state="frozen"/>
      <selection pane="topRight" activeCell="C1" sqref="C1"/>
      <selection pane="bottomLeft" activeCell="A5" sqref="A5"/>
      <selection pane="bottomRight" activeCell="S17" sqref="S17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8" width="12.28515625" style="89" bestFit="1" customWidth="1"/>
    <col min="19" max="19" width="14.5703125" style="89" bestFit="1" customWidth="1"/>
    <col min="20" max="20" width="10.7109375" style="89" customWidth="1"/>
    <col min="21" max="21" width="9.42578125" style="89" bestFit="1" customWidth="1"/>
    <col min="22" max="22" width="10.85546875" style="89" bestFit="1" customWidth="1"/>
    <col min="23" max="24" width="9.7109375" style="89" bestFit="1" customWidth="1"/>
    <col min="25" max="31" width="8" style="89" bestFit="1" customWidth="1"/>
    <col min="32" max="32" width="11.28515625" style="89" bestFit="1" customWidth="1"/>
    <col min="33" max="33" width="9.28515625" style="89" bestFit="1" customWidth="1"/>
    <col min="34" max="34" width="9" style="89" customWidth="1"/>
    <col min="35" max="35" width="10.7109375" style="89" customWidth="1"/>
    <col min="36" max="16384" width="9.140625" style="89"/>
  </cols>
  <sheetData>
    <row r="1" spans="2:35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5">
      <c r="B2" s="130" t="s">
        <v>262</v>
      </c>
      <c r="C2" s="103"/>
      <c r="I2" s="89" t="s">
        <v>211</v>
      </c>
      <c r="K2" s="108">
        <v>2017</v>
      </c>
      <c r="M2" s="89" t="s">
        <v>273</v>
      </c>
      <c r="O2" s="141">
        <v>0.12</v>
      </c>
      <c r="Q2" s="89" t="s">
        <v>394</v>
      </c>
      <c r="S2" s="141">
        <v>0.22</v>
      </c>
      <c r="W2" s="98" t="s">
        <v>5</v>
      </c>
      <c r="X2" s="98" t="s">
        <v>6</v>
      </c>
      <c r="Y2" s="98" t="s">
        <v>7</v>
      </c>
      <c r="Z2" s="98" t="s">
        <v>8</v>
      </c>
      <c r="AA2" s="98" t="s">
        <v>9</v>
      </c>
      <c r="AB2" s="98" t="s">
        <v>192</v>
      </c>
      <c r="AC2" s="98" t="s">
        <v>193</v>
      </c>
      <c r="AD2" s="98" t="s">
        <v>194</v>
      </c>
      <c r="AE2" s="98" t="s">
        <v>195</v>
      </c>
      <c r="AF2" s="98" t="s">
        <v>196</v>
      </c>
      <c r="AH2" s="315" t="s">
        <v>241</v>
      </c>
      <c r="AI2" s="316"/>
    </row>
    <row r="3" spans="2:3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9" t="s">
        <v>1</v>
      </c>
      <c r="V3" s="99" t="s">
        <v>212</v>
      </c>
      <c r="W3" s="98">
        <v>2018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114" t="s">
        <v>1</v>
      </c>
      <c r="AH3" s="317" t="s">
        <v>242</v>
      </c>
      <c r="AI3" s="318"/>
    </row>
    <row r="4" spans="2: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15"/>
      <c r="AH4" s="10"/>
      <c r="AI4" s="10"/>
    </row>
    <row r="5" spans="2:35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0"/>
      <c r="V5" s="10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15"/>
      <c r="AH5" s="10"/>
      <c r="AI5" s="131"/>
    </row>
    <row r="6" spans="2:35">
      <c r="B6" s="10" t="s">
        <v>10</v>
      </c>
      <c r="C6" s="119"/>
      <c r="D6" s="119"/>
      <c r="E6" s="125"/>
      <c r="F6" s="125"/>
      <c r="G6" s="125">
        <f>R6</f>
        <v>1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>
        <v>1</v>
      </c>
      <c r="S6" s="182">
        <v>10236.61</v>
      </c>
      <c r="T6" s="182">
        <v>11277.97</v>
      </c>
      <c r="U6" s="101">
        <f>((T6/G6)^(1/($K$2-$K$1) ))-1</f>
        <v>1.0497933126043568</v>
      </c>
      <c r="V6" s="21">
        <f>$O$2</f>
        <v>0.12</v>
      </c>
      <c r="W6" s="131">
        <f>T6*(1+$V6)</f>
        <v>12631.3264</v>
      </c>
      <c r="X6" s="131">
        <f>W6*(1+$V6)</f>
        <v>14147.085568</v>
      </c>
      <c r="Y6" s="131">
        <f t="shared" ref="Y6:AF6" si="0">X6*(1+$V6)</f>
        <v>15844.735836160002</v>
      </c>
      <c r="Z6" s="131">
        <f t="shared" si="0"/>
        <v>17746.104136499205</v>
      </c>
      <c r="AA6" s="131">
        <f t="shared" si="0"/>
        <v>19875.636632879112</v>
      </c>
      <c r="AB6" s="131">
        <f t="shared" si="0"/>
        <v>22260.713028824608</v>
      </c>
      <c r="AC6" s="131">
        <f t="shared" si="0"/>
        <v>24931.998592283562</v>
      </c>
      <c r="AD6" s="131">
        <f t="shared" si="0"/>
        <v>27923.838423357593</v>
      </c>
      <c r="AE6" s="131">
        <f t="shared" si="0"/>
        <v>31274.699034160505</v>
      </c>
      <c r="AF6" s="131">
        <f t="shared" si="0"/>
        <v>35027.662918259768</v>
      </c>
      <c r="AG6" s="116" t="e">
        <f>((AF6/J6)^(1/($AF$3-$K$1) ))-1</f>
        <v>#DIV/0!</v>
      </c>
      <c r="AH6" s="21">
        <f>$O$1</f>
        <v>0.05</v>
      </c>
      <c r="AI6" s="124">
        <f t="shared" ref="AI6:AI59" si="1">(AF6*(1+AH6))/($C$1-AH6)</f>
        <v>216347.32978925153</v>
      </c>
    </row>
    <row r="7" spans="2:35">
      <c r="B7" s="10" t="s">
        <v>198</v>
      </c>
      <c r="C7" s="119"/>
      <c r="D7" s="119"/>
      <c r="E7" s="125"/>
      <c r="F7" s="125"/>
      <c r="G7" s="125">
        <f t="shared" ref="G7:G63" si="2">R7</f>
        <v>1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>
        <v>1</v>
      </c>
      <c r="S7" s="182">
        <v>13632.55</v>
      </c>
      <c r="T7" s="182">
        <v>14678</v>
      </c>
      <c r="U7" s="101">
        <f t="shared" ref="U7:U59" si="3">((T7/G7)^(1/($K$2-$K$1) ))-1</f>
        <v>1.0917647360426503</v>
      </c>
      <c r="V7" s="21">
        <f>$O$2</f>
        <v>0.12</v>
      </c>
      <c r="W7" s="131">
        <f t="shared" ref="W7:W59" si="4">T7*(1+$V7)</f>
        <v>16439.36</v>
      </c>
      <c r="X7" s="131">
        <f t="shared" ref="X7:AF7" si="5">W7*(1+$V7)</f>
        <v>18412.083200000001</v>
      </c>
      <c r="Y7" s="131">
        <f t="shared" si="5"/>
        <v>20621.533184000004</v>
      </c>
      <c r="Z7" s="131">
        <f t="shared" si="5"/>
        <v>23096.117166080006</v>
      </c>
      <c r="AA7" s="131">
        <f t="shared" si="5"/>
        <v>25867.65122600961</v>
      </c>
      <c r="AB7" s="131">
        <f t="shared" si="5"/>
        <v>28971.769373130766</v>
      </c>
      <c r="AC7" s="131">
        <f t="shared" si="5"/>
        <v>32448.381697906461</v>
      </c>
      <c r="AD7" s="131">
        <f t="shared" si="5"/>
        <v>36342.187501655237</v>
      </c>
      <c r="AE7" s="131">
        <f t="shared" si="5"/>
        <v>40703.25000185387</v>
      </c>
      <c r="AF7" s="131">
        <f t="shared" si="5"/>
        <v>45587.640002076339</v>
      </c>
      <c r="AG7" s="116" t="e">
        <f>((AF7/J7)^(1/($AF$3-$K$1) ))-1</f>
        <v>#DIV/0!</v>
      </c>
      <c r="AH7" s="21">
        <f>$O$1</f>
        <v>0.05</v>
      </c>
      <c r="AI7" s="124">
        <f t="shared" si="1"/>
        <v>281570.71765988332</v>
      </c>
    </row>
    <row r="8" spans="2:35">
      <c r="B8" s="10"/>
      <c r="C8" s="119"/>
      <c r="D8" s="119"/>
      <c r="E8" s="125"/>
      <c r="F8" s="272"/>
      <c r="G8" s="128">
        <f>(G7-F7)/G7</f>
        <v>1</v>
      </c>
      <c r="H8" s="128" t="e">
        <f>(H7-G7)/H7</f>
        <v>#DIV/0!</v>
      </c>
      <c r="I8" s="128" t="e">
        <f t="shared" ref="I8:P8" si="6">(I7-H7)/I7</f>
        <v>#DIV/0!</v>
      </c>
      <c r="J8" s="128" t="e">
        <f t="shared" si="6"/>
        <v>#DIV/0!</v>
      </c>
      <c r="K8" s="128" t="e">
        <f t="shared" si="6"/>
        <v>#DIV/0!</v>
      </c>
      <c r="L8" s="128" t="e">
        <f t="shared" si="6"/>
        <v>#DIV/0!</v>
      </c>
      <c r="M8" s="128" t="e">
        <f t="shared" si="6"/>
        <v>#DIV/0!</v>
      </c>
      <c r="N8" s="128" t="e">
        <f t="shared" si="6"/>
        <v>#DIV/0!</v>
      </c>
      <c r="O8" s="128" t="e">
        <f t="shared" si="6"/>
        <v>#DIV/0!</v>
      </c>
      <c r="P8" s="128" t="e">
        <f t="shared" si="6"/>
        <v>#DIV/0!</v>
      </c>
      <c r="Q8" s="128" t="e">
        <f t="shared" ref="Q8:R8" si="7">(Q7-P7)/Q7</f>
        <v>#DIV/0!</v>
      </c>
      <c r="R8" s="128">
        <f t="shared" si="7"/>
        <v>1</v>
      </c>
      <c r="S8" s="128">
        <f t="shared" ref="S8:T8" si="8">(S7-R7)/R7</f>
        <v>13631.55</v>
      </c>
      <c r="T8" s="128">
        <f t="shared" si="8"/>
        <v>7.6687780349237733E-2</v>
      </c>
      <c r="U8" s="10"/>
      <c r="V8" s="10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15"/>
      <c r="AH8" s="115"/>
      <c r="AI8" s="124"/>
    </row>
    <row r="9" spans="2:35">
      <c r="B9" s="10" t="s">
        <v>221</v>
      </c>
      <c r="C9" s="119"/>
      <c r="D9" s="119"/>
      <c r="E9" s="125"/>
      <c r="F9" s="125"/>
      <c r="G9" s="125">
        <f t="shared" si="2"/>
        <v>0.01</v>
      </c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>
        <v>0.01</v>
      </c>
      <c r="S9" s="182">
        <v>4204.4399999999996</v>
      </c>
      <c r="T9" s="182">
        <v>7011</v>
      </c>
      <c r="U9" s="101">
        <f t="shared" si="3"/>
        <v>1.8162770888285862</v>
      </c>
      <c r="V9" s="21">
        <f t="shared" ref="V9:V55" si="9">$O$2</f>
        <v>0.12</v>
      </c>
      <c r="W9" s="131">
        <f t="shared" si="4"/>
        <v>7852.3200000000006</v>
      </c>
      <c r="X9" s="131">
        <f t="shared" ref="X9" si="10">W9*(1+$V9)</f>
        <v>8794.5984000000008</v>
      </c>
      <c r="Y9" s="131">
        <f t="shared" ref="Y9" si="11">X9*(1+$V9)</f>
        <v>9849.950208000002</v>
      </c>
      <c r="Z9" s="131">
        <f t="shared" ref="Z9" si="12">Y9*(1+$V9)</f>
        <v>11031.944232960002</v>
      </c>
      <c r="AA9" s="131">
        <f t="shared" ref="AA9" si="13">Z9*(1+$V9)</f>
        <v>12355.777540915204</v>
      </c>
      <c r="AB9" s="131">
        <f t="shared" ref="AB9" si="14">AA9*(1+$V9)</f>
        <v>13838.47084582503</v>
      </c>
      <c r="AC9" s="131">
        <f t="shared" ref="AC9" si="15">AB9*(1+$V9)</f>
        <v>15499.087347324035</v>
      </c>
      <c r="AD9" s="131">
        <f t="shared" ref="AD9" si="16">AC9*(1+$V9)</f>
        <v>17358.977829002921</v>
      </c>
      <c r="AE9" s="131">
        <f t="shared" ref="AE9" si="17">AD9*(1+$V9)</f>
        <v>19442.055168483272</v>
      </c>
      <c r="AF9" s="131">
        <f t="shared" ref="AF9" si="18">AE9*(1+$V9)</f>
        <v>21775.101788701268</v>
      </c>
      <c r="AG9" s="116" t="e">
        <f>((AF9/J9)^(1/($AF$3-$K$1) ))-1</f>
        <v>#DIV/0!</v>
      </c>
      <c r="AH9" s="21">
        <f t="shared" ref="AH9:AH99" si="19">$O$1</f>
        <v>0.05</v>
      </c>
      <c r="AI9" s="124">
        <f t="shared" si="1"/>
        <v>134493.27575374313</v>
      </c>
    </row>
    <row r="10" spans="2:35">
      <c r="B10" s="10" t="s">
        <v>3</v>
      </c>
      <c r="C10" s="119"/>
      <c r="D10" s="119"/>
      <c r="E10" s="125"/>
      <c r="F10" s="125"/>
      <c r="G10" s="125">
        <f t="shared" si="2"/>
        <v>0.01</v>
      </c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>
        <v>0.01</v>
      </c>
      <c r="S10" s="182">
        <v>56132</v>
      </c>
      <c r="T10" s="182">
        <v>90470</v>
      </c>
      <c r="U10" s="101">
        <f t="shared" si="3"/>
        <v>2.4285914494308485</v>
      </c>
      <c r="V10" s="21">
        <f t="shared" si="9"/>
        <v>0.12</v>
      </c>
      <c r="W10" s="131">
        <f t="shared" si="4"/>
        <v>101326.40000000001</v>
      </c>
      <c r="X10" s="131">
        <f t="shared" ref="X10:AF10" si="20">W10*(1+$V10)</f>
        <v>113485.56800000001</v>
      </c>
      <c r="Y10" s="131">
        <f t="shared" si="20"/>
        <v>127103.83616000002</v>
      </c>
      <c r="Z10" s="131">
        <f t="shared" si="20"/>
        <v>142356.29649920005</v>
      </c>
      <c r="AA10" s="131">
        <f t="shared" si="20"/>
        <v>159439.05207910406</v>
      </c>
      <c r="AB10" s="131">
        <f t="shared" si="20"/>
        <v>178571.73832859658</v>
      </c>
      <c r="AC10" s="131">
        <f t="shared" si="20"/>
        <v>200000.34692802819</v>
      </c>
      <c r="AD10" s="131">
        <f t="shared" si="20"/>
        <v>224000.38855939158</v>
      </c>
      <c r="AE10" s="131">
        <f t="shared" si="20"/>
        <v>250880.43518651859</v>
      </c>
      <c r="AF10" s="131">
        <f t="shared" si="20"/>
        <v>280986.08740890084</v>
      </c>
      <c r="AG10" s="116" t="e">
        <f t="shared" ref="AG10:AG57" si="21">((AF10/J10)^(1/($AF$3-$K$1) ))-1</f>
        <v>#DIV/0!</v>
      </c>
      <c r="AH10" s="21">
        <f t="shared" si="19"/>
        <v>0.05</v>
      </c>
      <c r="AI10" s="124">
        <f t="shared" si="1"/>
        <v>1735502.3045843879</v>
      </c>
    </row>
    <row r="11" spans="2:35">
      <c r="B11" s="10"/>
      <c r="C11" s="119"/>
      <c r="D11" s="119"/>
      <c r="E11" s="125"/>
      <c r="F11" s="272"/>
      <c r="G11" s="128">
        <f>(G10-F10)/G10</f>
        <v>1</v>
      </c>
      <c r="H11" s="272" t="e">
        <f t="shared" ref="H11:P11" si="22">(H10-G10)/H10</f>
        <v>#DIV/0!</v>
      </c>
      <c r="I11" s="272" t="e">
        <f t="shared" si="22"/>
        <v>#DIV/0!</v>
      </c>
      <c r="J11" s="272" t="e">
        <f t="shared" si="22"/>
        <v>#DIV/0!</v>
      </c>
      <c r="K11" s="272" t="e">
        <f t="shared" si="22"/>
        <v>#DIV/0!</v>
      </c>
      <c r="L11" s="272" t="e">
        <f t="shared" si="22"/>
        <v>#DIV/0!</v>
      </c>
      <c r="M11" s="272" t="e">
        <f t="shared" si="22"/>
        <v>#DIV/0!</v>
      </c>
      <c r="N11" s="272" t="e">
        <f t="shared" si="22"/>
        <v>#DIV/0!</v>
      </c>
      <c r="O11" s="272" t="e">
        <f t="shared" si="22"/>
        <v>#DIV/0!</v>
      </c>
      <c r="P11" s="272" t="e">
        <f t="shared" si="22"/>
        <v>#DIV/0!</v>
      </c>
      <c r="Q11" s="272" t="e">
        <f t="shared" ref="Q11:R11" si="23">(Q10-P10)/Q10</f>
        <v>#DIV/0!</v>
      </c>
      <c r="R11" s="272">
        <f t="shared" si="23"/>
        <v>1</v>
      </c>
      <c r="S11" s="128">
        <f t="shared" ref="S11:T11" si="24">(S10-R10)/R10</f>
        <v>5613199</v>
      </c>
      <c r="T11" s="128">
        <f t="shared" si="24"/>
        <v>0.61173662082234737</v>
      </c>
      <c r="U11" s="10"/>
      <c r="V11" s="10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2"/>
      <c r="AH11" s="21">
        <f t="shared" si="19"/>
        <v>0.05</v>
      </c>
      <c r="AI11" s="131"/>
    </row>
    <row r="12" spans="2:35">
      <c r="B12" s="10" t="s">
        <v>2</v>
      </c>
      <c r="C12" s="119"/>
      <c r="D12" s="119"/>
      <c r="E12" s="125"/>
      <c r="F12" s="125"/>
      <c r="G12" s="125">
        <f t="shared" si="2"/>
        <v>0.01</v>
      </c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>
        <v>0.01</v>
      </c>
      <c r="S12" s="182">
        <v>1900</v>
      </c>
      <c r="T12" s="182">
        <v>3036</v>
      </c>
      <c r="U12" s="101">
        <f t="shared" si="3"/>
        <v>1.6406784456085446</v>
      </c>
      <c r="V12" s="21">
        <f t="shared" si="9"/>
        <v>0.12</v>
      </c>
      <c r="W12" s="131">
        <f t="shared" si="4"/>
        <v>3400.32</v>
      </c>
      <c r="X12" s="131">
        <f t="shared" ref="X12:AF12" si="25">W12*(1+$V12)</f>
        <v>3808.3584000000005</v>
      </c>
      <c r="Y12" s="131">
        <f t="shared" si="25"/>
        <v>4265.3614080000007</v>
      </c>
      <c r="Z12" s="131">
        <f t="shared" si="25"/>
        <v>4777.2047769600013</v>
      </c>
      <c r="AA12" s="131">
        <f t="shared" si="25"/>
        <v>5350.4693501952015</v>
      </c>
      <c r="AB12" s="131">
        <f t="shared" si="25"/>
        <v>5992.5256722186259</v>
      </c>
      <c r="AC12" s="131">
        <f t="shared" si="25"/>
        <v>6711.6287528848616</v>
      </c>
      <c r="AD12" s="131">
        <f t="shared" si="25"/>
        <v>7517.0242032310452</v>
      </c>
      <c r="AE12" s="131">
        <f t="shared" si="25"/>
        <v>8419.0671076187718</v>
      </c>
      <c r="AF12" s="131">
        <f t="shared" si="25"/>
        <v>9429.3551605330249</v>
      </c>
      <c r="AG12" s="116" t="e">
        <f t="shared" si="21"/>
        <v>#DIV/0!</v>
      </c>
      <c r="AH12" s="21">
        <f t="shared" si="19"/>
        <v>0.05</v>
      </c>
      <c r="AI12" s="124">
        <f t="shared" si="1"/>
        <v>58240.134815056932</v>
      </c>
    </row>
    <row r="13" spans="2:35">
      <c r="B13" s="10" t="s">
        <v>191</v>
      </c>
      <c r="C13" s="119"/>
      <c r="D13" s="119"/>
      <c r="E13" s="125"/>
      <c r="F13" s="125"/>
      <c r="G13" s="125">
        <f t="shared" si="2"/>
        <v>0.01</v>
      </c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>
        <v>0.01</v>
      </c>
      <c r="S13" s="182">
        <v>20091</v>
      </c>
      <c r="T13" s="182">
        <v>50471</v>
      </c>
      <c r="U13" s="101">
        <f t="shared" si="3"/>
        <v>2.2780729072363086</v>
      </c>
      <c r="V13" s="21">
        <f t="shared" si="9"/>
        <v>0.12</v>
      </c>
      <c r="W13" s="131">
        <f t="shared" si="4"/>
        <v>56527.520000000004</v>
      </c>
      <c r="X13" s="131">
        <f t="shared" ref="X13:AF13" si="26">W13*(1+$V13)</f>
        <v>63310.822400000012</v>
      </c>
      <c r="Y13" s="131">
        <f t="shared" si="26"/>
        <v>70908.121088000014</v>
      </c>
      <c r="Z13" s="131">
        <f t="shared" si="26"/>
        <v>79417.095618560023</v>
      </c>
      <c r="AA13" s="131">
        <f t="shared" si="26"/>
        <v>88947.147092787229</v>
      </c>
      <c r="AB13" s="131">
        <f t="shared" si="26"/>
        <v>99620.804743921704</v>
      </c>
      <c r="AC13" s="131">
        <f t="shared" si="26"/>
        <v>111575.30131319232</v>
      </c>
      <c r="AD13" s="131">
        <f t="shared" si="26"/>
        <v>124964.33747077541</v>
      </c>
      <c r="AE13" s="131">
        <f t="shared" si="26"/>
        <v>139960.05796726848</v>
      </c>
      <c r="AF13" s="131">
        <f t="shared" si="26"/>
        <v>156755.26492334073</v>
      </c>
      <c r="AG13" s="116" t="e">
        <f t="shared" si="21"/>
        <v>#DIV/0!</v>
      </c>
      <c r="AH13" s="21">
        <f t="shared" si="19"/>
        <v>0.05</v>
      </c>
      <c r="AI13" s="124">
        <f t="shared" si="1"/>
        <v>968194.28335004579</v>
      </c>
    </row>
    <row r="14" spans="2:35">
      <c r="B14" s="10" t="s">
        <v>318</v>
      </c>
      <c r="C14" s="119"/>
      <c r="D14" s="119"/>
      <c r="E14" s="125"/>
      <c r="F14" s="125"/>
      <c r="G14" s="125">
        <f t="shared" si="2"/>
        <v>0.01</v>
      </c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>
        <v>0.01</v>
      </c>
      <c r="S14" s="182">
        <v>0</v>
      </c>
      <c r="T14" s="182">
        <v>0</v>
      </c>
      <c r="U14" s="101">
        <f t="shared" si="3"/>
        <v>-1</v>
      </c>
      <c r="V14" s="21">
        <f t="shared" si="9"/>
        <v>0.12</v>
      </c>
      <c r="W14" s="131">
        <f t="shared" si="4"/>
        <v>0</v>
      </c>
      <c r="X14" s="131">
        <f t="shared" ref="X14" si="27">W14*(1+$V14)</f>
        <v>0</v>
      </c>
      <c r="Y14" s="131">
        <f t="shared" ref="Y14" si="28">X14*(1+$V14)</f>
        <v>0</v>
      </c>
      <c r="Z14" s="131">
        <f t="shared" ref="Z14" si="29">Y14*(1+$V14)</f>
        <v>0</v>
      </c>
      <c r="AA14" s="131">
        <f t="shared" ref="AA14" si="30">Z14*(1+$V14)</f>
        <v>0</v>
      </c>
      <c r="AB14" s="131">
        <f t="shared" ref="AB14" si="31">AA14*(1+$V14)</f>
        <v>0</v>
      </c>
      <c r="AC14" s="131">
        <f t="shared" ref="AC14" si="32">AB14*(1+$V14)</f>
        <v>0</v>
      </c>
      <c r="AD14" s="131">
        <f t="shared" ref="AD14" si="33">AC14*(1+$V14)</f>
        <v>0</v>
      </c>
      <c r="AE14" s="131">
        <f t="shared" ref="AE14" si="34">AD14*(1+$V14)</f>
        <v>0</v>
      </c>
      <c r="AF14" s="131">
        <f t="shared" ref="AF14" si="35">AE14*(1+$V14)</f>
        <v>0</v>
      </c>
      <c r="AG14" s="116" t="e">
        <f t="shared" ref="AG14" si="36">((AF14/J14)^(1/($AF$3-$K$1) ))-1</f>
        <v>#DIV/0!</v>
      </c>
      <c r="AH14" s="21">
        <f t="shared" si="19"/>
        <v>0.05</v>
      </c>
      <c r="AI14" s="124">
        <f t="shared" ref="AI14" si="37">(AF14*(1+AH14))/($C$1-AH14)</f>
        <v>0</v>
      </c>
    </row>
    <row r="15" spans="2:35">
      <c r="B15" s="10" t="s">
        <v>11</v>
      </c>
      <c r="C15" s="119"/>
      <c r="D15" s="119"/>
      <c r="E15" s="125"/>
      <c r="F15" s="125"/>
      <c r="G15" s="125">
        <f t="shared" si="2"/>
        <v>0.01</v>
      </c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>
        <v>0.01</v>
      </c>
      <c r="S15" s="182">
        <v>0</v>
      </c>
      <c r="T15" s="182">
        <v>0</v>
      </c>
      <c r="U15" s="101">
        <f t="shared" si="3"/>
        <v>-1</v>
      </c>
      <c r="V15" s="21">
        <f t="shared" si="9"/>
        <v>0.12</v>
      </c>
      <c r="W15" s="131">
        <f t="shared" si="4"/>
        <v>0</v>
      </c>
      <c r="X15" s="131">
        <f t="shared" ref="X15:AF15" si="38">W15*(1+$V15)</f>
        <v>0</v>
      </c>
      <c r="Y15" s="131">
        <f t="shared" si="38"/>
        <v>0</v>
      </c>
      <c r="Z15" s="131">
        <f t="shared" si="38"/>
        <v>0</v>
      </c>
      <c r="AA15" s="131">
        <f t="shared" si="38"/>
        <v>0</v>
      </c>
      <c r="AB15" s="131">
        <f t="shared" si="38"/>
        <v>0</v>
      </c>
      <c r="AC15" s="131">
        <f t="shared" si="38"/>
        <v>0</v>
      </c>
      <c r="AD15" s="131">
        <f t="shared" si="38"/>
        <v>0</v>
      </c>
      <c r="AE15" s="131">
        <f t="shared" si="38"/>
        <v>0</v>
      </c>
      <c r="AF15" s="131">
        <f t="shared" si="38"/>
        <v>0</v>
      </c>
      <c r="AG15" s="116" t="e">
        <f t="shared" si="21"/>
        <v>#DIV/0!</v>
      </c>
      <c r="AH15" s="21">
        <f t="shared" si="19"/>
        <v>0.05</v>
      </c>
      <c r="AI15" s="124">
        <f t="shared" si="1"/>
        <v>0</v>
      </c>
    </row>
    <row r="16" spans="2:35">
      <c r="B16" s="10" t="s">
        <v>12</v>
      </c>
      <c r="C16" s="119"/>
      <c r="D16" s="119"/>
      <c r="E16" s="125"/>
      <c r="F16" s="125"/>
      <c r="G16" s="125">
        <f t="shared" si="2"/>
        <v>0.01</v>
      </c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>
        <v>0.01</v>
      </c>
      <c r="S16" s="182">
        <v>0</v>
      </c>
      <c r="T16" s="182">
        <v>0</v>
      </c>
      <c r="U16" s="101">
        <f t="shared" si="3"/>
        <v>-1</v>
      </c>
      <c r="V16" s="21">
        <f t="shared" si="9"/>
        <v>0.12</v>
      </c>
      <c r="W16" s="131">
        <f t="shared" si="4"/>
        <v>0</v>
      </c>
      <c r="X16" s="131">
        <f t="shared" ref="X16:AF16" si="39">W16*(1+$V16)</f>
        <v>0</v>
      </c>
      <c r="Y16" s="131">
        <f t="shared" si="39"/>
        <v>0</v>
      </c>
      <c r="Z16" s="131">
        <f t="shared" si="39"/>
        <v>0</v>
      </c>
      <c r="AA16" s="131">
        <f t="shared" si="39"/>
        <v>0</v>
      </c>
      <c r="AB16" s="131">
        <f t="shared" si="39"/>
        <v>0</v>
      </c>
      <c r="AC16" s="131">
        <f t="shared" si="39"/>
        <v>0</v>
      </c>
      <c r="AD16" s="131">
        <f t="shared" si="39"/>
        <v>0</v>
      </c>
      <c r="AE16" s="131">
        <f t="shared" si="39"/>
        <v>0</v>
      </c>
      <c r="AF16" s="131">
        <f t="shared" si="39"/>
        <v>0</v>
      </c>
      <c r="AG16" s="116" t="e">
        <f t="shared" si="21"/>
        <v>#DIV/0!</v>
      </c>
      <c r="AH16" s="21">
        <f t="shared" si="19"/>
        <v>0.05</v>
      </c>
      <c r="AI16" s="124">
        <f t="shared" si="1"/>
        <v>0</v>
      </c>
    </row>
    <row r="17" spans="2:35">
      <c r="B17" s="10"/>
      <c r="C17" s="119"/>
      <c r="D17" s="119"/>
      <c r="E17" s="125"/>
      <c r="F17" s="125"/>
      <c r="G17" s="125">
        <f t="shared" si="2"/>
        <v>0</v>
      </c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0"/>
      <c r="V17" s="10"/>
      <c r="W17" s="131">
        <f t="shared" si="4"/>
        <v>0</v>
      </c>
      <c r="X17" s="131"/>
      <c r="Y17" s="131"/>
      <c r="Z17" s="131"/>
      <c r="AA17" s="131"/>
      <c r="AB17" s="131"/>
      <c r="AC17" s="131"/>
      <c r="AD17" s="131"/>
      <c r="AE17" s="131"/>
      <c r="AF17" s="131"/>
      <c r="AG17" s="117"/>
      <c r="AH17" s="115"/>
      <c r="AI17" s="131"/>
    </row>
    <row r="18" spans="2:35">
      <c r="B18" s="10" t="s">
        <v>229</v>
      </c>
      <c r="C18" s="119"/>
      <c r="D18" s="119"/>
      <c r="E18" s="125"/>
      <c r="F18" s="125"/>
      <c r="G18" s="125">
        <f t="shared" si="2"/>
        <v>0.01</v>
      </c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>
        <v>0.01</v>
      </c>
      <c r="S18" s="182">
        <v>0</v>
      </c>
      <c r="T18" s="182">
        <v>0</v>
      </c>
      <c r="U18" s="101">
        <f t="shared" si="3"/>
        <v>-1</v>
      </c>
      <c r="V18" s="21">
        <f t="shared" si="9"/>
        <v>0.12</v>
      </c>
      <c r="W18" s="131">
        <f t="shared" si="4"/>
        <v>0</v>
      </c>
      <c r="X18" s="131">
        <f t="shared" ref="X18:X34" si="40">W18*(1+$V18)</f>
        <v>0</v>
      </c>
      <c r="Y18" s="131">
        <f t="shared" ref="Y18:Y34" si="41">X18*(1+$V18)</f>
        <v>0</v>
      </c>
      <c r="Z18" s="131">
        <f t="shared" ref="Z18:Z34" si="42">Y18*(1+$V18)</f>
        <v>0</v>
      </c>
      <c r="AA18" s="131">
        <f t="shared" ref="AA18:AA51" si="43">Z18*(1+$V18)</f>
        <v>0</v>
      </c>
      <c r="AB18" s="131">
        <f t="shared" ref="AB18:AB51" si="44">AA18*(1+$V18)</f>
        <v>0</v>
      </c>
      <c r="AC18" s="131">
        <f t="shared" ref="AC18:AC51" si="45">AB18*(1+$V18)</f>
        <v>0</v>
      </c>
      <c r="AD18" s="131">
        <f t="shared" ref="AD18:AD51" si="46">AC18*(1+$V18)</f>
        <v>0</v>
      </c>
      <c r="AE18" s="131">
        <f t="shared" ref="AE18:AE51" si="47">AD18*(1+$V18)</f>
        <v>0</v>
      </c>
      <c r="AF18" s="131">
        <f t="shared" ref="AF18:AF51" si="48">AE18*(1+$V18)</f>
        <v>0</v>
      </c>
      <c r="AG18" s="116" t="e">
        <f t="shared" si="21"/>
        <v>#DIV/0!</v>
      </c>
      <c r="AH18" s="21">
        <f t="shared" si="19"/>
        <v>0.05</v>
      </c>
      <c r="AI18" s="124">
        <f t="shared" si="1"/>
        <v>0</v>
      </c>
    </row>
    <row r="19" spans="2:35">
      <c r="B19" s="10"/>
      <c r="C19" s="119"/>
      <c r="D19" s="119"/>
      <c r="E19" s="125"/>
      <c r="F19" s="125"/>
      <c r="G19" s="125">
        <f t="shared" si="2"/>
        <v>0</v>
      </c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0"/>
      <c r="V19" s="10"/>
      <c r="W19" s="131">
        <f t="shared" si="4"/>
        <v>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17"/>
      <c r="AH19" s="115"/>
      <c r="AI19" s="131"/>
    </row>
    <row r="20" spans="2:35">
      <c r="B20" s="10" t="s">
        <v>234</v>
      </c>
      <c r="C20" s="119"/>
      <c r="D20" s="119"/>
      <c r="E20" s="125"/>
      <c r="F20" s="125"/>
      <c r="G20" s="125">
        <f t="shared" si="2"/>
        <v>0.01</v>
      </c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>
        <v>0.01</v>
      </c>
      <c r="S20" s="182"/>
      <c r="T20" s="182"/>
      <c r="U20" s="101">
        <f t="shared" si="3"/>
        <v>-1</v>
      </c>
      <c r="V20" s="21">
        <f t="shared" si="9"/>
        <v>0.12</v>
      </c>
      <c r="W20" s="131">
        <f t="shared" si="4"/>
        <v>0</v>
      </c>
      <c r="X20" s="131">
        <f t="shared" ref="X20:X22" si="49">W20*(1+$V20)</f>
        <v>0</v>
      </c>
      <c r="Y20" s="131">
        <f t="shared" ref="Y20:Y22" si="50">X20*(1+$V20)</f>
        <v>0</v>
      </c>
      <c r="Z20" s="131">
        <f t="shared" ref="Z20:Z22" si="51">Y20*(1+$V20)</f>
        <v>0</v>
      </c>
      <c r="AA20" s="131">
        <f t="shared" ref="AA20:AA22" si="52">Z20*(1+$V20)</f>
        <v>0</v>
      </c>
      <c r="AB20" s="131">
        <f t="shared" ref="AB20:AB22" si="53">AA20*(1+$V20)</f>
        <v>0</v>
      </c>
      <c r="AC20" s="131">
        <f t="shared" ref="AC20:AC22" si="54">AB20*(1+$V20)</f>
        <v>0</v>
      </c>
      <c r="AD20" s="131">
        <f t="shared" ref="AD20:AD22" si="55">AC20*(1+$V20)</f>
        <v>0</v>
      </c>
      <c r="AE20" s="131">
        <f t="shared" ref="AE20:AE22" si="56">AD20*(1+$V20)</f>
        <v>0</v>
      </c>
      <c r="AF20" s="131">
        <f t="shared" ref="AF20:AF22" si="57">AE20*(1+$V20)</f>
        <v>0</v>
      </c>
      <c r="AG20" s="116" t="e">
        <f t="shared" ref="AG20:AG22" si="58">((AF20/J20)^(1/($AF$3-$K$1) ))-1</f>
        <v>#DIV/0!</v>
      </c>
      <c r="AH20" s="21">
        <f t="shared" si="19"/>
        <v>0.05</v>
      </c>
      <c r="AI20" s="124">
        <f t="shared" si="1"/>
        <v>0</v>
      </c>
    </row>
    <row r="21" spans="2:35">
      <c r="B21" s="10" t="s">
        <v>235</v>
      </c>
      <c r="C21" s="119"/>
      <c r="D21" s="119"/>
      <c r="E21" s="125"/>
      <c r="F21" s="125"/>
      <c r="G21" s="125">
        <f t="shared" si="2"/>
        <v>0.01</v>
      </c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>
        <v>0.01</v>
      </c>
      <c r="S21" s="182"/>
      <c r="T21" s="182"/>
      <c r="U21" s="101">
        <f t="shared" si="3"/>
        <v>-1</v>
      </c>
      <c r="V21" s="21">
        <f t="shared" si="9"/>
        <v>0.12</v>
      </c>
      <c r="W21" s="131">
        <f t="shared" si="4"/>
        <v>0</v>
      </c>
      <c r="X21" s="131">
        <f t="shared" si="49"/>
        <v>0</v>
      </c>
      <c r="Y21" s="131">
        <f t="shared" si="50"/>
        <v>0</v>
      </c>
      <c r="Z21" s="131">
        <f t="shared" si="51"/>
        <v>0</v>
      </c>
      <c r="AA21" s="131">
        <f t="shared" si="52"/>
        <v>0</v>
      </c>
      <c r="AB21" s="131">
        <f t="shared" si="53"/>
        <v>0</v>
      </c>
      <c r="AC21" s="131">
        <f t="shared" si="54"/>
        <v>0</v>
      </c>
      <c r="AD21" s="131">
        <f t="shared" si="55"/>
        <v>0</v>
      </c>
      <c r="AE21" s="131">
        <f t="shared" si="56"/>
        <v>0</v>
      </c>
      <c r="AF21" s="131">
        <f t="shared" si="57"/>
        <v>0</v>
      </c>
      <c r="AG21" s="116" t="e">
        <f t="shared" si="58"/>
        <v>#DIV/0!</v>
      </c>
      <c r="AH21" s="21">
        <f t="shared" si="19"/>
        <v>0.05</v>
      </c>
      <c r="AI21" s="124">
        <f t="shared" si="1"/>
        <v>0</v>
      </c>
    </row>
    <row r="22" spans="2:35">
      <c r="B22" s="10" t="s">
        <v>236</v>
      </c>
      <c r="C22" s="119"/>
      <c r="D22" s="119"/>
      <c r="E22" s="125"/>
      <c r="F22" s="125"/>
      <c r="G22" s="125">
        <f t="shared" si="2"/>
        <v>0.01</v>
      </c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>
        <v>0.01</v>
      </c>
      <c r="S22" s="182"/>
      <c r="T22" s="182"/>
      <c r="U22" s="101">
        <f t="shared" si="3"/>
        <v>-1</v>
      </c>
      <c r="V22" s="21">
        <f t="shared" si="9"/>
        <v>0.12</v>
      </c>
      <c r="W22" s="131">
        <f t="shared" si="4"/>
        <v>0</v>
      </c>
      <c r="X22" s="131">
        <f t="shared" si="49"/>
        <v>0</v>
      </c>
      <c r="Y22" s="131">
        <f t="shared" si="50"/>
        <v>0</v>
      </c>
      <c r="Z22" s="131">
        <f t="shared" si="51"/>
        <v>0</v>
      </c>
      <c r="AA22" s="131">
        <f t="shared" si="52"/>
        <v>0</v>
      </c>
      <c r="AB22" s="131">
        <f t="shared" si="53"/>
        <v>0</v>
      </c>
      <c r="AC22" s="131">
        <f t="shared" si="54"/>
        <v>0</v>
      </c>
      <c r="AD22" s="131">
        <f t="shared" si="55"/>
        <v>0</v>
      </c>
      <c r="AE22" s="131">
        <f t="shared" si="56"/>
        <v>0</v>
      </c>
      <c r="AF22" s="131">
        <f t="shared" si="57"/>
        <v>0</v>
      </c>
      <c r="AG22" s="116" t="e">
        <f t="shared" si="58"/>
        <v>#DIV/0!</v>
      </c>
      <c r="AH22" s="21">
        <f t="shared" si="19"/>
        <v>0.05</v>
      </c>
      <c r="AI22" s="124">
        <f t="shared" si="1"/>
        <v>0</v>
      </c>
    </row>
    <row r="23" spans="2:35">
      <c r="B23" s="10" t="s">
        <v>245</v>
      </c>
      <c r="C23" s="119"/>
      <c r="D23" s="119"/>
      <c r="E23" s="125"/>
      <c r="F23" s="125"/>
      <c r="G23" s="125">
        <f t="shared" si="2"/>
        <v>0.01</v>
      </c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>
        <v>0.01</v>
      </c>
      <c r="S23" s="182"/>
      <c r="T23" s="182"/>
      <c r="U23" s="101">
        <f t="shared" si="3"/>
        <v>-1</v>
      </c>
      <c r="V23" s="21">
        <f t="shared" si="9"/>
        <v>0.12</v>
      </c>
      <c r="W23" s="131">
        <f t="shared" si="4"/>
        <v>0</v>
      </c>
      <c r="X23" s="131">
        <f t="shared" ref="X23" si="59">W23*(1+$V23)</f>
        <v>0</v>
      </c>
      <c r="Y23" s="131">
        <f t="shared" ref="Y23" si="60">X23*(1+$V23)</f>
        <v>0</v>
      </c>
      <c r="Z23" s="131">
        <f t="shared" ref="Z23" si="61">Y23*(1+$V23)</f>
        <v>0</v>
      </c>
      <c r="AA23" s="131">
        <f t="shared" ref="AA23" si="62">Z23*(1+$V23)</f>
        <v>0</v>
      </c>
      <c r="AB23" s="131">
        <f t="shared" ref="AB23" si="63">AA23*(1+$V23)</f>
        <v>0</v>
      </c>
      <c r="AC23" s="131">
        <f t="shared" ref="AC23" si="64">AB23*(1+$V23)</f>
        <v>0</v>
      </c>
      <c r="AD23" s="131">
        <f t="shared" ref="AD23" si="65">AC23*(1+$V23)</f>
        <v>0</v>
      </c>
      <c r="AE23" s="131">
        <f t="shared" ref="AE23" si="66">AD23*(1+$V23)</f>
        <v>0</v>
      </c>
      <c r="AF23" s="131">
        <f t="shared" ref="AF23" si="67">AE23*(1+$V23)</f>
        <v>0</v>
      </c>
      <c r="AG23" s="116" t="e">
        <f t="shared" ref="AG23" si="68">((AF23/J23)^(1/($AF$3-$K$1) ))-1</f>
        <v>#DIV/0!</v>
      </c>
      <c r="AH23" s="21">
        <f t="shared" si="19"/>
        <v>0.05</v>
      </c>
      <c r="AI23" s="124">
        <f t="shared" si="1"/>
        <v>0</v>
      </c>
    </row>
    <row r="24" spans="2:35">
      <c r="B24" s="10"/>
      <c r="C24" s="119"/>
      <c r="D24" s="119"/>
      <c r="E24" s="125"/>
      <c r="F24" s="125"/>
      <c r="G24" s="125">
        <f t="shared" si="2"/>
        <v>0</v>
      </c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0"/>
      <c r="V24" s="10"/>
      <c r="W24" s="131">
        <f t="shared" si="4"/>
        <v>0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02"/>
      <c r="AH24" s="115"/>
      <c r="AI24" s="131"/>
    </row>
    <row r="25" spans="2:35">
      <c r="B25" s="10" t="s">
        <v>68</v>
      </c>
      <c r="C25" s="119"/>
      <c r="D25" s="119"/>
      <c r="E25" s="125"/>
      <c r="F25" s="125"/>
      <c r="G25" s="125">
        <f t="shared" si="2"/>
        <v>0</v>
      </c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>
        <v>0</v>
      </c>
      <c r="S25" s="182">
        <v>4052</v>
      </c>
      <c r="T25" s="182">
        <v>9597</v>
      </c>
      <c r="U25" s="101" t="e">
        <f t="shared" si="3"/>
        <v>#DIV/0!</v>
      </c>
      <c r="V25" s="21">
        <f t="shared" si="9"/>
        <v>0.12</v>
      </c>
      <c r="W25" s="131">
        <f t="shared" si="4"/>
        <v>10748.640000000001</v>
      </c>
      <c r="X25" s="131">
        <f t="shared" si="40"/>
        <v>12038.476800000002</v>
      </c>
      <c r="Y25" s="131">
        <f t="shared" si="41"/>
        <v>13483.094016000005</v>
      </c>
      <c r="Z25" s="131">
        <f t="shared" si="42"/>
        <v>15101.065297920006</v>
      </c>
      <c r="AA25" s="131">
        <f t="shared" si="43"/>
        <v>16913.193133670407</v>
      </c>
      <c r="AB25" s="131">
        <f t="shared" si="44"/>
        <v>18942.776309710858</v>
      </c>
      <c r="AC25" s="131">
        <f t="shared" si="45"/>
        <v>21215.909466876165</v>
      </c>
      <c r="AD25" s="131">
        <f t="shared" si="46"/>
        <v>23761.818602901305</v>
      </c>
      <c r="AE25" s="131">
        <f t="shared" si="47"/>
        <v>26613.236835249463</v>
      </c>
      <c r="AF25" s="131">
        <f t="shared" si="48"/>
        <v>29806.825255479402</v>
      </c>
      <c r="AG25" s="116" t="e">
        <f t="shared" si="21"/>
        <v>#DIV/0!</v>
      </c>
      <c r="AH25" s="21">
        <f t="shared" si="19"/>
        <v>0.05</v>
      </c>
      <c r="AI25" s="124">
        <f t="shared" si="1"/>
        <v>184100.9795191375</v>
      </c>
    </row>
    <row r="26" spans="2:35" s="106" customFormat="1">
      <c r="B26" s="13"/>
      <c r="C26" s="126"/>
      <c r="D26" s="126"/>
      <c r="E26" s="127"/>
      <c r="F26" s="272"/>
      <c r="G26" s="128" t="e">
        <f>(G25-F25)/G25</f>
        <v>#DIV/0!</v>
      </c>
      <c r="H26" s="272" t="e">
        <f>(H25-G25)/H25</f>
        <v>#DIV/0!</v>
      </c>
      <c r="I26" s="272" t="e">
        <f t="shared" ref="I26:P26" si="69">(I25-H25)/I25</f>
        <v>#DIV/0!</v>
      </c>
      <c r="J26" s="272" t="e">
        <f t="shared" si="69"/>
        <v>#DIV/0!</v>
      </c>
      <c r="K26" s="272" t="e">
        <f t="shared" si="69"/>
        <v>#DIV/0!</v>
      </c>
      <c r="L26" s="272" t="e">
        <f t="shared" si="69"/>
        <v>#DIV/0!</v>
      </c>
      <c r="M26" s="272" t="e">
        <f t="shared" si="69"/>
        <v>#DIV/0!</v>
      </c>
      <c r="N26" s="272" t="e">
        <f t="shared" si="69"/>
        <v>#DIV/0!</v>
      </c>
      <c r="O26" s="272" t="e">
        <f t="shared" si="69"/>
        <v>#DIV/0!</v>
      </c>
      <c r="P26" s="272" t="e">
        <f t="shared" si="69"/>
        <v>#DIV/0!</v>
      </c>
      <c r="Q26" s="272" t="e">
        <f t="shared" ref="Q26:R26" si="70">(Q25-P25)/Q25</f>
        <v>#DIV/0!</v>
      </c>
      <c r="R26" s="272" t="e">
        <f t="shared" si="70"/>
        <v>#DIV/0!</v>
      </c>
      <c r="S26" s="128" t="e">
        <f t="shared" ref="S26:T26" si="71">(S25-R25)/R25</f>
        <v>#DIV/0!</v>
      </c>
      <c r="T26" s="128">
        <f t="shared" si="71"/>
        <v>1.3684600197433365</v>
      </c>
      <c r="U26" s="10"/>
      <c r="V26" s="10"/>
      <c r="W26" s="131"/>
      <c r="X26" s="132"/>
      <c r="Y26" s="132"/>
      <c r="Z26" s="132"/>
      <c r="AA26" s="132"/>
      <c r="AB26" s="132"/>
      <c r="AC26" s="132"/>
      <c r="AD26" s="132"/>
      <c r="AE26" s="132"/>
      <c r="AF26" s="132"/>
      <c r="AG26" s="102"/>
      <c r="AH26" s="115"/>
      <c r="AI26" s="131"/>
    </row>
    <row r="27" spans="2:35">
      <c r="B27" s="10" t="s">
        <v>219</v>
      </c>
      <c r="C27" s="119"/>
      <c r="D27" s="119"/>
      <c r="E27" s="125"/>
      <c r="F27" s="125"/>
      <c r="G27" s="125">
        <f t="shared" si="2"/>
        <v>0</v>
      </c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82">
        <v>3585</v>
      </c>
      <c r="T27" s="182">
        <v>8526</v>
      </c>
      <c r="U27" s="101" t="e">
        <f t="shared" si="3"/>
        <v>#DIV/0!</v>
      </c>
      <c r="V27" s="21">
        <f t="shared" si="9"/>
        <v>0.12</v>
      </c>
      <c r="W27" s="131">
        <f t="shared" si="4"/>
        <v>9549.1200000000008</v>
      </c>
      <c r="X27" s="131">
        <f t="shared" si="40"/>
        <v>10695.014400000002</v>
      </c>
      <c r="Y27" s="131">
        <f t="shared" si="41"/>
        <v>11978.416128000003</v>
      </c>
      <c r="Z27" s="131">
        <f t="shared" si="42"/>
        <v>13415.826063360004</v>
      </c>
      <c r="AA27" s="131">
        <f t="shared" si="43"/>
        <v>15025.725190963205</v>
      </c>
      <c r="AB27" s="131">
        <f t="shared" si="44"/>
        <v>16828.812213878791</v>
      </c>
      <c r="AC27" s="131">
        <f t="shared" si="45"/>
        <v>18848.269679544246</v>
      </c>
      <c r="AD27" s="131">
        <f t="shared" si="46"/>
        <v>21110.062041089557</v>
      </c>
      <c r="AE27" s="131">
        <f t="shared" si="47"/>
        <v>23643.269486020305</v>
      </c>
      <c r="AF27" s="131">
        <f t="shared" si="48"/>
        <v>26480.461824342743</v>
      </c>
      <c r="AG27" s="116" t="e">
        <f t="shared" si="21"/>
        <v>#DIV/0!</v>
      </c>
      <c r="AH27" s="21">
        <f t="shared" si="19"/>
        <v>0.05</v>
      </c>
      <c r="AI27" s="124">
        <f t="shared" si="1"/>
        <v>163555.7936209405</v>
      </c>
    </row>
    <row r="28" spans="2:35" s="106" customFormat="1">
      <c r="B28" s="13"/>
      <c r="C28" s="126"/>
      <c r="D28" s="126"/>
      <c r="E28" s="127"/>
      <c r="F28" s="272"/>
      <c r="G28" s="128" t="e">
        <f>(G27-F27)/G27</f>
        <v>#DIV/0!</v>
      </c>
      <c r="H28" s="272" t="e">
        <f t="shared" ref="H28:P28" si="72">(H27-G27)/H27</f>
        <v>#DIV/0!</v>
      </c>
      <c r="I28" s="272" t="e">
        <f t="shared" si="72"/>
        <v>#DIV/0!</v>
      </c>
      <c r="J28" s="272" t="e">
        <f t="shared" si="72"/>
        <v>#DIV/0!</v>
      </c>
      <c r="K28" s="272" t="e">
        <f t="shared" si="72"/>
        <v>#DIV/0!</v>
      </c>
      <c r="L28" s="272" t="e">
        <f t="shared" si="72"/>
        <v>#DIV/0!</v>
      </c>
      <c r="M28" s="272" t="e">
        <f t="shared" si="72"/>
        <v>#DIV/0!</v>
      </c>
      <c r="N28" s="272" t="e">
        <f t="shared" si="72"/>
        <v>#DIV/0!</v>
      </c>
      <c r="O28" s="272" t="e">
        <f t="shared" si="72"/>
        <v>#DIV/0!</v>
      </c>
      <c r="P28" s="272" t="e">
        <f t="shared" si="72"/>
        <v>#DIV/0!</v>
      </c>
      <c r="Q28" s="272" t="e">
        <f t="shared" ref="Q28:R28" si="73">(Q27-P27)/Q27</f>
        <v>#DIV/0!</v>
      </c>
      <c r="R28" s="272" t="e">
        <f t="shared" si="73"/>
        <v>#DIV/0!</v>
      </c>
      <c r="S28" s="128" t="e">
        <f t="shared" ref="S28:T28" si="74">(S27-R27)/R27</f>
        <v>#DIV/0!</v>
      </c>
      <c r="T28" s="128">
        <f t="shared" si="74"/>
        <v>1.3782426778242678</v>
      </c>
      <c r="U28" s="10"/>
      <c r="V28" s="10"/>
      <c r="W28" s="131"/>
      <c r="X28" s="132"/>
      <c r="Y28" s="132"/>
      <c r="Z28" s="132"/>
      <c r="AA28" s="132"/>
      <c r="AB28" s="132"/>
      <c r="AC28" s="132"/>
      <c r="AD28" s="132"/>
      <c r="AE28" s="132"/>
      <c r="AF28" s="132"/>
      <c r="AG28" s="102"/>
      <c r="AH28" s="115"/>
      <c r="AI28" s="131"/>
    </row>
    <row r="29" spans="2:35" s="106" customFormat="1">
      <c r="B29" s="10" t="s">
        <v>269</v>
      </c>
      <c r="C29" s="126"/>
      <c r="D29" s="126"/>
      <c r="E29" s="127"/>
      <c r="F29" s="125"/>
      <c r="G29" s="125">
        <f t="shared" si="2"/>
        <v>0</v>
      </c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82">
        <v>2801</v>
      </c>
      <c r="T29" s="182">
        <v>6515</v>
      </c>
      <c r="U29" s="101" t="e">
        <f t="shared" si="3"/>
        <v>#DIV/0!</v>
      </c>
      <c r="V29" s="21">
        <f t="shared" si="9"/>
        <v>0.12</v>
      </c>
      <c r="W29" s="131">
        <f t="shared" si="4"/>
        <v>7296.8000000000011</v>
      </c>
      <c r="X29" s="131">
        <f t="shared" ref="X29" si="75">W29*(1+$V29)</f>
        <v>8172.416000000002</v>
      </c>
      <c r="Y29" s="131">
        <f t="shared" ref="Y29" si="76">X29*(1+$V29)</f>
        <v>9153.1059200000036</v>
      </c>
      <c r="Z29" s="131">
        <f t="shared" ref="Z29" si="77">Y29*(1+$V29)</f>
        <v>10251.478630400004</v>
      </c>
      <c r="AA29" s="131">
        <f t="shared" ref="AA29" si="78">Z29*(1+$V29)</f>
        <v>11481.656066048006</v>
      </c>
      <c r="AB29" s="131">
        <f t="shared" ref="AB29" si="79">AA29*(1+$V29)</f>
        <v>12859.454793973768</v>
      </c>
      <c r="AC29" s="131">
        <f t="shared" ref="AC29" si="80">AB29*(1+$V29)</f>
        <v>14402.589369250622</v>
      </c>
      <c r="AD29" s="131">
        <f t="shared" ref="AD29" si="81">AC29*(1+$V29)</f>
        <v>16130.900093560698</v>
      </c>
      <c r="AE29" s="131">
        <f t="shared" ref="AE29" si="82">AD29*(1+$V29)</f>
        <v>18066.608104787985</v>
      </c>
      <c r="AF29" s="131">
        <f t="shared" ref="AF29" si="83">AE29*(1+$V29)</f>
        <v>20234.601077362546</v>
      </c>
      <c r="AG29" s="116" t="e">
        <f t="shared" ref="AG29" si="84">((AF29/J29)^(1/($AF$3-$K$1) ))-1</f>
        <v>#DIV/0!</v>
      </c>
      <c r="AH29" s="21">
        <f t="shared" si="19"/>
        <v>0.05</v>
      </c>
      <c r="AI29" s="124">
        <f t="shared" ref="AI29" si="85">(AF29*(1+AH29))/($C$1-AH29)</f>
        <v>124978.41841900397</v>
      </c>
    </row>
    <row r="30" spans="2:35" s="106" customFormat="1">
      <c r="B30" s="13"/>
      <c r="C30" s="126"/>
      <c r="D30" s="126"/>
      <c r="E30" s="127"/>
      <c r="F30" s="272"/>
      <c r="G30" s="128" t="e">
        <f>(G29-F29)/G29</f>
        <v>#DIV/0!</v>
      </c>
      <c r="H30" s="272" t="e">
        <f t="shared" ref="H30:P30" si="86">(H29-G29)/H29</f>
        <v>#DIV/0!</v>
      </c>
      <c r="I30" s="272" t="e">
        <f t="shared" si="86"/>
        <v>#DIV/0!</v>
      </c>
      <c r="J30" s="272" t="e">
        <f t="shared" si="86"/>
        <v>#DIV/0!</v>
      </c>
      <c r="K30" s="272" t="e">
        <f t="shared" si="86"/>
        <v>#DIV/0!</v>
      </c>
      <c r="L30" s="272" t="e">
        <f t="shared" si="86"/>
        <v>#DIV/0!</v>
      </c>
      <c r="M30" s="272" t="e">
        <f t="shared" si="86"/>
        <v>#DIV/0!</v>
      </c>
      <c r="N30" s="272" t="e">
        <f t="shared" si="86"/>
        <v>#DIV/0!</v>
      </c>
      <c r="O30" s="272" t="e">
        <f t="shared" si="86"/>
        <v>#DIV/0!</v>
      </c>
      <c r="P30" s="272" t="e">
        <f t="shared" si="86"/>
        <v>#DIV/0!</v>
      </c>
      <c r="Q30" s="272" t="e">
        <f t="shared" ref="Q30:R30" si="87">(Q29-P29)/Q29</f>
        <v>#DIV/0!</v>
      </c>
      <c r="R30" s="272" t="e">
        <f t="shared" si="87"/>
        <v>#DIV/0!</v>
      </c>
      <c r="S30" s="128" t="e">
        <f t="shared" ref="S30:T30" si="88">(S29-R29)/R29</f>
        <v>#DIV/0!</v>
      </c>
      <c r="T30" s="128">
        <f t="shared" si="88"/>
        <v>1.3259550160656908</v>
      </c>
      <c r="U30" s="10"/>
      <c r="V30" s="10"/>
      <c r="W30" s="131"/>
      <c r="X30" s="132"/>
      <c r="Y30" s="132"/>
      <c r="Z30" s="132"/>
      <c r="AA30" s="132"/>
      <c r="AB30" s="132"/>
      <c r="AC30" s="132"/>
      <c r="AD30" s="132"/>
      <c r="AE30" s="132"/>
      <c r="AF30" s="132"/>
      <c r="AG30" s="139"/>
      <c r="AH30" s="115"/>
      <c r="AI30" s="131"/>
    </row>
    <row r="31" spans="2:35">
      <c r="B31" s="10" t="s">
        <v>277</v>
      </c>
      <c r="C31" s="119"/>
      <c r="D31" s="119"/>
      <c r="E31" s="125"/>
      <c r="F31" s="125"/>
      <c r="G31" s="125">
        <f t="shared" si="2"/>
        <v>0</v>
      </c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01" t="e">
        <f t="shared" si="3"/>
        <v>#DIV/0!</v>
      </c>
      <c r="V31" s="21">
        <f t="shared" si="9"/>
        <v>0.12</v>
      </c>
      <c r="W31" s="131">
        <f t="shared" si="4"/>
        <v>0</v>
      </c>
      <c r="X31" s="131">
        <f>W31*(1+$V31)</f>
        <v>0</v>
      </c>
      <c r="Y31" s="131">
        <f t="shared" ref="Y31:AF32" si="89">X31*(1+$V31)</f>
        <v>0</v>
      </c>
      <c r="Z31" s="131">
        <f t="shared" si="89"/>
        <v>0</v>
      </c>
      <c r="AA31" s="131">
        <f t="shared" si="89"/>
        <v>0</v>
      </c>
      <c r="AB31" s="131">
        <f t="shared" si="89"/>
        <v>0</v>
      </c>
      <c r="AC31" s="131">
        <f t="shared" si="89"/>
        <v>0</v>
      </c>
      <c r="AD31" s="131">
        <f t="shared" si="89"/>
        <v>0</v>
      </c>
      <c r="AE31" s="131">
        <f t="shared" si="89"/>
        <v>0</v>
      </c>
      <c r="AF31" s="131">
        <f t="shared" si="89"/>
        <v>0</v>
      </c>
      <c r="AG31" s="116" t="e">
        <f t="shared" ref="AG31" si="90">((AF31/J31)^(1/($AF$3-$K$1) ))-1</f>
        <v>#DIV/0!</v>
      </c>
      <c r="AH31" s="21">
        <f t="shared" si="19"/>
        <v>0.05</v>
      </c>
      <c r="AI31" s="124">
        <f t="shared" si="1"/>
        <v>0</v>
      </c>
    </row>
    <row r="32" spans="2:35">
      <c r="B32" s="10" t="s">
        <v>276</v>
      </c>
      <c r="C32" s="119"/>
      <c r="D32" s="119"/>
      <c r="E32" s="125"/>
      <c r="F32" s="125"/>
      <c r="G32" s="125">
        <f t="shared" si="2"/>
        <v>0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01" t="e">
        <f t="shared" si="3"/>
        <v>#DIV/0!</v>
      </c>
      <c r="V32" s="21">
        <f t="shared" si="9"/>
        <v>0.12</v>
      </c>
      <c r="W32" s="131">
        <f t="shared" si="4"/>
        <v>0</v>
      </c>
      <c r="X32" s="131">
        <f>W32*(1+$V32)</f>
        <v>0</v>
      </c>
      <c r="Y32" s="131">
        <f t="shared" si="89"/>
        <v>0</v>
      </c>
      <c r="Z32" s="131">
        <f t="shared" si="89"/>
        <v>0</v>
      </c>
      <c r="AA32" s="131">
        <f t="shared" si="89"/>
        <v>0</v>
      </c>
      <c r="AB32" s="131">
        <f t="shared" si="89"/>
        <v>0</v>
      </c>
      <c r="AC32" s="131">
        <f t="shared" si="89"/>
        <v>0</v>
      </c>
      <c r="AD32" s="131">
        <f t="shared" si="89"/>
        <v>0</v>
      </c>
      <c r="AE32" s="131">
        <f t="shared" si="89"/>
        <v>0</v>
      </c>
      <c r="AF32" s="131">
        <f t="shared" si="89"/>
        <v>0</v>
      </c>
      <c r="AG32" s="116" t="e">
        <f t="shared" ref="AG32" si="91">((AF32/J32)^(1/($AF$3-$K$1) ))-1</f>
        <v>#DIV/0!</v>
      </c>
      <c r="AH32" s="21">
        <f t="shared" si="19"/>
        <v>0.05</v>
      </c>
      <c r="AI32" s="124">
        <f t="shared" si="1"/>
        <v>0</v>
      </c>
    </row>
    <row r="33" spans="1:35">
      <c r="B33" s="10" t="s">
        <v>494</v>
      </c>
      <c r="C33" s="119"/>
      <c r="D33" s="119"/>
      <c r="E33" s="125"/>
      <c r="F33" s="125"/>
      <c r="G33" s="125">
        <f t="shared" si="2"/>
        <v>1</v>
      </c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>
        <v>1</v>
      </c>
      <c r="S33" s="182">
        <v>486</v>
      </c>
      <c r="T33" s="182">
        <v>1302</v>
      </c>
      <c r="U33" s="101">
        <f t="shared" si="3"/>
        <v>0.7361428668832819</v>
      </c>
      <c r="V33" s="21">
        <f t="shared" si="9"/>
        <v>0.12</v>
      </c>
      <c r="W33" s="131">
        <f t="shared" si="4"/>
        <v>1458.2400000000002</v>
      </c>
      <c r="X33" s="131">
        <f t="shared" si="40"/>
        <v>1633.2288000000003</v>
      </c>
      <c r="Y33" s="131">
        <f t="shared" si="41"/>
        <v>1829.2162560000006</v>
      </c>
      <c r="Z33" s="131">
        <f t="shared" si="42"/>
        <v>2048.7222067200009</v>
      </c>
      <c r="AA33" s="131">
        <f t="shared" si="43"/>
        <v>2294.5688715264014</v>
      </c>
      <c r="AB33" s="131">
        <f t="shared" si="44"/>
        <v>2569.9171361095696</v>
      </c>
      <c r="AC33" s="131">
        <f t="shared" si="45"/>
        <v>2878.3071924427181</v>
      </c>
      <c r="AD33" s="131">
        <f t="shared" si="46"/>
        <v>3223.7040555358444</v>
      </c>
      <c r="AE33" s="131">
        <f t="shared" si="47"/>
        <v>3610.5485422001461</v>
      </c>
      <c r="AF33" s="131">
        <f t="shared" si="48"/>
        <v>4043.814367264164</v>
      </c>
      <c r="AG33" s="116" t="e">
        <f t="shared" si="21"/>
        <v>#DIV/0!</v>
      </c>
      <c r="AH33" s="21">
        <f t="shared" si="19"/>
        <v>0.05</v>
      </c>
      <c r="AI33" s="124">
        <f t="shared" si="1"/>
        <v>24976.500503690429</v>
      </c>
    </row>
    <row r="34" spans="1:35">
      <c r="B34" s="10" t="s">
        <v>495</v>
      </c>
      <c r="C34" s="119"/>
      <c r="D34" s="119"/>
      <c r="E34" s="125"/>
      <c r="F34" s="125"/>
      <c r="G34" s="125">
        <f t="shared" si="2"/>
        <v>1</v>
      </c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>
        <v>1</v>
      </c>
      <c r="S34" s="125">
        <v>256</v>
      </c>
      <c r="T34" s="125">
        <v>573</v>
      </c>
      <c r="U34" s="101">
        <f t="shared" si="3"/>
        <v>0.62991794085311392</v>
      </c>
      <c r="V34" s="21">
        <f t="shared" si="9"/>
        <v>0.12</v>
      </c>
      <c r="W34" s="131">
        <f t="shared" si="4"/>
        <v>641.7600000000001</v>
      </c>
      <c r="X34" s="131">
        <f t="shared" si="40"/>
        <v>718.77120000000014</v>
      </c>
      <c r="Y34" s="131">
        <f t="shared" si="41"/>
        <v>805.02374400000019</v>
      </c>
      <c r="Z34" s="131">
        <f t="shared" si="42"/>
        <v>901.62659328000029</v>
      </c>
      <c r="AA34" s="131">
        <f t="shared" si="43"/>
        <v>1009.8217844736005</v>
      </c>
      <c r="AB34" s="131">
        <f t="shared" si="44"/>
        <v>1131.0003986104327</v>
      </c>
      <c r="AC34" s="131">
        <f t="shared" si="45"/>
        <v>1266.7204464436848</v>
      </c>
      <c r="AD34" s="131">
        <f t="shared" si="46"/>
        <v>1418.7269000169269</v>
      </c>
      <c r="AE34" s="131">
        <f t="shared" si="47"/>
        <v>1588.9741280189583</v>
      </c>
      <c r="AF34" s="131">
        <f t="shared" si="48"/>
        <v>1779.6510233812335</v>
      </c>
      <c r="AG34" s="116" t="e">
        <f t="shared" si="21"/>
        <v>#DIV/0!</v>
      </c>
      <c r="AH34" s="21">
        <f t="shared" si="19"/>
        <v>0.05</v>
      </c>
      <c r="AI34" s="124">
        <f t="shared" si="1"/>
        <v>10991.962203237032</v>
      </c>
    </row>
    <row r="35" spans="1:35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0"/>
      <c r="V35" s="125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17"/>
      <c r="AH35" s="115"/>
      <c r="AI35" s="131"/>
    </row>
    <row r="36" spans="1:35">
      <c r="A36" s="311" t="s">
        <v>408</v>
      </c>
      <c r="B36" s="179" t="s">
        <v>402</v>
      </c>
      <c r="C36" s="119"/>
      <c r="D36" s="119"/>
      <c r="E36" s="125"/>
      <c r="F36" s="182"/>
      <c r="G36" s="125">
        <f t="shared" si="2"/>
        <v>1</v>
      </c>
      <c r="H36" s="182">
        <f t="shared" ref="H36:I36" si="92">I36</f>
        <v>0</v>
      </c>
      <c r="I36" s="182">
        <f t="shared" si="92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1</v>
      </c>
      <c r="S36" s="182">
        <v>8219</v>
      </c>
      <c r="T36" s="182">
        <v>40208</v>
      </c>
      <c r="U36" s="101">
        <f t="shared" si="3"/>
        <v>1.2603614006484776</v>
      </c>
      <c r="V36" s="21">
        <f t="shared" si="9"/>
        <v>0.12</v>
      </c>
      <c r="W36" s="131">
        <f t="shared" ref="W36:W49" si="93">T36*(1+$V36)</f>
        <v>45032.960000000006</v>
      </c>
      <c r="X36" s="131">
        <f t="shared" ref="X36:X49" si="94">W36*(1+$V36)</f>
        <v>50436.91520000001</v>
      </c>
      <c r="Y36" s="131">
        <f t="shared" ref="Y36:Y49" si="95">X36*(1+$V36)</f>
        <v>56489.345024000017</v>
      </c>
      <c r="Z36" s="131">
        <f t="shared" ref="Z36:Z49" si="96">Y36*(1+$V36)</f>
        <v>63268.066426880025</v>
      </c>
      <c r="AA36" s="131">
        <f t="shared" ref="AA36:AA49" si="97">Z36*(1+$V36)</f>
        <v>70860.234398105633</v>
      </c>
      <c r="AB36" s="131">
        <f t="shared" ref="AB36:AB49" si="98">AA36*(1+$V36)</f>
        <v>79363.46252587832</v>
      </c>
      <c r="AC36" s="131">
        <f t="shared" ref="AC36:AC49" si="99">AB36*(1+$V36)</f>
        <v>88887.078028983728</v>
      </c>
      <c r="AD36" s="131">
        <f t="shared" ref="AD36:AD49" si="100">AC36*(1+$V36)</f>
        <v>99553.52739246178</v>
      </c>
      <c r="AE36" s="131">
        <f t="shared" ref="AE36:AE49" si="101">AD36*(1+$V36)</f>
        <v>111499.95067955721</v>
      </c>
      <c r="AF36" s="131">
        <f t="shared" ref="AF36:AF49" si="102">AE36*(1+$V36)</f>
        <v>124879.94476110408</v>
      </c>
      <c r="AG36" s="116" t="e">
        <f t="shared" ref="AG36:AG49" si="103">((AF36/J36)^(1/($AF$3-$K$1) ))-1</f>
        <v>#DIV/0!</v>
      </c>
      <c r="AH36" s="21">
        <f t="shared" si="19"/>
        <v>0.05</v>
      </c>
      <c r="AI36" s="124">
        <f t="shared" ref="AI36:AI49" si="104">(AF36*(1+AH36))/($C$1-AH36)</f>
        <v>771317.30587740766</v>
      </c>
    </row>
    <row r="37" spans="1:35">
      <c r="A37" s="311"/>
      <c r="B37" s="179"/>
      <c r="C37" s="119"/>
      <c r="D37" s="119"/>
      <c r="E37" s="125"/>
      <c r="F37" s="128"/>
      <c r="G37" s="128">
        <f>(G36-F36)/G36</f>
        <v>1</v>
      </c>
      <c r="H37" s="128" t="e">
        <f t="shared" ref="H37" si="105">(H36-F36)/F36</f>
        <v>#DIV/0!</v>
      </c>
      <c r="I37" s="128" t="e">
        <f t="shared" ref="I37" si="106">(I36-H36)/H36</f>
        <v>#DIV/0!</v>
      </c>
      <c r="J37" s="128" t="e">
        <f t="shared" ref="J37" si="107">(J36-I36)/I36</f>
        <v>#DIV/0!</v>
      </c>
      <c r="K37" s="128" t="e">
        <f t="shared" ref="K37" si="108">(K36-J36)/J36</f>
        <v>#DIV/0!</v>
      </c>
      <c r="L37" s="128" t="e">
        <f t="shared" ref="L37" si="109">(L36-K36)/K36</f>
        <v>#DIV/0!</v>
      </c>
      <c r="M37" s="128" t="e">
        <f t="shared" ref="M37" si="110">(M36-L36)/L36</f>
        <v>#DIV/0!</v>
      </c>
      <c r="N37" s="128" t="e">
        <f t="shared" ref="N37" si="111">(N36-M36)/M36</f>
        <v>#DIV/0!</v>
      </c>
      <c r="O37" s="128" t="e">
        <f t="shared" ref="O37" si="112">(O36-N36)/N36</f>
        <v>#DIV/0!</v>
      </c>
      <c r="P37" s="128" t="e">
        <f t="shared" ref="P37" si="113">(P36-O36)/O36</f>
        <v>#DIV/0!</v>
      </c>
      <c r="Q37" s="128" t="e">
        <f t="shared" ref="Q37" si="114">(Q36-P36)/P36</f>
        <v>#DIV/0!</v>
      </c>
      <c r="R37" s="128" t="e">
        <f t="shared" ref="R37" si="115">(R36-Q36)/Q36</f>
        <v>#DIV/0!</v>
      </c>
      <c r="S37" s="128">
        <f t="shared" ref="S37" si="116">(S36-R36)/R36</f>
        <v>8218</v>
      </c>
      <c r="T37" s="128">
        <f t="shared" ref="T37" si="117">(T36-S36)/S36</f>
        <v>3.8920793283854485</v>
      </c>
      <c r="U37" s="10"/>
      <c r="V37" s="10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24"/>
    </row>
    <row r="38" spans="1:35">
      <c r="A38" s="311"/>
      <c r="B38" s="179" t="s">
        <v>403</v>
      </c>
      <c r="C38" s="119"/>
      <c r="D38" s="119"/>
      <c r="E38" s="125"/>
      <c r="F38" s="182"/>
      <c r="G38" s="125">
        <f t="shared" si="2"/>
        <v>1</v>
      </c>
      <c r="H38" s="182">
        <f t="shared" ref="H38:I38" si="118">I38</f>
        <v>0</v>
      </c>
      <c r="I38" s="182">
        <f t="shared" si="118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1</v>
      </c>
      <c r="S38" s="182">
        <v>47913</v>
      </c>
      <c r="T38" s="182">
        <v>50262</v>
      </c>
      <c r="U38" s="101">
        <f t="shared" si="3"/>
        <v>1.2995021932659019</v>
      </c>
      <c r="V38" s="21">
        <f t="shared" si="9"/>
        <v>0.12</v>
      </c>
      <c r="W38" s="131">
        <f t="shared" si="93"/>
        <v>56293.440000000002</v>
      </c>
      <c r="X38" s="131">
        <f t="shared" si="94"/>
        <v>63048.652800000011</v>
      </c>
      <c r="Y38" s="131">
        <f t="shared" si="95"/>
        <v>70614.491136000026</v>
      </c>
      <c r="Z38" s="131">
        <f t="shared" si="96"/>
        <v>79088.230072320031</v>
      </c>
      <c r="AA38" s="131">
        <f t="shared" si="97"/>
        <v>88578.817680998443</v>
      </c>
      <c r="AB38" s="131">
        <f t="shared" si="98"/>
        <v>99208.275802718272</v>
      </c>
      <c r="AC38" s="131">
        <f t="shared" si="99"/>
        <v>111113.26889904447</v>
      </c>
      <c r="AD38" s="131">
        <f t="shared" si="100"/>
        <v>124446.86116692983</v>
      </c>
      <c r="AE38" s="131">
        <f t="shared" si="101"/>
        <v>139380.48450696142</v>
      </c>
      <c r="AF38" s="131">
        <f t="shared" si="102"/>
        <v>156106.14264779681</v>
      </c>
      <c r="AG38" s="116" t="e">
        <f t="shared" si="103"/>
        <v>#DIV/0!</v>
      </c>
      <c r="AH38" s="21">
        <f t="shared" si="19"/>
        <v>0.05</v>
      </c>
      <c r="AI38" s="124">
        <f t="shared" si="104"/>
        <v>964184.99870698026</v>
      </c>
    </row>
    <row r="39" spans="1:35">
      <c r="A39" s="311"/>
      <c r="B39" s="179"/>
      <c r="C39" s="119"/>
      <c r="D39" s="119"/>
      <c r="E39" s="125"/>
      <c r="F39" s="128"/>
      <c r="G39" s="128">
        <f>(G38-F38)/G38</f>
        <v>1</v>
      </c>
      <c r="H39" s="128" t="e">
        <f t="shared" ref="H39" si="119">(H38-F38)/F38</f>
        <v>#DIV/0!</v>
      </c>
      <c r="I39" s="128" t="e">
        <f t="shared" ref="I39" si="120">(I38-H38)/H38</f>
        <v>#DIV/0!</v>
      </c>
      <c r="J39" s="128" t="e">
        <f t="shared" ref="J39" si="121">(J38-I38)/I38</f>
        <v>#DIV/0!</v>
      </c>
      <c r="K39" s="128" t="e">
        <f t="shared" ref="K39" si="122">(K38-J38)/J38</f>
        <v>#DIV/0!</v>
      </c>
      <c r="L39" s="128" t="e">
        <f t="shared" ref="L39" si="123">(L38-K38)/K38</f>
        <v>#DIV/0!</v>
      </c>
      <c r="M39" s="128" t="e">
        <f t="shared" ref="M39" si="124">(M38-L38)/L38</f>
        <v>#DIV/0!</v>
      </c>
      <c r="N39" s="128" t="e">
        <f t="shared" ref="N39" si="125">(N38-M38)/M38</f>
        <v>#DIV/0!</v>
      </c>
      <c r="O39" s="128" t="e">
        <f t="shared" ref="O39" si="126">(O38-N38)/N38</f>
        <v>#DIV/0!</v>
      </c>
      <c r="P39" s="128" t="e">
        <f t="shared" ref="P39" si="127">(P38-O38)/O38</f>
        <v>#DIV/0!</v>
      </c>
      <c r="Q39" s="128" t="e">
        <f t="shared" ref="Q39" si="128">(Q38-P38)/P38</f>
        <v>#DIV/0!</v>
      </c>
      <c r="R39" s="128" t="e">
        <f t="shared" ref="R39" si="129">(R38-Q38)/Q38</f>
        <v>#DIV/0!</v>
      </c>
      <c r="S39" s="128">
        <f t="shared" ref="S39" si="130">(S38-R38)/R38</f>
        <v>47912</v>
      </c>
      <c r="T39" s="128">
        <f t="shared" ref="T39" si="131">(T38-S38)/S38</f>
        <v>4.9026360278003882E-2</v>
      </c>
      <c r="U39" s="10"/>
      <c r="V39" s="10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24"/>
    </row>
    <row r="40" spans="1:35">
      <c r="A40" s="311"/>
      <c r="B40" s="179" t="s">
        <v>407</v>
      </c>
      <c r="C40" s="119"/>
      <c r="D40" s="119"/>
      <c r="E40" s="125"/>
      <c r="F40" s="182"/>
      <c r="G40" s="125">
        <f t="shared" si="2"/>
        <v>1</v>
      </c>
      <c r="H40" s="182">
        <f t="shared" ref="H40:I40" si="132">I40</f>
        <v>0</v>
      </c>
      <c r="I40" s="182">
        <f t="shared" si="132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1</v>
      </c>
      <c r="S40" s="182">
        <v>4204</v>
      </c>
      <c r="T40" s="182">
        <v>7011</v>
      </c>
      <c r="U40" s="101">
        <f t="shared" si="3"/>
        <v>0.97619241582769845</v>
      </c>
      <c r="V40" s="21">
        <f t="shared" si="9"/>
        <v>0.12</v>
      </c>
      <c r="W40" s="131">
        <f t="shared" si="93"/>
        <v>7852.3200000000006</v>
      </c>
      <c r="X40" s="131">
        <f t="shared" si="94"/>
        <v>8794.5984000000008</v>
      </c>
      <c r="Y40" s="131">
        <f t="shared" si="95"/>
        <v>9849.950208000002</v>
      </c>
      <c r="Z40" s="131">
        <f t="shared" si="96"/>
        <v>11031.944232960002</v>
      </c>
      <c r="AA40" s="131">
        <f t="shared" si="97"/>
        <v>12355.777540915204</v>
      </c>
      <c r="AB40" s="131">
        <f t="shared" si="98"/>
        <v>13838.47084582503</v>
      </c>
      <c r="AC40" s="131">
        <f t="shared" si="99"/>
        <v>15499.087347324035</v>
      </c>
      <c r="AD40" s="131">
        <f t="shared" si="100"/>
        <v>17358.977829002921</v>
      </c>
      <c r="AE40" s="131">
        <f t="shared" si="101"/>
        <v>19442.055168483272</v>
      </c>
      <c r="AF40" s="131">
        <f t="shared" si="102"/>
        <v>21775.101788701268</v>
      </c>
      <c r="AG40" s="116" t="e">
        <f t="shared" si="103"/>
        <v>#DIV/0!</v>
      </c>
      <c r="AH40" s="21">
        <f t="shared" si="19"/>
        <v>0.05</v>
      </c>
      <c r="AI40" s="124">
        <f t="shared" si="104"/>
        <v>134493.27575374313</v>
      </c>
    </row>
    <row r="41" spans="1:35">
      <c r="A41" s="311"/>
      <c r="B41" s="179" t="s">
        <v>404</v>
      </c>
      <c r="C41" s="119"/>
      <c r="D41" s="119"/>
      <c r="E41" s="125"/>
      <c r="F41" s="182"/>
      <c r="G41" s="125">
        <f t="shared" si="2"/>
        <v>1</v>
      </c>
      <c r="H41" s="182">
        <f t="shared" ref="H41:I41" si="133">I41</f>
        <v>0</v>
      </c>
      <c r="I41" s="182">
        <f t="shared" si="133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1</v>
      </c>
      <c r="S41" s="182">
        <v>1900</v>
      </c>
      <c r="T41" s="182">
        <v>3036</v>
      </c>
      <c r="U41" s="101">
        <f t="shared" si="3"/>
        <v>0.85297417557087085</v>
      </c>
      <c r="V41" s="21">
        <f t="shared" si="9"/>
        <v>0.12</v>
      </c>
      <c r="W41" s="131">
        <f t="shared" si="93"/>
        <v>3400.32</v>
      </c>
      <c r="X41" s="131">
        <f t="shared" si="94"/>
        <v>3808.3584000000005</v>
      </c>
      <c r="Y41" s="131">
        <f t="shared" si="95"/>
        <v>4265.3614080000007</v>
      </c>
      <c r="Z41" s="131">
        <f t="shared" si="96"/>
        <v>4777.2047769600013</v>
      </c>
      <c r="AA41" s="131">
        <f t="shared" si="97"/>
        <v>5350.4693501952015</v>
      </c>
      <c r="AB41" s="131">
        <f t="shared" si="98"/>
        <v>5992.5256722186259</v>
      </c>
      <c r="AC41" s="131">
        <f t="shared" si="99"/>
        <v>6711.6287528848616</v>
      </c>
      <c r="AD41" s="131">
        <f t="shared" si="100"/>
        <v>7517.0242032310452</v>
      </c>
      <c r="AE41" s="131">
        <f t="shared" si="101"/>
        <v>8419.0671076187718</v>
      </c>
      <c r="AF41" s="131">
        <f t="shared" si="102"/>
        <v>9429.3551605330249</v>
      </c>
      <c r="AG41" s="116" t="e">
        <f t="shared" si="103"/>
        <v>#DIV/0!</v>
      </c>
      <c r="AH41" s="21">
        <f t="shared" si="19"/>
        <v>0.05</v>
      </c>
      <c r="AI41" s="124">
        <f t="shared" si="104"/>
        <v>58240.134815056932</v>
      </c>
    </row>
    <row r="42" spans="1:35">
      <c r="A42" s="311"/>
      <c r="B42" s="179" t="s">
        <v>406</v>
      </c>
      <c r="C42" s="119"/>
      <c r="D42" s="119"/>
      <c r="E42" s="125"/>
      <c r="F42" s="182"/>
      <c r="G42" s="125">
        <f t="shared" si="2"/>
        <v>1</v>
      </c>
      <c r="H42" s="182">
        <f t="shared" ref="H42:I42" si="134">I42</f>
        <v>0</v>
      </c>
      <c r="I42" s="182">
        <f t="shared" si="134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1</v>
      </c>
      <c r="S42" s="182">
        <v>1003</v>
      </c>
      <c r="T42" s="182">
        <v>2065</v>
      </c>
      <c r="U42" s="101">
        <f t="shared" si="3"/>
        <v>0.79884544359030296</v>
      </c>
      <c r="V42" s="21">
        <f t="shared" si="9"/>
        <v>0.12</v>
      </c>
      <c r="W42" s="131">
        <f t="shared" si="93"/>
        <v>2312.8000000000002</v>
      </c>
      <c r="X42" s="131">
        <f t="shared" si="94"/>
        <v>2590.3360000000002</v>
      </c>
      <c r="Y42" s="131">
        <f t="shared" si="95"/>
        <v>2901.1763200000005</v>
      </c>
      <c r="Z42" s="131">
        <f t="shared" si="96"/>
        <v>3249.3174784000007</v>
      </c>
      <c r="AA42" s="131">
        <f t="shared" si="97"/>
        <v>3639.2355758080012</v>
      </c>
      <c r="AB42" s="131">
        <f t="shared" si="98"/>
        <v>4075.9438449049617</v>
      </c>
      <c r="AC42" s="131">
        <f t="shared" si="99"/>
        <v>4565.0571062935578</v>
      </c>
      <c r="AD42" s="131">
        <f t="shared" si="100"/>
        <v>5112.8639590487855</v>
      </c>
      <c r="AE42" s="131">
        <f t="shared" si="101"/>
        <v>5726.4076341346399</v>
      </c>
      <c r="AF42" s="131">
        <f t="shared" si="102"/>
        <v>6413.5765502307977</v>
      </c>
      <c r="AG42" s="116" t="e">
        <f t="shared" si="103"/>
        <v>#DIV/0!</v>
      </c>
      <c r="AH42" s="21">
        <f t="shared" si="19"/>
        <v>0.05</v>
      </c>
      <c r="AI42" s="124">
        <f t="shared" si="104"/>
        <v>39613.266927896111</v>
      </c>
    </row>
    <row r="43" spans="1:35">
      <c r="A43" s="311"/>
      <c r="B43" s="179" t="s">
        <v>405</v>
      </c>
      <c r="C43" s="119"/>
      <c r="D43" s="119"/>
      <c r="E43" s="125"/>
      <c r="F43" s="182"/>
      <c r="G43" s="125">
        <f t="shared" si="2"/>
        <v>1</v>
      </c>
      <c r="H43" s="182">
        <f t="shared" ref="H43:I43" si="135">I43</f>
        <v>0</v>
      </c>
      <c r="I43" s="182">
        <f t="shared" si="135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1</v>
      </c>
      <c r="S43" s="182">
        <v>45699</v>
      </c>
      <c r="T43" s="182">
        <v>49401</v>
      </c>
      <c r="U43" s="101">
        <f t="shared" si="3"/>
        <v>1.296447891892885</v>
      </c>
      <c r="V43" s="21">
        <f t="shared" si="9"/>
        <v>0.12</v>
      </c>
      <c r="W43" s="131">
        <f t="shared" si="93"/>
        <v>55329.120000000003</v>
      </c>
      <c r="X43" s="131">
        <f t="shared" si="94"/>
        <v>61968.614400000006</v>
      </c>
      <c r="Y43" s="131">
        <f t="shared" si="95"/>
        <v>69404.848128000012</v>
      </c>
      <c r="Z43" s="131">
        <f t="shared" si="96"/>
        <v>77733.429903360025</v>
      </c>
      <c r="AA43" s="131">
        <f t="shared" si="97"/>
        <v>87061.441491763238</v>
      </c>
      <c r="AB43" s="131">
        <f t="shared" si="98"/>
        <v>97508.814470774843</v>
      </c>
      <c r="AC43" s="131">
        <f t="shared" si="99"/>
        <v>109209.87220726784</v>
      </c>
      <c r="AD43" s="131">
        <f t="shared" si="100"/>
        <v>122315.05687213999</v>
      </c>
      <c r="AE43" s="131">
        <f t="shared" si="101"/>
        <v>136992.86369679679</v>
      </c>
      <c r="AF43" s="131">
        <f t="shared" si="102"/>
        <v>153432.00734041241</v>
      </c>
      <c r="AG43" s="116" t="e">
        <f t="shared" si="103"/>
        <v>#DIV/0!</v>
      </c>
      <c r="AH43" s="21">
        <f t="shared" si="19"/>
        <v>0.05</v>
      </c>
      <c r="AI43" s="124">
        <f t="shared" si="104"/>
        <v>947668.28063195921</v>
      </c>
    </row>
    <row r="44" spans="1:35">
      <c r="A44" s="311"/>
      <c r="B44" s="179"/>
      <c r="C44" s="119"/>
      <c r="D44" s="119"/>
      <c r="E44" s="125"/>
      <c r="F44" s="128"/>
      <c r="G44" s="128">
        <f>(G43-F43)/G43</f>
        <v>1</v>
      </c>
      <c r="H44" s="128" t="e">
        <f t="shared" ref="H44" si="136">(H43-F43)/F43</f>
        <v>#DIV/0!</v>
      </c>
      <c r="I44" s="128" t="e">
        <f t="shared" ref="I44" si="137">(I43-H43)/H43</f>
        <v>#DIV/0!</v>
      </c>
      <c r="J44" s="128" t="e">
        <f t="shared" ref="J44" si="138">(J43-I43)/I43</f>
        <v>#DIV/0!</v>
      </c>
      <c r="K44" s="128" t="e">
        <f t="shared" ref="K44" si="139">(K43-J43)/J43</f>
        <v>#DIV/0!</v>
      </c>
      <c r="L44" s="128" t="e">
        <f t="shared" ref="L44" si="140">(L43-K43)/K43</f>
        <v>#DIV/0!</v>
      </c>
      <c r="M44" s="128" t="e">
        <f t="shared" ref="M44" si="141">(M43-L43)/L43</f>
        <v>#DIV/0!</v>
      </c>
      <c r="N44" s="128" t="e">
        <f t="shared" ref="N44" si="142">(N43-M43)/M43</f>
        <v>#DIV/0!</v>
      </c>
      <c r="O44" s="128" t="e">
        <f t="shared" ref="O44" si="143">(O43-N43)/N43</f>
        <v>#DIV/0!</v>
      </c>
      <c r="P44" s="128" t="e">
        <f t="shared" ref="P44" si="144">(P43-O43)/O43</f>
        <v>#DIV/0!</v>
      </c>
      <c r="Q44" s="128" t="e">
        <f t="shared" ref="Q44" si="145">(Q43-P43)/P43</f>
        <v>#DIV/0!</v>
      </c>
      <c r="R44" s="128" t="e">
        <f t="shared" ref="R44" si="146">(R43-Q43)/Q43</f>
        <v>#DIV/0!</v>
      </c>
      <c r="S44" s="128">
        <f t="shared" ref="S44" si="147">(S43-R43)/R43</f>
        <v>45698</v>
      </c>
      <c r="T44" s="128">
        <f t="shared" ref="T44" si="148">(T43-S43)/S43</f>
        <v>8.1008337162738794E-2</v>
      </c>
      <c r="U44" s="10"/>
      <c r="V44" s="10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24"/>
    </row>
    <row r="45" spans="1:35">
      <c r="A45" s="311"/>
      <c r="B45" s="179" t="s">
        <v>191</v>
      </c>
      <c r="C45" s="119"/>
      <c r="D45" s="119"/>
      <c r="E45" s="125"/>
      <c r="F45" s="182"/>
      <c r="G45" s="125">
        <f t="shared" si="2"/>
        <v>1</v>
      </c>
      <c r="H45" s="182">
        <f t="shared" ref="H45:I45" si="149">I45</f>
        <v>0</v>
      </c>
      <c r="I45" s="182">
        <f t="shared" si="149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1</v>
      </c>
      <c r="S45" s="182">
        <v>20091</v>
      </c>
      <c r="T45" s="182">
        <v>50471</v>
      </c>
      <c r="U45" s="101">
        <f t="shared" si="3"/>
        <v>1.3002363096683704</v>
      </c>
      <c r="V45" s="21">
        <f t="shared" si="9"/>
        <v>0.12</v>
      </c>
      <c r="W45" s="131">
        <f t="shared" si="93"/>
        <v>56527.520000000004</v>
      </c>
      <c r="X45" s="131">
        <f t="shared" si="94"/>
        <v>63310.822400000012</v>
      </c>
      <c r="Y45" s="131">
        <f t="shared" si="95"/>
        <v>70908.121088000014</v>
      </c>
      <c r="Z45" s="131">
        <f t="shared" si="96"/>
        <v>79417.095618560023</v>
      </c>
      <c r="AA45" s="131">
        <f t="shared" si="97"/>
        <v>88947.147092787229</v>
      </c>
      <c r="AB45" s="131">
        <f t="shared" si="98"/>
        <v>99620.804743921704</v>
      </c>
      <c r="AC45" s="131">
        <f t="shared" si="99"/>
        <v>111575.30131319232</v>
      </c>
      <c r="AD45" s="131">
        <f t="shared" si="100"/>
        <v>124964.33747077541</v>
      </c>
      <c r="AE45" s="131">
        <f t="shared" si="101"/>
        <v>139960.05796726848</v>
      </c>
      <c r="AF45" s="131">
        <f t="shared" si="102"/>
        <v>156755.26492334073</v>
      </c>
      <c r="AG45" s="116" t="e">
        <f t="shared" si="103"/>
        <v>#DIV/0!</v>
      </c>
      <c r="AH45" s="21">
        <f t="shared" si="19"/>
        <v>0.05</v>
      </c>
      <c r="AI45" s="124">
        <f t="shared" si="104"/>
        <v>968194.28335004579</v>
      </c>
    </row>
    <row r="46" spans="1:35">
      <c r="A46" s="180"/>
      <c r="B46" s="179"/>
      <c r="C46" s="119"/>
      <c r="D46" s="119"/>
      <c r="E46" s="125"/>
      <c r="F46" s="128"/>
      <c r="G46" s="128">
        <f>(G45-F45)/G45</f>
        <v>1</v>
      </c>
      <c r="H46" s="128" t="e">
        <f t="shared" ref="H46" si="150">(H45-F45)/F45</f>
        <v>#DIV/0!</v>
      </c>
      <c r="I46" s="128" t="e">
        <f t="shared" ref="I46" si="151">(I45-H45)/H45</f>
        <v>#DIV/0!</v>
      </c>
      <c r="J46" s="128" t="e">
        <f t="shared" ref="J46" si="152">(J45-I45)/I45</f>
        <v>#DIV/0!</v>
      </c>
      <c r="K46" s="128" t="e">
        <f t="shared" ref="K46" si="153">(K45-J45)/J45</f>
        <v>#DIV/0!</v>
      </c>
      <c r="L46" s="128" t="e">
        <f t="shared" ref="L46" si="154">(L45-K45)/K45</f>
        <v>#DIV/0!</v>
      </c>
      <c r="M46" s="128" t="e">
        <f t="shared" ref="M46" si="155">(M45-L45)/L45</f>
        <v>#DIV/0!</v>
      </c>
      <c r="N46" s="128" t="e">
        <f t="shared" ref="N46" si="156">(N45-M45)/M45</f>
        <v>#DIV/0!</v>
      </c>
      <c r="O46" s="128" t="e">
        <f t="shared" ref="O46" si="157">(O45-N45)/N45</f>
        <v>#DIV/0!</v>
      </c>
      <c r="P46" s="128" t="e">
        <f t="shared" ref="P46" si="158">(P45-O45)/O45</f>
        <v>#DIV/0!</v>
      </c>
      <c r="Q46" s="128" t="e">
        <f t="shared" ref="Q46" si="159">(Q45-P45)/P45</f>
        <v>#DIV/0!</v>
      </c>
      <c r="R46" s="128" t="e">
        <f t="shared" ref="R46" si="160">(R45-Q45)/Q45</f>
        <v>#DIV/0!</v>
      </c>
      <c r="S46" s="128">
        <f t="shared" ref="S46" si="161">(S45-R45)/R45</f>
        <v>20090</v>
      </c>
      <c r="T46" s="128">
        <f t="shared" ref="T46" si="162">(T45-S45)/S45</f>
        <v>1.5121198546612911</v>
      </c>
      <c r="U46" s="10"/>
      <c r="V46" s="10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24"/>
    </row>
    <row r="47" spans="1:35">
      <c r="A47" s="180"/>
      <c r="B47" s="179" t="s">
        <v>418</v>
      </c>
      <c r="C47" s="119"/>
      <c r="D47" s="119"/>
      <c r="E47" s="125"/>
      <c r="F47" s="182"/>
      <c r="G47" s="125">
        <f t="shared" si="2"/>
        <v>1</v>
      </c>
      <c r="H47" s="182">
        <f t="shared" ref="H47:I47" si="163">I47</f>
        <v>0</v>
      </c>
      <c r="I47" s="182">
        <f t="shared" si="163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1</v>
      </c>
      <c r="S47" s="182">
        <v>403</v>
      </c>
      <c r="T47" s="182">
        <v>1013</v>
      </c>
      <c r="U47" s="101">
        <f t="shared" si="3"/>
        <v>0.70294541086953632</v>
      </c>
      <c r="V47" s="21">
        <f t="shared" si="9"/>
        <v>0.12</v>
      </c>
      <c r="W47" s="131">
        <f t="shared" ref="W47" si="164">T47*(1+$V47)</f>
        <v>1134.5600000000002</v>
      </c>
      <c r="X47" s="131">
        <f t="shared" ref="X47" si="165">W47*(1+$V47)</f>
        <v>1270.7072000000003</v>
      </c>
      <c r="Y47" s="131">
        <f t="shared" ref="Y47" si="166">X47*(1+$V47)</f>
        <v>1423.1920640000005</v>
      </c>
      <c r="Z47" s="131">
        <f t="shared" ref="Z47" si="167">Y47*(1+$V47)</f>
        <v>1593.9751116800007</v>
      </c>
      <c r="AA47" s="131">
        <f t="shared" ref="AA47" si="168">Z47*(1+$V47)</f>
        <v>1785.252125081601</v>
      </c>
      <c r="AB47" s="131">
        <f t="shared" ref="AB47" si="169">AA47*(1+$V47)</f>
        <v>1999.4823800913932</v>
      </c>
      <c r="AC47" s="131">
        <f t="shared" ref="AC47" si="170">AB47*(1+$V47)</f>
        <v>2239.4202657023607</v>
      </c>
      <c r="AD47" s="131">
        <f t="shared" ref="AD47" si="171">AC47*(1+$V47)</f>
        <v>2508.1506975866441</v>
      </c>
      <c r="AE47" s="131">
        <f t="shared" ref="AE47" si="172">AD47*(1+$V47)</f>
        <v>2809.1287812970418</v>
      </c>
      <c r="AF47" s="131">
        <f t="shared" ref="AF47" si="173">AE47*(1+$V47)</f>
        <v>3146.2242350526872</v>
      </c>
      <c r="AG47" s="116" t="e">
        <f t="shared" ref="AG47" si="174">((AF47/J47)^(1/($AF$3-$K$1) ))-1</f>
        <v>#DIV/0!</v>
      </c>
      <c r="AH47" s="21">
        <f t="shared" si="19"/>
        <v>0.05</v>
      </c>
      <c r="AI47" s="124">
        <f t="shared" si="104"/>
        <v>19432.561451796009</v>
      </c>
    </row>
    <row r="48" spans="1:35">
      <c r="A48" s="180"/>
      <c r="B48" s="179"/>
      <c r="C48" s="119"/>
      <c r="D48" s="119"/>
      <c r="E48" s="125"/>
      <c r="F48" s="128"/>
      <c r="G48" s="128">
        <f>(G47-F47)/G47</f>
        <v>1</v>
      </c>
      <c r="H48" s="128" t="e">
        <f t="shared" ref="H48" si="175">(H47-F47)/F47</f>
        <v>#DIV/0!</v>
      </c>
      <c r="I48" s="128" t="e">
        <f t="shared" ref="I48" si="176">(I47-H47)/H47</f>
        <v>#DIV/0!</v>
      </c>
      <c r="J48" s="128" t="e">
        <f t="shared" ref="J48" si="177">(J47-I47)/I47</f>
        <v>#DIV/0!</v>
      </c>
      <c r="K48" s="128" t="e">
        <f t="shared" ref="K48" si="178">(K47-J47)/J47</f>
        <v>#DIV/0!</v>
      </c>
      <c r="L48" s="128" t="e">
        <f t="shared" ref="L48" si="179">(L47-K47)/K47</f>
        <v>#DIV/0!</v>
      </c>
      <c r="M48" s="128" t="e">
        <f t="shared" ref="M48" si="180">(M47-L47)/L47</f>
        <v>#DIV/0!</v>
      </c>
      <c r="N48" s="128" t="e">
        <f t="shared" ref="N48" si="181">(N47-M47)/M47</f>
        <v>#DIV/0!</v>
      </c>
      <c r="O48" s="128" t="e">
        <f t="shared" ref="O48" si="182">(O47-N47)/N47</f>
        <v>#DIV/0!</v>
      </c>
      <c r="P48" s="128" t="e">
        <f t="shared" ref="P48" si="183">(P47-O47)/O47</f>
        <v>#DIV/0!</v>
      </c>
      <c r="Q48" s="128" t="e">
        <f t="shared" ref="Q48" si="184">(Q47-P47)/P47</f>
        <v>#DIV/0!</v>
      </c>
      <c r="R48" s="128" t="e">
        <f t="shared" ref="R48" si="185">(R47-Q47)/Q47</f>
        <v>#DIV/0!</v>
      </c>
      <c r="S48" s="128">
        <f t="shared" ref="S48" si="186">(S47-R47)/R47</f>
        <v>402</v>
      </c>
      <c r="T48" s="128">
        <f t="shared" ref="T48" si="187">(T47-S47)/S47</f>
        <v>1.5136476426799008</v>
      </c>
      <c r="U48" s="10"/>
      <c r="V48" s="10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24"/>
    </row>
    <row r="49" spans="1:35">
      <c r="A49" s="180"/>
      <c r="B49" s="179" t="s">
        <v>409</v>
      </c>
      <c r="C49" s="119"/>
      <c r="D49" s="119"/>
      <c r="E49" s="125"/>
      <c r="F49" s="182"/>
      <c r="G49" s="125">
        <f t="shared" si="2"/>
        <v>1</v>
      </c>
      <c r="H49" s="182">
        <f t="shared" ref="H49:I49" si="188">I49</f>
        <v>0</v>
      </c>
      <c r="I49" s="182">
        <f t="shared" si="188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1</v>
      </c>
      <c r="S49" s="182">
        <v>73969</v>
      </c>
      <c r="T49" s="182">
        <v>112159</v>
      </c>
      <c r="U49" s="101">
        <f t="shared" si="3"/>
        <v>1.4459567818101395</v>
      </c>
      <c r="V49" s="21">
        <f t="shared" si="9"/>
        <v>0.12</v>
      </c>
      <c r="W49" s="131">
        <f t="shared" si="93"/>
        <v>125618.08000000002</v>
      </c>
      <c r="X49" s="131">
        <f t="shared" si="94"/>
        <v>140692.24960000004</v>
      </c>
      <c r="Y49" s="131">
        <f t="shared" si="95"/>
        <v>157575.31955200006</v>
      </c>
      <c r="Z49" s="131">
        <f t="shared" si="96"/>
        <v>176484.35789824009</v>
      </c>
      <c r="AA49" s="131">
        <f t="shared" si="97"/>
        <v>197662.48084602892</v>
      </c>
      <c r="AB49" s="131">
        <f t="shared" si="98"/>
        <v>221381.97854755243</v>
      </c>
      <c r="AC49" s="131">
        <f t="shared" si="99"/>
        <v>247947.81597325875</v>
      </c>
      <c r="AD49" s="131">
        <f t="shared" si="100"/>
        <v>277701.55389004981</v>
      </c>
      <c r="AE49" s="131">
        <f t="shared" si="101"/>
        <v>311025.74035685579</v>
      </c>
      <c r="AF49" s="131">
        <f t="shared" si="102"/>
        <v>348348.8291996785</v>
      </c>
      <c r="AG49" s="116" t="e">
        <f t="shared" si="103"/>
        <v>#DIV/0!</v>
      </c>
      <c r="AH49" s="21">
        <f t="shared" si="19"/>
        <v>0.05</v>
      </c>
      <c r="AI49" s="124">
        <f t="shared" si="104"/>
        <v>2151566.2979980144</v>
      </c>
    </row>
    <row r="50" spans="1:35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01" t="e">
        <f t="shared" si="3"/>
        <v>#DIV/0!</v>
      </c>
      <c r="V50" s="10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17"/>
      <c r="AH50" s="115"/>
      <c r="AI50" s="131"/>
    </row>
    <row r="51" spans="1:35">
      <c r="B51" s="10" t="s">
        <v>230</v>
      </c>
      <c r="C51" s="119"/>
      <c r="D51" s="119"/>
      <c r="E51" s="125"/>
      <c r="F51" s="125"/>
      <c r="G51" s="125">
        <f t="shared" si="2"/>
        <v>1</v>
      </c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>
        <v>1</v>
      </c>
      <c r="S51" s="182">
        <v>0</v>
      </c>
      <c r="T51" s="182">
        <v>0</v>
      </c>
      <c r="U51" s="101">
        <f t="shared" si="3"/>
        <v>-1</v>
      </c>
      <c r="V51" s="21">
        <f t="shared" si="9"/>
        <v>0.12</v>
      </c>
      <c r="W51" s="131">
        <f t="shared" si="4"/>
        <v>0</v>
      </c>
      <c r="X51" s="131">
        <f t="shared" ref="X51" si="189">W51*(1+$V51)</f>
        <v>0</v>
      </c>
      <c r="Y51" s="131">
        <f t="shared" ref="Y51" si="190">X51*(1+$V51)</f>
        <v>0</v>
      </c>
      <c r="Z51" s="131">
        <f t="shared" ref="Z51" si="191">Y51*(1+$V51)</f>
        <v>0</v>
      </c>
      <c r="AA51" s="131">
        <f t="shared" si="43"/>
        <v>0</v>
      </c>
      <c r="AB51" s="131">
        <f t="shared" si="44"/>
        <v>0</v>
      </c>
      <c r="AC51" s="131">
        <f t="shared" si="45"/>
        <v>0</v>
      </c>
      <c r="AD51" s="131">
        <f t="shared" si="46"/>
        <v>0</v>
      </c>
      <c r="AE51" s="131">
        <f t="shared" si="47"/>
        <v>0</v>
      </c>
      <c r="AF51" s="131">
        <f t="shared" si="48"/>
        <v>0</v>
      </c>
      <c r="AG51" s="116" t="e">
        <f t="shared" si="21"/>
        <v>#DIV/0!</v>
      </c>
      <c r="AH51" s="21">
        <f t="shared" si="19"/>
        <v>0.05</v>
      </c>
      <c r="AI51" s="124">
        <f t="shared" si="1"/>
        <v>0</v>
      </c>
    </row>
    <row r="52" spans="1:35" s="106" customFormat="1">
      <c r="B52" s="13"/>
      <c r="C52" s="126"/>
      <c r="D52" s="126"/>
      <c r="E52" s="127"/>
      <c r="F52" s="272"/>
      <c r="G52" s="272">
        <f t="shared" ref="G52:P60" si="192">(G51-F51)/G51</f>
        <v>1</v>
      </c>
      <c r="H52" s="272" t="e">
        <f t="shared" si="192"/>
        <v>#DIV/0!</v>
      </c>
      <c r="I52" s="272" t="e">
        <f t="shared" si="192"/>
        <v>#DIV/0!</v>
      </c>
      <c r="J52" s="272" t="e">
        <f t="shared" si="192"/>
        <v>#DIV/0!</v>
      </c>
      <c r="K52" s="272" t="e">
        <f t="shared" si="192"/>
        <v>#DIV/0!</v>
      </c>
      <c r="L52" s="272" t="e">
        <f t="shared" si="192"/>
        <v>#DIV/0!</v>
      </c>
      <c r="M52" s="272" t="e">
        <f t="shared" si="192"/>
        <v>#DIV/0!</v>
      </c>
      <c r="N52" s="272" t="e">
        <f t="shared" si="192"/>
        <v>#DIV/0!</v>
      </c>
      <c r="O52" s="272" t="e">
        <f t="shared" si="192"/>
        <v>#DIV/0!</v>
      </c>
      <c r="P52" s="272" t="e">
        <f t="shared" si="192"/>
        <v>#DIV/0!</v>
      </c>
      <c r="Q52" s="272" t="e">
        <f t="shared" ref="Q52:R52" si="193">(Q51-P51)/Q51</f>
        <v>#DIV/0!</v>
      </c>
      <c r="R52" s="272">
        <f t="shared" si="193"/>
        <v>1</v>
      </c>
      <c r="S52" s="128">
        <f t="shared" ref="S52:T52" si="194">(S51-R51)/R51</f>
        <v>-1</v>
      </c>
      <c r="T52" s="128" t="e">
        <f t="shared" si="194"/>
        <v>#DIV/0!</v>
      </c>
      <c r="U52" s="10"/>
      <c r="V52" s="10"/>
      <c r="W52" s="131"/>
      <c r="X52" s="132"/>
      <c r="Y52" s="132"/>
      <c r="Z52" s="132"/>
      <c r="AA52" s="132"/>
      <c r="AB52" s="132"/>
      <c r="AC52" s="132"/>
      <c r="AD52" s="132"/>
      <c r="AE52" s="132"/>
      <c r="AF52" s="132"/>
      <c r="AG52" s="117"/>
      <c r="AH52" s="115"/>
      <c r="AI52" s="133"/>
    </row>
    <row r="53" spans="1:35" s="106" customFormat="1">
      <c r="B53" s="10" t="s">
        <v>345</v>
      </c>
      <c r="C53" s="126"/>
      <c r="D53" s="126"/>
      <c r="E53" s="127"/>
      <c r="F53" s="125"/>
      <c r="G53" s="125">
        <f t="shared" si="2"/>
        <v>0.01</v>
      </c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>
        <v>0.01</v>
      </c>
      <c r="S53" s="182">
        <v>0</v>
      </c>
      <c r="T53" s="182">
        <v>0</v>
      </c>
      <c r="U53" s="101">
        <f t="shared" si="3"/>
        <v>-1</v>
      </c>
      <c r="V53" s="21">
        <f t="shared" si="9"/>
        <v>0.12</v>
      </c>
      <c r="W53" s="131">
        <f t="shared" si="4"/>
        <v>0</v>
      </c>
      <c r="X53" s="131">
        <f t="shared" ref="X53" si="195">W53*(1+$V53)</f>
        <v>0</v>
      </c>
      <c r="Y53" s="131">
        <f t="shared" ref="Y53" si="196">X53*(1+$V53)</f>
        <v>0</v>
      </c>
      <c r="Z53" s="131">
        <f t="shared" ref="Z53" si="197">Y53*(1+$V53)</f>
        <v>0</v>
      </c>
      <c r="AA53" s="131">
        <f t="shared" ref="AA53" si="198">Z53*(1+$V53)</f>
        <v>0</v>
      </c>
      <c r="AB53" s="131">
        <f t="shared" ref="AB53" si="199">AA53*(1+$V53)</f>
        <v>0</v>
      </c>
      <c r="AC53" s="131">
        <f t="shared" ref="AC53" si="200">AB53*(1+$V53)</f>
        <v>0</v>
      </c>
      <c r="AD53" s="131">
        <f t="shared" ref="AD53" si="201">AC53*(1+$V53)</f>
        <v>0</v>
      </c>
      <c r="AE53" s="131">
        <f t="shared" ref="AE53" si="202">AD53*(1+$V53)</f>
        <v>0</v>
      </c>
      <c r="AF53" s="131">
        <f t="shared" ref="AF53" si="203">AE53*(1+$V53)</f>
        <v>0</v>
      </c>
      <c r="AG53" s="116" t="e">
        <f t="shared" ref="AG53" si="204">((AF53/J53)^(1/($AF$3-$K$1) ))-1</f>
        <v>#DIV/0!</v>
      </c>
      <c r="AH53" s="21">
        <f t="shared" si="19"/>
        <v>0.05</v>
      </c>
      <c r="AI53" s="124">
        <f t="shared" ref="AI53" si="205">(AF53*(1+AH53))/($C$1-AH53)</f>
        <v>0</v>
      </c>
    </row>
    <row r="54" spans="1:35" s="106" customFormat="1">
      <c r="B54" s="13"/>
      <c r="C54" s="126"/>
      <c r="D54" s="126"/>
      <c r="E54" s="127"/>
      <c r="F54" s="272"/>
      <c r="G54" s="272">
        <f t="shared" si="192"/>
        <v>1</v>
      </c>
      <c r="H54" s="272" t="e">
        <f t="shared" ref="H54:P54" si="206">(H53-G53)/H53</f>
        <v>#DIV/0!</v>
      </c>
      <c r="I54" s="272" t="e">
        <f t="shared" si="206"/>
        <v>#DIV/0!</v>
      </c>
      <c r="J54" s="272" t="e">
        <f t="shared" si="206"/>
        <v>#DIV/0!</v>
      </c>
      <c r="K54" s="272" t="e">
        <f t="shared" si="206"/>
        <v>#DIV/0!</v>
      </c>
      <c r="L54" s="272" t="e">
        <f t="shared" si="206"/>
        <v>#DIV/0!</v>
      </c>
      <c r="M54" s="272" t="e">
        <f t="shared" si="206"/>
        <v>#DIV/0!</v>
      </c>
      <c r="N54" s="272" t="e">
        <f t="shared" si="206"/>
        <v>#DIV/0!</v>
      </c>
      <c r="O54" s="272" t="e">
        <f t="shared" si="206"/>
        <v>#DIV/0!</v>
      </c>
      <c r="P54" s="272" t="e">
        <f t="shared" si="206"/>
        <v>#DIV/0!</v>
      </c>
      <c r="Q54" s="272" t="e">
        <f t="shared" ref="Q54:R54" si="207">(Q53-P53)/Q53</f>
        <v>#DIV/0!</v>
      </c>
      <c r="R54" s="272">
        <f t="shared" si="207"/>
        <v>1</v>
      </c>
      <c r="S54" s="128">
        <f t="shared" ref="S54:T54" si="208">(S53-R53)/R53</f>
        <v>-1</v>
      </c>
      <c r="T54" s="128" t="e">
        <f t="shared" si="208"/>
        <v>#DIV/0!</v>
      </c>
      <c r="U54" s="10"/>
      <c r="V54" s="10"/>
      <c r="W54" s="131"/>
      <c r="X54" s="132"/>
      <c r="Y54" s="132"/>
      <c r="Z54" s="132"/>
      <c r="AA54" s="132"/>
      <c r="AB54" s="132"/>
      <c r="AC54" s="132"/>
      <c r="AD54" s="132"/>
      <c r="AE54" s="132"/>
      <c r="AF54" s="132"/>
      <c r="AG54" s="117"/>
      <c r="AH54" s="115"/>
      <c r="AI54" s="133"/>
    </row>
    <row r="55" spans="1:35">
      <c r="B55" s="10" t="s">
        <v>346</v>
      </c>
      <c r="C55" s="119"/>
      <c r="D55" s="119"/>
      <c r="E55" s="125"/>
      <c r="F55" s="125"/>
      <c r="G55" s="125">
        <f t="shared" si="2"/>
        <v>-2.58</v>
      </c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>
        <v>-2.58</v>
      </c>
      <c r="S55" s="182">
        <v>466</v>
      </c>
      <c r="T55" s="182">
        <v>1019</v>
      </c>
      <c r="U55" s="101">
        <f t="shared" si="3"/>
        <v>-2.5839262628841144</v>
      </c>
      <c r="V55" s="21">
        <f t="shared" si="9"/>
        <v>0.12</v>
      </c>
      <c r="W55" s="131">
        <f t="shared" si="4"/>
        <v>1141.2800000000002</v>
      </c>
      <c r="X55" s="131">
        <f t="shared" ref="X55:AF55" si="209">W55*(1+$V55)</f>
        <v>1278.2336000000003</v>
      </c>
      <c r="Y55" s="131">
        <f t="shared" si="209"/>
        <v>1431.6216320000003</v>
      </c>
      <c r="Z55" s="131">
        <f t="shared" si="209"/>
        <v>1603.4162278400006</v>
      </c>
      <c r="AA55" s="131">
        <f t="shared" si="209"/>
        <v>1795.8261751808009</v>
      </c>
      <c r="AB55" s="131">
        <f t="shared" si="209"/>
        <v>2011.3253162024971</v>
      </c>
      <c r="AC55" s="131">
        <f t="shared" si="209"/>
        <v>2252.684354146797</v>
      </c>
      <c r="AD55" s="131">
        <f t="shared" si="209"/>
        <v>2523.0064766444129</v>
      </c>
      <c r="AE55" s="131">
        <f t="shared" si="209"/>
        <v>2825.7672538417428</v>
      </c>
      <c r="AF55" s="131">
        <f t="shared" si="209"/>
        <v>3164.8593243027522</v>
      </c>
      <c r="AG55" s="116" t="e">
        <f t="shared" si="21"/>
        <v>#DIV/0!</v>
      </c>
      <c r="AH55" s="21">
        <f t="shared" si="19"/>
        <v>0.05</v>
      </c>
      <c r="AI55" s="124">
        <f t="shared" si="1"/>
        <v>19547.660532458176</v>
      </c>
    </row>
    <row r="56" spans="1:35" s="106" customFormat="1">
      <c r="B56" s="13"/>
      <c r="C56" s="126"/>
      <c r="D56" s="126"/>
      <c r="E56" s="127"/>
      <c r="F56" s="272"/>
      <c r="G56" s="272">
        <f t="shared" si="192"/>
        <v>1</v>
      </c>
      <c r="H56" s="272" t="e">
        <f t="shared" ref="H56:P56" si="210">(H55-G55)/H55</f>
        <v>#DIV/0!</v>
      </c>
      <c r="I56" s="272" t="e">
        <f t="shared" si="210"/>
        <v>#DIV/0!</v>
      </c>
      <c r="J56" s="272" t="e">
        <f t="shared" si="210"/>
        <v>#DIV/0!</v>
      </c>
      <c r="K56" s="272" t="e">
        <f t="shared" si="210"/>
        <v>#DIV/0!</v>
      </c>
      <c r="L56" s="272" t="e">
        <f t="shared" si="210"/>
        <v>#DIV/0!</v>
      </c>
      <c r="M56" s="272" t="e">
        <f t="shared" si="210"/>
        <v>#DIV/0!</v>
      </c>
      <c r="N56" s="272" t="e">
        <f t="shared" si="210"/>
        <v>#DIV/0!</v>
      </c>
      <c r="O56" s="272" t="e">
        <f t="shared" si="210"/>
        <v>#DIV/0!</v>
      </c>
      <c r="P56" s="272" t="e">
        <f t="shared" si="210"/>
        <v>#DIV/0!</v>
      </c>
      <c r="Q56" s="272" t="e">
        <f t="shared" ref="Q56:R56" si="211">(Q55-P55)/Q55</f>
        <v>#DIV/0!</v>
      </c>
      <c r="R56" s="272">
        <f t="shared" si="211"/>
        <v>1</v>
      </c>
      <c r="S56" s="128">
        <f t="shared" ref="S56:T56" si="212">(S55-R55)/R55</f>
        <v>-181.62015503875969</v>
      </c>
      <c r="T56" s="128">
        <f t="shared" si="212"/>
        <v>1.1866952789699572</v>
      </c>
      <c r="U56" s="10"/>
      <c r="V56" s="10"/>
      <c r="W56" s="131"/>
      <c r="X56" s="132"/>
      <c r="Y56" s="132"/>
      <c r="Z56" s="132"/>
      <c r="AA56" s="132"/>
      <c r="AB56" s="132"/>
      <c r="AC56" s="132"/>
      <c r="AD56" s="132"/>
      <c r="AE56" s="132"/>
      <c r="AF56" s="132"/>
      <c r="AG56" s="117"/>
      <c r="AH56" s="115"/>
      <c r="AI56" s="133"/>
    </row>
    <row r="57" spans="1:35">
      <c r="B57" s="10" t="s">
        <v>197</v>
      </c>
      <c r="C57" s="120"/>
      <c r="D57" s="120"/>
      <c r="E57" s="123"/>
      <c r="F57" s="125"/>
      <c r="G57" s="125">
        <f t="shared" si="2"/>
        <v>0.01</v>
      </c>
      <c r="H57" s="274"/>
      <c r="I57" s="274"/>
      <c r="J57" s="274"/>
      <c r="K57" s="274"/>
      <c r="L57" s="274"/>
      <c r="M57" s="274"/>
      <c r="N57" s="274"/>
      <c r="O57" s="274"/>
      <c r="P57" s="274"/>
      <c r="Q57" s="123"/>
      <c r="R57" s="125">
        <v>0.01</v>
      </c>
      <c r="S57" s="123">
        <v>339</v>
      </c>
      <c r="T57" s="123">
        <v>339</v>
      </c>
      <c r="U57" s="101">
        <f t="shared" si="3"/>
        <v>1.2308835435547576</v>
      </c>
      <c r="V57" s="21">
        <v>0.02</v>
      </c>
      <c r="W57" s="131">
        <f t="shared" si="4"/>
        <v>345.78000000000003</v>
      </c>
      <c r="X57" s="131">
        <f>W57*(1+$V57)</f>
        <v>352.69560000000001</v>
      </c>
      <c r="Y57" s="131">
        <f t="shared" ref="Y57:AF57" si="213">X57*(1+$V57)</f>
        <v>359.74951200000004</v>
      </c>
      <c r="Z57" s="131">
        <f t="shared" si="213"/>
        <v>366.94450224000002</v>
      </c>
      <c r="AA57" s="131">
        <f t="shared" si="213"/>
        <v>374.28339228480002</v>
      </c>
      <c r="AB57" s="131">
        <f t="shared" si="213"/>
        <v>381.76906013049603</v>
      </c>
      <c r="AC57" s="131">
        <f t="shared" si="213"/>
        <v>389.40444133310598</v>
      </c>
      <c r="AD57" s="131">
        <f t="shared" si="213"/>
        <v>397.19253015976813</v>
      </c>
      <c r="AE57" s="131">
        <f t="shared" si="213"/>
        <v>405.13638076296348</v>
      </c>
      <c r="AF57" s="131">
        <f t="shared" si="213"/>
        <v>413.23910837822274</v>
      </c>
      <c r="AG57" s="116" t="e">
        <f t="shared" si="21"/>
        <v>#DIV/0!</v>
      </c>
      <c r="AH57" s="21">
        <f t="shared" si="19"/>
        <v>0.05</v>
      </c>
      <c r="AI57" s="124">
        <f t="shared" si="1"/>
        <v>2552.3591988066701</v>
      </c>
    </row>
    <row r="58" spans="1:35">
      <c r="B58" s="10"/>
      <c r="C58" s="120"/>
      <c r="D58" s="120"/>
      <c r="E58" s="121"/>
      <c r="F58" s="272"/>
      <c r="G58" s="272">
        <f t="shared" si="192"/>
        <v>1</v>
      </c>
      <c r="H58" s="272" t="e">
        <f>(H57-F57)/H57</f>
        <v>#DIV/0!</v>
      </c>
      <c r="I58" s="272" t="e">
        <f t="shared" ref="I58:R58" si="214">(I57-H57)/I57</f>
        <v>#DIV/0!</v>
      </c>
      <c r="J58" s="272" t="e">
        <f t="shared" si="214"/>
        <v>#DIV/0!</v>
      </c>
      <c r="K58" s="272" t="e">
        <f t="shared" si="214"/>
        <v>#DIV/0!</v>
      </c>
      <c r="L58" s="272" t="e">
        <f t="shared" si="214"/>
        <v>#DIV/0!</v>
      </c>
      <c r="M58" s="272" t="e">
        <f t="shared" si="214"/>
        <v>#DIV/0!</v>
      </c>
      <c r="N58" s="272" t="e">
        <f t="shared" si="214"/>
        <v>#DIV/0!</v>
      </c>
      <c r="O58" s="272" t="e">
        <f t="shared" si="214"/>
        <v>#DIV/0!</v>
      </c>
      <c r="P58" s="272" t="e">
        <f t="shared" si="214"/>
        <v>#DIV/0!</v>
      </c>
      <c r="Q58" s="272" t="e">
        <f t="shared" si="214"/>
        <v>#DIV/0!</v>
      </c>
      <c r="R58" s="272">
        <f t="shared" si="214"/>
        <v>1</v>
      </c>
      <c r="S58" s="128">
        <f t="shared" ref="S58:T58" si="215">(S57-R57)/R57</f>
        <v>33899</v>
      </c>
      <c r="T58" s="128">
        <f t="shared" si="215"/>
        <v>0</v>
      </c>
      <c r="U58" s="10"/>
      <c r="V58" s="10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17"/>
      <c r="AH58" s="115"/>
      <c r="AI58" s="124"/>
    </row>
    <row r="59" spans="1:35">
      <c r="B59" s="10" t="s">
        <v>233</v>
      </c>
      <c r="C59" s="123"/>
      <c r="D59" s="123"/>
      <c r="E59" s="123"/>
      <c r="F59" s="125"/>
      <c r="G59" s="125">
        <f t="shared" si="2"/>
        <v>0.01</v>
      </c>
      <c r="H59" s="275"/>
      <c r="I59" s="275"/>
      <c r="J59" s="275"/>
      <c r="K59" s="275"/>
      <c r="L59" s="275"/>
      <c r="M59" s="275"/>
      <c r="N59" s="275"/>
      <c r="O59" s="275"/>
      <c r="P59" s="275"/>
      <c r="Q59" s="125"/>
      <c r="R59" s="125">
        <v>0.01</v>
      </c>
      <c r="S59" s="182"/>
      <c r="T59" s="182"/>
      <c r="U59" s="101">
        <f t="shared" si="3"/>
        <v>-1</v>
      </c>
      <c r="V59" s="21">
        <v>0.02</v>
      </c>
      <c r="W59" s="131">
        <f t="shared" si="4"/>
        <v>0</v>
      </c>
      <c r="X59" s="131">
        <f t="shared" ref="X59" si="216">W59*(1+$V59)</f>
        <v>0</v>
      </c>
      <c r="Y59" s="131">
        <f t="shared" ref="Y59" si="217">X59*(1+$V59)</f>
        <v>0</v>
      </c>
      <c r="Z59" s="131">
        <f t="shared" ref="Z59" si="218">Y59*(1+$V59)</f>
        <v>0</v>
      </c>
      <c r="AA59" s="131">
        <f t="shared" ref="AA59" si="219">Z59*(1+$V59)</f>
        <v>0</v>
      </c>
      <c r="AB59" s="131">
        <f t="shared" ref="AB59" si="220">AA59*(1+$V59)</f>
        <v>0</v>
      </c>
      <c r="AC59" s="131">
        <f t="shared" ref="AC59" si="221">AB59*(1+$V59)</f>
        <v>0</v>
      </c>
      <c r="AD59" s="131">
        <f t="shared" ref="AD59" si="222">AC59*(1+$V59)</f>
        <v>0</v>
      </c>
      <c r="AE59" s="131">
        <f t="shared" ref="AE59" si="223">AD59*(1+$V59)</f>
        <v>0</v>
      </c>
      <c r="AF59" s="131">
        <f t="shared" ref="AF59" si="224">AE59*(1+$V59)</f>
        <v>0</v>
      </c>
      <c r="AG59" s="116" t="e">
        <f t="shared" ref="AG59" si="225">((AF59/J59)^(1/($AF$3-$K$1) ))-1</f>
        <v>#DIV/0!</v>
      </c>
      <c r="AH59" s="21">
        <f t="shared" si="19"/>
        <v>0.05</v>
      </c>
      <c r="AI59" s="124">
        <f t="shared" si="1"/>
        <v>0</v>
      </c>
    </row>
    <row r="60" spans="1:35">
      <c r="B60" s="10"/>
      <c r="C60" s="123"/>
      <c r="D60" s="123"/>
      <c r="E60" s="123"/>
      <c r="F60" s="128"/>
      <c r="G60" s="272">
        <f t="shared" si="192"/>
        <v>1</v>
      </c>
      <c r="H60" s="128" t="e">
        <f t="shared" ref="H60" si="226">(H59-F59)/F59</f>
        <v>#DIV/0!</v>
      </c>
      <c r="I60" s="128" t="e">
        <f t="shared" ref="I60" si="227">(I59-H59)/H59</f>
        <v>#DIV/0!</v>
      </c>
      <c r="J60" s="128" t="e">
        <f t="shared" ref="J60:T60" si="228">(J59-I59)/I59</f>
        <v>#DIV/0!</v>
      </c>
      <c r="K60" s="128" t="e">
        <f t="shared" si="228"/>
        <v>#DIV/0!</v>
      </c>
      <c r="L60" s="128" t="e">
        <f t="shared" si="228"/>
        <v>#DIV/0!</v>
      </c>
      <c r="M60" s="128" t="e">
        <f t="shared" si="228"/>
        <v>#DIV/0!</v>
      </c>
      <c r="N60" s="128" t="e">
        <f t="shared" si="228"/>
        <v>#DIV/0!</v>
      </c>
      <c r="O60" s="128" t="e">
        <f t="shared" si="228"/>
        <v>#DIV/0!</v>
      </c>
      <c r="P60" s="128" t="e">
        <f t="shared" si="228"/>
        <v>#DIV/0!</v>
      </c>
      <c r="Q60" s="128" t="e">
        <f t="shared" si="228"/>
        <v>#DIV/0!</v>
      </c>
      <c r="R60" s="128" t="e">
        <f t="shared" si="228"/>
        <v>#DIV/0!</v>
      </c>
      <c r="S60" s="128">
        <f t="shared" si="228"/>
        <v>-1</v>
      </c>
      <c r="T60" s="128" t="e">
        <f t="shared" si="228"/>
        <v>#DIV/0!</v>
      </c>
      <c r="U60" s="110"/>
      <c r="V60" s="10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17"/>
      <c r="AH60" s="115"/>
      <c r="AI60" s="124"/>
    </row>
    <row r="61" spans="1:35">
      <c r="B61" s="10" t="s">
        <v>371</v>
      </c>
      <c r="C61" s="10"/>
      <c r="D61" s="10"/>
      <c r="E61" s="109"/>
      <c r="F61" s="125"/>
      <c r="G61" s="125">
        <f t="shared" si="2"/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10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17"/>
      <c r="AH61" s="115"/>
      <c r="AI61" s="131"/>
    </row>
    <row r="62" spans="1:35">
      <c r="B62" s="10" t="s">
        <v>369</v>
      </c>
      <c r="C62" s="10"/>
      <c r="D62" s="10"/>
      <c r="E62" s="109"/>
      <c r="F62" s="125"/>
      <c r="G62" s="125">
        <f t="shared" si="2"/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10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17"/>
      <c r="AH62" s="115"/>
      <c r="AI62" s="131"/>
    </row>
    <row r="63" spans="1:35">
      <c r="B63" s="10" t="s">
        <v>370</v>
      </c>
      <c r="C63" s="10"/>
      <c r="D63" s="10"/>
      <c r="E63" s="109"/>
      <c r="F63" s="125"/>
      <c r="G63" s="125">
        <f t="shared" si="2"/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10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17"/>
      <c r="AH63" s="115"/>
      <c r="AI63" s="131"/>
    </row>
    <row r="64" spans="1:35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0"/>
      <c r="V64" s="110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17"/>
      <c r="AH64" s="115"/>
      <c r="AI64" s="131"/>
    </row>
    <row r="65" spans="2:35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0"/>
      <c r="V65" s="110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17"/>
      <c r="AH65" s="115"/>
      <c r="AI65" s="131"/>
    </row>
    <row r="66" spans="2:35">
      <c r="B66" s="10" t="s">
        <v>253</v>
      </c>
      <c r="C66" s="112"/>
      <c r="D66" s="112"/>
      <c r="E66" s="112"/>
      <c r="F66" s="112"/>
      <c r="G66" s="112">
        <f t="shared" ref="G66" si="229">G25/G57</f>
        <v>0</v>
      </c>
      <c r="H66" s="112" t="e">
        <f t="shared" ref="H66:I66" si="230">H25/H57</f>
        <v>#DIV/0!</v>
      </c>
      <c r="I66" s="112" t="e">
        <f t="shared" si="230"/>
        <v>#DIV/0!</v>
      </c>
      <c r="J66" s="112" t="e">
        <f t="shared" ref="J66:S66" si="231">J25/J57</f>
        <v>#DIV/0!</v>
      </c>
      <c r="K66" s="112" t="e">
        <f t="shared" si="231"/>
        <v>#DIV/0!</v>
      </c>
      <c r="L66" s="112" t="e">
        <f t="shared" si="231"/>
        <v>#DIV/0!</v>
      </c>
      <c r="M66" s="112" t="e">
        <f t="shared" si="231"/>
        <v>#DIV/0!</v>
      </c>
      <c r="N66" s="112" t="e">
        <f t="shared" si="231"/>
        <v>#DIV/0!</v>
      </c>
      <c r="O66" s="112" t="e">
        <f t="shared" si="231"/>
        <v>#DIV/0!</v>
      </c>
      <c r="P66" s="112" t="e">
        <f t="shared" si="231"/>
        <v>#DIV/0!</v>
      </c>
      <c r="Q66" s="112" t="e">
        <f t="shared" si="231"/>
        <v>#DIV/0!</v>
      </c>
      <c r="R66" s="112">
        <f t="shared" si="231"/>
        <v>0</v>
      </c>
      <c r="S66" s="112">
        <f t="shared" si="231"/>
        <v>11.952802359882005</v>
      </c>
      <c r="T66" s="112">
        <f t="shared" ref="T66" si="232">T25/T57</f>
        <v>28.309734513274336</v>
      </c>
      <c r="U66" s="101" t="e">
        <f t="shared" ref="U66:U129" si="233">((T66/G66)^(1/($K$2-$K$1) ))-1</f>
        <v>#DIV/0!</v>
      </c>
      <c r="V66" s="110"/>
      <c r="W66" s="135">
        <f t="shared" ref="W66:AF66" si="234">W25/W57</f>
        <v>31.08519868124241</v>
      </c>
      <c r="X66" s="135">
        <f t="shared" si="234"/>
        <v>34.132767179403437</v>
      </c>
      <c r="Y66" s="135">
        <f t="shared" si="234"/>
        <v>37.47911690287436</v>
      </c>
      <c r="Z66" s="135">
        <f t="shared" si="234"/>
        <v>41.153540128646362</v>
      </c>
      <c r="AA66" s="135">
        <f t="shared" si="234"/>
        <v>45.188200925572481</v>
      </c>
      <c r="AB66" s="135">
        <f t="shared" si="234"/>
        <v>49.618416702589393</v>
      </c>
      <c r="AC66" s="135">
        <f t="shared" si="234"/>
        <v>54.482967359706002</v>
      </c>
      <c r="AD66" s="135">
        <f t="shared" si="234"/>
        <v>59.82443474791247</v>
      </c>
      <c r="AE66" s="135">
        <f t="shared" si="234"/>
        <v>65.689575409472525</v>
      </c>
      <c r="AF66" s="135">
        <f t="shared" si="234"/>
        <v>72.129729861381605</v>
      </c>
      <c r="AG66" s="116" t="e">
        <f t="shared" ref="AG66" si="235">((AF66/J66)^(1/($AF$3-$K$1) ))-1</f>
        <v>#DIV/0!</v>
      </c>
      <c r="AH66" s="21">
        <f t="shared" si="19"/>
        <v>0.05</v>
      </c>
      <c r="AI66" s="124">
        <f t="shared" ref="AI66:AI67" si="236">(AF66*(1+AH66))/($C$1-AH66)</f>
        <v>445.50715502618056</v>
      </c>
    </row>
    <row r="67" spans="2:35">
      <c r="B67" s="10" t="s">
        <v>254</v>
      </c>
      <c r="C67" s="112"/>
      <c r="D67" s="112"/>
      <c r="E67" s="112"/>
      <c r="F67" s="112"/>
      <c r="G67" s="112">
        <f t="shared" ref="G67" si="237">G27/G57</f>
        <v>0</v>
      </c>
      <c r="H67" s="112" t="e">
        <f t="shared" ref="H67:I67" si="238">H27/H57</f>
        <v>#DIV/0!</v>
      </c>
      <c r="I67" s="112" t="e">
        <f t="shared" si="238"/>
        <v>#DIV/0!</v>
      </c>
      <c r="J67" s="112" t="e">
        <f t="shared" ref="J67:S67" si="239">J27/J57</f>
        <v>#DIV/0!</v>
      </c>
      <c r="K67" s="112" t="e">
        <f t="shared" si="239"/>
        <v>#DIV/0!</v>
      </c>
      <c r="L67" s="112" t="e">
        <f t="shared" si="239"/>
        <v>#DIV/0!</v>
      </c>
      <c r="M67" s="112" t="e">
        <f t="shared" si="239"/>
        <v>#DIV/0!</v>
      </c>
      <c r="N67" s="112" t="e">
        <f t="shared" si="239"/>
        <v>#DIV/0!</v>
      </c>
      <c r="O67" s="112" t="e">
        <f t="shared" si="239"/>
        <v>#DIV/0!</v>
      </c>
      <c r="P67" s="112" t="e">
        <f t="shared" si="239"/>
        <v>#DIV/0!</v>
      </c>
      <c r="Q67" s="112" t="e">
        <f t="shared" si="239"/>
        <v>#DIV/0!</v>
      </c>
      <c r="R67" s="112">
        <f t="shared" si="239"/>
        <v>0</v>
      </c>
      <c r="S67" s="112">
        <f t="shared" si="239"/>
        <v>10.575221238938052</v>
      </c>
      <c r="T67" s="112">
        <f t="shared" ref="T67" si="240">T27/T57</f>
        <v>25.150442477876105</v>
      </c>
      <c r="U67" s="101" t="e">
        <f t="shared" si="233"/>
        <v>#DIV/0!</v>
      </c>
      <c r="V67" s="110"/>
      <c r="W67" s="135">
        <f t="shared" ref="W67:AF67" si="241">W27/W57</f>
        <v>27.616172132569844</v>
      </c>
      <c r="X67" s="135">
        <f t="shared" si="241"/>
        <v>30.323639988704144</v>
      </c>
      <c r="Y67" s="135">
        <f t="shared" si="241"/>
        <v>33.296545869949647</v>
      </c>
      <c r="Z67" s="135">
        <f t="shared" si="241"/>
        <v>36.560913112101581</v>
      </c>
      <c r="AA67" s="135">
        <f t="shared" si="241"/>
        <v>40.145316358386047</v>
      </c>
      <c r="AB67" s="135">
        <f t="shared" si="241"/>
        <v>44.081131687639584</v>
      </c>
      <c r="AC67" s="135">
        <f t="shared" si="241"/>
        <v>48.402811264859153</v>
      </c>
      <c r="AD67" s="135">
        <f t="shared" si="241"/>
        <v>53.148184918276712</v>
      </c>
      <c r="AE67" s="135">
        <f t="shared" si="241"/>
        <v>58.358791282813648</v>
      </c>
      <c r="AF67" s="135">
        <f t="shared" si="241"/>
        <v>64.080241408579695</v>
      </c>
      <c r="AG67" s="116" t="e">
        <f t="shared" ref="AG67" si="242">((AF67/J67)^(1/($AF$3-$K$1) ))-1</f>
        <v>#DIV/0!</v>
      </c>
      <c r="AH67" s="21">
        <f t="shared" si="19"/>
        <v>0.05</v>
      </c>
      <c r="AI67" s="124">
        <f t="shared" si="236"/>
        <v>395.78972634710993</v>
      </c>
    </row>
    <row r="68" spans="2:35">
      <c r="B68" s="10" t="s">
        <v>372</v>
      </c>
      <c r="C68" s="112"/>
      <c r="D68" s="112"/>
      <c r="E68" s="112"/>
      <c r="F68" s="112"/>
      <c r="G68" s="112">
        <f t="shared" ref="G68" si="243">G53-G55</f>
        <v>2.59</v>
      </c>
      <c r="H68" s="112">
        <f t="shared" ref="H68:I68" si="244">H53-H55</f>
        <v>0</v>
      </c>
      <c r="I68" s="112">
        <f t="shared" si="244"/>
        <v>0</v>
      </c>
      <c r="J68" s="112">
        <f>J53-J55</f>
        <v>0</v>
      </c>
      <c r="K68" s="112">
        <f t="shared" ref="K68:S68" si="245">K53-K55</f>
        <v>0</v>
      </c>
      <c r="L68" s="112">
        <f t="shared" si="245"/>
        <v>0</v>
      </c>
      <c r="M68" s="112">
        <f t="shared" si="245"/>
        <v>0</v>
      </c>
      <c r="N68" s="112">
        <f t="shared" si="245"/>
        <v>0</v>
      </c>
      <c r="O68" s="112">
        <f t="shared" si="245"/>
        <v>0</v>
      </c>
      <c r="P68" s="112">
        <f t="shared" si="245"/>
        <v>0</v>
      </c>
      <c r="Q68" s="112">
        <f t="shared" si="245"/>
        <v>0</v>
      </c>
      <c r="R68" s="112">
        <f t="shared" si="245"/>
        <v>2.59</v>
      </c>
      <c r="S68" s="112">
        <f t="shared" si="245"/>
        <v>-466</v>
      </c>
      <c r="T68" s="112">
        <f t="shared" ref="T68" si="246">T53-T55</f>
        <v>-1019</v>
      </c>
      <c r="U68" s="101">
        <f t="shared" si="233"/>
        <v>-2.5834549959319553</v>
      </c>
      <c r="V68" s="110"/>
      <c r="W68" s="112">
        <f t="shared" ref="W68:AF68" si="247">W53-W55</f>
        <v>-1141.2800000000002</v>
      </c>
      <c r="X68" s="112">
        <f t="shared" si="247"/>
        <v>-1278.2336000000003</v>
      </c>
      <c r="Y68" s="112">
        <f t="shared" si="247"/>
        <v>-1431.6216320000003</v>
      </c>
      <c r="Z68" s="112">
        <f t="shared" si="247"/>
        <v>-1603.4162278400006</v>
      </c>
      <c r="AA68" s="112">
        <f t="shared" si="247"/>
        <v>-1795.8261751808009</v>
      </c>
      <c r="AB68" s="112">
        <f t="shared" si="247"/>
        <v>-2011.3253162024971</v>
      </c>
      <c r="AC68" s="112">
        <f t="shared" si="247"/>
        <v>-2252.684354146797</v>
      </c>
      <c r="AD68" s="112">
        <f t="shared" si="247"/>
        <v>-2523.0064766444129</v>
      </c>
      <c r="AE68" s="112">
        <f t="shared" si="247"/>
        <v>-2825.7672538417428</v>
      </c>
      <c r="AF68" s="112">
        <f t="shared" si="247"/>
        <v>-3164.8593243027522</v>
      </c>
      <c r="AG68" s="116" t="e">
        <f t="shared" ref="AG68" si="248">((AF68/J68)^(1/($AF$3-$K$1) ))-1</f>
        <v>#DIV/0!</v>
      </c>
      <c r="AH68" s="21">
        <f t="shared" si="19"/>
        <v>0.05</v>
      </c>
      <c r="AI68" s="124">
        <f t="shared" ref="AI68" si="249">(AF68*(1+AH68))/($C$1-AH68)</f>
        <v>-19547.660532458176</v>
      </c>
    </row>
    <row r="69" spans="2:35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0"/>
      <c r="V69" s="110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02"/>
      <c r="AH69" s="115"/>
      <c r="AI69" s="124"/>
    </row>
    <row r="70" spans="2:35">
      <c r="B70" s="10" t="s">
        <v>390</v>
      </c>
      <c r="C70" s="112"/>
      <c r="D70" s="112"/>
      <c r="E70" s="112"/>
      <c r="F70" s="15"/>
      <c r="G70" s="15">
        <f t="shared" ref="G70" si="250">G51/G57</f>
        <v>100</v>
      </c>
      <c r="H70" s="15" t="e">
        <f t="shared" ref="H70:I70" si="251">H51/H57</f>
        <v>#DIV/0!</v>
      </c>
      <c r="I70" s="15" t="e">
        <f t="shared" si="251"/>
        <v>#DIV/0!</v>
      </c>
      <c r="J70" s="15" t="e">
        <f t="shared" ref="J70:S70" si="252">J51/J57</f>
        <v>#DIV/0!</v>
      </c>
      <c r="K70" s="15" t="e">
        <f t="shared" si="252"/>
        <v>#DIV/0!</v>
      </c>
      <c r="L70" s="15" t="e">
        <f t="shared" si="252"/>
        <v>#DIV/0!</v>
      </c>
      <c r="M70" s="15" t="e">
        <f t="shared" si="252"/>
        <v>#DIV/0!</v>
      </c>
      <c r="N70" s="15" t="e">
        <f t="shared" si="252"/>
        <v>#DIV/0!</v>
      </c>
      <c r="O70" s="15" t="e">
        <f t="shared" si="252"/>
        <v>#DIV/0!</v>
      </c>
      <c r="P70" s="15" t="e">
        <f t="shared" si="252"/>
        <v>#DIV/0!</v>
      </c>
      <c r="Q70" s="15" t="e">
        <f t="shared" si="252"/>
        <v>#DIV/0!</v>
      </c>
      <c r="R70" s="15">
        <f t="shared" si="252"/>
        <v>100</v>
      </c>
      <c r="S70" s="15">
        <f t="shared" si="252"/>
        <v>0</v>
      </c>
      <c r="T70" s="15">
        <f>T51/T57</f>
        <v>0</v>
      </c>
      <c r="U70" s="101">
        <f t="shared" si="233"/>
        <v>-1</v>
      </c>
      <c r="V70" s="110"/>
      <c r="W70" s="96">
        <f>W51/W57</f>
        <v>0</v>
      </c>
      <c r="X70" s="96">
        <f t="shared" ref="X70:AF70" si="253">X51/X57</f>
        <v>0</v>
      </c>
      <c r="Y70" s="96">
        <f t="shared" si="253"/>
        <v>0</v>
      </c>
      <c r="Z70" s="96">
        <f t="shared" si="253"/>
        <v>0</v>
      </c>
      <c r="AA70" s="96">
        <f t="shared" si="253"/>
        <v>0</v>
      </c>
      <c r="AB70" s="96">
        <f t="shared" si="253"/>
        <v>0</v>
      </c>
      <c r="AC70" s="96">
        <f t="shared" si="253"/>
        <v>0</v>
      </c>
      <c r="AD70" s="96">
        <f t="shared" si="253"/>
        <v>0</v>
      </c>
      <c r="AE70" s="96">
        <f t="shared" si="253"/>
        <v>0</v>
      </c>
      <c r="AF70" s="96">
        <f t="shared" si="253"/>
        <v>0</v>
      </c>
      <c r="AG70" s="116" t="e">
        <f t="shared" ref="AG70:AG71" si="254">((AF70/J70)^(1/($AF$3-$K$1) ))-1</f>
        <v>#DIV/0!</v>
      </c>
      <c r="AH70" s="21">
        <f t="shared" si="19"/>
        <v>0.05</v>
      </c>
      <c r="AI70" s="124">
        <f t="shared" ref="AI70:AI71" si="255">(AF70*(1+AH70))/($C$1-AH70)</f>
        <v>0</v>
      </c>
    </row>
    <row r="71" spans="2:35">
      <c r="B71" s="10" t="s">
        <v>391</v>
      </c>
      <c r="C71" s="112"/>
      <c r="D71" s="112"/>
      <c r="E71" s="112"/>
      <c r="F71" s="15"/>
      <c r="G71" s="15">
        <f t="shared" ref="G71" si="256">G53/G57</f>
        <v>1</v>
      </c>
      <c r="H71" s="15" t="e">
        <f t="shared" ref="H71:I71" si="257">H53/H57</f>
        <v>#DIV/0!</v>
      </c>
      <c r="I71" s="15" t="e">
        <f t="shared" si="257"/>
        <v>#DIV/0!</v>
      </c>
      <c r="J71" s="15" t="e">
        <f t="shared" ref="J71:S71" si="258">J53/J57</f>
        <v>#DIV/0!</v>
      </c>
      <c r="K71" s="15" t="e">
        <f t="shared" si="258"/>
        <v>#DIV/0!</v>
      </c>
      <c r="L71" s="15" t="e">
        <f t="shared" si="258"/>
        <v>#DIV/0!</v>
      </c>
      <c r="M71" s="15" t="e">
        <f t="shared" si="258"/>
        <v>#DIV/0!</v>
      </c>
      <c r="N71" s="15" t="e">
        <f t="shared" si="258"/>
        <v>#DIV/0!</v>
      </c>
      <c r="O71" s="15" t="e">
        <f t="shared" si="258"/>
        <v>#DIV/0!</v>
      </c>
      <c r="P71" s="15" t="e">
        <f t="shared" si="258"/>
        <v>#DIV/0!</v>
      </c>
      <c r="Q71" s="15" t="e">
        <f t="shared" si="258"/>
        <v>#DIV/0!</v>
      </c>
      <c r="R71" s="15">
        <f t="shared" si="258"/>
        <v>1</v>
      </c>
      <c r="S71" s="15">
        <f t="shared" si="258"/>
        <v>0</v>
      </c>
      <c r="T71" s="15">
        <f>T53/T57</f>
        <v>0</v>
      </c>
      <c r="U71" s="101">
        <f t="shared" si="233"/>
        <v>-1</v>
      </c>
      <c r="V71" s="110"/>
      <c r="W71" s="96">
        <f>W53/W57</f>
        <v>0</v>
      </c>
      <c r="X71" s="96">
        <f t="shared" ref="X71:AF71" si="259">X53/X57</f>
        <v>0</v>
      </c>
      <c r="Y71" s="96">
        <f t="shared" si="259"/>
        <v>0</v>
      </c>
      <c r="Z71" s="96">
        <f t="shared" si="259"/>
        <v>0</v>
      </c>
      <c r="AA71" s="96">
        <f t="shared" si="259"/>
        <v>0</v>
      </c>
      <c r="AB71" s="96">
        <f t="shared" si="259"/>
        <v>0</v>
      </c>
      <c r="AC71" s="96">
        <f t="shared" si="259"/>
        <v>0</v>
      </c>
      <c r="AD71" s="96">
        <f t="shared" si="259"/>
        <v>0</v>
      </c>
      <c r="AE71" s="96">
        <f t="shared" si="259"/>
        <v>0</v>
      </c>
      <c r="AF71" s="96">
        <f t="shared" si="259"/>
        <v>0</v>
      </c>
      <c r="AG71" s="116" t="e">
        <f t="shared" si="254"/>
        <v>#DIV/0!</v>
      </c>
      <c r="AH71" s="21">
        <f t="shared" si="19"/>
        <v>0.05</v>
      </c>
      <c r="AI71" s="124">
        <f t="shared" si="255"/>
        <v>0</v>
      </c>
    </row>
    <row r="72" spans="2:35">
      <c r="B72" s="10" t="s">
        <v>215</v>
      </c>
      <c r="C72" s="15"/>
      <c r="D72" s="15"/>
      <c r="E72" s="15"/>
      <c r="F72" s="112"/>
      <c r="G72" s="112">
        <f t="shared" ref="G72" si="260">G55/G57</f>
        <v>-258</v>
      </c>
      <c r="H72" s="112" t="e">
        <f t="shared" ref="H72:I72" si="261">H55/H57</f>
        <v>#DIV/0!</v>
      </c>
      <c r="I72" s="112" t="e">
        <f t="shared" si="261"/>
        <v>#DIV/0!</v>
      </c>
      <c r="J72" s="112" t="e">
        <f t="shared" ref="J72:S72" si="262">J55/J57</f>
        <v>#DIV/0!</v>
      </c>
      <c r="K72" s="112" t="e">
        <f t="shared" si="262"/>
        <v>#DIV/0!</v>
      </c>
      <c r="L72" s="112" t="e">
        <f t="shared" si="262"/>
        <v>#DIV/0!</v>
      </c>
      <c r="M72" s="112" t="e">
        <f t="shared" si="262"/>
        <v>#DIV/0!</v>
      </c>
      <c r="N72" s="112" t="e">
        <f t="shared" si="262"/>
        <v>#DIV/0!</v>
      </c>
      <c r="O72" s="112" t="e">
        <f t="shared" si="262"/>
        <v>#DIV/0!</v>
      </c>
      <c r="P72" s="112" t="e">
        <f t="shared" si="262"/>
        <v>#DIV/0!</v>
      </c>
      <c r="Q72" s="112" t="e">
        <f t="shared" si="262"/>
        <v>#DIV/0!</v>
      </c>
      <c r="R72" s="112">
        <f t="shared" si="262"/>
        <v>-258</v>
      </c>
      <c r="S72" s="112">
        <f t="shared" si="262"/>
        <v>1.3746312684365782</v>
      </c>
      <c r="T72" s="112">
        <f t="shared" ref="T72" si="263">T55/T57</f>
        <v>3.0058997050147491</v>
      </c>
      <c r="U72" s="101">
        <f t="shared" si="233"/>
        <v>-1.7099995279718807</v>
      </c>
      <c r="V72" s="110"/>
      <c r="W72" s="135">
        <f t="shared" ref="W72:AF72" si="264">W55/W57</f>
        <v>3.3005957545259994</v>
      </c>
      <c r="X72" s="135">
        <f t="shared" si="264"/>
        <v>3.6241835735971764</v>
      </c>
      <c r="Y72" s="135">
        <f t="shared" si="264"/>
        <v>3.9794956886557227</v>
      </c>
      <c r="Z72" s="135">
        <f t="shared" si="264"/>
        <v>4.3696423247984413</v>
      </c>
      <c r="AA72" s="135">
        <f t="shared" si="264"/>
        <v>4.7980386311512309</v>
      </c>
      <c r="AB72" s="135">
        <f t="shared" si="264"/>
        <v>5.2684345753817432</v>
      </c>
      <c r="AC72" s="135">
        <f t="shared" si="264"/>
        <v>5.78494776904662</v>
      </c>
      <c r="AD72" s="135">
        <f t="shared" si="264"/>
        <v>6.3520995111100147</v>
      </c>
      <c r="AE72" s="135">
        <f t="shared" si="264"/>
        <v>6.9748543651404091</v>
      </c>
      <c r="AF72" s="135">
        <f t="shared" si="264"/>
        <v>7.6586636166247644</v>
      </c>
      <c r="AG72" s="116" t="e">
        <f t="shared" ref="AG72:AG86" si="265">((AF72/J72)^(1/($AF$3-$K$1) ))-1</f>
        <v>#DIV/0!</v>
      </c>
      <c r="AH72" s="21">
        <f t="shared" si="19"/>
        <v>0.05</v>
      </c>
      <c r="AI72" s="124">
        <f t="shared" ref="AI72:AI100" si="266">(AF72*(1+AH72))/($C$1-AH72)</f>
        <v>47.303510573270614</v>
      </c>
    </row>
    <row r="73" spans="2:35">
      <c r="B73" s="10" t="s">
        <v>333</v>
      </c>
      <c r="C73" s="112"/>
      <c r="D73" s="112"/>
      <c r="E73" s="112"/>
      <c r="F73" s="112"/>
      <c r="G73" s="112">
        <f t="shared" ref="G73" si="267">G20/G57</f>
        <v>1</v>
      </c>
      <c r="H73" s="112" t="e">
        <f t="shared" ref="H73:I73" si="268">H20/H57</f>
        <v>#DIV/0!</v>
      </c>
      <c r="I73" s="112" t="e">
        <f t="shared" si="268"/>
        <v>#DIV/0!</v>
      </c>
      <c r="J73" s="112" t="e">
        <f>J20/J57</f>
        <v>#DIV/0!</v>
      </c>
      <c r="K73" s="112" t="e">
        <f t="shared" ref="K73:S73" si="269">K20/K57</f>
        <v>#DIV/0!</v>
      </c>
      <c r="L73" s="112" t="e">
        <f t="shared" si="269"/>
        <v>#DIV/0!</v>
      </c>
      <c r="M73" s="112" t="e">
        <f t="shared" si="269"/>
        <v>#DIV/0!</v>
      </c>
      <c r="N73" s="112" t="e">
        <f t="shared" si="269"/>
        <v>#DIV/0!</v>
      </c>
      <c r="O73" s="112" t="e">
        <f t="shared" si="269"/>
        <v>#DIV/0!</v>
      </c>
      <c r="P73" s="112" t="e">
        <f t="shared" si="269"/>
        <v>#DIV/0!</v>
      </c>
      <c r="Q73" s="112" t="e">
        <f t="shared" si="269"/>
        <v>#DIV/0!</v>
      </c>
      <c r="R73" s="112">
        <f t="shared" si="269"/>
        <v>1</v>
      </c>
      <c r="S73" s="112">
        <f t="shared" si="269"/>
        <v>0</v>
      </c>
      <c r="T73" s="112">
        <f t="shared" ref="T73" si="270">T20/T57</f>
        <v>0</v>
      </c>
      <c r="U73" s="110"/>
      <c r="V73" s="110"/>
      <c r="W73" s="112">
        <f t="shared" ref="W73:AF73" si="271">W20/W57</f>
        <v>0</v>
      </c>
      <c r="X73" s="112">
        <f t="shared" si="271"/>
        <v>0</v>
      </c>
      <c r="Y73" s="112">
        <f t="shared" si="271"/>
        <v>0</v>
      </c>
      <c r="Z73" s="112">
        <f t="shared" si="271"/>
        <v>0</v>
      </c>
      <c r="AA73" s="112">
        <f t="shared" si="271"/>
        <v>0</v>
      </c>
      <c r="AB73" s="112">
        <f t="shared" si="271"/>
        <v>0</v>
      </c>
      <c r="AC73" s="112">
        <f t="shared" si="271"/>
        <v>0</v>
      </c>
      <c r="AD73" s="112">
        <f t="shared" si="271"/>
        <v>0</v>
      </c>
      <c r="AE73" s="112">
        <f t="shared" si="271"/>
        <v>0</v>
      </c>
      <c r="AF73" s="112">
        <f t="shared" si="271"/>
        <v>0</v>
      </c>
      <c r="AG73" s="116" t="e">
        <f t="shared" ref="AG73" si="272">((AF73/J73)^(1/($AF$3-$K$1) ))-1</f>
        <v>#DIV/0!</v>
      </c>
      <c r="AH73" s="21">
        <f t="shared" si="19"/>
        <v>0.05</v>
      </c>
      <c r="AI73" s="124">
        <f t="shared" si="266"/>
        <v>0</v>
      </c>
    </row>
    <row r="74" spans="2:35">
      <c r="B74" s="10" t="s">
        <v>203</v>
      </c>
      <c r="C74" s="15"/>
      <c r="D74" s="15"/>
      <c r="E74" s="15"/>
      <c r="F74" s="112"/>
      <c r="G74" s="112">
        <f t="shared" ref="G74" si="273">G7/G57</f>
        <v>100</v>
      </c>
      <c r="H74" s="112" t="e">
        <f t="shared" ref="H74:I74" si="274">H7/H57</f>
        <v>#DIV/0!</v>
      </c>
      <c r="I74" s="112" t="e">
        <f t="shared" si="274"/>
        <v>#DIV/0!</v>
      </c>
      <c r="J74" s="112" t="e">
        <f t="shared" ref="J74:S74" si="275">J7/J57</f>
        <v>#DIV/0!</v>
      </c>
      <c r="K74" s="112" t="e">
        <f t="shared" si="275"/>
        <v>#DIV/0!</v>
      </c>
      <c r="L74" s="112" t="e">
        <f t="shared" si="275"/>
        <v>#DIV/0!</v>
      </c>
      <c r="M74" s="112" t="e">
        <f t="shared" si="275"/>
        <v>#DIV/0!</v>
      </c>
      <c r="N74" s="112" t="e">
        <f t="shared" si="275"/>
        <v>#DIV/0!</v>
      </c>
      <c r="O74" s="112" t="e">
        <f t="shared" si="275"/>
        <v>#DIV/0!</v>
      </c>
      <c r="P74" s="112" t="e">
        <f t="shared" si="275"/>
        <v>#DIV/0!</v>
      </c>
      <c r="Q74" s="112" t="e">
        <f t="shared" si="275"/>
        <v>#DIV/0!</v>
      </c>
      <c r="R74" s="112">
        <f t="shared" si="275"/>
        <v>100</v>
      </c>
      <c r="S74" s="112">
        <f t="shared" si="275"/>
        <v>40.214011799410031</v>
      </c>
      <c r="T74" s="112">
        <f t="shared" ref="T74" si="276">T7/T57</f>
        <v>43.297935103244839</v>
      </c>
      <c r="U74" s="101">
        <f t="shared" si="233"/>
        <v>-6.2360407791807515E-2</v>
      </c>
      <c r="V74" s="110"/>
      <c r="W74" s="135">
        <f t="shared" ref="W74:AF74" si="277">W7/W57</f>
        <v>47.542830701602171</v>
      </c>
      <c r="X74" s="135">
        <f t="shared" si="277"/>
        <v>52.203892535092585</v>
      </c>
      <c r="Y74" s="135">
        <f t="shared" si="277"/>
        <v>57.321921215003627</v>
      </c>
      <c r="Z74" s="135">
        <f t="shared" si="277"/>
        <v>62.941717412553011</v>
      </c>
      <c r="AA74" s="135">
        <f t="shared" si="277"/>
        <v>69.112474021626838</v>
      </c>
      <c r="AB74" s="135">
        <f t="shared" si="277"/>
        <v>75.888206768845166</v>
      </c>
      <c r="AC74" s="135">
        <f t="shared" si="277"/>
        <v>83.328227040300575</v>
      </c>
      <c r="AD74" s="135">
        <f t="shared" si="277"/>
        <v>91.497661063859454</v>
      </c>
      <c r="AE74" s="135">
        <f t="shared" si="277"/>
        <v>100.46801999168882</v>
      </c>
      <c r="AF74" s="135">
        <f t="shared" si="277"/>
        <v>110.31782587322695</v>
      </c>
      <c r="AG74" s="116" t="e">
        <f t="shared" si="265"/>
        <v>#DIV/0!</v>
      </c>
      <c r="AH74" s="21">
        <f t="shared" si="19"/>
        <v>0.05</v>
      </c>
      <c r="AI74" s="124">
        <f t="shared" si="266"/>
        <v>681.37480686404888</v>
      </c>
    </row>
    <row r="75" spans="2:35">
      <c r="B75" s="10" t="s">
        <v>204</v>
      </c>
      <c r="C75" s="109"/>
      <c r="D75" s="109"/>
      <c r="E75" s="109"/>
      <c r="F75" s="122"/>
      <c r="G75" s="122">
        <f t="shared" ref="G75" si="278">G6/G57</f>
        <v>100</v>
      </c>
      <c r="H75" s="122" t="e">
        <f t="shared" ref="H75:I75" si="279">H6/H57</f>
        <v>#DIV/0!</v>
      </c>
      <c r="I75" s="122" t="e">
        <f t="shared" si="279"/>
        <v>#DIV/0!</v>
      </c>
      <c r="J75" s="122" t="e">
        <f t="shared" ref="J75:S75" si="280">J6/J57</f>
        <v>#DIV/0!</v>
      </c>
      <c r="K75" s="122" t="e">
        <f t="shared" si="280"/>
        <v>#DIV/0!</v>
      </c>
      <c r="L75" s="122" t="e">
        <f t="shared" si="280"/>
        <v>#DIV/0!</v>
      </c>
      <c r="M75" s="122" t="e">
        <f t="shared" si="280"/>
        <v>#DIV/0!</v>
      </c>
      <c r="N75" s="122" t="e">
        <f t="shared" si="280"/>
        <v>#DIV/0!</v>
      </c>
      <c r="O75" s="122" t="e">
        <f t="shared" si="280"/>
        <v>#DIV/0!</v>
      </c>
      <c r="P75" s="122" t="e">
        <f t="shared" si="280"/>
        <v>#DIV/0!</v>
      </c>
      <c r="Q75" s="122" t="e">
        <f t="shared" si="280"/>
        <v>#DIV/0!</v>
      </c>
      <c r="R75" s="122">
        <f t="shared" si="280"/>
        <v>100</v>
      </c>
      <c r="S75" s="122">
        <f t="shared" si="280"/>
        <v>30.196489675516226</v>
      </c>
      <c r="T75" s="122">
        <f t="shared" ref="T75" si="281">T6/T57</f>
        <v>33.268348082595871</v>
      </c>
      <c r="U75" s="101">
        <f t="shared" si="233"/>
        <v>-8.1174219727241259E-2</v>
      </c>
      <c r="V75" s="110"/>
      <c r="W75" s="134">
        <f t="shared" ref="W75:AF75" si="282">W6/W57</f>
        <v>36.529950835791539</v>
      </c>
      <c r="X75" s="134">
        <f t="shared" si="282"/>
        <v>40.111318564790714</v>
      </c>
      <c r="Y75" s="134">
        <f t="shared" si="282"/>
        <v>44.043800777025098</v>
      </c>
      <c r="Z75" s="134">
        <f t="shared" si="282"/>
        <v>48.361820461047181</v>
      </c>
      <c r="AA75" s="134">
        <f t="shared" si="282"/>
        <v>53.103175408208671</v>
      </c>
      <c r="AB75" s="134">
        <f t="shared" si="282"/>
        <v>58.309369075680117</v>
      </c>
      <c r="AC75" s="134">
        <f t="shared" si="282"/>
        <v>64.025973887021308</v>
      </c>
      <c r="AD75" s="134">
        <f t="shared" si="282"/>
        <v>70.303030150454759</v>
      </c>
      <c r="AE75" s="134">
        <f t="shared" si="282"/>
        <v>77.19548408677386</v>
      </c>
      <c r="AF75" s="134">
        <f t="shared" si="282"/>
        <v>84.763668801163462</v>
      </c>
      <c r="AG75" s="116" t="e">
        <f t="shared" si="265"/>
        <v>#DIV/0!</v>
      </c>
      <c r="AH75" s="21">
        <f t="shared" si="19"/>
        <v>0.05</v>
      </c>
      <c r="AI75" s="124">
        <f t="shared" si="266"/>
        <v>523.54030730130387</v>
      </c>
    </row>
    <row r="76" spans="2:35">
      <c r="B76" s="10" t="s">
        <v>205</v>
      </c>
      <c r="C76" s="109"/>
      <c r="D76" s="109"/>
      <c r="E76" s="109"/>
      <c r="F76" s="122"/>
      <c r="G76" s="122">
        <f t="shared" ref="G76" si="283">G10/G57</f>
        <v>1</v>
      </c>
      <c r="H76" s="122" t="e">
        <f t="shared" ref="H76:I76" si="284">H10/H57</f>
        <v>#DIV/0!</v>
      </c>
      <c r="I76" s="122" t="e">
        <f t="shared" si="284"/>
        <v>#DIV/0!</v>
      </c>
      <c r="J76" s="122" t="e">
        <f t="shared" ref="J76:S76" si="285">J10/J57</f>
        <v>#DIV/0!</v>
      </c>
      <c r="K76" s="122" t="e">
        <f t="shared" si="285"/>
        <v>#DIV/0!</v>
      </c>
      <c r="L76" s="122" t="e">
        <f t="shared" si="285"/>
        <v>#DIV/0!</v>
      </c>
      <c r="M76" s="122" t="e">
        <f t="shared" si="285"/>
        <v>#DIV/0!</v>
      </c>
      <c r="N76" s="122" t="e">
        <f t="shared" si="285"/>
        <v>#DIV/0!</v>
      </c>
      <c r="O76" s="122" t="e">
        <f t="shared" si="285"/>
        <v>#DIV/0!</v>
      </c>
      <c r="P76" s="122" t="e">
        <f t="shared" si="285"/>
        <v>#DIV/0!</v>
      </c>
      <c r="Q76" s="122" t="e">
        <f t="shared" si="285"/>
        <v>#DIV/0!</v>
      </c>
      <c r="R76" s="122">
        <f t="shared" si="285"/>
        <v>1</v>
      </c>
      <c r="S76" s="122">
        <f t="shared" si="285"/>
        <v>165.58112094395281</v>
      </c>
      <c r="T76" s="122">
        <f t="shared" ref="T76" si="286">T10/T57</f>
        <v>266.87315634218288</v>
      </c>
      <c r="U76" s="101">
        <f t="shared" si="233"/>
        <v>0.53687603251921723</v>
      </c>
      <c r="V76" s="110"/>
      <c r="W76" s="134">
        <f t="shared" ref="W76:AF76" si="287">W10/W57</f>
        <v>293.03719127769102</v>
      </c>
      <c r="X76" s="134">
        <f t="shared" si="287"/>
        <v>321.76632767746469</v>
      </c>
      <c r="Y76" s="134">
        <f t="shared" si="287"/>
        <v>353.31204607721611</v>
      </c>
      <c r="Z76" s="134">
        <f t="shared" si="287"/>
        <v>387.95048196713935</v>
      </c>
      <c r="AA76" s="134">
        <f t="shared" si="287"/>
        <v>425.98484294430989</v>
      </c>
      <c r="AB76" s="134">
        <f t="shared" si="287"/>
        <v>467.74806284081092</v>
      </c>
      <c r="AC76" s="134">
        <f t="shared" si="287"/>
        <v>513.60571606049825</v>
      </c>
      <c r="AD76" s="134">
        <f t="shared" si="287"/>
        <v>563.95921763505692</v>
      </c>
      <c r="AE76" s="134">
        <f t="shared" si="287"/>
        <v>619.24933701104294</v>
      </c>
      <c r="AF76" s="134">
        <f t="shared" si="287"/>
        <v>679.96005632585116</v>
      </c>
      <c r="AG76" s="116" t="e">
        <f t="shared" si="265"/>
        <v>#DIV/0!</v>
      </c>
      <c r="AH76" s="21">
        <f t="shared" si="19"/>
        <v>0.05</v>
      </c>
      <c r="AI76" s="124">
        <f t="shared" si="266"/>
        <v>4199.7532890714338</v>
      </c>
    </row>
    <row r="77" spans="2:35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10"/>
      <c r="V77" s="110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17"/>
      <c r="AH77" s="115"/>
      <c r="AI77" s="124"/>
    </row>
    <row r="78" spans="2:35">
      <c r="B78" s="10" t="s">
        <v>222</v>
      </c>
      <c r="C78" s="109"/>
      <c r="D78" s="109"/>
      <c r="E78" s="109"/>
      <c r="F78" s="122"/>
      <c r="G78" s="122">
        <f t="shared" ref="G78" si="288">(G7-G10)/G57</f>
        <v>99</v>
      </c>
      <c r="H78" s="122" t="e">
        <f t="shared" ref="H78:I78" si="289">(H7-H10)/H57</f>
        <v>#DIV/0!</v>
      </c>
      <c r="I78" s="122" t="e">
        <f t="shared" si="289"/>
        <v>#DIV/0!</v>
      </c>
      <c r="J78" s="122" t="e">
        <f t="shared" ref="J78:S78" si="290">(J7-J10)/J57</f>
        <v>#DIV/0!</v>
      </c>
      <c r="K78" s="122" t="e">
        <f t="shared" si="290"/>
        <v>#DIV/0!</v>
      </c>
      <c r="L78" s="122" t="e">
        <f t="shared" si="290"/>
        <v>#DIV/0!</v>
      </c>
      <c r="M78" s="122" t="e">
        <f t="shared" si="290"/>
        <v>#DIV/0!</v>
      </c>
      <c r="N78" s="122" t="e">
        <f t="shared" si="290"/>
        <v>#DIV/0!</v>
      </c>
      <c r="O78" s="122" t="e">
        <f t="shared" si="290"/>
        <v>#DIV/0!</v>
      </c>
      <c r="P78" s="122" t="e">
        <f t="shared" si="290"/>
        <v>#DIV/0!</v>
      </c>
      <c r="Q78" s="122" t="e">
        <f t="shared" si="290"/>
        <v>#DIV/0!</v>
      </c>
      <c r="R78" s="122">
        <f t="shared" si="290"/>
        <v>99</v>
      </c>
      <c r="S78" s="122">
        <f t="shared" si="290"/>
        <v>-125.36710914454277</v>
      </c>
      <c r="T78" s="122">
        <f t="shared" ref="T78" si="291">(T7-T10)/T57</f>
        <v>-223.57522123893804</v>
      </c>
      <c r="U78" s="101">
        <f t="shared" si="233"/>
        <v>-2.0646687282750484</v>
      </c>
      <c r="V78" s="110"/>
      <c r="W78" s="134">
        <f t="shared" ref="W78:AF78" si="292">(W7-W10)/W57</f>
        <v>-245.49436057608884</v>
      </c>
      <c r="X78" s="134">
        <f t="shared" si="292"/>
        <v>-269.56243514237207</v>
      </c>
      <c r="Y78" s="134">
        <f t="shared" si="292"/>
        <v>-295.9901248622125</v>
      </c>
      <c r="Z78" s="134">
        <f t="shared" si="292"/>
        <v>-325.00876455458632</v>
      </c>
      <c r="AA78" s="134">
        <f t="shared" si="292"/>
        <v>-356.87236892268299</v>
      </c>
      <c r="AB78" s="134">
        <f t="shared" si="292"/>
        <v>-391.85985607196579</v>
      </c>
      <c r="AC78" s="134">
        <f t="shared" si="292"/>
        <v>-430.27748902019766</v>
      </c>
      <c r="AD78" s="134">
        <f t="shared" si="292"/>
        <v>-472.46155657119749</v>
      </c>
      <c r="AE78" s="134">
        <f t="shared" si="292"/>
        <v>-518.78131701935411</v>
      </c>
      <c r="AF78" s="134">
        <f t="shared" si="292"/>
        <v>-569.64223045262418</v>
      </c>
      <c r="AG78" s="116" t="e">
        <f t="shared" si="265"/>
        <v>#DIV/0!</v>
      </c>
      <c r="AH78" s="21">
        <f t="shared" si="19"/>
        <v>0.05</v>
      </c>
      <c r="AI78" s="124">
        <f t="shared" si="266"/>
        <v>-3518.3784822073853</v>
      </c>
    </row>
    <row r="79" spans="2:35">
      <c r="B79" s="10" t="s">
        <v>223</v>
      </c>
      <c r="C79" s="109"/>
      <c r="D79" s="109"/>
      <c r="E79" s="109"/>
      <c r="F79" s="122"/>
      <c r="G79" s="122">
        <f t="shared" ref="G79" si="293">(G7-G10-G9)/G57</f>
        <v>98</v>
      </c>
      <c r="H79" s="122" t="e">
        <f t="shared" ref="H79:I79" si="294">(H7-H10-H9)/H57</f>
        <v>#DIV/0!</v>
      </c>
      <c r="I79" s="122" t="e">
        <f t="shared" si="294"/>
        <v>#DIV/0!</v>
      </c>
      <c r="J79" s="122" t="e">
        <f t="shared" ref="J79:S79" si="295">(J7-J10-J9)/J57</f>
        <v>#DIV/0!</v>
      </c>
      <c r="K79" s="122" t="e">
        <f t="shared" si="295"/>
        <v>#DIV/0!</v>
      </c>
      <c r="L79" s="122" t="e">
        <f t="shared" si="295"/>
        <v>#DIV/0!</v>
      </c>
      <c r="M79" s="122" t="e">
        <f t="shared" si="295"/>
        <v>#DIV/0!</v>
      </c>
      <c r="N79" s="122" t="e">
        <f t="shared" si="295"/>
        <v>#DIV/0!</v>
      </c>
      <c r="O79" s="122" t="e">
        <f t="shared" si="295"/>
        <v>#DIV/0!</v>
      </c>
      <c r="P79" s="122" t="e">
        <f t="shared" si="295"/>
        <v>#DIV/0!</v>
      </c>
      <c r="Q79" s="122" t="e">
        <f t="shared" si="295"/>
        <v>#DIV/0!</v>
      </c>
      <c r="R79" s="122">
        <f t="shared" si="295"/>
        <v>98</v>
      </c>
      <c r="S79" s="122">
        <f t="shared" si="295"/>
        <v>-137.76958702064897</v>
      </c>
      <c r="T79" s="122">
        <f t="shared" ref="T79" si="296">(T7-T10-T9)/T57</f>
        <v>-244.25663716814159</v>
      </c>
      <c r="U79" s="101">
        <f t="shared" si="233"/>
        <v>-2.0727765056683007</v>
      </c>
      <c r="V79" s="110"/>
      <c r="W79" s="134">
        <f t="shared" ref="W79:AF79" si="297">(W7-W10-W9)/W57</f>
        <v>-268.20336630227314</v>
      </c>
      <c r="X79" s="134">
        <f t="shared" si="297"/>
        <v>-294.49781397896658</v>
      </c>
      <c r="Y79" s="134">
        <f t="shared" si="297"/>
        <v>-323.37014868278686</v>
      </c>
      <c r="Z79" s="134">
        <f t="shared" si="297"/>
        <v>-355.0731044360013</v>
      </c>
      <c r="AA79" s="134">
        <f t="shared" si="297"/>
        <v>-389.88419310619753</v>
      </c>
      <c r="AB79" s="134">
        <f t="shared" si="297"/>
        <v>-428.10813360680527</v>
      </c>
      <c r="AC79" s="134">
        <f t="shared" si="297"/>
        <v>-470.07951925453119</v>
      </c>
      <c r="AD79" s="134">
        <f t="shared" si="297"/>
        <v>-516.16574663242648</v>
      </c>
      <c r="AE79" s="134">
        <f t="shared" si="297"/>
        <v>-566.77023159638986</v>
      </c>
      <c r="AF79" s="134">
        <f t="shared" si="297"/>
        <v>-622.33594057642813</v>
      </c>
      <c r="AG79" s="116" t="e">
        <f t="shared" si="265"/>
        <v>#DIV/0!</v>
      </c>
      <c r="AH79" s="21">
        <f t="shared" si="19"/>
        <v>0.05</v>
      </c>
      <c r="AI79" s="124">
        <f t="shared" si="266"/>
        <v>-3843.8396329720567</v>
      </c>
    </row>
    <row r="80" spans="2:35">
      <c r="B80" s="10" t="s">
        <v>228</v>
      </c>
      <c r="C80" s="109"/>
      <c r="D80" s="109"/>
      <c r="E80" s="109"/>
      <c r="F80" s="122"/>
      <c r="G80" s="122">
        <f t="shared" ref="G80" si="298">(G7+G15-G10-G9)/G57</f>
        <v>99</v>
      </c>
      <c r="H80" s="122" t="e">
        <f t="shared" ref="H80:I80" si="299">(H7+H15-H10-H9)/H57</f>
        <v>#DIV/0!</v>
      </c>
      <c r="I80" s="122" t="e">
        <f t="shared" si="299"/>
        <v>#DIV/0!</v>
      </c>
      <c r="J80" s="122" t="e">
        <f t="shared" ref="J80:S80" si="300">(J7+J15-J10-J9)/J57</f>
        <v>#DIV/0!</v>
      </c>
      <c r="K80" s="122" t="e">
        <f t="shared" si="300"/>
        <v>#DIV/0!</v>
      </c>
      <c r="L80" s="122" t="e">
        <f t="shared" si="300"/>
        <v>#DIV/0!</v>
      </c>
      <c r="M80" s="122" t="e">
        <f t="shared" si="300"/>
        <v>#DIV/0!</v>
      </c>
      <c r="N80" s="122" t="e">
        <f t="shared" si="300"/>
        <v>#DIV/0!</v>
      </c>
      <c r="O80" s="122" t="e">
        <f t="shared" si="300"/>
        <v>#DIV/0!</v>
      </c>
      <c r="P80" s="122" t="e">
        <f t="shared" si="300"/>
        <v>#DIV/0!</v>
      </c>
      <c r="Q80" s="122" t="e">
        <f t="shared" si="300"/>
        <v>#DIV/0!</v>
      </c>
      <c r="R80" s="122">
        <f t="shared" si="300"/>
        <v>99</v>
      </c>
      <c r="S80" s="122">
        <f t="shared" si="300"/>
        <v>-137.76958702064897</v>
      </c>
      <c r="T80" s="122">
        <f t="shared" ref="T80" si="301">(T7+T15-T10-T9)/T57</f>
        <v>-244.25663716814159</v>
      </c>
      <c r="U80" s="101">
        <f t="shared" si="233"/>
        <v>-2.0719390461352263</v>
      </c>
      <c r="V80" s="110"/>
      <c r="W80" s="134">
        <f t="shared" ref="W80:AF80" si="302">(W7+W15-W10-W9)/W57</f>
        <v>-268.20336630227314</v>
      </c>
      <c r="X80" s="134">
        <f t="shared" si="302"/>
        <v>-294.49781397896658</v>
      </c>
      <c r="Y80" s="134">
        <f t="shared" si="302"/>
        <v>-323.37014868278686</v>
      </c>
      <c r="Z80" s="134">
        <f t="shared" si="302"/>
        <v>-355.0731044360013</v>
      </c>
      <c r="AA80" s="134">
        <f t="shared" si="302"/>
        <v>-389.88419310619753</v>
      </c>
      <c r="AB80" s="134">
        <f t="shared" si="302"/>
        <v>-428.10813360680527</v>
      </c>
      <c r="AC80" s="134">
        <f t="shared" si="302"/>
        <v>-470.07951925453119</v>
      </c>
      <c r="AD80" s="134">
        <f t="shared" si="302"/>
        <v>-516.16574663242648</v>
      </c>
      <c r="AE80" s="134">
        <f t="shared" si="302"/>
        <v>-566.77023159638986</v>
      </c>
      <c r="AF80" s="134">
        <f t="shared" si="302"/>
        <v>-622.33594057642813</v>
      </c>
      <c r="AG80" s="116" t="e">
        <f t="shared" si="265"/>
        <v>#DIV/0!</v>
      </c>
      <c r="AH80" s="21">
        <f t="shared" si="19"/>
        <v>0.05</v>
      </c>
      <c r="AI80" s="124">
        <f t="shared" si="266"/>
        <v>-3843.8396329720567</v>
      </c>
    </row>
    <row r="81" spans="2:35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10"/>
      <c r="V81" s="110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17"/>
      <c r="AH81" s="115"/>
      <c r="AI81" s="131"/>
    </row>
    <row r="82" spans="2:35">
      <c r="B82" s="10" t="s">
        <v>206</v>
      </c>
      <c r="C82" s="109"/>
      <c r="D82" s="109"/>
      <c r="E82" s="109"/>
      <c r="F82" s="122"/>
      <c r="G82" s="122">
        <f t="shared" ref="G82" si="303">G12/G57</f>
        <v>1</v>
      </c>
      <c r="H82" s="122" t="e">
        <f t="shared" ref="H82:I82" si="304">H12/H57</f>
        <v>#DIV/0!</v>
      </c>
      <c r="I82" s="122" t="e">
        <f t="shared" si="304"/>
        <v>#DIV/0!</v>
      </c>
      <c r="J82" s="122" t="e">
        <f t="shared" ref="J82:S82" si="305">J12/J57</f>
        <v>#DIV/0!</v>
      </c>
      <c r="K82" s="122" t="e">
        <f t="shared" si="305"/>
        <v>#DIV/0!</v>
      </c>
      <c r="L82" s="122" t="e">
        <f t="shared" si="305"/>
        <v>#DIV/0!</v>
      </c>
      <c r="M82" s="122" t="e">
        <f t="shared" si="305"/>
        <v>#DIV/0!</v>
      </c>
      <c r="N82" s="122" t="e">
        <f t="shared" si="305"/>
        <v>#DIV/0!</v>
      </c>
      <c r="O82" s="122" t="e">
        <f t="shared" si="305"/>
        <v>#DIV/0!</v>
      </c>
      <c r="P82" s="122" t="e">
        <f t="shared" si="305"/>
        <v>#DIV/0!</v>
      </c>
      <c r="Q82" s="122" t="e">
        <f t="shared" si="305"/>
        <v>#DIV/0!</v>
      </c>
      <c r="R82" s="122">
        <f t="shared" si="305"/>
        <v>1</v>
      </c>
      <c r="S82" s="122">
        <f t="shared" si="305"/>
        <v>5.6047197640117998</v>
      </c>
      <c r="T82" s="122">
        <f t="shared" ref="T82" si="306">T12/T57</f>
        <v>8.9557522123893811</v>
      </c>
      <c r="U82" s="101">
        <f t="shared" si="233"/>
        <v>0.18369174995159421</v>
      </c>
      <c r="V82" s="110"/>
      <c r="W82" s="134">
        <f t="shared" ref="W82:AF82" si="307">W12/W57</f>
        <v>9.8337671351726534</v>
      </c>
      <c r="X82" s="134">
        <f t="shared" si="307"/>
        <v>10.797861952346445</v>
      </c>
      <c r="Y82" s="134">
        <f t="shared" si="307"/>
        <v>11.856475869243154</v>
      </c>
      <c r="Z82" s="134">
        <f t="shared" si="307"/>
        <v>13.018875464266994</v>
      </c>
      <c r="AA82" s="134">
        <f t="shared" si="307"/>
        <v>14.295235803901013</v>
      </c>
      <c r="AB82" s="134">
        <f t="shared" si="307"/>
        <v>15.696729510165818</v>
      </c>
      <c r="AC82" s="134">
        <f t="shared" si="307"/>
        <v>17.235624560182075</v>
      </c>
      <c r="AD82" s="134">
        <f t="shared" si="307"/>
        <v>18.925391673925414</v>
      </c>
      <c r="AE82" s="134">
        <f t="shared" si="307"/>
        <v>20.780822230192616</v>
      </c>
      <c r="AF82" s="134">
        <f t="shared" si="307"/>
        <v>22.8181577429566</v>
      </c>
      <c r="AG82" s="116" t="e">
        <f t="shared" si="265"/>
        <v>#DIV/0!</v>
      </c>
      <c r="AH82" s="21">
        <f t="shared" si="19"/>
        <v>0.05</v>
      </c>
      <c r="AI82" s="124">
        <f t="shared" si="266"/>
        <v>140.93568017708489</v>
      </c>
    </row>
    <row r="83" spans="2:35">
      <c r="B83" s="10" t="s">
        <v>213</v>
      </c>
      <c r="C83" s="109"/>
      <c r="D83" s="109"/>
      <c r="E83" s="109"/>
      <c r="F83" s="122"/>
      <c r="G83" s="122">
        <f t="shared" ref="G83" si="308">G13/G57</f>
        <v>1</v>
      </c>
      <c r="H83" s="122" t="e">
        <f t="shared" ref="H83:I83" si="309">H13/H57</f>
        <v>#DIV/0!</v>
      </c>
      <c r="I83" s="122" t="e">
        <f t="shared" si="309"/>
        <v>#DIV/0!</v>
      </c>
      <c r="J83" s="122" t="e">
        <f t="shared" ref="J83:S83" si="310">J13/J57</f>
        <v>#DIV/0!</v>
      </c>
      <c r="K83" s="122" t="e">
        <f t="shared" si="310"/>
        <v>#DIV/0!</v>
      </c>
      <c r="L83" s="122" t="e">
        <f t="shared" si="310"/>
        <v>#DIV/0!</v>
      </c>
      <c r="M83" s="122" t="e">
        <f t="shared" si="310"/>
        <v>#DIV/0!</v>
      </c>
      <c r="N83" s="122" t="e">
        <f t="shared" si="310"/>
        <v>#DIV/0!</v>
      </c>
      <c r="O83" s="122" t="e">
        <f t="shared" si="310"/>
        <v>#DIV/0!</v>
      </c>
      <c r="P83" s="122" t="e">
        <f t="shared" si="310"/>
        <v>#DIV/0!</v>
      </c>
      <c r="Q83" s="122" t="e">
        <f t="shared" si="310"/>
        <v>#DIV/0!</v>
      </c>
      <c r="R83" s="122">
        <f t="shared" si="310"/>
        <v>1</v>
      </c>
      <c r="S83" s="122">
        <f t="shared" si="310"/>
        <v>59.26548672566372</v>
      </c>
      <c r="T83" s="122">
        <f t="shared" ref="T83" si="311">T13/T57</f>
        <v>148.88200589970501</v>
      </c>
      <c r="U83" s="101">
        <f t="shared" si="233"/>
        <v>0.46940566068855727</v>
      </c>
      <c r="V83" s="110"/>
      <c r="W83" s="134">
        <f t="shared" ref="W83:AF83" si="312">W13/W57</f>
        <v>163.47828098791138</v>
      </c>
      <c r="X83" s="134">
        <f t="shared" si="312"/>
        <v>179.50556343770666</v>
      </c>
      <c r="Y83" s="134">
        <f t="shared" si="312"/>
        <v>197.10414808846218</v>
      </c>
      <c r="Z83" s="134">
        <f t="shared" si="312"/>
        <v>216.42808417556637</v>
      </c>
      <c r="AA83" s="134">
        <f t="shared" si="312"/>
        <v>237.64652380062191</v>
      </c>
      <c r="AB83" s="134">
        <f t="shared" si="312"/>
        <v>260.94520260460445</v>
      </c>
      <c r="AC83" s="134">
        <f t="shared" si="312"/>
        <v>286.52806560505587</v>
      </c>
      <c r="AD83" s="134">
        <f t="shared" si="312"/>
        <v>314.61905242908097</v>
      </c>
      <c r="AE83" s="134">
        <f t="shared" si="312"/>
        <v>345.46405756918699</v>
      </c>
      <c r="AF83" s="134">
        <f t="shared" si="312"/>
        <v>379.33308282106816</v>
      </c>
      <c r="AG83" s="116" t="e">
        <f t="shared" si="265"/>
        <v>#DIV/0!</v>
      </c>
      <c r="AH83" s="21">
        <f t="shared" si="19"/>
        <v>0.05</v>
      </c>
      <c r="AI83" s="124">
        <f t="shared" si="266"/>
        <v>2342.9396291889507</v>
      </c>
    </row>
    <row r="84" spans="2:35">
      <c r="B84" s="10" t="s">
        <v>214</v>
      </c>
      <c r="C84" s="109"/>
      <c r="D84" s="109"/>
      <c r="E84" s="109"/>
      <c r="F84" s="122"/>
      <c r="G84" s="122">
        <f t="shared" ref="G84" si="313">(G82+G83)</f>
        <v>2</v>
      </c>
      <c r="H84" s="122" t="e">
        <f t="shared" ref="H84:I84" si="314">(H82+H83)</f>
        <v>#DIV/0!</v>
      </c>
      <c r="I84" s="122" t="e">
        <f t="shared" si="314"/>
        <v>#DIV/0!</v>
      </c>
      <c r="J84" s="122" t="e">
        <f t="shared" ref="J84:S84" si="315">(J82+J83)</f>
        <v>#DIV/0!</v>
      </c>
      <c r="K84" s="122" t="e">
        <f t="shared" si="315"/>
        <v>#DIV/0!</v>
      </c>
      <c r="L84" s="122" t="e">
        <f t="shared" si="315"/>
        <v>#DIV/0!</v>
      </c>
      <c r="M84" s="122" t="e">
        <f t="shared" si="315"/>
        <v>#DIV/0!</v>
      </c>
      <c r="N84" s="122" t="e">
        <f t="shared" si="315"/>
        <v>#DIV/0!</v>
      </c>
      <c r="O84" s="122" t="e">
        <f t="shared" si="315"/>
        <v>#DIV/0!</v>
      </c>
      <c r="P84" s="122" t="e">
        <f t="shared" si="315"/>
        <v>#DIV/0!</v>
      </c>
      <c r="Q84" s="122" t="e">
        <f t="shared" si="315"/>
        <v>#DIV/0!</v>
      </c>
      <c r="R84" s="122">
        <f t="shared" ref="R84" si="316">(R82+R83)</f>
        <v>2</v>
      </c>
      <c r="S84" s="122">
        <f t="shared" si="315"/>
        <v>64.870206489675525</v>
      </c>
      <c r="T84" s="122">
        <f t="shared" ref="T84" si="317">(T82+T83)</f>
        <v>157.83775811209438</v>
      </c>
      <c r="U84" s="101">
        <f t="shared" si="233"/>
        <v>0.3993842863570245</v>
      </c>
      <c r="V84" s="110"/>
      <c r="W84" s="134">
        <f t="shared" ref="W84:AF84" si="318">(W82+W83)</f>
        <v>173.31204812308403</v>
      </c>
      <c r="X84" s="134">
        <f t="shared" si="318"/>
        <v>190.30342539005309</v>
      </c>
      <c r="Y84" s="134">
        <f t="shared" si="318"/>
        <v>208.96062395770534</v>
      </c>
      <c r="Z84" s="134">
        <f t="shared" si="318"/>
        <v>229.44695963983335</v>
      </c>
      <c r="AA84" s="134">
        <f t="shared" si="318"/>
        <v>251.94175960452293</v>
      </c>
      <c r="AB84" s="134">
        <f t="shared" si="318"/>
        <v>276.64193211477027</v>
      </c>
      <c r="AC84" s="134">
        <f t="shared" si="318"/>
        <v>303.76369016523796</v>
      </c>
      <c r="AD84" s="134">
        <f t="shared" si="318"/>
        <v>333.54444410300636</v>
      </c>
      <c r="AE84" s="134">
        <f t="shared" si="318"/>
        <v>366.24487979937959</v>
      </c>
      <c r="AF84" s="134">
        <f t="shared" si="318"/>
        <v>402.15124056402476</v>
      </c>
      <c r="AG84" s="116" t="e">
        <f t="shared" si="265"/>
        <v>#DIV/0!</v>
      </c>
      <c r="AH84" s="21">
        <f t="shared" si="19"/>
        <v>0.05</v>
      </c>
      <c r="AI84" s="124">
        <f t="shared" si="266"/>
        <v>2483.8753093660357</v>
      </c>
    </row>
    <row r="85" spans="2:35">
      <c r="B85" s="10" t="s">
        <v>207</v>
      </c>
      <c r="C85" s="109"/>
      <c r="D85" s="109"/>
      <c r="E85" s="109"/>
      <c r="F85" s="122"/>
      <c r="G85" s="122">
        <f t="shared" ref="G85" si="319">G15/G57</f>
        <v>1</v>
      </c>
      <c r="H85" s="122" t="e">
        <f t="shared" ref="H85:I85" si="320">H15/H57</f>
        <v>#DIV/0!</v>
      </c>
      <c r="I85" s="122" t="e">
        <f t="shared" si="320"/>
        <v>#DIV/0!</v>
      </c>
      <c r="J85" s="122" t="e">
        <f t="shared" ref="J85:S85" si="321">J15/J57</f>
        <v>#DIV/0!</v>
      </c>
      <c r="K85" s="122" t="e">
        <f t="shared" si="321"/>
        <v>#DIV/0!</v>
      </c>
      <c r="L85" s="122" t="e">
        <f t="shared" si="321"/>
        <v>#DIV/0!</v>
      </c>
      <c r="M85" s="122" t="e">
        <f t="shared" si="321"/>
        <v>#DIV/0!</v>
      </c>
      <c r="N85" s="122" t="e">
        <f t="shared" si="321"/>
        <v>#DIV/0!</v>
      </c>
      <c r="O85" s="122" t="e">
        <f t="shared" si="321"/>
        <v>#DIV/0!</v>
      </c>
      <c r="P85" s="122" t="e">
        <f t="shared" si="321"/>
        <v>#DIV/0!</v>
      </c>
      <c r="Q85" s="122" t="e">
        <f t="shared" si="321"/>
        <v>#DIV/0!</v>
      </c>
      <c r="R85" s="122">
        <f t="shared" si="321"/>
        <v>1</v>
      </c>
      <c r="S85" s="122">
        <f t="shared" si="321"/>
        <v>0</v>
      </c>
      <c r="T85" s="122">
        <f t="shared" ref="T85" si="322">T15/T57</f>
        <v>0</v>
      </c>
      <c r="U85" s="101">
        <f t="shared" si="233"/>
        <v>-1</v>
      </c>
      <c r="V85" s="110"/>
      <c r="W85" s="134">
        <f t="shared" ref="W85:AF85" si="323">W15/W57</f>
        <v>0</v>
      </c>
      <c r="X85" s="134">
        <f t="shared" si="323"/>
        <v>0</v>
      </c>
      <c r="Y85" s="134">
        <f t="shared" si="323"/>
        <v>0</v>
      </c>
      <c r="Z85" s="134">
        <f t="shared" si="323"/>
        <v>0</v>
      </c>
      <c r="AA85" s="134">
        <f t="shared" si="323"/>
        <v>0</v>
      </c>
      <c r="AB85" s="134">
        <f t="shared" si="323"/>
        <v>0</v>
      </c>
      <c r="AC85" s="134">
        <f t="shared" si="323"/>
        <v>0</v>
      </c>
      <c r="AD85" s="134">
        <f t="shared" si="323"/>
        <v>0</v>
      </c>
      <c r="AE85" s="134">
        <f t="shared" si="323"/>
        <v>0</v>
      </c>
      <c r="AF85" s="134">
        <f t="shared" si="323"/>
        <v>0</v>
      </c>
      <c r="AG85" s="116" t="e">
        <f t="shared" si="265"/>
        <v>#DIV/0!</v>
      </c>
      <c r="AH85" s="21">
        <f t="shared" si="19"/>
        <v>0.05</v>
      </c>
      <c r="AI85" s="124">
        <f t="shared" si="266"/>
        <v>0</v>
      </c>
    </row>
    <row r="86" spans="2:35">
      <c r="B86" s="10" t="s">
        <v>208</v>
      </c>
      <c r="C86" s="109"/>
      <c r="D86" s="109"/>
      <c r="E86" s="109"/>
      <c r="F86" s="122"/>
      <c r="G86" s="122">
        <f t="shared" ref="G86" si="324">G16/G57</f>
        <v>1</v>
      </c>
      <c r="H86" s="122" t="e">
        <f t="shared" ref="H86:I86" si="325">H16/H57</f>
        <v>#DIV/0!</v>
      </c>
      <c r="I86" s="122" t="e">
        <f t="shared" si="325"/>
        <v>#DIV/0!</v>
      </c>
      <c r="J86" s="122" t="e">
        <f t="shared" ref="J86:S86" si="326">J16/J57</f>
        <v>#DIV/0!</v>
      </c>
      <c r="K86" s="122" t="e">
        <f t="shared" si="326"/>
        <v>#DIV/0!</v>
      </c>
      <c r="L86" s="122" t="e">
        <f t="shared" si="326"/>
        <v>#DIV/0!</v>
      </c>
      <c r="M86" s="122" t="e">
        <f t="shared" si="326"/>
        <v>#DIV/0!</v>
      </c>
      <c r="N86" s="122" t="e">
        <f t="shared" si="326"/>
        <v>#DIV/0!</v>
      </c>
      <c r="O86" s="122" t="e">
        <f t="shared" si="326"/>
        <v>#DIV/0!</v>
      </c>
      <c r="P86" s="122" t="e">
        <f t="shared" si="326"/>
        <v>#DIV/0!</v>
      </c>
      <c r="Q86" s="122" t="e">
        <f t="shared" si="326"/>
        <v>#DIV/0!</v>
      </c>
      <c r="R86" s="122">
        <f t="shared" si="326"/>
        <v>1</v>
      </c>
      <c r="S86" s="122">
        <f t="shared" si="326"/>
        <v>0</v>
      </c>
      <c r="T86" s="122">
        <f t="shared" ref="T86" si="327">T16/T57</f>
        <v>0</v>
      </c>
      <c r="U86" s="101">
        <f t="shared" si="233"/>
        <v>-1</v>
      </c>
      <c r="V86" s="110"/>
      <c r="W86" s="134">
        <f t="shared" ref="W86:AF86" si="328">W16/W57</f>
        <v>0</v>
      </c>
      <c r="X86" s="134">
        <f t="shared" si="328"/>
        <v>0</v>
      </c>
      <c r="Y86" s="134">
        <f t="shared" si="328"/>
        <v>0</v>
      </c>
      <c r="Z86" s="134">
        <f t="shared" si="328"/>
        <v>0</v>
      </c>
      <c r="AA86" s="134">
        <f t="shared" si="328"/>
        <v>0</v>
      </c>
      <c r="AB86" s="134">
        <f t="shared" si="328"/>
        <v>0</v>
      </c>
      <c r="AC86" s="134">
        <f t="shared" si="328"/>
        <v>0</v>
      </c>
      <c r="AD86" s="134">
        <f t="shared" si="328"/>
        <v>0</v>
      </c>
      <c r="AE86" s="134">
        <f t="shared" si="328"/>
        <v>0</v>
      </c>
      <c r="AF86" s="134">
        <f t="shared" si="328"/>
        <v>0</v>
      </c>
      <c r="AG86" s="116" t="e">
        <f t="shared" si="265"/>
        <v>#DIV/0!</v>
      </c>
      <c r="AH86" s="115"/>
      <c r="AI86" s="124">
        <f t="shared" si="266"/>
        <v>0</v>
      </c>
    </row>
    <row r="87" spans="2:35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10"/>
      <c r="V87" s="11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17"/>
      <c r="AH87" s="21">
        <f t="shared" si="19"/>
        <v>0.05</v>
      </c>
      <c r="AI87" s="124">
        <f t="shared" si="266"/>
        <v>0</v>
      </c>
    </row>
    <row r="88" spans="2:35">
      <c r="B88" s="10" t="s">
        <v>233</v>
      </c>
      <c r="C88" s="136"/>
      <c r="D88" s="136"/>
      <c r="E88" s="136"/>
      <c r="F88" s="136"/>
      <c r="G88" s="136">
        <f t="shared" ref="G88" si="329">G59</f>
        <v>0.01</v>
      </c>
      <c r="H88" s="136">
        <f t="shared" ref="H88:I88" si="330">H59</f>
        <v>0</v>
      </c>
      <c r="I88" s="136">
        <f t="shared" si="330"/>
        <v>0</v>
      </c>
      <c r="J88" s="136">
        <f t="shared" ref="J88:S88" si="331">J59</f>
        <v>0</v>
      </c>
      <c r="K88" s="136">
        <f t="shared" si="331"/>
        <v>0</v>
      </c>
      <c r="L88" s="136">
        <f t="shared" si="331"/>
        <v>0</v>
      </c>
      <c r="M88" s="136">
        <f t="shared" si="331"/>
        <v>0</v>
      </c>
      <c r="N88" s="136">
        <f t="shared" si="331"/>
        <v>0</v>
      </c>
      <c r="O88" s="136">
        <f t="shared" si="331"/>
        <v>0</v>
      </c>
      <c r="P88" s="136">
        <f t="shared" si="331"/>
        <v>0</v>
      </c>
      <c r="Q88" s="136">
        <f t="shared" si="331"/>
        <v>0</v>
      </c>
      <c r="R88" s="136">
        <f t="shared" si="331"/>
        <v>0.01</v>
      </c>
      <c r="S88" s="136">
        <f t="shared" si="331"/>
        <v>0</v>
      </c>
      <c r="T88" s="136">
        <f t="shared" ref="T88" si="332">T59</f>
        <v>0</v>
      </c>
      <c r="U88" s="101">
        <f t="shared" si="233"/>
        <v>-1</v>
      </c>
      <c r="V88" s="110"/>
      <c r="W88" s="136">
        <f t="shared" ref="W88:AF88" si="333">W59</f>
        <v>0</v>
      </c>
      <c r="X88" s="136">
        <f t="shared" si="333"/>
        <v>0</v>
      </c>
      <c r="Y88" s="136">
        <f t="shared" si="333"/>
        <v>0</v>
      </c>
      <c r="Z88" s="136">
        <f t="shared" si="333"/>
        <v>0</v>
      </c>
      <c r="AA88" s="136">
        <f t="shared" si="333"/>
        <v>0</v>
      </c>
      <c r="AB88" s="136">
        <f t="shared" si="333"/>
        <v>0</v>
      </c>
      <c r="AC88" s="136">
        <f t="shared" si="333"/>
        <v>0</v>
      </c>
      <c r="AD88" s="136">
        <f t="shared" si="333"/>
        <v>0</v>
      </c>
      <c r="AE88" s="136">
        <f t="shared" si="333"/>
        <v>0</v>
      </c>
      <c r="AF88" s="136">
        <f t="shared" si="333"/>
        <v>0</v>
      </c>
      <c r="AG88" s="116" t="e">
        <f t="shared" ref="AG88" si="334">((AF88/J88)^(1/($AF$3-$K$1) ))-1</f>
        <v>#DIV/0!</v>
      </c>
      <c r="AH88" s="21">
        <f t="shared" si="19"/>
        <v>0.05</v>
      </c>
      <c r="AI88" s="124">
        <f t="shared" si="266"/>
        <v>0</v>
      </c>
    </row>
    <row r="89" spans="2:35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10"/>
      <c r="V89" s="110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17"/>
      <c r="AH89" s="115"/>
      <c r="AI89" s="131"/>
    </row>
    <row r="90" spans="2:35">
      <c r="B90" s="10" t="s">
        <v>263</v>
      </c>
      <c r="C90" s="109"/>
      <c r="D90" s="109"/>
      <c r="E90" s="109"/>
      <c r="F90" s="122"/>
      <c r="G90" s="122">
        <f t="shared" ref="G90" si="335">G20+G21</f>
        <v>0.02</v>
      </c>
      <c r="H90" s="122">
        <f t="shared" ref="H90:I90" si="336">H20+H21</f>
        <v>0</v>
      </c>
      <c r="I90" s="122">
        <f t="shared" si="336"/>
        <v>0</v>
      </c>
      <c r="J90" s="122">
        <f t="shared" ref="J90:S90" si="337">J20+J21</f>
        <v>0</v>
      </c>
      <c r="K90" s="122">
        <f t="shared" si="337"/>
        <v>0</v>
      </c>
      <c r="L90" s="122">
        <f t="shared" si="337"/>
        <v>0</v>
      </c>
      <c r="M90" s="122">
        <f t="shared" si="337"/>
        <v>0</v>
      </c>
      <c r="N90" s="122">
        <f t="shared" si="337"/>
        <v>0</v>
      </c>
      <c r="O90" s="122">
        <f t="shared" si="337"/>
        <v>0</v>
      </c>
      <c r="P90" s="122">
        <f t="shared" si="337"/>
        <v>0</v>
      </c>
      <c r="Q90" s="122">
        <f t="shared" si="337"/>
        <v>0</v>
      </c>
      <c r="R90" s="122">
        <f t="shared" si="337"/>
        <v>0.02</v>
      </c>
      <c r="S90" s="122">
        <f t="shared" si="337"/>
        <v>0</v>
      </c>
      <c r="T90" s="122">
        <f t="shared" ref="T90" si="338">T20+T21</f>
        <v>0</v>
      </c>
      <c r="U90" s="101">
        <f t="shared" si="233"/>
        <v>-1</v>
      </c>
      <c r="V90" s="110"/>
      <c r="W90" s="122">
        <f t="shared" ref="W90:AF90" si="339">W20+W21</f>
        <v>0</v>
      </c>
      <c r="X90" s="122">
        <f t="shared" si="339"/>
        <v>0</v>
      </c>
      <c r="Y90" s="122">
        <f t="shared" si="339"/>
        <v>0</v>
      </c>
      <c r="Z90" s="122">
        <f t="shared" si="339"/>
        <v>0</v>
      </c>
      <c r="AA90" s="122">
        <f t="shared" si="339"/>
        <v>0</v>
      </c>
      <c r="AB90" s="122">
        <f t="shared" si="339"/>
        <v>0</v>
      </c>
      <c r="AC90" s="122">
        <f t="shared" si="339"/>
        <v>0</v>
      </c>
      <c r="AD90" s="122">
        <f t="shared" si="339"/>
        <v>0</v>
      </c>
      <c r="AE90" s="122">
        <f t="shared" si="339"/>
        <v>0</v>
      </c>
      <c r="AF90" s="122">
        <f t="shared" si="339"/>
        <v>0</v>
      </c>
      <c r="AG90" s="116" t="e">
        <f t="shared" ref="AG90:AG95" si="340">((AF90/J90)^(1/($AF$3-$K$1) ))-1</f>
        <v>#DIV/0!</v>
      </c>
      <c r="AH90" s="21">
        <f t="shared" si="19"/>
        <v>0.05</v>
      </c>
      <c r="AI90" s="124">
        <f t="shared" si="266"/>
        <v>0</v>
      </c>
    </row>
    <row r="91" spans="2:35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10"/>
      <c r="V91" s="110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17"/>
      <c r="AH91" s="115"/>
      <c r="AI91" s="124"/>
    </row>
    <row r="92" spans="2:35">
      <c r="B92" s="10" t="s">
        <v>264</v>
      </c>
      <c r="C92" s="109"/>
      <c r="D92" s="109"/>
      <c r="E92" s="109"/>
      <c r="F92" s="122"/>
      <c r="G92" s="122">
        <f t="shared" ref="G92" si="341">G90/G57</f>
        <v>2</v>
      </c>
      <c r="H92" s="122" t="e">
        <f t="shared" ref="H92:I92" si="342">H90/H57</f>
        <v>#DIV/0!</v>
      </c>
      <c r="I92" s="122" t="e">
        <f t="shared" si="342"/>
        <v>#DIV/0!</v>
      </c>
      <c r="J92" s="122" t="e">
        <f t="shared" ref="J92:S92" si="343">J90/J57</f>
        <v>#DIV/0!</v>
      </c>
      <c r="K92" s="122" t="e">
        <f t="shared" si="343"/>
        <v>#DIV/0!</v>
      </c>
      <c r="L92" s="122" t="e">
        <f t="shared" si="343"/>
        <v>#DIV/0!</v>
      </c>
      <c r="M92" s="122" t="e">
        <f t="shared" si="343"/>
        <v>#DIV/0!</v>
      </c>
      <c r="N92" s="122" t="e">
        <f t="shared" si="343"/>
        <v>#DIV/0!</v>
      </c>
      <c r="O92" s="122" t="e">
        <f t="shared" si="343"/>
        <v>#DIV/0!</v>
      </c>
      <c r="P92" s="122" t="e">
        <f t="shared" si="343"/>
        <v>#DIV/0!</v>
      </c>
      <c r="Q92" s="122" t="e">
        <f t="shared" si="343"/>
        <v>#DIV/0!</v>
      </c>
      <c r="R92" s="122">
        <f t="shared" si="343"/>
        <v>2</v>
      </c>
      <c r="S92" s="122">
        <f t="shared" si="343"/>
        <v>0</v>
      </c>
      <c r="T92" s="122">
        <f t="shared" ref="T92" si="344">T90/T57</f>
        <v>0</v>
      </c>
      <c r="U92" s="101">
        <f t="shared" si="233"/>
        <v>-1</v>
      </c>
      <c r="V92" s="110"/>
      <c r="W92" s="124">
        <f t="shared" ref="W92:AF92" si="345">W90/W57</f>
        <v>0</v>
      </c>
      <c r="X92" s="124">
        <f t="shared" si="345"/>
        <v>0</v>
      </c>
      <c r="Y92" s="124">
        <f t="shared" si="345"/>
        <v>0</v>
      </c>
      <c r="Z92" s="124">
        <f t="shared" si="345"/>
        <v>0</v>
      </c>
      <c r="AA92" s="124">
        <f t="shared" si="345"/>
        <v>0</v>
      </c>
      <c r="AB92" s="124">
        <f t="shared" si="345"/>
        <v>0</v>
      </c>
      <c r="AC92" s="124">
        <f t="shared" si="345"/>
        <v>0</v>
      </c>
      <c r="AD92" s="124">
        <f t="shared" si="345"/>
        <v>0</v>
      </c>
      <c r="AE92" s="124">
        <f t="shared" si="345"/>
        <v>0</v>
      </c>
      <c r="AF92" s="124">
        <f t="shared" si="345"/>
        <v>0</v>
      </c>
      <c r="AG92" s="116" t="e">
        <f t="shared" si="340"/>
        <v>#DIV/0!</v>
      </c>
      <c r="AH92" s="21">
        <f t="shared" si="19"/>
        <v>0.05</v>
      </c>
      <c r="AI92" s="124">
        <f t="shared" si="266"/>
        <v>0</v>
      </c>
    </row>
    <row r="93" spans="2:35">
      <c r="B93" s="10" t="s">
        <v>237</v>
      </c>
      <c r="C93" s="109"/>
      <c r="D93" s="109"/>
      <c r="E93" s="109"/>
      <c r="F93" s="122"/>
      <c r="G93" s="122">
        <f t="shared" ref="G93" si="346">G20/G57</f>
        <v>1</v>
      </c>
      <c r="H93" s="122" t="e">
        <f t="shared" ref="H93:I93" si="347">H20/H57</f>
        <v>#DIV/0!</v>
      </c>
      <c r="I93" s="122" t="e">
        <f t="shared" si="347"/>
        <v>#DIV/0!</v>
      </c>
      <c r="J93" s="122" t="e">
        <f t="shared" ref="J93:S93" si="348">J20/J57</f>
        <v>#DIV/0!</v>
      </c>
      <c r="K93" s="122" t="e">
        <f t="shared" si="348"/>
        <v>#DIV/0!</v>
      </c>
      <c r="L93" s="122" t="e">
        <f t="shared" si="348"/>
        <v>#DIV/0!</v>
      </c>
      <c r="M93" s="122" t="e">
        <f t="shared" si="348"/>
        <v>#DIV/0!</v>
      </c>
      <c r="N93" s="122" t="e">
        <f t="shared" si="348"/>
        <v>#DIV/0!</v>
      </c>
      <c r="O93" s="122" t="e">
        <f t="shared" si="348"/>
        <v>#DIV/0!</v>
      </c>
      <c r="P93" s="122" t="e">
        <f t="shared" si="348"/>
        <v>#DIV/0!</v>
      </c>
      <c r="Q93" s="122" t="e">
        <f t="shared" si="348"/>
        <v>#DIV/0!</v>
      </c>
      <c r="R93" s="122">
        <f t="shared" si="348"/>
        <v>1</v>
      </c>
      <c r="S93" s="122">
        <f t="shared" si="348"/>
        <v>0</v>
      </c>
      <c r="T93" s="122">
        <f t="shared" ref="T93" si="349">T20/T57</f>
        <v>0</v>
      </c>
      <c r="U93" s="101">
        <f t="shared" si="233"/>
        <v>-1</v>
      </c>
      <c r="V93" s="110"/>
      <c r="W93" s="124">
        <f t="shared" ref="W93:AF93" si="350">W20/W57</f>
        <v>0</v>
      </c>
      <c r="X93" s="124">
        <f t="shared" si="350"/>
        <v>0</v>
      </c>
      <c r="Y93" s="124">
        <f t="shared" si="350"/>
        <v>0</v>
      </c>
      <c r="Z93" s="124">
        <f t="shared" si="350"/>
        <v>0</v>
      </c>
      <c r="AA93" s="124">
        <f t="shared" si="350"/>
        <v>0</v>
      </c>
      <c r="AB93" s="124">
        <f t="shared" si="350"/>
        <v>0</v>
      </c>
      <c r="AC93" s="124">
        <f t="shared" si="350"/>
        <v>0</v>
      </c>
      <c r="AD93" s="124">
        <f t="shared" si="350"/>
        <v>0</v>
      </c>
      <c r="AE93" s="124">
        <f t="shared" si="350"/>
        <v>0</v>
      </c>
      <c r="AF93" s="124">
        <f t="shared" si="350"/>
        <v>0</v>
      </c>
      <c r="AG93" s="116" t="e">
        <f t="shared" si="340"/>
        <v>#DIV/0!</v>
      </c>
      <c r="AH93" s="21">
        <f t="shared" si="19"/>
        <v>0.05</v>
      </c>
      <c r="AI93" s="124">
        <f t="shared" si="266"/>
        <v>0</v>
      </c>
    </row>
    <row r="94" spans="2:35">
      <c r="B94" s="10" t="s">
        <v>238</v>
      </c>
      <c r="C94" s="109"/>
      <c r="D94" s="109"/>
      <c r="E94" s="109"/>
      <c r="F94" s="122"/>
      <c r="G94" s="122">
        <f t="shared" ref="G94" si="351">G21/G57</f>
        <v>1</v>
      </c>
      <c r="H94" s="122" t="e">
        <f t="shared" ref="H94:I94" si="352">H21/H57</f>
        <v>#DIV/0!</v>
      </c>
      <c r="I94" s="122" t="e">
        <f t="shared" si="352"/>
        <v>#DIV/0!</v>
      </c>
      <c r="J94" s="122" t="e">
        <f t="shared" ref="J94:S94" si="353">J21/J57</f>
        <v>#DIV/0!</v>
      </c>
      <c r="K94" s="122" t="e">
        <f t="shared" si="353"/>
        <v>#DIV/0!</v>
      </c>
      <c r="L94" s="122" t="e">
        <f t="shared" si="353"/>
        <v>#DIV/0!</v>
      </c>
      <c r="M94" s="122" t="e">
        <f t="shared" si="353"/>
        <v>#DIV/0!</v>
      </c>
      <c r="N94" s="122" t="e">
        <f t="shared" si="353"/>
        <v>#DIV/0!</v>
      </c>
      <c r="O94" s="122" t="e">
        <f t="shared" si="353"/>
        <v>#DIV/0!</v>
      </c>
      <c r="P94" s="122" t="e">
        <f t="shared" si="353"/>
        <v>#DIV/0!</v>
      </c>
      <c r="Q94" s="122" t="e">
        <f t="shared" si="353"/>
        <v>#DIV/0!</v>
      </c>
      <c r="R94" s="122">
        <f t="shared" si="353"/>
        <v>1</v>
      </c>
      <c r="S94" s="122">
        <f t="shared" si="353"/>
        <v>0</v>
      </c>
      <c r="T94" s="122">
        <f t="shared" ref="T94" si="354">T21/T57</f>
        <v>0</v>
      </c>
      <c r="U94" s="101">
        <f t="shared" si="233"/>
        <v>-1</v>
      </c>
      <c r="V94" s="110"/>
      <c r="W94" s="124">
        <f t="shared" ref="W94:AF94" si="355">W21/W57</f>
        <v>0</v>
      </c>
      <c r="X94" s="124">
        <f t="shared" si="355"/>
        <v>0</v>
      </c>
      <c r="Y94" s="124">
        <f t="shared" si="355"/>
        <v>0</v>
      </c>
      <c r="Z94" s="124">
        <f t="shared" si="355"/>
        <v>0</v>
      </c>
      <c r="AA94" s="124">
        <f t="shared" si="355"/>
        <v>0</v>
      </c>
      <c r="AB94" s="124">
        <f t="shared" si="355"/>
        <v>0</v>
      </c>
      <c r="AC94" s="124">
        <f t="shared" si="355"/>
        <v>0</v>
      </c>
      <c r="AD94" s="124">
        <f t="shared" si="355"/>
        <v>0</v>
      </c>
      <c r="AE94" s="124">
        <f t="shared" si="355"/>
        <v>0</v>
      </c>
      <c r="AF94" s="124">
        <f t="shared" si="355"/>
        <v>0</v>
      </c>
      <c r="AG94" s="116" t="e">
        <f t="shared" si="340"/>
        <v>#DIV/0!</v>
      </c>
      <c r="AH94" s="21">
        <f t="shared" si="19"/>
        <v>0.05</v>
      </c>
      <c r="AI94" s="124">
        <f t="shared" si="266"/>
        <v>0</v>
      </c>
    </row>
    <row r="95" spans="2:35">
      <c r="B95" s="10" t="s">
        <v>239</v>
      </c>
      <c r="C95" s="109"/>
      <c r="D95" s="109"/>
      <c r="E95" s="109"/>
      <c r="F95" s="122"/>
      <c r="G95" s="122">
        <f t="shared" ref="G95" si="356">G22/G57</f>
        <v>1</v>
      </c>
      <c r="H95" s="122" t="e">
        <f t="shared" ref="H95:I95" si="357">H22/H57</f>
        <v>#DIV/0!</v>
      </c>
      <c r="I95" s="122" t="e">
        <f t="shared" si="357"/>
        <v>#DIV/0!</v>
      </c>
      <c r="J95" s="122" t="e">
        <f t="shared" ref="J95:S95" si="358">J22/J57</f>
        <v>#DIV/0!</v>
      </c>
      <c r="K95" s="122" t="e">
        <f t="shared" si="358"/>
        <v>#DIV/0!</v>
      </c>
      <c r="L95" s="122" t="e">
        <f t="shared" si="358"/>
        <v>#DIV/0!</v>
      </c>
      <c r="M95" s="122" t="e">
        <f t="shared" si="358"/>
        <v>#DIV/0!</v>
      </c>
      <c r="N95" s="122" t="e">
        <f t="shared" si="358"/>
        <v>#DIV/0!</v>
      </c>
      <c r="O95" s="122" t="e">
        <f t="shared" si="358"/>
        <v>#DIV/0!</v>
      </c>
      <c r="P95" s="122" t="e">
        <f t="shared" si="358"/>
        <v>#DIV/0!</v>
      </c>
      <c r="Q95" s="122" t="e">
        <f t="shared" si="358"/>
        <v>#DIV/0!</v>
      </c>
      <c r="R95" s="122">
        <f t="shared" si="358"/>
        <v>1</v>
      </c>
      <c r="S95" s="122">
        <f t="shared" si="358"/>
        <v>0</v>
      </c>
      <c r="T95" s="122">
        <f t="shared" ref="T95" si="359">T22/T57</f>
        <v>0</v>
      </c>
      <c r="U95" s="101">
        <f t="shared" si="233"/>
        <v>-1</v>
      </c>
      <c r="V95" s="110"/>
      <c r="W95" s="124">
        <f t="shared" ref="W95:AF95" si="360">W22/W57</f>
        <v>0</v>
      </c>
      <c r="X95" s="124">
        <f t="shared" si="360"/>
        <v>0</v>
      </c>
      <c r="Y95" s="124">
        <f t="shared" si="360"/>
        <v>0</v>
      </c>
      <c r="Z95" s="124">
        <f t="shared" si="360"/>
        <v>0</v>
      </c>
      <c r="AA95" s="124">
        <f t="shared" si="360"/>
        <v>0</v>
      </c>
      <c r="AB95" s="124">
        <f t="shared" si="360"/>
        <v>0</v>
      </c>
      <c r="AC95" s="124">
        <f t="shared" si="360"/>
        <v>0</v>
      </c>
      <c r="AD95" s="124">
        <f t="shared" si="360"/>
        <v>0</v>
      </c>
      <c r="AE95" s="124">
        <f t="shared" si="360"/>
        <v>0</v>
      </c>
      <c r="AF95" s="124">
        <f t="shared" si="360"/>
        <v>0</v>
      </c>
      <c r="AG95" s="116" t="e">
        <f t="shared" si="340"/>
        <v>#DIV/0!</v>
      </c>
      <c r="AH95" s="21">
        <f t="shared" si="19"/>
        <v>0.05</v>
      </c>
      <c r="AI95" s="124">
        <f t="shared" si="266"/>
        <v>0</v>
      </c>
    </row>
    <row r="96" spans="2:35">
      <c r="B96" s="10" t="s">
        <v>246</v>
      </c>
      <c r="C96" s="109"/>
      <c r="D96" s="109"/>
      <c r="E96" s="109"/>
      <c r="F96" s="122"/>
      <c r="G96" s="122">
        <f t="shared" ref="G96" si="361">G23/G57</f>
        <v>1</v>
      </c>
      <c r="H96" s="122" t="e">
        <f t="shared" ref="H96:I96" si="362">H23/H57</f>
        <v>#DIV/0!</v>
      </c>
      <c r="I96" s="122" t="e">
        <f t="shared" si="362"/>
        <v>#DIV/0!</v>
      </c>
      <c r="J96" s="122" t="e">
        <f t="shared" ref="J96:S96" si="363">J23/J57</f>
        <v>#DIV/0!</v>
      </c>
      <c r="K96" s="122" t="e">
        <f t="shared" si="363"/>
        <v>#DIV/0!</v>
      </c>
      <c r="L96" s="122" t="e">
        <f t="shared" si="363"/>
        <v>#DIV/0!</v>
      </c>
      <c r="M96" s="122" t="e">
        <f t="shared" si="363"/>
        <v>#DIV/0!</v>
      </c>
      <c r="N96" s="122" t="e">
        <f t="shared" si="363"/>
        <v>#DIV/0!</v>
      </c>
      <c r="O96" s="122" t="e">
        <f t="shared" si="363"/>
        <v>#DIV/0!</v>
      </c>
      <c r="P96" s="122" t="e">
        <f t="shared" si="363"/>
        <v>#DIV/0!</v>
      </c>
      <c r="Q96" s="122" t="e">
        <f t="shared" si="363"/>
        <v>#DIV/0!</v>
      </c>
      <c r="R96" s="122">
        <f t="shared" si="363"/>
        <v>1</v>
      </c>
      <c r="S96" s="122">
        <f t="shared" si="363"/>
        <v>0</v>
      </c>
      <c r="T96" s="122">
        <f t="shared" ref="T96" si="364">T23/T57</f>
        <v>0</v>
      </c>
      <c r="U96" s="101">
        <f t="shared" si="233"/>
        <v>-1</v>
      </c>
      <c r="V96" s="110"/>
      <c r="W96" s="124">
        <f t="shared" ref="W96:AF96" si="365">W23/W57</f>
        <v>0</v>
      </c>
      <c r="X96" s="124">
        <f t="shared" si="365"/>
        <v>0</v>
      </c>
      <c r="Y96" s="124">
        <f t="shared" si="365"/>
        <v>0</v>
      </c>
      <c r="Z96" s="124">
        <f t="shared" si="365"/>
        <v>0</v>
      </c>
      <c r="AA96" s="124">
        <f t="shared" si="365"/>
        <v>0</v>
      </c>
      <c r="AB96" s="124">
        <f t="shared" si="365"/>
        <v>0</v>
      </c>
      <c r="AC96" s="124">
        <f t="shared" si="365"/>
        <v>0</v>
      </c>
      <c r="AD96" s="124">
        <f t="shared" si="365"/>
        <v>0</v>
      </c>
      <c r="AE96" s="124">
        <f t="shared" si="365"/>
        <v>0</v>
      </c>
      <c r="AF96" s="124">
        <f t="shared" si="365"/>
        <v>0</v>
      </c>
      <c r="AG96" s="116" t="e">
        <f t="shared" ref="AG96" si="366">((AF96/J96)^(1/($AF$3-$K$1) ))-1</f>
        <v>#DIV/0!</v>
      </c>
      <c r="AH96" s="21">
        <f t="shared" si="19"/>
        <v>0.05</v>
      </c>
      <c r="AI96" s="124">
        <f t="shared" si="266"/>
        <v>0</v>
      </c>
    </row>
    <row r="97" spans="2:35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10"/>
      <c r="V97" s="110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17"/>
      <c r="AH97" s="115"/>
      <c r="AI97" s="131"/>
    </row>
    <row r="98" spans="2:35">
      <c r="B98" s="10" t="s">
        <v>420</v>
      </c>
      <c r="C98" s="122"/>
      <c r="D98" s="122"/>
      <c r="E98" s="122"/>
      <c r="F98" s="122"/>
      <c r="G98" s="122">
        <f t="shared" ref="G98" si="367">G51/G57</f>
        <v>100</v>
      </c>
      <c r="H98" s="122" t="e">
        <f t="shared" ref="H98:I98" si="368">H51/H57</f>
        <v>#DIV/0!</v>
      </c>
      <c r="I98" s="122" t="e">
        <f t="shared" si="368"/>
        <v>#DIV/0!</v>
      </c>
      <c r="J98" s="122" t="e">
        <f t="shared" ref="J98:S98" si="369">J51/J57</f>
        <v>#DIV/0!</v>
      </c>
      <c r="K98" s="122" t="e">
        <f t="shared" si="369"/>
        <v>#DIV/0!</v>
      </c>
      <c r="L98" s="122" t="e">
        <f t="shared" si="369"/>
        <v>#DIV/0!</v>
      </c>
      <c r="M98" s="122" t="e">
        <f t="shared" si="369"/>
        <v>#DIV/0!</v>
      </c>
      <c r="N98" s="122" t="e">
        <f t="shared" si="369"/>
        <v>#DIV/0!</v>
      </c>
      <c r="O98" s="122" t="e">
        <f t="shared" si="369"/>
        <v>#DIV/0!</v>
      </c>
      <c r="P98" s="122" t="e">
        <f t="shared" si="369"/>
        <v>#DIV/0!</v>
      </c>
      <c r="Q98" s="122" t="e">
        <f t="shared" si="369"/>
        <v>#DIV/0!</v>
      </c>
      <c r="R98" s="122">
        <f t="shared" si="369"/>
        <v>100</v>
      </c>
      <c r="S98" s="122">
        <f t="shared" si="369"/>
        <v>0</v>
      </c>
      <c r="T98" s="122">
        <f t="shared" ref="T98" si="370">T51/T57</f>
        <v>0</v>
      </c>
      <c r="U98" s="101">
        <f t="shared" si="233"/>
        <v>-1</v>
      </c>
      <c r="V98" s="110"/>
      <c r="W98" s="122">
        <f t="shared" ref="W98:AF98" si="371">W51/W57</f>
        <v>0</v>
      </c>
      <c r="X98" s="122">
        <f t="shared" si="371"/>
        <v>0</v>
      </c>
      <c r="Y98" s="122">
        <f t="shared" si="371"/>
        <v>0</v>
      </c>
      <c r="Z98" s="122">
        <f t="shared" si="371"/>
        <v>0</v>
      </c>
      <c r="AA98" s="122">
        <f t="shared" si="371"/>
        <v>0</v>
      </c>
      <c r="AB98" s="122">
        <f t="shared" si="371"/>
        <v>0</v>
      </c>
      <c r="AC98" s="122">
        <f t="shared" si="371"/>
        <v>0</v>
      </c>
      <c r="AD98" s="122">
        <f t="shared" si="371"/>
        <v>0</v>
      </c>
      <c r="AE98" s="122">
        <f t="shared" si="371"/>
        <v>0</v>
      </c>
      <c r="AF98" s="122">
        <f t="shared" si="371"/>
        <v>0</v>
      </c>
      <c r="AG98" s="116" t="e">
        <f t="shared" ref="AG98:AG100" si="372">((AF98/J98)^(1/($AF$3-$K$1) ))-1</f>
        <v>#DIV/0!</v>
      </c>
      <c r="AH98" s="21">
        <f t="shared" si="19"/>
        <v>0.05</v>
      </c>
      <c r="AI98" s="124">
        <f t="shared" si="266"/>
        <v>0</v>
      </c>
    </row>
    <row r="99" spans="2:35">
      <c r="B99" s="10" t="s">
        <v>421</v>
      </c>
      <c r="C99" s="122"/>
      <c r="D99" s="122"/>
      <c r="E99" s="122"/>
      <c r="F99" s="122"/>
      <c r="G99" s="122">
        <f t="shared" ref="G99" si="373">G55/G57</f>
        <v>-258</v>
      </c>
      <c r="H99" s="122" t="e">
        <f t="shared" ref="H99:I99" si="374">H55/H57</f>
        <v>#DIV/0!</v>
      </c>
      <c r="I99" s="122" t="e">
        <f t="shared" si="374"/>
        <v>#DIV/0!</v>
      </c>
      <c r="J99" s="122" t="e">
        <f t="shared" ref="J99:S99" si="375">J55/J57</f>
        <v>#DIV/0!</v>
      </c>
      <c r="K99" s="122" t="e">
        <f t="shared" si="375"/>
        <v>#DIV/0!</v>
      </c>
      <c r="L99" s="122" t="e">
        <f t="shared" si="375"/>
        <v>#DIV/0!</v>
      </c>
      <c r="M99" s="122" t="e">
        <f t="shared" si="375"/>
        <v>#DIV/0!</v>
      </c>
      <c r="N99" s="122" t="e">
        <f t="shared" si="375"/>
        <v>#DIV/0!</v>
      </c>
      <c r="O99" s="122" t="e">
        <f t="shared" si="375"/>
        <v>#DIV/0!</v>
      </c>
      <c r="P99" s="122" t="e">
        <f t="shared" si="375"/>
        <v>#DIV/0!</v>
      </c>
      <c r="Q99" s="122" t="e">
        <f t="shared" si="375"/>
        <v>#DIV/0!</v>
      </c>
      <c r="R99" s="122">
        <f t="shared" si="375"/>
        <v>-258</v>
      </c>
      <c r="S99" s="122">
        <f t="shared" si="375"/>
        <v>1.3746312684365782</v>
      </c>
      <c r="T99" s="122">
        <f t="shared" ref="T99" si="376">T55/T57</f>
        <v>3.0058997050147491</v>
      </c>
      <c r="U99" s="101">
        <f t="shared" si="233"/>
        <v>-1.7099995279718807</v>
      </c>
      <c r="V99" s="110"/>
      <c r="W99" s="122">
        <f t="shared" ref="W99:AF99" si="377">W55/W57</f>
        <v>3.3005957545259994</v>
      </c>
      <c r="X99" s="122">
        <f t="shared" si="377"/>
        <v>3.6241835735971764</v>
      </c>
      <c r="Y99" s="122">
        <f t="shared" si="377"/>
        <v>3.9794956886557227</v>
      </c>
      <c r="Z99" s="122">
        <f t="shared" si="377"/>
        <v>4.3696423247984413</v>
      </c>
      <c r="AA99" s="122">
        <f t="shared" si="377"/>
        <v>4.7980386311512309</v>
      </c>
      <c r="AB99" s="122">
        <f t="shared" si="377"/>
        <v>5.2684345753817432</v>
      </c>
      <c r="AC99" s="122">
        <f t="shared" si="377"/>
        <v>5.78494776904662</v>
      </c>
      <c r="AD99" s="122">
        <f t="shared" si="377"/>
        <v>6.3520995111100147</v>
      </c>
      <c r="AE99" s="122">
        <f t="shared" si="377"/>
        <v>6.9748543651404091</v>
      </c>
      <c r="AF99" s="122">
        <f t="shared" si="377"/>
        <v>7.6586636166247644</v>
      </c>
      <c r="AG99" s="116" t="e">
        <f t="shared" si="372"/>
        <v>#DIV/0!</v>
      </c>
      <c r="AH99" s="21">
        <f t="shared" si="19"/>
        <v>0.05</v>
      </c>
      <c r="AI99" s="124">
        <f t="shared" si="266"/>
        <v>47.303510573270614</v>
      </c>
    </row>
    <row r="100" spans="2:35">
      <c r="B100" s="10" t="s">
        <v>260</v>
      </c>
      <c r="C100" s="122"/>
      <c r="D100" s="122"/>
      <c r="E100" s="122"/>
      <c r="F100" s="122"/>
      <c r="G100" s="122">
        <f t="shared" ref="G100" si="378">G6/G57</f>
        <v>100</v>
      </c>
      <c r="H100" s="122" t="e">
        <f t="shared" ref="H100:I100" si="379">H6/H57</f>
        <v>#DIV/0!</v>
      </c>
      <c r="I100" s="122" t="e">
        <f t="shared" si="379"/>
        <v>#DIV/0!</v>
      </c>
      <c r="J100" s="122" t="e">
        <f t="shared" ref="J100:S100" si="380">J6/J57</f>
        <v>#DIV/0!</v>
      </c>
      <c r="K100" s="122" t="e">
        <f t="shared" si="380"/>
        <v>#DIV/0!</v>
      </c>
      <c r="L100" s="122" t="e">
        <f t="shared" si="380"/>
        <v>#DIV/0!</v>
      </c>
      <c r="M100" s="122" t="e">
        <f t="shared" si="380"/>
        <v>#DIV/0!</v>
      </c>
      <c r="N100" s="122" t="e">
        <f t="shared" si="380"/>
        <v>#DIV/0!</v>
      </c>
      <c r="O100" s="122" t="e">
        <f t="shared" si="380"/>
        <v>#DIV/0!</v>
      </c>
      <c r="P100" s="122" t="e">
        <f t="shared" si="380"/>
        <v>#DIV/0!</v>
      </c>
      <c r="Q100" s="122" t="e">
        <f t="shared" si="380"/>
        <v>#DIV/0!</v>
      </c>
      <c r="R100" s="122">
        <f t="shared" si="380"/>
        <v>100</v>
      </c>
      <c r="S100" s="122">
        <f t="shared" si="380"/>
        <v>30.196489675516226</v>
      </c>
      <c r="T100" s="122">
        <f t="shared" ref="T100" si="381">T6/T57</f>
        <v>33.268348082595871</v>
      </c>
      <c r="U100" s="101">
        <f t="shared" si="233"/>
        <v>-8.1174219727241259E-2</v>
      </c>
      <c r="V100" s="110"/>
      <c r="W100" s="122">
        <f t="shared" ref="W100:AF100" si="382">W6/W57</f>
        <v>36.529950835791539</v>
      </c>
      <c r="X100" s="122">
        <f t="shared" si="382"/>
        <v>40.111318564790714</v>
      </c>
      <c r="Y100" s="122">
        <f t="shared" si="382"/>
        <v>44.043800777025098</v>
      </c>
      <c r="Z100" s="122">
        <f t="shared" si="382"/>
        <v>48.361820461047181</v>
      </c>
      <c r="AA100" s="122">
        <f t="shared" si="382"/>
        <v>53.103175408208671</v>
      </c>
      <c r="AB100" s="122">
        <f t="shared" si="382"/>
        <v>58.309369075680117</v>
      </c>
      <c r="AC100" s="122">
        <f t="shared" si="382"/>
        <v>64.025973887021308</v>
      </c>
      <c r="AD100" s="122">
        <f t="shared" si="382"/>
        <v>70.303030150454759</v>
      </c>
      <c r="AE100" s="122">
        <f t="shared" si="382"/>
        <v>77.19548408677386</v>
      </c>
      <c r="AF100" s="122">
        <f t="shared" si="382"/>
        <v>84.763668801163462</v>
      </c>
      <c r="AG100" s="116" t="e">
        <f t="shared" si="372"/>
        <v>#DIV/0!</v>
      </c>
      <c r="AH100" s="21">
        <f t="shared" ref="AH100" si="383">$O$1</f>
        <v>0.05</v>
      </c>
      <c r="AI100" s="124">
        <f t="shared" si="266"/>
        <v>523.54030730130387</v>
      </c>
    </row>
    <row r="101" spans="2:35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10"/>
      <c r="V101" s="110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17"/>
      <c r="AH101" s="10"/>
      <c r="AI101" s="131"/>
    </row>
    <row r="102" spans="2:35">
      <c r="B102" s="10" t="s">
        <v>395</v>
      </c>
      <c r="C102" s="109"/>
      <c r="D102" s="109"/>
      <c r="E102" s="109"/>
      <c r="F102" s="122"/>
      <c r="G102" s="122">
        <f t="shared" ref="G102" si="384">G55/$T$57</f>
        <v>-7.6106194690265493E-3</v>
      </c>
      <c r="H102" s="122">
        <f t="shared" ref="H102:I102" si="385">H55/$T$57</f>
        <v>0</v>
      </c>
      <c r="I102" s="122">
        <f t="shared" si="385"/>
        <v>0</v>
      </c>
      <c r="J102" s="122">
        <f t="shared" ref="J102:T102" si="386">J55/$T$57</f>
        <v>0</v>
      </c>
      <c r="K102" s="122">
        <f t="shared" si="386"/>
        <v>0</v>
      </c>
      <c r="L102" s="122">
        <f t="shared" si="386"/>
        <v>0</v>
      </c>
      <c r="M102" s="122">
        <f t="shared" si="386"/>
        <v>0</v>
      </c>
      <c r="N102" s="122">
        <f t="shared" si="386"/>
        <v>0</v>
      </c>
      <c r="O102" s="122">
        <f t="shared" si="386"/>
        <v>0</v>
      </c>
      <c r="P102" s="122">
        <f t="shared" si="386"/>
        <v>0</v>
      </c>
      <c r="Q102" s="122">
        <f t="shared" si="386"/>
        <v>0</v>
      </c>
      <c r="R102" s="122">
        <f t="shared" si="386"/>
        <v>-7.6106194690265493E-3</v>
      </c>
      <c r="S102" s="122">
        <f t="shared" si="386"/>
        <v>1.3746312684365782</v>
      </c>
      <c r="T102" s="122">
        <f t="shared" si="386"/>
        <v>3.0058997050147491</v>
      </c>
      <c r="U102" s="101">
        <f t="shared" si="233"/>
        <v>-2.5839262628841144</v>
      </c>
      <c r="V102" s="110"/>
      <c r="W102" s="122">
        <f t="shared" ref="W102:AF102" si="387">W55/W57</f>
        <v>3.3005957545259994</v>
      </c>
      <c r="X102" s="122">
        <f t="shared" si="387"/>
        <v>3.6241835735971764</v>
      </c>
      <c r="Y102" s="122">
        <f t="shared" si="387"/>
        <v>3.9794956886557227</v>
      </c>
      <c r="Z102" s="122">
        <f t="shared" si="387"/>
        <v>4.3696423247984413</v>
      </c>
      <c r="AA102" s="122">
        <f t="shared" si="387"/>
        <v>4.7980386311512309</v>
      </c>
      <c r="AB102" s="122">
        <f t="shared" si="387"/>
        <v>5.2684345753817432</v>
      </c>
      <c r="AC102" s="122">
        <f t="shared" si="387"/>
        <v>5.78494776904662</v>
      </c>
      <c r="AD102" s="122">
        <f t="shared" si="387"/>
        <v>6.3520995111100147</v>
      </c>
      <c r="AE102" s="122">
        <f t="shared" si="387"/>
        <v>6.9748543651404091</v>
      </c>
      <c r="AF102" s="122">
        <f t="shared" si="387"/>
        <v>7.6586636166247644</v>
      </c>
      <c r="AG102" s="117"/>
      <c r="AH102" s="10"/>
      <c r="AI102" s="131"/>
    </row>
    <row r="103" spans="2:35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10"/>
      <c r="V103" s="110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17"/>
      <c r="AH103" s="10"/>
      <c r="AI103" s="131"/>
    </row>
    <row r="104" spans="2:35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2:35">
      <c r="B105" s="10" t="s">
        <v>258</v>
      </c>
      <c r="C105" s="129"/>
      <c r="D105" s="129"/>
      <c r="E105" s="129"/>
      <c r="F105" s="129"/>
      <c r="G105" s="129" t="e">
        <f t="shared" ref="G105" si="388">G51/G25</f>
        <v>#DIV/0!</v>
      </c>
      <c r="H105" s="129" t="e">
        <f t="shared" ref="H105:I105" si="389">H51/H25</f>
        <v>#DIV/0!</v>
      </c>
      <c r="I105" s="129" t="e">
        <f t="shared" si="389"/>
        <v>#DIV/0!</v>
      </c>
      <c r="J105" s="129" t="e">
        <f t="shared" ref="J105:S105" si="390">J51/J25</f>
        <v>#DIV/0!</v>
      </c>
      <c r="K105" s="129" t="e">
        <f t="shared" si="390"/>
        <v>#DIV/0!</v>
      </c>
      <c r="L105" s="129" t="e">
        <f t="shared" si="390"/>
        <v>#DIV/0!</v>
      </c>
      <c r="M105" s="129" t="e">
        <f t="shared" si="390"/>
        <v>#DIV/0!</v>
      </c>
      <c r="N105" s="129" t="e">
        <f t="shared" si="390"/>
        <v>#DIV/0!</v>
      </c>
      <c r="O105" s="129" t="e">
        <f t="shared" si="390"/>
        <v>#DIV/0!</v>
      </c>
      <c r="P105" s="129" t="e">
        <f t="shared" si="390"/>
        <v>#DIV/0!</v>
      </c>
      <c r="Q105" s="129" t="e">
        <f t="shared" si="390"/>
        <v>#DIV/0!</v>
      </c>
      <c r="R105" s="129" t="e">
        <f t="shared" si="390"/>
        <v>#DIV/0!</v>
      </c>
      <c r="S105" s="129">
        <f t="shared" si="390"/>
        <v>0</v>
      </c>
      <c r="T105" s="129">
        <f t="shared" ref="T105" si="391">T51/T25</f>
        <v>0</v>
      </c>
      <c r="U105" s="101" t="e">
        <f t="shared" si="233"/>
        <v>#DIV/0!</v>
      </c>
      <c r="V105" s="129"/>
      <c r="W105" s="129">
        <f t="shared" ref="W105:AF105" si="392">W51/W25</f>
        <v>0</v>
      </c>
      <c r="X105" s="129">
        <f t="shared" si="392"/>
        <v>0</v>
      </c>
      <c r="Y105" s="129">
        <f t="shared" si="392"/>
        <v>0</v>
      </c>
      <c r="Z105" s="129">
        <f t="shared" si="392"/>
        <v>0</v>
      </c>
      <c r="AA105" s="129">
        <f t="shared" si="392"/>
        <v>0</v>
      </c>
      <c r="AB105" s="129">
        <f t="shared" si="392"/>
        <v>0</v>
      </c>
      <c r="AC105" s="129">
        <f t="shared" si="392"/>
        <v>0</v>
      </c>
      <c r="AD105" s="129">
        <f t="shared" si="392"/>
        <v>0</v>
      </c>
      <c r="AE105" s="129">
        <f t="shared" si="392"/>
        <v>0</v>
      </c>
      <c r="AF105" s="129">
        <f t="shared" si="392"/>
        <v>0</v>
      </c>
      <c r="AG105" s="116" t="e">
        <f t="shared" ref="AG105:AG154" si="393">((AF105/J105)^(1/($AF$3-$K$1) ))-1</f>
        <v>#DIV/0!</v>
      </c>
      <c r="AH105" s="124"/>
      <c r="AI105" s="124"/>
    </row>
    <row r="106" spans="2:35">
      <c r="B106" s="10" t="s">
        <v>220</v>
      </c>
      <c r="C106" s="129"/>
      <c r="D106" s="129"/>
      <c r="E106" s="129"/>
      <c r="F106" s="129"/>
      <c r="G106" s="129" t="e">
        <f t="shared" ref="G106" si="394">G55/G25</f>
        <v>#DIV/0!</v>
      </c>
      <c r="H106" s="129" t="e">
        <f t="shared" ref="H106:I106" si="395">H55/H25</f>
        <v>#DIV/0!</v>
      </c>
      <c r="I106" s="129" t="e">
        <f t="shared" si="395"/>
        <v>#DIV/0!</v>
      </c>
      <c r="J106" s="129" t="e">
        <f t="shared" ref="J106:S106" si="396">J55/J25</f>
        <v>#DIV/0!</v>
      </c>
      <c r="K106" s="129" t="e">
        <f t="shared" si="396"/>
        <v>#DIV/0!</v>
      </c>
      <c r="L106" s="129" t="e">
        <f t="shared" si="396"/>
        <v>#DIV/0!</v>
      </c>
      <c r="M106" s="129" t="e">
        <f t="shared" si="396"/>
        <v>#DIV/0!</v>
      </c>
      <c r="N106" s="129" t="e">
        <f t="shared" si="396"/>
        <v>#DIV/0!</v>
      </c>
      <c r="O106" s="129" t="e">
        <f t="shared" si="396"/>
        <v>#DIV/0!</v>
      </c>
      <c r="P106" s="129" t="e">
        <f t="shared" si="396"/>
        <v>#DIV/0!</v>
      </c>
      <c r="Q106" s="129" t="e">
        <f t="shared" si="396"/>
        <v>#DIV/0!</v>
      </c>
      <c r="R106" s="129" t="e">
        <f t="shared" si="396"/>
        <v>#DIV/0!</v>
      </c>
      <c r="S106" s="129">
        <f t="shared" si="396"/>
        <v>0.11500493583415597</v>
      </c>
      <c r="T106" s="129">
        <f t="shared" ref="T106" si="397">T55/T25</f>
        <v>0.10617901427529436</v>
      </c>
      <c r="U106" s="101" t="e">
        <f t="shared" si="233"/>
        <v>#DIV/0!</v>
      </c>
      <c r="V106" s="129"/>
      <c r="W106" s="129">
        <f t="shared" ref="W106:AF106" si="398">W55/W25</f>
        <v>0.10617901427529437</v>
      </c>
      <c r="X106" s="129">
        <f t="shared" si="398"/>
        <v>0.10617901427529436</v>
      </c>
      <c r="Y106" s="129">
        <f t="shared" si="398"/>
        <v>0.10617901427529434</v>
      </c>
      <c r="Z106" s="129">
        <f t="shared" si="398"/>
        <v>0.10617901427529436</v>
      </c>
      <c r="AA106" s="129">
        <f t="shared" si="398"/>
        <v>0.10617901427529437</v>
      </c>
      <c r="AB106" s="129">
        <f t="shared" si="398"/>
        <v>0.10617901427529436</v>
      </c>
      <c r="AC106" s="129">
        <f t="shared" si="398"/>
        <v>0.10617901427529436</v>
      </c>
      <c r="AD106" s="129">
        <f t="shared" si="398"/>
        <v>0.10617901427529437</v>
      </c>
      <c r="AE106" s="129">
        <f t="shared" si="398"/>
        <v>0.10617901427529437</v>
      </c>
      <c r="AF106" s="129">
        <f t="shared" si="398"/>
        <v>0.10617901427529437</v>
      </c>
      <c r="AG106" s="116" t="e">
        <f t="shared" si="393"/>
        <v>#DIV/0!</v>
      </c>
      <c r="AH106" s="124"/>
      <c r="AI106" s="124"/>
    </row>
    <row r="107" spans="2:35">
      <c r="B107" s="10" t="s">
        <v>304</v>
      </c>
      <c r="C107" s="129"/>
      <c r="D107" s="129"/>
      <c r="E107" s="129"/>
      <c r="F107" s="129"/>
      <c r="G107" s="129">
        <f t="shared" ref="G107" si="399">G55/G7</f>
        <v>-2.58</v>
      </c>
      <c r="H107" s="129" t="e">
        <f t="shared" ref="H107:I107" si="400">H55/H7</f>
        <v>#DIV/0!</v>
      </c>
      <c r="I107" s="129" t="e">
        <f t="shared" si="400"/>
        <v>#DIV/0!</v>
      </c>
      <c r="J107" s="129" t="e">
        <f>J55/J7</f>
        <v>#DIV/0!</v>
      </c>
      <c r="K107" s="129" t="e">
        <f t="shared" ref="K107:R107" si="401">K55/K7</f>
        <v>#DIV/0!</v>
      </c>
      <c r="L107" s="129" t="e">
        <f t="shared" si="401"/>
        <v>#DIV/0!</v>
      </c>
      <c r="M107" s="129" t="e">
        <f t="shared" si="401"/>
        <v>#DIV/0!</v>
      </c>
      <c r="N107" s="129" t="e">
        <f t="shared" si="401"/>
        <v>#DIV/0!</v>
      </c>
      <c r="O107" s="129" t="e">
        <f t="shared" si="401"/>
        <v>#DIV/0!</v>
      </c>
      <c r="P107" s="129" t="e">
        <f t="shared" si="401"/>
        <v>#DIV/0!</v>
      </c>
      <c r="Q107" s="129" t="e">
        <f t="shared" si="401"/>
        <v>#DIV/0!</v>
      </c>
      <c r="R107" s="129">
        <f t="shared" si="401"/>
        <v>-2.58</v>
      </c>
      <c r="S107" s="129">
        <f t="shared" ref="S107:T107" si="402">S55/S7</f>
        <v>3.418289314911737E-2</v>
      </c>
      <c r="T107" s="129">
        <f t="shared" si="402"/>
        <v>6.9423627197165827E-2</v>
      </c>
      <c r="U107" s="101">
        <f t="shared" si="233"/>
        <v>-1.7572200810119301</v>
      </c>
      <c r="V107" s="10"/>
      <c r="W107" s="129">
        <f t="shared" ref="W107" si="403">W55/W7</f>
        <v>6.9423627197165841E-2</v>
      </c>
      <c r="X107" s="129">
        <f t="shared" ref="X107:AF107" si="404">X55/X7</f>
        <v>6.9423627197165841E-2</v>
      </c>
      <c r="Y107" s="129">
        <f t="shared" si="404"/>
        <v>6.9423627197165827E-2</v>
      </c>
      <c r="Z107" s="129">
        <f t="shared" si="404"/>
        <v>6.9423627197165827E-2</v>
      </c>
      <c r="AA107" s="129">
        <f t="shared" si="404"/>
        <v>6.9423627197165841E-2</v>
      </c>
      <c r="AB107" s="129">
        <f t="shared" si="404"/>
        <v>6.9423627197165827E-2</v>
      </c>
      <c r="AC107" s="129">
        <f t="shared" si="404"/>
        <v>6.9423627197165827E-2</v>
      </c>
      <c r="AD107" s="129">
        <f t="shared" si="404"/>
        <v>6.9423627197165841E-2</v>
      </c>
      <c r="AE107" s="129">
        <f t="shared" si="404"/>
        <v>6.9423627197165841E-2</v>
      </c>
      <c r="AF107" s="129">
        <f t="shared" si="404"/>
        <v>6.9423627197165841E-2</v>
      </c>
      <c r="AG107" s="116" t="e">
        <f t="shared" si="393"/>
        <v>#DIV/0!</v>
      </c>
      <c r="AH107" s="124"/>
      <c r="AI107" s="124"/>
    </row>
    <row r="108" spans="2:35">
      <c r="B108" s="10" t="s">
        <v>305</v>
      </c>
      <c r="C108" s="129"/>
      <c r="D108" s="129"/>
      <c r="E108" s="129"/>
      <c r="F108" s="129"/>
      <c r="G108" s="129">
        <f t="shared" ref="G108" si="405">(G55)/(G7+G10)</f>
        <v>-2.5544554455445545</v>
      </c>
      <c r="H108" s="129" t="e">
        <f t="shared" ref="H108:I108" si="406">(H55)/(H7+H10)</f>
        <v>#DIV/0!</v>
      </c>
      <c r="I108" s="129" t="e">
        <f t="shared" si="406"/>
        <v>#DIV/0!</v>
      </c>
      <c r="J108" s="129" t="e">
        <f>(J55)/(J7+J10)</f>
        <v>#DIV/0!</v>
      </c>
      <c r="K108" s="129" t="e">
        <f t="shared" ref="K108:R108" si="407">(K55)/(K7+K10)</f>
        <v>#DIV/0!</v>
      </c>
      <c r="L108" s="129" t="e">
        <f t="shared" si="407"/>
        <v>#DIV/0!</v>
      </c>
      <c r="M108" s="129" t="e">
        <f t="shared" si="407"/>
        <v>#DIV/0!</v>
      </c>
      <c r="N108" s="129" t="e">
        <f t="shared" si="407"/>
        <v>#DIV/0!</v>
      </c>
      <c r="O108" s="129" t="e">
        <f t="shared" si="407"/>
        <v>#DIV/0!</v>
      </c>
      <c r="P108" s="129" t="e">
        <f t="shared" si="407"/>
        <v>#DIV/0!</v>
      </c>
      <c r="Q108" s="129" t="e">
        <f t="shared" si="407"/>
        <v>#DIV/0!</v>
      </c>
      <c r="R108" s="129">
        <f t="shared" si="407"/>
        <v>-2.5544554455445545</v>
      </c>
      <c r="S108" s="129">
        <f t="shared" ref="S108:T108" si="408">(S55)/(S7+S10)</f>
        <v>6.6796102031762544E-3</v>
      </c>
      <c r="T108" s="129">
        <f t="shared" si="408"/>
        <v>9.6911020656598318E-3</v>
      </c>
      <c r="U108" s="101">
        <f t="shared" si="233"/>
        <v>-1.6512908657933023</v>
      </c>
      <c r="V108" s="10"/>
      <c r="W108" s="129">
        <f t="shared" ref="W108:AF108" si="409">(W55)/(W7+W10)</f>
        <v>9.6911020656598335E-3</v>
      </c>
      <c r="X108" s="129">
        <f t="shared" si="409"/>
        <v>9.6911020656598318E-3</v>
      </c>
      <c r="Y108" s="129">
        <f t="shared" si="409"/>
        <v>9.6911020656598318E-3</v>
      </c>
      <c r="Z108" s="129">
        <f t="shared" si="409"/>
        <v>9.6911020656598318E-3</v>
      </c>
      <c r="AA108" s="129">
        <f t="shared" si="409"/>
        <v>9.6911020656598318E-3</v>
      </c>
      <c r="AB108" s="129">
        <f t="shared" si="409"/>
        <v>9.6911020656598335E-3</v>
      </c>
      <c r="AC108" s="129">
        <f t="shared" si="409"/>
        <v>9.6911020656598318E-3</v>
      </c>
      <c r="AD108" s="129">
        <f t="shared" si="409"/>
        <v>9.6911020656598335E-3</v>
      </c>
      <c r="AE108" s="129">
        <f t="shared" si="409"/>
        <v>9.6911020656598335E-3</v>
      </c>
      <c r="AF108" s="129">
        <f t="shared" si="409"/>
        <v>9.6911020656598335E-3</v>
      </c>
      <c r="AG108" s="116" t="e">
        <f t="shared" si="393"/>
        <v>#DIV/0!</v>
      </c>
      <c r="AH108" s="124"/>
      <c r="AI108" s="124"/>
    </row>
    <row r="109" spans="2:35">
      <c r="B109" s="10" t="s">
        <v>321</v>
      </c>
      <c r="C109" s="129"/>
      <c r="D109" s="129"/>
      <c r="E109" s="129"/>
      <c r="F109" s="129"/>
      <c r="G109" s="129" t="e">
        <f t="shared" ref="G109" si="410">G20/G25</f>
        <v>#DIV/0!</v>
      </c>
      <c r="H109" s="129" t="e">
        <f t="shared" ref="H109:I109" si="411">H20/H25</f>
        <v>#DIV/0!</v>
      </c>
      <c r="I109" s="129" t="e">
        <f t="shared" si="411"/>
        <v>#DIV/0!</v>
      </c>
      <c r="J109" s="129" t="e">
        <f>J20/J25</f>
        <v>#DIV/0!</v>
      </c>
      <c r="K109" s="129" t="e">
        <f t="shared" ref="K109:S109" si="412">K20/K25</f>
        <v>#DIV/0!</v>
      </c>
      <c r="L109" s="129" t="e">
        <f t="shared" si="412"/>
        <v>#DIV/0!</v>
      </c>
      <c r="M109" s="129" t="e">
        <f t="shared" si="412"/>
        <v>#DIV/0!</v>
      </c>
      <c r="N109" s="129" t="e">
        <f t="shared" si="412"/>
        <v>#DIV/0!</v>
      </c>
      <c r="O109" s="129" t="e">
        <f t="shared" si="412"/>
        <v>#DIV/0!</v>
      </c>
      <c r="P109" s="129" t="e">
        <f t="shared" si="412"/>
        <v>#DIV/0!</v>
      </c>
      <c r="Q109" s="129" t="e">
        <f t="shared" si="412"/>
        <v>#DIV/0!</v>
      </c>
      <c r="R109" s="129" t="e">
        <f t="shared" si="412"/>
        <v>#DIV/0!</v>
      </c>
      <c r="S109" s="129">
        <f t="shared" si="412"/>
        <v>0</v>
      </c>
      <c r="T109" s="129">
        <f t="shared" ref="T109" si="413">T20/T25</f>
        <v>0</v>
      </c>
      <c r="U109" s="101" t="e">
        <f t="shared" si="233"/>
        <v>#DIV/0!</v>
      </c>
      <c r="V109" s="10"/>
      <c r="W109" s="129">
        <f t="shared" ref="W109:AF109" si="414">W20/W25</f>
        <v>0</v>
      </c>
      <c r="X109" s="129">
        <f t="shared" si="414"/>
        <v>0</v>
      </c>
      <c r="Y109" s="129">
        <f t="shared" si="414"/>
        <v>0</v>
      </c>
      <c r="Z109" s="129">
        <f t="shared" si="414"/>
        <v>0</v>
      </c>
      <c r="AA109" s="129">
        <f t="shared" si="414"/>
        <v>0</v>
      </c>
      <c r="AB109" s="129">
        <f t="shared" si="414"/>
        <v>0</v>
      </c>
      <c r="AC109" s="129">
        <f t="shared" si="414"/>
        <v>0</v>
      </c>
      <c r="AD109" s="129">
        <f t="shared" si="414"/>
        <v>0</v>
      </c>
      <c r="AE109" s="129">
        <f t="shared" si="414"/>
        <v>0</v>
      </c>
      <c r="AF109" s="129">
        <f t="shared" si="414"/>
        <v>0</v>
      </c>
      <c r="AG109" s="116" t="e">
        <f t="shared" si="393"/>
        <v>#DIV/0!</v>
      </c>
      <c r="AH109" s="124"/>
      <c r="AI109" s="124"/>
    </row>
    <row r="110" spans="2:35">
      <c r="B110" s="10" t="s">
        <v>373</v>
      </c>
      <c r="C110" s="129"/>
      <c r="D110" s="129"/>
      <c r="E110" s="129"/>
      <c r="F110" s="129"/>
      <c r="G110" s="129" t="e">
        <f t="shared" ref="G110" si="415">G68/G25</f>
        <v>#DIV/0!</v>
      </c>
      <c r="H110" s="129" t="e">
        <f t="shared" ref="H110:I110" si="416">H68/H25</f>
        <v>#DIV/0!</v>
      </c>
      <c r="I110" s="129" t="e">
        <f t="shared" si="416"/>
        <v>#DIV/0!</v>
      </c>
      <c r="J110" s="129" t="e">
        <f>J68/J25</f>
        <v>#DIV/0!</v>
      </c>
      <c r="K110" s="129" t="e">
        <f t="shared" ref="K110:S110" si="417">K68/K25</f>
        <v>#DIV/0!</v>
      </c>
      <c r="L110" s="129" t="e">
        <f t="shared" si="417"/>
        <v>#DIV/0!</v>
      </c>
      <c r="M110" s="129" t="e">
        <f t="shared" si="417"/>
        <v>#DIV/0!</v>
      </c>
      <c r="N110" s="129" t="e">
        <f t="shared" si="417"/>
        <v>#DIV/0!</v>
      </c>
      <c r="O110" s="129" t="e">
        <f t="shared" si="417"/>
        <v>#DIV/0!</v>
      </c>
      <c r="P110" s="129" t="e">
        <f t="shared" si="417"/>
        <v>#DIV/0!</v>
      </c>
      <c r="Q110" s="129" t="e">
        <f t="shared" si="417"/>
        <v>#DIV/0!</v>
      </c>
      <c r="R110" s="129" t="e">
        <f t="shared" si="417"/>
        <v>#DIV/0!</v>
      </c>
      <c r="S110" s="129">
        <f t="shared" si="417"/>
        <v>-0.11500493583415597</v>
      </c>
      <c r="T110" s="129">
        <f t="shared" ref="T110" si="418">T68/T25</f>
        <v>-0.10617901427529436</v>
      </c>
      <c r="U110" s="101" t="e">
        <f t="shared" si="233"/>
        <v>#DIV/0!</v>
      </c>
      <c r="V110" s="10"/>
      <c r="W110" s="129">
        <f t="shared" ref="W110:AF110" si="419">W68/W25</f>
        <v>-0.10617901427529437</v>
      </c>
      <c r="X110" s="129">
        <f t="shared" si="419"/>
        <v>-0.10617901427529436</v>
      </c>
      <c r="Y110" s="129">
        <f t="shared" si="419"/>
        <v>-0.10617901427529434</v>
      </c>
      <c r="Z110" s="129">
        <f t="shared" si="419"/>
        <v>-0.10617901427529436</v>
      </c>
      <c r="AA110" s="129">
        <f t="shared" si="419"/>
        <v>-0.10617901427529437</v>
      </c>
      <c r="AB110" s="129">
        <f t="shared" si="419"/>
        <v>-0.10617901427529436</v>
      </c>
      <c r="AC110" s="129">
        <f t="shared" si="419"/>
        <v>-0.10617901427529436</v>
      </c>
      <c r="AD110" s="129">
        <f t="shared" si="419"/>
        <v>-0.10617901427529437</v>
      </c>
      <c r="AE110" s="129">
        <f t="shared" si="419"/>
        <v>-0.10617901427529437</v>
      </c>
      <c r="AF110" s="129">
        <f t="shared" si="419"/>
        <v>-0.10617901427529437</v>
      </c>
      <c r="AG110" s="116" t="e">
        <f t="shared" si="393"/>
        <v>#DIV/0!</v>
      </c>
      <c r="AH110" s="124"/>
      <c r="AI110" s="124"/>
    </row>
    <row r="111" spans="2:35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10"/>
      <c r="V111" s="10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3"/>
      <c r="AH111" s="124"/>
      <c r="AI111" s="124"/>
    </row>
    <row r="112" spans="2:35">
      <c r="B112" s="10" t="s">
        <v>268</v>
      </c>
      <c r="C112" s="129"/>
      <c r="D112" s="129"/>
      <c r="E112" s="129"/>
      <c r="F112" s="129"/>
      <c r="G112" s="129" t="e">
        <f t="shared" ref="G112" si="420">G29/G25</f>
        <v>#DIV/0!</v>
      </c>
      <c r="H112" s="129" t="e">
        <f t="shared" ref="H112:I112" si="421">H29/H25</f>
        <v>#DIV/0!</v>
      </c>
      <c r="I112" s="129" t="e">
        <f t="shared" si="421"/>
        <v>#DIV/0!</v>
      </c>
      <c r="J112" s="129" t="e">
        <f>J29/J25</f>
        <v>#DIV/0!</v>
      </c>
      <c r="K112" s="129" t="e">
        <f t="shared" ref="K112:S112" si="422">K29/K25</f>
        <v>#DIV/0!</v>
      </c>
      <c r="L112" s="129" t="e">
        <f t="shared" si="422"/>
        <v>#DIV/0!</v>
      </c>
      <c r="M112" s="129" t="e">
        <f t="shared" si="422"/>
        <v>#DIV/0!</v>
      </c>
      <c r="N112" s="129" t="e">
        <f t="shared" si="422"/>
        <v>#DIV/0!</v>
      </c>
      <c r="O112" s="129" t="e">
        <f t="shared" si="422"/>
        <v>#DIV/0!</v>
      </c>
      <c r="P112" s="129" t="e">
        <f t="shared" si="422"/>
        <v>#DIV/0!</v>
      </c>
      <c r="Q112" s="129" t="e">
        <f t="shared" si="422"/>
        <v>#DIV/0!</v>
      </c>
      <c r="R112" s="129" t="e">
        <f t="shared" si="422"/>
        <v>#DIV/0!</v>
      </c>
      <c r="S112" s="129">
        <f t="shared" si="422"/>
        <v>0.69126357354392898</v>
      </c>
      <c r="T112" s="129">
        <f t="shared" ref="T112" si="423">T29/T25</f>
        <v>0.67885797645097423</v>
      </c>
      <c r="U112" s="101" t="e">
        <f t="shared" si="233"/>
        <v>#DIV/0!</v>
      </c>
      <c r="V112" s="10"/>
      <c r="W112" s="129">
        <f t="shared" ref="W112:AF112" si="424">W29/W25</f>
        <v>0.67885797645097423</v>
      </c>
      <c r="X112" s="129">
        <f t="shared" si="424"/>
        <v>0.67885797645097434</v>
      </c>
      <c r="Y112" s="129">
        <f t="shared" si="424"/>
        <v>0.67885797645097434</v>
      </c>
      <c r="Z112" s="129">
        <f t="shared" si="424"/>
        <v>0.67885797645097434</v>
      </c>
      <c r="AA112" s="129">
        <f t="shared" si="424"/>
        <v>0.67885797645097434</v>
      </c>
      <c r="AB112" s="129">
        <f t="shared" si="424"/>
        <v>0.67885797645097434</v>
      </c>
      <c r="AC112" s="129">
        <f t="shared" si="424"/>
        <v>0.67885797645097423</v>
      </c>
      <c r="AD112" s="129">
        <f t="shared" si="424"/>
        <v>0.67885797645097434</v>
      </c>
      <c r="AE112" s="129">
        <f t="shared" si="424"/>
        <v>0.67885797645097445</v>
      </c>
      <c r="AF112" s="129">
        <f t="shared" si="424"/>
        <v>0.67885797645097445</v>
      </c>
      <c r="AG112" s="116" t="e">
        <f t="shared" si="393"/>
        <v>#DIV/0!</v>
      </c>
      <c r="AH112" s="124"/>
      <c r="AI112" s="124"/>
    </row>
    <row r="113" spans="1:35">
      <c r="B113" s="10" t="s">
        <v>314</v>
      </c>
      <c r="C113" s="129"/>
      <c r="D113" s="129"/>
      <c r="E113" s="129"/>
      <c r="F113" s="129"/>
      <c r="G113" s="129">
        <f t="shared" ref="G113" si="425">G29/G51</f>
        <v>0</v>
      </c>
      <c r="H113" s="129" t="e">
        <f t="shared" ref="H113:I113" si="426">H29/H51</f>
        <v>#DIV/0!</v>
      </c>
      <c r="I113" s="129" t="e">
        <f t="shared" si="426"/>
        <v>#DIV/0!</v>
      </c>
      <c r="J113" s="129" t="e">
        <f>J29/J51</f>
        <v>#DIV/0!</v>
      </c>
      <c r="K113" s="129" t="e">
        <f t="shared" ref="K113:S113" si="427">K29/K51</f>
        <v>#DIV/0!</v>
      </c>
      <c r="L113" s="129" t="e">
        <f t="shared" si="427"/>
        <v>#DIV/0!</v>
      </c>
      <c r="M113" s="129" t="e">
        <f t="shared" si="427"/>
        <v>#DIV/0!</v>
      </c>
      <c r="N113" s="129" t="e">
        <f t="shared" si="427"/>
        <v>#DIV/0!</v>
      </c>
      <c r="O113" s="129" t="e">
        <f t="shared" si="427"/>
        <v>#DIV/0!</v>
      </c>
      <c r="P113" s="129" t="e">
        <f t="shared" si="427"/>
        <v>#DIV/0!</v>
      </c>
      <c r="Q113" s="129" t="e">
        <f t="shared" si="427"/>
        <v>#DIV/0!</v>
      </c>
      <c r="R113" s="129">
        <f t="shared" si="427"/>
        <v>0</v>
      </c>
      <c r="S113" s="129" t="e">
        <f t="shared" si="427"/>
        <v>#DIV/0!</v>
      </c>
      <c r="T113" s="129" t="e">
        <f t="shared" ref="T113" si="428">T29/T51</f>
        <v>#DIV/0!</v>
      </c>
      <c r="U113" s="101" t="e">
        <f t="shared" si="233"/>
        <v>#DIV/0!</v>
      </c>
      <c r="V113" s="10"/>
      <c r="W113" s="129" t="e">
        <f t="shared" ref="W113:AF113" si="429">W29/W51</f>
        <v>#DIV/0!</v>
      </c>
      <c r="X113" s="129" t="e">
        <f t="shared" si="429"/>
        <v>#DIV/0!</v>
      </c>
      <c r="Y113" s="129" t="e">
        <f t="shared" si="429"/>
        <v>#DIV/0!</v>
      </c>
      <c r="Z113" s="129" t="e">
        <f t="shared" si="429"/>
        <v>#DIV/0!</v>
      </c>
      <c r="AA113" s="129" t="e">
        <f t="shared" si="429"/>
        <v>#DIV/0!</v>
      </c>
      <c r="AB113" s="129" t="e">
        <f t="shared" si="429"/>
        <v>#DIV/0!</v>
      </c>
      <c r="AC113" s="129" t="e">
        <f t="shared" si="429"/>
        <v>#DIV/0!</v>
      </c>
      <c r="AD113" s="129" t="e">
        <f t="shared" si="429"/>
        <v>#DIV/0!</v>
      </c>
      <c r="AE113" s="129" t="e">
        <f t="shared" si="429"/>
        <v>#DIV/0!</v>
      </c>
      <c r="AF113" s="129" t="e">
        <f t="shared" si="429"/>
        <v>#DIV/0!</v>
      </c>
      <c r="AG113" s="116" t="e">
        <f t="shared" ref="AG113" si="430">((AF113/J113)^(1/($AF$3-$K$1) ))-1</f>
        <v>#DIV/0!</v>
      </c>
      <c r="AH113" s="124"/>
      <c r="AI113" s="124"/>
    </row>
    <row r="114" spans="1:35" ht="12" customHeight="1">
      <c r="B114" s="10" t="s">
        <v>313</v>
      </c>
      <c r="C114" s="129"/>
      <c r="D114" s="129"/>
      <c r="E114" s="129"/>
      <c r="F114" s="148"/>
      <c r="G114" s="148">
        <f t="shared" ref="G114" si="431">G29/G55</f>
        <v>0</v>
      </c>
      <c r="H114" s="148" t="e">
        <f t="shared" ref="H114:I114" si="432">H29/H55</f>
        <v>#DIV/0!</v>
      </c>
      <c r="I114" s="148" t="e">
        <f t="shared" si="432"/>
        <v>#DIV/0!</v>
      </c>
      <c r="J114" s="148" t="e">
        <f t="shared" ref="J114:S114" si="433">J29/J55</f>
        <v>#DIV/0!</v>
      </c>
      <c r="K114" s="148" t="e">
        <f t="shared" si="433"/>
        <v>#DIV/0!</v>
      </c>
      <c r="L114" s="148" t="e">
        <f t="shared" si="433"/>
        <v>#DIV/0!</v>
      </c>
      <c r="M114" s="148" t="e">
        <f t="shared" si="433"/>
        <v>#DIV/0!</v>
      </c>
      <c r="N114" s="148" t="e">
        <f t="shared" si="433"/>
        <v>#DIV/0!</v>
      </c>
      <c r="O114" s="148" t="e">
        <f t="shared" si="433"/>
        <v>#DIV/0!</v>
      </c>
      <c r="P114" s="148" t="e">
        <f t="shared" si="433"/>
        <v>#DIV/0!</v>
      </c>
      <c r="Q114" s="148" t="e">
        <f t="shared" si="433"/>
        <v>#DIV/0!</v>
      </c>
      <c r="R114" s="148">
        <f t="shared" si="433"/>
        <v>0</v>
      </c>
      <c r="S114" s="148">
        <f t="shared" si="433"/>
        <v>6.0107296137339059</v>
      </c>
      <c r="T114" s="148">
        <f t="shared" ref="T114" si="434">T29/T55</f>
        <v>6.3935230618253192</v>
      </c>
      <c r="U114" s="101" t="e">
        <f t="shared" si="233"/>
        <v>#DIV/0!</v>
      </c>
      <c r="V114" s="10"/>
      <c r="W114" s="148">
        <f t="shared" ref="W114:AF114" si="435">W29/W55</f>
        <v>6.3935230618253192</v>
      </c>
      <c r="X114" s="148">
        <f t="shared" si="435"/>
        <v>6.3935230618253192</v>
      </c>
      <c r="Y114" s="148">
        <f t="shared" si="435"/>
        <v>6.39352306182532</v>
      </c>
      <c r="Z114" s="148">
        <f t="shared" si="435"/>
        <v>6.3935230618253192</v>
      </c>
      <c r="AA114" s="148">
        <f t="shared" si="435"/>
        <v>6.3935230618253192</v>
      </c>
      <c r="AB114" s="148">
        <f t="shared" si="435"/>
        <v>6.3935230618253192</v>
      </c>
      <c r="AC114" s="148">
        <f t="shared" si="435"/>
        <v>6.3935230618253192</v>
      </c>
      <c r="AD114" s="148">
        <f t="shared" si="435"/>
        <v>6.3935230618253192</v>
      </c>
      <c r="AE114" s="148">
        <f t="shared" si="435"/>
        <v>6.39352306182532</v>
      </c>
      <c r="AF114" s="148">
        <f t="shared" si="435"/>
        <v>6.39352306182532</v>
      </c>
      <c r="AG114" s="116" t="e">
        <f t="shared" ref="AG114" si="436">((AF114/J114)^(1/($AF$3-$K$1) ))-1</f>
        <v>#DIV/0!</v>
      </c>
      <c r="AH114" s="124"/>
      <c r="AI114" s="124"/>
    </row>
    <row r="115" spans="1:35" ht="12" customHeight="1">
      <c r="B115" s="10" t="s">
        <v>270</v>
      </c>
      <c r="C115" s="129"/>
      <c r="D115" s="129"/>
      <c r="E115" s="129"/>
      <c r="F115" s="148"/>
      <c r="G115" s="148">
        <f t="shared" ref="G115" si="437">G29/G12</f>
        <v>0</v>
      </c>
      <c r="H115" s="148" t="e">
        <f t="shared" ref="H115:I115" si="438">H29/H12</f>
        <v>#DIV/0!</v>
      </c>
      <c r="I115" s="148" t="e">
        <f t="shared" si="438"/>
        <v>#DIV/0!</v>
      </c>
      <c r="J115" s="148" t="e">
        <f t="shared" ref="J115:S115" si="439">J29/J12</f>
        <v>#DIV/0!</v>
      </c>
      <c r="K115" s="148" t="e">
        <f t="shared" si="439"/>
        <v>#DIV/0!</v>
      </c>
      <c r="L115" s="148" t="e">
        <f t="shared" si="439"/>
        <v>#DIV/0!</v>
      </c>
      <c r="M115" s="148" t="e">
        <f t="shared" si="439"/>
        <v>#DIV/0!</v>
      </c>
      <c r="N115" s="148" t="e">
        <f t="shared" si="439"/>
        <v>#DIV/0!</v>
      </c>
      <c r="O115" s="148" t="e">
        <f t="shared" si="439"/>
        <v>#DIV/0!</v>
      </c>
      <c r="P115" s="148" t="e">
        <f t="shared" si="439"/>
        <v>#DIV/0!</v>
      </c>
      <c r="Q115" s="148" t="e">
        <f t="shared" si="439"/>
        <v>#DIV/0!</v>
      </c>
      <c r="R115" s="148">
        <f t="shared" si="439"/>
        <v>0</v>
      </c>
      <c r="S115" s="148">
        <f t="shared" si="439"/>
        <v>1.4742105263157894</v>
      </c>
      <c r="T115" s="148">
        <f t="shared" ref="T115" si="440">T29/T12</f>
        <v>2.145915678524374</v>
      </c>
      <c r="U115" s="101" t="e">
        <f t="shared" si="233"/>
        <v>#DIV/0!</v>
      </c>
      <c r="V115" s="10"/>
      <c r="W115" s="129">
        <f t="shared" ref="W115:AF115" si="441">W29/W12</f>
        <v>2.1459156785243745</v>
      </c>
      <c r="X115" s="129">
        <f t="shared" si="441"/>
        <v>2.1459156785243745</v>
      </c>
      <c r="Y115" s="129">
        <f t="shared" si="441"/>
        <v>2.1459156785243745</v>
      </c>
      <c r="Z115" s="129">
        <f t="shared" si="441"/>
        <v>2.1459156785243745</v>
      </c>
      <c r="AA115" s="129">
        <f t="shared" si="441"/>
        <v>2.1459156785243749</v>
      </c>
      <c r="AB115" s="129">
        <f t="shared" si="441"/>
        <v>2.1459156785243749</v>
      </c>
      <c r="AC115" s="129">
        <f t="shared" si="441"/>
        <v>2.1459156785243749</v>
      </c>
      <c r="AD115" s="129">
        <f t="shared" si="441"/>
        <v>2.1459156785243749</v>
      </c>
      <c r="AE115" s="129">
        <f t="shared" si="441"/>
        <v>2.1459156785243749</v>
      </c>
      <c r="AF115" s="129">
        <f t="shared" si="441"/>
        <v>2.1459156785243754</v>
      </c>
      <c r="AG115" s="116" t="e">
        <f t="shared" si="393"/>
        <v>#DIV/0!</v>
      </c>
      <c r="AH115" s="124"/>
      <c r="AI115" s="124"/>
    </row>
    <row r="116" spans="1:35" ht="12" customHeight="1">
      <c r="B116" s="10" t="s">
        <v>315</v>
      </c>
      <c r="C116" s="129"/>
      <c r="D116" s="129"/>
      <c r="E116" s="129"/>
      <c r="F116" s="148"/>
      <c r="G116" s="148">
        <f t="shared" ref="G116" si="442">G29/G23</f>
        <v>0</v>
      </c>
      <c r="H116" s="148" t="e">
        <f t="shared" ref="H116:I116" si="443">H29/H23</f>
        <v>#DIV/0!</v>
      </c>
      <c r="I116" s="148" t="e">
        <f t="shared" si="443"/>
        <v>#DIV/0!</v>
      </c>
      <c r="J116" s="148" t="e">
        <f>J29/J23</f>
        <v>#DIV/0!</v>
      </c>
      <c r="K116" s="148" t="e">
        <f t="shared" ref="K116:S116" si="444">K29/K23</f>
        <v>#DIV/0!</v>
      </c>
      <c r="L116" s="148" t="e">
        <f t="shared" si="444"/>
        <v>#DIV/0!</v>
      </c>
      <c r="M116" s="148" t="e">
        <f t="shared" si="444"/>
        <v>#DIV/0!</v>
      </c>
      <c r="N116" s="148" t="e">
        <f t="shared" si="444"/>
        <v>#DIV/0!</v>
      </c>
      <c r="O116" s="148" t="e">
        <f t="shared" si="444"/>
        <v>#DIV/0!</v>
      </c>
      <c r="P116" s="148" t="e">
        <f t="shared" si="444"/>
        <v>#DIV/0!</v>
      </c>
      <c r="Q116" s="148" t="e">
        <f t="shared" si="444"/>
        <v>#DIV/0!</v>
      </c>
      <c r="R116" s="148">
        <f t="shared" si="444"/>
        <v>0</v>
      </c>
      <c r="S116" s="148" t="e">
        <f t="shared" si="444"/>
        <v>#DIV/0!</v>
      </c>
      <c r="T116" s="148" t="e">
        <f t="shared" ref="T116" si="445">T29/T23</f>
        <v>#DIV/0!</v>
      </c>
      <c r="U116" s="101" t="e">
        <f t="shared" si="233"/>
        <v>#DIV/0!</v>
      </c>
      <c r="V116" s="10"/>
      <c r="W116" s="148" t="e">
        <f t="shared" ref="W116:AF116" si="446">W29/W23</f>
        <v>#DIV/0!</v>
      </c>
      <c r="X116" s="148" t="e">
        <f t="shared" si="446"/>
        <v>#DIV/0!</v>
      </c>
      <c r="Y116" s="148" t="e">
        <f t="shared" si="446"/>
        <v>#DIV/0!</v>
      </c>
      <c r="Z116" s="148" t="e">
        <f t="shared" si="446"/>
        <v>#DIV/0!</v>
      </c>
      <c r="AA116" s="148" t="e">
        <f t="shared" si="446"/>
        <v>#DIV/0!</v>
      </c>
      <c r="AB116" s="148" t="e">
        <f t="shared" si="446"/>
        <v>#DIV/0!</v>
      </c>
      <c r="AC116" s="148" t="e">
        <f t="shared" si="446"/>
        <v>#DIV/0!</v>
      </c>
      <c r="AD116" s="148" t="e">
        <f t="shared" si="446"/>
        <v>#DIV/0!</v>
      </c>
      <c r="AE116" s="148" t="e">
        <f t="shared" si="446"/>
        <v>#DIV/0!</v>
      </c>
      <c r="AF116" s="148" t="e">
        <f t="shared" si="446"/>
        <v>#DIV/0!</v>
      </c>
      <c r="AG116" s="116" t="e">
        <f t="shared" ref="AG116" si="447">((AF116/J116)^(1/($AF$3-$K$1) ))-1</f>
        <v>#DIV/0!</v>
      </c>
      <c r="AH116" s="124"/>
      <c r="AI116" s="124"/>
    </row>
    <row r="117" spans="1:35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10"/>
      <c r="V117" s="10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4"/>
      <c r="AI117" s="124"/>
    </row>
    <row r="118" spans="1:35" ht="12" customHeight="1">
      <c r="B118" s="10" t="s">
        <v>347</v>
      </c>
      <c r="C118" s="129"/>
      <c r="D118" s="129"/>
      <c r="E118" s="129"/>
      <c r="F118" s="109"/>
      <c r="G118" s="109" t="e">
        <f t="shared" ref="G118" si="448">1/G112</f>
        <v>#DIV/0!</v>
      </c>
      <c r="H118" s="109" t="e">
        <f t="shared" ref="H118:I118" si="449">1/H112</f>
        <v>#DIV/0!</v>
      </c>
      <c r="I118" s="109" t="e">
        <f t="shared" si="449"/>
        <v>#DIV/0!</v>
      </c>
      <c r="J118" s="109" t="e">
        <f>1/J112</f>
        <v>#DIV/0!</v>
      </c>
      <c r="K118" s="109" t="e">
        <f t="shared" ref="K118:S118" si="450">1/K112</f>
        <v>#DIV/0!</v>
      </c>
      <c r="L118" s="109" t="e">
        <f t="shared" si="450"/>
        <v>#DIV/0!</v>
      </c>
      <c r="M118" s="109" t="e">
        <f t="shared" si="450"/>
        <v>#DIV/0!</v>
      </c>
      <c r="N118" s="109" t="e">
        <f t="shared" si="450"/>
        <v>#DIV/0!</v>
      </c>
      <c r="O118" s="109" t="e">
        <f t="shared" si="450"/>
        <v>#DIV/0!</v>
      </c>
      <c r="P118" s="109" t="e">
        <f t="shared" si="450"/>
        <v>#DIV/0!</v>
      </c>
      <c r="Q118" s="109" t="e">
        <f t="shared" si="450"/>
        <v>#DIV/0!</v>
      </c>
      <c r="R118" s="109" t="e">
        <f t="shared" si="450"/>
        <v>#DIV/0!</v>
      </c>
      <c r="S118" s="109">
        <f t="shared" si="450"/>
        <v>1.4466262049268117</v>
      </c>
      <c r="T118" s="109">
        <f t="shared" ref="T118" si="451">1/T112</f>
        <v>1.4730621642363777</v>
      </c>
      <c r="U118" s="101" t="e">
        <f t="shared" si="233"/>
        <v>#DIV/0!</v>
      </c>
      <c r="V118" s="10"/>
      <c r="W118" s="109">
        <f t="shared" ref="W118:AF118" si="452">1/W112</f>
        <v>1.4730621642363777</v>
      </c>
      <c r="X118" s="109">
        <f t="shared" si="452"/>
        <v>1.4730621642363775</v>
      </c>
      <c r="Y118" s="109">
        <f t="shared" si="452"/>
        <v>1.4730621642363775</v>
      </c>
      <c r="Z118" s="109">
        <f t="shared" si="452"/>
        <v>1.4730621642363775</v>
      </c>
      <c r="AA118" s="109">
        <f t="shared" si="452"/>
        <v>1.4730621642363775</v>
      </c>
      <c r="AB118" s="109">
        <f t="shared" si="452"/>
        <v>1.4730621642363775</v>
      </c>
      <c r="AC118" s="109">
        <f t="shared" si="452"/>
        <v>1.4730621642363777</v>
      </c>
      <c r="AD118" s="109">
        <f t="shared" si="452"/>
        <v>1.4730621642363775</v>
      </c>
      <c r="AE118" s="109">
        <f t="shared" si="452"/>
        <v>1.4730621642363773</v>
      </c>
      <c r="AF118" s="109">
        <f t="shared" si="452"/>
        <v>1.4730621642363773</v>
      </c>
      <c r="AG118" s="116" t="e">
        <f t="shared" si="393"/>
        <v>#DIV/0!</v>
      </c>
      <c r="AH118" s="124"/>
      <c r="AI118" s="124"/>
    </row>
    <row r="119" spans="1:35" ht="12" customHeight="1">
      <c r="B119" s="10" t="s">
        <v>348</v>
      </c>
      <c r="C119" s="129"/>
      <c r="D119" s="129"/>
      <c r="E119" s="129"/>
      <c r="F119" s="109"/>
      <c r="G119" s="109" t="e">
        <f t="shared" ref="G119" si="453">1/G113</f>
        <v>#DIV/0!</v>
      </c>
      <c r="H119" s="109" t="e">
        <f t="shared" ref="H119:I119" si="454">1/H113</f>
        <v>#DIV/0!</v>
      </c>
      <c r="I119" s="109" t="e">
        <f t="shared" si="454"/>
        <v>#DIV/0!</v>
      </c>
      <c r="J119" s="109" t="e">
        <f t="shared" ref="J119:S122" si="455">1/J113</f>
        <v>#DIV/0!</v>
      </c>
      <c r="K119" s="109" t="e">
        <f t="shared" si="455"/>
        <v>#DIV/0!</v>
      </c>
      <c r="L119" s="109" t="e">
        <f t="shared" si="455"/>
        <v>#DIV/0!</v>
      </c>
      <c r="M119" s="109" t="e">
        <f t="shared" si="455"/>
        <v>#DIV/0!</v>
      </c>
      <c r="N119" s="109" t="e">
        <f t="shared" si="455"/>
        <v>#DIV/0!</v>
      </c>
      <c r="O119" s="109" t="e">
        <f t="shared" si="455"/>
        <v>#DIV/0!</v>
      </c>
      <c r="P119" s="109" t="e">
        <f t="shared" si="455"/>
        <v>#DIV/0!</v>
      </c>
      <c r="Q119" s="109" t="e">
        <f t="shared" si="455"/>
        <v>#DIV/0!</v>
      </c>
      <c r="R119" s="109" t="e">
        <f t="shared" si="455"/>
        <v>#DIV/0!</v>
      </c>
      <c r="S119" s="109" t="e">
        <f t="shared" si="455"/>
        <v>#DIV/0!</v>
      </c>
      <c r="T119" s="109" t="e">
        <f t="shared" ref="T119" si="456">1/T113</f>
        <v>#DIV/0!</v>
      </c>
      <c r="U119" s="101" t="e">
        <f t="shared" si="233"/>
        <v>#DIV/0!</v>
      </c>
      <c r="V119" s="10"/>
      <c r="W119" s="109" t="e">
        <f t="shared" ref="W119:AF119" si="457">1/W113</f>
        <v>#DIV/0!</v>
      </c>
      <c r="X119" s="109" t="e">
        <f t="shared" si="457"/>
        <v>#DIV/0!</v>
      </c>
      <c r="Y119" s="109" t="e">
        <f t="shared" si="457"/>
        <v>#DIV/0!</v>
      </c>
      <c r="Z119" s="109" t="e">
        <f t="shared" si="457"/>
        <v>#DIV/0!</v>
      </c>
      <c r="AA119" s="109" t="e">
        <f t="shared" si="457"/>
        <v>#DIV/0!</v>
      </c>
      <c r="AB119" s="109" t="e">
        <f t="shared" si="457"/>
        <v>#DIV/0!</v>
      </c>
      <c r="AC119" s="109" t="e">
        <f t="shared" si="457"/>
        <v>#DIV/0!</v>
      </c>
      <c r="AD119" s="109" t="e">
        <f t="shared" si="457"/>
        <v>#DIV/0!</v>
      </c>
      <c r="AE119" s="109" t="e">
        <f t="shared" si="457"/>
        <v>#DIV/0!</v>
      </c>
      <c r="AF119" s="109" t="e">
        <f t="shared" si="457"/>
        <v>#DIV/0!</v>
      </c>
      <c r="AG119" s="116" t="e">
        <f t="shared" si="393"/>
        <v>#DIV/0!</v>
      </c>
      <c r="AH119" s="124"/>
      <c r="AI119" s="124"/>
    </row>
    <row r="120" spans="1:35" ht="12" customHeight="1">
      <c r="B120" s="10" t="s">
        <v>349</v>
      </c>
      <c r="C120" s="129"/>
      <c r="D120" s="129"/>
      <c r="E120" s="129"/>
      <c r="F120" s="109"/>
      <c r="G120" s="109" t="e">
        <f t="shared" ref="G120" si="458">1/G114</f>
        <v>#DIV/0!</v>
      </c>
      <c r="H120" s="109" t="e">
        <f t="shared" ref="H120:I120" si="459">1/H114</f>
        <v>#DIV/0!</v>
      </c>
      <c r="I120" s="109" t="e">
        <f t="shared" si="459"/>
        <v>#DIV/0!</v>
      </c>
      <c r="J120" s="109" t="e">
        <f t="shared" si="455"/>
        <v>#DIV/0!</v>
      </c>
      <c r="K120" s="109" t="e">
        <f t="shared" si="455"/>
        <v>#DIV/0!</v>
      </c>
      <c r="L120" s="109" t="e">
        <f t="shared" si="455"/>
        <v>#DIV/0!</v>
      </c>
      <c r="M120" s="109" t="e">
        <f t="shared" si="455"/>
        <v>#DIV/0!</v>
      </c>
      <c r="N120" s="109" t="e">
        <f t="shared" si="455"/>
        <v>#DIV/0!</v>
      </c>
      <c r="O120" s="109" t="e">
        <f t="shared" si="455"/>
        <v>#DIV/0!</v>
      </c>
      <c r="P120" s="109" t="e">
        <f t="shared" si="455"/>
        <v>#DIV/0!</v>
      </c>
      <c r="Q120" s="109" t="e">
        <f t="shared" si="455"/>
        <v>#DIV/0!</v>
      </c>
      <c r="R120" s="109" t="e">
        <f t="shared" si="455"/>
        <v>#DIV/0!</v>
      </c>
      <c r="S120" s="109">
        <f t="shared" si="455"/>
        <v>0.16636915387361656</v>
      </c>
      <c r="T120" s="109">
        <f t="shared" ref="T120" si="460">1/T114</f>
        <v>0.15640828856485034</v>
      </c>
      <c r="U120" s="101" t="e">
        <f t="shared" si="233"/>
        <v>#DIV/0!</v>
      </c>
      <c r="V120" s="10"/>
      <c r="W120" s="109">
        <f t="shared" ref="W120:AF120" si="461">1/W114</f>
        <v>0.15640828856485034</v>
      </c>
      <c r="X120" s="109">
        <f t="shared" si="461"/>
        <v>0.15640828856485034</v>
      </c>
      <c r="Y120" s="109">
        <f t="shared" si="461"/>
        <v>0.15640828856485031</v>
      </c>
      <c r="Z120" s="109">
        <f t="shared" si="461"/>
        <v>0.15640828856485034</v>
      </c>
      <c r="AA120" s="109">
        <f t="shared" si="461"/>
        <v>0.15640828856485034</v>
      </c>
      <c r="AB120" s="109">
        <f t="shared" si="461"/>
        <v>0.15640828856485034</v>
      </c>
      <c r="AC120" s="109">
        <f t="shared" si="461"/>
        <v>0.15640828856485034</v>
      </c>
      <c r="AD120" s="109">
        <f t="shared" si="461"/>
        <v>0.15640828856485034</v>
      </c>
      <c r="AE120" s="109">
        <f t="shared" si="461"/>
        <v>0.15640828856485031</v>
      </c>
      <c r="AF120" s="109">
        <f t="shared" si="461"/>
        <v>0.15640828856485031</v>
      </c>
      <c r="AG120" s="116" t="e">
        <f t="shared" si="393"/>
        <v>#DIV/0!</v>
      </c>
      <c r="AH120" s="124"/>
      <c r="AI120" s="124"/>
    </row>
    <row r="121" spans="1:35" ht="12" customHeight="1">
      <c r="B121" s="10" t="s">
        <v>350</v>
      </c>
      <c r="C121" s="129"/>
      <c r="D121" s="129"/>
      <c r="E121" s="129"/>
      <c r="F121" s="109"/>
      <c r="G121" s="109" t="e">
        <f t="shared" ref="G121" si="462">1/G115</f>
        <v>#DIV/0!</v>
      </c>
      <c r="H121" s="109" t="e">
        <f t="shared" ref="H121:I121" si="463">1/H115</f>
        <v>#DIV/0!</v>
      </c>
      <c r="I121" s="109" t="e">
        <f t="shared" si="463"/>
        <v>#DIV/0!</v>
      </c>
      <c r="J121" s="109" t="e">
        <f t="shared" si="455"/>
        <v>#DIV/0!</v>
      </c>
      <c r="K121" s="109" t="e">
        <f t="shared" si="455"/>
        <v>#DIV/0!</v>
      </c>
      <c r="L121" s="109" t="e">
        <f t="shared" si="455"/>
        <v>#DIV/0!</v>
      </c>
      <c r="M121" s="109" t="e">
        <f t="shared" si="455"/>
        <v>#DIV/0!</v>
      </c>
      <c r="N121" s="109" t="e">
        <f t="shared" si="455"/>
        <v>#DIV/0!</v>
      </c>
      <c r="O121" s="109" t="e">
        <f t="shared" si="455"/>
        <v>#DIV/0!</v>
      </c>
      <c r="P121" s="109" t="e">
        <f t="shared" si="455"/>
        <v>#DIV/0!</v>
      </c>
      <c r="Q121" s="109" t="e">
        <f t="shared" si="455"/>
        <v>#DIV/0!</v>
      </c>
      <c r="R121" s="109" t="e">
        <f t="shared" si="455"/>
        <v>#DIV/0!</v>
      </c>
      <c r="S121" s="109">
        <f t="shared" si="455"/>
        <v>0.67832916815423061</v>
      </c>
      <c r="T121" s="109">
        <f t="shared" ref="T121" si="464">1/T115</f>
        <v>0.46600153491941676</v>
      </c>
      <c r="U121" s="101" t="e">
        <f t="shared" si="233"/>
        <v>#DIV/0!</v>
      </c>
      <c r="V121" s="10"/>
      <c r="W121" s="109">
        <f t="shared" ref="W121:AF121" si="465">1/W115</f>
        <v>0.46600153491941665</v>
      </c>
      <c r="X121" s="109">
        <f t="shared" si="465"/>
        <v>0.46600153491941665</v>
      </c>
      <c r="Y121" s="109">
        <f t="shared" si="465"/>
        <v>0.46600153491941665</v>
      </c>
      <c r="Z121" s="109">
        <f t="shared" si="465"/>
        <v>0.46600153491941665</v>
      </c>
      <c r="AA121" s="109">
        <f t="shared" si="465"/>
        <v>0.46600153491941659</v>
      </c>
      <c r="AB121" s="109">
        <f t="shared" si="465"/>
        <v>0.46600153491941659</v>
      </c>
      <c r="AC121" s="109">
        <f t="shared" si="465"/>
        <v>0.46600153491941659</v>
      </c>
      <c r="AD121" s="109">
        <f t="shared" si="465"/>
        <v>0.46600153491941659</v>
      </c>
      <c r="AE121" s="109">
        <f t="shared" si="465"/>
        <v>0.46600153491941659</v>
      </c>
      <c r="AF121" s="109">
        <f t="shared" si="465"/>
        <v>0.46600153491941648</v>
      </c>
      <c r="AG121" s="116" t="e">
        <f t="shared" si="393"/>
        <v>#DIV/0!</v>
      </c>
      <c r="AH121" s="124"/>
      <c r="AI121" s="124"/>
    </row>
    <row r="122" spans="1:35" ht="12" customHeight="1">
      <c r="B122" s="10" t="s">
        <v>351</v>
      </c>
      <c r="C122" s="129"/>
      <c r="D122" s="129"/>
      <c r="E122" s="129"/>
      <c r="F122" s="109"/>
      <c r="G122" s="109" t="e">
        <f t="shared" ref="G122" si="466">1/G116</f>
        <v>#DIV/0!</v>
      </c>
      <c r="H122" s="109" t="e">
        <f t="shared" ref="H122:I122" si="467">1/H116</f>
        <v>#DIV/0!</v>
      </c>
      <c r="I122" s="109" t="e">
        <f t="shared" si="467"/>
        <v>#DIV/0!</v>
      </c>
      <c r="J122" s="109" t="e">
        <f t="shared" si="455"/>
        <v>#DIV/0!</v>
      </c>
      <c r="K122" s="109" t="e">
        <f t="shared" si="455"/>
        <v>#DIV/0!</v>
      </c>
      <c r="L122" s="109" t="e">
        <f t="shared" si="455"/>
        <v>#DIV/0!</v>
      </c>
      <c r="M122" s="109" t="e">
        <f t="shared" si="455"/>
        <v>#DIV/0!</v>
      </c>
      <c r="N122" s="109" t="e">
        <f t="shared" si="455"/>
        <v>#DIV/0!</v>
      </c>
      <c r="O122" s="109" t="e">
        <f t="shared" si="455"/>
        <v>#DIV/0!</v>
      </c>
      <c r="P122" s="109" t="e">
        <f t="shared" si="455"/>
        <v>#DIV/0!</v>
      </c>
      <c r="Q122" s="109" t="e">
        <f t="shared" si="455"/>
        <v>#DIV/0!</v>
      </c>
      <c r="R122" s="109" t="e">
        <f t="shared" si="455"/>
        <v>#DIV/0!</v>
      </c>
      <c r="S122" s="109" t="e">
        <f t="shared" si="455"/>
        <v>#DIV/0!</v>
      </c>
      <c r="T122" s="109" t="e">
        <f t="shared" ref="T122" si="468">1/T116</f>
        <v>#DIV/0!</v>
      </c>
      <c r="U122" s="101" t="e">
        <f t="shared" si="233"/>
        <v>#DIV/0!</v>
      </c>
      <c r="V122" s="10"/>
      <c r="W122" s="109" t="e">
        <f t="shared" ref="W122:AF122" si="469">1/W116</f>
        <v>#DIV/0!</v>
      </c>
      <c r="X122" s="109" t="e">
        <f t="shared" si="469"/>
        <v>#DIV/0!</v>
      </c>
      <c r="Y122" s="109" t="e">
        <f t="shared" si="469"/>
        <v>#DIV/0!</v>
      </c>
      <c r="Z122" s="109" t="e">
        <f t="shared" si="469"/>
        <v>#DIV/0!</v>
      </c>
      <c r="AA122" s="109" t="e">
        <f t="shared" si="469"/>
        <v>#DIV/0!</v>
      </c>
      <c r="AB122" s="109" t="e">
        <f t="shared" si="469"/>
        <v>#DIV/0!</v>
      </c>
      <c r="AC122" s="109" t="e">
        <f t="shared" si="469"/>
        <v>#DIV/0!</v>
      </c>
      <c r="AD122" s="109" t="e">
        <f t="shared" si="469"/>
        <v>#DIV/0!</v>
      </c>
      <c r="AE122" s="109" t="e">
        <f t="shared" si="469"/>
        <v>#DIV/0!</v>
      </c>
      <c r="AF122" s="109" t="e">
        <f t="shared" si="469"/>
        <v>#DIV/0!</v>
      </c>
      <c r="AG122" s="116" t="e">
        <f t="shared" si="393"/>
        <v>#DIV/0!</v>
      </c>
      <c r="AH122" s="124"/>
      <c r="AI122" s="124"/>
    </row>
    <row r="123" spans="1:35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10"/>
      <c r="V123" s="10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4"/>
      <c r="AI123" s="124"/>
    </row>
    <row r="124" spans="1:35" ht="12" customHeight="1">
      <c r="A124" s="311" t="s">
        <v>408</v>
      </c>
      <c r="B124" s="179" t="s">
        <v>415</v>
      </c>
      <c r="C124" s="129"/>
      <c r="D124" s="129"/>
      <c r="E124" s="129"/>
      <c r="F124" s="148"/>
      <c r="G124" s="148">
        <f t="shared" ref="G124" si="470">G25/(G36+G38)</f>
        <v>0</v>
      </c>
      <c r="H124" s="148" t="e">
        <f t="shared" ref="H124:I124" si="471">H25/(H36+H38)</f>
        <v>#DIV/0!</v>
      </c>
      <c r="I124" s="148" t="e">
        <f t="shared" si="471"/>
        <v>#DIV/0!</v>
      </c>
      <c r="J124" s="148" t="e">
        <f t="shared" ref="J124:T124" si="472">J25/(J36+J38)</f>
        <v>#DIV/0!</v>
      </c>
      <c r="K124" s="148" t="e">
        <f t="shared" si="472"/>
        <v>#DIV/0!</v>
      </c>
      <c r="L124" s="148" t="e">
        <f t="shared" si="472"/>
        <v>#DIV/0!</v>
      </c>
      <c r="M124" s="148" t="e">
        <f t="shared" si="472"/>
        <v>#DIV/0!</v>
      </c>
      <c r="N124" s="148" t="e">
        <f t="shared" si="472"/>
        <v>#DIV/0!</v>
      </c>
      <c r="O124" s="148" t="e">
        <f t="shared" si="472"/>
        <v>#DIV/0!</v>
      </c>
      <c r="P124" s="148" t="e">
        <f t="shared" si="472"/>
        <v>#DIV/0!</v>
      </c>
      <c r="Q124" s="148" t="e">
        <f t="shared" si="472"/>
        <v>#DIV/0!</v>
      </c>
      <c r="R124" s="148">
        <f t="shared" si="472"/>
        <v>0</v>
      </c>
      <c r="S124" s="148">
        <f t="shared" si="472"/>
        <v>7.2186987814437401E-2</v>
      </c>
      <c r="T124" s="148">
        <f t="shared" si="472"/>
        <v>0.10607936332485907</v>
      </c>
      <c r="U124" s="101" t="e">
        <f t="shared" si="233"/>
        <v>#DIV/0!</v>
      </c>
      <c r="V124" s="10"/>
      <c r="W124" s="148">
        <f t="shared" ref="W124:AF124" si="473">W25/(W36+W38)</f>
        <v>0.10607936332485907</v>
      </c>
      <c r="X124" s="148">
        <f t="shared" si="473"/>
        <v>0.10607936332485907</v>
      </c>
      <c r="Y124" s="148">
        <f t="shared" si="473"/>
        <v>0.10607936332485908</v>
      </c>
      <c r="Z124" s="148">
        <f t="shared" si="473"/>
        <v>0.10607936332485908</v>
      </c>
      <c r="AA124" s="148">
        <f t="shared" si="473"/>
        <v>0.10607936332485908</v>
      </c>
      <c r="AB124" s="148">
        <f t="shared" si="473"/>
        <v>0.10607936332485907</v>
      </c>
      <c r="AC124" s="148">
        <f t="shared" si="473"/>
        <v>0.10607936332485907</v>
      </c>
      <c r="AD124" s="148">
        <f t="shared" si="473"/>
        <v>0.10607936332485907</v>
      </c>
      <c r="AE124" s="148">
        <f t="shared" si="473"/>
        <v>0.10607936332485905</v>
      </c>
      <c r="AF124" s="148">
        <f t="shared" si="473"/>
        <v>0.10607936332485905</v>
      </c>
      <c r="AG124" s="116" t="e">
        <f t="shared" ref="AG124:AG132" si="474">((AF124/J124)^(1/($AF$3-$K$1) ))-1</f>
        <v>#DIV/0!</v>
      </c>
      <c r="AH124" s="124"/>
      <c r="AI124" s="124"/>
    </row>
    <row r="125" spans="1:35" ht="12" customHeight="1">
      <c r="A125" s="311"/>
      <c r="B125" s="179" t="s">
        <v>410</v>
      </c>
      <c r="C125" s="129"/>
      <c r="D125" s="129"/>
      <c r="E125" s="129"/>
      <c r="F125" s="148"/>
      <c r="G125" s="148">
        <f t="shared" ref="G125" si="475">G25/G43</f>
        <v>0</v>
      </c>
      <c r="H125" s="148" t="e">
        <f t="shared" ref="H125:I125" si="476">H25/H43</f>
        <v>#DIV/0!</v>
      </c>
      <c r="I125" s="148" t="e">
        <f t="shared" si="476"/>
        <v>#DIV/0!</v>
      </c>
      <c r="J125" s="148" t="e">
        <f t="shared" ref="J125:T125" si="477">J25/J43</f>
        <v>#DIV/0!</v>
      </c>
      <c r="K125" s="148" t="e">
        <f t="shared" si="477"/>
        <v>#DIV/0!</v>
      </c>
      <c r="L125" s="148" t="e">
        <f t="shared" si="477"/>
        <v>#DIV/0!</v>
      </c>
      <c r="M125" s="148" t="e">
        <f t="shared" si="477"/>
        <v>#DIV/0!</v>
      </c>
      <c r="N125" s="148" t="e">
        <f t="shared" si="477"/>
        <v>#DIV/0!</v>
      </c>
      <c r="O125" s="148" t="e">
        <f t="shared" si="477"/>
        <v>#DIV/0!</v>
      </c>
      <c r="P125" s="148" t="e">
        <f t="shared" si="477"/>
        <v>#DIV/0!</v>
      </c>
      <c r="Q125" s="148" t="e">
        <f t="shared" si="477"/>
        <v>#DIV/0!</v>
      </c>
      <c r="R125" s="148">
        <f t="shared" si="477"/>
        <v>0</v>
      </c>
      <c r="S125" s="148">
        <f t="shared" si="477"/>
        <v>8.8667148077638466E-2</v>
      </c>
      <c r="T125" s="148">
        <f t="shared" si="477"/>
        <v>0.19426732252383555</v>
      </c>
      <c r="U125" s="101" t="e">
        <f t="shared" si="233"/>
        <v>#DIV/0!</v>
      </c>
      <c r="V125" s="10"/>
      <c r="W125" s="148">
        <f t="shared" ref="W125:AF125" si="478">W25/W43</f>
        <v>0.19426732252383555</v>
      </c>
      <c r="X125" s="148">
        <f t="shared" si="478"/>
        <v>0.19426732252383558</v>
      </c>
      <c r="Y125" s="148">
        <f t="shared" si="478"/>
        <v>0.19426732252383558</v>
      </c>
      <c r="Z125" s="148">
        <f t="shared" si="478"/>
        <v>0.19426732252383555</v>
      </c>
      <c r="AA125" s="148">
        <f t="shared" si="478"/>
        <v>0.19426732252383555</v>
      </c>
      <c r="AB125" s="148">
        <f t="shared" si="478"/>
        <v>0.19426732252383552</v>
      </c>
      <c r="AC125" s="148">
        <f t="shared" si="478"/>
        <v>0.19426732252383555</v>
      </c>
      <c r="AD125" s="148">
        <f t="shared" si="478"/>
        <v>0.19426732252383552</v>
      </c>
      <c r="AE125" s="148">
        <f t="shared" si="478"/>
        <v>0.19426732252383555</v>
      </c>
      <c r="AF125" s="148">
        <f t="shared" si="478"/>
        <v>0.19426732252383555</v>
      </c>
      <c r="AG125" s="116" t="e">
        <f t="shared" si="474"/>
        <v>#DIV/0!</v>
      </c>
      <c r="AH125" s="124"/>
      <c r="AI125" s="124"/>
    </row>
    <row r="126" spans="1:35" ht="12" customHeight="1">
      <c r="A126" s="311"/>
      <c r="B126" s="179" t="s">
        <v>416</v>
      </c>
      <c r="C126" s="129"/>
      <c r="D126" s="129"/>
      <c r="E126" s="129"/>
      <c r="F126" s="148"/>
      <c r="G126" s="148">
        <f t="shared" ref="G126" si="479">G43/(G36)</f>
        <v>1</v>
      </c>
      <c r="H126" s="148" t="e">
        <f t="shared" ref="H126:I126" si="480">H43/(H36)</f>
        <v>#DIV/0!</v>
      </c>
      <c r="I126" s="148" t="e">
        <f t="shared" si="480"/>
        <v>#DIV/0!</v>
      </c>
      <c r="J126" s="148" t="e">
        <f t="shared" ref="J126:T126" si="481">J43/(J36)</f>
        <v>#DIV/0!</v>
      </c>
      <c r="K126" s="148" t="e">
        <f t="shared" si="481"/>
        <v>#DIV/0!</v>
      </c>
      <c r="L126" s="148" t="e">
        <f t="shared" si="481"/>
        <v>#DIV/0!</v>
      </c>
      <c r="M126" s="148" t="e">
        <f t="shared" si="481"/>
        <v>#DIV/0!</v>
      </c>
      <c r="N126" s="148" t="e">
        <f t="shared" si="481"/>
        <v>#DIV/0!</v>
      </c>
      <c r="O126" s="148" t="e">
        <f t="shared" si="481"/>
        <v>#DIV/0!</v>
      </c>
      <c r="P126" s="148" t="e">
        <f t="shared" si="481"/>
        <v>#DIV/0!</v>
      </c>
      <c r="Q126" s="148" t="e">
        <f t="shared" si="481"/>
        <v>#DIV/0!</v>
      </c>
      <c r="R126" s="148">
        <f t="shared" si="481"/>
        <v>1</v>
      </c>
      <c r="S126" s="148">
        <f t="shared" si="481"/>
        <v>5.5601654702518557</v>
      </c>
      <c r="T126" s="148">
        <f t="shared" si="481"/>
        <v>1.2286360923199364</v>
      </c>
      <c r="U126" s="101">
        <f t="shared" si="233"/>
        <v>1.5964921022830314E-2</v>
      </c>
      <c r="V126" s="10"/>
      <c r="W126" s="148">
        <f t="shared" ref="W126:AF126" si="482">W43/(W36+W38)</f>
        <v>0.54604841383884162</v>
      </c>
      <c r="X126" s="148">
        <f t="shared" si="482"/>
        <v>0.54604841383884151</v>
      </c>
      <c r="Y126" s="148">
        <f t="shared" si="482"/>
        <v>0.54604841383884151</v>
      </c>
      <c r="Z126" s="148">
        <f t="shared" si="482"/>
        <v>0.54604841383884162</v>
      </c>
      <c r="AA126" s="148">
        <f t="shared" si="482"/>
        <v>0.54604841383884162</v>
      </c>
      <c r="AB126" s="148">
        <f t="shared" si="482"/>
        <v>0.54604841383884162</v>
      </c>
      <c r="AC126" s="148">
        <f t="shared" si="482"/>
        <v>0.54604841383884162</v>
      </c>
      <c r="AD126" s="148">
        <f t="shared" si="482"/>
        <v>0.54604841383884162</v>
      </c>
      <c r="AE126" s="148">
        <f t="shared" si="482"/>
        <v>0.54604841383884151</v>
      </c>
      <c r="AF126" s="148">
        <f t="shared" si="482"/>
        <v>0.54604841383884151</v>
      </c>
      <c r="AG126" s="116" t="e">
        <f t="shared" si="474"/>
        <v>#DIV/0!</v>
      </c>
      <c r="AH126" s="124"/>
      <c r="AI126" s="124"/>
    </row>
    <row r="127" spans="1:35" ht="12" customHeight="1">
      <c r="A127" s="311"/>
      <c r="B127" s="179" t="s">
        <v>414</v>
      </c>
      <c r="C127" s="129"/>
      <c r="D127" s="129"/>
      <c r="E127" s="129"/>
      <c r="F127" s="148"/>
      <c r="G127" s="148">
        <f t="shared" ref="G127" si="483">G43/G38</f>
        <v>1</v>
      </c>
      <c r="H127" s="148" t="e">
        <f t="shared" ref="H127:I127" si="484">H43/H38</f>
        <v>#DIV/0!</v>
      </c>
      <c r="I127" s="148" t="e">
        <f t="shared" si="484"/>
        <v>#DIV/0!</v>
      </c>
      <c r="J127" s="148" t="e">
        <f t="shared" ref="J127:T127" si="485">J43/J38</f>
        <v>#DIV/0!</v>
      </c>
      <c r="K127" s="148" t="e">
        <f t="shared" si="485"/>
        <v>#DIV/0!</v>
      </c>
      <c r="L127" s="148" t="e">
        <f t="shared" si="485"/>
        <v>#DIV/0!</v>
      </c>
      <c r="M127" s="148" t="e">
        <f t="shared" si="485"/>
        <v>#DIV/0!</v>
      </c>
      <c r="N127" s="148" t="e">
        <f t="shared" si="485"/>
        <v>#DIV/0!</v>
      </c>
      <c r="O127" s="148" t="e">
        <f t="shared" si="485"/>
        <v>#DIV/0!</v>
      </c>
      <c r="P127" s="148" t="e">
        <f t="shared" si="485"/>
        <v>#DIV/0!</v>
      </c>
      <c r="Q127" s="148" t="e">
        <f t="shared" si="485"/>
        <v>#DIV/0!</v>
      </c>
      <c r="R127" s="148">
        <f t="shared" si="485"/>
        <v>1</v>
      </c>
      <c r="S127" s="148">
        <f t="shared" si="485"/>
        <v>0.95379124663452508</v>
      </c>
      <c r="T127" s="148">
        <f t="shared" si="485"/>
        <v>0.9828697624447893</v>
      </c>
      <c r="U127" s="101">
        <f t="shared" si="233"/>
        <v>-1.3282446009232896E-3</v>
      </c>
      <c r="V127" s="10"/>
      <c r="W127" s="148">
        <f t="shared" ref="W127:AF127" si="486">W43/W38</f>
        <v>0.9828697624447893</v>
      </c>
      <c r="X127" s="148">
        <f t="shared" si="486"/>
        <v>0.98286976244478919</v>
      </c>
      <c r="Y127" s="148">
        <f t="shared" si="486"/>
        <v>0.98286976244478907</v>
      </c>
      <c r="Z127" s="148">
        <f t="shared" si="486"/>
        <v>0.98286976244478919</v>
      </c>
      <c r="AA127" s="148">
        <f t="shared" si="486"/>
        <v>0.9828697624447893</v>
      </c>
      <c r="AB127" s="148">
        <f t="shared" si="486"/>
        <v>0.9828697624447893</v>
      </c>
      <c r="AC127" s="148">
        <f t="shared" si="486"/>
        <v>0.9828697624447893</v>
      </c>
      <c r="AD127" s="148">
        <f t="shared" si="486"/>
        <v>0.9828697624447893</v>
      </c>
      <c r="AE127" s="148">
        <f t="shared" si="486"/>
        <v>0.98286976244478919</v>
      </c>
      <c r="AF127" s="148">
        <f t="shared" si="486"/>
        <v>0.98286976244478919</v>
      </c>
      <c r="AG127" s="116" t="e">
        <f t="shared" si="474"/>
        <v>#DIV/0!</v>
      </c>
      <c r="AH127" s="124"/>
      <c r="AI127" s="124"/>
    </row>
    <row r="128" spans="1:35" ht="12" customHeight="1">
      <c r="A128" s="311"/>
      <c r="B128" s="179" t="s">
        <v>413</v>
      </c>
      <c r="C128" s="129"/>
      <c r="D128" s="129"/>
      <c r="E128" s="129"/>
      <c r="F128" s="148"/>
      <c r="G128" s="148">
        <f t="shared" ref="G128" si="487">G43/(G36+G38)</f>
        <v>0.5</v>
      </c>
      <c r="H128" s="148" t="e">
        <f t="shared" ref="H128:I128" si="488">H43/(H36+H38)</f>
        <v>#DIV/0!</v>
      </c>
      <c r="I128" s="148" t="e">
        <f t="shared" si="488"/>
        <v>#DIV/0!</v>
      </c>
      <c r="J128" s="148" t="e">
        <f t="shared" ref="J128:T128" si="489">J43/(J36+J38)</f>
        <v>#DIV/0!</v>
      </c>
      <c r="K128" s="148" t="e">
        <f t="shared" si="489"/>
        <v>#DIV/0!</v>
      </c>
      <c r="L128" s="148" t="e">
        <f t="shared" si="489"/>
        <v>#DIV/0!</v>
      </c>
      <c r="M128" s="148" t="e">
        <f t="shared" si="489"/>
        <v>#DIV/0!</v>
      </c>
      <c r="N128" s="148" t="e">
        <f t="shared" si="489"/>
        <v>#DIV/0!</v>
      </c>
      <c r="O128" s="148" t="e">
        <f t="shared" si="489"/>
        <v>#DIV/0!</v>
      </c>
      <c r="P128" s="148" t="e">
        <f t="shared" si="489"/>
        <v>#DIV/0!</v>
      </c>
      <c r="Q128" s="148" t="e">
        <f t="shared" si="489"/>
        <v>#DIV/0!</v>
      </c>
      <c r="R128" s="148">
        <f t="shared" si="489"/>
        <v>0.5</v>
      </c>
      <c r="S128" s="148">
        <f t="shared" si="489"/>
        <v>0.81413454001282692</v>
      </c>
      <c r="T128" s="148">
        <f t="shared" si="489"/>
        <v>0.54604841383884162</v>
      </c>
      <c r="U128" s="101">
        <f t="shared" si="233"/>
        <v>6.7999030218501844E-3</v>
      </c>
      <c r="V128" s="10"/>
      <c r="W128" s="148">
        <f t="shared" ref="W128:AF128" si="490">W43/(W36+W38)</f>
        <v>0.54604841383884162</v>
      </c>
      <c r="X128" s="148">
        <f t="shared" si="490"/>
        <v>0.54604841383884151</v>
      </c>
      <c r="Y128" s="148">
        <f t="shared" si="490"/>
        <v>0.54604841383884151</v>
      </c>
      <c r="Z128" s="148">
        <f t="shared" si="490"/>
        <v>0.54604841383884162</v>
      </c>
      <c r="AA128" s="148">
        <f t="shared" si="490"/>
        <v>0.54604841383884162</v>
      </c>
      <c r="AB128" s="148">
        <f t="shared" si="490"/>
        <v>0.54604841383884162</v>
      </c>
      <c r="AC128" s="148">
        <f t="shared" si="490"/>
        <v>0.54604841383884162</v>
      </c>
      <c r="AD128" s="148">
        <f t="shared" si="490"/>
        <v>0.54604841383884162</v>
      </c>
      <c r="AE128" s="148">
        <f t="shared" si="490"/>
        <v>0.54604841383884151</v>
      </c>
      <c r="AF128" s="148">
        <f t="shared" si="490"/>
        <v>0.54604841383884151</v>
      </c>
      <c r="AG128" s="116" t="e">
        <f>((AF128/J128)^(1/($AF$3-$K$1) ))-1</f>
        <v>#DIV/0!</v>
      </c>
      <c r="AH128" s="124"/>
      <c r="AI128" s="124"/>
    </row>
    <row r="129" spans="1:35" ht="12" customHeight="1">
      <c r="A129" s="311"/>
      <c r="B129" s="179" t="s">
        <v>419</v>
      </c>
      <c r="C129" s="129"/>
      <c r="D129" s="129"/>
      <c r="E129" s="129"/>
      <c r="F129" s="148"/>
      <c r="G129" s="148" t="e">
        <f t="shared" ref="G129" si="491">G47/G25</f>
        <v>#DIV/0!</v>
      </c>
      <c r="H129" s="148" t="e">
        <f t="shared" ref="H129:I129" si="492">H47/H25</f>
        <v>#DIV/0!</v>
      </c>
      <c r="I129" s="148" t="e">
        <f t="shared" si="492"/>
        <v>#DIV/0!</v>
      </c>
      <c r="J129" s="148" t="e">
        <f t="shared" ref="J129:T129" si="493">J47/J25</f>
        <v>#DIV/0!</v>
      </c>
      <c r="K129" s="148" t="e">
        <f t="shared" si="493"/>
        <v>#DIV/0!</v>
      </c>
      <c r="L129" s="148" t="e">
        <f t="shared" si="493"/>
        <v>#DIV/0!</v>
      </c>
      <c r="M129" s="148" t="e">
        <f t="shared" si="493"/>
        <v>#DIV/0!</v>
      </c>
      <c r="N129" s="148" t="e">
        <f t="shared" si="493"/>
        <v>#DIV/0!</v>
      </c>
      <c r="O129" s="148" t="e">
        <f t="shared" si="493"/>
        <v>#DIV/0!</v>
      </c>
      <c r="P129" s="148" t="e">
        <f t="shared" si="493"/>
        <v>#DIV/0!</v>
      </c>
      <c r="Q129" s="148" t="e">
        <f t="shared" si="493"/>
        <v>#DIV/0!</v>
      </c>
      <c r="R129" s="148" t="e">
        <f t="shared" si="493"/>
        <v>#DIV/0!</v>
      </c>
      <c r="S129" s="148">
        <f t="shared" si="493"/>
        <v>9.9457058242843038E-2</v>
      </c>
      <c r="T129" s="148">
        <f t="shared" si="493"/>
        <v>0.10555381890174012</v>
      </c>
      <c r="U129" s="101" t="e">
        <f t="shared" si="233"/>
        <v>#DIV/0!</v>
      </c>
      <c r="V129" s="10"/>
      <c r="W129" s="148">
        <f t="shared" ref="W129:AF129" si="494">W47/W25</f>
        <v>0.10555381890174013</v>
      </c>
      <c r="X129" s="148">
        <f t="shared" si="494"/>
        <v>0.10555381890174013</v>
      </c>
      <c r="Y129" s="148">
        <f t="shared" si="494"/>
        <v>0.10555381890174013</v>
      </c>
      <c r="Z129" s="148">
        <f t="shared" si="494"/>
        <v>0.10555381890174013</v>
      </c>
      <c r="AA129" s="148">
        <f t="shared" si="494"/>
        <v>0.10555381890174013</v>
      </c>
      <c r="AB129" s="148">
        <f t="shared" si="494"/>
        <v>0.10555381890174013</v>
      </c>
      <c r="AC129" s="148">
        <f t="shared" si="494"/>
        <v>0.10555381890174013</v>
      </c>
      <c r="AD129" s="148">
        <f t="shared" si="494"/>
        <v>0.10555381890174013</v>
      </c>
      <c r="AE129" s="148">
        <f t="shared" si="494"/>
        <v>0.10555381890174013</v>
      </c>
      <c r="AF129" s="148">
        <f t="shared" si="494"/>
        <v>0.10555381890174015</v>
      </c>
      <c r="AG129" s="116" t="e">
        <f>((AF129/J129)^(1/($AF$3-$K$1) ))-1</f>
        <v>#DIV/0!</v>
      </c>
      <c r="AH129" s="124"/>
      <c r="AI129" s="124"/>
    </row>
    <row r="130" spans="1:35" ht="12" customHeight="1">
      <c r="A130" s="311"/>
      <c r="B130" s="179" t="s">
        <v>417</v>
      </c>
      <c r="C130" s="129"/>
      <c r="D130" s="129"/>
      <c r="E130" s="129"/>
      <c r="F130" s="183"/>
      <c r="G130" s="183">
        <f t="shared" ref="G130" si="495">G55/G49</f>
        <v>-2.58</v>
      </c>
      <c r="H130" s="183" t="e">
        <f t="shared" ref="H130:I130" si="496">H55/H49</f>
        <v>#DIV/0!</v>
      </c>
      <c r="I130" s="183" t="e">
        <f t="shared" si="496"/>
        <v>#DIV/0!</v>
      </c>
      <c r="J130" s="183" t="e">
        <f t="shared" ref="J130:T130" si="497">J55/J49</f>
        <v>#DIV/0!</v>
      </c>
      <c r="K130" s="183" t="e">
        <f t="shared" si="497"/>
        <v>#DIV/0!</v>
      </c>
      <c r="L130" s="183" t="e">
        <f t="shared" si="497"/>
        <v>#DIV/0!</v>
      </c>
      <c r="M130" s="183" t="e">
        <f t="shared" si="497"/>
        <v>#DIV/0!</v>
      </c>
      <c r="N130" s="183" t="e">
        <f t="shared" si="497"/>
        <v>#DIV/0!</v>
      </c>
      <c r="O130" s="183" t="e">
        <f t="shared" si="497"/>
        <v>#DIV/0!</v>
      </c>
      <c r="P130" s="183" t="e">
        <f t="shared" si="497"/>
        <v>#DIV/0!</v>
      </c>
      <c r="Q130" s="183" t="e">
        <f t="shared" si="497"/>
        <v>#DIV/0!</v>
      </c>
      <c r="R130" s="148">
        <f t="shared" si="497"/>
        <v>-2.58</v>
      </c>
      <c r="S130" s="148">
        <f t="shared" si="497"/>
        <v>6.299936459868323E-3</v>
      </c>
      <c r="T130" s="148">
        <f t="shared" si="497"/>
        <v>9.0853163812088193E-3</v>
      </c>
      <c r="U130" s="101">
        <f t="shared" ref="U130:U167" si="498">((T130/G130)^(1/($K$2-$K$1) ))-1</f>
        <v>-1.6475691944613688</v>
      </c>
      <c r="V130" s="10"/>
      <c r="W130" s="183">
        <f t="shared" ref="W130:AF130" si="499">W55/W49</f>
        <v>9.0853163812088193E-3</v>
      </c>
      <c r="X130" s="183">
        <f t="shared" si="499"/>
        <v>9.0853163812088193E-3</v>
      </c>
      <c r="Y130" s="183">
        <f t="shared" si="499"/>
        <v>9.0853163812088175E-3</v>
      </c>
      <c r="Z130" s="183">
        <f t="shared" si="499"/>
        <v>9.0853163812088175E-3</v>
      </c>
      <c r="AA130" s="183">
        <f t="shared" si="499"/>
        <v>9.0853163812088193E-3</v>
      </c>
      <c r="AB130" s="183">
        <f t="shared" si="499"/>
        <v>9.0853163812088175E-3</v>
      </c>
      <c r="AC130" s="183">
        <f t="shared" si="499"/>
        <v>9.0853163812088175E-3</v>
      </c>
      <c r="AD130" s="183">
        <f t="shared" si="499"/>
        <v>9.0853163812088175E-3</v>
      </c>
      <c r="AE130" s="183">
        <f t="shared" si="499"/>
        <v>9.0853163812088193E-3</v>
      </c>
      <c r="AF130" s="183">
        <f t="shared" si="499"/>
        <v>9.0853163812088193E-3</v>
      </c>
      <c r="AG130" s="116" t="e">
        <f>((AF130/J130)^(1/($AF$3-$K$1) ))-1</f>
        <v>#DIV/0!</v>
      </c>
      <c r="AH130" s="124"/>
      <c r="AI130" s="124"/>
    </row>
    <row r="131" spans="1:35" ht="12" customHeight="1">
      <c r="A131" s="311"/>
      <c r="B131" s="179" t="s">
        <v>411</v>
      </c>
      <c r="C131" s="129"/>
      <c r="D131" s="129"/>
      <c r="E131" s="129"/>
      <c r="F131" s="148"/>
      <c r="G131" s="148">
        <f t="shared" ref="G131" si="500">G55/G43</f>
        <v>-2.58</v>
      </c>
      <c r="H131" s="148" t="e">
        <f t="shared" ref="H131:I131" si="501">H55/H43</f>
        <v>#DIV/0!</v>
      </c>
      <c r="I131" s="148" t="e">
        <f t="shared" si="501"/>
        <v>#DIV/0!</v>
      </c>
      <c r="J131" s="148" t="e">
        <f t="shared" ref="J131:T131" si="502">J55/J43</f>
        <v>#DIV/0!</v>
      </c>
      <c r="K131" s="148" t="e">
        <f t="shared" si="502"/>
        <v>#DIV/0!</v>
      </c>
      <c r="L131" s="148" t="e">
        <f t="shared" si="502"/>
        <v>#DIV/0!</v>
      </c>
      <c r="M131" s="148" t="e">
        <f t="shared" si="502"/>
        <v>#DIV/0!</v>
      </c>
      <c r="N131" s="148" t="e">
        <f t="shared" si="502"/>
        <v>#DIV/0!</v>
      </c>
      <c r="O131" s="148" t="e">
        <f t="shared" si="502"/>
        <v>#DIV/0!</v>
      </c>
      <c r="P131" s="148" t="e">
        <f t="shared" si="502"/>
        <v>#DIV/0!</v>
      </c>
      <c r="Q131" s="148" t="e">
        <f t="shared" si="502"/>
        <v>#DIV/0!</v>
      </c>
      <c r="R131" s="148">
        <f t="shared" si="502"/>
        <v>-2.58</v>
      </c>
      <c r="S131" s="148">
        <f t="shared" si="502"/>
        <v>1.0197159675266416E-2</v>
      </c>
      <c r="T131" s="148">
        <f t="shared" si="502"/>
        <v>2.0627112811481548E-2</v>
      </c>
      <c r="U131" s="101">
        <f t="shared" si="498"/>
        <v>-1.689728806160081</v>
      </c>
      <c r="V131" s="10"/>
      <c r="W131" s="148">
        <f t="shared" ref="W131:AF131" si="503">W55/W43</f>
        <v>2.0627112811481552E-2</v>
      </c>
      <c r="X131" s="148">
        <f t="shared" si="503"/>
        <v>2.0627112811481552E-2</v>
      </c>
      <c r="Y131" s="148">
        <f t="shared" si="503"/>
        <v>2.0627112811481548E-2</v>
      </c>
      <c r="Z131" s="148">
        <f t="shared" si="503"/>
        <v>2.0627112811481552E-2</v>
      </c>
      <c r="AA131" s="148">
        <f t="shared" si="503"/>
        <v>2.0627112811481548E-2</v>
      </c>
      <c r="AB131" s="148">
        <f t="shared" si="503"/>
        <v>2.0627112811481548E-2</v>
      </c>
      <c r="AC131" s="148">
        <f t="shared" si="503"/>
        <v>2.0627112811481548E-2</v>
      </c>
      <c r="AD131" s="148">
        <f t="shared" si="503"/>
        <v>2.0627112811481548E-2</v>
      </c>
      <c r="AE131" s="148">
        <f t="shared" si="503"/>
        <v>2.0627112811481548E-2</v>
      </c>
      <c r="AF131" s="148">
        <f t="shared" si="503"/>
        <v>2.0627112811481552E-2</v>
      </c>
      <c r="AG131" s="116" t="e">
        <f t="shared" si="474"/>
        <v>#DIV/0!</v>
      </c>
      <c r="AH131" s="124"/>
      <c r="AI131" s="124"/>
    </row>
    <row r="132" spans="1:35" ht="12" customHeight="1">
      <c r="A132" s="311"/>
      <c r="B132" s="179" t="s">
        <v>412</v>
      </c>
      <c r="C132" s="129"/>
      <c r="D132" s="129"/>
      <c r="E132" s="129"/>
      <c r="F132" s="148"/>
      <c r="G132" s="148">
        <f t="shared" ref="G132" si="504">G55/(G36+G38)</f>
        <v>-1.29</v>
      </c>
      <c r="H132" s="148" t="e">
        <f t="shared" ref="H132:I132" si="505">H55/(H36+H38)</f>
        <v>#DIV/0!</v>
      </c>
      <c r="I132" s="148" t="e">
        <f t="shared" si="505"/>
        <v>#DIV/0!</v>
      </c>
      <c r="J132" s="148" t="e">
        <f t="shared" ref="J132:T132" si="506">J55/(J36+J38)</f>
        <v>#DIV/0!</v>
      </c>
      <c r="K132" s="148" t="e">
        <f t="shared" si="506"/>
        <v>#DIV/0!</v>
      </c>
      <c r="L132" s="148" t="e">
        <f t="shared" si="506"/>
        <v>#DIV/0!</v>
      </c>
      <c r="M132" s="148" t="e">
        <f t="shared" si="506"/>
        <v>#DIV/0!</v>
      </c>
      <c r="N132" s="148" t="e">
        <f t="shared" si="506"/>
        <v>#DIV/0!</v>
      </c>
      <c r="O132" s="148" t="e">
        <f t="shared" si="506"/>
        <v>#DIV/0!</v>
      </c>
      <c r="P132" s="148" t="e">
        <f t="shared" si="506"/>
        <v>#DIV/0!</v>
      </c>
      <c r="Q132" s="148" t="e">
        <f t="shared" si="506"/>
        <v>#DIV/0!</v>
      </c>
      <c r="R132" s="148">
        <f t="shared" si="506"/>
        <v>-1.29</v>
      </c>
      <c r="S132" s="148">
        <f t="shared" si="506"/>
        <v>8.3018599016603713E-3</v>
      </c>
      <c r="T132" s="148">
        <f t="shared" si="506"/>
        <v>1.1263402232784348E-2</v>
      </c>
      <c r="U132" s="101">
        <f t="shared" si="498"/>
        <v>-1.6944188951533459</v>
      </c>
      <c r="V132" s="10"/>
      <c r="W132" s="148">
        <f t="shared" ref="W132:AF132" si="507">W55/(W36+W38)</f>
        <v>1.126340223278435E-2</v>
      </c>
      <c r="X132" s="148">
        <f t="shared" si="507"/>
        <v>1.1263402232784348E-2</v>
      </c>
      <c r="Y132" s="148">
        <f t="shared" si="507"/>
        <v>1.1263402232784348E-2</v>
      </c>
      <c r="Z132" s="148">
        <f t="shared" si="507"/>
        <v>1.126340223278435E-2</v>
      </c>
      <c r="AA132" s="148">
        <f t="shared" si="507"/>
        <v>1.126340223278435E-2</v>
      </c>
      <c r="AB132" s="148">
        <f t="shared" si="507"/>
        <v>1.1263402232784348E-2</v>
      </c>
      <c r="AC132" s="148">
        <f t="shared" si="507"/>
        <v>1.1263402232784346E-2</v>
      </c>
      <c r="AD132" s="148">
        <f t="shared" si="507"/>
        <v>1.1263402232784348E-2</v>
      </c>
      <c r="AE132" s="148">
        <f t="shared" si="507"/>
        <v>1.1263402232784348E-2</v>
      </c>
      <c r="AF132" s="148">
        <f t="shared" si="507"/>
        <v>1.1263402232784348E-2</v>
      </c>
      <c r="AG132" s="116" t="e">
        <f t="shared" si="474"/>
        <v>#DIV/0!</v>
      </c>
      <c r="AH132" s="124"/>
      <c r="AI132" s="124"/>
    </row>
    <row r="133" spans="1:35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10"/>
      <c r="V133" s="10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81"/>
      <c r="AH133" s="124"/>
      <c r="AI133" s="124"/>
    </row>
    <row r="134" spans="1:35">
      <c r="B134" s="10" t="s">
        <v>271</v>
      </c>
      <c r="C134" s="129"/>
      <c r="D134" s="129"/>
      <c r="E134" s="129"/>
      <c r="F134" s="140"/>
      <c r="G134" s="140">
        <f t="shared" ref="G134" si="508">G10-(G12+G13)</f>
        <v>-0.01</v>
      </c>
      <c r="H134" s="140">
        <f t="shared" ref="H134:I134" si="509">H10-(H12+H13)</f>
        <v>0</v>
      </c>
      <c r="I134" s="140">
        <f t="shared" si="509"/>
        <v>0</v>
      </c>
      <c r="J134" s="140">
        <f t="shared" ref="J134:T134" si="510">J10-(J12+J13)</f>
        <v>0</v>
      </c>
      <c r="K134" s="140">
        <f t="shared" si="510"/>
        <v>0</v>
      </c>
      <c r="L134" s="140">
        <f t="shared" si="510"/>
        <v>0</v>
      </c>
      <c r="M134" s="140">
        <f t="shared" si="510"/>
        <v>0</v>
      </c>
      <c r="N134" s="140">
        <f t="shared" si="510"/>
        <v>0</v>
      </c>
      <c r="O134" s="140">
        <f t="shared" si="510"/>
        <v>0</v>
      </c>
      <c r="P134" s="140">
        <f t="shared" si="510"/>
        <v>0</v>
      </c>
      <c r="Q134" s="140">
        <f t="shared" si="510"/>
        <v>0</v>
      </c>
      <c r="R134" s="140">
        <f t="shared" si="510"/>
        <v>-0.01</v>
      </c>
      <c r="S134" s="140">
        <f t="shared" si="510"/>
        <v>34141</v>
      </c>
      <c r="T134" s="140">
        <f t="shared" si="510"/>
        <v>36963</v>
      </c>
      <c r="U134" s="101">
        <f t="shared" si="498"/>
        <v>-4.2004633811918985</v>
      </c>
      <c r="V134" s="10"/>
      <c r="W134" s="140">
        <f t="shared" ref="W134:AF134" si="511">W10-(W12+W13)</f>
        <v>41398.560000000005</v>
      </c>
      <c r="X134" s="140">
        <f t="shared" si="511"/>
        <v>46366.387199999997</v>
      </c>
      <c r="Y134" s="140">
        <f t="shared" si="511"/>
        <v>51930.353664000009</v>
      </c>
      <c r="Z134" s="140">
        <f t="shared" si="511"/>
        <v>58161.996103680023</v>
      </c>
      <c r="AA134" s="140">
        <f t="shared" si="511"/>
        <v>65141.435636121634</v>
      </c>
      <c r="AB134" s="140">
        <f t="shared" si="511"/>
        <v>72958.407912456241</v>
      </c>
      <c r="AC134" s="140">
        <f t="shared" si="511"/>
        <v>81713.416861951002</v>
      </c>
      <c r="AD134" s="140">
        <f t="shared" si="511"/>
        <v>91519.02688538513</v>
      </c>
      <c r="AE134" s="140">
        <f t="shared" si="511"/>
        <v>102501.31011163135</v>
      </c>
      <c r="AF134" s="140">
        <f t="shared" si="511"/>
        <v>114801.4673250271</v>
      </c>
      <c r="AG134" s="116" t="e">
        <f t="shared" si="393"/>
        <v>#DIV/0!</v>
      </c>
      <c r="AH134" s="124"/>
      <c r="AI134" s="124"/>
    </row>
    <row r="135" spans="1:35" ht="12" customHeight="1">
      <c r="B135" s="10" t="s">
        <v>266</v>
      </c>
      <c r="C135" s="10"/>
      <c r="D135" s="10"/>
      <c r="E135" s="10"/>
      <c r="F135" s="129"/>
      <c r="G135" s="129">
        <f t="shared" ref="G135" si="512">G55/G18</f>
        <v>-258</v>
      </c>
      <c r="H135" s="129" t="e">
        <f t="shared" ref="H135:I135" si="513">H55/H18</f>
        <v>#DIV/0!</v>
      </c>
      <c r="I135" s="129" t="e">
        <f t="shared" si="513"/>
        <v>#DIV/0!</v>
      </c>
      <c r="J135" s="129" t="e">
        <f t="shared" ref="J135:T135" si="514">J55/J18</f>
        <v>#DIV/0!</v>
      </c>
      <c r="K135" s="129" t="e">
        <f t="shared" si="514"/>
        <v>#DIV/0!</v>
      </c>
      <c r="L135" s="129" t="e">
        <f t="shared" si="514"/>
        <v>#DIV/0!</v>
      </c>
      <c r="M135" s="129" t="e">
        <f t="shared" si="514"/>
        <v>#DIV/0!</v>
      </c>
      <c r="N135" s="129" t="e">
        <f t="shared" si="514"/>
        <v>#DIV/0!</v>
      </c>
      <c r="O135" s="129" t="e">
        <f t="shared" si="514"/>
        <v>#DIV/0!</v>
      </c>
      <c r="P135" s="129" t="e">
        <f t="shared" si="514"/>
        <v>#DIV/0!</v>
      </c>
      <c r="Q135" s="129" t="e">
        <f t="shared" si="514"/>
        <v>#DIV/0!</v>
      </c>
      <c r="R135" s="129">
        <f t="shared" si="514"/>
        <v>-258</v>
      </c>
      <c r="S135" s="129" t="e">
        <f t="shared" si="514"/>
        <v>#DIV/0!</v>
      </c>
      <c r="T135" s="129" t="e">
        <f t="shared" si="514"/>
        <v>#DIV/0!</v>
      </c>
      <c r="U135" s="101" t="e">
        <f t="shared" si="498"/>
        <v>#DIV/0!</v>
      </c>
      <c r="V135" s="10"/>
      <c r="W135" s="129" t="e">
        <f t="shared" ref="W135:AF135" si="515">W55/W18</f>
        <v>#DIV/0!</v>
      </c>
      <c r="X135" s="129" t="e">
        <f t="shared" si="515"/>
        <v>#DIV/0!</v>
      </c>
      <c r="Y135" s="129" t="e">
        <f t="shared" si="515"/>
        <v>#DIV/0!</v>
      </c>
      <c r="Z135" s="129" t="e">
        <f t="shared" si="515"/>
        <v>#DIV/0!</v>
      </c>
      <c r="AA135" s="129" t="e">
        <f t="shared" si="515"/>
        <v>#DIV/0!</v>
      </c>
      <c r="AB135" s="129" t="e">
        <f t="shared" si="515"/>
        <v>#DIV/0!</v>
      </c>
      <c r="AC135" s="129" t="e">
        <f t="shared" si="515"/>
        <v>#DIV/0!</v>
      </c>
      <c r="AD135" s="129" t="e">
        <f t="shared" si="515"/>
        <v>#DIV/0!</v>
      </c>
      <c r="AE135" s="129" t="e">
        <f t="shared" si="515"/>
        <v>#DIV/0!</v>
      </c>
      <c r="AF135" s="129" t="e">
        <f t="shared" si="515"/>
        <v>#DIV/0!</v>
      </c>
      <c r="AG135" s="116" t="e">
        <f t="shared" si="393"/>
        <v>#DIV/0!</v>
      </c>
      <c r="AH135" s="10"/>
      <c r="AI135" s="10"/>
    </row>
    <row r="136" spans="1:35">
      <c r="B136" s="10" t="s">
        <v>267</v>
      </c>
      <c r="C136" s="10"/>
      <c r="D136" s="10"/>
      <c r="E136" s="10"/>
      <c r="F136" s="129"/>
      <c r="G136" s="129" t="e">
        <f t="shared" ref="G136" si="516">G55/G25</f>
        <v>#DIV/0!</v>
      </c>
      <c r="H136" s="129" t="e">
        <f t="shared" ref="H136:I136" si="517">H55/H25</f>
        <v>#DIV/0!</v>
      </c>
      <c r="I136" s="129" t="e">
        <f t="shared" si="517"/>
        <v>#DIV/0!</v>
      </c>
      <c r="J136" s="129" t="e">
        <f t="shared" ref="J136:T136" si="518">J55/J25</f>
        <v>#DIV/0!</v>
      </c>
      <c r="K136" s="129" t="e">
        <f t="shared" si="518"/>
        <v>#DIV/0!</v>
      </c>
      <c r="L136" s="129" t="e">
        <f t="shared" si="518"/>
        <v>#DIV/0!</v>
      </c>
      <c r="M136" s="129" t="e">
        <f t="shared" si="518"/>
        <v>#DIV/0!</v>
      </c>
      <c r="N136" s="129" t="e">
        <f t="shared" si="518"/>
        <v>#DIV/0!</v>
      </c>
      <c r="O136" s="129" t="e">
        <f t="shared" si="518"/>
        <v>#DIV/0!</v>
      </c>
      <c r="P136" s="129" t="e">
        <f t="shared" si="518"/>
        <v>#DIV/0!</v>
      </c>
      <c r="Q136" s="129" t="e">
        <f t="shared" si="518"/>
        <v>#DIV/0!</v>
      </c>
      <c r="R136" s="129" t="e">
        <f t="shared" si="518"/>
        <v>#DIV/0!</v>
      </c>
      <c r="S136" s="129">
        <f t="shared" si="518"/>
        <v>0.11500493583415597</v>
      </c>
      <c r="T136" s="129">
        <f t="shared" si="518"/>
        <v>0.10617901427529436</v>
      </c>
      <c r="U136" s="101" t="e">
        <f t="shared" si="498"/>
        <v>#DIV/0!</v>
      </c>
      <c r="V136" s="10"/>
      <c r="W136" s="129">
        <f t="shared" ref="W136:AF136" si="519">W55/W25</f>
        <v>0.10617901427529437</v>
      </c>
      <c r="X136" s="129">
        <f t="shared" si="519"/>
        <v>0.10617901427529436</v>
      </c>
      <c r="Y136" s="129">
        <f t="shared" si="519"/>
        <v>0.10617901427529434</v>
      </c>
      <c r="Z136" s="129">
        <f t="shared" si="519"/>
        <v>0.10617901427529436</v>
      </c>
      <c r="AA136" s="129">
        <f t="shared" si="519"/>
        <v>0.10617901427529437</v>
      </c>
      <c r="AB136" s="129">
        <f t="shared" si="519"/>
        <v>0.10617901427529436</v>
      </c>
      <c r="AC136" s="129">
        <f t="shared" si="519"/>
        <v>0.10617901427529436</v>
      </c>
      <c r="AD136" s="129">
        <f t="shared" si="519"/>
        <v>0.10617901427529437</v>
      </c>
      <c r="AE136" s="129">
        <f t="shared" si="519"/>
        <v>0.10617901427529437</v>
      </c>
      <c r="AF136" s="129">
        <f t="shared" si="519"/>
        <v>0.10617901427529437</v>
      </c>
      <c r="AG136" s="116" t="e">
        <f t="shared" si="393"/>
        <v>#DIV/0!</v>
      </c>
      <c r="AH136" s="10"/>
      <c r="AI136" s="10"/>
    </row>
    <row r="137" spans="1:35">
      <c r="B137" s="10" t="s">
        <v>293</v>
      </c>
      <c r="C137" s="10"/>
      <c r="D137" s="10"/>
      <c r="E137" s="129"/>
      <c r="F137" s="129"/>
      <c r="G137" s="129">
        <f t="shared" ref="G137" si="520">G25/G18</f>
        <v>0</v>
      </c>
      <c r="H137" s="129" t="e">
        <f t="shared" ref="H137:I137" si="521">H25/H18</f>
        <v>#DIV/0!</v>
      </c>
      <c r="I137" s="129" t="e">
        <f t="shared" si="521"/>
        <v>#DIV/0!</v>
      </c>
      <c r="J137" s="129" t="e">
        <f t="shared" ref="J137:T137" si="522">J25/J18</f>
        <v>#DIV/0!</v>
      </c>
      <c r="K137" s="129" t="e">
        <f t="shared" si="522"/>
        <v>#DIV/0!</v>
      </c>
      <c r="L137" s="129" t="e">
        <f t="shared" si="522"/>
        <v>#DIV/0!</v>
      </c>
      <c r="M137" s="129" t="e">
        <f t="shared" si="522"/>
        <v>#DIV/0!</v>
      </c>
      <c r="N137" s="129" t="e">
        <f t="shared" si="522"/>
        <v>#DIV/0!</v>
      </c>
      <c r="O137" s="129" t="e">
        <f t="shared" si="522"/>
        <v>#DIV/0!</v>
      </c>
      <c r="P137" s="129" t="e">
        <f t="shared" si="522"/>
        <v>#DIV/0!</v>
      </c>
      <c r="Q137" s="129" t="e">
        <f t="shared" si="522"/>
        <v>#DIV/0!</v>
      </c>
      <c r="R137" s="129">
        <f t="shared" si="522"/>
        <v>0</v>
      </c>
      <c r="S137" s="129" t="e">
        <f t="shared" si="522"/>
        <v>#DIV/0!</v>
      </c>
      <c r="T137" s="129" t="e">
        <f t="shared" si="522"/>
        <v>#DIV/0!</v>
      </c>
      <c r="U137" s="101" t="e">
        <f t="shared" si="498"/>
        <v>#DIV/0!</v>
      </c>
      <c r="V137" s="10"/>
      <c r="W137" s="129" t="e">
        <f t="shared" ref="W137:AF137" si="523">W25/W18</f>
        <v>#DIV/0!</v>
      </c>
      <c r="X137" s="129" t="e">
        <f t="shared" si="523"/>
        <v>#DIV/0!</v>
      </c>
      <c r="Y137" s="129" t="e">
        <f t="shared" si="523"/>
        <v>#DIV/0!</v>
      </c>
      <c r="Z137" s="129" t="e">
        <f t="shared" si="523"/>
        <v>#DIV/0!</v>
      </c>
      <c r="AA137" s="129" t="e">
        <f t="shared" si="523"/>
        <v>#DIV/0!</v>
      </c>
      <c r="AB137" s="129" t="e">
        <f t="shared" si="523"/>
        <v>#DIV/0!</v>
      </c>
      <c r="AC137" s="129" t="e">
        <f t="shared" si="523"/>
        <v>#DIV/0!</v>
      </c>
      <c r="AD137" s="129" t="e">
        <f t="shared" si="523"/>
        <v>#DIV/0!</v>
      </c>
      <c r="AE137" s="129" t="e">
        <f t="shared" si="523"/>
        <v>#DIV/0!</v>
      </c>
      <c r="AF137" s="129" t="e">
        <f t="shared" si="523"/>
        <v>#DIV/0!</v>
      </c>
      <c r="AG137" s="116" t="e">
        <f t="shared" si="393"/>
        <v>#DIV/0!</v>
      </c>
      <c r="AH137" s="10"/>
      <c r="AI137" s="10"/>
    </row>
    <row r="138" spans="1:35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10"/>
      <c r="V138" s="10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10"/>
      <c r="AH138" s="10"/>
      <c r="AI138" s="10"/>
    </row>
    <row r="139" spans="1:35">
      <c r="B139" s="10" t="s">
        <v>279</v>
      </c>
      <c r="C139" s="10"/>
      <c r="D139" s="10"/>
      <c r="E139" s="142"/>
      <c r="F139" s="142"/>
      <c r="G139" s="142">
        <f t="shared" ref="G139" si="524">G88*G57</f>
        <v>1E-4</v>
      </c>
      <c r="H139" s="142">
        <f t="shared" ref="H139:I139" si="525">H88*H57</f>
        <v>0</v>
      </c>
      <c r="I139" s="142">
        <f t="shared" si="525"/>
        <v>0</v>
      </c>
      <c r="J139" s="142">
        <f t="shared" ref="J139:T139" si="526">J88*J57</f>
        <v>0</v>
      </c>
      <c r="K139" s="142">
        <f t="shared" si="526"/>
        <v>0</v>
      </c>
      <c r="L139" s="142">
        <f t="shared" si="526"/>
        <v>0</v>
      </c>
      <c r="M139" s="142">
        <f t="shared" si="526"/>
        <v>0</v>
      </c>
      <c r="N139" s="142">
        <f t="shared" si="526"/>
        <v>0</v>
      </c>
      <c r="O139" s="142">
        <f t="shared" si="526"/>
        <v>0</v>
      </c>
      <c r="P139" s="142">
        <f t="shared" si="526"/>
        <v>0</v>
      </c>
      <c r="Q139" s="142">
        <f t="shared" si="526"/>
        <v>0</v>
      </c>
      <c r="R139" s="142">
        <f t="shared" si="526"/>
        <v>1E-4</v>
      </c>
      <c r="S139" s="142">
        <f t="shared" si="526"/>
        <v>0</v>
      </c>
      <c r="T139" s="142">
        <f t="shared" si="526"/>
        <v>0</v>
      </c>
      <c r="U139" s="101">
        <f t="shared" si="498"/>
        <v>-1</v>
      </c>
      <c r="V139" s="10"/>
      <c r="W139" s="142">
        <f t="shared" ref="W139:AF139" si="527">W88*W57</f>
        <v>0</v>
      </c>
      <c r="X139" s="142">
        <f t="shared" si="527"/>
        <v>0</v>
      </c>
      <c r="Y139" s="142">
        <f t="shared" si="527"/>
        <v>0</v>
      </c>
      <c r="Z139" s="142">
        <f t="shared" si="527"/>
        <v>0</v>
      </c>
      <c r="AA139" s="142">
        <f t="shared" si="527"/>
        <v>0</v>
      </c>
      <c r="AB139" s="142">
        <f t="shared" si="527"/>
        <v>0</v>
      </c>
      <c r="AC139" s="142">
        <f t="shared" si="527"/>
        <v>0</v>
      </c>
      <c r="AD139" s="142">
        <f t="shared" si="527"/>
        <v>0</v>
      </c>
      <c r="AE139" s="142">
        <f t="shared" si="527"/>
        <v>0</v>
      </c>
      <c r="AF139" s="142">
        <f t="shared" si="527"/>
        <v>0</v>
      </c>
      <c r="AG139" s="116" t="e">
        <f t="shared" si="393"/>
        <v>#DIV/0!</v>
      </c>
      <c r="AH139" s="10"/>
      <c r="AI139" s="10"/>
    </row>
    <row r="140" spans="1:35">
      <c r="B140" s="10" t="s">
        <v>280</v>
      </c>
      <c r="C140" s="10"/>
      <c r="D140" s="10"/>
      <c r="E140" s="142"/>
      <c r="F140" s="142"/>
      <c r="G140" s="142">
        <f t="shared" ref="G140" si="528">(G139*0.17)+G139</f>
        <v>1.1700000000000001E-4</v>
      </c>
      <c r="H140" s="142">
        <f t="shared" ref="H140:I140" si="529">(H139*0.17)+H139</f>
        <v>0</v>
      </c>
      <c r="I140" s="142">
        <f t="shared" si="529"/>
        <v>0</v>
      </c>
      <c r="J140" s="142">
        <f t="shared" ref="J140:S140" si="530">(J139*0.17)+J139</f>
        <v>0</v>
      </c>
      <c r="K140" s="142">
        <f t="shared" si="530"/>
        <v>0</v>
      </c>
      <c r="L140" s="142">
        <f t="shared" si="530"/>
        <v>0</v>
      </c>
      <c r="M140" s="142">
        <f t="shared" si="530"/>
        <v>0</v>
      </c>
      <c r="N140" s="142">
        <f t="shared" si="530"/>
        <v>0</v>
      </c>
      <c r="O140" s="142">
        <f t="shared" si="530"/>
        <v>0</v>
      </c>
      <c r="P140" s="142">
        <f t="shared" si="530"/>
        <v>0</v>
      </c>
      <c r="Q140" s="142">
        <f t="shared" si="530"/>
        <v>0</v>
      </c>
      <c r="R140" s="142">
        <f t="shared" si="530"/>
        <v>1.1700000000000001E-4</v>
      </c>
      <c r="S140" s="142">
        <f t="shared" si="530"/>
        <v>0</v>
      </c>
      <c r="T140" s="142">
        <f t="shared" ref="T140" si="531">(T139*0.17)+T139</f>
        <v>0</v>
      </c>
      <c r="U140" s="101">
        <f t="shared" si="498"/>
        <v>-1</v>
      </c>
      <c r="V140" s="10"/>
      <c r="W140" s="142">
        <f t="shared" ref="W140:AF140" si="532">(W139*0.17)+W139</f>
        <v>0</v>
      </c>
      <c r="X140" s="142">
        <f t="shared" si="532"/>
        <v>0</v>
      </c>
      <c r="Y140" s="142">
        <f t="shared" si="532"/>
        <v>0</v>
      </c>
      <c r="Z140" s="142">
        <f t="shared" si="532"/>
        <v>0</v>
      </c>
      <c r="AA140" s="142">
        <f t="shared" si="532"/>
        <v>0</v>
      </c>
      <c r="AB140" s="142">
        <f t="shared" si="532"/>
        <v>0</v>
      </c>
      <c r="AC140" s="142">
        <f t="shared" si="532"/>
        <v>0</v>
      </c>
      <c r="AD140" s="142">
        <f t="shared" si="532"/>
        <v>0</v>
      </c>
      <c r="AE140" s="142">
        <f t="shared" si="532"/>
        <v>0</v>
      </c>
      <c r="AF140" s="142">
        <f t="shared" si="532"/>
        <v>0</v>
      </c>
      <c r="AG140" s="116" t="e">
        <f t="shared" si="393"/>
        <v>#DIV/0!</v>
      </c>
      <c r="AH140" s="10"/>
      <c r="AI140" s="10"/>
    </row>
    <row r="141" spans="1:35">
      <c r="B141" s="10" t="s">
        <v>281</v>
      </c>
      <c r="C141" s="10"/>
      <c r="D141" s="10"/>
      <c r="E141" s="10"/>
      <c r="F141" s="129"/>
      <c r="G141" s="129">
        <f t="shared" ref="G141" si="533">G140/G55</f>
        <v>-4.5348837209302326E-5</v>
      </c>
      <c r="H141" s="129" t="e">
        <f t="shared" ref="H141:I141" si="534">H140/H55</f>
        <v>#DIV/0!</v>
      </c>
      <c r="I141" s="129" t="e">
        <f t="shared" si="534"/>
        <v>#DIV/0!</v>
      </c>
      <c r="J141" s="129" t="e">
        <f t="shared" ref="J141:T141" si="535">J140/J55</f>
        <v>#DIV/0!</v>
      </c>
      <c r="K141" s="129" t="e">
        <f t="shared" si="535"/>
        <v>#DIV/0!</v>
      </c>
      <c r="L141" s="129" t="e">
        <f t="shared" si="535"/>
        <v>#DIV/0!</v>
      </c>
      <c r="M141" s="129" t="e">
        <f t="shared" si="535"/>
        <v>#DIV/0!</v>
      </c>
      <c r="N141" s="129" t="e">
        <f t="shared" si="535"/>
        <v>#DIV/0!</v>
      </c>
      <c r="O141" s="129" t="e">
        <f t="shared" si="535"/>
        <v>#DIV/0!</v>
      </c>
      <c r="P141" s="129" t="e">
        <f t="shared" si="535"/>
        <v>#DIV/0!</v>
      </c>
      <c r="Q141" s="129" t="e">
        <f t="shared" si="535"/>
        <v>#DIV/0!</v>
      </c>
      <c r="R141" s="129">
        <f t="shared" si="535"/>
        <v>-4.5348837209302326E-5</v>
      </c>
      <c r="S141" s="129">
        <f t="shared" si="535"/>
        <v>0</v>
      </c>
      <c r="T141" s="129">
        <f t="shared" si="535"/>
        <v>0</v>
      </c>
      <c r="U141" s="101">
        <f t="shared" si="498"/>
        <v>-1</v>
      </c>
      <c r="V141" s="10"/>
      <c r="W141" s="129">
        <f t="shared" ref="W141:AF141" si="536">W140/W55</f>
        <v>0</v>
      </c>
      <c r="X141" s="129">
        <f t="shared" si="536"/>
        <v>0</v>
      </c>
      <c r="Y141" s="129">
        <f t="shared" si="536"/>
        <v>0</v>
      </c>
      <c r="Z141" s="129">
        <f t="shared" si="536"/>
        <v>0</v>
      </c>
      <c r="AA141" s="129">
        <f t="shared" si="536"/>
        <v>0</v>
      </c>
      <c r="AB141" s="129">
        <f t="shared" si="536"/>
        <v>0</v>
      </c>
      <c r="AC141" s="129">
        <f t="shared" si="536"/>
        <v>0</v>
      </c>
      <c r="AD141" s="129">
        <f t="shared" si="536"/>
        <v>0</v>
      </c>
      <c r="AE141" s="129">
        <f t="shared" si="536"/>
        <v>0</v>
      </c>
      <c r="AF141" s="129">
        <f t="shared" si="536"/>
        <v>0</v>
      </c>
      <c r="AG141" s="116" t="e">
        <f t="shared" si="393"/>
        <v>#DIV/0!</v>
      </c>
      <c r="AH141" s="10"/>
      <c r="AI141" s="10"/>
    </row>
    <row r="142" spans="1:35">
      <c r="B142" s="10" t="s">
        <v>274</v>
      </c>
      <c r="C142" s="10"/>
      <c r="D142" s="10"/>
      <c r="E142" s="10"/>
      <c r="F142" s="129"/>
      <c r="G142" s="129">
        <f t="shared" ref="G142" si="537">1-G141</f>
        <v>1.0000453488372092</v>
      </c>
      <c r="H142" s="129" t="e">
        <f t="shared" ref="H142:I142" si="538">1-H141</f>
        <v>#DIV/0!</v>
      </c>
      <c r="I142" s="129" t="e">
        <f t="shared" si="538"/>
        <v>#DIV/0!</v>
      </c>
      <c r="J142" s="129" t="e">
        <f>1-J141</f>
        <v>#DIV/0!</v>
      </c>
      <c r="K142" s="129" t="e">
        <f t="shared" ref="K142:S142" si="539">1-K141</f>
        <v>#DIV/0!</v>
      </c>
      <c r="L142" s="129" t="e">
        <f t="shared" si="539"/>
        <v>#DIV/0!</v>
      </c>
      <c r="M142" s="129" t="e">
        <f t="shared" si="539"/>
        <v>#DIV/0!</v>
      </c>
      <c r="N142" s="129" t="e">
        <f t="shared" si="539"/>
        <v>#DIV/0!</v>
      </c>
      <c r="O142" s="129" t="e">
        <f t="shared" si="539"/>
        <v>#DIV/0!</v>
      </c>
      <c r="P142" s="129" t="e">
        <f t="shared" si="539"/>
        <v>#DIV/0!</v>
      </c>
      <c r="Q142" s="129" t="e">
        <f t="shared" si="539"/>
        <v>#DIV/0!</v>
      </c>
      <c r="R142" s="129">
        <f t="shared" si="539"/>
        <v>1.0000453488372092</v>
      </c>
      <c r="S142" s="129">
        <f t="shared" si="539"/>
        <v>1</v>
      </c>
      <c r="T142" s="129">
        <f t="shared" ref="T142" si="540">1-T141</f>
        <v>1</v>
      </c>
      <c r="U142" s="101">
        <f t="shared" si="498"/>
        <v>-3.4882869145436146E-6</v>
      </c>
      <c r="V142" s="10"/>
      <c r="W142" s="129">
        <f t="shared" ref="W142:AF142" si="541">1-W141</f>
        <v>1</v>
      </c>
      <c r="X142" s="129">
        <f t="shared" si="541"/>
        <v>1</v>
      </c>
      <c r="Y142" s="129">
        <f t="shared" si="541"/>
        <v>1</v>
      </c>
      <c r="Z142" s="129">
        <f t="shared" si="541"/>
        <v>1</v>
      </c>
      <c r="AA142" s="129">
        <f t="shared" si="541"/>
        <v>1</v>
      </c>
      <c r="AB142" s="129">
        <f t="shared" si="541"/>
        <v>1</v>
      </c>
      <c r="AC142" s="129">
        <f t="shared" si="541"/>
        <v>1</v>
      </c>
      <c r="AD142" s="129">
        <f t="shared" si="541"/>
        <v>1</v>
      </c>
      <c r="AE142" s="129">
        <f t="shared" si="541"/>
        <v>1</v>
      </c>
      <c r="AF142" s="129">
        <f t="shared" si="541"/>
        <v>1</v>
      </c>
      <c r="AG142" s="116" t="e">
        <f t="shared" si="393"/>
        <v>#DIV/0!</v>
      </c>
      <c r="AH142" s="10"/>
      <c r="AI142" s="10"/>
    </row>
    <row r="143" spans="1:35">
      <c r="B143" s="10" t="s">
        <v>380</v>
      </c>
      <c r="C143" s="10"/>
      <c r="D143" s="10"/>
      <c r="E143" s="10"/>
      <c r="F143" s="129"/>
      <c r="G143" s="129">
        <f t="shared" ref="G143" si="542">G140/G20</f>
        <v>1.17E-2</v>
      </c>
      <c r="H143" s="129" t="e">
        <f t="shared" ref="H143:I143" si="543">H140/H20</f>
        <v>#DIV/0!</v>
      </c>
      <c r="I143" s="129" t="e">
        <f t="shared" si="543"/>
        <v>#DIV/0!</v>
      </c>
      <c r="J143" s="129" t="e">
        <f t="shared" ref="J143:T143" si="544">J140/J20</f>
        <v>#DIV/0!</v>
      </c>
      <c r="K143" s="129" t="e">
        <f t="shared" si="544"/>
        <v>#DIV/0!</v>
      </c>
      <c r="L143" s="129" t="e">
        <f t="shared" si="544"/>
        <v>#DIV/0!</v>
      </c>
      <c r="M143" s="129" t="e">
        <f t="shared" si="544"/>
        <v>#DIV/0!</v>
      </c>
      <c r="N143" s="129" t="e">
        <f t="shared" si="544"/>
        <v>#DIV/0!</v>
      </c>
      <c r="O143" s="129" t="e">
        <f t="shared" si="544"/>
        <v>#DIV/0!</v>
      </c>
      <c r="P143" s="129" t="e">
        <f t="shared" si="544"/>
        <v>#DIV/0!</v>
      </c>
      <c r="Q143" s="129" t="e">
        <f t="shared" si="544"/>
        <v>#DIV/0!</v>
      </c>
      <c r="R143" s="129">
        <f t="shared" si="544"/>
        <v>1.17E-2</v>
      </c>
      <c r="S143" s="129" t="e">
        <f t="shared" si="544"/>
        <v>#DIV/0!</v>
      </c>
      <c r="T143" s="129" t="e">
        <f t="shared" si="544"/>
        <v>#DIV/0!</v>
      </c>
      <c r="U143" s="101" t="e">
        <f t="shared" si="498"/>
        <v>#DIV/0!</v>
      </c>
      <c r="V143" s="10"/>
      <c r="W143" s="129" t="e">
        <f t="shared" ref="W143:AF143" si="545">W140/W20</f>
        <v>#DIV/0!</v>
      </c>
      <c r="X143" s="129" t="e">
        <f t="shared" si="545"/>
        <v>#DIV/0!</v>
      </c>
      <c r="Y143" s="129" t="e">
        <f t="shared" si="545"/>
        <v>#DIV/0!</v>
      </c>
      <c r="Z143" s="129" t="e">
        <f t="shared" si="545"/>
        <v>#DIV/0!</v>
      </c>
      <c r="AA143" s="129" t="e">
        <f t="shared" si="545"/>
        <v>#DIV/0!</v>
      </c>
      <c r="AB143" s="129" t="e">
        <f t="shared" si="545"/>
        <v>#DIV/0!</v>
      </c>
      <c r="AC143" s="129" t="e">
        <f t="shared" si="545"/>
        <v>#DIV/0!</v>
      </c>
      <c r="AD143" s="129" t="e">
        <f t="shared" si="545"/>
        <v>#DIV/0!</v>
      </c>
      <c r="AE143" s="129" t="e">
        <f t="shared" si="545"/>
        <v>#DIV/0!</v>
      </c>
      <c r="AF143" s="129" t="e">
        <f t="shared" si="545"/>
        <v>#DIV/0!</v>
      </c>
      <c r="AG143" s="116" t="s">
        <v>381</v>
      </c>
      <c r="AH143" s="10"/>
      <c r="AI143" s="10"/>
    </row>
    <row r="144" spans="1:35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10"/>
      <c r="V144" s="10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10"/>
      <c r="AH144" s="10"/>
      <c r="AI144" s="10"/>
    </row>
    <row r="145" spans="2:35">
      <c r="B145" s="10" t="s">
        <v>278</v>
      </c>
      <c r="C145" s="129"/>
      <c r="D145" s="129"/>
      <c r="E145" s="129"/>
      <c r="F145" s="129"/>
      <c r="G145" s="129" t="e">
        <f t="shared" ref="G145" si="546">G31/G25</f>
        <v>#DIV/0!</v>
      </c>
      <c r="H145" s="129" t="e">
        <f t="shared" ref="H145:I145" si="547">H31/H25</f>
        <v>#DIV/0!</v>
      </c>
      <c r="I145" s="129" t="e">
        <f t="shared" si="547"/>
        <v>#DIV/0!</v>
      </c>
      <c r="J145" s="129" t="e">
        <f t="shared" ref="J145:T145" si="548">J31/J25</f>
        <v>#DIV/0!</v>
      </c>
      <c r="K145" s="129" t="e">
        <f t="shared" si="548"/>
        <v>#DIV/0!</v>
      </c>
      <c r="L145" s="129" t="e">
        <f t="shared" si="548"/>
        <v>#DIV/0!</v>
      </c>
      <c r="M145" s="129" t="e">
        <f t="shared" si="548"/>
        <v>#DIV/0!</v>
      </c>
      <c r="N145" s="129" t="e">
        <f t="shared" si="548"/>
        <v>#DIV/0!</v>
      </c>
      <c r="O145" s="129" t="e">
        <f t="shared" si="548"/>
        <v>#DIV/0!</v>
      </c>
      <c r="P145" s="129" t="e">
        <f t="shared" si="548"/>
        <v>#DIV/0!</v>
      </c>
      <c r="Q145" s="129" t="e">
        <f t="shared" si="548"/>
        <v>#DIV/0!</v>
      </c>
      <c r="R145" s="129" t="e">
        <f t="shared" si="548"/>
        <v>#DIV/0!</v>
      </c>
      <c r="S145" s="129">
        <f t="shared" si="548"/>
        <v>0</v>
      </c>
      <c r="T145" s="129">
        <f t="shared" si="548"/>
        <v>0</v>
      </c>
      <c r="U145" s="101" t="e">
        <f t="shared" si="498"/>
        <v>#DIV/0!</v>
      </c>
      <c r="V145" s="10"/>
      <c r="W145" s="129">
        <f t="shared" ref="W145:AF145" si="549">W31/W25</f>
        <v>0</v>
      </c>
      <c r="X145" s="129">
        <f t="shared" si="549"/>
        <v>0</v>
      </c>
      <c r="Y145" s="129">
        <f t="shared" si="549"/>
        <v>0</v>
      </c>
      <c r="Z145" s="129">
        <f t="shared" si="549"/>
        <v>0</v>
      </c>
      <c r="AA145" s="129">
        <f t="shared" si="549"/>
        <v>0</v>
      </c>
      <c r="AB145" s="129">
        <f t="shared" si="549"/>
        <v>0</v>
      </c>
      <c r="AC145" s="129">
        <f t="shared" si="549"/>
        <v>0</v>
      </c>
      <c r="AD145" s="129">
        <f t="shared" si="549"/>
        <v>0</v>
      </c>
      <c r="AE145" s="129">
        <f t="shared" si="549"/>
        <v>0</v>
      </c>
      <c r="AF145" s="129">
        <f t="shared" si="549"/>
        <v>0</v>
      </c>
      <c r="AG145" s="116" t="e">
        <f t="shared" si="393"/>
        <v>#DIV/0!</v>
      </c>
      <c r="AH145" s="10"/>
      <c r="AI145" s="10"/>
    </row>
    <row r="146" spans="2:35">
      <c r="B146" s="10" t="s">
        <v>275</v>
      </c>
      <c r="C146" s="129"/>
      <c r="D146" s="129"/>
      <c r="E146" s="129"/>
      <c r="F146" s="129"/>
      <c r="G146" s="129" t="e">
        <f t="shared" ref="G146" si="550">G32/G25</f>
        <v>#DIV/0!</v>
      </c>
      <c r="H146" s="129" t="e">
        <f t="shared" ref="H146:I146" si="551">H32/H25</f>
        <v>#DIV/0!</v>
      </c>
      <c r="I146" s="129" t="e">
        <f t="shared" si="551"/>
        <v>#DIV/0!</v>
      </c>
      <c r="J146" s="129" t="e">
        <f t="shared" ref="J146:T146" si="552">J32/J25</f>
        <v>#DIV/0!</v>
      </c>
      <c r="K146" s="129" t="e">
        <f t="shared" si="552"/>
        <v>#DIV/0!</v>
      </c>
      <c r="L146" s="129" t="e">
        <f t="shared" si="552"/>
        <v>#DIV/0!</v>
      </c>
      <c r="M146" s="129" t="e">
        <f t="shared" si="552"/>
        <v>#DIV/0!</v>
      </c>
      <c r="N146" s="129" t="e">
        <f t="shared" si="552"/>
        <v>#DIV/0!</v>
      </c>
      <c r="O146" s="129" t="e">
        <f t="shared" si="552"/>
        <v>#DIV/0!</v>
      </c>
      <c r="P146" s="129" t="e">
        <f t="shared" si="552"/>
        <v>#DIV/0!</v>
      </c>
      <c r="Q146" s="129" t="e">
        <f t="shared" si="552"/>
        <v>#DIV/0!</v>
      </c>
      <c r="R146" s="129" t="e">
        <f t="shared" si="552"/>
        <v>#DIV/0!</v>
      </c>
      <c r="S146" s="129">
        <f t="shared" si="552"/>
        <v>0</v>
      </c>
      <c r="T146" s="129">
        <f t="shared" si="552"/>
        <v>0</v>
      </c>
      <c r="U146" s="101" t="e">
        <f t="shared" si="498"/>
        <v>#DIV/0!</v>
      </c>
      <c r="V146" s="10"/>
      <c r="W146" s="129">
        <f t="shared" ref="W146:AF146" si="553">W32/W25</f>
        <v>0</v>
      </c>
      <c r="X146" s="129">
        <f t="shared" si="553"/>
        <v>0</v>
      </c>
      <c r="Y146" s="129">
        <f t="shared" si="553"/>
        <v>0</v>
      </c>
      <c r="Z146" s="129">
        <f t="shared" si="553"/>
        <v>0</v>
      </c>
      <c r="AA146" s="129">
        <f t="shared" si="553"/>
        <v>0</v>
      </c>
      <c r="AB146" s="129">
        <f t="shared" si="553"/>
        <v>0</v>
      </c>
      <c r="AC146" s="129">
        <f t="shared" si="553"/>
        <v>0</v>
      </c>
      <c r="AD146" s="129">
        <f t="shared" si="553"/>
        <v>0</v>
      </c>
      <c r="AE146" s="129">
        <f t="shared" si="553"/>
        <v>0</v>
      </c>
      <c r="AF146" s="129">
        <f t="shared" si="553"/>
        <v>0</v>
      </c>
      <c r="AG146" s="116" t="e">
        <f t="shared" si="393"/>
        <v>#DIV/0!</v>
      </c>
      <c r="AH146" s="10"/>
      <c r="AI146" s="10"/>
    </row>
    <row r="147" spans="2:35">
      <c r="B147" s="10" t="s">
        <v>388</v>
      </c>
      <c r="C147" s="129"/>
      <c r="D147" s="129"/>
      <c r="E147" s="129"/>
      <c r="F147" s="129"/>
      <c r="G147" s="129" t="e">
        <f t="shared" ref="G147" si="554">(G31+G32)/G25</f>
        <v>#DIV/0!</v>
      </c>
      <c r="H147" s="129" t="e">
        <f t="shared" ref="H147:I147" si="555">(H31+H32)/H25</f>
        <v>#DIV/0!</v>
      </c>
      <c r="I147" s="129" t="e">
        <f t="shared" si="555"/>
        <v>#DIV/0!</v>
      </c>
      <c r="J147" s="129" t="e">
        <f t="shared" ref="J147:T147" si="556">(J31+J32)/J25</f>
        <v>#DIV/0!</v>
      </c>
      <c r="K147" s="129" t="e">
        <f t="shared" si="556"/>
        <v>#DIV/0!</v>
      </c>
      <c r="L147" s="129" t="e">
        <f t="shared" si="556"/>
        <v>#DIV/0!</v>
      </c>
      <c r="M147" s="129" t="e">
        <f t="shared" si="556"/>
        <v>#DIV/0!</v>
      </c>
      <c r="N147" s="129" t="e">
        <f t="shared" si="556"/>
        <v>#DIV/0!</v>
      </c>
      <c r="O147" s="129" t="e">
        <f t="shared" si="556"/>
        <v>#DIV/0!</v>
      </c>
      <c r="P147" s="129" t="e">
        <f t="shared" si="556"/>
        <v>#DIV/0!</v>
      </c>
      <c r="Q147" s="129" t="e">
        <f t="shared" si="556"/>
        <v>#DIV/0!</v>
      </c>
      <c r="R147" s="129" t="e">
        <f t="shared" si="556"/>
        <v>#DIV/0!</v>
      </c>
      <c r="S147" s="129">
        <f t="shared" si="556"/>
        <v>0</v>
      </c>
      <c r="T147" s="129">
        <f t="shared" si="556"/>
        <v>0</v>
      </c>
      <c r="U147" s="101" t="e">
        <f t="shared" si="498"/>
        <v>#DIV/0!</v>
      </c>
      <c r="V147" s="10"/>
      <c r="W147" s="129">
        <f t="shared" ref="W147:AF147" si="557">(W31+W32)/W25</f>
        <v>0</v>
      </c>
      <c r="X147" s="129">
        <f t="shared" si="557"/>
        <v>0</v>
      </c>
      <c r="Y147" s="129">
        <f t="shared" si="557"/>
        <v>0</v>
      </c>
      <c r="Z147" s="129">
        <f t="shared" si="557"/>
        <v>0</v>
      </c>
      <c r="AA147" s="129">
        <f t="shared" si="557"/>
        <v>0</v>
      </c>
      <c r="AB147" s="129">
        <f t="shared" si="557"/>
        <v>0</v>
      </c>
      <c r="AC147" s="129">
        <f t="shared" si="557"/>
        <v>0</v>
      </c>
      <c r="AD147" s="129">
        <f t="shared" si="557"/>
        <v>0</v>
      </c>
      <c r="AE147" s="129">
        <f t="shared" si="557"/>
        <v>0</v>
      </c>
      <c r="AF147" s="129">
        <f t="shared" si="557"/>
        <v>0</v>
      </c>
      <c r="AG147" s="116" t="e">
        <f t="shared" si="393"/>
        <v>#DIV/0!</v>
      </c>
      <c r="AH147" s="10"/>
      <c r="AI147" s="10"/>
    </row>
    <row r="148" spans="2:35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10"/>
      <c r="V148" s="10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10"/>
      <c r="AH148" s="10"/>
      <c r="AI148" s="10"/>
    </row>
    <row r="149" spans="2:35">
      <c r="B149" s="10" t="s">
        <v>299</v>
      </c>
      <c r="C149" s="10"/>
      <c r="D149" s="10"/>
      <c r="E149" s="10"/>
      <c r="F149" s="129"/>
      <c r="G149" s="129" t="e">
        <f t="shared" ref="G149" si="558">G27/G25</f>
        <v>#DIV/0!</v>
      </c>
      <c r="H149" s="129" t="e">
        <f t="shared" ref="H149:I149" si="559">H27/H25</f>
        <v>#DIV/0!</v>
      </c>
      <c r="I149" s="129" t="e">
        <f t="shared" si="559"/>
        <v>#DIV/0!</v>
      </c>
      <c r="J149" s="129" t="e">
        <f t="shared" ref="J149:T149" si="560">J27/J25</f>
        <v>#DIV/0!</v>
      </c>
      <c r="K149" s="129" t="e">
        <f t="shared" si="560"/>
        <v>#DIV/0!</v>
      </c>
      <c r="L149" s="129" t="e">
        <f t="shared" si="560"/>
        <v>#DIV/0!</v>
      </c>
      <c r="M149" s="129" t="e">
        <f t="shared" si="560"/>
        <v>#DIV/0!</v>
      </c>
      <c r="N149" s="129" t="e">
        <f t="shared" si="560"/>
        <v>#DIV/0!</v>
      </c>
      <c r="O149" s="129" t="e">
        <f t="shared" si="560"/>
        <v>#DIV/0!</v>
      </c>
      <c r="P149" s="129" t="e">
        <f t="shared" si="560"/>
        <v>#DIV/0!</v>
      </c>
      <c r="Q149" s="129" t="e">
        <f t="shared" si="560"/>
        <v>#DIV/0!</v>
      </c>
      <c r="R149" s="129" t="e">
        <f t="shared" si="560"/>
        <v>#DIV/0!</v>
      </c>
      <c r="S149" s="129">
        <f t="shared" si="560"/>
        <v>0.88474827245804544</v>
      </c>
      <c r="T149" s="129">
        <f t="shared" si="560"/>
        <v>0.88840262582056895</v>
      </c>
      <c r="U149" s="101" t="e">
        <f t="shared" si="498"/>
        <v>#DIV/0!</v>
      </c>
      <c r="V149" s="10"/>
      <c r="W149" s="129">
        <f t="shared" ref="W149:AF149" si="561">W27/W25</f>
        <v>0.88840262582056895</v>
      </c>
      <c r="X149" s="129">
        <f t="shared" si="561"/>
        <v>0.88840262582056895</v>
      </c>
      <c r="Y149" s="129">
        <f t="shared" si="561"/>
        <v>0.88840262582056884</v>
      </c>
      <c r="Z149" s="129">
        <f t="shared" si="561"/>
        <v>0.88840262582056884</v>
      </c>
      <c r="AA149" s="129">
        <f t="shared" si="561"/>
        <v>0.88840262582056884</v>
      </c>
      <c r="AB149" s="129">
        <f t="shared" si="561"/>
        <v>0.88840262582056884</v>
      </c>
      <c r="AC149" s="129">
        <f t="shared" si="561"/>
        <v>0.88840262582056873</v>
      </c>
      <c r="AD149" s="129">
        <f t="shared" si="561"/>
        <v>0.88840262582056873</v>
      </c>
      <c r="AE149" s="129">
        <f t="shared" si="561"/>
        <v>0.88840262582056873</v>
      </c>
      <c r="AF149" s="129">
        <f t="shared" si="561"/>
        <v>0.88840262582056873</v>
      </c>
      <c r="AG149" s="116" t="e">
        <f t="shared" si="393"/>
        <v>#DIV/0!</v>
      </c>
      <c r="AH149" s="10"/>
      <c r="AI149" s="10"/>
    </row>
    <row r="150" spans="2:35">
      <c r="B150" s="10" t="str">
        <f>B33</f>
        <v>Top Expenses ( Raw material )</v>
      </c>
      <c r="C150" s="10"/>
      <c r="D150" s="10"/>
      <c r="E150" s="10"/>
      <c r="F150" s="129"/>
      <c r="G150" s="129" t="e">
        <f t="shared" ref="G150" si="562">G33/G25</f>
        <v>#DIV/0!</v>
      </c>
      <c r="H150" s="129" t="e">
        <f t="shared" ref="H150:I150" si="563">H33/H25</f>
        <v>#DIV/0!</v>
      </c>
      <c r="I150" s="129" t="e">
        <f t="shared" si="563"/>
        <v>#DIV/0!</v>
      </c>
      <c r="J150" s="129" t="e">
        <f t="shared" ref="J150:T150" si="564">J33/J25</f>
        <v>#DIV/0!</v>
      </c>
      <c r="K150" s="129" t="e">
        <f t="shared" si="564"/>
        <v>#DIV/0!</v>
      </c>
      <c r="L150" s="129" t="e">
        <f t="shared" si="564"/>
        <v>#DIV/0!</v>
      </c>
      <c r="M150" s="129" t="e">
        <f t="shared" si="564"/>
        <v>#DIV/0!</v>
      </c>
      <c r="N150" s="129" t="e">
        <f t="shared" si="564"/>
        <v>#DIV/0!</v>
      </c>
      <c r="O150" s="129" t="e">
        <f t="shared" si="564"/>
        <v>#DIV/0!</v>
      </c>
      <c r="P150" s="129" t="e">
        <f t="shared" si="564"/>
        <v>#DIV/0!</v>
      </c>
      <c r="Q150" s="129" t="e">
        <f t="shared" si="564"/>
        <v>#DIV/0!</v>
      </c>
      <c r="R150" s="129" t="e">
        <f t="shared" si="564"/>
        <v>#DIV/0!</v>
      </c>
      <c r="S150" s="129">
        <f t="shared" si="564"/>
        <v>0.11994076999012833</v>
      </c>
      <c r="T150" s="129">
        <f t="shared" si="564"/>
        <v>0.13566739606126915</v>
      </c>
      <c r="U150" s="101" t="e">
        <f t="shared" si="498"/>
        <v>#DIV/0!</v>
      </c>
      <c r="V150" s="10"/>
      <c r="W150" s="129">
        <f t="shared" ref="W150:AF150" si="565">W33/W25</f>
        <v>0.13566739606126915</v>
      </c>
      <c r="X150" s="129">
        <f t="shared" si="565"/>
        <v>0.13566739606126915</v>
      </c>
      <c r="Y150" s="129">
        <f t="shared" si="565"/>
        <v>0.13566739606126915</v>
      </c>
      <c r="Z150" s="129">
        <f t="shared" si="565"/>
        <v>0.13566739606126915</v>
      </c>
      <c r="AA150" s="129">
        <f t="shared" si="565"/>
        <v>0.13566739606126918</v>
      </c>
      <c r="AB150" s="129">
        <f t="shared" si="565"/>
        <v>0.13566739606126915</v>
      </c>
      <c r="AC150" s="129">
        <f t="shared" si="565"/>
        <v>0.13566739606126915</v>
      </c>
      <c r="AD150" s="129">
        <f t="shared" si="565"/>
        <v>0.13566739606126915</v>
      </c>
      <c r="AE150" s="129">
        <f t="shared" si="565"/>
        <v>0.13566739606126915</v>
      </c>
      <c r="AF150" s="129">
        <f t="shared" si="565"/>
        <v>0.13566739606126915</v>
      </c>
      <c r="AG150" s="116" t="e">
        <f t="shared" si="393"/>
        <v>#DIV/0!</v>
      </c>
      <c r="AH150" s="10"/>
      <c r="AI150" s="10"/>
    </row>
    <row r="151" spans="2:35">
      <c r="B151" s="10" t="str">
        <f>B34</f>
        <v>2nd highest Expenses Comp. ( Power and Fuel )</v>
      </c>
      <c r="C151" s="10"/>
      <c r="D151" s="10"/>
      <c r="E151" s="10"/>
      <c r="F151" s="129"/>
      <c r="G151" s="129" t="e">
        <f t="shared" ref="G151" si="566">G34/G25</f>
        <v>#DIV/0!</v>
      </c>
      <c r="H151" s="129" t="e">
        <f t="shared" ref="H151:I151" si="567">H34/H25</f>
        <v>#DIV/0!</v>
      </c>
      <c r="I151" s="129" t="e">
        <f t="shared" si="567"/>
        <v>#DIV/0!</v>
      </c>
      <c r="J151" s="129" t="e">
        <f t="shared" ref="J151:T151" si="568">J34/J25</f>
        <v>#DIV/0!</v>
      </c>
      <c r="K151" s="129" t="e">
        <f t="shared" si="568"/>
        <v>#DIV/0!</v>
      </c>
      <c r="L151" s="129" t="e">
        <f t="shared" si="568"/>
        <v>#DIV/0!</v>
      </c>
      <c r="M151" s="129" t="e">
        <f t="shared" si="568"/>
        <v>#DIV/0!</v>
      </c>
      <c r="N151" s="129" t="e">
        <f t="shared" si="568"/>
        <v>#DIV/0!</v>
      </c>
      <c r="O151" s="129" t="e">
        <f t="shared" si="568"/>
        <v>#DIV/0!</v>
      </c>
      <c r="P151" s="129" t="e">
        <f t="shared" si="568"/>
        <v>#DIV/0!</v>
      </c>
      <c r="Q151" s="129" t="e">
        <f t="shared" si="568"/>
        <v>#DIV/0!</v>
      </c>
      <c r="R151" s="129" t="e">
        <f t="shared" si="568"/>
        <v>#DIV/0!</v>
      </c>
      <c r="S151" s="129">
        <f t="shared" si="568"/>
        <v>6.3178677196446195E-2</v>
      </c>
      <c r="T151" s="129">
        <f t="shared" si="568"/>
        <v>5.9706158174429508E-2</v>
      </c>
      <c r="U151" s="101" t="e">
        <f t="shared" si="498"/>
        <v>#DIV/0!</v>
      </c>
      <c r="V151" s="10"/>
      <c r="W151" s="129">
        <f t="shared" ref="W151:AF151" si="569">W34/W25</f>
        <v>5.9706158174429515E-2</v>
      </c>
      <c r="X151" s="129">
        <f t="shared" si="569"/>
        <v>5.9706158174429508E-2</v>
      </c>
      <c r="Y151" s="129">
        <f t="shared" si="569"/>
        <v>5.9706158174429501E-2</v>
      </c>
      <c r="Z151" s="129">
        <f t="shared" si="569"/>
        <v>5.9706158174429508E-2</v>
      </c>
      <c r="AA151" s="129">
        <f t="shared" si="569"/>
        <v>5.9706158174429508E-2</v>
      </c>
      <c r="AB151" s="129">
        <f t="shared" si="569"/>
        <v>5.9706158174429515E-2</v>
      </c>
      <c r="AC151" s="129">
        <f t="shared" si="569"/>
        <v>5.9706158174429508E-2</v>
      </c>
      <c r="AD151" s="129">
        <f t="shared" si="569"/>
        <v>5.9706158174429508E-2</v>
      </c>
      <c r="AE151" s="129">
        <f t="shared" si="569"/>
        <v>5.9706158174429508E-2</v>
      </c>
      <c r="AF151" s="129">
        <f t="shared" si="569"/>
        <v>5.9706158174429508E-2</v>
      </c>
      <c r="AG151" s="116" t="e">
        <f t="shared" si="393"/>
        <v>#DIV/0!</v>
      </c>
      <c r="AH151" s="10"/>
      <c r="AI151" s="10"/>
    </row>
    <row r="152" spans="2: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10"/>
      <c r="V152" s="110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17"/>
      <c r="AH152" s="10"/>
      <c r="AI152" s="10"/>
    </row>
    <row r="153" spans="2:35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01" t="e">
        <f t="shared" si="498"/>
        <v>#DIV/0!</v>
      </c>
      <c r="V153" s="110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16"/>
      <c r="AH153" s="10"/>
      <c r="AI153" s="10"/>
    </row>
    <row r="154" spans="2:35">
      <c r="B154" s="10" t="s">
        <v>310</v>
      </c>
      <c r="C154" s="10"/>
      <c r="D154" s="10"/>
      <c r="E154" s="10"/>
      <c r="F154" s="15"/>
      <c r="G154" s="15">
        <f t="shared" ref="G154" si="570">G15/G9</f>
        <v>1</v>
      </c>
      <c r="H154" s="15" t="e">
        <f t="shared" ref="H154:I154" si="571">H15/H9</f>
        <v>#DIV/0!</v>
      </c>
      <c r="I154" s="15" t="e">
        <f t="shared" si="571"/>
        <v>#DIV/0!</v>
      </c>
      <c r="J154" s="15" t="e">
        <f t="shared" ref="J154:T154" si="572">J15/J9</f>
        <v>#DIV/0!</v>
      </c>
      <c r="K154" s="15" t="e">
        <f t="shared" si="572"/>
        <v>#DIV/0!</v>
      </c>
      <c r="L154" s="15" t="e">
        <f t="shared" si="572"/>
        <v>#DIV/0!</v>
      </c>
      <c r="M154" s="15" t="e">
        <f t="shared" si="572"/>
        <v>#DIV/0!</v>
      </c>
      <c r="N154" s="15" t="e">
        <f t="shared" si="572"/>
        <v>#DIV/0!</v>
      </c>
      <c r="O154" s="15" t="e">
        <f t="shared" si="572"/>
        <v>#DIV/0!</v>
      </c>
      <c r="P154" s="15" t="e">
        <f t="shared" si="572"/>
        <v>#DIV/0!</v>
      </c>
      <c r="Q154" s="15" t="e">
        <f t="shared" si="572"/>
        <v>#DIV/0!</v>
      </c>
      <c r="R154" s="15">
        <f t="shared" si="572"/>
        <v>1</v>
      </c>
      <c r="S154" s="15">
        <f t="shared" si="572"/>
        <v>0</v>
      </c>
      <c r="T154" s="15">
        <f t="shared" si="572"/>
        <v>0</v>
      </c>
      <c r="U154" s="101">
        <f t="shared" si="498"/>
        <v>-1</v>
      </c>
      <c r="V154" s="10"/>
      <c r="W154" s="10">
        <f t="shared" ref="W154:AF154" si="573">W15/W9</f>
        <v>0</v>
      </c>
      <c r="X154" s="10">
        <f t="shared" si="573"/>
        <v>0</v>
      </c>
      <c r="Y154" s="10">
        <f t="shared" si="573"/>
        <v>0</v>
      </c>
      <c r="Z154" s="10">
        <f t="shared" si="573"/>
        <v>0</v>
      </c>
      <c r="AA154" s="10">
        <f t="shared" si="573"/>
        <v>0</v>
      </c>
      <c r="AB154" s="10">
        <f t="shared" si="573"/>
        <v>0</v>
      </c>
      <c r="AC154" s="10">
        <f t="shared" si="573"/>
        <v>0</v>
      </c>
      <c r="AD154" s="10">
        <f t="shared" si="573"/>
        <v>0</v>
      </c>
      <c r="AE154" s="10">
        <f t="shared" si="573"/>
        <v>0</v>
      </c>
      <c r="AF154" s="10">
        <f t="shared" si="573"/>
        <v>0</v>
      </c>
      <c r="AG154" s="116" t="e">
        <f t="shared" si="393"/>
        <v>#DIV/0!</v>
      </c>
      <c r="AH154" s="10"/>
      <c r="AI154" s="10"/>
    </row>
    <row r="155" spans="2:35">
      <c r="B155" s="10" t="s">
        <v>300</v>
      </c>
      <c r="C155" s="10"/>
      <c r="D155" s="10"/>
      <c r="E155" s="10"/>
      <c r="F155" s="15"/>
      <c r="G155" s="15">
        <f t="shared" ref="G155" si="574">G12/G9</f>
        <v>1</v>
      </c>
      <c r="H155" s="15" t="e">
        <f t="shared" ref="H155:I155" si="575">H12/H9</f>
        <v>#DIV/0!</v>
      </c>
      <c r="I155" s="15" t="e">
        <f t="shared" si="575"/>
        <v>#DIV/0!</v>
      </c>
      <c r="J155" s="15" t="e">
        <f t="shared" ref="J155:T155" si="576">J12/J9</f>
        <v>#DIV/0!</v>
      </c>
      <c r="K155" s="15" t="e">
        <f t="shared" si="576"/>
        <v>#DIV/0!</v>
      </c>
      <c r="L155" s="15" t="e">
        <f t="shared" si="576"/>
        <v>#DIV/0!</v>
      </c>
      <c r="M155" s="15" t="e">
        <f t="shared" si="576"/>
        <v>#DIV/0!</v>
      </c>
      <c r="N155" s="15" t="e">
        <f t="shared" si="576"/>
        <v>#DIV/0!</v>
      </c>
      <c r="O155" s="15" t="e">
        <f t="shared" si="576"/>
        <v>#DIV/0!</v>
      </c>
      <c r="P155" s="15" t="e">
        <f t="shared" si="576"/>
        <v>#DIV/0!</v>
      </c>
      <c r="Q155" s="15" t="e">
        <f t="shared" si="576"/>
        <v>#DIV/0!</v>
      </c>
      <c r="R155" s="15">
        <f t="shared" si="576"/>
        <v>1</v>
      </c>
      <c r="S155" s="15">
        <f t="shared" si="576"/>
        <v>0.45190322611334688</v>
      </c>
      <c r="T155" s="15">
        <f t="shared" si="576"/>
        <v>0.43303380402225072</v>
      </c>
      <c r="U155" s="101">
        <f t="shared" si="498"/>
        <v>-6.2351337486142189E-2</v>
      </c>
      <c r="V155" s="110"/>
      <c r="W155" s="10">
        <f t="shared" ref="W155:AF155" si="577">W12/W9</f>
        <v>0.43303380402225072</v>
      </c>
      <c r="X155" s="10">
        <f t="shared" si="577"/>
        <v>0.43303380402225078</v>
      </c>
      <c r="Y155" s="10">
        <f t="shared" si="577"/>
        <v>0.43303380402225072</v>
      </c>
      <c r="Z155" s="10">
        <f t="shared" si="577"/>
        <v>0.43303380402225078</v>
      </c>
      <c r="AA155" s="10">
        <f t="shared" si="577"/>
        <v>0.43303380402225072</v>
      </c>
      <c r="AB155" s="10">
        <f t="shared" si="577"/>
        <v>0.43303380402225072</v>
      </c>
      <c r="AC155" s="10">
        <f t="shared" si="577"/>
        <v>0.43303380402225067</v>
      </c>
      <c r="AD155" s="10">
        <f t="shared" si="577"/>
        <v>0.43303380402225067</v>
      </c>
      <c r="AE155" s="10">
        <f t="shared" si="577"/>
        <v>0.43303380402225072</v>
      </c>
      <c r="AF155" s="10">
        <f t="shared" si="577"/>
        <v>0.43303380402225067</v>
      </c>
      <c r="AG155" s="101">
        <f t="shared" ref="AG155" si="578">((AF155/W155)^(1/($K$2-$K$1) ))-1</f>
        <v>0</v>
      </c>
      <c r="AH155" s="10"/>
      <c r="AI155" s="10"/>
    </row>
    <row r="156" spans="2:35">
      <c r="B156" s="10" t="s">
        <v>302</v>
      </c>
      <c r="C156" s="10"/>
      <c r="D156" s="10"/>
      <c r="E156" s="10"/>
      <c r="F156" s="15"/>
      <c r="G156" s="15">
        <f t="shared" ref="G156" si="579">G25/360</f>
        <v>0</v>
      </c>
      <c r="H156" s="15">
        <f t="shared" ref="H156:I156" si="580">H25/360</f>
        <v>0</v>
      </c>
      <c r="I156" s="15">
        <f t="shared" si="580"/>
        <v>0</v>
      </c>
      <c r="J156" s="15">
        <f t="shared" ref="J156:T156" si="581">J25/360</f>
        <v>0</v>
      </c>
      <c r="K156" s="15">
        <f t="shared" si="581"/>
        <v>0</v>
      </c>
      <c r="L156" s="15">
        <f t="shared" si="581"/>
        <v>0</v>
      </c>
      <c r="M156" s="15">
        <f t="shared" si="581"/>
        <v>0</v>
      </c>
      <c r="N156" s="15">
        <f t="shared" si="581"/>
        <v>0</v>
      </c>
      <c r="O156" s="15">
        <f t="shared" si="581"/>
        <v>0</v>
      </c>
      <c r="P156" s="15">
        <f t="shared" si="581"/>
        <v>0</v>
      </c>
      <c r="Q156" s="15">
        <f t="shared" si="581"/>
        <v>0</v>
      </c>
      <c r="R156" s="15">
        <f t="shared" si="581"/>
        <v>0</v>
      </c>
      <c r="S156" s="15">
        <f t="shared" si="581"/>
        <v>11.255555555555556</v>
      </c>
      <c r="T156" s="15">
        <f t="shared" si="581"/>
        <v>26.658333333333335</v>
      </c>
      <c r="U156" s="101" t="e">
        <f t="shared" si="498"/>
        <v>#DIV/0!</v>
      </c>
      <c r="V156" s="110"/>
      <c r="W156" s="15">
        <f t="shared" ref="W156:AF156" si="582">W25/360</f>
        <v>29.857333333333337</v>
      </c>
      <c r="X156" s="15">
        <f t="shared" si="582"/>
        <v>33.44021333333334</v>
      </c>
      <c r="Y156" s="15">
        <f t="shared" si="582"/>
        <v>37.453038933333346</v>
      </c>
      <c r="Z156" s="15">
        <f t="shared" si="582"/>
        <v>41.947403605333349</v>
      </c>
      <c r="AA156" s="15">
        <f t="shared" si="582"/>
        <v>46.981092037973355</v>
      </c>
      <c r="AB156" s="15">
        <f t="shared" si="582"/>
        <v>52.618823082530163</v>
      </c>
      <c r="AC156" s="15">
        <f t="shared" si="582"/>
        <v>58.933081852433787</v>
      </c>
      <c r="AD156" s="15">
        <f t="shared" si="582"/>
        <v>66.005051674725848</v>
      </c>
      <c r="AE156" s="15">
        <f t="shared" si="582"/>
        <v>73.925657875692949</v>
      </c>
      <c r="AF156" s="15">
        <f t="shared" si="582"/>
        <v>82.796736820776118</v>
      </c>
      <c r="AG156" s="101">
        <f t="shared" ref="AG156:AG167" si="583">((AF156/W156)^(1/($K$2-$K$1) ))-1</f>
        <v>8.1618273019060439E-2</v>
      </c>
      <c r="AH156" s="10"/>
      <c r="AI156" s="10"/>
    </row>
    <row r="157" spans="2:35">
      <c r="B157" s="10" t="s">
        <v>301</v>
      </c>
      <c r="C157" s="10"/>
      <c r="D157" s="10"/>
      <c r="E157" s="10"/>
      <c r="F157" s="15"/>
      <c r="G157" s="15">
        <f t="shared" ref="G157" si="584">G27/360</f>
        <v>0</v>
      </c>
      <c r="H157" s="15">
        <f t="shared" ref="H157:I157" si="585">H27/360</f>
        <v>0</v>
      </c>
      <c r="I157" s="15">
        <f t="shared" si="585"/>
        <v>0</v>
      </c>
      <c r="J157" s="15">
        <f t="shared" ref="J157:T157" si="586">J27/360</f>
        <v>0</v>
      </c>
      <c r="K157" s="15">
        <f t="shared" si="586"/>
        <v>0</v>
      </c>
      <c r="L157" s="15">
        <f t="shared" si="586"/>
        <v>0</v>
      </c>
      <c r="M157" s="15">
        <f t="shared" si="586"/>
        <v>0</v>
      </c>
      <c r="N157" s="15">
        <f t="shared" si="586"/>
        <v>0</v>
      </c>
      <c r="O157" s="15">
        <f t="shared" si="586"/>
        <v>0</v>
      </c>
      <c r="P157" s="15">
        <f t="shared" si="586"/>
        <v>0</v>
      </c>
      <c r="Q157" s="15">
        <f t="shared" si="586"/>
        <v>0</v>
      </c>
      <c r="R157" s="15">
        <f t="shared" si="586"/>
        <v>0</v>
      </c>
      <c r="S157" s="15">
        <f t="shared" si="586"/>
        <v>9.9583333333333339</v>
      </c>
      <c r="T157" s="15">
        <f t="shared" si="586"/>
        <v>23.683333333333334</v>
      </c>
      <c r="U157" s="101" t="e">
        <f t="shared" si="498"/>
        <v>#DIV/0!</v>
      </c>
      <c r="V157" s="110"/>
      <c r="W157" s="15">
        <f t="shared" ref="W157:AF157" si="587">W27/360</f>
        <v>26.525333333333336</v>
      </c>
      <c r="X157" s="15">
        <f t="shared" si="587"/>
        <v>29.708373333333338</v>
      </c>
      <c r="Y157" s="15">
        <f t="shared" si="587"/>
        <v>33.273378133333338</v>
      </c>
      <c r="Z157" s="15">
        <f t="shared" si="587"/>
        <v>37.266183509333345</v>
      </c>
      <c r="AA157" s="15">
        <f t="shared" si="587"/>
        <v>41.738125530453345</v>
      </c>
      <c r="AB157" s="15">
        <f t="shared" si="587"/>
        <v>46.74670059410775</v>
      </c>
      <c r="AC157" s="15">
        <f t="shared" si="587"/>
        <v>52.356304665400685</v>
      </c>
      <c r="AD157" s="15">
        <f t="shared" si="587"/>
        <v>58.639061225248767</v>
      </c>
      <c r="AE157" s="15">
        <f t="shared" si="587"/>
        <v>65.675748572278621</v>
      </c>
      <c r="AF157" s="15">
        <f t="shared" si="587"/>
        <v>73.55683840095206</v>
      </c>
      <c r="AG157" s="101">
        <f t="shared" si="583"/>
        <v>8.1618273019060217E-2</v>
      </c>
      <c r="AH157" s="10"/>
      <c r="AI157" s="10"/>
    </row>
    <row r="158" spans="2:35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10"/>
      <c r="V158" s="110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10"/>
      <c r="AH158" s="10"/>
      <c r="AI158" s="10"/>
    </row>
    <row r="159" spans="2:35">
      <c r="B159" s="10" t="s">
        <v>311</v>
      </c>
      <c r="C159" s="10"/>
      <c r="D159" s="10"/>
      <c r="E159" s="10"/>
      <c r="F159" s="15"/>
      <c r="G159" s="15">
        <f t="shared" ref="G159" si="588">G10/G7</f>
        <v>0.01</v>
      </c>
      <c r="H159" s="15" t="e">
        <f t="shared" ref="H159:I159" si="589">H10/H7</f>
        <v>#DIV/0!</v>
      </c>
      <c r="I159" s="15" t="e">
        <f t="shared" si="589"/>
        <v>#DIV/0!</v>
      </c>
      <c r="J159" s="15" t="e">
        <f t="shared" ref="J159:T159" si="590">J10/J7</f>
        <v>#DIV/0!</v>
      </c>
      <c r="K159" s="15" t="e">
        <f t="shared" si="590"/>
        <v>#DIV/0!</v>
      </c>
      <c r="L159" s="15" t="e">
        <f t="shared" si="590"/>
        <v>#DIV/0!</v>
      </c>
      <c r="M159" s="15" t="e">
        <f t="shared" si="590"/>
        <v>#DIV/0!</v>
      </c>
      <c r="N159" s="15" t="e">
        <f t="shared" si="590"/>
        <v>#DIV/0!</v>
      </c>
      <c r="O159" s="15" t="e">
        <f t="shared" si="590"/>
        <v>#DIV/0!</v>
      </c>
      <c r="P159" s="15" t="e">
        <f t="shared" si="590"/>
        <v>#DIV/0!</v>
      </c>
      <c r="Q159" s="15" t="e">
        <f t="shared" si="590"/>
        <v>#DIV/0!</v>
      </c>
      <c r="R159" s="15">
        <f t="shared" si="590"/>
        <v>0.01</v>
      </c>
      <c r="S159" s="15">
        <f t="shared" si="590"/>
        <v>4.1174981936614943</v>
      </c>
      <c r="T159" s="15">
        <f t="shared" si="590"/>
        <v>6.1636462733342414</v>
      </c>
      <c r="U159" s="101">
        <f t="shared" si="498"/>
        <v>0.63909037682569503</v>
      </c>
      <c r="V159" s="110"/>
      <c r="W159" s="15">
        <f t="shared" ref="W159:AF159" si="591">W10/W7</f>
        <v>6.1636462733342423</v>
      </c>
      <c r="X159" s="15">
        <f t="shared" si="591"/>
        <v>6.1636462733342423</v>
      </c>
      <c r="Y159" s="15">
        <f t="shared" si="591"/>
        <v>6.1636462733342414</v>
      </c>
      <c r="Z159" s="15">
        <f t="shared" si="591"/>
        <v>6.1636462733342423</v>
      </c>
      <c r="AA159" s="15">
        <f t="shared" si="591"/>
        <v>6.1636462733342414</v>
      </c>
      <c r="AB159" s="15">
        <f t="shared" si="591"/>
        <v>6.1636462733342423</v>
      </c>
      <c r="AC159" s="15">
        <f t="shared" si="591"/>
        <v>6.1636462733342423</v>
      </c>
      <c r="AD159" s="15">
        <f t="shared" si="591"/>
        <v>6.1636462733342423</v>
      </c>
      <c r="AE159" s="15">
        <f t="shared" si="591"/>
        <v>6.1636462733342423</v>
      </c>
      <c r="AF159" s="15">
        <f t="shared" si="591"/>
        <v>6.1636462733342423</v>
      </c>
      <c r="AG159" s="101">
        <f t="shared" si="583"/>
        <v>0</v>
      </c>
      <c r="AH159" s="10"/>
      <c r="AI159" s="10"/>
    </row>
    <row r="160" spans="2:35">
      <c r="B160" s="10" t="s">
        <v>303</v>
      </c>
      <c r="C160" s="10"/>
      <c r="D160" s="10"/>
      <c r="E160" s="10"/>
      <c r="F160" s="15"/>
      <c r="G160" s="15">
        <f t="shared" ref="G160" si="592">G10/(G10+G7)</f>
        <v>9.9009900990099011E-3</v>
      </c>
      <c r="H160" s="15" t="e">
        <f t="shared" ref="H160:I160" si="593">H10/(H10+H7)</f>
        <v>#DIV/0!</v>
      </c>
      <c r="I160" s="15" t="e">
        <f t="shared" si="593"/>
        <v>#DIV/0!</v>
      </c>
      <c r="J160" s="15" t="e">
        <f t="shared" ref="J160:T160" si="594">J10/(J10+J7)</f>
        <v>#DIV/0!</v>
      </c>
      <c r="K160" s="15" t="e">
        <f t="shared" si="594"/>
        <v>#DIV/0!</v>
      </c>
      <c r="L160" s="15" t="e">
        <f t="shared" si="594"/>
        <v>#DIV/0!</v>
      </c>
      <c r="M160" s="15" t="e">
        <f t="shared" si="594"/>
        <v>#DIV/0!</v>
      </c>
      <c r="N160" s="15" t="e">
        <f t="shared" si="594"/>
        <v>#DIV/0!</v>
      </c>
      <c r="O160" s="15" t="e">
        <f t="shared" si="594"/>
        <v>#DIV/0!</v>
      </c>
      <c r="P160" s="15" t="e">
        <f t="shared" si="594"/>
        <v>#DIV/0!</v>
      </c>
      <c r="Q160" s="15" t="e">
        <f t="shared" si="594"/>
        <v>#DIV/0!</v>
      </c>
      <c r="R160" s="15">
        <f t="shared" si="594"/>
        <v>9.9009900990099011E-3</v>
      </c>
      <c r="S160" s="15">
        <f t="shared" si="594"/>
        <v>0.80459201700577154</v>
      </c>
      <c r="T160" s="15">
        <f t="shared" si="594"/>
        <v>0.86040628447521583</v>
      </c>
      <c r="U160" s="101">
        <f t="shared" si="498"/>
        <v>0.40979434830843875</v>
      </c>
      <c r="V160" s="110"/>
      <c r="W160" s="15">
        <f t="shared" ref="W160:AF160" si="595">W10/(W10+W7)</f>
        <v>0.86040628447521594</v>
      </c>
      <c r="X160" s="15">
        <f t="shared" si="595"/>
        <v>0.86040628447521583</v>
      </c>
      <c r="Y160" s="15">
        <f t="shared" si="595"/>
        <v>0.86040628447521583</v>
      </c>
      <c r="Z160" s="15">
        <f t="shared" si="595"/>
        <v>0.86040628447521583</v>
      </c>
      <c r="AA160" s="15">
        <f t="shared" si="595"/>
        <v>0.86040628447521583</v>
      </c>
      <c r="AB160" s="15">
        <f t="shared" si="595"/>
        <v>0.86040628447521594</v>
      </c>
      <c r="AC160" s="15">
        <f t="shared" si="595"/>
        <v>0.86040628447521583</v>
      </c>
      <c r="AD160" s="15">
        <f t="shared" si="595"/>
        <v>0.86040628447521594</v>
      </c>
      <c r="AE160" s="15">
        <f t="shared" si="595"/>
        <v>0.86040628447521594</v>
      </c>
      <c r="AF160" s="15">
        <f t="shared" si="595"/>
        <v>0.86040628447521594</v>
      </c>
      <c r="AG160" s="101">
        <f t="shared" si="583"/>
        <v>0</v>
      </c>
      <c r="AH160" s="10"/>
      <c r="AI160" s="10"/>
    </row>
    <row r="161" spans="2:35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10"/>
      <c r="V161" s="110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15"/>
      <c r="AH161" s="10"/>
      <c r="AI161" s="10"/>
    </row>
    <row r="162" spans="2:35">
      <c r="B162" s="10" t="s">
        <v>308</v>
      </c>
      <c r="C162" s="10"/>
      <c r="D162" s="10"/>
      <c r="E162" s="10"/>
      <c r="F162" s="15"/>
      <c r="G162" s="15">
        <f t="shared" ref="G162" si="596">G16</f>
        <v>0.01</v>
      </c>
      <c r="H162" s="15">
        <f t="shared" ref="H162:I162" si="597">H16</f>
        <v>0</v>
      </c>
      <c r="I162" s="15">
        <f t="shared" si="597"/>
        <v>0</v>
      </c>
      <c r="J162" s="15">
        <f t="shared" ref="J162:T162" si="598">J16</f>
        <v>0</v>
      </c>
      <c r="K162" s="15">
        <f t="shared" si="598"/>
        <v>0</v>
      </c>
      <c r="L162" s="15">
        <f t="shared" si="598"/>
        <v>0</v>
      </c>
      <c r="M162" s="15">
        <f t="shared" si="598"/>
        <v>0</v>
      </c>
      <c r="N162" s="15">
        <f t="shared" si="598"/>
        <v>0</v>
      </c>
      <c r="O162" s="15">
        <f t="shared" si="598"/>
        <v>0</v>
      </c>
      <c r="P162" s="15">
        <f t="shared" si="598"/>
        <v>0</v>
      </c>
      <c r="Q162" s="15">
        <f t="shared" si="598"/>
        <v>0</v>
      </c>
      <c r="R162" s="15">
        <f t="shared" si="598"/>
        <v>0.01</v>
      </c>
      <c r="S162" s="15">
        <f t="shared" si="598"/>
        <v>0</v>
      </c>
      <c r="T162" s="15">
        <f t="shared" si="598"/>
        <v>0</v>
      </c>
      <c r="U162" s="101">
        <f t="shared" si="498"/>
        <v>-1</v>
      </c>
      <c r="V162" s="110"/>
      <c r="W162" s="15">
        <f t="shared" ref="W162:AF162" si="599">W16</f>
        <v>0</v>
      </c>
      <c r="X162" s="15">
        <f t="shared" si="599"/>
        <v>0</v>
      </c>
      <c r="Y162" s="15">
        <f t="shared" si="599"/>
        <v>0</v>
      </c>
      <c r="Z162" s="15">
        <f t="shared" si="599"/>
        <v>0</v>
      </c>
      <c r="AA162" s="15">
        <f t="shared" si="599"/>
        <v>0</v>
      </c>
      <c r="AB162" s="15">
        <f t="shared" si="599"/>
        <v>0</v>
      </c>
      <c r="AC162" s="15">
        <f t="shared" si="599"/>
        <v>0</v>
      </c>
      <c r="AD162" s="15">
        <f t="shared" si="599"/>
        <v>0</v>
      </c>
      <c r="AE162" s="15">
        <f t="shared" si="599"/>
        <v>0</v>
      </c>
      <c r="AF162" s="15">
        <f t="shared" si="599"/>
        <v>0</v>
      </c>
      <c r="AG162" s="101" t="e">
        <f t="shared" si="583"/>
        <v>#DIV/0!</v>
      </c>
      <c r="AH162" s="10"/>
      <c r="AI162" s="10"/>
    </row>
    <row r="163" spans="2:35">
      <c r="B163" s="10" t="s">
        <v>309</v>
      </c>
      <c r="C163" s="10"/>
      <c r="D163" s="10"/>
      <c r="E163" s="10"/>
      <c r="F163" s="102"/>
      <c r="G163" s="102" t="e">
        <f t="shared" ref="G163" si="600">G162*365/G25</f>
        <v>#DIV/0!</v>
      </c>
      <c r="H163" s="102" t="e">
        <f t="shared" ref="H163:I163" si="601">H162*365/H25</f>
        <v>#DIV/0!</v>
      </c>
      <c r="I163" s="102" t="e">
        <f t="shared" si="601"/>
        <v>#DIV/0!</v>
      </c>
      <c r="J163" s="102" t="e">
        <f t="shared" ref="J163:T163" si="602">J162*365/J25</f>
        <v>#DIV/0!</v>
      </c>
      <c r="K163" s="102" t="e">
        <f t="shared" si="602"/>
        <v>#DIV/0!</v>
      </c>
      <c r="L163" s="102" t="e">
        <f t="shared" si="602"/>
        <v>#DIV/0!</v>
      </c>
      <c r="M163" s="102" t="e">
        <f t="shared" si="602"/>
        <v>#DIV/0!</v>
      </c>
      <c r="N163" s="102" t="e">
        <f t="shared" si="602"/>
        <v>#DIV/0!</v>
      </c>
      <c r="O163" s="102" t="e">
        <f t="shared" si="602"/>
        <v>#DIV/0!</v>
      </c>
      <c r="P163" s="102" t="e">
        <f t="shared" si="602"/>
        <v>#DIV/0!</v>
      </c>
      <c r="Q163" s="102" t="e">
        <f t="shared" si="602"/>
        <v>#DIV/0!</v>
      </c>
      <c r="R163" s="102" t="e">
        <f t="shared" si="602"/>
        <v>#DIV/0!</v>
      </c>
      <c r="S163" s="102">
        <f t="shared" si="602"/>
        <v>0</v>
      </c>
      <c r="T163" s="102">
        <f t="shared" si="602"/>
        <v>0</v>
      </c>
      <c r="U163" s="101" t="e">
        <f t="shared" si="498"/>
        <v>#DIV/0!</v>
      </c>
      <c r="V163" s="110"/>
      <c r="W163" s="102">
        <f t="shared" ref="W163:AF163" si="603">W162*365/W25</f>
        <v>0</v>
      </c>
      <c r="X163" s="102">
        <f t="shared" si="603"/>
        <v>0</v>
      </c>
      <c r="Y163" s="102">
        <f t="shared" si="603"/>
        <v>0</v>
      </c>
      <c r="Z163" s="102">
        <f t="shared" si="603"/>
        <v>0</v>
      </c>
      <c r="AA163" s="102">
        <f t="shared" si="603"/>
        <v>0</v>
      </c>
      <c r="AB163" s="102">
        <f t="shared" si="603"/>
        <v>0</v>
      </c>
      <c r="AC163" s="102">
        <f t="shared" si="603"/>
        <v>0</v>
      </c>
      <c r="AD163" s="102">
        <f t="shared" si="603"/>
        <v>0</v>
      </c>
      <c r="AE163" s="102">
        <f t="shared" si="603"/>
        <v>0</v>
      </c>
      <c r="AF163" s="102">
        <f t="shared" si="603"/>
        <v>0</v>
      </c>
      <c r="AG163" s="101" t="e">
        <f t="shared" si="583"/>
        <v>#DIV/0!</v>
      </c>
      <c r="AH163" s="10"/>
      <c r="AI163" s="10"/>
    </row>
    <row r="164" spans="2:35">
      <c r="B164" s="10" t="s">
        <v>312</v>
      </c>
      <c r="C164" s="10"/>
      <c r="D164" s="10"/>
      <c r="E164" s="10"/>
      <c r="F164" s="112"/>
      <c r="G164" s="112" t="e">
        <f t="shared" ref="G164" si="604">G98/G29</f>
        <v>#DIV/0!</v>
      </c>
      <c r="H164" s="112" t="e">
        <f t="shared" ref="H164:I164" si="605">H98/H29</f>
        <v>#DIV/0!</v>
      </c>
      <c r="I164" s="112" t="e">
        <f t="shared" si="605"/>
        <v>#DIV/0!</v>
      </c>
      <c r="J164" s="112" t="e">
        <f t="shared" ref="J164:T164" si="606">J98/J29</f>
        <v>#DIV/0!</v>
      </c>
      <c r="K164" s="112" t="e">
        <f t="shared" si="606"/>
        <v>#DIV/0!</v>
      </c>
      <c r="L164" s="112" t="e">
        <f t="shared" si="606"/>
        <v>#DIV/0!</v>
      </c>
      <c r="M164" s="112" t="e">
        <f t="shared" si="606"/>
        <v>#DIV/0!</v>
      </c>
      <c r="N164" s="112" t="e">
        <f t="shared" si="606"/>
        <v>#DIV/0!</v>
      </c>
      <c r="O164" s="112" t="e">
        <f t="shared" si="606"/>
        <v>#DIV/0!</v>
      </c>
      <c r="P164" s="112" t="e">
        <f t="shared" si="606"/>
        <v>#DIV/0!</v>
      </c>
      <c r="Q164" s="112" t="e">
        <f t="shared" si="606"/>
        <v>#DIV/0!</v>
      </c>
      <c r="R164" s="112" t="e">
        <f t="shared" si="606"/>
        <v>#DIV/0!</v>
      </c>
      <c r="S164" s="112">
        <f t="shared" si="606"/>
        <v>0</v>
      </c>
      <c r="T164" s="112">
        <f t="shared" si="606"/>
        <v>0</v>
      </c>
      <c r="U164" s="101" t="e">
        <f t="shared" si="498"/>
        <v>#DIV/0!</v>
      </c>
      <c r="V164" s="110"/>
      <c r="W164" s="112">
        <f t="shared" ref="W164:AF164" si="607">W98/W29</f>
        <v>0</v>
      </c>
      <c r="X164" s="112">
        <f t="shared" si="607"/>
        <v>0</v>
      </c>
      <c r="Y164" s="112">
        <f t="shared" si="607"/>
        <v>0</v>
      </c>
      <c r="Z164" s="112">
        <f t="shared" si="607"/>
        <v>0</v>
      </c>
      <c r="AA164" s="112">
        <f t="shared" si="607"/>
        <v>0</v>
      </c>
      <c r="AB164" s="112">
        <f t="shared" si="607"/>
        <v>0</v>
      </c>
      <c r="AC164" s="112">
        <f t="shared" si="607"/>
        <v>0</v>
      </c>
      <c r="AD164" s="112">
        <f t="shared" si="607"/>
        <v>0</v>
      </c>
      <c r="AE164" s="112">
        <f t="shared" si="607"/>
        <v>0</v>
      </c>
      <c r="AF164" s="112">
        <f t="shared" si="607"/>
        <v>0</v>
      </c>
      <c r="AG164" s="101" t="e">
        <f t="shared" si="583"/>
        <v>#DIV/0!</v>
      </c>
      <c r="AH164" s="10"/>
      <c r="AI164" s="10"/>
    </row>
    <row r="165" spans="2: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10"/>
      <c r="V165" s="1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15"/>
      <c r="AH165" s="10"/>
      <c r="AI165" s="10"/>
    </row>
    <row r="166" spans="2:35">
      <c r="B166" s="10" t="s">
        <v>319</v>
      </c>
      <c r="C166" s="10"/>
      <c r="D166" s="10"/>
      <c r="E166" s="10"/>
      <c r="F166" s="157"/>
      <c r="G166" s="157">
        <f t="shared" ref="G166" si="608">G25/G14</f>
        <v>0</v>
      </c>
      <c r="H166" s="157" t="e">
        <f t="shared" ref="H166:I166" si="609">H25/H14</f>
        <v>#DIV/0!</v>
      </c>
      <c r="I166" s="157" t="e">
        <f t="shared" si="609"/>
        <v>#DIV/0!</v>
      </c>
      <c r="J166" s="157" t="e">
        <f t="shared" ref="J166:T166" si="610">J25/J14</f>
        <v>#DIV/0!</v>
      </c>
      <c r="K166" s="157" t="e">
        <f t="shared" si="610"/>
        <v>#DIV/0!</v>
      </c>
      <c r="L166" s="157" t="e">
        <f t="shared" si="610"/>
        <v>#DIV/0!</v>
      </c>
      <c r="M166" s="157" t="e">
        <f t="shared" si="610"/>
        <v>#DIV/0!</v>
      </c>
      <c r="N166" s="157" t="e">
        <f t="shared" si="610"/>
        <v>#DIV/0!</v>
      </c>
      <c r="O166" s="157" t="e">
        <f t="shared" si="610"/>
        <v>#DIV/0!</v>
      </c>
      <c r="P166" s="157" t="e">
        <f t="shared" si="610"/>
        <v>#DIV/0!</v>
      </c>
      <c r="Q166" s="157" t="e">
        <f t="shared" si="610"/>
        <v>#DIV/0!</v>
      </c>
      <c r="R166" s="157">
        <f t="shared" si="610"/>
        <v>0</v>
      </c>
      <c r="S166" s="157" t="e">
        <f t="shared" si="610"/>
        <v>#DIV/0!</v>
      </c>
      <c r="T166" s="157" t="e">
        <f t="shared" si="610"/>
        <v>#DIV/0!</v>
      </c>
      <c r="U166" s="101" t="e">
        <f t="shared" si="498"/>
        <v>#DIV/0!</v>
      </c>
      <c r="V166" s="110"/>
      <c r="W166" s="10" t="e">
        <f t="shared" ref="W166:AF166" si="611">W25/W14</f>
        <v>#DIV/0!</v>
      </c>
      <c r="X166" s="10" t="e">
        <f t="shared" si="611"/>
        <v>#DIV/0!</v>
      </c>
      <c r="Y166" s="10" t="e">
        <f t="shared" si="611"/>
        <v>#DIV/0!</v>
      </c>
      <c r="Z166" s="10" t="e">
        <f t="shared" si="611"/>
        <v>#DIV/0!</v>
      </c>
      <c r="AA166" s="10" t="e">
        <f t="shared" si="611"/>
        <v>#DIV/0!</v>
      </c>
      <c r="AB166" s="10" t="e">
        <f t="shared" si="611"/>
        <v>#DIV/0!</v>
      </c>
      <c r="AC166" s="10" t="e">
        <f t="shared" si="611"/>
        <v>#DIV/0!</v>
      </c>
      <c r="AD166" s="10" t="e">
        <f t="shared" si="611"/>
        <v>#DIV/0!</v>
      </c>
      <c r="AE166" s="10" t="e">
        <f t="shared" si="611"/>
        <v>#DIV/0!</v>
      </c>
      <c r="AF166" s="10" t="e">
        <f t="shared" si="611"/>
        <v>#DIV/0!</v>
      </c>
      <c r="AG166" s="101" t="e">
        <f t="shared" si="583"/>
        <v>#DIV/0!</v>
      </c>
      <c r="AH166" s="10"/>
      <c r="AI166" s="10"/>
    </row>
    <row r="167" spans="2:35">
      <c r="B167" s="10" t="s">
        <v>320</v>
      </c>
      <c r="C167" s="10"/>
      <c r="D167" s="10"/>
      <c r="E167" s="10"/>
      <c r="F167" s="157"/>
      <c r="G167" s="157">
        <f t="shared" ref="G167" si="612">G27/G14</f>
        <v>0</v>
      </c>
      <c r="H167" s="157" t="e">
        <f t="shared" ref="H167:I167" si="613">H27/H14</f>
        <v>#DIV/0!</v>
      </c>
      <c r="I167" s="157" t="e">
        <f t="shared" si="613"/>
        <v>#DIV/0!</v>
      </c>
      <c r="J167" s="157" t="e">
        <f t="shared" ref="J167:T167" si="614">J27/J14</f>
        <v>#DIV/0!</v>
      </c>
      <c r="K167" s="157" t="e">
        <f t="shared" si="614"/>
        <v>#DIV/0!</v>
      </c>
      <c r="L167" s="157" t="e">
        <f t="shared" si="614"/>
        <v>#DIV/0!</v>
      </c>
      <c r="M167" s="157" t="e">
        <f t="shared" si="614"/>
        <v>#DIV/0!</v>
      </c>
      <c r="N167" s="157" t="e">
        <f t="shared" si="614"/>
        <v>#DIV/0!</v>
      </c>
      <c r="O167" s="157" t="e">
        <f t="shared" si="614"/>
        <v>#DIV/0!</v>
      </c>
      <c r="P167" s="157" t="e">
        <f t="shared" si="614"/>
        <v>#DIV/0!</v>
      </c>
      <c r="Q167" s="157" t="e">
        <f t="shared" si="614"/>
        <v>#DIV/0!</v>
      </c>
      <c r="R167" s="157">
        <f t="shared" si="614"/>
        <v>0</v>
      </c>
      <c r="S167" s="157" t="e">
        <f t="shared" si="614"/>
        <v>#DIV/0!</v>
      </c>
      <c r="T167" s="157" t="e">
        <f t="shared" si="614"/>
        <v>#DIV/0!</v>
      </c>
      <c r="U167" s="101" t="e">
        <f t="shared" si="498"/>
        <v>#DIV/0!</v>
      </c>
      <c r="V167" s="110"/>
      <c r="W167" s="10" t="e">
        <f t="shared" ref="W167:AF167" si="615">W27/W14</f>
        <v>#DIV/0!</v>
      </c>
      <c r="X167" s="10" t="e">
        <f t="shared" si="615"/>
        <v>#DIV/0!</v>
      </c>
      <c r="Y167" s="10" t="e">
        <f t="shared" si="615"/>
        <v>#DIV/0!</v>
      </c>
      <c r="Z167" s="10" t="e">
        <f t="shared" si="615"/>
        <v>#DIV/0!</v>
      </c>
      <c r="AA167" s="10" t="e">
        <f t="shared" si="615"/>
        <v>#DIV/0!</v>
      </c>
      <c r="AB167" s="10" t="e">
        <f t="shared" si="615"/>
        <v>#DIV/0!</v>
      </c>
      <c r="AC167" s="10" t="e">
        <f t="shared" si="615"/>
        <v>#DIV/0!</v>
      </c>
      <c r="AD167" s="10" t="e">
        <f t="shared" si="615"/>
        <v>#DIV/0!</v>
      </c>
      <c r="AE167" s="10" t="e">
        <f t="shared" si="615"/>
        <v>#DIV/0!</v>
      </c>
      <c r="AF167" s="10" t="e">
        <f t="shared" si="615"/>
        <v>#DIV/0!</v>
      </c>
      <c r="AG167" s="101" t="e">
        <f t="shared" si="583"/>
        <v>#DIV/0!</v>
      </c>
      <c r="AH167" s="10"/>
      <c r="AI167" s="10"/>
    </row>
    <row r="168" spans="2: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0"/>
      <c r="V168" s="110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15"/>
      <c r="AH168" s="10"/>
      <c r="AI168" s="10"/>
    </row>
    <row r="169" spans="2:35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398</v>
      </c>
      <c r="U169" s="13"/>
      <c r="V169" s="13" t="s">
        <v>497</v>
      </c>
      <c r="W169" s="105" t="s">
        <v>54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15"/>
      <c r="AH169" s="10"/>
      <c r="AI169" s="10"/>
    </row>
    <row r="170" spans="2:35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0.87458407079646017</v>
      </c>
      <c r="U170" s="137" t="e">
        <f>AVERAGE(G72:T72)</f>
        <v>#DIV/0!</v>
      </c>
      <c r="V170" s="137">
        <f>AVERAGE(G102:T102)</f>
        <v>0.31180783817951957</v>
      </c>
      <c r="W170" s="171" t="s">
        <v>374</v>
      </c>
      <c r="X170" s="172" t="s">
        <v>375</v>
      </c>
      <c r="Y170" s="10"/>
      <c r="Z170" s="10"/>
      <c r="AA170" s="10"/>
      <c r="AB170" s="10"/>
      <c r="AC170" s="10"/>
      <c r="AD170" s="10"/>
      <c r="AE170" s="10"/>
      <c r="AF170" s="10"/>
      <c r="AG170" s="115"/>
      <c r="AH170" s="10"/>
      <c r="AI170" s="10"/>
    </row>
    <row r="171" spans="2:35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8">
        <f>W171+X171</f>
        <v>9.179635316033842</v>
      </c>
      <c r="W171" s="112">
        <f>PV($C$1, ($AF$3-$W$3), 0, -AF72)</f>
        <v>1.2791295112506171</v>
      </c>
      <c r="X171" s="112">
        <f>PV($C$1, ($AF$3-$W$3), 0, -AI72)</f>
        <v>7.9005058047832248</v>
      </c>
      <c r="Y171" s="10"/>
      <c r="Z171" s="10"/>
      <c r="AA171" s="10"/>
      <c r="AB171" s="10"/>
      <c r="AC171" s="10"/>
      <c r="AD171" s="10"/>
      <c r="AE171" s="10"/>
      <c r="AF171" s="10"/>
      <c r="AG171" s="115"/>
      <c r="AH171" s="10"/>
      <c r="AI171" s="10"/>
    </row>
    <row r="172" spans="2:35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8">
        <f t="shared" ref="V172:V190" si="616">W172+X172</f>
        <v>132.226385837826</v>
      </c>
      <c r="W172" s="112">
        <f>PV($C$1, ($AF$3-$W$3), 0, -AF74)</f>
        <v>18.424988190516736</v>
      </c>
      <c r="X172" s="112">
        <f>PV($C$1, ($AF$3-$W$3), 0, -AI74)</f>
        <v>113.80139764730926</v>
      </c>
      <c r="Y172" s="10"/>
      <c r="Z172" s="10"/>
      <c r="AA172" s="10"/>
      <c r="AB172" s="10"/>
      <c r="AC172" s="10"/>
      <c r="AD172" s="10"/>
      <c r="AE172" s="10"/>
      <c r="AF172" s="10"/>
      <c r="AG172" s="115"/>
      <c r="AH172" s="10"/>
      <c r="AI172" s="10"/>
    </row>
    <row r="173" spans="2:35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8">
        <f t="shared" si="616"/>
        <v>101.59730294913656</v>
      </c>
      <c r="W173" s="112">
        <f>PV($C$1, ($AF$3-$W$3), 0, -AF75)</f>
        <v>14.157001230617388</v>
      </c>
      <c r="X173" s="112">
        <f>PV($C$1, ($AF$3-$W$3), 0, -AI75)</f>
        <v>87.44030171851918</v>
      </c>
      <c r="Y173" s="10"/>
      <c r="Z173" s="10"/>
      <c r="AA173" s="10"/>
      <c r="AB173" s="10"/>
      <c r="AC173" s="10"/>
      <c r="AD173" s="10"/>
      <c r="AE173" s="10"/>
      <c r="AF173" s="10"/>
      <c r="AG173" s="115"/>
      <c r="AH173" s="10"/>
      <c r="AI173" s="10"/>
    </row>
    <row r="174" spans="2:35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8">
        <f t="shared" si="616"/>
        <v>814.99667030577177</v>
      </c>
      <c r="W174" s="112">
        <f>PV($C$1, ($AF$3-$W$3), 0, -AF76)</f>
        <v>113.5651097967059</v>
      </c>
      <c r="X174" s="112">
        <f>PV($C$1, ($AF$3-$W$3), 0, -AI76)</f>
        <v>701.43156050906589</v>
      </c>
      <c r="Y174" s="10"/>
      <c r="Z174" s="10"/>
      <c r="AA174" s="10"/>
      <c r="AB174" s="10"/>
      <c r="AC174" s="10"/>
      <c r="AD174" s="10"/>
      <c r="AE174" s="10"/>
      <c r="AF174" s="10"/>
      <c r="AG174" s="115"/>
      <c r="AH174" s="10"/>
      <c r="AI174" s="10"/>
    </row>
    <row r="175" spans="2:35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8">
        <f t="shared" si="616"/>
        <v>27.349727987712196</v>
      </c>
      <c r="W175" s="112">
        <f>PV($C$1, ($AF$3-$W$3), 0, -AF82)</f>
        <v>3.8110276704189125</v>
      </c>
      <c r="X175" s="112">
        <f>PV($C$1, ($AF$3-$W$3), 0, -AI82)</f>
        <v>23.538700317293284</v>
      </c>
      <c r="Y175" s="10"/>
      <c r="Z175" s="10"/>
      <c r="AA175" s="10"/>
      <c r="AB175" s="10"/>
      <c r="AC175" s="10"/>
      <c r="AD175" s="10"/>
      <c r="AE175" s="10"/>
      <c r="AF175" s="10"/>
      <c r="AG175" s="115"/>
      <c r="AH175" s="10"/>
      <c r="AI175" s="10"/>
    </row>
    <row r="176" spans="2: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8"/>
      <c r="W176" s="112"/>
      <c r="X176" s="10"/>
      <c r="Y176" s="10"/>
      <c r="Z176" s="10"/>
      <c r="AA176" s="10"/>
      <c r="AB176" s="10"/>
      <c r="AC176" s="10"/>
      <c r="AD176" s="10"/>
      <c r="AE176" s="10"/>
      <c r="AF176" s="10"/>
      <c r="AG176" s="115"/>
      <c r="AH176" s="10"/>
      <c r="AI176" s="10"/>
    </row>
    <row r="177" spans="2:35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8">
        <f t="shared" si="616"/>
        <v>-682.77028446794588</v>
      </c>
      <c r="W177" s="112">
        <f>PV($C$1, ($AF$3-$W$3), 0, -AF78)</f>
        <v>-95.140121606189155</v>
      </c>
      <c r="X177" s="112">
        <f>PV($C$1, ($AF$3-$W$3), 0, -$AI$78)</f>
        <v>-587.63016286175673</v>
      </c>
      <c r="Y177" s="10"/>
      <c r="Z177" s="10"/>
      <c r="AA177" s="10"/>
      <c r="AB177" s="10"/>
      <c r="AC177" s="10"/>
      <c r="AD177" s="10"/>
      <c r="AE177" s="10"/>
      <c r="AF177" s="10"/>
      <c r="AG177" s="115"/>
      <c r="AH177" s="10"/>
      <c r="AI177" s="10"/>
    </row>
    <row r="178" spans="2:35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8">
        <f t="shared" si="616"/>
        <v>-745.92869781506386</v>
      </c>
      <c r="W178" s="112">
        <f>PV($C$1, ($AF$3-$W$3), 0, -AF79)</f>
        <v>-103.94088412177118</v>
      </c>
      <c r="X178" s="112">
        <f>PV($C$1, ($AF$3-$W$3), 0, -$AI$79)</f>
        <v>-641.98781369329265</v>
      </c>
      <c r="Y178" s="10"/>
      <c r="Z178" s="10"/>
      <c r="AA178" s="10"/>
      <c r="AB178" s="10"/>
      <c r="AC178" s="10"/>
      <c r="AD178" s="10"/>
      <c r="AE178" s="10"/>
      <c r="AF178" s="10"/>
      <c r="AG178" s="115"/>
      <c r="AH178" s="10"/>
      <c r="AI178" s="10"/>
    </row>
    <row r="179" spans="2:35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8">
        <f t="shared" si="616"/>
        <v>-745.92869781506386</v>
      </c>
      <c r="W179" s="112">
        <f>PV($C$1, ($AF$3-$W$3), 0, -AF80)</f>
        <v>-103.94088412177118</v>
      </c>
      <c r="X179" s="112">
        <f>PV($C$1, ($AF$3-$W$3), 0, -$AI$80)</f>
        <v>-641.98781369329265</v>
      </c>
      <c r="Y179" s="10"/>
      <c r="Z179" s="10"/>
      <c r="AA179" s="10"/>
      <c r="AB179" s="10"/>
      <c r="AC179" s="10"/>
      <c r="AD179" s="10"/>
      <c r="AE179" s="10"/>
      <c r="AF179" s="10"/>
      <c r="AG179" s="115"/>
      <c r="AH179" s="10"/>
      <c r="AI179" s="10"/>
    </row>
    <row r="180" spans="2: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8"/>
      <c r="W180" s="112"/>
      <c r="X180" s="10"/>
      <c r="Y180" s="10"/>
      <c r="Z180" s="10"/>
      <c r="AA180" s="10"/>
      <c r="AB180" s="10"/>
      <c r="AC180" s="10"/>
      <c r="AD180" s="10"/>
      <c r="AE180" s="10"/>
      <c r="AF180" s="10"/>
      <c r="AG180" s="115"/>
      <c r="AH180" s="10"/>
      <c r="AI180" s="10"/>
    </row>
    <row r="181" spans="2:35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8">
        <f t="shared" si="616"/>
        <v>0</v>
      </c>
      <c r="W181" s="112">
        <f>PV($C$1, ($AF$3-$W$3), 0, -AF85)</f>
        <v>0</v>
      </c>
      <c r="X181" s="112">
        <f>PV($C$1, ($AF$3-$W$3), 0, -AI85)</f>
        <v>0</v>
      </c>
      <c r="Y181" s="10"/>
      <c r="Z181" s="10"/>
      <c r="AA181" s="10"/>
      <c r="AB181" s="10"/>
      <c r="AC181" s="10"/>
      <c r="AD181" s="10"/>
      <c r="AE181" s="10"/>
      <c r="AF181" s="10"/>
      <c r="AG181" s="115"/>
      <c r="AH181" s="10"/>
      <c r="AI181" s="10"/>
    </row>
    <row r="182" spans="2:35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8">
        <f t="shared" si="616"/>
        <v>0</v>
      </c>
      <c r="W182" s="112">
        <f>PV($C$1, ($AF$3-$W$3), 0, -AF86)</f>
        <v>0</v>
      </c>
      <c r="X182" s="112">
        <f>PV($C$1, ($AF$3-$W$3), 0, -AI86)</f>
        <v>0</v>
      </c>
      <c r="Y182" s="10"/>
      <c r="Z182" s="10"/>
      <c r="AA182" s="10"/>
      <c r="AB182" s="10"/>
      <c r="AC182" s="10"/>
      <c r="AD182" s="10"/>
      <c r="AE182" s="10"/>
      <c r="AF182" s="10"/>
      <c r="AG182" s="115"/>
      <c r="AH182" s="10"/>
      <c r="AI182" s="10"/>
    </row>
    <row r="183" spans="2: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8"/>
      <c r="W183" s="112"/>
      <c r="X183" s="112"/>
      <c r="Y183" s="10"/>
      <c r="Z183" s="10"/>
      <c r="AA183" s="10"/>
      <c r="AB183" s="10"/>
      <c r="AC183" s="10"/>
      <c r="AD183" s="10"/>
      <c r="AE183" s="10"/>
      <c r="AF183" s="10"/>
      <c r="AG183" s="115"/>
      <c r="AH183" s="10"/>
      <c r="AI183" s="10"/>
    </row>
    <row r="184" spans="2:35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8">
        <f t="shared" ref="V184" si="617">W184+X184</f>
        <v>11301.977208029115</v>
      </c>
      <c r="W184" s="112">
        <f>PV($C$1, ($AF$3-$W$3), 0, -AF12)</f>
        <v>1574.8656765286466</v>
      </c>
      <c r="X184" s="112">
        <f>PV($C$1, ($AF$3-$W$3), 0, -AI12)</f>
        <v>9727.1115315004681</v>
      </c>
      <c r="Y184" s="10"/>
      <c r="Z184" s="10"/>
      <c r="AA184" s="10"/>
      <c r="AB184" s="10"/>
      <c r="AC184" s="10"/>
      <c r="AD184" s="10"/>
      <c r="AE184" s="10"/>
      <c r="AF184" s="10"/>
      <c r="AG184" s="115"/>
      <c r="AH184" s="10"/>
      <c r="AI184" s="10"/>
    </row>
    <row r="185" spans="2:35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8">
        <f>W185+X185</f>
        <v>33.339165805395616</v>
      </c>
      <c r="W185" s="118">
        <f>W184/S57</f>
        <v>4.6456214646862737</v>
      </c>
      <c r="X185" s="118">
        <f>X184/S57</f>
        <v>28.693544340709344</v>
      </c>
      <c r="Y185" s="10"/>
      <c r="Z185" s="10"/>
      <c r="AA185" s="10"/>
      <c r="AB185" s="10"/>
      <c r="AC185" s="10"/>
      <c r="AD185" s="10"/>
      <c r="AE185" s="10"/>
      <c r="AF185" s="10"/>
      <c r="AG185" s="115"/>
      <c r="AH185" s="10"/>
      <c r="AI185" s="10"/>
    </row>
    <row r="186" spans="2: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8"/>
      <c r="W186" s="118"/>
      <c r="X186" s="118"/>
      <c r="Y186" s="10"/>
      <c r="Z186" s="10"/>
      <c r="AA186" s="10"/>
      <c r="AB186" s="10"/>
      <c r="AC186" s="10"/>
      <c r="AD186" s="10"/>
      <c r="AE186" s="10"/>
      <c r="AF186" s="10"/>
      <c r="AG186" s="115"/>
      <c r="AH186" s="10"/>
      <c r="AI186" s="10"/>
    </row>
    <row r="187" spans="2:35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8"/>
      <c r="W187" s="112"/>
      <c r="X187" s="112"/>
      <c r="Y187" s="10"/>
      <c r="Z187" s="10"/>
      <c r="AA187" s="10"/>
      <c r="AB187" s="10"/>
      <c r="AC187" s="10"/>
      <c r="AD187" s="10"/>
      <c r="AE187" s="10"/>
      <c r="AF187" s="10"/>
      <c r="AG187" s="115"/>
      <c r="AH187" s="10"/>
      <c r="AI187" s="10"/>
    </row>
    <row r="188" spans="2:35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8">
        <f t="shared" ref="V188" si="618">W188+X188</f>
        <v>0</v>
      </c>
      <c r="W188" s="112">
        <f>PV($C$1, ($AF$3-$W$3), 0, -AF88)+PV($C$1, ($AE$3-$W$3), 0, -AF88)+PV($C$1, ($AD$3-$W$3), 0, -AF88)+PV($C$1, ($AC$3-$W$3), 0, -AF88)+PV($C$1, ($AB$3-$W$3), 0, -AF88)+PV($C$1, ($AA$3-$W$3), 0, -AF88)+PV($C$1, ($Z$3-$W$3), 0, -AF88)+PV($C$1, ($Y$3-$W$3), 0, -AF88)+PV($C$1, ($X$3-$W$3), 0, -AF88)+PV($C$1, ($W$3-$W$3), 0, -AF88)</f>
        <v>0</v>
      </c>
      <c r="X188" s="112">
        <f>PV($C$1, ($AF$3-$W$3), 0, -AI88)</f>
        <v>0</v>
      </c>
      <c r="Y188" s="10"/>
      <c r="Z188" s="10"/>
      <c r="AA188" s="10"/>
      <c r="AB188" s="10"/>
      <c r="AC188" s="10"/>
      <c r="AD188" s="10"/>
      <c r="AE188" s="10"/>
      <c r="AF188" s="10"/>
      <c r="AG188" s="115"/>
      <c r="AH188" s="10"/>
      <c r="AI188" s="10"/>
    </row>
    <row r="189" spans="2:35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8"/>
      <c r="W189" s="112"/>
      <c r="X189" s="112"/>
      <c r="Y189" s="10"/>
      <c r="Z189" s="10"/>
      <c r="AA189" s="10"/>
      <c r="AB189" s="10"/>
      <c r="AC189" s="10"/>
      <c r="AD189" s="10"/>
      <c r="AE189" s="10"/>
      <c r="AF189" s="10"/>
      <c r="AG189" s="115"/>
      <c r="AH189" s="10"/>
      <c r="AI189" s="10"/>
    </row>
    <row r="190" spans="2:35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8">
        <f t="shared" si="616"/>
        <v>0</v>
      </c>
      <c r="W190" s="112">
        <f>PV($C$1, ($AF$3-$W$3), 0, -AF90)+PV($C$1, ($AE$3-$W$3), 0, -AF90)+PV($C$1, ($AD$3-$W$3), 0, -AF90)+PV($C$1, ($AC$3-$W$3), 0, -AF90)+PV($C$1, ($AB$3-$W$3), 0, -AF90)+PV($C$1, ($AA$3-$W$3), 0, -AF90)+PV($C$1, ($Z$3-$W$3), 0, -AF90)+PV($C$1, ($Y$3-$W$3), 0, -AF90)+PV($C$1, ($X$3-$W$3), 0, -AF90)+PV($C$1, ($W$3-$W$3), 0, -AF90)</f>
        <v>0</v>
      </c>
      <c r="X190" s="112">
        <f>PV($C$1, ($AF$3-$W$3), 0, -AI90)</f>
        <v>0</v>
      </c>
      <c r="Y190" s="10"/>
      <c r="Z190" s="10"/>
      <c r="AA190" s="10"/>
      <c r="AB190" s="10"/>
      <c r="AC190" s="10"/>
      <c r="AD190" s="10"/>
      <c r="AE190" s="10"/>
      <c r="AF190" s="10"/>
      <c r="AG190" s="115"/>
      <c r="AH190" s="10"/>
      <c r="AI190" s="10"/>
    </row>
    <row r="191" spans="2: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8"/>
      <c r="W191" s="112"/>
      <c r="X191" s="112"/>
      <c r="Y191" s="10"/>
      <c r="Z191" s="10"/>
      <c r="AA191" s="10"/>
      <c r="AB191" s="10"/>
      <c r="AC191" s="10"/>
      <c r="AD191" s="10"/>
      <c r="AE191" s="10"/>
      <c r="AF191" s="10"/>
      <c r="AG191" s="115"/>
      <c r="AH191" s="10"/>
      <c r="AI191" s="10"/>
    </row>
    <row r="192" spans="2:35">
      <c r="B192" s="10" t="s">
        <v>389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8">
        <f t="shared" ref="V192:V195" si="619">W192+X192</f>
        <v>0</v>
      </c>
      <c r="W192" s="112">
        <f>PV($C$1, ($AF$3-$W$3), 0, -AF92)+PV($C$1, ($AE$3-$W$3), 0, -AF92)+PV($C$1, ($AD$3-$W$3), 0, -AF92)+PV($C$1, ($AC$3-$W$3), 0, -AF92)+PV($C$1, ($AB$3-$W$3), 0, -AF92)+PV($C$1, ($AA$3-$W$3), 0, -AF92)+PV($C$1, ($Z$3-$W$3), 0, -AF92)+PV($C$1, ($Y$3-$W$3), 0, -AF92)+PV($C$1, ($X$3-$W$3), 0, -AF92)+PV($C$1, ($W$3-$W$3), 0, -AF92)</f>
        <v>0</v>
      </c>
      <c r="X192" s="112">
        <f>PV($C$1, ($AF$3-$W$3), 0, -AI92)</f>
        <v>0</v>
      </c>
      <c r="Y192" s="10"/>
      <c r="Z192" s="10"/>
      <c r="AA192" s="10"/>
      <c r="AB192" s="10"/>
      <c r="AC192" s="10"/>
      <c r="AD192" s="10"/>
      <c r="AE192" s="10"/>
      <c r="AF192" s="10"/>
      <c r="AG192" s="115"/>
      <c r="AH192" s="10"/>
      <c r="AI192" s="10"/>
    </row>
    <row r="193" spans="2:35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8">
        <f t="shared" si="619"/>
        <v>0</v>
      </c>
      <c r="W193" s="112">
        <f>PV($C$1, ($AF$3-$W$3), 0, -AF93)+PV($C$1, ($AE$3-$W$3), 0, -AF93)+PV($C$1, ($AD$3-$W$3), 0, -AF93)+PV($C$1, ($AC$3-$W$3), 0, -AF93)+PV($C$1, ($AB$3-$W$3), 0, -AF93)+PV($C$1, ($AA$3-$W$3), 0, -AF93)+PV($C$1, ($Z$3-$W$3), 0, -AF93)+PV($C$1, ($Y$3-$W$3), 0, -AF93)+PV($C$1, ($X$3-$W$3), 0, -AF93)+PV($C$1, ($W$3-$W$3), 0, -AF93)</f>
        <v>0</v>
      </c>
      <c r="X193" s="112">
        <f>PV($C$1, ($AF$3-$W$3), 0, -AI93)</f>
        <v>0</v>
      </c>
      <c r="Y193" s="10"/>
      <c r="Z193" s="10"/>
      <c r="AA193" s="10"/>
      <c r="AB193" s="10"/>
      <c r="AC193" s="10"/>
      <c r="AD193" s="10"/>
      <c r="AE193" s="10"/>
      <c r="AF193" s="10"/>
      <c r="AG193" s="115"/>
      <c r="AH193" s="10"/>
      <c r="AI193" s="10"/>
    </row>
    <row r="194" spans="2:35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8">
        <f t="shared" si="619"/>
        <v>0</v>
      </c>
      <c r="W194" s="112">
        <f>PV($C$1, ($AF$3-$W$3), 0, -AF94)+PV($C$1, ($AE$3-$W$3), 0, -AF94)+PV($C$1, ($AD$3-$W$3), 0, -AF94)+PV($C$1, ($AC$3-$W$3), 0, -AF94)+PV($C$1, ($AB$3-$W$3), 0, -AF94)+PV($C$1, ($AA$3-$W$3), 0, -AF94)+PV($C$1, ($Z$3-$W$3), 0, -AF94)+PV($C$1, ($Y$3-$W$3), 0, -AF94)+PV($C$1, ($X$3-$W$3), 0, -AF94)+PV($C$1, ($W$3-$W$3), 0, -AF94)</f>
        <v>0</v>
      </c>
      <c r="X194" s="112">
        <f>PV($C$1, ($AF$3-$W$3), 0, -AI94)</f>
        <v>0</v>
      </c>
      <c r="Y194" s="10"/>
      <c r="Z194" s="10"/>
      <c r="AA194" s="10"/>
      <c r="AB194" s="10"/>
      <c r="AC194" s="10"/>
      <c r="AD194" s="10"/>
      <c r="AE194" s="10"/>
      <c r="AF194" s="10"/>
      <c r="AG194" s="115"/>
      <c r="AH194" s="10"/>
      <c r="AI194" s="10"/>
    </row>
    <row r="195" spans="2:35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8">
        <f t="shared" si="619"/>
        <v>0</v>
      </c>
      <c r="W195" s="112">
        <f>PV($C$1, ($AF$3-$W$3), 0, -AF95)+PV($C$1, ($AE$3-$W$3), 0, -AF95)+PV($C$1, ($AD$3-$W$3), 0, -AF95)+PV($C$1, ($AC$3-$W$3), 0, -AF95)+PV($C$1, ($AB$3-$W$3), 0, -AF95)+PV($C$1, ($AA$3-$W$3), 0, -AF95)+PV($C$1, ($Z$3-$W$3), 0, -AF95)+PV($C$1, ($Y$3-$W$3), 0, -AF95)+PV($C$1, ($X$3-$W$3), 0, -AF95)+PV($C$1, ($W$3-$W$3), 0, -AF95)</f>
        <v>0</v>
      </c>
      <c r="X195" s="112">
        <f>PV($C$1, ($AF$3-$W$3), 0, -AI95)</f>
        <v>0</v>
      </c>
      <c r="Y195" s="10"/>
      <c r="Z195" s="10"/>
      <c r="AA195" s="10"/>
      <c r="AB195" s="10"/>
      <c r="AC195" s="10"/>
      <c r="AD195" s="10"/>
      <c r="AE195" s="10"/>
      <c r="AF195" s="10"/>
      <c r="AG195" s="115"/>
      <c r="AH195" s="10"/>
      <c r="AI195" s="10"/>
    </row>
    <row r="196" spans="2:35">
      <c r="B196" s="10" t="s">
        <v>387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95">
        <f>V193+V194+V195</f>
        <v>0</v>
      </c>
      <c r="W196" s="95">
        <f t="shared" ref="W196:X196" si="620">W193+W194+W195</f>
        <v>0</v>
      </c>
      <c r="X196" s="95">
        <f t="shared" si="620"/>
        <v>0</v>
      </c>
      <c r="Y196" s="10"/>
      <c r="Z196" s="10"/>
      <c r="AA196" s="10"/>
      <c r="AB196" s="10"/>
      <c r="AC196" s="10"/>
      <c r="AD196" s="10"/>
      <c r="AE196" s="10"/>
      <c r="AF196" s="10"/>
      <c r="AG196" s="115"/>
      <c r="AH196" s="10"/>
      <c r="AI196" s="10"/>
    </row>
    <row r="197" spans="2: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8"/>
      <c r="W197" s="112"/>
      <c r="X197" s="112"/>
      <c r="Y197" s="10"/>
      <c r="Z197" s="10"/>
      <c r="AA197" s="10"/>
      <c r="AB197" s="10"/>
      <c r="AC197" s="10"/>
      <c r="AD197" s="10"/>
      <c r="AE197" s="10"/>
      <c r="AF197" s="10"/>
      <c r="AG197" s="115"/>
      <c r="AH197" s="10"/>
      <c r="AI197" s="10"/>
    </row>
    <row r="198" spans="2:35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8">
        <f>W198+X198</f>
        <v>0</v>
      </c>
      <c r="W198" s="112">
        <f>PV($C$1, ($AF$3-$W$3), 0, -AF96)+PV($C$1, ($AE$3-$W$3), 0, -AF96)+PV($C$1, ($AD$3-$W$3), 0, -AF96)+PV($C$1, ($AC$3-$W$3), 0, -AF96)+PV($C$1, ($AB$3-$W$3), 0, -AF96)+PV($C$1, ($AA$3-$W$3), 0, -AF96)+PV($C$1, ($Z$3-$W$3), 0, -AF96)+PV($C$1, ($Y$3-$W$3), 0, -AF96)+PV($C$1, ($X$3-$W$3), 0, -AF96)+PV($C$1, ($W$3-$W$3), 0, -AF96)</f>
        <v>0</v>
      </c>
      <c r="X198" s="112">
        <f>PV($C$1, ($AF$3-$W$3), 0, -AI96)</f>
        <v>0</v>
      </c>
      <c r="Y198" s="10"/>
      <c r="Z198" s="10"/>
      <c r="AA198" s="10"/>
      <c r="AB198" s="10"/>
      <c r="AC198" s="10"/>
      <c r="AD198" s="10"/>
      <c r="AE198" s="10"/>
      <c r="AF198" s="10"/>
      <c r="AG198" s="115"/>
      <c r="AH198" s="10"/>
      <c r="AI198" s="10"/>
    </row>
    <row r="199" spans="2: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60">
        <v>41729</v>
      </c>
      <c r="S199" s="10">
        <v>62</v>
      </c>
      <c r="T199" s="10"/>
      <c r="U199" s="10"/>
      <c r="V199" s="10"/>
      <c r="W199" s="104"/>
      <c r="X199" s="10"/>
      <c r="Y199" s="10"/>
      <c r="Z199" s="10"/>
      <c r="AA199" s="10"/>
      <c r="AB199" s="10"/>
      <c r="AC199" s="10"/>
      <c r="AD199" s="10"/>
      <c r="AE199" s="10"/>
      <c r="AF199" s="10"/>
      <c r="AG199" s="115"/>
      <c r="AH199" s="10"/>
      <c r="AI199" s="10"/>
    </row>
    <row r="200" spans="2:35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3" t="s">
        <v>335</v>
      </c>
      <c r="S200" s="10">
        <v>62</v>
      </c>
      <c r="T200" s="10"/>
      <c r="U200" s="10">
        <v>40</v>
      </c>
      <c r="V200" s="13" t="s">
        <v>336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15"/>
      <c r="AH200" s="10"/>
      <c r="AI200" s="10"/>
    </row>
    <row r="201" spans="2:35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f>R201</f>
        <v>68</v>
      </c>
      <c r="H201" s="12">
        <v>48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68</v>
      </c>
      <c r="S201" s="12">
        <v>48.25</v>
      </c>
      <c r="T201" s="12">
        <v>55</v>
      </c>
      <c r="U201" s="101">
        <f t="shared" ref="U201:U227" si="621">((T201/H201)^(1/($K$2-$K$1) ))-1</f>
        <v>1.0526725911641943E-2</v>
      </c>
      <c r="V201" s="21">
        <v>0.02</v>
      </c>
      <c r="W201" s="174">
        <v>50</v>
      </c>
      <c r="X201" s="102">
        <f t="shared" ref="X201:AF201" si="622">W201*(1+$V201)</f>
        <v>51</v>
      </c>
      <c r="Y201" s="102">
        <f t="shared" si="622"/>
        <v>52.02</v>
      </c>
      <c r="Z201" s="102">
        <f t="shared" si="622"/>
        <v>53.060400000000001</v>
      </c>
      <c r="AA201" s="102">
        <f t="shared" si="622"/>
        <v>54.121608000000002</v>
      </c>
      <c r="AB201" s="102">
        <f t="shared" si="622"/>
        <v>55.204040160000005</v>
      </c>
      <c r="AC201" s="102">
        <f t="shared" si="622"/>
        <v>56.308120963200004</v>
      </c>
      <c r="AD201" s="102">
        <f t="shared" si="622"/>
        <v>57.434283382464002</v>
      </c>
      <c r="AE201" s="102">
        <f t="shared" si="622"/>
        <v>58.582969050113284</v>
      </c>
      <c r="AF201" s="102">
        <f t="shared" si="622"/>
        <v>59.754628431115549</v>
      </c>
      <c r="AG201" s="116" t="e">
        <f t="shared" ref="AG201:AG208" si="623">((AF201/J201)^(1/($AF$3-$K$1) ))-1</f>
        <v>#DIV/0!</v>
      </c>
      <c r="AH201" s="21">
        <f t="shared" ref="AH201:AH208" si="624">$O$1</f>
        <v>0.05</v>
      </c>
      <c r="AI201" s="109" t="e">
        <f t="shared" ref="AI201:AI212" si="625">(AF201*(1+AG201))/($C$1-AH201)</f>
        <v>#DIV/0!</v>
      </c>
    </row>
    <row r="202" spans="2:35">
      <c r="B202" s="10" t="s">
        <v>306</v>
      </c>
      <c r="C202" s="15"/>
      <c r="D202" s="15"/>
      <c r="E202" s="15"/>
      <c r="F202" s="15"/>
      <c r="G202" s="15" t="e">
        <f t="shared" ref="G202" si="626">G201/G66</f>
        <v>#DIV/0!</v>
      </c>
      <c r="H202" s="15" t="e">
        <f t="shared" ref="H202:I202" si="627">H201/H66</f>
        <v>#DIV/0!</v>
      </c>
      <c r="I202" s="15" t="e">
        <f t="shared" si="627"/>
        <v>#DIV/0!</v>
      </c>
      <c r="J202" s="15" t="e">
        <f t="shared" ref="J202:T202" si="628">J201/J66</f>
        <v>#DIV/0!</v>
      </c>
      <c r="K202" s="15" t="e">
        <f t="shared" si="628"/>
        <v>#DIV/0!</v>
      </c>
      <c r="L202" s="15" t="e">
        <f t="shared" si="628"/>
        <v>#DIV/0!</v>
      </c>
      <c r="M202" s="15" t="e">
        <f t="shared" si="628"/>
        <v>#DIV/0!</v>
      </c>
      <c r="N202" s="15" t="e">
        <f t="shared" si="628"/>
        <v>#DIV/0!</v>
      </c>
      <c r="O202" s="15" t="e">
        <f t="shared" si="628"/>
        <v>#DIV/0!</v>
      </c>
      <c r="P202" s="15" t="e">
        <f t="shared" si="628"/>
        <v>#DIV/0!</v>
      </c>
      <c r="Q202" s="15" t="e">
        <f t="shared" si="628"/>
        <v>#DIV/0!</v>
      </c>
      <c r="R202" s="15" t="e">
        <f t="shared" si="628"/>
        <v>#DIV/0!</v>
      </c>
      <c r="S202" s="15">
        <f t="shared" si="628"/>
        <v>4.0367102665350449</v>
      </c>
      <c r="T202" s="15">
        <f t="shared" si="628"/>
        <v>1.9427946233197875</v>
      </c>
      <c r="U202" s="101" t="e">
        <f t="shared" si="621"/>
        <v>#DIV/0!</v>
      </c>
      <c r="V202" s="110"/>
      <c r="W202" s="15">
        <f t="shared" ref="W202:AF202" si="629">W201/W66</f>
        <v>1.6084825615147589</v>
      </c>
      <c r="X202" s="15">
        <f t="shared" si="629"/>
        <v>1.4941654080356741</v>
      </c>
      <c r="Y202" s="15">
        <f t="shared" si="629"/>
        <v>1.3879729379645673</v>
      </c>
      <c r="Z202" s="15">
        <f t="shared" si="629"/>
        <v>1.2893277184449425</v>
      </c>
      <c r="AA202" s="15">
        <f t="shared" si="629"/>
        <v>1.1976933555983198</v>
      </c>
      <c r="AB202" s="15">
        <f t="shared" si="629"/>
        <v>1.1125715778254393</v>
      </c>
      <c r="AC202" s="15">
        <f t="shared" si="629"/>
        <v>1.0334995264014168</v>
      </c>
      <c r="AD202" s="15">
        <f t="shared" si="629"/>
        <v>0.96004723863217334</v>
      </c>
      <c r="AE202" s="15">
        <f t="shared" si="629"/>
        <v>0.89181530988652946</v>
      </c>
      <c r="AF202" s="15">
        <f t="shared" si="629"/>
        <v>0.82843272179102245</v>
      </c>
      <c r="AG202" s="116" t="e">
        <f t="shared" ref="AG202" si="630">((AF202/J202)^(1/($AF$3-$K$1) ))-1</f>
        <v>#DIV/0!</v>
      </c>
      <c r="AH202" s="21">
        <f t="shared" si="624"/>
        <v>0.05</v>
      </c>
      <c r="AI202" s="109" t="e">
        <f t="shared" ref="AI202" si="631">(AF202*(1+AG202))/($C$1-AH202)</f>
        <v>#DIV/0!</v>
      </c>
    </row>
    <row r="203" spans="2:35">
      <c r="B203" s="10" t="s">
        <v>334</v>
      </c>
      <c r="C203" s="15"/>
      <c r="D203" s="15"/>
      <c r="E203" s="15"/>
      <c r="F203" s="15"/>
      <c r="G203" s="15">
        <f t="shared" ref="G203" si="632">G201/G72</f>
        <v>-0.26356589147286824</v>
      </c>
      <c r="H203" s="15" t="e">
        <f t="shared" ref="H203:I203" si="633">H201/H72</f>
        <v>#DIV/0!</v>
      </c>
      <c r="I203" s="15" t="e">
        <f t="shared" si="633"/>
        <v>#DIV/0!</v>
      </c>
      <c r="J203" s="15" t="e">
        <f t="shared" ref="J203:T203" si="634">J201/J72</f>
        <v>#DIV/0!</v>
      </c>
      <c r="K203" s="15" t="e">
        <f t="shared" si="634"/>
        <v>#DIV/0!</v>
      </c>
      <c r="L203" s="15" t="e">
        <f t="shared" si="634"/>
        <v>#DIV/0!</v>
      </c>
      <c r="M203" s="15" t="e">
        <f t="shared" si="634"/>
        <v>#DIV/0!</v>
      </c>
      <c r="N203" s="15" t="e">
        <f t="shared" si="634"/>
        <v>#DIV/0!</v>
      </c>
      <c r="O203" s="15" t="e">
        <f t="shared" si="634"/>
        <v>#DIV/0!</v>
      </c>
      <c r="P203" s="15" t="e">
        <f t="shared" si="634"/>
        <v>#DIV/0!</v>
      </c>
      <c r="Q203" s="15" t="e">
        <f t="shared" si="634"/>
        <v>#DIV/0!</v>
      </c>
      <c r="R203" s="15">
        <f t="shared" si="634"/>
        <v>-0.26356589147286824</v>
      </c>
      <c r="S203" s="15">
        <f t="shared" si="634"/>
        <v>35.100321888412019</v>
      </c>
      <c r="T203" s="15">
        <f t="shared" si="634"/>
        <v>18.297350343473994</v>
      </c>
      <c r="U203" s="101" t="e">
        <f t="shared" si="621"/>
        <v>#DIV/0!</v>
      </c>
      <c r="V203" s="110"/>
      <c r="W203" s="102">
        <f t="shared" ref="W203:AF203" si="635">W201/W72</f>
        <v>15.148780316837234</v>
      </c>
      <c r="X203" s="102">
        <f t="shared" si="635"/>
        <v>14.072134858604871</v>
      </c>
      <c r="Y203" s="102">
        <f t="shared" si="635"/>
        <v>13.072008131154028</v>
      </c>
      <c r="Z203" s="102">
        <f t="shared" si="635"/>
        <v>12.142961838975578</v>
      </c>
      <c r="AA203" s="102">
        <f t="shared" si="635"/>
        <v>11.279944193991239</v>
      </c>
      <c r="AB203" s="102">
        <f t="shared" si="635"/>
        <v>10.478262445918293</v>
      </c>
      <c r="AC203" s="102">
        <f t="shared" si="635"/>
        <v>9.7335573649405287</v>
      </c>
      <c r="AD203" s="102">
        <f t="shared" si="635"/>
        <v>9.0417795379322534</v>
      </c>
      <c r="AE203" s="102">
        <f t="shared" si="635"/>
        <v>8.3991673493434966</v>
      </c>
      <c r="AF203" s="102">
        <f t="shared" si="635"/>
        <v>7.8022265270151534</v>
      </c>
      <c r="AG203" s="116" t="e">
        <f t="shared" si="623"/>
        <v>#DIV/0!</v>
      </c>
      <c r="AH203" s="21">
        <f t="shared" si="624"/>
        <v>0.05</v>
      </c>
      <c r="AI203" s="109" t="e">
        <f t="shared" si="625"/>
        <v>#DIV/0!</v>
      </c>
    </row>
    <row r="204" spans="2:35">
      <c r="B204" s="10" t="s">
        <v>392</v>
      </c>
      <c r="C204" s="15"/>
      <c r="D204" s="15"/>
      <c r="E204" s="15"/>
      <c r="F204" s="15"/>
      <c r="G204" s="15">
        <f t="shared" ref="G204" si="636">G201/G70</f>
        <v>0.68</v>
      </c>
      <c r="H204" s="15" t="e">
        <f t="shared" ref="H204:I204" si="637">H201/H70</f>
        <v>#DIV/0!</v>
      </c>
      <c r="I204" s="15" t="e">
        <f t="shared" si="637"/>
        <v>#DIV/0!</v>
      </c>
      <c r="J204" s="15" t="e">
        <f t="shared" ref="J204:T204" si="638">J201/J70</f>
        <v>#DIV/0!</v>
      </c>
      <c r="K204" s="15" t="e">
        <f t="shared" si="638"/>
        <v>#DIV/0!</v>
      </c>
      <c r="L204" s="15" t="e">
        <f t="shared" si="638"/>
        <v>#DIV/0!</v>
      </c>
      <c r="M204" s="15" t="e">
        <f t="shared" si="638"/>
        <v>#DIV/0!</v>
      </c>
      <c r="N204" s="15" t="e">
        <f t="shared" si="638"/>
        <v>#DIV/0!</v>
      </c>
      <c r="O204" s="15" t="e">
        <f t="shared" si="638"/>
        <v>#DIV/0!</v>
      </c>
      <c r="P204" s="15" t="e">
        <f t="shared" si="638"/>
        <v>#DIV/0!</v>
      </c>
      <c r="Q204" s="15" t="e">
        <f t="shared" si="638"/>
        <v>#DIV/0!</v>
      </c>
      <c r="R204" s="15">
        <f t="shared" si="638"/>
        <v>0.68</v>
      </c>
      <c r="S204" s="15" t="e">
        <f t="shared" si="638"/>
        <v>#DIV/0!</v>
      </c>
      <c r="T204" s="15" t="e">
        <f t="shared" si="638"/>
        <v>#DIV/0!</v>
      </c>
      <c r="U204" s="101" t="e">
        <f t="shared" si="621"/>
        <v>#DIV/0!</v>
      </c>
      <c r="V204" s="110"/>
      <c r="W204" s="15" t="e">
        <f t="shared" ref="W204:AF204" si="639">W201/W70</f>
        <v>#DIV/0!</v>
      </c>
      <c r="X204" s="15" t="e">
        <f t="shared" si="639"/>
        <v>#DIV/0!</v>
      </c>
      <c r="Y204" s="15" t="e">
        <f t="shared" si="639"/>
        <v>#DIV/0!</v>
      </c>
      <c r="Z204" s="15" t="e">
        <f t="shared" si="639"/>
        <v>#DIV/0!</v>
      </c>
      <c r="AA204" s="15" t="e">
        <f t="shared" si="639"/>
        <v>#DIV/0!</v>
      </c>
      <c r="AB204" s="15" t="e">
        <f t="shared" si="639"/>
        <v>#DIV/0!</v>
      </c>
      <c r="AC204" s="15" t="e">
        <f t="shared" si="639"/>
        <v>#DIV/0!</v>
      </c>
      <c r="AD204" s="15" t="e">
        <f t="shared" si="639"/>
        <v>#DIV/0!</v>
      </c>
      <c r="AE204" s="15" t="e">
        <f t="shared" si="639"/>
        <v>#DIV/0!</v>
      </c>
      <c r="AF204" s="15" t="e">
        <f t="shared" si="639"/>
        <v>#DIV/0!</v>
      </c>
      <c r="AG204" s="116" t="e">
        <f t="shared" ref="AG204:AG205" si="640">((AF204/J204)^(1/($AF$3-$K$1) ))-1</f>
        <v>#DIV/0!</v>
      </c>
      <c r="AH204" s="21">
        <f t="shared" si="624"/>
        <v>0.05</v>
      </c>
      <c r="AI204" s="109" t="e">
        <f t="shared" ref="AI204:AI205" si="641">(AF204*(1+AG204))/($C$1-AH204)</f>
        <v>#DIV/0!</v>
      </c>
    </row>
    <row r="205" spans="2:35">
      <c r="B205" s="10" t="s">
        <v>393</v>
      </c>
      <c r="C205" s="15"/>
      <c r="D205" s="15"/>
      <c r="E205" s="15"/>
      <c r="F205" s="15"/>
      <c r="G205" s="15">
        <f t="shared" ref="G205" si="642">G201/G71</f>
        <v>68</v>
      </c>
      <c r="H205" s="15" t="e">
        <f t="shared" ref="H205:I205" si="643">H201/H71</f>
        <v>#DIV/0!</v>
      </c>
      <c r="I205" s="15" t="e">
        <f t="shared" si="643"/>
        <v>#DIV/0!</v>
      </c>
      <c r="J205" s="15" t="e">
        <f t="shared" ref="J205:T205" si="644">J201/J71</f>
        <v>#DIV/0!</v>
      </c>
      <c r="K205" s="15" t="e">
        <f t="shared" si="644"/>
        <v>#DIV/0!</v>
      </c>
      <c r="L205" s="15" t="e">
        <f t="shared" si="644"/>
        <v>#DIV/0!</v>
      </c>
      <c r="M205" s="15" t="e">
        <f t="shared" si="644"/>
        <v>#DIV/0!</v>
      </c>
      <c r="N205" s="15" t="e">
        <f t="shared" si="644"/>
        <v>#DIV/0!</v>
      </c>
      <c r="O205" s="15" t="e">
        <f t="shared" si="644"/>
        <v>#DIV/0!</v>
      </c>
      <c r="P205" s="15" t="e">
        <f t="shared" si="644"/>
        <v>#DIV/0!</v>
      </c>
      <c r="Q205" s="15" t="e">
        <f t="shared" si="644"/>
        <v>#DIV/0!</v>
      </c>
      <c r="R205" s="15">
        <f t="shared" si="644"/>
        <v>68</v>
      </c>
      <c r="S205" s="15" t="e">
        <f t="shared" si="644"/>
        <v>#DIV/0!</v>
      </c>
      <c r="T205" s="15" t="e">
        <f t="shared" si="644"/>
        <v>#DIV/0!</v>
      </c>
      <c r="U205" s="101" t="e">
        <f t="shared" si="621"/>
        <v>#DIV/0!</v>
      </c>
      <c r="V205" s="110"/>
      <c r="W205" s="15" t="e">
        <f t="shared" ref="W205:AF205" si="645">W201/W71</f>
        <v>#DIV/0!</v>
      </c>
      <c r="X205" s="15" t="e">
        <f t="shared" si="645"/>
        <v>#DIV/0!</v>
      </c>
      <c r="Y205" s="15" t="e">
        <f t="shared" si="645"/>
        <v>#DIV/0!</v>
      </c>
      <c r="Z205" s="15" t="e">
        <f t="shared" si="645"/>
        <v>#DIV/0!</v>
      </c>
      <c r="AA205" s="15" t="e">
        <f t="shared" si="645"/>
        <v>#DIV/0!</v>
      </c>
      <c r="AB205" s="15" t="e">
        <f t="shared" si="645"/>
        <v>#DIV/0!</v>
      </c>
      <c r="AC205" s="15" t="e">
        <f t="shared" si="645"/>
        <v>#DIV/0!</v>
      </c>
      <c r="AD205" s="15" t="e">
        <f t="shared" si="645"/>
        <v>#DIV/0!</v>
      </c>
      <c r="AE205" s="15" t="e">
        <f t="shared" si="645"/>
        <v>#DIV/0!</v>
      </c>
      <c r="AF205" s="15" t="e">
        <f t="shared" si="645"/>
        <v>#DIV/0!</v>
      </c>
      <c r="AG205" s="116" t="e">
        <f t="shared" si="640"/>
        <v>#DIV/0!</v>
      </c>
      <c r="AH205" s="21">
        <f t="shared" si="624"/>
        <v>0.05</v>
      </c>
      <c r="AI205" s="109" t="e">
        <f t="shared" si="641"/>
        <v>#DIV/0!</v>
      </c>
    </row>
    <row r="206" spans="2:35">
      <c r="B206" s="10" t="s">
        <v>216</v>
      </c>
      <c r="C206" s="15"/>
      <c r="D206" s="15"/>
      <c r="E206" s="15"/>
      <c r="F206" s="15"/>
      <c r="G206" s="15">
        <f t="shared" ref="G206" si="646">G201/G75</f>
        <v>0.68</v>
      </c>
      <c r="H206" s="15" t="e">
        <f t="shared" ref="H206:I206" si="647">H201/H75</f>
        <v>#DIV/0!</v>
      </c>
      <c r="I206" s="15" t="e">
        <f t="shared" si="647"/>
        <v>#DIV/0!</v>
      </c>
      <c r="J206" s="15" t="e">
        <f t="shared" ref="J206:T206" si="648">J201/J75</f>
        <v>#DIV/0!</v>
      </c>
      <c r="K206" s="15" t="e">
        <f t="shared" si="648"/>
        <v>#DIV/0!</v>
      </c>
      <c r="L206" s="15" t="e">
        <f t="shared" si="648"/>
        <v>#DIV/0!</v>
      </c>
      <c r="M206" s="15" t="e">
        <f t="shared" si="648"/>
        <v>#DIV/0!</v>
      </c>
      <c r="N206" s="15" t="e">
        <f t="shared" si="648"/>
        <v>#DIV/0!</v>
      </c>
      <c r="O206" s="15" t="e">
        <f t="shared" si="648"/>
        <v>#DIV/0!</v>
      </c>
      <c r="P206" s="15" t="e">
        <f t="shared" si="648"/>
        <v>#DIV/0!</v>
      </c>
      <c r="Q206" s="15" t="e">
        <f t="shared" si="648"/>
        <v>#DIV/0!</v>
      </c>
      <c r="R206" s="15">
        <f t="shared" si="648"/>
        <v>0.68</v>
      </c>
      <c r="S206" s="15">
        <f t="shared" si="648"/>
        <v>1.5978678488288602</v>
      </c>
      <c r="T206" s="15">
        <f t="shared" si="648"/>
        <v>1.6532230534395818</v>
      </c>
      <c r="U206" s="101" t="e">
        <f t="shared" si="621"/>
        <v>#DIV/0!</v>
      </c>
      <c r="V206" s="110"/>
      <c r="W206" s="102">
        <f t="shared" ref="W206:AF206" si="649">W201/W75</f>
        <v>1.3687398656723813</v>
      </c>
      <c r="X206" s="102">
        <f t="shared" si="649"/>
        <v>1.2714615680763797</v>
      </c>
      <c r="Y206" s="102">
        <f t="shared" si="649"/>
        <v>1.1810969780595229</v>
      </c>
      <c r="Z206" s="102">
        <f t="shared" si="649"/>
        <v>1.0971547285474348</v>
      </c>
      <c r="AA206" s="102">
        <f t="shared" si="649"/>
        <v>1.0191783746256706</v>
      </c>
      <c r="AB206" s="102">
        <f t="shared" si="649"/>
        <v>0.94674391157191762</v>
      </c>
      <c r="AC206" s="102">
        <f t="shared" si="649"/>
        <v>0.87945746928519908</v>
      </c>
      <c r="AD206" s="102">
        <f t="shared" si="649"/>
        <v>0.81695317057528682</v>
      </c>
      <c r="AE206" s="102">
        <f t="shared" si="649"/>
        <v>0.75889114166654326</v>
      </c>
      <c r="AF206" s="102">
        <f t="shared" si="649"/>
        <v>0.70495566409809951</v>
      </c>
      <c r="AG206" s="116" t="e">
        <f t="shared" si="623"/>
        <v>#DIV/0!</v>
      </c>
      <c r="AH206" s="21">
        <f t="shared" si="624"/>
        <v>0.05</v>
      </c>
      <c r="AI206" s="109" t="e">
        <f t="shared" si="625"/>
        <v>#DIV/0!</v>
      </c>
    </row>
    <row r="207" spans="2:35">
      <c r="B207" s="10" t="s">
        <v>217</v>
      </c>
      <c r="C207" s="15"/>
      <c r="D207" s="15"/>
      <c r="E207" s="15"/>
      <c r="F207" s="15"/>
      <c r="G207" s="15">
        <f t="shared" ref="G207" si="650">G201/G84</f>
        <v>34</v>
      </c>
      <c r="H207" s="15" t="e">
        <f t="shared" ref="H207:I207" si="651">H201/H84</f>
        <v>#DIV/0!</v>
      </c>
      <c r="I207" s="15" t="e">
        <f t="shared" si="651"/>
        <v>#DIV/0!</v>
      </c>
      <c r="J207" s="15" t="e">
        <f t="shared" ref="J207:T207" si="652">J201/J84</f>
        <v>#DIV/0!</v>
      </c>
      <c r="K207" s="15" t="e">
        <f t="shared" si="652"/>
        <v>#DIV/0!</v>
      </c>
      <c r="L207" s="15" t="e">
        <f t="shared" si="652"/>
        <v>#DIV/0!</v>
      </c>
      <c r="M207" s="15" t="e">
        <f t="shared" si="652"/>
        <v>#DIV/0!</v>
      </c>
      <c r="N207" s="15" t="e">
        <f t="shared" si="652"/>
        <v>#DIV/0!</v>
      </c>
      <c r="O207" s="15" t="e">
        <f t="shared" si="652"/>
        <v>#DIV/0!</v>
      </c>
      <c r="P207" s="15" t="e">
        <f t="shared" si="652"/>
        <v>#DIV/0!</v>
      </c>
      <c r="Q207" s="15" t="e">
        <f t="shared" si="652"/>
        <v>#DIV/0!</v>
      </c>
      <c r="R207" s="15">
        <f t="shared" si="652"/>
        <v>34</v>
      </c>
      <c r="S207" s="15">
        <f t="shared" si="652"/>
        <v>0.74379291528352498</v>
      </c>
      <c r="T207" s="15">
        <f t="shared" si="652"/>
        <v>0.34845908012035814</v>
      </c>
      <c r="U207" s="101" t="e">
        <f t="shared" si="621"/>
        <v>#DIV/0!</v>
      </c>
      <c r="V207" s="110"/>
      <c r="W207" s="102">
        <f t="shared" ref="W207:AF207" si="653">W201/W84</f>
        <v>0.28849696568406274</v>
      </c>
      <c r="X207" s="102">
        <f t="shared" si="653"/>
        <v>0.2679930741943739</v>
      </c>
      <c r="Y207" s="102">
        <f t="shared" si="653"/>
        <v>0.24894642356413096</v>
      </c>
      <c r="Z207" s="102">
        <f t="shared" si="653"/>
        <v>0.23125344560368016</v>
      </c>
      <c r="AA207" s="102">
        <f t="shared" si="653"/>
        <v>0.21481793286256146</v>
      </c>
      <c r="AB207" s="102">
        <f t="shared" si="653"/>
        <v>0.19955051549125799</v>
      </c>
      <c r="AC207" s="102">
        <f t="shared" si="653"/>
        <v>0.18536817528312927</v>
      </c>
      <c r="AD207" s="102">
        <f t="shared" si="653"/>
        <v>0.17219379425407833</v>
      </c>
      <c r="AE207" s="102">
        <f t="shared" si="653"/>
        <v>0.1599557353053063</v>
      </c>
      <c r="AF207" s="102">
        <f t="shared" si="653"/>
        <v>0.14858745268896484</v>
      </c>
      <c r="AG207" s="116" t="e">
        <f t="shared" si="623"/>
        <v>#DIV/0!</v>
      </c>
      <c r="AH207" s="21">
        <f t="shared" si="624"/>
        <v>0.05</v>
      </c>
      <c r="AI207" s="109" t="e">
        <f t="shared" si="625"/>
        <v>#DIV/0!</v>
      </c>
    </row>
    <row r="208" spans="2:35">
      <c r="B208" s="10" t="s">
        <v>218</v>
      </c>
      <c r="C208" s="15"/>
      <c r="D208" s="15"/>
      <c r="E208" s="15"/>
      <c r="F208" s="15"/>
      <c r="G208" s="15">
        <f t="shared" ref="G208" si="654">G201/G86</f>
        <v>68</v>
      </c>
      <c r="H208" s="15" t="e">
        <f t="shared" ref="H208:I208" si="655">H201/H86</f>
        <v>#DIV/0!</v>
      </c>
      <c r="I208" s="15" t="e">
        <f t="shared" si="655"/>
        <v>#DIV/0!</v>
      </c>
      <c r="J208" s="15" t="e">
        <f t="shared" ref="J208:T208" si="656">J201/J86</f>
        <v>#DIV/0!</v>
      </c>
      <c r="K208" s="15" t="e">
        <f t="shared" si="656"/>
        <v>#DIV/0!</v>
      </c>
      <c r="L208" s="15" t="e">
        <f t="shared" si="656"/>
        <v>#DIV/0!</v>
      </c>
      <c r="M208" s="15" t="e">
        <f t="shared" si="656"/>
        <v>#DIV/0!</v>
      </c>
      <c r="N208" s="15" t="e">
        <f t="shared" si="656"/>
        <v>#DIV/0!</v>
      </c>
      <c r="O208" s="15" t="e">
        <f t="shared" si="656"/>
        <v>#DIV/0!</v>
      </c>
      <c r="P208" s="15" t="e">
        <f t="shared" si="656"/>
        <v>#DIV/0!</v>
      </c>
      <c r="Q208" s="15" t="e">
        <f t="shared" si="656"/>
        <v>#DIV/0!</v>
      </c>
      <c r="R208" s="15">
        <f t="shared" si="656"/>
        <v>68</v>
      </c>
      <c r="S208" s="15" t="e">
        <f t="shared" si="656"/>
        <v>#DIV/0!</v>
      </c>
      <c r="T208" s="15" t="e">
        <f t="shared" si="656"/>
        <v>#DIV/0!</v>
      </c>
      <c r="U208" s="101" t="e">
        <f t="shared" si="621"/>
        <v>#DIV/0!</v>
      </c>
      <c r="V208" s="110"/>
      <c r="W208" s="102" t="e">
        <f t="shared" ref="W208:AF208" si="657">W201/W86</f>
        <v>#DIV/0!</v>
      </c>
      <c r="X208" s="102" t="e">
        <f t="shared" si="657"/>
        <v>#DIV/0!</v>
      </c>
      <c r="Y208" s="102" t="e">
        <f t="shared" si="657"/>
        <v>#DIV/0!</v>
      </c>
      <c r="Z208" s="102" t="e">
        <f t="shared" si="657"/>
        <v>#DIV/0!</v>
      </c>
      <c r="AA208" s="102" t="e">
        <f t="shared" si="657"/>
        <v>#DIV/0!</v>
      </c>
      <c r="AB208" s="102" t="e">
        <f t="shared" si="657"/>
        <v>#DIV/0!</v>
      </c>
      <c r="AC208" s="102" t="e">
        <f t="shared" si="657"/>
        <v>#DIV/0!</v>
      </c>
      <c r="AD208" s="102" t="e">
        <f t="shared" si="657"/>
        <v>#DIV/0!</v>
      </c>
      <c r="AE208" s="102" t="e">
        <f t="shared" si="657"/>
        <v>#DIV/0!</v>
      </c>
      <c r="AF208" s="102" t="e">
        <f t="shared" si="657"/>
        <v>#DIV/0!</v>
      </c>
      <c r="AG208" s="116" t="e">
        <f t="shared" si="623"/>
        <v>#DIV/0!</v>
      </c>
      <c r="AH208" s="21">
        <f t="shared" si="624"/>
        <v>0.05</v>
      </c>
      <c r="AI208" s="109" t="e">
        <f t="shared" si="625"/>
        <v>#DIV/0!</v>
      </c>
    </row>
    <row r="209" spans="2:35">
      <c r="B209" s="10" t="s">
        <v>232</v>
      </c>
      <c r="C209" s="15"/>
      <c r="D209" s="15"/>
      <c r="E209" s="15"/>
      <c r="F209" s="15"/>
      <c r="G209" s="159">
        <f t="shared" ref="G209" si="658">G201/G80</f>
        <v>0.68686868686868685</v>
      </c>
      <c r="H209" s="159" t="e">
        <f t="shared" ref="H209:I209" si="659">H201/H80</f>
        <v>#DIV/0!</v>
      </c>
      <c r="I209" s="159" t="e">
        <f t="shared" si="659"/>
        <v>#DIV/0!</v>
      </c>
      <c r="J209" s="159" t="e">
        <f t="shared" ref="J209:T209" si="660">J201/J80</f>
        <v>#DIV/0!</v>
      </c>
      <c r="K209" s="159" t="e">
        <f t="shared" si="660"/>
        <v>#DIV/0!</v>
      </c>
      <c r="L209" s="159" t="e">
        <f t="shared" si="660"/>
        <v>#DIV/0!</v>
      </c>
      <c r="M209" s="159" t="e">
        <f t="shared" si="660"/>
        <v>#DIV/0!</v>
      </c>
      <c r="N209" s="159" t="e">
        <f t="shared" si="660"/>
        <v>#DIV/0!</v>
      </c>
      <c r="O209" s="159" t="e">
        <f t="shared" si="660"/>
        <v>#DIV/0!</v>
      </c>
      <c r="P209" s="159" t="e">
        <f t="shared" si="660"/>
        <v>#DIV/0!</v>
      </c>
      <c r="Q209" s="159" t="e">
        <f t="shared" si="660"/>
        <v>#DIV/0!</v>
      </c>
      <c r="R209" s="159">
        <f t="shared" si="660"/>
        <v>0.68686868686868685</v>
      </c>
      <c r="S209" s="159">
        <f t="shared" si="660"/>
        <v>-0.35022243329195918</v>
      </c>
      <c r="T209" s="159">
        <f t="shared" si="660"/>
        <v>-0.22517300097822543</v>
      </c>
      <c r="U209" s="101" t="e">
        <f t="shared" si="621"/>
        <v>#DIV/0!</v>
      </c>
      <c r="V209" s="110"/>
      <c r="W209" s="113">
        <f t="shared" ref="W209:AF209" si="661">W201/W80</f>
        <v>-0.18642569886184246</v>
      </c>
      <c r="X209" s="113">
        <f t="shared" si="661"/>
        <v>-0.17317615812130438</v>
      </c>
      <c r="Y209" s="113">
        <f t="shared" si="661"/>
        <v>-0.16086828116911167</v>
      </c>
      <c r="Z209" s="113">
        <f t="shared" si="661"/>
        <v>-0.14943514261459265</v>
      </c>
      <c r="AA209" s="113">
        <f t="shared" si="661"/>
        <v>-0.13881457355019838</v>
      </c>
      <c r="AB209" s="113">
        <f t="shared" si="661"/>
        <v>-0.12894882350145209</v>
      </c>
      <c r="AC209" s="113">
        <f t="shared" si="661"/>
        <v>-0.11978424640259891</v>
      </c>
      <c r="AD209" s="113">
        <f t="shared" si="661"/>
        <v>-0.11127100889041419</v>
      </c>
      <c r="AE209" s="113">
        <f t="shared" si="661"/>
        <v>-0.10336281932998832</v>
      </c>
      <c r="AF209" s="113">
        <f t="shared" si="661"/>
        <v>-9.6016676099035567E-2</v>
      </c>
      <c r="AG209" s="116" t="e">
        <f t="shared" ref="AG209" si="662">((AF209/J209)^(1/($AF$3-$K$1) ))-1</f>
        <v>#DIV/0!</v>
      </c>
      <c r="AH209" s="21">
        <f t="shared" ref="AH209:AH212" si="663">$O$1</f>
        <v>0.05</v>
      </c>
      <c r="AI209" s="109" t="e">
        <f t="shared" si="625"/>
        <v>#DIV/0!</v>
      </c>
    </row>
    <row r="210" spans="2:35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10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6"/>
      <c r="AH210" s="21">
        <f t="shared" si="663"/>
        <v>0.05</v>
      </c>
      <c r="AI210" s="109"/>
    </row>
    <row r="211" spans="2:35">
      <c r="B211" s="10" t="s">
        <v>265</v>
      </c>
      <c r="C211" s="129"/>
      <c r="D211" s="129"/>
      <c r="E211" s="129"/>
      <c r="F211" s="129"/>
      <c r="G211" s="129">
        <f t="shared" ref="G211" si="664">G59/G201</f>
        <v>1.4705882352941178E-4</v>
      </c>
      <c r="H211" s="129">
        <f t="shared" ref="H211:I211" si="665">H59/H201</f>
        <v>0</v>
      </c>
      <c r="I211" s="129" t="e">
        <f t="shared" si="665"/>
        <v>#DIV/0!</v>
      </c>
      <c r="J211" s="129" t="e">
        <f t="shared" ref="J211:T211" si="666">J59/J201</f>
        <v>#DIV/0!</v>
      </c>
      <c r="K211" s="129" t="e">
        <f t="shared" si="666"/>
        <v>#DIV/0!</v>
      </c>
      <c r="L211" s="129" t="e">
        <f t="shared" si="666"/>
        <v>#DIV/0!</v>
      </c>
      <c r="M211" s="129" t="e">
        <f t="shared" si="666"/>
        <v>#DIV/0!</v>
      </c>
      <c r="N211" s="129" t="e">
        <f t="shared" si="666"/>
        <v>#DIV/0!</v>
      </c>
      <c r="O211" s="129" t="e">
        <f t="shared" si="666"/>
        <v>#DIV/0!</v>
      </c>
      <c r="P211" s="129" t="e">
        <f t="shared" si="666"/>
        <v>#DIV/0!</v>
      </c>
      <c r="Q211" s="129" t="e">
        <f t="shared" si="666"/>
        <v>#DIV/0!</v>
      </c>
      <c r="R211" s="129">
        <f t="shared" si="666"/>
        <v>1.4705882352941178E-4</v>
      </c>
      <c r="S211" s="129">
        <f t="shared" si="666"/>
        <v>0</v>
      </c>
      <c r="T211" s="129">
        <f t="shared" si="666"/>
        <v>0</v>
      </c>
      <c r="U211" s="101" t="e">
        <f t="shared" si="621"/>
        <v>#DIV/0!</v>
      </c>
      <c r="V211" s="110"/>
      <c r="W211" s="129">
        <f t="shared" ref="W211:AF211" si="667">W59/W201</f>
        <v>0</v>
      </c>
      <c r="X211" s="129">
        <f t="shared" si="667"/>
        <v>0</v>
      </c>
      <c r="Y211" s="129">
        <f t="shared" si="667"/>
        <v>0</v>
      </c>
      <c r="Z211" s="129">
        <f t="shared" si="667"/>
        <v>0</v>
      </c>
      <c r="AA211" s="129">
        <f t="shared" si="667"/>
        <v>0</v>
      </c>
      <c r="AB211" s="129">
        <f t="shared" si="667"/>
        <v>0</v>
      </c>
      <c r="AC211" s="129">
        <f t="shared" si="667"/>
        <v>0</v>
      </c>
      <c r="AD211" s="129">
        <f t="shared" si="667"/>
        <v>0</v>
      </c>
      <c r="AE211" s="129">
        <f t="shared" si="667"/>
        <v>0</v>
      </c>
      <c r="AF211" s="129">
        <f t="shared" si="667"/>
        <v>0</v>
      </c>
      <c r="AG211" s="116" t="e">
        <f t="shared" ref="AG211:AG216" si="668">((AF211/J211)^(1/($AF$3-$K$1) ))-1</f>
        <v>#DIV/0!</v>
      </c>
      <c r="AH211" s="21">
        <f t="shared" si="663"/>
        <v>0.05</v>
      </c>
      <c r="AI211" s="109" t="e">
        <f t="shared" si="625"/>
        <v>#DIV/0!</v>
      </c>
    </row>
    <row r="212" spans="2:35">
      <c r="B212" s="10" t="s">
        <v>132</v>
      </c>
      <c r="C212" s="129"/>
      <c r="D212" s="129"/>
      <c r="E212" s="129"/>
      <c r="F212" s="129"/>
      <c r="G212" s="142">
        <f t="shared" ref="G212" si="669">G201*G57</f>
        <v>0.68</v>
      </c>
      <c r="H212" s="142">
        <f t="shared" ref="H212:I212" si="670">H201*H57</f>
        <v>0</v>
      </c>
      <c r="I212" s="142">
        <f t="shared" si="670"/>
        <v>0</v>
      </c>
      <c r="J212" s="142">
        <f t="shared" ref="J212:T212" si="671">J201*J57</f>
        <v>0</v>
      </c>
      <c r="K212" s="142">
        <f t="shared" si="671"/>
        <v>0</v>
      </c>
      <c r="L212" s="142">
        <f t="shared" si="671"/>
        <v>0</v>
      </c>
      <c r="M212" s="142">
        <f t="shared" si="671"/>
        <v>0</v>
      </c>
      <c r="N212" s="142">
        <f t="shared" si="671"/>
        <v>0</v>
      </c>
      <c r="O212" s="142">
        <f t="shared" si="671"/>
        <v>0</v>
      </c>
      <c r="P212" s="142">
        <f t="shared" si="671"/>
        <v>0</v>
      </c>
      <c r="Q212" s="142">
        <f t="shared" si="671"/>
        <v>0</v>
      </c>
      <c r="R212" s="142">
        <f t="shared" si="671"/>
        <v>0.68</v>
      </c>
      <c r="S212" s="142">
        <f t="shared" si="671"/>
        <v>16356.75</v>
      </c>
      <c r="T212" s="142">
        <f t="shared" si="671"/>
        <v>18645</v>
      </c>
      <c r="U212" s="101" t="e">
        <f t="shared" si="621"/>
        <v>#DIV/0!</v>
      </c>
      <c r="V212" s="110"/>
      <c r="W212" s="142">
        <f t="shared" ref="W212:AF212" si="672">W201*W57</f>
        <v>17289</v>
      </c>
      <c r="X212" s="142">
        <f t="shared" si="672"/>
        <v>17987.475600000002</v>
      </c>
      <c r="Y212" s="142">
        <f t="shared" si="672"/>
        <v>18714.169614240003</v>
      </c>
      <c r="Z212" s="142">
        <f t="shared" si="672"/>
        <v>19470.222066655297</v>
      </c>
      <c r="AA212" s="142">
        <f t="shared" si="672"/>
        <v>20256.819038148173</v>
      </c>
      <c r="AB212" s="142">
        <f t="shared" si="672"/>
        <v>21075.194527289361</v>
      </c>
      <c r="AC212" s="142">
        <f t="shared" si="672"/>
        <v>21926.63238619185</v>
      </c>
      <c r="AD212" s="142">
        <f t="shared" si="672"/>
        <v>22812.468334594003</v>
      </c>
      <c r="AE212" s="142">
        <f t="shared" si="672"/>
        <v>23734.092055311601</v>
      </c>
      <c r="AF212" s="142">
        <f t="shared" si="672"/>
        <v>24692.94937434619</v>
      </c>
      <c r="AG212" s="116" t="e">
        <f t="shared" si="668"/>
        <v>#DIV/0!</v>
      </c>
      <c r="AH212" s="21">
        <f t="shared" si="663"/>
        <v>0.05</v>
      </c>
      <c r="AI212" s="109" t="e">
        <f t="shared" si="625"/>
        <v>#DIV/0!</v>
      </c>
    </row>
    <row r="213" spans="2:35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10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</row>
    <row r="214" spans="2:35">
      <c r="B214" s="10" t="s">
        <v>316</v>
      </c>
      <c r="C214" s="138"/>
      <c r="D214" s="138"/>
      <c r="E214" s="138"/>
      <c r="F214" s="138"/>
      <c r="G214" s="138">
        <f t="shared" ref="G214" si="673">G72/G201</f>
        <v>-3.7941176470588234</v>
      </c>
      <c r="H214" s="138" t="e">
        <f t="shared" ref="H214:I214" si="674">H72/H201</f>
        <v>#DIV/0!</v>
      </c>
      <c r="I214" s="138" t="e">
        <f t="shared" si="674"/>
        <v>#DIV/0!</v>
      </c>
      <c r="J214" s="138" t="e">
        <f t="shared" ref="J214:T214" si="675">J72/J201</f>
        <v>#DIV/0!</v>
      </c>
      <c r="K214" s="138" t="e">
        <f t="shared" si="675"/>
        <v>#DIV/0!</v>
      </c>
      <c r="L214" s="138" t="e">
        <f t="shared" si="675"/>
        <v>#DIV/0!</v>
      </c>
      <c r="M214" s="138" t="e">
        <f t="shared" si="675"/>
        <v>#DIV/0!</v>
      </c>
      <c r="N214" s="138" t="e">
        <f t="shared" si="675"/>
        <v>#DIV/0!</v>
      </c>
      <c r="O214" s="138" t="e">
        <f t="shared" si="675"/>
        <v>#DIV/0!</v>
      </c>
      <c r="P214" s="138" t="e">
        <f t="shared" si="675"/>
        <v>#DIV/0!</v>
      </c>
      <c r="Q214" s="138" t="e">
        <f t="shared" si="675"/>
        <v>#DIV/0!</v>
      </c>
      <c r="R214" s="138">
        <f t="shared" si="675"/>
        <v>-3.7941176470588234</v>
      </c>
      <c r="S214" s="138">
        <f t="shared" si="675"/>
        <v>2.8489767221483487E-2</v>
      </c>
      <c r="T214" s="138">
        <f t="shared" si="675"/>
        <v>5.4652721909359075E-2</v>
      </c>
      <c r="U214" s="101" t="e">
        <f t="shared" si="621"/>
        <v>#DIV/0!</v>
      </c>
      <c r="V214" s="110"/>
      <c r="W214" s="138">
        <f t="shared" ref="W214:AF214" si="676">W72/W201</f>
        <v>6.6011915090519985E-2</v>
      </c>
      <c r="X214" s="138">
        <f t="shared" si="676"/>
        <v>7.1062423011709341E-2</v>
      </c>
      <c r="Y214" s="138">
        <f t="shared" si="676"/>
        <v>7.6499340420140768E-2</v>
      </c>
      <c r="Z214" s="138">
        <f t="shared" si="676"/>
        <v>8.2352231132792844E-2</v>
      </c>
      <c r="AA214" s="138">
        <f t="shared" si="676"/>
        <v>8.8652920865751633E-2</v>
      </c>
      <c r="AB214" s="138">
        <f t="shared" si="676"/>
        <v>9.5435670289928692E-2</v>
      </c>
      <c r="AC214" s="138">
        <f t="shared" si="676"/>
        <v>0.10273736132710509</v>
      </c>
      <c r="AD214" s="138">
        <f t="shared" si="676"/>
        <v>0.11059769769930577</v>
      </c>
      <c r="AE214" s="138">
        <f t="shared" si="676"/>
        <v>0.11905942082201314</v>
      </c>
      <c r="AF214" s="138">
        <f t="shared" si="676"/>
        <v>0.12816854221516219</v>
      </c>
      <c r="AG214" s="116" t="e">
        <f t="shared" ref="AG214" si="677">((AF214/J214)^(1/($AF$3-$K$1) ))-1</f>
        <v>#DIV/0!</v>
      </c>
      <c r="AH214" s="21">
        <f t="shared" ref="AH214" si="678">$O$1</f>
        <v>0.05</v>
      </c>
      <c r="AI214" s="109" t="e">
        <f t="shared" ref="AI214" si="679">(AF214*(1+AG214))/($C$1-AH214)</f>
        <v>#DIV/0!</v>
      </c>
    </row>
    <row r="215" spans="2:35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680">G203</f>
        <v>-0.26356589147286824</v>
      </c>
      <c r="H215" s="158" t="e">
        <f t="shared" ref="H215:I215" si="681">H203</f>
        <v>#DIV/0!</v>
      </c>
      <c r="I215" s="158" t="e">
        <f t="shared" si="681"/>
        <v>#DIV/0!</v>
      </c>
      <c r="J215" s="158" t="e">
        <f t="shared" ref="J215:T215" si="682">J203</f>
        <v>#DIV/0!</v>
      </c>
      <c r="K215" s="158" t="e">
        <f t="shared" si="682"/>
        <v>#DIV/0!</v>
      </c>
      <c r="L215" s="158" t="e">
        <f t="shared" si="682"/>
        <v>#DIV/0!</v>
      </c>
      <c r="M215" s="158" t="e">
        <f t="shared" si="682"/>
        <v>#DIV/0!</v>
      </c>
      <c r="N215" s="158" t="e">
        <f t="shared" si="682"/>
        <v>#DIV/0!</v>
      </c>
      <c r="O215" s="158" t="e">
        <f t="shared" si="682"/>
        <v>#DIV/0!</v>
      </c>
      <c r="P215" s="158" t="e">
        <f t="shared" si="682"/>
        <v>#DIV/0!</v>
      </c>
      <c r="Q215" s="158" t="e">
        <f t="shared" si="682"/>
        <v>#DIV/0!</v>
      </c>
      <c r="R215" s="158">
        <f t="shared" si="682"/>
        <v>-0.26356589147286824</v>
      </c>
      <c r="S215" s="158">
        <f t="shared" si="682"/>
        <v>35.100321888412019</v>
      </c>
      <c r="T215" s="158">
        <f t="shared" si="682"/>
        <v>18.297350343473994</v>
      </c>
      <c r="U215" s="101" t="e">
        <f t="shared" si="621"/>
        <v>#DIV/0!</v>
      </c>
      <c r="V215" s="110"/>
      <c r="W215" s="129">
        <f t="shared" ref="W215:AF215" si="683">W203</f>
        <v>15.148780316837234</v>
      </c>
      <c r="X215" s="129">
        <f t="shared" si="683"/>
        <v>14.072134858604871</v>
      </c>
      <c r="Y215" s="129">
        <f t="shared" si="683"/>
        <v>13.072008131154028</v>
      </c>
      <c r="Z215" s="129">
        <f t="shared" si="683"/>
        <v>12.142961838975578</v>
      </c>
      <c r="AA215" s="129">
        <f t="shared" si="683"/>
        <v>11.279944193991239</v>
      </c>
      <c r="AB215" s="129">
        <f t="shared" si="683"/>
        <v>10.478262445918293</v>
      </c>
      <c r="AC215" s="129">
        <f t="shared" si="683"/>
        <v>9.7335573649405287</v>
      </c>
      <c r="AD215" s="129">
        <f t="shared" si="683"/>
        <v>9.0417795379322534</v>
      </c>
      <c r="AE215" s="129">
        <f t="shared" si="683"/>
        <v>8.3991673493434966</v>
      </c>
      <c r="AF215" s="129">
        <f t="shared" si="683"/>
        <v>7.8022265270151534</v>
      </c>
      <c r="AG215" s="116" t="e">
        <f t="shared" ref="AG215" si="684">((AF215/J215)^(1/($AF$3-$K$1) ))-1</f>
        <v>#DIV/0!</v>
      </c>
      <c r="AH215" s="21">
        <f t="shared" ref="AH215:AH217" si="685">$O$1</f>
        <v>0.05</v>
      </c>
      <c r="AI215" s="158" t="e">
        <f>(AI202)/($O$2*100)</f>
        <v>#DIV/0!</v>
      </c>
    </row>
    <row r="216" spans="2:35">
      <c r="B216" s="10" t="s">
        <v>422</v>
      </c>
      <c r="C216" s="158"/>
      <c r="D216" s="158"/>
      <c r="E216" s="158"/>
      <c r="F216" s="158"/>
      <c r="G216" s="158">
        <f t="shared" ref="G216" si="686">(G203)/($O$2*100)</f>
        <v>-2.1963824289405687E-2</v>
      </c>
      <c r="H216" s="158" t="e">
        <f t="shared" ref="H216:I216" si="687">(H203)/($O$2*100)</f>
        <v>#DIV/0!</v>
      </c>
      <c r="I216" s="158" t="e">
        <f t="shared" si="687"/>
        <v>#DIV/0!</v>
      </c>
      <c r="J216" s="158" t="e">
        <f t="shared" ref="J216:T216" si="688">(J203)/($O$2*100)</f>
        <v>#DIV/0!</v>
      </c>
      <c r="K216" s="158" t="e">
        <f t="shared" si="688"/>
        <v>#DIV/0!</v>
      </c>
      <c r="L216" s="158" t="e">
        <f t="shared" si="688"/>
        <v>#DIV/0!</v>
      </c>
      <c r="M216" s="158" t="e">
        <f t="shared" si="688"/>
        <v>#DIV/0!</v>
      </c>
      <c r="N216" s="158" t="e">
        <f t="shared" si="688"/>
        <v>#DIV/0!</v>
      </c>
      <c r="O216" s="158" t="e">
        <f t="shared" si="688"/>
        <v>#DIV/0!</v>
      </c>
      <c r="P216" s="158" t="e">
        <f t="shared" si="688"/>
        <v>#DIV/0!</v>
      </c>
      <c r="Q216" s="158" t="e">
        <f t="shared" si="688"/>
        <v>#DIV/0!</v>
      </c>
      <c r="R216" s="158">
        <f t="shared" si="688"/>
        <v>-2.1963824289405687E-2</v>
      </c>
      <c r="S216" s="158">
        <f t="shared" si="688"/>
        <v>2.9250268240343349</v>
      </c>
      <c r="T216" s="158">
        <f t="shared" si="688"/>
        <v>1.5247791952894996</v>
      </c>
      <c r="U216" s="101" t="e">
        <f t="shared" si="621"/>
        <v>#DIV/0!</v>
      </c>
      <c r="V216" s="110"/>
      <c r="W216" s="158">
        <f t="shared" ref="W216:AF216" si="689">(W203)/($O$2*100)</f>
        <v>1.2623983597364361</v>
      </c>
      <c r="X216" s="158">
        <f t="shared" si="689"/>
        <v>1.1726779048837392</v>
      </c>
      <c r="Y216" s="158">
        <f t="shared" si="689"/>
        <v>1.0893340109295024</v>
      </c>
      <c r="Z216" s="158">
        <f t="shared" si="689"/>
        <v>1.0119134865812982</v>
      </c>
      <c r="AA216" s="158">
        <f t="shared" si="689"/>
        <v>0.93999534949926999</v>
      </c>
      <c r="AB216" s="158">
        <f t="shared" si="689"/>
        <v>0.87318853715985778</v>
      </c>
      <c r="AC216" s="158">
        <f t="shared" si="689"/>
        <v>0.81112978041171069</v>
      </c>
      <c r="AD216" s="158">
        <f t="shared" si="689"/>
        <v>0.75348162816102116</v>
      </c>
      <c r="AE216" s="158">
        <f t="shared" si="689"/>
        <v>0.69993061244529142</v>
      </c>
      <c r="AF216" s="158">
        <f t="shared" si="689"/>
        <v>0.65018554391792949</v>
      </c>
      <c r="AG216" s="116" t="e">
        <f t="shared" si="668"/>
        <v>#DIV/0!</v>
      </c>
      <c r="AH216" s="21">
        <f t="shared" si="685"/>
        <v>0.05</v>
      </c>
      <c r="AI216" s="158" t="e">
        <f>(AI203)/($O$2*100)</f>
        <v>#DIV/0!</v>
      </c>
    </row>
    <row r="217" spans="2:35">
      <c r="B217" s="10" t="s">
        <v>423</v>
      </c>
      <c r="C217" s="129"/>
      <c r="D217" s="129"/>
      <c r="E217" s="129"/>
      <c r="F217" s="129"/>
      <c r="G217" s="129">
        <f t="shared" ref="G217" si="690">G216-1</f>
        <v>-1.0219638242894056</v>
      </c>
      <c r="H217" s="129" t="e">
        <f t="shared" ref="H217:I217" si="691">H216-1</f>
        <v>#DIV/0!</v>
      </c>
      <c r="I217" s="129" t="e">
        <f t="shared" si="691"/>
        <v>#DIV/0!</v>
      </c>
      <c r="J217" s="129" t="e">
        <f t="shared" ref="J217:S217" si="692">J216-1</f>
        <v>#DIV/0!</v>
      </c>
      <c r="K217" s="129" t="e">
        <f t="shared" si="692"/>
        <v>#DIV/0!</v>
      </c>
      <c r="L217" s="129" t="e">
        <f t="shared" si="692"/>
        <v>#DIV/0!</v>
      </c>
      <c r="M217" s="129" t="e">
        <f t="shared" si="692"/>
        <v>#DIV/0!</v>
      </c>
      <c r="N217" s="129" t="e">
        <f t="shared" si="692"/>
        <v>#DIV/0!</v>
      </c>
      <c r="O217" s="129" t="e">
        <f t="shared" si="692"/>
        <v>#DIV/0!</v>
      </c>
      <c r="P217" s="129" t="e">
        <f t="shared" si="692"/>
        <v>#DIV/0!</v>
      </c>
      <c r="Q217" s="129" t="e">
        <f t="shared" si="692"/>
        <v>#DIV/0!</v>
      </c>
      <c r="R217" s="129">
        <f t="shared" si="692"/>
        <v>-1.0219638242894056</v>
      </c>
      <c r="S217" s="129">
        <f t="shared" si="692"/>
        <v>1.9250268240343349</v>
      </c>
      <c r="T217" s="129">
        <f>T216-1</f>
        <v>0.52477919528949957</v>
      </c>
      <c r="U217" s="101" t="e">
        <f t="shared" si="621"/>
        <v>#DIV/0!</v>
      </c>
      <c r="V217" s="110"/>
      <c r="W217" s="129">
        <f t="shared" ref="W217:AF217" si="693">W216-1</f>
        <v>0.2623983597364361</v>
      </c>
      <c r="X217" s="129">
        <f t="shared" si="693"/>
        <v>0.17267790488373924</v>
      </c>
      <c r="Y217" s="129">
        <f t="shared" si="693"/>
        <v>8.9334010929502439E-2</v>
      </c>
      <c r="Z217" s="129">
        <f t="shared" si="693"/>
        <v>1.1913486581298205E-2</v>
      </c>
      <c r="AA217" s="129">
        <f t="shared" si="693"/>
        <v>-6.0004650500730006E-2</v>
      </c>
      <c r="AB217" s="129">
        <f t="shared" si="693"/>
        <v>-0.12681146284014222</v>
      </c>
      <c r="AC217" s="129">
        <f t="shared" si="693"/>
        <v>-0.18887021958828931</v>
      </c>
      <c r="AD217" s="129">
        <f t="shared" si="693"/>
        <v>-0.24651837183897884</v>
      </c>
      <c r="AE217" s="129">
        <f t="shared" si="693"/>
        <v>-0.30006938755470858</v>
      </c>
      <c r="AF217" s="129">
        <f t="shared" si="693"/>
        <v>-0.34981445608207051</v>
      </c>
      <c r="AG217" s="116" t="e">
        <f t="shared" ref="AG217" si="694">((AF217/J217)^(1/($AF$3-$K$1) ))-1</f>
        <v>#DIV/0!</v>
      </c>
      <c r="AH217" s="21">
        <f t="shared" si="685"/>
        <v>0.05</v>
      </c>
      <c r="AI217" s="158" t="e">
        <f>(AI204)/($O$2*100)</f>
        <v>#DIV/0!</v>
      </c>
    </row>
    <row r="218" spans="2:35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10"/>
      <c r="V218" s="110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13"/>
      <c r="AG218" s="115"/>
      <c r="AH218" s="10"/>
      <c r="AI218" s="109"/>
    </row>
    <row r="219" spans="2:35">
      <c r="B219" s="10" t="s">
        <v>399</v>
      </c>
      <c r="C219" s="129"/>
      <c r="D219" s="129"/>
      <c r="E219" s="129"/>
      <c r="F219" s="129"/>
      <c r="G219" s="129">
        <f t="shared" ref="G219:S219" si="695">1/G220</f>
        <v>4.5854093849929355E-3</v>
      </c>
      <c r="H219" s="129">
        <f t="shared" si="695"/>
        <v>6.4959966287399919E-3</v>
      </c>
      <c r="I219" s="129" t="e">
        <f t="shared" si="695"/>
        <v>#DIV/0!</v>
      </c>
      <c r="J219" s="129" t="e">
        <f t="shared" si="695"/>
        <v>#DIV/0!</v>
      </c>
      <c r="K219" s="129" t="e">
        <f t="shared" si="695"/>
        <v>#DIV/0!</v>
      </c>
      <c r="L219" s="129" t="e">
        <f t="shared" si="695"/>
        <v>#DIV/0!</v>
      </c>
      <c r="M219" s="129" t="e">
        <f t="shared" si="695"/>
        <v>#DIV/0!</v>
      </c>
      <c r="N219" s="129" t="e">
        <f t="shared" si="695"/>
        <v>#DIV/0!</v>
      </c>
      <c r="O219" s="129" t="e">
        <f t="shared" si="695"/>
        <v>#DIV/0!</v>
      </c>
      <c r="P219" s="129" t="e">
        <f t="shared" si="695"/>
        <v>#DIV/0!</v>
      </c>
      <c r="Q219" s="129" t="e">
        <f t="shared" si="695"/>
        <v>#DIV/0!</v>
      </c>
      <c r="R219" s="129">
        <f t="shared" si="695"/>
        <v>4.5854093849929355E-3</v>
      </c>
      <c r="S219" s="129">
        <f t="shared" si="695"/>
        <v>6.4623386151195766E-3</v>
      </c>
      <c r="T219" s="129">
        <f>1/T220</f>
        <v>5.6692334214458098E-3</v>
      </c>
      <c r="U219" s="101">
        <f t="shared" si="621"/>
        <v>-1.0417068288961162E-2</v>
      </c>
      <c r="V219" s="110"/>
      <c r="W219" s="129">
        <f t="shared" ref="W219:AF219" si="696">1/W220</f>
        <v>6.2361567635903919E-3</v>
      </c>
      <c r="X219" s="129">
        <f t="shared" si="696"/>
        <v>6.1138791799905797E-3</v>
      </c>
      <c r="Y219" s="129">
        <f t="shared" si="696"/>
        <v>5.9939991960691955E-3</v>
      </c>
      <c r="Z219" s="129">
        <f t="shared" si="696"/>
        <v>5.8764698000678389E-3</v>
      </c>
      <c r="AA219" s="129">
        <f t="shared" si="696"/>
        <v>5.7612449020272936E-3</v>
      </c>
      <c r="AB219" s="129">
        <f t="shared" si="696"/>
        <v>5.6482793157130321E-3</v>
      </c>
      <c r="AC219" s="129">
        <f t="shared" si="696"/>
        <v>5.5375287408951299E-3</v>
      </c>
      <c r="AD219" s="129">
        <f t="shared" si="696"/>
        <v>5.4289497459756178E-3</v>
      </c>
      <c r="AE219" s="129">
        <f t="shared" si="696"/>
        <v>5.3224997509564876E-3</v>
      </c>
      <c r="AF219" s="129">
        <f t="shared" si="696"/>
        <v>5.2181370107416544E-3</v>
      </c>
      <c r="AG219" s="116" t="e">
        <f t="shared" ref="AG219" si="697">((AF219/J219)^(1/($AF$3-$K$1) ))-1</f>
        <v>#DIV/0!</v>
      </c>
      <c r="AH219" s="21">
        <f t="shared" ref="AH219:AH222" si="698">$O$1</f>
        <v>0.05</v>
      </c>
      <c r="AI219" s="158" t="e">
        <f>(AI206)/($O$2*100)</f>
        <v>#DIV/0!</v>
      </c>
    </row>
    <row r="220" spans="2:35">
      <c r="B220" s="10" t="s">
        <v>400</v>
      </c>
      <c r="C220" s="111"/>
      <c r="D220" s="111"/>
      <c r="E220" s="111"/>
      <c r="F220" s="111"/>
      <c r="G220" s="113">
        <f t="shared" ref="G220" si="699">G201/$V$170</f>
        <v>218.08303600389232</v>
      </c>
      <c r="H220" s="113">
        <f t="shared" ref="H220:I220" si="700">H201/$V$170</f>
        <v>153.94096659098281</v>
      </c>
      <c r="I220" s="113">
        <f t="shared" si="700"/>
        <v>0</v>
      </c>
      <c r="J220" s="113">
        <f t="shared" ref="J220:T220" si="701">J201/$V$170</f>
        <v>0</v>
      </c>
      <c r="K220" s="113">
        <f t="shared" si="701"/>
        <v>0</v>
      </c>
      <c r="L220" s="113">
        <f t="shared" si="701"/>
        <v>0</v>
      </c>
      <c r="M220" s="113">
        <f t="shared" si="701"/>
        <v>0</v>
      </c>
      <c r="N220" s="113">
        <f t="shared" si="701"/>
        <v>0</v>
      </c>
      <c r="O220" s="113">
        <f t="shared" si="701"/>
        <v>0</v>
      </c>
      <c r="P220" s="113">
        <f t="shared" si="701"/>
        <v>0</v>
      </c>
      <c r="Q220" s="113">
        <f t="shared" si="701"/>
        <v>0</v>
      </c>
      <c r="R220" s="113">
        <f t="shared" si="701"/>
        <v>218.08303600389232</v>
      </c>
      <c r="S220" s="113">
        <f t="shared" si="701"/>
        <v>154.74274245864419</v>
      </c>
      <c r="T220" s="113">
        <f t="shared" si="701"/>
        <v>176.39069088550116</v>
      </c>
      <c r="U220" s="101">
        <f t="shared" si="621"/>
        <v>1.0526725911641943E-2</v>
      </c>
      <c r="V220" s="110"/>
      <c r="W220" s="113">
        <f t="shared" ref="W220:AF220" si="702">W201/$V$170</f>
        <v>160.35517353227377</v>
      </c>
      <c r="X220" s="113">
        <f t="shared" si="702"/>
        <v>163.56227700291925</v>
      </c>
      <c r="Y220" s="113">
        <f t="shared" si="702"/>
        <v>166.83352254297765</v>
      </c>
      <c r="Z220" s="113">
        <f t="shared" si="702"/>
        <v>170.17019299383719</v>
      </c>
      <c r="AA220" s="113">
        <f t="shared" si="702"/>
        <v>173.57359685371392</v>
      </c>
      <c r="AB220" s="113">
        <f t="shared" si="702"/>
        <v>177.04506879078824</v>
      </c>
      <c r="AC220" s="113">
        <f t="shared" si="702"/>
        <v>180.58597016660397</v>
      </c>
      <c r="AD220" s="113">
        <f t="shared" si="702"/>
        <v>184.19768956993605</v>
      </c>
      <c r="AE220" s="113">
        <f t="shared" si="702"/>
        <v>187.8816433613348</v>
      </c>
      <c r="AF220" s="113">
        <f t="shared" si="702"/>
        <v>191.63927622856147</v>
      </c>
      <c r="AG220" s="116" t="e">
        <f t="shared" ref="AG220:AG222" si="703">((AF220/J220)^(1/($AF$3-$K$1) ))-1</f>
        <v>#DIV/0!</v>
      </c>
      <c r="AH220" s="21">
        <f t="shared" si="698"/>
        <v>0.05</v>
      </c>
      <c r="AI220" s="158" t="e">
        <f>(AI206)/($O$2*100)</f>
        <v>#DIV/0!</v>
      </c>
    </row>
    <row r="221" spans="2:35">
      <c r="B221" s="10" t="s">
        <v>422</v>
      </c>
      <c r="C221" s="111"/>
      <c r="D221" s="111"/>
      <c r="E221" s="111"/>
      <c r="F221" s="111"/>
      <c r="G221" s="158">
        <f t="shared" ref="G221" si="704">(G220)/($O$2*100)</f>
        <v>18.173586333657692</v>
      </c>
      <c r="H221" s="158">
        <f t="shared" ref="H221:I221" si="705">(H220)/($O$2*100)</f>
        <v>12.8284138825819</v>
      </c>
      <c r="I221" s="158">
        <f t="shared" si="705"/>
        <v>0</v>
      </c>
      <c r="J221" s="158">
        <f t="shared" ref="J221:T221" si="706">(J220)/($O$2*100)</f>
        <v>0</v>
      </c>
      <c r="K221" s="158">
        <f t="shared" si="706"/>
        <v>0</v>
      </c>
      <c r="L221" s="158">
        <f t="shared" si="706"/>
        <v>0</v>
      </c>
      <c r="M221" s="158">
        <f t="shared" si="706"/>
        <v>0</v>
      </c>
      <c r="N221" s="158">
        <f t="shared" si="706"/>
        <v>0</v>
      </c>
      <c r="O221" s="158">
        <f t="shared" si="706"/>
        <v>0</v>
      </c>
      <c r="P221" s="158">
        <f t="shared" si="706"/>
        <v>0</v>
      </c>
      <c r="Q221" s="158">
        <f t="shared" si="706"/>
        <v>0</v>
      </c>
      <c r="R221" s="158">
        <f t="shared" si="706"/>
        <v>18.173586333657692</v>
      </c>
      <c r="S221" s="158">
        <f t="shared" si="706"/>
        <v>12.89522853822035</v>
      </c>
      <c r="T221" s="158">
        <f t="shared" si="706"/>
        <v>14.699224240458429</v>
      </c>
      <c r="U221" s="101">
        <f t="shared" si="621"/>
        <v>1.0526725911641943E-2</v>
      </c>
      <c r="V221" s="110"/>
      <c r="W221" s="158">
        <f t="shared" ref="W221:AF221" si="707">(W220)/($O$2*100)</f>
        <v>13.36293112768948</v>
      </c>
      <c r="X221" s="158">
        <f t="shared" si="707"/>
        <v>13.63018975024327</v>
      </c>
      <c r="Y221" s="158">
        <f t="shared" si="707"/>
        <v>13.902793545248137</v>
      </c>
      <c r="Z221" s="158">
        <f t="shared" si="707"/>
        <v>14.1808494161531</v>
      </c>
      <c r="AA221" s="158">
        <f t="shared" si="707"/>
        <v>14.464466404476161</v>
      </c>
      <c r="AB221" s="158">
        <f t="shared" si="707"/>
        <v>14.753755732565686</v>
      </c>
      <c r="AC221" s="158">
        <f t="shared" si="707"/>
        <v>15.048830847216998</v>
      </c>
      <c r="AD221" s="158">
        <f t="shared" si="707"/>
        <v>15.349807464161337</v>
      </c>
      <c r="AE221" s="158">
        <f t="shared" si="707"/>
        <v>15.656803613444566</v>
      </c>
      <c r="AF221" s="158">
        <f t="shared" si="707"/>
        <v>15.969939685713456</v>
      </c>
      <c r="AG221" s="116" t="e">
        <f t="shared" si="703"/>
        <v>#DIV/0!</v>
      </c>
      <c r="AH221" s="21">
        <f t="shared" si="698"/>
        <v>0.05</v>
      </c>
      <c r="AI221" s="158" t="e">
        <f>(AI207)/($O$2*100)</f>
        <v>#DIV/0!</v>
      </c>
    </row>
    <row r="222" spans="2:35">
      <c r="B222" s="10" t="s">
        <v>424</v>
      </c>
      <c r="C222" s="111"/>
      <c r="D222" s="111"/>
      <c r="E222" s="111"/>
      <c r="F222" s="111"/>
      <c r="G222" s="129">
        <f t="shared" ref="G222" si="708">G221-1</f>
        <v>17.173586333657692</v>
      </c>
      <c r="H222" s="129">
        <f t="shared" ref="H222:I222" si="709">H221-1</f>
        <v>11.8284138825819</v>
      </c>
      <c r="I222" s="129">
        <f t="shared" si="709"/>
        <v>-1</v>
      </c>
      <c r="J222" s="129">
        <f t="shared" ref="J222:T222" si="710">J221-1</f>
        <v>-1</v>
      </c>
      <c r="K222" s="129">
        <f t="shared" si="710"/>
        <v>-1</v>
      </c>
      <c r="L222" s="129">
        <f t="shared" si="710"/>
        <v>-1</v>
      </c>
      <c r="M222" s="129">
        <f t="shared" si="710"/>
        <v>-1</v>
      </c>
      <c r="N222" s="129">
        <f t="shared" si="710"/>
        <v>-1</v>
      </c>
      <c r="O222" s="129">
        <f t="shared" si="710"/>
        <v>-1</v>
      </c>
      <c r="P222" s="129">
        <f t="shared" si="710"/>
        <v>-1</v>
      </c>
      <c r="Q222" s="129">
        <f t="shared" si="710"/>
        <v>-1</v>
      </c>
      <c r="R222" s="129">
        <f t="shared" si="710"/>
        <v>17.173586333657692</v>
      </c>
      <c r="S222" s="129">
        <f t="shared" si="710"/>
        <v>11.89522853822035</v>
      </c>
      <c r="T222" s="129">
        <f t="shared" si="710"/>
        <v>13.699224240458429</v>
      </c>
      <c r="U222" s="101">
        <f t="shared" si="621"/>
        <v>1.1358999272292891E-2</v>
      </c>
      <c r="V222" s="110"/>
      <c r="W222" s="129">
        <f t="shared" ref="W222:AF222" si="711">W221-1</f>
        <v>12.36293112768948</v>
      </c>
      <c r="X222" s="129">
        <f t="shared" si="711"/>
        <v>12.63018975024327</v>
      </c>
      <c r="Y222" s="129">
        <f t="shared" si="711"/>
        <v>12.902793545248137</v>
      </c>
      <c r="Z222" s="129">
        <f t="shared" si="711"/>
        <v>13.1808494161531</v>
      </c>
      <c r="AA222" s="129">
        <f t="shared" si="711"/>
        <v>13.464466404476161</v>
      </c>
      <c r="AB222" s="129">
        <f t="shared" si="711"/>
        <v>13.753755732565686</v>
      </c>
      <c r="AC222" s="129">
        <f t="shared" si="711"/>
        <v>14.048830847216998</v>
      </c>
      <c r="AD222" s="129">
        <f t="shared" si="711"/>
        <v>14.349807464161337</v>
      </c>
      <c r="AE222" s="129">
        <f t="shared" si="711"/>
        <v>14.656803613444566</v>
      </c>
      <c r="AF222" s="129">
        <f t="shared" si="711"/>
        <v>14.969939685713456</v>
      </c>
      <c r="AG222" s="116">
        <f t="shared" si="703"/>
        <v>-2.1248549503508078</v>
      </c>
      <c r="AH222" s="21">
        <f t="shared" si="698"/>
        <v>0.05</v>
      </c>
      <c r="AI222" s="158" t="e">
        <f>(AI208)/($O$2*100)</f>
        <v>#DIV/0!</v>
      </c>
    </row>
    <row r="223" spans="2:35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0"/>
      <c r="V223" s="110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5"/>
      <c r="AH223" s="10"/>
      <c r="AI223" s="10"/>
    </row>
    <row r="224" spans="2:35">
      <c r="B224" s="10" t="s">
        <v>399</v>
      </c>
      <c r="C224" s="111"/>
      <c r="D224" s="111"/>
      <c r="E224" s="111"/>
      <c r="F224" s="111"/>
      <c r="G224" s="129">
        <f t="shared" ref="G224:T224" si="712">1/G225</f>
        <v>1.286153045288912E-2</v>
      </c>
      <c r="H224" s="129">
        <f t="shared" si="712"/>
        <v>1.8220501474926255E-2</v>
      </c>
      <c r="I224" s="129" t="e">
        <f t="shared" si="712"/>
        <v>#DIV/0!</v>
      </c>
      <c r="J224" s="129" t="e">
        <f t="shared" si="712"/>
        <v>#DIV/0!</v>
      </c>
      <c r="K224" s="129" t="e">
        <f t="shared" si="712"/>
        <v>#DIV/0!</v>
      </c>
      <c r="L224" s="129" t="e">
        <f t="shared" si="712"/>
        <v>#DIV/0!</v>
      </c>
      <c r="M224" s="129" t="e">
        <f t="shared" si="712"/>
        <v>#DIV/0!</v>
      </c>
      <c r="N224" s="129" t="e">
        <f t="shared" si="712"/>
        <v>#DIV/0!</v>
      </c>
      <c r="O224" s="129" t="e">
        <f t="shared" si="712"/>
        <v>#DIV/0!</v>
      </c>
      <c r="P224" s="129" t="e">
        <f t="shared" si="712"/>
        <v>#DIV/0!</v>
      </c>
      <c r="Q224" s="129" t="e">
        <f t="shared" si="712"/>
        <v>#DIV/0!</v>
      </c>
      <c r="R224" s="129">
        <f t="shared" si="712"/>
        <v>1.286153045288912E-2</v>
      </c>
      <c r="S224" s="129">
        <f t="shared" si="712"/>
        <v>1.8126094731532854E-2</v>
      </c>
      <c r="T224" s="129">
        <f t="shared" si="712"/>
        <v>1.5901528559935638E-2</v>
      </c>
      <c r="U224" s="101">
        <f t="shared" si="621"/>
        <v>-1.0417068288961162E-2</v>
      </c>
      <c r="V224" s="110"/>
      <c r="W224" s="129">
        <f t="shared" ref="W224:AF224" si="713">1/W225</f>
        <v>1.7491681415929203E-2</v>
      </c>
      <c r="X224" s="129">
        <f t="shared" si="713"/>
        <v>1.7148707270518829E-2</v>
      </c>
      <c r="Y224" s="129">
        <f t="shared" si="713"/>
        <v>1.6812458108351788E-2</v>
      </c>
      <c r="Z224" s="129">
        <f t="shared" si="713"/>
        <v>1.6482802067011561E-2</v>
      </c>
      <c r="AA224" s="129">
        <f t="shared" si="713"/>
        <v>1.6159609869619177E-2</v>
      </c>
      <c r="AB224" s="129">
        <f t="shared" si="713"/>
        <v>1.5842754774136446E-2</v>
      </c>
      <c r="AC224" s="129">
        <f t="shared" si="713"/>
        <v>1.5532112523663181E-2</v>
      </c>
      <c r="AD224" s="129">
        <f t="shared" si="713"/>
        <v>1.5227561297709004E-2</v>
      </c>
      <c r="AE224" s="129">
        <f t="shared" si="713"/>
        <v>1.4928981664420592E-2</v>
      </c>
      <c r="AF224" s="129">
        <f t="shared" si="713"/>
        <v>1.4636256533745676E-2</v>
      </c>
      <c r="AG224" s="116" t="e">
        <f t="shared" ref="AG224" si="714">((AF224/J224)^(1/($AF$3-$K$1) ))-1</f>
        <v>#DIV/0!</v>
      </c>
      <c r="AH224" s="21">
        <f t="shared" ref="AH224" si="715">$O$1</f>
        <v>0.05</v>
      </c>
      <c r="AI224" s="158">
        <f>(AI210)/($O$2*100)</f>
        <v>0</v>
      </c>
    </row>
    <row r="225" spans="2:35">
      <c r="B225" s="10" t="s">
        <v>401</v>
      </c>
      <c r="C225" s="111"/>
      <c r="D225" s="111"/>
      <c r="E225" s="111"/>
      <c r="F225" s="111"/>
      <c r="G225" s="113">
        <f t="shared" ref="G225" si="716">G201/$T$170</f>
        <v>77.751244586554421</v>
      </c>
      <c r="H225" s="113">
        <f t="shared" ref="H225:I225" si="717">H201/$T$170</f>
        <v>54.883231472861944</v>
      </c>
      <c r="I225" s="113">
        <f t="shared" si="717"/>
        <v>0</v>
      </c>
      <c r="J225" s="113">
        <f t="shared" ref="J225:S225" si="718">J201/$T$170</f>
        <v>0</v>
      </c>
      <c r="K225" s="113">
        <f t="shared" si="718"/>
        <v>0</v>
      </c>
      <c r="L225" s="113">
        <f t="shared" si="718"/>
        <v>0</v>
      </c>
      <c r="M225" s="113">
        <f t="shared" si="718"/>
        <v>0</v>
      </c>
      <c r="N225" s="113">
        <f t="shared" si="718"/>
        <v>0</v>
      </c>
      <c r="O225" s="113">
        <f t="shared" si="718"/>
        <v>0</v>
      </c>
      <c r="P225" s="113">
        <f t="shared" si="718"/>
        <v>0</v>
      </c>
      <c r="Q225" s="113">
        <f t="shared" si="718"/>
        <v>0</v>
      </c>
      <c r="R225" s="113">
        <f t="shared" si="718"/>
        <v>77.751244586554421</v>
      </c>
      <c r="S225" s="113">
        <f t="shared" si="718"/>
        <v>55.169081636783098</v>
      </c>
      <c r="T225" s="113">
        <f>T201/$T$170</f>
        <v>62.88703606265431</v>
      </c>
      <c r="U225" s="101">
        <f t="shared" si="621"/>
        <v>1.0526725911641943E-2</v>
      </c>
      <c r="V225" s="110"/>
      <c r="W225" s="113">
        <f t="shared" ref="W225:AF225" si="719">W201/$T$170</f>
        <v>57.170032784231189</v>
      </c>
      <c r="X225" s="113">
        <f t="shared" si="719"/>
        <v>58.313433439915812</v>
      </c>
      <c r="Y225" s="113">
        <f t="shared" si="719"/>
        <v>59.479702108714136</v>
      </c>
      <c r="Z225" s="113">
        <f t="shared" si="719"/>
        <v>60.669296150888414</v>
      </c>
      <c r="AA225" s="113">
        <f t="shared" si="719"/>
        <v>61.882682073906182</v>
      </c>
      <c r="AB225" s="113">
        <f t="shared" si="719"/>
        <v>63.120335715384314</v>
      </c>
      <c r="AC225" s="113">
        <f t="shared" si="719"/>
        <v>64.382742429692001</v>
      </c>
      <c r="AD225" s="113">
        <f t="shared" si="719"/>
        <v>65.670397278285833</v>
      </c>
      <c r="AE225" s="113">
        <f t="shared" si="719"/>
        <v>66.983805223851547</v>
      </c>
      <c r="AF225" s="113">
        <f t="shared" si="719"/>
        <v>68.323481328328583</v>
      </c>
      <c r="AG225" s="116" t="e">
        <f t="shared" ref="AG225:AG227" si="720">((AF225/J225)^(1/($AF$3-$K$1) ))-1</f>
        <v>#DIV/0!</v>
      </c>
      <c r="AH225" s="21">
        <f t="shared" ref="AH225:AH227" si="721">$O$1</f>
        <v>0.05</v>
      </c>
      <c r="AI225" s="158">
        <f>(AI210)/($O$2*100)</f>
        <v>0</v>
      </c>
    </row>
    <row r="226" spans="2:35">
      <c r="B226" s="10" t="s">
        <v>422</v>
      </c>
      <c r="C226" s="111"/>
      <c r="D226" s="111"/>
      <c r="E226" s="111"/>
      <c r="F226" s="111"/>
      <c r="G226" s="158">
        <f t="shared" ref="G226" si="722">(G225)/($O$2*100)</f>
        <v>6.4792703822128681</v>
      </c>
      <c r="H226" s="158">
        <f t="shared" ref="H226:I226" si="723">(H225)/($O$2*100)</f>
        <v>4.5736026227384956</v>
      </c>
      <c r="I226" s="158">
        <f t="shared" si="723"/>
        <v>0</v>
      </c>
      <c r="J226" s="158">
        <f t="shared" ref="J226:T226" si="724">(J225)/($O$2*100)</f>
        <v>0</v>
      </c>
      <c r="K226" s="158">
        <f t="shared" si="724"/>
        <v>0</v>
      </c>
      <c r="L226" s="158">
        <f t="shared" si="724"/>
        <v>0</v>
      </c>
      <c r="M226" s="158">
        <f t="shared" si="724"/>
        <v>0</v>
      </c>
      <c r="N226" s="158">
        <f t="shared" si="724"/>
        <v>0</v>
      </c>
      <c r="O226" s="158">
        <f t="shared" si="724"/>
        <v>0</v>
      </c>
      <c r="P226" s="158">
        <f t="shared" si="724"/>
        <v>0</v>
      </c>
      <c r="Q226" s="158">
        <f t="shared" si="724"/>
        <v>0</v>
      </c>
      <c r="R226" s="158">
        <f t="shared" si="724"/>
        <v>6.4792703822128681</v>
      </c>
      <c r="S226" s="158">
        <f t="shared" si="724"/>
        <v>4.5974234697319245</v>
      </c>
      <c r="T226" s="158">
        <f t="shared" si="724"/>
        <v>5.2405863385545262</v>
      </c>
      <c r="U226" s="101">
        <f t="shared" si="621"/>
        <v>1.0526725911641943E-2</v>
      </c>
      <c r="V226" s="110"/>
      <c r="W226" s="158">
        <f t="shared" ref="W226:AF226" si="725">(W225)/($O$2*100)</f>
        <v>4.7641693986859321</v>
      </c>
      <c r="X226" s="158">
        <f t="shared" si="725"/>
        <v>4.8594527866596513</v>
      </c>
      <c r="Y226" s="158">
        <f t="shared" si="725"/>
        <v>4.9566418423928447</v>
      </c>
      <c r="Z226" s="158">
        <f t="shared" si="725"/>
        <v>5.0557746792407015</v>
      </c>
      <c r="AA226" s="158">
        <f t="shared" si="725"/>
        <v>5.1568901728255154</v>
      </c>
      <c r="AB226" s="158">
        <f t="shared" si="725"/>
        <v>5.2600279762820259</v>
      </c>
      <c r="AC226" s="158">
        <f t="shared" si="725"/>
        <v>5.3652285358076668</v>
      </c>
      <c r="AD226" s="158">
        <f t="shared" si="725"/>
        <v>5.4725331065238194</v>
      </c>
      <c r="AE226" s="158">
        <f t="shared" si="725"/>
        <v>5.5819837686542959</v>
      </c>
      <c r="AF226" s="158">
        <f t="shared" si="725"/>
        <v>5.6936234440273816</v>
      </c>
      <c r="AG226" s="116" t="e">
        <f t="shared" si="720"/>
        <v>#DIV/0!</v>
      </c>
      <c r="AH226" s="21">
        <f t="shared" si="721"/>
        <v>0.05</v>
      </c>
      <c r="AI226" s="158" t="e">
        <f>(#REF!)/($O$2*100)</f>
        <v>#REF!</v>
      </c>
    </row>
    <row r="227" spans="2:35">
      <c r="B227" s="10" t="s">
        <v>424</v>
      </c>
      <c r="C227" s="111"/>
      <c r="D227" s="111"/>
      <c r="E227" s="111"/>
      <c r="F227" s="111"/>
      <c r="G227" s="129">
        <f t="shared" ref="G227" si="726">G226-1</f>
        <v>5.4792703822128681</v>
      </c>
      <c r="H227" s="129">
        <f t="shared" ref="H227:I227" si="727">H226-1</f>
        <v>3.5736026227384956</v>
      </c>
      <c r="I227" s="129">
        <f t="shared" si="727"/>
        <v>-1</v>
      </c>
      <c r="J227" s="129">
        <f t="shared" ref="J227:T227" si="728">J226-1</f>
        <v>-1</v>
      </c>
      <c r="K227" s="129">
        <f t="shared" si="728"/>
        <v>-1</v>
      </c>
      <c r="L227" s="129">
        <f t="shared" si="728"/>
        <v>-1</v>
      </c>
      <c r="M227" s="129">
        <f t="shared" si="728"/>
        <v>-1</v>
      </c>
      <c r="N227" s="129">
        <f t="shared" si="728"/>
        <v>-1</v>
      </c>
      <c r="O227" s="129">
        <f t="shared" si="728"/>
        <v>-1</v>
      </c>
      <c r="P227" s="129">
        <f t="shared" si="728"/>
        <v>-1</v>
      </c>
      <c r="Q227" s="129">
        <f t="shared" si="728"/>
        <v>-1</v>
      </c>
      <c r="R227" s="129">
        <f t="shared" si="728"/>
        <v>5.4792703822128681</v>
      </c>
      <c r="S227" s="129">
        <f t="shared" si="728"/>
        <v>3.5974234697319245</v>
      </c>
      <c r="T227" s="129">
        <f t="shared" si="728"/>
        <v>4.2405863385545262</v>
      </c>
      <c r="U227" s="101">
        <f t="shared" si="621"/>
        <v>1.3250662296291127E-2</v>
      </c>
      <c r="V227" s="110"/>
      <c r="W227" s="129">
        <f t="shared" ref="W227:AF227" si="729">W226-1</f>
        <v>3.7641693986859321</v>
      </c>
      <c r="X227" s="129">
        <f t="shared" si="729"/>
        <v>3.8594527866596513</v>
      </c>
      <c r="Y227" s="129">
        <f t="shared" si="729"/>
        <v>3.9566418423928447</v>
      </c>
      <c r="Z227" s="129">
        <f t="shared" si="729"/>
        <v>4.0557746792407015</v>
      </c>
      <c r="AA227" s="129">
        <f t="shared" si="729"/>
        <v>4.1568901728255154</v>
      </c>
      <c r="AB227" s="129">
        <f t="shared" si="729"/>
        <v>4.2600279762820259</v>
      </c>
      <c r="AC227" s="129">
        <f t="shared" si="729"/>
        <v>4.3652285358076668</v>
      </c>
      <c r="AD227" s="129">
        <f t="shared" si="729"/>
        <v>4.4725331065238194</v>
      </c>
      <c r="AE227" s="129">
        <f t="shared" si="729"/>
        <v>4.5819837686542959</v>
      </c>
      <c r="AF227" s="129">
        <f t="shared" si="729"/>
        <v>4.6936234440273816</v>
      </c>
      <c r="AG227" s="116">
        <f t="shared" si="720"/>
        <v>-2.0695374858917406</v>
      </c>
      <c r="AH227" s="21">
        <f t="shared" si="721"/>
        <v>0.05</v>
      </c>
      <c r="AI227" s="158" t="e">
        <f>(AI211)/($O$2*100)</f>
        <v>#DIV/0!</v>
      </c>
    </row>
    <row r="228" spans="2:35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0"/>
      <c r="V228" s="110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5"/>
      <c r="AH228" s="10"/>
      <c r="AI228" s="10"/>
    </row>
    <row r="229" spans="2:35">
      <c r="B229" s="10" t="s">
        <v>399</v>
      </c>
      <c r="C229" s="111"/>
      <c r="D229" s="111"/>
      <c r="E229" s="111"/>
      <c r="F229" s="111"/>
      <c r="G229" s="129">
        <f t="shared" ref="G229:S229" si="730">1/G230</f>
        <v>1.8810728106626724E-2</v>
      </c>
      <c r="H229" s="129">
        <f t="shared" si="730"/>
        <v>2.6648531484387856E-2</v>
      </c>
      <c r="I229" s="129" t="e">
        <f t="shared" si="730"/>
        <v>#DIV/0!</v>
      </c>
      <c r="J229" s="129" t="e">
        <f t="shared" si="730"/>
        <v>#DIV/0!</v>
      </c>
      <c r="K229" s="129" t="e">
        <f t="shared" si="730"/>
        <v>#DIV/0!</v>
      </c>
      <c r="L229" s="129" t="e">
        <f t="shared" si="730"/>
        <v>#DIV/0!</v>
      </c>
      <c r="M229" s="129" t="e">
        <f t="shared" si="730"/>
        <v>#DIV/0!</v>
      </c>
      <c r="N229" s="129" t="e">
        <f t="shared" si="730"/>
        <v>#DIV/0!</v>
      </c>
      <c r="O229" s="129" t="e">
        <f t="shared" si="730"/>
        <v>#DIV/0!</v>
      </c>
      <c r="P229" s="129" t="e">
        <f t="shared" si="730"/>
        <v>#DIV/0!</v>
      </c>
      <c r="Q229" s="129" t="e">
        <f t="shared" si="730"/>
        <v>#DIV/0!</v>
      </c>
      <c r="R229" s="129">
        <f t="shared" si="730"/>
        <v>1.8810728106626724E-2</v>
      </c>
      <c r="S229" s="129">
        <f t="shared" si="730"/>
        <v>2.6510456191722636E-2</v>
      </c>
      <c r="T229" s="129">
        <f>1/T230</f>
        <v>2.3256900204556674E-2</v>
      </c>
      <c r="U229" s="101">
        <f t="shared" ref="U229:U232" si="731">((T229/H229)^(1/($K$2-$K$1) ))-1</f>
        <v>-1.0417068288961162E-2</v>
      </c>
      <c r="V229" s="110"/>
      <c r="W229" s="129">
        <f t="shared" ref="W229:AF229" si="732">1/W230</f>
        <v>0.63897026215922226</v>
      </c>
      <c r="X229" s="129">
        <f t="shared" si="732"/>
        <v>0.68785726030212324</v>
      </c>
      <c r="Y229" s="129">
        <f t="shared" si="732"/>
        <v>0.74048455549632641</v>
      </c>
      <c r="Z229" s="129">
        <f t="shared" si="732"/>
        <v>0.79713831425979043</v>
      </c>
      <c r="AA229" s="129">
        <f t="shared" si="732"/>
        <v>0.85812659743460729</v>
      </c>
      <c r="AB229" s="129">
        <f t="shared" si="732"/>
        <v>0.92378103530061528</v>
      </c>
      <c r="AC229" s="129">
        <f t="shared" si="732"/>
        <v>0.9944586308503357</v>
      </c>
      <c r="AD229" s="129">
        <f t="shared" si="732"/>
        <v>1.0705437010307342</v>
      </c>
      <c r="AE229" s="129">
        <f t="shared" si="732"/>
        <v>1.1524499665075183</v>
      </c>
      <c r="AF229" s="129">
        <f t="shared" si="732"/>
        <v>1.2406228013152834</v>
      </c>
      <c r="AG229" s="116" t="e">
        <f t="shared" ref="AG229:AG232" si="733">((AF229/J229)^(1/($AF$3-$K$1) ))-1</f>
        <v>#DIV/0!</v>
      </c>
      <c r="AH229" s="21">
        <f t="shared" ref="AH229:AH232" si="734">$O$1</f>
        <v>0.05</v>
      </c>
      <c r="AI229" s="158" t="e">
        <f>(AI215)/($O$2*100)</f>
        <v>#DIV/0!</v>
      </c>
    </row>
    <row r="230" spans="2:35">
      <c r="B230" s="10" t="s">
        <v>496</v>
      </c>
      <c r="C230" s="111"/>
      <c r="D230" s="111"/>
      <c r="E230" s="111"/>
      <c r="F230" s="111"/>
      <c r="G230" s="113">
        <f t="shared" ref="G230" si="735">G201/$W$171</f>
        <v>53.161153270176492</v>
      </c>
      <c r="H230" s="113">
        <f t="shared" ref="H230:S230" si="736">H201/$W$171</f>
        <v>37.525519955418702</v>
      </c>
      <c r="I230" s="113">
        <f t="shared" si="736"/>
        <v>0</v>
      </c>
      <c r="J230" s="113">
        <f t="shared" si="736"/>
        <v>0</v>
      </c>
      <c r="K230" s="113">
        <f t="shared" si="736"/>
        <v>0</v>
      </c>
      <c r="L230" s="113">
        <f t="shared" si="736"/>
        <v>0</v>
      </c>
      <c r="M230" s="113">
        <f t="shared" si="736"/>
        <v>0</v>
      </c>
      <c r="N230" s="113">
        <f t="shared" si="736"/>
        <v>0</v>
      </c>
      <c r="O230" s="113">
        <f t="shared" si="736"/>
        <v>0</v>
      </c>
      <c r="P230" s="113">
        <f t="shared" si="736"/>
        <v>0</v>
      </c>
      <c r="Q230" s="113">
        <f t="shared" si="736"/>
        <v>0</v>
      </c>
      <c r="R230" s="113">
        <f t="shared" si="736"/>
        <v>53.161153270176492</v>
      </c>
      <c r="S230" s="113">
        <f t="shared" si="736"/>
        <v>37.720965371853168</v>
      </c>
      <c r="T230" s="113">
        <f>T201/$W$171</f>
        <v>42.997991615583928</v>
      </c>
      <c r="U230" s="101">
        <f t="shared" si="731"/>
        <v>1.0526725911641943E-2</v>
      </c>
      <c r="V230" s="110"/>
      <c r="W230" s="113">
        <f t="shared" ref="W230:AF230" si="737">W206/$T$170</f>
        <v>1.5650180598714847</v>
      </c>
      <c r="X230" s="113">
        <f t="shared" si="737"/>
        <v>1.4537899906163325</v>
      </c>
      <c r="Y230" s="113">
        <f t="shared" si="737"/>
        <v>1.3504670591403862</v>
      </c>
      <c r="Z230" s="113">
        <f t="shared" si="737"/>
        <v>1.2544874360086224</v>
      </c>
      <c r="AA230" s="113">
        <f t="shared" si="737"/>
        <v>1.1653292218065809</v>
      </c>
      <c r="AB230" s="113">
        <f t="shared" si="737"/>
        <v>1.082507609256756</v>
      </c>
      <c r="AC230" s="113">
        <f t="shared" si="737"/>
        <v>1.0055722470274364</v>
      </c>
      <c r="AD230" s="113">
        <f t="shared" si="737"/>
        <v>0.93410479089941523</v>
      </c>
      <c r="AE230" s="113">
        <f t="shared" si="737"/>
        <v>0.8677166289747783</v>
      </c>
      <c r="AF230" s="113">
        <f t="shared" si="737"/>
        <v>0.80604676855835644</v>
      </c>
      <c r="AG230" s="116" t="e">
        <f t="shared" si="733"/>
        <v>#DIV/0!</v>
      </c>
      <c r="AH230" s="21">
        <f t="shared" si="734"/>
        <v>0.05</v>
      </c>
      <c r="AI230" s="158" t="e">
        <f>(AI215)/($O$2*100)</f>
        <v>#DIV/0!</v>
      </c>
    </row>
    <row r="231" spans="2:35">
      <c r="B231" s="10" t="s">
        <v>422</v>
      </c>
      <c r="C231" s="111"/>
      <c r="D231" s="111"/>
      <c r="E231" s="111"/>
      <c r="F231" s="111"/>
      <c r="G231" s="158">
        <f t="shared" ref="G231" si="738">(G230)/($O$2*100)</f>
        <v>4.4300961058480413</v>
      </c>
      <c r="H231" s="158">
        <f t="shared" ref="H231:T231" si="739">(H230)/($O$2*100)</f>
        <v>3.1271266629515586</v>
      </c>
      <c r="I231" s="158">
        <f t="shared" si="739"/>
        <v>0</v>
      </c>
      <c r="J231" s="158">
        <f t="shared" si="739"/>
        <v>0</v>
      </c>
      <c r="K231" s="158">
        <f t="shared" si="739"/>
        <v>0</v>
      </c>
      <c r="L231" s="158">
        <f t="shared" si="739"/>
        <v>0</v>
      </c>
      <c r="M231" s="158">
        <f t="shared" si="739"/>
        <v>0</v>
      </c>
      <c r="N231" s="158">
        <f t="shared" si="739"/>
        <v>0</v>
      </c>
      <c r="O231" s="158">
        <f t="shared" si="739"/>
        <v>0</v>
      </c>
      <c r="P231" s="158">
        <f t="shared" si="739"/>
        <v>0</v>
      </c>
      <c r="Q231" s="158">
        <f t="shared" si="739"/>
        <v>0</v>
      </c>
      <c r="R231" s="158">
        <f t="shared" si="739"/>
        <v>4.4300961058480413</v>
      </c>
      <c r="S231" s="158">
        <f t="shared" si="739"/>
        <v>3.143413780987764</v>
      </c>
      <c r="T231" s="158">
        <f t="shared" si="739"/>
        <v>3.5831659679653272</v>
      </c>
      <c r="U231" s="101">
        <f t="shared" si="731"/>
        <v>1.0526725911641943E-2</v>
      </c>
      <c r="V231" s="110"/>
      <c r="W231" s="158">
        <f t="shared" ref="W231:AF231" si="740">(W230)/($O$2*100)</f>
        <v>0.13041817165595707</v>
      </c>
      <c r="X231" s="158">
        <f t="shared" si="740"/>
        <v>0.12114916588469438</v>
      </c>
      <c r="Y231" s="158">
        <f t="shared" si="740"/>
        <v>0.11253892159503219</v>
      </c>
      <c r="Z231" s="158">
        <f t="shared" si="740"/>
        <v>0.1045406196673852</v>
      </c>
      <c r="AA231" s="158">
        <f t="shared" si="740"/>
        <v>9.711076848388174E-2</v>
      </c>
      <c r="AB231" s="158">
        <f t="shared" si="740"/>
        <v>9.0208967438063004E-2</v>
      </c>
      <c r="AC231" s="158">
        <f t="shared" si="740"/>
        <v>8.3797687252286368E-2</v>
      </c>
      <c r="AD231" s="158">
        <f t="shared" si="740"/>
        <v>7.7842065908284602E-2</v>
      </c>
      <c r="AE231" s="158">
        <f t="shared" si="740"/>
        <v>7.230971908123153E-2</v>
      </c>
      <c r="AF231" s="158">
        <f t="shared" si="740"/>
        <v>6.7170564046529699E-2</v>
      </c>
      <c r="AG231" s="116" t="e">
        <f t="shared" si="733"/>
        <v>#DIV/0!</v>
      </c>
      <c r="AH231" s="21">
        <f t="shared" si="734"/>
        <v>0.05</v>
      </c>
      <c r="AI231" s="158" t="e">
        <f>(#REF!)/($O$2*100)</f>
        <v>#REF!</v>
      </c>
    </row>
    <row r="232" spans="2:35">
      <c r="B232" s="10" t="s">
        <v>424</v>
      </c>
      <c r="C232" s="111"/>
      <c r="D232" s="111"/>
      <c r="E232" s="111"/>
      <c r="F232" s="111"/>
      <c r="G232" s="129">
        <f t="shared" ref="G232" si="741">G231-1</f>
        <v>3.4300961058480413</v>
      </c>
      <c r="H232" s="129">
        <f t="shared" ref="H232:T232" si="742">H231-1</f>
        <v>2.1271266629515586</v>
      </c>
      <c r="I232" s="129">
        <f t="shared" si="742"/>
        <v>-1</v>
      </c>
      <c r="J232" s="129">
        <f t="shared" si="742"/>
        <v>-1</v>
      </c>
      <c r="K232" s="129">
        <f t="shared" si="742"/>
        <v>-1</v>
      </c>
      <c r="L232" s="129">
        <f t="shared" si="742"/>
        <v>-1</v>
      </c>
      <c r="M232" s="129">
        <f t="shared" si="742"/>
        <v>-1</v>
      </c>
      <c r="N232" s="129">
        <f t="shared" si="742"/>
        <v>-1</v>
      </c>
      <c r="O232" s="129">
        <f t="shared" si="742"/>
        <v>-1</v>
      </c>
      <c r="P232" s="129">
        <f t="shared" si="742"/>
        <v>-1</v>
      </c>
      <c r="Q232" s="129">
        <f t="shared" si="742"/>
        <v>-1</v>
      </c>
      <c r="R232" s="129">
        <f t="shared" si="742"/>
        <v>3.4300961058480413</v>
      </c>
      <c r="S232" s="129">
        <f t="shared" si="742"/>
        <v>2.143413780987764</v>
      </c>
      <c r="T232" s="129">
        <f t="shared" si="742"/>
        <v>2.5831659679653272</v>
      </c>
      <c r="U232" s="101">
        <f t="shared" si="731"/>
        <v>1.5054008735263524E-2</v>
      </c>
      <c r="V232" s="110"/>
      <c r="W232" s="129">
        <f t="shared" ref="W232:AF232" si="743">W231-1</f>
        <v>-0.86958182834404296</v>
      </c>
      <c r="X232" s="129">
        <f t="shared" si="743"/>
        <v>-0.87885083411530562</v>
      </c>
      <c r="Y232" s="129">
        <f t="shared" si="743"/>
        <v>-0.8874610784049678</v>
      </c>
      <c r="Z232" s="129">
        <f t="shared" si="743"/>
        <v>-0.89545938033261474</v>
      </c>
      <c r="AA232" s="129">
        <f t="shared" si="743"/>
        <v>-0.90288923151611822</v>
      </c>
      <c r="AB232" s="129">
        <f t="shared" si="743"/>
        <v>-0.90979103256193694</v>
      </c>
      <c r="AC232" s="129">
        <f t="shared" si="743"/>
        <v>-0.91620231274771369</v>
      </c>
      <c r="AD232" s="129">
        <f t="shared" si="743"/>
        <v>-0.92215793409171543</v>
      </c>
      <c r="AE232" s="129">
        <f t="shared" si="743"/>
        <v>-0.92769028091876848</v>
      </c>
      <c r="AF232" s="129">
        <f t="shared" si="743"/>
        <v>-0.93282943595347034</v>
      </c>
      <c r="AG232" s="116">
        <f t="shared" si="733"/>
        <v>-3.0186047074293176E-3</v>
      </c>
      <c r="AH232" s="21">
        <f t="shared" si="734"/>
        <v>0.05</v>
      </c>
      <c r="AI232" s="158" t="e">
        <f>(AI216)/($O$2*100)</f>
        <v>#DIV/0!</v>
      </c>
    </row>
    <row r="233" spans="2:35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0"/>
      <c r="V233" s="110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5"/>
      <c r="AH233" s="10"/>
      <c r="AI233" s="10"/>
    </row>
    <row r="234" spans="2:35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0"/>
      <c r="V234" s="110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5"/>
      <c r="AH234" s="10"/>
      <c r="AI234" s="10"/>
    </row>
    <row r="235" spans="2:35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0"/>
      <c r="V235" s="110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5"/>
      <c r="AH235" s="10"/>
      <c r="AI235" s="10"/>
    </row>
    <row r="236" spans="2:35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22" t="s">
        <v>296</v>
      </c>
      <c r="O236" s="323"/>
      <c r="P236" s="10"/>
      <c r="Q236" s="10"/>
      <c r="R236" s="10"/>
      <c r="S236" s="93" t="s">
        <v>375</v>
      </c>
      <c r="T236" s="93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15"/>
      <c r="AH236" s="10"/>
      <c r="AI236" s="10"/>
    </row>
    <row r="237" spans="2:35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(T201-V188)/T201</f>
        <v>1</v>
      </c>
      <c r="T237" s="110">
        <f>(T201-W188)/T201</f>
        <v>1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15"/>
      <c r="AH237" s="10"/>
      <c r="AI237" s="10"/>
    </row>
    <row r="238" spans="2:35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(S201-(N238*V179))/S201</f>
        <v>16.459662130882151</v>
      </c>
      <c r="Q238" s="10"/>
      <c r="R238" s="10"/>
      <c r="S238" s="110">
        <f>(T201-V179)/T201</f>
        <v>14.562339960273889</v>
      </c>
      <c r="T238" s="110">
        <f>(T201-W179)/T201</f>
        <v>2.8898342567594759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15"/>
      <c r="AH238" s="10"/>
      <c r="AI238" s="10"/>
    </row>
    <row r="239" spans="2:35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(S201-(N239*V172))/S201</f>
        <v>-1.7404432297995027</v>
      </c>
      <c r="Q239" s="10"/>
      <c r="R239" s="10"/>
      <c r="S239" s="110">
        <f>(T201-V172)/T201</f>
        <v>-1.4041161061422909</v>
      </c>
      <c r="T239" s="110">
        <f>(T201-W172)/T201</f>
        <v>0.66500021471787751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15"/>
      <c r="AH239" s="10"/>
      <c r="AI239" s="10"/>
    </row>
    <row r="240" spans="2:35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(S201-(N240*V185))/S201</f>
        <v>0.30903283304879553</v>
      </c>
      <c r="Q240" s="10"/>
      <c r="R240" s="10"/>
      <c r="S240" s="110">
        <f>(T201-V185)/T201</f>
        <v>0.39383334899280698</v>
      </c>
      <c r="T240" s="110">
        <f>(T201-W185)/T201</f>
        <v>0.91553415518752235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15"/>
      <c r="AH240" s="10"/>
      <c r="AI240" s="10"/>
    </row>
    <row r="241" spans="2:49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(S201-(N241*V198))/S201</f>
        <v>1</v>
      </c>
      <c r="Q241" s="10"/>
      <c r="R241" s="10"/>
      <c r="S241" s="110">
        <f>(T201-V198)/T201</f>
        <v>1</v>
      </c>
      <c r="T241" s="110">
        <f>(T201-W198)/T201</f>
        <v>1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15"/>
      <c r="AH241" s="10"/>
      <c r="AI241" s="10"/>
    </row>
    <row r="242" spans="2:49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T201/V171</f>
        <v>5.9915234218436613</v>
      </c>
      <c r="T242" s="15">
        <f>T201/W171</f>
        <v>42.997991615583928</v>
      </c>
      <c r="U242" s="10"/>
      <c r="V242" s="10"/>
      <c r="W242" s="98" t="s">
        <v>5</v>
      </c>
      <c r="X242" s="98" t="s">
        <v>6</v>
      </c>
      <c r="Y242" s="98" t="s">
        <v>7</v>
      </c>
      <c r="Z242" s="98" t="s">
        <v>8</v>
      </c>
      <c r="AA242" s="98" t="s">
        <v>9</v>
      </c>
      <c r="AB242" s="98" t="s">
        <v>192</v>
      </c>
      <c r="AC242" s="98" t="s">
        <v>193</v>
      </c>
      <c r="AD242" s="98" t="s">
        <v>194</v>
      </c>
      <c r="AE242" s="98" t="s">
        <v>195</v>
      </c>
      <c r="AF242" s="98" t="s">
        <v>196</v>
      </c>
      <c r="AG242" s="98" t="s">
        <v>352</v>
      </c>
      <c r="AH242" s="98" t="s">
        <v>353</v>
      </c>
      <c r="AI242" s="98" t="s">
        <v>354</v>
      </c>
      <c r="AJ242" s="98" t="s">
        <v>355</v>
      </c>
      <c r="AK242" s="98" t="s">
        <v>356</v>
      </c>
      <c r="AL242" s="98" t="s">
        <v>357</v>
      </c>
      <c r="AM242" s="98" t="s">
        <v>358</v>
      </c>
      <c r="AN242" s="98" t="s">
        <v>359</v>
      </c>
      <c r="AO242" s="98" t="s">
        <v>360</v>
      </c>
      <c r="AP242" s="98" t="s">
        <v>361</v>
      </c>
      <c r="AQ242" s="98" t="s">
        <v>362</v>
      </c>
      <c r="AR242" s="98" t="s">
        <v>363</v>
      </c>
      <c r="AS242" s="98" t="s">
        <v>364</v>
      </c>
      <c r="AT242" s="98" t="s">
        <v>365</v>
      </c>
      <c r="AU242" s="98" t="s">
        <v>366</v>
      </c>
      <c r="AV242" s="98" t="s">
        <v>367</v>
      </c>
      <c r="AW242" s="98" t="s">
        <v>368</v>
      </c>
    </row>
    <row r="243" spans="2:49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376</v>
      </c>
      <c r="K243" s="167"/>
      <c r="L243" s="166" t="s">
        <v>377</v>
      </c>
      <c r="M243" s="167"/>
      <c r="N243" s="10"/>
      <c r="O243" s="166" t="s">
        <v>378</v>
      </c>
      <c r="P243" s="167"/>
      <c r="Q243" s="166" t="s">
        <v>379</v>
      </c>
      <c r="R243" s="167"/>
      <c r="S243" s="129">
        <f>1/S242</f>
        <v>0.16690246029152439</v>
      </c>
      <c r="T243" s="129">
        <f>1/T242</f>
        <v>2.3256900204556674E-2</v>
      </c>
      <c r="U243" s="10"/>
      <c r="V243" s="10"/>
      <c r="W243" s="111" t="e">
        <f>T201-W244</f>
        <v>#DIV/0!</v>
      </c>
      <c r="X243" s="162" t="e">
        <f>W243-X244</f>
        <v>#DIV/0!</v>
      </c>
      <c r="Y243" s="162" t="e">
        <f t="shared" ref="Y243:AA243" si="744">X243-Y244</f>
        <v>#DIV/0!</v>
      </c>
      <c r="Z243" s="162" t="e">
        <f t="shared" si="744"/>
        <v>#DIV/0!</v>
      </c>
      <c r="AA243" s="162" t="e">
        <f t="shared" si="744"/>
        <v>#DIV/0!</v>
      </c>
      <c r="AB243" s="162" t="e">
        <f>AA243-AB244</f>
        <v>#DIV/0!</v>
      </c>
      <c r="AC243" s="162" t="e">
        <f t="shared" ref="AC243:AF243" si="745">AB243-AC244</f>
        <v>#DIV/0!</v>
      </c>
      <c r="AD243" s="162" t="e">
        <f t="shared" si="745"/>
        <v>#DIV/0!</v>
      </c>
      <c r="AE243" s="162" t="e">
        <f t="shared" si="745"/>
        <v>#DIV/0!</v>
      </c>
      <c r="AF243" s="162" t="e">
        <f t="shared" si="745"/>
        <v>#DIV/0!</v>
      </c>
      <c r="AG243" s="162" t="e">
        <f t="shared" ref="AG243" si="746">AF243-AG244</f>
        <v>#DIV/0!</v>
      </c>
      <c r="AH243" s="162" t="e">
        <f t="shared" ref="AH243" si="747">AG243-AH244</f>
        <v>#DIV/0!</v>
      </c>
      <c r="AI243" s="162" t="e">
        <f t="shared" ref="AI243" si="748">AH243-AI244</f>
        <v>#DIV/0!</v>
      </c>
      <c r="AJ243" s="162" t="e">
        <f t="shared" ref="AJ243" si="749">AI243-AJ244</f>
        <v>#DIV/0!</v>
      </c>
      <c r="AK243" s="162" t="e">
        <f t="shared" ref="AK243" si="750">AJ243-AK244</f>
        <v>#DIV/0!</v>
      </c>
      <c r="AL243" s="162" t="e">
        <f t="shared" ref="AL243" si="751">AK243-AL244</f>
        <v>#DIV/0!</v>
      </c>
      <c r="AM243" s="162" t="e">
        <f t="shared" ref="AM243" si="752">AL243-AM244</f>
        <v>#DIV/0!</v>
      </c>
      <c r="AN243" s="162" t="e">
        <f t="shared" ref="AN243" si="753">AM243-AN244</f>
        <v>#DIV/0!</v>
      </c>
      <c r="AO243" s="162" t="e">
        <f t="shared" ref="AO243" si="754">AN243-AO244</f>
        <v>#DIV/0!</v>
      </c>
      <c r="AP243" s="162" t="e">
        <f t="shared" ref="AP243" si="755">AO243-AP244</f>
        <v>#DIV/0!</v>
      </c>
      <c r="AQ243" s="162" t="e">
        <f t="shared" ref="AQ243" si="756">AP243-AQ244</f>
        <v>#DIV/0!</v>
      </c>
      <c r="AR243" s="162" t="e">
        <f t="shared" ref="AR243" si="757">AQ243-AR244</f>
        <v>#DIV/0!</v>
      </c>
      <c r="AS243" s="162" t="e">
        <f t="shared" ref="AS243" si="758">AR243-AS244</f>
        <v>#DIV/0!</v>
      </c>
      <c r="AT243" s="162" t="e">
        <f t="shared" ref="AT243" si="759">AS243-AT244</f>
        <v>#DIV/0!</v>
      </c>
      <c r="AU243" s="162" t="e">
        <f t="shared" ref="AU243" si="760">AT243-AU244</f>
        <v>#DIV/0!</v>
      </c>
      <c r="AV243" s="162" t="e">
        <f t="shared" ref="AV243" si="761">AU243-AV244</f>
        <v>#DIV/0!</v>
      </c>
      <c r="AW243" s="162" t="e">
        <f t="shared" ref="AW243" si="762">AV243-AW244</f>
        <v>#DIV/0!</v>
      </c>
    </row>
    <row r="244" spans="2:49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0.2</v>
      </c>
      <c r="O244" s="168">
        <v>0.12</v>
      </c>
      <c r="P244" s="167"/>
      <c r="Q244" s="168">
        <v>0.2</v>
      </c>
      <c r="R244" s="175" t="s">
        <v>231</v>
      </c>
      <c r="S244" s="158">
        <f>T201/V170</f>
        <v>176.39069088550116</v>
      </c>
      <c r="T244" s="158" t="s">
        <v>397</v>
      </c>
      <c r="U244" s="10"/>
      <c r="V244" s="10"/>
      <c r="W244" s="163" t="e">
        <f>U170*(1+$N$244)</f>
        <v>#DIV/0!</v>
      </c>
      <c r="X244" s="163" t="e">
        <f>W244*(1+$N$244)</f>
        <v>#DIV/0!</v>
      </c>
      <c r="Y244" s="163" t="e">
        <f t="shared" ref="Y244:AF244" si="763">X244*(1+$N$244)</f>
        <v>#DIV/0!</v>
      </c>
      <c r="Z244" s="163" t="e">
        <f t="shared" si="763"/>
        <v>#DIV/0!</v>
      </c>
      <c r="AA244" s="163" t="e">
        <f t="shared" si="763"/>
        <v>#DIV/0!</v>
      </c>
      <c r="AB244" s="163" t="e">
        <f t="shared" si="763"/>
        <v>#DIV/0!</v>
      </c>
      <c r="AC244" s="163" t="e">
        <f t="shared" si="763"/>
        <v>#DIV/0!</v>
      </c>
      <c r="AD244" s="163" t="e">
        <f t="shared" si="763"/>
        <v>#DIV/0!</v>
      </c>
      <c r="AE244" s="163" t="e">
        <f t="shared" si="763"/>
        <v>#DIV/0!</v>
      </c>
      <c r="AF244" s="163" t="e">
        <f t="shared" si="763"/>
        <v>#DIV/0!</v>
      </c>
      <c r="AG244" s="163" t="e">
        <f t="shared" ref="AG244" si="764">AF244*(1+$N$244)</f>
        <v>#DIV/0!</v>
      </c>
      <c r="AH244" s="163" t="e">
        <f t="shared" ref="AH244" si="765">AG244*(1+$N$244)</f>
        <v>#DIV/0!</v>
      </c>
      <c r="AI244" s="163" t="e">
        <f t="shared" ref="AI244" si="766">AH244*(1+$N$244)</f>
        <v>#DIV/0!</v>
      </c>
      <c r="AJ244" s="163" t="e">
        <f t="shared" ref="AJ244" si="767">AI244*(1+$N$244)</f>
        <v>#DIV/0!</v>
      </c>
      <c r="AK244" s="163" t="e">
        <f t="shared" ref="AK244" si="768">AJ244*(1+$N$244)</f>
        <v>#DIV/0!</v>
      </c>
      <c r="AL244" s="163" t="e">
        <f t="shared" ref="AL244" si="769">AK244*(1+$N$244)</f>
        <v>#DIV/0!</v>
      </c>
      <c r="AM244" s="163" t="e">
        <f t="shared" ref="AM244" si="770">AL244*(1+$N$244)</f>
        <v>#DIV/0!</v>
      </c>
      <c r="AN244" s="163" t="e">
        <f t="shared" ref="AN244" si="771">AM244*(1+$N$244)</f>
        <v>#DIV/0!</v>
      </c>
      <c r="AO244" s="163" t="e">
        <f t="shared" ref="AO244" si="772">AN244*(1+$N$244)</f>
        <v>#DIV/0!</v>
      </c>
      <c r="AP244" s="163" t="e">
        <f t="shared" ref="AP244" si="773">AO244*(1+$N$244)</f>
        <v>#DIV/0!</v>
      </c>
      <c r="AQ244" s="163" t="e">
        <f t="shared" ref="AQ244" si="774">AP244*(1+$N$244)</f>
        <v>#DIV/0!</v>
      </c>
      <c r="AR244" s="163" t="e">
        <f t="shared" ref="AR244" si="775">AQ244*(1+$N$244)</f>
        <v>#DIV/0!</v>
      </c>
      <c r="AS244" s="163" t="e">
        <f t="shared" ref="AS244" si="776">AR244*(1+$N$244)</f>
        <v>#DIV/0!</v>
      </c>
      <c r="AT244" s="163" t="e">
        <f t="shared" ref="AT244" si="777">AS244*(1+$N$244)</f>
        <v>#DIV/0!</v>
      </c>
      <c r="AU244" s="163" t="e">
        <f t="shared" ref="AU244" si="778">AT244*(1+$N$244)</f>
        <v>#DIV/0!</v>
      </c>
      <c r="AV244" s="163" t="e">
        <f t="shared" ref="AV244" si="779">AU244*(1+$N$244)</f>
        <v>#DIV/0!</v>
      </c>
      <c r="AW244" s="163" t="e">
        <f t="shared" ref="AW244" si="780">AV244*(1+$N$244)</f>
        <v>#DIV/0!</v>
      </c>
    </row>
    <row r="245" spans="2:49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18.297350343473994</v>
      </c>
      <c r="L245" s="168">
        <v>0.05</v>
      </c>
      <c r="M245" s="167"/>
      <c r="N245" s="161">
        <v>0.2</v>
      </c>
      <c r="O245" s="168">
        <v>0.12</v>
      </c>
      <c r="P245" s="167"/>
      <c r="Q245" s="168">
        <v>0.2</v>
      </c>
      <c r="R245" s="175" t="s">
        <v>396</v>
      </c>
      <c r="S245" s="158">
        <f>T201/T72</f>
        <v>18.297350343473994</v>
      </c>
      <c r="T245" s="158" t="s">
        <v>397</v>
      </c>
      <c r="U245" s="10"/>
      <c r="V245" s="10"/>
      <c r="W245" s="163">
        <f>T72*(1+$N$245)</f>
        <v>3.6070796460176986</v>
      </c>
      <c r="X245" s="163">
        <f>W245*(1+$N$245)</f>
        <v>4.328495575221238</v>
      </c>
      <c r="Y245" s="163">
        <f t="shared" ref="Y245:AF245" si="781">X245*(1+$N$245)</f>
        <v>5.1941946902654852</v>
      </c>
      <c r="Z245" s="163">
        <f t="shared" si="781"/>
        <v>6.2330336283185819</v>
      </c>
      <c r="AA245" s="163">
        <f t="shared" si="781"/>
        <v>7.4796403539822975</v>
      </c>
      <c r="AB245" s="163">
        <f t="shared" si="781"/>
        <v>8.975568424778757</v>
      </c>
      <c r="AC245" s="163">
        <f t="shared" si="781"/>
        <v>10.770682109734508</v>
      </c>
      <c r="AD245" s="163">
        <f t="shared" si="781"/>
        <v>12.92481853168141</v>
      </c>
      <c r="AE245" s="163">
        <f t="shared" si="781"/>
        <v>15.509782238017692</v>
      </c>
      <c r="AF245" s="163">
        <f t="shared" si="781"/>
        <v>18.61173868562123</v>
      </c>
      <c r="AG245" s="163">
        <f t="shared" ref="AG245" si="782">AF245*(1+$N$245)</f>
        <v>22.334086422745475</v>
      </c>
      <c r="AH245" s="163">
        <f t="shared" ref="AH245" si="783">AG245*(1+$N$245)</f>
        <v>26.80090370729457</v>
      </c>
      <c r="AI245" s="163">
        <f t="shared" ref="AI245" si="784">AH245*(1+$N$245)</f>
        <v>32.161084448753485</v>
      </c>
      <c r="AJ245" s="163">
        <f t="shared" ref="AJ245" si="785">AI245*(1+$N$245)</f>
        <v>38.593301338504183</v>
      </c>
      <c r="AK245" s="163">
        <f t="shared" ref="AK245" si="786">AJ245*(1+$N$245)</f>
        <v>46.311961606205017</v>
      </c>
      <c r="AL245" s="163">
        <f t="shared" ref="AL245" si="787">AK245*(1+$N$245)</f>
        <v>55.574353927446019</v>
      </c>
      <c r="AM245" s="163">
        <f t="shared" ref="AM245" si="788">AL245*(1+$N$245)</f>
        <v>66.689224712935214</v>
      </c>
      <c r="AN245" s="163">
        <f t="shared" ref="AN245" si="789">AM245*(1+$N$245)</f>
        <v>80.027069655522254</v>
      </c>
      <c r="AO245" s="163">
        <f t="shared" ref="AO245" si="790">AN245*(1+$N$245)</f>
        <v>96.032483586626697</v>
      </c>
      <c r="AP245" s="163">
        <f t="shared" ref="AP245" si="791">AO245*(1+$N$245)</f>
        <v>115.23898030395203</v>
      </c>
      <c r="AQ245" s="163">
        <f t="shared" ref="AQ245" si="792">AP245*(1+$N$245)</f>
        <v>138.28677636474242</v>
      </c>
      <c r="AR245" s="163">
        <f t="shared" ref="AR245" si="793">AQ245*(1+$N$245)</f>
        <v>165.9441316376909</v>
      </c>
      <c r="AS245" s="163">
        <f t="shared" ref="AS245" si="794">AR245*(1+$N$245)</f>
        <v>199.13295796522908</v>
      </c>
      <c r="AT245" s="163">
        <f t="shared" ref="AT245" si="795">AS245*(1+$N$245)</f>
        <v>238.95954955827489</v>
      </c>
      <c r="AU245" s="163">
        <f t="shared" ref="AU245" si="796">AT245*(1+$N$245)</f>
        <v>286.75145946992984</v>
      </c>
      <c r="AV245" s="163">
        <f t="shared" ref="AV245" si="797">AU245*(1+$N$245)</f>
        <v>344.10175136391581</v>
      </c>
      <c r="AW245" s="163">
        <f t="shared" ref="AW245" si="798">AV245*(1+$N$245)</f>
        <v>412.92210163669898</v>
      </c>
    </row>
    <row r="246" spans="2:49">
      <c r="B246" s="10"/>
      <c r="C246" s="10"/>
      <c r="D246" s="10"/>
      <c r="E246" s="13" t="s">
        <v>382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11">
        <f>T201-W245</f>
        <v>51.392920353982305</v>
      </c>
      <c r="X246" s="162">
        <f>W246-X245</f>
        <v>47.064424778761065</v>
      </c>
      <c r="Y246" s="162">
        <f t="shared" ref="Y246:AD246" si="799">X246-Y245</f>
        <v>41.870230088495582</v>
      </c>
      <c r="Z246" s="162">
        <f t="shared" si="799"/>
        <v>35.637196460177002</v>
      </c>
      <c r="AA246" s="162">
        <f t="shared" si="799"/>
        <v>28.157556106194704</v>
      </c>
      <c r="AB246" s="162">
        <f t="shared" si="799"/>
        <v>19.181987681415947</v>
      </c>
      <c r="AC246" s="162">
        <f t="shared" si="799"/>
        <v>8.4113055716814387</v>
      </c>
      <c r="AD246" s="162">
        <f t="shared" si="799"/>
        <v>-4.5135129599999715</v>
      </c>
      <c r="AE246" s="162">
        <f>AD246-AE245</f>
        <v>-20.023295198017664</v>
      </c>
      <c r="AF246" s="162">
        <f t="shared" ref="AF246" si="800">AE246-AF245</f>
        <v>-38.635033883638897</v>
      </c>
      <c r="AG246" s="162">
        <f t="shared" ref="AG246" si="801">AF246-AG245</f>
        <v>-60.969120306384369</v>
      </c>
      <c r="AH246" s="162">
        <f t="shared" ref="AH246" si="802">AG246-AH245</f>
        <v>-87.770024013678935</v>
      </c>
      <c r="AI246" s="162">
        <f t="shared" ref="AI246" si="803">AH246-AI245</f>
        <v>-119.93110846243242</v>
      </c>
      <c r="AJ246" s="162">
        <f t="shared" ref="AJ246" si="804">AI246-AJ245</f>
        <v>-158.52440980093661</v>
      </c>
      <c r="AK246" s="162">
        <f t="shared" ref="AK246" si="805">AJ246-AK245</f>
        <v>-204.83637140714163</v>
      </c>
      <c r="AL246" s="162">
        <f t="shared" ref="AL246" si="806">AK246-AL245</f>
        <v>-260.41072533458765</v>
      </c>
      <c r="AM246" s="162">
        <f t="shared" ref="AM246" si="807">AL246-AM245</f>
        <v>-327.09995004752284</v>
      </c>
      <c r="AN246" s="162">
        <f t="shared" ref="AN246" si="808">AM246-AN245</f>
        <v>-407.12701970304511</v>
      </c>
      <c r="AO246" s="162">
        <f t="shared" ref="AO246" si="809">AN246-AO245</f>
        <v>-503.15950328967182</v>
      </c>
      <c r="AP246" s="162">
        <f t="shared" ref="AP246" si="810">AO246-AP245</f>
        <v>-618.39848359362384</v>
      </c>
      <c r="AQ246" s="162">
        <f t="shared" ref="AQ246" si="811">AP246-AQ245</f>
        <v>-756.68525995836626</v>
      </c>
      <c r="AR246" s="162">
        <f t="shared" ref="AR246" si="812">AQ246-AR245</f>
        <v>-922.62939159605719</v>
      </c>
      <c r="AS246" s="162">
        <f t="shared" ref="AS246" si="813">AR246-AS245</f>
        <v>-1121.7623495612863</v>
      </c>
      <c r="AT246" s="162">
        <f t="shared" ref="AT246" si="814">AS246-AT245</f>
        <v>-1360.7218991195612</v>
      </c>
      <c r="AU246" s="162">
        <f t="shared" ref="AU246" si="815">AT246-AU245</f>
        <v>-1647.473358589491</v>
      </c>
      <c r="AV246" s="162">
        <f t="shared" ref="AV246" si="816">AU246-AV245</f>
        <v>-1991.5751099534068</v>
      </c>
      <c r="AW246" s="162">
        <f t="shared" ref="AW246" si="817">AV246-AW245</f>
        <v>-2404.497211590106</v>
      </c>
    </row>
    <row r="247" spans="2:49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2:49">
      <c r="B248" s="10" t="s">
        <v>255</v>
      </c>
      <c r="C248" s="15"/>
      <c r="D248" s="15"/>
      <c r="E248" s="15"/>
      <c r="F248" s="15"/>
      <c r="G248" s="15"/>
      <c r="H248" s="15" t="e">
        <f t="shared" ref="H248:I248" si="818">H10/H7</f>
        <v>#DIV/0!</v>
      </c>
      <c r="I248" s="15" t="e">
        <f t="shared" si="818"/>
        <v>#DIV/0!</v>
      </c>
      <c r="J248" s="15" t="e">
        <f t="shared" ref="J248:T248" si="819">J10/J7</f>
        <v>#DIV/0!</v>
      </c>
      <c r="K248" s="15" t="e">
        <f t="shared" si="819"/>
        <v>#DIV/0!</v>
      </c>
      <c r="L248" s="15" t="e">
        <f t="shared" si="819"/>
        <v>#DIV/0!</v>
      </c>
      <c r="M248" s="15" t="e">
        <f t="shared" si="819"/>
        <v>#DIV/0!</v>
      </c>
      <c r="N248" s="15" t="e">
        <f t="shared" si="819"/>
        <v>#DIV/0!</v>
      </c>
      <c r="O248" s="15" t="e">
        <f t="shared" si="819"/>
        <v>#DIV/0!</v>
      </c>
      <c r="P248" s="15" t="e">
        <f t="shared" si="819"/>
        <v>#DIV/0!</v>
      </c>
      <c r="Q248" s="15" t="e">
        <f t="shared" si="819"/>
        <v>#DIV/0!</v>
      </c>
      <c r="R248" s="15">
        <f t="shared" si="819"/>
        <v>0.01</v>
      </c>
      <c r="S248" s="15">
        <f t="shared" si="819"/>
        <v>4.1174981936614943</v>
      </c>
      <c r="T248" s="15">
        <f t="shared" si="819"/>
        <v>6.1636462733342414</v>
      </c>
      <c r="U248" s="101" t="e">
        <f t="shared" ref="U248:U250" si="820">((S248/J248)^(1/($K$2-$K$1) ))-1</f>
        <v>#DIV/0!</v>
      </c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2:49">
      <c r="B249" s="10" t="s">
        <v>256</v>
      </c>
      <c r="C249" s="96"/>
      <c r="D249" s="96"/>
      <c r="E249" s="96"/>
      <c r="F249" s="96"/>
      <c r="G249" s="96"/>
      <c r="H249" s="96" t="e">
        <f t="shared" ref="H249:I249" si="821">H10/H12</f>
        <v>#DIV/0!</v>
      </c>
      <c r="I249" s="96" t="e">
        <f t="shared" si="821"/>
        <v>#DIV/0!</v>
      </c>
      <c r="J249" s="96" t="e">
        <f t="shared" ref="J249:T249" si="822">J10/J12</f>
        <v>#DIV/0!</v>
      </c>
      <c r="K249" s="96" t="e">
        <f t="shared" si="822"/>
        <v>#DIV/0!</v>
      </c>
      <c r="L249" s="96" t="e">
        <f t="shared" si="822"/>
        <v>#DIV/0!</v>
      </c>
      <c r="M249" s="96" t="e">
        <f t="shared" si="822"/>
        <v>#DIV/0!</v>
      </c>
      <c r="N249" s="96" t="e">
        <f t="shared" si="822"/>
        <v>#DIV/0!</v>
      </c>
      <c r="O249" s="96" t="e">
        <f t="shared" si="822"/>
        <v>#DIV/0!</v>
      </c>
      <c r="P249" s="96" t="e">
        <f t="shared" si="822"/>
        <v>#DIV/0!</v>
      </c>
      <c r="Q249" s="96" t="e">
        <f t="shared" si="822"/>
        <v>#DIV/0!</v>
      </c>
      <c r="R249" s="96">
        <f t="shared" si="822"/>
        <v>1</v>
      </c>
      <c r="S249" s="96">
        <f t="shared" si="822"/>
        <v>29.543157894736844</v>
      </c>
      <c r="T249" s="96">
        <f t="shared" si="822"/>
        <v>29.799077733860344</v>
      </c>
      <c r="U249" s="101" t="e">
        <f t="shared" si="820"/>
        <v>#DIV/0!</v>
      </c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2:49">
      <c r="B250" s="10" t="s">
        <v>257</v>
      </c>
      <c r="C250" s="15"/>
      <c r="D250" s="15"/>
      <c r="E250" s="15"/>
      <c r="F250" s="15"/>
      <c r="G250" s="15"/>
      <c r="H250" s="15" t="e">
        <f t="shared" ref="H250:I250" si="823">H10/(H12+H13)</f>
        <v>#DIV/0!</v>
      </c>
      <c r="I250" s="15" t="e">
        <f t="shared" si="823"/>
        <v>#DIV/0!</v>
      </c>
      <c r="J250" s="15" t="e">
        <f t="shared" ref="J250:T250" si="824">J10/(J12+J13)</f>
        <v>#DIV/0!</v>
      </c>
      <c r="K250" s="15" t="e">
        <f t="shared" si="824"/>
        <v>#DIV/0!</v>
      </c>
      <c r="L250" s="15" t="e">
        <f t="shared" si="824"/>
        <v>#DIV/0!</v>
      </c>
      <c r="M250" s="15" t="e">
        <f t="shared" si="824"/>
        <v>#DIV/0!</v>
      </c>
      <c r="N250" s="15" t="e">
        <f t="shared" si="824"/>
        <v>#DIV/0!</v>
      </c>
      <c r="O250" s="15" t="e">
        <f t="shared" si="824"/>
        <v>#DIV/0!</v>
      </c>
      <c r="P250" s="15" t="e">
        <f t="shared" si="824"/>
        <v>#DIV/0!</v>
      </c>
      <c r="Q250" s="15" t="e">
        <f t="shared" si="824"/>
        <v>#DIV/0!</v>
      </c>
      <c r="R250" s="15">
        <f t="shared" si="824"/>
        <v>0.5</v>
      </c>
      <c r="S250" s="15">
        <f t="shared" si="824"/>
        <v>2.5524987494884273</v>
      </c>
      <c r="T250" s="15">
        <f t="shared" si="824"/>
        <v>1.6908068103238829</v>
      </c>
      <c r="U250" s="101" t="e">
        <f t="shared" si="820"/>
        <v>#DIV/0!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2:49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2:49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2:49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9" t="s">
        <v>282</v>
      </c>
      <c r="P253" s="320"/>
      <c r="Q253" s="321"/>
      <c r="R253" s="13" t="s">
        <v>285</v>
      </c>
      <c r="S253" s="10"/>
      <c r="T253" s="115"/>
      <c r="U253" s="319" t="s">
        <v>283</v>
      </c>
      <c r="V253" s="320"/>
      <c r="W253" s="321"/>
      <c r="X253" s="13" t="s">
        <v>285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2:49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 t="s">
        <v>0</v>
      </c>
      <c r="V254" s="143" t="s">
        <v>317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2:49">
      <c r="B255" s="10"/>
      <c r="C255" s="144" t="s">
        <v>286</v>
      </c>
      <c r="D255" s="11"/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0</v>
      </c>
      <c r="K255" s="154">
        <f>J255+D256</f>
        <v>0</v>
      </c>
      <c r="L255" s="10"/>
      <c r="M255" s="144" t="s">
        <v>286</v>
      </c>
      <c r="N255" s="144"/>
      <c r="O255" s="11">
        <v>1</v>
      </c>
      <c r="P255" s="150">
        <f>O255</f>
        <v>1</v>
      </c>
      <c r="Q255" s="10"/>
      <c r="R255" s="10"/>
      <c r="S255" s="144" t="s">
        <v>286</v>
      </c>
      <c r="T255" s="144"/>
      <c r="U255" s="11">
        <v>1</v>
      </c>
      <c r="V255" s="150">
        <f>U255</f>
        <v>1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2:49">
      <c r="B256" s="10"/>
      <c r="C256" s="144" t="s">
        <v>287</v>
      </c>
      <c r="D256" s="11"/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0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1">
        <v>1</v>
      </c>
      <c r="V256" s="150">
        <f>U256</f>
        <v>1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2:33">
      <c r="B257" s="10"/>
      <c r="C257" s="144" t="s">
        <v>289</v>
      </c>
      <c r="D257" s="145">
        <f>D255*D256</f>
        <v>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0</v>
      </c>
      <c r="L257" s="10"/>
      <c r="M257" s="144" t="s">
        <v>288</v>
      </c>
      <c r="N257" s="144"/>
      <c r="O257" s="145">
        <f>O255*O256</f>
        <v>1</v>
      </c>
      <c r="P257" s="150">
        <f>O257</f>
        <v>1</v>
      </c>
      <c r="Q257" s="10"/>
      <c r="R257" s="10"/>
      <c r="S257" s="144" t="s">
        <v>289</v>
      </c>
      <c r="T257" s="144"/>
      <c r="U257" s="145">
        <f>U255*U256</f>
        <v>1</v>
      </c>
      <c r="V257" s="150">
        <f>U257</f>
        <v>1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2:33">
      <c r="B258" s="10"/>
      <c r="C258" s="144"/>
      <c r="D258" s="145"/>
      <c r="E258" s="153" t="s">
        <v>383</v>
      </c>
      <c r="F258" s="153"/>
      <c r="G258" s="12">
        <v>0</v>
      </c>
      <c r="H258" s="12">
        <v>1</v>
      </c>
      <c r="I258" s="144">
        <f t="shared" ref="I258:I261" si="825">G258/H258</f>
        <v>0</v>
      </c>
      <c r="J258" s="144">
        <f t="shared" ref="J258:J260" si="826">I258*K257</f>
        <v>0</v>
      </c>
      <c r="K258" s="144">
        <f t="shared" ref="K258:K260" si="827">J258+K257</f>
        <v>0</v>
      </c>
      <c r="L258" s="10"/>
      <c r="M258" s="144" t="s">
        <v>290</v>
      </c>
      <c r="N258" s="144"/>
      <c r="O258" s="11">
        <v>1</v>
      </c>
      <c r="P258" s="11">
        <v>1</v>
      </c>
      <c r="Q258" s="10"/>
      <c r="R258" s="10"/>
      <c r="S258" s="144" t="s">
        <v>290</v>
      </c>
      <c r="T258" s="144"/>
      <c r="U258" s="11">
        <v>1</v>
      </c>
      <c r="V258" s="11">
        <v>1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2:33">
      <c r="B259" s="10"/>
      <c r="C259" s="144"/>
      <c r="D259" s="145"/>
      <c r="E259" s="153" t="s">
        <v>384</v>
      </c>
      <c r="F259" s="153"/>
      <c r="G259" s="12">
        <v>0</v>
      </c>
      <c r="H259" s="12">
        <v>1</v>
      </c>
      <c r="I259" s="144">
        <f t="shared" si="825"/>
        <v>0</v>
      </c>
      <c r="J259" s="144">
        <f t="shared" si="826"/>
        <v>0</v>
      </c>
      <c r="K259" s="144">
        <f t="shared" si="827"/>
        <v>0</v>
      </c>
      <c r="L259" s="10"/>
      <c r="M259" s="144" t="s">
        <v>291</v>
      </c>
      <c r="N259" s="144"/>
      <c r="O259" s="145">
        <f>O258*O256</f>
        <v>1</v>
      </c>
      <c r="P259" s="145">
        <f>P258*P256</f>
        <v>1</v>
      </c>
      <c r="Q259" s="10"/>
      <c r="R259" s="10"/>
      <c r="S259" s="144" t="s">
        <v>287</v>
      </c>
      <c r="T259" s="144"/>
      <c r="U259" s="11">
        <v>1</v>
      </c>
      <c r="V259" s="109">
        <f>U259</f>
        <v>1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2:33">
      <c r="B260" s="10"/>
      <c r="C260" s="144"/>
      <c r="D260" s="145"/>
      <c r="E260" s="153" t="s">
        <v>385</v>
      </c>
      <c r="F260" s="153"/>
      <c r="G260" s="12">
        <v>0</v>
      </c>
      <c r="H260" s="12">
        <v>1</v>
      </c>
      <c r="I260" s="144">
        <f t="shared" si="825"/>
        <v>0</v>
      </c>
      <c r="J260" s="144">
        <f t="shared" si="826"/>
        <v>0</v>
      </c>
      <c r="K260" s="144">
        <f t="shared" si="827"/>
        <v>0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5">
        <f>U259*U258</f>
        <v>1</v>
      </c>
      <c r="V260" s="145">
        <f>V259*V258</f>
        <v>1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2:33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25"/>
        <v>10</v>
      </c>
      <c r="J261" s="144">
        <f>I261*K260</f>
        <v>0</v>
      </c>
      <c r="K261" s="144">
        <f>J261</f>
        <v>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5"/>
      <c r="V261" s="145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2:33">
      <c r="B262" s="10"/>
      <c r="C262" s="144"/>
      <c r="D262" s="145"/>
      <c r="E262" s="153" t="s">
        <v>386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</v>
      </c>
      <c r="P262" s="147">
        <f>P259/P257</f>
        <v>1</v>
      </c>
      <c r="Q262" s="10"/>
      <c r="R262" s="10"/>
      <c r="S262" s="146" t="s">
        <v>292</v>
      </c>
      <c r="T262" s="146"/>
      <c r="U262" s="147">
        <f>U260/U257</f>
        <v>1</v>
      </c>
      <c r="V262" s="147">
        <f>V260/V257</f>
        <v>1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2:33">
      <c r="B263" s="10"/>
      <c r="C263" s="144" t="s">
        <v>290</v>
      </c>
      <c r="D263" s="11"/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2:33">
      <c r="B264" s="10"/>
      <c r="C264" s="144" t="s">
        <v>287</v>
      </c>
      <c r="D264" s="11"/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0</v>
      </c>
      <c r="K264" s="154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2:33">
      <c r="B265" s="10"/>
      <c r="C265" s="144" t="s">
        <v>289</v>
      </c>
      <c r="D265" s="145">
        <f>D264*D263</f>
        <v>0</v>
      </c>
      <c r="E265" s="144"/>
      <c r="F265" s="144"/>
      <c r="G265" s="144"/>
      <c r="H265" s="144"/>
      <c r="I265" s="146" t="s">
        <v>332</v>
      </c>
      <c r="J265" s="144"/>
      <c r="K265" s="144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2:33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0</v>
      </c>
      <c r="K266" s="144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2:33">
      <c r="B267" s="10"/>
      <c r="C267" s="146" t="s">
        <v>292</v>
      </c>
      <c r="D267" s="147" t="e">
        <f>D265/D257</f>
        <v>#DIV/0!</v>
      </c>
      <c r="E267" s="153"/>
      <c r="F267" s="153"/>
      <c r="G267" s="144"/>
      <c r="H267" s="144"/>
      <c r="I267" s="146" t="s">
        <v>332</v>
      </c>
      <c r="J267" s="144"/>
      <c r="K267" s="144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2:33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2:33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2:33" ht="14.25">
      <c r="B270" s="10"/>
      <c r="C270" s="10"/>
      <c r="D270" s="312" t="s">
        <v>15</v>
      </c>
      <c r="E270" s="313"/>
      <c r="F270" s="313"/>
      <c r="G270" s="313"/>
      <c r="H270" s="313"/>
      <c r="I270" s="313"/>
      <c r="J270" s="314"/>
      <c r="K270" s="10"/>
      <c r="L270" s="312" t="s">
        <v>337</v>
      </c>
      <c r="M270" s="313"/>
      <c r="N270" s="31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2:33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2:33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2:33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2:33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70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2:33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2:33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2:33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2:33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2:33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</sheetData>
  <mergeCells count="9">
    <mergeCell ref="A36:A45"/>
    <mergeCell ref="A124:A132"/>
    <mergeCell ref="D270:J270"/>
    <mergeCell ref="L270:N270"/>
    <mergeCell ref="AH2:AI2"/>
    <mergeCell ref="AH3:AI3"/>
    <mergeCell ref="O253:Q253"/>
    <mergeCell ref="U253:W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5" t="s">
        <v>15</v>
      </c>
      <c r="K5" s="285"/>
      <c r="M5" s="285" t="s">
        <v>53</v>
      </c>
      <c r="N5" s="285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5" t="s">
        <v>24</v>
      </c>
      <c r="K14" s="285"/>
      <c r="L14" s="285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5" t="s">
        <v>15</v>
      </c>
      <c r="S5" s="285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5" t="s">
        <v>24</v>
      </c>
      <c r="S14" s="285"/>
      <c r="T14" s="285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5" t="s">
        <v>15</v>
      </c>
      <c r="C2" s="285"/>
      <c r="E2" s="285" t="s">
        <v>53</v>
      </c>
      <c r="F2" s="285"/>
      <c r="H2" s="327" t="s">
        <v>24</v>
      </c>
      <c r="I2" s="32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24" t="s">
        <v>56</v>
      </c>
      <c r="E10" s="325"/>
      <c r="F10" s="325"/>
      <c r="G10" s="325"/>
      <c r="H10" s="326"/>
      <c r="I10" s="324" t="s">
        <v>60</v>
      </c>
      <c r="J10" s="325"/>
      <c r="K10" s="325"/>
      <c r="L10" s="32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K33"/>
  <sheetViews>
    <sheetView zoomScale="80" zoomScaleNormal="80" workbookViewId="0">
      <selection activeCell="D14" sqref="D14"/>
    </sheetView>
  </sheetViews>
  <sheetFormatPr defaultRowHeight="14.25"/>
  <cols>
    <col min="1" max="1" width="9.140625" style="164"/>
    <col min="2" max="2" width="9.140625" style="279"/>
    <col min="3" max="3" width="28.140625" style="279" bestFit="1" customWidth="1"/>
    <col min="4" max="4" width="19" style="164" bestFit="1" customWidth="1"/>
    <col min="5" max="5" width="27.85546875" style="164" bestFit="1" customWidth="1"/>
    <col min="6" max="6" width="15" style="164" customWidth="1"/>
    <col min="7" max="7" width="11.28515625" style="164" bestFit="1" customWidth="1"/>
    <col min="8" max="8" width="11.140625" style="164" bestFit="1" customWidth="1"/>
    <col min="9" max="16384" width="9.140625" style="164"/>
  </cols>
  <sheetData>
    <row r="3" spans="2:11">
      <c r="B3" s="277" t="s">
        <v>0</v>
      </c>
      <c r="C3" s="277" t="s">
        <v>498</v>
      </c>
      <c r="D3" s="276" t="s">
        <v>499</v>
      </c>
      <c r="E3" s="276" t="s">
        <v>500</v>
      </c>
      <c r="F3" s="276"/>
      <c r="G3" s="276" t="s">
        <v>518</v>
      </c>
      <c r="H3" s="276" t="s">
        <v>519</v>
      </c>
    </row>
    <row r="4" spans="2:11">
      <c r="B4" s="278">
        <v>1</v>
      </c>
      <c r="C4" s="280" t="s">
        <v>509</v>
      </c>
      <c r="D4" s="282">
        <v>339</v>
      </c>
      <c r="E4" s="282">
        <v>6.59</v>
      </c>
      <c r="F4" s="282"/>
      <c r="G4" s="282">
        <v>339</v>
      </c>
      <c r="H4" s="282">
        <v>6.59</v>
      </c>
    </row>
    <row r="5" spans="2:11">
      <c r="B5" s="278"/>
      <c r="C5" s="281" t="s">
        <v>501</v>
      </c>
      <c r="D5" s="282"/>
      <c r="E5" s="282"/>
      <c r="F5" s="282"/>
      <c r="G5" s="282"/>
      <c r="H5" s="282"/>
    </row>
    <row r="6" spans="2:11">
      <c r="B6" s="278">
        <v>2</v>
      </c>
      <c r="C6" s="280" t="s">
        <v>68</v>
      </c>
      <c r="D6" s="282">
        <v>9597</v>
      </c>
      <c r="E6" s="282">
        <v>4700</v>
      </c>
      <c r="F6" s="282"/>
      <c r="G6" s="282">
        <v>0</v>
      </c>
      <c r="H6" s="282">
        <v>0</v>
      </c>
    </row>
    <row r="7" spans="2:11">
      <c r="B7" s="278">
        <v>3</v>
      </c>
      <c r="C7" s="280" t="s">
        <v>13</v>
      </c>
      <c r="D7" s="282">
        <v>3</v>
      </c>
      <c r="E7" s="282">
        <v>88</v>
      </c>
      <c r="F7" s="282"/>
      <c r="G7" s="282">
        <v>0</v>
      </c>
      <c r="H7" s="282">
        <v>0</v>
      </c>
    </row>
    <row r="8" spans="2:11">
      <c r="B8" s="278"/>
      <c r="C8" s="281" t="s">
        <v>502</v>
      </c>
      <c r="D8" s="282"/>
      <c r="E8" s="282"/>
      <c r="F8" s="282"/>
      <c r="G8" s="282"/>
      <c r="H8" s="282"/>
    </row>
    <row r="9" spans="2:11">
      <c r="B9" s="278">
        <v>4</v>
      </c>
      <c r="C9" s="280" t="s">
        <v>504</v>
      </c>
      <c r="D9" s="282">
        <v>14678</v>
      </c>
      <c r="E9" s="282">
        <v>5121</v>
      </c>
      <c r="F9" s="284">
        <f t="shared" ref="F9:F14" si="0">E9/D9</f>
        <v>0.348889494481537</v>
      </c>
      <c r="G9" s="282">
        <v>0</v>
      </c>
      <c r="H9" s="282">
        <v>0</v>
      </c>
    </row>
    <row r="10" spans="2:11">
      <c r="B10" s="278">
        <v>5</v>
      </c>
      <c r="C10" s="280" t="s">
        <v>505</v>
      </c>
      <c r="D10" s="282">
        <v>0</v>
      </c>
      <c r="E10" s="282">
        <v>10937</v>
      </c>
      <c r="F10" s="284" t="e">
        <f t="shared" si="0"/>
        <v>#DIV/0!</v>
      </c>
      <c r="G10" s="282">
        <v>0</v>
      </c>
      <c r="H10" s="282">
        <v>0</v>
      </c>
    </row>
    <row r="11" spans="2:11">
      <c r="B11" s="278">
        <v>6</v>
      </c>
      <c r="C11" s="280" t="s">
        <v>506</v>
      </c>
      <c r="D11" s="282">
        <v>0</v>
      </c>
      <c r="E11" s="282">
        <v>3814</v>
      </c>
      <c r="F11" s="284" t="e">
        <f t="shared" si="0"/>
        <v>#DIV/0!</v>
      </c>
      <c r="G11" s="282">
        <v>0</v>
      </c>
      <c r="H11" s="282">
        <v>0</v>
      </c>
    </row>
    <row r="12" spans="2:11">
      <c r="B12" s="278">
        <v>7</v>
      </c>
      <c r="C12" s="280" t="s">
        <v>507</v>
      </c>
      <c r="D12" s="282">
        <v>0</v>
      </c>
      <c r="E12" s="282">
        <v>19313</v>
      </c>
      <c r="F12" s="284" t="e">
        <f t="shared" si="0"/>
        <v>#DIV/0!</v>
      </c>
      <c r="G12" s="282">
        <v>0</v>
      </c>
      <c r="H12" s="282">
        <v>0</v>
      </c>
    </row>
    <row r="13" spans="2:11">
      <c r="B13" s="278">
        <v>8</v>
      </c>
      <c r="C13" s="280" t="s">
        <v>508</v>
      </c>
      <c r="D13" s="282">
        <v>90470</v>
      </c>
      <c r="E13" s="282">
        <v>20035</v>
      </c>
      <c r="F13" s="284">
        <f>E13/D13</f>
        <v>0.22145462584282083</v>
      </c>
      <c r="G13" s="282">
        <v>134401</v>
      </c>
      <c r="H13" s="282">
        <v>64580</v>
      </c>
      <c r="I13" s="164">
        <f>H13/G13</f>
        <v>0.48050237721445527</v>
      </c>
    </row>
    <row r="14" spans="2:11">
      <c r="B14" s="278">
        <v>9</v>
      </c>
      <c r="C14" s="280" t="s">
        <v>503</v>
      </c>
      <c r="D14" s="282"/>
      <c r="E14" s="282">
        <v>762</v>
      </c>
      <c r="F14" s="284" t="e">
        <f t="shared" si="0"/>
        <v>#DIV/0!</v>
      </c>
      <c r="G14" s="282"/>
      <c r="H14" s="282"/>
      <c r="K14" s="164">
        <f>324/1416</f>
        <v>0.2288135593220339</v>
      </c>
    </row>
    <row r="15" spans="2:11">
      <c r="B15" s="278"/>
      <c r="C15" s="278"/>
      <c r="D15" s="282"/>
      <c r="E15" s="282"/>
      <c r="F15" s="282"/>
      <c r="G15" s="282"/>
      <c r="H15" s="282"/>
    </row>
    <row r="16" spans="2:11">
      <c r="B16" s="278"/>
      <c r="C16" s="281" t="s">
        <v>510</v>
      </c>
      <c r="D16" s="282"/>
      <c r="E16" s="282"/>
      <c r="F16" s="282"/>
      <c r="G16" s="282"/>
      <c r="H16" s="282"/>
    </row>
    <row r="17" spans="2:8">
      <c r="B17" s="278">
        <v>10</v>
      </c>
      <c r="C17" s="280" t="s">
        <v>183</v>
      </c>
      <c r="D17" s="282">
        <v>57.25</v>
      </c>
      <c r="E17" s="282">
        <v>2164</v>
      </c>
      <c r="F17" s="282"/>
      <c r="G17" s="282">
        <v>57.25</v>
      </c>
      <c r="H17" s="282">
        <v>2164</v>
      </c>
    </row>
    <row r="18" spans="2:8">
      <c r="B18" s="278">
        <v>11</v>
      </c>
      <c r="C18" s="280" t="s">
        <v>132</v>
      </c>
      <c r="D18" s="282">
        <f>D4*D17</f>
        <v>19407.75</v>
      </c>
      <c r="E18" s="282">
        <f>E4*E17</f>
        <v>14260.76</v>
      </c>
      <c r="F18" s="282"/>
      <c r="G18" s="282">
        <f>G4*G17</f>
        <v>19407.75</v>
      </c>
      <c r="H18" s="282">
        <f>H4*H17</f>
        <v>14260.76</v>
      </c>
    </row>
    <row r="19" spans="2:8">
      <c r="B19" s="278">
        <v>12</v>
      </c>
      <c r="C19" s="280" t="s">
        <v>30</v>
      </c>
      <c r="D19" s="282">
        <f>D17/D7</f>
        <v>19.083333333333332</v>
      </c>
      <c r="E19" s="282">
        <f>E17/E7</f>
        <v>24.59090909090909</v>
      </c>
      <c r="F19" s="282"/>
      <c r="G19" s="282" t="e">
        <f>G17/G7</f>
        <v>#DIV/0!</v>
      </c>
      <c r="H19" s="282" t="e">
        <f>H17/H7</f>
        <v>#DIV/0!</v>
      </c>
    </row>
    <row r="20" spans="2:8">
      <c r="B20" s="278"/>
      <c r="C20" s="281" t="s">
        <v>511</v>
      </c>
      <c r="D20" s="282"/>
      <c r="E20" s="282"/>
      <c r="F20" s="282"/>
      <c r="G20" s="282"/>
      <c r="H20" s="282"/>
    </row>
    <row r="21" spans="2:8">
      <c r="B21" s="278">
        <v>13</v>
      </c>
      <c r="C21" s="280" t="s">
        <v>512</v>
      </c>
      <c r="D21" s="282">
        <v>22</v>
      </c>
      <c r="E21" s="165">
        <v>22</v>
      </c>
      <c r="F21" s="165"/>
      <c r="G21" s="282">
        <v>22</v>
      </c>
      <c r="H21" s="165">
        <v>22</v>
      </c>
    </row>
    <row r="22" spans="2:8">
      <c r="B22" s="278">
        <v>14</v>
      </c>
      <c r="C22" s="280" t="s">
        <v>13</v>
      </c>
      <c r="D22" s="282">
        <v>3</v>
      </c>
      <c r="E22" s="165">
        <v>90</v>
      </c>
      <c r="F22" s="165"/>
      <c r="G22" s="282">
        <v>3</v>
      </c>
      <c r="H22" s="165">
        <v>90</v>
      </c>
    </row>
    <row r="23" spans="2:8">
      <c r="B23" s="278">
        <v>15</v>
      </c>
      <c r="C23" s="280" t="s">
        <v>183</v>
      </c>
      <c r="D23" s="282">
        <f>D21*D22</f>
        <v>66</v>
      </c>
      <c r="E23" s="282">
        <f>E21*E22</f>
        <v>1980</v>
      </c>
      <c r="F23" s="282"/>
      <c r="G23" s="282">
        <f>G21*G22</f>
        <v>66</v>
      </c>
      <c r="H23" s="282">
        <f>H21*H22</f>
        <v>1980</v>
      </c>
    </row>
    <row r="24" spans="2:8">
      <c r="B24" s="278"/>
      <c r="C24" s="280" t="s">
        <v>513</v>
      </c>
      <c r="D24" s="282">
        <f>E23/D23</f>
        <v>30</v>
      </c>
      <c r="E24" s="165" t="s">
        <v>57</v>
      </c>
      <c r="F24" s="165"/>
      <c r="G24" s="282">
        <f>H23/G23</f>
        <v>30</v>
      </c>
      <c r="H24" s="165" t="s">
        <v>57</v>
      </c>
    </row>
    <row r="25" spans="2:8">
      <c r="B25" s="278"/>
      <c r="C25" s="280" t="s">
        <v>514</v>
      </c>
      <c r="D25" s="282">
        <v>65</v>
      </c>
      <c r="E25" s="165"/>
      <c r="F25" s="165"/>
      <c r="G25" s="282">
        <v>65</v>
      </c>
      <c r="H25" s="165"/>
    </row>
    <row r="26" spans="2:8">
      <c r="B26" s="278"/>
      <c r="C26" s="280" t="s">
        <v>515</v>
      </c>
      <c r="D26" s="282">
        <f>E18/D25</f>
        <v>219.39630769230769</v>
      </c>
      <c r="E26" s="165"/>
      <c r="F26" s="165"/>
      <c r="G26" s="282">
        <f>H18/G25</f>
        <v>219.39630769230769</v>
      </c>
      <c r="H26" s="165"/>
    </row>
    <row r="27" spans="2:8">
      <c r="B27" s="278"/>
      <c r="C27" s="280" t="s">
        <v>516</v>
      </c>
      <c r="D27" s="282">
        <f>D26*E4</f>
        <v>1445.8216676923075</v>
      </c>
      <c r="E27" s="165"/>
      <c r="F27" s="165"/>
      <c r="G27" s="282">
        <f>G26*H4</f>
        <v>1445.8216676923075</v>
      </c>
      <c r="H27" s="165"/>
    </row>
    <row r="28" spans="2:8">
      <c r="B28" s="278"/>
      <c r="C28" s="280" t="s">
        <v>517</v>
      </c>
      <c r="D28" s="283">
        <f>D27+D4</f>
        <v>1784.8216676923075</v>
      </c>
      <c r="E28" s="165"/>
      <c r="F28" s="165"/>
      <c r="G28" s="283">
        <f>G27+G4</f>
        <v>1784.8216676923075</v>
      </c>
      <c r="H28" s="165"/>
    </row>
    <row r="29" spans="2:8">
      <c r="B29" s="278"/>
      <c r="C29" s="278"/>
      <c r="D29" s="165"/>
      <c r="E29" s="165"/>
      <c r="F29" s="165"/>
      <c r="G29" s="165"/>
      <c r="H29" s="165"/>
    </row>
    <row r="30" spans="2:8">
      <c r="B30" s="278"/>
      <c r="C30" s="278"/>
      <c r="D30" s="165"/>
      <c r="E30" s="165"/>
      <c r="F30" s="165"/>
      <c r="G30" s="165"/>
      <c r="H30" s="165"/>
    </row>
    <row r="31" spans="2:8">
      <c r="B31" s="278"/>
      <c r="C31" s="278"/>
      <c r="D31" s="165"/>
      <c r="E31" s="165"/>
      <c r="F31" s="165"/>
      <c r="G31" s="165"/>
      <c r="H31" s="165"/>
    </row>
    <row r="32" spans="2:8">
      <c r="B32" s="278"/>
      <c r="C32" s="278"/>
      <c r="D32" s="165"/>
      <c r="E32" s="165"/>
      <c r="F32" s="165"/>
      <c r="G32" s="165"/>
      <c r="H32" s="165"/>
    </row>
    <row r="33" spans="2:8">
      <c r="B33" s="278"/>
      <c r="C33" s="278"/>
      <c r="D33" s="165"/>
      <c r="E33" s="165"/>
      <c r="F33" s="165"/>
      <c r="G33" s="165"/>
      <c r="H33" s="16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2018-05-19T02:25:34Z</dcterms:modified>
</cp:coreProperties>
</file>
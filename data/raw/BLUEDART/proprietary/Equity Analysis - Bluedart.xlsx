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O176" i="18" l="1"/>
  <c r="N176" i="18"/>
  <c r="M176" i="18"/>
  <c r="L176" i="18"/>
  <c r="K176" i="18"/>
  <c r="J176" i="18"/>
  <c r="I176" i="18"/>
  <c r="H176" i="18"/>
  <c r="G176" i="18"/>
  <c r="F176" i="18"/>
  <c r="E176" i="18"/>
  <c r="D176" i="18"/>
  <c r="C176" i="18"/>
  <c r="H12" i="18" l="1"/>
  <c r="G12" i="18"/>
  <c r="R43" i="18" l="1"/>
  <c r="S42" i="18" l="1"/>
  <c r="K183" i="18" l="1"/>
  <c r="K182" i="18"/>
  <c r="K181" i="18"/>
  <c r="K180" i="18"/>
  <c r="O97" i="18" l="1"/>
  <c r="O98" i="18"/>
  <c r="O99" i="18"/>
  <c r="O100" i="18"/>
  <c r="AD38" i="18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G209" i="18" s="1"/>
  <c r="H199" i="18"/>
  <c r="L26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G210" i="18" s="1"/>
  <c r="K210" i="18" s="1"/>
  <c r="H202" i="18"/>
  <c r="I202" i="18" s="1"/>
  <c r="J202" i="18" s="1"/>
  <c r="J203" i="18" s="1"/>
  <c r="H200" i="18"/>
  <c r="H198" i="18"/>
  <c r="H197" i="18"/>
  <c r="I197" i="18" s="1"/>
  <c r="J197" i="18" s="1"/>
  <c r="G212" i="18" l="1"/>
  <c r="K209" i="18"/>
  <c r="G215" i="18"/>
  <c r="D205" i="18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P94" i="18"/>
  <c r="P100" i="18" s="1"/>
  <c r="G94" i="18"/>
  <c r="G100" i="18" s="1"/>
  <c r="Q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P91" i="18"/>
  <c r="P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8" i="18" l="1"/>
  <c r="Q97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P93" i="18"/>
  <c r="P99" i="18" s="1"/>
  <c r="G93" i="18"/>
  <c r="G99" i="18" s="1"/>
  <c r="G90" i="18"/>
  <c r="G96" i="18" s="1"/>
  <c r="S29" i="18"/>
  <c r="Q29" i="18"/>
  <c r="L30" i="18"/>
  <c r="K30" i="18"/>
  <c r="J30" i="18"/>
  <c r="I30" i="18"/>
  <c r="H30" i="18"/>
  <c r="G30" i="18"/>
  <c r="Q96" i="18" l="1"/>
  <c r="Q99" i="18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G28" i="18"/>
  <c r="G11" i="18"/>
  <c r="G8" i="18"/>
  <c r="G26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6" i="18" s="1"/>
  <c r="Q176" i="18" s="1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5" i="18" l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4" i="18" s="1"/>
  <c r="P185" i="18" s="1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76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<sst xmlns="http://schemas.openxmlformats.org/spreadsheetml/2006/main" count="617" uniqueCount="428">
  <si>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</si>
  <si>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</si>
  <si>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</si>
  <si>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</si>
  <si>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</si>
  <si>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</si>
  <si>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</si>
  <si>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</si>
  <si>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</si>
  <si>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</si>
  <si>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</si>
  <si>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</si>
  <si>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</si>
  <si>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</si>
  <si>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</si>
  <si>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</si>
  <si>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</si>
  <si>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</si>
  <si>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</si>
  <si>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</si>
  <si>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</si>
  <si>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</si>
  <si>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</si>
  <si>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</si>
  <si>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</si>
  <si>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</si>
  <si>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</si>
  <si>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</si>
  <si>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</si>
  <si>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</si>
  <si>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</si>
  <si>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</si>
  <si>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</si>
  <si>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</si>
  <si>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</si>
  <si>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</si>
  <si>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</si>
  <si>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</si>
  <si>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</si>
  <si>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</si>
  <si>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</si>
  <si>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</si>
  <si>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</si>
  <si>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</si>
  <si>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</si>
  <si>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</si>
  <si>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</si>
  <si>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</si>
  <si>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</si>
  <si>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</si>
  <si>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</si>
  <si>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</si>
  <si>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</si>
  <si>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</si>
  <si>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</si>
  <si>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</si>
  <si>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</si>
  <si>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</si>
  <si>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</si>
  <si>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</si>
  <si>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</si>
  <si>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</si>
  <si>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</si>
  <si>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</si>
  <si>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</si>
  <si>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</si>
  <si>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</si>
  <si>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</si>
  <si>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</si>
  <si>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</si>
  <si>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</si>
  <si>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</si>
  <si>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</si>
  <si>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</si>
  <si>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</si>
  <si>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</si>
  <si>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</si>
  <si>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</si>
  <si>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</si>
  <si>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</si>
  <si>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</si>
  <si>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</si>
  <si>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</si>
  <si>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</si>
  <si>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</si>
  <si>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</si>
  <si>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</si>
  <si>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</si>
  <si>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</si>
  <si>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</si>
  <si>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</si>
  <si>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</si>
  <si>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</si>
  <si>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</si>
  <si>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</si>
  <si>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</si>
  <si>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</si>
  <si>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</si>
  <si>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</si>
  <si>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</si>
  <si>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</si>
  <si>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</si>
  <si>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</si>
  <si>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</si>
  <si>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</si>
  <si>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</si>
  <si>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</si>
  <si>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</si>
  <si>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</si>
  <si>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</si>
  <si>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</si>
  <si>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</si>
  <si>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</si>
  <si>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</si>
  <si>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</si>
  <si>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</si>
  <si>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</si>
  <si>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</si>
  <si>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</si>
  <si>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</si>
  <si>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</si>
  <si>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</si>
  <si>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</si>
  <si>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</si>
  <si>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</si>
  <si>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</si>
  <si>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</si>
  <si>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</si>
  <si>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</si>
  <si>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</si>
  <si>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</si>
  <si>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</si>
  <si>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</si>
  <si>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</si>
  <si>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</si>
  <si>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</si>
  <si>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</si>
  <si>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</si>
  <si>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</si>
  <si>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</si>
  <si>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</si>
  <si>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</si>
  <si>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</si>
  <si>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</si>
  <si>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</si>
  <si>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</si>
  <si>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</si>
  <si>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</si>
  <si>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</si>
  <si>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</si>
  <si>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</si>
  <si>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</si>
  <si>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</si>
  <si>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</si>
  <si>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</si>
  <si>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</si>
  <si>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</si>
  <si>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</si>
  <si>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</si>
  <si>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</si>
  <si>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</si>
  <si>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</si>
  <si>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</si>
  <si>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</si>
  <si>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</si>
  <si>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</si>
  <si>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</si>
  <si>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</si>
  <si>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</si>
  <si>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</si>
  <si>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</si>
  <si>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</si>
  <si>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</si>
  <si>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</si>
  <si>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</si>
  <si>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</si>
  <si>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</si>
  <si>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</si>
  <si>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</si>
  <si>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</si>
  <si>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</si>
  <si>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</si>
  <si>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</si>
  <si>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</si>
  <si>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</si>
  <si>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</si>
  <si>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</si>
  <si>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</si>
  <si>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</si>
  <si>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</si>
  <si>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</si>
  <si>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</si>
  <si>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</si>
  <si>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</si>
  <si>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</si>
  <si>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</si>
  <si>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</si>
  <si>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</si>
  <si>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</si>
  <si>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</si>
  <si>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</si>
  <si>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</si>
  <si>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</si>
  <si>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</si>
  <si>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</si>
  <si>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</si>
  <si>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</si>
  <si>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</si>
  <si>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</si>
  <si>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</si>
  <si>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</si>
  <si>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</si>
  <si>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</si>
  <si>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</si>
  <si>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</si>
  <si>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</si>
  <si>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</si>
  <si>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</si>
  <si>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</si>
  <si>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</si>
  <si>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</si>
  <si>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</si>
  <si>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</si>
  <si>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</si>
  <si>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</si>
  <si>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</si>
  <si>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</si>
  <si>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</si>
  <si>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</si>
  <si>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</si>
  <si>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</si>
  <si>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</si>
  <si>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</si>
  <si>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</si>
  <si>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</si>
  <si>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</si>
  <si>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</si>
  <si>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</si>
  <si>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</si>
  <si>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</si>
  <si>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</si>
  <si>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</si>
  <si>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</si>
  <si>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</si>
  <si>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</si>
  <si>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</si>
  <si>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</si>
  <si>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</si>
  <si>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</si>
  <si>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</si>
  <si>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</si>
  <si>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</si>
  <si>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</si>
  <si>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</si>
  <si>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</si>
  <si>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</si>
  <si>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</si>
  <si>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</si>
  <si>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</si>
  <si>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</si>
  <si>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</si>
  <si>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</si>
  <si>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</si>
  <si>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</si>
  <si>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</si>
  <si>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</si>
  <si>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</si>
  <si>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</si>
  <si>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</si>
  <si>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</si>
  <si>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</si>
  <si>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</si>
  <si>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</si>
  <si>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</si>
  <si>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</si>
  <si>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</si>
  <si>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</si>
  <si>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</si>
  <si>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</si>
  <si>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</si>
  <si>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</si>
  <si>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</si>
  <si>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</si>
  <si>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</si>
  <si>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</si>
  <si>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</si>
  <si>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</si>
  <si>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</si>
  <si>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</si>
  <si>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</si>
  <si>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</si>
  <si>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</si>
  <si>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</si>
  <si>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</si>
  <si>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</si>
  <si>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</si>
  <si>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</si>
  <si>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</si>
  <si>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</si>
  <si>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</si>
  <si>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</si>
  <si>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</si>
  <si>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</si>
  <si>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</si>
  <si>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</si>
  <si>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</si>
  <si>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</si>
  <si>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</si>
  <si>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</si>
  <si>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</si>
  <si>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</si>
  <si>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</si>
  <si>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</si>
  <si>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</si>
  <si>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</si>
  <si>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</si>
  <si>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</si>
  <si>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</si>
  <si>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</si>
  <si>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</si>
  <si>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</si>
  <si>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</si>
  <si>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</si>
  <si>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</si>
  <si>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</si>
  <si>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</si>
  <si>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</si>
  <si>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</si>
  <si>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</si>
  <si>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</si>
  <si>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</si>
  <si>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</si>
  <si>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</si>
  <si>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</si>
  <si>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</si>
  <si>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</si>
  <si>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</si>
  <si>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</si>
  <si>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</si>
  <si>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</si>
  <si>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</si>
  <si>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</si>
  <si>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</si>
  <si>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</si>
  <si>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</si>
  <si>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</si>
  <si>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</si>
  <si>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</si>
  <si>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</si>
  <si>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</si>
  <si>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</si>
  <si>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</si>
  <si>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</si>
  <si>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</si>
  <si>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</si>
  <si>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</si>
  <si>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</si>
  <si>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</si>
  <si>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</si>
  <si>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</si>
  <si>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</si>
  <si>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</si>
  <si>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</si>
  <si>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</si>
  <si>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</si>
  <si>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</si>
  <si>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</si>
  <si>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</si>
  <si>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</si>
  <si>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</si>
  <si>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</si>
  <si>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</si>
  <si>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</si>
  <si>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</si>
  <si>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</si>
  <si>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</si>
  <si>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</si>
  <si>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</si>
  <si>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</si>
  <si>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</si>
  <si>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</si>
  <si>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</si>
  <si>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</si>
  <si>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</si>
  <si>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</si>
  <si>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</si>
  <si>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</si>
  <si>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</si>
  <si>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</si>
  <si>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</si>
  <si>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</si>
  <si>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</si>
  <si>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</si>
  <si>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</si>
  <si>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</si>
  <si>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</si>
  <si>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</si>
  <si>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</si>
  <si>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</si>
  <si>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</si>
  <si>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</si>
  <si>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</si>
  <si>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</si>
  <si>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</si>
  <si>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</si>
  <si>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</si>
  <si>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</si>
  <si>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</si>
  <si>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</si>
  <si>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</si>
  <si>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</si>
  <si>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</si>
  <si>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</si>
  <si>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</si>
  <si>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</si>
  <si>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</si>
  <si>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</si>
  <si>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</si>
  <si>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</si>
  <si>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</si>
  <si>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</si>
  <si>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</si>
  <si>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</si>
  <si>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</si>
  <si>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</si>
  <si>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</si>
  <si>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Top Expenses ( Mfg )</t>
  </si>
  <si>
    <t>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</si>
</sst>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174" fontId="8" fillId="5" borderId="1" xfId="2" applyNumberFormat="1" applyFont="1" applyFill="1" applyBorder="1"/>
    <xf numFmtId="9" fontId="5" fillId="5" borderId="1" xfId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45376"/>
        <c:axId val="48431488"/>
      </c:lineChart>
      <c:catAx>
        <c:axId val="48245376"/>
        <c:scaling>
          <c:orientation val="minMax"/>
        </c:scaling>
        <c:delete val="0"/>
        <c:axPos val="b"/>
        <c:majorTickMark val="out"/>
        <c:minorTickMark val="none"/>
        <c:tickLblPos val="nextTo"/>
        <c:crossAx val="48431488"/>
        <c:crosses val="autoZero"/>
        <c:auto val="1"/>
        <c:lblAlgn val="ctr"/>
        <c:lblOffset val="100"/>
        <c:noMultiLvlLbl val="0"/>
      </c:catAx>
      <c:valAx>
        <c:axId val="48431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24537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318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326</v>
      </c>
      <c r="L1" s="164">
        <v>0.05</v>
      </c>
      <c r="N1" s="104" t="s">
        <v>397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327</v>
      </c>
      <c r="L2" s="164">
        <v>0.15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3" t="s">
        <v>291</v>
      </c>
      <c r="AE2" s="194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5" t="s">
        <v>292</v>
      </c>
      <c r="AE3" s="196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108</v>
      </c>
      <c r="H6" s="147">
        <v>139</v>
      </c>
      <c r="I6" s="147">
        <v>227</v>
      </c>
      <c r="J6" s="147">
        <v>296</v>
      </c>
      <c r="K6" s="147">
        <v>371</v>
      </c>
      <c r="L6" s="147">
        <v>429</v>
      </c>
      <c r="M6" s="147">
        <v>521</v>
      </c>
      <c r="N6" s="147">
        <v>640</v>
      </c>
      <c r="O6" s="147"/>
      <c r="P6" s="147">
        <v>636</v>
      </c>
      <c r="Q6" s="118">
        <f>((P6/G6)^(1/($H$2-$H$1) ))-1</f>
        <v>0.21775315165950704</v>
      </c>
      <c r="R6" s="31">
        <f>$L$2</f>
        <v>0.15</v>
      </c>
      <c r="S6" s="154">
        <f>P6*(1+$R6)</f>
        <v>731.4</v>
      </c>
      <c r="T6" s="154">
        <f>S6*(1+$R6)</f>
        <v>841.1099999999999</v>
      </c>
      <c r="U6" s="154">
        <f t="shared" ref="U6:AB6" si="0">T6*(1+$R6)</f>
        <v>967.27649999999983</v>
      </c>
      <c r="V6" s="154">
        <f t="shared" si="0"/>
        <v>1112.3679749999997</v>
      </c>
      <c r="W6" s="154">
        <f t="shared" si="0"/>
        <v>1279.2231712499995</v>
      </c>
      <c r="X6" s="154">
        <f t="shared" si="0"/>
        <v>1471.1066469374994</v>
      </c>
      <c r="Y6" s="154">
        <f t="shared" si="0"/>
        <v>1691.7726439781241</v>
      </c>
      <c r="Z6" s="154">
        <f t="shared" si="0"/>
        <v>1945.5385405748425</v>
      </c>
      <c r="AA6" s="154">
        <f t="shared" si="0"/>
        <v>2237.3693216610686</v>
      </c>
      <c r="AB6" s="154">
        <f t="shared" si="0"/>
        <v>2572.9747199102289</v>
      </c>
      <c r="AC6" s="138">
        <f>((AB6/G6)^(1/($AB$3-$H$1) ))-1</f>
        <v>0.18161039610469176</v>
      </c>
      <c r="AD6" s="31">
        <f>$L$1</f>
        <v>0.05</v>
      </c>
      <c r="AE6" s="146">
        <f t="shared" ref="AE6:AE43" si="1">(AB6*(1+AD6))/($C$1-AD6)</f>
        <v>15891.902681798476</v>
      </c>
    </row>
    <row r="7" spans="2:31" x14ac:dyDescent="0.2">
      <c r="B7" s="20" t="s">
        <v>240</v>
      </c>
      <c r="C7" s="141"/>
      <c r="D7" s="141"/>
      <c r="E7" s="147"/>
      <c r="F7" s="147"/>
      <c r="G7" s="147">
        <v>132</v>
      </c>
      <c r="H7" s="147">
        <v>163</v>
      </c>
      <c r="I7" s="147">
        <v>251</v>
      </c>
      <c r="J7" s="147">
        <v>319</v>
      </c>
      <c r="K7" s="147">
        <v>394</v>
      </c>
      <c r="L7" s="147">
        <v>453</v>
      </c>
      <c r="M7" s="147">
        <v>545</v>
      </c>
      <c r="N7" s="147">
        <v>663</v>
      </c>
      <c r="O7" s="147"/>
      <c r="P7" s="147">
        <v>660</v>
      </c>
      <c r="Q7" s="118">
        <f>((P7/G7)^(1/($H$2-$H$1) ))-1</f>
        <v>0.19581317450040192</v>
      </c>
      <c r="R7" s="31">
        <f>$L$2</f>
        <v>0.15</v>
      </c>
      <c r="S7" s="154">
        <f t="shared" ref="S7:S16" si="2">P7*(1+$R7)</f>
        <v>758.99999999999989</v>
      </c>
      <c r="T7" s="154">
        <f t="shared" ref="T7:AB7" si="3">S7*(1+$R7)</f>
        <v>872.8499999999998</v>
      </c>
      <c r="U7" s="154">
        <f t="shared" si="3"/>
        <v>1003.7774999999997</v>
      </c>
      <c r="V7" s="154">
        <f t="shared" si="3"/>
        <v>1154.3441249999996</v>
      </c>
      <c r="W7" s="154">
        <f t="shared" si="3"/>
        <v>1327.4957437499995</v>
      </c>
      <c r="X7" s="154">
        <f t="shared" si="3"/>
        <v>1526.6201053124994</v>
      </c>
      <c r="Y7" s="154">
        <f t="shared" si="3"/>
        <v>1755.6131211093741</v>
      </c>
      <c r="Z7" s="154">
        <f t="shared" si="3"/>
        <v>2018.95508927578</v>
      </c>
      <c r="AA7" s="154">
        <f t="shared" si="3"/>
        <v>2321.7983526671469</v>
      </c>
      <c r="AB7" s="154">
        <f t="shared" si="3"/>
        <v>2670.0681055672189</v>
      </c>
      <c r="AC7" s="138">
        <f>((AB7/G7)^(1/($AB$3-$H$1) ))-1</f>
        <v>0.17147797205095339</v>
      </c>
      <c r="AD7" s="31">
        <f>$L$1</f>
        <v>0.05</v>
      </c>
      <c r="AE7" s="146">
        <f t="shared" si="1"/>
        <v>16491.59712262106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0.19018404907975461</v>
      </c>
      <c r="I8" s="151">
        <f t="shared" ref="I8:P8" si="4">(I7-H7)/I7</f>
        <v>0.35059760956175301</v>
      </c>
      <c r="J8" s="151">
        <f t="shared" si="4"/>
        <v>0.21316614420062696</v>
      </c>
      <c r="K8" s="151">
        <f t="shared" si="4"/>
        <v>0.19035532994923857</v>
      </c>
      <c r="L8" s="151">
        <f t="shared" si="4"/>
        <v>0.13024282560706402</v>
      </c>
      <c r="M8" s="151">
        <f t="shared" si="4"/>
        <v>0.16880733944954129</v>
      </c>
      <c r="N8" s="151">
        <f t="shared" si="4"/>
        <v>0.17797888386123681</v>
      </c>
      <c r="O8" s="151" t="e">
        <f t="shared" si="4"/>
        <v>#DIV/0!</v>
      </c>
      <c r="P8" s="151">
        <f t="shared" si="4"/>
        <v>1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51</v>
      </c>
      <c r="H9" s="147">
        <v>65</v>
      </c>
      <c r="I9" s="147">
        <v>83</v>
      </c>
      <c r="J9" s="147">
        <v>104</v>
      </c>
      <c r="K9" s="147">
        <v>106</v>
      </c>
      <c r="L9" s="147">
        <v>117</v>
      </c>
      <c r="M9" s="147">
        <v>143</v>
      </c>
      <c r="N9" s="147">
        <v>169</v>
      </c>
      <c r="O9" s="147"/>
      <c r="P9" s="147">
        <v>175</v>
      </c>
      <c r="Q9" s="118">
        <f t="shared" ref="Q9:Q16" si="5">((P9/G9)^(1/($H$2-$H$1) ))-1</f>
        <v>0.14682309499496493</v>
      </c>
      <c r="R9" s="31">
        <f t="shared" ref="R9:R40" si="6">$L$2</f>
        <v>0.15</v>
      </c>
      <c r="S9" s="154">
        <f t="shared" ref="S9" si="7">P9*(1+$R9)</f>
        <v>201.24999999999997</v>
      </c>
      <c r="T9" s="154">
        <f t="shared" ref="T9" si="8">S9*(1+$R9)</f>
        <v>231.43749999999994</v>
      </c>
      <c r="U9" s="154">
        <f t="shared" ref="U9" si="9">T9*(1+$R9)</f>
        <v>266.15312499999993</v>
      </c>
      <c r="V9" s="154">
        <f t="shared" ref="V9" si="10">U9*(1+$R9)</f>
        <v>306.07609374999987</v>
      </c>
      <c r="W9" s="154">
        <f t="shared" ref="W9" si="11">V9*(1+$R9)</f>
        <v>351.98750781249981</v>
      </c>
      <c r="X9" s="154">
        <f t="shared" ref="X9" si="12">W9*(1+$R9)</f>
        <v>404.78563398437473</v>
      </c>
      <c r="Y9" s="154">
        <f t="shared" ref="Y9" si="13">X9*(1+$R9)</f>
        <v>465.50347908203088</v>
      </c>
      <c r="Z9" s="154">
        <f t="shared" ref="Z9" si="14">Y9*(1+$R9)</f>
        <v>535.32900094433546</v>
      </c>
      <c r="AA9" s="154">
        <f t="shared" ref="AA9" si="15">Z9*(1+$R9)</f>
        <v>615.62835108598574</v>
      </c>
      <c r="AB9" s="154">
        <f t="shared" ref="AB9" si="16">AA9*(1+$R9)</f>
        <v>707.97260374888356</v>
      </c>
      <c r="AC9" s="138">
        <f>((AB9/G9)^(1/($AB$3-$H$1) ))-1</f>
        <v>0.14849405472398591</v>
      </c>
      <c r="AD9" s="31">
        <f t="shared" ref="AD9:AD79" si="17">$L$1</f>
        <v>0.05</v>
      </c>
      <c r="AE9" s="146">
        <f t="shared" si="1"/>
        <v>4372.7719643313403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65</v>
      </c>
      <c r="H10" s="147">
        <v>54</v>
      </c>
      <c r="I10" s="147">
        <v>10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7">
        <v>0</v>
      </c>
      <c r="P10" s="147">
        <v>0</v>
      </c>
      <c r="Q10" s="118">
        <f t="shared" si="5"/>
        <v>-1</v>
      </c>
      <c r="R10" s="31">
        <f t="shared" si="6"/>
        <v>0.15</v>
      </c>
      <c r="S10" s="154">
        <f t="shared" si="2"/>
        <v>0</v>
      </c>
      <c r="T10" s="154">
        <f t="shared" ref="T10:AB10" si="18">S10*(1+$R10)</f>
        <v>0</v>
      </c>
      <c r="U10" s="154">
        <f t="shared" si="18"/>
        <v>0</v>
      </c>
      <c r="V10" s="154">
        <f t="shared" si="18"/>
        <v>0</v>
      </c>
      <c r="W10" s="154">
        <f t="shared" si="18"/>
        <v>0</v>
      </c>
      <c r="X10" s="154">
        <f t="shared" si="18"/>
        <v>0</v>
      </c>
      <c r="Y10" s="154">
        <f t="shared" si="18"/>
        <v>0</v>
      </c>
      <c r="Z10" s="154">
        <f t="shared" si="18"/>
        <v>0</v>
      </c>
      <c r="AA10" s="154">
        <f t="shared" si="18"/>
        <v>0</v>
      </c>
      <c r="AB10" s="154">
        <f t="shared" si="18"/>
        <v>0</v>
      </c>
      <c r="AC10" s="138">
        <f t="shared" ref="AC10:AC42" si="19">((AB10/G10)^(1/($AB$3-$H$1) ))-1</f>
        <v>-1</v>
      </c>
      <c r="AD10" s="31">
        <f t="shared" si="17"/>
        <v>0.05</v>
      </c>
      <c r="AE10" s="146">
        <f t="shared" si="1"/>
        <v>0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-0.20370370370370369</v>
      </c>
      <c r="I11" s="148">
        <f t="shared" si="20"/>
        <v>-4.4000000000000004</v>
      </c>
      <c r="J11" s="148" t="e">
        <f t="shared" si="20"/>
        <v>#DIV/0!</v>
      </c>
      <c r="K11" s="148" t="e">
        <f t="shared" si="20"/>
        <v>#DIV/0!</v>
      </c>
      <c r="L11" s="148" t="e">
        <f t="shared" si="20"/>
        <v>#DIV/0!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48" t="e">
        <f t="shared" si="20"/>
        <v>#DIV/0!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f>5.7+0.5</f>
        <v>6.2</v>
      </c>
      <c r="H12" s="147">
        <f>7.56+0.05</f>
        <v>7.6099999999999994</v>
      </c>
      <c r="I12" s="147">
        <v>13</v>
      </c>
      <c r="J12" s="147">
        <v>32</v>
      </c>
      <c r="K12" s="147">
        <v>48</v>
      </c>
      <c r="L12" s="147">
        <v>26</v>
      </c>
      <c r="M12" s="147">
        <v>35</v>
      </c>
      <c r="N12" s="147">
        <v>38</v>
      </c>
      <c r="O12" s="147"/>
      <c r="P12" s="147">
        <v>242</v>
      </c>
      <c r="Q12" s="118">
        <f t="shared" si="5"/>
        <v>0.50253588467952315</v>
      </c>
      <c r="R12" s="31">
        <f t="shared" si="6"/>
        <v>0.15</v>
      </c>
      <c r="S12" s="154">
        <f t="shared" si="2"/>
        <v>278.29999999999995</v>
      </c>
      <c r="T12" s="154">
        <f t="shared" ref="T12:AB12" si="21">S12*(1+$R12)</f>
        <v>320.0449999999999</v>
      </c>
      <c r="U12" s="154">
        <f t="shared" si="21"/>
        <v>368.05174999999986</v>
      </c>
      <c r="V12" s="154">
        <f t="shared" si="21"/>
        <v>423.2595124999998</v>
      </c>
      <c r="W12" s="154">
        <f t="shared" si="21"/>
        <v>486.74843937499975</v>
      </c>
      <c r="X12" s="154">
        <f t="shared" si="21"/>
        <v>559.76070528124967</v>
      </c>
      <c r="Y12" s="154">
        <f t="shared" si="21"/>
        <v>643.72481107343708</v>
      </c>
      <c r="Z12" s="154">
        <f t="shared" si="21"/>
        <v>740.28353273445259</v>
      </c>
      <c r="AA12" s="154">
        <f t="shared" si="21"/>
        <v>851.32606264462038</v>
      </c>
      <c r="AB12" s="154">
        <f t="shared" si="21"/>
        <v>979.02497204131339</v>
      </c>
      <c r="AC12" s="138">
        <f t="shared" si="19"/>
        <v>0.30528507631682844</v>
      </c>
      <c r="AD12" s="31">
        <f t="shared" si="17"/>
        <v>0.05</v>
      </c>
      <c r="AE12" s="146">
        <f t="shared" si="1"/>
        <v>6046.918944961054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30</v>
      </c>
      <c r="H13" s="147">
        <v>14</v>
      </c>
      <c r="I13" s="147">
        <v>27</v>
      </c>
      <c r="J13" s="147">
        <v>63</v>
      </c>
      <c r="K13" s="147">
        <v>71</v>
      </c>
      <c r="L13" s="147">
        <v>105</v>
      </c>
      <c r="M13" s="147">
        <v>97</v>
      </c>
      <c r="N13" s="147">
        <v>74</v>
      </c>
      <c r="O13" s="147"/>
      <c r="P13" s="147">
        <v>23</v>
      </c>
      <c r="Q13" s="118">
        <f t="shared" si="5"/>
        <v>-2.909103987625028E-2</v>
      </c>
      <c r="R13" s="31">
        <f t="shared" si="6"/>
        <v>0.15</v>
      </c>
      <c r="S13" s="154">
        <f t="shared" si="2"/>
        <v>26.45</v>
      </c>
      <c r="T13" s="154">
        <f t="shared" ref="T13:AB13" si="22">S13*(1+$R13)</f>
        <v>30.417499999999997</v>
      </c>
      <c r="U13" s="154">
        <f t="shared" si="22"/>
        <v>34.980124999999994</v>
      </c>
      <c r="V13" s="154">
        <f t="shared" si="22"/>
        <v>40.227143749999989</v>
      </c>
      <c r="W13" s="154">
        <f t="shared" si="22"/>
        <v>46.261215312499985</v>
      </c>
      <c r="X13" s="154">
        <f t="shared" si="22"/>
        <v>53.200397609374981</v>
      </c>
      <c r="Y13" s="154">
        <f t="shared" si="22"/>
        <v>61.180457250781224</v>
      </c>
      <c r="Z13" s="154">
        <f t="shared" si="22"/>
        <v>70.357525838398402</v>
      </c>
      <c r="AA13" s="154">
        <f t="shared" si="22"/>
        <v>80.911154714158158</v>
      </c>
      <c r="AB13" s="154">
        <f t="shared" si="22"/>
        <v>93.047827921281879</v>
      </c>
      <c r="AC13" s="138">
        <f t="shared" si="19"/>
        <v>6.1384873548766095E-2</v>
      </c>
      <c r="AD13" s="31">
        <f t="shared" si="17"/>
        <v>0.05</v>
      </c>
      <c r="AE13" s="146">
        <f t="shared" si="1"/>
        <v>574.70717245497644</v>
      </c>
    </row>
    <row r="14" spans="2:31" x14ac:dyDescent="0.2">
      <c r="B14" s="20" t="s">
        <v>372</v>
      </c>
      <c r="C14" s="141"/>
      <c r="D14" s="141"/>
      <c r="E14" s="147"/>
      <c r="F14" s="147"/>
      <c r="G14" s="147">
        <v>1.2</v>
      </c>
      <c r="H14" s="147">
        <v>1.7</v>
      </c>
      <c r="I14" s="147">
        <v>1.76</v>
      </c>
      <c r="J14" s="147">
        <v>2</v>
      </c>
      <c r="K14" s="147">
        <v>2</v>
      </c>
      <c r="L14" s="147">
        <v>2</v>
      </c>
      <c r="M14" s="147">
        <v>2</v>
      </c>
      <c r="N14" s="147">
        <v>2</v>
      </c>
      <c r="O14" s="147"/>
      <c r="P14" s="147">
        <v>2</v>
      </c>
      <c r="Q14" s="118">
        <f t="shared" ref="Q14" si="23">((P14/G14)^(1/($H$2-$H$1) ))-1</f>
        <v>5.840007284126747E-2</v>
      </c>
      <c r="R14" s="31">
        <f t="shared" si="6"/>
        <v>0.15</v>
      </c>
      <c r="S14" s="154">
        <f t="shared" ref="S14" si="24">P14*(1+$R14)</f>
        <v>2.2999999999999998</v>
      </c>
      <c r="T14" s="154">
        <f t="shared" ref="T14" si="25">S14*(1+$R14)</f>
        <v>2.6449999999999996</v>
      </c>
      <c r="U14" s="154">
        <f t="shared" ref="U14" si="26">T14*(1+$R14)</f>
        <v>3.0417499999999991</v>
      </c>
      <c r="V14" s="154">
        <f t="shared" ref="V14" si="27">U14*(1+$R14)</f>
        <v>3.4980124999999989</v>
      </c>
      <c r="W14" s="154">
        <f t="shared" ref="W14" si="28">V14*(1+$R14)</f>
        <v>4.0227143749999987</v>
      </c>
      <c r="X14" s="154">
        <f t="shared" ref="X14" si="29">W14*(1+$R14)</f>
        <v>4.6261215312499981</v>
      </c>
      <c r="Y14" s="154">
        <f t="shared" ref="Y14" si="30">X14*(1+$R14)</f>
        <v>5.3200397609374974</v>
      </c>
      <c r="Z14" s="154">
        <f t="shared" ref="Z14" si="31">Y14*(1+$R14)</f>
        <v>6.1180457250781215</v>
      </c>
      <c r="AA14" s="154">
        <f t="shared" ref="AA14" si="32">Z14*(1+$R14)</f>
        <v>7.0357525838398391</v>
      </c>
      <c r="AB14" s="154">
        <f t="shared" ref="AB14" si="33">AA14*(1+$R14)</f>
        <v>8.0911154714158151</v>
      </c>
      <c r="AC14" s="138">
        <f t="shared" ref="AC14" si="34">((AB14/G14)^(1/($AB$3-$H$1) ))-1</f>
        <v>0.10566224941368718</v>
      </c>
      <c r="AD14" s="31">
        <f t="shared" si="17"/>
        <v>0.05</v>
      </c>
      <c r="AE14" s="146">
        <f t="shared" ref="AE14" si="35">(AB14*(1+AD14))/($C$1-AD14)</f>
        <v>49.974536735215338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52.4</v>
      </c>
      <c r="H15" s="147">
        <v>66</v>
      </c>
      <c r="I15" s="147">
        <v>103</v>
      </c>
      <c r="J15" s="147">
        <v>141</v>
      </c>
      <c r="K15" s="147">
        <v>166</v>
      </c>
      <c r="L15" s="147">
        <v>151</v>
      </c>
      <c r="M15" s="147">
        <v>191</v>
      </c>
      <c r="N15" s="147">
        <v>229</v>
      </c>
      <c r="O15" s="147"/>
      <c r="P15" s="147">
        <v>471</v>
      </c>
      <c r="Q15" s="118">
        <f t="shared" si="5"/>
        <v>0.27633745281160715</v>
      </c>
      <c r="R15" s="31">
        <f t="shared" si="6"/>
        <v>0.15</v>
      </c>
      <c r="S15" s="154">
        <f t="shared" si="2"/>
        <v>541.65</v>
      </c>
      <c r="T15" s="154">
        <f t="shared" ref="T15:AB15" si="36">S15*(1+$R15)</f>
        <v>622.89749999999992</v>
      </c>
      <c r="U15" s="154">
        <f t="shared" si="36"/>
        <v>716.33212499999991</v>
      </c>
      <c r="V15" s="154">
        <f t="shared" si="36"/>
        <v>823.78194374999987</v>
      </c>
      <c r="W15" s="154">
        <f t="shared" si="36"/>
        <v>947.34923531249979</v>
      </c>
      <c r="X15" s="154">
        <f t="shared" si="36"/>
        <v>1089.4516206093747</v>
      </c>
      <c r="Y15" s="154">
        <f t="shared" si="36"/>
        <v>1252.8693637007807</v>
      </c>
      <c r="Z15" s="154">
        <f t="shared" si="36"/>
        <v>1440.7997682558978</v>
      </c>
      <c r="AA15" s="154">
        <f t="shared" si="36"/>
        <v>1656.9197334942824</v>
      </c>
      <c r="AB15" s="154">
        <f t="shared" si="36"/>
        <v>1905.4576935184245</v>
      </c>
      <c r="AC15" s="138">
        <f t="shared" si="19"/>
        <v>0.20820442588084176</v>
      </c>
      <c r="AD15" s="31">
        <f t="shared" si="17"/>
        <v>0.05</v>
      </c>
      <c r="AE15" s="146">
        <f t="shared" si="1"/>
        <v>11769.003401143211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19</v>
      </c>
      <c r="H16" s="147">
        <v>25.21</v>
      </c>
      <c r="I16" s="147">
        <v>62.5</v>
      </c>
      <c r="J16" s="147">
        <v>92</v>
      </c>
      <c r="K16" s="147">
        <v>11</v>
      </c>
      <c r="L16" s="147">
        <v>102</v>
      </c>
      <c r="M16" s="147">
        <v>238</v>
      </c>
      <c r="N16" s="147">
        <v>349</v>
      </c>
      <c r="O16" s="147"/>
      <c r="P16" s="147">
        <v>404</v>
      </c>
      <c r="Q16" s="118">
        <f t="shared" si="5"/>
        <v>0.404475591677391</v>
      </c>
      <c r="R16" s="31">
        <f t="shared" si="6"/>
        <v>0.15</v>
      </c>
      <c r="S16" s="154">
        <f t="shared" si="2"/>
        <v>464.59999999999997</v>
      </c>
      <c r="T16" s="154">
        <f t="shared" ref="T16:AB16" si="37">S16*(1+$R16)</f>
        <v>534.29</v>
      </c>
      <c r="U16" s="154">
        <f t="shared" si="37"/>
        <v>614.43349999999987</v>
      </c>
      <c r="V16" s="154">
        <f t="shared" si="37"/>
        <v>706.59852499999977</v>
      </c>
      <c r="W16" s="154">
        <f t="shared" si="37"/>
        <v>812.58830374999968</v>
      </c>
      <c r="X16" s="154">
        <f t="shared" si="37"/>
        <v>934.47654931249951</v>
      </c>
      <c r="Y16" s="154">
        <f t="shared" si="37"/>
        <v>1074.6480317093744</v>
      </c>
      <c r="Z16" s="154">
        <f t="shared" si="37"/>
        <v>1235.8452364657805</v>
      </c>
      <c r="AA16" s="154">
        <f t="shared" si="37"/>
        <v>1421.2220219356475</v>
      </c>
      <c r="AB16" s="154">
        <f t="shared" si="37"/>
        <v>1634.4053252259944</v>
      </c>
      <c r="AC16" s="138">
        <f t="shared" si="19"/>
        <v>0.26421627584680407</v>
      </c>
      <c r="AD16" s="31">
        <f t="shared" si="17"/>
        <v>0.05</v>
      </c>
      <c r="AE16" s="146">
        <f t="shared" si="1"/>
        <v>10094.856420513495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142</v>
      </c>
      <c r="H18" s="147">
        <v>176</v>
      </c>
      <c r="I18" s="147">
        <v>170</v>
      </c>
      <c r="J18" s="147">
        <v>161</v>
      </c>
      <c r="K18" s="147">
        <v>174</v>
      </c>
      <c r="L18" s="147">
        <v>172</v>
      </c>
      <c r="M18" s="147">
        <v>184</v>
      </c>
      <c r="N18" s="147">
        <v>233</v>
      </c>
      <c r="O18" s="147"/>
      <c r="P18" s="147">
        <v>228</v>
      </c>
      <c r="Q18" s="118">
        <f>((P18/G18)^(1/($H$2-$H$1) ))-1</f>
        <v>5.4021843823661264E-2</v>
      </c>
      <c r="R18" s="31">
        <f t="shared" si="6"/>
        <v>0.15</v>
      </c>
      <c r="S18" s="154">
        <f t="shared" ref="S18:S34" si="38">P18*(1+$R18)</f>
        <v>262.2</v>
      </c>
      <c r="T18" s="154">
        <f t="shared" ref="T18:T34" si="39">S18*(1+$R18)</f>
        <v>301.52999999999997</v>
      </c>
      <c r="U18" s="154">
        <f t="shared" ref="U18:U34" si="40">T18*(1+$R18)</f>
        <v>346.75949999999995</v>
      </c>
      <c r="V18" s="154">
        <f t="shared" ref="V18:V34" si="41">U18*(1+$R18)</f>
        <v>398.77342499999992</v>
      </c>
      <c r="W18" s="154">
        <f t="shared" ref="W18:W36" si="42">V18*(1+$R18)</f>
        <v>458.58943874999989</v>
      </c>
      <c r="X18" s="154">
        <f t="shared" ref="X18:X36" si="43">W18*(1+$R18)</f>
        <v>527.37785456249981</v>
      </c>
      <c r="Y18" s="154">
        <f t="shared" ref="Y18:Y36" si="44">X18*(1+$R18)</f>
        <v>606.48453274687472</v>
      </c>
      <c r="Z18" s="154">
        <f t="shared" ref="Z18:Z36" si="45">Y18*(1+$R18)</f>
        <v>697.45721265890586</v>
      </c>
      <c r="AA18" s="154">
        <f t="shared" ref="AA18:AA36" si="46">Z18*(1+$R18)</f>
        <v>802.07579455774169</v>
      </c>
      <c r="AB18" s="154">
        <f t="shared" ref="AB18:AB36" si="47">AA18*(1+$R18)</f>
        <v>922.3871637414029</v>
      </c>
      <c r="AC18" s="138">
        <f t="shared" si="19"/>
        <v>0.10349337945698212</v>
      </c>
      <c r="AD18" s="31">
        <f t="shared" si="17"/>
        <v>0.05</v>
      </c>
      <c r="AE18" s="146">
        <f t="shared" si="1"/>
        <v>5697.0971878145474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0.15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0.15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0.15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0.15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355</v>
      </c>
      <c r="H25" s="147">
        <v>462</v>
      </c>
      <c r="I25" s="147">
        <v>669</v>
      </c>
      <c r="J25" s="147">
        <v>812</v>
      </c>
      <c r="K25" s="147">
        <v>983</v>
      </c>
      <c r="L25" s="147">
        <v>915</v>
      </c>
      <c r="M25" s="147">
        <v>1154</v>
      </c>
      <c r="N25" s="147">
        <v>1516</v>
      </c>
      <c r="O25" s="147"/>
      <c r="P25" s="147">
        <v>2211</v>
      </c>
      <c r="Q25" s="118">
        <f>((P25/G25)^(1/($H$2-$H$1) ))-1</f>
        <v>0.22535595441454737</v>
      </c>
      <c r="R25" s="31">
        <f t="shared" si="6"/>
        <v>0.15</v>
      </c>
      <c r="S25" s="154">
        <f t="shared" si="38"/>
        <v>2542.6499999999996</v>
      </c>
      <c r="T25" s="154">
        <f t="shared" si="39"/>
        <v>2924.0474999999992</v>
      </c>
      <c r="U25" s="154">
        <f t="shared" si="40"/>
        <v>3362.6546249999988</v>
      </c>
      <c r="V25" s="154">
        <f t="shared" si="41"/>
        <v>3867.0528187499981</v>
      </c>
      <c r="W25" s="154">
        <f t="shared" si="42"/>
        <v>4447.1107415624974</v>
      </c>
      <c r="X25" s="154">
        <f t="shared" si="43"/>
        <v>5114.1773527968717</v>
      </c>
      <c r="Y25" s="154">
        <f t="shared" si="44"/>
        <v>5881.303955716402</v>
      </c>
      <c r="Z25" s="154">
        <f t="shared" si="45"/>
        <v>6763.499549073862</v>
      </c>
      <c r="AA25" s="154">
        <f t="shared" si="46"/>
        <v>7778.0244814349408</v>
      </c>
      <c r="AB25" s="154">
        <f t="shared" si="47"/>
        <v>8944.7281536501814</v>
      </c>
      <c r="AC25" s="138">
        <f t="shared" si="19"/>
        <v>0.18509911367655141</v>
      </c>
      <c r="AD25" s="31">
        <f t="shared" si="17"/>
        <v>0.05</v>
      </c>
      <c r="AE25" s="146">
        <f t="shared" si="1"/>
        <v>55246.850360780532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0.23160173160173161</v>
      </c>
      <c r="I26" s="148">
        <f t="shared" ref="I26" si="70">(I25-H25)/I25</f>
        <v>0.3094170403587444</v>
      </c>
      <c r="J26" s="148">
        <f t="shared" ref="J26" si="71">(J25-I25)/J25</f>
        <v>0.17610837438423646</v>
      </c>
      <c r="K26" s="148">
        <f t="shared" ref="K26" si="72">(K25-J25)/K25</f>
        <v>0.17395727365208546</v>
      </c>
      <c r="L26" s="148">
        <f t="shared" ref="L26" si="73">(L25-K25)/L25</f>
        <v>-7.4316939890710379E-2</v>
      </c>
      <c r="M26" s="148">
        <f t="shared" ref="M26" si="74">(M25-L25)/M25</f>
        <v>0.20710571923743501</v>
      </c>
      <c r="N26" s="148">
        <f t="shared" ref="N26" si="75">(N25-M25)/N25</f>
        <v>0.23878627968337732</v>
      </c>
      <c r="O26" s="148" t="e">
        <f t="shared" ref="O26" si="76">(O25-N25)/O25</f>
        <v>#DIV/0!</v>
      </c>
      <c r="P26" s="148">
        <f t="shared" ref="P26" si="77">(P25-O25)/P25</f>
        <v>1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298</v>
      </c>
      <c r="H27" s="147">
        <v>381</v>
      </c>
      <c r="I27" s="147">
        <v>566</v>
      </c>
      <c r="J27" s="147">
        <v>679</v>
      </c>
      <c r="K27" s="147">
        <v>849</v>
      </c>
      <c r="L27" s="147">
        <v>802</v>
      </c>
      <c r="M27" s="147">
        <v>993</v>
      </c>
      <c r="N27" s="147">
        <v>1313</v>
      </c>
      <c r="O27" s="147"/>
      <c r="P27" s="147">
        <v>1902</v>
      </c>
      <c r="Q27" s="118">
        <f>((P27/G27)^(1/($H$2-$H$1) ))-1</f>
        <v>0.2286941920276595</v>
      </c>
      <c r="R27" s="31">
        <f t="shared" si="6"/>
        <v>0.15</v>
      </c>
      <c r="S27" s="154">
        <f t="shared" si="38"/>
        <v>2187.2999999999997</v>
      </c>
      <c r="T27" s="154">
        <f t="shared" si="39"/>
        <v>2515.3949999999995</v>
      </c>
      <c r="U27" s="154">
        <f t="shared" si="40"/>
        <v>2892.7042499999993</v>
      </c>
      <c r="V27" s="154">
        <f t="shared" si="41"/>
        <v>3326.6098874999989</v>
      </c>
      <c r="W27" s="154">
        <f t="shared" si="42"/>
        <v>3825.6013706249983</v>
      </c>
      <c r="X27" s="154">
        <f t="shared" si="43"/>
        <v>4399.4415762187473</v>
      </c>
      <c r="Y27" s="154">
        <f t="shared" si="44"/>
        <v>5059.3578126515586</v>
      </c>
      <c r="Z27" s="154">
        <f t="shared" si="45"/>
        <v>5818.2614845492917</v>
      </c>
      <c r="AA27" s="154">
        <f t="shared" si="46"/>
        <v>6691.0007072316848</v>
      </c>
      <c r="AB27" s="154">
        <f t="shared" si="47"/>
        <v>7694.6508133164371</v>
      </c>
      <c r="AC27" s="138">
        <f t="shared" si="19"/>
        <v>0.1866273394756397</v>
      </c>
      <c r="AD27" s="31">
        <f t="shared" si="17"/>
        <v>0.05</v>
      </c>
      <c r="AE27" s="146">
        <f t="shared" si="1"/>
        <v>47525.784435189766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0.2178477690288714</v>
      </c>
      <c r="I28" s="148">
        <f t="shared" si="78"/>
        <v>0.32685512367491165</v>
      </c>
      <c r="J28" s="148">
        <f t="shared" si="78"/>
        <v>0.16642120765832105</v>
      </c>
      <c r="K28" s="148">
        <f t="shared" si="78"/>
        <v>0.20023557126030625</v>
      </c>
      <c r="L28" s="148">
        <f t="shared" si="78"/>
        <v>-5.8603491271820449E-2</v>
      </c>
      <c r="M28" s="148">
        <f t="shared" si="78"/>
        <v>0.19234642497482377</v>
      </c>
      <c r="N28" s="148">
        <f t="shared" ref="N28" si="79">(N27-M27)/N27</f>
        <v>0.24371667936024372</v>
      </c>
      <c r="O28" s="148" t="e">
        <f t="shared" ref="O28" si="80">(O27-N27)/O27</f>
        <v>#DIV/0!</v>
      </c>
      <c r="P28" s="148">
        <f t="shared" ref="P28" si="81">(P27-O27)/P27</f>
        <v>1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323</v>
      </c>
      <c r="C29" s="149"/>
      <c r="D29" s="149"/>
      <c r="E29" s="150"/>
      <c r="F29" s="147"/>
      <c r="G29" s="147">
        <v>5.2</v>
      </c>
      <c r="H29" s="147">
        <v>6.5</v>
      </c>
      <c r="I29" s="147">
        <v>2.5</v>
      </c>
      <c r="J29" s="147">
        <v>1.5</v>
      </c>
      <c r="K29" s="147">
        <v>1.5</v>
      </c>
      <c r="L29" s="147">
        <v>1.6</v>
      </c>
      <c r="M29" s="147">
        <v>1.2</v>
      </c>
      <c r="N29" s="147">
        <v>1.6</v>
      </c>
      <c r="O29" s="147"/>
      <c r="P29" s="147">
        <v>0.01</v>
      </c>
      <c r="Q29" s="118">
        <f>((P29/G29)^(1/($H$2-$H$1) ))-1</f>
        <v>-0.50086060220932371</v>
      </c>
      <c r="R29" s="31">
        <f t="shared" si="6"/>
        <v>0.15</v>
      </c>
      <c r="S29" s="154">
        <f t="shared" ref="S29" si="82">P29*(1+$R29)</f>
        <v>1.15E-2</v>
      </c>
      <c r="T29" s="154">
        <f t="shared" ref="T29" si="83">S29*(1+$R29)</f>
        <v>1.3224999999999999E-2</v>
      </c>
      <c r="U29" s="154">
        <f t="shared" ref="U29" si="84">T29*(1+$R29)</f>
        <v>1.5208749999999998E-2</v>
      </c>
      <c r="V29" s="154">
        <f t="shared" ref="V29" si="85">U29*(1+$R29)</f>
        <v>1.7490062499999997E-2</v>
      </c>
      <c r="W29" s="154">
        <f t="shared" ref="W29" si="86">V29*(1+$R29)</f>
        <v>2.0113571874999996E-2</v>
      </c>
      <c r="X29" s="154">
        <f t="shared" ref="X29" si="87">W29*(1+$R29)</f>
        <v>2.3130607656249993E-2</v>
      </c>
      <c r="Y29" s="154">
        <f t="shared" ref="Y29" si="88">X29*(1+$R29)</f>
        <v>2.6600198804687489E-2</v>
      </c>
      <c r="Z29" s="154">
        <f t="shared" ref="Z29" si="89">Y29*(1+$R29)</f>
        <v>3.0590228625390611E-2</v>
      </c>
      <c r="AA29" s="154">
        <f t="shared" ref="AA29" si="90">Z29*(1+$R29)</f>
        <v>3.5178762919199198E-2</v>
      </c>
      <c r="AB29" s="154">
        <f t="shared" ref="AB29" si="91">AA29*(1+$R29)</f>
        <v>4.0455577357079074E-2</v>
      </c>
      <c r="AC29" s="138">
        <f t="shared" ref="AC29" si="92">((AB29/G29)^(1/($AB$3-$H$1) ))-1</f>
        <v>-0.22554054297209614</v>
      </c>
      <c r="AD29" s="31">
        <f t="shared" si="17"/>
        <v>0.05</v>
      </c>
      <c r="AE29" s="146">
        <f t="shared" ref="AE29" si="93">(AB29*(1+AD29))/($C$1-AD29)</f>
        <v>0.24987268367607668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0.19999999999999998</v>
      </c>
      <c r="I30" s="148">
        <f t="shared" si="94"/>
        <v>-1.6</v>
      </c>
      <c r="J30" s="148">
        <f t="shared" si="94"/>
        <v>-0.66666666666666663</v>
      </c>
      <c r="K30" s="148">
        <f t="shared" si="94"/>
        <v>0</v>
      </c>
      <c r="L30" s="148">
        <f t="shared" si="94"/>
        <v>6.2500000000000056E-2</v>
      </c>
      <c r="M30" s="148">
        <f t="shared" ref="M30" si="95">(M29-L29)/M29</f>
        <v>-0.33333333333333348</v>
      </c>
      <c r="N30" s="148">
        <f t="shared" ref="N30" si="96">(N29-M29)/N29</f>
        <v>0.25000000000000006</v>
      </c>
      <c r="O30" s="148" t="e">
        <f t="shared" ref="O30" si="97">(O29-N29)/O29</f>
        <v>#DIV/0!</v>
      </c>
      <c r="P30" s="148">
        <f t="shared" ref="P30" si="98">(P29-O29)/P29</f>
        <v>1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331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0.15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330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0.15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426</v>
      </c>
      <c r="C33" s="141"/>
      <c r="D33" s="141"/>
      <c r="E33" s="147"/>
      <c r="F33" s="147"/>
      <c r="G33" s="147">
        <v>214</v>
      </c>
      <c r="H33" s="147">
        <v>270</v>
      </c>
      <c r="I33" s="147">
        <v>426</v>
      </c>
      <c r="J33" s="147">
        <v>502</v>
      </c>
      <c r="K33" s="147">
        <v>636</v>
      </c>
      <c r="L33" s="147">
        <v>586</v>
      </c>
      <c r="M33" s="147">
        <v>748</v>
      </c>
      <c r="N33" s="147">
        <v>1008</v>
      </c>
      <c r="O33" s="147"/>
      <c r="P33" s="147">
        <v>1410</v>
      </c>
      <c r="Q33" s="118">
        <f>((P33/G33)^(1/($H$2-$H$1) ))-1</f>
        <v>0.23304342301194225</v>
      </c>
      <c r="R33" s="31">
        <f t="shared" si="6"/>
        <v>0.15</v>
      </c>
      <c r="S33" s="154">
        <f t="shared" si="38"/>
        <v>1621.4999999999998</v>
      </c>
      <c r="T33" s="154">
        <f t="shared" si="39"/>
        <v>1864.7249999999997</v>
      </c>
      <c r="U33" s="154">
        <f t="shared" si="40"/>
        <v>2144.4337499999997</v>
      </c>
      <c r="V33" s="154">
        <f t="shared" si="41"/>
        <v>2466.0988124999994</v>
      </c>
      <c r="W33" s="154">
        <f t="shared" si="42"/>
        <v>2836.0136343749991</v>
      </c>
      <c r="X33" s="154">
        <f t="shared" si="43"/>
        <v>3261.4156795312488</v>
      </c>
      <c r="Y33" s="154">
        <f t="shared" si="44"/>
        <v>3750.6280314609357</v>
      </c>
      <c r="Z33" s="154">
        <f t="shared" si="45"/>
        <v>4313.2222361800759</v>
      </c>
      <c r="AA33" s="154">
        <f t="shared" si="46"/>
        <v>4960.2055716070872</v>
      </c>
      <c r="AB33" s="154">
        <f t="shared" si="47"/>
        <v>5704.2364073481494</v>
      </c>
      <c r="AC33" s="138">
        <f t="shared" si="19"/>
        <v>0.18861511765205408</v>
      </c>
      <c r="AD33" s="31">
        <f t="shared" si="17"/>
        <v>0.05</v>
      </c>
      <c r="AE33" s="146">
        <f t="shared" si="1"/>
        <v>35232.048398326813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56</v>
      </c>
      <c r="H34" s="147">
        <v>77</v>
      </c>
      <c r="I34" s="147">
        <v>97</v>
      </c>
      <c r="J34" s="147">
        <v>117</v>
      </c>
      <c r="K34" s="147">
        <v>134</v>
      </c>
      <c r="L34" s="147">
        <v>136</v>
      </c>
      <c r="M34" s="147">
        <v>150</v>
      </c>
      <c r="N34" s="147">
        <v>185</v>
      </c>
      <c r="O34" s="147"/>
      <c r="P34" s="147">
        <v>300</v>
      </c>
      <c r="Q34" s="118">
        <f>((P34/G34)^(1/($H$2-$H$1) ))-1</f>
        <v>0.20501535466806864</v>
      </c>
      <c r="R34" s="31">
        <f t="shared" si="6"/>
        <v>0.15</v>
      </c>
      <c r="S34" s="154">
        <f t="shared" si="38"/>
        <v>345</v>
      </c>
      <c r="T34" s="154">
        <f t="shared" si="39"/>
        <v>396.74999999999994</v>
      </c>
      <c r="U34" s="154">
        <f t="shared" si="40"/>
        <v>456.26249999999987</v>
      </c>
      <c r="V34" s="154">
        <f t="shared" si="41"/>
        <v>524.70187499999986</v>
      </c>
      <c r="W34" s="154">
        <f t="shared" si="42"/>
        <v>603.40715624999984</v>
      </c>
      <c r="X34" s="154">
        <f t="shared" si="43"/>
        <v>693.91822968749977</v>
      </c>
      <c r="Y34" s="154">
        <f t="shared" si="44"/>
        <v>798.00596414062466</v>
      </c>
      <c r="Z34" s="154">
        <f t="shared" si="45"/>
        <v>917.70685876171831</v>
      </c>
      <c r="AA34" s="154">
        <f t="shared" si="46"/>
        <v>1055.3628875759759</v>
      </c>
      <c r="AB34" s="154">
        <f t="shared" si="47"/>
        <v>1213.6673207123722</v>
      </c>
      <c r="AC34" s="138">
        <f t="shared" si="19"/>
        <v>0.1757395799714061</v>
      </c>
      <c r="AD34" s="31">
        <f t="shared" si="17"/>
        <v>0.05</v>
      </c>
      <c r="AE34" s="146">
        <f t="shared" si="1"/>
        <v>7496.1805102823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56</v>
      </c>
      <c r="H36" s="147">
        <v>78</v>
      </c>
      <c r="I36" s="147">
        <v>105</v>
      </c>
      <c r="J36" s="147">
        <v>132.6</v>
      </c>
      <c r="K36" s="147">
        <v>127</v>
      </c>
      <c r="L36" s="147">
        <v>106</v>
      </c>
      <c r="M36" s="147">
        <v>157</v>
      </c>
      <c r="N36" s="147">
        <v>179</v>
      </c>
      <c r="O36" s="147"/>
      <c r="P36" s="147">
        <v>269</v>
      </c>
      <c r="Q36" s="118">
        <f>((P36/G36)^(1/($H$2-$H$1) ))-1</f>
        <v>0.190499895019554</v>
      </c>
      <c r="R36" s="31">
        <f t="shared" si="6"/>
        <v>0.15</v>
      </c>
      <c r="S36" s="154">
        <f t="shared" ref="S36" si="102">P36*(1+$R36)</f>
        <v>309.34999999999997</v>
      </c>
      <c r="T36" s="154">
        <f t="shared" ref="T36" si="103">S36*(1+$R36)</f>
        <v>355.75249999999994</v>
      </c>
      <c r="U36" s="154">
        <f t="shared" ref="U36" si="104">T36*(1+$R36)</f>
        <v>409.11537499999991</v>
      </c>
      <c r="V36" s="154">
        <f t="shared" ref="V36" si="105">U36*(1+$R36)</f>
        <v>470.48268124999987</v>
      </c>
      <c r="W36" s="154">
        <f t="shared" si="42"/>
        <v>541.05508343749977</v>
      </c>
      <c r="X36" s="154">
        <f t="shared" si="43"/>
        <v>622.21334595312464</v>
      </c>
      <c r="Y36" s="154">
        <f t="shared" si="44"/>
        <v>715.54534784609325</v>
      </c>
      <c r="Z36" s="154">
        <f t="shared" si="45"/>
        <v>822.87715002300718</v>
      </c>
      <c r="AA36" s="154">
        <f t="shared" si="46"/>
        <v>946.30872252645815</v>
      </c>
      <c r="AB36" s="154">
        <f t="shared" si="47"/>
        <v>1088.2550309054268</v>
      </c>
      <c r="AC36" s="138">
        <f t="shared" si="19"/>
        <v>0.16900948403146621</v>
      </c>
      <c r="AD36" s="31">
        <f t="shared" si="17"/>
        <v>0.05</v>
      </c>
      <c r="AE36" s="146">
        <f t="shared" si="1"/>
        <v>6721.5751908864613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0.28205128205128205</v>
      </c>
      <c r="I37" s="148">
        <f t="shared" ref="I37" si="108">(I36-H36)/I36</f>
        <v>0.25714285714285712</v>
      </c>
      <c r="J37" s="148">
        <f t="shared" ref="J37" si="109">(J36-I36)/J36</f>
        <v>0.20814479638009045</v>
      </c>
      <c r="K37" s="148">
        <f t="shared" ref="K37" si="110">(K36-J36)/K36</f>
        <v>-4.4094488188976336E-2</v>
      </c>
      <c r="L37" s="148">
        <f t="shared" ref="L37" si="111">(L36-K36)/L36</f>
        <v>-0.19811320754716982</v>
      </c>
      <c r="M37" s="148">
        <f t="shared" ref="M37" si="112">(M36-L36)/M36</f>
        <v>0.32484076433121017</v>
      </c>
      <c r="N37" s="148">
        <f t="shared" ref="N37" si="113">(N36-M36)/N36</f>
        <v>0.12290502793296089</v>
      </c>
      <c r="O37" s="148" t="e">
        <f t="shared" ref="O37" si="114">(O36-N36)/O36</f>
        <v>#DIV/0!</v>
      </c>
      <c r="P37" s="148">
        <f t="shared" ref="P37" si="115">(P36-O36)/P36</f>
        <v>1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399</v>
      </c>
      <c r="C38" s="149"/>
      <c r="D38" s="149"/>
      <c r="E38" s="150"/>
      <c r="F38" s="150"/>
      <c r="G38" s="147">
        <v>41.3</v>
      </c>
      <c r="H38" s="147">
        <v>59</v>
      </c>
      <c r="I38" s="147">
        <v>79</v>
      </c>
      <c r="J38" s="147">
        <v>107</v>
      </c>
      <c r="K38" s="147">
        <v>115</v>
      </c>
      <c r="L38" s="147">
        <v>93</v>
      </c>
      <c r="M38" s="147">
        <v>141</v>
      </c>
      <c r="N38" s="147">
        <v>179</v>
      </c>
      <c r="O38" s="147"/>
      <c r="P38" s="147">
        <v>274</v>
      </c>
      <c r="Q38" s="118">
        <f>((P38/G38)^(1/($H$2-$H$1) ))-1</f>
        <v>0.23398865781959688</v>
      </c>
      <c r="R38" s="31">
        <f t="shared" si="6"/>
        <v>0.15</v>
      </c>
      <c r="S38" s="154">
        <f t="shared" ref="S38" si="116">P38*(1+$R38)</f>
        <v>315.09999999999997</v>
      </c>
      <c r="T38" s="154">
        <f t="shared" ref="T38" si="117">S38*(1+$R38)</f>
        <v>362.36499999999995</v>
      </c>
      <c r="U38" s="154">
        <f t="shared" ref="U38" si="118">T38*(1+$R38)</f>
        <v>416.71974999999992</v>
      </c>
      <c r="V38" s="154">
        <f t="shared" ref="V38" si="119">U38*(1+$R38)</f>
        <v>479.22771249999988</v>
      </c>
      <c r="W38" s="154">
        <f t="shared" ref="W38" si="120">V38*(1+$R38)</f>
        <v>551.11186937499986</v>
      </c>
      <c r="X38" s="154">
        <f t="shared" ref="X38" si="121">W38*(1+$R38)</f>
        <v>633.77864978124978</v>
      </c>
      <c r="Y38" s="154">
        <f t="shared" ref="Y38" si="122">X38*(1+$R38)</f>
        <v>728.84544724843715</v>
      </c>
      <c r="Z38" s="154">
        <f t="shared" ref="Z38" si="123">Y38*(1+$R38)</f>
        <v>838.17226433570261</v>
      </c>
      <c r="AA38" s="154">
        <f t="shared" ref="AA38" si="124">Z38*(1+$R38)</f>
        <v>963.89810398605789</v>
      </c>
      <c r="AB38" s="154">
        <f t="shared" ref="AB38" si="125">AA38*(1+$R38)</f>
        <v>1108.4828195839664</v>
      </c>
      <c r="AC38" s="138">
        <f t="shared" ref="AC38" si="126">((AB38/G38)^(1/($AB$3-$H$1) ))-1</f>
        <v>0.18904664061050913</v>
      </c>
      <c r="AD38" s="31">
        <f t="shared" si="17"/>
        <v>0.05</v>
      </c>
      <c r="AE38" s="146">
        <f t="shared" ref="AE38" si="127">(AB38*(1+AD38))/($C$1-AD38)</f>
        <v>6846.5115327244994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8">(G38-F38)/G38</f>
        <v>1</v>
      </c>
      <c r="H39" s="148">
        <f t="shared" ref="H39" si="129">(H38-G38)/H38</f>
        <v>0.30000000000000004</v>
      </c>
      <c r="I39" s="148">
        <f t="shared" ref="I39" si="130">(I38-H38)/I38</f>
        <v>0.25316455696202533</v>
      </c>
      <c r="J39" s="148">
        <f t="shared" ref="J39" si="131">(J38-I38)/J38</f>
        <v>0.26168224299065418</v>
      </c>
      <c r="K39" s="148">
        <f t="shared" ref="K39" si="132">(K38-J38)/K38</f>
        <v>6.9565217391304349E-2</v>
      </c>
      <c r="L39" s="148">
        <f t="shared" ref="L39" si="133">(L38-K38)/L38</f>
        <v>-0.23655913978494625</v>
      </c>
      <c r="M39" s="148">
        <f t="shared" ref="M39" si="134">(M38-L38)/M38</f>
        <v>0.34042553191489361</v>
      </c>
      <c r="N39" s="148">
        <f t="shared" ref="N39" si="135">(N38-M38)/N38</f>
        <v>0.21229050279329609</v>
      </c>
      <c r="O39" s="148" t="e">
        <f t="shared" ref="O39" si="136">(O38-N38)/O38</f>
        <v>#DIV/0!</v>
      </c>
      <c r="P39" s="148">
        <f t="shared" ref="P39" si="137">(P38-O38)/P38</f>
        <v>1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400</v>
      </c>
      <c r="C40" s="141"/>
      <c r="D40" s="141"/>
      <c r="E40" s="147"/>
      <c r="F40" s="147"/>
      <c r="G40" s="147">
        <v>26</v>
      </c>
      <c r="H40" s="147">
        <v>39</v>
      </c>
      <c r="I40" s="147">
        <v>51</v>
      </c>
      <c r="J40" s="147">
        <v>71</v>
      </c>
      <c r="K40" s="147">
        <v>78</v>
      </c>
      <c r="L40" s="147">
        <v>61</v>
      </c>
      <c r="M40" s="147">
        <v>95</v>
      </c>
      <c r="N40" s="147">
        <v>123</v>
      </c>
      <c r="O40" s="147"/>
      <c r="P40" s="147">
        <v>191</v>
      </c>
      <c r="Q40" s="118">
        <f>((P40/G40)^(1/($H$2-$H$1) ))-1</f>
        <v>0.2480411098664137</v>
      </c>
      <c r="R40" s="31">
        <f t="shared" si="6"/>
        <v>0.15</v>
      </c>
      <c r="S40" s="154">
        <f>P40*(1+$R40)</f>
        <v>219.64999999999998</v>
      </c>
      <c r="T40" s="154">
        <f t="shared" ref="T40:AB40" si="138">S40*(1+$R40)</f>
        <v>252.59749999999997</v>
      </c>
      <c r="U40" s="154">
        <f t="shared" si="138"/>
        <v>290.48712499999993</v>
      </c>
      <c r="V40" s="154">
        <f t="shared" si="138"/>
        <v>334.06019374999988</v>
      </c>
      <c r="W40" s="154">
        <f t="shared" si="138"/>
        <v>384.16922281249981</v>
      </c>
      <c r="X40" s="154">
        <f t="shared" si="138"/>
        <v>441.79460623437473</v>
      </c>
      <c r="Y40" s="154">
        <f t="shared" si="138"/>
        <v>508.06379716953091</v>
      </c>
      <c r="Z40" s="154">
        <f t="shared" si="138"/>
        <v>584.27336674496053</v>
      </c>
      <c r="AA40" s="154">
        <f t="shared" si="138"/>
        <v>671.91437175670455</v>
      </c>
      <c r="AB40" s="154">
        <f t="shared" si="138"/>
        <v>772.70152752021022</v>
      </c>
      <c r="AC40" s="138">
        <f t="shared" si="19"/>
        <v>0.19544152659092418</v>
      </c>
      <c r="AD40" s="31">
        <f t="shared" si="17"/>
        <v>0.05</v>
      </c>
      <c r="AE40" s="146">
        <f t="shared" si="1"/>
        <v>4772.5682582130639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39">(H40-G40)/H40</f>
        <v>0.33333333333333331</v>
      </c>
      <c r="I41" s="148">
        <f t="shared" si="139"/>
        <v>0.23529411764705882</v>
      </c>
      <c r="J41" s="148">
        <f t="shared" si="139"/>
        <v>0.28169014084507044</v>
      </c>
      <c r="K41" s="148">
        <f t="shared" si="139"/>
        <v>8.9743589743589744E-2</v>
      </c>
      <c r="L41" s="148">
        <f t="shared" si="139"/>
        <v>-0.27868852459016391</v>
      </c>
      <c r="M41" s="148">
        <f t="shared" si="139"/>
        <v>0.35789473684210527</v>
      </c>
      <c r="N41" s="148">
        <f t="shared" si="139"/>
        <v>0.22764227642276422</v>
      </c>
      <c r="O41" s="148" t="e">
        <f t="shared" si="139"/>
        <v>#DIV/0!</v>
      </c>
      <c r="P41" s="148">
        <f t="shared" si="139"/>
        <v>1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88">
        <v>2.37</v>
      </c>
      <c r="H42" s="188">
        <v>2.37</v>
      </c>
      <c r="I42" s="188">
        <v>2.37</v>
      </c>
      <c r="J42" s="188">
        <v>2.37</v>
      </c>
      <c r="K42" s="188">
        <v>2.37</v>
      </c>
      <c r="L42" s="188">
        <v>2.37</v>
      </c>
      <c r="M42" s="188">
        <v>2.37</v>
      </c>
      <c r="N42" s="188">
        <v>2.37</v>
      </c>
      <c r="O42" s="188"/>
      <c r="P42" s="188">
        <v>2.37</v>
      </c>
      <c r="Q42" s="118">
        <f>((P42/G42)^(1/($H$2-$H$1) ))-1</f>
        <v>0</v>
      </c>
      <c r="R42" s="31">
        <v>0</v>
      </c>
      <c r="S42" s="154">
        <f t="shared" ref="S42:S43" si="140">P42*(1+$R42)</f>
        <v>2.37</v>
      </c>
      <c r="T42" s="154">
        <f t="shared" ref="T42:AB42" si="141">S42*(1+$R42)</f>
        <v>2.37</v>
      </c>
      <c r="U42" s="154">
        <f t="shared" si="141"/>
        <v>2.37</v>
      </c>
      <c r="V42" s="154">
        <f t="shared" si="141"/>
        <v>2.37</v>
      </c>
      <c r="W42" s="154">
        <f t="shared" si="141"/>
        <v>2.37</v>
      </c>
      <c r="X42" s="154">
        <f t="shared" si="141"/>
        <v>2.37</v>
      </c>
      <c r="Y42" s="154">
        <f t="shared" si="141"/>
        <v>2.37</v>
      </c>
      <c r="Z42" s="154">
        <f t="shared" si="141"/>
        <v>2.37</v>
      </c>
      <c r="AA42" s="154">
        <f t="shared" si="141"/>
        <v>2.37</v>
      </c>
      <c r="AB42" s="154">
        <f t="shared" si="141"/>
        <v>2.37</v>
      </c>
      <c r="AC42" s="138">
        <f t="shared" si="19"/>
        <v>0</v>
      </c>
      <c r="AD42" s="31">
        <f t="shared" si="17"/>
        <v>0.05</v>
      </c>
      <c r="AE42" s="146">
        <f t="shared" si="1"/>
        <v>14.638235294117649</v>
      </c>
    </row>
    <row r="43" spans="2:31" x14ac:dyDescent="0.2">
      <c r="B43" s="20" t="s">
        <v>282</v>
      </c>
      <c r="C43" s="145"/>
      <c r="D43" s="145"/>
      <c r="E43" s="145"/>
      <c r="F43" s="147"/>
      <c r="G43" s="188">
        <v>4.5</v>
      </c>
      <c r="H43" s="188">
        <v>3</v>
      </c>
      <c r="I43" s="188">
        <v>4.5</v>
      </c>
      <c r="J43" s="188">
        <v>1</v>
      </c>
      <c r="K43" s="188">
        <v>1</v>
      </c>
      <c r="L43" s="188">
        <v>1</v>
      </c>
      <c r="M43" s="188">
        <v>1</v>
      </c>
      <c r="N43" s="188">
        <v>1</v>
      </c>
      <c r="O43" s="188">
        <v>2</v>
      </c>
      <c r="P43" s="188">
        <v>71</v>
      </c>
      <c r="Q43" s="118">
        <f>((P43/G43)^(1/($H$2-$H$1) ))-1</f>
        <v>0.35867693823058411</v>
      </c>
      <c r="R43" s="31">
        <f>P1</f>
        <v>0.05</v>
      </c>
      <c r="S43" s="154">
        <f t="shared" si="140"/>
        <v>74.55</v>
      </c>
      <c r="T43" s="154">
        <f t="shared" ref="T43" si="142">S43*(1+$R43)</f>
        <v>78.277500000000003</v>
      </c>
      <c r="U43" s="154">
        <f t="shared" ref="U43" si="143">T43*(1+$R43)</f>
        <v>82.191375000000008</v>
      </c>
      <c r="V43" s="154">
        <f t="shared" ref="V43" si="144">U43*(1+$R43)</f>
        <v>86.300943750000016</v>
      </c>
      <c r="W43" s="154">
        <f t="shared" ref="W43" si="145">V43*(1+$R43)</f>
        <v>90.615990937500015</v>
      </c>
      <c r="X43" s="154">
        <f t="shared" ref="X43" si="146">W43*(1+$R43)</f>
        <v>95.146790484375018</v>
      </c>
      <c r="Y43" s="154">
        <f t="shared" ref="Y43" si="147">X43*(1+$R43)</f>
        <v>99.904130008593768</v>
      </c>
      <c r="Z43" s="154">
        <f t="shared" ref="Z43" si="148">Y43*(1+$R43)</f>
        <v>104.89933650902346</v>
      </c>
      <c r="AA43" s="154">
        <f t="shared" ref="AA43" si="149">Z43*(1+$R43)</f>
        <v>110.14430333447463</v>
      </c>
      <c r="AB43" s="154">
        <f t="shared" ref="AB43" si="150">AA43*(1+$R43)</f>
        <v>115.65151850119837</v>
      </c>
      <c r="AC43" s="138">
        <f t="shared" ref="AC43" si="151">((AB43/G43)^(1/($AB$3-$H$1) ))-1</f>
        <v>0.18633489945798054</v>
      </c>
      <c r="AD43" s="31">
        <f t="shared" si="17"/>
        <v>0.05</v>
      </c>
      <c r="AE43" s="146">
        <f t="shared" si="1"/>
        <v>714.31820250740179</v>
      </c>
    </row>
    <row r="44" spans="2:31" x14ac:dyDescent="0.2">
      <c r="B44" s="20" t="s">
        <v>425</v>
      </c>
      <c r="C44" s="20"/>
      <c r="D44" s="20"/>
      <c r="E44" s="127"/>
      <c r="F44" s="127"/>
      <c r="G44" s="147">
        <v>0</v>
      </c>
      <c r="H44" s="147">
        <v>0</v>
      </c>
      <c r="I44" s="147">
        <v>0</v>
      </c>
      <c r="J44" s="147">
        <v>0</v>
      </c>
      <c r="K44" s="147">
        <v>0</v>
      </c>
      <c r="L44" s="147">
        <v>0</v>
      </c>
      <c r="M44" s="147">
        <v>0</v>
      </c>
      <c r="N44" s="147">
        <v>0</v>
      </c>
      <c r="O44" s="147">
        <v>0</v>
      </c>
      <c r="P44" s="147">
        <v>0</v>
      </c>
      <c r="Q44" s="147">
        <v>0</v>
      </c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423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52">C25/C42</f>
        <v>0</v>
      </c>
      <c r="D49" s="133">
        <f t="shared" si="152"/>
        <v>0</v>
      </c>
      <c r="E49" s="133">
        <f t="shared" si="152"/>
        <v>0</v>
      </c>
      <c r="F49" s="133">
        <f t="shared" si="152"/>
        <v>0</v>
      </c>
      <c r="G49" s="133">
        <f t="shared" si="152"/>
        <v>149.78902953586498</v>
      </c>
      <c r="H49" s="133">
        <f t="shared" si="152"/>
        <v>194.9367088607595</v>
      </c>
      <c r="I49" s="133">
        <f t="shared" si="152"/>
        <v>282.27848101265823</v>
      </c>
      <c r="J49" s="133">
        <f t="shared" si="152"/>
        <v>342.61603375527426</v>
      </c>
      <c r="K49" s="133">
        <f t="shared" si="152"/>
        <v>414.76793248945148</v>
      </c>
      <c r="L49" s="133">
        <f t="shared" si="152"/>
        <v>386.07594936708858</v>
      </c>
      <c r="M49" s="133">
        <f t="shared" si="152"/>
        <v>486.91983122362865</v>
      </c>
      <c r="N49" s="133">
        <f t="shared" si="152"/>
        <v>639.66244725738397</v>
      </c>
      <c r="O49" s="133" t="e">
        <f t="shared" si="152"/>
        <v>#DIV/0!</v>
      </c>
      <c r="P49" s="133">
        <f t="shared" si="152"/>
        <v>932.91139240506322</v>
      </c>
      <c r="Q49" s="118">
        <f>((P49/G49)^(1/($H$2-$H$1) ))-1</f>
        <v>0.22535595441454737</v>
      </c>
      <c r="R49" s="128"/>
      <c r="S49" s="158">
        <f t="shared" ref="S49:AB49" si="153">S25/S42</f>
        <v>1072.8481012658226</v>
      </c>
      <c r="T49" s="158">
        <f t="shared" si="153"/>
        <v>1233.7753164556959</v>
      </c>
      <c r="U49" s="158">
        <f t="shared" si="153"/>
        <v>1418.8416139240501</v>
      </c>
      <c r="V49" s="158">
        <f t="shared" si="153"/>
        <v>1631.6678560126572</v>
      </c>
      <c r="W49" s="158">
        <f t="shared" si="153"/>
        <v>1876.4180344145557</v>
      </c>
      <c r="X49" s="158">
        <f t="shared" si="153"/>
        <v>2157.880739576739</v>
      </c>
      <c r="Y49" s="158">
        <f t="shared" si="153"/>
        <v>2481.5628505132495</v>
      </c>
      <c r="Z49" s="158">
        <f t="shared" si="153"/>
        <v>2853.7972780902369</v>
      </c>
      <c r="AA49" s="158">
        <f t="shared" si="153"/>
        <v>3281.8668698037723</v>
      </c>
      <c r="AB49" s="158">
        <f t="shared" si="153"/>
        <v>3774.1469002743379</v>
      </c>
      <c r="AC49" s="138">
        <f t="shared" ref="AC49" si="154">((AB49/G49)^(1/($AB$3-$H$1) ))-1</f>
        <v>0.18509911367655141</v>
      </c>
      <c r="AD49" s="31">
        <f t="shared" si="17"/>
        <v>0.05</v>
      </c>
      <c r="AE49" s="146">
        <f t="shared" ref="AE49:AE50" si="155">(AB49*(1+AD49))/($C$1-AD49)</f>
        <v>23310.907325223856</v>
      </c>
    </row>
    <row r="50" spans="2:31" x14ac:dyDescent="0.2">
      <c r="B50" s="20" t="s">
        <v>304</v>
      </c>
      <c r="C50" s="133">
        <f t="shared" ref="C50:P50" si="156">C27/C42</f>
        <v>0</v>
      </c>
      <c r="D50" s="133">
        <f t="shared" si="156"/>
        <v>0</v>
      </c>
      <c r="E50" s="133">
        <f t="shared" si="156"/>
        <v>0</v>
      </c>
      <c r="F50" s="133">
        <f t="shared" si="156"/>
        <v>0</v>
      </c>
      <c r="G50" s="133">
        <f t="shared" si="156"/>
        <v>125.73839662447257</v>
      </c>
      <c r="H50" s="133">
        <f t="shared" si="156"/>
        <v>160.75949367088606</v>
      </c>
      <c r="I50" s="133">
        <f t="shared" si="156"/>
        <v>238.81856540084388</v>
      </c>
      <c r="J50" s="133">
        <f t="shared" si="156"/>
        <v>286.49789029535862</v>
      </c>
      <c r="K50" s="133">
        <f t="shared" si="156"/>
        <v>358.22784810126581</v>
      </c>
      <c r="L50" s="133">
        <f t="shared" si="156"/>
        <v>338.39662447257382</v>
      </c>
      <c r="M50" s="133">
        <f t="shared" si="156"/>
        <v>418.98734177215186</v>
      </c>
      <c r="N50" s="133">
        <f t="shared" si="156"/>
        <v>554.00843881856542</v>
      </c>
      <c r="O50" s="133" t="e">
        <f t="shared" si="156"/>
        <v>#DIV/0!</v>
      </c>
      <c r="P50" s="133">
        <f t="shared" si="156"/>
        <v>802.5316455696202</v>
      </c>
      <c r="Q50" s="118">
        <f>((P50/G50)^(1/($H$2-$H$1) ))-1</f>
        <v>0.2286941920276595</v>
      </c>
      <c r="R50" s="128"/>
      <c r="S50" s="158">
        <f t="shared" ref="S50:AB50" si="157">S27/S42</f>
        <v>922.91139240506311</v>
      </c>
      <c r="T50" s="158">
        <f t="shared" si="157"/>
        <v>1061.3481012658226</v>
      </c>
      <c r="U50" s="158">
        <f t="shared" si="157"/>
        <v>1220.5503164556958</v>
      </c>
      <c r="V50" s="158">
        <f t="shared" si="157"/>
        <v>1403.6328639240501</v>
      </c>
      <c r="W50" s="158">
        <f t="shared" si="157"/>
        <v>1614.1777935126574</v>
      </c>
      <c r="X50" s="158">
        <f t="shared" si="157"/>
        <v>1856.3044625395557</v>
      </c>
      <c r="Y50" s="158">
        <f t="shared" si="157"/>
        <v>2134.7501319204889</v>
      </c>
      <c r="Z50" s="158">
        <f t="shared" si="157"/>
        <v>2454.9626517085617</v>
      </c>
      <c r="AA50" s="158">
        <f t="shared" si="157"/>
        <v>2823.2070494648456</v>
      </c>
      <c r="AB50" s="158">
        <f t="shared" si="157"/>
        <v>3246.6881068845723</v>
      </c>
      <c r="AC50" s="138">
        <f t="shared" ref="AC50" si="158">((AB50/G50)^(1/($AB$3-$H$1) ))-1</f>
        <v>0.1866273394756397</v>
      </c>
      <c r="AD50" s="31">
        <f t="shared" si="17"/>
        <v>0.05</v>
      </c>
      <c r="AE50" s="146">
        <f t="shared" si="155"/>
        <v>20053.073601345892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59">C40/C42</f>
        <v>0</v>
      </c>
      <c r="D52" s="25">
        <f t="shared" si="159"/>
        <v>0</v>
      </c>
      <c r="E52" s="25">
        <f t="shared" si="159"/>
        <v>0</v>
      </c>
      <c r="F52" s="133">
        <f t="shared" si="159"/>
        <v>0</v>
      </c>
      <c r="G52" s="133">
        <f t="shared" si="159"/>
        <v>10.970464135021096</v>
      </c>
      <c r="H52" s="133">
        <f t="shared" si="159"/>
        <v>16.455696202531644</v>
      </c>
      <c r="I52" s="133">
        <f t="shared" si="159"/>
        <v>21.518987341772149</v>
      </c>
      <c r="J52" s="133">
        <f t="shared" si="159"/>
        <v>29.957805907172993</v>
      </c>
      <c r="K52" s="133">
        <f t="shared" si="159"/>
        <v>32.911392405063289</v>
      </c>
      <c r="L52" s="133">
        <f t="shared" si="159"/>
        <v>25.738396624472571</v>
      </c>
      <c r="M52" s="133">
        <f t="shared" si="159"/>
        <v>40.084388185654007</v>
      </c>
      <c r="N52" s="133">
        <f t="shared" si="159"/>
        <v>51.898734177215189</v>
      </c>
      <c r="O52" s="133" t="e">
        <f t="shared" si="159"/>
        <v>#DIV/0!</v>
      </c>
      <c r="P52" s="133">
        <f t="shared" si="159"/>
        <v>80.59071729957806</v>
      </c>
      <c r="Q52" s="118">
        <f>((P52/G52)^(1/($H$2-$H$1) ))-1</f>
        <v>0.2480411098664137</v>
      </c>
      <c r="R52" s="128"/>
      <c r="S52" s="158">
        <f t="shared" ref="S52:AB52" si="160">S40/S42</f>
        <v>92.67932489451475</v>
      </c>
      <c r="T52" s="158">
        <f t="shared" si="160"/>
        <v>106.58122362869196</v>
      </c>
      <c r="U52" s="158">
        <f t="shared" si="160"/>
        <v>122.56840717299575</v>
      </c>
      <c r="V52" s="158">
        <f t="shared" si="160"/>
        <v>140.95366824894509</v>
      </c>
      <c r="W52" s="158">
        <f t="shared" si="160"/>
        <v>162.09671848628685</v>
      </c>
      <c r="X52" s="158">
        <f t="shared" si="160"/>
        <v>186.41122625922984</v>
      </c>
      <c r="Y52" s="158">
        <f t="shared" si="160"/>
        <v>214.37291019811431</v>
      </c>
      <c r="Z52" s="158">
        <f t="shared" si="160"/>
        <v>246.52884672783142</v>
      </c>
      <c r="AA52" s="158">
        <f t="shared" si="160"/>
        <v>283.50817373700613</v>
      </c>
      <c r="AB52" s="158">
        <f t="shared" si="160"/>
        <v>326.03439979755706</v>
      </c>
      <c r="AC52" s="138">
        <f t="shared" ref="AC52:AC66" si="161">((AB52/G52)^(1/($AB$3-$H$1) ))-1</f>
        <v>0.19544152659092418</v>
      </c>
      <c r="AD52" s="31">
        <f t="shared" si="17"/>
        <v>0.05</v>
      </c>
      <c r="AE52" s="146">
        <f t="shared" ref="AE52:AE80" si="162">(AB52*(1+AD52))/($C$1-AD52)</f>
        <v>2013.7418811025586</v>
      </c>
    </row>
    <row r="53" spans="2:31" x14ac:dyDescent="0.2">
      <c r="B53" s="20" t="s">
        <v>387</v>
      </c>
      <c r="C53" s="133">
        <f t="shared" ref="C53:F53" si="163">C20/C42</f>
        <v>0</v>
      </c>
      <c r="D53" s="133">
        <f t="shared" si="163"/>
        <v>0</v>
      </c>
      <c r="E53" s="133">
        <f t="shared" si="163"/>
        <v>0</v>
      </c>
      <c r="F53" s="133">
        <f t="shared" si="163"/>
        <v>0</v>
      </c>
      <c r="G53" s="133">
        <f>G20/G42</f>
        <v>0</v>
      </c>
      <c r="H53" s="133">
        <f t="shared" ref="H53:P53" si="164">H20/H42</f>
        <v>0</v>
      </c>
      <c r="I53" s="133">
        <f t="shared" si="164"/>
        <v>0</v>
      </c>
      <c r="J53" s="133">
        <f t="shared" si="164"/>
        <v>0</v>
      </c>
      <c r="K53" s="133">
        <f t="shared" si="164"/>
        <v>0</v>
      </c>
      <c r="L53" s="133">
        <f t="shared" si="164"/>
        <v>0</v>
      </c>
      <c r="M53" s="133">
        <f t="shared" si="164"/>
        <v>0</v>
      </c>
      <c r="N53" s="133">
        <f t="shared" si="164"/>
        <v>0</v>
      </c>
      <c r="O53" s="133" t="e">
        <f t="shared" si="164"/>
        <v>#DIV/0!</v>
      </c>
      <c r="P53" s="133">
        <f t="shared" si="164"/>
        <v>0</v>
      </c>
      <c r="Q53" s="118" t="e">
        <f>((P53/G53)^(1/($H$2-$H$1) ))-1</f>
        <v>#DIV/0!</v>
      </c>
      <c r="R53" s="128"/>
      <c r="S53" s="133">
        <f t="shared" ref="S53:AB53" si="165">S20/S42</f>
        <v>0</v>
      </c>
      <c r="T53" s="133">
        <f t="shared" si="165"/>
        <v>0</v>
      </c>
      <c r="U53" s="133">
        <f t="shared" si="165"/>
        <v>0</v>
      </c>
      <c r="V53" s="133">
        <f t="shared" si="165"/>
        <v>0</v>
      </c>
      <c r="W53" s="133">
        <f t="shared" si="165"/>
        <v>0</v>
      </c>
      <c r="X53" s="133">
        <f t="shared" si="165"/>
        <v>0</v>
      </c>
      <c r="Y53" s="133">
        <f t="shared" si="165"/>
        <v>0</v>
      </c>
      <c r="Z53" s="133">
        <f t="shared" si="165"/>
        <v>0</v>
      </c>
      <c r="AA53" s="133">
        <f t="shared" si="165"/>
        <v>0</v>
      </c>
      <c r="AB53" s="133">
        <f t="shared" si="165"/>
        <v>0</v>
      </c>
      <c r="AC53" s="138" t="e">
        <f t="shared" ref="AC53" si="166">((AB53/G53)^(1/($AB$3-$H$1) ))-1</f>
        <v>#DIV/0!</v>
      </c>
      <c r="AD53" s="31">
        <f t="shared" si="17"/>
        <v>0.05</v>
      </c>
      <c r="AE53" s="146">
        <f t="shared" si="162"/>
        <v>0</v>
      </c>
    </row>
    <row r="54" spans="2:31" x14ac:dyDescent="0.2">
      <c r="B54" s="20" t="s">
        <v>245</v>
      </c>
      <c r="C54" s="25">
        <f t="shared" ref="C54:P54" si="167">C7/C42</f>
        <v>0</v>
      </c>
      <c r="D54" s="25">
        <f t="shared" si="167"/>
        <v>0</v>
      </c>
      <c r="E54" s="25">
        <f t="shared" si="167"/>
        <v>0</v>
      </c>
      <c r="F54" s="133">
        <f t="shared" si="167"/>
        <v>0</v>
      </c>
      <c r="G54" s="133">
        <f t="shared" si="167"/>
        <v>55.696202531645568</v>
      </c>
      <c r="H54" s="133">
        <f t="shared" si="167"/>
        <v>68.776371308016877</v>
      </c>
      <c r="I54" s="133">
        <f t="shared" si="167"/>
        <v>105.90717299578058</v>
      </c>
      <c r="J54" s="133">
        <f t="shared" si="167"/>
        <v>134.59915611814344</v>
      </c>
      <c r="K54" s="133">
        <f t="shared" si="167"/>
        <v>166.24472573839662</v>
      </c>
      <c r="L54" s="133">
        <f t="shared" si="167"/>
        <v>191.13924050632912</v>
      </c>
      <c r="M54" s="133">
        <f t="shared" si="167"/>
        <v>229.957805907173</v>
      </c>
      <c r="N54" s="133">
        <f t="shared" si="167"/>
        <v>279.74683544303798</v>
      </c>
      <c r="O54" s="133" t="e">
        <f t="shared" si="167"/>
        <v>#DIV/0!</v>
      </c>
      <c r="P54" s="133">
        <f t="shared" si="167"/>
        <v>278.48101265822783</v>
      </c>
      <c r="Q54" s="118">
        <f>((P54/G54)^(1/($H$2-$H$1) ))-1</f>
        <v>0.19581317450040192</v>
      </c>
      <c r="R54" s="128"/>
      <c r="S54" s="158">
        <f t="shared" ref="S54:AB54" si="168">S7/S42</f>
        <v>320.25316455696196</v>
      </c>
      <c r="T54" s="158">
        <f t="shared" si="168"/>
        <v>368.29113924050625</v>
      </c>
      <c r="U54" s="158">
        <f t="shared" si="168"/>
        <v>423.5348101265821</v>
      </c>
      <c r="V54" s="158">
        <f t="shared" si="168"/>
        <v>487.06503164556943</v>
      </c>
      <c r="W54" s="158">
        <f t="shared" si="168"/>
        <v>560.12478639240487</v>
      </c>
      <c r="X54" s="158">
        <f t="shared" si="168"/>
        <v>644.14350435126551</v>
      </c>
      <c r="Y54" s="158">
        <f t="shared" si="168"/>
        <v>740.7650300039553</v>
      </c>
      <c r="Z54" s="158">
        <f t="shared" si="168"/>
        <v>851.87978450454852</v>
      </c>
      <c r="AA54" s="158">
        <f t="shared" si="168"/>
        <v>979.66175218023068</v>
      </c>
      <c r="AB54" s="158">
        <f t="shared" si="168"/>
        <v>1126.6110150072652</v>
      </c>
      <c r="AC54" s="138">
        <f t="shared" si="161"/>
        <v>0.17147797205095339</v>
      </c>
      <c r="AD54" s="31">
        <f t="shared" si="17"/>
        <v>0.05</v>
      </c>
      <c r="AE54" s="146">
        <f t="shared" si="162"/>
        <v>6958.4797985742862</v>
      </c>
    </row>
    <row r="55" spans="2:31" x14ac:dyDescent="0.2">
      <c r="B55" s="20" t="s">
        <v>246</v>
      </c>
      <c r="C55" s="127">
        <f t="shared" ref="C55:P55" si="169">C6/C42</f>
        <v>0</v>
      </c>
      <c r="D55" s="127">
        <f t="shared" si="169"/>
        <v>0</v>
      </c>
      <c r="E55" s="127">
        <f t="shared" si="169"/>
        <v>0</v>
      </c>
      <c r="F55" s="144">
        <f t="shared" si="169"/>
        <v>0</v>
      </c>
      <c r="G55" s="144">
        <f t="shared" si="169"/>
        <v>45.569620253164558</v>
      </c>
      <c r="H55" s="144">
        <f t="shared" si="169"/>
        <v>58.64978902953586</v>
      </c>
      <c r="I55" s="144">
        <f t="shared" si="169"/>
        <v>95.780590717299575</v>
      </c>
      <c r="J55" s="144">
        <f t="shared" si="169"/>
        <v>124.89451476793248</v>
      </c>
      <c r="K55" s="144">
        <f t="shared" si="169"/>
        <v>156.54008438818565</v>
      </c>
      <c r="L55" s="144">
        <f t="shared" si="169"/>
        <v>181.01265822784811</v>
      </c>
      <c r="M55" s="144">
        <f t="shared" si="169"/>
        <v>219.83122362869199</v>
      </c>
      <c r="N55" s="144">
        <f t="shared" si="169"/>
        <v>270.042194092827</v>
      </c>
      <c r="O55" s="144" t="e">
        <f t="shared" si="169"/>
        <v>#DIV/0!</v>
      </c>
      <c r="P55" s="144">
        <f t="shared" si="169"/>
        <v>268.35443037974682</v>
      </c>
      <c r="Q55" s="118">
        <f>((P55/G55)^(1/($H$2-$H$1) ))-1</f>
        <v>0.21775315165950704</v>
      </c>
      <c r="R55" s="128"/>
      <c r="S55" s="157">
        <f t="shared" ref="S55:AB55" si="170">S6/S42</f>
        <v>308.60759493670884</v>
      </c>
      <c r="T55" s="157">
        <f t="shared" si="170"/>
        <v>354.89873417721515</v>
      </c>
      <c r="U55" s="157">
        <f t="shared" si="170"/>
        <v>408.13354430379735</v>
      </c>
      <c r="V55" s="157">
        <f t="shared" si="170"/>
        <v>469.35357594936693</v>
      </c>
      <c r="W55" s="157">
        <f t="shared" si="170"/>
        <v>539.75661234177187</v>
      </c>
      <c r="X55" s="157">
        <f t="shared" si="170"/>
        <v>620.72010419303763</v>
      </c>
      <c r="Y55" s="157">
        <f t="shared" si="170"/>
        <v>713.82811982199325</v>
      </c>
      <c r="Z55" s="157">
        <f t="shared" si="170"/>
        <v>820.90233779529217</v>
      </c>
      <c r="AA55" s="157">
        <f t="shared" si="170"/>
        <v>944.03768846458593</v>
      </c>
      <c r="AB55" s="157">
        <f t="shared" si="170"/>
        <v>1085.6433417342737</v>
      </c>
      <c r="AC55" s="138">
        <f t="shared" si="161"/>
        <v>0.18161039610469176</v>
      </c>
      <c r="AD55" s="31">
        <f t="shared" si="17"/>
        <v>0.05</v>
      </c>
      <c r="AE55" s="146">
        <f t="shared" si="162"/>
        <v>6705.4441695352207</v>
      </c>
    </row>
    <row r="56" spans="2:31" x14ac:dyDescent="0.2">
      <c r="B56" s="20" t="s">
        <v>247</v>
      </c>
      <c r="C56" s="127">
        <f t="shared" ref="C56:P56" si="171">C10/C42</f>
        <v>0</v>
      </c>
      <c r="D56" s="127">
        <f t="shared" si="171"/>
        <v>0</v>
      </c>
      <c r="E56" s="127">
        <f t="shared" si="171"/>
        <v>0</v>
      </c>
      <c r="F56" s="144">
        <f t="shared" si="171"/>
        <v>0</v>
      </c>
      <c r="G56" s="144">
        <f t="shared" si="171"/>
        <v>27.426160337552741</v>
      </c>
      <c r="H56" s="144">
        <f t="shared" si="171"/>
        <v>22.784810126582279</v>
      </c>
      <c r="I56" s="144">
        <f t="shared" si="171"/>
        <v>4.2194092827004219</v>
      </c>
      <c r="J56" s="144">
        <f t="shared" si="171"/>
        <v>0</v>
      </c>
      <c r="K56" s="144">
        <f t="shared" si="171"/>
        <v>0</v>
      </c>
      <c r="L56" s="144">
        <f t="shared" si="171"/>
        <v>0</v>
      </c>
      <c r="M56" s="144">
        <f t="shared" si="171"/>
        <v>0</v>
      </c>
      <c r="N56" s="144">
        <f t="shared" si="171"/>
        <v>0</v>
      </c>
      <c r="O56" s="144" t="e">
        <f t="shared" si="171"/>
        <v>#DIV/0!</v>
      </c>
      <c r="P56" s="144">
        <f t="shared" si="171"/>
        <v>0</v>
      </c>
      <c r="Q56" s="118">
        <f>((P56/G56)^(1/($H$2-$H$1) ))-1</f>
        <v>-1</v>
      </c>
      <c r="R56" s="128"/>
      <c r="S56" s="157">
        <f t="shared" ref="S56:AB56" si="172">S10/S42</f>
        <v>0</v>
      </c>
      <c r="T56" s="157">
        <f t="shared" si="172"/>
        <v>0</v>
      </c>
      <c r="U56" s="157">
        <f t="shared" si="172"/>
        <v>0</v>
      </c>
      <c r="V56" s="157">
        <f t="shared" si="172"/>
        <v>0</v>
      </c>
      <c r="W56" s="157">
        <f t="shared" si="172"/>
        <v>0</v>
      </c>
      <c r="X56" s="157">
        <f t="shared" si="172"/>
        <v>0</v>
      </c>
      <c r="Y56" s="157">
        <f t="shared" si="172"/>
        <v>0</v>
      </c>
      <c r="Z56" s="157">
        <f t="shared" si="172"/>
        <v>0</v>
      </c>
      <c r="AA56" s="157">
        <f t="shared" si="172"/>
        <v>0</v>
      </c>
      <c r="AB56" s="157">
        <f t="shared" si="172"/>
        <v>0</v>
      </c>
      <c r="AC56" s="138">
        <f t="shared" si="161"/>
        <v>-1</v>
      </c>
      <c r="AD56" s="31">
        <f t="shared" si="17"/>
        <v>0.05</v>
      </c>
      <c r="AE56" s="146">
        <f t="shared" si="162"/>
        <v>0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73">(C7-C10)/C42</f>
        <v>0</v>
      </c>
      <c r="D58" s="127">
        <f t="shared" si="173"/>
        <v>0</v>
      </c>
      <c r="E58" s="127">
        <f t="shared" si="173"/>
        <v>0</v>
      </c>
      <c r="F58" s="144">
        <f t="shared" si="173"/>
        <v>0</v>
      </c>
      <c r="G58" s="144">
        <f t="shared" si="173"/>
        <v>28.270042194092827</v>
      </c>
      <c r="H58" s="144">
        <f t="shared" si="173"/>
        <v>45.991561181434598</v>
      </c>
      <c r="I58" s="144">
        <f t="shared" si="173"/>
        <v>101.68776371308016</v>
      </c>
      <c r="J58" s="144">
        <f t="shared" si="173"/>
        <v>134.59915611814344</v>
      </c>
      <c r="K58" s="144">
        <f t="shared" si="173"/>
        <v>166.24472573839662</v>
      </c>
      <c r="L58" s="144">
        <f t="shared" si="173"/>
        <v>191.13924050632912</v>
      </c>
      <c r="M58" s="144">
        <f t="shared" si="173"/>
        <v>229.957805907173</v>
      </c>
      <c r="N58" s="144">
        <f t="shared" si="173"/>
        <v>279.74683544303798</v>
      </c>
      <c r="O58" s="144" t="e">
        <f t="shared" si="173"/>
        <v>#DIV/0!</v>
      </c>
      <c r="P58" s="144">
        <f t="shared" si="173"/>
        <v>278.48101265822783</v>
      </c>
      <c r="Q58" s="118">
        <f>((P58/G58)^(1/($H$2-$H$1) ))-1</f>
        <v>0.28939344851508086</v>
      </c>
      <c r="R58" s="128"/>
      <c r="S58" s="157">
        <f t="shared" ref="S58:AB58" si="174">(S7-S10)/S42</f>
        <v>320.25316455696196</v>
      </c>
      <c r="T58" s="157">
        <f t="shared" si="174"/>
        <v>368.29113924050625</v>
      </c>
      <c r="U58" s="157">
        <f t="shared" si="174"/>
        <v>423.5348101265821</v>
      </c>
      <c r="V58" s="157">
        <f t="shared" si="174"/>
        <v>487.06503164556943</v>
      </c>
      <c r="W58" s="157">
        <f t="shared" si="174"/>
        <v>560.12478639240487</v>
      </c>
      <c r="X58" s="157">
        <f t="shared" si="174"/>
        <v>644.14350435126551</v>
      </c>
      <c r="Y58" s="157">
        <f t="shared" si="174"/>
        <v>740.7650300039553</v>
      </c>
      <c r="Z58" s="157">
        <f t="shared" si="174"/>
        <v>851.87978450454852</v>
      </c>
      <c r="AA58" s="157">
        <f t="shared" si="174"/>
        <v>979.66175218023068</v>
      </c>
      <c r="AB58" s="157">
        <f t="shared" si="174"/>
        <v>1126.6110150072652</v>
      </c>
      <c r="AC58" s="138">
        <f t="shared" si="161"/>
        <v>0.2140430325435374</v>
      </c>
      <c r="AD58" s="31">
        <f t="shared" si="17"/>
        <v>0.05</v>
      </c>
      <c r="AE58" s="146">
        <f t="shared" si="162"/>
        <v>6958.4797985742862</v>
      </c>
    </row>
    <row r="59" spans="2:31" x14ac:dyDescent="0.2">
      <c r="B59" s="20" t="s">
        <v>271</v>
      </c>
      <c r="C59" s="127">
        <f t="shared" ref="C59:P59" si="175">(C7-C10-C9)/C42</f>
        <v>0</v>
      </c>
      <c r="D59" s="127">
        <f t="shared" si="175"/>
        <v>0</v>
      </c>
      <c r="E59" s="127">
        <f t="shared" si="175"/>
        <v>0</v>
      </c>
      <c r="F59" s="144">
        <f t="shared" si="175"/>
        <v>0</v>
      </c>
      <c r="G59" s="144">
        <f t="shared" si="175"/>
        <v>6.7510548523206744</v>
      </c>
      <c r="H59" s="144">
        <f t="shared" si="175"/>
        <v>18.565400843881857</v>
      </c>
      <c r="I59" s="144">
        <f t="shared" si="175"/>
        <v>66.666666666666657</v>
      </c>
      <c r="J59" s="144">
        <f t="shared" si="175"/>
        <v>90.71729957805907</v>
      </c>
      <c r="K59" s="144">
        <f t="shared" si="175"/>
        <v>121.51898734177215</v>
      </c>
      <c r="L59" s="144">
        <f t="shared" si="175"/>
        <v>141.77215189873417</v>
      </c>
      <c r="M59" s="144">
        <f t="shared" si="175"/>
        <v>169.62025316455694</v>
      </c>
      <c r="N59" s="144">
        <f t="shared" si="175"/>
        <v>208.43881856540082</v>
      </c>
      <c r="O59" s="144" t="e">
        <f t="shared" si="175"/>
        <v>#DIV/0!</v>
      </c>
      <c r="P59" s="144">
        <f t="shared" si="175"/>
        <v>204.64135021097044</v>
      </c>
      <c r="Q59" s="118">
        <f>((P59/G59)^(1/($H$2-$H$1) ))-1</f>
        <v>0.46091396161055997</v>
      </c>
      <c r="R59" s="128"/>
      <c r="S59" s="157">
        <f t="shared" ref="S59:AB59" si="176">(S7-S10-S9)/S42</f>
        <v>235.33755274261597</v>
      </c>
      <c r="T59" s="157">
        <f t="shared" si="176"/>
        <v>270.6381856540084</v>
      </c>
      <c r="U59" s="157">
        <f t="shared" si="176"/>
        <v>311.2339135021096</v>
      </c>
      <c r="V59" s="157">
        <f t="shared" si="176"/>
        <v>357.91900052742602</v>
      </c>
      <c r="W59" s="157">
        <f t="shared" si="176"/>
        <v>411.60685060653992</v>
      </c>
      <c r="X59" s="157">
        <f t="shared" si="176"/>
        <v>473.34787819752091</v>
      </c>
      <c r="Y59" s="157">
        <f t="shared" si="176"/>
        <v>544.350059927149</v>
      </c>
      <c r="Z59" s="157">
        <f t="shared" si="176"/>
        <v>626.00256891622121</v>
      </c>
      <c r="AA59" s="157">
        <f t="shared" si="176"/>
        <v>719.90295425365446</v>
      </c>
      <c r="AB59" s="157">
        <f t="shared" si="176"/>
        <v>827.88839739170271</v>
      </c>
      <c r="AC59" s="138">
        <f t="shared" si="161"/>
        <v>0.28803102534402192</v>
      </c>
      <c r="AD59" s="31">
        <f t="shared" si="17"/>
        <v>0.05</v>
      </c>
      <c r="AE59" s="146">
        <f t="shared" si="162"/>
        <v>5113.4283368311053</v>
      </c>
    </row>
    <row r="60" spans="2:31" x14ac:dyDescent="0.2">
      <c r="B60" s="20" t="s">
        <v>276</v>
      </c>
      <c r="C60" s="127">
        <f t="shared" ref="C60:P60" si="177">(C7+C15-C10-C9)/C42</f>
        <v>0</v>
      </c>
      <c r="D60" s="127">
        <f t="shared" si="177"/>
        <v>0</v>
      </c>
      <c r="E60" s="127">
        <f t="shared" si="177"/>
        <v>0</v>
      </c>
      <c r="F60" s="144">
        <f t="shared" si="177"/>
        <v>0</v>
      </c>
      <c r="G60" s="144">
        <f t="shared" si="177"/>
        <v>28.860759493670887</v>
      </c>
      <c r="H60" s="144">
        <f t="shared" si="177"/>
        <v>46.413502109704638</v>
      </c>
      <c r="I60" s="144">
        <f t="shared" si="177"/>
        <v>110.12658227848101</v>
      </c>
      <c r="J60" s="144">
        <f t="shared" si="177"/>
        <v>150.21097046413502</v>
      </c>
      <c r="K60" s="144">
        <f t="shared" si="177"/>
        <v>191.56118143459915</v>
      </c>
      <c r="L60" s="144">
        <f t="shared" si="177"/>
        <v>205.48523206751054</v>
      </c>
      <c r="M60" s="144">
        <f t="shared" si="177"/>
        <v>250.21097046413502</v>
      </c>
      <c r="N60" s="144">
        <f t="shared" si="177"/>
        <v>305.0632911392405</v>
      </c>
      <c r="O60" s="144" t="e">
        <f t="shared" si="177"/>
        <v>#DIV/0!</v>
      </c>
      <c r="P60" s="144">
        <f t="shared" si="177"/>
        <v>403.37552742616032</v>
      </c>
      <c r="Q60" s="118">
        <f>((P60/G60)^(1/($H$2-$H$1) ))-1</f>
        <v>0.34050014599207623</v>
      </c>
      <c r="R60" s="128"/>
      <c r="S60" s="157">
        <f t="shared" ref="S60:AB60" si="178">(S7+S15-S10-S9)/S42</f>
        <v>463.8818565400843</v>
      </c>
      <c r="T60" s="157">
        <f t="shared" si="178"/>
        <v>533.46413502109692</v>
      </c>
      <c r="U60" s="157">
        <f t="shared" si="178"/>
        <v>613.48375527426151</v>
      </c>
      <c r="V60" s="157">
        <f t="shared" si="178"/>
        <v>705.50631856540053</v>
      </c>
      <c r="W60" s="157">
        <f t="shared" si="178"/>
        <v>811.3322663502106</v>
      </c>
      <c r="X60" s="157">
        <f t="shared" si="178"/>
        <v>933.03210630274225</v>
      </c>
      <c r="Y60" s="157">
        <f t="shared" si="178"/>
        <v>1072.9869222481534</v>
      </c>
      <c r="Z60" s="157">
        <f t="shared" si="178"/>
        <v>1233.9349605853765</v>
      </c>
      <c r="AA60" s="157">
        <f t="shared" si="178"/>
        <v>1419.0252046731828</v>
      </c>
      <c r="AB60" s="157">
        <f t="shared" si="178"/>
        <v>1631.8789853741603</v>
      </c>
      <c r="AC60" s="138">
        <f t="shared" si="161"/>
        <v>0.23660368555968359</v>
      </c>
      <c r="AD60" s="31">
        <f t="shared" si="17"/>
        <v>0.05</v>
      </c>
      <c r="AE60" s="146">
        <f t="shared" si="162"/>
        <v>10079.252556722755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79">C12/C42</f>
        <v>0</v>
      </c>
      <c r="D62" s="127">
        <f t="shared" si="179"/>
        <v>0</v>
      </c>
      <c r="E62" s="127">
        <f t="shared" si="179"/>
        <v>0</v>
      </c>
      <c r="F62" s="144">
        <f t="shared" si="179"/>
        <v>0</v>
      </c>
      <c r="G62" s="144">
        <f t="shared" si="179"/>
        <v>2.6160337552742616</v>
      </c>
      <c r="H62" s="144">
        <f t="shared" si="179"/>
        <v>3.2109704641350207</v>
      </c>
      <c r="I62" s="144">
        <f t="shared" si="179"/>
        <v>5.4852320675105481</v>
      </c>
      <c r="J62" s="144">
        <f t="shared" si="179"/>
        <v>13.502109704641349</v>
      </c>
      <c r="K62" s="144">
        <f t="shared" si="179"/>
        <v>20.253164556962023</v>
      </c>
      <c r="L62" s="144">
        <f t="shared" si="179"/>
        <v>10.970464135021096</v>
      </c>
      <c r="M62" s="144">
        <f t="shared" si="179"/>
        <v>14.767932489451477</v>
      </c>
      <c r="N62" s="144">
        <f t="shared" si="179"/>
        <v>16.033755274261601</v>
      </c>
      <c r="O62" s="144" t="e">
        <f t="shared" si="179"/>
        <v>#DIV/0!</v>
      </c>
      <c r="P62" s="144">
        <f t="shared" si="179"/>
        <v>102.10970464135021</v>
      </c>
      <c r="Q62" s="118">
        <f>((P62/G62)^(1/($H$2-$H$1) ))-1</f>
        <v>0.50253588467952315</v>
      </c>
      <c r="R62" s="128"/>
      <c r="S62" s="157">
        <f t="shared" ref="S62:AB62" si="180">S12/S42</f>
        <v>117.42616033755272</v>
      </c>
      <c r="T62" s="157">
        <f t="shared" si="180"/>
        <v>135.04008438818562</v>
      </c>
      <c r="U62" s="157">
        <f t="shared" si="180"/>
        <v>155.29609704641342</v>
      </c>
      <c r="V62" s="157">
        <f t="shared" si="180"/>
        <v>178.59051160337543</v>
      </c>
      <c r="W62" s="157">
        <f t="shared" si="180"/>
        <v>205.37908834388173</v>
      </c>
      <c r="X62" s="157">
        <f t="shared" si="180"/>
        <v>236.18595159546399</v>
      </c>
      <c r="Y62" s="157">
        <f t="shared" si="180"/>
        <v>271.61384433478355</v>
      </c>
      <c r="Z62" s="157">
        <f t="shared" si="180"/>
        <v>312.35592098500109</v>
      </c>
      <c r="AA62" s="157">
        <f t="shared" si="180"/>
        <v>359.20930913275117</v>
      </c>
      <c r="AB62" s="157">
        <f t="shared" si="180"/>
        <v>413.09070550266387</v>
      </c>
      <c r="AC62" s="138">
        <f t="shared" si="161"/>
        <v>0.30528507631682844</v>
      </c>
      <c r="AD62" s="31">
        <f t="shared" si="17"/>
        <v>0.05</v>
      </c>
      <c r="AE62" s="146">
        <f t="shared" si="162"/>
        <v>2551.4425928105711</v>
      </c>
    </row>
    <row r="63" spans="2:31" x14ac:dyDescent="0.2">
      <c r="B63" s="20" t="s">
        <v>255</v>
      </c>
      <c r="C63" s="127">
        <f t="shared" ref="C63:P63" si="181">C13/C42</f>
        <v>0</v>
      </c>
      <c r="D63" s="127">
        <f t="shared" si="181"/>
        <v>0</v>
      </c>
      <c r="E63" s="127">
        <f t="shared" si="181"/>
        <v>0</v>
      </c>
      <c r="F63" s="144">
        <f t="shared" si="181"/>
        <v>0</v>
      </c>
      <c r="G63" s="144">
        <f t="shared" si="181"/>
        <v>12.658227848101266</v>
      </c>
      <c r="H63" s="144">
        <f t="shared" si="181"/>
        <v>5.9071729957805905</v>
      </c>
      <c r="I63" s="144">
        <f t="shared" si="181"/>
        <v>11.39240506329114</v>
      </c>
      <c r="J63" s="144">
        <f t="shared" si="181"/>
        <v>26.582278481012658</v>
      </c>
      <c r="K63" s="144">
        <f t="shared" si="181"/>
        <v>29.957805907172993</v>
      </c>
      <c r="L63" s="144">
        <f t="shared" si="181"/>
        <v>44.303797468354425</v>
      </c>
      <c r="M63" s="144">
        <f t="shared" si="181"/>
        <v>40.928270042194093</v>
      </c>
      <c r="N63" s="144">
        <f t="shared" si="181"/>
        <v>31.223628691983119</v>
      </c>
      <c r="O63" s="144" t="e">
        <f t="shared" si="181"/>
        <v>#DIV/0!</v>
      </c>
      <c r="P63" s="144">
        <f t="shared" si="181"/>
        <v>9.7046413502109701</v>
      </c>
      <c r="Q63" s="118">
        <f>((P63/G63)^(1/($H$2-$H$1) ))-1</f>
        <v>-2.909103987625028E-2</v>
      </c>
      <c r="R63" s="128"/>
      <c r="S63" s="157">
        <f t="shared" ref="S63:AB63" si="182">S13/S42</f>
        <v>11.160337552742615</v>
      </c>
      <c r="T63" s="157">
        <f t="shared" si="182"/>
        <v>12.834388185654007</v>
      </c>
      <c r="U63" s="157">
        <f t="shared" si="182"/>
        <v>14.759546413502106</v>
      </c>
      <c r="V63" s="157">
        <f t="shared" si="182"/>
        <v>16.973478375527421</v>
      </c>
      <c r="W63" s="157">
        <f t="shared" si="182"/>
        <v>19.519500131856532</v>
      </c>
      <c r="X63" s="157">
        <f t="shared" si="182"/>
        <v>22.447425151635013</v>
      </c>
      <c r="Y63" s="157">
        <f t="shared" si="182"/>
        <v>25.814538924380262</v>
      </c>
      <c r="Z63" s="157">
        <f t="shared" si="182"/>
        <v>29.686719763037299</v>
      </c>
      <c r="AA63" s="157">
        <f t="shared" si="182"/>
        <v>34.13972772749289</v>
      </c>
      <c r="AB63" s="157">
        <f t="shared" si="182"/>
        <v>39.260686886616824</v>
      </c>
      <c r="AC63" s="138">
        <f t="shared" si="161"/>
        <v>6.1384873548766095E-2</v>
      </c>
      <c r="AD63" s="31">
        <f t="shared" si="17"/>
        <v>0.05</v>
      </c>
      <c r="AE63" s="146">
        <f t="shared" si="162"/>
        <v>242.49247782910396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83">(D62+D63)</f>
        <v>0</v>
      </c>
      <c r="E64" s="127">
        <f t="shared" si="183"/>
        <v>0</v>
      </c>
      <c r="F64" s="144">
        <f t="shared" si="183"/>
        <v>0</v>
      </c>
      <c r="G64" s="144">
        <f t="shared" si="183"/>
        <v>15.274261603375528</v>
      </c>
      <c r="H64" s="144">
        <f t="shared" si="183"/>
        <v>9.1181434599156113</v>
      </c>
      <c r="I64" s="144">
        <f t="shared" si="183"/>
        <v>16.877637130801688</v>
      </c>
      <c r="J64" s="144">
        <f t="shared" si="183"/>
        <v>40.084388185654007</v>
      </c>
      <c r="K64" s="144">
        <f t="shared" si="183"/>
        <v>50.210970464135016</v>
      </c>
      <c r="L64" s="144">
        <f t="shared" si="183"/>
        <v>55.274261603375521</v>
      </c>
      <c r="M64" s="144">
        <f t="shared" si="183"/>
        <v>55.696202531645568</v>
      </c>
      <c r="N64" s="144">
        <f t="shared" si="183"/>
        <v>47.257383966244717</v>
      </c>
      <c r="O64" s="144" t="e">
        <f t="shared" ref="O64" si="184">(O62+O63)</f>
        <v>#DIV/0!</v>
      </c>
      <c r="P64" s="144">
        <f t="shared" si="183"/>
        <v>111.81434599156117</v>
      </c>
      <c r="Q64" s="118">
        <f>((P64/G64)^(1/($H$2-$H$1) ))-1</f>
        <v>0.24755499785450863</v>
      </c>
      <c r="R64" s="128"/>
      <c r="S64" s="157">
        <f t="shared" ref="S64:AB64" si="185">(S62+S63)</f>
        <v>128.58649789029533</v>
      </c>
      <c r="T64" s="157">
        <f t="shared" si="185"/>
        <v>147.87447257383963</v>
      </c>
      <c r="U64" s="157">
        <f t="shared" si="185"/>
        <v>170.05564345991553</v>
      </c>
      <c r="V64" s="157">
        <f t="shared" si="185"/>
        <v>195.56398997890284</v>
      </c>
      <c r="W64" s="157">
        <f t="shared" si="185"/>
        <v>224.89858847573828</v>
      </c>
      <c r="X64" s="157">
        <f t="shared" si="185"/>
        <v>258.63337674709902</v>
      </c>
      <c r="Y64" s="157">
        <f t="shared" si="185"/>
        <v>297.42838325916381</v>
      </c>
      <c r="Z64" s="157">
        <f t="shared" si="185"/>
        <v>342.04264074803837</v>
      </c>
      <c r="AA64" s="157">
        <f t="shared" si="185"/>
        <v>393.34903686024404</v>
      </c>
      <c r="AB64" s="157">
        <f t="shared" si="185"/>
        <v>452.3513923892807</v>
      </c>
      <c r="AC64" s="138">
        <f t="shared" si="161"/>
        <v>0.19522094501766962</v>
      </c>
      <c r="AD64" s="31">
        <f t="shared" si="17"/>
        <v>0.05</v>
      </c>
      <c r="AE64" s="146">
        <f t="shared" si="162"/>
        <v>2793.9350706396754</v>
      </c>
    </row>
    <row r="65" spans="2:31" x14ac:dyDescent="0.2">
      <c r="B65" s="20" t="s">
        <v>249</v>
      </c>
      <c r="C65" s="127">
        <f t="shared" ref="C65:P65" si="186">C15/C42</f>
        <v>0</v>
      </c>
      <c r="D65" s="127">
        <f t="shared" si="186"/>
        <v>0</v>
      </c>
      <c r="E65" s="127">
        <f t="shared" si="186"/>
        <v>0</v>
      </c>
      <c r="F65" s="144">
        <f t="shared" si="186"/>
        <v>0</v>
      </c>
      <c r="G65" s="144">
        <f t="shared" si="186"/>
        <v>22.109704641350209</v>
      </c>
      <c r="H65" s="144">
        <f t="shared" si="186"/>
        <v>27.848101265822784</v>
      </c>
      <c r="I65" s="144">
        <f t="shared" si="186"/>
        <v>43.459915611814345</v>
      </c>
      <c r="J65" s="144">
        <f t="shared" si="186"/>
        <v>59.493670886075947</v>
      </c>
      <c r="K65" s="144">
        <f t="shared" si="186"/>
        <v>70.042194092827003</v>
      </c>
      <c r="L65" s="144">
        <f t="shared" si="186"/>
        <v>63.713080168776365</v>
      </c>
      <c r="M65" s="144">
        <f t="shared" si="186"/>
        <v>80.59071729957806</v>
      </c>
      <c r="N65" s="144">
        <f t="shared" si="186"/>
        <v>96.624472573839654</v>
      </c>
      <c r="O65" s="144" t="e">
        <f t="shared" si="186"/>
        <v>#DIV/0!</v>
      </c>
      <c r="P65" s="144">
        <f t="shared" si="186"/>
        <v>198.73417721518987</v>
      </c>
      <c r="Q65" s="118">
        <f>((P65/G65)^(1/($H$2-$H$1) ))-1</f>
        <v>0.27633745281160715</v>
      </c>
      <c r="R65" s="128"/>
      <c r="S65" s="157">
        <f t="shared" ref="S65:AB65" si="187">S15/S42</f>
        <v>228.54430379746833</v>
      </c>
      <c r="T65" s="157">
        <f t="shared" si="187"/>
        <v>262.82594936708858</v>
      </c>
      <c r="U65" s="157">
        <f t="shared" si="187"/>
        <v>302.24984177215185</v>
      </c>
      <c r="V65" s="157">
        <f t="shared" si="187"/>
        <v>347.58731803797463</v>
      </c>
      <c r="W65" s="157">
        <f t="shared" si="187"/>
        <v>399.72541574367079</v>
      </c>
      <c r="X65" s="157">
        <f t="shared" si="187"/>
        <v>459.68422810522139</v>
      </c>
      <c r="Y65" s="157">
        <f t="shared" si="187"/>
        <v>528.63686232100451</v>
      </c>
      <c r="Z65" s="157">
        <f t="shared" si="187"/>
        <v>607.93239166915521</v>
      </c>
      <c r="AA65" s="157">
        <f t="shared" si="187"/>
        <v>699.12225041952843</v>
      </c>
      <c r="AB65" s="157">
        <f t="shared" si="187"/>
        <v>803.99058798245755</v>
      </c>
      <c r="AC65" s="138">
        <f t="shared" si="161"/>
        <v>0.20820442588084176</v>
      </c>
      <c r="AD65" s="31">
        <f t="shared" si="17"/>
        <v>0.05</v>
      </c>
      <c r="AE65" s="146">
        <f t="shared" si="162"/>
        <v>4965.8242198916496</v>
      </c>
    </row>
    <row r="66" spans="2:31" x14ac:dyDescent="0.2">
      <c r="B66" s="20" t="s">
        <v>250</v>
      </c>
      <c r="C66" s="127">
        <f t="shared" ref="C66:P66" si="188">C16/C42</f>
        <v>0</v>
      </c>
      <c r="D66" s="127">
        <f t="shared" si="188"/>
        <v>0</v>
      </c>
      <c r="E66" s="127">
        <f t="shared" si="188"/>
        <v>0</v>
      </c>
      <c r="F66" s="144">
        <f t="shared" si="188"/>
        <v>0</v>
      </c>
      <c r="G66" s="144">
        <f t="shared" si="188"/>
        <v>8.0168776371308006</v>
      </c>
      <c r="H66" s="144">
        <f t="shared" si="188"/>
        <v>10.637130801687764</v>
      </c>
      <c r="I66" s="144">
        <f t="shared" si="188"/>
        <v>26.371308016877634</v>
      </c>
      <c r="J66" s="144">
        <f t="shared" si="188"/>
        <v>38.81856540084388</v>
      </c>
      <c r="K66" s="144">
        <f t="shared" si="188"/>
        <v>4.6413502109704643</v>
      </c>
      <c r="L66" s="144">
        <f t="shared" si="188"/>
        <v>43.037974683544299</v>
      </c>
      <c r="M66" s="144">
        <f t="shared" si="188"/>
        <v>100.42194092827003</v>
      </c>
      <c r="N66" s="144">
        <f t="shared" si="188"/>
        <v>147.25738396624473</v>
      </c>
      <c r="O66" s="144" t="e">
        <f t="shared" si="188"/>
        <v>#DIV/0!</v>
      </c>
      <c r="P66" s="144">
        <f t="shared" si="188"/>
        <v>170.46413502109704</v>
      </c>
      <c r="Q66" s="118">
        <f>((P66/G66)^(1/($H$2-$H$1) ))-1</f>
        <v>0.404475591677391</v>
      </c>
      <c r="R66" s="128"/>
      <c r="S66" s="157">
        <f t="shared" ref="S66:AB66" si="189">S16/S42</f>
        <v>196.03375527426158</v>
      </c>
      <c r="T66" s="157">
        <f t="shared" si="189"/>
        <v>225.43881856540082</v>
      </c>
      <c r="U66" s="157">
        <f t="shared" si="189"/>
        <v>259.25464135021087</v>
      </c>
      <c r="V66" s="157">
        <f t="shared" si="189"/>
        <v>298.14283755274249</v>
      </c>
      <c r="W66" s="157">
        <f t="shared" si="189"/>
        <v>342.86426318565384</v>
      </c>
      <c r="X66" s="157">
        <f t="shared" si="189"/>
        <v>394.29390266350191</v>
      </c>
      <c r="Y66" s="157">
        <f t="shared" si="189"/>
        <v>453.43798806302715</v>
      </c>
      <c r="Z66" s="157">
        <f t="shared" si="189"/>
        <v>521.45368627248126</v>
      </c>
      <c r="AA66" s="157">
        <f t="shared" si="189"/>
        <v>599.67173921335336</v>
      </c>
      <c r="AB66" s="157">
        <f t="shared" si="189"/>
        <v>689.62250009535626</v>
      </c>
      <c r="AC66" s="138">
        <f t="shared" si="161"/>
        <v>0.26421627584680407</v>
      </c>
      <c r="AD66" s="137"/>
      <c r="AE66" s="146">
        <f t="shared" si="162"/>
        <v>3134.6477277061649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62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90">D43</f>
        <v>0</v>
      </c>
      <c r="E68" s="159">
        <f t="shared" si="190"/>
        <v>0</v>
      </c>
      <c r="F68" s="159">
        <f t="shared" si="190"/>
        <v>0</v>
      </c>
      <c r="G68" s="159">
        <f t="shared" si="190"/>
        <v>4.5</v>
      </c>
      <c r="H68" s="159">
        <f t="shared" si="190"/>
        <v>3</v>
      </c>
      <c r="I68" s="159">
        <f t="shared" si="190"/>
        <v>4.5</v>
      </c>
      <c r="J68" s="159">
        <f t="shared" si="190"/>
        <v>1</v>
      </c>
      <c r="K68" s="159">
        <f t="shared" si="190"/>
        <v>1</v>
      </c>
      <c r="L68" s="159">
        <f t="shared" si="190"/>
        <v>1</v>
      </c>
      <c r="M68" s="159">
        <f t="shared" si="190"/>
        <v>1</v>
      </c>
      <c r="N68" s="159">
        <f t="shared" si="190"/>
        <v>1</v>
      </c>
      <c r="O68" s="159">
        <f t="shared" si="190"/>
        <v>2</v>
      </c>
      <c r="P68" s="159">
        <f t="shared" si="190"/>
        <v>71</v>
      </c>
      <c r="Q68" s="118">
        <f>((P68/G68)^(1/($H$2-$H$1) ))-1</f>
        <v>0.35867693823058411</v>
      </c>
      <c r="R68" s="128"/>
      <c r="S68" s="159">
        <f t="shared" ref="S68:AB68" si="191">S43</f>
        <v>74.55</v>
      </c>
      <c r="T68" s="159">
        <f t="shared" si="191"/>
        <v>78.277500000000003</v>
      </c>
      <c r="U68" s="159">
        <f t="shared" si="191"/>
        <v>82.191375000000008</v>
      </c>
      <c r="V68" s="159">
        <f t="shared" si="191"/>
        <v>86.300943750000016</v>
      </c>
      <c r="W68" s="159">
        <f t="shared" si="191"/>
        <v>90.615990937500015</v>
      </c>
      <c r="X68" s="159">
        <f t="shared" si="191"/>
        <v>95.146790484375018</v>
      </c>
      <c r="Y68" s="159">
        <f t="shared" si="191"/>
        <v>99.904130008593768</v>
      </c>
      <c r="Z68" s="159">
        <f t="shared" si="191"/>
        <v>104.89933650902346</v>
      </c>
      <c r="AA68" s="159">
        <f t="shared" si="191"/>
        <v>110.14430333447463</v>
      </c>
      <c r="AB68" s="159">
        <f t="shared" si="191"/>
        <v>115.65151850119837</v>
      </c>
      <c r="AC68" s="138">
        <f t="shared" ref="AC68" si="192">((AB68/G68)^(1/($AB$3-$H$1) ))-1</f>
        <v>0.18633489945798054</v>
      </c>
      <c r="AD68" s="31">
        <f t="shared" si="17"/>
        <v>0.05</v>
      </c>
      <c r="AE68" s="146">
        <f t="shared" si="162"/>
        <v>714.31820250740179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316</v>
      </c>
      <c r="C70" s="127">
        <f t="shared" ref="C70:P70" si="193">C20+C21</f>
        <v>0</v>
      </c>
      <c r="D70" s="127">
        <f t="shared" si="193"/>
        <v>0</v>
      </c>
      <c r="E70" s="127">
        <f t="shared" si="193"/>
        <v>0</v>
      </c>
      <c r="F70" s="144">
        <f t="shared" si="193"/>
        <v>0</v>
      </c>
      <c r="G70" s="144">
        <f t="shared" si="193"/>
        <v>0</v>
      </c>
      <c r="H70" s="144">
        <f t="shared" si="193"/>
        <v>0</v>
      </c>
      <c r="I70" s="144">
        <f t="shared" si="193"/>
        <v>0</v>
      </c>
      <c r="J70" s="144">
        <f t="shared" si="193"/>
        <v>0</v>
      </c>
      <c r="K70" s="144">
        <f t="shared" si="193"/>
        <v>0</v>
      </c>
      <c r="L70" s="144">
        <f t="shared" si="193"/>
        <v>0</v>
      </c>
      <c r="M70" s="144">
        <f t="shared" si="193"/>
        <v>0</v>
      </c>
      <c r="N70" s="144">
        <f t="shared" si="193"/>
        <v>0</v>
      </c>
      <c r="O70" s="144">
        <f t="shared" si="193"/>
        <v>0</v>
      </c>
      <c r="P70" s="144">
        <f t="shared" si="193"/>
        <v>0</v>
      </c>
      <c r="Q70" s="118" t="e">
        <f>((P70/G70)^(1/($H$2-$H$1) ))-1</f>
        <v>#DIV/0!</v>
      </c>
      <c r="R70" s="128"/>
      <c r="S70" s="144">
        <f t="shared" ref="S70:AB70" si="194">S20+S21</f>
        <v>0</v>
      </c>
      <c r="T70" s="144">
        <f t="shared" si="194"/>
        <v>0</v>
      </c>
      <c r="U70" s="144">
        <f t="shared" si="194"/>
        <v>0</v>
      </c>
      <c r="V70" s="144">
        <f t="shared" si="194"/>
        <v>0</v>
      </c>
      <c r="W70" s="144">
        <f t="shared" si="194"/>
        <v>0</v>
      </c>
      <c r="X70" s="144">
        <f t="shared" si="194"/>
        <v>0</v>
      </c>
      <c r="Y70" s="144">
        <f t="shared" si="194"/>
        <v>0</v>
      </c>
      <c r="Z70" s="144">
        <f t="shared" si="194"/>
        <v>0</v>
      </c>
      <c r="AA70" s="144">
        <f t="shared" si="194"/>
        <v>0</v>
      </c>
      <c r="AB70" s="144">
        <f t="shared" si="194"/>
        <v>0</v>
      </c>
      <c r="AC70" s="138" t="e">
        <f t="shared" ref="AC70:AC75" si="195">((AB70/G70)^(1/($AB$3-$H$1) ))-1</f>
        <v>#DIV/0!</v>
      </c>
      <c r="AD70" s="31">
        <f t="shared" si="17"/>
        <v>0.05</v>
      </c>
      <c r="AE70" s="146">
        <f t="shared" si="162"/>
        <v>0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317</v>
      </c>
      <c r="C72" s="127">
        <f t="shared" ref="C72:P72" si="196">C70/C42</f>
        <v>0</v>
      </c>
      <c r="D72" s="127">
        <f t="shared" si="196"/>
        <v>0</v>
      </c>
      <c r="E72" s="127">
        <f t="shared" si="196"/>
        <v>0</v>
      </c>
      <c r="F72" s="144">
        <f t="shared" si="196"/>
        <v>0</v>
      </c>
      <c r="G72" s="144">
        <f t="shared" si="196"/>
        <v>0</v>
      </c>
      <c r="H72" s="144">
        <f t="shared" si="196"/>
        <v>0</v>
      </c>
      <c r="I72" s="144">
        <f t="shared" si="196"/>
        <v>0</v>
      </c>
      <c r="J72" s="144">
        <f t="shared" si="196"/>
        <v>0</v>
      </c>
      <c r="K72" s="144">
        <f t="shared" si="196"/>
        <v>0</v>
      </c>
      <c r="L72" s="144">
        <f t="shared" si="196"/>
        <v>0</v>
      </c>
      <c r="M72" s="144">
        <f t="shared" si="196"/>
        <v>0</v>
      </c>
      <c r="N72" s="144">
        <f t="shared" si="196"/>
        <v>0</v>
      </c>
      <c r="O72" s="144" t="e">
        <f t="shared" si="196"/>
        <v>#DIV/0!</v>
      </c>
      <c r="P72" s="144">
        <f t="shared" si="196"/>
        <v>0</v>
      </c>
      <c r="Q72" s="118" t="e">
        <f>((P72/G72)^(1/($H$2-$H$1) ))-1</f>
        <v>#DIV/0!</v>
      </c>
      <c r="R72" s="128"/>
      <c r="S72" s="146">
        <f t="shared" ref="S72:AB72" si="197">S70/S42</f>
        <v>0</v>
      </c>
      <c r="T72" s="146">
        <f t="shared" si="197"/>
        <v>0</v>
      </c>
      <c r="U72" s="146">
        <f t="shared" si="197"/>
        <v>0</v>
      </c>
      <c r="V72" s="146">
        <f t="shared" si="197"/>
        <v>0</v>
      </c>
      <c r="W72" s="146">
        <f t="shared" si="197"/>
        <v>0</v>
      </c>
      <c r="X72" s="146">
        <f t="shared" si="197"/>
        <v>0</v>
      </c>
      <c r="Y72" s="146">
        <f t="shared" si="197"/>
        <v>0</v>
      </c>
      <c r="Z72" s="146">
        <f t="shared" si="197"/>
        <v>0</v>
      </c>
      <c r="AA72" s="146">
        <f t="shared" si="197"/>
        <v>0</v>
      </c>
      <c r="AB72" s="146">
        <f t="shared" si="197"/>
        <v>0</v>
      </c>
      <c r="AC72" s="138" t="e">
        <f t="shared" si="195"/>
        <v>#DIV/0!</v>
      </c>
      <c r="AD72" s="31">
        <f t="shared" si="17"/>
        <v>0.05</v>
      </c>
      <c r="AE72" s="146">
        <f t="shared" si="162"/>
        <v>0</v>
      </c>
    </row>
    <row r="73" spans="2:31" x14ac:dyDescent="0.2">
      <c r="B73" s="20" t="s">
        <v>287</v>
      </c>
      <c r="C73" s="127">
        <f t="shared" ref="C73:P73" si="198">C20/C42</f>
        <v>0</v>
      </c>
      <c r="D73" s="127">
        <f t="shared" si="198"/>
        <v>0</v>
      </c>
      <c r="E73" s="127">
        <f t="shared" si="198"/>
        <v>0</v>
      </c>
      <c r="F73" s="144">
        <f t="shared" si="198"/>
        <v>0</v>
      </c>
      <c r="G73" s="144">
        <f t="shared" si="198"/>
        <v>0</v>
      </c>
      <c r="H73" s="144">
        <f t="shared" si="198"/>
        <v>0</v>
      </c>
      <c r="I73" s="144">
        <f t="shared" si="198"/>
        <v>0</v>
      </c>
      <c r="J73" s="144">
        <f t="shared" si="198"/>
        <v>0</v>
      </c>
      <c r="K73" s="144">
        <f t="shared" si="198"/>
        <v>0</v>
      </c>
      <c r="L73" s="144">
        <f t="shared" si="198"/>
        <v>0</v>
      </c>
      <c r="M73" s="144">
        <f t="shared" si="198"/>
        <v>0</v>
      </c>
      <c r="N73" s="144">
        <f t="shared" si="198"/>
        <v>0</v>
      </c>
      <c r="O73" s="144" t="e">
        <f t="shared" si="198"/>
        <v>#DIV/0!</v>
      </c>
      <c r="P73" s="144">
        <f t="shared" si="198"/>
        <v>0</v>
      </c>
      <c r="Q73" s="118" t="e">
        <f>((P73/G73)^(1/($H$2-$H$1) ))-1</f>
        <v>#DIV/0!</v>
      </c>
      <c r="R73" s="128"/>
      <c r="S73" s="146">
        <f t="shared" ref="S73:AB73" si="199">S20/S42</f>
        <v>0</v>
      </c>
      <c r="T73" s="146">
        <f t="shared" si="199"/>
        <v>0</v>
      </c>
      <c r="U73" s="146">
        <f t="shared" si="199"/>
        <v>0</v>
      </c>
      <c r="V73" s="146">
        <f t="shared" si="199"/>
        <v>0</v>
      </c>
      <c r="W73" s="146">
        <f t="shared" si="199"/>
        <v>0</v>
      </c>
      <c r="X73" s="146">
        <f t="shared" si="199"/>
        <v>0</v>
      </c>
      <c r="Y73" s="146">
        <f t="shared" si="199"/>
        <v>0</v>
      </c>
      <c r="Z73" s="146">
        <f t="shared" si="199"/>
        <v>0</v>
      </c>
      <c r="AA73" s="146">
        <f t="shared" si="199"/>
        <v>0</v>
      </c>
      <c r="AB73" s="146">
        <f t="shared" si="199"/>
        <v>0</v>
      </c>
      <c r="AC73" s="138" t="e">
        <f t="shared" si="195"/>
        <v>#DIV/0!</v>
      </c>
      <c r="AD73" s="31">
        <f t="shared" si="17"/>
        <v>0.05</v>
      </c>
      <c r="AE73" s="146">
        <f t="shared" si="162"/>
        <v>0</v>
      </c>
    </row>
    <row r="74" spans="2:31" x14ac:dyDescent="0.2">
      <c r="B74" s="20" t="s">
        <v>288</v>
      </c>
      <c r="C74" s="127">
        <f t="shared" ref="C74:P74" si="200">C21/C42</f>
        <v>0</v>
      </c>
      <c r="D74" s="127">
        <f t="shared" si="200"/>
        <v>0</v>
      </c>
      <c r="E74" s="127">
        <f t="shared" si="200"/>
        <v>0</v>
      </c>
      <c r="F74" s="144">
        <f t="shared" si="200"/>
        <v>0</v>
      </c>
      <c r="G74" s="144">
        <f t="shared" si="200"/>
        <v>0</v>
      </c>
      <c r="H74" s="144">
        <f t="shared" si="200"/>
        <v>0</v>
      </c>
      <c r="I74" s="144">
        <f t="shared" si="200"/>
        <v>0</v>
      </c>
      <c r="J74" s="144">
        <f t="shared" si="200"/>
        <v>0</v>
      </c>
      <c r="K74" s="144">
        <f t="shared" si="200"/>
        <v>0</v>
      </c>
      <c r="L74" s="144">
        <f t="shared" si="200"/>
        <v>0</v>
      </c>
      <c r="M74" s="144">
        <f t="shared" si="200"/>
        <v>0</v>
      </c>
      <c r="N74" s="144">
        <f t="shared" si="200"/>
        <v>0</v>
      </c>
      <c r="O74" s="144" t="e">
        <f t="shared" si="200"/>
        <v>#DIV/0!</v>
      </c>
      <c r="P74" s="144">
        <f t="shared" si="200"/>
        <v>0</v>
      </c>
      <c r="Q74" s="118" t="e">
        <f>((P74/G74)^(1/($H$2-$H$1) ))-1</f>
        <v>#DIV/0!</v>
      </c>
      <c r="R74" s="128"/>
      <c r="S74" s="146">
        <f t="shared" ref="S74:AB74" si="201">S21/S42</f>
        <v>0</v>
      </c>
      <c r="T74" s="146">
        <f t="shared" si="201"/>
        <v>0</v>
      </c>
      <c r="U74" s="146">
        <f t="shared" si="201"/>
        <v>0</v>
      </c>
      <c r="V74" s="146">
        <f t="shared" si="201"/>
        <v>0</v>
      </c>
      <c r="W74" s="146">
        <f t="shared" si="201"/>
        <v>0</v>
      </c>
      <c r="X74" s="146">
        <f t="shared" si="201"/>
        <v>0</v>
      </c>
      <c r="Y74" s="146">
        <f t="shared" si="201"/>
        <v>0</v>
      </c>
      <c r="Z74" s="146">
        <f t="shared" si="201"/>
        <v>0</v>
      </c>
      <c r="AA74" s="146">
        <f t="shared" si="201"/>
        <v>0</v>
      </c>
      <c r="AB74" s="146">
        <f t="shared" si="201"/>
        <v>0</v>
      </c>
      <c r="AC74" s="138" t="e">
        <f t="shared" si="195"/>
        <v>#DIV/0!</v>
      </c>
      <c r="AD74" s="31">
        <f t="shared" si="17"/>
        <v>0.05</v>
      </c>
      <c r="AE74" s="146">
        <f t="shared" si="162"/>
        <v>0</v>
      </c>
    </row>
    <row r="75" spans="2:31" x14ac:dyDescent="0.2">
      <c r="B75" s="20" t="s">
        <v>289</v>
      </c>
      <c r="C75" s="127">
        <f t="shared" ref="C75:P75" si="202">C22/C42</f>
        <v>0</v>
      </c>
      <c r="D75" s="127">
        <f t="shared" si="202"/>
        <v>0</v>
      </c>
      <c r="E75" s="127">
        <f t="shared" si="202"/>
        <v>0</v>
      </c>
      <c r="F75" s="144">
        <f t="shared" si="202"/>
        <v>0</v>
      </c>
      <c r="G75" s="144">
        <f t="shared" si="202"/>
        <v>0</v>
      </c>
      <c r="H75" s="144">
        <f t="shared" si="202"/>
        <v>0</v>
      </c>
      <c r="I75" s="144">
        <f t="shared" si="202"/>
        <v>0</v>
      </c>
      <c r="J75" s="144">
        <f t="shared" si="202"/>
        <v>0</v>
      </c>
      <c r="K75" s="144">
        <f t="shared" si="202"/>
        <v>0</v>
      </c>
      <c r="L75" s="144">
        <f t="shared" si="202"/>
        <v>0</v>
      </c>
      <c r="M75" s="144">
        <f t="shared" si="202"/>
        <v>0</v>
      </c>
      <c r="N75" s="144">
        <f t="shared" si="202"/>
        <v>0</v>
      </c>
      <c r="O75" s="144" t="e">
        <f t="shared" si="202"/>
        <v>#DIV/0!</v>
      </c>
      <c r="P75" s="144">
        <f t="shared" si="202"/>
        <v>0</v>
      </c>
      <c r="Q75" s="118" t="e">
        <f>((P75/G75)^(1/($H$2-$H$1) ))-1</f>
        <v>#DIV/0!</v>
      </c>
      <c r="R75" s="128"/>
      <c r="S75" s="146">
        <f t="shared" ref="S75:AB75" si="203">S22/S42</f>
        <v>0</v>
      </c>
      <c r="T75" s="146">
        <f t="shared" si="203"/>
        <v>0</v>
      </c>
      <c r="U75" s="146">
        <f t="shared" si="203"/>
        <v>0</v>
      </c>
      <c r="V75" s="146">
        <f t="shared" si="203"/>
        <v>0</v>
      </c>
      <c r="W75" s="146">
        <f t="shared" si="203"/>
        <v>0</v>
      </c>
      <c r="X75" s="146">
        <f t="shared" si="203"/>
        <v>0</v>
      </c>
      <c r="Y75" s="146">
        <f t="shared" si="203"/>
        <v>0</v>
      </c>
      <c r="Z75" s="146">
        <f t="shared" si="203"/>
        <v>0</v>
      </c>
      <c r="AA75" s="146">
        <f t="shared" si="203"/>
        <v>0</v>
      </c>
      <c r="AB75" s="146">
        <f t="shared" si="203"/>
        <v>0</v>
      </c>
      <c r="AC75" s="138" t="e">
        <f t="shared" si="195"/>
        <v>#DIV/0!</v>
      </c>
      <c r="AD75" s="31">
        <f t="shared" si="17"/>
        <v>0.05</v>
      </c>
      <c r="AE75" s="146">
        <f t="shared" si="162"/>
        <v>0</v>
      </c>
    </row>
    <row r="76" spans="2:31" x14ac:dyDescent="0.2">
      <c r="B76" s="20" t="s">
        <v>296</v>
      </c>
      <c r="C76" s="127">
        <f t="shared" ref="C76:P76" si="204">C23/C42</f>
        <v>0</v>
      </c>
      <c r="D76" s="127">
        <f t="shared" si="204"/>
        <v>0</v>
      </c>
      <c r="E76" s="127">
        <f t="shared" si="204"/>
        <v>0</v>
      </c>
      <c r="F76" s="144">
        <f t="shared" si="204"/>
        <v>0</v>
      </c>
      <c r="G76" s="144">
        <f t="shared" si="204"/>
        <v>0</v>
      </c>
      <c r="H76" s="144">
        <f t="shared" si="204"/>
        <v>0</v>
      </c>
      <c r="I76" s="144">
        <f t="shared" si="204"/>
        <v>0</v>
      </c>
      <c r="J76" s="144">
        <f t="shared" si="204"/>
        <v>0</v>
      </c>
      <c r="K76" s="144">
        <f t="shared" si="204"/>
        <v>0</v>
      </c>
      <c r="L76" s="144">
        <f t="shared" si="204"/>
        <v>0</v>
      </c>
      <c r="M76" s="144">
        <f t="shared" si="204"/>
        <v>0</v>
      </c>
      <c r="N76" s="144">
        <f t="shared" si="204"/>
        <v>0</v>
      </c>
      <c r="O76" s="144" t="e">
        <f t="shared" si="204"/>
        <v>#DIV/0!</v>
      </c>
      <c r="P76" s="144">
        <f t="shared" si="204"/>
        <v>0</v>
      </c>
      <c r="Q76" s="118" t="e">
        <f>((P76/G76)^(1/($H$2-$H$1) ))-1</f>
        <v>#DIV/0!</v>
      </c>
      <c r="R76" s="128"/>
      <c r="S76" s="146">
        <f t="shared" ref="S76:AB76" si="205">S23/S42</f>
        <v>0</v>
      </c>
      <c r="T76" s="146">
        <f t="shared" si="205"/>
        <v>0</v>
      </c>
      <c r="U76" s="146">
        <f t="shared" si="205"/>
        <v>0</v>
      </c>
      <c r="V76" s="146">
        <f t="shared" si="205"/>
        <v>0</v>
      </c>
      <c r="W76" s="146">
        <f t="shared" si="205"/>
        <v>0</v>
      </c>
      <c r="X76" s="146">
        <f t="shared" si="205"/>
        <v>0</v>
      </c>
      <c r="Y76" s="146">
        <f t="shared" si="205"/>
        <v>0</v>
      </c>
      <c r="Z76" s="146">
        <f t="shared" si="205"/>
        <v>0</v>
      </c>
      <c r="AA76" s="146">
        <f t="shared" si="205"/>
        <v>0</v>
      </c>
      <c r="AB76" s="146">
        <f t="shared" si="205"/>
        <v>0</v>
      </c>
      <c r="AC76" s="138" t="e">
        <f t="shared" ref="AC76" si="206">((AB76/G76)^(1/($AB$3-$H$1) ))-1</f>
        <v>#DIV/0!</v>
      </c>
      <c r="AD76" s="31">
        <f t="shared" si="17"/>
        <v>0.05</v>
      </c>
      <c r="AE76" s="146">
        <f t="shared" si="162"/>
        <v>0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207">C36/C42</f>
        <v>0</v>
      </c>
      <c r="D78" s="144">
        <f t="shared" si="207"/>
        <v>0</v>
      </c>
      <c r="E78" s="144">
        <f t="shared" si="207"/>
        <v>0</v>
      </c>
      <c r="F78" s="144">
        <f t="shared" si="207"/>
        <v>0</v>
      </c>
      <c r="G78" s="144">
        <f t="shared" si="207"/>
        <v>23.628691983122362</v>
      </c>
      <c r="H78" s="144">
        <f t="shared" si="207"/>
        <v>32.911392405063289</v>
      </c>
      <c r="I78" s="144">
        <f t="shared" si="207"/>
        <v>44.303797468354425</v>
      </c>
      <c r="J78" s="144">
        <f t="shared" si="207"/>
        <v>55.949367088607588</v>
      </c>
      <c r="K78" s="144">
        <f t="shared" si="207"/>
        <v>53.586497890295355</v>
      </c>
      <c r="L78" s="144">
        <f t="shared" si="207"/>
        <v>44.725738396624472</v>
      </c>
      <c r="M78" s="144">
        <f t="shared" si="207"/>
        <v>66.244725738396625</v>
      </c>
      <c r="N78" s="144">
        <f t="shared" si="207"/>
        <v>75.527426160337555</v>
      </c>
      <c r="O78" s="144" t="e">
        <f t="shared" si="207"/>
        <v>#DIV/0!</v>
      </c>
      <c r="P78" s="144">
        <f t="shared" si="207"/>
        <v>113.50210970464134</v>
      </c>
      <c r="Q78" s="118">
        <f>((P78/G78)^(1/($H$2-$H$1) ))-1</f>
        <v>0.190499895019554</v>
      </c>
      <c r="R78" s="128"/>
      <c r="S78" s="144">
        <f t="shared" ref="S78:AB78" si="208">S36/S42</f>
        <v>130.52742616033754</v>
      </c>
      <c r="T78" s="144">
        <f t="shared" si="208"/>
        <v>150.10654008438814</v>
      </c>
      <c r="U78" s="144">
        <f t="shared" si="208"/>
        <v>172.62252109704636</v>
      </c>
      <c r="V78" s="144">
        <f t="shared" si="208"/>
        <v>198.51589926160332</v>
      </c>
      <c r="W78" s="144">
        <f t="shared" si="208"/>
        <v>228.29328415084379</v>
      </c>
      <c r="X78" s="144">
        <f t="shared" si="208"/>
        <v>262.5372767734703</v>
      </c>
      <c r="Y78" s="144">
        <f t="shared" si="208"/>
        <v>301.9178682894908</v>
      </c>
      <c r="Z78" s="144">
        <f t="shared" si="208"/>
        <v>347.20554853291441</v>
      </c>
      <c r="AA78" s="144">
        <f t="shared" si="208"/>
        <v>399.28638081285152</v>
      </c>
      <c r="AB78" s="144">
        <f t="shared" si="208"/>
        <v>459.1793379347792</v>
      </c>
      <c r="AC78" s="138">
        <f t="shared" ref="AC78:AC80" si="209">((AB78/G78)^(1/($AB$3-$H$1) ))-1</f>
        <v>0.16900948403146621</v>
      </c>
      <c r="AD78" s="31">
        <f t="shared" si="17"/>
        <v>0.05</v>
      </c>
      <c r="AE78" s="146">
        <f t="shared" si="162"/>
        <v>2836.107675479519</v>
      </c>
    </row>
    <row r="79" spans="2:31" x14ac:dyDescent="0.2">
      <c r="B79" s="20" t="s">
        <v>312</v>
      </c>
      <c r="C79" s="144">
        <f t="shared" ref="C79:P79" si="210">C40/C42</f>
        <v>0</v>
      </c>
      <c r="D79" s="144">
        <f t="shared" si="210"/>
        <v>0</v>
      </c>
      <c r="E79" s="144">
        <f t="shared" si="210"/>
        <v>0</v>
      </c>
      <c r="F79" s="144">
        <f t="shared" si="210"/>
        <v>0</v>
      </c>
      <c r="G79" s="144">
        <f t="shared" si="210"/>
        <v>10.970464135021096</v>
      </c>
      <c r="H79" s="144">
        <f t="shared" si="210"/>
        <v>16.455696202531644</v>
      </c>
      <c r="I79" s="144">
        <f t="shared" si="210"/>
        <v>21.518987341772149</v>
      </c>
      <c r="J79" s="144">
        <f t="shared" si="210"/>
        <v>29.957805907172993</v>
      </c>
      <c r="K79" s="144">
        <f t="shared" si="210"/>
        <v>32.911392405063289</v>
      </c>
      <c r="L79" s="144">
        <f t="shared" si="210"/>
        <v>25.738396624472571</v>
      </c>
      <c r="M79" s="144">
        <f t="shared" si="210"/>
        <v>40.084388185654007</v>
      </c>
      <c r="N79" s="144">
        <f t="shared" si="210"/>
        <v>51.898734177215189</v>
      </c>
      <c r="O79" s="144" t="e">
        <f t="shared" si="210"/>
        <v>#DIV/0!</v>
      </c>
      <c r="P79" s="144">
        <f t="shared" si="210"/>
        <v>80.59071729957806</v>
      </c>
      <c r="Q79" s="118">
        <f>((P79/G79)^(1/($H$2-$H$1) ))-1</f>
        <v>0.2480411098664137</v>
      </c>
      <c r="R79" s="128"/>
      <c r="S79" s="144">
        <f t="shared" ref="S79:AB79" si="211">S40/S42</f>
        <v>92.67932489451475</v>
      </c>
      <c r="T79" s="144">
        <f t="shared" si="211"/>
        <v>106.58122362869196</v>
      </c>
      <c r="U79" s="144">
        <f t="shared" si="211"/>
        <v>122.56840717299575</v>
      </c>
      <c r="V79" s="144">
        <f t="shared" si="211"/>
        <v>140.95366824894509</v>
      </c>
      <c r="W79" s="144">
        <f t="shared" si="211"/>
        <v>162.09671848628685</v>
      </c>
      <c r="X79" s="144">
        <f t="shared" si="211"/>
        <v>186.41122625922984</v>
      </c>
      <c r="Y79" s="144">
        <f t="shared" si="211"/>
        <v>214.37291019811431</v>
      </c>
      <c r="Z79" s="144">
        <f t="shared" si="211"/>
        <v>246.52884672783142</v>
      </c>
      <c r="AA79" s="144">
        <f t="shared" si="211"/>
        <v>283.50817373700613</v>
      </c>
      <c r="AB79" s="144">
        <f t="shared" si="211"/>
        <v>326.03439979755706</v>
      </c>
      <c r="AC79" s="138">
        <f t="shared" si="209"/>
        <v>0.19544152659092418</v>
      </c>
      <c r="AD79" s="31">
        <f t="shared" si="17"/>
        <v>0.05</v>
      </c>
      <c r="AE79" s="146">
        <f t="shared" si="162"/>
        <v>2013.7418811025586</v>
      </c>
    </row>
    <row r="80" spans="2:31" x14ac:dyDescent="0.2">
      <c r="B80" s="20" t="s">
        <v>313</v>
      </c>
      <c r="C80" s="144">
        <f t="shared" ref="C80:P80" si="212">C6/C42</f>
        <v>0</v>
      </c>
      <c r="D80" s="144">
        <f t="shared" si="212"/>
        <v>0</v>
      </c>
      <c r="E80" s="144">
        <f t="shared" si="212"/>
        <v>0</v>
      </c>
      <c r="F80" s="144">
        <f t="shared" si="212"/>
        <v>0</v>
      </c>
      <c r="G80" s="144">
        <f t="shared" si="212"/>
        <v>45.569620253164558</v>
      </c>
      <c r="H80" s="144">
        <f t="shared" si="212"/>
        <v>58.64978902953586</v>
      </c>
      <c r="I80" s="144">
        <f t="shared" si="212"/>
        <v>95.780590717299575</v>
      </c>
      <c r="J80" s="144">
        <f t="shared" si="212"/>
        <v>124.89451476793248</v>
      </c>
      <c r="K80" s="144">
        <f t="shared" si="212"/>
        <v>156.54008438818565</v>
      </c>
      <c r="L80" s="144">
        <f t="shared" si="212"/>
        <v>181.01265822784811</v>
      </c>
      <c r="M80" s="144">
        <f t="shared" si="212"/>
        <v>219.83122362869199</v>
      </c>
      <c r="N80" s="144">
        <f t="shared" si="212"/>
        <v>270.042194092827</v>
      </c>
      <c r="O80" s="144" t="e">
        <f t="shared" si="212"/>
        <v>#DIV/0!</v>
      </c>
      <c r="P80" s="144">
        <f t="shared" si="212"/>
        <v>268.35443037974682</v>
      </c>
      <c r="Q80" s="118">
        <f>((P80/G80)^(1/($H$2-$H$1) ))-1</f>
        <v>0.21775315165950704</v>
      </c>
      <c r="R80" s="128"/>
      <c r="S80" s="144">
        <f t="shared" ref="S80:AB80" si="213">S6/S42</f>
        <v>308.60759493670884</v>
      </c>
      <c r="T80" s="144">
        <f t="shared" si="213"/>
        <v>354.89873417721515</v>
      </c>
      <c r="U80" s="144">
        <f t="shared" si="213"/>
        <v>408.13354430379735</v>
      </c>
      <c r="V80" s="144">
        <f t="shared" si="213"/>
        <v>469.35357594936693</v>
      </c>
      <c r="W80" s="144">
        <f t="shared" si="213"/>
        <v>539.75661234177187</v>
      </c>
      <c r="X80" s="144">
        <f t="shared" si="213"/>
        <v>620.72010419303763</v>
      </c>
      <c r="Y80" s="144">
        <f t="shared" si="213"/>
        <v>713.82811982199325</v>
      </c>
      <c r="Z80" s="144">
        <f t="shared" si="213"/>
        <v>820.90233779529217</v>
      </c>
      <c r="AA80" s="144">
        <f t="shared" si="213"/>
        <v>944.03768846458593</v>
      </c>
      <c r="AB80" s="144">
        <f t="shared" si="213"/>
        <v>1085.6433417342737</v>
      </c>
      <c r="AC80" s="138">
        <f t="shared" si="209"/>
        <v>0.18161039610469176</v>
      </c>
      <c r="AD80" s="31">
        <f t="shared" ref="AD80" si="214">$L$1</f>
        <v>0.05</v>
      </c>
      <c r="AE80" s="146">
        <f t="shared" si="162"/>
        <v>6705.4441695352207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15">E36/E25</f>
        <v>#DIV/0!</v>
      </c>
      <c r="F84" s="152" t="e">
        <f t="shared" si="215"/>
        <v>#DIV/0!</v>
      </c>
      <c r="G84" s="152">
        <f t="shared" si="215"/>
        <v>0.15774647887323945</v>
      </c>
      <c r="H84" s="152">
        <f t="shared" si="215"/>
        <v>0.16883116883116883</v>
      </c>
      <c r="I84" s="152">
        <f t="shared" si="215"/>
        <v>0.15695067264573992</v>
      </c>
      <c r="J84" s="152">
        <f t="shared" si="215"/>
        <v>0.16330049261083743</v>
      </c>
      <c r="K84" s="152">
        <f t="shared" si="215"/>
        <v>0.12919633774160733</v>
      </c>
      <c r="L84" s="152">
        <f t="shared" si="215"/>
        <v>0.11584699453551912</v>
      </c>
      <c r="M84" s="152">
        <f t="shared" si="215"/>
        <v>0.13604852686308491</v>
      </c>
      <c r="N84" s="152">
        <f t="shared" si="215"/>
        <v>0.11807387862796834</v>
      </c>
      <c r="O84" s="152" t="e">
        <f t="shared" si="215"/>
        <v>#DIV/0!</v>
      </c>
      <c r="P84" s="152">
        <f t="shared" si="215"/>
        <v>0.1216644052464948</v>
      </c>
      <c r="Q84" s="118">
        <f t="shared" ref="Q84:Q134" si="216">((P84/G84)^(1/($H$2-$H$1) ))-1</f>
        <v>-2.8445660438029208E-2</v>
      </c>
      <c r="R84" s="152"/>
      <c r="S84" s="152">
        <f t="shared" ref="S84:AB84" si="217">S36/S25</f>
        <v>0.1216644052464948</v>
      </c>
      <c r="T84" s="152">
        <f t="shared" si="217"/>
        <v>0.12166440524649481</v>
      </c>
      <c r="U84" s="152">
        <f t="shared" si="217"/>
        <v>0.12166440524649481</v>
      </c>
      <c r="V84" s="152">
        <f t="shared" si="217"/>
        <v>0.12166440524649483</v>
      </c>
      <c r="W84" s="152">
        <f t="shared" si="217"/>
        <v>0.12166440524649481</v>
      </c>
      <c r="X84" s="152">
        <f t="shared" si="217"/>
        <v>0.12166440524649481</v>
      </c>
      <c r="Y84" s="152">
        <f t="shared" si="217"/>
        <v>0.1216644052464948</v>
      </c>
      <c r="Z84" s="152">
        <f t="shared" si="217"/>
        <v>0.1216644052464948</v>
      </c>
      <c r="AA84" s="152">
        <f t="shared" si="217"/>
        <v>0.1216644052464948</v>
      </c>
      <c r="AB84" s="152">
        <f t="shared" si="217"/>
        <v>0.12166440524649479</v>
      </c>
      <c r="AC84" s="138">
        <f t="shared" ref="AC84:AC121" si="218">((AB84/G84)^(1/($AB$3-$H$1) ))-1</f>
        <v>-1.3576610985025606E-2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19">E40/E25</f>
        <v>#DIV/0!</v>
      </c>
      <c r="F85" s="152" t="e">
        <f t="shared" si="219"/>
        <v>#DIV/0!</v>
      </c>
      <c r="G85" s="152">
        <f t="shared" si="219"/>
        <v>7.3239436619718309E-2</v>
      </c>
      <c r="H85" s="152">
        <f t="shared" si="219"/>
        <v>8.4415584415584416E-2</v>
      </c>
      <c r="I85" s="152">
        <f t="shared" si="219"/>
        <v>7.623318385650224E-2</v>
      </c>
      <c r="J85" s="152">
        <f t="shared" si="219"/>
        <v>8.7438423645320201E-2</v>
      </c>
      <c r="K85" s="152">
        <f t="shared" si="219"/>
        <v>7.9348931841302137E-2</v>
      </c>
      <c r="L85" s="152">
        <f t="shared" si="219"/>
        <v>6.6666666666666666E-2</v>
      </c>
      <c r="M85" s="152">
        <f t="shared" si="219"/>
        <v>8.2322357019064124E-2</v>
      </c>
      <c r="N85" s="152">
        <f t="shared" si="219"/>
        <v>8.1134564643799478E-2</v>
      </c>
      <c r="O85" s="152" t="e">
        <f t="shared" si="219"/>
        <v>#DIV/0!</v>
      </c>
      <c r="P85" s="152">
        <f t="shared" si="219"/>
        <v>8.6386250565355038E-2</v>
      </c>
      <c r="Q85" s="118">
        <f t="shared" si="216"/>
        <v>1.8513114797491514E-2</v>
      </c>
      <c r="R85" s="152"/>
      <c r="S85" s="152">
        <f t="shared" ref="S85:AB85" si="220">S40/S25</f>
        <v>8.6386250565355052E-2</v>
      </c>
      <c r="T85" s="152">
        <f t="shared" si="220"/>
        <v>8.6386250565355052E-2</v>
      </c>
      <c r="U85" s="152">
        <f t="shared" si="220"/>
        <v>8.6386250565355052E-2</v>
      </c>
      <c r="V85" s="152">
        <f t="shared" si="220"/>
        <v>8.6386250565355052E-2</v>
      </c>
      <c r="W85" s="152">
        <f t="shared" si="220"/>
        <v>8.6386250565355052E-2</v>
      </c>
      <c r="X85" s="152">
        <f t="shared" si="220"/>
        <v>8.6386250565355052E-2</v>
      </c>
      <c r="Y85" s="152">
        <f t="shared" si="220"/>
        <v>8.6386250565355052E-2</v>
      </c>
      <c r="Z85" s="152">
        <f t="shared" si="220"/>
        <v>8.6386250565355052E-2</v>
      </c>
      <c r="AA85" s="152">
        <f t="shared" si="220"/>
        <v>8.6386250565355052E-2</v>
      </c>
      <c r="AB85" s="152">
        <f t="shared" si="220"/>
        <v>8.6386250565355052E-2</v>
      </c>
      <c r="AC85" s="138">
        <f t="shared" si="218"/>
        <v>8.727044679231355E-3</v>
      </c>
      <c r="AD85" s="146"/>
      <c r="AE85" s="146"/>
    </row>
    <row r="86" spans="2:31" x14ac:dyDescent="0.2">
      <c r="B86" s="20" t="s">
        <v>358</v>
      </c>
      <c r="C86" s="152"/>
      <c r="D86" s="152"/>
      <c r="E86" s="152" t="e">
        <f t="shared" ref="E86:O86" si="221">E40/E7</f>
        <v>#DIV/0!</v>
      </c>
      <c r="F86" s="152" t="e">
        <f t="shared" si="221"/>
        <v>#DIV/0!</v>
      </c>
      <c r="G86" s="152">
        <f>G40/G7</f>
        <v>0.19696969696969696</v>
      </c>
      <c r="H86" s="152">
        <f t="shared" si="221"/>
        <v>0.2392638036809816</v>
      </c>
      <c r="I86" s="152">
        <f t="shared" si="221"/>
        <v>0.20318725099601595</v>
      </c>
      <c r="J86" s="152">
        <f t="shared" si="221"/>
        <v>0.2225705329153605</v>
      </c>
      <c r="K86" s="152">
        <f t="shared" si="221"/>
        <v>0.19796954314720813</v>
      </c>
      <c r="L86" s="152">
        <f t="shared" si="221"/>
        <v>0.13465783664459161</v>
      </c>
      <c r="M86" s="152">
        <f t="shared" si="221"/>
        <v>0.1743119266055046</v>
      </c>
      <c r="N86" s="152">
        <f t="shared" si="221"/>
        <v>0.18552036199095023</v>
      </c>
      <c r="O86" s="152" t="e">
        <f t="shared" si="221"/>
        <v>#DIV/0!</v>
      </c>
      <c r="P86" s="152">
        <f t="shared" ref="P86" si="222">P40/P7</f>
        <v>0.28939393939393937</v>
      </c>
      <c r="Q86" s="118">
        <f t="shared" si="216"/>
        <v>4.3675664794236679E-2</v>
      </c>
      <c r="R86" s="20"/>
      <c r="S86" s="152">
        <f t="shared" ref="S86" si="223">S40/S7</f>
        <v>0.28939393939393943</v>
      </c>
      <c r="T86" s="152">
        <f t="shared" ref="T86:AB86" si="224">T40/T7</f>
        <v>0.28939393939393943</v>
      </c>
      <c r="U86" s="152">
        <f t="shared" si="224"/>
        <v>0.28939393939393943</v>
      </c>
      <c r="V86" s="152">
        <f t="shared" si="224"/>
        <v>0.28939393939393937</v>
      </c>
      <c r="W86" s="152">
        <f t="shared" si="224"/>
        <v>0.28939393939393937</v>
      </c>
      <c r="X86" s="152">
        <f t="shared" si="224"/>
        <v>0.28939393939393931</v>
      </c>
      <c r="Y86" s="152">
        <f t="shared" si="224"/>
        <v>0.28939393939393937</v>
      </c>
      <c r="Z86" s="152">
        <f t="shared" si="224"/>
        <v>0.28939393939393937</v>
      </c>
      <c r="AA86" s="152">
        <f t="shared" si="224"/>
        <v>0.28939393939393937</v>
      </c>
      <c r="AB86" s="152">
        <f t="shared" si="224"/>
        <v>0.28939393939393937</v>
      </c>
      <c r="AC86" s="138">
        <f t="shared" si="218"/>
        <v>2.045583025177744E-2</v>
      </c>
      <c r="AD86" s="146"/>
      <c r="AE86" s="146"/>
    </row>
    <row r="87" spans="2:31" x14ac:dyDescent="0.2">
      <c r="B87" s="20" t="s">
        <v>359</v>
      </c>
      <c r="C87" s="152"/>
      <c r="D87" s="152"/>
      <c r="E87" s="152" t="e">
        <f t="shared" ref="E87:F87" si="225">(E40)/(E7+E10)</f>
        <v>#DIV/0!</v>
      </c>
      <c r="F87" s="152" t="e">
        <f t="shared" si="225"/>
        <v>#DIV/0!</v>
      </c>
      <c r="G87" s="152">
        <f>(G40)/(G7+G10)</f>
        <v>0.13197969543147209</v>
      </c>
      <c r="H87" s="152">
        <f t="shared" ref="H87:O87" si="226">(H40)/(H7+H10)</f>
        <v>0.17972350230414746</v>
      </c>
      <c r="I87" s="152">
        <f t="shared" si="226"/>
        <v>0.19540229885057472</v>
      </c>
      <c r="J87" s="152">
        <f t="shared" si="226"/>
        <v>0.2225705329153605</v>
      </c>
      <c r="K87" s="152">
        <f t="shared" si="226"/>
        <v>0.19796954314720813</v>
      </c>
      <c r="L87" s="152">
        <f t="shared" si="226"/>
        <v>0.13465783664459161</v>
      </c>
      <c r="M87" s="152">
        <f t="shared" si="226"/>
        <v>0.1743119266055046</v>
      </c>
      <c r="N87" s="152">
        <f t="shared" si="226"/>
        <v>0.18552036199095023</v>
      </c>
      <c r="O87" s="152" t="e">
        <f t="shared" si="226"/>
        <v>#DIV/0!</v>
      </c>
      <c r="P87" s="152">
        <f t="shared" ref="P87" si="227">(P40)/(P7+P10)</f>
        <v>0.28939393939393937</v>
      </c>
      <c r="Q87" s="118">
        <f t="shared" si="216"/>
        <v>9.1156196568342507E-2</v>
      </c>
      <c r="R87" s="20"/>
      <c r="S87" s="152">
        <f t="shared" ref="S87:AB87" si="228">(S40)/(S7+S10)</f>
        <v>0.28939393939393943</v>
      </c>
      <c r="T87" s="152">
        <f t="shared" si="228"/>
        <v>0.28939393939393943</v>
      </c>
      <c r="U87" s="152">
        <f t="shared" si="228"/>
        <v>0.28939393939393943</v>
      </c>
      <c r="V87" s="152">
        <f t="shared" si="228"/>
        <v>0.28939393939393937</v>
      </c>
      <c r="W87" s="152">
        <f t="shared" si="228"/>
        <v>0.28939393939393937</v>
      </c>
      <c r="X87" s="152">
        <f t="shared" si="228"/>
        <v>0.28939393939393931</v>
      </c>
      <c r="Y87" s="152">
        <f t="shared" si="228"/>
        <v>0.28939393939393937</v>
      </c>
      <c r="Z87" s="152">
        <f t="shared" si="228"/>
        <v>0.28939393939393937</v>
      </c>
      <c r="AA87" s="152">
        <f t="shared" si="228"/>
        <v>0.28939393939393937</v>
      </c>
      <c r="AB87" s="152">
        <f t="shared" si="228"/>
        <v>0.28939393939393937</v>
      </c>
      <c r="AC87" s="138">
        <f t="shared" si="218"/>
        <v>4.2188885675125132E-2</v>
      </c>
      <c r="AD87" s="146"/>
      <c r="AE87" s="146"/>
    </row>
    <row r="88" spans="2:31" x14ac:dyDescent="0.2">
      <c r="B88" s="20" t="s">
        <v>375</v>
      </c>
      <c r="C88" s="152"/>
      <c r="D88" s="152"/>
      <c r="E88" s="152"/>
      <c r="F88" s="152"/>
      <c r="G88" s="152">
        <f>G20/G25</f>
        <v>0</v>
      </c>
      <c r="H88" s="152">
        <f t="shared" ref="H88:P88" si="229">H20/H25</f>
        <v>0</v>
      </c>
      <c r="I88" s="152">
        <f t="shared" si="229"/>
        <v>0</v>
      </c>
      <c r="J88" s="152">
        <f t="shared" si="229"/>
        <v>0</v>
      </c>
      <c r="K88" s="152">
        <f t="shared" si="229"/>
        <v>0</v>
      </c>
      <c r="L88" s="152">
        <f t="shared" si="229"/>
        <v>0</v>
      </c>
      <c r="M88" s="152">
        <f t="shared" si="229"/>
        <v>0</v>
      </c>
      <c r="N88" s="152">
        <f t="shared" si="229"/>
        <v>0</v>
      </c>
      <c r="O88" s="152" t="e">
        <f t="shared" si="229"/>
        <v>#DIV/0!</v>
      </c>
      <c r="P88" s="152">
        <f t="shared" si="229"/>
        <v>0</v>
      </c>
      <c r="Q88" s="118" t="e">
        <f t="shared" si="216"/>
        <v>#DIV/0!</v>
      </c>
      <c r="R88" s="20"/>
      <c r="S88" s="152">
        <f t="shared" ref="S88:AB88" si="230">S20/S25</f>
        <v>0</v>
      </c>
      <c r="T88" s="152">
        <f t="shared" si="230"/>
        <v>0</v>
      </c>
      <c r="U88" s="152">
        <f t="shared" si="230"/>
        <v>0</v>
      </c>
      <c r="V88" s="152">
        <f t="shared" si="230"/>
        <v>0</v>
      </c>
      <c r="W88" s="152">
        <f t="shared" si="230"/>
        <v>0</v>
      </c>
      <c r="X88" s="152">
        <f t="shared" si="230"/>
        <v>0</v>
      </c>
      <c r="Y88" s="152">
        <f t="shared" si="230"/>
        <v>0</v>
      </c>
      <c r="Z88" s="152">
        <f t="shared" si="230"/>
        <v>0</v>
      </c>
      <c r="AA88" s="152">
        <f t="shared" si="230"/>
        <v>0</v>
      </c>
      <c r="AB88" s="152">
        <f t="shared" si="230"/>
        <v>0</v>
      </c>
      <c r="AC88" s="138" t="e">
        <f t="shared" si="218"/>
        <v>#DIV/0!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322</v>
      </c>
      <c r="C90" s="152"/>
      <c r="D90" s="152"/>
      <c r="E90" s="152"/>
      <c r="F90" s="152"/>
      <c r="G90" s="152">
        <f>G29/G25</f>
        <v>1.4647887323943662E-2</v>
      </c>
      <c r="H90" s="152">
        <f t="shared" ref="H90:P90" si="231">H29/H25</f>
        <v>1.406926406926407E-2</v>
      </c>
      <c r="I90" s="152">
        <f t="shared" si="231"/>
        <v>3.7369207772795215E-3</v>
      </c>
      <c r="J90" s="152">
        <f t="shared" si="231"/>
        <v>1.8472906403940886E-3</v>
      </c>
      <c r="K90" s="152">
        <f t="shared" si="231"/>
        <v>1.525940996948118E-3</v>
      </c>
      <c r="L90" s="152">
        <f t="shared" si="231"/>
        <v>1.7486338797814208E-3</v>
      </c>
      <c r="M90" s="152">
        <f t="shared" si="231"/>
        <v>1.0398613518197574E-3</v>
      </c>
      <c r="N90" s="152">
        <f t="shared" si="231"/>
        <v>1.0554089709762533E-3</v>
      </c>
      <c r="O90" s="152" t="e">
        <f t="shared" si="231"/>
        <v>#DIV/0!</v>
      </c>
      <c r="P90" s="152">
        <f t="shared" si="231"/>
        <v>4.5228403437358663E-6</v>
      </c>
      <c r="Q90" s="118">
        <f t="shared" si="216"/>
        <v>-0.59265763063178167</v>
      </c>
      <c r="R90" s="20"/>
      <c r="S90" s="152">
        <f t="shared" ref="S90:AB90" si="232">S29/S25</f>
        <v>4.5228403437358663E-6</v>
      </c>
      <c r="T90" s="152">
        <f t="shared" si="232"/>
        <v>4.5228403437358671E-6</v>
      </c>
      <c r="U90" s="152">
        <f t="shared" si="232"/>
        <v>4.5228403437358671E-6</v>
      </c>
      <c r="V90" s="152">
        <f t="shared" si="232"/>
        <v>4.522840343735868E-6</v>
      </c>
      <c r="W90" s="152">
        <f t="shared" si="232"/>
        <v>4.522840343735868E-6</v>
      </c>
      <c r="X90" s="152">
        <f t="shared" si="232"/>
        <v>4.522840343735868E-6</v>
      </c>
      <c r="Y90" s="152">
        <f t="shared" si="232"/>
        <v>4.5228403437358671E-6</v>
      </c>
      <c r="Z90" s="152">
        <f t="shared" si="232"/>
        <v>4.522840343735868E-6</v>
      </c>
      <c r="AA90" s="152">
        <f t="shared" si="232"/>
        <v>4.5228403437358671E-6</v>
      </c>
      <c r="AB90" s="152">
        <f t="shared" si="232"/>
        <v>4.5228403437358671E-6</v>
      </c>
      <c r="AC90" s="138">
        <f t="shared" si="218"/>
        <v>-0.34650237428219288</v>
      </c>
      <c r="AD90" s="146"/>
      <c r="AE90" s="146"/>
    </row>
    <row r="91" spans="2:31" x14ac:dyDescent="0.2">
      <c r="B91" s="20" t="s">
        <v>368</v>
      </c>
      <c r="C91" s="152"/>
      <c r="D91" s="152"/>
      <c r="E91" s="152"/>
      <c r="F91" s="152"/>
      <c r="G91" s="152">
        <f>G29/G36</f>
        <v>9.285714285714286E-2</v>
      </c>
      <c r="H91" s="152">
        <f t="shared" ref="H91:P91" si="233">H29/H36</f>
        <v>8.3333333333333329E-2</v>
      </c>
      <c r="I91" s="152">
        <f t="shared" si="233"/>
        <v>2.3809523809523808E-2</v>
      </c>
      <c r="J91" s="152">
        <f t="shared" si="233"/>
        <v>1.1312217194570135E-2</v>
      </c>
      <c r="K91" s="152">
        <f t="shared" si="233"/>
        <v>1.1811023622047244E-2</v>
      </c>
      <c r="L91" s="152">
        <f t="shared" si="233"/>
        <v>1.509433962264151E-2</v>
      </c>
      <c r="M91" s="152">
        <f t="shared" si="233"/>
        <v>7.6433121019108281E-3</v>
      </c>
      <c r="N91" s="152">
        <f t="shared" si="233"/>
        <v>8.9385474860335205E-3</v>
      </c>
      <c r="O91" s="152" t="e">
        <f t="shared" si="233"/>
        <v>#DIV/0!</v>
      </c>
      <c r="P91" s="152">
        <f t="shared" si="233"/>
        <v>3.7174721189591079E-5</v>
      </c>
      <c r="Q91" s="118">
        <f t="shared" ref="Q91" si="234">((P91/G91)^(1/($H$2-$H$1) ))-1</f>
        <v>-0.58073125425812999</v>
      </c>
      <c r="R91" s="20"/>
      <c r="S91" s="152">
        <f t="shared" ref="S91:AB91" si="235">S29/S36</f>
        <v>3.7174721189591079E-5</v>
      </c>
      <c r="T91" s="152">
        <f t="shared" si="235"/>
        <v>3.7174721189591079E-5</v>
      </c>
      <c r="U91" s="152">
        <f t="shared" si="235"/>
        <v>3.7174721189591079E-5</v>
      </c>
      <c r="V91" s="152">
        <f t="shared" si="235"/>
        <v>3.7174721189591079E-5</v>
      </c>
      <c r="W91" s="152">
        <f t="shared" si="235"/>
        <v>3.7174721189591086E-5</v>
      </c>
      <c r="X91" s="152">
        <f t="shared" si="235"/>
        <v>3.7174721189591086E-5</v>
      </c>
      <c r="Y91" s="152">
        <f t="shared" si="235"/>
        <v>3.7174721189591086E-5</v>
      </c>
      <c r="Z91" s="152">
        <f t="shared" si="235"/>
        <v>3.7174721189591092E-5</v>
      </c>
      <c r="AA91" s="152">
        <f t="shared" si="235"/>
        <v>3.7174721189591092E-5</v>
      </c>
      <c r="AB91" s="152">
        <f t="shared" si="235"/>
        <v>3.7174721189591086E-5</v>
      </c>
      <c r="AC91" s="138">
        <f t="shared" ref="AC91" si="236">((AB91/G91)^(1/($AB$3-$H$1) ))-1</f>
        <v>-0.33750797781632214</v>
      </c>
      <c r="AD91" s="146"/>
      <c r="AE91" s="146"/>
    </row>
    <row r="92" spans="2:31" ht="12" customHeight="1" x14ac:dyDescent="0.2">
      <c r="B92" s="20" t="s">
        <v>367</v>
      </c>
      <c r="C92" s="152"/>
      <c r="D92" s="152"/>
      <c r="E92" s="152"/>
      <c r="F92" s="152"/>
      <c r="G92" s="171">
        <f t="shared" ref="G92:P92" si="237">G29/G40</f>
        <v>0.2</v>
      </c>
      <c r="H92" s="171">
        <f t="shared" si="237"/>
        <v>0.16666666666666666</v>
      </c>
      <c r="I92" s="171">
        <f t="shared" si="237"/>
        <v>4.9019607843137254E-2</v>
      </c>
      <c r="J92" s="171">
        <f t="shared" si="237"/>
        <v>2.1126760563380281E-2</v>
      </c>
      <c r="K92" s="171">
        <f t="shared" si="237"/>
        <v>1.9230769230769232E-2</v>
      </c>
      <c r="L92" s="171">
        <f t="shared" si="237"/>
        <v>2.6229508196721311E-2</v>
      </c>
      <c r="M92" s="171">
        <f t="shared" si="237"/>
        <v>1.2631578947368421E-2</v>
      </c>
      <c r="N92" s="171">
        <f t="shared" si="237"/>
        <v>1.3008130081300813E-2</v>
      </c>
      <c r="O92" s="171" t="e">
        <f t="shared" si="237"/>
        <v>#DIV/0!</v>
      </c>
      <c r="P92" s="171">
        <f t="shared" si="237"/>
        <v>5.2356020942408376E-5</v>
      </c>
      <c r="Q92" s="118">
        <f t="shared" ref="Q92" si="238">((P92/G92)^(1/($H$2-$H$1) ))-1</f>
        <v>-0.6000617336682903</v>
      </c>
      <c r="R92" s="20"/>
      <c r="S92" s="171">
        <f t="shared" ref="S92:AB92" si="239">S29/S40</f>
        <v>5.2356020942408382E-5</v>
      </c>
      <c r="T92" s="171">
        <f t="shared" si="239"/>
        <v>5.2356020942408382E-5</v>
      </c>
      <c r="U92" s="171">
        <f t="shared" si="239"/>
        <v>5.2356020942408382E-5</v>
      </c>
      <c r="V92" s="171">
        <f t="shared" si="239"/>
        <v>5.2356020942408389E-5</v>
      </c>
      <c r="W92" s="171">
        <f t="shared" si="239"/>
        <v>5.2356020942408396E-5</v>
      </c>
      <c r="X92" s="171">
        <f t="shared" si="239"/>
        <v>5.2356020942408396E-5</v>
      </c>
      <c r="Y92" s="171">
        <f t="shared" si="239"/>
        <v>5.2356020942408389E-5</v>
      </c>
      <c r="Z92" s="171">
        <f t="shared" si="239"/>
        <v>5.2356020942408389E-5</v>
      </c>
      <c r="AA92" s="171">
        <f t="shared" si="239"/>
        <v>5.2356020942408389E-5</v>
      </c>
      <c r="AB92" s="171">
        <f t="shared" si="239"/>
        <v>5.2356020942408382E-5</v>
      </c>
      <c r="AC92" s="138">
        <f t="shared" ref="AC92" si="240">((AB92/G92)^(1/($AB$3-$H$1) ))-1</f>
        <v>-0.35215613662304945</v>
      </c>
      <c r="AD92" s="146"/>
      <c r="AE92" s="146"/>
    </row>
    <row r="93" spans="2:31" ht="12" customHeight="1" x14ac:dyDescent="0.2">
      <c r="B93" s="20" t="s">
        <v>324</v>
      </c>
      <c r="C93" s="152"/>
      <c r="D93" s="152"/>
      <c r="E93" s="152"/>
      <c r="F93" s="152"/>
      <c r="G93" s="171">
        <f t="shared" ref="G93:P93" si="241">G29/G12</f>
        <v>0.83870967741935487</v>
      </c>
      <c r="H93" s="171">
        <f t="shared" si="241"/>
        <v>0.85413929040735881</v>
      </c>
      <c r="I93" s="171">
        <f t="shared" si="241"/>
        <v>0.19230769230769232</v>
      </c>
      <c r="J93" s="171">
        <f t="shared" si="241"/>
        <v>4.6875E-2</v>
      </c>
      <c r="K93" s="171">
        <f t="shared" si="241"/>
        <v>3.125E-2</v>
      </c>
      <c r="L93" s="171">
        <f t="shared" si="241"/>
        <v>6.1538461538461542E-2</v>
      </c>
      <c r="M93" s="171">
        <f t="shared" si="241"/>
        <v>3.4285714285714287E-2</v>
      </c>
      <c r="N93" s="171">
        <f t="shared" si="241"/>
        <v>4.2105263157894736E-2</v>
      </c>
      <c r="O93" s="171" t="e">
        <f t="shared" si="241"/>
        <v>#DIV/0!</v>
      </c>
      <c r="P93" s="171">
        <f t="shared" si="241"/>
        <v>4.132231404958678E-5</v>
      </c>
      <c r="Q93" s="118">
        <f t="shared" si="216"/>
        <v>-0.66780201199844358</v>
      </c>
      <c r="R93" s="20"/>
      <c r="S93" s="152">
        <f t="shared" ref="S93:AB93" si="242">S29/S12</f>
        <v>4.132231404958678E-5</v>
      </c>
      <c r="T93" s="152">
        <f t="shared" si="242"/>
        <v>4.1322314049586787E-5</v>
      </c>
      <c r="U93" s="152">
        <f t="shared" si="242"/>
        <v>4.1322314049586787E-5</v>
      </c>
      <c r="V93" s="152">
        <f t="shared" si="242"/>
        <v>4.1322314049586787E-5</v>
      </c>
      <c r="W93" s="152">
        <f t="shared" si="242"/>
        <v>4.1322314049586793E-5</v>
      </c>
      <c r="X93" s="152">
        <f t="shared" si="242"/>
        <v>4.1322314049586787E-5</v>
      </c>
      <c r="Y93" s="152">
        <f t="shared" si="242"/>
        <v>4.1322314049586787E-5</v>
      </c>
      <c r="Z93" s="152">
        <f t="shared" si="242"/>
        <v>4.1322314049586787E-5</v>
      </c>
      <c r="AA93" s="152">
        <f t="shared" si="242"/>
        <v>4.1322314049586787E-5</v>
      </c>
      <c r="AB93" s="152">
        <f t="shared" si="242"/>
        <v>4.1322314049586787E-5</v>
      </c>
      <c r="AC93" s="138">
        <f t="shared" si="218"/>
        <v>-0.40667408899424096</v>
      </c>
      <c r="AD93" s="146"/>
      <c r="AE93" s="146"/>
    </row>
    <row r="94" spans="2:31" ht="12" customHeight="1" x14ac:dyDescent="0.2">
      <c r="B94" s="20" t="s">
        <v>369</v>
      </c>
      <c r="C94" s="152"/>
      <c r="D94" s="152"/>
      <c r="E94" s="152"/>
      <c r="F94" s="152"/>
      <c r="G94" s="171" t="e">
        <f>G29/G23</f>
        <v>#DIV/0!</v>
      </c>
      <c r="H94" s="171" t="e">
        <f t="shared" ref="H94:P94" si="243">H29/H23</f>
        <v>#DIV/0!</v>
      </c>
      <c r="I94" s="171" t="e">
        <f t="shared" si="243"/>
        <v>#DIV/0!</v>
      </c>
      <c r="J94" s="171" t="e">
        <f t="shared" si="243"/>
        <v>#DIV/0!</v>
      </c>
      <c r="K94" s="171" t="e">
        <f t="shared" si="243"/>
        <v>#DIV/0!</v>
      </c>
      <c r="L94" s="171" t="e">
        <f t="shared" si="243"/>
        <v>#DIV/0!</v>
      </c>
      <c r="M94" s="171" t="e">
        <f t="shared" si="243"/>
        <v>#DIV/0!</v>
      </c>
      <c r="N94" s="171" t="e">
        <f t="shared" si="243"/>
        <v>#DIV/0!</v>
      </c>
      <c r="O94" s="171" t="e">
        <f t="shared" si="243"/>
        <v>#DIV/0!</v>
      </c>
      <c r="P94" s="171" t="e">
        <f t="shared" si="243"/>
        <v>#DIV/0!</v>
      </c>
      <c r="Q94" s="118" t="e">
        <f t="shared" ref="Q94" si="244">((P94/G94)^(1/($H$2-$H$1) ))-1</f>
        <v>#DIV/0!</v>
      </c>
      <c r="R94" s="20"/>
      <c r="S94" s="171" t="e">
        <f t="shared" ref="S94:AB94" si="245">S29/S23</f>
        <v>#DIV/0!</v>
      </c>
      <c r="T94" s="171" t="e">
        <f t="shared" si="245"/>
        <v>#DIV/0!</v>
      </c>
      <c r="U94" s="171" t="e">
        <f t="shared" si="245"/>
        <v>#DIV/0!</v>
      </c>
      <c r="V94" s="171" t="e">
        <f t="shared" si="245"/>
        <v>#DIV/0!</v>
      </c>
      <c r="W94" s="171" t="e">
        <f t="shared" si="245"/>
        <v>#DIV/0!</v>
      </c>
      <c r="X94" s="171" t="e">
        <f t="shared" si="245"/>
        <v>#DIV/0!</v>
      </c>
      <c r="Y94" s="171" t="e">
        <f t="shared" si="245"/>
        <v>#DIV/0!</v>
      </c>
      <c r="Z94" s="171" t="e">
        <f t="shared" si="245"/>
        <v>#DIV/0!</v>
      </c>
      <c r="AA94" s="171" t="e">
        <f t="shared" si="245"/>
        <v>#DIV/0!</v>
      </c>
      <c r="AB94" s="171" t="e">
        <f t="shared" si="245"/>
        <v>#DIV/0!</v>
      </c>
      <c r="AC94" s="138" t="e">
        <f t="shared" ref="AC94" si="246">((AB94/G94)^(1/($AB$3-$H$1) ))-1</f>
        <v>#DIV/0!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401</v>
      </c>
      <c r="C96" s="152"/>
      <c r="D96" s="152"/>
      <c r="E96" s="152"/>
      <c r="F96" s="152"/>
      <c r="G96" s="127">
        <f>1/G90</f>
        <v>68.269230769230774</v>
      </c>
      <c r="H96" s="127">
        <f t="shared" ref="H96:P96" si="247">1/H90</f>
        <v>71.07692307692308</v>
      </c>
      <c r="I96" s="127">
        <f t="shared" si="247"/>
        <v>267.60000000000002</v>
      </c>
      <c r="J96" s="127">
        <f t="shared" si="247"/>
        <v>541.33333333333337</v>
      </c>
      <c r="K96" s="127">
        <f t="shared" si="247"/>
        <v>655.33333333333337</v>
      </c>
      <c r="L96" s="127">
        <f t="shared" si="247"/>
        <v>571.875</v>
      </c>
      <c r="M96" s="127">
        <f t="shared" si="247"/>
        <v>961.66666666666663</v>
      </c>
      <c r="N96" s="127">
        <f t="shared" si="247"/>
        <v>947.5</v>
      </c>
      <c r="O96" s="127" t="e">
        <f t="shared" si="247"/>
        <v>#DIV/0!</v>
      </c>
      <c r="P96" s="127">
        <f t="shared" si="247"/>
        <v>221100</v>
      </c>
      <c r="Q96" s="118">
        <f t="shared" si="216"/>
        <v>1.4549373578569411</v>
      </c>
      <c r="R96" s="20"/>
      <c r="S96" s="127">
        <f t="shared" ref="S96:AB96" si="248">1/S90</f>
        <v>221100</v>
      </c>
      <c r="T96" s="127">
        <f t="shared" si="248"/>
        <v>221099.99999999994</v>
      </c>
      <c r="U96" s="127">
        <f t="shared" si="248"/>
        <v>221099.99999999994</v>
      </c>
      <c r="V96" s="127">
        <f t="shared" si="248"/>
        <v>221099.99999999991</v>
      </c>
      <c r="W96" s="127">
        <f t="shared" si="248"/>
        <v>221099.99999999991</v>
      </c>
      <c r="X96" s="127">
        <f t="shared" si="248"/>
        <v>221099.99999999991</v>
      </c>
      <c r="Y96" s="127">
        <f t="shared" si="248"/>
        <v>221099.99999999994</v>
      </c>
      <c r="Z96" s="127">
        <f t="shared" si="248"/>
        <v>221099.99999999991</v>
      </c>
      <c r="AA96" s="127">
        <f t="shared" si="248"/>
        <v>221099.99999999994</v>
      </c>
      <c r="AB96" s="127">
        <f t="shared" si="248"/>
        <v>221099.99999999994</v>
      </c>
      <c r="AC96" s="138">
        <f t="shared" si="218"/>
        <v>0.53022744176245751</v>
      </c>
      <c r="AD96" s="146"/>
      <c r="AE96" s="146"/>
    </row>
    <row r="97" spans="2:31" ht="12" customHeight="1" x14ac:dyDescent="0.2">
      <c r="B97" s="20" t="s">
        <v>402</v>
      </c>
      <c r="C97" s="152"/>
      <c r="D97" s="152"/>
      <c r="E97" s="152"/>
      <c r="F97" s="152"/>
      <c r="G97" s="127">
        <f t="shared" ref="G97:P100" si="249">1/G91</f>
        <v>10.769230769230768</v>
      </c>
      <c r="H97" s="127">
        <f t="shared" si="249"/>
        <v>12</v>
      </c>
      <c r="I97" s="127">
        <f t="shared" si="249"/>
        <v>42</v>
      </c>
      <c r="J97" s="127">
        <f t="shared" si="249"/>
        <v>88.4</v>
      </c>
      <c r="K97" s="127">
        <f t="shared" si="249"/>
        <v>84.666666666666671</v>
      </c>
      <c r="L97" s="127">
        <f t="shared" si="249"/>
        <v>66.25</v>
      </c>
      <c r="M97" s="127">
        <f t="shared" si="249"/>
        <v>130.83333333333334</v>
      </c>
      <c r="N97" s="127">
        <f t="shared" si="249"/>
        <v>111.87499999999999</v>
      </c>
      <c r="O97" s="127" t="e">
        <f t="shared" si="249"/>
        <v>#DIV/0!</v>
      </c>
      <c r="P97" s="127">
        <f t="shared" si="249"/>
        <v>26900</v>
      </c>
      <c r="Q97" s="118">
        <f t="shared" si="216"/>
        <v>1.3851050433787098</v>
      </c>
      <c r="R97" s="20"/>
      <c r="S97" s="127">
        <f t="shared" ref="S97:AB97" si="250">1/S91</f>
        <v>26900</v>
      </c>
      <c r="T97" s="127">
        <f t="shared" si="250"/>
        <v>26900</v>
      </c>
      <c r="U97" s="127">
        <f t="shared" si="250"/>
        <v>26900</v>
      </c>
      <c r="V97" s="127">
        <f t="shared" si="250"/>
        <v>26900</v>
      </c>
      <c r="W97" s="127">
        <f t="shared" si="250"/>
        <v>26899.999999999996</v>
      </c>
      <c r="X97" s="127">
        <f t="shared" si="250"/>
        <v>26899.999999999996</v>
      </c>
      <c r="Y97" s="127">
        <f t="shared" si="250"/>
        <v>26899.999999999996</v>
      </c>
      <c r="Z97" s="127">
        <f t="shared" si="250"/>
        <v>26899.999999999989</v>
      </c>
      <c r="AA97" s="127">
        <f t="shared" si="250"/>
        <v>26899.999999999989</v>
      </c>
      <c r="AB97" s="127">
        <f t="shared" si="250"/>
        <v>26899.999999999996</v>
      </c>
      <c r="AC97" s="138">
        <f t="shared" si="218"/>
        <v>0.5094521390670379</v>
      </c>
      <c r="AD97" s="146"/>
      <c r="AE97" s="146"/>
    </row>
    <row r="98" spans="2:31" ht="12" customHeight="1" x14ac:dyDescent="0.2">
      <c r="B98" s="20" t="s">
        <v>403</v>
      </c>
      <c r="C98" s="152"/>
      <c r="D98" s="152"/>
      <c r="E98" s="152"/>
      <c r="F98" s="152"/>
      <c r="G98" s="127">
        <f t="shared" si="249"/>
        <v>5</v>
      </c>
      <c r="H98" s="127">
        <f t="shared" si="249"/>
        <v>6</v>
      </c>
      <c r="I98" s="127">
        <f t="shared" si="249"/>
        <v>20.399999999999999</v>
      </c>
      <c r="J98" s="127">
        <f t="shared" si="249"/>
        <v>47.333333333333336</v>
      </c>
      <c r="K98" s="127">
        <f t="shared" si="249"/>
        <v>52</v>
      </c>
      <c r="L98" s="127">
        <f t="shared" si="249"/>
        <v>38.125</v>
      </c>
      <c r="M98" s="127">
        <f t="shared" si="249"/>
        <v>79.166666666666671</v>
      </c>
      <c r="N98" s="127">
        <f t="shared" si="249"/>
        <v>76.875</v>
      </c>
      <c r="O98" s="127" t="e">
        <f t="shared" si="249"/>
        <v>#DIV/0!</v>
      </c>
      <c r="P98" s="127">
        <f t="shared" si="249"/>
        <v>19100</v>
      </c>
      <c r="Q98" s="118">
        <f t="shared" si="216"/>
        <v>1.5003858949835966</v>
      </c>
      <c r="R98" s="20"/>
      <c r="S98" s="127">
        <f t="shared" ref="S98:AB98" si="251">1/S92</f>
        <v>19099.999999999996</v>
      </c>
      <c r="T98" s="127">
        <f t="shared" si="251"/>
        <v>19099.999999999996</v>
      </c>
      <c r="U98" s="127">
        <f t="shared" si="251"/>
        <v>19099.999999999996</v>
      </c>
      <c r="V98" s="127">
        <f t="shared" si="251"/>
        <v>19099.999999999996</v>
      </c>
      <c r="W98" s="127">
        <f t="shared" si="251"/>
        <v>19099.999999999993</v>
      </c>
      <c r="X98" s="127">
        <f t="shared" si="251"/>
        <v>19099.999999999993</v>
      </c>
      <c r="Y98" s="127">
        <f t="shared" si="251"/>
        <v>19099.999999999996</v>
      </c>
      <c r="Z98" s="127">
        <f t="shared" si="251"/>
        <v>19099.999999999996</v>
      </c>
      <c r="AA98" s="127">
        <f t="shared" si="251"/>
        <v>19099.999999999996</v>
      </c>
      <c r="AB98" s="127">
        <f t="shared" si="251"/>
        <v>19099.999999999996</v>
      </c>
      <c r="AC98" s="138">
        <f t="shared" si="218"/>
        <v>0.54358180501610454</v>
      </c>
      <c r="AD98" s="146"/>
      <c r="AE98" s="146"/>
    </row>
    <row r="99" spans="2:31" ht="12" customHeight="1" x14ac:dyDescent="0.2">
      <c r="B99" s="20" t="s">
        <v>404</v>
      </c>
      <c r="C99" s="152"/>
      <c r="D99" s="152"/>
      <c r="E99" s="152"/>
      <c r="F99" s="152"/>
      <c r="G99" s="127">
        <f t="shared" si="249"/>
        <v>1.1923076923076923</v>
      </c>
      <c r="H99" s="127">
        <f t="shared" si="249"/>
        <v>1.1707692307692306</v>
      </c>
      <c r="I99" s="127">
        <f t="shared" si="249"/>
        <v>5.1999999999999993</v>
      </c>
      <c r="J99" s="127">
        <f t="shared" si="249"/>
        <v>21.333333333333332</v>
      </c>
      <c r="K99" s="127">
        <f t="shared" si="249"/>
        <v>32</v>
      </c>
      <c r="L99" s="127">
        <f t="shared" si="249"/>
        <v>16.25</v>
      </c>
      <c r="M99" s="127">
        <f t="shared" si="249"/>
        <v>29.166666666666664</v>
      </c>
      <c r="N99" s="127">
        <f t="shared" si="249"/>
        <v>23.75</v>
      </c>
      <c r="O99" s="127" t="e">
        <f t="shared" si="249"/>
        <v>#DIV/0!</v>
      </c>
      <c r="P99" s="127">
        <f t="shared" si="249"/>
        <v>24200</v>
      </c>
      <c r="Q99" s="118">
        <f t="shared" si="216"/>
        <v>2.0102530301758317</v>
      </c>
      <c r="R99" s="20"/>
      <c r="S99" s="127">
        <f t="shared" ref="S99:AB99" si="252">1/S93</f>
        <v>24200</v>
      </c>
      <c r="T99" s="127">
        <f t="shared" si="252"/>
        <v>24199.999999999993</v>
      </c>
      <c r="U99" s="127">
        <f t="shared" si="252"/>
        <v>24199.999999999993</v>
      </c>
      <c r="V99" s="127">
        <f t="shared" si="252"/>
        <v>24199.999999999993</v>
      </c>
      <c r="W99" s="127">
        <f t="shared" si="252"/>
        <v>24199.999999999989</v>
      </c>
      <c r="X99" s="127">
        <f t="shared" si="252"/>
        <v>24199.999999999993</v>
      </c>
      <c r="Y99" s="127">
        <f t="shared" si="252"/>
        <v>24199.999999999993</v>
      </c>
      <c r="Z99" s="127">
        <f t="shared" si="252"/>
        <v>24199.999999999993</v>
      </c>
      <c r="AA99" s="127">
        <f t="shared" si="252"/>
        <v>24199.999999999993</v>
      </c>
      <c r="AB99" s="127">
        <f t="shared" si="252"/>
        <v>24199.999999999993</v>
      </c>
      <c r="AC99" s="138">
        <f t="shared" si="218"/>
        <v>0.68541434218653841</v>
      </c>
      <c r="AD99" s="146"/>
      <c r="AE99" s="146"/>
    </row>
    <row r="100" spans="2:31" ht="12" customHeight="1" x14ac:dyDescent="0.2">
      <c r="B100" s="20" t="s">
        <v>405</v>
      </c>
      <c r="C100" s="152"/>
      <c r="D100" s="152"/>
      <c r="E100" s="152"/>
      <c r="F100" s="152"/>
      <c r="G100" s="127" t="e">
        <f t="shared" si="249"/>
        <v>#DIV/0!</v>
      </c>
      <c r="H100" s="127" t="e">
        <f t="shared" si="249"/>
        <v>#DIV/0!</v>
      </c>
      <c r="I100" s="127" t="e">
        <f t="shared" si="249"/>
        <v>#DIV/0!</v>
      </c>
      <c r="J100" s="127" t="e">
        <f t="shared" si="249"/>
        <v>#DIV/0!</v>
      </c>
      <c r="K100" s="127" t="e">
        <f t="shared" si="249"/>
        <v>#DIV/0!</v>
      </c>
      <c r="L100" s="127" t="e">
        <f t="shared" si="249"/>
        <v>#DIV/0!</v>
      </c>
      <c r="M100" s="127" t="e">
        <f t="shared" si="249"/>
        <v>#DIV/0!</v>
      </c>
      <c r="N100" s="127" t="e">
        <f t="shared" si="249"/>
        <v>#DIV/0!</v>
      </c>
      <c r="O100" s="127" t="e">
        <f t="shared" si="249"/>
        <v>#DIV/0!</v>
      </c>
      <c r="P100" s="127" t="e">
        <f t="shared" si="249"/>
        <v>#DIV/0!</v>
      </c>
      <c r="Q100" s="118" t="e">
        <f t="shared" si="216"/>
        <v>#DIV/0!</v>
      </c>
      <c r="R100" s="20"/>
      <c r="S100" s="127" t="e">
        <f t="shared" ref="S100:AB100" si="253">1/S94</f>
        <v>#DIV/0!</v>
      </c>
      <c r="T100" s="127" t="e">
        <f t="shared" si="253"/>
        <v>#DIV/0!</v>
      </c>
      <c r="U100" s="127" t="e">
        <f t="shared" si="253"/>
        <v>#DIV/0!</v>
      </c>
      <c r="V100" s="127" t="e">
        <f t="shared" si="253"/>
        <v>#DIV/0!</v>
      </c>
      <c r="W100" s="127" t="e">
        <f t="shared" si="253"/>
        <v>#DIV/0!</v>
      </c>
      <c r="X100" s="127" t="e">
        <f t="shared" si="253"/>
        <v>#DIV/0!</v>
      </c>
      <c r="Y100" s="127" t="e">
        <f t="shared" si="253"/>
        <v>#DIV/0!</v>
      </c>
      <c r="Z100" s="127" t="e">
        <f t="shared" si="253"/>
        <v>#DIV/0!</v>
      </c>
      <c r="AA100" s="127" t="e">
        <f t="shared" si="253"/>
        <v>#DIV/0!</v>
      </c>
      <c r="AB100" s="127" t="e">
        <f t="shared" si="253"/>
        <v>#DIV/0!</v>
      </c>
      <c r="AC100" s="138" t="e">
        <f t="shared" si="218"/>
        <v>#DIV/0!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325</v>
      </c>
      <c r="C103" s="152"/>
      <c r="D103" s="152"/>
      <c r="E103" s="152"/>
      <c r="F103" s="163">
        <f t="shared" ref="F103:O103" si="254">F10-(F12+F13)</f>
        <v>0</v>
      </c>
      <c r="G103" s="163">
        <f t="shared" si="254"/>
        <v>28.799999999999997</v>
      </c>
      <c r="H103" s="163">
        <f t="shared" si="254"/>
        <v>32.39</v>
      </c>
      <c r="I103" s="163">
        <f t="shared" si="254"/>
        <v>-30</v>
      </c>
      <c r="J103" s="163">
        <f t="shared" si="254"/>
        <v>-95</v>
      </c>
      <c r="K103" s="163">
        <f t="shared" si="254"/>
        <v>-119</v>
      </c>
      <c r="L103" s="163">
        <f t="shared" si="254"/>
        <v>-131</v>
      </c>
      <c r="M103" s="163">
        <f t="shared" si="254"/>
        <v>-132</v>
      </c>
      <c r="N103" s="163">
        <f t="shared" si="254"/>
        <v>-112</v>
      </c>
      <c r="O103" s="163">
        <f t="shared" si="254"/>
        <v>0</v>
      </c>
      <c r="P103" s="163">
        <f>P10-(P12+P13)</f>
        <v>-265</v>
      </c>
      <c r="Q103" s="118">
        <f t="shared" si="216"/>
        <v>-2.2796606654264595</v>
      </c>
      <c r="R103" s="20"/>
      <c r="S103" s="163">
        <f>S10-(S12+S13)</f>
        <v>-304.74999999999994</v>
      </c>
      <c r="T103" s="163">
        <f t="shared" ref="T103:AB103" si="255">T10-(T12+T13)</f>
        <v>-350.46249999999992</v>
      </c>
      <c r="U103" s="163">
        <f t="shared" si="255"/>
        <v>-403.03187499999984</v>
      </c>
      <c r="V103" s="163">
        <f t="shared" si="255"/>
        <v>-463.48665624999978</v>
      </c>
      <c r="W103" s="163">
        <f t="shared" si="255"/>
        <v>-533.00965468749973</v>
      </c>
      <c r="X103" s="163">
        <f t="shared" si="255"/>
        <v>-612.9611028906246</v>
      </c>
      <c r="Y103" s="163">
        <f t="shared" si="255"/>
        <v>-704.90526832421835</v>
      </c>
      <c r="Z103" s="163">
        <f t="shared" si="255"/>
        <v>-810.64105857285097</v>
      </c>
      <c r="AA103" s="163">
        <f t="shared" si="255"/>
        <v>-932.23721735877848</v>
      </c>
      <c r="AB103" s="163">
        <f t="shared" si="255"/>
        <v>-1072.0727999625954</v>
      </c>
      <c r="AC103" s="138">
        <f t="shared" si="218"/>
        <v>-2.2096935286256887</v>
      </c>
      <c r="AD103" s="146"/>
      <c r="AE103" s="146"/>
    </row>
    <row r="104" spans="2:31" ht="12" customHeight="1" x14ac:dyDescent="0.2">
      <c r="B104" s="20" t="s">
        <v>320</v>
      </c>
      <c r="C104" s="20"/>
      <c r="D104" s="20"/>
      <c r="E104" s="20"/>
      <c r="F104" s="20"/>
      <c r="G104" s="152">
        <f t="shared" ref="G104:P104" si="256">G40/G18</f>
        <v>0.18309859154929578</v>
      </c>
      <c r="H104" s="152">
        <f t="shared" si="256"/>
        <v>0.22159090909090909</v>
      </c>
      <c r="I104" s="152">
        <f t="shared" si="256"/>
        <v>0.3</v>
      </c>
      <c r="J104" s="152">
        <f t="shared" si="256"/>
        <v>0.44099378881987578</v>
      </c>
      <c r="K104" s="152">
        <f t="shared" si="256"/>
        <v>0.44827586206896552</v>
      </c>
      <c r="L104" s="152">
        <f t="shared" si="256"/>
        <v>0.35465116279069769</v>
      </c>
      <c r="M104" s="152">
        <f t="shared" si="256"/>
        <v>0.51630434782608692</v>
      </c>
      <c r="N104" s="152">
        <f t="shared" si="256"/>
        <v>0.52789699570815452</v>
      </c>
      <c r="O104" s="152" t="e">
        <f t="shared" si="256"/>
        <v>#DIV/0!</v>
      </c>
      <c r="P104" s="152">
        <f t="shared" si="256"/>
        <v>0.83771929824561409</v>
      </c>
      <c r="Q104" s="118">
        <f t="shared" si="216"/>
        <v>0.1840751851393434</v>
      </c>
      <c r="R104" s="20"/>
      <c r="S104" s="152">
        <f t="shared" ref="S104:AB104" si="257">S40/S18</f>
        <v>0.83771929824561397</v>
      </c>
      <c r="T104" s="152">
        <f t="shared" si="257"/>
        <v>0.83771929824561397</v>
      </c>
      <c r="U104" s="152">
        <f t="shared" si="257"/>
        <v>0.83771929824561397</v>
      </c>
      <c r="V104" s="152">
        <f t="shared" si="257"/>
        <v>0.83771929824561386</v>
      </c>
      <c r="W104" s="152">
        <f t="shared" si="257"/>
        <v>0.83771929824561386</v>
      </c>
      <c r="X104" s="152">
        <f t="shared" si="257"/>
        <v>0.83771929824561386</v>
      </c>
      <c r="Y104" s="152">
        <f t="shared" si="257"/>
        <v>0.83771929824561386</v>
      </c>
      <c r="Z104" s="152">
        <f t="shared" si="257"/>
        <v>0.83771929824561386</v>
      </c>
      <c r="AA104" s="152">
        <f t="shared" si="257"/>
        <v>0.83771929824561386</v>
      </c>
      <c r="AB104" s="152">
        <f t="shared" si="257"/>
        <v>0.83771929824561397</v>
      </c>
      <c r="AC104" s="138">
        <f t="shared" si="218"/>
        <v>8.3324602435937312E-2</v>
      </c>
      <c r="AD104" s="20"/>
      <c r="AE104" s="20"/>
    </row>
    <row r="105" spans="2:31" x14ac:dyDescent="0.2">
      <c r="B105" s="20" t="s">
        <v>321</v>
      </c>
      <c r="C105" s="20"/>
      <c r="D105" s="20"/>
      <c r="E105" s="20"/>
      <c r="F105" s="20"/>
      <c r="G105" s="152">
        <f t="shared" ref="G105:P105" si="258">G40/G25</f>
        <v>7.3239436619718309E-2</v>
      </c>
      <c r="H105" s="152">
        <f t="shared" si="258"/>
        <v>8.4415584415584416E-2</v>
      </c>
      <c r="I105" s="152">
        <f t="shared" si="258"/>
        <v>7.623318385650224E-2</v>
      </c>
      <c r="J105" s="152">
        <f t="shared" si="258"/>
        <v>8.7438423645320201E-2</v>
      </c>
      <c r="K105" s="152">
        <f t="shared" si="258"/>
        <v>7.9348931841302137E-2</v>
      </c>
      <c r="L105" s="152">
        <f t="shared" si="258"/>
        <v>6.6666666666666666E-2</v>
      </c>
      <c r="M105" s="152">
        <f t="shared" si="258"/>
        <v>8.2322357019064124E-2</v>
      </c>
      <c r="N105" s="152">
        <f t="shared" si="258"/>
        <v>8.1134564643799478E-2</v>
      </c>
      <c r="O105" s="152" t="e">
        <f t="shared" si="258"/>
        <v>#DIV/0!</v>
      </c>
      <c r="P105" s="152">
        <f t="shared" si="258"/>
        <v>8.6386250565355038E-2</v>
      </c>
      <c r="Q105" s="118">
        <f t="shared" si="216"/>
        <v>1.8513114797491514E-2</v>
      </c>
      <c r="R105" s="20"/>
      <c r="S105" s="152">
        <f t="shared" ref="S105:AB105" si="259">S40/S25</f>
        <v>8.6386250565355052E-2</v>
      </c>
      <c r="T105" s="152">
        <f t="shared" si="259"/>
        <v>8.6386250565355052E-2</v>
      </c>
      <c r="U105" s="152">
        <f t="shared" si="259"/>
        <v>8.6386250565355052E-2</v>
      </c>
      <c r="V105" s="152">
        <f t="shared" si="259"/>
        <v>8.6386250565355052E-2</v>
      </c>
      <c r="W105" s="152">
        <f t="shared" si="259"/>
        <v>8.6386250565355052E-2</v>
      </c>
      <c r="X105" s="152">
        <f t="shared" si="259"/>
        <v>8.6386250565355052E-2</v>
      </c>
      <c r="Y105" s="152">
        <f t="shared" si="259"/>
        <v>8.6386250565355052E-2</v>
      </c>
      <c r="Z105" s="152">
        <f t="shared" si="259"/>
        <v>8.6386250565355052E-2</v>
      </c>
      <c r="AA105" s="152">
        <f t="shared" si="259"/>
        <v>8.6386250565355052E-2</v>
      </c>
      <c r="AB105" s="152">
        <f t="shared" si="259"/>
        <v>8.6386250565355052E-2</v>
      </c>
      <c r="AC105" s="138">
        <f t="shared" si="218"/>
        <v>8.727044679231355E-3</v>
      </c>
      <c r="AD105" s="20"/>
      <c r="AE105" s="20"/>
    </row>
    <row r="106" spans="2:31" x14ac:dyDescent="0.2">
      <c r="B106" s="20" t="s">
        <v>347</v>
      </c>
      <c r="C106" s="20"/>
      <c r="D106" s="20"/>
      <c r="E106" s="152"/>
      <c r="F106" s="152"/>
      <c r="G106" s="152">
        <f t="shared" ref="G106:O106" si="260">G25/G18</f>
        <v>2.5</v>
      </c>
      <c r="H106" s="152">
        <f t="shared" si="260"/>
        <v>2.625</v>
      </c>
      <c r="I106" s="152">
        <f t="shared" si="260"/>
        <v>3.9352941176470586</v>
      </c>
      <c r="J106" s="152">
        <f t="shared" si="260"/>
        <v>5.0434782608695654</v>
      </c>
      <c r="K106" s="152">
        <f t="shared" si="260"/>
        <v>5.6494252873563218</v>
      </c>
      <c r="L106" s="152">
        <f t="shared" si="260"/>
        <v>5.3197674418604652</v>
      </c>
      <c r="M106" s="152">
        <f t="shared" si="260"/>
        <v>6.2717391304347823</v>
      </c>
      <c r="N106" s="152">
        <f t="shared" si="260"/>
        <v>6.5064377682403434</v>
      </c>
      <c r="O106" s="152" t="e">
        <f t="shared" si="260"/>
        <v>#DIV/0!</v>
      </c>
      <c r="P106" s="152">
        <f>P25/P18</f>
        <v>9.6973684210526319</v>
      </c>
      <c r="Q106" s="118">
        <f t="shared" si="216"/>
        <v>0.16255271329988741</v>
      </c>
      <c r="R106" s="20"/>
      <c r="S106" s="152">
        <f>S25/S18</f>
        <v>9.6973684210526301</v>
      </c>
      <c r="T106" s="152">
        <f t="shared" ref="T106:AB106" si="261">T25/T18</f>
        <v>9.6973684210526301</v>
      </c>
      <c r="U106" s="152">
        <f t="shared" si="261"/>
        <v>9.6973684210526301</v>
      </c>
      <c r="V106" s="152">
        <f t="shared" si="261"/>
        <v>9.6973684210526283</v>
      </c>
      <c r="W106" s="152">
        <f t="shared" si="261"/>
        <v>9.6973684210526283</v>
      </c>
      <c r="X106" s="152">
        <f t="shared" si="261"/>
        <v>9.6973684210526283</v>
      </c>
      <c r="Y106" s="152">
        <f t="shared" si="261"/>
        <v>9.6973684210526283</v>
      </c>
      <c r="Z106" s="152">
        <f t="shared" si="261"/>
        <v>9.6973684210526301</v>
      </c>
      <c r="AA106" s="152">
        <f t="shared" si="261"/>
        <v>9.6973684210526301</v>
      </c>
      <c r="AB106" s="152">
        <f t="shared" si="261"/>
        <v>9.6973684210526301</v>
      </c>
      <c r="AC106" s="138">
        <f t="shared" si="218"/>
        <v>7.3952173831551615E-2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333</v>
      </c>
      <c r="C108" s="20"/>
      <c r="D108" s="20"/>
      <c r="E108" s="165">
        <f t="shared" ref="E108:F108" si="262">E68*E42</f>
        <v>0</v>
      </c>
      <c r="F108" s="165">
        <f t="shared" si="262"/>
        <v>0</v>
      </c>
      <c r="G108" s="165">
        <f>G68*G42</f>
        <v>10.665000000000001</v>
      </c>
      <c r="H108" s="165">
        <f t="shared" ref="H108:P108" si="263">H68*H42</f>
        <v>7.11</v>
      </c>
      <c r="I108" s="165">
        <f t="shared" si="263"/>
        <v>10.665000000000001</v>
      </c>
      <c r="J108" s="165">
        <f t="shared" si="263"/>
        <v>2.37</v>
      </c>
      <c r="K108" s="165">
        <f t="shared" si="263"/>
        <v>2.37</v>
      </c>
      <c r="L108" s="165">
        <f t="shared" si="263"/>
        <v>2.37</v>
      </c>
      <c r="M108" s="165">
        <f t="shared" si="263"/>
        <v>2.37</v>
      </c>
      <c r="N108" s="165">
        <f t="shared" si="263"/>
        <v>2.37</v>
      </c>
      <c r="O108" s="165">
        <f t="shared" si="263"/>
        <v>0</v>
      </c>
      <c r="P108" s="165">
        <f t="shared" si="263"/>
        <v>168.27</v>
      </c>
      <c r="Q108" s="118">
        <f t="shared" si="216"/>
        <v>0.35867693823058411</v>
      </c>
      <c r="R108" s="20"/>
      <c r="S108" s="165">
        <f t="shared" ref="S108:AB108" si="264">S68*S42</f>
        <v>176.68350000000001</v>
      </c>
      <c r="T108" s="165">
        <f t="shared" si="264"/>
        <v>185.51767500000003</v>
      </c>
      <c r="U108" s="165">
        <f t="shared" si="264"/>
        <v>194.79355875000002</v>
      </c>
      <c r="V108" s="165">
        <f t="shared" si="264"/>
        <v>204.53323668750005</v>
      </c>
      <c r="W108" s="165">
        <f t="shared" si="264"/>
        <v>214.75989852187504</v>
      </c>
      <c r="X108" s="165">
        <f t="shared" si="264"/>
        <v>225.49789344796881</v>
      </c>
      <c r="Y108" s="165">
        <f t="shared" si="264"/>
        <v>236.77278812036724</v>
      </c>
      <c r="Z108" s="165">
        <f t="shared" si="264"/>
        <v>248.6114275263856</v>
      </c>
      <c r="AA108" s="165">
        <f t="shared" si="264"/>
        <v>261.0419989027049</v>
      </c>
      <c r="AB108" s="165">
        <f t="shared" si="264"/>
        <v>274.09409884784014</v>
      </c>
      <c r="AC108" s="138">
        <f t="shared" si="218"/>
        <v>0.18633489945798054</v>
      </c>
      <c r="AD108" s="20"/>
      <c r="AE108" s="20"/>
    </row>
    <row r="109" spans="2:31" x14ac:dyDescent="0.2">
      <c r="B109" s="20" t="s">
        <v>334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65">(G108*0.17)+G108</f>
        <v>12.478050000000001</v>
      </c>
      <c r="H109" s="165">
        <f t="shared" si="265"/>
        <v>8.3186999999999998</v>
      </c>
      <c r="I109" s="165">
        <f t="shared" si="265"/>
        <v>12.478050000000001</v>
      </c>
      <c r="J109" s="165">
        <f t="shared" si="265"/>
        <v>2.7728999999999999</v>
      </c>
      <c r="K109" s="165">
        <f t="shared" si="265"/>
        <v>2.7728999999999999</v>
      </c>
      <c r="L109" s="165">
        <f t="shared" si="265"/>
        <v>2.7728999999999999</v>
      </c>
      <c r="M109" s="165">
        <f t="shared" si="265"/>
        <v>2.7728999999999999</v>
      </c>
      <c r="N109" s="165">
        <f t="shared" si="265"/>
        <v>2.7728999999999999</v>
      </c>
      <c r="O109" s="165">
        <f t="shared" si="265"/>
        <v>0</v>
      </c>
      <c r="P109" s="165">
        <f t="shared" si="265"/>
        <v>196.8759</v>
      </c>
      <c r="Q109" s="118">
        <f t="shared" si="216"/>
        <v>0.35867693823058411</v>
      </c>
      <c r="R109" s="20"/>
      <c r="S109" s="165">
        <f t="shared" ref="S109:AB109" si="266">(S108*0.17)+S108</f>
        <v>206.719695</v>
      </c>
      <c r="T109" s="165">
        <f t="shared" si="266"/>
        <v>217.05567975000002</v>
      </c>
      <c r="U109" s="165">
        <f t="shared" si="266"/>
        <v>227.90846373750003</v>
      </c>
      <c r="V109" s="165">
        <f t="shared" si="266"/>
        <v>239.30388692437506</v>
      </c>
      <c r="W109" s="165">
        <f t="shared" si="266"/>
        <v>251.2690812705938</v>
      </c>
      <c r="X109" s="165">
        <f t="shared" si="266"/>
        <v>263.83253533412352</v>
      </c>
      <c r="Y109" s="165">
        <f t="shared" si="266"/>
        <v>277.0241621008297</v>
      </c>
      <c r="Z109" s="165">
        <f t="shared" si="266"/>
        <v>290.87537020587115</v>
      </c>
      <c r="AA109" s="165">
        <f t="shared" si="266"/>
        <v>305.41913871616475</v>
      </c>
      <c r="AB109" s="165">
        <f t="shared" si="266"/>
        <v>320.69009565197297</v>
      </c>
      <c r="AC109" s="138">
        <f t="shared" si="218"/>
        <v>0.18633489945798054</v>
      </c>
      <c r="AD109" s="20"/>
      <c r="AE109" s="20"/>
    </row>
    <row r="110" spans="2:31" x14ac:dyDescent="0.2">
      <c r="B110" s="20" t="s">
        <v>335</v>
      </c>
      <c r="C110" s="20"/>
      <c r="D110" s="20"/>
      <c r="E110" s="20"/>
      <c r="F110" s="152" t="e">
        <f t="shared" ref="F110:P110" si="267">F109/F40</f>
        <v>#DIV/0!</v>
      </c>
      <c r="G110" s="152">
        <f t="shared" si="267"/>
        <v>0.47992500000000005</v>
      </c>
      <c r="H110" s="152">
        <f t="shared" si="267"/>
        <v>0.21329999999999999</v>
      </c>
      <c r="I110" s="152">
        <f t="shared" si="267"/>
        <v>0.24466764705882355</v>
      </c>
      <c r="J110" s="152">
        <f t="shared" si="267"/>
        <v>3.9054929577464786E-2</v>
      </c>
      <c r="K110" s="152">
        <f t="shared" si="267"/>
        <v>3.5549999999999998E-2</v>
      </c>
      <c r="L110" s="152">
        <f t="shared" si="267"/>
        <v>4.5457377049180327E-2</v>
      </c>
      <c r="M110" s="152">
        <f t="shared" si="267"/>
        <v>2.9188421052631579E-2</v>
      </c>
      <c r="N110" s="152">
        <f t="shared" si="267"/>
        <v>2.2543902439024391E-2</v>
      </c>
      <c r="O110" s="152" t="e">
        <f t="shared" si="267"/>
        <v>#DIV/0!</v>
      </c>
      <c r="P110" s="152">
        <f t="shared" si="267"/>
        <v>1.0307638743455498</v>
      </c>
      <c r="Q110" s="118">
        <f t="shared" si="216"/>
        <v>8.864758339251555E-2</v>
      </c>
      <c r="R110" s="20"/>
      <c r="S110" s="152">
        <f t="shared" ref="S110:AB110" si="268">S109/S40</f>
        <v>0.94113223309811078</v>
      </c>
      <c r="T110" s="152">
        <f t="shared" si="268"/>
        <v>0.85929464761131857</v>
      </c>
      <c r="U110" s="152">
        <f t="shared" si="268"/>
        <v>0.78457337390598669</v>
      </c>
      <c r="V110" s="152">
        <f t="shared" si="268"/>
        <v>0.71634960226198796</v>
      </c>
      <c r="W110" s="152">
        <f t="shared" si="268"/>
        <v>0.65405833250007606</v>
      </c>
      <c r="X110" s="152">
        <f t="shared" si="268"/>
        <v>0.59718369489137391</v>
      </c>
      <c r="Y110" s="152">
        <f t="shared" si="268"/>
        <v>0.54525467794429794</v>
      </c>
      <c r="Z110" s="152">
        <f t="shared" si="268"/>
        <v>0.49784122768827199</v>
      </c>
      <c r="AA110" s="152">
        <f t="shared" si="268"/>
        <v>0.45455068615016153</v>
      </c>
      <c r="AB110" s="152">
        <f t="shared" si="268"/>
        <v>0.41502453952840829</v>
      </c>
      <c r="AC110" s="138">
        <f t="shared" si="218"/>
        <v>-7.6177938697791214E-3</v>
      </c>
      <c r="AD110" s="20"/>
      <c r="AE110" s="20"/>
    </row>
    <row r="111" spans="2:31" x14ac:dyDescent="0.2">
      <c r="B111" s="20" t="s">
        <v>328</v>
      </c>
      <c r="C111" s="20"/>
      <c r="D111" s="20"/>
      <c r="E111" s="20"/>
      <c r="F111" s="152" t="e">
        <f>1-F110</f>
        <v>#DIV/0!</v>
      </c>
      <c r="G111" s="152">
        <f>1-G110</f>
        <v>0.52007499999999995</v>
      </c>
      <c r="H111" s="152">
        <f t="shared" ref="H111:P111" si="269">1-H110</f>
        <v>0.78669999999999995</v>
      </c>
      <c r="I111" s="152">
        <f t="shared" si="269"/>
        <v>0.7553323529411764</v>
      </c>
      <c r="J111" s="152">
        <f t="shared" si="269"/>
        <v>0.96094507042253519</v>
      </c>
      <c r="K111" s="152">
        <f t="shared" si="269"/>
        <v>0.96445000000000003</v>
      </c>
      <c r="L111" s="152">
        <f t="shared" si="269"/>
        <v>0.95454262295081971</v>
      </c>
      <c r="M111" s="152">
        <f t="shared" si="269"/>
        <v>0.97081157894736847</v>
      </c>
      <c r="N111" s="152">
        <f t="shared" si="269"/>
        <v>0.97745609756097562</v>
      </c>
      <c r="O111" s="152" t="e">
        <f t="shared" si="269"/>
        <v>#DIV/0!</v>
      </c>
      <c r="P111" s="152">
        <f t="shared" si="269"/>
        <v>-3.0763874345549835E-2</v>
      </c>
      <c r="Q111" s="118">
        <f t="shared" si="216"/>
        <v>-1.7303865774887175</v>
      </c>
      <c r="R111" s="20"/>
      <c r="S111" s="152">
        <f t="shared" ref="S111:AB111" si="270">1-S110</f>
        <v>5.8867766901889218E-2</v>
      </c>
      <c r="T111" s="152">
        <f t="shared" si="270"/>
        <v>0.14070535238868143</v>
      </c>
      <c r="U111" s="152">
        <f t="shared" si="270"/>
        <v>0.21542662609401331</v>
      </c>
      <c r="V111" s="152">
        <f t="shared" si="270"/>
        <v>0.28365039773801204</v>
      </c>
      <c r="W111" s="152">
        <f t="shared" si="270"/>
        <v>0.34594166749992394</v>
      </c>
      <c r="X111" s="152">
        <f t="shared" si="270"/>
        <v>0.40281630510862609</v>
      </c>
      <c r="Y111" s="152">
        <f t="shared" si="270"/>
        <v>0.45474532205570206</v>
      </c>
      <c r="Z111" s="152">
        <f t="shared" si="270"/>
        <v>0.50215877231172801</v>
      </c>
      <c r="AA111" s="152">
        <f t="shared" si="270"/>
        <v>0.54544931384983841</v>
      </c>
      <c r="AB111" s="152">
        <f t="shared" si="270"/>
        <v>0.58497546047159177</v>
      </c>
      <c r="AC111" s="138">
        <f t="shared" si="218"/>
        <v>6.2085021118385431E-3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332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71">H31/H25</f>
        <v>0</v>
      </c>
      <c r="I113" s="152">
        <f t="shared" si="271"/>
        <v>0</v>
      </c>
      <c r="J113" s="152">
        <f t="shared" si="271"/>
        <v>0</v>
      </c>
      <c r="K113" s="152">
        <f t="shared" si="271"/>
        <v>0</v>
      </c>
      <c r="L113" s="152">
        <f t="shared" si="271"/>
        <v>0</v>
      </c>
      <c r="M113" s="152">
        <f t="shared" si="271"/>
        <v>0</v>
      </c>
      <c r="N113" s="152">
        <f t="shared" si="271"/>
        <v>0</v>
      </c>
      <c r="O113" s="152" t="e">
        <f t="shared" si="271"/>
        <v>#DIV/0!</v>
      </c>
      <c r="P113" s="152">
        <f t="shared" si="271"/>
        <v>0</v>
      </c>
      <c r="Q113" s="118" t="e">
        <f t="shared" si="216"/>
        <v>#DIV/0!</v>
      </c>
      <c r="R113" s="20"/>
      <c r="S113" s="152">
        <f t="shared" ref="S113:AB113" si="272">S31/S25</f>
        <v>0</v>
      </c>
      <c r="T113" s="152">
        <f t="shared" si="272"/>
        <v>0</v>
      </c>
      <c r="U113" s="152">
        <f t="shared" si="272"/>
        <v>0</v>
      </c>
      <c r="V113" s="152">
        <f t="shared" si="272"/>
        <v>0</v>
      </c>
      <c r="W113" s="152">
        <f t="shared" si="272"/>
        <v>0</v>
      </c>
      <c r="X113" s="152">
        <f t="shared" si="272"/>
        <v>0</v>
      </c>
      <c r="Y113" s="152">
        <f t="shared" si="272"/>
        <v>0</v>
      </c>
      <c r="Z113" s="152">
        <f t="shared" si="272"/>
        <v>0</v>
      </c>
      <c r="AA113" s="152">
        <f t="shared" si="272"/>
        <v>0</v>
      </c>
      <c r="AB113" s="152">
        <f t="shared" si="272"/>
        <v>0</v>
      </c>
      <c r="AC113" s="138" t="e">
        <f t="shared" si="218"/>
        <v>#DIV/0!</v>
      </c>
      <c r="AD113" s="20"/>
      <c r="AE113" s="20"/>
    </row>
    <row r="114" spans="2:31" x14ac:dyDescent="0.2">
      <c r="B114" s="20" t="s">
        <v>329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73">H32/H25</f>
        <v>0</v>
      </c>
      <c r="I114" s="152">
        <f t="shared" si="273"/>
        <v>0</v>
      </c>
      <c r="J114" s="152">
        <f t="shared" si="273"/>
        <v>0</v>
      </c>
      <c r="K114" s="152">
        <f t="shared" si="273"/>
        <v>0</v>
      </c>
      <c r="L114" s="152">
        <f t="shared" si="273"/>
        <v>0</v>
      </c>
      <c r="M114" s="152">
        <f t="shared" si="273"/>
        <v>0</v>
      </c>
      <c r="N114" s="152">
        <f t="shared" si="273"/>
        <v>0</v>
      </c>
      <c r="O114" s="152" t="e">
        <f t="shared" si="273"/>
        <v>#DIV/0!</v>
      </c>
      <c r="P114" s="152">
        <f t="shared" si="273"/>
        <v>0</v>
      </c>
      <c r="Q114" s="118" t="e">
        <f t="shared" si="216"/>
        <v>#DIV/0!</v>
      </c>
      <c r="R114" s="20"/>
      <c r="S114" s="152">
        <f t="shared" ref="S114:AB114" si="274">S32/S25</f>
        <v>0</v>
      </c>
      <c r="T114" s="152">
        <f t="shared" si="274"/>
        <v>0</v>
      </c>
      <c r="U114" s="152">
        <f t="shared" si="274"/>
        <v>0</v>
      </c>
      <c r="V114" s="152">
        <f t="shared" si="274"/>
        <v>0</v>
      </c>
      <c r="W114" s="152">
        <f t="shared" si="274"/>
        <v>0</v>
      </c>
      <c r="X114" s="152">
        <f t="shared" si="274"/>
        <v>0</v>
      </c>
      <c r="Y114" s="152">
        <f t="shared" si="274"/>
        <v>0</v>
      </c>
      <c r="Z114" s="152">
        <f t="shared" si="274"/>
        <v>0</v>
      </c>
      <c r="AA114" s="152">
        <f t="shared" si="274"/>
        <v>0</v>
      </c>
      <c r="AB114" s="152">
        <f t="shared" si="274"/>
        <v>0</v>
      </c>
      <c r="AC114" s="138" t="e">
        <f t="shared" si="218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353</v>
      </c>
      <c r="C116" s="20"/>
      <c r="D116" s="20"/>
      <c r="E116" s="20"/>
      <c r="F116" s="20"/>
      <c r="G116" s="152">
        <f>G27/G25</f>
        <v>0.83943661971830985</v>
      </c>
      <c r="H116" s="152">
        <f t="shared" ref="H116:P116" si="275">H27/H25</f>
        <v>0.82467532467532467</v>
      </c>
      <c r="I116" s="152">
        <f t="shared" si="275"/>
        <v>0.84603886397608374</v>
      </c>
      <c r="J116" s="152">
        <f t="shared" si="275"/>
        <v>0.83620689655172409</v>
      </c>
      <c r="K116" s="152">
        <f t="shared" si="275"/>
        <v>0.86368260427263477</v>
      </c>
      <c r="L116" s="152">
        <f t="shared" si="275"/>
        <v>0.87650273224043718</v>
      </c>
      <c r="M116" s="152">
        <f t="shared" si="275"/>
        <v>0.86048526863084918</v>
      </c>
      <c r="N116" s="152">
        <f t="shared" si="275"/>
        <v>0.86609498680738783</v>
      </c>
      <c r="O116" s="152" t="e">
        <f t="shared" si="275"/>
        <v>#DIV/0!</v>
      </c>
      <c r="P116" s="152">
        <f t="shared" si="275"/>
        <v>0.86024423337856171</v>
      </c>
      <c r="Q116" s="118">
        <f t="shared" si="216"/>
        <v>2.724300315418926E-3</v>
      </c>
      <c r="R116" s="20"/>
      <c r="S116" s="152">
        <f t="shared" ref="S116:AB116" si="276">S27/S25</f>
        <v>0.86024423337856171</v>
      </c>
      <c r="T116" s="152">
        <f t="shared" si="276"/>
        <v>0.86024423337856182</v>
      </c>
      <c r="U116" s="152">
        <f t="shared" si="276"/>
        <v>0.86024423337856182</v>
      </c>
      <c r="V116" s="152">
        <f t="shared" si="276"/>
        <v>0.86024423337856182</v>
      </c>
      <c r="W116" s="152">
        <f t="shared" si="276"/>
        <v>0.86024423337856182</v>
      </c>
      <c r="X116" s="152">
        <f t="shared" si="276"/>
        <v>0.86024423337856182</v>
      </c>
      <c r="Y116" s="152">
        <f t="shared" si="276"/>
        <v>0.86024423337856171</v>
      </c>
      <c r="Z116" s="152">
        <f t="shared" si="276"/>
        <v>0.8602442333785616</v>
      </c>
      <c r="AA116" s="152">
        <f t="shared" si="276"/>
        <v>0.8602442333785616</v>
      </c>
      <c r="AB116" s="152">
        <f t="shared" si="276"/>
        <v>0.8602442333785616</v>
      </c>
      <c r="AC116" s="138">
        <f t="shared" si="218"/>
        <v>1.2895341676082417E-3</v>
      </c>
      <c r="AD116" s="20"/>
      <c r="AE116" s="20"/>
    </row>
    <row r="117" spans="2:31" x14ac:dyDescent="0.2">
      <c r="B117" s="20" t="str">
        <f>B33</f>
        <v>Top Expenses ( Mfg )</v>
      </c>
      <c r="C117" s="20"/>
      <c r="D117" s="20"/>
      <c r="E117" s="20"/>
      <c r="F117" s="20"/>
      <c r="G117" s="152">
        <f>G33/G25</f>
        <v>0.60281690140845068</v>
      </c>
      <c r="H117" s="152">
        <f t="shared" ref="H117:P117" si="277">H33/H25</f>
        <v>0.58441558441558439</v>
      </c>
      <c r="I117" s="152">
        <f t="shared" si="277"/>
        <v>0.63677130044843044</v>
      </c>
      <c r="J117" s="152">
        <f t="shared" si="277"/>
        <v>0.61822660098522164</v>
      </c>
      <c r="K117" s="152">
        <f t="shared" si="277"/>
        <v>0.64699898270600198</v>
      </c>
      <c r="L117" s="152">
        <f t="shared" si="277"/>
        <v>0.64043715846994531</v>
      </c>
      <c r="M117" s="152">
        <f t="shared" si="277"/>
        <v>0.6481802426343154</v>
      </c>
      <c r="N117" s="152">
        <f t="shared" si="277"/>
        <v>0.66490765171503963</v>
      </c>
      <c r="O117" s="152" t="e">
        <f t="shared" si="277"/>
        <v>#DIV/0!</v>
      </c>
      <c r="P117" s="152">
        <f t="shared" si="277"/>
        <v>0.63772048846675711</v>
      </c>
      <c r="Q117" s="118">
        <f t="shared" si="216"/>
        <v>6.273661599879965E-3</v>
      </c>
      <c r="R117" s="20"/>
      <c r="S117" s="152">
        <f t="shared" ref="S117:AB117" si="278">S33/S25</f>
        <v>0.63772048846675711</v>
      </c>
      <c r="T117" s="152">
        <f t="shared" si="278"/>
        <v>0.63772048846675722</v>
      </c>
      <c r="U117" s="152">
        <f t="shared" si="278"/>
        <v>0.63772048846675722</v>
      </c>
      <c r="V117" s="152">
        <f t="shared" si="278"/>
        <v>0.63772048846675733</v>
      </c>
      <c r="W117" s="152">
        <f t="shared" si="278"/>
        <v>0.63772048846675733</v>
      </c>
      <c r="X117" s="152">
        <f t="shared" si="278"/>
        <v>0.63772048846675733</v>
      </c>
      <c r="Y117" s="152">
        <f t="shared" si="278"/>
        <v>0.63772048846675733</v>
      </c>
      <c r="Z117" s="152">
        <f t="shared" si="278"/>
        <v>0.63772048846675733</v>
      </c>
      <c r="AA117" s="152">
        <f t="shared" si="278"/>
        <v>0.63772048846675733</v>
      </c>
      <c r="AB117" s="152">
        <f t="shared" si="278"/>
        <v>0.63772048846675722</v>
      </c>
      <c r="AC117" s="138">
        <f t="shared" si="218"/>
        <v>2.9668438149403897E-3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0.15774647887323945</v>
      </c>
      <c r="H118" s="152">
        <f t="shared" ref="H118:P118" si="279">H34/H25</f>
        <v>0.16666666666666666</v>
      </c>
      <c r="I118" s="152">
        <f t="shared" si="279"/>
        <v>0.14499252615844543</v>
      </c>
      <c r="J118" s="152">
        <f t="shared" si="279"/>
        <v>0.14408866995073891</v>
      </c>
      <c r="K118" s="152">
        <f t="shared" si="279"/>
        <v>0.1363173957273652</v>
      </c>
      <c r="L118" s="152">
        <f t="shared" si="279"/>
        <v>0.14863387978142076</v>
      </c>
      <c r="M118" s="152">
        <f t="shared" si="279"/>
        <v>0.12998266897746968</v>
      </c>
      <c r="N118" s="152">
        <f t="shared" si="279"/>
        <v>0.12203166226912929</v>
      </c>
      <c r="O118" s="152" t="e">
        <f t="shared" si="279"/>
        <v>#DIV/0!</v>
      </c>
      <c r="P118" s="152">
        <f t="shared" si="279"/>
        <v>0.13568521031207598</v>
      </c>
      <c r="Q118" s="118">
        <f t="shared" si="216"/>
        <v>-1.6599747749377225E-2</v>
      </c>
      <c r="R118" s="20"/>
      <c r="S118" s="152">
        <f t="shared" ref="S118:AB118" si="280">S34/S25</f>
        <v>0.135685210312076</v>
      </c>
      <c r="T118" s="152">
        <f t="shared" si="280"/>
        <v>0.135685210312076</v>
      </c>
      <c r="U118" s="152">
        <f t="shared" si="280"/>
        <v>0.135685210312076</v>
      </c>
      <c r="V118" s="152">
        <f t="shared" si="280"/>
        <v>0.135685210312076</v>
      </c>
      <c r="W118" s="152">
        <f t="shared" si="280"/>
        <v>0.13568521031207603</v>
      </c>
      <c r="X118" s="152">
        <f t="shared" si="280"/>
        <v>0.13568521031207603</v>
      </c>
      <c r="Y118" s="152">
        <f t="shared" si="280"/>
        <v>0.13568521031207603</v>
      </c>
      <c r="Z118" s="152">
        <f t="shared" si="280"/>
        <v>0.13568521031207603</v>
      </c>
      <c r="AA118" s="152">
        <f t="shared" si="280"/>
        <v>0.135685210312076</v>
      </c>
      <c r="AB118" s="152">
        <f t="shared" si="280"/>
        <v>0.135685210312076</v>
      </c>
      <c r="AC118" s="138">
        <f t="shared" si="218"/>
        <v>-7.897680115639516E-3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361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364</v>
      </c>
      <c r="C121" s="20"/>
      <c r="D121" s="20"/>
      <c r="E121" s="20"/>
      <c r="F121" s="20"/>
      <c r="G121" s="25">
        <f>G15/G9</f>
        <v>1.0274509803921568</v>
      </c>
      <c r="H121" s="25">
        <f t="shared" ref="H121:AB121" si="281">H15/H9</f>
        <v>1.0153846153846153</v>
      </c>
      <c r="I121" s="25">
        <f t="shared" si="281"/>
        <v>1.2409638554216869</v>
      </c>
      <c r="J121" s="25">
        <f t="shared" si="281"/>
        <v>1.3557692307692308</v>
      </c>
      <c r="K121" s="25">
        <f t="shared" si="281"/>
        <v>1.5660377358490567</v>
      </c>
      <c r="L121" s="25">
        <f t="shared" si="281"/>
        <v>1.2905982905982907</v>
      </c>
      <c r="M121" s="25">
        <f t="shared" si="281"/>
        <v>1.3356643356643356</v>
      </c>
      <c r="N121" s="25">
        <f t="shared" si="281"/>
        <v>1.3550295857988166</v>
      </c>
      <c r="O121" s="25" t="e">
        <f t="shared" si="281"/>
        <v>#DIV/0!</v>
      </c>
      <c r="P121" s="25">
        <f t="shared" si="281"/>
        <v>2.6914285714285713</v>
      </c>
      <c r="Q121" s="118">
        <f t="shared" si="216"/>
        <v>0.11293316151538701</v>
      </c>
      <c r="R121" s="20"/>
      <c r="S121" s="20">
        <f t="shared" si="281"/>
        <v>2.6914285714285717</v>
      </c>
      <c r="T121" s="20">
        <f t="shared" si="281"/>
        <v>2.6914285714285717</v>
      </c>
      <c r="U121" s="20">
        <f t="shared" si="281"/>
        <v>2.6914285714285717</v>
      </c>
      <c r="V121" s="20">
        <f t="shared" si="281"/>
        <v>2.6914285714285722</v>
      </c>
      <c r="W121" s="20">
        <f t="shared" si="281"/>
        <v>2.6914285714285722</v>
      </c>
      <c r="X121" s="20">
        <f t="shared" si="281"/>
        <v>2.6914285714285726</v>
      </c>
      <c r="Y121" s="20">
        <f t="shared" si="281"/>
        <v>2.6914285714285722</v>
      </c>
      <c r="Z121" s="20">
        <f t="shared" si="281"/>
        <v>2.6914285714285726</v>
      </c>
      <c r="AA121" s="20">
        <f t="shared" si="281"/>
        <v>2.6914285714285726</v>
      </c>
      <c r="AB121" s="20">
        <f t="shared" si="281"/>
        <v>2.6914285714285726</v>
      </c>
      <c r="AC121" s="138">
        <f t="shared" si="218"/>
        <v>5.199014388559986E-2</v>
      </c>
      <c r="AD121" s="20"/>
      <c r="AE121" s="20"/>
    </row>
    <row r="122" spans="2:31" x14ac:dyDescent="0.2">
      <c r="B122" s="20" t="s">
        <v>354</v>
      </c>
      <c r="C122" s="20"/>
      <c r="D122" s="20"/>
      <c r="E122" s="20"/>
      <c r="F122" s="20"/>
      <c r="G122" s="25">
        <f>G12/G9</f>
        <v>0.12156862745098039</v>
      </c>
      <c r="H122" s="25">
        <f t="shared" ref="H122:P122" si="282">H12/H9</f>
        <v>0.11707692307692306</v>
      </c>
      <c r="I122" s="25">
        <f t="shared" si="282"/>
        <v>0.15662650602409639</v>
      </c>
      <c r="J122" s="25">
        <f t="shared" si="282"/>
        <v>0.30769230769230771</v>
      </c>
      <c r="K122" s="25">
        <f t="shared" si="282"/>
        <v>0.45283018867924529</v>
      </c>
      <c r="L122" s="25">
        <f t="shared" si="282"/>
        <v>0.22222222222222221</v>
      </c>
      <c r="M122" s="25">
        <f t="shared" si="282"/>
        <v>0.24475524475524477</v>
      </c>
      <c r="N122" s="25">
        <f t="shared" si="282"/>
        <v>0.22485207100591717</v>
      </c>
      <c r="O122" s="25" t="e">
        <f t="shared" si="282"/>
        <v>#DIV/0!</v>
      </c>
      <c r="P122" s="25">
        <f t="shared" si="282"/>
        <v>1.3828571428571428</v>
      </c>
      <c r="Q122" s="118">
        <f t="shared" si="216"/>
        <v>0.31017232844104847</v>
      </c>
      <c r="R122" s="128"/>
      <c r="S122" s="20">
        <f t="shared" ref="S122:AB122" si="283">S12/S9</f>
        <v>1.3828571428571428</v>
      </c>
      <c r="T122" s="20">
        <f t="shared" si="283"/>
        <v>1.3828571428571428</v>
      </c>
      <c r="U122" s="20">
        <f t="shared" si="283"/>
        <v>1.3828571428571426</v>
      </c>
      <c r="V122" s="20">
        <f t="shared" si="283"/>
        <v>1.3828571428571428</v>
      </c>
      <c r="W122" s="20">
        <f t="shared" si="283"/>
        <v>1.3828571428571428</v>
      </c>
      <c r="X122" s="20">
        <f t="shared" si="283"/>
        <v>1.382857142857143</v>
      </c>
      <c r="Y122" s="20">
        <f t="shared" si="283"/>
        <v>1.382857142857143</v>
      </c>
      <c r="Z122" s="20">
        <f t="shared" si="283"/>
        <v>1.382857142857143</v>
      </c>
      <c r="AA122" s="20">
        <f t="shared" si="283"/>
        <v>1.382857142857143</v>
      </c>
      <c r="AB122" s="20">
        <f t="shared" si="283"/>
        <v>1.382857142857143</v>
      </c>
      <c r="AC122" s="118">
        <f t="shared" ref="AC122" si="284">((AB122/S122)^(1/($H$2-$H$1) ))-1</f>
        <v>0</v>
      </c>
      <c r="AD122" s="20"/>
      <c r="AE122" s="20"/>
    </row>
    <row r="123" spans="2:31" x14ac:dyDescent="0.2">
      <c r="B123" s="20" t="s">
        <v>356</v>
      </c>
      <c r="C123" s="20"/>
      <c r="D123" s="20"/>
      <c r="E123" s="20"/>
      <c r="F123" s="20"/>
      <c r="G123" s="25">
        <f>G25/360</f>
        <v>0.98611111111111116</v>
      </c>
      <c r="H123" s="25">
        <f t="shared" ref="H123:P123" si="285">H25/360</f>
        <v>1.2833333333333334</v>
      </c>
      <c r="I123" s="25">
        <f t="shared" si="285"/>
        <v>1.8583333333333334</v>
      </c>
      <c r="J123" s="25">
        <f t="shared" si="285"/>
        <v>2.2555555555555555</v>
      </c>
      <c r="K123" s="25">
        <f t="shared" si="285"/>
        <v>2.7305555555555556</v>
      </c>
      <c r="L123" s="25">
        <f t="shared" si="285"/>
        <v>2.5416666666666665</v>
      </c>
      <c r="M123" s="25">
        <f t="shared" si="285"/>
        <v>3.2055555555555557</v>
      </c>
      <c r="N123" s="25">
        <f t="shared" si="285"/>
        <v>4.2111111111111112</v>
      </c>
      <c r="O123" s="25">
        <f t="shared" si="285"/>
        <v>0</v>
      </c>
      <c r="P123" s="25">
        <f t="shared" si="285"/>
        <v>6.1416666666666666</v>
      </c>
      <c r="Q123" s="118">
        <f t="shared" si="216"/>
        <v>0.22535595441454737</v>
      </c>
      <c r="R123" s="128"/>
      <c r="S123" s="25">
        <f t="shared" ref="S123:AB123" si="286">S25/360</f>
        <v>7.0629166666666654</v>
      </c>
      <c r="T123" s="25">
        <f t="shared" si="286"/>
        <v>8.1223541666666641</v>
      </c>
      <c r="U123" s="25">
        <f t="shared" si="286"/>
        <v>9.3407072916666625</v>
      </c>
      <c r="V123" s="25">
        <f t="shared" si="286"/>
        <v>10.741813385416661</v>
      </c>
      <c r="W123" s="25">
        <f t="shared" si="286"/>
        <v>12.35308539322916</v>
      </c>
      <c r="X123" s="25">
        <f t="shared" si="286"/>
        <v>14.206048202213532</v>
      </c>
      <c r="Y123" s="25">
        <f t="shared" si="286"/>
        <v>16.336955432545562</v>
      </c>
      <c r="Z123" s="25">
        <f t="shared" si="286"/>
        <v>18.787498747427396</v>
      </c>
      <c r="AA123" s="25">
        <f t="shared" si="286"/>
        <v>21.605623559541502</v>
      </c>
      <c r="AB123" s="25">
        <f t="shared" si="286"/>
        <v>24.846467093472725</v>
      </c>
      <c r="AC123" s="118">
        <f t="shared" ref="AC123:AC134" si="287">((AB123/S123)^(1/($H$2-$H$1) ))-1</f>
        <v>0.14999999999999991</v>
      </c>
      <c r="AD123" s="20"/>
      <c r="AE123" s="20"/>
    </row>
    <row r="124" spans="2:31" x14ac:dyDescent="0.2">
      <c r="B124" s="20" t="s">
        <v>355</v>
      </c>
      <c r="C124" s="20"/>
      <c r="D124" s="20"/>
      <c r="E124" s="20"/>
      <c r="F124" s="20"/>
      <c r="G124" s="25">
        <f>G27/360</f>
        <v>0.82777777777777772</v>
      </c>
      <c r="H124" s="25">
        <f t="shared" ref="H124:P124" si="288">H27/360</f>
        <v>1.0583333333333333</v>
      </c>
      <c r="I124" s="25">
        <f t="shared" si="288"/>
        <v>1.5722222222222222</v>
      </c>
      <c r="J124" s="25">
        <f t="shared" si="288"/>
        <v>1.8861111111111111</v>
      </c>
      <c r="K124" s="25">
        <f t="shared" si="288"/>
        <v>2.3583333333333334</v>
      </c>
      <c r="L124" s="25">
        <f t="shared" si="288"/>
        <v>2.2277777777777779</v>
      </c>
      <c r="M124" s="25">
        <f t="shared" si="288"/>
        <v>2.7583333333333333</v>
      </c>
      <c r="N124" s="25">
        <f t="shared" si="288"/>
        <v>3.6472222222222221</v>
      </c>
      <c r="O124" s="25">
        <f t="shared" si="288"/>
        <v>0</v>
      </c>
      <c r="P124" s="25">
        <f t="shared" si="288"/>
        <v>5.2833333333333332</v>
      </c>
      <c r="Q124" s="118">
        <f t="shared" si="216"/>
        <v>0.2286941920276595</v>
      </c>
      <c r="R124" s="128"/>
      <c r="S124" s="25">
        <f t="shared" ref="S124:AB124" si="289">S27/360</f>
        <v>6.0758333333333328</v>
      </c>
      <c r="T124" s="25">
        <f t="shared" si="289"/>
        <v>6.9872083333333324</v>
      </c>
      <c r="U124" s="25">
        <f t="shared" si="289"/>
        <v>8.0352895833333307</v>
      </c>
      <c r="V124" s="25">
        <f t="shared" si="289"/>
        <v>9.2405830208333306</v>
      </c>
      <c r="W124" s="25">
        <f t="shared" si="289"/>
        <v>10.626670473958329</v>
      </c>
      <c r="X124" s="25">
        <f t="shared" si="289"/>
        <v>12.220671045052075</v>
      </c>
      <c r="Y124" s="25">
        <f t="shared" si="289"/>
        <v>14.053771701809884</v>
      </c>
      <c r="Z124" s="25">
        <f t="shared" si="289"/>
        <v>16.161837457081365</v>
      </c>
      <c r="AA124" s="25">
        <f t="shared" si="289"/>
        <v>18.586113075643571</v>
      </c>
      <c r="AB124" s="25">
        <f t="shared" si="289"/>
        <v>21.374030036990103</v>
      </c>
      <c r="AC124" s="118">
        <f t="shared" si="287"/>
        <v>0.14999999999999991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365</v>
      </c>
      <c r="C126" s="20"/>
      <c r="D126" s="20"/>
      <c r="E126" s="20"/>
      <c r="F126" s="20"/>
      <c r="G126" s="25">
        <f>G10/G7</f>
        <v>0.49242424242424243</v>
      </c>
      <c r="H126" s="25">
        <f t="shared" ref="H126:P126" si="290">H10/H7</f>
        <v>0.33128834355828218</v>
      </c>
      <c r="I126" s="25">
        <f t="shared" si="290"/>
        <v>3.9840637450199202E-2</v>
      </c>
      <c r="J126" s="25">
        <f t="shared" si="290"/>
        <v>0</v>
      </c>
      <c r="K126" s="25">
        <f t="shared" si="290"/>
        <v>0</v>
      </c>
      <c r="L126" s="25">
        <f t="shared" si="290"/>
        <v>0</v>
      </c>
      <c r="M126" s="25">
        <f t="shared" si="290"/>
        <v>0</v>
      </c>
      <c r="N126" s="25">
        <f t="shared" si="290"/>
        <v>0</v>
      </c>
      <c r="O126" s="25" t="e">
        <f t="shared" si="290"/>
        <v>#DIV/0!</v>
      </c>
      <c r="P126" s="25">
        <f t="shared" si="290"/>
        <v>0</v>
      </c>
      <c r="Q126" s="118">
        <f t="shared" si="216"/>
        <v>-1</v>
      </c>
      <c r="R126" s="128"/>
      <c r="S126" s="25">
        <f t="shared" ref="S126:AB126" si="291">S10/S7</f>
        <v>0</v>
      </c>
      <c r="T126" s="25">
        <f t="shared" si="291"/>
        <v>0</v>
      </c>
      <c r="U126" s="25">
        <f t="shared" si="291"/>
        <v>0</v>
      </c>
      <c r="V126" s="25">
        <f t="shared" si="291"/>
        <v>0</v>
      </c>
      <c r="W126" s="25">
        <f t="shared" si="291"/>
        <v>0</v>
      </c>
      <c r="X126" s="25">
        <f t="shared" si="291"/>
        <v>0</v>
      </c>
      <c r="Y126" s="25">
        <f t="shared" si="291"/>
        <v>0</v>
      </c>
      <c r="Z126" s="25">
        <f t="shared" si="291"/>
        <v>0</v>
      </c>
      <c r="AA126" s="25">
        <f t="shared" si="291"/>
        <v>0</v>
      </c>
      <c r="AB126" s="25">
        <f t="shared" si="291"/>
        <v>0</v>
      </c>
      <c r="AC126" s="118" t="e">
        <f t="shared" si="287"/>
        <v>#DIV/0!</v>
      </c>
      <c r="AD126" s="20"/>
      <c r="AE126" s="20"/>
    </row>
    <row r="127" spans="2:31" x14ac:dyDescent="0.2">
      <c r="B127" s="20" t="s">
        <v>357</v>
      </c>
      <c r="C127" s="20"/>
      <c r="D127" s="20"/>
      <c r="E127" s="20"/>
      <c r="F127" s="20"/>
      <c r="G127" s="25">
        <f>G10/(G10+G7)</f>
        <v>0.32994923857868019</v>
      </c>
      <c r="H127" s="25">
        <f t="shared" ref="H127:P127" si="292">H10/(H10+H7)</f>
        <v>0.24884792626728111</v>
      </c>
      <c r="I127" s="25">
        <f t="shared" si="292"/>
        <v>3.8314176245210725E-2</v>
      </c>
      <c r="J127" s="25">
        <f t="shared" si="292"/>
        <v>0</v>
      </c>
      <c r="K127" s="25">
        <f t="shared" si="292"/>
        <v>0</v>
      </c>
      <c r="L127" s="25">
        <f t="shared" si="292"/>
        <v>0</v>
      </c>
      <c r="M127" s="25">
        <f t="shared" si="292"/>
        <v>0</v>
      </c>
      <c r="N127" s="25">
        <f t="shared" si="292"/>
        <v>0</v>
      </c>
      <c r="O127" s="25" t="e">
        <f t="shared" si="292"/>
        <v>#DIV/0!</v>
      </c>
      <c r="P127" s="25">
        <f t="shared" si="292"/>
        <v>0</v>
      </c>
      <c r="Q127" s="118">
        <f t="shared" si="216"/>
        <v>-1</v>
      </c>
      <c r="R127" s="128"/>
      <c r="S127" s="25">
        <f t="shared" ref="S127:AB127" si="293">S10/(S10+S7)</f>
        <v>0</v>
      </c>
      <c r="T127" s="25">
        <f t="shared" si="293"/>
        <v>0</v>
      </c>
      <c r="U127" s="25">
        <f t="shared" si="293"/>
        <v>0</v>
      </c>
      <c r="V127" s="25">
        <f t="shared" si="293"/>
        <v>0</v>
      </c>
      <c r="W127" s="25">
        <f t="shared" si="293"/>
        <v>0</v>
      </c>
      <c r="X127" s="25">
        <f t="shared" si="293"/>
        <v>0</v>
      </c>
      <c r="Y127" s="25">
        <f t="shared" si="293"/>
        <v>0</v>
      </c>
      <c r="Z127" s="25">
        <f t="shared" si="293"/>
        <v>0</v>
      </c>
      <c r="AA127" s="25">
        <f t="shared" si="293"/>
        <v>0</v>
      </c>
      <c r="AB127" s="25">
        <f t="shared" si="293"/>
        <v>0</v>
      </c>
      <c r="AC127" s="118" t="e">
        <f t="shared" si="287"/>
        <v>#DIV/0!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362</v>
      </c>
      <c r="C129" s="20"/>
      <c r="D129" s="20"/>
      <c r="E129" s="20"/>
      <c r="F129" s="20"/>
      <c r="G129" s="25">
        <f>G16</f>
        <v>19</v>
      </c>
      <c r="H129" s="25">
        <f t="shared" ref="H129:P129" si="294">H16</f>
        <v>25.21</v>
      </c>
      <c r="I129" s="25">
        <f t="shared" si="294"/>
        <v>62.5</v>
      </c>
      <c r="J129" s="25">
        <f t="shared" si="294"/>
        <v>92</v>
      </c>
      <c r="K129" s="25">
        <f t="shared" si="294"/>
        <v>11</v>
      </c>
      <c r="L129" s="25">
        <f t="shared" si="294"/>
        <v>102</v>
      </c>
      <c r="M129" s="25">
        <f t="shared" si="294"/>
        <v>238</v>
      </c>
      <c r="N129" s="25">
        <f t="shared" si="294"/>
        <v>349</v>
      </c>
      <c r="O129" s="25">
        <f t="shared" si="294"/>
        <v>0</v>
      </c>
      <c r="P129" s="25">
        <f t="shared" si="294"/>
        <v>404</v>
      </c>
      <c r="Q129" s="118">
        <f t="shared" si="216"/>
        <v>0.404475591677391</v>
      </c>
      <c r="R129" s="128"/>
      <c r="S129" s="25">
        <f t="shared" ref="S129:AB129" si="295">S16</f>
        <v>464.59999999999997</v>
      </c>
      <c r="T129" s="25">
        <f t="shared" si="295"/>
        <v>534.29</v>
      </c>
      <c r="U129" s="25">
        <f t="shared" si="295"/>
        <v>614.43349999999987</v>
      </c>
      <c r="V129" s="25">
        <f t="shared" si="295"/>
        <v>706.59852499999977</v>
      </c>
      <c r="W129" s="25">
        <f t="shared" si="295"/>
        <v>812.58830374999968</v>
      </c>
      <c r="X129" s="25">
        <f t="shared" si="295"/>
        <v>934.47654931249951</v>
      </c>
      <c r="Y129" s="25">
        <f t="shared" si="295"/>
        <v>1074.6480317093744</v>
      </c>
      <c r="Z129" s="25">
        <f t="shared" si="295"/>
        <v>1235.8452364657805</v>
      </c>
      <c r="AA129" s="25">
        <f t="shared" si="295"/>
        <v>1421.2220219356475</v>
      </c>
      <c r="AB129" s="25">
        <f t="shared" si="295"/>
        <v>1634.4053252259944</v>
      </c>
      <c r="AC129" s="118">
        <f t="shared" si="287"/>
        <v>0.14999999999999991</v>
      </c>
      <c r="AD129" s="20"/>
      <c r="AE129" s="20"/>
    </row>
    <row r="130" spans="2:31" x14ac:dyDescent="0.2">
      <c r="B130" s="20" t="s">
        <v>363</v>
      </c>
      <c r="C130" s="20"/>
      <c r="D130" s="20"/>
      <c r="E130" s="20"/>
      <c r="F130" s="20"/>
      <c r="G130" s="119">
        <f t="shared" ref="G130:P130" si="296">G129*365/G25</f>
        <v>19.535211267605632</v>
      </c>
      <c r="H130" s="119">
        <f t="shared" si="296"/>
        <v>19.916991341991341</v>
      </c>
      <c r="I130" s="119">
        <f t="shared" si="296"/>
        <v>34.099402092675632</v>
      </c>
      <c r="J130" s="119">
        <f t="shared" si="296"/>
        <v>41.354679802955665</v>
      </c>
      <c r="K130" s="119">
        <f t="shared" si="296"/>
        <v>4.0844354018311293</v>
      </c>
      <c r="L130" s="119">
        <f t="shared" si="296"/>
        <v>40.688524590163937</v>
      </c>
      <c r="M130" s="119">
        <f t="shared" si="296"/>
        <v>75.277296360485266</v>
      </c>
      <c r="N130" s="119">
        <f t="shared" si="296"/>
        <v>84.027044854881268</v>
      </c>
      <c r="O130" s="119" t="e">
        <f t="shared" si="296"/>
        <v>#DIV/0!</v>
      </c>
      <c r="P130" s="119">
        <f t="shared" si="296"/>
        <v>66.693803708729078</v>
      </c>
      <c r="Q130" s="118">
        <f t="shared" si="216"/>
        <v>0.14617763647986148</v>
      </c>
      <c r="R130" s="128"/>
      <c r="S130" s="119">
        <f t="shared" ref="S130:AB130" si="297">S129*365/S25</f>
        <v>66.693803708729092</v>
      </c>
      <c r="T130" s="119">
        <f t="shared" si="297"/>
        <v>66.693803708729092</v>
      </c>
      <c r="U130" s="119">
        <f t="shared" si="297"/>
        <v>66.693803708729092</v>
      </c>
      <c r="V130" s="119">
        <f t="shared" si="297"/>
        <v>66.693803708729092</v>
      </c>
      <c r="W130" s="119">
        <f t="shared" si="297"/>
        <v>66.693803708729092</v>
      </c>
      <c r="X130" s="119">
        <f t="shared" si="297"/>
        <v>66.693803708729092</v>
      </c>
      <c r="Y130" s="119">
        <f t="shared" si="297"/>
        <v>66.693803708729092</v>
      </c>
      <c r="Z130" s="119">
        <f t="shared" si="297"/>
        <v>66.693803708729092</v>
      </c>
      <c r="AA130" s="119">
        <f t="shared" si="297"/>
        <v>66.693803708729092</v>
      </c>
      <c r="AB130" s="119">
        <f t="shared" si="297"/>
        <v>66.693803708729078</v>
      </c>
      <c r="AC130" s="118">
        <f t="shared" si="287"/>
        <v>0</v>
      </c>
      <c r="AD130" s="20"/>
      <c r="AE130" s="20"/>
    </row>
    <row r="131" spans="2:31" x14ac:dyDescent="0.2">
      <c r="B131" s="20" t="s">
        <v>366</v>
      </c>
      <c r="C131" s="20"/>
      <c r="D131" s="20"/>
      <c r="E131" s="20"/>
      <c r="F131" s="20"/>
      <c r="G131" s="133">
        <f>G78/G29</f>
        <v>4.5439792275235309</v>
      </c>
      <c r="H131" s="133">
        <f t="shared" ref="H131:P131" si="298">H78/H29</f>
        <v>5.0632911392405058</v>
      </c>
      <c r="I131" s="133">
        <f t="shared" si="298"/>
        <v>17.721518987341771</v>
      </c>
      <c r="J131" s="133">
        <f t="shared" si="298"/>
        <v>37.299578059071727</v>
      </c>
      <c r="K131" s="133">
        <f t="shared" si="298"/>
        <v>35.72433192686357</v>
      </c>
      <c r="L131" s="133">
        <f t="shared" si="298"/>
        <v>27.953586497890292</v>
      </c>
      <c r="M131" s="133">
        <f t="shared" si="298"/>
        <v>55.203938115330523</v>
      </c>
      <c r="N131" s="133">
        <f t="shared" si="298"/>
        <v>47.20464135021097</v>
      </c>
      <c r="O131" s="133" t="e">
        <f t="shared" si="298"/>
        <v>#DIV/0!</v>
      </c>
      <c r="P131" s="133">
        <f t="shared" si="298"/>
        <v>11350.210970464133</v>
      </c>
      <c r="Q131" s="118">
        <f t="shared" si="216"/>
        <v>1.3851050433787098</v>
      </c>
      <c r="R131" s="128"/>
      <c r="S131" s="133">
        <f t="shared" ref="S131:AB131" si="299">S78/S29</f>
        <v>11350.210970464133</v>
      </c>
      <c r="T131" s="133">
        <f t="shared" si="299"/>
        <v>11350.210970464133</v>
      </c>
      <c r="U131" s="133">
        <f t="shared" si="299"/>
        <v>11350.210970464133</v>
      </c>
      <c r="V131" s="133">
        <f t="shared" si="299"/>
        <v>11350.210970464133</v>
      </c>
      <c r="W131" s="133">
        <f t="shared" si="299"/>
        <v>11350.210970464132</v>
      </c>
      <c r="X131" s="133">
        <f t="shared" si="299"/>
        <v>11350.210970464132</v>
      </c>
      <c r="Y131" s="133">
        <f t="shared" si="299"/>
        <v>11350.210970464132</v>
      </c>
      <c r="Z131" s="133">
        <f t="shared" si="299"/>
        <v>11350.210970464132</v>
      </c>
      <c r="AA131" s="133">
        <f t="shared" si="299"/>
        <v>11350.210970464132</v>
      </c>
      <c r="AB131" s="133">
        <f t="shared" si="299"/>
        <v>11350.210970464132</v>
      </c>
      <c r="AC131" s="118">
        <f t="shared" si="287"/>
        <v>0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373</v>
      </c>
      <c r="C133" s="20"/>
      <c r="D133" s="20"/>
      <c r="E133" s="20"/>
      <c r="F133" s="20"/>
      <c r="G133" s="180">
        <f>G25/G14</f>
        <v>295.83333333333337</v>
      </c>
      <c r="H133" s="180">
        <f t="shared" ref="H133:P133" si="300">H25/H14</f>
        <v>271.76470588235293</v>
      </c>
      <c r="I133" s="180">
        <f t="shared" si="300"/>
        <v>380.11363636363637</v>
      </c>
      <c r="J133" s="180">
        <f t="shared" si="300"/>
        <v>406</v>
      </c>
      <c r="K133" s="180">
        <f t="shared" si="300"/>
        <v>491.5</v>
      </c>
      <c r="L133" s="180">
        <f t="shared" si="300"/>
        <v>457.5</v>
      </c>
      <c r="M133" s="180">
        <f t="shared" si="300"/>
        <v>577</v>
      </c>
      <c r="N133" s="180">
        <f t="shared" si="300"/>
        <v>758</v>
      </c>
      <c r="O133" s="180" t="e">
        <f t="shared" si="300"/>
        <v>#DIV/0!</v>
      </c>
      <c r="P133" s="180">
        <f t="shared" si="300"/>
        <v>1105.5</v>
      </c>
      <c r="Q133" s="118">
        <f t="shared" si="216"/>
        <v>0.15774364142387887</v>
      </c>
      <c r="R133" s="128"/>
      <c r="S133" s="20">
        <f t="shared" ref="S133" si="301">S25/S14</f>
        <v>1105.5</v>
      </c>
      <c r="T133" s="20">
        <f t="shared" ref="T133:AB133" si="302">T25/T14</f>
        <v>1105.4999999999998</v>
      </c>
      <c r="U133" s="20">
        <f t="shared" si="302"/>
        <v>1105.5</v>
      </c>
      <c r="V133" s="20">
        <f t="shared" si="302"/>
        <v>1105.4999999999998</v>
      </c>
      <c r="W133" s="20">
        <f t="shared" si="302"/>
        <v>1105.4999999999998</v>
      </c>
      <c r="X133" s="20">
        <f t="shared" si="302"/>
        <v>1105.4999999999998</v>
      </c>
      <c r="Y133" s="20">
        <f t="shared" si="302"/>
        <v>1105.4999999999998</v>
      </c>
      <c r="Z133" s="20">
        <f t="shared" si="302"/>
        <v>1105.4999999999998</v>
      </c>
      <c r="AA133" s="20">
        <f t="shared" si="302"/>
        <v>1105.4999999999998</v>
      </c>
      <c r="AB133" s="20">
        <f t="shared" si="302"/>
        <v>1105.4999999999998</v>
      </c>
      <c r="AC133" s="118">
        <f t="shared" si="287"/>
        <v>0</v>
      </c>
      <c r="AD133" s="20"/>
      <c r="AE133" s="20"/>
    </row>
    <row r="134" spans="2:31" x14ac:dyDescent="0.2">
      <c r="B134" s="20" t="s">
        <v>374</v>
      </c>
      <c r="C134" s="20"/>
      <c r="D134" s="20"/>
      <c r="E134" s="20"/>
      <c r="F134" s="20"/>
      <c r="G134" s="180">
        <f>G27/G14</f>
        <v>248.33333333333334</v>
      </c>
      <c r="H134" s="180">
        <f t="shared" ref="H134:P134" si="303">H27/H14</f>
        <v>224.11764705882354</v>
      </c>
      <c r="I134" s="180">
        <f t="shared" si="303"/>
        <v>321.59090909090907</v>
      </c>
      <c r="J134" s="180">
        <f t="shared" si="303"/>
        <v>339.5</v>
      </c>
      <c r="K134" s="180">
        <f t="shared" si="303"/>
        <v>424.5</v>
      </c>
      <c r="L134" s="180">
        <f t="shared" si="303"/>
        <v>401</v>
      </c>
      <c r="M134" s="180">
        <f t="shared" si="303"/>
        <v>496.5</v>
      </c>
      <c r="N134" s="180">
        <f t="shared" si="303"/>
        <v>656.5</v>
      </c>
      <c r="O134" s="180" t="e">
        <f t="shared" si="303"/>
        <v>#DIV/0!</v>
      </c>
      <c r="P134" s="180">
        <f t="shared" si="303"/>
        <v>951</v>
      </c>
      <c r="Q134" s="118">
        <f t="shared" si="216"/>
        <v>0.16089768279138417</v>
      </c>
      <c r="R134" s="128"/>
      <c r="S134" s="20">
        <f t="shared" ref="S134:AB134" si="304">S27/S14</f>
        <v>951</v>
      </c>
      <c r="T134" s="20">
        <f t="shared" si="304"/>
        <v>951</v>
      </c>
      <c r="U134" s="20">
        <f t="shared" si="304"/>
        <v>951.00000000000011</v>
      </c>
      <c r="V134" s="20">
        <f t="shared" si="304"/>
        <v>951</v>
      </c>
      <c r="W134" s="20">
        <f t="shared" si="304"/>
        <v>950.99999999999989</v>
      </c>
      <c r="X134" s="20">
        <f t="shared" si="304"/>
        <v>950.99999999999977</v>
      </c>
      <c r="Y134" s="20">
        <f t="shared" si="304"/>
        <v>950.99999999999977</v>
      </c>
      <c r="Z134" s="20">
        <f t="shared" si="304"/>
        <v>950.99999999999966</v>
      </c>
      <c r="AA134" s="20">
        <f t="shared" si="304"/>
        <v>950.99999999999966</v>
      </c>
      <c r="AB134" s="20">
        <f t="shared" si="304"/>
        <v>950.99999999999966</v>
      </c>
      <c r="AC134" s="118">
        <f t="shared" si="287"/>
        <v>0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 t="e">
        <f>AVERAGE(G52:P52)</f>
        <v>#DIV/0!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390.78317581762872</v>
      </c>
      <c r="S138" s="133">
        <f>PV($C$1, ($AB$3-$S$3), 0, -AB52)</f>
        <v>54.453393351636784</v>
      </c>
      <c r="T138" s="133">
        <f>PV($C$1, ($AB$3-$S$3), 0, -AE52)</f>
        <v>336.32978246599191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305">S139+T139</f>
        <v>1350.3502410452093</v>
      </c>
      <c r="S139" s="133">
        <f>PV($C$1, ($AB$3-$S$3), 0, -AB54)</f>
        <v>188.16355817843075</v>
      </c>
      <c r="T139" s="133">
        <f>PV($C$1, ($AB$3-$S$3), 0, -AE54)</f>
        <v>1162.1866828667785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305"/>
        <v>1301.2465959162923</v>
      </c>
      <c r="S140" s="133">
        <f>PV($C$1, ($AB$3-$S$3), 0, -AB55)</f>
        <v>181.32124697194234</v>
      </c>
      <c r="T140" s="133">
        <f>PV($C$1, ($AB$3-$S$3), 0, -AE55)</f>
        <v>1119.9253489443499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05"/>
        <v>0</v>
      </c>
      <c r="S141" s="133">
        <f>PV($C$1, ($AB$3-$S$3), 0, -AB56)</f>
        <v>0</v>
      </c>
      <c r="T141" s="133">
        <f>PV($C$1, ($AB$3-$S$3), 0, -AE56)</f>
        <v>0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05"/>
        <v>495.12842171657661</v>
      </c>
      <c r="S142" s="133">
        <f>PV($C$1, ($AB$3-$S$3), 0, -AB62)</f>
        <v>68.993304665424603</v>
      </c>
      <c r="T142" s="133">
        <f>PV($C$1, ($AB$3-$S$3), 0, -AE62)</f>
        <v>426.13511705115201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305"/>
        <v>1350.3502410452093</v>
      </c>
      <c r="S144" s="133">
        <f>PV($C$1, ($AB$3-$S$3), 0, -AB58)</f>
        <v>188.16355817843075</v>
      </c>
      <c r="T144" s="133">
        <f>PV($C$1, ($AB$3-$S$3), 0, -$AE$58)</f>
        <v>1162.1866828667785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05"/>
        <v>992.30282864685842</v>
      </c>
      <c r="S145" s="133">
        <f>PV($C$1, ($AB$3-$S$3), 0, -AB59)</f>
        <v>138.2717056311196</v>
      </c>
      <c r="T145" s="133">
        <f>PV($C$1, ($AB$3-$S$3), 0, -$AE$59)</f>
        <v>854.03112301573879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05"/>
        <v>1955.9618643018484</v>
      </c>
      <c r="S146" s="133">
        <f>PV($C$1, ($AB$3-$S$3), 0, -AB60)</f>
        <v>272.55206305845434</v>
      </c>
      <c r="T146" s="133">
        <f>PV($C$1, ($AB$3-$S$3), 0, -$AE$60)</f>
        <v>1683.4098012433942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305"/>
        <v>963.65903565499013</v>
      </c>
      <c r="S148" s="133">
        <f>PV($C$1, ($AB$3-$S$3), 0, -AB65)</f>
        <v>134.28035742733471</v>
      </c>
      <c r="T148" s="133">
        <f>PV($C$1, ($AB$3-$S$3), 0, -AE65)</f>
        <v>829.37867822765543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05"/>
        <v>638.71938398749967</v>
      </c>
      <c r="S149" s="133">
        <f>PV($C$1, ($AB$3-$S$3), 0, -AB66)</f>
        <v>115.17890530922125</v>
      </c>
      <c r="T149" s="133">
        <f>PV($C$1, ($AB$3-$S$3), 0, -AE66)</f>
        <v>523.54047867827842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306">S151+T151</f>
        <v>1173.4543594682866</v>
      </c>
      <c r="S151" s="133">
        <f>PV($C$1, ($AB$3-$S$3), 0, -AB12)</f>
        <v>163.51413205705632</v>
      </c>
      <c r="T151" s="133">
        <f>PV($C$1, ($AB$3-$S$3), 0, -AE12)</f>
        <v>1009.9402274112304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495.12842171657661</v>
      </c>
      <c r="S152" s="140">
        <f>S151/P42</f>
        <v>68.993304665424603</v>
      </c>
      <c r="T152" s="140">
        <f>T151/P42</f>
        <v>426.13511705115201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307">S155+T155</f>
        <v>672.8446304917195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553.54111502365276</v>
      </c>
      <c r="T155" s="133">
        <f>PV($C$1, ($AB$3-$S$3), 0, -AE68)</f>
        <v>119.30351546806669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5"/>
        <v>0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7" s="133">
        <f>PV($C$1, ($AB$3-$S$3), 0, -AE70)</f>
        <v>0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308">S159+T159</f>
        <v>0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0</v>
      </c>
      <c r="T159" s="133">
        <f>PV($C$1, ($AB$3-$S$3), 0, -AE72)</f>
        <v>0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308"/>
        <v>0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0</v>
      </c>
      <c r="T160" s="133">
        <f>PV($C$1, ($AB$3-$S$3), 0, -AE73)</f>
        <v>0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308"/>
        <v>0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0</v>
      </c>
      <c r="T161" s="133">
        <f>PV($C$1, ($AB$3-$S$3), 0, -AE74)</f>
        <v>0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308"/>
        <v>0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0</v>
      </c>
      <c r="T162" s="133">
        <f>PV($C$1, ($AB$3-$S$3), 0, -AE75)</f>
        <v>0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0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0</v>
      </c>
      <c r="T164" s="133">
        <f>PV($C$1, ($AB$3-$S$3), 0, -AE76)</f>
        <v>0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2200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>
        <v>105</v>
      </c>
      <c r="H166" s="20"/>
      <c r="I166" s="20"/>
      <c r="J166" s="20"/>
      <c r="K166" s="20"/>
      <c r="L166" s="20"/>
      <c r="M166" s="20"/>
      <c r="N166" s="20"/>
      <c r="O166" s="23" t="s">
        <v>389</v>
      </c>
      <c r="P166" s="20">
        <v>4200</v>
      </c>
      <c r="Q166" s="20">
        <v>1100</v>
      </c>
      <c r="R166" s="23" t="s">
        <v>390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200</v>
      </c>
      <c r="H167" s="22">
        <v>320</v>
      </c>
      <c r="I167" s="22">
        <v>570</v>
      </c>
      <c r="J167" s="22">
        <v>420</v>
      </c>
      <c r="K167" s="22">
        <v>470</v>
      </c>
      <c r="L167" s="22">
        <v>400</v>
      </c>
      <c r="M167" s="22">
        <v>680</v>
      </c>
      <c r="N167" s="22">
        <v>965</v>
      </c>
      <c r="O167" s="22">
        <v>1850</v>
      </c>
      <c r="P167" s="22">
        <v>1100</v>
      </c>
      <c r="Q167" s="118">
        <f t="shared" ref="Q167:Q172" si="309">((P167/G167)^(1/($H$2-$H$1) ))-1</f>
        <v>0.20854415157963091</v>
      </c>
      <c r="R167" s="31">
        <f>L2-3%</f>
        <v>0.12</v>
      </c>
      <c r="S167" s="119">
        <f t="shared" ref="S167" si="310">P167*(1+$R167)</f>
        <v>1232.0000000000002</v>
      </c>
      <c r="T167" s="119">
        <f t="shared" ref="T167:AB167" si="311">S167*(1+$R167)</f>
        <v>1379.8400000000004</v>
      </c>
      <c r="U167" s="119">
        <f t="shared" si="311"/>
        <v>1545.4208000000006</v>
      </c>
      <c r="V167" s="119">
        <f t="shared" si="311"/>
        <v>1730.8712960000007</v>
      </c>
      <c r="W167" s="119">
        <f t="shared" si="311"/>
        <v>1938.5758515200009</v>
      </c>
      <c r="X167" s="119">
        <f t="shared" si="311"/>
        <v>2171.2049537024013</v>
      </c>
      <c r="Y167" s="119">
        <f t="shared" si="311"/>
        <v>2431.7495481466899</v>
      </c>
      <c r="Z167" s="119">
        <f t="shared" si="311"/>
        <v>2723.5594939242928</v>
      </c>
      <c r="AA167" s="119">
        <f t="shared" si="311"/>
        <v>3050.3866331952081</v>
      </c>
      <c r="AB167" s="119">
        <f t="shared" si="311"/>
        <v>3416.4330291786332</v>
      </c>
      <c r="AC167" s="138">
        <f t="shared" ref="AC167:AC172" si="312">((AB167/G167)^(1/($AB$3-$H$1) ))-1</f>
        <v>0.16110281988405584</v>
      </c>
      <c r="AD167" s="31">
        <v>0.08</v>
      </c>
      <c r="AE167" s="127">
        <f t="shared" ref="AE167:AE175" si="313">(AB167*(1+AC167))/($C$1-AD167)</f>
        <v>28334.500172316697</v>
      </c>
    </row>
    <row r="168" spans="2:31" x14ac:dyDescent="0.2">
      <c r="B168" s="20" t="s">
        <v>360</v>
      </c>
      <c r="C168" s="25" t="e">
        <f t="shared" ref="C168:P168" si="314">C167/C49</f>
        <v>#DIV/0!</v>
      </c>
      <c r="D168" s="25" t="e">
        <f t="shared" si="314"/>
        <v>#DIV/0!</v>
      </c>
      <c r="E168" s="25" t="e">
        <f t="shared" si="314"/>
        <v>#DIV/0!</v>
      </c>
      <c r="F168" s="25" t="e">
        <f t="shared" si="314"/>
        <v>#DIV/0!</v>
      </c>
      <c r="G168" s="25">
        <f t="shared" si="314"/>
        <v>1.3352112676056338</v>
      </c>
      <c r="H168" s="25">
        <f t="shared" si="314"/>
        <v>1.6415584415584414</v>
      </c>
      <c r="I168" s="25">
        <f t="shared" si="314"/>
        <v>2.0192825112107622</v>
      </c>
      <c r="J168" s="25">
        <f t="shared" si="314"/>
        <v>1.2258620689655173</v>
      </c>
      <c r="K168" s="25">
        <f t="shared" si="314"/>
        <v>1.1331637843336724</v>
      </c>
      <c r="L168" s="25">
        <f t="shared" si="314"/>
        <v>1.0360655737704918</v>
      </c>
      <c r="M168" s="25">
        <f t="shared" si="314"/>
        <v>1.3965337954939343</v>
      </c>
      <c r="N168" s="25">
        <f t="shared" si="314"/>
        <v>1.508608179419525</v>
      </c>
      <c r="O168" s="25" t="e">
        <f t="shared" si="314"/>
        <v>#DIV/0!</v>
      </c>
      <c r="P168" s="25">
        <f t="shared" si="314"/>
        <v>1.1791044776119404</v>
      </c>
      <c r="Q168" s="118">
        <f t="shared" ref="Q168" si="315">((P168/G168)^(1/($H$2-$H$1) ))-1</f>
        <v>-1.3719934011296342E-2</v>
      </c>
      <c r="R168" s="128"/>
      <c r="S168" s="25">
        <f t="shared" ref="S168:AB168" si="316">S167/S49</f>
        <v>1.14834523036989</v>
      </c>
      <c r="T168" s="25">
        <f t="shared" si="316"/>
        <v>1.1183883982732845</v>
      </c>
      <c r="U168" s="25">
        <f t="shared" si="316"/>
        <v>1.089213048753112</v>
      </c>
      <c r="V168" s="25">
        <f t="shared" si="316"/>
        <v>1.060798795307379</v>
      </c>
      <c r="W168" s="25">
        <f t="shared" si="316"/>
        <v>1.0331257832558822</v>
      </c>
      <c r="X168" s="25">
        <f t="shared" si="316"/>
        <v>1.0061746758665986</v>
      </c>
      <c r="Y168" s="25">
        <f t="shared" si="316"/>
        <v>0.97992664084399195</v>
      </c>
      <c r="Z168" s="25">
        <f t="shared" si="316"/>
        <v>0.95436333716980093</v>
      </c>
      <c r="AA168" s="25">
        <f t="shared" si="316"/>
        <v>0.92946690228711049</v>
      </c>
      <c r="AB168" s="25">
        <f t="shared" si="316"/>
        <v>0.90521993961875125</v>
      </c>
      <c r="AC168" s="138">
        <f t="shared" ref="AC168" si="317">((AB168/G168)^(1/($AB$3-$H$1) ))-1</f>
        <v>-2.0248343379526745E-2</v>
      </c>
      <c r="AD168" s="31">
        <v>0.08</v>
      </c>
      <c r="AE168" s="127">
        <f t="shared" ref="AE168" si="318">(AB168*(1+AC168))/($C$1-AD168)</f>
        <v>6.334933824623973</v>
      </c>
    </row>
    <row r="169" spans="2:31" x14ac:dyDescent="0.2">
      <c r="B169" s="20" t="s">
        <v>388</v>
      </c>
      <c r="C169" s="25" t="e">
        <f t="shared" ref="C169:P169" si="319">C167/C52</f>
        <v>#DIV/0!</v>
      </c>
      <c r="D169" s="25" t="e">
        <f t="shared" si="319"/>
        <v>#DIV/0!</v>
      </c>
      <c r="E169" s="25" t="e">
        <f t="shared" si="319"/>
        <v>#DIV/0!</v>
      </c>
      <c r="F169" s="25" t="e">
        <f t="shared" si="319"/>
        <v>#DIV/0!</v>
      </c>
      <c r="G169" s="25">
        <f t="shared" si="319"/>
        <v>18.230769230769234</v>
      </c>
      <c r="H169" s="25">
        <f t="shared" si="319"/>
        <v>19.446153846153848</v>
      </c>
      <c r="I169" s="25">
        <f t="shared" si="319"/>
        <v>26.488235294117651</v>
      </c>
      <c r="J169" s="25">
        <f t="shared" si="319"/>
        <v>14.019718309859156</v>
      </c>
      <c r="K169" s="25">
        <f t="shared" si="319"/>
        <v>14.280769230769232</v>
      </c>
      <c r="L169" s="25">
        <f t="shared" si="319"/>
        <v>15.540983606557379</v>
      </c>
      <c r="M169" s="25">
        <f t="shared" si="319"/>
        <v>16.964210526315789</v>
      </c>
      <c r="N169" s="25">
        <f t="shared" si="319"/>
        <v>18.59390243902439</v>
      </c>
      <c r="O169" s="25" t="e">
        <f t="shared" si="319"/>
        <v>#DIV/0!</v>
      </c>
      <c r="P169" s="25">
        <f t="shared" si="319"/>
        <v>13.649214659685864</v>
      </c>
      <c r="Q169" s="118">
        <f t="shared" si="309"/>
        <v>-3.1647161279014679E-2</v>
      </c>
      <c r="R169" s="128"/>
      <c r="S169" s="119">
        <f t="shared" ref="S169:AB169" si="320">S167/S52</f>
        <v>13.293148190302759</v>
      </c>
      <c r="T169" s="119">
        <f t="shared" si="320"/>
        <v>12.946370411425297</v>
      </c>
      <c r="U169" s="119">
        <f t="shared" si="320"/>
        <v>12.608639009388117</v>
      </c>
      <c r="V169" s="119">
        <f t="shared" si="320"/>
        <v>12.279717991751909</v>
      </c>
      <c r="W169" s="119">
        <f t="shared" si="320"/>
        <v>11.95937752240186</v>
      </c>
      <c r="X169" s="119">
        <f t="shared" si="320"/>
        <v>11.647393760947903</v>
      </c>
      <c r="Y169" s="119">
        <f t="shared" si="320"/>
        <v>11.343548706314481</v>
      </c>
      <c r="Z169" s="119">
        <f t="shared" si="320"/>
        <v>11.047630044410626</v>
      </c>
      <c r="AA169" s="119">
        <f t="shared" si="320"/>
        <v>10.759430999773828</v>
      </c>
      <c r="AB169" s="119">
        <f t="shared" si="320"/>
        <v>10.478750191084076</v>
      </c>
      <c r="AC169" s="138">
        <f t="shared" si="312"/>
        <v>-2.8724706263796196E-2</v>
      </c>
      <c r="AD169" s="31">
        <v>0.08</v>
      </c>
      <c r="AE169" s="127">
        <f t="shared" si="313"/>
        <v>72.698222641667769</v>
      </c>
    </row>
    <row r="170" spans="2:31" x14ac:dyDescent="0.2">
      <c r="B170" s="20" t="s">
        <v>258</v>
      </c>
      <c r="C170" s="25" t="e">
        <f t="shared" ref="C170:P170" si="321">C167/C55</f>
        <v>#DIV/0!</v>
      </c>
      <c r="D170" s="25" t="e">
        <f t="shared" si="321"/>
        <v>#DIV/0!</v>
      </c>
      <c r="E170" s="25" t="e">
        <f t="shared" si="321"/>
        <v>#DIV/0!</v>
      </c>
      <c r="F170" s="25" t="e">
        <f t="shared" si="321"/>
        <v>#DIV/0!</v>
      </c>
      <c r="G170" s="25">
        <f t="shared" si="321"/>
        <v>4.3888888888888884</v>
      </c>
      <c r="H170" s="25">
        <f t="shared" si="321"/>
        <v>5.4561151079136696</v>
      </c>
      <c r="I170" s="25">
        <f t="shared" si="321"/>
        <v>5.9511013215859032</v>
      </c>
      <c r="J170" s="25">
        <f t="shared" si="321"/>
        <v>3.3628378378378381</v>
      </c>
      <c r="K170" s="25">
        <f t="shared" si="321"/>
        <v>3.0024258760107818</v>
      </c>
      <c r="L170" s="25">
        <f t="shared" si="321"/>
        <v>2.2097902097902096</v>
      </c>
      <c r="M170" s="25">
        <f t="shared" si="321"/>
        <v>3.0932821497120919</v>
      </c>
      <c r="N170" s="25">
        <f t="shared" si="321"/>
        <v>3.5735156250000002</v>
      </c>
      <c r="O170" s="25" t="e">
        <f t="shared" si="321"/>
        <v>#DIV/0!</v>
      </c>
      <c r="P170" s="25">
        <f t="shared" si="321"/>
        <v>4.0990566037735849</v>
      </c>
      <c r="Q170" s="118">
        <f t="shared" si="309"/>
        <v>-7.5622880280181715E-3</v>
      </c>
      <c r="R170" s="128"/>
      <c r="S170" s="119">
        <f t="shared" ref="S170:AB170" si="322">S167/S55</f>
        <v>3.9921246923707967</v>
      </c>
      <c r="T170" s="119">
        <f t="shared" si="322"/>
        <v>3.8879823090915591</v>
      </c>
      <c r="U170" s="119">
        <f t="shared" si="322"/>
        <v>3.7865566836369977</v>
      </c>
      <c r="V170" s="119">
        <f t="shared" si="322"/>
        <v>3.687776944063859</v>
      </c>
      <c r="W170" s="119">
        <f t="shared" si="322"/>
        <v>3.5915740672621941</v>
      </c>
      <c r="X170" s="119">
        <f t="shared" si="322"/>
        <v>3.4978808307249198</v>
      </c>
      <c r="Y170" s="119">
        <f t="shared" si="322"/>
        <v>3.4066317655755749</v>
      </c>
      <c r="Z170" s="119">
        <f t="shared" si="322"/>
        <v>3.3177631108214301</v>
      </c>
      <c r="AA170" s="119">
        <f t="shared" si="322"/>
        <v>3.2312127688000016</v>
      </c>
      <c r="AB170" s="119">
        <f t="shared" si="322"/>
        <v>3.146920261787828</v>
      </c>
      <c r="AC170" s="138">
        <f t="shared" si="312"/>
        <v>-1.7355615935879865E-2</v>
      </c>
      <c r="AD170" s="31">
        <v>0.08</v>
      </c>
      <c r="AE170" s="127">
        <f t="shared" si="313"/>
        <v>22.087882302452854</v>
      </c>
    </row>
    <row r="171" spans="2:31" x14ac:dyDescent="0.2">
      <c r="B171" s="20" t="s">
        <v>259</v>
      </c>
      <c r="C171" s="25" t="e">
        <f t="shared" ref="C171:P171" si="323">C167/C64</f>
        <v>#DIV/0!</v>
      </c>
      <c r="D171" s="25" t="e">
        <f t="shared" si="323"/>
        <v>#DIV/0!</v>
      </c>
      <c r="E171" s="25" t="e">
        <f t="shared" si="323"/>
        <v>#DIV/0!</v>
      </c>
      <c r="F171" s="25" t="e">
        <f t="shared" si="323"/>
        <v>#DIV/0!</v>
      </c>
      <c r="G171" s="25">
        <f t="shared" si="323"/>
        <v>13.093922651933701</v>
      </c>
      <c r="H171" s="25">
        <f t="shared" si="323"/>
        <v>35.094863489125409</v>
      </c>
      <c r="I171" s="25">
        <f t="shared" si="323"/>
        <v>33.772500000000001</v>
      </c>
      <c r="J171" s="25">
        <f t="shared" si="323"/>
        <v>10.477894736842106</v>
      </c>
      <c r="K171" s="25">
        <f t="shared" si="323"/>
        <v>9.3605042016806728</v>
      </c>
      <c r="L171" s="25">
        <f t="shared" si="323"/>
        <v>7.2366412213740468</v>
      </c>
      <c r="M171" s="25">
        <f t="shared" si="323"/>
        <v>12.209090909090909</v>
      </c>
      <c r="N171" s="25">
        <f t="shared" si="323"/>
        <v>20.42008928571429</v>
      </c>
      <c r="O171" s="25" t="e">
        <f t="shared" si="323"/>
        <v>#DIV/0!</v>
      </c>
      <c r="P171" s="25">
        <f t="shared" si="323"/>
        <v>9.8377358490566049</v>
      </c>
      <c r="Q171" s="118">
        <f t="shared" si="309"/>
        <v>-3.1269840882339417E-2</v>
      </c>
      <c r="R171" s="128"/>
      <c r="S171" s="119">
        <f t="shared" ref="S171:AB171" si="324">S167/S64</f>
        <v>9.5810992616899142</v>
      </c>
      <c r="T171" s="119">
        <f t="shared" si="324"/>
        <v>9.3311575418197439</v>
      </c>
      <c r="U171" s="119">
        <f t="shared" si="324"/>
        <v>9.0877360407287959</v>
      </c>
      <c r="V171" s="119">
        <f t="shared" si="324"/>
        <v>8.8506646657532642</v>
      </c>
      <c r="W171" s="119">
        <f t="shared" si="324"/>
        <v>8.6197777614292654</v>
      </c>
      <c r="X171" s="119">
        <f t="shared" si="324"/>
        <v>8.3949139937398076</v>
      </c>
      <c r="Y171" s="119">
        <f t="shared" si="324"/>
        <v>8.1759162373813812</v>
      </c>
      <c r="Z171" s="119">
        <f t="shared" si="324"/>
        <v>7.962631465971433</v>
      </c>
      <c r="AA171" s="119">
        <f t="shared" si="324"/>
        <v>7.7549106451200061</v>
      </c>
      <c r="AB171" s="119">
        <f t="shared" si="324"/>
        <v>7.5526086282907876</v>
      </c>
      <c r="AC171" s="138">
        <f t="shared" si="312"/>
        <v>-2.8545454525237934E-2</v>
      </c>
      <c r="AD171" s="31">
        <v>0.08</v>
      </c>
      <c r="AE171" s="127">
        <f t="shared" si="313"/>
        <v>52.40725701532137</v>
      </c>
    </row>
    <row r="172" spans="2:31" x14ac:dyDescent="0.2">
      <c r="B172" s="20" t="s">
        <v>260</v>
      </c>
      <c r="C172" s="25" t="e">
        <f t="shared" ref="C172:P172" si="325">C167/C66</f>
        <v>#DIV/0!</v>
      </c>
      <c r="D172" s="25" t="e">
        <f t="shared" si="325"/>
        <v>#DIV/0!</v>
      </c>
      <c r="E172" s="25" t="e">
        <f t="shared" si="325"/>
        <v>#DIV/0!</v>
      </c>
      <c r="F172" s="25" t="e">
        <f t="shared" si="325"/>
        <v>#DIV/0!</v>
      </c>
      <c r="G172" s="25">
        <f t="shared" si="325"/>
        <v>24.947368421052634</v>
      </c>
      <c r="H172" s="25">
        <f t="shared" si="325"/>
        <v>30.08330027766759</v>
      </c>
      <c r="I172" s="25">
        <f t="shared" si="325"/>
        <v>21.614400000000003</v>
      </c>
      <c r="J172" s="25">
        <f t="shared" si="325"/>
        <v>10.819565217391304</v>
      </c>
      <c r="K172" s="25">
        <f t="shared" si="325"/>
        <v>101.26363636363637</v>
      </c>
      <c r="L172" s="25">
        <f t="shared" si="325"/>
        <v>9.2941176470588243</v>
      </c>
      <c r="M172" s="25">
        <f t="shared" si="325"/>
        <v>6.7714285714285722</v>
      </c>
      <c r="N172" s="25">
        <f t="shared" si="325"/>
        <v>6.5531518624641834</v>
      </c>
      <c r="O172" s="25" t="e">
        <f t="shared" si="325"/>
        <v>#DIV/0!</v>
      </c>
      <c r="P172" s="25">
        <f t="shared" si="325"/>
        <v>6.4529702970297036</v>
      </c>
      <c r="Q172" s="118">
        <f t="shared" si="309"/>
        <v>-0.13950505174942596</v>
      </c>
      <c r="R172" s="128"/>
      <c r="S172" s="119">
        <f t="shared" ref="S172:AB172" si="326">S167/S66</f>
        <v>6.2846319414550171</v>
      </c>
      <c r="T172" s="119">
        <f t="shared" si="326"/>
        <v>6.1206850212431476</v>
      </c>
      <c r="U172" s="119">
        <f t="shared" si="326"/>
        <v>5.9610149772107199</v>
      </c>
      <c r="V172" s="119">
        <f t="shared" si="326"/>
        <v>5.8055102386747883</v>
      </c>
      <c r="W172" s="119">
        <f t="shared" si="326"/>
        <v>5.6540621454919684</v>
      </c>
      <c r="X172" s="119">
        <f t="shared" si="326"/>
        <v>5.5065648721313094</v>
      </c>
      <c r="Y172" s="119">
        <f t="shared" si="326"/>
        <v>5.3629153537278853</v>
      </c>
      <c r="Z172" s="119">
        <f t="shared" si="326"/>
        <v>5.2230132140654186</v>
      </c>
      <c r="AA172" s="119">
        <f t="shared" si="326"/>
        <v>5.0867606954376257</v>
      </c>
      <c r="AB172" s="119">
        <f t="shared" si="326"/>
        <v>4.9540625903392543</v>
      </c>
      <c r="AC172" s="138">
        <f t="shared" si="312"/>
        <v>-8.1563145430697981E-2</v>
      </c>
      <c r="AD172" s="31">
        <v>0.08</v>
      </c>
      <c r="AE172" s="127">
        <f t="shared" si="313"/>
        <v>32.499954734361665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27">G167/G60</f>
        <v>6.9298245614035086</v>
      </c>
      <c r="H173" s="182">
        <f t="shared" si="327"/>
        <v>6.8945454545454554</v>
      </c>
      <c r="I173" s="182">
        <f t="shared" si="327"/>
        <v>5.1758620689655173</v>
      </c>
      <c r="J173" s="182">
        <f t="shared" si="327"/>
        <v>2.7960674157303371</v>
      </c>
      <c r="K173" s="182">
        <f t="shared" si="327"/>
        <v>2.45352422907489</v>
      </c>
      <c r="L173" s="182">
        <f t="shared" si="327"/>
        <v>1.9466119096509242</v>
      </c>
      <c r="M173" s="182">
        <f t="shared" si="327"/>
        <v>2.7177065767284994</v>
      </c>
      <c r="N173" s="182">
        <f t="shared" si="327"/>
        <v>3.1632780082987551</v>
      </c>
      <c r="O173" s="182" t="e">
        <f t="shared" si="327"/>
        <v>#DIV/0!</v>
      </c>
      <c r="P173" s="182">
        <f t="shared" si="327"/>
        <v>2.726987447698745</v>
      </c>
      <c r="Q173" s="118">
        <f t="shared" ref="Q173:Q176" si="328">((P173/G173)^(1/($H$2-$H$1) ))-1</f>
        <v>-9.8437881418347417E-2</v>
      </c>
      <c r="R173" s="128"/>
      <c r="S173" s="135">
        <f t="shared" ref="S173:AB173" si="329">S167/S60</f>
        <v>2.6558486447153005</v>
      </c>
      <c r="T173" s="135">
        <f t="shared" si="329"/>
        <v>2.5865656365922929</v>
      </c>
      <c r="U173" s="135">
        <f t="shared" si="329"/>
        <v>2.5190900112898853</v>
      </c>
      <c r="V173" s="135">
        <f t="shared" si="329"/>
        <v>2.4533746196910196</v>
      </c>
      <c r="W173" s="135">
        <f t="shared" si="329"/>
        <v>2.3893735426556018</v>
      </c>
      <c r="X173" s="135">
        <f t="shared" si="329"/>
        <v>2.3270420589341514</v>
      </c>
      <c r="Y173" s="135">
        <f t="shared" si="329"/>
        <v>2.2663366139184786</v>
      </c>
      <c r="Z173" s="135">
        <f t="shared" si="329"/>
        <v>2.2072147892075615</v>
      </c>
      <c r="AA173" s="135">
        <f t="shared" si="329"/>
        <v>2.1496352729673651</v>
      </c>
      <c r="AB173" s="135">
        <f t="shared" si="329"/>
        <v>2.0935578310638685</v>
      </c>
      <c r="AC173" s="138">
        <f t="shared" ref="AC173" si="330">((AB173/G173)^(1/($AB$3-$H$1) ))-1</f>
        <v>-6.1055022362687006E-2</v>
      </c>
      <c r="AD173" s="31">
        <v>0.08</v>
      </c>
      <c r="AE173" s="127">
        <f t="shared" si="313"/>
        <v>14.040968649076325</v>
      </c>
    </row>
    <row r="174" spans="2:31" x14ac:dyDescent="0.2">
      <c r="B174" s="20" t="s">
        <v>370</v>
      </c>
      <c r="C174" s="161" t="e">
        <f t="shared" ref="C174:P174" si="331">C52/C167</f>
        <v>#DIV/0!</v>
      </c>
      <c r="D174" s="161" t="e">
        <f t="shared" si="331"/>
        <v>#DIV/0!</v>
      </c>
      <c r="E174" s="161" t="e">
        <f t="shared" si="331"/>
        <v>#DIV/0!</v>
      </c>
      <c r="F174" s="161" t="e">
        <f t="shared" si="331"/>
        <v>#DIV/0!</v>
      </c>
      <c r="G174" s="161">
        <f t="shared" si="331"/>
        <v>5.4852320675105481E-2</v>
      </c>
      <c r="H174" s="161">
        <f t="shared" si="331"/>
        <v>5.1424050632911389E-2</v>
      </c>
      <c r="I174" s="161">
        <f t="shared" si="331"/>
        <v>3.7752609371530084E-2</v>
      </c>
      <c r="J174" s="161">
        <f t="shared" si="331"/>
        <v>7.1328109302792847E-2</v>
      </c>
      <c r="K174" s="161">
        <f t="shared" si="331"/>
        <v>7.0024239159709123E-2</v>
      </c>
      <c r="L174" s="161">
        <f t="shared" si="331"/>
        <v>6.4345991561181426E-2</v>
      </c>
      <c r="M174" s="161">
        <f t="shared" si="331"/>
        <v>5.8947629684785306E-2</v>
      </c>
      <c r="N174" s="161">
        <f t="shared" si="331"/>
        <v>5.3781071686233355E-2</v>
      </c>
      <c r="O174" s="161" t="e">
        <f t="shared" si="331"/>
        <v>#DIV/0!</v>
      </c>
      <c r="P174" s="161">
        <f t="shared" si="331"/>
        <v>7.3264288454161872E-2</v>
      </c>
      <c r="Q174" s="118">
        <f t="shared" si="328"/>
        <v>3.2681435953463733E-2</v>
      </c>
      <c r="R174" s="128"/>
      <c r="S174" s="161">
        <f t="shared" ref="S174:AB174" si="332">S52/S167</f>
        <v>7.5226724752041174E-2</v>
      </c>
      <c r="T174" s="161">
        <f t="shared" si="332"/>
        <v>7.7241726307899411E-2</v>
      </c>
      <c r="U174" s="161">
        <f t="shared" si="332"/>
        <v>7.9310701119718136E-2</v>
      </c>
      <c r="V174" s="161">
        <f t="shared" si="332"/>
        <v>8.1435094899710569E-2</v>
      </c>
      <c r="W174" s="161">
        <f t="shared" si="332"/>
        <v>8.3616392084524246E-2</v>
      </c>
      <c r="X174" s="161">
        <f t="shared" si="332"/>
        <v>8.5856116872502539E-2</v>
      </c>
      <c r="Y174" s="161">
        <f t="shared" si="332"/>
        <v>8.8155834288730278E-2</v>
      </c>
      <c r="Z174" s="161">
        <f t="shared" si="332"/>
        <v>9.0517151278606961E-2</v>
      </c>
      <c r="AA174" s="161">
        <f t="shared" si="332"/>
        <v>9.2941717830712492E-2</v>
      </c>
      <c r="AB174" s="161">
        <f t="shared" si="332"/>
        <v>9.543122812974944E-2</v>
      </c>
      <c r="AC174" s="138">
        <f t="shared" ref="AC174:AC175" si="333">((AB174/G174)^(1/($AB$3-$H$1) ))-1</f>
        <v>2.9574216958923039E-2</v>
      </c>
      <c r="AD174" s="31">
        <v>0.08</v>
      </c>
      <c r="AE174" s="127">
        <f t="shared" si="313"/>
        <v>0.7018109426793937</v>
      </c>
    </row>
    <row r="175" spans="2:31" x14ac:dyDescent="0.2">
      <c r="B175" s="20" t="s">
        <v>319</v>
      </c>
      <c r="C175" s="152" t="e">
        <f t="shared" ref="C175:P175" si="334">C43/C167</f>
        <v>#DIV/0!</v>
      </c>
      <c r="D175" s="152" t="e">
        <f t="shared" si="334"/>
        <v>#DIV/0!</v>
      </c>
      <c r="E175" s="152" t="e">
        <f t="shared" si="334"/>
        <v>#DIV/0!</v>
      </c>
      <c r="F175" s="152" t="e">
        <f t="shared" si="334"/>
        <v>#DIV/0!</v>
      </c>
      <c r="G175" s="152">
        <f t="shared" si="334"/>
        <v>2.2499999999999999E-2</v>
      </c>
      <c r="H175" s="152">
        <f t="shared" si="334"/>
        <v>9.3749999999999997E-3</v>
      </c>
      <c r="I175" s="152">
        <f t="shared" si="334"/>
        <v>7.8947368421052634E-3</v>
      </c>
      <c r="J175" s="152">
        <f t="shared" si="334"/>
        <v>2.3809523809523812E-3</v>
      </c>
      <c r="K175" s="152">
        <f t="shared" si="334"/>
        <v>2.1276595744680851E-3</v>
      </c>
      <c r="L175" s="152">
        <f t="shared" si="334"/>
        <v>2.5000000000000001E-3</v>
      </c>
      <c r="M175" s="152">
        <f t="shared" si="334"/>
        <v>1.4705882352941176E-3</v>
      </c>
      <c r="N175" s="152">
        <f t="shared" si="334"/>
        <v>1.0362694300518134E-3</v>
      </c>
      <c r="O175" s="152">
        <f t="shared" si="334"/>
        <v>1.0810810810810811E-3</v>
      </c>
      <c r="P175" s="152">
        <f t="shared" si="334"/>
        <v>6.4545454545454545E-2</v>
      </c>
      <c r="Q175" s="118">
        <f t="shared" si="328"/>
        <v>0.12422614966505097</v>
      </c>
      <c r="R175" s="128"/>
      <c r="S175" s="152">
        <f t="shared" ref="S175:AB175" si="335">S43/S167</f>
        <v>6.051136363636362E-2</v>
      </c>
      <c r="T175" s="152">
        <f t="shared" si="335"/>
        <v>5.6729403409090898E-2</v>
      </c>
      <c r="U175" s="152">
        <f t="shared" si="335"/>
        <v>5.3183815696022714E-2</v>
      </c>
      <c r="V175" s="152">
        <f t="shared" si="335"/>
        <v>4.9859827215021295E-2</v>
      </c>
      <c r="W175" s="152">
        <f t="shared" si="335"/>
        <v>4.674358801408246E-2</v>
      </c>
      <c r="X175" s="152">
        <f t="shared" si="335"/>
        <v>4.3822113763202303E-2</v>
      </c>
      <c r="Y175" s="152">
        <f t="shared" si="335"/>
        <v>4.108323165300215E-2</v>
      </c>
      <c r="Z175" s="152">
        <f t="shared" si="335"/>
        <v>3.8515529674689512E-2</v>
      </c>
      <c r="AA175" s="152">
        <f t="shared" si="335"/>
        <v>3.6108309070021417E-2</v>
      </c>
      <c r="AB175" s="152">
        <f t="shared" si="335"/>
        <v>3.3851539753145081E-2</v>
      </c>
      <c r="AC175" s="138">
        <f t="shared" si="333"/>
        <v>2.1731132800490771E-2</v>
      </c>
      <c r="AD175" s="31">
        <v>0.08</v>
      </c>
      <c r="AE175" s="127">
        <f t="shared" si="313"/>
        <v>0.2470512289930126</v>
      </c>
    </row>
    <row r="176" spans="2:31" x14ac:dyDescent="0.2">
      <c r="B176" s="20" t="s">
        <v>427</v>
      </c>
      <c r="C176" s="181" t="e">
        <f t="shared" ref="C176:O176" si="336">(C169)/($L$2*100)</f>
        <v>#DIV/0!</v>
      </c>
      <c r="D176" s="181" t="e">
        <f t="shared" si="336"/>
        <v>#DIV/0!</v>
      </c>
      <c r="E176" s="181" t="e">
        <f t="shared" si="336"/>
        <v>#DIV/0!</v>
      </c>
      <c r="F176" s="181" t="e">
        <f t="shared" si="336"/>
        <v>#DIV/0!</v>
      </c>
      <c r="G176" s="181">
        <f t="shared" si="336"/>
        <v>1.2153846153846155</v>
      </c>
      <c r="H176" s="181">
        <f t="shared" si="336"/>
        <v>1.2964102564102566</v>
      </c>
      <c r="I176" s="181">
        <f t="shared" si="336"/>
        <v>1.7658823529411767</v>
      </c>
      <c r="J176" s="181">
        <f t="shared" si="336"/>
        <v>0.93464788732394377</v>
      </c>
      <c r="K176" s="181">
        <f t="shared" si="336"/>
        <v>0.9520512820512822</v>
      </c>
      <c r="L176" s="181">
        <f t="shared" si="336"/>
        <v>1.036065573770492</v>
      </c>
      <c r="M176" s="181">
        <f t="shared" si="336"/>
        <v>1.1309473684210525</v>
      </c>
      <c r="N176" s="181">
        <f t="shared" si="336"/>
        <v>1.2395934959349593</v>
      </c>
      <c r="O176" s="181" t="e">
        <f t="shared" si="336"/>
        <v>#DIV/0!</v>
      </c>
      <c r="P176" s="181">
        <f>(P169)/($L$2*100)</f>
        <v>0.90994764397905759</v>
      </c>
      <c r="Q176" s="118">
        <f t="shared" si="328"/>
        <v>-3.1647161279014679E-2</v>
      </c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200" t="s">
        <v>350</v>
      </c>
      <c r="L178" s="201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351</v>
      </c>
      <c r="L179" s="22">
        <v>1</v>
      </c>
      <c r="M179" s="20"/>
      <c r="N179" s="20"/>
      <c r="O179" s="20"/>
      <c r="P179" s="128">
        <f>(P167-R155)/P167</f>
        <v>0.3883230631893459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348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-0.77814714936531681</v>
      </c>
      <c r="N180" s="20"/>
      <c r="O180" s="20"/>
      <c r="P180" s="128">
        <f>(P167-R146)/P167</f>
        <v>-0.77814714936531681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349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-0.22759112822291752</v>
      </c>
      <c r="N181" s="20"/>
      <c r="O181" s="20"/>
      <c r="P181" s="128">
        <f>(P167-R139)/P167</f>
        <v>-0.22759112822291752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352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0.54988325298493035</v>
      </c>
      <c r="N182" s="20"/>
      <c r="O182" s="20"/>
      <c r="P182" s="128">
        <f>(P167-R152)/P167</f>
        <v>0.54988325298493035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398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1</v>
      </c>
      <c r="N183" s="20"/>
      <c r="O183" s="20"/>
      <c r="P183" s="128">
        <f>(P167-R164)/P167</f>
        <v>1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2.8148601784058114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406</v>
      </c>
      <c r="AD184" s="115" t="s">
        <v>407</v>
      </c>
      <c r="AE184" s="115" t="s">
        <v>408</v>
      </c>
      <c r="AF184" s="115" t="s">
        <v>409</v>
      </c>
      <c r="AG184" s="115" t="s">
        <v>410</v>
      </c>
      <c r="AH184" s="115" t="s">
        <v>411</v>
      </c>
      <c r="AI184" s="115" t="s">
        <v>412</v>
      </c>
      <c r="AJ184" s="115" t="s">
        <v>413</v>
      </c>
      <c r="AK184" s="115" t="s">
        <v>414</v>
      </c>
      <c r="AL184" s="115" t="s">
        <v>415</v>
      </c>
      <c r="AM184" s="115" t="s">
        <v>416</v>
      </c>
      <c r="AN184" s="115" t="s">
        <v>417</v>
      </c>
      <c r="AO184" s="115" t="s">
        <v>418</v>
      </c>
      <c r="AP184" s="115" t="s">
        <v>419</v>
      </c>
      <c r="AQ184" s="115" t="s">
        <v>420</v>
      </c>
      <c r="AR184" s="115" t="s">
        <v>421</v>
      </c>
      <c r="AS184" s="115" t="s">
        <v>422</v>
      </c>
    </row>
    <row r="185" spans="2:45" x14ac:dyDescent="0.2">
      <c r="B185" s="20" t="s">
        <v>370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0.35525743256148068</v>
      </c>
      <c r="Q185" s="20"/>
      <c r="R185" s="20"/>
      <c r="S185" s="185" t="e">
        <f>P167-S186</f>
        <v>#DIV/0!</v>
      </c>
      <c r="T185" s="185" t="e">
        <f>S185-T186</f>
        <v>#DIV/0!</v>
      </c>
      <c r="U185" s="185" t="e">
        <f t="shared" ref="U185:W185" si="337">T185-U186</f>
        <v>#DIV/0!</v>
      </c>
      <c r="V185" s="185" t="e">
        <f t="shared" si="337"/>
        <v>#DIV/0!</v>
      </c>
      <c r="W185" s="185" t="e">
        <f t="shared" si="337"/>
        <v>#DIV/0!</v>
      </c>
      <c r="X185" s="185" t="e">
        <f>W185-X186</f>
        <v>#DIV/0!</v>
      </c>
      <c r="Y185" s="185" t="e">
        <f t="shared" ref="Y185:AB185" si="338">X185-Y186</f>
        <v>#DIV/0!</v>
      </c>
      <c r="Z185" s="185" t="e">
        <f t="shared" si="338"/>
        <v>#DIV/0!</v>
      </c>
      <c r="AA185" s="185" t="e">
        <f t="shared" si="338"/>
        <v>#DIV/0!</v>
      </c>
      <c r="AB185" s="185" t="e">
        <f t="shared" si="338"/>
        <v>#DIV/0!</v>
      </c>
      <c r="AC185" s="185" t="e">
        <f t="shared" ref="AC185" si="339">AB185-AC186</f>
        <v>#DIV/0!</v>
      </c>
      <c r="AD185" s="185" t="e">
        <f t="shared" ref="AD185" si="340">AC185-AD186</f>
        <v>#DIV/0!</v>
      </c>
      <c r="AE185" s="185" t="e">
        <f t="shared" ref="AE185" si="341">AD185-AE186</f>
        <v>#DIV/0!</v>
      </c>
      <c r="AF185" s="185" t="e">
        <f t="shared" ref="AF185" si="342">AE185-AF186</f>
        <v>#DIV/0!</v>
      </c>
      <c r="AG185" s="185" t="e">
        <f t="shared" ref="AG185" si="343">AF185-AG186</f>
        <v>#DIV/0!</v>
      </c>
      <c r="AH185" s="185" t="e">
        <f t="shared" ref="AH185" si="344">AG185-AH186</f>
        <v>#DIV/0!</v>
      </c>
      <c r="AI185" s="185" t="e">
        <f t="shared" ref="AI185" si="345">AH185-AI186</f>
        <v>#DIV/0!</v>
      </c>
      <c r="AJ185" s="185" t="e">
        <f t="shared" ref="AJ185" si="346">AI185-AJ186</f>
        <v>#DIV/0!</v>
      </c>
      <c r="AK185" s="185" t="e">
        <f t="shared" ref="AK185" si="347">AJ185-AK186</f>
        <v>#DIV/0!</v>
      </c>
      <c r="AL185" s="185" t="e">
        <f t="shared" ref="AL185" si="348">AK185-AL186</f>
        <v>#DIV/0!</v>
      </c>
      <c r="AM185" s="185" t="e">
        <f t="shared" ref="AM185" si="349">AL185-AM186</f>
        <v>#DIV/0!</v>
      </c>
      <c r="AN185" s="185" t="e">
        <f t="shared" ref="AN185" si="350">AM185-AN186</f>
        <v>#DIV/0!</v>
      </c>
      <c r="AO185" s="185" t="e">
        <f t="shared" ref="AO185" si="351">AN185-AO186</f>
        <v>#DIV/0!</v>
      </c>
      <c r="AP185" s="185" t="e">
        <f t="shared" ref="AP185" si="352">AO185-AP186</f>
        <v>#DIV/0!</v>
      </c>
      <c r="AQ185" s="185" t="e">
        <f t="shared" ref="AQ185" si="353">AP185-AQ186</f>
        <v>#DIV/0!</v>
      </c>
      <c r="AR185" s="185" t="e">
        <f t="shared" ref="AR185" si="354">AQ185-AR186</f>
        <v>#DIV/0!</v>
      </c>
      <c r="AS185" s="185" t="e">
        <f t="shared" ref="AS185" si="355">AR185-AS186</f>
        <v>#DIV/0!</v>
      </c>
    </row>
    <row r="186" spans="2:45" x14ac:dyDescent="0.2">
      <c r="B186" s="20" t="s">
        <v>395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7"/>
      <c r="N186" s="20"/>
      <c r="O186" s="20"/>
      <c r="P186" s="181" t="e">
        <f>P167/Q137</f>
        <v>#DIV/0!</v>
      </c>
      <c r="Q186" s="20"/>
      <c r="R186" s="20"/>
      <c r="S186" s="186" t="e">
        <f>Q137*(1+$K$186)</f>
        <v>#DIV/0!</v>
      </c>
      <c r="T186" s="186" t="e">
        <f>S186*(1+$K$186)</f>
        <v>#DIV/0!</v>
      </c>
      <c r="U186" s="186" t="e">
        <f t="shared" ref="U186:AB186" si="356">T186*(1+$K$186)</f>
        <v>#DIV/0!</v>
      </c>
      <c r="V186" s="186" t="e">
        <f t="shared" si="356"/>
        <v>#DIV/0!</v>
      </c>
      <c r="W186" s="186" t="e">
        <f t="shared" si="356"/>
        <v>#DIV/0!</v>
      </c>
      <c r="X186" s="186" t="e">
        <f t="shared" si="356"/>
        <v>#DIV/0!</v>
      </c>
      <c r="Y186" s="186" t="e">
        <f t="shared" si="356"/>
        <v>#DIV/0!</v>
      </c>
      <c r="Z186" s="186" t="e">
        <f t="shared" si="356"/>
        <v>#DIV/0!</v>
      </c>
      <c r="AA186" s="186" t="e">
        <f t="shared" si="356"/>
        <v>#DIV/0!</v>
      </c>
      <c r="AB186" s="186" t="e">
        <f t="shared" si="356"/>
        <v>#DIV/0!</v>
      </c>
      <c r="AC186" s="186" t="e">
        <f t="shared" ref="AC186" si="357">AB186*(1+$K$186)</f>
        <v>#DIV/0!</v>
      </c>
      <c r="AD186" s="186" t="e">
        <f t="shared" ref="AD186" si="358">AC186*(1+$K$186)</f>
        <v>#DIV/0!</v>
      </c>
      <c r="AE186" s="186" t="e">
        <f t="shared" ref="AE186" si="359">AD186*(1+$K$186)</f>
        <v>#DIV/0!</v>
      </c>
      <c r="AF186" s="186" t="e">
        <f t="shared" ref="AF186" si="360">AE186*(1+$K$186)</f>
        <v>#DIV/0!</v>
      </c>
      <c r="AG186" s="186" t="e">
        <f t="shared" ref="AG186" si="361">AF186*(1+$K$186)</f>
        <v>#DIV/0!</v>
      </c>
      <c r="AH186" s="186" t="e">
        <f t="shared" ref="AH186" si="362">AG186*(1+$K$186)</f>
        <v>#DIV/0!</v>
      </c>
      <c r="AI186" s="186" t="e">
        <f t="shared" ref="AI186" si="363">AH186*(1+$K$186)</f>
        <v>#DIV/0!</v>
      </c>
      <c r="AJ186" s="186" t="e">
        <f t="shared" ref="AJ186" si="364">AI186*(1+$K$186)</f>
        <v>#DIV/0!</v>
      </c>
      <c r="AK186" s="186" t="e">
        <f t="shared" ref="AK186" si="365">AJ186*(1+$K$186)</f>
        <v>#DIV/0!</v>
      </c>
      <c r="AL186" s="186" t="e">
        <f t="shared" ref="AL186" si="366">AK186*(1+$K$186)</f>
        <v>#DIV/0!</v>
      </c>
      <c r="AM186" s="186" t="e">
        <f t="shared" ref="AM186" si="367">AL186*(1+$K$186)</f>
        <v>#DIV/0!</v>
      </c>
      <c r="AN186" s="186" t="e">
        <f t="shared" ref="AN186" si="368">AM186*(1+$K$186)</f>
        <v>#DIV/0!</v>
      </c>
      <c r="AO186" s="186" t="e">
        <f t="shared" ref="AO186" si="369">AN186*(1+$K$186)</f>
        <v>#DIV/0!</v>
      </c>
      <c r="AP186" s="186" t="e">
        <f t="shared" ref="AP186" si="370">AO186*(1+$K$186)</f>
        <v>#DIV/0!</v>
      </c>
      <c r="AQ186" s="186" t="e">
        <f t="shared" ref="AQ186" si="371">AP186*(1+$K$186)</f>
        <v>#DIV/0!</v>
      </c>
      <c r="AR186" s="186" t="e">
        <f t="shared" ref="AR186" si="372">AQ186*(1+$K$186)</f>
        <v>#DIV/0!</v>
      </c>
      <c r="AS186" s="186" t="e">
        <f t="shared" ref="AS186" si="373">AR186*(1+$K$186)</f>
        <v>#DIV/0!</v>
      </c>
    </row>
    <row r="187" spans="2:45" x14ac:dyDescent="0.2">
      <c r="B187" s="20" t="s">
        <v>394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7"/>
      <c r="N187" s="20"/>
      <c r="O187" s="20"/>
      <c r="P187" s="181">
        <f>P167/P52</f>
        <v>13.649214659685864</v>
      </c>
      <c r="Q187" s="20"/>
      <c r="R187" s="20"/>
      <c r="S187" s="186">
        <f>P52*(1+$K$187)</f>
        <v>84.620253164556971</v>
      </c>
      <c r="T187" s="186">
        <f>S187*(1+$K$187)</f>
        <v>88.851265822784825</v>
      </c>
      <c r="U187" s="186">
        <f t="shared" ref="U187:AB187" si="374">T187*(1+$K$187)</f>
        <v>93.293829113924076</v>
      </c>
      <c r="V187" s="186">
        <f t="shared" si="374"/>
        <v>97.958520569620291</v>
      </c>
      <c r="W187" s="186">
        <f t="shared" si="374"/>
        <v>102.85644659810131</v>
      </c>
      <c r="X187" s="186">
        <f t="shared" si="374"/>
        <v>107.99926892800639</v>
      </c>
      <c r="Y187" s="186">
        <f t="shared" si="374"/>
        <v>113.39923237440671</v>
      </c>
      <c r="Z187" s="186">
        <f t="shared" si="374"/>
        <v>119.06919399312704</v>
      </c>
      <c r="AA187" s="186">
        <f t="shared" si="374"/>
        <v>125.02265369278341</v>
      </c>
      <c r="AB187" s="186">
        <f t="shared" si="374"/>
        <v>131.2737863774226</v>
      </c>
      <c r="AC187" s="186">
        <f t="shared" ref="AC187" si="375">AB187*(1+$K$187)</f>
        <v>137.83747569629372</v>
      </c>
      <c r="AD187" s="186">
        <f t="shared" ref="AD187" si="376">AC187*(1+$K$187)</f>
        <v>144.72934948110841</v>
      </c>
      <c r="AE187" s="186">
        <f t="shared" ref="AE187" si="377">AD187*(1+$K$187)</f>
        <v>151.96581695516383</v>
      </c>
      <c r="AF187" s="186">
        <f t="shared" ref="AF187" si="378">AE187*(1+$K$187)</f>
        <v>159.56410780292202</v>
      </c>
      <c r="AG187" s="186">
        <f t="shared" ref="AG187" si="379">AF187*(1+$K$187)</f>
        <v>167.54231319306814</v>
      </c>
      <c r="AH187" s="186">
        <f t="shared" ref="AH187" si="380">AG187*(1+$K$187)</f>
        <v>175.91942885272155</v>
      </c>
      <c r="AI187" s="186">
        <f t="shared" ref="AI187" si="381">AH187*(1+$K$187)</f>
        <v>184.71540029535763</v>
      </c>
      <c r="AJ187" s="186">
        <f t="shared" ref="AJ187" si="382">AI187*(1+$K$187)</f>
        <v>193.95117031012552</v>
      </c>
      <c r="AK187" s="186">
        <f t="shared" ref="AK187" si="383">AJ187*(1+$K$187)</f>
        <v>203.64872882563179</v>
      </c>
      <c r="AL187" s="186">
        <f t="shared" ref="AL187" si="384">AK187*(1+$K$187)</f>
        <v>213.83116526691339</v>
      </c>
      <c r="AM187" s="186">
        <f t="shared" ref="AM187" si="385">AL187*(1+$K$187)</f>
        <v>224.52272353025907</v>
      </c>
      <c r="AN187" s="186">
        <f t="shared" ref="AN187" si="386">AM187*(1+$K$187)</f>
        <v>235.74885970677204</v>
      </c>
      <c r="AO187" s="186">
        <f t="shared" ref="AO187" si="387">AN187*(1+$K$187)</f>
        <v>247.53630269211064</v>
      </c>
      <c r="AP187" s="186">
        <f t="shared" ref="AP187" si="388">AO187*(1+$K$187)</f>
        <v>259.91311782671619</v>
      </c>
      <c r="AQ187" s="186">
        <f t="shared" ref="AQ187" si="389">AP187*(1+$K$187)</f>
        <v>272.90877371805203</v>
      </c>
      <c r="AR187" s="186">
        <f t="shared" ref="AR187" si="390">AQ187*(1+$K$187)</f>
        <v>286.55421240395464</v>
      </c>
      <c r="AS187" s="186">
        <f t="shared" ref="AS187" si="391">AR187*(1+$K$187)</f>
        <v>300.8819230241524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1015.379746835443</v>
      </c>
      <c r="T188" s="185">
        <f>S188-T187</f>
        <v>926.52848101265818</v>
      </c>
      <c r="U188" s="185">
        <f t="shared" ref="U188:Z188" si="392">T188-U187</f>
        <v>833.23465189873411</v>
      </c>
      <c r="V188" s="185">
        <f t="shared" si="392"/>
        <v>735.27613132911381</v>
      </c>
      <c r="W188" s="185">
        <f t="shared" si="392"/>
        <v>632.41968473101247</v>
      </c>
      <c r="X188" s="185">
        <f t="shared" si="392"/>
        <v>524.42041580300611</v>
      </c>
      <c r="Y188" s="185">
        <f t="shared" si="392"/>
        <v>411.02118342859939</v>
      </c>
      <c r="Z188" s="185">
        <f t="shared" si="392"/>
        <v>291.95198943547234</v>
      </c>
      <c r="AA188" s="185">
        <f>Z188-AA187</f>
        <v>166.92933574268892</v>
      </c>
      <c r="AB188" s="185">
        <f t="shared" ref="AB188" si="393">AA188-AB187</f>
        <v>35.655549365266324</v>
      </c>
      <c r="AC188" s="185">
        <f t="shared" ref="AC188" si="394">AB188-AC187</f>
        <v>-102.1819263310274</v>
      </c>
      <c r="AD188" s="185">
        <f t="shared" ref="AD188" si="395">AC188-AD187</f>
        <v>-246.91127581213581</v>
      </c>
      <c r="AE188" s="185">
        <f t="shared" ref="AE188" si="396">AD188-AE187</f>
        <v>-398.87709276729964</v>
      </c>
      <c r="AF188" s="185">
        <f t="shared" ref="AF188" si="397">AE188-AF187</f>
        <v>-558.44120057022167</v>
      </c>
      <c r="AG188" s="185">
        <f t="shared" ref="AG188" si="398">AF188-AG187</f>
        <v>-725.98351376328981</v>
      </c>
      <c r="AH188" s="185">
        <f t="shared" ref="AH188" si="399">AG188-AH187</f>
        <v>-901.90294261601139</v>
      </c>
      <c r="AI188" s="185">
        <f t="shared" ref="AI188" si="400">AH188-AI187</f>
        <v>-1086.6183429113689</v>
      </c>
      <c r="AJ188" s="185">
        <f t="shared" ref="AJ188" si="401">AI188-AJ187</f>
        <v>-1280.5695132214944</v>
      </c>
      <c r="AK188" s="185">
        <f t="shared" ref="AK188" si="402">AJ188-AK187</f>
        <v>-1484.2182420471263</v>
      </c>
      <c r="AL188" s="185">
        <f t="shared" ref="AL188" si="403">AK188-AL187</f>
        <v>-1698.0494073140396</v>
      </c>
      <c r="AM188" s="185">
        <f t="shared" ref="AM188" si="404">AL188-AM187</f>
        <v>-1922.5721308442987</v>
      </c>
      <c r="AN188" s="185">
        <f t="shared" ref="AN188" si="405">AM188-AN187</f>
        <v>-2158.3209905510707</v>
      </c>
      <c r="AO188" s="185">
        <f t="shared" ref="AO188" si="406">AN188-AO187</f>
        <v>-2405.8572932431812</v>
      </c>
      <c r="AP188" s="185">
        <f t="shared" ref="AP188" si="407">AO188-AP187</f>
        <v>-2665.7704110698974</v>
      </c>
      <c r="AQ188" s="185">
        <f t="shared" ref="AQ188" si="408">AP188-AQ187</f>
        <v>-2938.6791847879495</v>
      </c>
      <c r="AR188" s="185">
        <f t="shared" ref="AR188" si="409">AQ188-AR187</f>
        <v>-3225.2333971919043</v>
      </c>
      <c r="AS188" s="185">
        <f t="shared" ref="AS188" si="410">AR188-AS187</f>
        <v>-3526.1153202160567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411">C10/C7</f>
        <v>#DIV/0!</v>
      </c>
      <c r="D190" s="25" t="e">
        <f t="shared" si="411"/>
        <v>#DIV/0!</v>
      </c>
      <c r="E190" s="25" t="e">
        <f t="shared" si="411"/>
        <v>#DIV/0!</v>
      </c>
      <c r="F190" s="25" t="e">
        <f t="shared" si="411"/>
        <v>#DIV/0!</v>
      </c>
      <c r="G190" s="25">
        <f t="shared" si="411"/>
        <v>0.49242424242424243</v>
      </c>
      <c r="H190" s="25">
        <f t="shared" si="411"/>
        <v>0.33128834355828218</v>
      </c>
      <c r="I190" s="25">
        <f t="shared" si="411"/>
        <v>3.9840637450199202E-2</v>
      </c>
      <c r="J190" s="25">
        <f t="shared" si="411"/>
        <v>0</v>
      </c>
      <c r="K190" s="25">
        <f t="shared" si="411"/>
        <v>0</v>
      </c>
      <c r="L190" s="25">
        <f t="shared" si="411"/>
        <v>0</v>
      </c>
      <c r="M190" s="25">
        <f t="shared" si="411"/>
        <v>0</v>
      </c>
      <c r="N190" s="25">
        <f t="shared" si="411"/>
        <v>0</v>
      </c>
      <c r="O190" s="25" t="e">
        <f t="shared" si="411"/>
        <v>#DIV/0!</v>
      </c>
      <c r="P190" s="25">
        <f t="shared" si="411"/>
        <v>0</v>
      </c>
      <c r="Q190" s="118">
        <f t="shared" ref="Q190:Q192" si="412">((P190/G190)^(1/($H$2-$H$1) ))-1</f>
        <v>-1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10.483870967741936</v>
      </c>
      <c r="H191" s="112">
        <f t="shared" ref="H191:P191" si="413">H10/H12</f>
        <v>7.0959264126149808</v>
      </c>
      <c r="I191" s="112">
        <f t="shared" si="413"/>
        <v>0.76923076923076927</v>
      </c>
      <c r="J191" s="112">
        <f t="shared" si="413"/>
        <v>0</v>
      </c>
      <c r="K191" s="112">
        <f t="shared" si="413"/>
        <v>0</v>
      </c>
      <c r="L191" s="112">
        <f t="shared" si="413"/>
        <v>0</v>
      </c>
      <c r="M191" s="112">
        <f t="shared" si="413"/>
        <v>0</v>
      </c>
      <c r="N191" s="112">
        <f t="shared" si="413"/>
        <v>0</v>
      </c>
      <c r="O191" s="112" t="e">
        <f t="shared" si="413"/>
        <v>#DIV/0!</v>
      </c>
      <c r="P191" s="112">
        <f t="shared" si="413"/>
        <v>0</v>
      </c>
      <c r="Q191" s="118">
        <f t="shared" si="412"/>
        <v>-1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1.7955801104972375</v>
      </c>
      <c r="H192" s="25">
        <f t="shared" ref="H192:P192" si="414">H10/(H12+H13)</f>
        <v>2.4988431281813974</v>
      </c>
      <c r="I192" s="25">
        <f t="shared" si="414"/>
        <v>0.25</v>
      </c>
      <c r="J192" s="25">
        <f t="shared" si="414"/>
        <v>0</v>
      </c>
      <c r="K192" s="25">
        <f t="shared" si="414"/>
        <v>0</v>
      </c>
      <c r="L192" s="25">
        <f t="shared" si="414"/>
        <v>0</v>
      </c>
      <c r="M192" s="25">
        <f t="shared" si="414"/>
        <v>0</v>
      </c>
      <c r="N192" s="25">
        <f t="shared" si="414"/>
        <v>0</v>
      </c>
      <c r="O192" s="25" t="e">
        <f t="shared" si="414"/>
        <v>#DIV/0!</v>
      </c>
      <c r="P192" s="25">
        <f t="shared" si="414"/>
        <v>0</v>
      </c>
      <c r="Q192" s="118">
        <f t="shared" si="412"/>
        <v>-1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376</v>
      </c>
      <c r="D195" s="175"/>
      <c r="E195" s="175"/>
      <c r="F195" s="175"/>
      <c r="G195" s="175"/>
      <c r="H195" s="175"/>
      <c r="I195" s="175"/>
      <c r="J195" s="175"/>
      <c r="K195" s="20"/>
      <c r="L195" s="197" t="s">
        <v>336</v>
      </c>
      <c r="M195" s="198"/>
      <c r="N195" s="199"/>
      <c r="O195" s="23" t="s">
        <v>339</v>
      </c>
      <c r="P195" s="20"/>
      <c r="Q195" s="197" t="s">
        <v>337</v>
      </c>
      <c r="R195" s="198"/>
      <c r="S195" s="199"/>
      <c r="T195" s="23" t="s">
        <v>339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338</v>
      </c>
      <c r="D196" s="166" t="s">
        <v>0</v>
      </c>
      <c r="E196" s="166" t="s">
        <v>377</v>
      </c>
      <c r="F196" s="166" t="s">
        <v>378</v>
      </c>
      <c r="G196" s="166" t="s">
        <v>379</v>
      </c>
      <c r="H196" s="166" t="s">
        <v>380</v>
      </c>
      <c r="I196" s="166" t="s">
        <v>381</v>
      </c>
      <c r="J196" s="166" t="s">
        <v>382</v>
      </c>
      <c r="K196" s="20"/>
      <c r="L196" s="166" t="s">
        <v>338</v>
      </c>
      <c r="M196" s="166"/>
      <c r="N196" s="166" t="s">
        <v>0</v>
      </c>
      <c r="O196" s="166" t="s">
        <v>371</v>
      </c>
      <c r="P196" s="20"/>
      <c r="Q196" s="166" t="s">
        <v>338</v>
      </c>
      <c r="R196" s="166"/>
      <c r="S196" s="166" t="s">
        <v>0</v>
      </c>
      <c r="T196" s="166" t="s">
        <v>371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340</v>
      </c>
      <c r="D197" s="21">
        <v>130</v>
      </c>
      <c r="E197" s="176" t="s">
        <v>383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340</v>
      </c>
      <c r="M197" s="167"/>
      <c r="N197" s="21">
        <v>130</v>
      </c>
      <c r="O197" s="173">
        <f>N197</f>
        <v>130</v>
      </c>
      <c r="P197" s="20"/>
      <c r="Q197" s="167" t="s">
        <v>340</v>
      </c>
      <c r="R197" s="167"/>
      <c r="S197" s="21">
        <v>130</v>
      </c>
      <c r="T197" s="173">
        <f>S197</f>
        <v>130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341</v>
      </c>
      <c r="D198" s="21">
        <v>1</v>
      </c>
      <c r="E198" s="176" t="s">
        <v>384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2</v>
      </c>
      <c r="K198" s="20"/>
      <c r="L198" s="167" t="s">
        <v>341</v>
      </c>
      <c r="M198" s="167"/>
      <c r="N198" s="21">
        <v>1</v>
      </c>
      <c r="O198" s="173">
        <f>N198</f>
        <v>1</v>
      </c>
      <c r="P198" s="20"/>
      <c r="Q198" s="167" t="s">
        <v>341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343</v>
      </c>
      <c r="D199" s="168">
        <f>D197*D198</f>
        <v>130</v>
      </c>
      <c r="E199" s="176" t="s">
        <v>396</v>
      </c>
      <c r="F199" s="22">
        <v>0</v>
      </c>
      <c r="G199" s="22">
        <v>1</v>
      </c>
      <c r="H199" s="167">
        <f>F199/G199</f>
        <v>0</v>
      </c>
      <c r="I199" s="167">
        <f>H199*J198</f>
        <v>0</v>
      </c>
      <c r="J199" s="167">
        <f>I199+J198</f>
        <v>2</v>
      </c>
      <c r="K199" s="20"/>
      <c r="L199" s="167" t="s">
        <v>342</v>
      </c>
      <c r="M199" s="167"/>
      <c r="N199" s="168">
        <f>N197*N198</f>
        <v>130</v>
      </c>
      <c r="O199" s="173">
        <f>N199</f>
        <v>130</v>
      </c>
      <c r="P199" s="20"/>
      <c r="Q199" s="167" t="s">
        <v>343</v>
      </c>
      <c r="R199" s="167"/>
      <c r="S199" s="168">
        <f>S197*S198</f>
        <v>130</v>
      </c>
      <c r="T199" s="173">
        <f>S199</f>
        <v>130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385</v>
      </c>
      <c r="F200" s="22">
        <v>10</v>
      </c>
      <c r="G200" s="22">
        <v>1</v>
      </c>
      <c r="H200" s="167">
        <f>F200/G200</f>
        <v>10</v>
      </c>
      <c r="I200" s="167">
        <f>H200*J199</f>
        <v>20</v>
      </c>
      <c r="J200" s="167">
        <f>I200</f>
        <v>20</v>
      </c>
      <c r="K200" s="20"/>
      <c r="L200" s="167" t="s">
        <v>344</v>
      </c>
      <c r="M200" s="167"/>
      <c r="N200" s="21">
        <v>3380</v>
      </c>
      <c r="O200" s="21">
        <v>4000</v>
      </c>
      <c r="P200" s="20"/>
      <c r="Q200" s="167" t="s">
        <v>344</v>
      </c>
      <c r="R200" s="167"/>
      <c r="S200" s="21">
        <v>3380</v>
      </c>
      <c r="T200" s="21">
        <v>3400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344</v>
      </c>
      <c r="D201" s="21">
        <v>3380</v>
      </c>
      <c r="E201" s="176"/>
      <c r="F201" s="167"/>
      <c r="G201" s="167"/>
      <c r="H201" s="169" t="s">
        <v>386</v>
      </c>
      <c r="I201" s="167"/>
      <c r="J201" s="167">
        <f>J200</f>
        <v>20</v>
      </c>
      <c r="K201" s="20"/>
      <c r="L201" s="167" t="s">
        <v>345</v>
      </c>
      <c r="M201" s="167"/>
      <c r="N201" s="168">
        <f>N200*N198</f>
        <v>3380</v>
      </c>
      <c r="O201" s="168">
        <f>O200*O198</f>
        <v>4000</v>
      </c>
      <c r="P201" s="20"/>
      <c r="Q201" s="167" t="s">
        <v>341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341</v>
      </c>
      <c r="D202" s="21">
        <v>1</v>
      </c>
      <c r="E202" s="176" t="s">
        <v>385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343</v>
      </c>
      <c r="R202" s="167"/>
      <c r="S202" s="168">
        <f>S201*S200</f>
        <v>3380</v>
      </c>
      <c r="T202" s="168">
        <f>T201*T200</f>
        <v>3400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343</v>
      </c>
      <c r="D203" s="168">
        <f>D202*D201</f>
        <v>3380</v>
      </c>
      <c r="E203" s="167"/>
      <c r="F203" s="167"/>
      <c r="G203" s="167"/>
      <c r="H203" s="169" t="s">
        <v>386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385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346</v>
      </c>
      <c r="M204" s="169"/>
      <c r="N204" s="170">
        <f>N201/N199</f>
        <v>26</v>
      </c>
      <c r="O204" s="170">
        <f>O201/O199</f>
        <v>30.76923076923077</v>
      </c>
      <c r="P204" s="20"/>
      <c r="Q204" s="169" t="s">
        <v>346</v>
      </c>
      <c r="R204" s="169"/>
      <c r="S204" s="170">
        <f>S202/S199</f>
        <v>26</v>
      </c>
      <c r="T204" s="170">
        <f>T202/T199</f>
        <v>26.153846153846153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346</v>
      </c>
      <c r="D205" s="170">
        <f>D203/D199</f>
        <v>26</v>
      </c>
      <c r="E205" s="176"/>
      <c r="F205" s="167"/>
      <c r="G205" s="167"/>
      <c r="H205" s="169" t="s">
        <v>386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90" t="s">
        <v>27</v>
      </c>
      <c r="E208" s="191"/>
      <c r="F208" s="191"/>
      <c r="G208" s="192"/>
      <c r="H208" s="20"/>
      <c r="I208" s="190" t="s">
        <v>391</v>
      </c>
      <c r="J208" s="191"/>
      <c r="K208" s="192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130</v>
      </c>
      <c r="H209" s="20"/>
      <c r="I209" s="20" t="s">
        <v>28</v>
      </c>
      <c r="J209" s="127"/>
      <c r="K209" s="21">
        <f>G209</f>
        <v>130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3380</v>
      </c>
      <c r="H210" s="20"/>
      <c r="I210" s="20" t="s">
        <v>29</v>
      </c>
      <c r="J210" s="20"/>
      <c r="K210" s="21">
        <f>G210</f>
        <v>3380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10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0.38515168542124156</v>
      </c>
      <c r="H212" s="20"/>
      <c r="I212" s="23" t="s">
        <v>392</v>
      </c>
      <c r="J212" s="23"/>
      <c r="K212" s="189">
        <f>(K210-K209)/K209</f>
        <v>25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120</v>
      </c>
      <c r="H213" s="20"/>
      <c r="I213" s="23" t="s">
        <v>393</v>
      </c>
      <c r="J213" s="23"/>
      <c r="K213" s="23">
        <f>K210/K209</f>
        <v>26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10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0.38515168542124156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2" t="s">
        <v>27</v>
      </c>
      <c r="K5" s="202"/>
      <c r="M5" s="202" t="s">
        <v>65</v>
      </c>
      <c r="N5" s="202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2" t="s">
        <v>36</v>
      </c>
      <c r="K14" s="202"/>
      <c r="L14" s="202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2" t="s">
        <v>27</v>
      </c>
      <c r="S5" s="202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2" t="s">
        <v>36</v>
      </c>
      <c r="S14" s="202"/>
      <c r="T14" s="202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2" t="s">
        <v>27</v>
      </c>
      <c r="C2" s="202"/>
      <c r="E2" s="202" t="s">
        <v>65</v>
      </c>
      <c r="F2" s="202"/>
      <c r="H2" s="206" t="s">
        <v>36</v>
      </c>
      <c r="I2" s="207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3" t="s">
        <v>68</v>
      </c>
      <c r="E10" s="204"/>
      <c r="F10" s="204"/>
      <c r="G10" s="204"/>
      <c r="H10" s="205"/>
      <c r="I10" s="203" t="s">
        <v>72</v>
      </c>
      <c r="J10" s="204"/>
      <c r="K10" s="204"/>
      <c r="L10" s="205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2014-06-06T18:44:48Z</dcterms:modified>
</cp:coreProperties>
</file>
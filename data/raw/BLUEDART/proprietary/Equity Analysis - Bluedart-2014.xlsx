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12" i="18" l="1"/>
  <c r="Q9" i="18"/>
  <c r="Q7" i="18"/>
  <c r="Q6" i="18"/>
  <c r="P41" i="18" l="1"/>
  <c r="O41" i="18"/>
  <c r="N41" i="18"/>
  <c r="M41" i="18"/>
  <c r="L41" i="18"/>
  <c r="K41" i="18"/>
  <c r="J41" i="18"/>
  <c r="I41" i="18"/>
  <c r="H41" i="18"/>
  <c r="G41" i="18"/>
  <c r="P39" i="18"/>
  <c r="O39" i="18"/>
  <c r="N39" i="18"/>
  <c r="M39" i="18"/>
  <c r="L39" i="18"/>
  <c r="K39" i="18"/>
  <c r="J39" i="18"/>
  <c r="I39" i="18"/>
  <c r="H39" i="18"/>
  <c r="G39" i="18"/>
  <c r="P37" i="18"/>
  <c r="O37" i="18"/>
  <c r="N37" i="18"/>
  <c r="M37" i="18"/>
  <c r="L37" i="18"/>
  <c r="K37" i="18"/>
  <c r="J37" i="18"/>
  <c r="I37" i="18"/>
  <c r="H37" i="18"/>
  <c r="G37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H12" i="18"/>
  <c r="G12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F179" i="18" l="1"/>
  <c r="E179" i="18"/>
  <c r="D179" i="18"/>
  <c r="C179" i="18"/>
  <c r="Q190" i="18" l="1"/>
  <c r="Q196" i="18"/>
  <c r="Q195" i="18"/>
  <c r="Q194" i="18"/>
  <c r="Q178" i="18"/>
  <c r="Q50" i="18"/>
  <c r="Q171" i="18" s="1"/>
  <c r="Q51" i="18"/>
  <c r="Q52" i="18"/>
  <c r="Q91" i="18" s="1"/>
  <c r="Q54" i="18"/>
  <c r="Q191" i="18" s="1"/>
  <c r="Q55" i="18"/>
  <c r="Q56" i="18"/>
  <c r="Q57" i="18"/>
  <c r="Q173" i="18" s="1"/>
  <c r="Q58" i="18"/>
  <c r="Q60" i="18"/>
  <c r="Q61" i="18"/>
  <c r="Q62" i="18"/>
  <c r="Q176" i="18" s="1"/>
  <c r="Q64" i="18"/>
  <c r="Q65" i="18"/>
  <c r="Q66" i="18" s="1"/>
  <c r="Q174" i="18" s="1"/>
  <c r="Q67" i="18"/>
  <c r="Q68" i="18"/>
  <c r="Q175" i="18" s="1"/>
  <c r="Q70" i="18"/>
  <c r="Q72" i="18"/>
  <c r="Q74" i="18"/>
  <c r="Q75" i="18"/>
  <c r="Q76" i="18"/>
  <c r="Q77" i="18"/>
  <c r="Q78" i="18"/>
  <c r="Q80" i="18"/>
  <c r="Q134" i="18" s="1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97" i="18"/>
  <c r="Q103" i="18" s="1"/>
  <c r="Q100" i="18"/>
  <c r="Q102" i="18"/>
  <c r="Q106" i="18"/>
  <c r="Q107" i="18"/>
  <c r="Q108" i="18"/>
  <c r="Q109" i="18"/>
  <c r="Q111" i="18"/>
  <c r="Q112" i="18" s="1"/>
  <c r="Q113" i="18" s="1"/>
  <c r="Q114" i="18" s="1"/>
  <c r="Q116" i="18"/>
  <c r="Q117" i="18"/>
  <c r="Q119" i="18"/>
  <c r="Q120" i="18"/>
  <c r="Q121" i="18"/>
  <c r="Q124" i="18"/>
  <c r="Q125" i="18"/>
  <c r="Q126" i="18"/>
  <c r="Q127" i="18"/>
  <c r="Q129" i="18"/>
  <c r="Q130" i="18"/>
  <c r="Q132" i="18"/>
  <c r="Q133" i="18"/>
  <c r="Q136" i="18"/>
  <c r="Q137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72" i="18" l="1"/>
  <c r="Q179" i="18" s="1"/>
  <c r="T191" i="18"/>
  <c r="T192" i="18" s="1"/>
  <c r="Q177" i="18"/>
  <c r="O91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P52" i="18"/>
  <c r="R52" i="18" s="1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P91" i="18" l="1"/>
  <c r="R91" i="18" s="1"/>
  <c r="S44" i="18"/>
  <c r="S42" i="18"/>
  <c r="G214" i="18"/>
  <c r="G213" i="18"/>
  <c r="G216" i="18" l="1"/>
  <c r="K187" i="18" l="1"/>
  <c r="K186" i="18"/>
  <c r="K185" i="18"/>
  <c r="K184" i="18"/>
  <c r="AE38" i="18" l="1"/>
  <c r="S38" i="18"/>
  <c r="T38" i="18" l="1"/>
  <c r="U38" i="18" l="1"/>
  <c r="V38" i="18" s="1"/>
  <c r="W38" i="18" s="1"/>
  <c r="K191" i="18"/>
  <c r="K190" i="18"/>
  <c r="X38" i="18" l="1"/>
  <c r="U205" i="18"/>
  <c r="U206" i="18" s="1"/>
  <c r="D203" i="18"/>
  <c r="H203" i="18"/>
  <c r="L106" i="18"/>
  <c r="J106" i="18"/>
  <c r="H106" i="18"/>
  <c r="F106" i="18"/>
  <c r="G106" i="18"/>
  <c r="I106" i="18"/>
  <c r="K106" i="18"/>
  <c r="M106" i="18"/>
  <c r="N106" i="18"/>
  <c r="O106" i="18"/>
  <c r="P106" i="18"/>
  <c r="H137" i="18"/>
  <c r="I137" i="18"/>
  <c r="J137" i="18"/>
  <c r="K137" i="18"/>
  <c r="L137" i="18"/>
  <c r="M137" i="18"/>
  <c r="N137" i="18"/>
  <c r="O137" i="18"/>
  <c r="P137" i="18"/>
  <c r="H136" i="18"/>
  <c r="I136" i="18"/>
  <c r="J136" i="18"/>
  <c r="K136" i="18"/>
  <c r="L136" i="18"/>
  <c r="M136" i="18"/>
  <c r="N136" i="18"/>
  <c r="O136" i="18"/>
  <c r="P136" i="18"/>
  <c r="G217" i="18"/>
  <c r="G218" i="18" s="1"/>
  <c r="G219" i="18" s="1"/>
  <c r="K214" i="18"/>
  <c r="K213" i="18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8" i="18"/>
  <c r="D207" i="18"/>
  <c r="H206" i="18"/>
  <c r="I206" i="18" s="1"/>
  <c r="J206" i="18" s="1"/>
  <c r="J207" i="18" s="1"/>
  <c r="H204" i="18"/>
  <c r="H202" i="18"/>
  <c r="H201" i="18"/>
  <c r="I201" i="18" s="1"/>
  <c r="J201" i="18" s="1"/>
  <c r="Y38" i="18" l="1"/>
  <c r="D209" i="18"/>
  <c r="K217" i="18"/>
  <c r="R55" i="18"/>
  <c r="K216" i="18"/>
  <c r="I202" i="18"/>
  <c r="J202" i="18" s="1"/>
  <c r="I208" i="18"/>
  <c r="J208" i="18" s="1"/>
  <c r="J209" i="18" s="1"/>
  <c r="H90" i="18"/>
  <c r="I90" i="18"/>
  <c r="J90" i="18"/>
  <c r="K90" i="18"/>
  <c r="L90" i="18"/>
  <c r="M90" i="18"/>
  <c r="N90" i="18"/>
  <c r="O90" i="18"/>
  <c r="P90" i="18"/>
  <c r="G90" i="18"/>
  <c r="G137" i="18"/>
  <c r="G136" i="18"/>
  <c r="AE14" i="18"/>
  <c r="S14" i="18"/>
  <c r="U202" i="18"/>
  <c r="U201" i="18"/>
  <c r="O202" i="18"/>
  <c r="O205" i="18" s="1"/>
  <c r="O201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R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R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2" i="18"/>
  <c r="H133" i="18" s="1"/>
  <c r="I132" i="18"/>
  <c r="I133" i="18" s="1"/>
  <c r="J132" i="18"/>
  <c r="J133" i="18" s="1"/>
  <c r="K132" i="18"/>
  <c r="K133" i="18" s="1"/>
  <c r="L132" i="18"/>
  <c r="L133" i="18" s="1"/>
  <c r="M132" i="18"/>
  <c r="M133" i="18" s="1"/>
  <c r="N132" i="18"/>
  <c r="N133" i="18" s="1"/>
  <c r="O132" i="18"/>
  <c r="O133" i="18" s="1"/>
  <c r="P132" i="18"/>
  <c r="P133" i="18" s="1"/>
  <c r="G132" i="18"/>
  <c r="G133" i="18" s="1"/>
  <c r="T14" i="18" l="1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3" i="18"/>
  <c r="J203" i="18" s="1"/>
  <c r="I204" i="18" s="1"/>
  <c r="J204" i="18" s="1"/>
  <c r="J205" i="18" s="1"/>
  <c r="R136" i="18"/>
  <c r="R137" i="18"/>
  <c r="R90" i="18"/>
  <c r="R97" i="18"/>
  <c r="R94" i="18"/>
  <c r="R133" i="18"/>
  <c r="R132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0" i="18"/>
  <c r="I130" i="18"/>
  <c r="J130" i="18"/>
  <c r="K130" i="18"/>
  <c r="L130" i="18"/>
  <c r="M130" i="18"/>
  <c r="N130" i="18"/>
  <c r="O130" i="18"/>
  <c r="P130" i="18"/>
  <c r="G130" i="18"/>
  <c r="H129" i="18"/>
  <c r="I129" i="18"/>
  <c r="J129" i="18"/>
  <c r="K129" i="18"/>
  <c r="L129" i="18"/>
  <c r="M129" i="18"/>
  <c r="N129" i="18"/>
  <c r="O129" i="18"/>
  <c r="P129" i="18"/>
  <c r="G129" i="18"/>
  <c r="H126" i="18"/>
  <c r="I126" i="18"/>
  <c r="J126" i="18"/>
  <c r="K126" i="18"/>
  <c r="L126" i="18"/>
  <c r="M126" i="18"/>
  <c r="N126" i="18"/>
  <c r="O126" i="18"/>
  <c r="P126" i="18"/>
  <c r="G126" i="18"/>
  <c r="H127" i="18"/>
  <c r="I127" i="18"/>
  <c r="J127" i="18"/>
  <c r="K127" i="18"/>
  <c r="L127" i="18"/>
  <c r="M127" i="18"/>
  <c r="N127" i="18"/>
  <c r="O127" i="18"/>
  <c r="P127" i="18"/>
  <c r="G127" i="18"/>
  <c r="H125" i="18"/>
  <c r="I125" i="18"/>
  <c r="J125" i="18"/>
  <c r="K125" i="18"/>
  <c r="L125" i="18"/>
  <c r="M125" i="18"/>
  <c r="N125" i="18"/>
  <c r="O125" i="18"/>
  <c r="P125" i="18"/>
  <c r="G125" i="18"/>
  <c r="H124" i="18"/>
  <c r="I124" i="18"/>
  <c r="J124" i="18"/>
  <c r="K124" i="18"/>
  <c r="L124" i="18"/>
  <c r="M124" i="18"/>
  <c r="N124" i="18"/>
  <c r="O124" i="18"/>
  <c r="P124" i="18"/>
  <c r="G124" i="18"/>
  <c r="S170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H119" i="18"/>
  <c r="I119" i="18"/>
  <c r="J119" i="18"/>
  <c r="K119" i="18"/>
  <c r="L119" i="18"/>
  <c r="M119" i="18"/>
  <c r="N119" i="18"/>
  <c r="O119" i="18"/>
  <c r="P119" i="18"/>
  <c r="G119" i="18"/>
  <c r="B121" i="18"/>
  <c r="B120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6" i="18"/>
  <c r="N205" i="18"/>
  <c r="T203" i="18"/>
  <c r="U203" i="18" s="1"/>
  <c r="U208" i="18" s="1"/>
  <c r="N203" i="18"/>
  <c r="O203" i="18" s="1"/>
  <c r="O208" i="18" s="1"/>
  <c r="F117" i="18"/>
  <c r="H117" i="18"/>
  <c r="I117" i="18"/>
  <c r="J117" i="18"/>
  <c r="K117" i="18"/>
  <c r="L117" i="18"/>
  <c r="M117" i="18"/>
  <c r="N117" i="18"/>
  <c r="O117" i="18"/>
  <c r="P117" i="18"/>
  <c r="G117" i="18"/>
  <c r="F116" i="18"/>
  <c r="H116" i="18"/>
  <c r="I116" i="18"/>
  <c r="J116" i="18"/>
  <c r="K116" i="18"/>
  <c r="L116" i="18"/>
  <c r="M116" i="18"/>
  <c r="N116" i="18"/>
  <c r="O116" i="18"/>
  <c r="P116" i="18"/>
  <c r="G116" i="18"/>
  <c r="AD14" i="18" l="1"/>
  <c r="AF14" i="18"/>
  <c r="U32" i="18"/>
  <c r="V32" i="18" s="1"/>
  <c r="W32" i="18" s="1"/>
  <c r="X32" i="18" s="1"/>
  <c r="Y32" i="18" s="1"/>
  <c r="Z32" i="18" s="1"/>
  <c r="AA32" i="18" s="1"/>
  <c r="AB32" i="18" s="1"/>
  <c r="AC32" i="18" s="1"/>
  <c r="AD32" i="18" s="1"/>
  <c r="T32" i="18"/>
  <c r="AA38" i="18"/>
  <c r="R127" i="18"/>
  <c r="R89" i="18"/>
  <c r="R124" i="18"/>
  <c r="R130" i="18"/>
  <c r="R129" i="18"/>
  <c r="R125" i="18"/>
  <c r="R126" i="18"/>
  <c r="R119" i="18"/>
  <c r="R120" i="18"/>
  <c r="R121" i="18"/>
  <c r="R109" i="18"/>
  <c r="N208" i="18"/>
  <c r="T208" i="18"/>
  <c r="R117" i="18"/>
  <c r="R116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U31" i="18"/>
  <c r="V31" i="18" s="1"/>
  <c r="W31" i="18" s="1"/>
  <c r="X31" i="18" s="1"/>
  <c r="Y31" i="18" s="1"/>
  <c r="Z31" i="18" s="1"/>
  <c r="AA31" i="18" s="1"/>
  <c r="AB31" i="18" s="1"/>
  <c r="AC31" i="18" s="1"/>
  <c r="T31" i="18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R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AC38" i="18" l="1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8" i="18"/>
  <c r="D178" i="18"/>
  <c r="E178" i="18"/>
  <c r="F178" i="18"/>
  <c r="G178" i="18"/>
  <c r="H178" i="18"/>
  <c r="I178" i="18"/>
  <c r="J178" i="18"/>
  <c r="K178" i="18"/>
  <c r="L178" i="18"/>
  <c r="M178" i="18"/>
  <c r="N178" i="18"/>
  <c r="O178" i="18"/>
  <c r="P178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H70" i="18"/>
  <c r="H111" i="18" s="1"/>
  <c r="H112" i="18" s="1"/>
  <c r="I70" i="18"/>
  <c r="I111" i="18" s="1"/>
  <c r="I112" i="18" s="1"/>
  <c r="J70" i="18"/>
  <c r="J111" i="18" s="1"/>
  <c r="J112" i="18" s="1"/>
  <c r="K70" i="18"/>
  <c r="K111" i="18" s="1"/>
  <c r="K112" i="18" s="1"/>
  <c r="L70" i="18"/>
  <c r="L111" i="18" s="1"/>
  <c r="L112" i="18" s="1"/>
  <c r="M70" i="18"/>
  <c r="M111" i="18" s="1"/>
  <c r="M112" i="18" s="1"/>
  <c r="N70" i="18"/>
  <c r="N111" i="18" s="1"/>
  <c r="N112" i="18" s="1"/>
  <c r="O70" i="18"/>
  <c r="O111" i="18" s="1"/>
  <c r="O112" i="18" s="1"/>
  <c r="P70" i="18"/>
  <c r="P111" i="18" s="1"/>
  <c r="C70" i="18"/>
  <c r="T70" i="18" l="1"/>
  <c r="T111" i="18" s="1"/>
  <c r="T112" i="18" s="1"/>
  <c r="X29" i="18"/>
  <c r="R178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4" i="18" s="1"/>
  <c r="H80" i="18"/>
  <c r="H134" i="18" s="1"/>
  <c r="I80" i="18"/>
  <c r="I134" i="18" s="1"/>
  <c r="J80" i="18"/>
  <c r="J134" i="18" s="1"/>
  <c r="K80" i="18"/>
  <c r="K134" i="18" s="1"/>
  <c r="L80" i="18"/>
  <c r="L134" i="18" s="1"/>
  <c r="M80" i="18"/>
  <c r="M134" i="18" s="1"/>
  <c r="N80" i="18"/>
  <c r="N134" i="18" s="1"/>
  <c r="O80" i="18"/>
  <c r="O134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4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W44" i="18" l="1"/>
  <c r="V70" i="18"/>
  <c r="R134" i="18"/>
  <c r="Z29" i="18"/>
  <c r="R82" i="18"/>
  <c r="R80" i="18"/>
  <c r="R81" i="18"/>
  <c r="R87" i="18"/>
  <c r="R88" i="18"/>
  <c r="P86" i="18"/>
  <c r="R86" i="18" s="1"/>
  <c r="C194" i="18"/>
  <c r="D194" i="18"/>
  <c r="E194" i="18"/>
  <c r="F194" i="18"/>
  <c r="C195" i="18"/>
  <c r="D195" i="18"/>
  <c r="E195" i="18"/>
  <c r="F195" i="18"/>
  <c r="C196" i="18"/>
  <c r="D196" i="18"/>
  <c r="E196" i="18"/>
  <c r="F196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194" i="18"/>
  <c r="I194" i="18"/>
  <c r="J194" i="18"/>
  <c r="K194" i="18"/>
  <c r="L194" i="18"/>
  <c r="M194" i="18"/>
  <c r="N194" i="18"/>
  <c r="O194" i="18"/>
  <c r="P194" i="18"/>
  <c r="G194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1" i="18" s="1"/>
  <c r="I50" i="18"/>
  <c r="I171" i="18" s="1"/>
  <c r="J50" i="18"/>
  <c r="J171" i="18" s="1"/>
  <c r="K50" i="18"/>
  <c r="K171" i="18" s="1"/>
  <c r="L50" i="18"/>
  <c r="L171" i="18" s="1"/>
  <c r="M50" i="18"/>
  <c r="M171" i="18" s="1"/>
  <c r="N50" i="18"/>
  <c r="N171" i="18" s="1"/>
  <c r="O50" i="18"/>
  <c r="O171" i="18" s="1"/>
  <c r="P50" i="18"/>
  <c r="P171" i="18" s="1"/>
  <c r="C50" i="18"/>
  <c r="C171" i="18" s="1"/>
  <c r="D50" i="18"/>
  <c r="D171" i="18" s="1"/>
  <c r="E50" i="18"/>
  <c r="E171" i="18" s="1"/>
  <c r="F50" i="18"/>
  <c r="F171" i="18" s="1"/>
  <c r="G50" i="18"/>
  <c r="G171" i="18" s="1"/>
  <c r="T94" i="18"/>
  <c r="T100" i="18" s="1"/>
  <c r="G177" i="18" l="1"/>
  <c r="X44" i="18"/>
  <c r="W70" i="18"/>
  <c r="R171" i="18"/>
  <c r="AA29" i="18"/>
  <c r="U36" i="18"/>
  <c r="U94" i="18" s="1"/>
  <c r="U100" i="18" s="1"/>
  <c r="R196" i="18"/>
  <c r="R51" i="18"/>
  <c r="R50" i="18"/>
  <c r="R195" i="18"/>
  <c r="R194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0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5" i="18" s="1"/>
  <c r="O67" i="18"/>
  <c r="O65" i="18"/>
  <c r="O64" i="18"/>
  <c r="O62" i="18"/>
  <c r="O176" i="18" s="1"/>
  <c r="O61" i="18"/>
  <c r="O60" i="18"/>
  <c r="O58" i="18"/>
  <c r="O57" i="18"/>
  <c r="O173" i="18" s="1"/>
  <c r="O56" i="18"/>
  <c r="O54" i="18"/>
  <c r="AA70" i="18" l="1"/>
  <c r="AB44" i="18"/>
  <c r="U72" i="18"/>
  <c r="T126" i="18"/>
  <c r="T136" i="18"/>
  <c r="T127" i="18"/>
  <c r="T137" i="18"/>
  <c r="W23" i="18"/>
  <c r="V97" i="18"/>
  <c r="V103" i="18" s="1"/>
  <c r="T120" i="18"/>
  <c r="T121" i="18"/>
  <c r="T119" i="18"/>
  <c r="T109" i="18"/>
  <c r="P114" i="18"/>
  <c r="R114" i="18" s="1"/>
  <c r="R113" i="18"/>
  <c r="T93" i="18"/>
  <c r="T99" i="18" s="1"/>
  <c r="T117" i="18"/>
  <c r="T116" i="18"/>
  <c r="U18" i="18"/>
  <c r="O172" i="18"/>
  <c r="O179" i="18" s="1"/>
  <c r="O177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4" i="18" s="1"/>
  <c r="D62" i="18"/>
  <c r="E62" i="18"/>
  <c r="F62" i="18"/>
  <c r="G62" i="18"/>
  <c r="G176" i="18" s="1"/>
  <c r="H62" i="18"/>
  <c r="H176" i="18" s="1"/>
  <c r="I62" i="18"/>
  <c r="I176" i="18" s="1"/>
  <c r="J62" i="18"/>
  <c r="J176" i="18" s="1"/>
  <c r="K62" i="18"/>
  <c r="K176" i="18" s="1"/>
  <c r="L62" i="18"/>
  <c r="L176" i="18" s="1"/>
  <c r="M62" i="18"/>
  <c r="M176" i="18" s="1"/>
  <c r="N62" i="18"/>
  <c r="N176" i="18" s="1"/>
  <c r="P62" i="18"/>
  <c r="C62" i="18"/>
  <c r="C61" i="18"/>
  <c r="AC44" i="18" l="1"/>
  <c r="AB70" i="18"/>
  <c r="U127" i="18"/>
  <c r="U137" i="18"/>
  <c r="U126" i="18"/>
  <c r="U136" i="18"/>
  <c r="X23" i="18"/>
  <c r="W97" i="18"/>
  <c r="W103" i="18" s="1"/>
  <c r="U119" i="18"/>
  <c r="U121" i="18"/>
  <c r="U120" i="18"/>
  <c r="U109" i="18"/>
  <c r="U93" i="18"/>
  <c r="U99" i="18" s="1"/>
  <c r="U117" i="18"/>
  <c r="U116" i="18"/>
  <c r="V18" i="18"/>
  <c r="W20" i="18"/>
  <c r="V72" i="18"/>
  <c r="V27" i="18"/>
  <c r="V25" i="18"/>
  <c r="U86" i="18"/>
  <c r="Z36" i="18"/>
  <c r="Z94" i="18" s="1"/>
  <c r="Z100" i="18" s="1"/>
  <c r="X21" i="18"/>
  <c r="P176" i="18"/>
  <c r="R176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6" i="18"/>
  <c r="V136" i="18"/>
  <c r="V127" i="18"/>
  <c r="V137" i="18"/>
  <c r="V90" i="18"/>
  <c r="Y23" i="18"/>
  <c r="X97" i="18"/>
  <c r="X103" i="18" s="1"/>
  <c r="V121" i="18"/>
  <c r="V120" i="18"/>
  <c r="V119" i="18"/>
  <c r="V109" i="18"/>
  <c r="V93" i="18"/>
  <c r="V99" i="18" s="1"/>
  <c r="V117" i="18"/>
  <c r="V116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8" i="18" l="1"/>
  <c r="Q183" i="18" s="1"/>
  <c r="AF70" i="18"/>
  <c r="U158" i="18" s="1"/>
  <c r="AD70" i="18"/>
  <c r="W127" i="18"/>
  <c r="W137" i="18"/>
  <c r="W126" i="18"/>
  <c r="W136" i="18"/>
  <c r="Z23" i="18"/>
  <c r="Y97" i="18"/>
  <c r="Y103" i="18" s="1"/>
  <c r="W109" i="18"/>
  <c r="W121" i="18"/>
  <c r="W120" i="18"/>
  <c r="W119" i="18"/>
  <c r="W93" i="18"/>
  <c r="W99" i="18" s="1"/>
  <c r="W117" i="18"/>
  <c r="W116" i="18"/>
  <c r="X18" i="18"/>
  <c r="Y20" i="18"/>
  <c r="X72" i="18"/>
  <c r="X27" i="18"/>
  <c r="X25" i="18"/>
  <c r="W86" i="18"/>
  <c r="AB36" i="18"/>
  <c r="AB94" i="18" s="1"/>
  <c r="AB100" i="18" s="1"/>
  <c r="Z21" i="18"/>
  <c r="T170" i="18"/>
  <c r="T178" i="18" s="1"/>
  <c r="C54" i="18"/>
  <c r="D54" i="18"/>
  <c r="E54" i="18"/>
  <c r="F54" i="18"/>
  <c r="H54" i="18"/>
  <c r="I54" i="18"/>
  <c r="J54" i="18"/>
  <c r="K54" i="18"/>
  <c r="L54" i="18"/>
  <c r="L177" i="18" s="1"/>
  <c r="M54" i="18"/>
  <c r="N54" i="18"/>
  <c r="N177" i="18" s="1"/>
  <c r="P54" i="18"/>
  <c r="P191" i="18" s="1"/>
  <c r="D68" i="18"/>
  <c r="D175" i="18" s="1"/>
  <c r="E68" i="18"/>
  <c r="E175" i="18" s="1"/>
  <c r="F68" i="18"/>
  <c r="F175" i="18" s="1"/>
  <c r="G68" i="18"/>
  <c r="H68" i="18"/>
  <c r="H175" i="18" s="1"/>
  <c r="I68" i="18"/>
  <c r="I175" i="18" s="1"/>
  <c r="J68" i="18"/>
  <c r="J175" i="18" s="1"/>
  <c r="K68" i="18"/>
  <c r="K175" i="18" s="1"/>
  <c r="L68" i="18"/>
  <c r="L175" i="18" s="1"/>
  <c r="M68" i="18"/>
  <c r="M175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4" i="18" s="1"/>
  <c r="E64" i="18"/>
  <c r="E66" i="18" s="1"/>
  <c r="E174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3" i="18" s="1"/>
  <c r="E57" i="18"/>
  <c r="E173" i="18" s="1"/>
  <c r="F57" i="18"/>
  <c r="F173" i="18" s="1"/>
  <c r="G57" i="18"/>
  <c r="H57" i="18"/>
  <c r="H173" i="18" s="1"/>
  <c r="I57" i="18"/>
  <c r="I173" i="18" s="1"/>
  <c r="J57" i="18"/>
  <c r="J173" i="18" s="1"/>
  <c r="K57" i="18"/>
  <c r="K173" i="18" s="1"/>
  <c r="L57" i="18"/>
  <c r="L173" i="18" s="1"/>
  <c r="M57" i="18"/>
  <c r="M173" i="18" s="1"/>
  <c r="N57" i="18"/>
  <c r="P57" i="18"/>
  <c r="C68" i="18"/>
  <c r="C175" i="18" s="1"/>
  <c r="C67" i="18"/>
  <c r="C65" i="18"/>
  <c r="C64" i="18"/>
  <c r="C58" i="18"/>
  <c r="C57" i="18"/>
  <c r="C173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4" i="18"/>
  <c r="T132" i="18"/>
  <c r="T133" i="18" s="1"/>
  <c r="T95" i="18"/>
  <c r="T101" i="18" s="1"/>
  <c r="R140" i="18" l="1"/>
  <c r="T106" i="18"/>
  <c r="S158" i="18"/>
  <c r="P183" i="18" s="1"/>
  <c r="X126" i="18"/>
  <c r="X136" i="18"/>
  <c r="X90" i="18"/>
  <c r="X127" i="18"/>
  <c r="X137" i="18"/>
  <c r="AA23" i="18"/>
  <c r="Z97" i="18"/>
  <c r="Z103" i="18" s="1"/>
  <c r="T88" i="18"/>
  <c r="T89" i="18"/>
  <c r="T130" i="18"/>
  <c r="T129" i="18"/>
  <c r="T96" i="18"/>
  <c r="T102" i="18" s="1"/>
  <c r="T125" i="18"/>
  <c r="H177" i="18"/>
  <c r="H172" i="18"/>
  <c r="H179" i="18" s="1"/>
  <c r="X109" i="18"/>
  <c r="X120" i="18"/>
  <c r="X119" i="18"/>
  <c r="X121" i="18"/>
  <c r="T108" i="18"/>
  <c r="T113" i="18"/>
  <c r="T114" i="18" s="1"/>
  <c r="X93" i="18"/>
  <c r="X99" i="18" s="1"/>
  <c r="X117" i="18"/>
  <c r="X116" i="18"/>
  <c r="T107" i="18"/>
  <c r="Y18" i="18"/>
  <c r="D172" i="18"/>
  <c r="D176" i="18" s="1"/>
  <c r="D177" i="18"/>
  <c r="E172" i="18"/>
  <c r="E176" i="18" s="1"/>
  <c r="E177" i="18"/>
  <c r="C172" i="18"/>
  <c r="C176" i="18" s="1"/>
  <c r="C177" i="18"/>
  <c r="P172" i="18"/>
  <c r="P179" i="18" s="1"/>
  <c r="P177" i="18"/>
  <c r="R177" i="18" s="1"/>
  <c r="K172" i="18"/>
  <c r="K179" i="18" s="1"/>
  <c r="K177" i="18"/>
  <c r="F172" i="18"/>
  <c r="F176" i="18" s="1"/>
  <c r="F177" i="18"/>
  <c r="J172" i="18"/>
  <c r="J179" i="18" s="1"/>
  <c r="J177" i="18"/>
  <c r="M172" i="18"/>
  <c r="M179" i="18" s="1"/>
  <c r="M177" i="18"/>
  <c r="I172" i="18"/>
  <c r="I179" i="18" s="1"/>
  <c r="I177" i="18"/>
  <c r="Z20" i="18"/>
  <c r="Y72" i="18"/>
  <c r="H66" i="18"/>
  <c r="H174" i="18" s="1"/>
  <c r="Y27" i="18"/>
  <c r="U12" i="18"/>
  <c r="U15" i="18"/>
  <c r="U124" i="18" s="1"/>
  <c r="U13" i="18"/>
  <c r="U10" i="18"/>
  <c r="U16" i="18"/>
  <c r="U132" i="18" s="1"/>
  <c r="U133" i="18" s="1"/>
  <c r="U6" i="18"/>
  <c r="U7" i="18"/>
  <c r="Y25" i="18"/>
  <c r="Y90" i="18" s="1"/>
  <c r="X86" i="18"/>
  <c r="U40" i="18"/>
  <c r="T87" i="18"/>
  <c r="AC36" i="18"/>
  <c r="F66" i="18"/>
  <c r="F174" i="18" s="1"/>
  <c r="L66" i="18"/>
  <c r="L174" i="18" s="1"/>
  <c r="K66" i="18"/>
  <c r="K174" i="18" s="1"/>
  <c r="J66" i="18"/>
  <c r="J174" i="18" s="1"/>
  <c r="AA21" i="18"/>
  <c r="C66" i="18"/>
  <c r="C174" i="18" s="1"/>
  <c r="U170" i="18"/>
  <c r="U178" i="18" s="1"/>
  <c r="I66" i="18"/>
  <c r="I174" i="18" s="1"/>
  <c r="R56" i="18"/>
  <c r="G173" i="18"/>
  <c r="R57" i="18"/>
  <c r="R58" i="18"/>
  <c r="R65" i="18"/>
  <c r="R67" i="18"/>
  <c r="G172" i="18"/>
  <c r="G179" i="18" s="1"/>
  <c r="R54" i="18"/>
  <c r="G175" i="18"/>
  <c r="R68" i="18"/>
  <c r="G66" i="18"/>
  <c r="R64" i="18"/>
  <c r="N173" i="18"/>
  <c r="N172" i="18"/>
  <c r="N179" i="18" s="1"/>
  <c r="N175" i="18"/>
  <c r="P173" i="18"/>
  <c r="L172" i="18"/>
  <c r="L179" i="18" s="1"/>
  <c r="N66" i="18"/>
  <c r="M66" i="18"/>
  <c r="M174" i="18" s="1"/>
  <c r="P175" i="18"/>
  <c r="P66" i="18"/>
  <c r="T65" i="18"/>
  <c r="C6" i="12"/>
  <c r="C26" i="15"/>
  <c r="C58" i="15"/>
  <c r="C57" i="15"/>
  <c r="C54" i="15"/>
  <c r="C53" i="15"/>
  <c r="C50" i="15"/>
  <c r="C49" i="15"/>
  <c r="C45" i="15"/>
  <c r="R179" i="18" l="1"/>
  <c r="T190" i="18"/>
  <c r="T189" i="18" s="1"/>
  <c r="P190" i="18"/>
  <c r="U95" i="18"/>
  <c r="U101" i="18" s="1"/>
  <c r="U52" i="18"/>
  <c r="U91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AE191" i="18" s="1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U106" i="18"/>
  <c r="Y126" i="18"/>
  <c r="Y136" i="18"/>
  <c r="Y127" i="18"/>
  <c r="Y137" i="18"/>
  <c r="AF36" i="18"/>
  <c r="AC94" i="18"/>
  <c r="AB23" i="18"/>
  <c r="AA97" i="18"/>
  <c r="AA103" i="18" s="1"/>
  <c r="U130" i="18"/>
  <c r="U129" i="18"/>
  <c r="U96" i="18"/>
  <c r="U102" i="18" s="1"/>
  <c r="U125" i="18"/>
  <c r="U89" i="18"/>
  <c r="Y119" i="18"/>
  <c r="Y120" i="18"/>
  <c r="Y121" i="18"/>
  <c r="Y109" i="18"/>
  <c r="Y93" i="18"/>
  <c r="Y99" i="18" s="1"/>
  <c r="Y117" i="18"/>
  <c r="Y116" i="18"/>
  <c r="U107" i="18"/>
  <c r="U108" i="18"/>
  <c r="Z18" i="18"/>
  <c r="AA20" i="18"/>
  <c r="Z72" i="18"/>
  <c r="T64" i="18"/>
  <c r="T81" i="18"/>
  <c r="T60" i="18"/>
  <c r="T62" i="18"/>
  <c r="T176" i="18" s="1"/>
  <c r="T68" i="18"/>
  <c r="T175" i="18" s="1"/>
  <c r="T78" i="18"/>
  <c r="T80" i="18"/>
  <c r="T134" i="18" s="1"/>
  <c r="T51" i="18"/>
  <c r="T50" i="18"/>
  <c r="T171" i="18" s="1"/>
  <c r="T61" i="18"/>
  <c r="T57" i="18"/>
  <c r="T58" i="18"/>
  <c r="T67" i="18"/>
  <c r="T56" i="18"/>
  <c r="T82" i="18"/>
  <c r="T54" i="18"/>
  <c r="T177" i="18" s="1"/>
  <c r="Z27" i="18"/>
  <c r="V15" i="18"/>
  <c r="V124" i="18" s="1"/>
  <c r="V13" i="18"/>
  <c r="V12" i="18"/>
  <c r="T66" i="18"/>
  <c r="V16" i="18"/>
  <c r="V132" i="18" s="1"/>
  <c r="V133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0" i="18"/>
  <c r="V178" i="18" s="1"/>
  <c r="R173" i="18"/>
  <c r="R172" i="18"/>
  <c r="R175" i="18"/>
  <c r="G174" i="18"/>
  <c r="R66" i="18"/>
  <c r="N174" i="18"/>
  <c r="P174" i="18"/>
  <c r="C16" i="15"/>
  <c r="C21" i="15"/>
  <c r="C10" i="15"/>
  <c r="V95" i="18" l="1"/>
  <c r="V101" i="18" s="1"/>
  <c r="V52" i="18"/>
  <c r="V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AD94" i="18"/>
  <c r="AC100" i="18"/>
  <c r="AD100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V106" i="18"/>
  <c r="U111" i="18"/>
  <c r="U112" i="18" s="1"/>
  <c r="U113" i="18" s="1"/>
  <c r="U114" i="18" s="1"/>
  <c r="U55" i="18"/>
  <c r="Z126" i="18"/>
  <c r="Z136" i="18"/>
  <c r="Z127" i="18"/>
  <c r="Z137" i="18"/>
  <c r="AC23" i="18"/>
  <c r="AB97" i="18"/>
  <c r="AB103" i="18" s="1"/>
  <c r="V96" i="18"/>
  <c r="V102" i="18" s="1"/>
  <c r="V125" i="18"/>
  <c r="V130" i="18"/>
  <c r="V129" i="18"/>
  <c r="V89" i="18"/>
  <c r="Z121" i="18"/>
  <c r="Z120" i="18"/>
  <c r="Z119" i="18"/>
  <c r="Z109" i="18"/>
  <c r="U64" i="18"/>
  <c r="Z93" i="18"/>
  <c r="Z99" i="18" s="1"/>
  <c r="Z117" i="18"/>
  <c r="Z116" i="18"/>
  <c r="V107" i="18"/>
  <c r="V108" i="18"/>
  <c r="U60" i="18"/>
  <c r="AA18" i="18"/>
  <c r="AB20" i="18"/>
  <c r="AA72" i="18"/>
  <c r="U62" i="18"/>
  <c r="U176" i="18" s="1"/>
  <c r="U68" i="18"/>
  <c r="U175" i="18" s="1"/>
  <c r="U78" i="18"/>
  <c r="U80" i="18"/>
  <c r="U134" i="18" s="1"/>
  <c r="U50" i="18"/>
  <c r="U171" i="18" s="1"/>
  <c r="U51" i="18"/>
  <c r="U57" i="18"/>
  <c r="U56" i="18"/>
  <c r="U67" i="18"/>
  <c r="U82" i="18"/>
  <c r="U61" i="18"/>
  <c r="U58" i="18"/>
  <c r="U54" i="18"/>
  <c r="U177" i="18" s="1"/>
  <c r="U65" i="18"/>
  <c r="U81" i="18"/>
  <c r="AA27" i="18"/>
  <c r="W13" i="18"/>
  <c r="W12" i="18"/>
  <c r="W15" i="18"/>
  <c r="W124" i="18" s="1"/>
  <c r="W10" i="18"/>
  <c r="W16" i="18"/>
  <c r="W132" i="18" s="1"/>
  <c r="W133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4" i="18"/>
  <c r="W170" i="18"/>
  <c r="W178" i="18" s="1"/>
  <c r="T172" i="18"/>
  <c r="T179" i="18" s="1"/>
  <c r="T173" i="18"/>
  <c r="R174" i="18"/>
  <c r="D31" i="8"/>
  <c r="D29" i="8"/>
  <c r="D28" i="8"/>
  <c r="D13" i="8"/>
  <c r="D30" i="8" s="1"/>
  <c r="E14" i="8"/>
  <c r="F14" i="8" s="1"/>
  <c r="G14" i="8" s="1"/>
  <c r="H14" i="8" s="1"/>
  <c r="I14" i="8" s="1"/>
  <c r="W95" i="18" l="1"/>
  <c r="W101" i="18" s="1"/>
  <c r="W52" i="18"/>
  <c r="W91" i="18" s="1"/>
  <c r="U189" i="18"/>
  <c r="V189" i="18" s="1"/>
  <c r="W189" i="18" s="1"/>
  <c r="X189" i="18" s="1"/>
  <c r="Y189" i="18" s="1"/>
  <c r="Z189" i="18" s="1"/>
  <c r="AA189" i="18" s="1"/>
  <c r="AB189" i="18" s="1"/>
  <c r="AC189" i="18" s="1"/>
  <c r="AD189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W106" i="18"/>
  <c r="V111" i="18"/>
  <c r="V112" i="18" s="1"/>
  <c r="V113" i="18" s="1"/>
  <c r="V114" i="18" s="1"/>
  <c r="V55" i="18"/>
  <c r="AA126" i="18"/>
  <c r="AA136" i="18"/>
  <c r="AA127" i="18"/>
  <c r="AA137" i="18"/>
  <c r="AF23" i="18"/>
  <c r="AC97" i="18"/>
  <c r="AD23" i="18"/>
  <c r="W89" i="18"/>
  <c r="W129" i="18"/>
  <c r="W130" i="18"/>
  <c r="W96" i="18"/>
  <c r="W102" i="18" s="1"/>
  <c r="W125" i="18"/>
  <c r="AA121" i="18"/>
  <c r="AA120" i="18"/>
  <c r="AA119" i="18"/>
  <c r="AA109" i="18"/>
  <c r="V64" i="18"/>
  <c r="U66" i="18"/>
  <c r="U174" i="18" s="1"/>
  <c r="AA93" i="18"/>
  <c r="AA99" i="18" s="1"/>
  <c r="AA117" i="18"/>
  <c r="AA116" i="18"/>
  <c r="W108" i="18"/>
  <c r="W107" i="18"/>
  <c r="AB18" i="18"/>
  <c r="AC20" i="18"/>
  <c r="AB72" i="18"/>
  <c r="V82" i="18"/>
  <c r="V81" i="18"/>
  <c r="V60" i="18"/>
  <c r="V68" i="18"/>
  <c r="V175" i="18" s="1"/>
  <c r="V67" i="18"/>
  <c r="V62" i="18"/>
  <c r="V176" i="18" s="1"/>
  <c r="V65" i="18"/>
  <c r="V56" i="18"/>
  <c r="V78" i="18"/>
  <c r="V80" i="18"/>
  <c r="V134" i="18" s="1"/>
  <c r="V51" i="18"/>
  <c r="V50" i="18"/>
  <c r="V171" i="18" s="1"/>
  <c r="V61" i="18"/>
  <c r="V57" i="18"/>
  <c r="V58" i="18"/>
  <c r="V54" i="18"/>
  <c r="V177" i="18" s="1"/>
  <c r="AB27" i="18"/>
  <c r="X12" i="18"/>
  <c r="X15" i="18"/>
  <c r="X124" i="18" s="1"/>
  <c r="X13" i="18"/>
  <c r="X16" i="18"/>
  <c r="X132" i="18" s="1"/>
  <c r="X133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0" i="18"/>
  <c r="X178" i="18" s="1"/>
  <c r="U172" i="18"/>
  <c r="U179" i="18" s="1"/>
  <c r="U173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X95" i="18" l="1"/>
  <c r="X101" i="18" s="1"/>
  <c r="X52" i="18"/>
  <c r="X91" i="18" s="1"/>
  <c r="AE189" i="18"/>
  <c r="AF189" i="18" s="1"/>
  <c r="AG189" i="18" s="1"/>
  <c r="AH189" i="18" s="1"/>
  <c r="AI189" i="18" s="1"/>
  <c r="AJ189" i="18" s="1"/>
  <c r="AK189" i="18" s="1"/>
  <c r="AL189" i="18" s="1"/>
  <c r="AM189" i="18" s="1"/>
  <c r="AN189" i="18" s="1"/>
  <c r="AO189" i="18" s="1"/>
  <c r="AP189" i="18" s="1"/>
  <c r="AQ189" i="18" s="1"/>
  <c r="AR189" i="18" s="1"/>
  <c r="AS189" i="18" s="1"/>
  <c r="AT189" i="18" s="1"/>
  <c r="AD97" i="18"/>
  <c r="AC103" i="18"/>
  <c r="AD103" i="18" s="1"/>
  <c r="X106" i="18"/>
  <c r="W111" i="18"/>
  <c r="W112" i="18" s="1"/>
  <c r="W113" i="18" s="1"/>
  <c r="W114" i="18" s="1"/>
  <c r="W55" i="18"/>
  <c r="AB126" i="18"/>
  <c r="AB136" i="18"/>
  <c r="AB127" i="18"/>
  <c r="AB137" i="18"/>
  <c r="AF20" i="18"/>
  <c r="AB90" i="18"/>
  <c r="X130" i="18"/>
  <c r="X129" i="18"/>
  <c r="X96" i="18"/>
  <c r="X102" i="18" s="1"/>
  <c r="X125" i="18"/>
  <c r="X89" i="18"/>
  <c r="AB120" i="18"/>
  <c r="AB119" i="18"/>
  <c r="AB121" i="18"/>
  <c r="AB109" i="18"/>
  <c r="V66" i="18"/>
  <c r="V174" i="18" s="1"/>
  <c r="AB93" i="18"/>
  <c r="AB99" i="18" s="1"/>
  <c r="AB117" i="18"/>
  <c r="AB116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6" i="18" s="1"/>
  <c r="W78" i="18"/>
  <c r="W80" i="18"/>
  <c r="W134" i="18" s="1"/>
  <c r="W50" i="18"/>
  <c r="W171" i="18" s="1"/>
  <c r="W51" i="18"/>
  <c r="W60" i="18"/>
  <c r="W68" i="18"/>
  <c r="W175" i="18" s="1"/>
  <c r="W54" i="18"/>
  <c r="W177" i="18" s="1"/>
  <c r="AC27" i="18"/>
  <c r="AC137" i="18" s="1"/>
  <c r="AD137" i="18" s="1"/>
  <c r="Y15" i="18"/>
  <c r="Y124" i="18" s="1"/>
  <c r="Y13" i="18"/>
  <c r="Y12" i="18"/>
  <c r="Y10" i="18"/>
  <c r="Y16" i="18"/>
  <c r="Y132" i="18" s="1"/>
  <c r="Y133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0" i="18"/>
  <c r="Y178" i="18" s="1"/>
  <c r="V172" i="18"/>
  <c r="V179" i="18" s="1"/>
  <c r="V173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Y95" i="18" l="1"/>
  <c r="Y101" i="18" s="1"/>
  <c r="Y52" i="18"/>
  <c r="Y91" i="18" s="1"/>
  <c r="Y106" i="18"/>
  <c r="X111" i="18"/>
  <c r="X112" i="18" s="1"/>
  <c r="X113" i="18" s="1"/>
  <c r="X114" i="18" s="1"/>
  <c r="X55" i="18"/>
  <c r="AC126" i="18"/>
  <c r="AD126" i="18" s="1"/>
  <c r="AC136" i="18"/>
  <c r="AD136" i="18" s="1"/>
  <c r="Y96" i="18"/>
  <c r="Y102" i="18" s="1"/>
  <c r="Y125" i="18"/>
  <c r="Y130" i="18"/>
  <c r="Y129" i="18"/>
  <c r="AF27" i="18"/>
  <c r="AC127" i="18"/>
  <c r="AD127" i="18" s="1"/>
  <c r="Y89" i="18"/>
  <c r="AC119" i="18"/>
  <c r="AD119" i="18" s="1"/>
  <c r="AC121" i="18"/>
  <c r="AD121" i="18" s="1"/>
  <c r="AC120" i="18"/>
  <c r="AD120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4" i="18" s="1"/>
  <c r="X65" i="18"/>
  <c r="AC93" i="18"/>
  <c r="AC117" i="18"/>
  <c r="AD117" i="18" s="1"/>
  <c r="AC116" i="18"/>
  <c r="AD116" i="18" s="1"/>
  <c r="Y108" i="18"/>
  <c r="Y107" i="18"/>
  <c r="AF25" i="18"/>
  <c r="AF18" i="18"/>
  <c r="AD18" i="18"/>
  <c r="T160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5" i="18" s="1"/>
  <c r="X67" i="18"/>
  <c r="X62" i="18"/>
  <c r="X176" i="18" s="1"/>
  <c r="X64" i="18"/>
  <c r="X61" i="18"/>
  <c r="X81" i="18"/>
  <c r="X60" i="18"/>
  <c r="X82" i="18"/>
  <c r="X78" i="18"/>
  <c r="X80" i="18"/>
  <c r="X134" i="18" s="1"/>
  <c r="X51" i="18"/>
  <c r="X50" i="18"/>
  <c r="X171" i="18" s="1"/>
  <c r="X56" i="18"/>
  <c r="X57" i="18"/>
  <c r="X58" i="18"/>
  <c r="X54" i="18"/>
  <c r="X177" i="18" s="1"/>
  <c r="AD27" i="18"/>
  <c r="Z12" i="18"/>
  <c r="Z15" i="18"/>
  <c r="Z124" i="18" s="1"/>
  <c r="Z13" i="18"/>
  <c r="Z10" i="18"/>
  <c r="Z16" i="18"/>
  <c r="Z132" i="18" s="1"/>
  <c r="Z133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0" i="18"/>
  <c r="Z178" i="18" s="1"/>
  <c r="W172" i="18"/>
  <c r="W179" i="18" s="1"/>
  <c r="W173" i="18"/>
  <c r="P31" i="11"/>
  <c r="N32" i="11"/>
  <c r="T19" i="9"/>
  <c r="D22" i="9"/>
  <c r="Z95" i="18" l="1"/>
  <c r="Z101" i="18" s="1"/>
  <c r="Z52" i="18"/>
  <c r="Z91" i="18" s="1"/>
  <c r="AD93" i="18"/>
  <c r="AC99" i="18"/>
  <c r="AD99" i="18" s="1"/>
  <c r="Z106" i="18"/>
  <c r="Y111" i="18"/>
  <c r="Y112" i="18" s="1"/>
  <c r="Y113" i="18" s="1"/>
  <c r="Y114" i="18" s="1"/>
  <c r="Y55" i="18"/>
  <c r="Z130" i="18"/>
  <c r="Z129" i="18"/>
  <c r="Z96" i="18"/>
  <c r="Z102" i="18" s="1"/>
  <c r="Z125" i="18"/>
  <c r="Z89" i="18"/>
  <c r="X66" i="18"/>
  <c r="X174" i="18" s="1"/>
  <c r="Y58" i="18"/>
  <c r="Z107" i="18"/>
  <c r="Z108" i="18"/>
  <c r="U160" i="18"/>
  <c r="S160" i="18" s="1"/>
  <c r="Y60" i="18"/>
  <c r="Y67" i="18"/>
  <c r="Y54" i="18"/>
  <c r="Y177" i="18" s="1"/>
  <c r="Y62" i="18"/>
  <c r="Y176" i="18" s="1"/>
  <c r="Y57" i="18"/>
  <c r="Y56" i="18"/>
  <c r="Y78" i="18"/>
  <c r="Y80" i="18"/>
  <c r="Y134" i="18" s="1"/>
  <c r="Y51" i="18"/>
  <c r="Y50" i="18"/>
  <c r="Y171" i="18" s="1"/>
  <c r="Y82" i="18"/>
  <c r="Y61" i="18"/>
  <c r="Y68" i="18"/>
  <c r="Y175" i="18" s="1"/>
  <c r="Y65" i="18"/>
  <c r="Y64" i="18"/>
  <c r="Y81" i="18"/>
  <c r="AA13" i="18"/>
  <c r="AA12" i="18"/>
  <c r="AA15" i="18"/>
  <c r="AA124" i="18" s="1"/>
  <c r="AA10" i="18"/>
  <c r="AA16" i="18"/>
  <c r="AA132" i="18" s="1"/>
  <c r="AA133" i="18" s="1"/>
  <c r="AA6" i="18"/>
  <c r="AA7" i="18"/>
  <c r="AA40" i="18"/>
  <c r="Z88" i="18"/>
  <c r="Z87" i="18"/>
  <c r="Z42" i="18"/>
  <c r="Y77" i="18"/>
  <c r="Y75" i="18"/>
  <c r="Y76" i="18"/>
  <c r="Y74" i="18"/>
  <c r="AA170" i="18"/>
  <c r="AA178" i="18" s="1"/>
  <c r="X172" i="18"/>
  <c r="X179" i="18" s="1"/>
  <c r="X173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A95" i="18" l="1"/>
  <c r="AA101" i="18" s="1"/>
  <c r="AA52" i="18"/>
  <c r="AA91" i="18" s="1"/>
  <c r="AA106" i="18"/>
  <c r="Z111" i="18"/>
  <c r="Z112" i="18" s="1"/>
  <c r="Z113" i="18" s="1"/>
  <c r="Z114" i="18" s="1"/>
  <c r="Z55" i="18"/>
  <c r="AA96" i="18"/>
  <c r="AA102" i="18" s="1"/>
  <c r="AA125" i="18"/>
  <c r="AA129" i="18"/>
  <c r="AA130" i="18"/>
  <c r="AA89" i="18"/>
  <c r="AA107" i="18"/>
  <c r="AA108" i="18"/>
  <c r="Y66" i="18"/>
  <c r="Y174" i="18" s="1"/>
  <c r="Z78" i="18"/>
  <c r="Z80" i="18"/>
  <c r="Z134" i="18" s="1"/>
  <c r="Z50" i="18"/>
  <c r="Z171" i="18" s="1"/>
  <c r="Z51" i="18"/>
  <c r="Z62" i="18"/>
  <c r="Z176" i="18" s="1"/>
  <c r="Z68" i="18"/>
  <c r="Z175" i="18" s="1"/>
  <c r="Z67" i="18"/>
  <c r="Z65" i="18"/>
  <c r="Z56" i="18"/>
  <c r="Z54" i="18"/>
  <c r="Z177" i="18" s="1"/>
  <c r="Z61" i="18"/>
  <c r="Z57" i="18"/>
  <c r="Z58" i="18"/>
  <c r="Z64" i="18"/>
  <c r="Z81" i="18"/>
  <c r="Z60" i="18"/>
  <c r="Z82" i="18"/>
  <c r="AB12" i="18"/>
  <c r="AB15" i="18"/>
  <c r="AB124" i="18" s="1"/>
  <c r="AB13" i="18"/>
  <c r="AB10" i="18"/>
  <c r="AB16" i="18"/>
  <c r="AB132" i="18" s="1"/>
  <c r="AB133" i="18" s="1"/>
  <c r="AB7" i="18"/>
  <c r="AB6" i="18"/>
  <c r="AB40" i="18"/>
  <c r="AA87" i="18"/>
  <c r="AA88" i="18"/>
  <c r="AA42" i="18"/>
  <c r="Z77" i="18"/>
  <c r="Z75" i="18"/>
  <c r="Z76" i="18"/>
  <c r="Z74" i="18"/>
  <c r="AB170" i="18"/>
  <c r="AB178" i="18" s="1"/>
  <c r="Y172" i="18"/>
  <c r="Y179" i="18" s="1"/>
  <c r="Y173" i="18"/>
  <c r="N34" i="11"/>
  <c r="O33" i="11"/>
  <c r="D25" i="8"/>
  <c r="D23" i="8"/>
  <c r="AB95" i="18" l="1"/>
  <c r="AB101" i="18" s="1"/>
  <c r="AB52" i="18"/>
  <c r="AB91" i="18" s="1"/>
  <c r="AB106" i="18"/>
  <c r="AA111" i="18"/>
  <c r="AA112" i="18" s="1"/>
  <c r="AA113" i="18" s="1"/>
  <c r="AA114" i="18" s="1"/>
  <c r="AA55" i="18"/>
  <c r="AB89" i="18"/>
  <c r="AB129" i="18"/>
  <c r="AB130" i="18"/>
  <c r="AB96" i="18"/>
  <c r="AB102" i="18" s="1"/>
  <c r="AB125" i="18"/>
  <c r="AB107" i="18"/>
  <c r="AB108" i="18"/>
  <c r="Z66" i="18"/>
  <c r="Z174" i="18" s="1"/>
  <c r="AA78" i="18"/>
  <c r="AA80" i="18"/>
  <c r="AA134" i="18" s="1"/>
  <c r="AA51" i="18"/>
  <c r="AA50" i="18"/>
  <c r="AA171" i="18" s="1"/>
  <c r="AA56" i="18"/>
  <c r="AA67" i="18"/>
  <c r="AA57" i="18"/>
  <c r="AA62" i="18"/>
  <c r="AA176" i="18" s="1"/>
  <c r="AA65" i="18"/>
  <c r="AA64" i="18"/>
  <c r="AA82" i="18"/>
  <c r="AA68" i="18"/>
  <c r="AA175" i="18" s="1"/>
  <c r="AA54" i="18"/>
  <c r="AA177" i="18" s="1"/>
  <c r="AA61" i="18"/>
  <c r="AA81" i="18"/>
  <c r="AA60" i="18"/>
  <c r="AA58" i="18"/>
  <c r="AC15" i="18"/>
  <c r="AC13" i="18"/>
  <c r="AF13" i="18" s="1"/>
  <c r="AC12" i="18"/>
  <c r="AC125" i="18" s="1"/>
  <c r="AD125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0" i="18"/>
  <c r="AC178" i="18" s="1"/>
  <c r="Z172" i="18"/>
  <c r="Z179" i="18" s="1"/>
  <c r="Z173" i="18"/>
  <c r="N35" i="11"/>
  <c r="O34" i="11"/>
  <c r="D35" i="8"/>
  <c r="E5" i="8"/>
  <c r="E18" i="8" s="1"/>
  <c r="D18" i="8"/>
  <c r="D19" i="8"/>
  <c r="D21" i="8"/>
  <c r="D20" i="8"/>
  <c r="AC95" i="18" l="1"/>
  <c r="AC101" i="18" s="1"/>
  <c r="AD101" i="18" s="1"/>
  <c r="AC52" i="18"/>
  <c r="AC106" i="18"/>
  <c r="AD178" i="18"/>
  <c r="AF178" i="18" s="1"/>
  <c r="AB111" i="18"/>
  <c r="AB112" i="18" s="1"/>
  <c r="AB113" i="18" s="1"/>
  <c r="AB114" i="18" s="1"/>
  <c r="AB55" i="18"/>
  <c r="AF16" i="18"/>
  <c r="AC132" i="18"/>
  <c r="AC130" i="18"/>
  <c r="AD130" i="18" s="1"/>
  <c r="AC129" i="18"/>
  <c r="AD129" i="18" s="1"/>
  <c r="AF15" i="18"/>
  <c r="AC124" i="18"/>
  <c r="AD124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4" i="18" s="1"/>
  <c r="AB78" i="18"/>
  <c r="AB80" i="18"/>
  <c r="AB134" i="18" s="1"/>
  <c r="AB50" i="18"/>
  <c r="AB171" i="18" s="1"/>
  <c r="AB51" i="18"/>
  <c r="AB60" i="18"/>
  <c r="AB68" i="18"/>
  <c r="AB175" i="18" s="1"/>
  <c r="AB54" i="18"/>
  <c r="AB177" i="18" s="1"/>
  <c r="AB62" i="18"/>
  <c r="AB176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4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0" i="18"/>
  <c r="AF170" i="18" s="1"/>
  <c r="AA172" i="18"/>
  <c r="AA179" i="18" s="1"/>
  <c r="AA173" i="18"/>
  <c r="N36" i="11"/>
  <c r="O35" i="11"/>
  <c r="F5" i="8"/>
  <c r="G5" i="8" s="1"/>
  <c r="H5" i="8" s="1"/>
  <c r="I5" i="8" s="1"/>
  <c r="AD95" i="18" l="1"/>
  <c r="AC91" i="18"/>
  <c r="AD91" i="18" s="1"/>
  <c r="AD52" i="18"/>
  <c r="AF52" i="18"/>
  <c r="AD96" i="18"/>
  <c r="AC102" i="18"/>
  <c r="AD102" i="18" s="1"/>
  <c r="AC111" i="18"/>
  <c r="AC112" i="18" s="1"/>
  <c r="AC113" i="18" s="1"/>
  <c r="AC114" i="18" s="1"/>
  <c r="AC55" i="18"/>
  <c r="AD132" i="18"/>
  <c r="AC133" i="18"/>
  <c r="AD133" i="18" s="1"/>
  <c r="AF42" i="18"/>
  <c r="U154" i="18"/>
  <c r="U155" i="18" s="1"/>
  <c r="AB66" i="18"/>
  <c r="AB174" i="18" s="1"/>
  <c r="AC78" i="18"/>
  <c r="AC80" i="18"/>
  <c r="AC50" i="18"/>
  <c r="AC171" i="18" s="1"/>
  <c r="AD171" i="18" s="1"/>
  <c r="AF171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5" i="18"/>
  <c r="Q186" i="18" s="1"/>
  <c r="AC77" i="18"/>
  <c r="AC75" i="18"/>
  <c r="AD42" i="18"/>
  <c r="AC76" i="18"/>
  <c r="AC74" i="18"/>
  <c r="AB172" i="18"/>
  <c r="AB179" i="18" s="1"/>
  <c r="AB173" i="18"/>
  <c r="N37" i="11"/>
  <c r="O36" i="11"/>
  <c r="F18" i="8"/>
  <c r="G18" i="8"/>
  <c r="AF54" i="18" l="1"/>
  <c r="AC177" i="18"/>
  <c r="AF55" i="18"/>
  <c r="AD55" i="18"/>
  <c r="AF80" i="18"/>
  <c r="AC134" i="18"/>
  <c r="AD134" i="18" s="1"/>
  <c r="AD111" i="18"/>
  <c r="S154" i="18"/>
  <c r="S155" i="18"/>
  <c r="AD81" i="18"/>
  <c r="AF81" i="18"/>
  <c r="AD51" i="18"/>
  <c r="AF51" i="18"/>
  <c r="T151" i="18"/>
  <c r="AF67" i="18"/>
  <c r="AC175" i="18"/>
  <c r="AD175" i="18" s="1"/>
  <c r="AF175" i="18" s="1"/>
  <c r="AF68" i="18"/>
  <c r="AD50" i="18"/>
  <c r="AF50" i="18"/>
  <c r="AD65" i="18"/>
  <c r="AF65" i="18"/>
  <c r="T145" i="18"/>
  <c r="AF64" i="18"/>
  <c r="T144" i="18"/>
  <c r="AF58" i="18"/>
  <c r="AC176" i="18"/>
  <c r="AD176" i="18" s="1"/>
  <c r="AF176" i="18" s="1"/>
  <c r="AF62" i="18"/>
  <c r="AD61" i="18"/>
  <c r="AF61" i="18"/>
  <c r="T142" i="18"/>
  <c r="Q185" i="18" s="1"/>
  <c r="AF56" i="18"/>
  <c r="T147" i="18"/>
  <c r="AF60" i="18"/>
  <c r="AD82" i="18"/>
  <c r="AF82" i="18"/>
  <c r="T167" i="18"/>
  <c r="Q187" i="18" s="1"/>
  <c r="AF78" i="18"/>
  <c r="T165" i="18"/>
  <c r="AF77" i="18"/>
  <c r="T164" i="18"/>
  <c r="AF76" i="18"/>
  <c r="T162" i="18"/>
  <c r="AF74" i="18"/>
  <c r="T163" i="18"/>
  <c r="AF75" i="18"/>
  <c r="AD67" i="18"/>
  <c r="T148" i="18"/>
  <c r="AD56" i="18"/>
  <c r="AD58" i="18"/>
  <c r="AD60" i="18"/>
  <c r="T149" i="18"/>
  <c r="Q184" i="18" s="1"/>
  <c r="AD78" i="18"/>
  <c r="AD64" i="18"/>
  <c r="T152" i="18"/>
  <c r="AC66" i="18"/>
  <c r="AD62" i="18"/>
  <c r="AD68" i="18"/>
  <c r="AD80" i="18"/>
  <c r="AD76" i="18"/>
  <c r="AD75" i="18"/>
  <c r="AD74" i="18"/>
  <c r="AD77" i="18"/>
  <c r="T141" i="18"/>
  <c r="Q188" i="18" s="1"/>
  <c r="Q189" i="18" s="1"/>
  <c r="AD54" i="18"/>
  <c r="AC172" i="18"/>
  <c r="AC179" i="18" s="1"/>
  <c r="AD179" i="18" s="1"/>
  <c r="AD57" i="18"/>
  <c r="U143" i="18" s="1"/>
  <c r="AC173" i="18"/>
  <c r="T143" i="18"/>
  <c r="N38" i="11"/>
  <c r="O37" i="11"/>
  <c r="H18" i="8"/>
  <c r="U144" i="18" l="1"/>
  <c r="M186" i="18"/>
  <c r="P186" i="18"/>
  <c r="AD177" i="18"/>
  <c r="AF177" i="18" s="1"/>
  <c r="U141" i="18"/>
  <c r="S141" i="18" s="1"/>
  <c r="AD112" i="18"/>
  <c r="U152" i="18"/>
  <c r="S152" i="18" s="1"/>
  <c r="U142" i="18"/>
  <c r="S142" i="18" s="1"/>
  <c r="U151" i="18"/>
  <c r="S151" i="18" s="1"/>
  <c r="U147" i="18"/>
  <c r="S147" i="18" s="1"/>
  <c r="U149" i="18"/>
  <c r="S149" i="18" s="1"/>
  <c r="P184" i="18" s="1"/>
  <c r="U167" i="18"/>
  <c r="S167" i="18" s="1"/>
  <c r="P187" i="18" s="1"/>
  <c r="U164" i="18"/>
  <c r="S164" i="18" s="1"/>
  <c r="AD66" i="18"/>
  <c r="AF66" i="18"/>
  <c r="U145" i="18"/>
  <c r="S145" i="18" s="1"/>
  <c r="S144" i="18"/>
  <c r="U148" i="18"/>
  <c r="S148" i="18" s="1"/>
  <c r="U162" i="18"/>
  <c r="S162" i="18" s="1"/>
  <c r="AC174" i="18"/>
  <c r="AD174" i="18" s="1"/>
  <c r="AF174" i="18" s="1"/>
  <c r="U165" i="18"/>
  <c r="S165" i="18" s="1"/>
  <c r="U163" i="18"/>
  <c r="S163" i="18" s="1"/>
  <c r="AD173" i="18"/>
  <c r="AF173" i="18" s="1"/>
  <c r="AD172" i="18"/>
  <c r="AF172" i="18" s="1"/>
  <c r="AF179" i="18" s="1"/>
  <c r="S143" i="18"/>
  <c r="N39" i="11"/>
  <c r="O38" i="11"/>
  <c r="I18" i="8"/>
  <c r="M185" i="18" l="1"/>
  <c r="P185" i="18"/>
  <c r="P188" i="18"/>
  <c r="P189" i="18" s="1"/>
  <c r="M187" i="18"/>
  <c r="M184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79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<sst xmlns="http://schemas.openxmlformats.org/spreadsheetml/2006/main" count="639" uniqueCount="448">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</sst>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174" fontId="8" fillId="5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75" fontId="18" fillId="5" borderId="1" xfId="2" applyNumberFormat="1" applyFont="1" applyFill="1" applyBorder="1"/>
    <xf numFmtId="9" fontId="19" fillId="5" borderId="1" xfId="1" applyNumberFormat="1" applyFont="1" applyFill="1" applyBorder="1"/>
    <xf numFmtId="9" fontId="19" fillId="5" borderId="1" xfId="1" applyFont="1" applyFill="1" applyBorder="1"/>
    <xf numFmtId="43" fontId="18" fillId="5" borderId="1" xfId="2" applyNumberFormat="1" applyFont="1" applyFill="1" applyBorder="1"/>
    <xf numFmtId="0" fontId="18" fillId="5" borderId="1" xfId="0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48768"/>
        <c:axId val="60826368"/>
      </c:lineChart>
      <c:catAx>
        <c:axId val="70048768"/>
        <c:scaling>
          <c:orientation val="minMax"/>
        </c:scaling>
        <c:delete val="0"/>
        <c:axPos val="b"/>
        <c:majorTickMark val="out"/>
        <c:minorTickMark val="none"/>
        <c:tickLblPos val="nextTo"/>
        <c:crossAx val="60826368"/>
        <c:crosses val="autoZero"/>
        <c:auto val="1"/>
        <c:lblAlgn val="ctr"/>
        <c:lblOffset val="100"/>
        <c:noMultiLvlLbl val="0"/>
      </c:catAx>
      <c:valAx>
        <c:axId val="60826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004876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1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C23" sqref="C23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0.15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  <c r="Q1" s="164"/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0.15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4" t="s">
        <v>291</v>
      </c>
      <c r="AF2" s="195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6" t="s">
        <v>292</v>
      </c>
      <c r="AF3" s="197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11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108</v>
      </c>
      <c r="H6" s="147">
        <v>139</v>
      </c>
      <c r="I6" s="147">
        <v>227</v>
      </c>
      <c r="J6" s="147">
        <v>296</v>
      </c>
      <c r="K6" s="147">
        <v>371</v>
      </c>
      <c r="L6" s="147">
        <v>429</v>
      </c>
      <c r="M6" s="147">
        <v>521</v>
      </c>
      <c r="N6" s="147">
        <v>640</v>
      </c>
      <c r="O6" s="147"/>
      <c r="P6" s="147">
        <v>636</v>
      </c>
      <c r="Q6" s="211">
        <f>P6</f>
        <v>636</v>
      </c>
      <c r="R6" s="118">
        <f>((Q6/G6)^(1/($H$2-$H$1) ))-1</f>
        <v>0.21775315165950704</v>
      </c>
      <c r="S6" s="31">
        <f>$L$2</f>
        <v>0.15</v>
      </c>
      <c r="T6" s="154">
        <f>Q6*(1+$S6)</f>
        <v>731.4</v>
      </c>
      <c r="U6" s="154">
        <f>T6*(1+$S6)</f>
        <v>841.1099999999999</v>
      </c>
      <c r="V6" s="154">
        <f t="shared" ref="V6:AC6" si="0">U6*(1+$S6)</f>
        <v>967.27649999999983</v>
      </c>
      <c r="W6" s="154">
        <f t="shared" si="0"/>
        <v>1112.3679749999997</v>
      </c>
      <c r="X6" s="154">
        <f t="shared" si="0"/>
        <v>1279.2231712499995</v>
      </c>
      <c r="Y6" s="154">
        <f t="shared" si="0"/>
        <v>1471.1066469374994</v>
      </c>
      <c r="Z6" s="154">
        <f t="shared" si="0"/>
        <v>1691.7726439781241</v>
      </c>
      <c r="AA6" s="154">
        <f t="shared" si="0"/>
        <v>1945.5385405748425</v>
      </c>
      <c r="AB6" s="154">
        <f t="shared" si="0"/>
        <v>2237.3693216610686</v>
      </c>
      <c r="AC6" s="154">
        <f t="shared" si="0"/>
        <v>2572.9747199102289</v>
      </c>
      <c r="AD6" s="138">
        <f>((AC6/G6)^(1/($AC$3-$H$1) ))-1</f>
        <v>0.17179216053168256</v>
      </c>
      <c r="AE6" s="31">
        <f>$L$1</f>
        <v>0.05</v>
      </c>
      <c r="AF6" s="146">
        <f t="shared" ref="AF6:AF44" si="1">(AC6*(1+AE6))/($C$1-AE6)</f>
        <v>27016.234559057408</v>
      </c>
    </row>
    <row r="7" spans="2:32" x14ac:dyDescent="0.2">
      <c r="B7" s="20" t="s">
        <v>240</v>
      </c>
      <c r="C7" s="141"/>
      <c r="D7" s="141"/>
      <c r="E7" s="147"/>
      <c r="F7" s="147"/>
      <c r="G7" s="147">
        <v>132</v>
      </c>
      <c r="H7" s="147">
        <v>163</v>
      </c>
      <c r="I7" s="147">
        <v>251</v>
      </c>
      <c r="J7" s="147">
        <v>319</v>
      </c>
      <c r="K7" s="147">
        <v>394</v>
      </c>
      <c r="L7" s="147">
        <v>453</v>
      </c>
      <c r="M7" s="147">
        <v>545</v>
      </c>
      <c r="N7" s="147">
        <v>663</v>
      </c>
      <c r="O7" s="147"/>
      <c r="P7" s="147">
        <v>660</v>
      </c>
      <c r="Q7" s="211">
        <f>P7</f>
        <v>660</v>
      </c>
      <c r="R7" s="118">
        <f>((Q7/G7)^(1/($H$2-$H$1) ))-1</f>
        <v>0.19581317450040192</v>
      </c>
      <c r="S7" s="31">
        <f>$L$2</f>
        <v>0.15</v>
      </c>
      <c r="T7" s="154">
        <f t="shared" ref="T7:T44" si="2">Q7*(1+$S7)</f>
        <v>758.99999999999989</v>
      </c>
      <c r="U7" s="154">
        <f t="shared" ref="U7:AC7" si="3">T7*(1+$S7)</f>
        <v>872.8499999999998</v>
      </c>
      <c r="V7" s="154">
        <f t="shared" si="3"/>
        <v>1003.7774999999997</v>
      </c>
      <c r="W7" s="154">
        <f t="shared" si="3"/>
        <v>1154.3441249999996</v>
      </c>
      <c r="X7" s="154">
        <f t="shared" si="3"/>
        <v>1327.4957437499995</v>
      </c>
      <c r="Y7" s="154">
        <f t="shared" si="3"/>
        <v>1526.6201053124994</v>
      </c>
      <c r="Z7" s="154">
        <f t="shared" si="3"/>
        <v>1755.6131211093741</v>
      </c>
      <c r="AA7" s="154">
        <f t="shared" si="3"/>
        <v>2018.95508927578</v>
      </c>
      <c r="AB7" s="154">
        <f t="shared" si="3"/>
        <v>2321.7983526671469</v>
      </c>
      <c r="AC7" s="154">
        <f t="shared" si="3"/>
        <v>2670.0681055672189</v>
      </c>
      <c r="AD7" s="138">
        <f>((AC7/G7)^(1/($AC$3-$H$1) ))-1</f>
        <v>0.16224428781182731</v>
      </c>
      <c r="AE7" s="31">
        <f>$L$1</f>
        <v>0.05</v>
      </c>
      <c r="AF7" s="146">
        <f t="shared" si="1"/>
        <v>28035.715108455803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0.19018404907975461</v>
      </c>
      <c r="I8" s="151">
        <f t="shared" ref="I8:P8" si="4">(I7-H7)/I7</f>
        <v>0.35059760956175301</v>
      </c>
      <c r="J8" s="151">
        <f t="shared" si="4"/>
        <v>0.21316614420062696</v>
      </c>
      <c r="K8" s="151">
        <f t="shared" si="4"/>
        <v>0.19035532994923857</v>
      </c>
      <c r="L8" s="151">
        <f t="shared" si="4"/>
        <v>0.13024282560706402</v>
      </c>
      <c r="M8" s="151">
        <f t="shared" si="4"/>
        <v>0.16880733944954129</v>
      </c>
      <c r="N8" s="151">
        <f t="shared" si="4"/>
        <v>0.17797888386123681</v>
      </c>
      <c r="O8" s="151" t="e">
        <f t="shared" si="4"/>
        <v>#DIV/0!</v>
      </c>
      <c r="P8" s="151">
        <f t="shared" si="4"/>
        <v>1</v>
      </c>
      <c r="Q8" s="212">
        <f t="shared" ref="Q8" si="5">(Q7-P7)/Q7</f>
        <v>0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51</v>
      </c>
      <c r="H9" s="147">
        <v>65</v>
      </c>
      <c r="I9" s="147">
        <v>83</v>
      </c>
      <c r="J9" s="147">
        <v>104</v>
      </c>
      <c r="K9" s="147">
        <v>106</v>
      </c>
      <c r="L9" s="147">
        <v>117</v>
      </c>
      <c r="M9" s="147">
        <v>143</v>
      </c>
      <c r="N9" s="147">
        <v>169</v>
      </c>
      <c r="O9" s="147"/>
      <c r="P9" s="147">
        <v>175</v>
      </c>
      <c r="Q9" s="211">
        <f>P9</f>
        <v>175</v>
      </c>
      <c r="R9" s="118">
        <f>((Q9/G9)^(1/($H$2-$H$1) ))-1</f>
        <v>0.14682309499496493</v>
      </c>
      <c r="S9" s="31">
        <f t="shared" ref="S9:S40" si="6">$L$2</f>
        <v>0.15</v>
      </c>
      <c r="T9" s="154">
        <f t="shared" si="2"/>
        <v>201.24999999999997</v>
      </c>
      <c r="U9" s="154">
        <f t="shared" ref="U9" si="7">T9*(1+$S9)</f>
        <v>231.43749999999994</v>
      </c>
      <c r="V9" s="154">
        <f t="shared" ref="V9" si="8">U9*(1+$S9)</f>
        <v>266.15312499999993</v>
      </c>
      <c r="W9" s="154">
        <f t="shared" ref="W9" si="9">V9*(1+$S9)</f>
        <v>306.07609374999987</v>
      </c>
      <c r="X9" s="154">
        <f t="shared" ref="X9" si="10">W9*(1+$S9)</f>
        <v>351.98750781249981</v>
      </c>
      <c r="Y9" s="154">
        <f t="shared" ref="Y9" si="11">X9*(1+$S9)</f>
        <v>404.78563398437473</v>
      </c>
      <c r="Z9" s="154">
        <f t="shared" ref="Z9" si="12">Y9*(1+$S9)</f>
        <v>465.50347908203088</v>
      </c>
      <c r="AA9" s="154">
        <f t="shared" ref="AA9" si="13">Z9*(1+$S9)</f>
        <v>535.32900094433546</v>
      </c>
      <c r="AB9" s="154">
        <f t="shared" ref="AB9" si="14">AA9*(1+$S9)</f>
        <v>615.62835108598574</v>
      </c>
      <c r="AC9" s="154">
        <f t="shared" ref="AC9" si="15">AB9*(1+$S9)</f>
        <v>707.97260374888356</v>
      </c>
      <c r="AD9" s="138">
        <f>((AC9/G9)^(1/($AC$3-$H$1) ))-1</f>
        <v>0.1405709703967799</v>
      </c>
      <c r="AE9" s="31">
        <f t="shared" ref="AE9:AE81" si="16">$L$1</f>
        <v>0.05</v>
      </c>
      <c r="AF9" s="146">
        <f t="shared" si="1"/>
        <v>7433.7123393632774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65</v>
      </c>
      <c r="H10" s="147">
        <v>54</v>
      </c>
      <c r="I10" s="147">
        <v>10</v>
      </c>
      <c r="J10" s="147">
        <v>0</v>
      </c>
      <c r="K10" s="147">
        <v>0</v>
      </c>
      <c r="L10" s="147">
        <v>0</v>
      </c>
      <c r="M10" s="147">
        <v>0</v>
      </c>
      <c r="N10" s="147">
        <v>0</v>
      </c>
      <c r="O10" s="147">
        <v>0</v>
      </c>
      <c r="P10" s="147">
        <v>0</v>
      </c>
      <c r="Q10" s="211"/>
      <c r="R10" s="118">
        <f>((Q10/G10)^(1/($H$2-$H$1) ))-1</f>
        <v>-1</v>
      </c>
      <c r="S10" s="31">
        <f t="shared" si="6"/>
        <v>0.15</v>
      </c>
      <c r="T10" s="154">
        <f t="shared" si="2"/>
        <v>0</v>
      </c>
      <c r="U10" s="154">
        <f t="shared" ref="U10:AC10" si="17">T10*(1+$S10)</f>
        <v>0</v>
      </c>
      <c r="V10" s="154">
        <f t="shared" si="17"/>
        <v>0</v>
      </c>
      <c r="W10" s="154">
        <f t="shared" si="17"/>
        <v>0</v>
      </c>
      <c r="X10" s="154">
        <f t="shared" si="17"/>
        <v>0</v>
      </c>
      <c r="Y10" s="154">
        <f t="shared" si="17"/>
        <v>0</v>
      </c>
      <c r="Z10" s="154">
        <f t="shared" si="17"/>
        <v>0</v>
      </c>
      <c r="AA10" s="154">
        <f t="shared" si="17"/>
        <v>0</v>
      </c>
      <c r="AB10" s="154">
        <f t="shared" si="17"/>
        <v>0</v>
      </c>
      <c r="AC10" s="154">
        <f t="shared" si="17"/>
        <v>0</v>
      </c>
      <c r="AD10" s="138">
        <f t="shared" ref="AD10:AD42" si="18">((AC10/G10)^(1/($AC$3-$H$1) ))-1</f>
        <v>-1</v>
      </c>
      <c r="AE10" s="31">
        <f t="shared" si="16"/>
        <v>0.05</v>
      </c>
      <c r="AF10" s="146">
        <f t="shared" si="1"/>
        <v>0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19">(H10-G10)/H10</f>
        <v>-0.20370370370370369</v>
      </c>
      <c r="I11" s="148">
        <f t="shared" si="19"/>
        <v>-4.4000000000000004</v>
      </c>
      <c r="J11" s="148" t="e">
        <f t="shared" si="19"/>
        <v>#DIV/0!</v>
      </c>
      <c r="K11" s="148" t="e">
        <f t="shared" si="19"/>
        <v>#DIV/0!</v>
      </c>
      <c r="L11" s="148" t="e">
        <f t="shared" si="19"/>
        <v>#DIV/0!</v>
      </c>
      <c r="M11" s="148" t="e">
        <f t="shared" si="19"/>
        <v>#DIV/0!</v>
      </c>
      <c r="N11" s="148" t="e">
        <f t="shared" si="19"/>
        <v>#DIV/0!</v>
      </c>
      <c r="O11" s="148" t="e">
        <f t="shared" si="19"/>
        <v>#DIV/0!</v>
      </c>
      <c r="P11" s="148" t="e">
        <f t="shared" si="19"/>
        <v>#DIV/0!</v>
      </c>
      <c r="Q11" s="213" t="e">
        <f t="shared" ref="Q11" si="20">(Q10-P10)/Q10</f>
        <v>#DIV/0!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6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f>5.7+0.5</f>
        <v>6.2</v>
      </c>
      <c r="H12" s="147">
        <f>7.56+0.05</f>
        <v>7.6099999999999994</v>
      </c>
      <c r="I12" s="147">
        <v>13</v>
      </c>
      <c r="J12" s="147">
        <v>32</v>
      </c>
      <c r="K12" s="147">
        <v>48</v>
      </c>
      <c r="L12" s="147">
        <v>26</v>
      </c>
      <c r="M12" s="147">
        <v>35</v>
      </c>
      <c r="N12" s="147">
        <v>38</v>
      </c>
      <c r="O12" s="147"/>
      <c r="P12" s="147">
        <v>242</v>
      </c>
      <c r="Q12" s="211">
        <f>P12</f>
        <v>242</v>
      </c>
      <c r="R12" s="118">
        <f>((Q12/G12)^(1/($H$2-$H$1) ))-1</f>
        <v>0.50253588467952315</v>
      </c>
      <c r="S12" s="31">
        <f t="shared" si="6"/>
        <v>0.15</v>
      </c>
      <c r="T12" s="154">
        <f t="shared" si="2"/>
        <v>278.29999999999995</v>
      </c>
      <c r="U12" s="154">
        <f t="shared" ref="U12:AC12" si="21">T12*(1+$S12)</f>
        <v>320.0449999999999</v>
      </c>
      <c r="V12" s="154">
        <f t="shared" si="21"/>
        <v>368.05174999999986</v>
      </c>
      <c r="W12" s="154">
        <f t="shared" si="21"/>
        <v>423.2595124999998</v>
      </c>
      <c r="X12" s="154">
        <f t="shared" si="21"/>
        <v>486.74843937499975</v>
      </c>
      <c r="Y12" s="154">
        <f t="shared" si="21"/>
        <v>559.76070528124967</v>
      </c>
      <c r="Z12" s="154">
        <f t="shared" si="21"/>
        <v>643.72481107343708</v>
      </c>
      <c r="AA12" s="154">
        <f t="shared" si="21"/>
        <v>740.28353273445259</v>
      </c>
      <c r="AB12" s="154">
        <f t="shared" si="21"/>
        <v>851.32606264462038</v>
      </c>
      <c r="AC12" s="154">
        <f t="shared" si="21"/>
        <v>979.02497204131339</v>
      </c>
      <c r="AD12" s="138">
        <f t="shared" si="18"/>
        <v>0.28801257765279265</v>
      </c>
      <c r="AE12" s="31">
        <f t="shared" si="16"/>
        <v>0.05</v>
      </c>
      <c r="AF12" s="146">
        <f t="shared" si="1"/>
        <v>10279.762206433792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30</v>
      </c>
      <c r="H13" s="147">
        <v>14</v>
      </c>
      <c r="I13" s="147">
        <v>27</v>
      </c>
      <c r="J13" s="147">
        <v>63</v>
      </c>
      <c r="K13" s="147">
        <v>71</v>
      </c>
      <c r="L13" s="147">
        <v>105</v>
      </c>
      <c r="M13" s="147">
        <v>97</v>
      </c>
      <c r="N13" s="147">
        <v>74</v>
      </c>
      <c r="O13" s="147"/>
      <c r="P13" s="147">
        <v>23</v>
      </c>
      <c r="Q13" s="211"/>
      <c r="R13" s="118">
        <f>((Q13/G13)^(1/($H$2-$H$1) ))-1</f>
        <v>-1</v>
      </c>
      <c r="S13" s="31">
        <f t="shared" si="6"/>
        <v>0.15</v>
      </c>
      <c r="T13" s="154">
        <f t="shared" si="2"/>
        <v>0</v>
      </c>
      <c r="U13" s="154">
        <f t="shared" ref="U13:AC13" si="22">T13*(1+$S13)</f>
        <v>0</v>
      </c>
      <c r="V13" s="154">
        <f t="shared" si="22"/>
        <v>0</v>
      </c>
      <c r="W13" s="154">
        <f t="shared" si="22"/>
        <v>0</v>
      </c>
      <c r="X13" s="154">
        <f t="shared" si="22"/>
        <v>0</v>
      </c>
      <c r="Y13" s="154">
        <f t="shared" si="22"/>
        <v>0</v>
      </c>
      <c r="Z13" s="154">
        <f t="shared" si="22"/>
        <v>0</v>
      </c>
      <c r="AA13" s="154">
        <f t="shared" si="22"/>
        <v>0</v>
      </c>
      <c r="AB13" s="154">
        <f t="shared" si="22"/>
        <v>0</v>
      </c>
      <c r="AC13" s="154">
        <f t="shared" si="22"/>
        <v>0</v>
      </c>
      <c r="AD13" s="138">
        <f t="shared" si="18"/>
        <v>-1</v>
      </c>
      <c r="AE13" s="31">
        <f t="shared" si="16"/>
        <v>0.05</v>
      </c>
      <c r="AF13" s="146">
        <f t="shared" si="1"/>
        <v>0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1.2</v>
      </c>
      <c r="H14" s="147">
        <v>1.7</v>
      </c>
      <c r="I14" s="147">
        <v>1.76</v>
      </c>
      <c r="J14" s="147">
        <v>2</v>
      </c>
      <c r="K14" s="147">
        <v>2</v>
      </c>
      <c r="L14" s="147">
        <v>2</v>
      </c>
      <c r="M14" s="147">
        <v>2</v>
      </c>
      <c r="N14" s="147">
        <v>2</v>
      </c>
      <c r="O14" s="147"/>
      <c r="P14" s="147">
        <v>2</v>
      </c>
      <c r="Q14" s="211"/>
      <c r="R14" s="118">
        <f>((Q14/G14)^(1/($H$2-$H$1) ))-1</f>
        <v>-1</v>
      </c>
      <c r="S14" s="31">
        <f t="shared" si="6"/>
        <v>0.15</v>
      </c>
      <c r="T14" s="154">
        <f t="shared" si="2"/>
        <v>0</v>
      </c>
      <c r="U14" s="154">
        <f t="shared" ref="U14" si="23">T14*(1+$S14)</f>
        <v>0</v>
      </c>
      <c r="V14" s="154">
        <f t="shared" ref="V14" si="24">U14*(1+$S14)</f>
        <v>0</v>
      </c>
      <c r="W14" s="154">
        <f t="shared" ref="W14" si="25">V14*(1+$S14)</f>
        <v>0</v>
      </c>
      <c r="X14" s="154">
        <f t="shared" ref="X14" si="26">W14*(1+$S14)</f>
        <v>0</v>
      </c>
      <c r="Y14" s="154">
        <f t="shared" ref="Y14" si="27">X14*(1+$S14)</f>
        <v>0</v>
      </c>
      <c r="Z14" s="154">
        <f t="shared" ref="Z14" si="28">Y14*(1+$S14)</f>
        <v>0</v>
      </c>
      <c r="AA14" s="154">
        <f t="shared" ref="AA14" si="29">Z14*(1+$S14)</f>
        <v>0</v>
      </c>
      <c r="AB14" s="154">
        <f t="shared" ref="AB14" si="30">AA14*(1+$S14)</f>
        <v>0</v>
      </c>
      <c r="AC14" s="154">
        <f t="shared" ref="AC14" si="31">AB14*(1+$S14)</f>
        <v>0</v>
      </c>
      <c r="AD14" s="138">
        <f t="shared" ref="AD14" si="32">((AC14/G14)^(1/($AC$3-$H$1) ))-1</f>
        <v>-1</v>
      </c>
      <c r="AE14" s="31">
        <f t="shared" si="16"/>
        <v>0.05</v>
      </c>
      <c r="AF14" s="146">
        <f t="shared" ref="AF14" si="33">(AC14*(1+AE14))/($C$1-AE14)</f>
        <v>0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52.4</v>
      </c>
      <c r="H15" s="147">
        <v>66</v>
      </c>
      <c r="I15" s="147">
        <v>103</v>
      </c>
      <c r="J15" s="147">
        <v>141</v>
      </c>
      <c r="K15" s="147">
        <v>166</v>
      </c>
      <c r="L15" s="147">
        <v>151</v>
      </c>
      <c r="M15" s="147">
        <v>191</v>
      </c>
      <c r="N15" s="147">
        <v>229</v>
      </c>
      <c r="O15" s="147"/>
      <c r="P15" s="147">
        <v>471</v>
      </c>
      <c r="Q15" s="211"/>
      <c r="R15" s="118">
        <f>((Q15/G15)^(1/($H$2-$H$1) ))-1</f>
        <v>-1</v>
      </c>
      <c r="S15" s="31">
        <f t="shared" si="6"/>
        <v>0.15</v>
      </c>
      <c r="T15" s="154">
        <f t="shared" si="2"/>
        <v>0</v>
      </c>
      <c r="U15" s="154">
        <f t="shared" ref="U15:AC15" si="34">T15*(1+$S15)</f>
        <v>0</v>
      </c>
      <c r="V15" s="154">
        <f t="shared" si="34"/>
        <v>0</v>
      </c>
      <c r="W15" s="154">
        <f t="shared" si="34"/>
        <v>0</v>
      </c>
      <c r="X15" s="154">
        <f t="shared" si="34"/>
        <v>0</v>
      </c>
      <c r="Y15" s="154">
        <f t="shared" si="34"/>
        <v>0</v>
      </c>
      <c r="Z15" s="154">
        <f t="shared" si="34"/>
        <v>0</v>
      </c>
      <c r="AA15" s="154">
        <f t="shared" si="34"/>
        <v>0</v>
      </c>
      <c r="AB15" s="154">
        <f t="shared" si="34"/>
        <v>0</v>
      </c>
      <c r="AC15" s="154">
        <f t="shared" si="34"/>
        <v>0</v>
      </c>
      <c r="AD15" s="138">
        <f t="shared" si="18"/>
        <v>-1</v>
      </c>
      <c r="AE15" s="31">
        <f t="shared" si="16"/>
        <v>0.05</v>
      </c>
      <c r="AF15" s="146">
        <f t="shared" si="1"/>
        <v>0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19</v>
      </c>
      <c r="H16" s="147">
        <v>25.21</v>
      </c>
      <c r="I16" s="147">
        <v>62.5</v>
      </c>
      <c r="J16" s="147">
        <v>92</v>
      </c>
      <c r="K16" s="147">
        <v>11</v>
      </c>
      <c r="L16" s="147">
        <v>102</v>
      </c>
      <c r="M16" s="147">
        <v>238</v>
      </c>
      <c r="N16" s="147">
        <v>349</v>
      </c>
      <c r="O16" s="147"/>
      <c r="P16" s="147">
        <v>404</v>
      </c>
      <c r="Q16" s="211"/>
      <c r="R16" s="118">
        <f>((Q16/G16)^(1/($H$2-$H$1) ))-1</f>
        <v>-1</v>
      </c>
      <c r="S16" s="31">
        <f t="shared" si="6"/>
        <v>0.15</v>
      </c>
      <c r="T16" s="154">
        <f t="shared" si="2"/>
        <v>0</v>
      </c>
      <c r="U16" s="154">
        <f t="shared" ref="U16:AC16" si="35">T16*(1+$S16)</f>
        <v>0</v>
      </c>
      <c r="V16" s="154">
        <f t="shared" si="35"/>
        <v>0</v>
      </c>
      <c r="W16" s="154">
        <f t="shared" si="35"/>
        <v>0</v>
      </c>
      <c r="X16" s="154">
        <f t="shared" si="35"/>
        <v>0</v>
      </c>
      <c r="Y16" s="154">
        <f t="shared" si="35"/>
        <v>0</v>
      </c>
      <c r="Z16" s="154">
        <f t="shared" si="35"/>
        <v>0</v>
      </c>
      <c r="AA16" s="154">
        <f t="shared" si="35"/>
        <v>0</v>
      </c>
      <c r="AB16" s="154">
        <f t="shared" si="35"/>
        <v>0</v>
      </c>
      <c r="AC16" s="154">
        <f t="shared" si="35"/>
        <v>0</v>
      </c>
      <c r="AD16" s="138">
        <f t="shared" si="18"/>
        <v>-1</v>
      </c>
      <c r="AE16" s="31">
        <f t="shared" si="16"/>
        <v>0.05</v>
      </c>
      <c r="AF16" s="146">
        <f t="shared" si="1"/>
        <v>0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211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142</v>
      </c>
      <c r="H18" s="147">
        <v>176</v>
      </c>
      <c r="I18" s="147">
        <v>170</v>
      </c>
      <c r="J18" s="147">
        <v>161</v>
      </c>
      <c r="K18" s="147">
        <v>174</v>
      </c>
      <c r="L18" s="147">
        <v>172</v>
      </c>
      <c r="M18" s="147">
        <v>184</v>
      </c>
      <c r="N18" s="147">
        <v>233</v>
      </c>
      <c r="O18" s="147"/>
      <c r="P18" s="147">
        <v>228</v>
      </c>
      <c r="Q18" s="211"/>
      <c r="R18" s="118">
        <f>((Q18/G18)^(1/($H$2-$H$1) ))-1</f>
        <v>-1</v>
      </c>
      <c r="S18" s="31">
        <f t="shared" si="6"/>
        <v>0.15</v>
      </c>
      <c r="T18" s="154">
        <f t="shared" si="2"/>
        <v>0</v>
      </c>
      <c r="U18" s="154">
        <f t="shared" ref="U18:U34" si="36">T18*(1+$S18)</f>
        <v>0</v>
      </c>
      <c r="V18" s="154">
        <f t="shared" ref="V18:V34" si="37">U18*(1+$S18)</f>
        <v>0</v>
      </c>
      <c r="W18" s="154">
        <f t="shared" ref="W18:W34" si="38">V18*(1+$S18)</f>
        <v>0</v>
      </c>
      <c r="X18" s="154">
        <f t="shared" ref="X18:X36" si="39">W18*(1+$S18)</f>
        <v>0</v>
      </c>
      <c r="Y18" s="154">
        <f t="shared" ref="Y18:Y36" si="40">X18*(1+$S18)</f>
        <v>0</v>
      </c>
      <c r="Z18" s="154">
        <f t="shared" ref="Z18:Z36" si="41">Y18*(1+$S18)</f>
        <v>0</v>
      </c>
      <c r="AA18" s="154">
        <f t="shared" ref="AA18:AA36" si="42">Z18*(1+$S18)</f>
        <v>0</v>
      </c>
      <c r="AB18" s="154">
        <f t="shared" ref="AB18:AB36" si="43">AA18*(1+$S18)</f>
        <v>0</v>
      </c>
      <c r="AC18" s="154">
        <f t="shared" ref="AC18:AC36" si="44">AB18*(1+$S18)</f>
        <v>0</v>
      </c>
      <c r="AD18" s="138">
        <f t="shared" si="18"/>
        <v>-1</v>
      </c>
      <c r="AE18" s="31">
        <f t="shared" si="16"/>
        <v>0.05</v>
      </c>
      <c r="AF18" s="146">
        <f t="shared" si="1"/>
        <v>0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211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211"/>
      <c r="R20" s="118" t="e">
        <f>((Q20/G20)^(1/($H$2-$H$1) ))-1</f>
        <v>#DIV/0!</v>
      </c>
      <c r="S20" s="31">
        <f t="shared" si="6"/>
        <v>0.15</v>
      </c>
      <c r="T20" s="154">
        <f t="shared" si="2"/>
        <v>0</v>
      </c>
      <c r="U20" s="154">
        <f t="shared" ref="U20:U22" si="45">T20*(1+$S20)</f>
        <v>0</v>
      </c>
      <c r="V20" s="154">
        <f t="shared" ref="V20:V22" si="46">U20*(1+$S20)</f>
        <v>0</v>
      </c>
      <c r="W20" s="154">
        <f t="shared" ref="W20:W22" si="47">V20*(1+$S20)</f>
        <v>0</v>
      </c>
      <c r="X20" s="154">
        <f t="shared" ref="X20:X22" si="48">W20*(1+$S20)</f>
        <v>0</v>
      </c>
      <c r="Y20" s="154">
        <f t="shared" ref="Y20:Y22" si="49">X20*(1+$S20)</f>
        <v>0</v>
      </c>
      <c r="Z20" s="154">
        <f t="shared" ref="Z20:Z22" si="50">Y20*(1+$S20)</f>
        <v>0</v>
      </c>
      <c r="AA20" s="154">
        <f t="shared" ref="AA20:AA22" si="51">Z20*(1+$S20)</f>
        <v>0</v>
      </c>
      <c r="AB20" s="154">
        <f t="shared" ref="AB20:AB22" si="52">AA20*(1+$S20)</f>
        <v>0</v>
      </c>
      <c r="AC20" s="154">
        <f t="shared" ref="AC20:AC22" si="53">AB20*(1+$S20)</f>
        <v>0</v>
      </c>
      <c r="AD20" s="138" t="e">
        <f t="shared" ref="AD20:AD22" si="54">((AC20/G20)^(1/($AC$3-$H$1) ))-1</f>
        <v>#DIV/0!</v>
      </c>
      <c r="AE20" s="31">
        <f t="shared" si="16"/>
        <v>0.05</v>
      </c>
      <c r="AF20" s="146">
        <f t="shared" si="1"/>
        <v>0</v>
      </c>
    </row>
    <row r="21" spans="2:32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211"/>
      <c r="R21" s="118" t="e">
        <f>((Q21/G21)^(1/($H$2-$H$1) ))-1</f>
        <v>#DIV/0!</v>
      </c>
      <c r="S21" s="31">
        <f t="shared" si="6"/>
        <v>0.15</v>
      </c>
      <c r="T21" s="154">
        <f t="shared" si="2"/>
        <v>0</v>
      </c>
      <c r="U21" s="154">
        <f t="shared" si="45"/>
        <v>0</v>
      </c>
      <c r="V21" s="154">
        <f t="shared" si="46"/>
        <v>0</v>
      </c>
      <c r="W21" s="154">
        <f t="shared" si="47"/>
        <v>0</v>
      </c>
      <c r="X21" s="154">
        <f t="shared" si="48"/>
        <v>0</v>
      </c>
      <c r="Y21" s="154">
        <f t="shared" si="49"/>
        <v>0</v>
      </c>
      <c r="Z21" s="154">
        <f t="shared" si="50"/>
        <v>0</v>
      </c>
      <c r="AA21" s="154">
        <f t="shared" si="51"/>
        <v>0</v>
      </c>
      <c r="AB21" s="154">
        <f t="shared" si="52"/>
        <v>0</v>
      </c>
      <c r="AC21" s="154">
        <f t="shared" si="53"/>
        <v>0</v>
      </c>
      <c r="AD21" s="138" t="e">
        <f t="shared" si="54"/>
        <v>#DIV/0!</v>
      </c>
      <c r="AE21" s="31">
        <f t="shared" si="16"/>
        <v>0.05</v>
      </c>
      <c r="AF21" s="146">
        <f t="shared" si="1"/>
        <v>0</v>
      </c>
    </row>
    <row r="22" spans="2:32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211"/>
      <c r="R22" s="118" t="e">
        <f>((Q22/G22)^(1/($H$2-$H$1) ))-1</f>
        <v>#DIV/0!</v>
      </c>
      <c r="S22" s="31">
        <f t="shared" si="6"/>
        <v>0.15</v>
      </c>
      <c r="T22" s="154">
        <f t="shared" si="2"/>
        <v>0</v>
      </c>
      <c r="U22" s="154">
        <f t="shared" si="45"/>
        <v>0</v>
      </c>
      <c r="V22" s="154">
        <f t="shared" si="46"/>
        <v>0</v>
      </c>
      <c r="W22" s="154">
        <f t="shared" si="47"/>
        <v>0</v>
      </c>
      <c r="X22" s="154">
        <f t="shared" si="48"/>
        <v>0</v>
      </c>
      <c r="Y22" s="154">
        <f t="shared" si="49"/>
        <v>0</v>
      </c>
      <c r="Z22" s="154">
        <f t="shared" si="50"/>
        <v>0</v>
      </c>
      <c r="AA22" s="154">
        <f t="shared" si="51"/>
        <v>0</v>
      </c>
      <c r="AB22" s="154">
        <f t="shared" si="52"/>
        <v>0</v>
      </c>
      <c r="AC22" s="154">
        <f t="shared" si="53"/>
        <v>0</v>
      </c>
      <c r="AD22" s="138" t="e">
        <f t="shared" si="54"/>
        <v>#DIV/0!</v>
      </c>
      <c r="AE22" s="31">
        <f t="shared" si="16"/>
        <v>0.05</v>
      </c>
      <c r="AF22" s="146">
        <f t="shared" si="1"/>
        <v>0</v>
      </c>
    </row>
    <row r="23" spans="2:32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211"/>
      <c r="R23" s="118" t="e">
        <f>((Q23/G23)^(1/($H$2-$H$1) ))-1</f>
        <v>#DIV/0!</v>
      </c>
      <c r="S23" s="31">
        <f t="shared" si="6"/>
        <v>0.15</v>
      </c>
      <c r="T23" s="154">
        <f t="shared" si="2"/>
        <v>0</v>
      </c>
      <c r="U23" s="154">
        <f t="shared" ref="U23" si="55">T23*(1+$S23)</f>
        <v>0</v>
      </c>
      <c r="V23" s="154">
        <f t="shared" ref="V23" si="56">U23*(1+$S23)</f>
        <v>0</v>
      </c>
      <c r="W23" s="154">
        <f t="shared" ref="W23" si="57">V23*(1+$S23)</f>
        <v>0</v>
      </c>
      <c r="X23" s="154">
        <f t="shared" ref="X23" si="58">W23*(1+$S23)</f>
        <v>0</v>
      </c>
      <c r="Y23" s="154">
        <f t="shared" ref="Y23" si="59">X23*(1+$S23)</f>
        <v>0</v>
      </c>
      <c r="Z23" s="154">
        <f t="shared" ref="Z23" si="60">Y23*(1+$S23)</f>
        <v>0</v>
      </c>
      <c r="AA23" s="154">
        <f t="shared" ref="AA23" si="61">Z23*(1+$S23)</f>
        <v>0</v>
      </c>
      <c r="AB23" s="154">
        <f t="shared" ref="AB23" si="62">AA23*(1+$S23)</f>
        <v>0</v>
      </c>
      <c r="AC23" s="154">
        <f t="shared" ref="AC23" si="63">AB23*(1+$S23)</f>
        <v>0</v>
      </c>
      <c r="AD23" s="138" t="e">
        <f t="shared" ref="AD23" si="64">((AC23/G23)^(1/($AC$3-$H$1) ))-1</f>
        <v>#DIV/0!</v>
      </c>
      <c r="AE23" s="31">
        <f t="shared" si="16"/>
        <v>0.05</v>
      </c>
      <c r="AF23" s="146">
        <f t="shared" si="1"/>
        <v>0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211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355</v>
      </c>
      <c r="H25" s="147">
        <v>462</v>
      </c>
      <c r="I25" s="147">
        <v>669</v>
      </c>
      <c r="J25" s="147">
        <v>812</v>
      </c>
      <c r="K25" s="147">
        <v>983</v>
      </c>
      <c r="L25" s="147">
        <v>915</v>
      </c>
      <c r="M25" s="147">
        <v>1154</v>
      </c>
      <c r="N25" s="147">
        <v>1516</v>
      </c>
      <c r="O25" s="147"/>
      <c r="P25" s="147">
        <v>2211</v>
      </c>
      <c r="Q25" s="211">
        <v>1932</v>
      </c>
      <c r="R25" s="118">
        <f>((Q25/G25)^(1/($H$2-$H$1) ))-1</f>
        <v>0.20712764649738591</v>
      </c>
      <c r="S25" s="31">
        <f t="shared" si="6"/>
        <v>0.15</v>
      </c>
      <c r="T25" s="154">
        <f t="shared" si="2"/>
        <v>2221.7999999999997</v>
      </c>
      <c r="U25" s="154">
        <f t="shared" si="36"/>
        <v>2555.0699999999997</v>
      </c>
      <c r="V25" s="154">
        <f t="shared" si="37"/>
        <v>2938.3304999999996</v>
      </c>
      <c r="W25" s="154">
        <f t="shared" si="38"/>
        <v>3379.0800749999994</v>
      </c>
      <c r="X25" s="154">
        <f t="shared" si="39"/>
        <v>3885.9420862499992</v>
      </c>
      <c r="Y25" s="154">
        <f t="shared" si="40"/>
        <v>4468.8333991874988</v>
      </c>
      <c r="Z25" s="154">
        <f t="shared" si="41"/>
        <v>5139.1584090656233</v>
      </c>
      <c r="AA25" s="154">
        <f t="shared" si="42"/>
        <v>5910.0321704254666</v>
      </c>
      <c r="AB25" s="154">
        <f t="shared" si="43"/>
        <v>6796.536995989286</v>
      </c>
      <c r="AC25" s="154">
        <f t="shared" si="44"/>
        <v>7816.0175453876782</v>
      </c>
      <c r="AD25" s="138">
        <f t="shared" si="18"/>
        <v>0.16718005765494448</v>
      </c>
      <c r="AE25" s="31">
        <f t="shared" si="16"/>
        <v>0.05</v>
      </c>
      <c r="AF25" s="146">
        <f t="shared" si="1"/>
        <v>82068.184226570636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0.23160173160173161</v>
      </c>
      <c r="I26" s="148">
        <f t="shared" ref="I26:P26" si="65">(I25-H25)/I25</f>
        <v>0.3094170403587444</v>
      </c>
      <c r="J26" s="148">
        <f t="shared" si="65"/>
        <v>0.17610837438423646</v>
      </c>
      <c r="K26" s="148">
        <f t="shared" si="65"/>
        <v>0.17395727365208546</v>
      </c>
      <c r="L26" s="148">
        <f t="shared" si="65"/>
        <v>-7.4316939890710379E-2</v>
      </c>
      <c r="M26" s="148">
        <f t="shared" si="65"/>
        <v>0.20710571923743501</v>
      </c>
      <c r="N26" s="148">
        <f t="shared" si="65"/>
        <v>0.23878627968337732</v>
      </c>
      <c r="O26" s="148" t="e">
        <f t="shared" si="65"/>
        <v>#DIV/0!</v>
      </c>
      <c r="P26" s="148">
        <f t="shared" si="65"/>
        <v>1</v>
      </c>
      <c r="Q26" s="213">
        <f t="shared" ref="Q26" si="66">(Q25-P25)/Q25</f>
        <v>-0.14440993788819875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298</v>
      </c>
      <c r="H27" s="147">
        <v>381</v>
      </c>
      <c r="I27" s="147">
        <v>566</v>
      </c>
      <c r="J27" s="147">
        <v>679</v>
      </c>
      <c r="K27" s="147">
        <v>849</v>
      </c>
      <c r="L27" s="147">
        <v>802</v>
      </c>
      <c r="M27" s="147">
        <v>993</v>
      </c>
      <c r="N27" s="147">
        <v>1313</v>
      </c>
      <c r="O27" s="147"/>
      <c r="P27" s="147">
        <v>1902</v>
      </c>
      <c r="Q27" s="211"/>
      <c r="R27" s="118">
        <f>((Q27/G27)^(1/($H$2-$H$1) ))-1</f>
        <v>-1</v>
      </c>
      <c r="S27" s="31">
        <f t="shared" si="6"/>
        <v>0.15</v>
      </c>
      <c r="T27" s="154">
        <f t="shared" si="2"/>
        <v>0</v>
      </c>
      <c r="U27" s="154">
        <f t="shared" si="36"/>
        <v>0</v>
      </c>
      <c r="V27" s="154">
        <f t="shared" si="37"/>
        <v>0</v>
      </c>
      <c r="W27" s="154">
        <f t="shared" si="38"/>
        <v>0</v>
      </c>
      <c r="X27" s="154">
        <f t="shared" si="39"/>
        <v>0</v>
      </c>
      <c r="Y27" s="154">
        <f t="shared" si="40"/>
        <v>0</v>
      </c>
      <c r="Z27" s="154">
        <f t="shared" si="41"/>
        <v>0</v>
      </c>
      <c r="AA27" s="154">
        <f t="shared" si="42"/>
        <v>0</v>
      </c>
      <c r="AB27" s="154">
        <f t="shared" si="43"/>
        <v>0</v>
      </c>
      <c r="AC27" s="154">
        <f t="shared" si="44"/>
        <v>0</v>
      </c>
      <c r="AD27" s="138">
        <f t="shared" si="18"/>
        <v>-1</v>
      </c>
      <c r="AE27" s="31">
        <f t="shared" si="16"/>
        <v>0.05</v>
      </c>
      <c r="AF27" s="146">
        <f t="shared" si="1"/>
        <v>0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P28" si="67">(G27-F27)/G27</f>
        <v>1</v>
      </c>
      <c r="H28" s="148">
        <f t="shared" si="67"/>
        <v>0.2178477690288714</v>
      </c>
      <c r="I28" s="148">
        <f t="shared" si="67"/>
        <v>0.32685512367491165</v>
      </c>
      <c r="J28" s="148">
        <f t="shared" si="67"/>
        <v>0.16642120765832105</v>
      </c>
      <c r="K28" s="148">
        <f t="shared" si="67"/>
        <v>0.20023557126030625</v>
      </c>
      <c r="L28" s="148">
        <f t="shared" si="67"/>
        <v>-5.8603491271820449E-2</v>
      </c>
      <c r="M28" s="148">
        <f t="shared" si="67"/>
        <v>0.19234642497482377</v>
      </c>
      <c r="N28" s="148">
        <f t="shared" si="67"/>
        <v>0.24371667936024372</v>
      </c>
      <c r="O28" s="148" t="e">
        <f t="shared" si="67"/>
        <v>#DIV/0!</v>
      </c>
      <c r="P28" s="148">
        <f t="shared" si="67"/>
        <v>1</v>
      </c>
      <c r="Q28" s="213" t="e">
        <f t="shared" ref="Q28" si="68">(Q27-P27)/Q27</f>
        <v>#DIV/0!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5.2</v>
      </c>
      <c r="H29" s="147">
        <v>6.5</v>
      </c>
      <c r="I29" s="147">
        <v>2.5</v>
      </c>
      <c r="J29" s="147">
        <v>1.5</v>
      </c>
      <c r="K29" s="147">
        <v>1.5</v>
      </c>
      <c r="L29" s="147">
        <v>1.6</v>
      </c>
      <c r="M29" s="147">
        <v>1.2</v>
      </c>
      <c r="N29" s="147">
        <v>1.6</v>
      </c>
      <c r="O29" s="147"/>
      <c r="P29" s="147">
        <v>0.01</v>
      </c>
      <c r="Q29" s="211"/>
      <c r="R29" s="118">
        <f>((Q29/G29)^(1/($H$2-$H$1) ))-1</f>
        <v>-1</v>
      </c>
      <c r="S29" s="31">
        <f t="shared" si="6"/>
        <v>0.15</v>
      </c>
      <c r="T29" s="154">
        <f t="shared" si="2"/>
        <v>0</v>
      </c>
      <c r="U29" s="154">
        <f t="shared" ref="U29" si="69">T29*(1+$S29)</f>
        <v>0</v>
      </c>
      <c r="V29" s="154">
        <f t="shared" ref="V29" si="70">U29*(1+$S29)</f>
        <v>0</v>
      </c>
      <c r="W29" s="154">
        <f t="shared" ref="W29" si="71">V29*(1+$S29)</f>
        <v>0</v>
      </c>
      <c r="X29" s="154">
        <f t="shared" ref="X29" si="72">W29*(1+$S29)</f>
        <v>0</v>
      </c>
      <c r="Y29" s="154">
        <f t="shared" ref="Y29" si="73">X29*(1+$S29)</f>
        <v>0</v>
      </c>
      <c r="Z29" s="154">
        <f t="shared" ref="Z29" si="74">Y29*(1+$S29)</f>
        <v>0</v>
      </c>
      <c r="AA29" s="154">
        <f t="shared" ref="AA29" si="75">Z29*(1+$S29)</f>
        <v>0</v>
      </c>
      <c r="AB29" s="154">
        <f t="shared" ref="AB29" si="76">AA29*(1+$S29)</f>
        <v>0</v>
      </c>
      <c r="AC29" s="154">
        <f t="shared" ref="AC29" si="77">AB29*(1+$S29)</f>
        <v>0</v>
      </c>
      <c r="AD29" s="138">
        <f t="shared" ref="AD29" si="78">((AC29/G29)^(1/($AC$3-$H$1) ))-1</f>
        <v>-1</v>
      </c>
      <c r="AE29" s="31">
        <f t="shared" si="16"/>
        <v>0.05</v>
      </c>
      <c r="AF29" s="146">
        <f t="shared" ref="AF29" si="79">(AC29*(1+AE29))/($C$1-AE29)</f>
        <v>0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P30" si="80">(G29-F29)/G29</f>
        <v>1</v>
      </c>
      <c r="H30" s="148">
        <f t="shared" si="80"/>
        <v>0.19999999999999998</v>
      </c>
      <c r="I30" s="148">
        <f t="shared" si="80"/>
        <v>-1.6</v>
      </c>
      <c r="J30" s="148">
        <f t="shared" si="80"/>
        <v>-0.66666666666666663</v>
      </c>
      <c r="K30" s="148">
        <f t="shared" si="80"/>
        <v>0</v>
      </c>
      <c r="L30" s="148">
        <f t="shared" si="80"/>
        <v>6.2500000000000056E-2</v>
      </c>
      <c r="M30" s="148">
        <f t="shared" si="80"/>
        <v>-0.33333333333333348</v>
      </c>
      <c r="N30" s="148">
        <f t="shared" si="80"/>
        <v>0.25000000000000006</v>
      </c>
      <c r="O30" s="148" t="e">
        <f t="shared" si="80"/>
        <v>#DIV/0!</v>
      </c>
      <c r="P30" s="148">
        <f t="shared" si="80"/>
        <v>1</v>
      </c>
      <c r="Q30" s="213" t="e">
        <f t="shared" ref="Q30" si="81">(Q29-P29)/Q29</f>
        <v>#DIV/0!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211"/>
      <c r="R31" s="118" t="e">
        <f>((Q31/G31)^(1/($H$2-$H$1) ))-1</f>
        <v>#DIV/0!</v>
      </c>
      <c r="S31" s="31">
        <f t="shared" si="6"/>
        <v>0.15</v>
      </c>
      <c r="T31" s="154">
        <f t="shared" si="2"/>
        <v>0</v>
      </c>
      <c r="U31" s="154">
        <f>T31*(1+$S31)</f>
        <v>0</v>
      </c>
      <c r="V31" s="154">
        <f t="shared" ref="V31:AC32" si="82">U31*(1+$S31)</f>
        <v>0</v>
      </c>
      <c r="W31" s="154">
        <f t="shared" si="82"/>
        <v>0</v>
      </c>
      <c r="X31" s="154">
        <f t="shared" si="82"/>
        <v>0</v>
      </c>
      <c r="Y31" s="154">
        <f t="shared" si="82"/>
        <v>0</v>
      </c>
      <c r="Z31" s="154">
        <f t="shared" si="82"/>
        <v>0</v>
      </c>
      <c r="AA31" s="154">
        <f t="shared" si="82"/>
        <v>0</v>
      </c>
      <c r="AB31" s="154">
        <f t="shared" si="82"/>
        <v>0</v>
      </c>
      <c r="AC31" s="154">
        <f t="shared" si="82"/>
        <v>0</v>
      </c>
      <c r="AD31" s="138" t="e">
        <f t="shared" ref="AD31" si="83">((AC31/G31)^(1/($AC$3-$H$1) ))-1</f>
        <v>#DIV/0!</v>
      </c>
      <c r="AE31" s="31">
        <f t="shared" si="16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211"/>
      <c r="R32" s="118" t="e">
        <f>((Q32/G32)^(1/($H$2-$H$1) ))-1</f>
        <v>#DIV/0!</v>
      </c>
      <c r="S32" s="31">
        <f t="shared" si="6"/>
        <v>0.15</v>
      </c>
      <c r="T32" s="154">
        <f t="shared" si="2"/>
        <v>0</v>
      </c>
      <c r="U32" s="154">
        <f>T32*(1+$S32)</f>
        <v>0</v>
      </c>
      <c r="V32" s="154">
        <f t="shared" si="82"/>
        <v>0</v>
      </c>
      <c r="W32" s="154">
        <f t="shared" si="82"/>
        <v>0</v>
      </c>
      <c r="X32" s="154">
        <f t="shared" si="82"/>
        <v>0</v>
      </c>
      <c r="Y32" s="154">
        <f t="shared" si="82"/>
        <v>0</v>
      </c>
      <c r="Z32" s="154">
        <f t="shared" si="82"/>
        <v>0</v>
      </c>
      <c r="AA32" s="154">
        <f t="shared" si="82"/>
        <v>0</v>
      </c>
      <c r="AB32" s="154">
        <f t="shared" si="82"/>
        <v>0</v>
      </c>
      <c r="AC32" s="154">
        <f t="shared" si="82"/>
        <v>0</v>
      </c>
      <c r="AD32" s="138" t="e">
        <f t="shared" ref="AD32" si="84">((AC32/G32)^(1/($AC$3-$H$1) ))-1</f>
        <v>#DIV/0!</v>
      </c>
      <c r="AE32" s="31">
        <f t="shared" si="16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v>214</v>
      </c>
      <c r="H33" s="147">
        <v>270</v>
      </c>
      <c r="I33" s="147">
        <v>426</v>
      </c>
      <c r="J33" s="147">
        <v>502</v>
      </c>
      <c r="K33" s="147">
        <v>636</v>
      </c>
      <c r="L33" s="147">
        <v>586</v>
      </c>
      <c r="M33" s="147">
        <v>748</v>
      </c>
      <c r="N33" s="147">
        <v>1008</v>
      </c>
      <c r="O33" s="147"/>
      <c r="P33" s="147">
        <v>1410</v>
      </c>
      <c r="Q33" s="211"/>
      <c r="R33" s="118">
        <f>((Q33/G33)^(1/($H$2-$H$1) ))-1</f>
        <v>-1</v>
      </c>
      <c r="S33" s="31">
        <f t="shared" si="6"/>
        <v>0.15</v>
      </c>
      <c r="T33" s="154">
        <f t="shared" si="2"/>
        <v>0</v>
      </c>
      <c r="U33" s="154">
        <f t="shared" si="36"/>
        <v>0</v>
      </c>
      <c r="V33" s="154">
        <f t="shared" si="37"/>
        <v>0</v>
      </c>
      <c r="W33" s="154">
        <f t="shared" si="38"/>
        <v>0</v>
      </c>
      <c r="X33" s="154">
        <f t="shared" si="39"/>
        <v>0</v>
      </c>
      <c r="Y33" s="154">
        <f t="shared" si="40"/>
        <v>0</v>
      </c>
      <c r="Z33" s="154">
        <f t="shared" si="41"/>
        <v>0</v>
      </c>
      <c r="AA33" s="154">
        <f t="shared" si="42"/>
        <v>0</v>
      </c>
      <c r="AB33" s="154">
        <f t="shared" si="43"/>
        <v>0</v>
      </c>
      <c r="AC33" s="154">
        <f t="shared" si="44"/>
        <v>0</v>
      </c>
      <c r="AD33" s="138">
        <f t="shared" si="18"/>
        <v>-1</v>
      </c>
      <c r="AE33" s="31">
        <f t="shared" si="16"/>
        <v>0.05</v>
      </c>
      <c r="AF33" s="146">
        <f t="shared" si="1"/>
        <v>0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v>56</v>
      </c>
      <c r="H34" s="147">
        <v>77</v>
      </c>
      <c r="I34" s="147">
        <v>97</v>
      </c>
      <c r="J34" s="147">
        <v>117</v>
      </c>
      <c r="K34" s="147">
        <v>134</v>
      </c>
      <c r="L34" s="147">
        <v>136</v>
      </c>
      <c r="M34" s="147">
        <v>150</v>
      </c>
      <c r="N34" s="147">
        <v>185</v>
      </c>
      <c r="O34" s="147"/>
      <c r="P34" s="147">
        <v>300</v>
      </c>
      <c r="Q34" s="211"/>
      <c r="R34" s="118">
        <f>((Q34/G34)^(1/($H$2-$H$1) ))-1</f>
        <v>-1</v>
      </c>
      <c r="S34" s="31">
        <f t="shared" si="6"/>
        <v>0.15</v>
      </c>
      <c r="T34" s="154">
        <f t="shared" si="2"/>
        <v>0</v>
      </c>
      <c r="U34" s="154">
        <f t="shared" si="36"/>
        <v>0</v>
      </c>
      <c r="V34" s="154">
        <f t="shared" si="37"/>
        <v>0</v>
      </c>
      <c r="W34" s="154">
        <f t="shared" si="38"/>
        <v>0</v>
      </c>
      <c r="X34" s="154">
        <f t="shared" si="39"/>
        <v>0</v>
      </c>
      <c r="Y34" s="154">
        <f t="shared" si="40"/>
        <v>0</v>
      </c>
      <c r="Z34" s="154">
        <f t="shared" si="41"/>
        <v>0</v>
      </c>
      <c r="AA34" s="154">
        <f t="shared" si="42"/>
        <v>0</v>
      </c>
      <c r="AB34" s="154">
        <f t="shared" si="43"/>
        <v>0</v>
      </c>
      <c r="AC34" s="154">
        <f t="shared" si="44"/>
        <v>0</v>
      </c>
      <c r="AD34" s="138">
        <f t="shared" si="18"/>
        <v>-1</v>
      </c>
      <c r="AE34" s="31">
        <f t="shared" si="16"/>
        <v>0.05</v>
      </c>
      <c r="AF34" s="146">
        <f t="shared" si="1"/>
        <v>0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211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56</v>
      </c>
      <c r="H36" s="147">
        <v>78</v>
      </c>
      <c r="I36" s="147">
        <v>105</v>
      </c>
      <c r="J36" s="147">
        <v>132.6</v>
      </c>
      <c r="K36" s="147">
        <v>127</v>
      </c>
      <c r="L36" s="147">
        <v>106</v>
      </c>
      <c r="M36" s="147">
        <v>157</v>
      </c>
      <c r="N36" s="147">
        <v>179</v>
      </c>
      <c r="O36" s="147"/>
      <c r="P36" s="147">
        <v>269</v>
      </c>
      <c r="Q36" s="211">
        <v>214</v>
      </c>
      <c r="R36" s="118">
        <f>((Q36/G36)^(1/($H$2-$H$1) ))-1</f>
        <v>0.16062454170322016</v>
      </c>
      <c r="S36" s="31">
        <f t="shared" si="6"/>
        <v>0.15</v>
      </c>
      <c r="T36" s="154">
        <f t="shared" si="2"/>
        <v>246.1</v>
      </c>
      <c r="U36" s="154">
        <f t="shared" ref="U36" si="85">T36*(1+$S36)</f>
        <v>283.01499999999999</v>
      </c>
      <c r="V36" s="154">
        <f t="shared" ref="V36" si="86">U36*(1+$S36)</f>
        <v>325.46724999999998</v>
      </c>
      <c r="W36" s="154">
        <f t="shared" ref="W36" si="87">V36*(1+$S36)</f>
        <v>374.28733749999992</v>
      </c>
      <c r="X36" s="154">
        <f t="shared" si="39"/>
        <v>430.43043812499985</v>
      </c>
      <c r="Y36" s="154">
        <f t="shared" si="40"/>
        <v>494.99500384374977</v>
      </c>
      <c r="Z36" s="154">
        <f t="shared" si="41"/>
        <v>569.24425442031225</v>
      </c>
      <c r="AA36" s="154">
        <f t="shared" si="42"/>
        <v>654.63089258335901</v>
      </c>
      <c r="AB36" s="154">
        <f t="shared" si="43"/>
        <v>752.82552647086277</v>
      </c>
      <c r="AC36" s="154">
        <f t="shared" si="44"/>
        <v>865.74935544149207</v>
      </c>
      <c r="AD36" s="138">
        <f t="shared" si="18"/>
        <v>0.14672744698261542</v>
      </c>
      <c r="AE36" s="31">
        <f t="shared" si="16"/>
        <v>0.05</v>
      </c>
      <c r="AF36" s="146">
        <f t="shared" si="1"/>
        <v>9090.3682321356682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:P37" si="88">(G36-F36)/G36</f>
        <v>1</v>
      </c>
      <c r="H37" s="148">
        <f t="shared" si="88"/>
        <v>0.28205128205128205</v>
      </c>
      <c r="I37" s="148">
        <f t="shared" si="88"/>
        <v>0.25714285714285712</v>
      </c>
      <c r="J37" s="148">
        <f t="shared" si="88"/>
        <v>0.20814479638009045</v>
      </c>
      <c r="K37" s="148">
        <f t="shared" si="88"/>
        <v>-4.4094488188976336E-2</v>
      </c>
      <c r="L37" s="148">
        <f t="shared" si="88"/>
        <v>-0.19811320754716982</v>
      </c>
      <c r="M37" s="148">
        <f t="shared" si="88"/>
        <v>0.32484076433121017</v>
      </c>
      <c r="N37" s="148">
        <f t="shared" si="88"/>
        <v>0.12290502793296089</v>
      </c>
      <c r="O37" s="148" t="e">
        <f t="shared" si="88"/>
        <v>#DIV/0!</v>
      </c>
      <c r="P37" s="148">
        <f t="shared" si="88"/>
        <v>1</v>
      </c>
      <c r="Q37" s="213">
        <f t="shared" ref="Q37" si="89">(Q36-P36)/Q36</f>
        <v>-0.2570093457943925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401</v>
      </c>
      <c r="C38" s="149"/>
      <c r="D38" s="149"/>
      <c r="E38" s="150"/>
      <c r="F38" s="150"/>
      <c r="G38" s="147">
        <v>41.3</v>
      </c>
      <c r="H38" s="147">
        <v>59</v>
      </c>
      <c r="I38" s="147">
        <v>79</v>
      </c>
      <c r="J38" s="147">
        <v>107</v>
      </c>
      <c r="K38" s="147">
        <v>115</v>
      </c>
      <c r="L38" s="147">
        <v>93</v>
      </c>
      <c r="M38" s="147">
        <v>141</v>
      </c>
      <c r="N38" s="147">
        <v>179</v>
      </c>
      <c r="O38" s="147"/>
      <c r="P38" s="147">
        <v>274</v>
      </c>
      <c r="Q38" s="211"/>
      <c r="R38" s="118">
        <f>((Q38/G38)^(1/($H$2-$H$1) ))-1</f>
        <v>-1</v>
      </c>
      <c r="S38" s="31">
        <f t="shared" si="6"/>
        <v>0.15</v>
      </c>
      <c r="T38" s="154">
        <f t="shared" si="2"/>
        <v>0</v>
      </c>
      <c r="U38" s="154">
        <f t="shared" ref="U38" si="90">T38*(1+$S38)</f>
        <v>0</v>
      </c>
      <c r="V38" s="154">
        <f t="shared" ref="V38" si="91">U38*(1+$S38)</f>
        <v>0</v>
      </c>
      <c r="W38" s="154">
        <f t="shared" ref="W38" si="92">V38*(1+$S38)</f>
        <v>0</v>
      </c>
      <c r="X38" s="154">
        <f t="shared" ref="X38" si="93">W38*(1+$S38)</f>
        <v>0</v>
      </c>
      <c r="Y38" s="154">
        <f t="shared" ref="Y38" si="94">X38*(1+$S38)</f>
        <v>0</v>
      </c>
      <c r="Z38" s="154">
        <f t="shared" ref="Z38" si="95">Y38*(1+$S38)</f>
        <v>0</v>
      </c>
      <c r="AA38" s="154">
        <f t="shared" ref="AA38" si="96">Z38*(1+$S38)</f>
        <v>0</v>
      </c>
      <c r="AB38" s="154">
        <f t="shared" ref="AB38" si="97">AA38*(1+$S38)</f>
        <v>0</v>
      </c>
      <c r="AC38" s="154">
        <f t="shared" ref="AC38" si="98">AB38*(1+$S38)</f>
        <v>0</v>
      </c>
      <c r="AD38" s="138">
        <f t="shared" ref="AD38" si="99">((AC38/G38)^(1/($AC$3-$H$1) ))-1</f>
        <v>-1</v>
      </c>
      <c r="AE38" s="31">
        <f t="shared" si="16"/>
        <v>0.05</v>
      </c>
      <c r="AF38" s="146">
        <f t="shared" ref="AF38" si="100">(AC38*(1+AE38))/($C$1-AE38)</f>
        <v>0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:P39" si="101">(G38-F38)/G38</f>
        <v>1</v>
      </c>
      <c r="H39" s="148">
        <f t="shared" si="101"/>
        <v>0.30000000000000004</v>
      </c>
      <c r="I39" s="148">
        <f t="shared" si="101"/>
        <v>0.25316455696202533</v>
      </c>
      <c r="J39" s="148">
        <f t="shared" si="101"/>
        <v>0.26168224299065418</v>
      </c>
      <c r="K39" s="148">
        <f t="shared" si="101"/>
        <v>6.9565217391304349E-2</v>
      </c>
      <c r="L39" s="148">
        <f t="shared" si="101"/>
        <v>-0.23655913978494625</v>
      </c>
      <c r="M39" s="148">
        <f t="shared" si="101"/>
        <v>0.34042553191489361</v>
      </c>
      <c r="N39" s="148">
        <f t="shared" si="101"/>
        <v>0.21229050279329609</v>
      </c>
      <c r="O39" s="148" t="e">
        <f t="shared" si="101"/>
        <v>#DIV/0!</v>
      </c>
      <c r="P39" s="148">
        <f t="shared" si="101"/>
        <v>1</v>
      </c>
      <c r="Q39" s="213" t="e">
        <f t="shared" ref="Q39" si="102">(Q38-P38)/Q38</f>
        <v>#DIV/0!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402</v>
      </c>
      <c r="C40" s="141"/>
      <c r="D40" s="141"/>
      <c r="E40" s="147"/>
      <c r="F40" s="147"/>
      <c r="G40" s="147">
        <v>26</v>
      </c>
      <c r="H40" s="147">
        <v>39</v>
      </c>
      <c r="I40" s="147">
        <v>51</v>
      </c>
      <c r="J40" s="147">
        <v>71</v>
      </c>
      <c r="K40" s="147">
        <v>78</v>
      </c>
      <c r="L40" s="147">
        <v>61</v>
      </c>
      <c r="M40" s="147">
        <v>95</v>
      </c>
      <c r="N40" s="147">
        <v>123</v>
      </c>
      <c r="O40" s="147"/>
      <c r="P40" s="147">
        <v>191</v>
      </c>
      <c r="Q40" s="211">
        <v>124</v>
      </c>
      <c r="R40" s="118">
        <f>((Q40/G40)^(1/($H$2-$H$1) ))-1</f>
        <v>0.18955122503518651</v>
      </c>
      <c r="S40" s="31">
        <f t="shared" si="6"/>
        <v>0.15</v>
      </c>
      <c r="T40" s="154">
        <f t="shared" si="2"/>
        <v>142.6</v>
      </c>
      <c r="U40" s="154">
        <f t="shared" ref="U40:AC40" si="103">T40*(1+$S40)</f>
        <v>163.98999999999998</v>
      </c>
      <c r="V40" s="154">
        <f t="shared" si="103"/>
        <v>188.58849999999995</v>
      </c>
      <c r="W40" s="154">
        <f t="shared" si="103"/>
        <v>216.87677499999992</v>
      </c>
      <c r="X40" s="154">
        <f t="shared" si="103"/>
        <v>249.40829124999991</v>
      </c>
      <c r="Y40" s="154">
        <f t="shared" si="103"/>
        <v>286.8195349374999</v>
      </c>
      <c r="Z40" s="154">
        <f t="shared" si="103"/>
        <v>329.84246517812488</v>
      </c>
      <c r="AA40" s="154">
        <f t="shared" si="103"/>
        <v>379.31883495484357</v>
      </c>
      <c r="AB40" s="154">
        <f t="shared" si="103"/>
        <v>436.21666019807009</v>
      </c>
      <c r="AC40" s="154">
        <f t="shared" si="103"/>
        <v>501.64915922778056</v>
      </c>
      <c r="AD40" s="138">
        <f t="shared" si="18"/>
        <v>0.159501559358459</v>
      </c>
      <c r="AE40" s="31">
        <f t="shared" si="16"/>
        <v>0.05</v>
      </c>
      <c r="AF40" s="146">
        <f t="shared" si="1"/>
        <v>5267.3161718916963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04">(H40-G40)/H40</f>
        <v>0.33333333333333331</v>
      </c>
      <c r="I41" s="148">
        <f t="shared" si="104"/>
        <v>0.23529411764705882</v>
      </c>
      <c r="J41" s="148">
        <f t="shared" si="104"/>
        <v>0.28169014084507044</v>
      </c>
      <c r="K41" s="148">
        <f t="shared" si="104"/>
        <v>8.9743589743589744E-2</v>
      </c>
      <c r="L41" s="148">
        <f t="shared" si="104"/>
        <v>-0.27868852459016391</v>
      </c>
      <c r="M41" s="148">
        <f t="shared" si="104"/>
        <v>0.35789473684210527</v>
      </c>
      <c r="N41" s="148">
        <f t="shared" si="104"/>
        <v>0.22764227642276422</v>
      </c>
      <c r="O41" s="148" t="e">
        <f t="shared" si="104"/>
        <v>#DIV/0!</v>
      </c>
      <c r="P41" s="148">
        <f t="shared" si="104"/>
        <v>1</v>
      </c>
      <c r="Q41" s="213">
        <f t="shared" ref="Q41" si="105">(Q40-P40)/Q40</f>
        <v>-0.54032258064516125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90">
        <v>2.37</v>
      </c>
      <c r="H42" s="190">
        <v>2.37</v>
      </c>
      <c r="I42" s="190">
        <v>2.37</v>
      </c>
      <c r="J42" s="190">
        <v>2.37</v>
      </c>
      <c r="K42" s="190">
        <v>2.37</v>
      </c>
      <c r="L42" s="190">
        <v>2.37</v>
      </c>
      <c r="M42" s="190">
        <v>2.37</v>
      </c>
      <c r="N42" s="190">
        <v>2.37</v>
      </c>
      <c r="O42" s="190"/>
      <c r="P42" s="190">
        <v>2.37</v>
      </c>
      <c r="Q42" s="214">
        <v>2.37</v>
      </c>
      <c r="R42" s="118">
        <f>((Q42/G42)^(1/($H$2-$H$1) ))-1</f>
        <v>0</v>
      </c>
      <c r="S42" s="31">
        <f>P1</f>
        <v>0.05</v>
      </c>
      <c r="T42" s="154">
        <f t="shared" si="2"/>
        <v>2.4885000000000002</v>
      </c>
      <c r="U42" s="154">
        <f t="shared" ref="U42:AC42" si="106">T42*(1+$S42)</f>
        <v>2.6129250000000002</v>
      </c>
      <c r="V42" s="154">
        <f t="shared" si="106"/>
        <v>2.7435712500000005</v>
      </c>
      <c r="W42" s="154">
        <f t="shared" si="106"/>
        <v>2.8807498125000004</v>
      </c>
      <c r="X42" s="154">
        <f t="shared" si="106"/>
        <v>3.0247873031250005</v>
      </c>
      <c r="Y42" s="154">
        <f t="shared" si="106"/>
        <v>3.1760266682812506</v>
      </c>
      <c r="Z42" s="154">
        <f t="shared" si="106"/>
        <v>3.3348280016953131</v>
      </c>
      <c r="AA42" s="154">
        <f t="shared" si="106"/>
        <v>3.5015694017800789</v>
      </c>
      <c r="AB42" s="154">
        <f t="shared" si="106"/>
        <v>3.6766478718690832</v>
      </c>
      <c r="AC42" s="154">
        <f t="shared" si="106"/>
        <v>3.8604802654625376</v>
      </c>
      <c r="AD42" s="138">
        <f t="shared" si="18"/>
        <v>2.4695076595959931E-2</v>
      </c>
      <c r="AE42" s="31">
        <f t="shared" si="16"/>
        <v>0.05</v>
      </c>
      <c r="AF42" s="146">
        <f t="shared" si="1"/>
        <v>40.535042787356652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0.57805907172995785</v>
      </c>
      <c r="H43" s="148">
        <f t="shared" ref="H43" si="107">(H42-G42)/H42</f>
        <v>0</v>
      </c>
      <c r="I43" s="148">
        <f t="shared" ref="I43" si="108">(I42-H42)/I42</f>
        <v>0</v>
      </c>
      <c r="J43" s="148">
        <f t="shared" ref="J43" si="109">(J42-I42)/J42</f>
        <v>0</v>
      </c>
      <c r="K43" s="148">
        <f t="shared" ref="K43" si="110">(K42-J42)/K42</f>
        <v>0</v>
      </c>
      <c r="L43" s="148">
        <f t="shared" ref="L43" si="111">(L42-K42)/L42</f>
        <v>0</v>
      </c>
      <c r="M43" s="148">
        <f t="shared" ref="M43" si="112">(M42-L42)/M42</f>
        <v>0</v>
      </c>
      <c r="N43" s="148">
        <f t="shared" ref="N43" si="113">(N42-M42)/N42</f>
        <v>0</v>
      </c>
      <c r="O43" s="148" t="e">
        <f t="shared" ref="O43" si="114">(O42-N42)/O42</f>
        <v>#DIV/0!</v>
      </c>
      <c r="P43" s="148">
        <f t="shared" ref="P43:Q43" si="115">(P42-O42)/P42</f>
        <v>1</v>
      </c>
      <c r="Q43" s="213">
        <f t="shared" si="115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90">
        <v>4.5</v>
      </c>
      <c r="H44" s="190">
        <v>3</v>
      </c>
      <c r="I44" s="190">
        <v>4.5</v>
      </c>
      <c r="J44" s="190">
        <v>1</v>
      </c>
      <c r="K44" s="190">
        <v>1</v>
      </c>
      <c r="L44" s="190">
        <v>1</v>
      </c>
      <c r="M44" s="190">
        <v>1</v>
      </c>
      <c r="N44" s="190">
        <v>1</v>
      </c>
      <c r="O44" s="190">
        <v>2</v>
      </c>
      <c r="P44" s="190">
        <v>71</v>
      </c>
      <c r="Q44" s="214">
        <v>50</v>
      </c>
      <c r="R44" s="118">
        <f>((Q44/G44)^(1/($H$2-$H$1) ))-1</f>
        <v>0.30675832854740293</v>
      </c>
      <c r="S44" s="31">
        <f>P1</f>
        <v>0.05</v>
      </c>
      <c r="T44" s="154">
        <f t="shared" si="2"/>
        <v>52.5</v>
      </c>
      <c r="U44" s="154">
        <f t="shared" ref="U44" si="116">T44*(1+$S44)</f>
        <v>55.125</v>
      </c>
      <c r="V44" s="154">
        <f t="shared" ref="V44" si="117">U44*(1+$S44)</f>
        <v>57.881250000000001</v>
      </c>
      <c r="W44" s="154">
        <f t="shared" ref="W44" si="118">V44*(1+$S44)</f>
        <v>60.775312500000005</v>
      </c>
      <c r="X44" s="154">
        <f t="shared" ref="X44" si="119">W44*(1+$S44)</f>
        <v>63.814078125000009</v>
      </c>
      <c r="Y44" s="154">
        <f t="shared" ref="Y44" si="120">X44*(1+$S44)</f>
        <v>67.004782031250016</v>
      </c>
      <c r="Z44" s="154">
        <f t="shared" ref="Z44" si="121">Y44*(1+$S44)</f>
        <v>70.355021132812524</v>
      </c>
      <c r="AA44" s="154">
        <f t="shared" ref="AA44" si="122">Z44*(1+$S44)</f>
        <v>73.872772189453158</v>
      </c>
      <c r="AB44" s="154">
        <f t="shared" ref="AB44" si="123">AA44*(1+$S44)</f>
        <v>77.566410798925816</v>
      </c>
      <c r="AC44" s="154">
        <f t="shared" ref="AC44" si="124">AB44*(1+$S44)</f>
        <v>81.444731338872103</v>
      </c>
      <c r="AD44" s="138">
        <f t="shared" ref="AD44" si="125">((AC44/G44)^(1/($AC$3-$H$1) ))-1</f>
        <v>0.15579955804039036</v>
      </c>
      <c r="AE44" s="31">
        <f t="shared" si="16"/>
        <v>0.05</v>
      </c>
      <c r="AF44" s="146">
        <f t="shared" si="1"/>
        <v>855.16967905815727</v>
      </c>
    </row>
    <row r="45" spans="2:32" x14ac:dyDescent="0.2">
      <c r="B45" s="20" t="s">
        <v>427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211"/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425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211"/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426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211"/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15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15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26">C25/C42</f>
        <v>0</v>
      </c>
      <c r="D50" s="133">
        <f t="shared" si="126"/>
        <v>0</v>
      </c>
      <c r="E50" s="133">
        <f t="shared" si="126"/>
        <v>0</v>
      </c>
      <c r="F50" s="133">
        <f t="shared" si="126"/>
        <v>0</v>
      </c>
      <c r="G50" s="133">
        <f t="shared" si="126"/>
        <v>149.78902953586498</v>
      </c>
      <c r="H50" s="133">
        <f t="shared" si="126"/>
        <v>194.9367088607595</v>
      </c>
      <c r="I50" s="133">
        <f t="shared" si="126"/>
        <v>282.27848101265823</v>
      </c>
      <c r="J50" s="133">
        <f t="shared" si="126"/>
        <v>342.61603375527426</v>
      </c>
      <c r="K50" s="133">
        <f t="shared" si="126"/>
        <v>414.76793248945148</v>
      </c>
      <c r="L50" s="133">
        <f t="shared" si="126"/>
        <v>386.07594936708858</v>
      </c>
      <c r="M50" s="133">
        <f t="shared" si="126"/>
        <v>486.91983122362865</v>
      </c>
      <c r="N50" s="133">
        <f t="shared" si="126"/>
        <v>639.66244725738397</v>
      </c>
      <c r="O50" s="133" t="e">
        <f t="shared" si="126"/>
        <v>#DIV/0!</v>
      </c>
      <c r="P50" s="133">
        <f t="shared" si="126"/>
        <v>932.91139240506322</v>
      </c>
      <c r="Q50" s="133">
        <f t="shared" ref="Q50" si="127">Q25/Q42</f>
        <v>815.18987341772151</v>
      </c>
      <c r="R50" s="118">
        <f>((P50/G50)^(1/($H$2-$H$1) ))-1</f>
        <v>0.22535595441454737</v>
      </c>
      <c r="S50" s="128"/>
      <c r="T50" s="158">
        <f t="shared" ref="T50:AC50" si="128">T25/T42</f>
        <v>892.8270042194091</v>
      </c>
      <c r="U50" s="158">
        <f t="shared" si="128"/>
        <v>977.8581474784005</v>
      </c>
      <c r="V50" s="158">
        <f t="shared" si="128"/>
        <v>1070.9874948572956</v>
      </c>
      <c r="W50" s="158">
        <f t="shared" si="128"/>
        <v>1172.9863038913238</v>
      </c>
      <c r="X50" s="158">
        <f t="shared" si="128"/>
        <v>1284.6992852143069</v>
      </c>
      <c r="Y50" s="158">
        <f t="shared" si="128"/>
        <v>1407.0515980918599</v>
      </c>
      <c r="Z50" s="158">
        <f t="shared" si="128"/>
        <v>1541.0565121958464</v>
      </c>
      <c r="AA50" s="158">
        <f t="shared" si="128"/>
        <v>1687.8237990716411</v>
      </c>
      <c r="AB50" s="158">
        <f t="shared" si="128"/>
        <v>1848.5689227927496</v>
      </c>
      <c r="AC50" s="158">
        <f t="shared" si="128"/>
        <v>2024.6231059158681</v>
      </c>
      <c r="AD50" s="138">
        <f t="shared" ref="AD50" si="129">((AC50/G50)^(1/($AC$3-$H$1) ))-1</f>
        <v>0.13905110340953342</v>
      </c>
      <c r="AE50" s="31">
        <f t="shared" si="16"/>
        <v>0.05</v>
      </c>
      <c r="AF50" s="146">
        <f t="shared" ref="AF50:AF51" si="130">(AC50*(1+AE50))/($C$1-AE50)</f>
        <v>21258.542612116617</v>
      </c>
    </row>
    <row r="51" spans="2:32" x14ac:dyDescent="0.2">
      <c r="B51" s="20" t="s">
        <v>304</v>
      </c>
      <c r="C51" s="133">
        <f t="shared" ref="C51:P51" si="131">C27/C42</f>
        <v>0</v>
      </c>
      <c r="D51" s="133">
        <f t="shared" si="131"/>
        <v>0</v>
      </c>
      <c r="E51" s="133">
        <f t="shared" si="131"/>
        <v>0</v>
      </c>
      <c r="F51" s="133">
        <f t="shared" si="131"/>
        <v>0</v>
      </c>
      <c r="G51" s="133">
        <f t="shared" si="131"/>
        <v>125.73839662447257</v>
      </c>
      <c r="H51" s="133">
        <f t="shared" si="131"/>
        <v>160.75949367088606</v>
      </c>
      <c r="I51" s="133">
        <f t="shared" si="131"/>
        <v>238.81856540084388</v>
      </c>
      <c r="J51" s="133">
        <f t="shared" si="131"/>
        <v>286.49789029535862</v>
      </c>
      <c r="K51" s="133">
        <f t="shared" si="131"/>
        <v>358.22784810126581</v>
      </c>
      <c r="L51" s="133">
        <f t="shared" si="131"/>
        <v>338.39662447257382</v>
      </c>
      <c r="M51" s="133">
        <f t="shared" si="131"/>
        <v>418.98734177215186</v>
      </c>
      <c r="N51" s="133">
        <f t="shared" si="131"/>
        <v>554.00843881856542</v>
      </c>
      <c r="O51" s="133" t="e">
        <f t="shared" si="131"/>
        <v>#DIV/0!</v>
      </c>
      <c r="P51" s="133">
        <f t="shared" si="131"/>
        <v>802.5316455696202</v>
      </c>
      <c r="Q51" s="133">
        <f t="shared" ref="Q51" si="132">Q27/Q42</f>
        <v>0</v>
      </c>
      <c r="R51" s="118">
        <f>((P51/G51)^(1/($H$2-$H$1) ))-1</f>
        <v>0.2286941920276595</v>
      </c>
      <c r="S51" s="128"/>
      <c r="T51" s="158">
        <f t="shared" ref="T51:AC51" si="133">T27/T42</f>
        <v>0</v>
      </c>
      <c r="U51" s="158">
        <f t="shared" si="133"/>
        <v>0</v>
      </c>
      <c r="V51" s="158">
        <f t="shared" si="133"/>
        <v>0</v>
      </c>
      <c r="W51" s="158">
        <f t="shared" si="133"/>
        <v>0</v>
      </c>
      <c r="X51" s="158">
        <f t="shared" si="133"/>
        <v>0</v>
      </c>
      <c r="Y51" s="158">
        <f t="shared" si="133"/>
        <v>0</v>
      </c>
      <c r="Z51" s="158">
        <f t="shared" si="133"/>
        <v>0</v>
      </c>
      <c r="AA51" s="158">
        <f t="shared" si="133"/>
        <v>0</v>
      </c>
      <c r="AB51" s="158">
        <f t="shared" si="133"/>
        <v>0</v>
      </c>
      <c r="AC51" s="158">
        <f t="shared" si="133"/>
        <v>0</v>
      </c>
      <c r="AD51" s="138">
        <f t="shared" ref="AD51" si="134">((AC51/G51)^(1/($AC$3-$H$1) ))-1</f>
        <v>-1</v>
      </c>
      <c r="AE51" s="31">
        <f t="shared" si="16"/>
        <v>0.05</v>
      </c>
      <c r="AF51" s="146">
        <f t="shared" si="130"/>
        <v>0</v>
      </c>
    </row>
    <row r="52" spans="2:32" x14ac:dyDescent="0.2">
      <c r="B52" s="20" t="s">
        <v>428</v>
      </c>
      <c r="C52" s="133"/>
      <c r="D52" s="133"/>
      <c r="E52" s="133"/>
      <c r="F52" s="133"/>
      <c r="G52" s="133">
        <f>G38-G40</f>
        <v>15.299999999999997</v>
      </c>
      <c r="H52" s="133">
        <f t="shared" ref="H52:P52" si="135">H38-H40</f>
        <v>20</v>
      </c>
      <c r="I52" s="133">
        <f t="shared" si="135"/>
        <v>28</v>
      </c>
      <c r="J52" s="133">
        <f t="shared" si="135"/>
        <v>36</v>
      </c>
      <c r="K52" s="133">
        <f t="shared" si="135"/>
        <v>37</v>
      </c>
      <c r="L52" s="133">
        <f t="shared" si="135"/>
        <v>32</v>
      </c>
      <c r="M52" s="133">
        <f t="shared" si="135"/>
        <v>46</v>
      </c>
      <c r="N52" s="133">
        <f t="shared" si="135"/>
        <v>56</v>
      </c>
      <c r="O52" s="133">
        <f t="shared" si="135"/>
        <v>0</v>
      </c>
      <c r="P52" s="133">
        <f t="shared" si="135"/>
        <v>83</v>
      </c>
      <c r="Q52" s="133">
        <f t="shared" ref="Q52" si="136">Q38-Q40</f>
        <v>-124</v>
      </c>
      <c r="R52" s="118">
        <f>((P52/G52)^(1/($H$2-$H$1) ))-1</f>
        <v>0.20669779167685731</v>
      </c>
      <c r="S52" s="128"/>
      <c r="T52" s="133">
        <f t="shared" ref="T52:AC52" si="137">T38-T40</f>
        <v>-142.6</v>
      </c>
      <c r="U52" s="133">
        <f t="shared" si="137"/>
        <v>-163.98999999999998</v>
      </c>
      <c r="V52" s="133">
        <f t="shared" si="137"/>
        <v>-188.58849999999995</v>
      </c>
      <c r="W52" s="133">
        <f t="shared" si="137"/>
        <v>-216.87677499999992</v>
      </c>
      <c r="X52" s="133">
        <f t="shared" si="137"/>
        <v>-249.40829124999991</v>
      </c>
      <c r="Y52" s="133">
        <f t="shared" si="137"/>
        <v>-286.8195349374999</v>
      </c>
      <c r="Z52" s="133">
        <f t="shared" si="137"/>
        <v>-329.84246517812488</v>
      </c>
      <c r="AA52" s="133">
        <f t="shared" si="137"/>
        <v>-379.31883495484357</v>
      </c>
      <c r="AB52" s="133">
        <f t="shared" si="137"/>
        <v>-436.21666019807009</v>
      </c>
      <c r="AC52" s="133">
        <f t="shared" si="137"/>
        <v>-501.64915922778056</v>
      </c>
      <c r="AD52" s="138" t="e">
        <f t="shared" ref="AD52" si="138">((AC52/G52)^(1/($AC$3-$H$1) ))-1</f>
        <v>#NUM!</v>
      </c>
      <c r="AE52" s="31">
        <f t="shared" si="16"/>
        <v>0.05</v>
      </c>
      <c r="AF52" s="146">
        <f t="shared" ref="AF52" si="139">(AC52*(1+AE52))/($C$1-AE52)</f>
        <v>-5267.3161718916963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40">C40/C42</f>
        <v>0</v>
      </c>
      <c r="D54" s="25">
        <f t="shared" si="140"/>
        <v>0</v>
      </c>
      <c r="E54" s="25">
        <f t="shared" si="140"/>
        <v>0</v>
      </c>
      <c r="F54" s="133">
        <f t="shared" si="140"/>
        <v>0</v>
      </c>
      <c r="G54" s="133">
        <f t="shared" si="140"/>
        <v>10.970464135021096</v>
      </c>
      <c r="H54" s="133">
        <f t="shared" si="140"/>
        <v>16.455696202531644</v>
      </c>
      <c r="I54" s="133">
        <f t="shared" si="140"/>
        <v>21.518987341772149</v>
      </c>
      <c r="J54" s="133">
        <f t="shared" si="140"/>
        <v>29.957805907172993</v>
      </c>
      <c r="K54" s="133">
        <f t="shared" si="140"/>
        <v>32.911392405063289</v>
      </c>
      <c r="L54" s="133">
        <f t="shared" si="140"/>
        <v>25.738396624472571</v>
      </c>
      <c r="M54" s="133">
        <f t="shared" si="140"/>
        <v>40.084388185654007</v>
      </c>
      <c r="N54" s="133">
        <f t="shared" si="140"/>
        <v>51.898734177215189</v>
      </c>
      <c r="O54" s="133" t="e">
        <f t="shared" si="140"/>
        <v>#DIV/0!</v>
      </c>
      <c r="P54" s="133">
        <f t="shared" si="140"/>
        <v>80.59071729957806</v>
      </c>
      <c r="Q54" s="133">
        <f t="shared" ref="Q54" si="141">Q40/Q42</f>
        <v>52.320675105485229</v>
      </c>
      <c r="R54" s="118">
        <f>((P54/G54)^(1/($H$2-$H$1) ))-1</f>
        <v>0.2480411098664137</v>
      </c>
      <c r="S54" s="128"/>
      <c r="T54" s="158">
        <f t="shared" ref="T54:AC54" si="142">T40/T42</f>
        <v>57.303596544102867</v>
      </c>
      <c r="U54" s="158">
        <f t="shared" si="142"/>
        <v>62.761081929255518</v>
      </c>
      <c r="V54" s="158">
        <f t="shared" si="142"/>
        <v>68.738327827279832</v>
      </c>
      <c r="W54" s="158">
        <f t="shared" si="142"/>
        <v>75.284835239401716</v>
      </c>
      <c r="X54" s="158">
        <f t="shared" si="142"/>
        <v>82.454819547916159</v>
      </c>
      <c r="Y54" s="158">
        <f t="shared" si="142"/>
        <v>90.307659504860567</v>
      </c>
      <c r="Z54" s="158">
        <f t="shared" si="142"/>
        <v>98.908388981513951</v>
      </c>
      <c r="AA54" s="158">
        <f t="shared" si="142"/>
        <v>108.32823555118192</v>
      </c>
      <c r="AB54" s="158">
        <f t="shared" si="142"/>
        <v>118.64521036558018</v>
      </c>
      <c r="AC54" s="158">
        <f t="shared" si="142"/>
        <v>129.94475420992114</v>
      </c>
      <c r="AD54" s="138">
        <f t="shared" ref="AD54:AD68" si="143">((AC54/G54)^(1/($AC$3-$H$1) ))-1</f>
        <v>0.13155765636185812</v>
      </c>
      <c r="AE54" s="31">
        <f t="shared" si="16"/>
        <v>0.05</v>
      </c>
      <c r="AF54" s="146">
        <f t="shared" ref="AF54:AF82" si="144">(AC54*(1+AE54))/($C$1-AE54)</f>
        <v>1364.4199192041719</v>
      </c>
    </row>
    <row r="55" spans="2:32" x14ac:dyDescent="0.2">
      <c r="B55" s="20" t="s">
        <v>388</v>
      </c>
      <c r="C55" s="133">
        <f t="shared" ref="C55:F55" si="145">C20/C42</f>
        <v>0</v>
      </c>
      <c r="D55" s="133">
        <f t="shared" si="145"/>
        <v>0</v>
      </c>
      <c r="E55" s="133">
        <f t="shared" si="145"/>
        <v>0</v>
      </c>
      <c r="F55" s="133">
        <f t="shared" si="145"/>
        <v>0</v>
      </c>
      <c r="G55" s="133">
        <f>G20/G42</f>
        <v>0</v>
      </c>
      <c r="H55" s="133">
        <f t="shared" ref="H55:P55" si="146">H20/H42</f>
        <v>0</v>
      </c>
      <c r="I55" s="133">
        <f t="shared" si="146"/>
        <v>0</v>
      </c>
      <c r="J55" s="133">
        <f t="shared" si="146"/>
        <v>0</v>
      </c>
      <c r="K55" s="133">
        <f t="shared" si="146"/>
        <v>0</v>
      </c>
      <c r="L55" s="133">
        <f t="shared" si="146"/>
        <v>0</v>
      </c>
      <c r="M55" s="133">
        <f t="shared" si="146"/>
        <v>0</v>
      </c>
      <c r="N55" s="133">
        <f t="shared" si="146"/>
        <v>0</v>
      </c>
      <c r="O55" s="133" t="e">
        <f t="shared" si="146"/>
        <v>#DIV/0!</v>
      </c>
      <c r="P55" s="133">
        <f t="shared" si="146"/>
        <v>0</v>
      </c>
      <c r="Q55" s="133">
        <f t="shared" ref="Q55" si="147">Q20/Q42</f>
        <v>0</v>
      </c>
      <c r="R55" s="118" t="e">
        <f>((P55/G55)^(1/($H$2-$H$1) ))-1</f>
        <v>#DIV/0!</v>
      </c>
      <c r="S55" s="128"/>
      <c r="T55" s="133">
        <f t="shared" ref="T55:AC55" si="148">T20/T42</f>
        <v>0</v>
      </c>
      <c r="U55" s="133">
        <f t="shared" si="148"/>
        <v>0</v>
      </c>
      <c r="V55" s="133">
        <f t="shared" si="148"/>
        <v>0</v>
      </c>
      <c r="W55" s="133">
        <f t="shared" si="148"/>
        <v>0</v>
      </c>
      <c r="X55" s="133">
        <f t="shared" si="148"/>
        <v>0</v>
      </c>
      <c r="Y55" s="133">
        <f t="shared" si="148"/>
        <v>0</v>
      </c>
      <c r="Z55" s="133">
        <f t="shared" si="148"/>
        <v>0</v>
      </c>
      <c r="AA55" s="133">
        <f t="shared" si="148"/>
        <v>0</v>
      </c>
      <c r="AB55" s="133">
        <f t="shared" si="148"/>
        <v>0</v>
      </c>
      <c r="AC55" s="133">
        <f t="shared" si="148"/>
        <v>0</v>
      </c>
      <c r="AD55" s="138" t="e">
        <f t="shared" ref="AD55" si="149">((AC55/G55)^(1/($AC$3-$H$1) ))-1</f>
        <v>#DIV/0!</v>
      </c>
      <c r="AE55" s="31">
        <f t="shared" si="16"/>
        <v>0.05</v>
      </c>
      <c r="AF55" s="146">
        <f t="shared" si="144"/>
        <v>0</v>
      </c>
    </row>
    <row r="56" spans="2:32" x14ac:dyDescent="0.2">
      <c r="B56" s="20" t="s">
        <v>245</v>
      </c>
      <c r="C56" s="25">
        <f t="shared" ref="C56:P56" si="150">C7/C42</f>
        <v>0</v>
      </c>
      <c r="D56" s="25">
        <f t="shared" si="150"/>
        <v>0</v>
      </c>
      <c r="E56" s="25">
        <f t="shared" si="150"/>
        <v>0</v>
      </c>
      <c r="F56" s="133">
        <f t="shared" si="150"/>
        <v>0</v>
      </c>
      <c r="G56" s="133">
        <f t="shared" si="150"/>
        <v>55.696202531645568</v>
      </c>
      <c r="H56" s="133">
        <f t="shared" si="150"/>
        <v>68.776371308016877</v>
      </c>
      <c r="I56" s="133">
        <f t="shared" si="150"/>
        <v>105.90717299578058</v>
      </c>
      <c r="J56" s="133">
        <f t="shared" si="150"/>
        <v>134.59915611814344</v>
      </c>
      <c r="K56" s="133">
        <f t="shared" si="150"/>
        <v>166.24472573839662</v>
      </c>
      <c r="L56" s="133">
        <f t="shared" si="150"/>
        <v>191.13924050632912</v>
      </c>
      <c r="M56" s="133">
        <f t="shared" si="150"/>
        <v>229.957805907173</v>
      </c>
      <c r="N56" s="133">
        <f t="shared" si="150"/>
        <v>279.74683544303798</v>
      </c>
      <c r="O56" s="133" t="e">
        <f t="shared" si="150"/>
        <v>#DIV/0!</v>
      </c>
      <c r="P56" s="133">
        <f t="shared" si="150"/>
        <v>278.48101265822783</v>
      </c>
      <c r="Q56" s="133">
        <f t="shared" ref="Q56" si="151">Q7/Q42</f>
        <v>278.48101265822783</v>
      </c>
      <c r="R56" s="118">
        <f>((P56/G56)^(1/($H$2-$H$1) ))-1</f>
        <v>0.19581317450040192</v>
      </c>
      <c r="S56" s="128"/>
      <c r="T56" s="158">
        <f t="shared" ref="T56:AC56" si="152">T7/T42</f>
        <v>305.00301386377328</v>
      </c>
      <c r="U56" s="158">
        <f t="shared" si="152"/>
        <v>334.05091994603737</v>
      </c>
      <c r="V56" s="158">
        <f t="shared" si="152"/>
        <v>365.86529327423136</v>
      </c>
      <c r="W56" s="158">
        <f t="shared" si="152"/>
        <v>400.70960691939626</v>
      </c>
      <c r="X56" s="158">
        <f t="shared" si="152"/>
        <v>438.87242662600539</v>
      </c>
      <c r="Y56" s="158">
        <f t="shared" si="152"/>
        <v>480.66980059038684</v>
      </c>
      <c r="Z56" s="158">
        <f t="shared" si="152"/>
        <v>526.44787683709023</v>
      </c>
      <c r="AA56" s="158">
        <f t="shared" si="152"/>
        <v>576.585769869194</v>
      </c>
      <c r="AB56" s="158">
        <f t="shared" si="152"/>
        <v>631.49870033292677</v>
      </c>
      <c r="AC56" s="158">
        <f t="shared" si="152"/>
        <v>691.64143369796727</v>
      </c>
      <c r="AD56" s="138">
        <f t="shared" si="143"/>
        <v>0.13423428525957837</v>
      </c>
      <c r="AE56" s="31">
        <f t="shared" si="16"/>
        <v>0.05</v>
      </c>
      <c r="AF56" s="146">
        <f t="shared" si="144"/>
        <v>7262.2350538286573</v>
      </c>
    </row>
    <row r="57" spans="2:32" x14ac:dyDescent="0.2">
      <c r="B57" s="20" t="s">
        <v>246</v>
      </c>
      <c r="C57" s="127">
        <f t="shared" ref="C57:P57" si="153">C6/C42</f>
        <v>0</v>
      </c>
      <c r="D57" s="127">
        <f t="shared" si="153"/>
        <v>0</v>
      </c>
      <c r="E57" s="127">
        <f t="shared" si="153"/>
        <v>0</v>
      </c>
      <c r="F57" s="144">
        <f t="shared" si="153"/>
        <v>0</v>
      </c>
      <c r="G57" s="144">
        <f t="shared" si="153"/>
        <v>45.569620253164558</v>
      </c>
      <c r="H57" s="144">
        <f t="shared" si="153"/>
        <v>58.64978902953586</v>
      </c>
      <c r="I57" s="144">
        <f t="shared" si="153"/>
        <v>95.780590717299575</v>
      </c>
      <c r="J57" s="144">
        <f t="shared" si="153"/>
        <v>124.89451476793248</v>
      </c>
      <c r="K57" s="144">
        <f t="shared" si="153"/>
        <v>156.54008438818565</v>
      </c>
      <c r="L57" s="144">
        <f t="shared" si="153"/>
        <v>181.01265822784811</v>
      </c>
      <c r="M57" s="144">
        <f t="shared" si="153"/>
        <v>219.83122362869199</v>
      </c>
      <c r="N57" s="144">
        <f t="shared" si="153"/>
        <v>270.042194092827</v>
      </c>
      <c r="O57" s="144" t="e">
        <f t="shared" si="153"/>
        <v>#DIV/0!</v>
      </c>
      <c r="P57" s="144">
        <f t="shared" si="153"/>
        <v>268.35443037974682</v>
      </c>
      <c r="Q57" s="144">
        <f t="shared" ref="Q57" si="154">Q6/Q42</f>
        <v>268.35443037974682</v>
      </c>
      <c r="R57" s="118">
        <f>((P57/G57)^(1/($H$2-$H$1) ))-1</f>
        <v>0.21775315165950704</v>
      </c>
      <c r="S57" s="128"/>
      <c r="T57" s="157">
        <f t="shared" ref="T57:AC57" si="155">T6/T42</f>
        <v>293.91199517781791</v>
      </c>
      <c r="U57" s="157">
        <f t="shared" si="155"/>
        <v>321.90361376618154</v>
      </c>
      <c r="V57" s="157">
        <f t="shared" si="155"/>
        <v>352.56110079153206</v>
      </c>
      <c r="W57" s="157">
        <f t="shared" si="155"/>
        <v>386.13834848596366</v>
      </c>
      <c r="X57" s="157">
        <f t="shared" si="155"/>
        <v>422.91342929415066</v>
      </c>
      <c r="Y57" s="157">
        <f t="shared" si="155"/>
        <v>463.19089875073638</v>
      </c>
      <c r="Z57" s="157">
        <f t="shared" si="155"/>
        <v>507.3043176793779</v>
      </c>
      <c r="AA57" s="157">
        <f t="shared" si="155"/>
        <v>555.61901460122328</v>
      </c>
      <c r="AB57" s="157">
        <f t="shared" si="155"/>
        <v>608.53511122991119</v>
      </c>
      <c r="AC57" s="157">
        <f t="shared" si="155"/>
        <v>666.49083610895025</v>
      </c>
      <c r="AD57" s="138">
        <f t="shared" si="143"/>
        <v>0.14355205494338819</v>
      </c>
      <c r="AE57" s="31">
        <f t="shared" si="16"/>
        <v>0.05</v>
      </c>
      <c r="AF57" s="146">
        <f t="shared" si="144"/>
        <v>6998.1537791439787</v>
      </c>
    </row>
    <row r="58" spans="2:32" x14ac:dyDescent="0.2">
      <c r="B58" s="20" t="s">
        <v>247</v>
      </c>
      <c r="C58" s="127">
        <f t="shared" ref="C58:P58" si="156">C10/C42</f>
        <v>0</v>
      </c>
      <c r="D58" s="127">
        <f t="shared" si="156"/>
        <v>0</v>
      </c>
      <c r="E58" s="127">
        <f t="shared" si="156"/>
        <v>0</v>
      </c>
      <c r="F58" s="144">
        <f t="shared" si="156"/>
        <v>0</v>
      </c>
      <c r="G58" s="144">
        <f t="shared" si="156"/>
        <v>27.426160337552741</v>
      </c>
      <c r="H58" s="144">
        <f t="shared" si="156"/>
        <v>22.784810126582279</v>
      </c>
      <c r="I58" s="144">
        <f t="shared" si="156"/>
        <v>4.2194092827004219</v>
      </c>
      <c r="J58" s="144">
        <f t="shared" si="156"/>
        <v>0</v>
      </c>
      <c r="K58" s="144">
        <f t="shared" si="156"/>
        <v>0</v>
      </c>
      <c r="L58" s="144">
        <f t="shared" si="156"/>
        <v>0</v>
      </c>
      <c r="M58" s="144">
        <f t="shared" si="156"/>
        <v>0</v>
      </c>
      <c r="N58" s="144">
        <f t="shared" si="156"/>
        <v>0</v>
      </c>
      <c r="O58" s="144" t="e">
        <f t="shared" si="156"/>
        <v>#DIV/0!</v>
      </c>
      <c r="P58" s="144">
        <f t="shared" si="156"/>
        <v>0</v>
      </c>
      <c r="Q58" s="144">
        <f t="shared" ref="Q58" si="157">Q10/Q42</f>
        <v>0</v>
      </c>
      <c r="R58" s="118">
        <f>((P58/G58)^(1/($H$2-$H$1) ))-1</f>
        <v>-1</v>
      </c>
      <c r="S58" s="128"/>
      <c r="T58" s="157">
        <f t="shared" ref="T58:AC58" si="158">T10/T42</f>
        <v>0</v>
      </c>
      <c r="U58" s="157">
        <f t="shared" si="158"/>
        <v>0</v>
      </c>
      <c r="V58" s="157">
        <f t="shared" si="158"/>
        <v>0</v>
      </c>
      <c r="W58" s="157">
        <f t="shared" si="158"/>
        <v>0</v>
      </c>
      <c r="X58" s="157">
        <f t="shared" si="158"/>
        <v>0</v>
      </c>
      <c r="Y58" s="157">
        <f t="shared" si="158"/>
        <v>0</v>
      </c>
      <c r="Z58" s="157">
        <f t="shared" si="158"/>
        <v>0</v>
      </c>
      <c r="AA58" s="157">
        <f t="shared" si="158"/>
        <v>0</v>
      </c>
      <c r="AB58" s="157">
        <f t="shared" si="158"/>
        <v>0</v>
      </c>
      <c r="AC58" s="157">
        <f t="shared" si="158"/>
        <v>0</v>
      </c>
      <c r="AD58" s="138">
        <f t="shared" si="143"/>
        <v>-1</v>
      </c>
      <c r="AE58" s="31">
        <f t="shared" si="16"/>
        <v>0.05</v>
      </c>
      <c r="AF58" s="146">
        <f t="shared" si="144"/>
        <v>0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59">(C7-C10)/C42</f>
        <v>0</v>
      </c>
      <c r="D60" s="127">
        <f t="shared" si="159"/>
        <v>0</v>
      </c>
      <c r="E60" s="127">
        <f t="shared" si="159"/>
        <v>0</v>
      </c>
      <c r="F60" s="144">
        <f t="shared" si="159"/>
        <v>0</v>
      </c>
      <c r="G60" s="144">
        <f t="shared" si="159"/>
        <v>28.270042194092827</v>
      </c>
      <c r="H60" s="144">
        <f t="shared" si="159"/>
        <v>45.991561181434598</v>
      </c>
      <c r="I60" s="144">
        <f t="shared" si="159"/>
        <v>101.68776371308016</v>
      </c>
      <c r="J60" s="144">
        <f t="shared" si="159"/>
        <v>134.59915611814344</v>
      </c>
      <c r="K60" s="144">
        <f t="shared" si="159"/>
        <v>166.24472573839662</v>
      </c>
      <c r="L60" s="144">
        <f t="shared" si="159"/>
        <v>191.13924050632912</v>
      </c>
      <c r="M60" s="144">
        <f t="shared" si="159"/>
        <v>229.957805907173</v>
      </c>
      <c r="N60" s="144">
        <f t="shared" si="159"/>
        <v>279.74683544303798</v>
      </c>
      <c r="O60" s="144" t="e">
        <f t="shared" si="159"/>
        <v>#DIV/0!</v>
      </c>
      <c r="P60" s="144">
        <f t="shared" si="159"/>
        <v>278.48101265822783</v>
      </c>
      <c r="Q60" s="144">
        <f t="shared" ref="Q60" si="160">(Q7-Q10)/Q42</f>
        <v>278.48101265822783</v>
      </c>
      <c r="R60" s="118">
        <f>((P60/G60)^(1/($H$2-$H$1) ))-1</f>
        <v>0.28939344851508086</v>
      </c>
      <c r="S60" s="128"/>
      <c r="T60" s="157">
        <f t="shared" ref="T60:AC60" si="161">(T7-T10)/T42</f>
        <v>305.00301386377328</v>
      </c>
      <c r="U60" s="157">
        <f t="shared" si="161"/>
        <v>334.05091994603737</v>
      </c>
      <c r="V60" s="157">
        <f t="shared" si="161"/>
        <v>365.86529327423136</v>
      </c>
      <c r="W60" s="157">
        <f t="shared" si="161"/>
        <v>400.70960691939626</v>
      </c>
      <c r="X60" s="157">
        <f t="shared" si="161"/>
        <v>438.87242662600539</v>
      </c>
      <c r="Y60" s="157">
        <f t="shared" si="161"/>
        <v>480.66980059038684</v>
      </c>
      <c r="Z60" s="157">
        <f t="shared" si="161"/>
        <v>526.44787683709023</v>
      </c>
      <c r="AA60" s="157">
        <f t="shared" si="161"/>
        <v>576.585769869194</v>
      </c>
      <c r="AB60" s="157">
        <f t="shared" si="161"/>
        <v>631.49870033292677</v>
      </c>
      <c r="AC60" s="157">
        <f t="shared" si="161"/>
        <v>691.64143369796727</v>
      </c>
      <c r="AD60" s="138">
        <f t="shared" si="143"/>
        <v>0.17335040421664716</v>
      </c>
      <c r="AE60" s="31">
        <f t="shared" si="16"/>
        <v>0.05</v>
      </c>
      <c r="AF60" s="146">
        <f t="shared" si="144"/>
        <v>7262.2350538286573</v>
      </c>
    </row>
    <row r="61" spans="2:32" x14ac:dyDescent="0.2">
      <c r="B61" s="20" t="s">
        <v>271</v>
      </c>
      <c r="C61" s="127">
        <f t="shared" ref="C61:P61" si="162">(C7-C10-C9)/C42</f>
        <v>0</v>
      </c>
      <c r="D61" s="127">
        <f t="shared" si="162"/>
        <v>0</v>
      </c>
      <c r="E61" s="127">
        <f t="shared" si="162"/>
        <v>0</v>
      </c>
      <c r="F61" s="144">
        <f t="shared" si="162"/>
        <v>0</v>
      </c>
      <c r="G61" s="144">
        <f t="shared" si="162"/>
        <v>6.7510548523206744</v>
      </c>
      <c r="H61" s="144">
        <f t="shared" si="162"/>
        <v>18.565400843881857</v>
      </c>
      <c r="I61" s="144">
        <f t="shared" si="162"/>
        <v>66.666666666666657</v>
      </c>
      <c r="J61" s="144">
        <f t="shared" si="162"/>
        <v>90.71729957805907</v>
      </c>
      <c r="K61" s="144">
        <f t="shared" si="162"/>
        <v>121.51898734177215</v>
      </c>
      <c r="L61" s="144">
        <f t="shared" si="162"/>
        <v>141.77215189873417</v>
      </c>
      <c r="M61" s="144">
        <f t="shared" si="162"/>
        <v>169.62025316455694</v>
      </c>
      <c r="N61" s="144">
        <f t="shared" si="162"/>
        <v>208.43881856540082</v>
      </c>
      <c r="O61" s="144" t="e">
        <f t="shared" si="162"/>
        <v>#DIV/0!</v>
      </c>
      <c r="P61" s="144">
        <f t="shared" si="162"/>
        <v>204.64135021097044</v>
      </c>
      <c r="Q61" s="144">
        <f t="shared" ref="Q61" si="163">(Q7-Q10-Q9)/Q42</f>
        <v>204.64135021097044</v>
      </c>
      <c r="R61" s="118">
        <f>((P61/G61)^(1/($H$2-$H$1) ))-1</f>
        <v>0.46091396161055997</v>
      </c>
      <c r="S61" s="128"/>
      <c r="T61" s="157">
        <f t="shared" ref="T61:AC61" si="164">(T7-T10-T9)/T42</f>
        <v>224.13100261201521</v>
      </c>
      <c r="U61" s="157">
        <f t="shared" si="164"/>
        <v>245.4768123845881</v>
      </c>
      <c r="V61" s="157">
        <f t="shared" si="164"/>
        <v>268.85555642121545</v>
      </c>
      <c r="W61" s="157">
        <f t="shared" si="164"/>
        <v>294.46084750895028</v>
      </c>
      <c r="X61" s="157">
        <f t="shared" si="164"/>
        <v>322.50473774789788</v>
      </c>
      <c r="Y61" s="157">
        <f t="shared" si="164"/>
        <v>353.21947467626916</v>
      </c>
      <c r="Z61" s="157">
        <f t="shared" si="164"/>
        <v>386.85942464543757</v>
      </c>
      <c r="AA61" s="157">
        <f t="shared" si="164"/>
        <v>423.70317937357441</v>
      </c>
      <c r="AB61" s="157">
        <f t="shared" si="164"/>
        <v>464.0558631234386</v>
      </c>
      <c r="AC61" s="157">
        <f t="shared" si="164"/>
        <v>508.25165961138515</v>
      </c>
      <c r="AD61" s="138">
        <f t="shared" si="143"/>
        <v>0.24118168492048309</v>
      </c>
      <c r="AE61" s="31">
        <f t="shared" si="16"/>
        <v>0.05</v>
      </c>
      <c r="AF61" s="146">
        <f t="shared" si="144"/>
        <v>5336.6424259195446</v>
      </c>
    </row>
    <row r="62" spans="2:32" x14ac:dyDescent="0.2">
      <c r="B62" s="20" t="s">
        <v>276</v>
      </c>
      <c r="C62" s="127">
        <f t="shared" ref="C62:P62" si="165">(C7+C15-C10-C9)/C42</f>
        <v>0</v>
      </c>
      <c r="D62" s="127">
        <f t="shared" si="165"/>
        <v>0</v>
      </c>
      <c r="E62" s="127">
        <f t="shared" si="165"/>
        <v>0</v>
      </c>
      <c r="F62" s="144">
        <f t="shared" si="165"/>
        <v>0</v>
      </c>
      <c r="G62" s="144">
        <f t="shared" si="165"/>
        <v>28.860759493670887</v>
      </c>
      <c r="H62" s="144">
        <f t="shared" si="165"/>
        <v>46.413502109704638</v>
      </c>
      <c r="I62" s="144">
        <f t="shared" si="165"/>
        <v>110.12658227848101</v>
      </c>
      <c r="J62" s="144">
        <f t="shared" si="165"/>
        <v>150.21097046413502</v>
      </c>
      <c r="K62" s="144">
        <f t="shared" si="165"/>
        <v>191.56118143459915</v>
      </c>
      <c r="L62" s="144">
        <f t="shared" si="165"/>
        <v>205.48523206751054</v>
      </c>
      <c r="M62" s="144">
        <f t="shared" si="165"/>
        <v>250.21097046413502</v>
      </c>
      <c r="N62" s="144">
        <f t="shared" si="165"/>
        <v>305.0632911392405</v>
      </c>
      <c r="O62" s="144" t="e">
        <f t="shared" si="165"/>
        <v>#DIV/0!</v>
      </c>
      <c r="P62" s="144">
        <f t="shared" si="165"/>
        <v>403.37552742616032</v>
      </c>
      <c r="Q62" s="144">
        <f t="shared" ref="Q62" si="166">(Q7+Q15-Q10-Q9)/Q42</f>
        <v>204.64135021097044</v>
      </c>
      <c r="R62" s="118">
        <f>((P62/G62)^(1/($H$2-$H$1) ))-1</f>
        <v>0.34050014599207623</v>
      </c>
      <c r="S62" s="128"/>
      <c r="T62" s="157">
        <f t="shared" ref="T62:AC62" si="167">(T7+T15-T10-T9)/T42</f>
        <v>224.13100261201521</v>
      </c>
      <c r="U62" s="157">
        <f t="shared" si="167"/>
        <v>245.4768123845881</v>
      </c>
      <c r="V62" s="157">
        <f t="shared" si="167"/>
        <v>268.85555642121545</v>
      </c>
      <c r="W62" s="157">
        <f t="shared" si="167"/>
        <v>294.46084750895028</v>
      </c>
      <c r="X62" s="157">
        <f t="shared" si="167"/>
        <v>322.50473774789788</v>
      </c>
      <c r="Y62" s="157">
        <f t="shared" si="167"/>
        <v>353.21947467626916</v>
      </c>
      <c r="Z62" s="157">
        <f t="shared" si="167"/>
        <v>386.85942464543757</v>
      </c>
      <c r="AA62" s="157">
        <f t="shared" si="167"/>
        <v>423.70317937357441</v>
      </c>
      <c r="AB62" s="157">
        <f t="shared" si="167"/>
        <v>464.0558631234386</v>
      </c>
      <c r="AC62" s="157">
        <f t="shared" si="167"/>
        <v>508.25165961138515</v>
      </c>
      <c r="AD62" s="138">
        <f t="shared" si="143"/>
        <v>0.15421988602574865</v>
      </c>
      <c r="AE62" s="31">
        <f t="shared" si="16"/>
        <v>0.05</v>
      </c>
      <c r="AF62" s="146">
        <f t="shared" si="144"/>
        <v>5336.6424259195446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68">C12/C42</f>
        <v>0</v>
      </c>
      <c r="D64" s="127">
        <f t="shared" si="168"/>
        <v>0</v>
      </c>
      <c r="E64" s="127">
        <f t="shared" si="168"/>
        <v>0</v>
      </c>
      <c r="F64" s="144">
        <f t="shared" si="168"/>
        <v>0</v>
      </c>
      <c r="G64" s="144">
        <f t="shared" si="168"/>
        <v>2.6160337552742616</v>
      </c>
      <c r="H64" s="144">
        <f t="shared" si="168"/>
        <v>3.2109704641350207</v>
      </c>
      <c r="I64" s="144">
        <f t="shared" si="168"/>
        <v>5.4852320675105481</v>
      </c>
      <c r="J64" s="144">
        <f t="shared" si="168"/>
        <v>13.502109704641349</v>
      </c>
      <c r="K64" s="144">
        <f t="shared" si="168"/>
        <v>20.253164556962023</v>
      </c>
      <c r="L64" s="144">
        <f t="shared" si="168"/>
        <v>10.970464135021096</v>
      </c>
      <c r="M64" s="144">
        <f t="shared" si="168"/>
        <v>14.767932489451477</v>
      </c>
      <c r="N64" s="144">
        <f t="shared" si="168"/>
        <v>16.033755274261601</v>
      </c>
      <c r="O64" s="144" t="e">
        <f t="shared" si="168"/>
        <v>#DIV/0!</v>
      </c>
      <c r="P64" s="144">
        <f t="shared" si="168"/>
        <v>102.10970464135021</v>
      </c>
      <c r="Q64" s="144">
        <f t="shared" ref="Q64" si="169">Q12/Q42</f>
        <v>102.10970464135021</v>
      </c>
      <c r="R64" s="118">
        <f>((P64/G64)^(1/($H$2-$H$1) ))-1</f>
        <v>0.50253588467952315</v>
      </c>
      <c r="S64" s="128"/>
      <c r="T64" s="157">
        <f t="shared" ref="T64:AC64" si="170">T12/T42</f>
        <v>111.83443841671688</v>
      </c>
      <c r="U64" s="157">
        <f t="shared" si="170"/>
        <v>122.48533731354703</v>
      </c>
      <c r="V64" s="157">
        <f t="shared" si="170"/>
        <v>134.15060753388482</v>
      </c>
      <c r="W64" s="157">
        <f t="shared" si="170"/>
        <v>146.92685587044528</v>
      </c>
      <c r="X64" s="157">
        <f t="shared" si="170"/>
        <v>160.91988976286862</v>
      </c>
      <c r="Y64" s="157">
        <f t="shared" si="170"/>
        <v>176.24559354980846</v>
      </c>
      <c r="Z64" s="157">
        <f t="shared" si="170"/>
        <v>193.03088817359975</v>
      </c>
      <c r="AA64" s="157">
        <f t="shared" si="170"/>
        <v>211.41478228537113</v>
      </c>
      <c r="AB64" s="157">
        <f t="shared" si="170"/>
        <v>231.54952345540642</v>
      </c>
      <c r="AC64" s="157">
        <f t="shared" si="170"/>
        <v>253.60185902258794</v>
      </c>
      <c r="AD64" s="138">
        <f t="shared" si="143"/>
        <v>0.25697156848998848</v>
      </c>
      <c r="AE64" s="31">
        <f t="shared" si="16"/>
        <v>0.05</v>
      </c>
      <c r="AF64" s="146">
        <f t="shared" si="144"/>
        <v>2662.8195197371738</v>
      </c>
    </row>
    <row r="65" spans="2:32" x14ac:dyDescent="0.2">
      <c r="B65" s="20" t="s">
        <v>255</v>
      </c>
      <c r="C65" s="127">
        <f t="shared" ref="C65:P65" si="171">C13/C42</f>
        <v>0</v>
      </c>
      <c r="D65" s="127">
        <f t="shared" si="171"/>
        <v>0</v>
      </c>
      <c r="E65" s="127">
        <f t="shared" si="171"/>
        <v>0</v>
      </c>
      <c r="F65" s="144">
        <f t="shared" si="171"/>
        <v>0</v>
      </c>
      <c r="G65" s="144">
        <f t="shared" si="171"/>
        <v>12.658227848101266</v>
      </c>
      <c r="H65" s="144">
        <f t="shared" si="171"/>
        <v>5.9071729957805905</v>
      </c>
      <c r="I65" s="144">
        <f t="shared" si="171"/>
        <v>11.39240506329114</v>
      </c>
      <c r="J65" s="144">
        <f t="shared" si="171"/>
        <v>26.582278481012658</v>
      </c>
      <c r="K65" s="144">
        <f t="shared" si="171"/>
        <v>29.957805907172993</v>
      </c>
      <c r="L65" s="144">
        <f t="shared" si="171"/>
        <v>44.303797468354425</v>
      </c>
      <c r="M65" s="144">
        <f t="shared" si="171"/>
        <v>40.928270042194093</v>
      </c>
      <c r="N65" s="144">
        <f t="shared" si="171"/>
        <v>31.223628691983119</v>
      </c>
      <c r="O65" s="144" t="e">
        <f t="shared" si="171"/>
        <v>#DIV/0!</v>
      </c>
      <c r="P65" s="144">
        <f t="shared" si="171"/>
        <v>9.7046413502109701</v>
      </c>
      <c r="Q65" s="144">
        <f t="shared" ref="Q65" si="172">Q13/Q42</f>
        <v>0</v>
      </c>
      <c r="R65" s="118">
        <f>((P65/G65)^(1/($H$2-$H$1) ))-1</f>
        <v>-2.909103987625028E-2</v>
      </c>
      <c r="S65" s="128"/>
      <c r="T65" s="157">
        <f t="shared" ref="T65:AC65" si="173">T13/T42</f>
        <v>0</v>
      </c>
      <c r="U65" s="157">
        <f t="shared" si="173"/>
        <v>0</v>
      </c>
      <c r="V65" s="157">
        <f t="shared" si="173"/>
        <v>0</v>
      </c>
      <c r="W65" s="157">
        <f t="shared" si="173"/>
        <v>0</v>
      </c>
      <c r="X65" s="157">
        <f t="shared" si="173"/>
        <v>0</v>
      </c>
      <c r="Y65" s="157">
        <f t="shared" si="173"/>
        <v>0</v>
      </c>
      <c r="Z65" s="157">
        <f t="shared" si="173"/>
        <v>0</v>
      </c>
      <c r="AA65" s="157">
        <f t="shared" si="173"/>
        <v>0</v>
      </c>
      <c r="AB65" s="157">
        <f t="shared" si="173"/>
        <v>0</v>
      </c>
      <c r="AC65" s="157">
        <f t="shared" si="173"/>
        <v>0</v>
      </c>
      <c r="AD65" s="138">
        <f t="shared" si="143"/>
        <v>-1</v>
      </c>
      <c r="AE65" s="31">
        <f t="shared" si="16"/>
        <v>0.05</v>
      </c>
      <c r="AF65" s="146">
        <f t="shared" si="144"/>
        <v>0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74">(D64+D65)</f>
        <v>0</v>
      </c>
      <c r="E66" s="127">
        <f t="shared" si="174"/>
        <v>0</v>
      </c>
      <c r="F66" s="144">
        <f t="shared" si="174"/>
        <v>0</v>
      </c>
      <c r="G66" s="144">
        <f t="shared" si="174"/>
        <v>15.274261603375528</v>
      </c>
      <c r="H66" s="144">
        <f t="shared" si="174"/>
        <v>9.1181434599156113</v>
      </c>
      <c r="I66" s="144">
        <f t="shared" si="174"/>
        <v>16.877637130801688</v>
      </c>
      <c r="J66" s="144">
        <f t="shared" si="174"/>
        <v>40.084388185654007</v>
      </c>
      <c r="K66" s="144">
        <f t="shared" si="174"/>
        <v>50.210970464135016</v>
      </c>
      <c r="L66" s="144">
        <f t="shared" si="174"/>
        <v>55.274261603375521</v>
      </c>
      <c r="M66" s="144">
        <f t="shared" si="174"/>
        <v>55.696202531645568</v>
      </c>
      <c r="N66" s="144">
        <f t="shared" si="174"/>
        <v>47.257383966244717</v>
      </c>
      <c r="O66" s="144" t="e">
        <f t="shared" ref="O66" si="175">(O64+O65)</f>
        <v>#DIV/0!</v>
      </c>
      <c r="P66" s="144">
        <f t="shared" si="174"/>
        <v>111.81434599156117</v>
      </c>
      <c r="Q66" s="144">
        <f t="shared" ref="Q66" si="176">(Q64+Q65)</f>
        <v>102.10970464135021</v>
      </c>
      <c r="R66" s="118">
        <f>((P66/G66)^(1/($H$2-$H$1) ))-1</f>
        <v>0.24755499785450863</v>
      </c>
      <c r="S66" s="128"/>
      <c r="T66" s="157">
        <f t="shared" ref="T66:AC66" si="177">(T64+T65)</f>
        <v>111.83443841671688</v>
      </c>
      <c r="U66" s="157">
        <f t="shared" si="177"/>
        <v>122.48533731354703</v>
      </c>
      <c r="V66" s="157">
        <f t="shared" si="177"/>
        <v>134.15060753388482</v>
      </c>
      <c r="W66" s="157">
        <f t="shared" si="177"/>
        <v>146.92685587044528</v>
      </c>
      <c r="X66" s="157">
        <f t="shared" si="177"/>
        <v>160.91988976286862</v>
      </c>
      <c r="Y66" s="157">
        <f t="shared" si="177"/>
        <v>176.24559354980846</v>
      </c>
      <c r="Z66" s="157">
        <f t="shared" si="177"/>
        <v>193.03088817359975</v>
      </c>
      <c r="AA66" s="157">
        <f t="shared" si="177"/>
        <v>211.41478228537113</v>
      </c>
      <c r="AB66" s="157">
        <f t="shared" si="177"/>
        <v>231.54952345540642</v>
      </c>
      <c r="AC66" s="157">
        <f t="shared" si="177"/>
        <v>253.60185902258794</v>
      </c>
      <c r="AD66" s="138">
        <f t="shared" si="143"/>
        <v>0.15082585505379176</v>
      </c>
      <c r="AE66" s="31">
        <f t="shared" si="16"/>
        <v>0.05</v>
      </c>
      <c r="AF66" s="146">
        <f t="shared" si="144"/>
        <v>2662.8195197371738</v>
      </c>
    </row>
    <row r="67" spans="2:32" x14ac:dyDescent="0.2">
      <c r="B67" s="20" t="s">
        <v>249</v>
      </c>
      <c r="C67" s="127">
        <f t="shared" ref="C67:P67" si="178">C15/C42</f>
        <v>0</v>
      </c>
      <c r="D67" s="127">
        <f t="shared" si="178"/>
        <v>0</v>
      </c>
      <c r="E67" s="127">
        <f t="shared" si="178"/>
        <v>0</v>
      </c>
      <c r="F67" s="144">
        <f t="shared" si="178"/>
        <v>0</v>
      </c>
      <c r="G67" s="144">
        <f t="shared" si="178"/>
        <v>22.109704641350209</v>
      </c>
      <c r="H67" s="144">
        <f t="shared" si="178"/>
        <v>27.848101265822784</v>
      </c>
      <c r="I67" s="144">
        <f t="shared" si="178"/>
        <v>43.459915611814345</v>
      </c>
      <c r="J67" s="144">
        <f t="shared" si="178"/>
        <v>59.493670886075947</v>
      </c>
      <c r="K67" s="144">
        <f t="shared" si="178"/>
        <v>70.042194092827003</v>
      </c>
      <c r="L67" s="144">
        <f t="shared" si="178"/>
        <v>63.713080168776365</v>
      </c>
      <c r="M67" s="144">
        <f t="shared" si="178"/>
        <v>80.59071729957806</v>
      </c>
      <c r="N67" s="144">
        <f t="shared" si="178"/>
        <v>96.624472573839654</v>
      </c>
      <c r="O67" s="144" t="e">
        <f t="shared" si="178"/>
        <v>#DIV/0!</v>
      </c>
      <c r="P67" s="144">
        <f t="shared" si="178"/>
        <v>198.73417721518987</v>
      </c>
      <c r="Q67" s="144">
        <f t="shared" ref="Q67" si="179">Q15/Q42</f>
        <v>0</v>
      </c>
      <c r="R67" s="118">
        <f>((P67/G67)^(1/($H$2-$H$1) ))-1</f>
        <v>0.27633745281160715</v>
      </c>
      <c r="S67" s="128"/>
      <c r="T67" s="157">
        <f t="shared" ref="T67:AC67" si="180">T15/T42</f>
        <v>0</v>
      </c>
      <c r="U67" s="157">
        <f t="shared" si="180"/>
        <v>0</v>
      </c>
      <c r="V67" s="157">
        <f t="shared" si="180"/>
        <v>0</v>
      </c>
      <c r="W67" s="157">
        <f t="shared" si="180"/>
        <v>0</v>
      </c>
      <c r="X67" s="157">
        <f t="shared" si="180"/>
        <v>0</v>
      </c>
      <c r="Y67" s="157">
        <f t="shared" si="180"/>
        <v>0</v>
      </c>
      <c r="Z67" s="157">
        <f t="shared" si="180"/>
        <v>0</v>
      </c>
      <c r="AA67" s="157">
        <f t="shared" si="180"/>
        <v>0</v>
      </c>
      <c r="AB67" s="157">
        <f t="shared" si="180"/>
        <v>0</v>
      </c>
      <c r="AC67" s="157">
        <f t="shared" si="180"/>
        <v>0</v>
      </c>
      <c r="AD67" s="138">
        <f t="shared" si="143"/>
        <v>-1</v>
      </c>
      <c r="AE67" s="31">
        <f t="shared" si="16"/>
        <v>0.05</v>
      </c>
      <c r="AF67" s="146">
        <f t="shared" si="144"/>
        <v>0</v>
      </c>
    </row>
    <row r="68" spans="2:32" x14ac:dyDescent="0.2">
      <c r="B68" s="20" t="s">
        <v>250</v>
      </c>
      <c r="C68" s="127">
        <f t="shared" ref="C68:P68" si="181">C16/C42</f>
        <v>0</v>
      </c>
      <c r="D68" s="127">
        <f t="shared" si="181"/>
        <v>0</v>
      </c>
      <c r="E68" s="127">
        <f t="shared" si="181"/>
        <v>0</v>
      </c>
      <c r="F68" s="144">
        <f t="shared" si="181"/>
        <v>0</v>
      </c>
      <c r="G68" s="144">
        <f t="shared" si="181"/>
        <v>8.0168776371308006</v>
      </c>
      <c r="H68" s="144">
        <f t="shared" si="181"/>
        <v>10.637130801687764</v>
      </c>
      <c r="I68" s="144">
        <f t="shared" si="181"/>
        <v>26.371308016877634</v>
      </c>
      <c r="J68" s="144">
        <f t="shared" si="181"/>
        <v>38.81856540084388</v>
      </c>
      <c r="K68" s="144">
        <f t="shared" si="181"/>
        <v>4.6413502109704643</v>
      </c>
      <c r="L68" s="144">
        <f t="shared" si="181"/>
        <v>43.037974683544299</v>
      </c>
      <c r="M68" s="144">
        <f t="shared" si="181"/>
        <v>100.42194092827003</v>
      </c>
      <c r="N68" s="144">
        <f t="shared" si="181"/>
        <v>147.25738396624473</v>
      </c>
      <c r="O68" s="144" t="e">
        <f t="shared" si="181"/>
        <v>#DIV/0!</v>
      </c>
      <c r="P68" s="144">
        <f t="shared" si="181"/>
        <v>170.46413502109704</v>
      </c>
      <c r="Q68" s="144">
        <f t="shared" ref="Q68" si="182">Q16/Q42</f>
        <v>0</v>
      </c>
      <c r="R68" s="118">
        <f>((P68/G68)^(1/($H$2-$H$1) ))-1</f>
        <v>0.404475591677391</v>
      </c>
      <c r="S68" s="128"/>
      <c r="T68" s="157">
        <f t="shared" ref="T68:AC68" si="183">T16/T42</f>
        <v>0</v>
      </c>
      <c r="U68" s="157">
        <f t="shared" si="183"/>
        <v>0</v>
      </c>
      <c r="V68" s="157">
        <f t="shared" si="183"/>
        <v>0</v>
      </c>
      <c r="W68" s="157">
        <f t="shared" si="183"/>
        <v>0</v>
      </c>
      <c r="X68" s="157">
        <f t="shared" si="183"/>
        <v>0</v>
      </c>
      <c r="Y68" s="157">
        <f t="shared" si="183"/>
        <v>0</v>
      </c>
      <c r="Z68" s="157">
        <f t="shared" si="183"/>
        <v>0</v>
      </c>
      <c r="AA68" s="157">
        <f t="shared" si="183"/>
        <v>0</v>
      </c>
      <c r="AB68" s="157">
        <f t="shared" si="183"/>
        <v>0</v>
      </c>
      <c r="AC68" s="157">
        <f t="shared" si="183"/>
        <v>0</v>
      </c>
      <c r="AD68" s="138">
        <f t="shared" si="143"/>
        <v>-1</v>
      </c>
      <c r="AE68" s="137"/>
      <c r="AF68" s="146">
        <f t="shared" si="144"/>
        <v>0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6"/>
        <v>0.05</v>
      </c>
      <c r="AF69" s="146">
        <f t="shared" si="144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184">D44</f>
        <v>0</v>
      </c>
      <c r="E70" s="159">
        <f t="shared" si="184"/>
        <v>0</v>
      </c>
      <c r="F70" s="159">
        <f t="shared" si="184"/>
        <v>0</v>
      </c>
      <c r="G70" s="159">
        <f t="shared" si="184"/>
        <v>4.5</v>
      </c>
      <c r="H70" s="159">
        <f t="shared" si="184"/>
        <v>3</v>
      </c>
      <c r="I70" s="159">
        <f t="shared" si="184"/>
        <v>4.5</v>
      </c>
      <c r="J70" s="159">
        <f t="shared" si="184"/>
        <v>1</v>
      </c>
      <c r="K70" s="159">
        <f t="shared" si="184"/>
        <v>1</v>
      </c>
      <c r="L70" s="159">
        <f t="shared" si="184"/>
        <v>1</v>
      </c>
      <c r="M70" s="159">
        <f t="shared" si="184"/>
        <v>1</v>
      </c>
      <c r="N70" s="159">
        <f t="shared" si="184"/>
        <v>1</v>
      </c>
      <c r="O70" s="159">
        <f t="shared" si="184"/>
        <v>2</v>
      </c>
      <c r="P70" s="159">
        <f t="shared" si="184"/>
        <v>71</v>
      </c>
      <c r="Q70" s="159">
        <f t="shared" ref="Q70" si="185">Q44</f>
        <v>50</v>
      </c>
      <c r="R70" s="118">
        <f>((P70/G70)^(1/($H$2-$H$1) ))-1</f>
        <v>0.35867693823058411</v>
      </c>
      <c r="S70" s="128"/>
      <c r="T70" s="159">
        <f t="shared" ref="T70:AC70" si="186">T44</f>
        <v>52.5</v>
      </c>
      <c r="U70" s="159">
        <f t="shared" si="186"/>
        <v>55.125</v>
      </c>
      <c r="V70" s="159">
        <f t="shared" si="186"/>
        <v>57.881250000000001</v>
      </c>
      <c r="W70" s="159">
        <f t="shared" si="186"/>
        <v>60.775312500000005</v>
      </c>
      <c r="X70" s="159">
        <f t="shared" si="186"/>
        <v>63.814078125000009</v>
      </c>
      <c r="Y70" s="159">
        <f t="shared" si="186"/>
        <v>67.004782031250016</v>
      </c>
      <c r="Z70" s="159">
        <f t="shared" si="186"/>
        <v>70.355021132812524</v>
      </c>
      <c r="AA70" s="159">
        <f t="shared" si="186"/>
        <v>73.872772189453158</v>
      </c>
      <c r="AB70" s="159">
        <f t="shared" si="186"/>
        <v>77.566410798925816</v>
      </c>
      <c r="AC70" s="159">
        <f t="shared" si="186"/>
        <v>81.444731338872103</v>
      </c>
      <c r="AD70" s="138">
        <f t="shared" ref="AD70" si="187">((AC70/G70)^(1/($AC$3-$H$1) ))-1</f>
        <v>0.15579955804039036</v>
      </c>
      <c r="AE70" s="31">
        <f t="shared" si="16"/>
        <v>0.05</v>
      </c>
      <c r="AF70" s="146">
        <f t="shared" si="144"/>
        <v>855.16967905815727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188">C20+C21</f>
        <v>0</v>
      </c>
      <c r="D72" s="127">
        <f t="shared" si="188"/>
        <v>0</v>
      </c>
      <c r="E72" s="127">
        <f t="shared" si="188"/>
        <v>0</v>
      </c>
      <c r="F72" s="144">
        <f t="shared" si="188"/>
        <v>0</v>
      </c>
      <c r="G72" s="144">
        <f t="shared" si="188"/>
        <v>0</v>
      </c>
      <c r="H72" s="144">
        <f t="shared" si="188"/>
        <v>0</v>
      </c>
      <c r="I72" s="144">
        <f t="shared" si="188"/>
        <v>0</v>
      </c>
      <c r="J72" s="144">
        <f t="shared" si="188"/>
        <v>0</v>
      </c>
      <c r="K72" s="144">
        <f t="shared" si="188"/>
        <v>0</v>
      </c>
      <c r="L72" s="144">
        <f t="shared" si="188"/>
        <v>0</v>
      </c>
      <c r="M72" s="144">
        <f t="shared" si="188"/>
        <v>0</v>
      </c>
      <c r="N72" s="144">
        <f t="shared" si="188"/>
        <v>0</v>
      </c>
      <c r="O72" s="144">
        <f t="shared" si="188"/>
        <v>0</v>
      </c>
      <c r="P72" s="144">
        <f t="shared" si="188"/>
        <v>0</v>
      </c>
      <c r="Q72" s="144">
        <f t="shared" ref="Q72" si="189">Q20+Q21</f>
        <v>0</v>
      </c>
      <c r="R72" s="118" t="e">
        <f>((P72/G72)^(1/($H$2-$H$1) ))-1</f>
        <v>#DIV/0!</v>
      </c>
      <c r="S72" s="128"/>
      <c r="T72" s="144">
        <f t="shared" ref="T72:AC72" si="190">T20+T21</f>
        <v>0</v>
      </c>
      <c r="U72" s="144">
        <f t="shared" si="190"/>
        <v>0</v>
      </c>
      <c r="V72" s="144">
        <f t="shared" si="190"/>
        <v>0</v>
      </c>
      <c r="W72" s="144">
        <f t="shared" si="190"/>
        <v>0</v>
      </c>
      <c r="X72" s="144">
        <f t="shared" si="190"/>
        <v>0</v>
      </c>
      <c r="Y72" s="144">
        <f t="shared" si="190"/>
        <v>0</v>
      </c>
      <c r="Z72" s="144">
        <f t="shared" si="190"/>
        <v>0</v>
      </c>
      <c r="AA72" s="144">
        <f t="shared" si="190"/>
        <v>0</v>
      </c>
      <c r="AB72" s="144">
        <f t="shared" si="190"/>
        <v>0</v>
      </c>
      <c r="AC72" s="144">
        <f t="shared" si="190"/>
        <v>0</v>
      </c>
      <c r="AD72" s="138" t="e">
        <f t="shared" ref="AD72:AD77" si="191">((AC72/G72)^(1/($AC$3-$H$1) ))-1</f>
        <v>#DIV/0!</v>
      </c>
      <c r="AE72" s="31">
        <f t="shared" si="16"/>
        <v>0.05</v>
      </c>
      <c r="AF72" s="146">
        <f t="shared" si="144"/>
        <v>0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192">C72/C42</f>
        <v>0</v>
      </c>
      <c r="D74" s="127">
        <f t="shared" si="192"/>
        <v>0</v>
      </c>
      <c r="E74" s="127">
        <f t="shared" si="192"/>
        <v>0</v>
      </c>
      <c r="F74" s="144">
        <f t="shared" si="192"/>
        <v>0</v>
      </c>
      <c r="G74" s="144">
        <f t="shared" si="192"/>
        <v>0</v>
      </c>
      <c r="H74" s="144">
        <f t="shared" si="192"/>
        <v>0</v>
      </c>
      <c r="I74" s="144">
        <f t="shared" si="192"/>
        <v>0</v>
      </c>
      <c r="J74" s="144">
        <f t="shared" si="192"/>
        <v>0</v>
      </c>
      <c r="K74" s="144">
        <f t="shared" si="192"/>
        <v>0</v>
      </c>
      <c r="L74" s="144">
        <f t="shared" si="192"/>
        <v>0</v>
      </c>
      <c r="M74" s="144">
        <f t="shared" si="192"/>
        <v>0</v>
      </c>
      <c r="N74" s="144">
        <f t="shared" si="192"/>
        <v>0</v>
      </c>
      <c r="O74" s="144" t="e">
        <f t="shared" si="192"/>
        <v>#DIV/0!</v>
      </c>
      <c r="P74" s="144">
        <f t="shared" si="192"/>
        <v>0</v>
      </c>
      <c r="Q74" s="144">
        <f t="shared" ref="Q74" si="193">Q72/Q42</f>
        <v>0</v>
      </c>
      <c r="R74" s="118" t="e">
        <f>((P74/G74)^(1/($H$2-$H$1) ))-1</f>
        <v>#DIV/0!</v>
      </c>
      <c r="S74" s="128"/>
      <c r="T74" s="146">
        <f t="shared" ref="T74:AC74" si="194">T72/T42</f>
        <v>0</v>
      </c>
      <c r="U74" s="146">
        <f t="shared" si="194"/>
        <v>0</v>
      </c>
      <c r="V74" s="146">
        <f t="shared" si="194"/>
        <v>0</v>
      </c>
      <c r="W74" s="146">
        <f t="shared" si="194"/>
        <v>0</v>
      </c>
      <c r="X74" s="146">
        <f t="shared" si="194"/>
        <v>0</v>
      </c>
      <c r="Y74" s="146">
        <f t="shared" si="194"/>
        <v>0</v>
      </c>
      <c r="Z74" s="146">
        <f t="shared" si="194"/>
        <v>0</v>
      </c>
      <c r="AA74" s="146">
        <f t="shared" si="194"/>
        <v>0</v>
      </c>
      <c r="AB74" s="146">
        <f t="shared" si="194"/>
        <v>0</v>
      </c>
      <c r="AC74" s="146">
        <f t="shared" si="194"/>
        <v>0</v>
      </c>
      <c r="AD74" s="138" t="e">
        <f t="shared" si="191"/>
        <v>#DIV/0!</v>
      </c>
      <c r="AE74" s="31">
        <f t="shared" si="16"/>
        <v>0.05</v>
      </c>
      <c r="AF74" s="146">
        <f t="shared" si="144"/>
        <v>0</v>
      </c>
    </row>
    <row r="75" spans="2:32" x14ac:dyDescent="0.2">
      <c r="B75" s="20" t="s">
        <v>287</v>
      </c>
      <c r="C75" s="127">
        <f t="shared" ref="C75:P75" si="195">C20/C42</f>
        <v>0</v>
      </c>
      <c r="D75" s="127">
        <f t="shared" si="195"/>
        <v>0</v>
      </c>
      <c r="E75" s="127">
        <f t="shared" si="195"/>
        <v>0</v>
      </c>
      <c r="F75" s="144">
        <f t="shared" si="195"/>
        <v>0</v>
      </c>
      <c r="G75" s="144">
        <f t="shared" si="195"/>
        <v>0</v>
      </c>
      <c r="H75" s="144">
        <f t="shared" si="195"/>
        <v>0</v>
      </c>
      <c r="I75" s="144">
        <f t="shared" si="195"/>
        <v>0</v>
      </c>
      <c r="J75" s="144">
        <f t="shared" si="195"/>
        <v>0</v>
      </c>
      <c r="K75" s="144">
        <f t="shared" si="195"/>
        <v>0</v>
      </c>
      <c r="L75" s="144">
        <f t="shared" si="195"/>
        <v>0</v>
      </c>
      <c r="M75" s="144">
        <f t="shared" si="195"/>
        <v>0</v>
      </c>
      <c r="N75" s="144">
        <f t="shared" si="195"/>
        <v>0</v>
      </c>
      <c r="O75" s="144" t="e">
        <f t="shared" si="195"/>
        <v>#DIV/0!</v>
      </c>
      <c r="P75" s="144">
        <f t="shared" si="195"/>
        <v>0</v>
      </c>
      <c r="Q75" s="144">
        <f t="shared" ref="Q75" si="196">Q20/Q42</f>
        <v>0</v>
      </c>
      <c r="R75" s="118" t="e">
        <f>((P75/G75)^(1/($H$2-$H$1) ))-1</f>
        <v>#DIV/0!</v>
      </c>
      <c r="S75" s="128"/>
      <c r="T75" s="146">
        <f t="shared" ref="T75:AC75" si="197">T20/T42</f>
        <v>0</v>
      </c>
      <c r="U75" s="146">
        <f t="shared" si="197"/>
        <v>0</v>
      </c>
      <c r="V75" s="146">
        <f t="shared" si="197"/>
        <v>0</v>
      </c>
      <c r="W75" s="146">
        <f t="shared" si="197"/>
        <v>0</v>
      </c>
      <c r="X75" s="146">
        <f t="shared" si="197"/>
        <v>0</v>
      </c>
      <c r="Y75" s="146">
        <f t="shared" si="197"/>
        <v>0</v>
      </c>
      <c r="Z75" s="146">
        <f t="shared" si="197"/>
        <v>0</v>
      </c>
      <c r="AA75" s="146">
        <f t="shared" si="197"/>
        <v>0</v>
      </c>
      <c r="AB75" s="146">
        <f t="shared" si="197"/>
        <v>0</v>
      </c>
      <c r="AC75" s="146">
        <f t="shared" si="197"/>
        <v>0</v>
      </c>
      <c r="AD75" s="138" t="e">
        <f t="shared" si="191"/>
        <v>#DIV/0!</v>
      </c>
      <c r="AE75" s="31">
        <f t="shared" si="16"/>
        <v>0.05</v>
      </c>
      <c r="AF75" s="146">
        <f t="shared" si="144"/>
        <v>0</v>
      </c>
    </row>
    <row r="76" spans="2:32" x14ac:dyDescent="0.2">
      <c r="B76" s="20" t="s">
        <v>288</v>
      </c>
      <c r="C76" s="127">
        <f t="shared" ref="C76:P76" si="198">C21/C42</f>
        <v>0</v>
      </c>
      <c r="D76" s="127">
        <f t="shared" si="198"/>
        <v>0</v>
      </c>
      <c r="E76" s="127">
        <f t="shared" si="198"/>
        <v>0</v>
      </c>
      <c r="F76" s="144">
        <f t="shared" si="198"/>
        <v>0</v>
      </c>
      <c r="G76" s="144">
        <f t="shared" si="198"/>
        <v>0</v>
      </c>
      <c r="H76" s="144">
        <f t="shared" si="198"/>
        <v>0</v>
      </c>
      <c r="I76" s="144">
        <f t="shared" si="198"/>
        <v>0</v>
      </c>
      <c r="J76" s="144">
        <f t="shared" si="198"/>
        <v>0</v>
      </c>
      <c r="K76" s="144">
        <f t="shared" si="198"/>
        <v>0</v>
      </c>
      <c r="L76" s="144">
        <f t="shared" si="198"/>
        <v>0</v>
      </c>
      <c r="M76" s="144">
        <f t="shared" si="198"/>
        <v>0</v>
      </c>
      <c r="N76" s="144">
        <f t="shared" si="198"/>
        <v>0</v>
      </c>
      <c r="O76" s="144" t="e">
        <f t="shared" si="198"/>
        <v>#DIV/0!</v>
      </c>
      <c r="P76" s="144">
        <f t="shared" si="198"/>
        <v>0</v>
      </c>
      <c r="Q76" s="144">
        <f t="shared" ref="Q76" si="199">Q21/Q42</f>
        <v>0</v>
      </c>
      <c r="R76" s="118" t="e">
        <f>((P76/G76)^(1/($H$2-$H$1) ))-1</f>
        <v>#DIV/0!</v>
      </c>
      <c r="S76" s="128"/>
      <c r="T76" s="146">
        <f t="shared" ref="T76:AC76" si="200">T21/T42</f>
        <v>0</v>
      </c>
      <c r="U76" s="146">
        <f t="shared" si="200"/>
        <v>0</v>
      </c>
      <c r="V76" s="146">
        <f t="shared" si="200"/>
        <v>0</v>
      </c>
      <c r="W76" s="146">
        <f t="shared" si="200"/>
        <v>0</v>
      </c>
      <c r="X76" s="146">
        <f t="shared" si="200"/>
        <v>0</v>
      </c>
      <c r="Y76" s="146">
        <f t="shared" si="200"/>
        <v>0</v>
      </c>
      <c r="Z76" s="146">
        <f t="shared" si="200"/>
        <v>0</v>
      </c>
      <c r="AA76" s="146">
        <f t="shared" si="200"/>
        <v>0</v>
      </c>
      <c r="AB76" s="146">
        <f t="shared" si="200"/>
        <v>0</v>
      </c>
      <c r="AC76" s="146">
        <f t="shared" si="200"/>
        <v>0</v>
      </c>
      <c r="AD76" s="138" t="e">
        <f t="shared" si="191"/>
        <v>#DIV/0!</v>
      </c>
      <c r="AE76" s="31">
        <f t="shared" si="16"/>
        <v>0.05</v>
      </c>
      <c r="AF76" s="146">
        <f t="shared" si="144"/>
        <v>0</v>
      </c>
    </row>
    <row r="77" spans="2:32" x14ac:dyDescent="0.2">
      <c r="B77" s="20" t="s">
        <v>289</v>
      </c>
      <c r="C77" s="127">
        <f t="shared" ref="C77:P77" si="201">C22/C42</f>
        <v>0</v>
      </c>
      <c r="D77" s="127">
        <f t="shared" si="201"/>
        <v>0</v>
      </c>
      <c r="E77" s="127">
        <f t="shared" si="201"/>
        <v>0</v>
      </c>
      <c r="F77" s="144">
        <f t="shared" si="201"/>
        <v>0</v>
      </c>
      <c r="G77" s="144">
        <f t="shared" si="201"/>
        <v>0</v>
      </c>
      <c r="H77" s="144">
        <f t="shared" si="201"/>
        <v>0</v>
      </c>
      <c r="I77" s="144">
        <f t="shared" si="201"/>
        <v>0</v>
      </c>
      <c r="J77" s="144">
        <f t="shared" si="201"/>
        <v>0</v>
      </c>
      <c r="K77" s="144">
        <f t="shared" si="201"/>
        <v>0</v>
      </c>
      <c r="L77" s="144">
        <f t="shared" si="201"/>
        <v>0</v>
      </c>
      <c r="M77" s="144">
        <f t="shared" si="201"/>
        <v>0</v>
      </c>
      <c r="N77" s="144">
        <f t="shared" si="201"/>
        <v>0</v>
      </c>
      <c r="O77" s="144" t="e">
        <f t="shared" si="201"/>
        <v>#DIV/0!</v>
      </c>
      <c r="P77" s="144">
        <f t="shared" si="201"/>
        <v>0</v>
      </c>
      <c r="Q77" s="144">
        <f t="shared" ref="Q77" si="202">Q22/Q42</f>
        <v>0</v>
      </c>
      <c r="R77" s="118" t="e">
        <f>((P77/G77)^(1/($H$2-$H$1) ))-1</f>
        <v>#DIV/0!</v>
      </c>
      <c r="S77" s="128"/>
      <c r="T77" s="146">
        <f t="shared" ref="T77:AC77" si="203">T22/T42</f>
        <v>0</v>
      </c>
      <c r="U77" s="146">
        <f t="shared" si="203"/>
        <v>0</v>
      </c>
      <c r="V77" s="146">
        <f t="shared" si="203"/>
        <v>0</v>
      </c>
      <c r="W77" s="146">
        <f t="shared" si="203"/>
        <v>0</v>
      </c>
      <c r="X77" s="146">
        <f t="shared" si="203"/>
        <v>0</v>
      </c>
      <c r="Y77" s="146">
        <f t="shared" si="203"/>
        <v>0</v>
      </c>
      <c r="Z77" s="146">
        <f t="shared" si="203"/>
        <v>0</v>
      </c>
      <c r="AA77" s="146">
        <f t="shared" si="203"/>
        <v>0</v>
      </c>
      <c r="AB77" s="146">
        <f t="shared" si="203"/>
        <v>0</v>
      </c>
      <c r="AC77" s="146">
        <f t="shared" si="203"/>
        <v>0</v>
      </c>
      <c r="AD77" s="138" t="e">
        <f t="shared" si="191"/>
        <v>#DIV/0!</v>
      </c>
      <c r="AE77" s="31">
        <f t="shared" si="16"/>
        <v>0.05</v>
      </c>
      <c r="AF77" s="146">
        <f t="shared" si="144"/>
        <v>0</v>
      </c>
    </row>
    <row r="78" spans="2:32" x14ac:dyDescent="0.2">
      <c r="B78" s="20" t="s">
        <v>296</v>
      </c>
      <c r="C78" s="127">
        <f t="shared" ref="C78:P78" si="204">C23/C42</f>
        <v>0</v>
      </c>
      <c r="D78" s="127">
        <f t="shared" si="204"/>
        <v>0</v>
      </c>
      <c r="E78" s="127">
        <f t="shared" si="204"/>
        <v>0</v>
      </c>
      <c r="F78" s="144">
        <f t="shared" si="204"/>
        <v>0</v>
      </c>
      <c r="G78" s="144">
        <f t="shared" si="204"/>
        <v>0</v>
      </c>
      <c r="H78" s="144">
        <f t="shared" si="204"/>
        <v>0</v>
      </c>
      <c r="I78" s="144">
        <f t="shared" si="204"/>
        <v>0</v>
      </c>
      <c r="J78" s="144">
        <f t="shared" si="204"/>
        <v>0</v>
      </c>
      <c r="K78" s="144">
        <f t="shared" si="204"/>
        <v>0</v>
      </c>
      <c r="L78" s="144">
        <f t="shared" si="204"/>
        <v>0</v>
      </c>
      <c r="M78" s="144">
        <f t="shared" si="204"/>
        <v>0</v>
      </c>
      <c r="N78" s="144">
        <f t="shared" si="204"/>
        <v>0</v>
      </c>
      <c r="O78" s="144" t="e">
        <f t="shared" si="204"/>
        <v>#DIV/0!</v>
      </c>
      <c r="P78" s="144">
        <f t="shared" si="204"/>
        <v>0</v>
      </c>
      <c r="Q78" s="144">
        <f t="shared" ref="Q78" si="205">Q23/Q42</f>
        <v>0</v>
      </c>
      <c r="R78" s="118" t="e">
        <f>((P78/G78)^(1/($H$2-$H$1) ))-1</f>
        <v>#DIV/0!</v>
      </c>
      <c r="S78" s="128"/>
      <c r="T78" s="146">
        <f t="shared" ref="T78:AC78" si="206">T23/T42</f>
        <v>0</v>
      </c>
      <c r="U78" s="146">
        <f t="shared" si="206"/>
        <v>0</v>
      </c>
      <c r="V78" s="146">
        <f t="shared" si="206"/>
        <v>0</v>
      </c>
      <c r="W78" s="146">
        <f t="shared" si="206"/>
        <v>0</v>
      </c>
      <c r="X78" s="146">
        <f t="shared" si="206"/>
        <v>0</v>
      </c>
      <c r="Y78" s="146">
        <f t="shared" si="206"/>
        <v>0</v>
      </c>
      <c r="Z78" s="146">
        <f t="shared" si="206"/>
        <v>0</v>
      </c>
      <c r="AA78" s="146">
        <f t="shared" si="206"/>
        <v>0</v>
      </c>
      <c r="AB78" s="146">
        <f t="shared" si="206"/>
        <v>0</v>
      </c>
      <c r="AC78" s="146">
        <f t="shared" si="206"/>
        <v>0</v>
      </c>
      <c r="AD78" s="138" t="e">
        <f t="shared" ref="AD78" si="207">((AC78/G78)^(1/($AC$3-$H$1) ))-1</f>
        <v>#DIV/0!</v>
      </c>
      <c r="AE78" s="31">
        <f t="shared" si="16"/>
        <v>0.05</v>
      </c>
      <c r="AF78" s="146">
        <f t="shared" si="144"/>
        <v>0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08">C36/C42</f>
        <v>0</v>
      </c>
      <c r="D80" s="144">
        <f t="shared" si="208"/>
        <v>0</v>
      </c>
      <c r="E80" s="144">
        <f t="shared" si="208"/>
        <v>0</v>
      </c>
      <c r="F80" s="144">
        <f t="shared" si="208"/>
        <v>0</v>
      </c>
      <c r="G80" s="144">
        <f t="shared" si="208"/>
        <v>23.628691983122362</v>
      </c>
      <c r="H80" s="144">
        <f t="shared" si="208"/>
        <v>32.911392405063289</v>
      </c>
      <c r="I80" s="144">
        <f t="shared" si="208"/>
        <v>44.303797468354425</v>
      </c>
      <c r="J80" s="144">
        <f t="shared" si="208"/>
        <v>55.949367088607588</v>
      </c>
      <c r="K80" s="144">
        <f t="shared" si="208"/>
        <v>53.586497890295355</v>
      </c>
      <c r="L80" s="144">
        <f t="shared" si="208"/>
        <v>44.725738396624472</v>
      </c>
      <c r="M80" s="144">
        <f t="shared" si="208"/>
        <v>66.244725738396625</v>
      </c>
      <c r="N80" s="144">
        <f t="shared" si="208"/>
        <v>75.527426160337555</v>
      </c>
      <c r="O80" s="144" t="e">
        <f t="shared" si="208"/>
        <v>#DIV/0!</v>
      </c>
      <c r="P80" s="144">
        <f t="shared" si="208"/>
        <v>113.50210970464134</v>
      </c>
      <c r="Q80" s="144">
        <f t="shared" ref="Q80" si="209">Q36/Q42</f>
        <v>90.295358649789023</v>
      </c>
      <c r="R80" s="118">
        <f>((P80/G80)^(1/($H$2-$H$1) ))-1</f>
        <v>0.190499895019554</v>
      </c>
      <c r="S80" s="128"/>
      <c r="T80" s="144">
        <f t="shared" ref="T80:AC80" si="210">T36/T42</f>
        <v>98.894916616435594</v>
      </c>
      <c r="U80" s="144">
        <f t="shared" si="210"/>
        <v>108.31348010371518</v>
      </c>
      <c r="V80" s="144">
        <f t="shared" si="210"/>
        <v>118.62904963740232</v>
      </c>
      <c r="W80" s="144">
        <f t="shared" si="210"/>
        <v>129.92705436477397</v>
      </c>
      <c r="X80" s="144">
        <f t="shared" si="210"/>
        <v>142.30105954237143</v>
      </c>
      <c r="Y80" s="144">
        <f t="shared" si="210"/>
        <v>155.85354140354966</v>
      </c>
      <c r="Z80" s="144">
        <f t="shared" si="210"/>
        <v>170.69673582293535</v>
      </c>
      <c r="AA80" s="144">
        <f t="shared" si="210"/>
        <v>186.95356780607202</v>
      </c>
      <c r="AB80" s="144">
        <f t="shared" si="210"/>
        <v>204.75866950188836</v>
      </c>
      <c r="AC80" s="144">
        <f t="shared" si="210"/>
        <v>224.25949516873482</v>
      </c>
      <c r="AD80" s="138">
        <f t="shared" ref="AD80:AD82" si="211">((AC80/G80)^(1/($AC$3-$H$1) ))-1</f>
        <v>0.11909139916241962</v>
      </c>
      <c r="AE80" s="31">
        <f t="shared" si="16"/>
        <v>0.05</v>
      </c>
      <c r="AF80" s="146">
        <f t="shared" si="144"/>
        <v>2354.724699271716</v>
      </c>
    </row>
    <row r="81" spans="2:32" x14ac:dyDescent="0.2">
      <c r="B81" s="20" t="s">
        <v>312</v>
      </c>
      <c r="C81" s="144">
        <f t="shared" ref="C81:P81" si="212">C40/C42</f>
        <v>0</v>
      </c>
      <c r="D81" s="144">
        <f t="shared" si="212"/>
        <v>0</v>
      </c>
      <c r="E81" s="144">
        <f t="shared" si="212"/>
        <v>0</v>
      </c>
      <c r="F81" s="144">
        <f t="shared" si="212"/>
        <v>0</v>
      </c>
      <c r="G81" s="144">
        <f t="shared" si="212"/>
        <v>10.970464135021096</v>
      </c>
      <c r="H81" s="144">
        <f t="shared" si="212"/>
        <v>16.455696202531644</v>
      </c>
      <c r="I81" s="144">
        <f t="shared" si="212"/>
        <v>21.518987341772149</v>
      </c>
      <c r="J81" s="144">
        <f t="shared" si="212"/>
        <v>29.957805907172993</v>
      </c>
      <c r="K81" s="144">
        <f t="shared" si="212"/>
        <v>32.911392405063289</v>
      </c>
      <c r="L81" s="144">
        <f t="shared" si="212"/>
        <v>25.738396624472571</v>
      </c>
      <c r="M81" s="144">
        <f t="shared" si="212"/>
        <v>40.084388185654007</v>
      </c>
      <c r="N81" s="144">
        <f t="shared" si="212"/>
        <v>51.898734177215189</v>
      </c>
      <c r="O81" s="144" t="e">
        <f t="shared" si="212"/>
        <v>#DIV/0!</v>
      </c>
      <c r="P81" s="144">
        <f t="shared" si="212"/>
        <v>80.59071729957806</v>
      </c>
      <c r="Q81" s="144">
        <f t="shared" ref="Q81" si="213">Q40/Q42</f>
        <v>52.320675105485229</v>
      </c>
      <c r="R81" s="118">
        <f>((P81/G81)^(1/($H$2-$H$1) ))-1</f>
        <v>0.2480411098664137</v>
      </c>
      <c r="S81" s="128"/>
      <c r="T81" s="144">
        <f t="shared" ref="T81:AC81" si="214">T40/T42</f>
        <v>57.303596544102867</v>
      </c>
      <c r="U81" s="144">
        <f t="shared" si="214"/>
        <v>62.761081929255518</v>
      </c>
      <c r="V81" s="144">
        <f t="shared" si="214"/>
        <v>68.738327827279832</v>
      </c>
      <c r="W81" s="144">
        <f t="shared" si="214"/>
        <v>75.284835239401716</v>
      </c>
      <c r="X81" s="144">
        <f t="shared" si="214"/>
        <v>82.454819547916159</v>
      </c>
      <c r="Y81" s="144">
        <f t="shared" si="214"/>
        <v>90.307659504860567</v>
      </c>
      <c r="Z81" s="144">
        <f t="shared" si="214"/>
        <v>98.908388981513951</v>
      </c>
      <c r="AA81" s="144">
        <f t="shared" si="214"/>
        <v>108.32823555118192</v>
      </c>
      <c r="AB81" s="144">
        <f t="shared" si="214"/>
        <v>118.64521036558018</v>
      </c>
      <c r="AC81" s="144">
        <f t="shared" si="214"/>
        <v>129.94475420992114</v>
      </c>
      <c r="AD81" s="138">
        <f t="shared" si="211"/>
        <v>0.13155765636185812</v>
      </c>
      <c r="AE81" s="31">
        <f t="shared" si="16"/>
        <v>0.05</v>
      </c>
      <c r="AF81" s="146">
        <f t="shared" si="144"/>
        <v>1364.4199192041719</v>
      </c>
    </row>
    <row r="82" spans="2:32" x14ac:dyDescent="0.2">
      <c r="B82" s="20" t="s">
        <v>313</v>
      </c>
      <c r="C82" s="144">
        <f t="shared" ref="C82:P82" si="215">C6/C42</f>
        <v>0</v>
      </c>
      <c r="D82" s="144">
        <f t="shared" si="215"/>
        <v>0</v>
      </c>
      <c r="E82" s="144">
        <f t="shared" si="215"/>
        <v>0</v>
      </c>
      <c r="F82" s="144">
        <f t="shared" si="215"/>
        <v>0</v>
      </c>
      <c r="G82" s="144">
        <f t="shared" si="215"/>
        <v>45.569620253164558</v>
      </c>
      <c r="H82" s="144">
        <f t="shared" si="215"/>
        <v>58.64978902953586</v>
      </c>
      <c r="I82" s="144">
        <f t="shared" si="215"/>
        <v>95.780590717299575</v>
      </c>
      <c r="J82" s="144">
        <f t="shared" si="215"/>
        <v>124.89451476793248</v>
      </c>
      <c r="K82" s="144">
        <f t="shared" si="215"/>
        <v>156.54008438818565</v>
      </c>
      <c r="L82" s="144">
        <f t="shared" si="215"/>
        <v>181.01265822784811</v>
      </c>
      <c r="M82" s="144">
        <f t="shared" si="215"/>
        <v>219.83122362869199</v>
      </c>
      <c r="N82" s="144">
        <f t="shared" si="215"/>
        <v>270.042194092827</v>
      </c>
      <c r="O82" s="144" t="e">
        <f t="shared" si="215"/>
        <v>#DIV/0!</v>
      </c>
      <c r="P82" s="144">
        <f t="shared" si="215"/>
        <v>268.35443037974682</v>
      </c>
      <c r="Q82" s="144">
        <f t="shared" ref="Q82" si="216">Q6/Q42</f>
        <v>268.35443037974682</v>
      </c>
      <c r="R82" s="118">
        <f>((P82/G82)^(1/($H$2-$H$1) ))-1</f>
        <v>0.21775315165950704</v>
      </c>
      <c r="S82" s="128"/>
      <c r="T82" s="144">
        <f t="shared" ref="T82:AC82" si="217">T6/T42</f>
        <v>293.91199517781791</v>
      </c>
      <c r="U82" s="144">
        <f t="shared" si="217"/>
        <v>321.90361376618154</v>
      </c>
      <c r="V82" s="144">
        <f t="shared" si="217"/>
        <v>352.56110079153206</v>
      </c>
      <c r="W82" s="144">
        <f t="shared" si="217"/>
        <v>386.13834848596366</v>
      </c>
      <c r="X82" s="144">
        <f t="shared" si="217"/>
        <v>422.91342929415066</v>
      </c>
      <c r="Y82" s="144">
        <f t="shared" si="217"/>
        <v>463.19089875073638</v>
      </c>
      <c r="Z82" s="144">
        <f t="shared" si="217"/>
        <v>507.3043176793779</v>
      </c>
      <c r="AA82" s="144">
        <f t="shared" si="217"/>
        <v>555.61901460122328</v>
      </c>
      <c r="AB82" s="144">
        <f t="shared" si="217"/>
        <v>608.53511122991119</v>
      </c>
      <c r="AC82" s="144">
        <f t="shared" si="217"/>
        <v>666.49083610895025</v>
      </c>
      <c r="AD82" s="138">
        <f t="shared" si="211"/>
        <v>0.14355205494338819</v>
      </c>
      <c r="AE82" s="31">
        <f t="shared" ref="AE82" si="218">$L$1</f>
        <v>0.05</v>
      </c>
      <c r="AF82" s="146">
        <f t="shared" si="144"/>
        <v>6998.1537791439787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19">E36/E25</f>
        <v>#DIV/0!</v>
      </c>
      <c r="F86" s="152" t="e">
        <f t="shared" si="219"/>
        <v>#DIV/0!</v>
      </c>
      <c r="G86" s="152">
        <f t="shared" si="219"/>
        <v>0.15774647887323945</v>
      </c>
      <c r="H86" s="152">
        <f t="shared" si="219"/>
        <v>0.16883116883116883</v>
      </c>
      <c r="I86" s="152">
        <f t="shared" si="219"/>
        <v>0.15695067264573992</v>
      </c>
      <c r="J86" s="152">
        <f t="shared" si="219"/>
        <v>0.16330049261083743</v>
      </c>
      <c r="K86" s="152">
        <f t="shared" si="219"/>
        <v>0.12919633774160733</v>
      </c>
      <c r="L86" s="152">
        <f t="shared" si="219"/>
        <v>0.11584699453551912</v>
      </c>
      <c r="M86" s="152">
        <f t="shared" si="219"/>
        <v>0.13604852686308491</v>
      </c>
      <c r="N86" s="152">
        <f t="shared" si="219"/>
        <v>0.11807387862796834</v>
      </c>
      <c r="O86" s="152" t="e">
        <f t="shared" si="219"/>
        <v>#DIV/0!</v>
      </c>
      <c r="P86" s="152">
        <f t="shared" si="219"/>
        <v>0.1216644052464948</v>
      </c>
      <c r="Q86" s="152">
        <f t="shared" ref="Q86" si="220">Q36/Q25</f>
        <v>0.11076604554865424</v>
      </c>
      <c r="R86" s="118">
        <f t="shared" ref="R86:R137" si="221">((P86/G86)^(1/($H$2-$H$1) ))-1</f>
        <v>-2.8445660438029208E-2</v>
      </c>
      <c r="S86" s="152"/>
      <c r="T86" s="152">
        <f t="shared" ref="T86:AC86" si="222">T36/T25</f>
        <v>0.11076604554865425</v>
      </c>
      <c r="U86" s="152">
        <f t="shared" si="222"/>
        <v>0.11076604554865425</v>
      </c>
      <c r="V86" s="152">
        <f t="shared" si="222"/>
        <v>0.11076604554865425</v>
      </c>
      <c r="W86" s="152">
        <f t="shared" si="222"/>
        <v>0.11076604554865424</v>
      </c>
      <c r="X86" s="152">
        <f t="shared" si="222"/>
        <v>0.11076604554865423</v>
      </c>
      <c r="Y86" s="152">
        <f t="shared" si="222"/>
        <v>0.11076604554865423</v>
      </c>
      <c r="Z86" s="152">
        <f t="shared" si="222"/>
        <v>0.11076604554865423</v>
      </c>
      <c r="AA86" s="152">
        <f t="shared" si="222"/>
        <v>0.11076604554865423</v>
      </c>
      <c r="AB86" s="152">
        <f t="shared" si="222"/>
        <v>0.11076604554865421</v>
      </c>
      <c r="AC86" s="152">
        <f t="shared" si="222"/>
        <v>0.11076604554865421</v>
      </c>
      <c r="AD86" s="138">
        <f t="shared" ref="AD86:AD124" si="223">((AC86/G86)^(1/($AC$3-$H$1) ))-1</f>
        <v>-1.7523098118572777E-2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24">E40/E25</f>
        <v>#DIV/0!</v>
      </c>
      <c r="F87" s="152" t="e">
        <f t="shared" si="224"/>
        <v>#DIV/0!</v>
      </c>
      <c r="G87" s="152">
        <f t="shared" si="224"/>
        <v>7.3239436619718309E-2</v>
      </c>
      <c r="H87" s="152">
        <f t="shared" si="224"/>
        <v>8.4415584415584416E-2</v>
      </c>
      <c r="I87" s="152">
        <f t="shared" si="224"/>
        <v>7.623318385650224E-2</v>
      </c>
      <c r="J87" s="152">
        <f t="shared" si="224"/>
        <v>8.7438423645320201E-2</v>
      </c>
      <c r="K87" s="152">
        <f t="shared" si="224"/>
        <v>7.9348931841302137E-2</v>
      </c>
      <c r="L87" s="152">
        <f t="shared" si="224"/>
        <v>6.6666666666666666E-2</v>
      </c>
      <c r="M87" s="152">
        <f t="shared" si="224"/>
        <v>8.2322357019064124E-2</v>
      </c>
      <c r="N87" s="152">
        <f t="shared" si="224"/>
        <v>8.1134564643799478E-2</v>
      </c>
      <c r="O87" s="152" t="e">
        <f t="shared" si="224"/>
        <v>#DIV/0!</v>
      </c>
      <c r="P87" s="152">
        <f t="shared" si="224"/>
        <v>8.6386250565355038E-2</v>
      </c>
      <c r="Q87" s="152">
        <f t="shared" ref="Q87" si="225">Q40/Q25</f>
        <v>6.4182194616977231E-2</v>
      </c>
      <c r="R87" s="118">
        <f t="shared" si="221"/>
        <v>1.8513114797491514E-2</v>
      </c>
      <c r="S87" s="152"/>
      <c r="T87" s="152">
        <f t="shared" ref="T87:AC87" si="226">T40/T25</f>
        <v>6.4182194616977231E-2</v>
      </c>
      <c r="U87" s="152">
        <f t="shared" si="226"/>
        <v>6.4182194616977231E-2</v>
      </c>
      <c r="V87" s="152">
        <f t="shared" si="226"/>
        <v>6.4182194616977217E-2</v>
      </c>
      <c r="W87" s="152">
        <f t="shared" si="226"/>
        <v>6.4182194616977217E-2</v>
      </c>
      <c r="X87" s="152">
        <f t="shared" si="226"/>
        <v>6.4182194616977217E-2</v>
      </c>
      <c r="Y87" s="152">
        <f t="shared" si="226"/>
        <v>6.4182194616977217E-2</v>
      </c>
      <c r="Z87" s="152">
        <f t="shared" si="226"/>
        <v>6.4182194616977217E-2</v>
      </c>
      <c r="AA87" s="152">
        <f t="shared" si="226"/>
        <v>6.4182194616977217E-2</v>
      </c>
      <c r="AB87" s="152">
        <f t="shared" si="226"/>
        <v>6.4182194616977217E-2</v>
      </c>
      <c r="AC87" s="152">
        <f t="shared" si="226"/>
        <v>6.4182194616977217E-2</v>
      </c>
      <c r="AD87" s="138">
        <f t="shared" si="223"/>
        <v>-6.5786750262962768E-3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27">E40/E7</f>
        <v>#DIV/0!</v>
      </c>
      <c r="F88" s="152" t="e">
        <f t="shared" si="227"/>
        <v>#DIV/0!</v>
      </c>
      <c r="G88" s="152">
        <f>G40/G7</f>
        <v>0.19696969696969696</v>
      </c>
      <c r="H88" s="152">
        <f t="shared" si="227"/>
        <v>0.2392638036809816</v>
      </c>
      <c r="I88" s="152">
        <f t="shared" si="227"/>
        <v>0.20318725099601595</v>
      </c>
      <c r="J88" s="152">
        <f t="shared" si="227"/>
        <v>0.2225705329153605</v>
      </c>
      <c r="K88" s="152">
        <f t="shared" si="227"/>
        <v>0.19796954314720813</v>
      </c>
      <c r="L88" s="152">
        <f t="shared" si="227"/>
        <v>0.13465783664459161</v>
      </c>
      <c r="M88" s="152">
        <f t="shared" si="227"/>
        <v>0.1743119266055046</v>
      </c>
      <c r="N88" s="152">
        <f t="shared" si="227"/>
        <v>0.18552036199095023</v>
      </c>
      <c r="O88" s="152" t="e">
        <f t="shared" si="227"/>
        <v>#DIV/0!</v>
      </c>
      <c r="P88" s="152">
        <f t="shared" ref="P88:Q88" si="228">P40/P7</f>
        <v>0.28939393939393937</v>
      </c>
      <c r="Q88" s="152">
        <f t="shared" si="228"/>
        <v>0.18787878787878787</v>
      </c>
      <c r="R88" s="118">
        <f t="shared" si="221"/>
        <v>4.3675664794236679E-2</v>
      </c>
      <c r="S88" s="20"/>
      <c r="T88" s="152">
        <f t="shared" ref="T88" si="229">T40/T7</f>
        <v>0.1878787878787879</v>
      </c>
      <c r="U88" s="152">
        <f t="shared" ref="U88:AC88" si="230">U40/U7</f>
        <v>0.1878787878787879</v>
      </c>
      <c r="V88" s="152">
        <f t="shared" si="230"/>
        <v>0.1878787878787879</v>
      </c>
      <c r="W88" s="152">
        <f t="shared" si="230"/>
        <v>0.18787878787878787</v>
      </c>
      <c r="X88" s="152">
        <f t="shared" si="230"/>
        <v>0.18787878787878787</v>
      </c>
      <c r="Y88" s="152">
        <f t="shared" si="230"/>
        <v>0.1878787878787879</v>
      </c>
      <c r="Z88" s="152">
        <f t="shared" si="230"/>
        <v>0.1878787878787879</v>
      </c>
      <c r="AA88" s="152">
        <f t="shared" si="230"/>
        <v>0.1878787878787879</v>
      </c>
      <c r="AB88" s="152">
        <f t="shared" si="230"/>
        <v>0.1878787878787879</v>
      </c>
      <c r="AC88" s="152">
        <f t="shared" si="230"/>
        <v>0.1878787878787879</v>
      </c>
      <c r="AD88" s="138">
        <f t="shared" si="223"/>
        <v>-2.3598553954025103E-3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31">(E40)/(E7+E10)</f>
        <v>#DIV/0!</v>
      </c>
      <c r="F89" s="152" t="e">
        <f t="shared" si="231"/>
        <v>#DIV/0!</v>
      </c>
      <c r="G89" s="152">
        <f>(G40)/(G7+G10)</f>
        <v>0.13197969543147209</v>
      </c>
      <c r="H89" s="152">
        <f t="shared" ref="H89:O89" si="232">(H40)/(H7+H10)</f>
        <v>0.17972350230414746</v>
      </c>
      <c r="I89" s="152">
        <f t="shared" si="232"/>
        <v>0.19540229885057472</v>
      </c>
      <c r="J89" s="152">
        <f t="shared" si="232"/>
        <v>0.2225705329153605</v>
      </c>
      <c r="K89" s="152">
        <f t="shared" si="232"/>
        <v>0.19796954314720813</v>
      </c>
      <c r="L89" s="152">
        <f t="shared" si="232"/>
        <v>0.13465783664459161</v>
      </c>
      <c r="M89" s="152">
        <f t="shared" si="232"/>
        <v>0.1743119266055046</v>
      </c>
      <c r="N89" s="152">
        <f t="shared" si="232"/>
        <v>0.18552036199095023</v>
      </c>
      <c r="O89" s="152" t="e">
        <f t="shared" si="232"/>
        <v>#DIV/0!</v>
      </c>
      <c r="P89" s="152">
        <f t="shared" ref="P89:Q89" si="233">(P40)/(P7+P10)</f>
        <v>0.28939393939393937</v>
      </c>
      <c r="Q89" s="152">
        <f t="shared" si="233"/>
        <v>0.18787878787878787</v>
      </c>
      <c r="R89" s="118">
        <f t="shared" si="221"/>
        <v>9.1156196568342507E-2</v>
      </c>
      <c r="S89" s="20"/>
      <c r="T89" s="152">
        <f t="shared" ref="T89:AC89" si="234">(T40)/(T7+T10)</f>
        <v>0.1878787878787879</v>
      </c>
      <c r="U89" s="152">
        <f t="shared" si="234"/>
        <v>0.1878787878787879</v>
      </c>
      <c r="V89" s="152">
        <f t="shared" si="234"/>
        <v>0.1878787878787879</v>
      </c>
      <c r="W89" s="152">
        <f t="shared" si="234"/>
        <v>0.18787878787878787</v>
      </c>
      <c r="X89" s="152">
        <f t="shared" si="234"/>
        <v>0.18787878787878787</v>
      </c>
      <c r="Y89" s="152">
        <f t="shared" si="234"/>
        <v>0.1878787878787879</v>
      </c>
      <c r="Z89" s="152">
        <f t="shared" si="234"/>
        <v>0.1878787878787879</v>
      </c>
      <c r="AA89" s="152">
        <f t="shared" si="234"/>
        <v>0.1878787878787879</v>
      </c>
      <c r="AB89" s="152">
        <f t="shared" si="234"/>
        <v>0.1878787878787879</v>
      </c>
      <c r="AC89" s="152">
        <f t="shared" si="234"/>
        <v>0.1878787878787879</v>
      </c>
      <c r="AD89" s="138">
        <f t="shared" si="223"/>
        <v>1.781426038624434E-2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0</v>
      </c>
      <c r="H90" s="152">
        <f t="shared" ref="H90:P90" si="235">H20/H25</f>
        <v>0</v>
      </c>
      <c r="I90" s="152">
        <f t="shared" si="235"/>
        <v>0</v>
      </c>
      <c r="J90" s="152">
        <f t="shared" si="235"/>
        <v>0</v>
      </c>
      <c r="K90" s="152">
        <f t="shared" si="235"/>
        <v>0</v>
      </c>
      <c r="L90" s="152">
        <f t="shared" si="235"/>
        <v>0</v>
      </c>
      <c r="M90" s="152">
        <f t="shared" si="235"/>
        <v>0</v>
      </c>
      <c r="N90" s="152">
        <f t="shared" si="235"/>
        <v>0</v>
      </c>
      <c r="O90" s="152" t="e">
        <f t="shared" si="235"/>
        <v>#DIV/0!</v>
      </c>
      <c r="P90" s="152">
        <f t="shared" si="235"/>
        <v>0</v>
      </c>
      <c r="Q90" s="152">
        <f t="shared" ref="Q90" si="236">Q20/Q25</f>
        <v>0</v>
      </c>
      <c r="R90" s="118" t="e">
        <f t="shared" si="221"/>
        <v>#DIV/0!</v>
      </c>
      <c r="S90" s="20"/>
      <c r="T90" s="152">
        <f t="shared" ref="T90:AC90" si="237">T20/T25</f>
        <v>0</v>
      </c>
      <c r="U90" s="152">
        <f t="shared" si="237"/>
        <v>0</v>
      </c>
      <c r="V90" s="152">
        <f t="shared" si="237"/>
        <v>0</v>
      </c>
      <c r="W90" s="152">
        <f t="shared" si="237"/>
        <v>0</v>
      </c>
      <c r="X90" s="152">
        <f t="shared" si="237"/>
        <v>0</v>
      </c>
      <c r="Y90" s="152">
        <f t="shared" si="237"/>
        <v>0</v>
      </c>
      <c r="Z90" s="152">
        <f t="shared" si="237"/>
        <v>0</v>
      </c>
      <c r="AA90" s="152">
        <f t="shared" si="237"/>
        <v>0</v>
      </c>
      <c r="AB90" s="152">
        <f t="shared" si="237"/>
        <v>0</v>
      </c>
      <c r="AC90" s="152">
        <f t="shared" si="237"/>
        <v>0</v>
      </c>
      <c r="AD90" s="138" t="e">
        <f t="shared" si="223"/>
        <v>#DIV/0!</v>
      </c>
      <c r="AE90" s="146"/>
      <c r="AF90" s="146"/>
    </row>
    <row r="91" spans="2:32" x14ac:dyDescent="0.2">
      <c r="B91" s="20" t="s">
        <v>429</v>
      </c>
      <c r="C91" s="152"/>
      <c r="D91" s="152"/>
      <c r="E91" s="152"/>
      <c r="F91" s="152"/>
      <c r="G91" s="152">
        <f>G52/G25</f>
        <v>4.3098591549295767E-2</v>
      </c>
      <c r="H91" s="152">
        <f t="shared" ref="H91:P91" si="238">H52/H25</f>
        <v>4.3290043290043288E-2</v>
      </c>
      <c r="I91" s="152">
        <f t="shared" si="238"/>
        <v>4.1853512705530643E-2</v>
      </c>
      <c r="J91" s="152">
        <f t="shared" si="238"/>
        <v>4.4334975369458129E-2</v>
      </c>
      <c r="K91" s="152">
        <f t="shared" si="238"/>
        <v>3.7639877924720247E-2</v>
      </c>
      <c r="L91" s="152">
        <f t="shared" si="238"/>
        <v>3.4972677595628415E-2</v>
      </c>
      <c r="M91" s="152">
        <f t="shared" si="238"/>
        <v>3.9861351819757362E-2</v>
      </c>
      <c r="N91" s="152">
        <f t="shared" si="238"/>
        <v>3.6939313984168866E-2</v>
      </c>
      <c r="O91" s="152" t="e">
        <f t="shared" si="238"/>
        <v>#DIV/0!</v>
      </c>
      <c r="P91" s="152">
        <f t="shared" si="238"/>
        <v>3.7539574853007691E-2</v>
      </c>
      <c r="Q91" s="152">
        <f t="shared" ref="Q91" si="239">Q52/Q25</f>
        <v>-6.4182194616977231E-2</v>
      </c>
      <c r="R91" s="118">
        <f t="shared" si="221"/>
        <v>-1.5226728748059859E-2</v>
      </c>
      <c r="S91" s="20"/>
      <c r="T91" s="152">
        <f t="shared" ref="T91:AC91" si="240">T52/T25</f>
        <v>-6.4182194616977231E-2</v>
      </c>
      <c r="U91" s="152">
        <f t="shared" si="240"/>
        <v>-6.4182194616977231E-2</v>
      </c>
      <c r="V91" s="152">
        <f t="shared" si="240"/>
        <v>-6.4182194616977217E-2</v>
      </c>
      <c r="W91" s="152">
        <f t="shared" si="240"/>
        <v>-6.4182194616977217E-2</v>
      </c>
      <c r="X91" s="152">
        <f t="shared" si="240"/>
        <v>-6.4182194616977217E-2</v>
      </c>
      <c r="Y91" s="152">
        <f t="shared" si="240"/>
        <v>-6.4182194616977217E-2</v>
      </c>
      <c r="Z91" s="152">
        <f t="shared" si="240"/>
        <v>-6.4182194616977217E-2</v>
      </c>
      <c r="AA91" s="152">
        <f t="shared" si="240"/>
        <v>-6.4182194616977217E-2</v>
      </c>
      <c r="AB91" s="152">
        <f t="shared" si="240"/>
        <v>-6.4182194616977217E-2</v>
      </c>
      <c r="AC91" s="152">
        <f t="shared" si="240"/>
        <v>-6.4182194616977217E-2</v>
      </c>
      <c r="AD91" s="138" t="e">
        <f t="shared" si="223"/>
        <v>#NUM!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1.4647887323943662E-2</v>
      </c>
      <c r="H93" s="152">
        <f t="shared" ref="H93:P93" si="241">H29/H25</f>
        <v>1.406926406926407E-2</v>
      </c>
      <c r="I93" s="152">
        <f t="shared" si="241"/>
        <v>3.7369207772795215E-3</v>
      </c>
      <c r="J93" s="152">
        <f t="shared" si="241"/>
        <v>1.8472906403940886E-3</v>
      </c>
      <c r="K93" s="152">
        <f t="shared" si="241"/>
        <v>1.525940996948118E-3</v>
      </c>
      <c r="L93" s="152">
        <f t="shared" si="241"/>
        <v>1.7486338797814208E-3</v>
      </c>
      <c r="M93" s="152">
        <f t="shared" si="241"/>
        <v>1.0398613518197574E-3</v>
      </c>
      <c r="N93" s="152">
        <f t="shared" si="241"/>
        <v>1.0554089709762533E-3</v>
      </c>
      <c r="O93" s="152" t="e">
        <f t="shared" si="241"/>
        <v>#DIV/0!</v>
      </c>
      <c r="P93" s="152">
        <f t="shared" si="241"/>
        <v>4.5228403437358663E-6</v>
      </c>
      <c r="Q93" s="152">
        <f t="shared" ref="Q93" si="242">Q29/Q25</f>
        <v>0</v>
      </c>
      <c r="R93" s="118">
        <f t="shared" si="221"/>
        <v>-0.59265763063178167</v>
      </c>
      <c r="S93" s="20"/>
      <c r="T93" s="152">
        <f t="shared" ref="T93:AC93" si="243">T29/T25</f>
        <v>0</v>
      </c>
      <c r="U93" s="152">
        <f t="shared" si="243"/>
        <v>0</v>
      </c>
      <c r="V93" s="152">
        <f t="shared" si="243"/>
        <v>0</v>
      </c>
      <c r="W93" s="152">
        <f t="shared" si="243"/>
        <v>0</v>
      </c>
      <c r="X93" s="152">
        <f t="shared" si="243"/>
        <v>0</v>
      </c>
      <c r="Y93" s="152">
        <f t="shared" si="243"/>
        <v>0</v>
      </c>
      <c r="Z93" s="152">
        <f t="shared" si="243"/>
        <v>0</v>
      </c>
      <c r="AA93" s="152">
        <f t="shared" si="243"/>
        <v>0</v>
      </c>
      <c r="AB93" s="152">
        <f t="shared" si="243"/>
        <v>0</v>
      </c>
      <c r="AC93" s="152">
        <f t="shared" si="243"/>
        <v>0</v>
      </c>
      <c r="AD93" s="138">
        <f t="shared" si="223"/>
        <v>-1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9.285714285714286E-2</v>
      </c>
      <c r="H94" s="152">
        <f t="shared" ref="H94:P94" si="244">H29/H36</f>
        <v>8.3333333333333329E-2</v>
      </c>
      <c r="I94" s="152">
        <f t="shared" si="244"/>
        <v>2.3809523809523808E-2</v>
      </c>
      <c r="J94" s="152">
        <f t="shared" si="244"/>
        <v>1.1312217194570135E-2</v>
      </c>
      <c r="K94" s="152">
        <f t="shared" si="244"/>
        <v>1.1811023622047244E-2</v>
      </c>
      <c r="L94" s="152">
        <f t="shared" si="244"/>
        <v>1.509433962264151E-2</v>
      </c>
      <c r="M94" s="152">
        <f t="shared" si="244"/>
        <v>7.6433121019108281E-3</v>
      </c>
      <c r="N94" s="152">
        <f t="shared" si="244"/>
        <v>8.9385474860335205E-3</v>
      </c>
      <c r="O94" s="152" t="e">
        <f t="shared" si="244"/>
        <v>#DIV/0!</v>
      </c>
      <c r="P94" s="152">
        <f t="shared" si="244"/>
        <v>3.7174721189591079E-5</v>
      </c>
      <c r="Q94" s="152">
        <f t="shared" ref="Q94" si="245">Q29/Q36</f>
        <v>0</v>
      </c>
      <c r="R94" s="118">
        <f t="shared" ref="R94" si="246">((P94/G94)^(1/($H$2-$H$1) ))-1</f>
        <v>-0.58073125425812999</v>
      </c>
      <c r="S94" s="20"/>
      <c r="T94" s="152">
        <f t="shared" ref="T94:AC94" si="247">T29/T36</f>
        <v>0</v>
      </c>
      <c r="U94" s="152">
        <f t="shared" si="247"/>
        <v>0</v>
      </c>
      <c r="V94" s="152">
        <f t="shared" si="247"/>
        <v>0</v>
      </c>
      <c r="W94" s="152">
        <f t="shared" si="247"/>
        <v>0</v>
      </c>
      <c r="X94" s="152">
        <f t="shared" si="247"/>
        <v>0</v>
      </c>
      <c r="Y94" s="152">
        <f t="shared" si="247"/>
        <v>0</v>
      </c>
      <c r="Z94" s="152">
        <f t="shared" si="247"/>
        <v>0</v>
      </c>
      <c r="AA94" s="152">
        <f t="shared" si="247"/>
        <v>0</v>
      </c>
      <c r="AB94" s="152">
        <f t="shared" si="247"/>
        <v>0</v>
      </c>
      <c r="AC94" s="152">
        <f t="shared" si="247"/>
        <v>0</v>
      </c>
      <c r="AD94" s="138">
        <f t="shared" ref="AD94" si="248">((AC94/G94)^(1/($AC$3-$H$1) ))-1</f>
        <v>-1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49">G29/G40</f>
        <v>0.2</v>
      </c>
      <c r="H95" s="171">
        <f t="shared" si="249"/>
        <v>0.16666666666666666</v>
      </c>
      <c r="I95" s="171">
        <f t="shared" si="249"/>
        <v>4.9019607843137254E-2</v>
      </c>
      <c r="J95" s="171">
        <f t="shared" si="249"/>
        <v>2.1126760563380281E-2</v>
      </c>
      <c r="K95" s="171">
        <f t="shared" si="249"/>
        <v>1.9230769230769232E-2</v>
      </c>
      <c r="L95" s="171">
        <f t="shared" si="249"/>
        <v>2.6229508196721311E-2</v>
      </c>
      <c r="M95" s="171">
        <f t="shared" si="249"/>
        <v>1.2631578947368421E-2</v>
      </c>
      <c r="N95" s="171">
        <f t="shared" si="249"/>
        <v>1.3008130081300813E-2</v>
      </c>
      <c r="O95" s="171" t="e">
        <f t="shared" si="249"/>
        <v>#DIV/0!</v>
      </c>
      <c r="P95" s="171">
        <f t="shared" si="249"/>
        <v>5.2356020942408376E-5</v>
      </c>
      <c r="Q95" s="171">
        <f t="shared" ref="Q95" si="250">Q29/Q40</f>
        <v>0</v>
      </c>
      <c r="R95" s="118">
        <f t="shared" ref="R95" si="251">((P95/G95)^(1/($H$2-$H$1) ))-1</f>
        <v>-0.6000617336682903</v>
      </c>
      <c r="S95" s="20"/>
      <c r="T95" s="171">
        <f t="shared" ref="T95:AC95" si="252">T29/T40</f>
        <v>0</v>
      </c>
      <c r="U95" s="171">
        <f t="shared" si="252"/>
        <v>0</v>
      </c>
      <c r="V95" s="171">
        <f t="shared" si="252"/>
        <v>0</v>
      </c>
      <c r="W95" s="171">
        <f t="shared" si="252"/>
        <v>0</v>
      </c>
      <c r="X95" s="171">
        <f t="shared" si="252"/>
        <v>0</v>
      </c>
      <c r="Y95" s="171">
        <f t="shared" si="252"/>
        <v>0</v>
      </c>
      <c r="Z95" s="171">
        <f t="shared" si="252"/>
        <v>0</v>
      </c>
      <c r="AA95" s="171">
        <f t="shared" si="252"/>
        <v>0</v>
      </c>
      <c r="AB95" s="171">
        <f t="shared" si="252"/>
        <v>0</v>
      </c>
      <c r="AC95" s="171">
        <f t="shared" si="252"/>
        <v>0</v>
      </c>
      <c r="AD95" s="138">
        <f t="shared" ref="AD95" si="253">((AC95/G95)^(1/($AC$3-$H$1) ))-1</f>
        <v>-1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54">G29/G12</f>
        <v>0.83870967741935487</v>
      </c>
      <c r="H96" s="171">
        <f t="shared" si="254"/>
        <v>0.85413929040735881</v>
      </c>
      <c r="I96" s="171">
        <f t="shared" si="254"/>
        <v>0.19230769230769232</v>
      </c>
      <c r="J96" s="171">
        <f t="shared" si="254"/>
        <v>4.6875E-2</v>
      </c>
      <c r="K96" s="171">
        <f t="shared" si="254"/>
        <v>3.125E-2</v>
      </c>
      <c r="L96" s="171">
        <f t="shared" si="254"/>
        <v>6.1538461538461542E-2</v>
      </c>
      <c r="M96" s="171">
        <f t="shared" si="254"/>
        <v>3.4285714285714287E-2</v>
      </c>
      <c r="N96" s="171">
        <f t="shared" si="254"/>
        <v>4.2105263157894736E-2</v>
      </c>
      <c r="O96" s="171" t="e">
        <f t="shared" si="254"/>
        <v>#DIV/0!</v>
      </c>
      <c r="P96" s="171">
        <f t="shared" si="254"/>
        <v>4.132231404958678E-5</v>
      </c>
      <c r="Q96" s="171">
        <f t="shared" ref="Q96" si="255">Q29/Q12</f>
        <v>0</v>
      </c>
      <c r="R96" s="118">
        <f t="shared" si="221"/>
        <v>-0.66780201199844358</v>
      </c>
      <c r="S96" s="20"/>
      <c r="T96" s="152">
        <f t="shared" ref="T96:AC96" si="256">T29/T12</f>
        <v>0</v>
      </c>
      <c r="U96" s="152">
        <f t="shared" si="256"/>
        <v>0</v>
      </c>
      <c r="V96" s="152">
        <f t="shared" si="256"/>
        <v>0</v>
      </c>
      <c r="W96" s="152">
        <f t="shared" si="256"/>
        <v>0</v>
      </c>
      <c r="X96" s="152">
        <f t="shared" si="256"/>
        <v>0</v>
      </c>
      <c r="Y96" s="152">
        <f t="shared" si="256"/>
        <v>0</v>
      </c>
      <c r="Z96" s="152">
        <f t="shared" si="256"/>
        <v>0</v>
      </c>
      <c r="AA96" s="152">
        <f t="shared" si="256"/>
        <v>0</v>
      </c>
      <c r="AB96" s="152">
        <f t="shared" si="256"/>
        <v>0</v>
      </c>
      <c r="AC96" s="152">
        <f t="shared" si="256"/>
        <v>0</v>
      </c>
      <c r="AD96" s="138">
        <f t="shared" si="223"/>
        <v>-1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 t="e">
        <f>G29/G23</f>
        <v>#DIV/0!</v>
      </c>
      <c r="H97" s="171" t="e">
        <f t="shared" ref="H97:P97" si="257">H29/H23</f>
        <v>#DIV/0!</v>
      </c>
      <c r="I97" s="171" t="e">
        <f t="shared" si="257"/>
        <v>#DIV/0!</v>
      </c>
      <c r="J97" s="171" t="e">
        <f t="shared" si="257"/>
        <v>#DIV/0!</v>
      </c>
      <c r="K97" s="171" t="e">
        <f t="shared" si="257"/>
        <v>#DIV/0!</v>
      </c>
      <c r="L97" s="171" t="e">
        <f t="shared" si="257"/>
        <v>#DIV/0!</v>
      </c>
      <c r="M97" s="171" t="e">
        <f t="shared" si="257"/>
        <v>#DIV/0!</v>
      </c>
      <c r="N97" s="171" t="e">
        <f t="shared" si="257"/>
        <v>#DIV/0!</v>
      </c>
      <c r="O97" s="171" t="e">
        <f t="shared" si="257"/>
        <v>#DIV/0!</v>
      </c>
      <c r="P97" s="171" t="e">
        <f t="shared" si="257"/>
        <v>#DIV/0!</v>
      </c>
      <c r="Q97" s="171" t="e">
        <f t="shared" ref="Q97" si="258">Q29/Q23</f>
        <v>#DIV/0!</v>
      </c>
      <c r="R97" s="118" t="e">
        <f t="shared" ref="R97" si="259">((P97/G97)^(1/($H$2-$H$1) ))-1</f>
        <v>#DIV/0!</v>
      </c>
      <c r="S97" s="20"/>
      <c r="T97" s="171" t="e">
        <f t="shared" ref="T97:AC97" si="260">T29/T23</f>
        <v>#DIV/0!</v>
      </c>
      <c r="U97" s="171" t="e">
        <f t="shared" si="260"/>
        <v>#DIV/0!</v>
      </c>
      <c r="V97" s="171" t="e">
        <f t="shared" si="260"/>
        <v>#DIV/0!</v>
      </c>
      <c r="W97" s="171" t="e">
        <f t="shared" si="260"/>
        <v>#DIV/0!</v>
      </c>
      <c r="X97" s="171" t="e">
        <f t="shared" si="260"/>
        <v>#DIV/0!</v>
      </c>
      <c r="Y97" s="171" t="e">
        <f t="shared" si="260"/>
        <v>#DIV/0!</v>
      </c>
      <c r="Z97" s="171" t="e">
        <f t="shared" si="260"/>
        <v>#DIV/0!</v>
      </c>
      <c r="AA97" s="171" t="e">
        <f t="shared" si="260"/>
        <v>#DIV/0!</v>
      </c>
      <c r="AB97" s="171" t="e">
        <f t="shared" si="260"/>
        <v>#DIV/0!</v>
      </c>
      <c r="AC97" s="171" t="e">
        <f t="shared" si="260"/>
        <v>#DIV/0!</v>
      </c>
      <c r="AD97" s="138" t="e">
        <f t="shared" ref="AD97" si="261">((AC97/G97)^(1/($AC$3-$H$1) ))-1</f>
        <v>#DIV/0!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403</v>
      </c>
      <c r="C99" s="152"/>
      <c r="D99" s="152"/>
      <c r="E99" s="152"/>
      <c r="F99" s="152"/>
      <c r="G99" s="127">
        <f>1/G93</f>
        <v>68.269230769230774</v>
      </c>
      <c r="H99" s="127">
        <f t="shared" ref="H99:P99" si="262">1/H93</f>
        <v>71.07692307692308</v>
      </c>
      <c r="I99" s="127">
        <f t="shared" si="262"/>
        <v>267.60000000000002</v>
      </c>
      <c r="J99" s="127">
        <f t="shared" si="262"/>
        <v>541.33333333333337</v>
      </c>
      <c r="K99" s="127">
        <f t="shared" si="262"/>
        <v>655.33333333333337</v>
      </c>
      <c r="L99" s="127">
        <f t="shared" si="262"/>
        <v>571.875</v>
      </c>
      <c r="M99" s="127">
        <f t="shared" si="262"/>
        <v>961.66666666666663</v>
      </c>
      <c r="N99" s="127">
        <f t="shared" si="262"/>
        <v>947.5</v>
      </c>
      <c r="O99" s="127" t="e">
        <f t="shared" si="262"/>
        <v>#DIV/0!</v>
      </c>
      <c r="P99" s="127">
        <f t="shared" si="262"/>
        <v>221100</v>
      </c>
      <c r="Q99" s="127" t="e">
        <f t="shared" ref="Q99" si="263">1/Q93</f>
        <v>#DIV/0!</v>
      </c>
      <c r="R99" s="118">
        <f t="shared" si="221"/>
        <v>1.4549373578569411</v>
      </c>
      <c r="S99" s="20"/>
      <c r="T99" s="127" t="e">
        <f t="shared" ref="T99:AC99" si="264">1/T93</f>
        <v>#DIV/0!</v>
      </c>
      <c r="U99" s="127" t="e">
        <f t="shared" si="264"/>
        <v>#DIV/0!</v>
      </c>
      <c r="V99" s="127" t="e">
        <f t="shared" si="264"/>
        <v>#DIV/0!</v>
      </c>
      <c r="W99" s="127" t="e">
        <f t="shared" si="264"/>
        <v>#DIV/0!</v>
      </c>
      <c r="X99" s="127" t="e">
        <f t="shared" si="264"/>
        <v>#DIV/0!</v>
      </c>
      <c r="Y99" s="127" t="e">
        <f t="shared" si="264"/>
        <v>#DIV/0!</v>
      </c>
      <c r="Z99" s="127" t="e">
        <f t="shared" si="264"/>
        <v>#DIV/0!</v>
      </c>
      <c r="AA99" s="127" t="e">
        <f t="shared" si="264"/>
        <v>#DIV/0!</v>
      </c>
      <c r="AB99" s="127" t="e">
        <f t="shared" si="264"/>
        <v>#DIV/0!</v>
      </c>
      <c r="AC99" s="127" t="e">
        <f t="shared" si="264"/>
        <v>#DIV/0!</v>
      </c>
      <c r="AD99" s="138" t="e">
        <f t="shared" si="223"/>
        <v>#DIV/0!</v>
      </c>
      <c r="AE99" s="146"/>
      <c r="AF99" s="146"/>
    </row>
    <row r="100" spans="2:32" ht="12" customHeight="1" x14ac:dyDescent="0.2">
      <c r="B100" s="20" t="s">
        <v>404</v>
      </c>
      <c r="C100" s="152"/>
      <c r="D100" s="152"/>
      <c r="E100" s="152"/>
      <c r="F100" s="152"/>
      <c r="G100" s="127">
        <f t="shared" ref="G100:P103" si="265">1/G94</f>
        <v>10.769230769230768</v>
      </c>
      <c r="H100" s="127">
        <f t="shared" si="265"/>
        <v>12</v>
      </c>
      <c r="I100" s="127">
        <f t="shared" si="265"/>
        <v>42</v>
      </c>
      <c r="J100" s="127">
        <f t="shared" si="265"/>
        <v>88.4</v>
      </c>
      <c r="K100" s="127">
        <f t="shared" si="265"/>
        <v>84.666666666666671</v>
      </c>
      <c r="L100" s="127">
        <f t="shared" si="265"/>
        <v>66.25</v>
      </c>
      <c r="M100" s="127">
        <f t="shared" si="265"/>
        <v>130.83333333333334</v>
      </c>
      <c r="N100" s="127">
        <f t="shared" si="265"/>
        <v>111.87499999999999</v>
      </c>
      <c r="O100" s="127" t="e">
        <f t="shared" si="265"/>
        <v>#DIV/0!</v>
      </c>
      <c r="P100" s="127">
        <f t="shared" si="265"/>
        <v>26900</v>
      </c>
      <c r="Q100" s="127" t="e">
        <f t="shared" ref="Q100" si="266">1/Q94</f>
        <v>#DIV/0!</v>
      </c>
      <c r="R100" s="118">
        <f t="shared" si="221"/>
        <v>1.3851050433787098</v>
      </c>
      <c r="S100" s="20"/>
      <c r="T100" s="127" t="e">
        <f t="shared" ref="T100:AC100" si="267">1/T94</f>
        <v>#DIV/0!</v>
      </c>
      <c r="U100" s="127" t="e">
        <f t="shared" si="267"/>
        <v>#DIV/0!</v>
      </c>
      <c r="V100" s="127" t="e">
        <f t="shared" si="267"/>
        <v>#DIV/0!</v>
      </c>
      <c r="W100" s="127" t="e">
        <f t="shared" si="267"/>
        <v>#DIV/0!</v>
      </c>
      <c r="X100" s="127" t="e">
        <f t="shared" si="267"/>
        <v>#DIV/0!</v>
      </c>
      <c r="Y100" s="127" t="e">
        <f t="shared" si="267"/>
        <v>#DIV/0!</v>
      </c>
      <c r="Z100" s="127" t="e">
        <f t="shared" si="267"/>
        <v>#DIV/0!</v>
      </c>
      <c r="AA100" s="127" t="e">
        <f t="shared" si="267"/>
        <v>#DIV/0!</v>
      </c>
      <c r="AB100" s="127" t="e">
        <f t="shared" si="267"/>
        <v>#DIV/0!</v>
      </c>
      <c r="AC100" s="127" t="e">
        <f t="shared" si="267"/>
        <v>#DIV/0!</v>
      </c>
      <c r="AD100" s="138" t="e">
        <f t="shared" si="223"/>
        <v>#DIV/0!</v>
      </c>
      <c r="AE100" s="146"/>
      <c r="AF100" s="146"/>
    </row>
    <row r="101" spans="2:32" ht="12" customHeight="1" x14ac:dyDescent="0.2">
      <c r="B101" s="20" t="s">
        <v>405</v>
      </c>
      <c r="C101" s="152"/>
      <c r="D101" s="152"/>
      <c r="E101" s="152"/>
      <c r="F101" s="152"/>
      <c r="G101" s="127">
        <f t="shared" si="265"/>
        <v>5</v>
      </c>
      <c r="H101" s="127">
        <f t="shared" si="265"/>
        <v>6</v>
      </c>
      <c r="I101" s="127">
        <f t="shared" si="265"/>
        <v>20.399999999999999</v>
      </c>
      <c r="J101" s="127">
        <f t="shared" si="265"/>
        <v>47.333333333333336</v>
      </c>
      <c r="K101" s="127">
        <f t="shared" si="265"/>
        <v>52</v>
      </c>
      <c r="L101" s="127">
        <f t="shared" si="265"/>
        <v>38.125</v>
      </c>
      <c r="M101" s="127">
        <f t="shared" si="265"/>
        <v>79.166666666666671</v>
      </c>
      <c r="N101" s="127">
        <f t="shared" si="265"/>
        <v>76.875</v>
      </c>
      <c r="O101" s="127" t="e">
        <f t="shared" si="265"/>
        <v>#DIV/0!</v>
      </c>
      <c r="P101" s="127">
        <f t="shared" si="265"/>
        <v>19100</v>
      </c>
      <c r="Q101" s="127" t="e">
        <f t="shared" ref="Q101" si="268">1/Q95</f>
        <v>#DIV/0!</v>
      </c>
      <c r="R101" s="118">
        <f t="shared" si="221"/>
        <v>1.5003858949835966</v>
      </c>
      <c r="S101" s="20"/>
      <c r="T101" s="127" t="e">
        <f t="shared" ref="T101:AC101" si="269">1/T95</f>
        <v>#DIV/0!</v>
      </c>
      <c r="U101" s="127" t="e">
        <f t="shared" si="269"/>
        <v>#DIV/0!</v>
      </c>
      <c r="V101" s="127" t="e">
        <f t="shared" si="269"/>
        <v>#DIV/0!</v>
      </c>
      <c r="W101" s="127" t="e">
        <f t="shared" si="269"/>
        <v>#DIV/0!</v>
      </c>
      <c r="X101" s="127" t="e">
        <f t="shared" si="269"/>
        <v>#DIV/0!</v>
      </c>
      <c r="Y101" s="127" t="e">
        <f t="shared" si="269"/>
        <v>#DIV/0!</v>
      </c>
      <c r="Z101" s="127" t="e">
        <f t="shared" si="269"/>
        <v>#DIV/0!</v>
      </c>
      <c r="AA101" s="127" t="e">
        <f t="shared" si="269"/>
        <v>#DIV/0!</v>
      </c>
      <c r="AB101" s="127" t="e">
        <f t="shared" si="269"/>
        <v>#DIV/0!</v>
      </c>
      <c r="AC101" s="127" t="e">
        <f t="shared" si="269"/>
        <v>#DIV/0!</v>
      </c>
      <c r="AD101" s="138" t="e">
        <f t="shared" si="223"/>
        <v>#DIV/0!</v>
      </c>
      <c r="AE101" s="146"/>
      <c r="AF101" s="146"/>
    </row>
    <row r="102" spans="2:32" ht="12" customHeight="1" x14ac:dyDescent="0.2">
      <c r="B102" s="20" t="s">
        <v>406</v>
      </c>
      <c r="C102" s="152"/>
      <c r="D102" s="152"/>
      <c r="E102" s="152"/>
      <c r="F102" s="152"/>
      <c r="G102" s="127">
        <f t="shared" si="265"/>
        <v>1.1923076923076923</v>
      </c>
      <c r="H102" s="127">
        <f t="shared" si="265"/>
        <v>1.1707692307692306</v>
      </c>
      <c r="I102" s="127">
        <f t="shared" si="265"/>
        <v>5.1999999999999993</v>
      </c>
      <c r="J102" s="127">
        <f t="shared" si="265"/>
        <v>21.333333333333332</v>
      </c>
      <c r="K102" s="127">
        <f t="shared" si="265"/>
        <v>32</v>
      </c>
      <c r="L102" s="127">
        <f t="shared" si="265"/>
        <v>16.25</v>
      </c>
      <c r="M102" s="127">
        <f t="shared" si="265"/>
        <v>29.166666666666664</v>
      </c>
      <c r="N102" s="127">
        <f t="shared" si="265"/>
        <v>23.75</v>
      </c>
      <c r="O102" s="127" t="e">
        <f t="shared" si="265"/>
        <v>#DIV/0!</v>
      </c>
      <c r="P102" s="127">
        <f t="shared" si="265"/>
        <v>24200</v>
      </c>
      <c r="Q102" s="127" t="e">
        <f t="shared" ref="Q102" si="270">1/Q96</f>
        <v>#DIV/0!</v>
      </c>
      <c r="R102" s="118">
        <f t="shared" si="221"/>
        <v>2.0102530301758317</v>
      </c>
      <c r="S102" s="20"/>
      <c r="T102" s="127" t="e">
        <f t="shared" ref="T102:AC102" si="271">1/T96</f>
        <v>#DIV/0!</v>
      </c>
      <c r="U102" s="127" t="e">
        <f t="shared" si="271"/>
        <v>#DIV/0!</v>
      </c>
      <c r="V102" s="127" t="e">
        <f t="shared" si="271"/>
        <v>#DIV/0!</v>
      </c>
      <c r="W102" s="127" t="e">
        <f t="shared" si="271"/>
        <v>#DIV/0!</v>
      </c>
      <c r="X102" s="127" t="e">
        <f t="shared" si="271"/>
        <v>#DIV/0!</v>
      </c>
      <c r="Y102" s="127" t="e">
        <f t="shared" si="271"/>
        <v>#DIV/0!</v>
      </c>
      <c r="Z102" s="127" t="e">
        <f t="shared" si="271"/>
        <v>#DIV/0!</v>
      </c>
      <c r="AA102" s="127" t="e">
        <f t="shared" si="271"/>
        <v>#DIV/0!</v>
      </c>
      <c r="AB102" s="127" t="e">
        <f t="shared" si="271"/>
        <v>#DIV/0!</v>
      </c>
      <c r="AC102" s="127" t="e">
        <f t="shared" si="271"/>
        <v>#DIV/0!</v>
      </c>
      <c r="AD102" s="138" t="e">
        <f t="shared" si="223"/>
        <v>#DIV/0!</v>
      </c>
      <c r="AE102" s="146"/>
      <c r="AF102" s="146"/>
    </row>
    <row r="103" spans="2:32" ht="12" customHeight="1" x14ac:dyDescent="0.2">
      <c r="B103" s="20" t="s">
        <v>407</v>
      </c>
      <c r="C103" s="152"/>
      <c r="D103" s="152"/>
      <c r="E103" s="152"/>
      <c r="F103" s="152"/>
      <c r="G103" s="127" t="e">
        <f t="shared" si="265"/>
        <v>#DIV/0!</v>
      </c>
      <c r="H103" s="127" t="e">
        <f t="shared" si="265"/>
        <v>#DIV/0!</v>
      </c>
      <c r="I103" s="127" t="e">
        <f t="shared" si="265"/>
        <v>#DIV/0!</v>
      </c>
      <c r="J103" s="127" t="e">
        <f t="shared" si="265"/>
        <v>#DIV/0!</v>
      </c>
      <c r="K103" s="127" t="e">
        <f t="shared" si="265"/>
        <v>#DIV/0!</v>
      </c>
      <c r="L103" s="127" t="e">
        <f t="shared" si="265"/>
        <v>#DIV/0!</v>
      </c>
      <c r="M103" s="127" t="e">
        <f t="shared" si="265"/>
        <v>#DIV/0!</v>
      </c>
      <c r="N103" s="127" t="e">
        <f t="shared" si="265"/>
        <v>#DIV/0!</v>
      </c>
      <c r="O103" s="127" t="e">
        <f t="shared" si="265"/>
        <v>#DIV/0!</v>
      </c>
      <c r="P103" s="127" t="e">
        <f t="shared" si="265"/>
        <v>#DIV/0!</v>
      </c>
      <c r="Q103" s="127" t="e">
        <f t="shared" ref="Q103" si="272">1/Q97</f>
        <v>#DIV/0!</v>
      </c>
      <c r="R103" s="118" t="e">
        <f t="shared" si="221"/>
        <v>#DIV/0!</v>
      </c>
      <c r="S103" s="20"/>
      <c r="T103" s="127" t="e">
        <f t="shared" ref="T103:AC103" si="273">1/T97</f>
        <v>#DIV/0!</v>
      </c>
      <c r="U103" s="127" t="e">
        <f t="shared" si="273"/>
        <v>#DIV/0!</v>
      </c>
      <c r="V103" s="127" t="e">
        <f t="shared" si="273"/>
        <v>#DIV/0!</v>
      </c>
      <c r="W103" s="127" t="e">
        <f t="shared" si="273"/>
        <v>#DIV/0!</v>
      </c>
      <c r="X103" s="127" t="e">
        <f t="shared" si="273"/>
        <v>#DIV/0!</v>
      </c>
      <c r="Y103" s="127" t="e">
        <f t="shared" si="273"/>
        <v>#DIV/0!</v>
      </c>
      <c r="Z103" s="127" t="e">
        <f t="shared" si="273"/>
        <v>#DIV/0!</v>
      </c>
      <c r="AA103" s="127" t="e">
        <f t="shared" si="273"/>
        <v>#DIV/0!</v>
      </c>
      <c r="AB103" s="127" t="e">
        <f t="shared" si="273"/>
        <v>#DIV/0!</v>
      </c>
      <c r="AC103" s="127" t="e">
        <f t="shared" si="273"/>
        <v>#DIV/0!</v>
      </c>
      <c r="AD103" s="138" t="e">
        <f t="shared" si="223"/>
        <v>#DIV/0!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74">F10-(F12+F13)</f>
        <v>0</v>
      </c>
      <c r="G106" s="163">
        <f t="shared" si="274"/>
        <v>28.799999999999997</v>
      </c>
      <c r="H106" s="163">
        <f t="shared" si="274"/>
        <v>32.39</v>
      </c>
      <c r="I106" s="163">
        <f t="shared" si="274"/>
        <v>-30</v>
      </c>
      <c r="J106" s="163">
        <f t="shared" si="274"/>
        <v>-95</v>
      </c>
      <c r="K106" s="163">
        <f t="shared" si="274"/>
        <v>-119</v>
      </c>
      <c r="L106" s="163">
        <f t="shared" si="274"/>
        <v>-131</v>
      </c>
      <c r="M106" s="163">
        <f t="shared" si="274"/>
        <v>-132</v>
      </c>
      <c r="N106" s="163">
        <f t="shared" si="274"/>
        <v>-112</v>
      </c>
      <c r="O106" s="163">
        <f t="shared" si="274"/>
        <v>0</v>
      </c>
      <c r="P106" s="163">
        <f>P10-(P12+P13)</f>
        <v>-265</v>
      </c>
      <c r="Q106" s="163">
        <f>Q10-(Q12+Q13)</f>
        <v>-242</v>
      </c>
      <c r="R106" s="118">
        <f t="shared" si="221"/>
        <v>-2.2796606654264595</v>
      </c>
      <c r="S106" s="20"/>
      <c r="T106" s="163">
        <f>T10-(T12+T13)</f>
        <v>-278.29999999999995</v>
      </c>
      <c r="U106" s="163">
        <f t="shared" ref="U106:AC106" si="275">U10-(U12+U13)</f>
        <v>-320.0449999999999</v>
      </c>
      <c r="V106" s="163">
        <f t="shared" si="275"/>
        <v>-368.05174999999986</v>
      </c>
      <c r="W106" s="163">
        <f t="shared" si="275"/>
        <v>-423.2595124999998</v>
      </c>
      <c r="X106" s="163">
        <f t="shared" si="275"/>
        <v>-486.74843937499975</v>
      </c>
      <c r="Y106" s="163">
        <f t="shared" si="275"/>
        <v>-559.76070528124967</v>
      </c>
      <c r="Z106" s="163">
        <f t="shared" si="275"/>
        <v>-643.72481107343708</v>
      </c>
      <c r="AA106" s="163">
        <f t="shared" si="275"/>
        <v>-740.28353273445259</v>
      </c>
      <c r="AB106" s="163">
        <f t="shared" si="275"/>
        <v>-851.32606264462038</v>
      </c>
      <c r="AC106" s="163">
        <f t="shared" si="275"/>
        <v>-979.02497204131339</v>
      </c>
      <c r="AD106" s="138" t="e">
        <f t="shared" si="223"/>
        <v>#NUM!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276">G40/G18</f>
        <v>0.18309859154929578</v>
      </c>
      <c r="H107" s="152">
        <f t="shared" si="276"/>
        <v>0.22159090909090909</v>
      </c>
      <c r="I107" s="152">
        <f t="shared" si="276"/>
        <v>0.3</v>
      </c>
      <c r="J107" s="152">
        <f t="shared" si="276"/>
        <v>0.44099378881987578</v>
      </c>
      <c r="K107" s="152">
        <f t="shared" si="276"/>
        <v>0.44827586206896552</v>
      </c>
      <c r="L107" s="152">
        <f t="shared" si="276"/>
        <v>0.35465116279069769</v>
      </c>
      <c r="M107" s="152">
        <f t="shared" si="276"/>
        <v>0.51630434782608692</v>
      </c>
      <c r="N107" s="152">
        <f t="shared" si="276"/>
        <v>0.52789699570815452</v>
      </c>
      <c r="O107" s="152" t="e">
        <f t="shared" si="276"/>
        <v>#DIV/0!</v>
      </c>
      <c r="P107" s="152">
        <f t="shared" si="276"/>
        <v>0.83771929824561409</v>
      </c>
      <c r="Q107" s="152" t="e">
        <f t="shared" ref="Q107" si="277">Q40/Q18</f>
        <v>#DIV/0!</v>
      </c>
      <c r="R107" s="118">
        <f t="shared" si="221"/>
        <v>0.1840751851393434</v>
      </c>
      <c r="S107" s="20"/>
      <c r="T107" s="152" t="e">
        <f t="shared" ref="T107:AC107" si="278">T40/T18</f>
        <v>#DIV/0!</v>
      </c>
      <c r="U107" s="152" t="e">
        <f t="shared" si="278"/>
        <v>#DIV/0!</v>
      </c>
      <c r="V107" s="152" t="e">
        <f t="shared" si="278"/>
        <v>#DIV/0!</v>
      </c>
      <c r="W107" s="152" t="e">
        <f t="shared" si="278"/>
        <v>#DIV/0!</v>
      </c>
      <c r="X107" s="152" t="e">
        <f t="shared" si="278"/>
        <v>#DIV/0!</v>
      </c>
      <c r="Y107" s="152" t="e">
        <f t="shared" si="278"/>
        <v>#DIV/0!</v>
      </c>
      <c r="Z107" s="152" t="e">
        <f t="shared" si="278"/>
        <v>#DIV/0!</v>
      </c>
      <c r="AA107" s="152" t="e">
        <f t="shared" si="278"/>
        <v>#DIV/0!</v>
      </c>
      <c r="AB107" s="152" t="e">
        <f t="shared" si="278"/>
        <v>#DIV/0!</v>
      </c>
      <c r="AC107" s="152" t="e">
        <f t="shared" si="278"/>
        <v>#DIV/0!</v>
      </c>
      <c r="AD107" s="138" t="e">
        <f t="shared" si="223"/>
        <v>#DIV/0!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279">G40/G25</f>
        <v>7.3239436619718309E-2</v>
      </c>
      <c r="H108" s="152">
        <f t="shared" si="279"/>
        <v>8.4415584415584416E-2</v>
      </c>
      <c r="I108" s="152">
        <f t="shared" si="279"/>
        <v>7.623318385650224E-2</v>
      </c>
      <c r="J108" s="152">
        <f t="shared" si="279"/>
        <v>8.7438423645320201E-2</v>
      </c>
      <c r="K108" s="152">
        <f t="shared" si="279"/>
        <v>7.9348931841302137E-2</v>
      </c>
      <c r="L108" s="152">
        <f t="shared" si="279"/>
        <v>6.6666666666666666E-2</v>
      </c>
      <c r="M108" s="152">
        <f t="shared" si="279"/>
        <v>8.2322357019064124E-2</v>
      </c>
      <c r="N108" s="152">
        <f t="shared" si="279"/>
        <v>8.1134564643799478E-2</v>
      </c>
      <c r="O108" s="152" t="e">
        <f t="shared" si="279"/>
        <v>#DIV/0!</v>
      </c>
      <c r="P108" s="152">
        <f t="shared" si="279"/>
        <v>8.6386250565355038E-2</v>
      </c>
      <c r="Q108" s="152">
        <f t="shared" ref="Q108" si="280">Q40/Q25</f>
        <v>6.4182194616977231E-2</v>
      </c>
      <c r="R108" s="118">
        <f t="shared" si="221"/>
        <v>1.8513114797491514E-2</v>
      </c>
      <c r="S108" s="20"/>
      <c r="T108" s="152">
        <f t="shared" ref="T108:AC108" si="281">T40/T25</f>
        <v>6.4182194616977231E-2</v>
      </c>
      <c r="U108" s="152">
        <f t="shared" si="281"/>
        <v>6.4182194616977231E-2</v>
      </c>
      <c r="V108" s="152">
        <f t="shared" si="281"/>
        <v>6.4182194616977217E-2</v>
      </c>
      <c r="W108" s="152">
        <f t="shared" si="281"/>
        <v>6.4182194616977217E-2</v>
      </c>
      <c r="X108" s="152">
        <f t="shared" si="281"/>
        <v>6.4182194616977217E-2</v>
      </c>
      <c r="Y108" s="152">
        <f t="shared" si="281"/>
        <v>6.4182194616977217E-2</v>
      </c>
      <c r="Z108" s="152">
        <f t="shared" si="281"/>
        <v>6.4182194616977217E-2</v>
      </c>
      <c r="AA108" s="152">
        <f t="shared" si="281"/>
        <v>6.4182194616977217E-2</v>
      </c>
      <c r="AB108" s="152">
        <f t="shared" si="281"/>
        <v>6.4182194616977217E-2</v>
      </c>
      <c r="AC108" s="152">
        <f t="shared" si="281"/>
        <v>6.4182194616977217E-2</v>
      </c>
      <c r="AD108" s="138">
        <f t="shared" si="223"/>
        <v>-6.5786750262962768E-3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282">G25/G18</f>
        <v>2.5</v>
      </c>
      <c r="H109" s="152">
        <f t="shared" si="282"/>
        <v>2.625</v>
      </c>
      <c r="I109" s="152">
        <f t="shared" si="282"/>
        <v>3.9352941176470586</v>
      </c>
      <c r="J109" s="152">
        <f t="shared" si="282"/>
        <v>5.0434782608695654</v>
      </c>
      <c r="K109" s="152">
        <f t="shared" si="282"/>
        <v>5.6494252873563218</v>
      </c>
      <c r="L109" s="152">
        <f t="shared" si="282"/>
        <v>5.3197674418604652</v>
      </c>
      <c r="M109" s="152">
        <f t="shared" si="282"/>
        <v>6.2717391304347823</v>
      </c>
      <c r="N109" s="152">
        <f t="shared" si="282"/>
        <v>6.5064377682403434</v>
      </c>
      <c r="O109" s="152" t="e">
        <f t="shared" si="282"/>
        <v>#DIV/0!</v>
      </c>
      <c r="P109" s="152">
        <f>P25/P18</f>
        <v>9.6973684210526319</v>
      </c>
      <c r="Q109" s="152" t="e">
        <f>Q25/Q18</f>
        <v>#DIV/0!</v>
      </c>
      <c r="R109" s="118">
        <f t="shared" si="221"/>
        <v>0.16255271329988741</v>
      </c>
      <c r="S109" s="20"/>
      <c r="T109" s="152" t="e">
        <f>T25/T18</f>
        <v>#DIV/0!</v>
      </c>
      <c r="U109" s="152" t="e">
        <f t="shared" ref="U109:AC109" si="283">U25/U18</f>
        <v>#DIV/0!</v>
      </c>
      <c r="V109" s="152" t="e">
        <f t="shared" si="283"/>
        <v>#DIV/0!</v>
      </c>
      <c r="W109" s="152" t="e">
        <f t="shared" si="283"/>
        <v>#DIV/0!</v>
      </c>
      <c r="X109" s="152" t="e">
        <f t="shared" si="283"/>
        <v>#DIV/0!</v>
      </c>
      <c r="Y109" s="152" t="e">
        <f t="shared" si="283"/>
        <v>#DIV/0!</v>
      </c>
      <c r="Z109" s="152" t="e">
        <f t="shared" si="283"/>
        <v>#DIV/0!</v>
      </c>
      <c r="AA109" s="152" t="e">
        <f t="shared" si="283"/>
        <v>#DIV/0!</v>
      </c>
      <c r="AB109" s="152" t="e">
        <f t="shared" si="283"/>
        <v>#DIV/0!</v>
      </c>
      <c r="AC109" s="152" t="e">
        <f t="shared" si="283"/>
        <v>#DIV/0!</v>
      </c>
      <c r="AD109" s="138" t="e">
        <f t="shared" si="223"/>
        <v>#DIV/0!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284">E70*E42</f>
        <v>0</v>
      </c>
      <c r="F111" s="165">
        <f t="shared" si="284"/>
        <v>0</v>
      </c>
      <c r="G111" s="165">
        <f>G70*G42</f>
        <v>10.665000000000001</v>
      </c>
      <c r="H111" s="165">
        <f t="shared" ref="H111:P111" si="285">H70*H42</f>
        <v>7.11</v>
      </c>
      <c r="I111" s="165">
        <f t="shared" si="285"/>
        <v>10.665000000000001</v>
      </c>
      <c r="J111" s="165">
        <f t="shared" si="285"/>
        <v>2.37</v>
      </c>
      <c r="K111" s="165">
        <f t="shared" si="285"/>
        <v>2.37</v>
      </c>
      <c r="L111" s="165">
        <f t="shared" si="285"/>
        <v>2.37</v>
      </c>
      <c r="M111" s="165">
        <f t="shared" si="285"/>
        <v>2.37</v>
      </c>
      <c r="N111" s="165">
        <f t="shared" si="285"/>
        <v>2.37</v>
      </c>
      <c r="O111" s="165">
        <f t="shared" si="285"/>
        <v>0</v>
      </c>
      <c r="P111" s="165">
        <f t="shared" si="285"/>
        <v>168.27</v>
      </c>
      <c r="Q111" s="165">
        <f t="shared" ref="Q111" si="286">Q70*Q42</f>
        <v>118.5</v>
      </c>
      <c r="R111" s="118">
        <f t="shared" si="221"/>
        <v>0.35867693823058411</v>
      </c>
      <c r="S111" s="20"/>
      <c r="T111" s="165">
        <f t="shared" ref="T111:AC111" si="287">T70*T42</f>
        <v>130.64625000000001</v>
      </c>
      <c r="U111" s="165">
        <f t="shared" si="287"/>
        <v>144.037490625</v>
      </c>
      <c r="V111" s="165">
        <f t="shared" si="287"/>
        <v>158.80133341406253</v>
      </c>
      <c r="W111" s="165">
        <f t="shared" si="287"/>
        <v>175.07847008900396</v>
      </c>
      <c r="X111" s="165">
        <f t="shared" si="287"/>
        <v>193.02401327312685</v>
      </c>
      <c r="Y111" s="165">
        <f t="shared" si="287"/>
        <v>212.8089746336224</v>
      </c>
      <c r="Z111" s="165">
        <f t="shared" si="287"/>
        <v>234.62189453356871</v>
      </c>
      <c r="AA111" s="165">
        <f t="shared" si="287"/>
        <v>258.67063872325957</v>
      </c>
      <c r="AB111" s="165">
        <f t="shared" si="287"/>
        <v>285.18437919239369</v>
      </c>
      <c r="AC111" s="165">
        <f t="shared" si="287"/>
        <v>314.41577805961401</v>
      </c>
      <c r="AD111" s="138">
        <f t="shared" si="223"/>
        <v>0.18434211665577438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288">(G111*0.17)+G111</f>
        <v>12.478050000000001</v>
      </c>
      <c r="H112" s="165">
        <f t="shared" si="288"/>
        <v>8.3186999999999998</v>
      </c>
      <c r="I112" s="165">
        <f t="shared" si="288"/>
        <v>12.478050000000001</v>
      </c>
      <c r="J112" s="165">
        <f t="shared" si="288"/>
        <v>2.7728999999999999</v>
      </c>
      <c r="K112" s="165">
        <f t="shared" si="288"/>
        <v>2.7728999999999999</v>
      </c>
      <c r="L112" s="165">
        <f t="shared" si="288"/>
        <v>2.7728999999999999</v>
      </c>
      <c r="M112" s="165">
        <f t="shared" si="288"/>
        <v>2.7728999999999999</v>
      </c>
      <c r="N112" s="165">
        <f t="shared" si="288"/>
        <v>2.7728999999999999</v>
      </c>
      <c r="O112" s="165">
        <f t="shared" si="288"/>
        <v>0</v>
      </c>
      <c r="P112" s="165">
        <f t="shared" si="288"/>
        <v>196.8759</v>
      </c>
      <c r="Q112" s="165">
        <f t="shared" ref="Q112" si="289">(Q111*0.17)+Q111</f>
        <v>138.64500000000001</v>
      </c>
      <c r="R112" s="118">
        <f t="shared" si="221"/>
        <v>0.35867693823058411</v>
      </c>
      <c r="S112" s="20"/>
      <c r="T112" s="165">
        <f t="shared" ref="T112:AC112" si="290">(T111*0.17)+T111</f>
        <v>152.85611250000002</v>
      </c>
      <c r="U112" s="165">
        <f t="shared" si="290"/>
        <v>168.52386403125001</v>
      </c>
      <c r="V112" s="165">
        <f t="shared" si="290"/>
        <v>185.79756009445316</v>
      </c>
      <c r="W112" s="165">
        <f t="shared" si="290"/>
        <v>204.84181000413463</v>
      </c>
      <c r="X112" s="165">
        <f t="shared" si="290"/>
        <v>225.83809552955842</v>
      </c>
      <c r="Y112" s="165">
        <f t="shared" si="290"/>
        <v>248.98650032133821</v>
      </c>
      <c r="Z112" s="165">
        <f t="shared" si="290"/>
        <v>274.50761660427537</v>
      </c>
      <c r="AA112" s="165">
        <f t="shared" si="290"/>
        <v>302.6446473062137</v>
      </c>
      <c r="AB112" s="165">
        <f t="shared" si="290"/>
        <v>333.66572365510063</v>
      </c>
      <c r="AC112" s="165">
        <f t="shared" si="290"/>
        <v>367.86646032974841</v>
      </c>
      <c r="AD112" s="138">
        <f t="shared" si="223"/>
        <v>0.18434211665577438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291">F112/F40</f>
        <v>#DIV/0!</v>
      </c>
      <c r="G113" s="152">
        <f t="shared" si="291"/>
        <v>0.47992500000000005</v>
      </c>
      <c r="H113" s="152">
        <f t="shared" si="291"/>
        <v>0.21329999999999999</v>
      </c>
      <c r="I113" s="152">
        <f t="shared" si="291"/>
        <v>0.24466764705882355</v>
      </c>
      <c r="J113" s="152">
        <f t="shared" si="291"/>
        <v>3.9054929577464786E-2</v>
      </c>
      <c r="K113" s="152">
        <f t="shared" si="291"/>
        <v>3.5549999999999998E-2</v>
      </c>
      <c r="L113" s="152">
        <f t="shared" si="291"/>
        <v>4.5457377049180327E-2</v>
      </c>
      <c r="M113" s="152">
        <f t="shared" si="291"/>
        <v>2.9188421052631579E-2</v>
      </c>
      <c r="N113" s="152">
        <f t="shared" si="291"/>
        <v>2.2543902439024391E-2</v>
      </c>
      <c r="O113" s="152" t="e">
        <f t="shared" si="291"/>
        <v>#DIV/0!</v>
      </c>
      <c r="P113" s="152">
        <f t="shared" si="291"/>
        <v>1.0307638743455498</v>
      </c>
      <c r="Q113" s="152">
        <f t="shared" ref="Q113" si="292">Q112/Q40</f>
        <v>1.1181048387096775</v>
      </c>
      <c r="R113" s="118">
        <f t="shared" si="221"/>
        <v>8.864758339251555E-2</v>
      </c>
      <c r="S113" s="20"/>
      <c r="T113" s="152">
        <f t="shared" ref="T113:AC113" si="293">T112/T40</f>
        <v>1.0719222475455823</v>
      </c>
      <c r="U113" s="152">
        <f t="shared" si="293"/>
        <v>1.0276471981904387</v>
      </c>
      <c r="V113" s="152">
        <f t="shared" si="293"/>
        <v>0.98520090087387724</v>
      </c>
      <c r="W113" s="152">
        <f t="shared" si="293"/>
        <v>0.94450782018560864</v>
      </c>
      <c r="X113" s="152">
        <f t="shared" si="293"/>
        <v>0.90549554065620308</v>
      </c>
      <c r="Y113" s="152">
        <f t="shared" si="293"/>
        <v>0.86809463788996877</v>
      </c>
      <c r="Z113" s="152">
        <f t="shared" si="293"/>
        <v>0.8322385550206004</v>
      </c>
      <c r="AA113" s="152">
        <f t="shared" si="293"/>
        <v>0.79786348426974996</v>
      </c>
      <c r="AB113" s="152">
        <f t="shared" si="293"/>
        <v>0.7649082533977386</v>
      </c>
      <c r="AC113" s="152">
        <f t="shared" si="293"/>
        <v>0.73331421684435372</v>
      </c>
      <c r="AD113" s="138">
        <f t="shared" si="223"/>
        <v>2.1423478991317246E-2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0.52007499999999995</v>
      </c>
      <c r="H114" s="152">
        <f t="shared" ref="H114:P114" si="294">1-H113</f>
        <v>0.78669999999999995</v>
      </c>
      <c r="I114" s="152">
        <f t="shared" si="294"/>
        <v>0.7553323529411764</v>
      </c>
      <c r="J114" s="152">
        <f t="shared" si="294"/>
        <v>0.96094507042253519</v>
      </c>
      <c r="K114" s="152">
        <f t="shared" si="294"/>
        <v>0.96445000000000003</v>
      </c>
      <c r="L114" s="152">
        <f t="shared" si="294"/>
        <v>0.95454262295081971</v>
      </c>
      <c r="M114" s="152">
        <f t="shared" si="294"/>
        <v>0.97081157894736847</v>
      </c>
      <c r="N114" s="152">
        <f t="shared" si="294"/>
        <v>0.97745609756097562</v>
      </c>
      <c r="O114" s="152" t="e">
        <f t="shared" si="294"/>
        <v>#DIV/0!</v>
      </c>
      <c r="P114" s="152">
        <f t="shared" si="294"/>
        <v>-3.0763874345549835E-2</v>
      </c>
      <c r="Q114" s="152">
        <f t="shared" ref="Q114" si="295">1-Q113</f>
        <v>-0.11810483870967747</v>
      </c>
      <c r="R114" s="118">
        <f t="shared" si="221"/>
        <v>-1.7303865774887175</v>
      </c>
      <c r="S114" s="20"/>
      <c r="T114" s="152">
        <f t="shared" ref="T114:AC114" si="296">1-T113</f>
        <v>-7.1922247545582296E-2</v>
      </c>
      <c r="U114" s="152">
        <f t="shared" si="296"/>
        <v>-2.7647198190438704E-2</v>
      </c>
      <c r="V114" s="152">
        <f t="shared" si="296"/>
        <v>1.4799099126122761E-2</v>
      </c>
      <c r="W114" s="152">
        <f t="shared" si="296"/>
        <v>5.5492179814391362E-2</v>
      </c>
      <c r="X114" s="152">
        <f t="shared" si="296"/>
        <v>9.450445934379692E-2</v>
      </c>
      <c r="Y114" s="152">
        <f t="shared" si="296"/>
        <v>0.13190536211003123</v>
      </c>
      <c r="Z114" s="152">
        <f t="shared" si="296"/>
        <v>0.1677614449793996</v>
      </c>
      <c r="AA114" s="152">
        <f t="shared" si="296"/>
        <v>0.20213651573025004</v>
      </c>
      <c r="AB114" s="152">
        <f t="shared" si="296"/>
        <v>0.2350917466022614</v>
      </c>
      <c r="AC114" s="152">
        <f t="shared" si="296"/>
        <v>0.26668578315564628</v>
      </c>
      <c r="AD114" s="138">
        <f t="shared" si="223"/>
        <v>-3.2843634971462032E-2</v>
      </c>
      <c r="AE114" s="20"/>
      <c r="AF114" s="20"/>
    </row>
    <row r="115" spans="2:32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28"/>
      <c r="S115" s="20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28"/>
      <c r="AE115" s="20"/>
      <c r="AF115" s="20"/>
    </row>
    <row r="116" spans="2:32" x14ac:dyDescent="0.2">
      <c r="B116" s="20" t="s">
        <v>333</v>
      </c>
      <c r="C116" s="152"/>
      <c r="D116" s="152"/>
      <c r="E116" s="152"/>
      <c r="F116" s="152" t="e">
        <f>F31/F25</f>
        <v>#DIV/0!</v>
      </c>
      <c r="G116" s="152">
        <f>G31/G25</f>
        <v>0</v>
      </c>
      <c r="H116" s="152">
        <f t="shared" ref="H116:P116" si="297">H31/H25</f>
        <v>0</v>
      </c>
      <c r="I116" s="152">
        <f t="shared" si="297"/>
        <v>0</v>
      </c>
      <c r="J116" s="152">
        <f t="shared" si="297"/>
        <v>0</v>
      </c>
      <c r="K116" s="152">
        <f t="shared" si="297"/>
        <v>0</v>
      </c>
      <c r="L116" s="152">
        <f t="shared" si="297"/>
        <v>0</v>
      </c>
      <c r="M116" s="152">
        <f t="shared" si="297"/>
        <v>0</v>
      </c>
      <c r="N116" s="152">
        <f t="shared" si="297"/>
        <v>0</v>
      </c>
      <c r="O116" s="152" t="e">
        <f t="shared" si="297"/>
        <v>#DIV/0!</v>
      </c>
      <c r="P116" s="152">
        <f t="shared" si="297"/>
        <v>0</v>
      </c>
      <c r="Q116" s="152">
        <f t="shared" ref="Q116" si="298">Q31/Q25</f>
        <v>0</v>
      </c>
      <c r="R116" s="118" t="e">
        <f t="shared" si="221"/>
        <v>#DIV/0!</v>
      </c>
      <c r="S116" s="20"/>
      <c r="T116" s="152">
        <f t="shared" ref="T116:AC116" si="299">T31/T25</f>
        <v>0</v>
      </c>
      <c r="U116" s="152">
        <f t="shared" si="299"/>
        <v>0</v>
      </c>
      <c r="V116" s="152">
        <f t="shared" si="299"/>
        <v>0</v>
      </c>
      <c r="W116" s="152">
        <f t="shared" si="299"/>
        <v>0</v>
      </c>
      <c r="X116" s="152">
        <f t="shared" si="299"/>
        <v>0</v>
      </c>
      <c r="Y116" s="152">
        <f t="shared" si="299"/>
        <v>0</v>
      </c>
      <c r="Z116" s="152">
        <f t="shared" si="299"/>
        <v>0</v>
      </c>
      <c r="AA116" s="152">
        <f t="shared" si="299"/>
        <v>0</v>
      </c>
      <c r="AB116" s="152">
        <f t="shared" si="299"/>
        <v>0</v>
      </c>
      <c r="AC116" s="152">
        <f t="shared" si="299"/>
        <v>0</v>
      </c>
      <c r="AD116" s="138" t="e">
        <f t="shared" si="223"/>
        <v>#DIV/0!</v>
      </c>
      <c r="AE116" s="20"/>
      <c r="AF116" s="20"/>
    </row>
    <row r="117" spans="2:32" x14ac:dyDescent="0.2">
      <c r="B117" s="20" t="s">
        <v>330</v>
      </c>
      <c r="C117" s="152"/>
      <c r="D117" s="152"/>
      <c r="E117" s="152"/>
      <c r="F117" s="152" t="e">
        <f>F32/F25</f>
        <v>#DIV/0!</v>
      </c>
      <c r="G117" s="152">
        <f>G32/G25</f>
        <v>0</v>
      </c>
      <c r="H117" s="152">
        <f t="shared" ref="H117:P117" si="300">H32/H25</f>
        <v>0</v>
      </c>
      <c r="I117" s="152">
        <f t="shared" si="300"/>
        <v>0</v>
      </c>
      <c r="J117" s="152">
        <f t="shared" si="300"/>
        <v>0</v>
      </c>
      <c r="K117" s="152">
        <f t="shared" si="300"/>
        <v>0</v>
      </c>
      <c r="L117" s="152">
        <f t="shared" si="300"/>
        <v>0</v>
      </c>
      <c r="M117" s="152">
        <f t="shared" si="300"/>
        <v>0</v>
      </c>
      <c r="N117" s="152">
        <f t="shared" si="300"/>
        <v>0</v>
      </c>
      <c r="O117" s="152" t="e">
        <f t="shared" si="300"/>
        <v>#DIV/0!</v>
      </c>
      <c r="P117" s="152">
        <f t="shared" si="300"/>
        <v>0</v>
      </c>
      <c r="Q117" s="152">
        <f t="shared" ref="Q117" si="301">Q32/Q25</f>
        <v>0</v>
      </c>
      <c r="R117" s="118" t="e">
        <f t="shared" si="221"/>
        <v>#DIV/0!</v>
      </c>
      <c r="S117" s="20"/>
      <c r="T117" s="152">
        <f t="shared" ref="T117:AC117" si="302">T32/T25</f>
        <v>0</v>
      </c>
      <c r="U117" s="152">
        <f t="shared" si="302"/>
        <v>0</v>
      </c>
      <c r="V117" s="152">
        <f t="shared" si="302"/>
        <v>0</v>
      </c>
      <c r="W117" s="152">
        <f t="shared" si="302"/>
        <v>0</v>
      </c>
      <c r="X117" s="152">
        <f t="shared" si="302"/>
        <v>0</v>
      </c>
      <c r="Y117" s="152">
        <f t="shared" si="302"/>
        <v>0</v>
      </c>
      <c r="Z117" s="152">
        <f t="shared" si="302"/>
        <v>0</v>
      </c>
      <c r="AA117" s="152">
        <f t="shared" si="302"/>
        <v>0</v>
      </c>
      <c r="AB117" s="152">
        <f t="shared" si="302"/>
        <v>0</v>
      </c>
      <c r="AC117" s="152">
        <f t="shared" si="302"/>
        <v>0</v>
      </c>
      <c r="AD117" s="138" t="e">
        <f t="shared" si="223"/>
        <v>#DIV/0!</v>
      </c>
      <c r="AE117" s="20"/>
      <c r="AF117" s="20"/>
    </row>
    <row r="118" spans="2:32" x14ac:dyDescent="0.2">
      <c r="B118" s="20"/>
      <c r="C118" s="20"/>
      <c r="D118" s="20"/>
      <c r="E118" s="20"/>
      <c r="F118" s="20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28"/>
      <c r="S118" s="20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28"/>
      <c r="AE118" s="20"/>
      <c r="AF118" s="20"/>
    </row>
    <row r="119" spans="2:32" x14ac:dyDescent="0.2">
      <c r="B119" s="20" t="s">
        <v>354</v>
      </c>
      <c r="C119" s="20"/>
      <c r="D119" s="20"/>
      <c r="E119" s="20"/>
      <c r="F119" s="20"/>
      <c r="G119" s="152">
        <f>G27/G25</f>
        <v>0.83943661971830985</v>
      </c>
      <c r="H119" s="152">
        <f t="shared" ref="H119:P119" si="303">H27/H25</f>
        <v>0.82467532467532467</v>
      </c>
      <c r="I119" s="152">
        <f t="shared" si="303"/>
        <v>0.84603886397608374</v>
      </c>
      <c r="J119" s="152">
        <f t="shared" si="303"/>
        <v>0.83620689655172409</v>
      </c>
      <c r="K119" s="152">
        <f t="shared" si="303"/>
        <v>0.86368260427263477</v>
      </c>
      <c r="L119" s="152">
        <f t="shared" si="303"/>
        <v>0.87650273224043718</v>
      </c>
      <c r="M119" s="152">
        <f t="shared" si="303"/>
        <v>0.86048526863084918</v>
      </c>
      <c r="N119" s="152">
        <f t="shared" si="303"/>
        <v>0.86609498680738783</v>
      </c>
      <c r="O119" s="152" t="e">
        <f t="shared" si="303"/>
        <v>#DIV/0!</v>
      </c>
      <c r="P119" s="152">
        <f t="shared" si="303"/>
        <v>0.86024423337856171</v>
      </c>
      <c r="Q119" s="152">
        <f t="shared" ref="Q119" si="304">Q27/Q25</f>
        <v>0</v>
      </c>
      <c r="R119" s="118">
        <f t="shared" si="221"/>
        <v>2.724300315418926E-3</v>
      </c>
      <c r="S119" s="20"/>
      <c r="T119" s="152">
        <f t="shared" ref="T119:AC119" si="305">T27/T25</f>
        <v>0</v>
      </c>
      <c r="U119" s="152">
        <f t="shared" si="305"/>
        <v>0</v>
      </c>
      <c r="V119" s="152">
        <f t="shared" si="305"/>
        <v>0</v>
      </c>
      <c r="W119" s="152">
        <f t="shared" si="305"/>
        <v>0</v>
      </c>
      <c r="X119" s="152">
        <f t="shared" si="305"/>
        <v>0</v>
      </c>
      <c r="Y119" s="152">
        <f t="shared" si="305"/>
        <v>0</v>
      </c>
      <c r="Z119" s="152">
        <f t="shared" si="305"/>
        <v>0</v>
      </c>
      <c r="AA119" s="152">
        <f t="shared" si="305"/>
        <v>0</v>
      </c>
      <c r="AB119" s="152">
        <f t="shared" si="305"/>
        <v>0</v>
      </c>
      <c r="AC119" s="152">
        <f t="shared" si="305"/>
        <v>0</v>
      </c>
      <c r="AD119" s="138">
        <f t="shared" si="223"/>
        <v>-1</v>
      </c>
      <c r="AE119" s="20"/>
      <c r="AF119" s="20"/>
    </row>
    <row r="120" spans="2:32" x14ac:dyDescent="0.2">
      <c r="B120" s="20" t="str">
        <f>B33</f>
        <v>Top Expenses ( Raw material )</v>
      </c>
      <c r="C120" s="20"/>
      <c r="D120" s="20"/>
      <c r="E120" s="20"/>
      <c r="F120" s="20"/>
      <c r="G120" s="152">
        <f>G33/G25</f>
        <v>0.60281690140845068</v>
      </c>
      <c r="H120" s="152">
        <f t="shared" ref="H120:P120" si="306">H33/H25</f>
        <v>0.58441558441558439</v>
      </c>
      <c r="I120" s="152">
        <f t="shared" si="306"/>
        <v>0.63677130044843044</v>
      </c>
      <c r="J120" s="152">
        <f t="shared" si="306"/>
        <v>0.61822660098522164</v>
      </c>
      <c r="K120" s="152">
        <f t="shared" si="306"/>
        <v>0.64699898270600198</v>
      </c>
      <c r="L120" s="152">
        <f t="shared" si="306"/>
        <v>0.64043715846994531</v>
      </c>
      <c r="M120" s="152">
        <f t="shared" si="306"/>
        <v>0.6481802426343154</v>
      </c>
      <c r="N120" s="152">
        <f t="shared" si="306"/>
        <v>0.66490765171503963</v>
      </c>
      <c r="O120" s="152" t="e">
        <f t="shared" si="306"/>
        <v>#DIV/0!</v>
      </c>
      <c r="P120" s="152">
        <f t="shared" si="306"/>
        <v>0.63772048846675711</v>
      </c>
      <c r="Q120" s="152">
        <f t="shared" ref="Q120" si="307">Q33/Q25</f>
        <v>0</v>
      </c>
      <c r="R120" s="118">
        <f t="shared" si="221"/>
        <v>6.273661599879965E-3</v>
      </c>
      <c r="S120" s="20"/>
      <c r="T120" s="152">
        <f t="shared" ref="T120:AC120" si="308">T33/T25</f>
        <v>0</v>
      </c>
      <c r="U120" s="152">
        <f t="shared" si="308"/>
        <v>0</v>
      </c>
      <c r="V120" s="152">
        <f t="shared" si="308"/>
        <v>0</v>
      </c>
      <c r="W120" s="152">
        <f t="shared" si="308"/>
        <v>0</v>
      </c>
      <c r="X120" s="152">
        <f t="shared" si="308"/>
        <v>0</v>
      </c>
      <c r="Y120" s="152">
        <f t="shared" si="308"/>
        <v>0</v>
      </c>
      <c r="Z120" s="152">
        <f t="shared" si="308"/>
        <v>0</v>
      </c>
      <c r="AA120" s="152">
        <f t="shared" si="308"/>
        <v>0</v>
      </c>
      <c r="AB120" s="152">
        <f t="shared" si="308"/>
        <v>0</v>
      </c>
      <c r="AC120" s="152">
        <f t="shared" si="308"/>
        <v>0</v>
      </c>
      <c r="AD120" s="138">
        <f t="shared" si="223"/>
        <v>-1</v>
      </c>
      <c r="AE120" s="20"/>
      <c r="AF120" s="20"/>
    </row>
    <row r="121" spans="2:32" x14ac:dyDescent="0.2">
      <c r="B121" s="20" t="str">
        <f>B34</f>
        <v>2nd highest Expenses Comp. ( Empl )</v>
      </c>
      <c r="C121" s="20"/>
      <c r="D121" s="20"/>
      <c r="E121" s="20"/>
      <c r="F121" s="20"/>
      <c r="G121" s="152">
        <f>G34/G25</f>
        <v>0.15774647887323945</v>
      </c>
      <c r="H121" s="152">
        <f t="shared" ref="H121:P121" si="309">H34/H25</f>
        <v>0.16666666666666666</v>
      </c>
      <c r="I121" s="152">
        <f t="shared" si="309"/>
        <v>0.14499252615844543</v>
      </c>
      <c r="J121" s="152">
        <f t="shared" si="309"/>
        <v>0.14408866995073891</v>
      </c>
      <c r="K121" s="152">
        <f t="shared" si="309"/>
        <v>0.1363173957273652</v>
      </c>
      <c r="L121" s="152">
        <f t="shared" si="309"/>
        <v>0.14863387978142076</v>
      </c>
      <c r="M121" s="152">
        <f t="shared" si="309"/>
        <v>0.12998266897746968</v>
      </c>
      <c r="N121" s="152">
        <f t="shared" si="309"/>
        <v>0.12203166226912929</v>
      </c>
      <c r="O121" s="152" t="e">
        <f t="shared" si="309"/>
        <v>#DIV/0!</v>
      </c>
      <c r="P121" s="152">
        <f t="shared" si="309"/>
        <v>0.13568521031207598</v>
      </c>
      <c r="Q121" s="152">
        <f t="shared" ref="Q121" si="310">Q34/Q25</f>
        <v>0</v>
      </c>
      <c r="R121" s="118">
        <f t="shared" si="221"/>
        <v>-1.6599747749377225E-2</v>
      </c>
      <c r="S121" s="20"/>
      <c r="T121" s="152">
        <f t="shared" ref="T121:AC121" si="311">T34/T25</f>
        <v>0</v>
      </c>
      <c r="U121" s="152">
        <f t="shared" si="311"/>
        <v>0</v>
      </c>
      <c r="V121" s="152">
        <f t="shared" si="311"/>
        <v>0</v>
      </c>
      <c r="W121" s="152">
        <f t="shared" si="311"/>
        <v>0</v>
      </c>
      <c r="X121" s="152">
        <f t="shared" si="311"/>
        <v>0</v>
      </c>
      <c r="Y121" s="152">
        <f t="shared" si="311"/>
        <v>0</v>
      </c>
      <c r="Z121" s="152">
        <f t="shared" si="311"/>
        <v>0</v>
      </c>
      <c r="AA121" s="152">
        <f t="shared" si="311"/>
        <v>0</v>
      </c>
      <c r="AB121" s="152">
        <f t="shared" si="311"/>
        <v>0</v>
      </c>
      <c r="AC121" s="152">
        <f t="shared" si="311"/>
        <v>0</v>
      </c>
      <c r="AD121" s="138">
        <f t="shared" si="223"/>
        <v>-1</v>
      </c>
      <c r="AE121" s="20"/>
      <c r="AF121" s="20"/>
    </row>
    <row r="122" spans="2:32" x14ac:dyDescent="0.2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28"/>
      <c r="S122" s="128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39"/>
      <c r="AE122" s="20"/>
      <c r="AF122" s="20"/>
    </row>
    <row r="123" spans="2:32" x14ac:dyDescent="0.2">
      <c r="B123" s="108" t="s">
        <v>362</v>
      </c>
      <c r="C123" s="20"/>
      <c r="D123" s="20"/>
      <c r="E123" s="20"/>
      <c r="F123" s="20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118"/>
      <c r="S123" s="128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138"/>
      <c r="AE123" s="20"/>
      <c r="AF123" s="20"/>
    </row>
    <row r="124" spans="2:32" x14ac:dyDescent="0.2">
      <c r="B124" s="20" t="s">
        <v>365</v>
      </c>
      <c r="C124" s="20"/>
      <c r="D124" s="20"/>
      <c r="E124" s="20"/>
      <c r="F124" s="20"/>
      <c r="G124" s="25">
        <f>G15/G9</f>
        <v>1.0274509803921568</v>
      </c>
      <c r="H124" s="25">
        <f t="shared" ref="H124:AC124" si="312">H15/H9</f>
        <v>1.0153846153846153</v>
      </c>
      <c r="I124" s="25">
        <f t="shared" si="312"/>
        <v>1.2409638554216869</v>
      </c>
      <c r="J124" s="25">
        <f t="shared" si="312"/>
        <v>1.3557692307692308</v>
      </c>
      <c r="K124" s="25">
        <f t="shared" si="312"/>
        <v>1.5660377358490567</v>
      </c>
      <c r="L124" s="25">
        <f t="shared" si="312"/>
        <v>1.2905982905982907</v>
      </c>
      <c r="M124" s="25">
        <f t="shared" si="312"/>
        <v>1.3356643356643356</v>
      </c>
      <c r="N124" s="25">
        <f t="shared" si="312"/>
        <v>1.3550295857988166</v>
      </c>
      <c r="O124" s="25" t="e">
        <f t="shared" si="312"/>
        <v>#DIV/0!</v>
      </c>
      <c r="P124" s="25">
        <f t="shared" si="312"/>
        <v>2.6914285714285713</v>
      </c>
      <c r="Q124" s="25">
        <f t="shared" ref="Q124" si="313">Q15/Q9</f>
        <v>0</v>
      </c>
      <c r="R124" s="118">
        <f t="shared" si="221"/>
        <v>0.11293316151538701</v>
      </c>
      <c r="S124" s="20"/>
      <c r="T124" s="20">
        <f t="shared" si="312"/>
        <v>0</v>
      </c>
      <c r="U124" s="20">
        <f t="shared" si="312"/>
        <v>0</v>
      </c>
      <c r="V124" s="20">
        <f t="shared" si="312"/>
        <v>0</v>
      </c>
      <c r="W124" s="20">
        <f t="shared" si="312"/>
        <v>0</v>
      </c>
      <c r="X124" s="20">
        <f t="shared" si="312"/>
        <v>0</v>
      </c>
      <c r="Y124" s="20">
        <f t="shared" si="312"/>
        <v>0</v>
      </c>
      <c r="Z124" s="20">
        <f t="shared" si="312"/>
        <v>0</v>
      </c>
      <c r="AA124" s="20">
        <f t="shared" si="312"/>
        <v>0</v>
      </c>
      <c r="AB124" s="20">
        <f t="shared" si="312"/>
        <v>0</v>
      </c>
      <c r="AC124" s="20">
        <f t="shared" si="312"/>
        <v>0</v>
      </c>
      <c r="AD124" s="138">
        <f t="shared" si="223"/>
        <v>-1</v>
      </c>
      <c r="AE124" s="20"/>
      <c r="AF124" s="20"/>
    </row>
    <row r="125" spans="2:32" x14ac:dyDescent="0.2">
      <c r="B125" s="20" t="s">
        <v>355</v>
      </c>
      <c r="C125" s="20"/>
      <c r="D125" s="20"/>
      <c r="E125" s="20"/>
      <c r="F125" s="20"/>
      <c r="G125" s="25">
        <f>G12/G9</f>
        <v>0.12156862745098039</v>
      </c>
      <c r="H125" s="25">
        <f t="shared" ref="H125:P125" si="314">H12/H9</f>
        <v>0.11707692307692306</v>
      </c>
      <c r="I125" s="25">
        <f t="shared" si="314"/>
        <v>0.15662650602409639</v>
      </c>
      <c r="J125" s="25">
        <f t="shared" si="314"/>
        <v>0.30769230769230771</v>
      </c>
      <c r="K125" s="25">
        <f t="shared" si="314"/>
        <v>0.45283018867924529</v>
      </c>
      <c r="L125" s="25">
        <f t="shared" si="314"/>
        <v>0.22222222222222221</v>
      </c>
      <c r="M125" s="25">
        <f t="shared" si="314"/>
        <v>0.24475524475524477</v>
      </c>
      <c r="N125" s="25">
        <f t="shared" si="314"/>
        <v>0.22485207100591717</v>
      </c>
      <c r="O125" s="25" t="e">
        <f t="shared" si="314"/>
        <v>#DIV/0!</v>
      </c>
      <c r="P125" s="25">
        <f t="shared" si="314"/>
        <v>1.3828571428571428</v>
      </c>
      <c r="Q125" s="25">
        <f t="shared" ref="Q125" si="315">Q12/Q9</f>
        <v>1.3828571428571428</v>
      </c>
      <c r="R125" s="118">
        <f t="shared" si="221"/>
        <v>0.31017232844104847</v>
      </c>
      <c r="S125" s="128"/>
      <c r="T125" s="20">
        <f t="shared" ref="T125:AC125" si="316">T12/T9</f>
        <v>1.3828571428571428</v>
      </c>
      <c r="U125" s="20">
        <f t="shared" si="316"/>
        <v>1.3828571428571428</v>
      </c>
      <c r="V125" s="20">
        <f t="shared" si="316"/>
        <v>1.3828571428571426</v>
      </c>
      <c r="W125" s="20">
        <f t="shared" si="316"/>
        <v>1.3828571428571428</v>
      </c>
      <c r="X125" s="20">
        <f t="shared" si="316"/>
        <v>1.3828571428571428</v>
      </c>
      <c r="Y125" s="20">
        <f t="shared" si="316"/>
        <v>1.382857142857143</v>
      </c>
      <c r="Z125" s="20">
        <f t="shared" si="316"/>
        <v>1.382857142857143</v>
      </c>
      <c r="AA125" s="20">
        <f t="shared" si="316"/>
        <v>1.382857142857143</v>
      </c>
      <c r="AB125" s="20">
        <f t="shared" si="316"/>
        <v>1.382857142857143</v>
      </c>
      <c r="AC125" s="20">
        <f t="shared" si="316"/>
        <v>1.382857142857143</v>
      </c>
      <c r="AD125" s="118">
        <f t="shared" ref="AD125" si="317">((AC125/T125)^(1/($H$2-$H$1) ))-1</f>
        <v>0</v>
      </c>
      <c r="AE125" s="20"/>
      <c r="AF125" s="20"/>
    </row>
    <row r="126" spans="2:32" x14ac:dyDescent="0.2">
      <c r="B126" s="20" t="s">
        <v>357</v>
      </c>
      <c r="C126" s="20"/>
      <c r="D126" s="20"/>
      <c r="E126" s="20"/>
      <c r="F126" s="20"/>
      <c r="G126" s="25">
        <f>G25/360</f>
        <v>0.98611111111111116</v>
      </c>
      <c r="H126" s="25">
        <f t="shared" ref="H126:P126" si="318">H25/360</f>
        <v>1.2833333333333334</v>
      </c>
      <c r="I126" s="25">
        <f t="shared" si="318"/>
        <v>1.8583333333333334</v>
      </c>
      <c r="J126" s="25">
        <f t="shared" si="318"/>
        <v>2.2555555555555555</v>
      </c>
      <c r="K126" s="25">
        <f t="shared" si="318"/>
        <v>2.7305555555555556</v>
      </c>
      <c r="L126" s="25">
        <f t="shared" si="318"/>
        <v>2.5416666666666665</v>
      </c>
      <c r="M126" s="25">
        <f t="shared" si="318"/>
        <v>3.2055555555555557</v>
      </c>
      <c r="N126" s="25">
        <f t="shared" si="318"/>
        <v>4.2111111111111112</v>
      </c>
      <c r="O126" s="25">
        <f t="shared" si="318"/>
        <v>0</v>
      </c>
      <c r="P126" s="25">
        <f t="shared" si="318"/>
        <v>6.1416666666666666</v>
      </c>
      <c r="Q126" s="25">
        <f t="shared" ref="Q126" si="319">Q25/360</f>
        <v>5.3666666666666663</v>
      </c>
      <c r="R126" s="118">
        <f t="shared" si="221"/>
        <v>0.22535595441454737</v>
      </c>
      <c r="S126" s="128"/>
      <c r="T126" s="25">
        <f t="shared" ref="T126:AC126" si="320">T25/360</f>
        <v>6.171666666666666</v>
      </c>
      <c r="U126" s="25">
        <f t="shared" si="320"/>
        <v>7.0974166666666658</v>
      </c>
      <c r="V126" s="25">
        <f t="shared" si="320"/>
        <v>8.1620291666666649</v>
      </c>
      <c r="W126" s="25">
        <f t="shared" si="320"/>
        <v>9.3863335416666658</v>
      </c>
      <c r="X126" s="25">
        <f t="shared" si="320"/>
        <v>10.794283572916665</v>
      </c>
      <c r="Y126" s="25">
        <f t="shared" si="320"/>
        <v>12.413426108854164</v>
      </c>
      <c r="Z126" s="25">
        <f t="shared" si="320"/>
        <v>14.275440025182288</v>
      </c>
      <c r="AA126" s="25">
        <f t="shared" si="320"/>
        <v>16.416756028959629</v>
      </c>
      <c r="AB126" s="25">
        <f t="shared" si="320"/>
        <v>18.879269433303573</v>
      </c>
      <c r="AC126" s="25">
        <f t="shared" si="320"/>
        <v>21.711159848299108</v>
      </c>
      <c r="AD126" s="118">
        <f t="shared" ref="AD126:AD137" si="321">((AC126/T126)^(1/($H$2-$H$1) ))-1</f>
        <v>0.14999999999999991</v>
      </c>
      <c r="AE126" s="20"/>
      <c r="AF126" s="20"/>
    </row>
    <row r="127" spans="2:32" x14ac:dyDescent="0.2">
      <c r="B127" s="20" t="s">
        <v>356</v>
      </c>
      <c r="C127" s="20"/>
      <c r="D127" s="20"/>
      <c r="E127" s="20"/>
      <c r="F127" s="20"/>
      <c r="G127" s="25">
        <f>G27/360</f>
        <v>0.82777777777777772</v>
      </c>
      <c r="H127" s="25">
        <f t="shared" ref="H127:P127" si="322">H27/360</f>
        <v>1.0583333333333333</v>
      </c>
      <c r="I127" s="25">
        <f t="shared" si="322"/>
        <v>1.5722222222222222</v>
      </c>
      <c r="J127" s="25">
        <f t="shared" si="322"/>
        <v>1.8861111111111111</v>
      </c>
      <c r="K127" s="25">
        <f t="shared" si="322"/>
        <v>2.3583333333333334</v>
      </c>
      <c r="L127" s="25">
        <f t="shared" si="322"/>
        <v>2.2277777777777779</v>
      </c>
      <c r="M127" s="25">
        <f t="shared" si="322"/>
        <v>2.7583333333333333</v>
      </c>
      <c r="N127" s="25">
        <f t="shared" si="322"/>
        <v>3.6472222222222221</v>
      </c>
      <c r="O127" s="25">
        <f t="shared" si="322"/>
        <v>0</v>
      </c>
      <c r="P127" s="25">
        <f t="shared" si="322"/>
        <v>5.2833333333333332</v>
      </c>
      <c r="Q127" s="25">
        <f t="shared" ref="Q127" si="323">Q27/360</f>
        <v>0</v>
      </c>
      <c r="R127" s="118">
        <f t="shared" si="221"/>
        <v>0.2286941920276595</v>
      </c>
      <c r="S127" s="128"/>
      <c r="T127" s="25">
        <f t="shared" ref="T127:AC127" si="324">T27/360</f>
        <v>0</v>
      </c>
      <c r="U127" s="25">
        <f t="shared" si="324"/>
        <v>0</v>
      </c>
      <c r="V127" s="25">
        <f t="shared" si="324"/>
        <v>0</v>
      </c>
      <c r="W127" s="25">
        <f t="shared" si="324"/>
        <v>0</v>
      </c>
      <c r="X127" s="25">
        <f t="shared" si="324"/>
        <v>0</v>
      </c>
      <c r="Y127" s="25">
        <f t="shared" si="324"/>
        <v>0</v>
      </c>
      <c r="Z127" s="25">
        <f t="shared" si="324"/>
        <v>0</v>
      </c>
      <c r="AA127" s="25">
        <f t="shared" si="324"/>
        <v>0</v>
      </c>
      <c r="AB127" s="25">
        <f t="shared" si="324"/>
        <v>0</v>
      </c>
      <c r="AC127" s="25">
        <f t="shared" si="324"/>
        <v>0</v>
      </c>
      <c r="AD127" s="118" t="e">
        <f t="shared" si="321"/>
        <v>#DIV/0!</v>
      </c>
      <c r="AE127" s="20"/>
      <c r="AF127" s="20"/>
    </row>
    <row r="128" spans="2:32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128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128"/>
      <c r="AE128" s="20"/>
      <c r="AF128" s="20"/>
    </row>
    <row r="129" spans="2:32" x14ac:dyDescent="0.2">
      <c r="B129" s="20" t="s">
        <v>366</v>
      </c>
      <c r="C129" s="20"/>
      <c r="D129" s="20"/>
      <c r="E129" s="20"/>
      <c r="F129" s="20"/>
      <c r="G129" s="25">
        <f>G10/G7</f>
        <v>0.49242424242424243</v>
      </c>
      <c r="H129" s="25">
        <f t="shared" ref="H129:P129" si="325">H10/H7</f>
        <v>0.33128834355828218</v>
      </c>
      <c r="I129" s="25">
        <f t="shared" si="325"/>
        <v>3.9840637450199202E-2</v>
      </c>
      <c r="J129" s="25">
        <f t="shared" si="325"/>
        <v>0</v>
      </c>
      <c r="K129" s="25">
        <f t="shared" si="325"/>
        <v>0</v>
      </c>
      <c r="L129" s="25">
        <f t="shared" si="325"/>
        <v>0</v>
      </c>
      <c r="M129" s="25">
        <f t="shared" si="325"/>
        <v>0</v>
      </c>
      <c r="N129" s="25">
        <f t="shared" si="325"/>
        <v>0</v>
      </c>
      <c r="O129" s="25" t="e">
        <f t="shared" si="325"/>
        <v>#DIV/0!</v>
      </c>
      <c r="P129" s="25">
        <f t="shared" si="325"/>
        <v>0</v>
      </c>
      <c r="Q129" s="25">
        <f t="shared" ref="Q129" si="326">Q10/Q7</f>
        <v>0</v>
      </c>
      <c r="R129" s="118">
        <f t="shared" si="221"/>
        <v>-1</v>
      </c>
      <c r="S129" s="128"/>
      <c r="T129" s="25">
        <f t="shared" ref="T129:AC129" si="327">T10/T7</f>
        <v>0</v>
      </c>
      <c r="U129" s="25">
        <f t="shared" si="327"/>
        <v>0</v>
      </c>
      <c r="V129" s="25">
        <f t="shared" si="327"/>
        <v>0</v>
      </c>
      <c r="W129" s="25">
        <f t="shared" si="327"/>
        <v>0</v>
      </c>
      <c r="X129" s="25">
        <f t="shared" si="327"/>
        <v>0</v>
      </c>
      <c r="Y129" s="25">
        <f t="shared" si="327"/>
        <v>0</v>
      </c>
      <c r="Z129" s="25">
        <f t="shared" si="327"/>
        <v>0</v>
      </c>
      <c r="AA129" s="25">
        <f t="shared" si="327"/>
        <v>0</v>
      </c>
      <c r="AB129" s="25">
        <f t="shared" si="327"/>
        <v>0</v>
      </c>
      <c r="AC129" s="25">
        <f t="shared" si="327"/>
        <v>0</v>
      </c>
      <c r="AD129" s="118" t="e">
        <f t="shared" si="321"/>
        <v>#DIV/0!</v>
      </c>
      <c r="AE129" s="20"/>
      <c r="AF129" s="20"/>
    </row>
    <row r="130" spans="2:32" x14ac:dyDescent="0.2">
      <c r="B130" s="20" t="s">
        <v>358</v>
      </c>
      <c r="C130" s="20"/>
      <c r="D130" s="20"/>
      <c r="E130" s="20"/>
      <c r="F130" s="20"/>
      <c r="G130" s="25">
        <f>G10/(G10+G7)</f>
        <v>0.32994923857868019</v>
      </c>
      <c r="H130" s="25">
        <f t="shared" ref="H130:P130" si="328">H10/(H10+H7)</f>
        <v>0.24884792626728111</v>
      </c>
      <c r="I130" s="25">
        <f t="shared" si="328"/>
        <v>3.8314176245210725E-2</v>
      </c>
      <c r="J130" s="25">
        <f t="shared" si="328"/>
        <v>0</v>
      </c>
      <c r="K130" s="25">
        <f t="shared" si="328"/>
        <v>0</v>
      </c>
      <c r="L130" s="25">
        <f t="shared" si="328"/>
        <v>0</v>
      </c>
      <c r="M130" s="25">
        <f t="shared" si="328"/>
        <v>0</v>
      </c>
      <c r="N130" s="25">
        <f t="shared" si="328"/>
        <v>0</v>
      </c>
      <c r="O130" s="25" t="e">
        <f t="shared" si="328"/>
        <v>#DIV/0!</v>
      </c>
      <c r="P130" s="25">
        <f t="shared" si="328"/>
        <v>0</v>
      </c>
      <c r="Q130" s="25">
        <f t="shared" ref="Q130" si="329">Q10/(Q10+Q7)</f>
        <v>0</v>
      </c>
      <c r="R130" s="118">
        <f t="shared" si="221"/>
        <v>-1</v>
      </c>
      <c r="S130" s="128"/>
      <c r="T130" s="25">
        <f t="shared" ref="T130:AC130" si="330">T10/(T10+T7)</f>
        <v>0</v>
      </c>
      <c r="U130" s="25">
        <f t="shared" si="330"/>
        <v>0</v>
      </c>
      <c r="V130" s="25">
        <f t="shared" si="330"/>
        <v>0</v>
      </c>
      <c r="W130" s="25">
        <f t="shared" si="330"/>
        <v>0</v>
      </c>
      <c r="X130" s="25">
        <f t="shared" si="330"/>
        <v>0</v>
      </c>
      <c r="Y130" s="25">
        <f t="shared" si="330"/>
        <v>0</v>
      </c>
      <c r="Z130" s="25">
        <f t="shared" si="330"/>
        <v>0</v>
      </c>
      <c r="AA130" s="25">
        <f t="shared" si="330"/>
        <v>0</v>
      </c>
      <c r="AB130" s="25">
        <f t="shared" si="330"/>
        <v>0</v>
      </c>
      <c r="AC130" s="25">
        <f t="shared" si="330"/>
        <v>0</v>
      </c>
      <c r="AD130" s="118" t="e">
        <f t="shared" si="321"/>
        <v>#DIV/0!</v>
      </c>
      <c r="AE130" s="20"/>
      <c r="AF130" s="20"/>
    </row>
    <row r="131" spans="2:32" x14ac:dyDescent="0.2">
      <c r="B131" s="20"/>
      <c r="C131" s="20"/>
      <c r="D131" s="20"/>
      <c r="E131" s="20"/>
      <c r="F131" s="20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128"/>
      <c r="S131" s="128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137"/>
      <c r="AE131" s="20"/>
      <c r="AF131" s="20"/>
    </row>
    <row r="132" spans="2:32" x14ac:dyDescent="0.2">
      <c r="B132" s="20" t="s">
        <v>363</v>
      </c>
      <c r="C132" s="20"/>
      <c r="D132" s="20"/>
      <c r="E132" s="20"/>
      <c r="F132" s="20"/>
      <c r="G132" s="25">
        <f>G16</f>
        <v>19</v>
      </c>
      <c r="H132" s="25">
        <f t="shared" ref="H132:P132" si="331">H16</f>
        <v>25.21</v>
      </c>
      <c r="I132" s="25">
        <f t="shared" si="331"/>
        <v>62.5</v>
      </c>
      <c r="J132" s="25">
        <f t="shared" si="331"/>
        <v>92</v>
      </c>
      <c r="K132" s="25">
        <f t="shared" si="331"/>
        <v>11</v>
      </c>
      <c r="L132" s="25">
        <f t="shared" si="331"/>
        <v>102</v>
      </c>
      <c r="M132" s="25">
        <f t="shared" si="331"/>
        <v>238</v>
      </c>
      <c r="N132" s="25">
        <f t="shared" si="331"/>
        <v>349</v>
      </c>
      <c r="O132" s="25">
        <f t="shared" si="331"/>
        <v>0</v>
      </c>
      <c r="P132" s="25">
        <f t="shared" si="331"/>
        <v>404</v>
      </c>
      <c r="Q132" s="25">
        <f t="shared" ref="Q132" si="332">Q16</f>
        <v>0</v>
      </c>
      <c r="R132" s="118">
        <f t="shared" si="221"/>
        <v>0.404475591677391</v>
      </c>
      <c r="S132" s="128"/>
      <c r="T132" s="25">
        <f t="shared" ref="T132:AC132" si="333">T16</f>
        <v>0</v>
      </c>
      <c r="U132" s="25">
        <f t="shared" si="333"/>
        <v>0</v>
      </c>
      <c r="V132" s="25">
        <f t="shared" si="333"/>
        <v>0</v>
      </c>
      <c r="W132" s="25">
        <f t="shared" si="333"/>
        <v>0</v>
      </c>
      <c r="X132" s="25">
        <f t="shared" si="333"/>
        <v>0</v>
      </c>
      <c r="Y132" s="25">
        <f t="shared" si="333"/>
        <v>0</v>
      </c>
      <c r="Z132" s="25">
        <f t="shared" si="333"/>
        <v>0</v>
      </c>
      <c r="AA132" s="25">
        <f t="shared" si="333"/>
        <v>0</v>
      </c>
      <c r="AB132" s="25">
        <f t="shared" si="333"/>
        <v>0</v>
      </c>
      <c r="AC132" s="25">
        <f t="shared" si="333"/>
        <v>0</v>
      </c>
      <c r="AD132" s="118" t="e">
        <f t="shared" si="321"/>
        <v>#DIV/0!</v>
      </c>
      <c r="AE132" s="20"/>
      <c r="AF132" s="20"/>
    </row>
    <row r="133" spans="2:32" x14ac:dyDescent="0.2">
      <c r="B133" s="20" t="s">
        <v>364</v>
      </c>
      <c r="C133" s="20"/>
      <c r="D133" s="20"/>
      <c r="E133" s="20"/>
      <c r="F133" s="20"/>
      <c r="G133" s="119">
        <f t="shared" ref="G133:P133" si="334">G132*365/G25</f>
        <v>19.535211267605632</v>
      </c>
      <c r="H133" s="119">
        <f t="shared" si="334"/>
        <v>19.916991341991341</v>
      </c>
      <c r="I133" s="119">
        <f t="shared" si="334"/>
        <v>34.099402092675632</v>
      </c>
      <c r="J133" s="119">
        <f t="shared" si="334"/>
        <v>41.354679802955665</v>
      </c>
      <c r="K133" s="119">
        <f t="shared" si="334"/>
        <v>4.0844354018311293</v>
      </c>
      <c r="L133" s="119">
        <f t="shared" si="334"/>
        <v>40.688524590163937</v>
      </c>
      <c r="M133" s="119">
        <f t="shared" si="334"/>
        <v>75.277296360485266</v>
      </c>
      <c r="N133" s="119">
        <f t="shared" si="334"/>
        <v>84.027044854881268</v>
      </c>
      <c r="O133" s="119" t="e">
        <f t="shared" si="334"/>
        <v>#DIV/0!</v>
      </c>
      <c r="P133" s="119">
        <f t="shared" si="334"/>
        <v>66.693803708729078</v>
      </c>
      <c r="Q133" s="119">
        <f t="shared" ref="Q133" si="335">Q132*365/Q25</f>
        <v>0</v>
      </c>
      <c r="R133" s="118">
        <f t="shared" si="221"/>
        <v>0.14617763647986148</v>
      </c>
      <c r="S133" s="128"/>
      <c r="T133" s="119">
        <f t="shared" ref="T133:AC133" si="336">T132*365/T25</f>
        <v>0</v>
      </c>
      <c r="U133" s="119">
        <f t="shared" si="336"/>
        <v>0</v>
      </c>
      <c r="V133" s="119">
        <f t="shared" si="336"/>
        <v>0</v>
      </c>
      <c r="W133" s="119">
        <f t="shared" si="336"/>
        <v>0</v>
      </c>
      <c r="X133" s="119">
        <f t="shared" si="336"/>
        <v>0</v>
      </c>
      <c r="Y133" s="119">
        <f t="shared" si="336"/>
        <v>0</v>
      </c>
      <c r="Z133" s="119">
        <f t="shared" si="336"/>
        <v>0</v>
      </c>
      <c r="AA133" s="119">
        <f t="shared" si="336"/>
        <v>0</v>
      </c>
      <c r="AB133" s="119">
        <f t="shared" si="336"/>
        <v>0</v>
      </c>
      <c r="AC133" s="119">
        <f t="shared" si="336"/>
        <v>0</v>
      </c>
      <c r="AD133" s="118" t="e">
        <f t="shared" si="321"/>
        <v>#DIV/0!</v>
      </c>
      <c r="AE133" s="20"/>
      <c r="AF133" s="20"/>
    </row>
    <row r="134" spans="2:32" x14ac:dyDescent="0.2">
      <c r="B134" s="20" t="s">
        <v>367</v>
      </c>
      <c r="C134" s="20"/>
      <c r="D134" s="20"/>
      <c r="E134" s="20"/>
      <c r="F134" s="20"/>
      <c r="G134" s="133">
        <f>G80/G29</f>
        <v>4.5439792275235309</v>
      </c>
      <c r="H134" s="133">
        <f t="shared" ref="H134:P134" si="337">H80/H29</f>
        <v>5.0632911392405058</v>
      </c>
      <c r="I134" s="133">
        <f t="shared" si="337"/>
        <v>17.721518987341771</v>
      </c>
      <c r="J134" s="133">
        <f t="shared" si="337"/>
        <v>37.299578059071727</v>
      </c>
      <c r="K134" s="133">
        <f t="shared" si="337"/>
        <v>35.72433192686357</v>
      </c>
      <c r="L134" s="133">
        <f t="shared" si="337"/>
        <v>27.953586497890292</v>
      </c>
      <c r="M134" s="133">
        <f t="shared" si="337"/>
        <v>55.203938115330523</v>
      </c>
      <c r="N134" s="133">
        <f t="shared" si="337"/>
        <v>47.20464135021097</v>
      </c>
      <c r="O134" s="133" t="e">
        <f t="shared" si="337"/>
        <v>#DIV/0!</v>
      </c>
      <c r="P134" s="133">
        <f t="shared" si="337"/>
        <v>11350.210970464133</v>
      </c>
      <c r="Q134" s="133" t="e">
        <f t="shared" ref="Q134" si="338">Q80/Q29</f>
        <v>#DIV/0!</v>
      </c>
      <c r="R134" s="118">
        <f t="shared" si="221"/>
        <v>1.3851050433787098</v>
      </c>
      <c r="S134" s="128"/>
      <c r="T134" s="133" t="e">
        <f t="shared" ref="T134:AC134" si="339">T80/T29</f>
        <v>#DIV/0!</v>
      </c>
      <c r="U134" s="133" t="e">
        <f t="shared" si="339"/>
        <v>#DIV/0!</v>
      </c>
      <c r="V134" s="133" t="e">
        <f t="shared" si="339"/>
        <v>#DIV/0!</v>
      </c>
      <c r="W134" s="133" t="e">
        <f t="shared" si="339"/>
        <v>#DIV/0!</v>
      </c>
      <c r="X134" s="133" t="e">
        <f t="shared" si="339"/>
        <v>#DIV/0!</v>
      </c>
      <c r="Y134" s="133" t="e">
        <f t="shared" si="339"/>
        <v>#DIV/0!</v>
      </c>
      <c r="Z134" s="133" t="e">
        <f t="shared" si="339"/>
        <v>#DIV/0!</v>
      </c>
      <c r="AA134" s="133" t="e">
        <f t="shared" si="339"/>
        <v>#DIV/0!</v>
      </c>
      <c r="AB134" s="133" t="e">
        <f t="shared" si="339"/>
        <v>#DIV/0!</v>
      </c>
      <c r="AC134" s="133" t="e">
        <f t="shared" si="339"/>
        <v>#DIV/0!</v>
      </c>
      <c r="AD134" s="118" t="e">
        <f t="shared" si="321"/>
        <v>#DIV/0!</v>
      </c>
      <c r="AE134" s="20"/>
      <c r="AF134" s="20"/>
    </row>
    <row r="135" spans="2:32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28"/>
      <c r="S135" s="128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137"/>
      <c r="AE135" s="20"/>
      <c r="AF135" s="20"/>
    </row>
    <row r="136" spans="2:32" x14ac:dyDescent="0.2">
      <c r="B136" s="20" t="s">
        <v>374</v>
      </c>
      <c r="C136" s="20"/>
      <c r="D136" s="20"/>
      <c r="E136" s="20"/>
      <c r="F136" s="20"/>
      <c r="G136" s="180">
        <f>G25/G14</f>
        <v>295.83333333333337</v>
      </c>
      <c r="H136" s="180">
        <f t="shared" ref="H136:P136" si="340">H25/H14</f>
        <v>271.76470588235293</v>
      </c>
      <c r="I136" s="180">
        <f t="shared" si="340"/>
        <v>380.11363636363637</v>
      </c>
      <c r="J136" s="180">
        <f t="shared" si="340"/>
        <v>406</v>
      </c>
      <c r="K136" s="180">
        <f t="shared" si="340"/>
        <v>491.5</v>
      </c>
      <c r="L136" s="180">
        <f t="shared" si="340"/>
        <v>457.5</v>
      </c>
      <c r="M136" s="180">
        <f t="shared" si="340"/>
        <v>577</v>
      </c>
      <c r="N136" s="180">
        <f t="shared" si="340"/>
        <v>758</v>
      </c>
      <c r="O136" s="180" t="e">
        <f t="shared" si="340"/>
        <v>#DIV/0!</v>
      </c>
      <c r="P136" s="180">
        <f t="shared" si="340"/>
        <v>1105.5</v>
      </c>
      <c r="Q136" s="180" t="e">
        <f t="shared" ref="Q136" si="341">Q25/Q14</f>
        <v>#DIV/0!</v>
      </c>
      <c r="R136" s="118">
        <f t="shared" si="221"/>
        <v>0.15774364142387887</v>
      </c>
      <c r="S136" s="128"/>
      <c r="T136" s="20" t="e">
        <f t="shared" ref="T136" si="342">T25/T14</f>
        <v>#DIV/0!</v>
      </c>
      <c r="U136" s="20" t="e">
        <f t="shared" ref="U136:AC136" si="343">U25/U14</f>
        <v>#DIV/0!</v>
      </c>
      <c r="V136" s="20" t="e">
        <f t="shared" si="343"/>
        <v>#DIV/0!</v>
      </c>
      <c r="W136" s="20" t="e">
        <f t="shared" si="343"/>
        <v>#DIV/0!</v>
      </c>
      <c r="X136" s="20" t="e">
        <f t="shared" si="343"/>
        <v>#DIV/0!</v>
      </c>
      <c r="Y136" s="20" t="e">
        <f t="shared" si="343"/>
        <v>#DIV/0!</v>
      </c>
      <c r="Z136" s="20" t="e">
        <f t="shared" si="343"/>
        <v>#DIV/0!</v>
      </c>
      <c r="AA136" s="20" t="e">
        <f t="shared" si="343"/>
        <v>#DIV/0!</v>
      </c>
      <c r="AB136" s="20" t="e">
        <f t="shared" si="343"/>
        <v>#DIV/0!</v>
      </c>
      <c r="AC136" s="20" t="e">
        <f t="shared" si="343"/>
        <v>#DIV/0!</v>
      </c>
      <c r="AD136" s="118" t="e">
        <f t="shared" si="321"/>
        <v>#DIV/0!</v>
      </c>
      <c r="AE136" s="20"/>
      <c r="AF136" s="20"/>
    </row>
    <row r="137" spans="2:32" x14ac:dyDescent="0.2">
      <c r="B137" s="20" t="s">
        <v>375</v>
      </c>
      <c r="C137" s="20"/>
      <c r="D137" s="20"/>
      <c r="E137" s="20"/>
      <c r="F137" s="20"/>
      <c r="G137" s="180">
        <f>G27/G14</f>
        <v>248.33333333333334</v>
      </c>
      <c r="H137" s="180">
        <f t="shared" ref="H137:P137" si="344">H27/H14</f>
        <v>224.11764705882354</v>
      </c>
      <c r="I137" s="180">
        <f t="shared" si="344"/>
        <v>321.59090909090907</v>
      </c>
      <c r="J137" s="180">
        <f t="shared" si="344"/>
        <v>339.5</v>
      </c>
      <c r="K137" s="180">
        <f t="shared" si="344"/>
        <v>424.5</v>
      </c>
      <c r="L137" s="180">
        <f t="shared" si="344"/>
        <v>401</v>
      </c>
      <c r="M137" s="180">
        <f t="shared" si="344"/>
        <v>496.5</v>
      </c>
      <c r="N137" s="180">
        <f t="shared" si="344"/>
        <v>656.5</v>
      </c>
      <c r="O137" s="180" t="e">
        <f t="shared" si="344"/>
        <v>#DIV/0!</v>
      </c>
      <c r="P137" s="180">
        <f t="shared" si="344"/>
        <v>951</v>
      </c>
      <c r="Q137" s="180" t="e">
        <f t="shared" ref="Q137" si="345">Q27/Q14</f>
        <v>#DIV/0!</v>
      </c>
      <c r="R137" s="118">
        <f t="shared" si="221"/>
        <v>0.16089768279138417</v>
      </c>
      <c r="S137" s="128"/>
      <c r="T137" s="20" t="e">
        <f t="shared" ref="T137:AC137" si="346">T27/T14</f>
        <v>#DIV/0!</v>
      </c>
      <c r="U137" s="20" t="e">
        <f t="shared" si="346"/>
        <v>#DIV/0!</v>
      </c>
      <c r="V137" s="20" t="e">
        <f t="shared" si="346"/>
        <v>#DIV/0!</v>
      </c>
      <c r="W137" s="20" t="e">
        <f t="shared" si="346"/>
        <v>#DIV/0!</v>
      </c>
      <c r="X137" s="20" t="e">
        <f t="shared" si="346"/>
        <v>#DIV/0!</v>
      </c>
      <c r="Y137" s="20" t="e">
        <f t="shared" si="346"/>
        <v>#DIV/0!</v>
      </c>
      <c r="Z137" s="20" t="e">
        <f t="shared" si="346"/>
        <v>#DIV/0!</v>
      </c>
      <c r="AA137" s="20" t="e">
        <f t="shared" si="346"/>
        <v>#DIV/0!</v>
      </c>
      <c r="AB137" s="20" t="e">
        <f t="shared" si="346"/>
        <v>#DIV/0!</v>
      </c>
      <c r="AC137" s="20" t="e">
        <f t="shared" si="346"/>
        <v>#DIV/0!</v>
      </c>
      <c r="AD137" s="118" t="e">
        <f t="shared" si="321"/>
        <v>#DIV/0!</v>
      </c>
      <c r="AE137" s="20"/>
      <c r="AF137" s="20"/>
    </row>
    <row r="138" spans="2:32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28"/>
      <c r="S138" s="128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37"/>
      <c r="AE138" s="20"/>
      <c r="AF138" s="20"/>
    </row>
    <row r="139" spans="2:32" x14ac:dyDescent="0.2">
      <c r="B139" s="108" t="s">
        <v>244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3"/>
      <c r="S139" s="23"/>
      <c r="T139" s="122" t="s">
        <v>66</v>
      </c>
      <c r="U139" s="20"/>
      <c r="V139" s="20"/>
      <c r="W139" s="20"/>
      <c r="X139" s="20"/>
      <c r="Y139" s="20"/>
      <c r="Z139" s="20"/>
      <c r="AA139" s="20"/>
      <c r="AB139" s="20"/>
      <c r="AC139" s="20"/>
      <c r="AD139" s="137"/>
      <c r="AE139" s="20"/>
      <c r="AF139" s="20"/>
    </row>
    <row r="140" spans="2:32" x14ac:dyDescent="0.2">
      <c r="B140" s="23" t="s">
        <v>280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5"/>
      <c r="Q140" s="25"/>
      <c r="R140" s="160" t="e">
        <f>AVERAGE(G54:Q54)</f>
        <v>#DIV/0!</v>
      </c>
      <c r="S140" s="23"/>
      <c r="T140" s="134"/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0" t="s">
        <v>25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140">
        <f>T141+U141</f>
        <v>424.79170653227476</v>
      </c>
      <c r="T141" s="133">
        <f>PV($C$1, ($AC$3-$T$3), 0, -AC54)</f>
        <v>36.938409263676064</v>
      </c>
      <c r="U141" s="133">
        <f>PV($C$1, ($AC$3-$T$3), 0, -AF54)</f>
        <v>387.85329726859868</v>
      </c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272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 t="shared" ref="S142:S160" si="347">T142+U142</f>
        <v>2260.9881154137202</v>
      </c>
      <c r="T142" s="133">
        <f>PV($C$1, ($AC$3-$T$3), 0, -AC56)</f>
        <v>196.6076622098887</v>
      </c>
      <c r="U142" s="133">
        <f>PV($C$1, ($AC$3-$T$3), 0, -AF56)</f>
        <v>2064.3804532038316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si="347"/>
        <v>2178.7703657623124</v>
      </c>
      <c r="T143" s="133">
        <f>PV($C$1, ($AC$3-$T$3), 0, -AC57)</f>
        <v>189.45829267498365</v>
      </c>
      <c r="U143" s="133">
        <f>PV($C$1, ($AC$3-$T$3), 0, -AF57)</f>
        <v>1989.3120730873286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274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47"/>
        <v>0</v>
      </c>
      <c r="T144" s="133">
        <f>PV($C$1, ($AC$3-$T$3), 0, -AC58)</f>
        <v>0</v>
      </c>
      <c r="U144" s="133">
        <f>PV($C$1, ($AC$3-$T$3), 0, -AF58)</f>
        <v>0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275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47"/>
        <v>829.02897565169724</v>
      </c>
      <c r="T145" s="133">
        <f>PV($C$1, ($AC$3-$T$3), 0, -AC64)</f>
        <v>72.089476143625845</v>
      </c>
      <c r="U145" s="133">
        <f>PV($C$1, ($AC$3-$T$3), 0, -AF64)</f>
        <v>756.93949950807144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/>
      <c r="T146" s="133"/>
      <c r="U146" s="20"/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 t="s">
        <v>270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>
        <f t="shared" si="347"/>
        <v>2260.9881154137202</v>
      </c>
      <c r="T147" s="133">
        <f>PV($C$1, ($AC$3-$T$3), 0, -AC60)</f>
        <v>196.6076622098887</v>
      </c>
      <c r="U147" s="133">
        <f>PV($C$1, ($AC$3-$T$3), 0, -$AF$60)</f>
        <v>2064.3804532038316</v>
      </c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271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47"/>
        <v>1661.4836908722039</v>
      </c>
      <c r="T148" s="133">
        <f>PV($C$1, ($AC$3-$T$3), 0, -AC61)</f>
        <v>144.47684268453946</v>
      </c>
      <c r="U148" s="133">
        <f>PV($C$1, ($AC$3-$T$3), 0, -$AF$61)</f>
        <v>1517.0068481876644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276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47"/>
        <v>1661.4836908722039</v>
      </c>
      <c r="T149" s="133">
        <f>PV($C$1, ($AC$3-$T$3), 0, -AC62)</f>
        <v>144.47684268453946</v>
      </c>
      <c r="U149" s="133">
        <f>PV($C$1, ($AC$3-$T$3), 0, -$AF$62)</f>
        <v>1517.0068481876644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/>
      <c r="T150" s="133"/>
      <c r="U150" s="20"/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 t="s">
        <v>249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>
        <f t="shared" si="347"/>
        <v>0</v>
      </c>
      <c r="T151" s="133">
        <f>PV($C$1, ($AC$3-$T$3), 0, -AC67)</f>
        <v>0</v>
      </c>
      <c r="U151" s="133">
        <f>PV($C$1, ($AC$3-$T$3), 0, -AF67)</f>
        <v>0</v>
      </c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250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47"/>
        <v>0</v>
      </c>
      <c r="T152" s="133">
        <f>PV($C$1, ($AC$3-$T$3), 0, -AC68)</f>
        <v>0</v>
      </c>
      <c r="U152" s="133">
        <f>PV($C$1, ($AC$3-$T$3), 0, -AF68)</f>
        <v>0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/>
      <c r="T153" s="133"/>
      <c r="U153" s="133"/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 t="s">
        <v>293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>
        <f t="shared" ref="S154" si="348">T154+U154</f>
        <v>3200.45</v>
      </c>
      <c r="T154" s="133">
        <f>PV($C$1, ($AC$3-$T$3), 0, -AC12)</f>
        <v>278.29999999999995</v>
      </c>
      <c r="U154" s="133">
        <f>PV($C$1, ($AC$3-$T$3), 0, -AF12)</f>
        <v>2922.15</v>
      </c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294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>T155+U155</f>
        <v>1350.4008438818566</v>
      </c>
      <c r="T155" s="140">
        <f>T154/P42</f>
        <v>117.42616033755272</v>
      </c>
      <c r="U155" s="140">
        <f>U154/P42</f>
        <v>1232.9746835443038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/>
      <c r="T156" s="140"/>
      <c r="U156" s="140"/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108" t="s">
        <v>297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33"/>
      <c r="U157" s="133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20" t="s">
        <v>282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>
        <f t="shared" ref="S158" si="349">T158+U158</f>
        <v>713.15769741502595</v>
      </c>
      <c r="T158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470.06510174235683</v>
      </c>
      <c r="U158" s="133">
        <f>PV($C$1, ($AC$3-$T$3), 0, -AF70)</f>
        <v>243.09259567266906</v>
      </c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3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/>
      <c r="T159" s="133"/>
      <c r="U159" s="133"/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0" t="s">
        <v>290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>
        <f t="shared" si="347"/>
        <v>0</v>
      </c>
      <c r="T160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0</v>
      </c>
      <c r="U160" s="133">
        <f>PV($C$1, ($AC$3-$T$3), 0, -AF72)</f>
        <v>0</v>
      </c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/>
      <c r="T161" s="133"/>
      <c r="U161" s="133"/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 t="s">
        <v>286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>
        <f t="shared" ref="S162:S165" si="350">T162+U162</f>
        <v>0</v>
      </c>
      <c r="T162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0</v>
      </c>
      <c r="U162" s="133">
        <f>PV($C$1, ($AC$3-$T$3), 0, -AF74)</f>
        <v>0</v>
      </c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287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si="350"/>
        <v>0</v>
      </c>
      <c r="T163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0</v>
      </c>
      <c r="U163" s="133">
        <f>PV($C$1, ($AC$3-$T$3), 0, -AF75)</f>
        <v>0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50"/>
        <v>0</v>
      </c>
      <c r="T164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0</v>
      </c>
      <c r="U164" s="133">
        <f>PV($C$1, ($AC$3-$T$3), 0, -AF76)</f>
        <v>0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289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50"/>
        <v>0</v>
      </c>
      <c r="T165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0</v>
      </c>
      <c r="U165" s="133">
        <f>PV($C$1, ($AC$3-$T$3), 0, -AF77)</f>
        <v>0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/>
      <c r="T166" s="133"/>
      <c r="U166" s="133"/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 t="s">
        <v>298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>
        <f>T167+U167</f>
        <v>0</v>
      </c>
      <c r="T167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0</v>
      </c>
      <c r="U167" s="133">
        <f>PV($C$1, ($AC$3-$T$3), 0, -AF78)</f>
        <v>0</v>
      </c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183">
        <v>41729</v>
      </c>
      <c r="P168" s="20">
        <v>0</v>
      </c>
      <c r="Q168" s="20"/>
      <c r="R168" s="20"/>
      <c r="S168" s="20"/>
      <c r="T168" s="121"/>
      <c r="U168" s="20"/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108" t="s">
        <v>251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3" t="s">
        <v>390</v>
      </c>
      <c r="P169" s="20">
        <v>3951</v>
      </c>
      <c r="Q169" s="20"/>
      <c r="R169" s="20" t="s">
        <v>392</v>
      </c>
      <c r="S169" s="23" t="s">
        <v>391</v>
      </c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20" t="s">
        <v>204</v>
      </c>
      <c r="C170" s="22">
        <v>0</v>
      </c>
      <c r="D170" s="22">
        <v>0</v>
      </c>
      <c r="E170" s="22">
        <v>0</v>
      </c>
      <c r="F170" s="22">
        <v>0</v>
      </c>
      <c r="G170" s="22">
        <v>200</v>
      </c>
      <c r="H170" s="22">
        <v>320</v>
      </c>
      <c r="I170" s="22">
        <v>570</v>
      </c>
      <c r="J170" s="22">
        <v>420</v>
      </c>
      <c r="K170" s="22">
        <v>470</v>
      </c>
      <c r="L170" s="22">
        <v>400</v>
      </c>
      <c r="M170" s="22">
        <v>680</v>
      </c>
      <c r="N170" s="22">
        <v>965</v>
      </c>
      <c r="O170" s="22">
        <v>1850</v>
      </c>
      <c r="P170" s="22">
        <v>1100</v>
      </c>
      <c r="Q170" s="22">
        <v>800</v>
      </c>
      <c r="R170" s="118">
        <f t="shared" ref="R170:R175" si="351">((P170/G170)^(1/($H$2-$H$1) ))-1</f>
        <v>0.20854415157963091</v>
      </c>
      <c r="S170" s="31">
        <f>L2-3%</f>
        <v>0.12</v>
      </c>
      <c r="T170" s="119">
        <f t="shared" ref="T170" si="352">P170*(1+$S170)</f>
        <v>1232.0000000000002</v>
      </c>
      <c r="U170" s="119">
        <f t="shared" ref="U170:AC170" si="353">T170*(1+$S170)</f>
        <v>1379.8400000000004</v>
      </c>
      <c r="V170" s="119">
        <f t="shared" si="353"/>
        <v>1545.4208000000006</v>
      </c>
      <c r="W170" s="119">
        <f t="shared" si="353"/>
        <v>1730.8712960000007</v>
      </c>
      <c r="X170" s="119">
        <f t="shared" si="353"/>
        <v>1938.5758515200009</v>
      </c>
      <c r="Y170" s="119">
        <f t="shared" si="353"/>
        <v>2171.2049537024013</v>
      </c>
      <c r="Z170" s="119">
        <f t="shared" si="353"/>
        <v>2431.7495481466899</v>
      </c>
      <c r="AA170" s="119">
        <f t="shared" si="353"/>
        <v>2723.5594939242928</v>
      </c>
      <c r="AB170" s="119">
        <f t="shared" si="353"/>
        <v>3050.3866331952081</v>
      </c>
      <c r="AC170" s="119">
        <f t="shared" si="353"/>
        <v>3416.4330291786332</v>
      </c>
      <c r="AD170" s="138">
        <f t="shared" ref="AD170:AD175" si="354">((AC170/G170)^(1/($AC$3-$H$1) ))-1</f>
        <v>0.15246341029255128</v>
      </c>
      <c r="AE170" s="31">
        <v>0.08</v>
      </c>
      <c r="AF170" s="127">
        <f t="shared" ref="AF170:AF178" si="355">(AC170*(1+AD170))/($C$1-AE170)</f>
        <v>56247.343712047419</v>
      </c>
    </row>
    <row r="171" spans="2:32" x14ac:dyDescent="0.2">
      <c r="B171" s="20" t="s">
        <v>361</v>
      </c>
      <c r="C171" s="25" t="e">
        <f t="shared" ref="C171:P171" si="356">C170/C50</f>
        <v>#DIV/0!</v>
      </c>
      <c r="D171" s="25" t="e">
        <f t="shared" si="356"/>
        <v>#DIV/0!</v>
      </c>
      <c r="E171" s="25" t="e">
        <f t="shared" si="356"/>
        <v>#DIV/0!</v>
      </c>
      <c r="F171" s="25" t="e">
        <f t="shared" si="356"/>
        <v>#DIV/0!</v>
      </c>
      <c r="G171" s="25">
        <f t="shared" si="356"/>
        <v>1.3352112676056338</v>
      </c>
      <c r="H171" s="25">
        <f t="shared" si="356"/>
        <v>1.6415584415584414</v>
      </c>
      <c r="I171" s="25">
        <f t="shared" si="356"/>
        <v>2.0192825112107622</v>
      </c>
      <c r="J171" s="25">
        <f t="shared" si="356"/>
        <v>1.2258620689655173</v>
      </c>
      <c r="K171" s="25">
        <f t="shared" si="356"/>
        <v>1.1331637843336724</v>
      </c>
      <c r="L171" s="25">
        <f t="shared" si="356"/>
        <v>1.0360655737704918</v>
      </c>
      <c r="M171" s="25">
        <f t="shared" si="356"/>
        <v>1.3965337954939343</v>
      </c>
      <c r="N171" s="25">
        <f t="shared" si="356"/>
        <v>1.508608179419525</v>
      </c>
      <c r="O171" s="25" t="e">
        <f t="shared" si="356"/>
        <v>#DIV/0!</v>
      </c>
      <c r="P171" s="25">
        <f t="shared" si="356"/>
        <v>1.1791044776119404</v>
      </c>
      <c r="Q171" s="25">
        <f t="shared" ref="Q171" si="357">Q170/Q50</f>
        <v>0.98136645962732916</v>
      </c>
      <c r="R171" s="118">
        <f t="shared" ref="R171" si="358">((P171/G171)^(1/($H$2-$H$1) ))-1</f>
        <v>-1.3719934011296342E-2</v>
      </c>
      <c r="S171" s="128"/>
      <c r="T171" s="25">
        <f t="shared" ref="T171:AC171" si="359">T170/T50</f>
        <v>1.3798865784499059</v>
      </c>
      <c r="U171" s="25">
        <f t="shared" si="359"/>
        <v>1.4110840141365997</v>
      </c>
      <c r="V171" s="25">
        <f t="shared" si="359"/>
        <v>1.4429867831518621</v>
      </c>
      <c r="W171" s="25">
        <f t="shared" si="359"/>
        <v>1.4756108321622521</v>
      </c>
      <c r="X171" s="25">
        <f t="shared" si="359"/>
        <v>1.50897246836766</v>
      </c>
      <c r="Y171" s="25">
        <f t="shared" si="359"/>
        <v>1.5430883676524942</v>
      </c>
      <c r="Z171" s="25">
        <f t="shared" si="359"/>
        <v>1.5779755829211597</v>
      </c>
      <c r="AA171" s="25">
        <f t="shared" si="359"/>
        <v>1.6136515526219861</v>
      </c>
      <c r="AB171" s="25">
        <f t="shared" si="359"/>
        <v>1.6501341094638748</v>
      </c>
      <c r="AC171" s="25">
        <f t="shared" si="359"/>
        <v>1.6874414893300149</v>
      </c>
      <c r="AD171" s="138">
        <f t="shared" ref="AD171" si="360">((AC171/G171)^(1/($AC$3-$H$1) ))-1</f>
        <v>1.1774982564759728E-2</v>
      </c>
      <c r="AE171" s="31">
        <v>0.08</v>
      </c>
      <c r="AF171" s="127">
        <f t="shared" ref="AF171" si="361">(AC171*(1+AD171))/($C$1-AE171)</f>
        <v>24.39015833494183</v>
      </c>
    </row>
    <row r="172" spans="2:32" x14ac:dyDescent="0.2">
      <c r="B172" s="20" t="s">
        <v>389</v>
      </c>
      <c r="C172" s="25" t="e">
        <f t="shared" ref="C172:P172" si="362">C170/C54</f>
        <v>#DIV/0!</v>
      </c>
      <c r="D172" s="25" t="e">
        <f t="shared" si="362"/>
        <v>#DIV/0!</v>
      </c>
      <c r="E172" s="25" t="e">
        <f t="shared" si="362"/>
        <v>#DIV/0!</v>
      </c>
      <c r="F172" s="25" t="e">
        <f t="shared" si="362"/>
        <v>#DIV/0!</v>
      </c>
      <c r="G172" s="25">
        <f t="shared" si="362"/>
        <v>18.230769230769234</v>
      </c>
      <c r="H172" s="25">
        <f t="shared" si="362"/>
        <v>19.446153846153848</v>
      </c>
      <c r="I172" s="25">
        <f t="shared" si="362"/>
        <v>26.488235294117651</v>
      </c>
      <c r="J172" s="25">
        <f t="shared" si="362"/>
        <v>14.019718309859156</v>
      </c>
      <c r="K172" s="25">
        <f t="shared" si="362"/>
        <v>14.280769230769232</v>
      </c>
      <c r="L172" s="25">
        <f t="shared" si="362"/>
        <v>15.540983606557379</v>
      </c>
      <c r="M172" s="25">
        <f t="shared" si="362"/>
        <v>16.964210526315789</v>
      </c>
      <c r="N172" s="25">
        <f t="shared" si="362"/>
        <v>18.59390243902439</v>
      </c>
      <c r="O172" s="25" t="e">
        <f t="shared" si="362"/>
        <v>#DIV/0!</v>
      </c>
      <c r="P172" s="25">
        <f t="shared" si="362"/>
        <v>13.649214659685864</v>
      </c>
      <c r="Q172" s="25">
        <f t="shared" ref="Q172" si="363">Q170/Q54</f>
        <v>15.290322580645162</v>
      </c>
      <c r="R172" s="118">
        <f t="shared" si="351"/>
        <v>-3.1647161279014679E-2</v>
      </c>
      <c r="S172" s="128"/>
      <c r="T172" s="119">
        <f t="shared" ref="T172:AC172" si="364">T170/T54</f>
        <v>21.499523141654986</v>
      </c>
      <c r="U172" s="119">
        <f t="shared" si="364"/>
        <v>21.985599317031536</v>
      </c>
      <c r="V172" s="119">
        <f t="shared" si="364"/>
        <v>22.482665040720953</v>
      </c>
      <c r="W172" s="119">
        <f t="shared" si="364"/>
        <v>22.990968772076386</v>
      </c>
      <c r="X172" s="119">
        <f t="shared" si="364"/>
        <v>23.510764587792899</v>
      </c>
      <c r="Y172" s="119">
        <f t="shared" si="364"/>
        <v>24.042312308908215</v>
      </c>
      <c r="Z172" s="119">
        <f t="shared" si="364"/>
        <v>24.585877630674844</v>
      </c>
      <c r="AA172" s="119">
        <f t="shared" si="364"/>
        <v>25.141732255368368</v>
      </c>
      <c r="AB172" s="119">
        <f t="shared" si="364"/>
        <v>25.71015402809844</v>
      </c>
      <c r="AC172" s="119">
        <f t="shared" si="364"/>
        <v>26.291427075690233</v>
      </c>
      <c r="AD172" s="138">
        <f t="shared" si="354"/>
        <v>1.8475199927424413E-2</v>
      </c>
      <c r="AE172" s="31">
        <v>0.08</v>
      </c>
      <c r="AF172" s="127">
        <f t="shared" si="355"/>
        <v>382.53094924701304</v>
      </c>
    </row>
    <row r="173" spans="2:32" x14ac:dyDescent="0.2">
      <c r="B173" s="20" t="s">
        <v>258</v>
      </c>
      <c r="C173" s="25" t="e">
        <f t="shared" ref="C173:P173" si="365">C170/C57</f>
        <v>#DIV/0!</v>
      </c>
      <c r="D173" s="25" t="e">
        <f t="shared" si="365"/>
        <v>#DIV/0!</v>
      </c>
      <c r="E173" s="25" t="e">
        <f t="shared" si="365"/>
        <v>#DIV/0!</v>
      </c>
      <c r="F173" s="25" t="e">
        <f t="shared" si="365"/>
        <v>#DIV/0!</v>
      </c>
      <c r="G173" s="25">
        <f t="shared" si="365"/>
        <v>4.3888888888888884</v>
      </c>
      <c r="H173" s="25">
        <f t="shared" si="365"/>
        <v>5.4561151079136696</v>
      </c>
      <c r="I173" s="25">
        <f t="shared" si="365"/>
        <v>5.9511013215859032</v>
      </c>
      <c r="J173" s="25">
        <f t="shared" si="365"/>
        <v>3.3628378378378381</v>
      </c>
      <c r="K173" s="25">
        <f t="shared" si="365"/>
        <v>3.0024258760107818</v>
      </c>
      <c r="L173" s="25">
        <f t="shared" si="365"/>
        <v>2.2097902097902096</v>
      </c>
      <c r="M173" s="25">
        <f t="shared" si="365"/>
        <v>3.0932821497120919</v>
      </c>
      <c r="N173" s="25">
        <f t="shared" si="365"/>
        <v>3.5735156250000002</v>
      </c>
      <c r="O173" s="25" t="e">
        <f t="shared" si="365"/>
        <v>#DIV/0!</v>
      </c>
      <c r="P173" s="25">
        <f t="shared" si="365"/>
        <v>4.0990566037735849</v>
      </c>
      <c r="Q173" s="25">
        <f t="shared" ref="Q173" si="366">Q170/Q57</f>
        <v>2.9811320754716983</v>
      </c>
      <c r="R173" s="118">
        <f t="shared" si="351"/>
        <v>-7.5622880280181715E-3</v>
      </c>
      <c r="S173" s="128"/>
      <c r="T173" s="119">
        <f t="shared" ref="T173:AC173" si="367">T170/T57</f>
        <v>4.1917309269893366</v>
      </c>
      <c r="U173" s="119">
        <f t="shared" si="367"/>
        <v>4.2865004957734438</v>
      </c>
      <c r="V173" s="119">
        <f t="shared" si="367"/>
        <v>4.3834126808952796</v>
      </c>
      <c r="W173" s="119">
        <f t="shared" si="367"/>
        <v>4.4825159241155212</v>
      </c>
      <c r="X173" s="119">
        <f t="shared" si="367"/>
        <v>4.5838597623998734</v>
      </c>
      <c r="Y173" s="119">
        <f t="shared" si="367"/>
        <v>4.6874948526802189</v>
      </c>
      <c r="Z173" s="119">
        <f t="shared" si="367"/>
        <v>4.7934729971755994</v>
      </c>
      <c r="AA173" s="119">
        <f t="shared" si="367"/>
        <v>4.9018471692856576</v>
      </c>
      <c r="AB173" s="119">
        <f t="shared" si="367"/>
        <v>5.0126715400695074</v>
      </c>
      <c r="AC173" s="119">
        <f t="shared" si="367"/>
        <v>5.1260015053232539</v>
      </c>
      <c r="AD173" s="138">
        <f t="shared" si="354"/>
        <v>7.7926975957418598E-3</v>
      </c>
      <c r="AE173" s="31">
        <v>0.08</v>
      </c>
      <c r="AF173" s="127">
        <f t="shared" si="355"/>
        <v>73.799241213279373</v>
      </c>
    </row>
    <row r="174" spans="2:32" x14ac:dyDescent="0.2">
      <c r="B174" s="20" t="s">
        <v>259</v>
      </c>
      <c r="C174" s="25" t="e">
        <f t="shared" ref="C174:P174" si="368">C170/C66</f>
        <v>#DIV/0!</v>
      </c>
      <c r="D174" s="25" t="e">
        <f t="shared" si="368"/>
        <v>#DIV/0!</v>
      </c>
      <c r="E174" s="25" t="e">
        <f t="shared" si="368"/>
        <v>#DIV/0!</v>
      </c>
      <c r="F174" s="25" t="e">
        <f t="shared" si="368"/>
        <v>#DIV/0!</v>
      </c>
      <c r="G174" s="25">
        <f t="shared" si="368"/>
        <v>13.093922651933701</v>
      </c>
      <c r="H174" s="25">
        <f t="shared" si="368"/>
        <v>35.094863489125409</v>
      </c>
      <c r="I174" s="25">
        <f t="shared" si="368"/>
        <v>33.772500000000001</v>
      </c>
      <c r="J174" s="25">
        <f t="shared" si="368"/>
        <v>10.477894736842106</v>
      </c>
      <c r="K174" s="25">
        <f t="shared" si="368"/>
        <v>9.3605042016806728</v>
      </c>
      <c r="L174" s="25">
        <f t="shared" si="368"/>
        <v>7.2366412213740468</v>
      </c>
      <c r="M174" s="25">
        <f t="shared" si="368"/>
        <v>12.209090909090909</v>
      </c>
      <c r="N174" s="25">
        <f t="shared" si="368"/>
        <v>20.42008928571429</v>
      </c>
      <c r="O174" s="25" t="e">
        <f t="shared" si="368"/>
        <v>#DIV/0!</v>
      </c>
      <c r="P174" s="25">
        <f t="shared" si="368"/>
        <v>9.8377358490566049</v>
      </c>
      <c r="Q174" s="25">
        <f t="shared" ref="Q174" si="369">Q170/Q66</f>
        <v>7.8347107438016534</v>
      </c>
      <c r="R174" s="118">
        <f t="shared" si="351"/>
        <v>-3.1269840882339417E-2</v>
      </c>
      <c r="S174" s="128"/>
      <c r="T174" s="119">
        <f t="shared" ref="T174:AC174" si="370">T170/T66</f>
        <v>11.016284584980241</v>
      </c>
      <c r="U174" s="119">
        <f t="shared" si="370"/>
        <v>11.265348410379797</v>
      </c>
      <c r="V174" s="119">
        <f t="shared" si="370"/>
        <v>11.520043244005779</v>
      </c>
      <c r="W174" s="119">
        <f t="shared" si="370"/>
        <v>11.780496395609388</v>
      </c>
      <c r="X174" s="119">
        <f t="shared" si="370"/>
        <v>12.046838053249255</v>
      </c>
      <c r="Y174" s="119">
        <f t="shared" si="370"/>
        <v>12.319201348366198</v>
      </c>
      <c r="Z174" s="119">
        <f t="shared" si="370"/>
        <v>12.597722422329262</v>
      </c>
      <c r="AA174" s="119">
        <f t="shared" si="370"/>
        <v>12.882540494486273</v>
      </c>
      <c r="AB174" s="119">
        <f t="shared" si="370"/>
        <v>13.173797931752924</v>
      </c>
      <c r="AC174" s="119">
        <f t="shared" si="370"/>
        <v>13.471640319775165</v>
      </c>
      <c r="AD174" s="138">
        <f t="shared" si="354"/>
        <v>1.4229392149718301E-3</v>
      </c>
      <c r="AE174" s="31">
        <v>0.08</v>
      </c>
      <c r="AF174" s="127">
        <f t="shared" si="355"/>
        <v>192.72585207251672</v>
      </c>
    </row>
    <row r="175" spans="2:32" x14ac:dyDescent="0.2">
      <c r="B175" s="20" t="s">
        <v>260</v>
      </c>
      <c r="C175" s="25" t="e">
        <f t="shared" ref="C175:P175" si="371">C170/C68</f>
        <v>#DIV/0!</v>
      </c>
      <c r="D175" s="25" t="e">
        <f t="shared" si="371"/>
        <v>#DIV/0!</v>
      </c>
      <c r="E175" s="25" t="e">
        <f t="shared" si="371"/>
        <v>#DIV/0!</v>
      </c>
      <c r="F175" s="25" t="e">
        <f t="shared" si="371"/>
        <v>#DIV/0!</v>
      </c>
      <c r="G175" s="25">
        <f t="shared" si="371"/>
        <v>24.947368421052634</v>
      </c>
      <c r="H175" s="25">
        <f t="shared" si="371"/>
        <v>30.08330027766759</v>
      </c>
      <c r="I175" s="25">
        <f t="shared" si="371"/>
        <v>21.614400000000003</v>
      </c>
      <c r="J175" s="25">
        <f t="shared" si="371"/>
        <v>10.819565217391304</v>
      </c>
      <c r="K175" s="25">
        <f t="shared" si="371"/>
        <v>101.26363636363637</v>
      </c>
      <c r="L175" s="25">
        <f t="shared" si="371"/>
        <v>9.2941176470588243</v>
      </c>
      <c r="M175" s="25">
        <f t="shared" si="371"/>
        <v>6.7714285714285722</v>
      </c>
      <c r="N175" s="25">
        <f t="shared" si="371"/>
        <v>6.5531518624641834</v>
      </c>
      <c r="O175" s="25" t="e">
        <f t="shared" si="371"/>
        <v>#DIV/0!</v>
      </c>
      <c r="P175" s="25">
        <f t="shared" si="371"/>
        <v>6.4529702970297036</v>
      </c>
      <c r="Q175" s="25" t="e">
        <f t="shared" ref="Q175" si="372">Q170/Q68</f>
        <v>#DIV/0!</v>
      </c>
      <c r="R175" s="118">
        <f t="shared" si="351"/>
        <v>-0.13950505174942596</v>
      </c>
      <c r="S175" s="128"/>
      <c r="T175" s="119" t="e">
        <f t="shared" ref="T175:AC175" si="373">T170/T68</f>
        <v>#DIV/0!</v>
      </c>
      <c r="U175" s="119" t="e">
        <f t="shared" si="373"/>
        <v>#DIV/0!</v>
      </c>
      <c r="V175" s="119" t="e">
        <f t="shared" si="373"/>
        <v>#DIV/0!</v>
      </c>
      <c r="W175" s="119" t="e">
        <f t="shared" si="373"/>
        <v>#DIV/0!</v>
      </c>
      <c r="X175" s="119" t="e">
        <f t="shared" si="373"/>
        <v>#DIV/0!</v>
      </c>
      <c r="Y175" s="119" t="e">
        <f t="shared" si="373"/>
        <v>#DIV/0!</v>
      </c>
      <c r="Z175" s="119" t="e">
        <f t="shared" si="373"/>
        <v>#DIV/0!</v>
      </c>
      <c r="AA175" s="119" t="e">
        <f t="shared" si="373"/>
        <v>#DIV/0!</v>
      </c>
      <c r="AB175" s="119" t="e">
        <f t="shared" si="373"/>
        <v>#DIV/0!</v>
      </c>
      <c r="AC175" s="119" t="e">
        <f t="shared" si="373"/>
        <v>#DIV/0!</v>
      </c>
      <c r="AD175" s="138" t="e">
        <f t="shared" si="354"/>
        <v>#DIV/0!</v>
      </c>
      <c r="AE175" s="31">
        <v>0.08</v>
      </c>
      <c r="AF175" s="127" t="e">
        <f t="shared" si="355"/>
        <v>#DIV/0!</v>
      </c>
    </row>
    <row r="176" spans="2:32" x14ac:dyDescent="0.2">
      <c r="B176" s="20" t="s">
        <v>281</v>
      </c>
      <c r="C176" s="25" t="e">
        <f>C172/C122</f>
        <v>#DIV/0!</v>
      </c>
      <c r="D176" s="25" t="e">
        <f>D172/D122</f>
        <v>#DIV/0!</v>
      </c>
      <c r="E176" s="25" t="e">
        <f>E172/E122</f>
        <v>#DIV/0!</v>
      </c>
      <c r="F176" s="25" t="e">
        <f>F172/F122</f>
        <v>#DIV/0!</v>
      </c>
      <c r="G176" s="182">
        <f t="shared" ref="G176:P176" si="374">G170/G62</f>
        <v>6.9298245614035086</v>
      </c>
      <c r="H176" s="182">
        <f t="shared" si="374"/>
        <v>6.8945454545454554</v>
      </c>
      <c r="I176" s="182">
        <f t="shared" si="374"/>
        <v>5.1758620689655173</v>
      </c>
      <c r="J176" s="182">
        <f t="shared" si="374"/>
        <v>2.7960674157303371</v>
      </c>
      <c r="K176" s="182">
        <f t="shared" si="374"/>
        <v>2.45352422907489</v>
      </c>
      <c r="L176" s="182">
        <f t="shared" si="374"/>
        <v>1.9466119096509242</v>
      </c>
      <c r="M176" s="182">
        <f t="shared" si="374"/>
        <v>2.7177065767284994</v>
      </c>
      <c r="N176" s="182">
        <f t="shared" si="374"/>
        <v>3.1632780082987551</v>
      </c>
      <c r="O176" s="182" t="e">
        <f t="shared" si="374"/>
        <v>#DIV/0!</v>
      </c>
      <c r="P176" s="182">
        <f t="shared" si="374"/>
        <v>2.726987447698745</v>
      </c>
      <c r="Q176" s="182">
        <f t="shared" ref="Q176" si="375">Q170/Q62</f>
        <v>3.9092783505154642</v>
      </c>
      <c r="R176" s="118">
        <f t="shared" ref="R176:R179" si="376">((P176/G176)^(1/($H$2-$H$1) ))-1</f>
        <v>-9.8437881418347417E-2</v>
      </c>
      <c r="S176" s="128"/>
      <c r="T176" s="135">
        <f t="shared" ref="T176:AC176" si="377">T170/T62</f>
        <v>5.4967852980726155</v>
      </c>
      <c r="U176" s="135">
        <f t="shared" si="377"/>
        <v>5.6210604439420839</v>
      </c>
      <c r="V176" s="135">
        <f t="shared" si="377"/>
        <v>5.7481452887616458</v>
      </c>
      <c r="W176" s="135">
        <f t="shared" si="377"/>
        <v>5.8781033561597358</v>
      </c>
      <c r="X176" s="135">
        <f t="shared" si="377"/>
        <v>6.0109996059511746</v>
      </c>
      <c r="Y176" s="135">
        <f t="shared" si="377"/>
        <v>6.1469004666074616</v>
      </c>
      <c r="Z176" s="135">
        <f t="shared" si="377"/>
        <v>6.2858738684611977</v>
      </c>
      <c r="AA176" s="135">
        <f t="shared" si="377"/>
        <v>6.4279892776611911</v>
      </c>
      <c r="AB176" s="135">
        <f t="shared" si="377"/>
        <v>6.5733177308952717</v>
      </c>
      <c r="AC176" s="135">
        <f t="shared" si="377"/>
        <v>6.7219318708981213</v>
      </c>
      <c r="AD176" s="138">
        <f t="shared" ref="AD176" si="378">((AC176/G176)^(1/($AC$3-$H$1) ))-1</f>
        <v>-1.521786060406094E-3</v>
      </c>
      <c r="AE176" s="31">
        <v>0.08</v>
      </c>
      <c r="AF176" s="127">
        <f t="shared" si="355"/>
        <v>95.881464695399856</v>
      </c>
    </row>
    <row r="177" spans="2:46" x14ac:dyDescent="0.2">
      <c r="B177" s="20" t="s">
        <v>371</v>
      </c>
      <c r="C177" s="161" t="e">
        <f t="shared" ref="C177:P177" si="379">C54/C170</f>
        <v>#DIV/0!</v>
      </c>
      <c r="D177" s="161" t="e">
        <f t="shared" si="379"/>
        <v>#DIV/0!</v>
      </c>
      <c r="E177" s="161" t="e">
        <f t="shared" si="379"/>
        <v>#DIV/0!</v>
      </c>
      <c r="F177" s="161" t="e">
        <f t="shared" si="379"/>
        <v>#DIV/0!</v>
      </c>
      <c r="G177" s="161">
        <f t="shared" si="379"/>
        <v>5.4852320675105481E-2</v>
      </c>
      <c r="H177" s="161">
        <f t="shared" si="379"/>
        <v>5.1424050632911389E-2</v>
      </c>
      <c r="I177" s="161">
        <f t="shared" si="379"/>
        <v>3.7752609371530084E-2</v>
      </c>
      <c r="J177" s="161">
        <f t="shared" si="379"/>
        <v>7.1328109302792847E-2</v>
      </c>
      <c r="K177" s="161">
        <f t="shared" si="379"/>
        <v>7.0024239159709123E-2</v>
      </c>
      <c r="L177" s="161">
        <f t="shared" si="379"/>
        <v>6.4345991561181426E-2</v>
      </c>
      <c r="M177" s="161">
        <f t="shared" si="379"/>
        <v>5.8947629684785306E-2</v>
      </c>
      <c r="N177" s="161">
        <f t="shared" si="379"/>
        <v>5.3781071686233355E-2</v>
      </c>
      <c r="O177" s="161" t="e">
        <f t="shared" si="379"/>
        <v>#DIV/0!</v>
      </c>
      <c r="P177" s="161">
        <f t="shared" si="379"/>
        <v>7.3264288454161872E-2</v>
      </c>
      <c r="Q177" s="161">
        <f t="shared" ref="Q177" si="380">Q54/Q170</f>
        <v>6.5400843881856532E-2</v>
      </c>
      <c r="R177" s="118">
        <f t="shared" si="376"/>
        <v>3.2681435953463733E-2</v>
      </c>
      <c r="S177" s="128"/>
      <c r="T177" s="161">
        <f t="shared" ref="T177:AC177" si="381">T54/T170</f>
        <v>4.6512659532551022E-2</v>
      </c>
      <c r="U177" s="161">
        <f t="shared" si="381"/>
        <v>4.5484318420436792E-2</v>
      </c>
      <c r="V177" s="161">
        <f t="shared" si="381"/>
        <v>4.4478712741073373E-2</v>
      </c>
      <c r="W177" s="161">
        <f t="shared" si="381"/>
        <v>4.3495339840335351E-2</v>
      </c>
      <c r="X177" s="161">
        <f t="shared" si="381"/>
        <v>4.2533708177198683E-2</v>
      </c>
      <c r="Y177" s="161">
        <f t="shared" si="381"/>
        <v>4.1593337078042927E-2</v>
      </c>
      <c r="Z177" s="161">
        <f t="shared" si="381"/>
        <v>4.0673756496385507E-2</v>
      </c>
      <c r="AA177" s="161">
        <f t="shared" si="381"/>
        <v>3.9774506777927994E-2</v>
      </c>
      <c r="AB177" s="161">
        <f t="shared" si="381"/>
        <v>3.8895138430796929E-2</v>
      </c>
      <c r="AC177" s="161">
        <f t="shared" si="381"/>
        <v>3.8035211900864334E-2</v>
      </c>
      <c r="AD177" s="138">
        <f t="shared" ref="AD177:AD179" si="382">((AC177/G177)^(1/($AC$3-$H$1) ))-1</f>
        <v>-1.8140058715952034E-2</v>
      </c>
      <c r="AE177" s="31">
        <v>0.08</v>
      </c>
      <c r="AF177" s="127">
        <f t="shared" si="355"/>
        <v>0.53350358462441394</v>
      </c>
    </row>
    <row r="178" spans="2:46" x14ac:dyDescent="0.2">
      <c r="B178" s="20" t="s">
        <v>320</v>
      </c>
      <c r="C178" s="152" t="e">
        <f t="shared" ref="C178:P178" si="383">C44/C170</f>
        <v>#DIV/0!</v>
      </c>
      <c r="D178" s="152" t="e">
        <f t="shared" si="383"/>
        <v>#DIV/0!</v>
      </c>
      <c r="E178" s="152" t="e">
        <f t="shared" si="383"/>
        <v>#DIV/0!</v>
      </c>
      <c r="F178" s="152" t="e">
        <f t="shared" si="383"/>
        <v>#DIV/0!</v>
      </c>
      <c r="G178" s="152">
        <f t="shared" si="383"/>
        <v>2.2499999999999999E-2</v>
      </c>
      <c r="H178" s="152">
        <f t="shared" si="383"/>
        <v>9.3749999999999997E-3</v>
      </c>
      <c r="I178" s="152">
        <f t="shared" si="383"/>
        <v>7.8947368421052634E-3</v>
      </c>
      <c r="J178" s="152">
        <f t="shared" si="383"/>
        <v>2.3809523809523812E-3</v>
      </c>
      <c r="K178" s="152">
        <f t="shared" si="383"/>
        <v>2.1276595744680851E-3</v>
      </c>
      <c r="L178" s="152">
        <f t="shared" si="383"/>
        <v>2.5000000000000001E-3</v>
      </c>
      <c r="M178" s="152">
        <f t="shared" si="383"/>
        <v>1.4705882352941176E-3</v>
      </c>
      <c r="N178" s="152">
        <f t="shared" si="383"/>
        <v>1.0362694300518134E-3</v>
      </c>
      <c r="O178" s="152">
        <f t="shared" si="383"/>
        <v>1.0810810810810811E-3</v>
      </c>
      <c r="P178" s="152">
        <f t="shared" si="383"/>
        <v>6.4545454545454545E-2</v>
      </c>
      <c r="Q178" s="152">
        <f t="shared" ref="Q178" si="384">Q44/Q170</f>
        <v>6.25E-2</v>
      </c>
      <c r="R178" s="118">
        <f t="shared" si="376"/>
        <v>0.12422614966505097</v>
      </c>
      <c r="S178" s="128"/>
      <c r="T178" s="152">
        <f t="shared" ref="T178:AC178" si="385">T44/T170</f>
        <v>4.2613636363636354E-2</v>
      </c>
      <c r="U178" s="152">
        <f t="shared" si="385"/>
        <v>3.9950284090909081E-2</v>
      </c>
      <c r="V178" s="152">
        <f t="shared" si="385"/>
        <v>3.7453391335227258E-2</v>
      </c>
      <c r="W178" s="152">
        <f t="shared" si="385"/>
        <v>3.5112554376775559E-2</v>
      </c>
      <c r="X178" s="152">
        <f t="shared" si="385"/>
        <v>3.2918019728227083E-2</v>
      </c>
      <c r="Y178" s="152">
        <f t="shared" si="385"/>
        <v>3.0860643495212892E-2</v>
      </c>
      <c r="Z178" s="152">
        <f t="shared" si="385"/>
        <v>2.8931853276762082E-2</v>
      </c>
      <c r="AA178" s="152">
        <f t="shared" si="385"/>
        <v>2.7123612446964453E-2</v>
      </c>
      <c r="AB178" s="152">
        <f t="shared" si="385"/>
        <v>2.5428386669029173E-2</v>
      </c>
      <c r="AC178" s="152">
        <f t="shared" si="385"/>
        <v>2.3839112502214849E-2</v>
      </c>
      <c r="AD178" s="138">
        <f t="shared" si="382"/>
        <v>2.8947971085626634E-3</v>
      </c>
      <c r="AE178" s="31">
        <v>0.08</v>
      </c>
      <c r="AF178" s="127">
        <f t="shared" si="355"/>
        <v>0.34154459851652802</v>
      </c>
    </row>
    <row r="179" spans="2:46" x14ac:dyDescent="0.2">
      <c r="B179" s="20" t="s">
        <v>447</v>
      </c>
      <c r="C179" s="181" t="e">
        <f t="shared" ref="C179:O179" si="386">(C172)/($L$2*100)</f>
        <v>#DIV/0!</v>
      </c>
      <c r="D179" s="181" t="e">
        <f t="shared" si="386"/>
        <v>#DIV/0!</v>
      </c>
      <c r="E179" s="181" t="e">
        <f t="shared" si="386"/>
        <v>#DIV/0!</v>
      </c>
      <c r="F179" s="181" t="e">
        <f t="shared" si="386"/>
        <v>#DIV/0!</v>
      </c>
      <c r="G179" s="181">
        <f t="shared" si="386"/>
        <v>1.2153846153846155</v>
      </c>
      <c r="H179" s="181">
        <f t="shared" si="386"/>
        <v>1.2964102564102566</v>
      </c>
      <c r="I179" s="181">
        <f t="shared" si="386"/>
        <v>1.7658823529411767</v>
      </c>
      <c r="J179" s="181">
        <f t="shared" si="386"/>
        <v>0.93464788732394377</v>
      </c>
      <c r="K179" s="181">
        <f t="shared" si="386"/>
        <v>0.9520512820512822</v>
      </c>
      <c r="L179" s="181">
        <f t="shared" si="386"/>
        <v>1.036065573770492</v>
      </c>
      <c r="M179" s="181">
        <f t="shared" si="386"/>
        <v>1.1309473684210525</v>
      </c>
      <c r="N179" s="181">
        <f t="shared" si="386"/>
        <v>1.2395934959349593</v>
      </c>
      <c r="O179" s="181" t="e">
        <f t="shared" si="386"/>
        <v>#DIV/0!</v>
      </c>
      <c r="P179" s="181">
        <f>(P172)/($L$2*100)</f>
        <v>0.90994764397905759</v>
      </c>
      <c r="Q179" s="181">
        <f>(Q172)/($L$2*100)</f>
        <v>1.0193548387096774</v>
      </c>
      <c r="R179" s="118">
        <f t="shared" si="376"/>
        <v>-3.1647161279014679E-2</v>
      </c>
      <c r="S179" s="128"/>
      <c r="T179" s="181">
        <f>(T172)/($L$2*100)</f>
        <v>1.4333015427769991</v>
      </c>
      <c r="U179" s="181">
        <f t="shared" ref="U179:AC179" si="387">(U172)/($L$2*100)</f>
        <v>1.4657066211354357</v>
      </c>
      <c r="V179" s="181">
        <f t="shared" si="387"/>
        <v>1.4988443360480634</v>
      </c>
      <c r="W179" s="181">
        <f t="shared" si="387"/>
        <v>1.532731251471759</v>
      </c>
      <c r="X179" s="181">
        <f t="shared" si="387"/>
        <v>1.5673843058528598</v>
      </c>
      <c r="Y179" s="181">
        <f t="shared" si="387"/>
        <v>1.602820820593881</v>
      </c>
      <c r="Z179" s="181">
        <f t="shared" si="387"/>
        <v>1.6390585087116563</v>
      </c>
      <c r="AA179" s="181">
        <f t="shared" si="387"/>
        <v>1.6761154836912244</v>
      </c>
      <c r="AB179" s="181">
        <f t="shared" si="387"/>
        <v>1.7140102685398959</v>
      </c>
      <c r="AC179" s="181">
        <f t="shared" si="387"/>
        <v>1.7527618050460156</v>
      </c>
      <c r="AD179" s="138">
        <f t="shared" si="382"/>
        <v>1.8475199927424413E-2</v>
      </c>
      <c r="AE179" s="31">
        <v>0.08</v>
      </c>
      <c r="AF179" s="181">
        <f>(AF172)/($L$2*100)</f>
        <v>25.502063283134202</v>
      </c>
    </row>
    <row r="180" spans="2:46" x14ac:dyDescent="0.2">
      <c r="B180" s="20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28"/>
      <c r="S180" s="128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7"/>
      <c r="AE180" s="20"/>
      <c r="AF180" s="127"/>
    </row>
    <row r="181" spans="2:46" x14ac:dyDescent="0.2">
      <c r="B181" s="20"/>
      <c r="C181" s="129"/>
      <c r="D181" s="129"/>
      <c r="E181" s="129"/>
      <c r="F181" s="129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20"/>
    </row>
    <row r="182" spans="2:46" x14ac:dyDescent="0.2">
      <c r="B182" s="108" t="s">
        <v>301</v>
      </c>
      <c r="C182" s="20"/>
      <c r="D182" s="20"/>
      <c r="E182" s="20"/>
      <c r="F182" s="20"/>
      <c r="G182" s="20"/>
      <c r="H182" s="20"/>
      <c r="I182" s="20"/>
      <c r="J182" s="20"/>
      <c r="K182" s="201" t="s">
        <v>351</v>
      </c>
      <c r="L182" s="202"/>
      <c r="M182" s="20"/>
      <c r="N182" s="20"/>
      <c r="O182" s="20"/>
      <c r="P182" s="108" t="s">
        <v>431</v>
      </c>
      <c r="Q182" s="108" t="s">
        <v>430</v>
      </c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137"/>
      <c r="AE182" s="20"/>
      <c r="AF182" s="20"/>
    </row>
    <row r="183" spans="2:46" x14ac:dyDescent="0.2">
      <c r="B183" s="20" t="s">
        <v>299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20" t="s">
        <v>352</v>
      </c>
      <c r="L183" s="22">
        <v>1</v>
      </c>
      <c r="M183" s="20"/>
      <c r="N183" s="20"/>
      <c r="O183" s="20"/>
      <c r="P183" s="128">
        <f>(Q170-S158)/Q170</f>
        <v>0.10855287823121756</v>
      </c>
      <c r="Q183" s="128">
        <f>(Q170-T158)/Q170</f>
        <v>0.41241862282205394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349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172">
        <f>$L$183</f>
        <v>1</v>
      </c>
      <c r="L184" s="20"/>
      <c r="M184" s="128">
        <f>(P170-(K184*S149))/P170</f>
        <v>-0.51043971897473073</v>
      </c>
      <c r="N184" s="20"/>
      <c r="O184" s="20"/>
      <c r="P184" s="128">
        <f>(Q170-S149)/Q170</f>
        <v>-1.0768546135902548</v>
      </c>
      <c r="Q184" s="128">
        <f>(Q170-T149)/Q170</f>
        <v>0.8194039466443257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350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$L$183</f>
        <v>1</v>
      </c>
      <c r="L185" s="20"/>
      <c r="M185" s="128">
        <f>(P170-(K185*S142))/P170</f>
        <v>-1.0554437412852002</v>
      </c>
      <c r="N185" s="20"/>
      <c r="O185" s="20"/>
      <c r="P185" s="128">
        <f>(Q170-S142)/Q170</f>
        <v>-1.8262351442671503</v>
      </c>
      <c r="Q185" s="128">
        <f>(Q170-T142)/Q170</f>
        <v>0.7542404222376391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353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$L$183</f>
        <v>1</v>
      </c>
      <c r="L186" s="20"/>
      <c r="M186" s="128">
        <f>(P170-(K186*S155))/P170</f>
        <v>-0.22763713080168785</v>
      </c>
      <c r="N186" s="20"/>
      <c r="O186" s="20"/>
      <c r="P186" s="128">
        <f>(Q170-S155)/Q170</f>
        <v>-0.68800105485232077</v>
      </c>
      <c r="Q186" s="128">
        <f>(Q170-T155)/Q170</f>
        <v>0.85321729957805914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400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$L$183</f>
        <v>1</v>
      </c>
      <c r="L187" s="20"/>
      <c r="M187" s="128">
        <f>(P170-(K187*S167))/P170</f>
        <v>1</v>
      </c>
      <c r="N187" s="20"/>
      <c r="O187" s="20"/>
      <c r="P187" s="128">
        <f>(Q170-S167)/Q170</f>
        <v>1</v>
      </c>
      <c r="Q187" s="128">
        <f>(Q170-T167)/Q170</f>
        <v>1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300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5">
        <f>Q170/S141</f>
        <v>1.8832759390023961</v>
      </c>
      <c r="Q188" s="25">
        <f>Q170/T141</f>
        <v>21.657673298527556</v>
      </c>
      <c r="R188" s="20"/>
      <c r="S188" s="20"/>
      <c r="T188" s="115" t="s">
        <v>11</v>
      </c>
      <c r="U188" s="115" t="s">
        <v>12</v>
      </c>
      <c r="V188" s="115" t="s">
        <v>13</v>
      </c>
      <c r="W188" s="115" t="s">
        <v>14</v>
      </c>
      <c r="X188" s="115" t="s">
        <v>15</v>
      </c>
      <c r="Y188" s="115" t="s">
        <v>234</v>
      </c>
      <c r="Z188" s="115" t="s">
        <v>235</v>
      </c>
      <c r="AA188" s="115" t="s">
        <v>236</v>
      </c>
      <c r="AB188" s="115" t="s">
        <v>237</v>
      </c>
      <c r="AC188" s="115" t="s">
        <v>238</v>
      </c>
      <c r="AD188" s="115" t="s">
        <v>408</v>
      </c>
      <c r="AE188" s="115" t="s">
        <v>409</v>
      </c>
      <c r="AF188" s="115" t="s">
        <v>410</v>
      </c>
      <c r="AG188" s="115" t="s">
        <v>411</v>
      </c>
      <c r="AH188" s="115" t="s">
        <v>412</v>
      </c>
      <c r="AI188" s="115" t="s">
        <v>413</v>
      </c>
      <c r="AJ188" s="115" t="s">
        <v>414</v>
      </c>
      <c r="AK188" s="115" t="s">
        <v>415</v>
      </c>
      <c r="AL188" s="115" t="s">
        <v>416</v>
      </c>
      <c r="AM188" s="115" t="s">
        <v>417</v>
      </c>
      <c r="AN188" s="115" t="s">
        <v>418</v>
      </c>
      <c r="AO188" s="115" t="s">
        <v>419</v>
      </c>
      <c r="AP188" s="115" t="s">
        <v>420</v>
      </c>
      <c r="AQ188" s="115" t="s">
        <v>421</v>
      </c>
      <c r="AR188" s="115" t="s">
        <v>422</v>
      </c>
      <c r="AS188" s="115" t="s">
        <v>423</v>
      </c>
      <c r="AT188" s="115" t="s">
        <v>424</v>
      </c>
    </row>
    <row r="189" spans="2:46" x14ac:dyDescent="0.2">
      <c r="B189" s="20" t="s">
        <v>371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152">
        <f>1/P188</f>
        <v>0.53098963316534342</v>
      </c>
      <c r="Q189" s="152">
        <f>1/Q188</f>
        <v>4.617301157959508E-2</v>
      </c>
      <c r="R189" s="20"/>
      <c r="S189" s="20"/>
      <c r="T189" s="129" t="e">
        <f>Q170-T190</f>
        <v>#DIV/0!</v>
      </c>
      <c r="U189" s="185" t="e">
        <f>T189-U190</f>
        <v>#DIV/0!</v>
      </c>
      <c r="V189" s="185" t="e">
        <f t="shared" ref="V189:X189" si="388">U189-V190</f>
        <v>#DIV/0!</v>
      </c>
      <c r="W189" s="185" t="e">
        <f t="shared" si="388"/>
        <v>#DIV/0!</v>
      </c>
      <c r="X189" s="185" t="e">
        <f t="shared" si="388"/>
        <v>#DIV/0!</v>
      </c>
      <c r="Y189" s="185" t="e">
        <f>X189-Y190</f>
        <v>#DIV/0!</v>
      </c>
      <c r="Z189" s="185" t="e">
        <f t="shared" ref="Z189:AC189" si="389">Y189-Z190</f>
        <v>#DIV/0!</v>
      </c>
      <c r="AA189" s="185" t="e">
        <f t="shared" si="389"/>
        <v>#DIV/0!</v>
      </c>
      <c r="AB189" s="185" t="e">
        <f t="shared" si="389"/>
        <v>#DIV/0!</v>
      </c>
      <c r="AC189" s="185" t="e">
        <f t="shared" si="389"/>
        <v>#DIV/0!</v>
      </c>
      <c r="AD189" s="185" t="e">
        <f t="shared" ref="AD189" si="390">AC189-AD190</f>
        <v>#DIV/0!</v>
      </c>
      <c r="AE189" s="185" t="e">
        <f t="shared" ref="AE189" si="391">AD189-AE190</f>
        <v>#DIV/0!</v>
      </c>
      <c r="AF189" s="185" t="e">
        <f t="shared" ref="AF189" si="392">AE189-AF190</f>
        <v>#DIV/0!</v>
      </c>
      <c r="AG189" s="185" t="e">
        <f t="shared" ref="AG189" si="393">AF189-AG190</f>
        <v>#DIV/0!</v>
      </c>
      <c r="AH189" s="185" t="e">
        <f t="shared" ref="AH189" si="394">AG189-AH190</f>
        <v>#DIV/0!</v>
      </c>
      <c r="AI189" s="185" t="e">
        <f t="shared" ref="AI189" si="395">AH189-AI190</f>
        <v>#DIV/0!</v>
      </c>
      <c r="AJ189" s="185" t="e">
        <f t="shared" ref="AJ189" si="396">AI189-AJ190</f>
        <v>#DIV/0!</v>
      </c>
      <c r="AK189" s="185" t="e">
        <f t="shared" ref="AK189" si="397">AJ189-AK190</f>
        <v>#DIV/0!</v>
      </c>
      <c r="AL189" s="185" t="e">
        <f t="shared" ref="AL189" si="398">AK189-AL190</f>
        <v>#DIV/0!</v>
      </c>
      <c r="AM189" s="185" t="e">
        <f t="shared" ref="AM189" si="399">AL189-AM190</f>
        <v>#DIV/0!</v>
      </c>
      <c r="AN189" s="185" t="e">
        <f t="shared" ref="AN189" si="400">AM189-AN190</f>
        <v>#DIV/0!</v>
      </c>
      <c r="AO189" s="185" t="e">
        <f t="shared" ref="AO189" si="401">AN189-AO190</f>
        <v>#DIV/0!</v>
      </c>
      <c r="AP189" s="185" t="e">
        <f t="shared" ref="AP189" si="402">AO189-AP190</f>
        <v>#DIV/0!</v>
      </c>
      <c r="AQ189" s="185" t="e">
        <f t="shared" ref="AQ189" si="403">AP189-AQ190</f>
        <v>#DIV/0!</v>
      </c>
      <c r="AR189" s="185" t="e">
        <f t="shared" ref="AR189" si="404">AQ189-AR190</f>
        <v>#DIV/0!</v>
      </c>
      <c r="AS189" s="185" t="e">
        <f t="shared" ref="AS189" si="405">AR189-AS190</f>
        <v>#DIV/0!</v>
      </c>
      <c r="AT189" s="185" t="e">
        <f t="shared" ref="AT189" si="406">AS189-AT190</f>
        <v>#DIV/0!</v>
      </c>
    </row>
    <row r="190" spans="2:46" x14ac:dyDescent="0.2">
      <c r="B190" s="20" t="s">
        <v>397</v>
      </c>
      <c r="C190" s="20"/>
      <c r="D190" s="20"/>
      <c r="E190" s="20"/>
      <c r="F190" s="20"/>
      <c r="G190" s="20"/>
      <c r="H190" s="20"/>
      <c r="I190" s="20"/>
      <c r="J190" s="20"/>
      <c r="K190" s="184">
        <f>P1</f>
        <v>0.05</v>
      </c>
      <c r="L190" s="20"/>
      <c r="M190" s="187"/>
      <c r="N190" s="20"/>
      <c r="O190" s="20"/>
      <c r="P190" s="181" t="e">
        <f>Q170/R140</f>
        <v>#DIV/0!</v>
      </c>
      <c r="Q190" s="181" t="e">
        <f>Q170/S140</f>
        <v>#DIV/0!</v>
      </c>
      <c r="R190" s="20"/>
      <c r="S190" s="20"/>
      <c r="T190" s="186" t="e">
        <f>R140*(1+$K$190)</f>
        <v>#DIV/0!</v>
      </c>
      <c r="U190" s="186" t="e">
        <f>T190*(1+$K$190)</f>
        <v>#DIV/0!</v>
      </c>
      <c r="V190" s="186" t="e">
        <f t="shared" ref="V190:AC190" si="407">U190*(1+$K$190)</f>
        <v>#DIV/0!</v>
      </c>
      <c r="W190" s="186" t="e">
        <f t="shared" si="407"/>
        <v>#DIV/0!</v>
      </c>
      <c r="X190" s="186" t="e">
        <f t="shared" si="407"/>
        <v>#DIV/0!</v>
      </c>
      <c r="Y190" s="186" t="e">
        <f t="shared" si="407"/>
        <v>#DIV/0!</v>
      </c>
      <c r="Z190" s="186" t="e">
        <f t="shared" si="407"/>
        <v>#DIV/0!</v>
      </c>
      <c r="AA190" s="186" t="e">
        <f t="shared" si="407"/>
        <v>#DIV/0!</v>
      </c>
      <c r="AB190" s="186" t="e">
        <f t="shared" si="407"/>
        <v>#DIV/0!</v>
      </c>
      <c r="AC190" s="186" t="e">
        <f t="shared" si="407"/>
        <v>#DIV/0!</v>
      </c>
      <c r="AD190" s="186" t="e">
        <f t="shared" ref="AD190" si="408">AC190*(1+$K$190)</f>
        <v>#DIV/0!</v>
      </c>
      <c r="AE190" s="186" t="e">
        <f t="shared" ref="AE190" si="409">AD190*(1+$K$190)</f>
        <v>#DIV/0!</v>
      </c>
      <c r="AF190" s="186" t="e">
        <f t="shared" ref="AF190" si="410">AE190*(1+$K$190)</f>
        <v>#DIV/0!</v>
      </c>
      <c r="AG190" s="186" t="e">
        <f t="shared" ref="AG190" si="411">AF190*(1+$K$190)</f>
        <v>#DIV/0!</v>
      </c>
      <c r="AH190" s="186" t="e">
        <f t="shared" ref="AH190" si="412">AG190*(1+$K$190)</f>
        <v>#DIV/0!</v>
      </c>
      <c r="AI190" s="186" t="e">
        <f t="shared" ref="AI190" si="413">AH190*(1+$K$190)</f>
        <v>#DIV/0!</v>
      </c>
      <c r="AJ190" s="186" t="e">
        <f t="shared" ref="AJ190" si="414">AI190*(1+$K$190)</f>
        <v>#DIV/0!</v>
      </c>
      <c r="AK190" s="186" t="e">
        <f t="shared" ref="AK190" si="415">AJ190*(1+$K$190)</f>
        <v>#DIV/0!</v>
      </c>
      <c r="AL190" s="186" t="e">
        <f t="shared" ref="AL190" si="416">AK190*(1+$K$190)</f>
        <v>#DIV/0!</v>
      </c>
      <c r="AM190" s="186" t="e">
        <f t="shared" ref="AM190" si="417">AL190*(1+$K$190)</f>
        <v>#DIV/0!</v>
      </c>
      <c r="AN190" s="186" t="e">
        <f t="shared" ref="AN190" si="418">AM190*(1+$K$190)</f>
        <v>#DIV/0!</v>
      </c>
      <c r="AO190" s="186" t="e">
        <f t="shared" ref="AO190" si="419">AN190*(1+$K$190)</f>
        <v>#DIV/0!</v>
      </c>
      <c r="AP190" s="186" t="e">
        <f t="shared" ref="AP190" si="420">AO190*(1+$K$190)</f>
        <v>#DIV/0!</v>
      </c>
      <c r="AQ190" s="186" t="e">
        <f t="shared" ref="AQ190" si="421">AP190*(1+$K$190)</f>
        <v>#DIV/0!</v>
      </c>
      <c r="AR190" s="186" t="e">
        <f t="shared" ref="AR190" si="422">AQ190*(1+$K$190)</f>
        <v>#DIV/0!</v>
      </c>
      <c r="AS190" s="186" t="e">
        <f t="shared" ref="AS190" si="423">AR190*(1+$K$190)</f>
        <v>#DIV/0!</v>
      </c>
      <c r="AT190" s="186" t="e">
        <f t="shared" ref="AT190" si="424">AS190*(1+$K$190)</f>
        <v>#DIV/0!</v>
      </c>
    </row>
    <row r="191" spans="2:46" x14ac:dyDescent="0.2">
      <c r="B191" s="20" t="s">
        <v>396</v>
      </c>
      <c r="C191" s="20"/>
      <c r="D191" s="20"/>
      <c r="E191" s="20"/>
      <c r="F191" s="20"/>
      <c r="G191" s="20"/>
      <c r="H191" s="20"/>
      <c r="I191" s="20"/>
      <c r="J191" s="20"/>
      <c r="K191" s="184">
        <f>P1</f>
        <v>0.05</v>
      </c>
      <c r="L191" s="20"/>
      <c r="M191" s="187"/>
      <c r="N191" s="20"/>
      <c r="O191" s="20"/>
      <c r="P191" s="181">
        <f>Q170/P54</f>
        <v>9.9267015706806276</v>
      </c>
      <c r="Q191" s="181">
        <f>Q170/Q54</f>
        <v>15.290322580645162</v>
      </c>
      <c r="R191" s="20"/>
      <c r="S191" s="20"/>
      <c r="T191" s="186">
        <f>Q54*(1+$K$191)</f>
        <v>54.936708860759495</v>
      </c>
      <c r="U191" s="186">
        <f>T191*(1+$K$191)</f>
        <v>57.683544303797476</v>
      </c>
      <c r="V191" s="186">
        <f t="shared" ref="V191:AC191" si="425">U191*(1+$K$191)</f>
        <v>60.567721518987355</v>
      </c>
      <c r="W191" s="186">
        <f t="shared" si="425"/>
        <v>63.596107594936726</v>
      </c>
      <c r="X191" s="186">
        <f t="shared" si="425"/>
        <v>66.775912974683564</v>
      </c>
      <c r="Y191" s="186">
        <f t="shared" si="425"/>
        <v>70.114708623417741</v>
      </c>
      <c r="Z191" s="186">
        <f t="shared" si="425"/>
        <v>73.620444054588631</v>
      </c>
      <c r="AA191" s="186">
        <f t="shared" si="425"/>
        <v>77.301466257318069</v>
      </c>
      <c r="AB191" s="186">
        <f t="shared" si="425"/>
        <v>81.166539570183971</v>
      </c>
      <c r="AC191" s="186">
        <f t="shared" si="425"/>
        <v>85.224866548693171</v>
      </c>
      <c r="AD191" s="186">
        <f t="shared" ref="AD191" si="426">AC191*(1+$K$191)</f>
        <v>89.486109876127827</v>
      </c>
      <c r="AE191" s="186">
        <f t="shared" ref="AE191" si="427">AD191*(1+$K$191)</f>
        <v>93.960415369934225</v>
      </c>
      <c r="AF191" s="186">
        <f t="shared" ref="AF191" si="428">AE191*(1+$K$191)</f>
        <v>98.658436138430943</v>
      </c>
      <c r="AG191" s="186">
        <f t="shared" ref="AG191" si="429">AF191*(1+$K$191)</f>
        <v>103.5913579453525</v>
      </c>
      <c r="AH191" s="186">
        <f t="shared" ref="AH191" si="430">AG191*(1+$K$191)</f>
        <v>108.77092584262013</v>
      </c>
      <c r="AI191" s="186">
        <f t="shared" ref="AI191" si="431">AH191*(1+$K$191)</f>
        <v>114.20947213475114</v>
      </c>
      <c r="AJ191" s="186">
        <f t="shared" ref="AJ191" si="432">AI191*(1+$K$191)</f>
        <v>119.9199457414887</v>
      </c>
      <c r="AK191" s="186">
        <f t="shared" ref="AK191" si="433">AJ191*(1+$K$191)</f>
        <v>125.91594302856315</v>
      </c>
      <c r="AL191" s="186">
        <f t="shared" ref="AL191" si="434">AK191*(1+$K$191)</f>
        <v>132.21174017999132</v>
      </c>
      <c r="AM191" s="186">
        <f t="shared" ref="AM191" si="435">AL191*(1+$K$191)</f>
        <v>138.8223271889909</v>
      </c>
      <c r="AN191" s="186">
        <f t="shared" ref="AN191" si="436">AM191*(1+$K$191)</f>
        <v>145.76344354844045</v>
      </c>
      <c r="AO191" s="186">
        <f t="shared" ref="AO191" si="437">AN191*(1+$K$191)</f>
        <v>153.05161572586249</v>
      </c>
      <c r="AP191" s="186">
        <f t="shared" ref="AP191" si="438">AO191*(1+$K$191)</f>
        <v>160.70419651215562</v>
      </c>
      <c r="AQ191" s="186">
        <f t="shared" ref="AQ191" si="439">AP191*(1+$K$191)</f>
        <v>168.7394063377634</v>
      </c>
      <c r="AR191" s="186">
        <f t="shared" ref="AR191" si="440">AQ191*(1+$K$191)</f>
        <v>177.17637665465156</v>
      </c>
      <c r="AS191" s="186">
        <f t="shared" ref="AS191" si="441">AR191*(1+$K$191)</f>
        <v>186.03519548738416</v>
      </c>
      <c r="AT191" s="186">
        <f t="shared" ref="AT191" si="442">AS191*(1+$K$191)</f>
        <v>195.33695526175336</v>
      </c>
    </row>
    <row r="192" spans="2:46" x14ac:dyDescent="0.2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129">
        <f>Q170-T191</f>
        <v>745.0632911392405</v>
      </c>
      <c r="U192" s="185">
        <f>T192-U191</f>
        <v>687.37974683544303</v>
      </c>
      <c r="V192" s="185">
        <f t="shared" ref="V192:AA192" si="443">U192-V191</f>
        <v>626.81202531645567</v>
      </c>
      <c r="W192" s="185">
        <f t="shared" si="443"/>
        <v>563.21591772151896</v>
      </c>
      <c r="X192" s="185">
        <f t="shared" si="443"/>
        <v>496.44000474683537</v>
      </c>
      <c r="Y192" s="185">
        <f t="shared" si="443"/>
        <v>426.32529612341762</v>
      </c>
      <c r="Z192" s="185">
        <f t="shared" si="443"/>
        <v>352.70485206882898</v>
      </c>
      <c r="AA192" s="185">
        <f t="shared" si="443"/>
        <v>275.40338581151093</v>
      </c>
      <c r="AB192" s="185">
        <f>AA192-AB191</f>
        <v>194.23684624132696</v>
      </c>
      <c r="AC192" s="185">
        <f t="shared" ref="AC192" si="444">AB192-AC191</f>
        <v>109.01197969263379</v>
      </c>
      <c r="AD192" s="185">
        <f t="shared" ref="AD192" si="445">AC192-AD191</f>
        <v>19.52586981650596</v>
      </c>
      <c r="AE192" s="185">
        <f t="shared" ref="AE192" si="446">AD192-AE191</f>
        <v>-74.434545553428265</v>
      </c>
      <c r="AF192" s="185">
        <f t="shared" ref="AF192" si="447">AE192-AF191</f>
        <v>-173.09298169185922</v>
      </c>
      <c r="AG192" s="185">
        <f t="shared" ref="AG192" si="448">AF192-AG191</f>
        <v>-276.68433963721174</v>
      </c>
      <c r="AH192" s="185">
        <f t="shared" ref="AH192" si="449">AG192-AH191</f>
        <v>-385.45526547983184</v>
      </c>
      <c r="AI192" s="185">
        <f t="shared" ref="AI192" si="450">AH192-AI191</f>
        <v>-499.66473761458298</v>
      </c>
      <c r="AJ192" s="185">
        <f t="shared" ref="AJ192" si="451">AI192-AJ191</f>
        <v>-619.58468335607165</v>
      </c>
      <c r="AK192" s="185">
        <f t="shared" ref="AK192" si="452">AJ192-AK191</f>
        <v>-745.50062638463476</v>
      </c>
      <c r="AL192" s="185">
        <f t="shared" ref="AL192" si="453">AK192-AL191</f>
        <v>-877.71236656462611</v>
      </c>
      <c r="AM192" s="185">
        <f t="shared" ref="AM192" si="454">AL192-AM191</f>
        <v>-1016.534693753617</v>
      </c>
      <c r="AN192" s="185">
        <f t="shared" ref="AN192" si="455">AM192-AN191</f>
        <v>-1162.2981373020575</v>
      </c>
      <c r="AO192" s="185">
        <f t="shared" ref="AO192" si="456">AN192-AO191</f>
        <v>-1315.3497530279201</v>
      </c>
      <c r="AP192" s="185">
        <f t="shared" ref="AP192" si="457">AO192-AP191</f>
        <v>-1476.0539495400758</v>
      </c>
      <c r="AQ192" s="185">
        <f t="shared" ref="AQ192" si="458">AP192-AQ191</f>
        <v>-1644.7933558778391</v>
      </c>
      <c r="AR192" s="185">
        <f t="shared" ref="AR192" si="459">AQ192-AR191</f>
        <v>-1821.9697325324905</v>
      </c>
      <c r="AS192" s="185">
        <f t="shared" ref="AS192" si="460">AR192-AS191</f>
        <v>-2008.0049280198746</v>
      </c>
      <c r="AT192" s="185">
        <f t="shared" ref="AT192" si="461">AS192-AT191</f>
        <v>-2203.3418832816278</v>
      </c>
    </row>
    <row r="193" spans="2:32" x14ac:dyDescent="0.2">
      <c r="B193" s="108" t="s">
        <v>302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2:32" x14ac:dyDescent="0.2">
      <c r="B194" s="20" t="s">
        <v>305</v>
      </c>
      <c r="C194" s="25" t="e">
        <f t="shared" ref="C194:P194" si="462">C10/C7</f>
        <v>#DIV/0!</v>
      </c>
      <c r="D194" s="25" t="e">
        <f t="shared" si="462"/>
        <v>#DIV/0!</v>
      </c>
      <c r="E194" s="25" t="e">
        <f t="shared" si="462"/>
        <v>#DIV/0!</v>
      </c>
      <c r="F194" s="25" t="e">
        <f t="shared" si="462"/>
        <v>#DIV/0!</v>
      </c>
      <c r="G194" s="25">
        <f t="shared" si="462"/>
        <v>0.49242424242424243</v>
      </c>
      <c r="H194" s="25">
        <f t="shared" si="462"/>
        <v>0.33128834355828218</v>
      </c>
      <c r="I194" s="25">
        <f t="shared" si="462"/>
        <v>3.9840637450199202E-2</v>
      </c>
      <c r="J194" s="25">
        <f t="shared" si="462"/>
        <v>0</v>
      </c>
      <c r="K194" s="25">
        <f t="shared" si="462"/>
        <v>0</v>
      </c>
      <c r="L194" s="25">
        <f t="shared" si="462"/>
        <v>0</v>
      </c>
      <c r="M194" s="25">
        <f t="shared" si="462"/>
        <v>0</v>
      </c>
      <c r="N194" s="25">
        <f t="shared" si="462"/>
        <v>0</v>
      </c>
      <c r="O194" s="25" t="e">
        <f t="shared" si="462"/>
        <v>#DIV/0!</v>
      </c>
      <c r="P194" s="25">
        <f t="shared" si="462"/>
        <v>0</v>
      </c>
      <c r="Q194" s="25">
        <f t="shared" ref="Q194" si="463">Q10/Q7</f>
        <v>0</v>
      </c>
      <c r="R194" s="118">
        <f t="shared" ref="R194:R196" si="464">((P194/G194)^(1/($H$2-$H$1) ))-1</f>
        <v>-1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32" x14ac:dyDescent="0.2">
      <c r="B195" s="20" t="s">
        <v>306</v>
      </c>
      <c r="C195" s="112" t="e">
        <f>C10/C12</f>
        <v>#DIV/0!</v>
      </c>
      <c r="D195" s="112" t="e">
        <f>D10/D12</f>
        <v>#DIV/0!</v>
      </c>
      <c r="E195" s="112" t="e">
        <f>E10/E12</f>
        <v>#DIV/0!</v>
      </c>
      <c r="F195" s="112" t="e">
        <f>F10/F12</f>
        <v>#DIV/0!</v>
      </c>
      <c r="G195" s="112">
        <f>G10/G12</f>
        <v>10.483870967741936</v>
      </c>
      <c r="H195" s="112">
        <f t="shared" ref="H195:P195" si="465">H10/H12</f>
        <v>7.0959264126149808</v>
      </c>
      <c r="I195" s="112">
        <f t="shared" si="465"/>
        <v>0.76923076923076927</v>
      </c>
      <c r="J195" s="112">
        <f t="shared" si="465"/>
        <v>0</v>
      </c>
      <c r="K195" s="112">
        <f t="shared" si="465"/>
        <v>0</v>
      </c>
      <c r="L195" s="112">
        <f t="shared" si="465"/>
        <v>0</v>
      </c>
      <c r="M195" s="112">
        <f t="shared" si="465"/>
        <v>0</v>
      </c>
      <c r="N195" s="112">
        <f t="shared" si="465"/>
        <v>0</v>
      </c>
      <c r="O195" s="112" t="e">
        <f t="shared" si="465"/>
        <v>#DIV/0!</v>
      </c>
      <c r="P195" s="112">
        <f t="shared" si="465"/>
        <v>0</v>
      </c>
      <c r="Q195" s="112">
        <f t="shared" ref="Q195" si="466">Q10/Q12</f>
        <v>0</v>
      </c>
      <c r="R195" s="118">
        <f t="shared" si="464"/>
        <v>-1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32" x14ac:dyDescent="0.2">
      <c r="B196" s="20" t="s">
        <v>307</v>
      </c>
      <c r="C196" s="25" t="e">
        <f>C10/(C12+C13)</f>
        <v>#DIV/0!</v>
      </c>
      <c r="D196" s="25" t="e">
        <f>D10/(D12+D13)</f>
        <v>#DIV/0!</v>
      </c>
      <c r="E196" s="25" t="e">
        <f>E10/(E12+E13)</f>
        <v>#DIV/0!</v>
      </c>
      <c r="F196" s="25" t="e">
        <f>F10/(F12+F13)</f>
        <v>#DIV/0!</v>
      </c>
      <c r="G196" s="25">
        <f>G10/(G12+G13)</f>
        <v>1.7955801104972375</v>
      </c>
      <c r="H196" s="25">
        <f t="shared" ref="H196:P196" si="467">H10/(H12+H13)</f>
        <v>2.4988431281813974</v>
      </c>
      <c r="I196" s="25">
        <f t="shared" si="467"/>
        <v>0.25</v>
      </c>
      <c r="J196" s="25">
        <f t="shared" si="467"/>
        <v>0</v>
      </c>
      <c r="K196" s="25">
        <f t="shared" si="467"/>
        <v>0</v>
      </c>
      <c r="L196" s="25">
        <f t="shared" si="467"/>
        <v>0</v>
      </c>
      <c r="M196" s="25">
        <f t="shared" si="467"/>
        <v>0</v>
      </c>
      <c r="N196" s="25">
        <f t="shared" si="467"/>
        <v>0</v>
      </c>
      <c r="O196" s="25" t="e">
        <f t="shared" si="467"/>
        <v>#DIV/0!</v>
      </c>
      <c r="P196" s="25">
        <f t="shared" si="467"/>
        <v>0</v>
      </c>
      <c r="Q196" s="25">
        <f t="shared" ref="Q196" si="468">Q10/(Q12+Q13)</f>
        <v>0</v>
      </c>
      <c r="R196" s="118">
        <f t="shared" si="464"/>
        <v>-1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32" x14ac:dyDescent="0.2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32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32" x14ac:dyDescent="0.2">
      <c r="B199" s="20"/>
      <c r="C199" s="174" t="s">
        <v>377</v>
      </c>
      <c r="D199" s="175"/>
      <c r="E199" s="175"/>
      <c r="F199" s="175"/>
      <c r="G199" s="175"/>
      <c r="H199" s="175"/>
      <c r="I199" s="175"/>
      <c r="J199" s="175"/>
      <c r="K199" s="20"/>
      <c r="L199" s="198" t="s">
        <v>337</v>
      </c>
      <c r="M199" s="199"/>
      <c r="N199" s="200"/>
      <c r="O199" s="23" t="s">
        <v>340</v>
      </c>
      <c r="P199" s="20"/>
      <c r="Q199" s="137"/>
      <c r="R199" s="198" t="s">
        <v>338</v>
      </c>
      <c r="S199" s="199"/>
      <c r="T199" s="200"/>
      <c r="U199" s="23" t="s">
        <v>340</v>
      </c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32" x14ac:dyDescent="0.2">
      <c r="B200" s="20"/>
      <c r="C200" s="166" t="s">
        <v>339</v>
      </c>
      <c r="D200" s="166" t="s">
        <v>0</v>
      </c>
      <c r="E200" s="166" t="s">
        <v>378</v>
      </c>
      <c r="F200" s="166" t="s">
        <v>379</v>
      </c>
      <c r="G200" s="166" t="s">
        <v>380</v>
      </c>
      <c r="H200" s="166" t="s">
        <v>381</v>
      </c>
      <c r="I200" s="166" t="s">
        <v>382</v>
      </c>
      <c r="J200" s="166" t="s">
        <v>383</v>
      </c>
      <c r="K200" s="20"/>
      <c r="L200" s="166" t="s">
        <v>339</v>
      </c>
      <c r="M200" s="166"/>
      <c r="N200" s="166" t="s">
        <v>0</v>
      </c>
      <c r="O200" s="166" t="s">
        <v>372</v>
      </c>
      <c r="P200" s="20"/>
      <c r="Q200" s="20"/>
      <c r="R200" s="166" t="s">
        <v>339</v>
      </c>
      <c r="S200" s="166"/>
      <c r="T200" s="166" t="s">
        <v>0</v>
      </c>
      <c r="U200" s="166" t="s">
        <v>372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32" x14ac:dyDescent="0.2">
      <c r="B201" s="20"/>
      <c r="C201" s="167" t="s">
        <v>341</v>
      </c>
      <c r="D201" s="21">
        <v>1</v>
      </c>
      <c r="E201" s="176" t="s">
        <v>384</v>
      </c>
      <c r="F201" s="22">
        <v>1</v>
      </c>
      <c r="G201" s="22">
        <v>1</v>
      </c>
      <c r="H201" s="167">
        <f>F201/G201</f>
        <v>1</v>
      </c>
      <c r="I201" s="167">
        <f>H201*D202</f>
        <v>1</v>
      </c>
      <c r="J201" s="177">
        <f>I201+D202</f>
        <v>2</v>
      </c>
      <c r="K201" s="20"/>
      <c r="L201" s="167" t="s">
        <v>341</v>
      </c>
      <c r="M201" s="167"/>
      <c r="N201" s="21">
        <v>1</v>
      </c>
      <c r="O201" s="173">
        <f>N201</f>
        <v>1</v>
      </c>
      <c r="P201" s="20"/>
      <c r="Q201" s="20"/>
      <c r="R201" s="167" t="s">
        <v>341</v>
      </c>
      <c r="S201" s="167"/>
      <c r="T201" s="21">
        <v>1</v>
      </c>
      <c r="U201" s="173">
        <f>T201</f>
        <v>1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32" x14ac:dyDescent="0.2">
      <c r="B202" s="20"/>
      <c r="C202" s="167" t="s">
        <v>342</v>
      </c>
      <c r="D202" s="21">
        <v>1</v>
      </c>
      <c r="E202" s="176" t="s">
        <v>385</v>
      </c>
      <c r="F202" s="22">
        <v>0</v>
      </c>
      <c r="G202" s="22">
        <v>1</v>
      </c>
      <c r="H202" s="167">
        <f>F202/G202</f>
        <v>0</v>
      </c>
      <c r="I202" s="167">
        <f>H202*J201</f>
        <v>0</v>
      </c>
      <c r="J202" s="167">
        <f>I202+J201</f>
        <v>2</v>
      </c>
      <c r="K202" s="20"/>
      <c r="L202" s="167" t="s">
        <v>342</v>
      </c>
      <c r="M202" s="167"/>
      <c r="N202" s="21">
        <v>1</v>
      </c>
      <c r="O202" s="173">
        <f>N202</f>
        <v>1</v>
      </c>
      <c r="P202" s="20"/>
      <c r="Q202" s="20"/>
      <c r="R202" s="167" t="s">
        <v>342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32" x14ac:dyDescent="0.2">
      <c r="B203" s="20"/>
      <c r="C203" s="167" t="s">
        <v>344</v>
      </c>
      <c r="D203" s="168">
        <f>D201*D202</f>
        <v>1</v>
      </c>
      <c r="E203" s="176" t="s">
        <v>398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343</v>
      </c>
      <c r="M203" s="167"/>
      <c r="N203" s="168">
        <f>N201*N202</f>
        <v>1</v>
      </c>
      <c r="O203" s="173">
        <f>N203</f>
        <v>1</v>
      </c>
      <c r="P203" s="20"/>
      <c r="Q203" s="20"/>
      <c r="R203" s="167" t="s">
        <v>344</v>
      </c>
      <c r="S203" s="167"/>
      <c r="T203" s="168">
        <f>T201*T202</f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32" x14ac:dyDescent="0.2">
      <c r="B204" s="20"/>
      <c r="C204" s="167"/>
      <c r="D204" s="168"/>
      <c r="E204" s="176" t="s">
        <v>386</v>
      </c>
      <c r="F204" s="22">
        <v>10</v>
      </c>
      <c r="G204" s="22">
        <v>1</v>
      </c>
      <c r="H204" s="167">
        <f>F204/G204</f>
        <v>10</v>
      </c>
      <c r="I204" s="167">
        <f>H204*J203</f>
        <v>20</v>
      </c>
      <c r="J204" s="167">
        <f>I204</f>
        <v>20</v>
      </c>
      <c r="K204" s="20"/>
      <c r="L204" s="167" t="s">
        <v>345</v>
      </c>
      <c r="M204" s="167"/>
      <c r="N204" s="21">
        <v>1</v>
      </c>
      <c r="O204" s="21">
        <v>1</v>
      </c>
      <c r="P204" s="20"/>
      <c r="Q204" s="20"/>
      <c r="R204" s="167" t="s">
        <v>345</v>
      </c>
      <c r="S204" s="167"/>
      <c r="T204" s="21">
        <v>1</v>
      </c>
      <c r="U204" s="21"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32" x14ac:dyDescent="0.2">
      <c r="B205" s="20"/>
      <c r="C205" s="167" t="s">
        <v>345</v>
      </c>
      <c r="D205" s="21">
        <v>1</v>
      </c>
      <c r="E205" s="176"/>
      <c r="F205" s="167"/>
      <c r="G205" s="167"/>
      <c r="H205" s="169" t="s">
        <v>387</v>
      </c>
      <c r="I205" s="167"/>
      <c r="J205" s="167">
        <f>J204</f>
        <v>20</v>
      </c>
      <c r="K205" s="20"/>
      <c r="L205" s="167" t="s">
        <v>346</v>
      </c>
      <c r="M205" s="167"/>
      <c r="N205" s="168">
        <f>N204*N202</f>
        <v>1</v>
      </c>
      <c r="O205" s="168">
        <f>O204*O202</f>
        <v>1</v>
      </c>
      <c r="P205" s="20"/>
      <c r="Q205" s="20"/>
      <c r="R205" s="167" t="s">
        <v>342</v>
      </c>
      <c r="S205" s="167"/>
      <c r="T205" s="21">
        <v>1</v>
      </c>
      <c r="U205" s="127">
        <f>T205</f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32" x14ac:dyDescent="0.2">
      <c r="B206" s="20"/>
      <c r="C206" s="167" t="s">
        <v>342</v>
      </c>
      <c r="D206" s="21">
        <v>1</v>
      </c>
      <c r="E206" s="176" t="s">
        <v>386</v>
      </c>
      <c r="F206" s="22">
        <v>10</v>
      </c>
      <c r="G206" s="22">
        <v>2</v>
      </c>
      <c r="H206" s="167">
        <f>F206/G206</f>
        <v>5</v>
      </c>
      <c r="I206" s="177">
        <f>H206*D202</f>
        <v>5</v>
      </c>
      <c r="J206" s="177">
        <f>I206</f>
        <v>5</v>
      </c>
      <c r="K206" s="20"/>
      <c r="L206" s="167"/>
      <c r="M206" s="167"/>
      <c r="N206" s="168"/>
      <c r="O206" s="168"/>
      <c r="P206" s="20"/>
      <c r="Q206" s="20"/>
      <c r="R206" s="167" t="s">
        <v>344</v>
      </c>
      <c r="S206" s="167"/>
      <c r="T206" s="168">
        <f>T205*T204</f>
        <v>1</v>
      </c>
      <c r="U206" s="168">
        <f>U205*U204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32" x14ac:dyDescent="0.2">
      <c r="B207" s="20"/>
      <c r="C207" s="167" t="s">
        <v>344</v>
      </c>
      <c r="D207" s="168">
        <f>D206*D205</f>
        <v>1</v>
      </c>
      <c r="E207" s="167"/>
      <c r="F207" s="167"/>
      <c r="G207" s="167"/>
      <c r="H207" s="169" t="s">
        <v>387</v>
      </c>
      <c r="I207" s="167"/>
      <c r="J207" s="167">
        <f>J206</f>
        <v>5</v>
      </c>
      <c r="K207" s="20"/>
      <c r="L207" s="167"/>
      <c r="M207" s="167"/>
      <c r="N207" s="168"/>
      <c r="O207" s="168"/>
      <c r="P207" s="20"/>
      <c r="Q207" s="20"/>
      <c r="R207" s="167"/>
      <c r="S207" s="167"/>
      <c r="T207" s="168"/>
      <c r="U207" s="168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32" x14ac:dyDescent="0.2">
      <c r="B208" s="20"/>
      <c r="C208" s="167"/>
      <c r="D208" s="168"/>
      <c r="E208" s="176" t="s">
        <v>386</v>
      </c>
      <c r="F208" s="22">
        <v>10</v>
      </c>
      <c r="G208" s="22">
        <v>2</v>
      </c>
      <c r="H208" s="167">
        <f>F208/G208</f>
        <v>5</v>
      </c>
      <c r="I208" s="167">
        <f>H208*J207</f>
        <v>25</v>
      </c>
      <c r="J208" s="167">
        <f>I208</f>
        <v>25</v>
      </c>
      <c r="K208" s="20"/>
      <c r="L208" s="169" t="s">
        <v>347</v>
      </c>
      <c r="M208" s="169"/>
      <c r="N208" s="170">
        <f>N205/N203</f>
        <v>1</v>
      </c>
      <c r="O208" s="170">
        <f>O205/O203</f>
        <v>1</v>
      </c>
      <c r="P208" s="20"/>
      <c r="Q208" s="20"/>
      <c r="R208" s="169" t="s">
        <v>347</v>
      </c>
      <c r="S208" s="169"/>
      <c r="T208" s="170">
        <f>T206/T203</f>
        <v>1</v>
      </c>
      <c r="U208" s="170">
        <f>U206/U203</f>
        <v>1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9" t="s">
        <v>347</v>
      </c>
      <c r="D209" s="170">
        <f>D207/D203</f>
        <v>1</v>
      </c>
      <c r="E209" s="176"/>
      <c r="F209" s="167"/>
      <c r="G209" s="167"/>
      <c r="H209" s="169" t="s">
        <v>387</v>
      </c>
      <c r="I209" s="167"/>
      <c r="J209" s="167">
        <f>J208</f>
        <v>25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137"/>
      <c r="E211" s="178"/>
      <c r="F211" s="178"/>
      <c r="G211" s="179"/>
      <c r="H211" s="20"/>
      <c r="I211" s="137"/>
      <c r="J211" s="178"/>
      <c r="K211" s="179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ht="14.25" x14ac:dyDescent="0.2">
      <c r="B212" s="20"/>
      <c r="C212" s="20"/>
      <c r="D212" s="191" t="s">
        <v>27</v>
      </c>
      <c r="E212" s="192"/>
      <c r="F212" s="192"/>
      <c r="G212" s="193"/>
      <c r="H212" s="20"/>
      <c r="I212" s="191" t="s">
        <v>393</v>
      </c>
      <c r="J212" s="192"/>
      <c r="K212" s="193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x14ac:dyDescent="0.2">
      <c r="B213" s="20"/>
      <c r="C213" s="20"/>
      <c r="D213" s="20" t="s">
        <v>28</v>
      </c>
      <c r="E213" s="127"/>
      <c r="F213" s="127"/>
      <c r="G213" s="21">
        <f>D203</f>
        <v>1</v>
      </c>
      <c r="H213" s="20"/>
      <c r="I213" s="20" t="s">
        <v>28</v>
      </c>
      <c r="J213" s="127"/>
      <c r="K213" s="21">
        <f>G213</f>
        <v>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29</v>
      </c>
      <c r="E214" s="127"/>
      <c r="F214" s="127"/>
      <c r="G214" s="21">
        <f>D207</f>
        <v>1</v>
      </c>
      <c r="H214" s="20"/>
      <c r="I214" s="20" t="s">
        <v>29</v>
      </c>
      <c r="J214" s="20"/>
      <c r="K214" s="21">
        <f>G214</f>
        <v>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30</v>
      </c>
      <c r="E215" s="20"/>
      <c r="F215" s="20"/>
      <c r="G215" s="22">
        <v>1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3" t="s">
        <v>31</v>
      </c>
      <c r="E216" s="3"/>
      <c r="F216" s="3"/>
      <c r="G216" s="3">
        <f>((G214/G213)^(1/G215))-1</f>
        <v>0</v>
      </c>
      <c r="H216" s="20"/>
      <c r="I216" s="23" t="s">
        <v>394</v>
      </c>
      <c r="J216" s="23"/>
      <c r="K216" s="23">
        <f>(K214-K213)/K213</f>
        <v>0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32</v>
      </c>
      <c r="E217" s="165"/>
      <c r="F217" s="165"/>
      <c r="G217" s="24">
        <f>G215*12</f>
        <v>12</v>
      </c>
      <c r="H217" s="20"/>
      <c r="I217" s="23" t="s">
        <v>395</v>
      </c>
      <c r="J217" s="23"/>
      <c r="K217" s="23">
        <f>K214/K213</f>
        <v>1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0" t="s">
        <v>30</v>
      </c>
      <c r="E218" s="25"/>
      <c r="F218" s="25"/>
      <c r="G218" s="25">
        <f>G217/12</f>
        <v>1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3" t="s">
        <v>33</v>
      </c>
      <c r="E219" s="3"/>
      <c r="F219" s="3"/>
      <c r="G219" s="3">
        <f>((G214/G213)^(1/G218))-1</f>
        <v>0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C221" s="20"/>
      <c r="D221" s="20"/>
      <c r="E221" s="20"/>
      <c r="F221" s="20"/>
      <c r="G221" s="20"/>
      <c r="H221" s="20"/>
      <c r="I221" s="20"/>
      <c r="J221" s="20"/>
      <c r="K221" s="20"/>
    </row>
  </sheetData>
  <mergeCells count="7">
    <mergeCell ref="D212:G212"/>
    <mergeCell ref="I212:K212"/>
    <mergeCell ref="AE2:AF2"/>
    <mergeCell ref="AE3:AF3"/>
    <mergeCell ref="L199:N199"/>
    <mergeCell ref="R199:T199"/>
    <mergeCell ref="K182:L182"/>
  </mergeCells>
  <pageMargins left="0.7" right="0.7" top="0.75" bottom="0.75" header="0.3" footer="0.3"/>
  <pageSetup orientation="portrait" r:id="rId1"/>
  <ignoredErrors>
    <ignoredError sqref="C172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3" t="s">
        <v>27</v>
      </c>
      <c r="K5" s="203"/>
      <c r="M5" s="203" t="s">
        <v>65</v>
      </c>
      <c r="N5" s="203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3" t="s">
        <v>36</v>
      </c>
      <c r="K14" s="203"/>
      <c r="L14" s="203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3" t="s">
        <v>27</v>
      </c>
      <c r="S5" s="203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3" t="s">
        <v>36</v>
      </c>
      <c r="S14" s="203"/>
      <c r="T14" s="203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3" t="s">
        <v>27</v>
      </c>
      <c r="C2" s="203"/>
      <c r="E2" s="203" t="s">
        <v>65</v>
      </c>
      <c r="F2" s="203"/>
      <c r="H2" s="207" t="s">
        <v>36</v>
      </c>
      <c r="I2" s="208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4" t="s">
        <v>68</v>
      </c>
      <c r="E10" s="205"/>
      <c r="F10" s="205"/>
      <c r="G10" s="205"/>
      <c r="H10" s="206"/>
      <c r="I10" s="204" t="s">
        <v>72</v>
      </c>
      <c r="J10" s="205"/>
      <c r="K10" s="205"/>
      <c r="L10" s="206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8"/>
    <col min="2" max="2" width="16.5703125" style="188" customWidth="1"/>
    <col min="3" max="3" width="39.7109375" style="188" customWidth="1"/>
    <col min="4" max="5" width="9.140625" style="188"/>
    <col min="6" max="6" width="19" style="188" bestFit="1" customWidth="1"/>
    <col min="7" max="7" width="49" style="188" customWidth="1"/>
    <col min="8" max="16384" width="9.140625" style="188"/>
  </cols>
  <sheetData>
    <row r="3" spans="2:7" x14ac:dyDescent="0.2">
      <c r="B3" s="209" t="s">
        <v>432</v>
      </c>
      <c r="C3" s="210"/>
      <c r="F3" s="209" t="s">
        <v>433</v>
      </c>
      <c r="G3" s="210"/>
    </row>
    <row r="4" spans="2:7" x14ac:dyDescent="0.2">
      <c r="B4" s="189" t="s">
        <v>434</v>
      </c>
      <c r="C4" s="189"/>
      <c r="F4" s="189" t="s">
        <v>435</v>
      </c>
      <c r="G4" s="189"/>
    </row>
    <row r="5" spans="2:7" x14ac:dyDescent="0.2">
      <c r="B5" s="189" t="s">
        <v>436</v>
      </c>
      <c r="C5" s="189"/>
      <c r="F5" s="189" t="s">
        <v>292</v>
      </c>
      <c r="G5" s="189"/>
    </row>
    <row r="6" spans="2:7" x14ac:dyDescent="0.2">
      <c r="B6" s="189" t="s">
        <v>437</v>
      </c>
      <c r="C6" s="189"/>
      <c r="F6" s="189" t="s">
        <v>438</v>
      </c>
      <c r="G6" s="189"/>
    </row>
    <row r="7" spans="2:7" x14ac:dyDescent="0.2">
      <c r="B7" s="189" t="s">
        <v>439</v>
      </c>
      <c r="C7" s="189"/>
      <c r="F7" s="189" t="s">
        <v>440</v>
      </c>
      <c r="G7" s="189"/>
    </row>
    <row r="8" spans="2:7" x14ac:dyDescent="0.2">
      <c r="B8" s="189" t="s">
        <v>441</v>
      </c>
      <c r="C8" s="189"/>
      <c r="F8" s="189" t="s">
        <v>442</v>
      </c>
      <c r="G8" s="189"/>
    </row>
    <row r="9" spans="2:7" x14ac:dyDescent="0.2">
      <c r="B9" s="189" t="s">
        <v>443</v>
      </c>
      <c r="C9" s="189"/>
      <c r="F9" s="189" t="s">
        <v>444</v>
      </c>
      <c r="G9" s="189"/>
    </row>
    <row r="10" spans="2:7" x14ac:dyDescent="0.2">
      <c r="B10" s="189" t="s">
        <v>442</v>
      </c>
      <c r="C10" s="189"/>
      <c r="F10" s="189"/>
      <c r="G10" s="189"/>
    </row>
    <row r="11" spans="2:7" x14ac:dyDescent="0.2">
      <c r="B11" s="189" t="s">
        <v>445</v>
      </c>
      <c r="C11" s="189"/>
      <c r="F11" s="189"/>
      <c r="G11" s="189"/>
    </row>
    <row r="12" spans="2:7" x14ac:dyDescent="0.2">
      <c r="B12" s="189" t="s">
        <v>446</v>
      </c>
      <c r="C12" s="189"/>
      <c r="F12" s="189"/>
      <c r="G12" s="189"/>
    </row>
    <row r="13" spans="2:7" x14ac:dyDescent="0.2">
      <c r="B13" s="189"/>
      <c r="C13" s="189"/>
      <c r="F13" s="189"/>
      <c r="G13" s="189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2014-06-06T19:01:32Z</dcterms:modified>
</cp:coreProperties>
</file>
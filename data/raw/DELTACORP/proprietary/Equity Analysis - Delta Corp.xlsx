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P54" i="18"/>
  <c r="O54"/>
  <c r="N54"/>
  <c r="M54"/>
  <c r="L54"/>
  <c r="K54"/>
  <c r="J54"/>
  <c r="I54"/>
  <c r="H54"/>
  <c r="G54"/>
  <c r="P52"/>
  <c r="O52"/>
  <c r="N52"/>
  <c r="M52"/>
  <c r="L52"/>
  <c r="K52"/>
  <c r="J52"/>
  <c r="I52"/>
  <c r="H52"/>
  <c r="G52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O12"/>
  <c r="N12"/>
  <c r="M12"/>
  <c r="L12"/>
  <c r="K12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H266" l="1"/>
  <c r="H268" s="1"/>
  <c r="H269" s="1"/>
  <c r="H265"/>
  <c r="H264"/>
  <c r="T201"/>
  <c r="T126"/>
  <c r="T127"/>
  <c r="T128"/>
  <c r="T59"/>
  <c r="T57"/>
  <c r="T55"/>
  <c r="T53"/>
  <c r="T51"/>
  <c r="T49"/>
  <c r="T47"/>
  <c r="T45"/>
  <c r="T41"/>
  <c r="T42"/>
  <c r="T43"/>
  <c r="T40"/>
  <c r="T38"/>
  <c r="T36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1"/>
  <c r="H241"/>
  <c r="G242"/>
  <c r="H242"/>
  <c r="G243"/>
  <c r="H243"/>
  <c r="G211"/>
  <c r="H211"/>
  <c r="G212"/>
  <c r="H212"/>
  <c r="G36"/>
  <c r="H37" s="1"/>
  <c r="H36"/>
  <c r="G37"/>
  <c r="G38"/>
  <c r="H39" s="1"/>
  <c r="H38"/>
  <c r="G39"/>
  <c r="G40"/>
  <c r="H40"/>
  <c r="G41"/>
  <c r="H41"/>
  <c r="G42"/>
  <c r="H42"/>
  <c r="G43"/>
  <c r="H44" s="1"/>
  <c r="H43"/>
  <c r="G44"/>
  <c r="G45"/>
  <c r="H46" s="1"/>
  <c r="H45"/>
  <c r="G46"/>
  <c r="G47"/>
  <c r="H48" s="1"/>
  <c r="H47"/>
  <c r="G48"/>
  <c r="G49"/>
  <c r="H49"/>
  <c r="H56"/>
  <c r="G56"/>
  <c r="H58"/>
  <c r="G58"/>
  <c r="H60"/>
  <c r="G60"/>
  <c r="G66"/>
  <c r="H66"/>
  <c r="H202" s="1"/>
  <c r="G67"/>
  <c r="H67"/>
  <c r="G68"/>
  <c r="H68"/>
  <c r="G70"/>
  <c r="H70"/>
  <c r="H204" s="1"/>
  <c r="G71"/>
  <c r="H71"/>
  <c r="H205" s="1"/>
  <c r="G72"/>
  <c r="H72"/>
  <c r="H203" s="1"/>
  <c r="G73"/>
  <c r="H73"/>
  <c r="G74"/>
  <c r="H74"/>
  <c r="H75"/>
  <c r="H206" s="1"/>
  <c r="G76"/>
  <c r="H76"/>
  <c r="G78"/>
  <c r="H78"/>
  <c r="G79"/>
  <c r="H79"/>
  <c r="G80"/>
  <c r="H80"/>
  <c r="H209" s="1"/>
  <c r="G82"/>
  <c r="H82"/>
  <c r="G83"/>
  <c r="H83"/>
  <c r="G84"/>
  <c r="G207" s="1"/>
  <c r="H84"/>
  <c r="H207" s="1"/>
  <c r="G85"/>
  <c r="H85"/>
  <c r="G86"/>
  <c r="G208" s="1"/>
  <c r="H86"/>
  <c r="H208" s="1"/>
  <c r="G88"/>
  <c r="H88"/>
  <c r="G90"/>
  <c r="T90" s="1"/>
  <c r="H90"/>
  <c r="G92"/>
  <c r="H92"/>
  <c r="G93"/>
  <c r="H93"/>
  <c r="G94"/>
  <c r="H94"/>
  <c r="G95"/>
  <c r="H95"/>
  <c r="G96"/>
  <c r="H96"/>
  <c r="G98"/>
  <c r="G164" s="1"/>
  <c r="H98"/>
  <c r="H164" s="1"/>
  <c r="G99"/>
  <c r="H99"/>
  <c r="H100"/>
  <c r="G102"/>
  <c r="H102"/>
  <c r="G105"/>
  <c r="H105"/>
  <c r="G106"/>
  <c r="H106"/>
  <c r="G107"/>
  <c r="H107"/>
  <c r="G108"/>
  <c r="H108"/>
  <c r="G109"/>
  <c r="H109"/>
  <c r="G110"/>
  <c r="H110"/>
  <c r="G112"/>
  <c r="H112"/>
  <c r="G113"/>
  <c r="H113"/>
  <c r="G114"/>
  <c r="H114"/>
  <c r="G115"/>
  <c r="H115"/>
  <c r="G116"/>
  <c r="H116"/>
  <c r="G118"/>
  <c r="H118"/>
  <c r="G119"/>
  <c r="H119"/>
  <c r="G120"/>
  <c r="H120"/>
  <c r="G121"/>
  <c r="H121"/>
  <c r="G122"/>
  <c r="H122"/>
  <c r="G124"/>
  <c r="H124"/>
  <c r="G125"/>
  <c r="H125"/>
  <c r="G126"/>
  <c r="H126"/>
  <c r="G127"/>
  <c r="H127"/>
  <c r="G128"/>
  <c r="H128"/>
  <c r="G129"/>
  <c r="H129"/>
  <c r="G130"/>
  <c r="H130"/>
  <c r="G131"/>
  <c r="H131"/>
  <c r="G132"/>
  <c r="H132"/>
  <c r="G134"/>
  <c r="H134"/>
  <c r="G135"/>
  <c r="H135"/>
  <c r="G136"/>
  <c r="H136"/>
  <c r="G137"/>
  <c r="H137"/>
  <c r="G139"/>
  <c r="H139"/>
  <c r="G140"/>
  <c r="H140"/>
  <c r="G141"/>
  <c r="H141"/>
  <c r="H142" s="1"/>
  <c r="G142"/>
  <c r="H143"/>
  <c r="G145"/>
  <c r="H145"/>
  <c r="G146"/>
  <c r="H146"/>
  <c r="G147"/>
  <c r="H147"/>
  <c r="G149"/>
  <c r="H149"/>
  <c r="G150"/>
  <c r="H150"/>
  <c r="G151"/>
  <c r="H151"/>
  <c r="G154"/>
  <c r="H154"/>
  <c r="G155"/>
  <c r="H155"/>
  <c r="G156"/>
  <c r="H156"/>
  <c r="G157"/>
  <c r="H157"/>
  <c r="G159"/>
  <c r="H159"/>
  <c r="G160"/>
  <c r="H160"/>
  <c r="G162"/>
  <c r="H162"/>
  <c r="G163"/>
  <c r="H163"/>
  <c r="G166"/>
  <c r="H166"/>
  <c r="G167"/>
  <c r="H167"/>
  <c r="I47"/>
  <c r="I45"/>
  <c r="I43"/>
  <c r="I42"/>
  <c r="I41"/>
  <c r="I40"/>
  <c r="I38"/>
  <c r="I36"/>
  <c r="G214" l="1"/>
  <c r="G204"/>
  <c r="G143"/>
  <c r="G205"/>
  <c r="G203"/>
  <c r="H215"/>
  <c r="H216"/>
  <c r="H217" s="1"/>
  <c r="H214"/>
  <c r="G202"/>
  <c r="G209"/>
  <c r="H267"/>
  <c r="H270"/>
  <c r="G100"/>
  <c r="G75"/>
  <c r="S129"/>
  <c r="T129" s="1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S48"/>
  <c r="R48"/>
  <c r="Q48"/>
  <c r="P48"/>
  <c r="O48"/>
  <c r="N48"/>
  <c r="M48"/>
  <c r="L48"/>
  <c r="K48"/>
  <c r="J48"/>
  <c r="I48"/>
  <c r="S130"/>
  <c r="T130" s="1"/>
  <c r="R130"/>
  <c r="Q130"/>
  <c r="P130"/>
  <c r="O130"/>
  <c r="N130"/>
  <c r="M130"/>
  <c r="L130"/>
  <c r="K130"/>
  <c r="J130"/>
  <c r="I130"/>
  <c r="V57"/>
  <c r="G215" l="1"/>
  <c r="G216"/>
  <c r="G206"/>
  <c r="AF47"/>
  <c r="AH47"/>
  <c r="S126"/>
  <c r="R126"/>
  <c r="Q126"/>
  <c r="P126"/>
  <c r="O126"/>
  <c r="N126"/>
  <c r="M126"/>
  <c r="L126"/>
  <c r="K126"/>
  <c r="J126"/>
  <c r="J46"/>
  <c r="U49"/>
  <c r="I49"/>
  <c r="S46"/>
  <c r="R46"/>
  <c r="Q46"/>
  <c r="P46"/>
  <c r="O46"/>
  <c r="N46"/>
  <c r="M46"/>
  <c r="L46"/>
  <c r="K46"/>
  <c r="I46"/>
  <c r="S44"/>
  <c r="R44"/>
  <c r="Q44"/>
  <c r="P44"/>
  <c r="O44"/>
  <c r="N44"/>
  <c r="M44"/>
  <c r="L44"/>
  <c r="K44"/>
  <c r="I44"/>
  <c r="S39"/>
  <c r="R39"/>
  <c r="Q39"/>
  <c r="P39"/>
  <c r="O39"/>
  <c r="N39"/>
  <c r="M39"/>
  <c r="L39"/>
  <c r="K39"/>
  <c r="J39"/>
  <c r="S37"/>
  <c r="R37"/>
  <c r="Q37"/>
  <c r="P37"/>
  <c r="O37"/>
  <c r="N37"/>
  <c r="M37"/>
  <c r="L37"/>
  <c r="K37"/>
  <c r="J44"/>
  <c r="I39"/>
  <c r="I126"/>
  <c r="G217" l="1"/>
  <c r="I37"/>
  <c r="J37"/>
  <c r="S132"/>
  <c r="T132" s="1"/>
  <c r="S131"/>
  <c r="T131" s="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T125" s="1"/>
  <c r="R125"/>
  <c r="Q125"/>
  <c r="P125"/>
  <c r="O125"/>
  <c r="N125"/>
  <c r="M125"/>
  <c r="L125"/>
  <c r="K125"/>
  <c r="J125"/>
  <c r="I125"/>
  <c r="S124"/>
  <c r="T124" s="1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AF49" l="1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W38" l="1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X38" l="1"/>
  <c r="W127"/>
  <c r="X36"/>
  <c r="W126"/>
  <c r="W128"/>
  <c r="AH225"/>
  <c r="S212"/>
  <c r="T212" s="1"/>
  <c r="R212"/>
  <c r="Q212"/>
  <c r="P212"/>
  <c r="O212"/>
  <c r="N212"/>
  <c r="M212"/>
  <c r="L212"/>
  <c r="K212"/>
  <c r="J212"/>
  <c r="I212"/>
  <c r="Y38" l="1"/>
  <c r="X127"/>
  <c r="Y36"/>
  <c r="X128"/>
  <c r="X126"/>
  <c r="S60"/>
  <c r="R60"/>
  <c r="Q60"/>
  <c r="P60"/>
  <c r="O60"/>
  <c r="N60"/>
  <c r="M60"/>
  <c r="L60"/>
  <c r="K60"/>
  <c r="J60"/>
  <c r="I60"/>
  <c r="S58"/>
  <c r="R58"/>
  <c r="Q58"/>
  <c r="P58"/>
  <c r="O58"/>
  <c r="N58"/>
  <c r="M58"/>
  <c r="L58"/>
  <c r="K58"/>
  <c r="J58"/>
  <c r="I58"/>
  <c r="S56"/>
  <c r="R56"/>
  <c r="Q56"/>
  <c r="P56"/>
  <c r="O56"/>
  <c r="N56"/>
  <c r="M56"/>
  <c r="L56"/>
  <c r="K56"/>
  <c r="J56"/>
  <c r="I56"/>
  <c r="S54"/>
  <c r="R54"/>
  <c r="Q54"/>
  <c r="S52"/>
  <c r="R52"/>
  <c r="Q52"/>
  <c r="S30"/>
  <c r="R30"/>
  <c r="Q30"/>
  <c r="S28"/>
  <c r="R28"/>
  <c r="Q28"/>
  <c r="S26"/>
  <c r="R26"/>
  <c r="Q26"/>
  <c r="S11"/>
  <c r="R11"/>
  <c r="Q11"/>
  <c r="S8"/>
  <c r="R8"/>
  <c r="Q8"/>
  <c r="Z38" l="1"/>
  <c r="Y127"/>
  <c r="Z36"/>
  <c r="Y128"/>
  <c r="Y126"/>
  <c r="S102"/>
  <c r="T102" s="1"/>
  <c r="R102"/>
  <c r="Q102"/>
  <c r="P102"/>
  <c r="O102"/>
  <c r="N102"/>
  <c r="M102"/>
  <c r="L102"/>
  <c r="K102"/>
  <c r="J102"/>
  <c r="I102"/>
  <c r="AA38" l="1"/>
  <c r="Z127"/>
  <c r="AA36"/>
  <c r="Z126"/>
  <c r="Z128"/>
  <c r="U170"/>
  <c r="S170"/>
  <c r="C1"/>
  <c r="V220" l="1"/>
  <c r="V219" s="1"/>
  <c r="H220"/>
  <c r="G220"/>
  <c r="V225"/>
  <c r="V226" s="1"/>
  <c r="V227" s="1"/>
  <c r="H225"/>
  <c r="G225"/>
  <c r="AB38"/>
  <c r="AA127"/>
  <c r="AB36"/>
  <c r="AA126"/>
  <c r="AA128"/>
  <c r="AH45"/>
  <c r="AH40"/>
  <c r="AH49"/>
  <c r="AH41"/>
  <c r="AH42"/>
  <c r="AH43"/>
  <c r="M225"/>
  <c r="M226" s="1"/>
  <c r="M227" s="1"/>
  <c r="V221"/>
  <c r="V222" s="1"/>
  <c r="S225"/>
  <c r="R225"/>
  <c r="R224" s="1"/>
  <c r="Q225"/>
  <c r="L225"/>
  <c r="K225"/>
  <c r="P225"/>
  <c r="J225"/>
  <c r="O225"/>
  <c r="I225"/>
  <c r="N225"/>
  <c r="R237"/>
  <c r="O220"/>
  <c r="R220"/>
  <c r="R219" s="1"/>
  <c r="N220"/>
  <c r="J220"/>
  <c r="Q220"/>
  <c r="M220"/>
  <c r="I220"/>
  <c r="P220"/>
  <c r="L220"/>
  <c r="S220"/>
  <c r="T220" s="1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V224" l="1"/>
  <c r="S205"/>
  <c r="T205" s="1"/>
  <c r="T71"/>
  <c r="S204"/>
  <c r="T204" s="1"/>
  <c r="T70"/>
  <c r="H224"/>
  <c r="H226"/>
  <c r="H227" s="1"/>
  <c r="G219"/>
  <c r="G221"/>
  <c r="T225"/>
  <c r="G224"/>
  <c r="G226"/>
  <c r="H219"/>
  <c r="H221"/>
  <c r="H222" s="1"/>
  <c r="AC3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22" s="1"/>
  <c r="S219"/>
  <c r="M221"/>
  <c r="M222" s="1"/>
  <c r="M219"/>
  <c r="J226"/>
  <c r="J227" s="1"/>
  <c r="J224"/>
  <c r="Q226"/>
  <c r="Q227" s="1"/>
  <c r="Q224"/>
  <c r="S226"/>
  <c r="S227" s="1"/>
  <c r="S224"/>
  <c r="R221"/>
  <c r="R205"/>
  <c r="T221" l="1"/>
  <c r="G222"/>
  <c r="T222" s="1"/>
  <c r="T226"/>
  <c r="G227"/>
  <c r="T227" s="1"/>
  <c r="T224"/>
  <c r="T219"/>
  <c r="AD38"/>
  <c r="AC127"/>
  <c r="AD36"/>
  <c r="AC128"/>
  <c r="AC126"/>
  <c r="R222"/>
  <c r="I147"/>
  <c r="J147"/>
  <c r="K147"/>
  <c r="L147"/>
  <c r="M147"/>
  <c r="N147"/>
  <c r="O147"/>
  <c r="P147"/>
  <c r="Q147"/>
  <c r="R147"/>
  <c r="S147"/>
  <c r="T147" s="1"/>
  <c r="S146"/>
  <c r="T146" s="1"/>
  <c r="AE38" l="1"/>
  <c r="AD127"/>
  <c r="AE36"/>
  <c r="AD126"/>
  <c r="AD128"/>
  <c r="J254"/>
  <c r="J251"/>
  <c r="J252"/>
  <c r="J253"/>
  <c r="AF38" l="1"/>
  <c r="AE127"/>
  <c r="AF127" s="1"/>
  <c r="AH38"/>
  <c r="AE126"/>
  <c r="AF126" s="1"/>
  <c r="AE128"/>
  <c r="AF128" s="1"/>
  <c r="AF36"/>
  <c r="AH36"/>
  <c r="S243"/>
  <c r="S242"/>
  <c r="S241"/>
  <c r="S211"/>
  <c r="T211" s="1"/>
  <c r="S66"/>
  <c r="S67"/>
  <c r="T67" s="1"/>
  <c r="S68"/>
  <c r="S72"/>
  <c r="S73"/>
  <c r="T73" s="1"/>
  <c r="S74"/>
  <c r="T74" s="1"/>
  <c r="S75"/>
  <c r="S76"/>
  <c r="T76" s="1"/>
  <c r="S78"/>
  <c r="T78" s="1"/>
  <c r="S79"/>
  <c r="T79" s="1"/>
  <c r="S80"/>
  <c r="S82"/>
  <c r="T82" s="1"/>
  <c r="S83"/>
  <c r="T83" s="1"/>
  <c r="S85"/>
  <c r="T85" s="1"/>
  <c r="S86"/>
  <c r="S88"/>
  <c r="S90"/>
  <c r="S92" s="1"/>
  <c r="T92" s="1"/>
  <c r="S93"/>
  <c r="T93" s="1"/>
  <c r="S94"/>
  <c r="T94" s="1"/>
  <c r="S95"/>
  <c r="T95" s="1"/>
  <c r="S96"/>
  <c r="T96" s="1"/>
  <c r="S98"/>
  <c r="S99"/>
  <c r="T99" s="1"/>
  <c r="S100"/>
  <c r="T100" s="1"/>
  <c r="S105"/>
  <c r="T105" s="1"/>
  <c r="S106"/>
  <c r="T106" s="1"/>
  <c r="S107"/>
  <c r="T107" s="1"/>
  <c r="S108"/>
  <c r="T108" s="1"/>
  <c r="S109"/>
  <c r="T109" s="1"/>
  <c r="S112"/>
  <c r="S113"/>
  <c r="S114"/>
  <c r="S115"/>
  <c r="S116"/>
  <c r="S134"/>
  <c r="T134" s="1"/>
  <c r="S135"/>
  <c r="T135" s="1"/>
  <c r="S136"/>
  <c r="T136" s="1"/>
  <c r="S137"/>
  <c r="T137" s="1"/>
  <c r="S145"/>
  <c r="T145" s="1"/>
  <c r="S149"/>
  <c r="T149" s="1"/>
  <c r="S150"/>
  <c r="T150" s="1"/>
  <c r="S151"/>
  <c r="T151" s="1"/>
  <c r="S154"/>
  <c r="T154" s="1"/>
  <c r="S155"/>
  <c r="T155" s="1"/>
  <c r="S156"/>
  <c r="T156" s="1"/>
  <c r="S157"/>
  <c r="T157" s="1"/>
  <c r="S159"/>
  <c r="T159" s="1"/>
  <c r="S160"/>
  <c r="T160" s="1"/>
  <c r="S162"/>
  <c r="S166"/>
  <c r="T166" s="1"/>
  <c r="S167"/>
  <c r="T167" s="1"/>
  <c r="V17"/>
  <c r="V19"/>
  <c r="V24"/>
  <c r="S139" l="1"/>
  <c r="T88"/>
  <c r="S140"/>
  <c r="T140" s="1"/>
  <c r="T139"/>
  <c r="S214"/>
  <c r="T214" s="1"/>
  <c r="T72"/>
  <c r="S110"/>
  <c r="T110" s="1"/>
  <c r="T68"/>
  <c r="S164"/>
  <c r="T164" s="1"/>
  <c r="T98"/>
  <c r="S122"/>
  <c r="T122" s="1"/>
  <c r="T116"/>
  <c r="S120"/>
  <c r="T120" s="1"/>
  <c r="T114"/>
  <c r="S119"/>
  <c r="T119" s="1"/>
  <c r="T113"/>
  <c r="S118"/>
  <c r="T118" s="1"/>
  <c r="T112"/>
  <c r="S202"/>
  <c r="T202" s="1"/>
  <c r="T66"/>
  <c r="S163"/>
  <c r="T163" s="1"/>
  <c r="T162"/>
  <c r="S208"/>
  <c r="T208" s="1"/>
  <c r="T86"/>
  <c r="S121"/>
  <c r="T121" s="1"/>
  <c r="T115"/>
  <c r="S209"/>
  <c r="T209" s="1"/>
  <c r="T80"/>
  <c r="S206"/>
  <c r="T206" s="1"/>
  <c r="T75"/>
  <c r="R238"/>
  <c r="S203"/>
  <c r="T203" s="1"/>
  <c r="S84"/>
  <c r="S141"/>
  <c r="S143"/>
  <c r="T143" s="1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142" l="1"/>
  <c r="T142" s="1"/>
  <c r="T141"/>
  <c r="S207"/>
  <c r="T207" s="1"/>
  <c r="T84"/>
  <c r="S216"/>
  <c r="S215"/>
  <c r="T215" s="1"/>
  <c r="J238"/>
  <c r="U59"/>
  <c r="V59" s="1"/>
  <c r="S217" l="1"/>
  <c r="T217" s="1"/>
  <c r="T216"/>
  <c r="M234"/>
  <c r="M233"/>
  <c r="M232"/>
  <c r="M231"/>
  <c r="AG53" l="1"/>
  <c r="U53"/>
  <c r="V53" l="1"/>
  <c r="W53" l="1"/>
  <c r="M238"/>
  <c r="V238" s="1"/>
  <c r="V239" s="1"/>
  <c r="M237"/>
  <c r="X53" l="1"/>
  <c r="W252"/>
  <c r="W253" s="1"/>
  <c r="D250"/>
  <c r="I264" s="1"/>
  <c r="M264" s="1"/>
  <c r="J250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68"/>
  <c r="I269" s="1"/>
  <c r="AG73"/>
  <c r="J73"/>
  <c r="K73"/>
  <c r="L73"/>
  <c r="M73"/>
  <c r="N73"/>
  <c r="O73"/>
  <c r="P73"/>
  <c r="Q73"/>
  <c r="R73"/>
  <c r="I73"/>
  <c r="J259"/>
  <c r="D258"/>
  <c r="I265" s="1"/>
  <c r="M265" s="1"/>
  <c r="J257"/>
  <c r="K257" s="1"/>
  <c r="L257" s="1"/>
  <c r="L258" s="1"/>
  <c r="J255"/>
  <c r="J249"/>
  <c r="J248"/>
  <c r="K248" s="1"/>
  <c r="L248" s="1"/>
  <c r="Y53" l="1"/>
  <c r="I270"/>
  <c r="I267"/>
  <c r="D260"/>
  <c r="M268"/>
  <c r="M267"/>
  <c r="K249"/>
  <c r="L249" s="1"/>
  <c r="K259"/>
  <c r="L259" s="1"/>
  <c r="L260" s="1"/>
  <c r="J109"/>
  <c r="K109"/>
  <c r="L109"/>
  <c r="M109"/>
  <c r="N109"/>
  <c r="O109"/>
  <c r="P109"/>
  <c r="Q109"/>
  <c r="R109"/>
  <c r="I109"/>
  <c r="I167"/>
  <c r="I166"/>
  <c r="AG14"/>
  <c r="U14"/>
  <c r="W249"/>
  <c r="W248"/>
  <c r="Q249"/>
  <c r="Q252" s="1"/>
  <c r="Q248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Z53" l="1"/>
  <c r="V14"/>
  <c r="W14" s="1"/>
  <c r="X14" s="1"/>
  <c r="Y14" s="1"/>
  <c r="Z14" s="1"/>
  <c r="AA14" s="1"/>
  <c r="AB14" s="1"/>
  <c r="AC14" s="1"/>
  <c r="AD14" s="1"/>
  <c r="AE14" s="1"/>
  <c r="K250"/>
  <c r="L250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53"/>
  <c r="P252"/>
  <c r="V250"/>
  <c r="W250" s="1"/>
  <c r="W255" s="1"/>
  <c r="P250"/>
  <c r="Q250" s="1"/>
  <c r="Q255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K251" l="1"/>
  <c r="L251" s="1"/>
  <c r="K252" s="1"/>
  <c r="L252" s="1"/>
  <c r="K253" s="1"/>
  <c r="L253" s="1"/>
  <c r="K254" s="1"/>
  <c r="L254" s="1"/>
  <c r="K255" s="1"/>
  <c r="L255" s="1"/>
  <c r="L256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55"/>
  <c r="V255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U23"/>
  <c r="V23" s="1"/>
  <c r="U25"/>
  <c r="V25" s="1"/>
  <c r="V129" s="1"/>
  <c r="U27"/>
  <c r="V27" s="1"/>
  <c r="U29"/>
  <c r="V29" s="1"/>
  <c r="U31"/>
  <c r="U33"/>
  <c r="V33" s="1"/>
  <c r="U34"/>
  <c r="V34" s="1"/>
  <c r="U51"/>
  <c r="V51" s="1"/>
  <c r="U55"/>
  <c r="V55" s="1"/>
  <c r="V130" s="1"/>
  <c r="U7"/>
  <c r="V7" s="1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V132" l="1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AC53" l="1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AD53" l="1"/>
  <c r="X31"/>
  <c r="X29"/>
  <c r="AH87"/>
  <c r="AE53" l="1"/>
  <c r="Y31"/>
  <c r="Y29"/>
  <c r="I211"/>
  <c r="J211"/>
  <c r="K211"/>
  <c r="L211"/>
  <c r="M211"/>
  <c r="N211"/>
  <c r="O211"/>
  <c r="P211"/>
  <c r="Q211"/>
  <c r="R211"/>
  <c r="C9" i="15"/>
  <c r="I88" i="1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AF53" l="1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AA31" l="1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AB31" l="1"/>
  <c r="Y59"/>
  <c r="X88"/>
  <c r="AB29"/>
  <c r="R105"/>
  <c r="J243"/>
  <c r="K243"/>
  <c r="L243"/>
  <c r="M243"/>
  <c r="N243"/>
  <c r="O243"/>
  <c r="P243"/>
  <c r="Q243"/>
  <c r="R243"/>
  <c r="I243"/>
  <c r="J242"/>
  <c r="K242"/>
  <c r="L242"/>
  <c r="M242"/>
  <c r="N242"/>
  <c r="O242"/>
  <c r="P242"/>
  <c r="Q242"/>
  <c r="R242"/>
  <c r="I242"/>
  <c r="J241"/>
  <c r="K241"/>
  <c r="L241"/>
  <c r="M241"/>
  <c r="N241"/>
  <c r="O241"/>
  <c r="P241"/>
  <c r="Q241"/>
  <c r="R241"/>
  <c r="I241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AC31" l="1"/>
  <c r="Z59"/>
  <c r="Y88"/>
  <c r="AC29"/>
  <c r="W51"/>
  <c r="T243"/>
  <c r="T242"/>
  <c r="T241"/>
  <c r="W113" l="1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X113" l="1"/>
  <c r="X119" s="1"/>
  <c r="AE31"/>
  <c r="AF31" s="1"/>
  <c r="AB59"/>
  <c r="AA88"/>
  <c r="W23"/>
  <c r="V116"/>
  <c r="V122" s="1"/>
  <c r="AE29"/>
  <c r="AF22"/>
  <c r="AH22"/>
  <c r="Y51"/>
  <c r="W21"/>
  <c r="AH31" l="1"/>
  <c r="Y113"/>
  <c r="Y119" s="1"/>
  <c r="AB88"/>
  <c r="AC59"/>
  <c r="X23"/>
  <c r="W116"/>
  <c r="W122" s="1"/>
  <c r="AH29"/>
  <c r="AF29"/>
  <c r="W20"/>
  <c r="V90"/>
  <c r="X21"/>
  <c r="C19" i="15"/>
  <c r="W9" i="18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Z113" l="1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W124" l="1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X125" l="1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C46" i="15"/>
  <c r="Y124" i="18" l="1"/>
  <c r="Y125"/>
  <c r="AC113"/>
  <c r="AC119" s="1"/>
  <c r="Y109"/>
  <c r="Y147"/>
  <c r="V188"/>
  <c r="S230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Z125" l="1"/>
  <c r="Z129"/>
  <c r="Z147"/>
  <c r="Z124"/>
  <c r="T170"/>
  <c r="V237" s="1"/>
  <c r="V236" s="1"/>
  <c r="V211"/>
  <c r="AD113"/>
  <c r="AD119" s="1"/>
  <c r="V134"/>
  <c r="U188"/>
  <c r="R230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C26" i="15"/>
  <c r="C58"/>
  <c r="C57"/>
  <c r="C54"/>
  <c r="C53"/>
  <c r="C50"/>
  <c r="C49"/>
  <c r="C45"/>
  <c r="W132" i="18" l="1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38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AV238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C16" i="15"/>
  <c r="C21"/>
  <c r="C10"/>
  <c r="X131" i="18" l="1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39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V239" s="1"/>
  <c r="AF113"/>
  <c r="AE119"/>
  <c r="AF119" s="1"/>
  <c r="W237"/>
  <c r="X237" s="1"/>
  <c r="Y237" s="1"/>
  <c r="Z237" s="1"/>
  <c r="AA237" s="1"/>
  <c r="AB237" s="1"/>
  <c r="AC237" s="1"/>
  <c r="AD237" s="1"/>
  <c r="AE237" s="1"/>
  <c r="AF237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D31" i="8"/>
  <c r="D29"/>
  <c r="D28"/>
  <c r="D13"/>
  <c r="D30" s="1"/>
  <c r="E14"/>
  <c r="F14" s="1"/>
  <c r="G14" s="1"/>
  <c r="H14" s="1"/>
  <c r="I14" s="1"/>
  <c r="Y132" i="18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36"/>
  <c r="X236" s="1"/>
  <c r="Y236" s="1"/>
  <c r="Z236" s="1"/>
  <c r="AA236" s="1"/>
  <c r="AB236" s="1"/>
  <c r="AC236" s="1"/>
  <c r="AD236" s="1"/>
  <c r="AE236" s="1"/>
  <c r="AF236" s="1"/>
  <c r="AG237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AV237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36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V236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D25" i="8"/>
  <c r="D2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D35" i="8"/>
  <c r="E5"/>
  <c r="E18" s="1"/>
  <c r="D18"/>
  <c r="D19"/>
  <c r="D21"/>
  <c r="D20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F5" i="8"/>
  <c r="G5" s="1"/>
  <c r="H5" s="1"/>
  <c r="I5" s="1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33" s="1"/>
  <c r="N37" i="11"/>
  <c r="O36"/>
  <c r="F18" i="8"/>
  <c r="G18"/>
  <c r="AF221" i="18" l="1"/>
  <c r="AE222"/>
  <c r="AF222" s="1"/>
  <c r="AE227"/>
  <c r="AF227" s="1"/>
  <c r="AF226"/>
  <c r="U184"/>
  <c r="U185"/>
  <c r="N38" i="11"/>
  <c r="O37"/>
  <c r="H18" i="8"/>
  <c r="O233" i="18" l="1"/>
  <c r="R233"/>
  <c r="N39" i="11"/>
  <c r="O38"/>
  <c r="I18" i="8"/>
  <c r="N40" i="11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W57"/>
  <c r="V84" l="1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66"/>
  <c r="W202" s="1"/>
  <c r="W80"/>
  <c r="W209" s="1"/>
  <c r="W71"/>
  <c r="W205" s="1"/>
  <c r="W72"/>
  <c r="W214" s="1"/>
  <c r="X57"/>
  <c r="W82"/>
  <c r="V141"/>
  <c r="V142" s="1"/>
  <c r="V143"/>
  <c r="V203"/>
  <c r="W84" l="1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W216" l="1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Z57"/>
  <c r="Y82"/>
  <c r="X203"/>
  <c r="X141"/>
  <c r="X142" s="1"/>
  <c r="X143"/>
  <c r="X84"/>
  <c r="X207" s="1"/>
  <c r="X216" l="1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84" l="1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Z216" l="1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139"/>
  <c r="AB140" s="1"/>
  <c r="AB72"/>
  <c r="AB214" s="1"/>
  <c r="AB82"/>
  <c r="AC57"/>
  <c r="AA203"/>
  <c r="AA141"/>
  <c r="AA142" s="1"/>
  <c r="AA143"/>
  <c r="AA216" l="1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139"/>
  <c r="AC140" s="1"/>
  <c r="AC82"/>
  <c r="AC72"/>
  <c r="AC214" s="1"/>
  <c r="AD57"/>
  <c r="AB203"/>
  <c r="AB216" l="1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139"/>
  <c r="AD140" s="1"/>
  <c r="AD72"/>
  <c r="AD214" s="1"/>
  <c r="AE57"/>
  <c r="AD82"/>
  <c r="AC216" l="1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U175" l="1"/>
  <c r="W196"/>
  <c r="AF214"/>
  <c r="AH214" s="1"/>
  <c r="U192"/>
  <c r="U177"/>
  <c r="U173"/>
  <c r="U181"/>
  <c r="AH84"/>
  <c r="AE207"/>
  <c r="AF84"/>
  <c r="AF206"/>
  <c r="AH206" s="1"/>
  <c r="V196"/>
  <c r="U193"/>
  <c r="U178"/>
  <c r="S234"/>
  <c r="U198"/>
  <c r="AH226"/>
  <c r="U194"/>
  <c r="AF205"/>
  <c r="AH205" s="1"/>
  <c r="U182"/>
  <c r="S232"/>
  <c r="U172"/>
  <c r="U195"/>
  <c r="AF209"/>
  <c r="AH209" s="1"/>
  <c r="AF208"/>
  <c r="AH208" s="1"/>
  <c r="AH222" s="1"/>
  <c r="U174"/>
  <c r="AE216"/>
  <c r="AF203"/>
  <c r="AH203" s="1"/>
  <c r="AH216" s="1"/>
  <c r="AF204"/>
  <c r="AH204" s="1"/>
  <c r="AH217" s="1"/>
  <c r="AF202"/>
  <c r="AH202" s="1"/>
  <c r="AH215" s="1"/>
  <c r="U171"/>
  <c r="R235" s="1"/>
  <c r="R236" s="1"/>
  <c r="S235"/>
  <c r="S236" s="1"/>
  <c r="U179"/>
  <c r="S231"/>
  <c r="AE143"/>
  <c r="AF140"/>
  <c r="AE141"/>
  <c r="AH220" l="1"/>
  <c r="AH219"/>
  <c r="AF216"/>
  <c r="AE217"/>
  <c r="AF217" s="1"/>
  <c r="U196"/>
  <c r="AF141"/>
  <c r="AE142"/>
  <c r="AF142" s="1"/>
  <c r="R231"/>
  <c r="O231"/>
  <c r="O232"/>
  <c r="R232"/>
  <c r="O234"/>
  <c r="R234"/>
  <c r="AF207"/>
  <c r="AH207" s="1"/>
  <c r="AH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<sst xmlns="http://schemas.openxmlformats.org/spreadsheetml/2006/main" count="699" uniqueCount="497">
  <si>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</si>
  <si>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</si>
  <si>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</si>
  <si>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</si>
  <si>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</si>
  <si>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</si>
  <si>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</si>
  <si>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</si>
  <si>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</si>
  <si>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</si>
  <si>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</si>
  <si>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</si>
  <si>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</si>
  <si>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</si>
  <si>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</si>
  <si>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</si>
  <si>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</si>
  <si>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</si>
  <si>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</si>
  <si>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</si>
  <si>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</si>
  <si>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</si>
  <si>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</si>
  <si>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</si>
  <si>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</si>
  <si>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</si>
  <si>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</si>
  <si>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</si>
  <si>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</si>
  <si>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</si>
  <si>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</si>
  <si>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</si>
  <si>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</si>
  <si>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</si>
  <si>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</si>
  <si>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</si>
  <si>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</si>
  <si>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</si>
  <si>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</si>
  <si>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</si>
  <si>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</si>
  <si>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</si>
  <si>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</si>
  <si>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</si>
  <si>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</si>
  <si>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</si>
  <si>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</si>
  <si>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</si>
  <si>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</si>
  <si>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</si>
  <si>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</si>
  <si>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</si>
  <si>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</si>
  <si>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</si>
  <si>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</si>
  <si>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</si>
  <si>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</si>
  <si>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</si>
  <si>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</si>
  <si>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</si>
  <si>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</si>
  <si>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</si>
  <si>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</si>
  <si>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</si>
  <si>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</si>
  <si>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</si>
  <si>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</si>
  <si>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</si>
  <si>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</si>
  <si>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</si>
  <si>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</si>
  <si>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</si>
  <si>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</si>
  <si>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</si>
  <si>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</si>
  <si>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</si>
  <si>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</si>
  <si>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</si>
  <si>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</si>
  <si>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</si>
  <si>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</si>
  <si>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</si>
  <si>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</si>
  <si>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</si>
  <si>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</si>
  <si>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</si>
  <si>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</si>
  <si>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</si>
  <si>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</si>
  <si>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</si>
  <si>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</si>
  <si>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</si>
  <si>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</si>
  <si>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</si>
  <si>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</si>
  <si>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</si>
  <si>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</si>
  <si>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</si>
  <si>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</si>
  <si>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</si>
  <si>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</si>
  <si>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</si>
  <si>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</si>
  <si>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</si>
  <si>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</si>
  <si>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</si>
  <si>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</si>
  <si>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</si>
  <si>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</si>
  <si>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</si>
  <si>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</si>
  <si>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</si>
  <si>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</si>
  <si>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</si>
  <si>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</si>
  <si>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</si>
  <si>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</si>
  <si>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</si>
  <si>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</si>
  <si>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</si>
  <si>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</si>
  <si>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</si>
  <si>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</si>
  <si>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</si>
  <si>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</si>
  <si>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</si>
  <si>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</si>
  <si>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</si>
  <si>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</si>
  <si>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</si>
  <si>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</si>
  <si>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</si>
  <si>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</si>
  <si>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</si>
  <si>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</si>
  <si>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</si>
  <si>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</si>
  <si>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</si>
  <si>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</si>
  <si>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</si>
  <si>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</si>
  <si>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</si>
  <si>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</si>
  <si>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</si>
  <si>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</si>
  <si>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</si>
  <si>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</si>
  <si>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</si>
  <si>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</si>
  <si>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</si>
  <si>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</si>
  <si>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</si>
  <si>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</si>
  <si>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</si>
  <si>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</si>
  <si>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</si>
  <si>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</si>
  <si>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</si>
  <si>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</si>
  <si>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</si>
  <si>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</si>
  <si>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</si>
  <si>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</si>
  <si>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</si>
  <si>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</si>
  <si>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</si>
  <si>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</si>
  <si>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</si>
  <si>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</si>
  <si>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</si>
  <si>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</si>
  <si>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</si>
  <si>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</si>
  <si>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</si>
  <si>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</si>
  <si>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</si>
  <si>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</si>
  <si>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</si>
  <si>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</si>
  <si>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</si>
  <si>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</si>
  <si>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</si>
  <si>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</si>
  <si>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</si>
  <si>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</si>
  <si>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</si>
  <si>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</si>
  <si>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</si>
  <si>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</si>
  <si>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</si>
  <si>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</si>
  <si>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</si>
  <si>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</si>
  <si>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</si>
  <si>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</si>
  <si>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</si>
  <si>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</si>
  <si>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</si>
  <si>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</si>
  <si>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</si>
  <si>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</si>
  <si>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</si>
  <si>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</si>
  <si>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</si>
  <si>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</si>
  <si>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</si>
  <si>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</si>
  <si>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</si>
  <si>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</si>
  <si>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</si>
  <si>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</si>
  <si>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</si>
  <si>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</si>
  <si>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</si>
  <si>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</si>
  <si>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</si>
  <si>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</si>
  <si>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</si>
  <si>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</si>
  <si>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</si>
  <si>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</si>
  <si>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</si>
  <si>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</si>
  <si>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</si>
  <si>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</si>
  <si>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</si>
  <si>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</si>
  <si>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</si>
  <si>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</si>
  <si>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</si>
  <si>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</si>
  <si>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</si>
  <si>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</si>
  <si>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</si>
  <si>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</si>
  <si>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</si>
  <si>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</si>
  <si>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</si>
  <si>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</si>
  <si>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</si>
  <si>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</si>
  <si>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</si>
  <si>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</si>
  <si>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</si>
  <si>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</si>
  <si>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</si>
  <si>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</si>
  <si>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</si>
  <si>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</si>
  <si>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</si>
  <si>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</si>
  <si>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</si>
  <si>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</si>
  <si>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</si>
  <si>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</si>
  <si>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</si>
  <si>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</si>
  <si>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</si>
  <si>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</si>
  <si>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</si>
  <si>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</si>
  <si>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</si>
  <si>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</si>
  <si>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</si>
  <si>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</si>
  <si>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</si>
  <si>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</si>
  <si>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</si>
  <si>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</si>
  <si>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</si>
  <si>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</si>
  <si>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</si>
  <si>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</si>
  <si>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</si>
  <si>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</si>
  <si>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</si>
  <si>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</si>
  <si>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</si>
  <si>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</si>
  <si>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</si>
  <si>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</si>
  <si>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</si>
  <si>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</si>
  <si>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</si>
  <si>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</si>
  <si>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</si>
  <si>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</si>
  <si>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</si>
  <si>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</si>
  <si>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</si>
  <si>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</si>
  <si>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</si>
  <si>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</si>
  <si>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</si>
  <si>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</si>
  <si>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</si>
  <si>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</si>
  <si>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</si>
  <si>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</si>
  <si>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</si>
  <si>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</si>
  <si>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</si>
  <si>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</si>
  <si>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</si>
  <si>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</si>
  <si>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</si>
  <si>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</si>
  <si>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</si>
  <si>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</si>
  <si>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</si>
  <si>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</si>
  <si>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</si>
  <si>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</si>
  <si>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</si>
  <si>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</si>
  <si>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</si>
  <si>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</si>
  <si>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</si>
  <si>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</si>
  <si>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</si>
  <si>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</si>
  <si>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</si>
  <si>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</si>
  <si>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</si>
  <si>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</si>
  <si>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</si>
  <si>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</si>
  <si>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</si>
  <si>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</si>
  <si>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</si>
  <si>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</si>
  <si>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</si>
  <si>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</si>
  <si>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</si>
  <si>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</si>
  <si>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</si>
  <si>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</si>
  <si>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</si>
  <si>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</si>
  <si>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</si>
  <si>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</si>
  <si>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</si>
  <si>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</si>
  <si>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</si>
  <si>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</si>
  <si>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</si>
  <si>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</si>
  <si>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</si>
  <si>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</si>
  <si>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</si>
  <si>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</si>
  <si>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</si>
  <si>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</si>
  <si>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</si>
  <si>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</si>
  <si>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</si>
  <si>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</si>
  <si>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</si>
  <si>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</si>
  <si>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</si>
  <si>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</si>
  <si>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</si>
  <si>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</si>
  <si>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</si>
  <si>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</si>
  <si>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</si>
  <si>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</si>
  <si>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</si>
  <si>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</si>
  <si>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</si>
  <si>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</si>
  <si>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</si>
  <si>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</si>
  <si>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</si>
  <si>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</si>
  <si>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</si>
  <si>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</si>
  <si>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</si>
  <si>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</si>
  <si>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</si>
  <si>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</si>
  <si>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</si>
  <si>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</si>
  <si>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</si>
  <si>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</si>
  <si>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</si>
  <si>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</si>
  <si>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</si>
  <si>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</si>
  <si>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</si>
  <si>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</si>
  <si>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</si>
  <si>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</si>
  <si>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</si>
  <si>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</si>
  <si>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</si>
  <si>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</si>
  <si>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</si>
  <si>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</si>
  <si>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</si>
  <si>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</si>
  <si>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</si>
  <si>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</si>
  <si>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</si>
  <si>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</si>
  <si>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</si>
  <si>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</si>
  <si>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</si>
  <si>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</si>
  <si>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</si>
  <si>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</si>
  <si>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</si>
  <si>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</si>
  <si>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</si>
  <si>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</si>
  <si>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</si>
  <si>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</si>
  <si>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</si>
  <si>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</si>
  <si>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</si>
  <si>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</si>
  <si>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</si>
  <si>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</si>
  <si>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</si>
  <si>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</si>
  <si>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</si>
  <si>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</si>
  <si>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</si>
  <si>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</si>
  <si>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</si>
  <si>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</si>
  <si>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</si>
  <si>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</si>
  <si>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</si>
  <si>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</si>
  <si>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</si>
  <si>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</si>
  <si>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</si>
  <si>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</si>
  <si>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</si>
  <si>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</si>
  <si>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</si>
  <si>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</si>
  <si>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</si>
  <si>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</si>
  <si>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</si>
  <si>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</si>
  <si>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</si>
  <si>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</si>
  <si>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</si>
  <si>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</si>
  <si>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</si>
  <si>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</si>
  <si>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</si>
  <si>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</si>
  <si>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</si>
  <si>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</si>
  <si>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</si>
  <si>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</si>
  <si>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</si>
  <si>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</si>
  <si>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</si>
  <si>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</si>
  <si>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</si>
  <si>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</si>
  <si>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</si>
  <si>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</si>
  <si>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</si>
  <si>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</si>
  <si>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</si>
  <si>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</si>
  <si>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</si>
  <si>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</si>
  <si>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</si>
  <si>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</si>
  <si>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</si>
  <si>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</si>
  <si>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</si>
  <si>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</si>
  <si>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</si>
  <si>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</si>
  <si>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</si>
  <si>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</si>
  <si>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</si>
  <si>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</si>
  <si>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</si>
  <si>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</si>
  <si>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</si>
  <si>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</si>
  <si>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</si>
  <si>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</si>
  <si>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</si>
  <si>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xxx</t>
  </si>
  <si>
    <t>Operating profit per share</t>
  </si>
  <si>
    <t>Net Profit per share</t>
  </si>
  <si>
    <t>10x1</t>
  </si>
  <si>
    <t>PEG (preferred &lt;1; greater than 1 means costly)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</si>
</sst>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0"/>
      <color theme="9" tint="-0.499984740745262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9" fontId="9" fillId="5" borderId="1" xfId="1" applyFont="1" applyFill="1" applyBorder="1"/>
    <xf numFmtId="9" fontId="22" fillId="5" borderId="1" xfId="1" applyFont="1" applyFill="1" applyBorder="1"/>
    <xf numFmtId="175" fontId="8" fillId="5" borderId="1" xfId="2" applyNumberFormat="1" applyFont="1" applyFill="1" applyBorder="1" applyAlignment="1">
      <alignment horizontal="center"/>
    </xf>
    <xf numFmtId="174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9239808"/>
        <c:axId val="79241600"/>
      </c:lineChart>
      <c:catAx>
        <c:axId val="79239808"/>
        <c:scaling>
          <c:orientation val="minMax"/>
        </c:scaling>
        <c:axPos val="b"/>
        <c:tickLblPos val="nextTo"/>
        <c:crossAx val="79241600"/>
        <c:crosses val="autoZero"/>
        <c:auto val="1"/>
        <c:lblAlgn val="ctr"/>
        <c:lblOffset val="100"/>
      </c:catAx>
      <c:valAx>
        <c:axId val="79241600"/>
        <c:scaling>
          <c:orientation val="minMax"/>
        </c:scaling>
        <c:axPos val="l"/>
        <c:majorGridlines/>
        <c:numFmt formatCode="General" sourceLinked="1"/>
        <c:tickLblPos val="nextTo"/>
        <c:crossAx val="7923980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315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2"/>
  <sheetViews>
    <sheetView tabSelected="1" zoomScale="80" zoomScaleNormal="80" workbookViewId="0">
      <pane xSplit="2" ySplit="3" topLeftCell="H44" activePane="bottomRight" state="frozen"/>
      <selection pane="topRight" activeCell="C1" sqref="C1"/>
      <selection pane="bottomLeft" activeCell="A5" sqref="A5"/>
      <selection pane="bottomRight" activeCell="U58" sqref="U58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.7109375" style="104" customWidth="1"/>
    <col min="8" max="8" width="9" style="104" bestFit="1" customWidth="1"/>
    <col min="9" max="9" width="13.5703125" style="104" bestFit="1" customWidth="1"/>
    <col min="10" max="10" width="11.28515625" style="104" bestFit="1" customWidth="1"/>
    <col min="11" max="18" width="12.28515625" style="104" bestFit="1" customWidth="1"/>
    <col min="19" max="19" width="10.7109375" style="104" customWidth="1"/>
    <col min="20" max="20" width="9.42578125" style="104" bestFit="1" customWidth="1"/>
    <col min="21" max="21" width="10.85546875" style="104" bestFit="1" customWidth="1"/>
    <col min="22" max="23" width="9.7109375" style="104" bestFit="1" customWidth="1"/>
    <col min="24" max="30" width="8" style="104" bestFit="1" customWidth="1"/>
    <col min="31" max="31" width="11.28515625" style="104" bestFit="1" customWidth="1"/>
    <col min="32" max="32" width="9.28515625" style="104" bestFit="1" customWidth="1"/>
    <col min="33" max="33" width="9" style="104" customWidth="1"/>
    <col min="34" max="34" width="10.7109375" style="104" customWidth="1"/>
    <col min="35" max="16384" width="9.140625" style="104"/>
  </cols>
  <sheetData>
    <row r="1" spans="2:34">
      <c r="B1" s="123" t="s">
        <v>241</v>
      </c>
      <c r="C1" s="124">
        <f>R2</f>
        <v>0.22</v>
      </c>
      <c r="H1" s="104" t="s">
        <v>252</v>
      </c>
      <c r="J1" s="126">
        <v>2004</v>
      </c>
      <c r="L1" s="104" t="s">
        <v>323</v>
      </c>
      <c r="N1" s="162">
        <v>0.05</v>
      </c>
      <c r="P1" s="104" t="s">
        <v>394</v>
      </c>
      <c r="R1" s="162">
        <v>0.05</v>
      </c>
    </row>
    <row r="2" spans="2:34">
      <c r="B2" s="151" t="s">
        <v>312</v>
      </c>
      <c r="C2" s="120"/>
      <c r="H2" s="104" t="s">
        <v>253</v>
      </c>
      <c r="J2" s="126">
        <v>2016</v>
      </c>
      <c r="L2" s="104" t="s">
        <v>324</v>
      </c>
      <c r="N2" s="162">
        <v>0.15</v>
      </c>
      <c r="P2" s="104" t="s">
        <v>461</v>
      </c>
      <c r="R2" s="162">
        <v>0.22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09" t="s">
        <v>290</v>
      </c>
      <c r="AH2" s="210"/>
    </row>
    <row r="3" spans="2:34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5" t="s">
        <v>1</v>
      </c>
      <c r="AG3" s="211" t="s">
        <v>291</v>
      </c>
      <c r="AH3" s="212"/>
    </row>
    <row r="4" spans="2:3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6"/>
      <c r="AG4" s="20"/>
      <c r="AH4" s="20"/>
    </row>
    <row r="5" spans="2:34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20"/>
      <c r="U5" s="20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36"/>
      <c r="AG5" s="20"/>
      <c r="AH5" s="152"/>
    </row>
    <row r="6" spans="2:34">
      <c r="B6" s="20" t="s">
        <v>16</v>
      </c>
      <c r="C6" s="140"/>
      <c r="D6" s="140"/>
      <c r="E6" s="146"/>
      <c r="F6" s="146"/>
      <c r="G6" s="146">
        <v>5</v>
      </c>
      <c r="H6" s="146">
        <v>5</v>
      </c>
      <c r="I6" s="146">
        <v>16.989999999999998</v>
      </c>
      <c r="J6" s="146">
        <v>21</v>
      </c>
      <c r="K6" s="146">
        <v>196</v>
      </c>
      <c r="L6" s="146">
        <v>198</v>
      </c>
      <c r="M6" s="146">
        <v>265</v>
      </c>
      <c r="N6" s="146">
        <v>557</v>
      </c>
      <c r="O6" s="146">
        <v>717</v>
      </c>
      <c r="P6" s="146">
        <v>750.71</v>
      </c>
      <c r="Q6" s="203">
        <v>747</v>
      </c>
      <c r="R6" s="203">
        <v>742</v>
      </c>
      <c r="S6" s="203">
        <v>780</v>
      </c>
      <c r="T6" s="118">
        <f>((S6/G6)^(1/($J$2-$J$1) ))-1</f>
        <v>0.52321210778594196</v>
      </c>
      <c r="U6" s="31">
        <f>$N$2</f>
        <v>0.15</v>
      </c>
      <c r="V6" s="152">
        <f>S6*(1+$U6)</f>
        <v>896.99999999999989</v>
      </c>
      <c r="W6" s="152">
        <f>V6*(1+$U6)</f>
        <v>1031.5499999999997</v>
      </c>
      <c r="X6" s="152">
        <f t="shared" ref="X6:AE6" si="0">W6*(1+$U6)</f>
        <v>1186.2824999999996</v>
      </c>
      <c r="Y6" s="152">
        <f t="shared" si="0"/>
        <v>1364.2248749999994</v>
      </c>
      <c r="Z6" s="152">
        <f t="shared" si="0"/>
        <v>1568.8586062499992</v>
      </c>
      <c r="AA6" s="152">
        <f t="shared" si="0"/>
        <v>1804.1873971874988</v>
      </c>
      <c r="AB6" s="152">
        <f t="shared" si="0"/>
        <v>2074.8155067656235</v>
      </c>
      <c r="AC6" s="152">
        <f t="shared" si="0"/>
        <v>2386.0378327804669</v>
      </c>
      <c r="AD6" s="152">
        <f t="shared" si="0"/>
        <v>2743.9435076975369</v>
      </c>
      <c r="AE6" s="152">
        <f t="shared" si="0"/>
        <v>3155.5350338521671</v>
      </c>
      <c r="AF6" s="137">
        <f>((AE6/I6)^(1/($AE$3-$J$1) ))-1</f>
        <v>0.28245426738041424</v>
      </c>
      <c r="AG6" s="31">
        <f>$N$1</f>
        <v>0.05</v>
      </c>
      <c r="AH6" s="145">
        <f t="shared" ref="AH6:AH59" si="1">(AE6*(1+AG6))/($C$1-AG6)</f>
        <v>19490.069326733974</v>
      </c>
    </row>
    <row r="7" spans="2:34">
      <c r="B7" s="20" t="s">
        <v>240</v>
      </c>
      <c r="C7" s="140"/>
      <c r="D7" s="140"/>
      <c r="E7" s="146"/>
      <c r="F7" s="146"/>
      <c r="G7" s="146">
        <v>9</v>
      </c>
      <c r="H7" s="146">
        <v>9</v>
      </c>
      <c r="I7" s="146">
        <v>40.64</v>
      </c>
      <c r="J7" s="146">
        <v>43</v>
      </c>
      <c r="K7" s="146">
        <v>228</v>
      </c>
      <c r="L7" s="146">
        <v>325</v>
      </c>
      <c r="M7" s="146">
        <v>270</v>
      </c>
      <c r="N7" s="146">
        <v>202</v>
      </c>
      <c r="O7" s="146">
        <v>429</v>
      </c>
      <c r="P7" s="146">
        <v>773.2</v>
      </c>
      <c r="Q7" s="203">
        <v>773</v>
      </c>
      <c r="R7" s="203">
        <v>765</v>
      </c>
      <c r="S7" s="203">
        <v>802</v>
      </c>
      <c r="T7" s="118">
        <f>((S7/G7)^(1/($J$2-$J$1) ))-1</f>
        <v>0.45376537740318756</v>
      </c>
      <c r="U7" s="31">
        <f>$N$2</f>
        <v>0.15</v>
      </c>
      <c r="V7" s="152">
        <f t="shared" ref="V7:V59" si="2">S7*(1+$U7)</f>
        <v>922.3</v>
      </c>
      <c r="W7" s="152">
        <f t="shared" ref="W7:AE7" si="3">V7*(1+$U7)</f>
        <v>1060.6449999999998</v>
      </c>
      <c r="X7" s="152">
        <f t="shared" si="3"/>
        <v>1219.7417499999997</v>
      </c>
      <c r="Y7" s="152">
        <f t="shared" si="3"/>
        <v>1402.7030124999994</v>
      </c>
      <c r="Z7" s="152">
        <f t="shared" si="3"/>
        <v>1613.1084643749991</v>
      </c>
      <c r="AA7" s="152">
        <f t="shared" si="3"/>
        <v>1855.0747340312489</v>
      </c>
      <c r="AB7" s="152">
        <f t="shared" si="3"/>
        <v>2133.3359441359362</v>
      </c>
      <c r="AC7" s="152">
        <f t="shared" si="3"/>
        <v>2453.3363357563262</v>
      </c>
      <c r="AD7" s="152">
        <f t="shared" si="3"/>
        <v>2821.3367861197748</v>
      </c>
      <c r="AE7" s="152">
        <f t="shared" si="3"/>
        <v>3244.5373040377408</v>
      </c>
      <c r="AF7" s="137">
        <f>((AE7/I7)^(1/($AE$3-$J$1) ))-1</f>
        <v>0.23191546781275529</v>
      </c>
      <c r="AG7" s="31">
        <f>$N$1</f>
        <v>0.05</v>
      </c>
      <c r="AH7" s="145">
        <f t="shared" si="1"/>
        <v>20039.789230821341</v>
      </c>
    </row>
    <row r="8" spans="2:34">
      <c r="B8" s="20"/>
      <c r="C8" s="140"/>
      <c r="D8" s="140"/>
      <c r="E8" s="146"/>
      <c r="F8" s="146"/>
      <c r="G8" s="226">
        <f>(G7-F7)/G7</f>
        <v>1</v>
      </c>
      <c r="H8" s="149">
        <f>(H7-G7)/H7</f>
        <v>0</v>
      </c>
      <c r="I8" s="149">
        <f t="shared" ref="I8:P8" si="4">(I7-H7)/I7</f>
        <v>0.77854330708661412</v>
      </c>
      <c r="J8" s="149">
        <f t="shared" si="4"/>
        <v>5.4883720930232548E-2</v>
      </c>
      <c r="K8" s="149">
        <f t="shared" si="4"/>
        <v>0.81140350877192979</v>
      </c>
      <c r="L8" s="149">
        <f t="shared" si="4"/>
        <v>0.29846153846153844</v>
      </c>
      <c r="M8" s="149">
        <f t="shared" si="4"/>
        <v>-0.20370370370370369</v>
      </c>
      <c r="N8" s="149">
        <f t="shared" si="4"/>
        <v>-0.33663366336633666</v>
      </c>
      <c r="O8" s="149">
        <f t="shared" si="4"/>
        <v>0.52913752913752909</v>
      </c>
      <c r="P8" s="149">
        <f t="shared" si="4"/>
        <v>0.44516295913088466</v>
      </c>
      <c r="Q8" s="149">
        <f t="shared" ref="I8:S8" si="5">(Q7-P7)/P7</f>
        <v>-2.5866528711852751E-4</v>
      </c>
      <c r="R8" s="149">
        <f t="shared" si="5"/>
        <v>-1.034928848641656E-2</v>
      </c>
      <c r="S8" s="149">
        <f t="shared" si="5"/>
        <v>4.8366013071895426E-2</v>
      </c>
      <c r="T8" s="128"/>
      <c r="U8" s="20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36"/>
      <c r="AG8" s="136"/>
      <c r="AH8" s="145"/>
    </row>
    <row r="9" spans="2:34">
      <c r="B9" s="20" t="s">
        <v>269</v>
      </c>
      <c r="C9" s="140"/>
      <c r="D9" s="140"/>
      <c r="E9" s="146"/>
      <c r="F9" s="146"/>
      <c r="G9" s="146">
        <v>24</v>
      </c>
      <c r="H9" s="146">
        <v>0.08</v>
      </c>
      <c r="I9" s="146">
        <v>4.32</v>
      </c>
      <c r="J9" s="146">
        <v>25</v>
      </c>
      <c r="K9" s="146">
        <v>76.260000000000005</v>
      </c>
      <c r="L9" s="146">
        <v>52</v>
      </c>
      <c r="M9" s="146">
        <v>65</v>
      </c>
      <c r="N9" s="146">
        <v>54</v>
      </c>
      <c r="O9" s="146">
        <v>92</v>
      </c>
      <c r="P9" s="146">
        <v>147</v>
      </c>
      <c r="Q9" s="203">
        <v>160</v>
      </c>
      <c r="R9" s="203">
        <v>159</v>
      </c>
      <c r="S9" s="203">
        <v>125</v>
      </c>
      <c r="T9" s="118">
        <f>((S9/G9)^(1/($J$2-$J$1) ))-1</f>
        <v>0.14742655771477042</v>
      </c>
      <c r="U9" s="31">
        <f t="shared" ref="U9:U55" si="6">$N$2</f>
        <v>0.15</v>
      </c>
      <c r="V9" s="152">
        <f t="shared" si="2"/>
        <v>143.75</v>
      </c>
      <c r="W9" s="152">
        <f t="shared" ref="W9" si="7">V9*(1+$U9)</f>
        <v>165.3125</v>
      </c>
      <c r="X9" s="152">
        <f t="shared" ref="X9" si="8">W9*(1+$U9)</f>
        <v>190.10937499999997</v>
      </c>
      <c r="Y9" s="152">
        <f t="shared" ref="Y9" si="9">X9*(1+$U9)</f>
        <v>218.62578124999996</v>
      </c>
      <c r="Z9" s="152">
        <f t="shared" ref="Z9" si="10">Y9*(1+$U9)</f>
        <v>251.41964843749994</v>
      </c>
      <c r="AA9" s="152">
        <f t="shared" ref="AA9" si="11">Z9*(1+$U9)</f>
        <v>289.13259570312493</v>
      </c>
      <c r="AB9" s="152">
        <f t="shared" ref="AB9" si="12">AA9*(1+$U9)</f>
        <v>332.50248505859366</v>
      </c>
      <c r="AC9" s="152">
        <f t="shared" ref="AC9" si="13">AB9*(1+$U9)</f>
        <v>382.37785781738268</v>
      </c>
      <c r="AD9" s="152">
        <f t="shared" ref="AD9" si="14">AC9*(1+$U9)</f>
        <v>439.73453648999003</v>
      </c>
      <c r="AE9" s="152">
        <f t="shared" ref="AE9" si="15">AD9*(1+$U9)</f>
        <v>505.69471696348847</v>
      </c>
      <c r="AF9" s="137">
        <f>((AE9/I9)^(1/($AE$3-$J$1) ))-1</f>
        <v>0.25457162416686052</v>
      </c>
      <c r="AG9" s="31">
        <f t="shared" ref="AG9:AG99" si="16">$N$1</f>
        <v>0.05</v>
      </c>
      <c r="AH9" s="145">
        <f t="shared" si="1"/>
        <v>3123.4085459509583</v>
      </c>
    </row>
    <row r="10" spans="2:34">
      <c r="B10" s="20" t="s">
        <v>4</v>
      </c>
      <c r="C10" s="140"/>
      <c r="D10" s="140"/>
      <c r="E10" s="146"/>
      <c r="F10" s="146"/>
      <c r="G10" s="146">
        <v>0.45</v>
      </c>
      <c r="H10" s="146">
        <v>25</v>
      </c>
      <c r="I10" s="146">
        <v>72</v>
      </c>
      <c r="J10" s="146">
        <v>79.5</v>
      </c>
      <c r="K10" s="146">
        <v>327</v>
      </c>
      <c r="L10" s="146">
        <v>325</v>
      </c>
      <c r="M10" s="146">
        <v>270</v>
      </c>
      <c r="N10" s="146">
        <v>202</v>
      </c>
      <c r="O10" s="146">
        <v>430</v>
      </c>
      <c r="P10" s="146">
        <v>415</v>
      </c>
      <c r="Q10" s="203">
        <v>265</v>
      </c>
      <c r="R10" s="203">
        <v>252</v>
      </c>
      <c r="S10" s="203">
        <v>203</v>
      </c>
      <c r="T10" s="118">
        <f>((S10/G10)^(1/($J$2-$J$1) ))-1</f>
        <v>0.66414166324721013</v>
      </c>
      <c r="U10" s="31">
        <f t="shared" si="6"/>
        <v>0.15</v>
      </c>
      <c r="V10" s="152">
        <f t="shared" si="2"/>
        <v>233.45</v>
      </c>
      <c r="W10" s="152">
        <f t="shared" ref="W10:AE10" si="17">V10*(1+$U10)</f>
        <v>268.46749999999997</v>
      </c>
      <c r="X10" s="152">
        <f t="shared" si="17"/>
        <v>308.73762499999992</v>
      </c>
      <c r="Y10" s="152">
        <f t="shared" si="17"/>
        <v>355.04826874999986</v>
      </c>
      <c r="Z10" s="152">
        <f t="shared" si="17"/>
        <v>408.30550906249982</v>
      </c>
      <c r="AA10" s="152">
        <f t="shared" si="17"/>
        <v>469.55133542187474</v>
      </c>
      <c r="AB10" s="152">
        <f t="shared" si="17"/>
        <v>539.98403573515589</v>
      </c>
      <c r="AC10" s="152">
        <f t="shared" si="17"/>
        <v>620.98164109542927</v>
      </c>
      <c r="AD10" s="152">
        <f t="shared" si="17"/>
        <v>714.12888725974358</v>
      </c>
      <c r="AE10" s="152">
        <f t="shared" si="17"/>
        <v>821.2482203487051</v>
      </c>
      <c r="AF10" s="137">
        <f t="shared" ref="AF10:AF57" si="18">((AE10/I10)^(1/($AE$3-$J$1) ))-1</f>
        <v>0.12289744231764343</v>
      </c>
      <c r="AG10" s="31">
        <f t="shared" si="16"/>
        <v>0.05</v>
      </c>
      <c r="AH10" s="145">
        <f t="shared" si="1"/>
        <v>5072.4154786243553</v>
      </c>
    </row>
    <row r="11" spans="2:34">
      <c r="B11" s="20"/>
      <c r="C11" s="140"/>
      <c r="D11" s="140"/>
      <c r="E11" s="146"/>
      <c r="F11" s="146"/>
      <c r="G11" s="226">
        <f>(G10-F10)/G10</f>
        <v>1</v>
      </c>
      <c r="H11" s="227">
        <f>(H10-G10)/H10</f>
        <v>0.98199999999999998</v>
      </c>
      <c r="I11" s="227">
        <f t="shared" ref="I11:P11" si="19">(I10-H10)/I10</f>
        <v>0.65277777777777779</v>
      </c>
      <c r="J11" s="227">
        <f t="shared" si="19"/>
        <v>9.4339622641509441E-2</v>
      </c>
      <c r="K11" s="227">
        <f t="shared" si="19"/>
        <v>0.75688073394495414</v>
      </c>
      <c r="L11" s="227">
        <f t="shared" si="19"/>
        <v>-6.1538461538461538E-3</v>
      </c>
      <c r="M11" s="227">
        <f t="shared" si="19"/>
        <v>-0.20370370370370369</v>
      </c>
      <c r="N11" s="227">
        <f t="shared" si="19"/>
        <v>-0.33663366336633666</v>
      </c>
      <c r="O11" s="227">
        <f t="shared" si="19"/>
        <v>0.53023255813953485</v>
      </c>
      <c r="P11" s="227">
        <f t="shared" si="19"/>
        <v>-3.614457831325301E-2</v>
      </c>
      <c r="Q11" s="149">
        <f t="shared" ref="I11:S11" si="20">(Q10-P10)/P10</f>
        <v>-0.36144578313253012</v>
      </c>
      <c r="R11" s="149">
        <f t="shared" si="20"/>
        <v>-4.9056603773584909E-2</v>
      </c>
      <c r="S11" s="149">
        <f t="shared" si="20"/>
        <v>-0.19444444444444445</v>
      </c>
      <c r="T11" s="128"/>
      <c r="U11" s="20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19"/>
      <c r="AG11" s="31">
        <f t="shared" si="16"/>
        <v>0.05</v>
      </c>
      <c r="AH11" s="152"/>
    </row>
    <row r="12" spans="2:34">
      <c r="B12" s="20" t="s">
        <v>2</v>
      </c>
      <c r="C12" s="140"/>
      <c r="D12" s="140"/>
      <c r="E12" s="146"/>
      <c r="F12" s="146"/>
      <c r="G12" s="146">
        <v>0.01</v>
      </c>
      <c r="H12" s="146">
        <v>0</v>
      </c>
      <c r="I12" s="146">
        <v>2.82</v>
      </c>
      <c r="J12" s="146">
        <v>3</v>
      </c>
      <c r="K12" s="146">
        <f>6+81</f>
        <v>87</v>
      </c>
      <c r="L12" s="146">
        <f>11+5</f>
        <v>16</v>
      </c>
      <c r="M12" s="146">
        <f>23+23</f>
        <v>46</v>
      </c>
      <c r="N12" s="146">
        <f>64</f>
        <v>64</v>
      </c>
      <c r="O12" s="146">
        <f>132+4</f>
        <v>136</v>
      </c>
      <c r="P12" s="146">
        <v>46</v>
      </c>
      <c r="Q12" s="203">
        <v>55</v>
      </c>
      <c r="R12" s="203">
        <v>21</v>
      </c>
      <c r="S12" s="203">
        <v>23</v>
      </c>
      <c r="T12" s="118">
        <f>((S12/G12)^(1/($J$2-$J$1) ))-1</f>
        <v>0.90609256064640475</v>
      </c>
      <c r="U12" s="31">
        <f t="shared" si="6"/>
        <v>0.15</v>
      </c>
      <c r="V12" s="152">
        <f t="shared" si="2"/>
        <v>26.45</v>
      </c>
      <c r="W12" s="152">
        <f t="shared" ref="W12:AE12" si="21">V12*(1+$U12)</f>
        <v>30.417499999999997</v>
      </c>
      <c r="X12" s="152">
        <f t="shared" si="21"/>
        <v>34.980124999999994</v>
      </c>
      <c r="Y12" s="152">
        <f t="shared" si="21"/>
        <v>40.227143749999989</v>
      </c>
      <c r="Z12" s="152">
        <f t="shared" si="21"/>
        <v>46.261215312499985</v>
      </c>
      <c r="AA12" s="152">
        <f t="shared" si="21"/>
        <v>53.200397609374981</v>
      </c>
      <c r="AB12" s="152">
        <f t="shared" si="21"/>
        <v>61.180457250781224</v>
      </c>
      <c r="AC12" s="152">
        <f t="shared" si="21"/>
        <v>70.357525838398402</v>
      </c>
      <c r="AD12" s="152">
        <f t="shared" si="21"/>
        <v>80.911154714158158</v>
      </c>
      <c r="AE12" s="152">
        <f t="shared" si="21"/>
        <v>93.047827921281879</v>
      </c>
      <c r="AF12" s="137">
        <f t="shared" si="18"/>
        <v>0.18115660385176047</v>
      </c>
      <c r="AG12" s="31">
        <f t="shared" si="16"/>
        <v>0.05</v>
      </c>
      <c r="AH12" s="145">
        <f t="shared" si="1"/>
        <v>574.70717245497644</v>
      </c>
    </row>
    <row r="13" spans="2:34">
      <c r="B13" s="20" t="s">
        <v>218</v>
      </c>
      <c r="C13" s="140"/>
      <c r="D13" s="140"/>
      <c r="E13" s="146"/>
      <c r="F13" s="146"/>
      <c r="G13" s="146">
        <v>4</v>
      </c>
      <c r="H13" s="146">
        <v>4</v>
      </c>
      <c r="I13" s="146">
        <v>0.42</v>
      </c>
      <c r="J13" s="146">
        <v>88</v>
      </c>
      <c r="K13" s="146">
        <v>265</v>
      </c>
      <c r="L13" s="146">
        <v>224</v>
      </c>
      <c r="M13" s="146">
        <v>172</v>
      </c>
      <c r="N13" s="146">
        <v>162</v>
      </c>
      <c r="O13" s="146">
        <v>134</v>
      </c>
      <c r="P13" s="146">
        <v>114.1</v>
      </c>
      <c r="Q13" s="203">
        <v>105</v>
      </c>
      <c r="R13" s="203">
        <v>108</v>
      </c>
      <c r="S13" s="203">
        <v>104</v>
      </c>
      <c r="T13" s="118">
        <f t="shared" ref="T13:T59" si="22">((S13/G13)^(1/($J$2-$J$1) ))-1</f>
        <v>0.311941426166497</v>
      </c>
      <c r="U13" s="31">
        <f t="shared" si="6"/>
        <v>0.15</v>
      </c>
      <c r="V13" s="152">
        <f t="shared" si="2"/>
        <v>119.6</v>
      </c>
      <c r="W13" s="152">
        <f t="shared" ref="W13:AE13" si="23">V13*(1+$U13)</f>
        <v>137.54</v>
      </c>
      <c r="X13" s="152">
        <f t="shared" si="23"/>
        <v>158.17099999999999</v>
      </c>
      <c r="Y13" s="152">
        <f t="shared" si="23"/>
        <v>181.89664999999997</v>
      </c>
      <c r="Z13" s="152">
        <f t="shared" si="23"/>
        <v>209.18114749999995</v>
      </c>
      <c r="AA13" s="152">
        <f t="shared" si="23"/>
        <v>240.55831962499994</v>
      </c>
      <c r="AB13" s="152">
        <f t="shared" si="23"/>
        <v>276.64206756874989</v>
      </c>
      <c r="AC13" s="152">
        <f t="shared" si="23"/>
        <v>318.13837770406235</v>
      </c>
      <c r="AD13" s="152">
        <f t="shared" si="23"/>
        <v>365.85913435967166</v>
      </c>
      <c r="AE13" s="152">
        <f t="shared" si="23"/>
        <v>420.7380045136224</v>
      </c>
      <c r="AF13" s="137">
        <f t="shared" si="18"/>
        <v>0.38961166182079032</v>
      </c>
      <c r="AG13" s="31">
        <f t="shared" si="16"/>
        <v>0.05</v>
      </c>
      <c r="AH13" s="145">
        <f t="shared" si="1"/>
        <v>2598.6759102311976</v>
      </c>
    </row>
    <row r="14" spans="2:34">
      <c r="B14" s="20" t="s">
        <v>369</v>
      </c>
      <c r="C14" s="140"/>
      <c r="D14" s="140"/>
      <c r="E14" s="146"/>
      <c r="F14" s="146"/>
      <c r="G14" s="146">
        <v>29</v>
      </c>
      <c r="H14" s="146">
        <v>0.3</v>
      </c>
      <c r="I14" s="146"/>
      <c r="J14" s="146"/>
      <c r="K14" s="146"/>
      <c r="L14" s="146"/>
      <c r="M14" s="146"/>
      <c r="N14" s="146"/>
      <c r="O14" s="146">
        <v>315</v>
      </c>
      <c r="P14" s="146">
        <v>237</v>
      </c>
      <c r="Q14" s="203">
        <v>72</v>
      </c>
      <c r="R14" s="203">
        <v>70</v>
      </c>
      <c r="S14" s="203">
        <v>71</v>
      </c>
      <c r="T14" s="118">
        <f t="shared" si="22"/>
        <v>7.7469608742467555E-2</v>
      </c>
      <c r="U14" s="31">
        <f t="shared" si="6"/>
        <v>0.15</v>
      </c>
      <c r="V14" s="152">
        <f t="shared" si="2"/>
        <v>81.649999999999991</v>
      </c>
      <c r="W14" s="152">
        <f t="shared" ref="W14" si="24">V14*(1+$U14)</f>
        <v>93.89749999999998</v>
      </c>
      <c r="X14" s="152">
        <f t="shared" ref="X14" si="25">W14*(1+$U14)</f>
        <v>107.98212499999997</v>
      </c>
      <c r="Y14" s="152">
        <f t="shared" ref="Y14" si="26">X14*(1+$U14)</f>
        <v>124.17944374999995</v>
      </c>
      <c r="Z14" s="152">
        <f t="shared" ref="Z14" si="27">Y14*(1+$U14)</f>
        <v>142.80636031249992</v>
      </c>
      <c r="AA14" s="152">
        <f t="shared" ref="AA14" si="28">Z14*(1+$U14)</f>
        <v>164.2273143593749</v>
      </c>
      <c r="AB14" s="152">
        <f t="shared" ref="AB14" si="29">AA14*(1+$U14)</f>
        <v>188.86141151328113</v>
      </c>
      <c r="AC14" s="152">
        <f t="shared" ref="AC14" si="30">AB14*(1+$U14)</f>
        <v>217.19062324027328</v>
      </c>
      <c r="AD14" s="152">
        <f t="shared" ref="AD14" si="31">AC14*(1+$U14)</f>
        <v>249.76921672631426</v>
      </c>
      <c r="AE14" s="152">
        <f t="shared" ref="AE14" si="32">AD14*(1+$U14)</f>
        <v>287.23459923526138</v>
      </c>
      <c r="AF14" s="137" t="e">
        <f t="shared" ref="AF14" si="33">((AE14/I14)^(1/($AE$3-$J$1) ))-1</f>
        <v>#DIV/0!</v>
      </c>
      <c r="AG14" s="31">
        <f t="shared" si="16"/>
        <v>0.05</v>
      </c>
      <c r="AH14" s="145">
        <f t="shared" ref="AH14" si="34">(AE14*(1+AG14))/($C$1-AG14)</f>
        <v>1774.0960541001441</v>
      </c>
    </row>
    <row r="15" spans="2:34">
      <c r="B15" s="20" t="s">
        <v>19</v>
      </c>
      <c r="C15" s="140"/>
      <c r="D15" s="140"/>
      <c r="E15" s="146"/>
      <c r="F15" s="146"/>
      <c r="G15" s="146">
        <v>29</v>
      </c>
      <c r="H15" s="146">
        <v>0.3</v>
      </c>
      <c r="I15" s="146">
        <v>107</v>
      </c>
      <c r="J15" s="146">
        <v>46</v>
      </c>
      <c r="K15" s="146">
        <v>359</v>
      </c>
      <c r="L15" s="146">
        <v>328</v>
      </c>
      <c r="M15" s="146">
        <v>374</v>
      </c>
      <c r="N15" s="146">
        <v>509</v>
      </c>
      <c r="O15" s="146">
        <v>512</v>
      </c>
      <c r="P15" s="146">
        <v>298</v>
      </c>
      <c r="Q15" s="203">
        <v>194</v>
      </c>
      <c r="R15" s="203">
        <v>113</v>
      </c>
      <c r="S15" s="203">
        <v>108</v>
      </c>
      <c r="T15" s="118">
        <f t="shared" si="22"/>
        <v>0.11579774608499838</v>
      </c>
      <c r="U15" s="31">
        <f t="shared" si="6"/>
        <v>0.15</v>
      </c>
      <c r="V15" s="152">
        <f t="shared" si="2"/>
        <v>124.19999999999999</v>
      </c>
      <c r="W15" s="152">
        <f t="shared" ref="W15:AE15" si="35">V15*(1+$U15)</f>
        <v>142.82999999999998</v>
      </c>
      <c r="X15" s="152">
        <f t="shared" si="35"/>
        <v>164.25449999999998</v>
      </c>
      <c r="Y15" s="152">
        <f t="shared" si="35"/>
        <v>188.89267499999997</v>
      </c>
      <c r="Z15" s="152">
        <f t="shared" si="35"/>
        <v>217.22657624999994</v>
      </c>
      <c r="AA15" s="152">
        <f t="shared" si="35"/>
        <v>249.8105626874999</v>
      </c>
      <c r="AB15" s="152">
        <f t="shared" si="35"/>
        <v>287.28214709062485</v>
      </c>
      <c r="AC15" s="152">
        <f t="shared" si="35"/>
        <v>330.37446915421856</v>
      </c>
      <c r="AD15" s="152">
        <f t="shared" si="35"/>
        <v>379.93063952735133</v>
      </c>
      <c r="AE15" s="152">
        <f t="shared" si="35"/>
        <v>436.92023545645401</v>
      </c>
      <c r="AF15" s="137">
        <f t="shared" si="18"/>
        <v>6.9291497165102189E-2</v>
      </c>
      <c r="AG15" s="31">
        <f t="shared" si="16"/>
        <v>0.05</v>
      </c>
      <c r="AH15" s="145">
        <f t="shared" si="1"/>
        <v>2698.624983701628</v>
      </c>
    </row>
    <row r="16" spans="2:34">
      <c r="B16" s="20" t="s">
        <v>23</v>
      </c>
      <c r="C16" s="140"/>
      <c r="D16" s="140"/>
      <c r="E16" s="146"/>
      <c r="F16" s="146"/>
      <c r="G16" s="146">
        <v>5</v>
      </c>
      <c r="H16" s="146">
        <v>0.56999999999999995</v>
      </c>
      <c r="I16" s="146">
        <v>100</v>
      </c>
      <c r="J16" s="146">
        <v>8.36</v>
      </c>
      <c r="K16" s="146">
        <v>259</v>
      </c>
      <c r="L16" s="146">
        <v>272</v>
      </c>
      <c r="M16" s="146">
        <v>299</v>
      </c>
      <c r="N16" s="146">
        <v>442</v>
      </c>
      <c r="O16" s="146">
        <v>608</v>
      </c>
      <c r="P16" s="146">
        <v>366</v>
      </c>
      <c r="Q16" s="203">
        <v>129</v>
      </c>
      <c r="R16" s="203">
        <v>75</v>
      </c>
      <c r="S16" s="203">
        <v>100</v>
      </c>
      <c r="T16" s="118">
        <f t="shared" si="22"/>
        <v>0.28356884211251621</v>
      </c>
      <c r="U16" s="31">
        <f t="shared" si="6"/>
        <v>0.15</v>
      </c>
      <c r="V16" s="152">
        <f t="shared" si="2"/>
        <v>114.99999999999999</v>
      </c>
      <c r="W16" s="152">
        <f t="shared" ref="W16:AE16" si="36">V16*(1+$U16)</f>
        <v>132.24999999999997</v>
      </c>
      <c r="X16" s="152">
        <f t="shared" si="36"/>
        <v>152.08749999999995</v>
      </c>
      <c r="Y16" s="152">
        <f t="shared" si="36"/>
        <v>174.90062499999993</v>
      </c>
      <c r="Z16" s="152">
        <f t="shared" si="36"/>
        <v>201.13571874999991</v>
      </c>
      <c r="AA16" s="152">
        <f t="shared" si="36"/>
        <v>231.30607656249987</v>
      </c>
      <c r="AB16" s="152">
        <f t="shared" si="36"/>
        <v>266.00198804687483</v>
      </c>
      <c r="AC16" s="152">
        <f t="shared" si="36"/>
        <v>305.90228625390603</v>
      </c>
      <c r="AD16" s="152">
        <f t="shared" si="36"/>
        <v>351.78762919199193</v>
      </c>
      <c r="AE16" s="152">
        <f t="shared" si="36"/>
        <v>404.55577357079068</v>
      </c>
      <c r="AF16" s="137">
        <f t="shared" si="18"/>
        <v>6.8817936851173878E-2</v>
      </c>
      <c r="AG16" s="31">
        <f t="shared" si="16"/>
        <v>0.05</v>
      </c>
      <c r="AH16" s="145">
        <f t="shared" si="1"/>
        <v>2498.7268367607662</v>
      </c>
    </row>
    <row r="17" spans="2:34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28"/>
      <c r="U17" s="20"/>
      <c r="V17" s="152">
        <f t="shared" si="2"/>
        <v>0</v>
      </c>
      <c r="W17" s="152"/>
      <c r="X17" s="152"/>
      <c r="Y17" s="152"/>
      <c r="Z17" s="152"/>
      <c r="AA17" s="152"/>
      <c r="AB17" s="152"/>
      <c r="AC17" s="152"/>
      <c r="AD17" s="152"/>
      <c r="AE17" s="152"/>
      <c r="AF17" s="138"/>
      <c r="AG17" s="136"/>
      <c r="AH17" s="152"/>
    </row>
    <row r="18" spans="2:34">
      <c r="B18" s="20" t="s">
        <v>277</v>
      </c>
      <c r="C18" s="140"/>
      <c r="D18" s="140"/>
      <c r="E18" s="146"/>
      <c r="F18" s="146"/>
      <c r="G18" s="146">
        <v>1</v>
      </c>
      <c r="H18" s="146">
        <v>29</v>
      </c>
      <c r="I18" s="146">
        <v>9.4700000000000006</v>
      </c>
      <c r="J18" s="146">
        <v>25</v>
      </c>
      <c r="K18" s="146">
        <v>65</v>
      </c>
      <c r="L18" s="146">
        <v>115</v>
      </c>
      <c r="M18" s="146">
        <v>135</v>
      </c>
      <c r="N18" s="146">
        <v>192</v>
      </c>
      <c r="O18" s="146">
        <v>132</v>
      </c>
      <c r="P18" s="146">
        <v>348</v>
      </c>
      <c r="Q18" s="203">
        <v>755</v>
      </c>
      <c r="R18" s="203">
        <v>854</v>
      </c>
      <c r="S18" s="203">
        <v>823</v>
      </c>
      <c r="T18" s="118">
        <f t="shared" si="22"/>
        <v>0.74964518635262856</v>
      </c>
      <c r="U18" s="31">
        <f t="shared" si="6"/>
        <v>0.15</v>
      </c>
      <c r="V18" s="152">
        <f t="shared" si="2"/>
        <v>946.44999999999993</v>
      </c>
      <c r="W18" s="152">
        <f t="shared" ref="W18:W34" si="37">V18*(1+$U18)</f>
        <v>1088.4174999999998</v>
      </c>
      <c r="X18" s="152">
        <f t="shared" ref="X18:X34" si="38">W18*(1+$U18)</f>
        <v>1251.6801249999996</v>
      </c>
      <c r="Y18" s="152">
        <f t="shared" ref="Y18:Y34" si="39">X18*(1+$U18)</f>
        <v>1439.4321437499996</v>
      </c>
      <c r="Z18" s="152">
        <f t="shared" ref="Z18:Z51" si="40">Y18*(1+$U18)</f>
        <v>1655.3469653124994</v>
      </c>
      <c r="AA18" s="152">
        <f t="shared" ref="AA18:AA51" si="41">Z18*(1+$U18)</f>
        <v>1903.6490101093741</v>
      </c>
      <c r="AB18" s="152">
        <f t="shared" ref="AB18:AB51" si="42">AA18*(1+$U18)</f>
        <v>2189.1963616257799</v>
      </c>
      <c r="AC18" s="152">
        <f t="shared" ref="AC18:AC51" si="43">AB18*(1+$U18)</f>
        <v>2517.5758158696467</v>
      </c>
      <c r="AD18" s="152">
        <f t="shared" ref="AD18:AD51" si="44">AC18*(1+$U18)</f>
        <v>2895.2121882500933</v>
      </c>
      <c r="AE18" s="152">
        <f t="shared" ref="AE18:AE51" si="45">AD18*(1+$U18)</f>
        <v>3329.494016487607</v>
      </c>
      <c r="AF18" s="137">
        <f t="shared" si="18"/>
        <v>0.32202430910984514</v>
      </c>
      <c r="AG18" s="31">
        <f t="shared" si="16"/>
        <v>0.05</v>
      </c>
      <c r="AH18" s="145">
        <f t="shared" si="1"/>
        <v>20564.521866541105</v>
      </c>
    </row>
    <row r="19" spans="2:34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28"/>
      <c r="U19" s="20"/>
      <c r="V19" s="152">
        <f t="shared" si="2"/>
        <v>0</v>
      </c>
      <c r="W19" s="152"/>
      <c r="X19" s="152"/>
      <c r="Y19" s="152"/>
      <c r="Z19" s="152"/>
      <c r="AA19" s="152"/>
      <c r="AB19" s="152"/>
      <c r="AC19" s="152"/>
      <c r="AD19" s="152"/>
      <c r="AE19" s="152"/>
      <c r="AF19" s="138"/>
      <c r="AG19" s="136"/>
      <c r="AH19" s="152"/>
    </row>
    <row r="20" spans="2:34">
      <c r="B20" s="20" t="s">
        <v>283</v>
      </c>
      <c r="C20" s="140"/>
      <c r="D20" s="140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203">
        <v>0</v>
      </c>
      <c r="R20" s="203">
        <v>0</v>
      </c>
      <c r="S20" s="203">
        <v>0</v>
      </c>
      <c r="T20" s="118" t="e">
        <f t="shared" si="22"/>
        <v>#DIV/0!</v>
      </c>
      <c r="U20" s="31">
        <f t="shared" si="6"/>
        <v>0.15</v>
      </c>
      <c r="V20" s="152">
        <f t="shared" si="2"/>
        <v>0</v>
      </c>
      <c r="W20" s="152">
        <f t="shared" ref="W20:W22" si="46">V20*(1+$U20)</f>
        <v>0</v>
      </c>
      <c r="X20" s="152">
        <f t="shared" ref="X20:X22" si="47">W20*(1+$U20)</f>
        <v>0</v>
      </c>
      <c r="Y20" s="152">
        <f t="shared" ref="Y20:Y22" si="48">X20*(1+$U20)</f>
        <v>0</v>
      </c>
      <c r="Z20" s="152">
        <f t="shared" ref="Z20:Z22" si="49">Y20*(1+$U20)</f>
        <v>0</v>
      </c>
      <c r="AA20" s="152">
        <f t="shared" ref="AA20:AA22" si="50">Z20*(1+$U20)</f>
        <v>0</v>
      </c>
      <c r="AB20" s="152">
        <f t="shared" ref="AB20:AB22" si="51">AA20*(1+$U20)</f>
        <v>0</v>
      </c>
      <c r="AC20" s="152">
        <f t="shared" ref="AC20:AC22" si="52">AB20*(1+$U20)</f>
        <v>0</v>
      </c>
      <c r="AD20" s="152">
        <f t="shared" ref="AD20:AD22" si="53">AC20*(1+$U20)</f>
        <v>0</v>
      </c>
      <c r="AE20" s="152">
        <f t="shared" ref="AE20:AE22" si="54">AD20*(1+$U20)</f>
        <v>0</v>
      </c>
      <c r="AF20" s="137" t="e">
        <f t="shared" ref="AF20:AF22" si="55">((AE20/I20)^(1/($AE$3-$J$1) ))-1</f>
        <v>#DIV/0!</v>
      </c>
      <c r="AG20" s="31">
        <f t="shared" si="16"/>
        <v>0.05</v>
      </c>
      <c r="AH20" s="145">
        <f t="shared" si="1"/>
        <v>0</v>
      </c>
    </row>
    <row r="21" spans="2:34">
      <c r="B21" s="20" t="s">
        <v>284</v>
      </c>
      <c r="C21" s="140"/>
      <c r="D21" s="140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203">
        <v>0</v>
      </c>
      <c r="R21" s="203">
        <v>0</v>
      </c>
      <c r="S21" s="203">
        <v>0</v>
      </c>
      <c r="T21" s="118" t="e">
        <f t="shared" si="22"/>
        <v>#DIV/0!</v>
      </c>
      <c r="U21" s="31">
        <f t="shared" si="6"/>
        <v>0.15</v>
      </c>
      <c r="V21" s="152">
        <f t="shared" si="2"/>
        <v>0</v>
      </c>
      <c r="W21" s="152">
        <f t="shared" si="46"/>
        <v>0</v>
      </c>
      <c r="X21" s="152">
        <f t="shared" si="47"/>
        <v>0</v>
      </c>
      <c r="Y21" s="152">
        <f t="shared" si="48"/>
        <v>0</v>
      </c>
      <c r="Z21" s="152">
        <f t="shared" si="49"/>
        <v>0</v>
      </c>
      <c r="AA21" s="152">
        <f t="shared" si="50"/>
        <v>0</v>
      </c>
      <c r="AB21" s="152">
        <f t="shared" si="51"/>
        <v>0</v>
      </c>
      <c r="AC21" s="152">
        <f t="shared" si="52"/>
        <v>0</v>
      </c>
      <c r="AD21" s="152">
        <f t="shared" si="53"/>
        <v>0</v>
      </c>
      <c r="AE21" s="152">
        <f t="shared" si="54"/>
        <v>0</v>
      </c>
      <c r="AF21" s="137" t="e">
        <f t="shared" si="55"/>
        <v>#DIV/0!</v>
      </c>
      <c r="AG21" s="31">
        <f t="shared" si="16"/>
        <v>0.05</v>
      </c>
      <c r="AH21" s="145">
        <f t="shared" si="1"/>
        <v>0</v>
      </c>
    </row>
    <row r="22" spans="2:34">
      <c r="B22" s="20" t="s">
        <v>285</v>
      </c>
      <c r="C22" s="140"/>
      <c r="D22" s="140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203">
        <v>0</v>
      </c>
      <c r="R22" s="203">
        <v>0</v>
      </c>
      <c r="S22" s="203">
        <v>0</v>
      </c>
      <c r="T22" s="118" t="e">
        <f t="shared" si="22"/>
        <v>#DIV/0!</v>
      </c>
      <c r="U22" s="31">
        <f t="shared" si="6"/>
        <v>0.15</v>
      </c>
      <c r="V22" s="152">
        <f t="shared" si="2"/>
        <v>0</v>
      </c>
      <c r="W22" s="152">
        <f t="shared" si="46"/>
        <v>0</v>
      </c>
      <c r="X22" s="152">
        <f t="shared" si="47"/>
        <v>0</v>
      </c>
      <c r="Y22" s="152">
        <f t="shared" si="48"/>
        <v>0</v>
      </c>
      <c r="Z22" s="152">
        <f t="shared" si="49"/>
        <v>0</v>
      </c>
      <c r="AA22" s="152">
        <f t="shared" si="50"/>
        <v>0</v>
      </c>
      <c r="AB22" s="152">
        <f t="shared" si="51"/>
        <v>0</v>
      </c>
      <c r="AC22" s="152">
        <f t="shared" si="52"/>
        <v>0</v>
      </c>
      <c r="AD22" s="152">
        <f t="shared" si="53"/>
        <v>0</v>
      </c>
      <c r="AE22" s="152">
        <f t="shared" si="54"/>
        <v>0</v>
      </c>
      <c r="AF22" s="137" t="e">
        <f t="shared" si="55"/>
        <v>#DIV/0!</v>
      </c>
      <c r="AG22" s="31">
        <f t="shared" si="16"/>
        <v>0.05</v>
      </c>
      <c r="AH22" s="145">
        <f t="shared" si="1"/>
        <v>0</v>
      </c>
    </row>
    <row r="23" spans="2:34">
      <c r="B23" s="20" t="s">
        <v>294</v>
      </c>
      <c r="C23" s="140"/>
      <c r="D23" s="140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203">
        <v>0</v>
      </c>
      <c r="R23" s="203">
        <v>0</v>
      </c>
      <c r="S23" s="203">
        <v>0</v>
      </c>
      <c r="T23" s="118" t="e">
        <f t="shared" si="22"/>
        <v>#DIV/0!</v>
      </c>
      <c r="U23" s="31">
        <f t="shared" si="6"/>
        <v>0.15</v>
      </c>
      <c r="V23" s="152">
        <f t="shared" si="2"/>
        <v>0</v>
      </c>
      <c r="W23" s="152">
        <f t="shared" ref="W23" si="56">V23*(1+$U23)</f>
        <v>0</v>
      </c>
      <c r="X23" s="152">
        <f t="shared" ref="X23" si="57">W23*(1+$U23)</f>
        <v>0</v>
      </c>
      <c r="Y23" s="152">
        <f t="shared" ref="Y23" si="58">X23*(1+$U23)</f>
        <v>0</v>
      </c>
      <c r="Z23" s="152">
        <f t="shared" ref="Z23" si="59">Y23*(1+$U23)</f>
        <v>0</v>
      </c>
      <c r="AA23" s="152">
        <f t="shared" ref="AA23" si="60">Z23*(1+$U23)</f>
        <v>0</v>
      </c>
      <c r="AB23" s="152">
        <f t="shared" ref="AB23" si="61">AA23*(1+$U23)</f>
        <v>0</v>
      </c>
      <c r="AC23" s="152">
        <f t="shared" ref="AC23" si="62">AB23*(1+$U23)</f>
        <v>0</v>
      </c>
      <c r="AD23" s="152">
        <f t="shared" ref="AD23" si="63">AC23*(1+$U23)</f>
        <v>0</v>
      </c>
      <c r="AE23" s="152">
        <f t="shared" ref="AE23" si="64">AD23*(1+$U23)</f>
        <v>0</v>
      </c>
      <c r="AF23" s="137" t="e">
        <f t="shared" ref="AF23" si="65">((AE23/I23)^(1/($AE$3-$J$1) ))-1</f>
        <v>#DIV/0!</v>
      </c>
      <c r="AG23" s="31">
        <f t="shared" si="16"/>
        <v>0.05</v>
      </c>
      <c r="AH23" s="145">
        <f t="shared" si="1"/>
        <v>0</v>
      </c>
    </row>
    <row r="24" spans="2:34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28"/>
      <c r="U24" s="20"/>
      <c r="V24" s="152">
        <f t="shared" si="2"/>
        <v>0</v>
      </c>
      <c r="W24" s="152"/>
      <c r="X24" s="152"/>
      <c r="Y24" s="152"/>
      <c r="Z24" s="152"/>
      <c r="AA24" s="152"/>
      <c r="AB24" s="152"/>
      <c r="AC24" s="152"/>
      <c r="AD24" s="152"/>
      <c r="AE24" s="152"/>
      <c r="AF24" s="119"/>
      <c r="AG24" s="136"/>
      <c r="AH24" s="152"/>
    </row>
    <row r="25" spans="2:34">
      <c r="B25" s="20" t="s">
        <v>89</v>
      </c>
      <c r="C25" s="140"/>
      <c r="D25" s="140"/>
      <c r="E25" s="146"/>
      <c r="F25" s="146"/>
      <c r="G25" s="146">
        <v>0</v>
      </c>
      <c r="H25" s="146">
        <v>0.26</v>
      </c>
      <c r="I25" s="146">
        <v>54</v>
      </c>
      <c r="J25" s="146">
        <v>41</v>
      </c>
      <c r="K25" s="146">
        <v>108</v>
      </c>
      <c r="L25" s="146">
        <v>111</v>
      </c>
      <c r="M25" s="146">
        <v>144</v>
      </c>
      <c r="N25" s="146">
        <v>380</v>
      </c>
      <c r="O25" s="146">
        <v>378</v>
      </c>
      <c r="P25" s="146">
        <v>367</v>
      </c>
      <c r="Q25" s="203">
        <v>410</v>
      </c>
      <c r="R25" s="203">
        <v>303</v>
      </c>
      <c r="S25" s="203">
        <v>396</v>
      </c>
      <c r="T25" s="118" t="e">
        <f t="shared" si="22"/>
        <v>#DIV/0!</v>
      </c>
      <c r="U25" s="31">
        <f t="shared" si="6"/>
        <v>0.15</v>
      </c>
      <c r="V25" s="152">
        <f t="shared" si="2"/>
        <v>455.4</v>
      </c>
      <c r="W25" s="152">
        <f t="shared" si="37"/>
        <v>523.70999999999992</v>
      </c>
      <c r="X25" s="152">
        <f t="shared" si="38"/>
        <v>602.26649999999984</v>
      </c>
      <c r="Y25" s="152">
        <f t="shared" si="39"/>
        <v>692.6064749999997</v>
      </c>
      <c r="Z25" s="152">
        <f t="shared" si="40"/>
        <v>796.4974462499996</v>
      </c>
      <c r="AA25" s="152">
        <f t="shared" si="41"/>
        <v>915.97206318749943</v>
      </c>
      <c r="AB25" s="152">
        <f t="shared" si="42"/>
        <v>1053.3678726656242</v>
      </c>
      <c r="AC25" s="152">
        <f t="shared" si="43"/>
        <v>1211.3730535654677</v>
      </c>
      <c r="AD25" s="152">
        <f t="shared" si="44"/>
        <v>1393.0790116002877</v>
      </c>
      <c r="AE25" s="152">
        <f t="shared" si="45"/>
        <v>1602.0408633403308</v>
      </c>
      <c r="AF25" s="137">
        <f t="shared" si="18"/>
        <v>0.17519128816353091</v>
      </c>
      <c r="AG25" s="31">
        <f t="shared" si="16"/>
        <v>0.05</v>
      </c>
      <c r="AH25" s="145">
        <f t="shared" si="1"/>
        <v>9894.9582735726326</v>
      </c>
    </row>
    <row r="26" spans="2:34" s="123" customFormat="1">
      <c r="B26" s="23"/>
      <c r="C26" s="147"/>
      <c r="D26" s="147"/>
      <c r="E26" s="148"/>
      <c r="F26" s="148"/>
      <c r="G26" s="226" t="e">
        <f>(G25-F25)/G25</f>
        <v>#DIV/0!</v>
      </c>
      <c r="H26" s="226">
        <f>(H25-G25)/H25</f>
        <v>1</v>
      </c>
      <c r="I26" s="226">
        <f t="shared" ref="I26:P26" si="66">(I25-H25)/I25</f>
        <v>0.99518518518518517</v>
      </c>
      <c r="J26" s="226">
        <f t="shared" si="66"/>
        <v>-0.31707317073170732</v>
      </c>
      <c r="K26" s="226">
        <f t="shared" si="66"/>
        <v>0.62037037037037035</v>
      </c>
      <c r="L26" s="226">
        <f t="shared" si="66"/>
        <v>2.7027027027027029E-2</v>
      </c>
      <c r="M26" s="226">
        <f t="shared" si="66"/>
        <v>0.22916666666666666</v>
      </c>
      <c r="N26" s="226">
        <f t="shared" si="66"/>
        <v>0.62105263157894741</v>
      </c>
      <c r="O26" s="226">
        <f t="shared" si="66"/>
        <v>-5.2910052910052907E-3</v>
      </c>
      <c r="P26" s="226">
        <f t="shared" si="66"/>
        <v>-2.9972752043596729E-2</v>
      </c>
      <c r="Q26" s="149">
        <f t="shared" ref="I26:S26" si="67">(Q25-P25)/P25</f>
        <v>0.11716621253405994</v>
      </c>
      <c r="R26" s="149">
        <f t="shared" si="67"/>
        <v>-0.26097560975609757</v>
      </c>
      <c r="S26" s="149">
        <f t="shared" si="67"/>
        <v>0.30693069306930693</v>
      </c>
      <c r="T26" s="128"/>
      <c r="U26" s="20"/>
      <c r="V26" s="152"/>
      <c r="W26" s="153"/>
      <c r="X26" s="153"/>
      <c r="Y26" s="153"/>
      <c r="Z26" s="153"/>
      <c r="AA26" s="153"/>
      <c r="AB26" s="153"/>
      <c r="AC26" s="153"/>
      <c r="AD26" s="153"/>
      <c r="AE26" s="153"/>
      <c r="AF26" s="119"/>
      <c r="AG26" s="136"/>
      <c r="AH26" s="152"/>
    </row>
    <row r="27" spans="2:34">
      <c r="B27" s="20" t="s">
        <v>261</v>
      </c>
      <c r="C27" s="140"/>
      <c r="D27" s="140"/>
      <c r="E27" s="146"/>
      <c r="F27" s="146"/>
      <c r="G27" s="146">
        <v>0.05</v>
      </c>
      <c r="H27" s="146">
        <v>0.05</v>
      </c>
      <c r="I27" s="146">
        <v>47</v>
      </c>
      <c r="J27" s="146">
        <v>16</v>
      </c>
      <c r="K27" s="146">
        <v>57</v>
      </c>
      <c r="L27" s="146">
        <v>58</v>
      </c>
      <c r="M27" s="146">
        <v>85</v>
      </c>
      <c r="N27" s="146">
        <v>188</v>
      </c>
      <c r="O27" s="146">
        <v>264</v>
      </c>
      <c r="P27" s="146">
        <v>259</v>
      </c>
      <c r="Q27" s="203">
        <v>243</v>
      </c>
      <c r="R27" s="203">
        <v>233</v>
      </c>
      <c r="S27" s="203">
        <v>257</v>
      </c>
      <c r="T27" s="118">
        <f t="shared" si="22"/>
        <v>1.0382006069590206</v>
      </c>
      <c r="U27" s="31">
        <f t="shared" si="6"/>
        <v>0.15</v>
      </c>
      <c r="V27" s="152">
        <f t="shared" si="2"/>
        <v>295.54999999999995</v>
      </c>
      <c r="W27" s="152">
        <f t="shared" si="37"/>
        <v>339.88249999999994</v>
      </c>
      <c r="X27" s="152">
        <f t="shared" si="38"/>
        <v>390.86487499999987</v>
      </c>
      <c r="Y27" s="152">
        <f t="shared" si="39"/>
        <v>449.49460624999983</v>
      </c>
      <c r="Z27" s="152">
        <f t="shared" si="40"/>
        <v>516.91879718749976</v>
      </c>
      <c r="AA27" s="152">
        <f t="shared" si="41"/>
        <v>594.45661676562463</v>
      </c>
      <c r="AB27" s="152">
        <f t="shared" si="42"/>
        <v>683.62510928046822</v>
      </c>
      <c r="AC27" s="152">
        <f t="shared" si="43"/>
        <v>786.16887567253843</v>
      </c>
      <c r="AD27" s="152">
        <f t="shared" si="44"/>
        <v>904.09420702341913</v>
      </c>
      <c r="AE27" s="152">
        <f t="shared" si="45"/>
        <v>1039.708338076932</v>
      </c>
      <c r="AF27" s="137">
        <f t="shared" si="18"/>
        <v>0.15888074257601237</v>
      </c>
      <c r="AG27" s="31">
        <f t="shared" si="16"/>
        <v>0.05</v>
      </c>
      <c r="AH27" s="145">
        <f t="shared" si="1"/>
        <v>6421.72797047517</v>
      </c>
    </row>
    <row r="28" spans="2:34" s="123" customFormat="1">
      <c r="B28" s="23"/>
      <c r="C28" s="147"/>
      <c r="D28" s="147"/>
      <c r="E28" s="148"/>
      <c r="F28" s="148"/>
      <c r="G28" s="226">
        <f t="shared" ref="G28:P28" si="68">(G27-F27)/G27</f>
        <v>1</v>
      </c>
      <c r="H28" s="226">
        <f t="shared" si="68"/>
        <v>0</v>
      </c>
      <c r="I28" s="226">
        <f t="shared" si="68"/>
        <v>0.99893617021276604</v>
      </c>
      <c r="J28" s="226">
        <f t="shared" si="68"/>
        <v>-1.9375</v>
      </c>
      <c r="K28" s="226">
        <f t="shared" si="68"/>
        <v>0.7192982456140351</v>
      </c>
      <c r="L28" s="226">
        <f t="shared" si="68"/>
        <v>1.7241379310344827E-2</v>
      </c>
      <c r="M28" s="226">
        <f t="shared" si="68"/>
        <v>0.31764705882352939</v>
      </c>
      <c r="N28" s="226">
        <f t="shared" si="68"/>
        <v>0.5478723404255319</v>
      </c>
      <c r="O28" s="226">
        <f t="shared" si="68"/>
        <v>0.2878787878787879</v>
      </c>
      <c r="P28" s="226">
        <f t="shared" si="68"/>
        <v>-1.9305019305019305E-2</v>
      </c>
      <c r="Q28" s="149">
        <f t="shared" ref="I28:S28" si="69">(Q27-P27)/P27</f>
        <v>-6.1776061776061778E-2</v>
      </c>
      <c r="R28" s="149">
        <f t="shared" si="69"/>
        <v>-4.1152263374485597E-2</v>
      </c>
      <c r="S28" s="149">
        <f t="shared" si="69"/>
        <v>0.10300429184549356</v>
      </c>
      <c r="T28" s="128"/>
      <c r="U28" s="20"/>
      <c r="V28" s="152"/>
      <c r="W28" s="153"/>
      <c r="X28" s="153"/>
      <c r="Y28" s="153"/>
      <c r="Z28" s="153"/>
      <c r="AA28" s="153"/>
      <c r="AB28" s="153"/>
      <c r="AC28" s="153"/>
      <c r="AD28" s="153"/>
      <c r="AE28" s="153"/>
      <c r="AF28" s="119"/>
      <c r="AG28" s="136"/>
      <c r="AH28" s="152"/>
    </row>
    <row r="29" spans="2:34" s="123" customFormat="1">
      <c r="B29" s="20" t="s">
        <v>320</v>
      </c>
      <c r="C29" s="147"/>
      <c r="D29" s="147"/>
      <c r="E29" s="148"/>
      <c r="F29" s="148"/>
      <c r="G29" s="146">
        <v>0.01</v>
      </c>
      <c r="H29" s="146">
        <v>0.01</v>
      </c>
      <c r="I29" s="146">
        <v>7.75</v>
      </c>
      <c r="J29" s="146">
        <v>27.32</v>
      </c>
      <c r="K29" s="146">
        <v>41</v>
      </c>
      <c r="L29" s="146"/>
      <c r="M29" s="146"/>
      <c r="N29" s="146"/>
      <c r="O29" s="146">
        <v>11</v>
      </c>
      <c r="P29" s="146">
        <v>15</v>
      </c>
      <c r="Q29" s="203">
        <v>33</v>
      </c>
      <c r="R29" s="203">
        <v>51</v>
      </c>
      <c r="S29" s="203">
        <v>41</v>
      </c>
      <c r="T29" s="118">
        <f t="shared" si="22"/>
        <v>1.0001626876119651</v>
      </c>
      <c r="U29" s="31">
        <f t="shared" si="6"/>
        <v>0.15</v>
      </c>
      <c r="V29" s="152">
        <f t="shared" si="2"/>
        <v>47.15</v>
      </c>
      <c r="W29" s="152">
        <f t="shared" ref="W29" si="70">V29*(1+$U29)</f>
        <v>54.222499999999997</v>
      </c>
      <c r="X29" s="152">
        <f t="shared" ref="X29" si="71">W29*(1+$U29)</f>
        <v>62.35587499999999</v>
      </c>
      <c r="Y29" s="152">
        <f t="shared" ref="Y29" si="72">X29*(1+$U29)</f>
        <v>71.709256249999981</v>
      </c>
      <c r="Z29" s="152">
        <f t="shared" ref="Z29" si="73">Y29*(1+$U29)</f>
        <v>82.465644687499974</v>
      </c>
      <c r="AA29" s="152">
        <f t="shared" ref="AA29" si="74">Z29*(1+$U29)</f>
        <v>94.835491390624966</v>
      </c>
      <c r="AB29" s="152">
        <f t="shared" ref="AB29" si="75">AA29*(1+$U29)</f>
        <v>109.0608150992187</v>
      </c>
      <c r="AC29" s="152">
        <f t="shared" ref="AC29" si="76">AB29*(1+$U29)</f>
        <v>125.4199373641015</v>
      </c>
      <c r="AD29" s="152">
        <f t="shared" ref="AD29" si="77">AC29*(1+$U29)</f>
        <v>144.23292796871672</v>
      </c>
      <c r="AE29" s="152">
        <f t="shared" ref="AE29" si="78">AD29*(1+$U29)</f>
        <v>165.8678671640242</v>
      </c>
      <c r="AF29" s="137">
        <f t="shared" ref="AF29" si="79">((AE29/I29)^(1/($AE$3-$J$1) ))-1</f>
        <v>0.15705836025697306</v>
      </c>
      <c r="AG29" s="31">
        <f t="shared" si="16"/>
        <v>0.05</v>
      </c>
      <c r="AH29" s="145">
        <f t="shared" ref="AH29" si="80">(AE29*(1+AG29))/($C$1-AG29)</f>
        <v>1024.4780030719144</v>
      </c>
    </row>
    <row r="30" spans="2:34" s="123" customFormat="1">
      <c r="B30" s="23"/>
      <c r="C30" s="147"/>
      <c r="D30" s="147"/>
      <c r="E30" s="148"/>
      <c r="F30" s="148"/>
      <c r="G30" s="226">
        <f t="shared" ref="G30:P30" si="81">(G29-F29)/G29</f>
        <v>1</v>
      </c>
      <c r="H30" s="226">
        <f t="shared" si="81"/>
        <v>0</v>
      </c>
      <c r="I30" s="226">
        <f t="shared" si="81"/>
        <v>0.9987096774193549</v>
      </c>
      <c r="J30" s="226">
        <f t="shared" si="81"/>
        <v>0.71632503660322111</v>
      </c>
      <c r="K30" s="226">
        <f t="shared" si="81"/>
        <v>0.33365853658536587</v>
      </c>
      <c r="L30" s="226" t="e">
        <f t="shared" si="81"/>
        <v>#DIV/0!</v>
      </c>
      <c r="M30" s="226" t="e">
        <f t="shared" si="81"/>
        <v>#DIV/0!</v>
      </c>
      <c r="N30" s="226" t="e">
        <f t="shared" si="81"/>
        <v>#DIV/0!</v>
      </c>
      <c r="O30" s="226">
        <f t="shared" si="81"/>
        <v>1</v>
      </c>
      <c r="P30" s="226">
        <f t="shared" si="81"/>
        <v>0.26666666666666666</v>
      </c>
      <c r="Q30" s="149">
        <f t="shared" ref="I30:S30" si="82">(Q29-P29)/P29</f>
        <v>1.2</v>
      </c>
      <c r="R30" s="149">
        <f t="shared" si="82"/>
        <v>0.54545454545454541</v>
      </c>
      <c r="S30" s="149">
        <f t="shared" si="82"/>
        <v>-0.19607843137254902</v>
      </c>
      <c r="T30" s="128"/>
      <c r="U30" s="20"/>
      <c r="V30" s="152"/>
      <c r="W30" s="153"/>
      <c r="X30" s="153"/>
      <c r="Y30" s="153"/>
      <c r="Z30" s="153"/>
      <c r="AA30" s="153"/>
      <c r="AB30" s="153"/>
      <c r="AC30" s="153"/>
      <c r="AD30" s="153"/>
      <c r="AE30" s="153"/>
      <c r="AF30" s="160"/>
      <c r="AG30" s="136"/>
      <c r="AH30" s="152"/>
    </row>
    <row r="31" spans="2:34">
      <c r="B31" s="20" t="s">
        <v>328</v>
      </c>
      <c r="C31" s="140"/>
      <c r="D31" s="140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203">
        <v>0</v>
      </c>
      <c r="R31" s="203">
        <v>0</v>
      </c>
      <c r="S31" s="203">
        <v>0</v>
      </c>
      <c r="T31" s="118" t="e">
        <f t="shared" si="22"/>
        <v>#DIV/0!</v>
      </c>
      <c r="U31" s="31">
        <f t="shared" si="6"/>
        <v>0.15</v>
      </c>
      <c r="V31" s="152">
        <f t="shared" si="2"/>
        <v>0</v>
      </c>
      <c r="W31" s="152">
        <f>V31*(1+$U31)</f>
        <v>0</v>
      </c>
      <c r="X31" s="152">
        <f t="shared" ref="X31:AE32" si="83">W31*(1+$U31)</f>
        <v>0</v>
      </c>
      <c r="Y31" s="152">
        <f t="shared" si="83"/>
        <v>0</v>
      </c>
      <c r="Z31" s="152">
        <f t="shared" si="83"/>
        <v>0</v>
      </c>
      <c r="AA31" s="152">
        <f t="shared" si="83"/>
        <v>0</v>
      </c>
      <c r="AB31" s="152">
        <f t="shared" si="83"/>
        <v>0</v>
      </c>
      <c r="AC31" s="152">
        <f t="shared" si="83"/>
        <v>0</v>
      </c>
      <c r="AD31" s="152">
        <f t="shared" si="83"/>
        <v>0</v>
      </c>
      <c r="AE31" s="152">
        <f t="shared" si="83"/>
        <v>0</v>
      </c>
      <c r="AF31" s="137" t="e">
        <f t="shared" ref="AF31" si="84">((AE31/I31)^(1/($AE$3-$J$1) ))-1</f>
        <v>#DIV/0!</v>
      </c>
      <c r="AG31" s="31">
        <f t="shared" si="16"/>
        <v>0.05</v>
      </c>
      <c r="AH31" s="145">
        <f t="shared" si="1"/>
        <v>0</v>
      </c>
    </row>
    <row r="32" spans="2:34">
      <c r="B32" s="20" t="s">
        <v>327</v>
      </c>
      <c r="C32" s="140"/>
      <c r="D32" s="140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203">
        <v>0</v>
      </c>
      <c r="R32" s="203">
        <v>0</v>
      </c>
      <c r="S32" s="203">
        <v>0</v>
      </c>
      <c r="T32" s="118" t="e">
        <f t="shared" si="22"/>
        <v>#DIV/0!</v>
      </c>
      <c r="U32" s="31">
        <f t="shared" si="6"/>
        <v>0.15</v>
      </c>
      <c r="V32" s="152">
        <f t="shared" si="2"/>
        <v>0</v>
      </c>
      <c r="W32" s="152">
        <f>V32*(1+$U32)</f>
        <v>0</v>
      </c>
      <c r="X32" s="152">
        <f t="shared" si="83"/>
        <v>0</v>
      </c>
      <c r="Y32" s="152">
        <f t="shared" si="83"/>
        <v>0</v>
      </c>
      <c r="Z32" s="152">
        <f t="shared" si="83"/>
        <v>0</v>
      </c>
      <c r="AA32" s="152">
        <f t="shared" si="83"/>
        <v>0</v>
      </c>
      <c r="AB32" s="152">
        <f t="shared" si="83"/>
        <v>0</v>
      </c>
      <c r="AC32" s="152">
        <f t="shared" si="83"/>
        <v>0</v>
      </c>
      <c r="AD32" s="152">
        <f t="shared" si="83"/>
        <v>0</v>
      </c>
      <c r="AE32" s="152">
        <f t="shared" si="83"/>
        <v>0</v>
      </c>
      <c r="AF32" s="137" t="e">
        <f t="shared" ref="AF32" si="85">((AE32/I32)^(1/($AE$3-$J$1) ))-1</f>
        <v>#DIV/0!</v>
      </c>
      <c r="AG32" s="31">
        <f t="shared" si="16"/>
        <v>0.05</v>
      </c>
      <c r="AH32" s="145">
        <f t="shared" si="1"/>
        <v>0</v>
      </c>
    </row>
    <row r="33" spans="1:34">
      <c r="B33" s="20" t="s">
        <v>486</v>
      </c>
      <c r="C33" s="140"/>
      <c r="D33" s="140"/>
      <c r="E33" s="146"/>
      <c r="F33" s="146"/>
      <c r="G33" s="146">
        <v>0.01</v>
      </c>
      <c r="H33" s="146">
        <v>0.01</v>
      </c>
      <c r="I33" s="146">
        <v>6</v>
      </c>
      <c r="J33" s="146">
        <v>0.32</v>
      </c>
      <c r="K33" s="146">
        <v>0.47</v>
      </c>
      <c r="L33" s="146">
        <v>2.2000000000000002</v>
      </c>
      <c r="M33" s="146">
        <v>11</v>
      </c>
      <c r="N33" s="146">
        <v>103</v>
      </c>
      <c r="O33" s="146">
        <v>155</v>
      </c>
      <c r="P33" s="146">
        <v>117</v>
      </c>
      <c r="Q33" s="203">
        <v>53</v>
      </c>
      <c r="R33" s="203">
        <v>25</v>
      </c>
      <c r="S33" s="203">
        <v>31</v>
      </c>
      <c r="T33" s="118">
        <f t="shared" si="22"/>
        <v>0.95410010387150845</v>
      </c>
      <c r="U33" s="31">
        <f t="shared" si="6"/>
        <v>0.15</v>
      </c>
      <c r="V33" s="152">
        <f t="shared" si="2"/>
        <v>35.65</v>
      </c>
      <c r="W33" s="152">
        <f t="shared" si="37"/>
        <v>40.997499999999995</v>
      </c>
      <c r="X33" s="152">
        <f t="shared" si="38"/>
        <v>47.147124999999988</v>
      </c>
      <c r="Y33" s="152">
        <f t="shared" si="39"/>
        <v>54.219193749999981</v>
      </c>
      <c r="Z33" s="152">
        <f t="shared" si="40"/>
        <v>62.352072812499976</v>
      </c>
      <c r="AA33" s="152">
        <f t="shared" si="41"/>
        <v>71.704883734374974</v>
      </c>
      <c r="AB33" s="152">
        <f t="shared" si="42"/>
        <v>82.460616294531221</v>
      </c>
      <c r="AC33" s="152">
        <f t="shared" si="43"/>
        <v>94.829708738710892</v>
      </c>
      <c r="AD33" s="152">
        <f t="shared" si="44"/>
        <v>109.05416504951752</v>
      </c>
      <c r="AE33" s="152">
        <f t="shared" si="45"/>
        <v>125.41228980694514</v>
      </c>
      <c r="AF33" s="137">
        <f t="shared" si="18"/>
        <v>0.15575594372925239</v>
      </c>
      <c r="AG33" s="31">
        <f t="shared" si="16"/>
        <v>0.05</v>
      </c>
      <c r="AH33" s="145">
        <f t="shared" si="1"/>
        <v>774.60531939583768</v>
      </c>
    </row>
    <row r="34" spans="1:34">
      <c r="B34" s="20" t="s">
        <v>307</v>
      </c>
      <c r="C34" s="140"/>
      <c r="D34" s="140"/>
      <c r="E34" s="146"/>
      <c r="F34" s="146"/>
      <c r="G34" s="146">
        <v>0.01</v>
      </c>
      <c r="H34" s="146">
        <v>0.01</v>
      </c>
      <c r="I34" s="146">
        <v>2.2400000000000002</v>
      </c>
      <c r="J34" s="146">
        <v>3</v>
      </c>
      <c r="K34" s="146">
        <v>4</v>
      </c>
      <c r="L34" s="146">
        <v>7.6</v>
      </c>
      <c r="M34" s="146">
        <v>20</v>
      </c>
      <c r="N34" s="146">
        <v>24</v>
      </c>
      <c r="O34" s="146">
        <v>32</v>
      </c>
      <c r="P34" s="146">
        <v>36</v>
      </c>
      <c r="Q34" s="203">
        <v>49</v>
      </c>
      <c r="R34" s="203">
        <v>53</v>
      </c>
      <c r="S34" s="203">
        <v>58</v>
      </c>
      <c r="T34" s="118">
        <f t="shared" si="22"/>
        <v>1.0588229439057932</v>
      </c>
      <c r="U34" s="31">
        <f t="shared" si="6"/>
        <v>0.15</v>
      </c>
      <c r="V34" s="152">
        <f t="shared" si="2"/>
        <v>66.699999999999989</v>
      </c>
      <c r="W34" s="152">
        <f t="shared" si="37"/>
        <v>76.704999999999984</v>
      </c>
      <c r="X34" s="152">
        <f t="shared" si="38"/>
        <v>88.210749999999976</v>
      </c>
      <c r="Y34" s="152">
        <f t="shared" si="39"/>
        <v>101.44236249999996</v>
      </c>
      <c r="Z34" s="152">
        <f t="shared" si="40"/>
        <v>116.65871687499994</v>
      </c>
      <c r="AA34" s="152">
        <f t="shared" si="41"/>
        <v>134.15752440624993</v>
      </c>
      <c r="AB34" s="152">
        <f t="shared" si="42"/>
        <v>154.2811530671874</v>
      </c>
      <c r="AC34" s="152">
        <f t="shared" si="43"/>
        <v>177.42332602726549</v>
      </c>
      <c r="AD34" s="152">
        <f t="shared" si="44"/>
        <v>204.03682493135528</v>
      </c>
      <c r="AE34" s="152">
        <f t="shared" si="45"/>
        <v>234.64234867105856</v>
      </c>
      <c r="AF34" s="137">
        <f t="shared" si="18"/>
        <v>0.2479523926520979</v>
      </c>
      <c r="AG34" s="31">
        <f t="shared" si="16"/>
        <v>0.05</v>
      </c>
      <c r="AH34" s="145">
        <f t="shared" si="1"/>
        <v>1449.2615653212442</v>
      </c>
    </row>
    <row r="35" spans="1:34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38"/>
      <c r="AG35" s="136"/>
      <c r="AH35" s="152"/>
    </row>
    <row r="36" spans="1:34">
      <c r="A36" s="205" t="s">
        <v>479</v>
      </c>
      <c r="B36" s="200" t="s">
        <v>473</v>
      </c>
      <c r="C36" s="140"/>
      <c r="D36" s="140"/>
      <c r="E36" s="146"/>
      <c r="F36" s="146"/>
      <c r="G36" s="203">
        <f t="shared" ref="G36:H36" si="86">H36</f>
        <v>0</v>
      </c>
      <c r="H36" s="203">
        <f t="shared" si="86"/>
        <v>0</v>
      </c>
      <c r="I36" s="203">
        <f>J36</f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118" t="e">
        <f t="shared" si="22"/>
        <v>#DIV/0!</v>
      </c>
      <c r="U36" s="31">
        <f t="shared" si="6"/>
        <v>0.15</v>
      </c>
      <c r="V36" s="152">
        <f t="shared" ref="V36:V49" si="87">S36*(1+$U36)</f>
        <v>0</v>
      </c>
      <c r="W36" s="152">
        <f t="shared" ref="W36:W49" si="88">V36*(1+$U36)</f>
        <v>0</v>
      </c>
      <c r="X36" s="152">
        <f t="shared" ref="X36:X49" si="89">W36*(1+$U36)</f>
        <v>0</v>
      </c>
      <c r="Y36" s="152">
        <f t="shared" ref="Y36:Y49" si="90">X36*(1+$U36)</f>
        <v>0</v>
      </c>
      <c r="Z36" s="152">
        <f t="shared" ref="Z36:Z49" si="91">Y36*(1+$U36)</f>
        <v>0</v>
      </c>
      <c r="AA36" s="152">
        <f t="shared" ref="AA36:AA49" si="92">Z36*(1+$U36)</f>
        <v>0</v>
      </c>
      <c r="AB36" s="152">
        <f t="shared" ref="AB36:AB49" si="93">AA36*(1+$U36)</f>
        <v>0</v>
      </c>
      <c r="AC36" s="152">
        <f t="shared" ref="AC36:AC49" si="94">AB36*(1+$U36)</f>
        <v>0</v>
      </c>
      <c r="AD36" s="152">
        <f t="shared" ref="AD36:AD49" si="95">AC36*(1+$U36)</f>
        <v>0</v>
      </c>
      <c r="AE36" s="152">
        <f t="shared" ref="AE36:AE49" si="96">AD36*(1+$U36)</f>
        <v>0</v>
      </c>
      <c r="AF36" s="137" t="e">
        <f t="shared" ref="AF36:AF49" si="97">((AE36/I36)^(1/($AE$3-$J$1) ))-1</f>
        <v>#DIV/0!</v>
      </c>
      <c r="AG36" s="31">
        <f t="shared" si="16"/>
        <v>0.05</v>
      </c>
      <c r="AH36" s="145">
        <f t="shared" ref="AH36:AH49" si="98">(AE36*(1+AG36))/($C$1-AG36)</f>
        <v>0</v>
      </c>
    </row>
    <row r="37" spans="1:34">
      <c r="A37" s="205"/>
      <c r="B37" s="200"/>
      <c r="C37" s="140"/>
      <c r="D37" s="140"/>
      <c r="E37" s="146"/>
      <c r="F37" s="146"/>
      <c r="G37" s="149" t="e">
        <f t="shared" ref="G37" si="99">(G36-F36)/F36</f>
        <v>#DIV/0!</v>
      </c>
      <c r="H37" s="149" t="e">
        <f t="shared" ref="H37" si="100">(H36-G36)/G36</f>
        <v>#DIV/0!</v>
      </c>
      <c r="I37" s="149" t="e">
        <f t="shared" ref="I37" si="101">(I36-H36)/H36</f>
        <v>#DIV/0!</v>
      </c>
      <c r="J37" s="149" t="e">
        <f t="shared" ref="J37" si="102">(J36-I36)/I36</f>
        <v>#DIV/0!</v>
      </c>
      <c r="K37" s="149" t="e">
        <f t="shared" ref="K37" si="103">(K36-J36)/J36</f>
        <v>#DIV/0!</v>
      </c>
      <c r="L37" s="149" t="e">
        <f t="shared" ref="L37" si="104">(L36-K36)/K36</f>
        <v>#DIV/0!</v>
      </c>
      <c r="M37" s="149" t="e">
        <f t="shared" ref="M37" si="105">(M36-L36)/L36</f>
        <v>#DIV/0!</v>
      </c>
      <c r="N37" s="149" t="e">
        <f t="shared" ref="N37" si="106">(N36-M36)/M36</f>
        <v>#DIV/0!</v>
      </c>
      <c r="O37" s="149" t="e">
        <f t="shared" ref="O37" si="107">(O36-N36)/N36</f>
        <v>#DIV/0!</v>
      </c>
      <c r="P37" s="149" t="e">
        <f t="shared" ref="P37" si="108">(P36-O36)/O36</f>
        <v>#DIV/0!</v>
      </c>
      <c r="Q37" s="149" t="e">
        <f t="shared" ref="Q37" si="109">(Q36-P36)/P36</f>
        <v>#DIV/0!</v>
      </c>
      <c r="R37" s="149" t="e">
        <f t="shared" ref="R37" si="110">(R36-Q36)/Q36</f>
        <v>#DIV/0!</v>
      </c>
      <c r="S37" s="149" t="e">
        <f t="shared" ref="S37" si="111">(S36-R36)/R36</f>
        <v>#DIV/0!</v>
      </c>
      <c r="T37" s="128"/>
      <c r="U37" s="20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45"/>
    </row>
    <row r="38" spans="1:34">
      <c r="A38" s="205"/>
      <c r="B38" s="200" t="s">
        <v>474</v>
      </c>
      <c r="C38" s="140"/>
      <c r="D38" s="140"/>
      <c r="E38" s="146"/>
      <c r="F38" s="146"/>
      <c r="G38" s="203">
        <f t="shared" ref="G38:H38" si="112">H38</f>
        <v>0</v>
      </c>
      <c r="H38" s="203">
        <f t="shared" si="112"/>
        <v>0</v>
      </c>
      <c r="I38" s="203">
        <f>J38</f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118" t="e">
        <f t="shared" si="22"/>
        <v>#DIV/0!</v>
      </c>
      <c r="U38" s="31">
        <f t="shared" si="6"/>
        <v>0.15</v>
      </c>
      <c r="V38" s="152">
        <f t="shared" si="87"/>
        <v>0</v>
      </c>
      <c r="W38" s="152">
        <f t="shared" si="88"/>
        <v>0</v>
      </c>
      <c r="X38" s="152">
        <f t="shared" si="89"/>
        <v>0</v>
      </c>
      <c r="Y38" s="152">
        <f t="shared" si="90"/>
        <v>0</v>
      </c>
      <c r="Z38" s="152">
        <f t="shared" si="91"/>
        <v>0</v>
      </c>
      <c r="AA38" s="152">
        <f t="shared" si="92"/>
        <v>0</v>
      </c>
      <c r="AB38" s="152">
        <f t="shared" si="93"/>
        <v>0</v>
      </c>
      <c r="AC38" s="152">
        <f t="shared" si="94"/>
        <v>0</v>
      </c>
      <c r="AD38" s="152">
        <f t="shared" si="95"/>
        <v>0</v>
      </c>
      <c r="AE38" s="152">
        <f t="shared" si="96"/>
        <v>0</v>
      </c>
      <c r="AF38" s="137" t="e">
        <f t="shared" si="97"/>
        <v>#DIV/0!</v>
      </c>
      <c r="AG38" s="31">
        <f t="shared" si="16"/>
        <v>0.05</v>
      </c>
      <c r="AH38" s="145">
        <f t="shared" si="98"/>
        <v>0</v>
      </c>
    </row>
    <row r="39" spans="1:34">
      <c r="A39" s="205"/>
      <c r="B39" s="200"/>
      <c r="C39" s="140"/>
      <c r="D39" s="140"/>
      <c r="E39" s="146"/>
      <c r="F39" s="146"/>
      <c r="G39" s="149" t="e">
        <f t="shared" ref="G39" si="113">(G38-F38)/F38</f>
        <v>#DIV/0!</v>
      </c>
      <c r="H39" s="149" t="e">
        <f t="shared" ref="H39" si="114">(H38-G38)/G38</f>
        <v>#DIV/0!</v>
      </c>
      <c r="I39" s="149" t="e">
        <f t="shared" ref="I39" si="115">(I38-H38)/H38</f>
        <v>#DIV/0!</v>
      </c>
      <c r="J39" s="149" t="e">
        <f t="shared" ref="J39" si="116">(J38-I38)/I38</f>
        <v>#DIV/0!</v>
      </c>
      <c r="K39" s="149" t="e">
        <f t="shared" ref="K39" si="117">(K38-J38)/J38</f>
        <v>#DIV/0!</v>
      </c>
      <c r="L39" s="149" t="e">
        <f t="shared" ref="L39" si="118">(L38-K38)/K38</f>
        <v>#DIV/0!</v>
      </c>
      <c r="M39" s="149" t="e">
        <f t="shared" ref="M39" si="119">(M38-L38)/L38</f>
        <v>#DIV/0!</v>
      </c>
      <c r="N39" s="149" t="e">
        <f t="shared" ref="N39" si="120">(N38-M38)/M38</f>
        <v>#DIV/0!</v>
      </c>
      <c r="O39" s="149" t="e">
        <f t="shared" ref="O39" si="121">(O38-N38)/N38</f>
        <v>#DIV/0!</v>
      </c>
      <c r="P39" s="149" t="e">
        <f t="shared" ref="P39" si="122">(P38-O38)/O38</f>
        <v>#DIV/0!</v>
      </c>
      <c r="Q39" s="149" t="e">
        <f t="shared" ref="Q39" si="123">(Q38-P38)/P38</f>
        <v>#DIV/0!</v>
      </c>
      <c r="R39" s="149" t="e">
        <f t="shared" ref="R39" si="124">(R38-Q38)/Q38</f>
        <v>#DIV/0!</v>
      </c>
      <c r="S39" s="149" t="e">
        <f t="shared" ref="S39" si="125">(S38-R38)/R38</f>
        <v>#DIV/0!</v>
      </c>
      <c r="T39" s="128"/>
      <c r="U39" s="20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45"/>
    </row>
    <row r="40" spans="1:34">
      <c r="A40" s="205"/>
      <c r="B40" s="200" t="s">
        <v>478</v>
      </c>
      <c r="C40" s="140"/>
      <c r="D40" s="140"/>
      <c r="E40" s="146"/>
      <c r="F40" s="146"/>
      <c r="G40" s="203">
        <f t="shared" ref="G40:H40" si="126">H40</f>
        <v>0</v>
      </c>
      <c r="H40" s="203">
        <f t="shared" si="126"/>
        <v>0</v>
      </c>
      <c r="I40" s="203">
        <f>J40</f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118" t="e">
        <f t="shared" si="22"/>
        <v>#DIV/0!</v>
      </c>
      <c r="U40" s="31">
        <f t="shared" si="6"/>
        <v>0.15</v>
      </c>
      <c r="V40" s="152">
        <f t="shared" si="87"/>
        <v>0</v>
      </c>
      <c r="W40" s="152">
        <f t="shared" si="88"/>
        <v>0</v>
      </c>
      <c r="X40" s="152">
        <f t="shared" si="89"/>
        <v>0</v>
      </c>
      <c r="Y40" s="152">
        <f t="shared" si="90"/>
        <v>0</v>
      </c>
      <c r="Z40" s="152">
        <f t="shared" si="91"/>
        <v>0</v>
      </c>
      <c r="AA40" s="152">
        <f t="shared" si="92"/>
        <v>0</v>
      </c>
      <c r="AB40" s="152">
        <f t="shared" si="93"/>
        <v>0</v>
      </c>
      <c r="AC40" s="152">
        <f t="shared" si="94"/>
        <v>0</v>
      </c>
      <c r="AD40" s="152">
        <f t="shared" si="95"/>
        <v>0</v>
      </c>
      <c r="AE40" s="152">
        <f t="shared" si="96"/>
        <v>0</v>
      </c>
      <c r="AF40" s="137" t="e">
        <f t="shared" si="97"/>
        <v>#DIV/0!</v>
      </c>
      <c r="AG40" s="31">
        <f t="shared" si="16"/>
        <v>0.05</v>
      </c>
      <c r="AH40" s="145">
        <f t="shared" si="98"/>
        <v>0</v>
      </c>
    </row>
    <row r="41" spans="1:34">
      <c r="A41" s="205"/>
      <c r="B41" s="200" t="s">
        <v>475</v>
      </c>
      <c r="C41" s="140"/>
      <c r="D41" s="140"/>
      <c r="E41" s="146"/>
      <c r="F41" s="146"/>
      <c r="G41" s="203">
        <f t="shared" ref="G41:H41" si="127">H41</f>
        <v>0</v>
      </c>
      <c r="H41" s="203">
        <f t="shared" si="127"/>
        <v>0</v>
      </c>
      <c r="I41" s="203">
        <f>J41</f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118" t="e">
        <f t="shared" si="22"/>
        <v>#DIV/0!</v>
      </c>
      <c r="U41" s="31">
        <f t="shared" si="6"/>
        <v>0.15</v>
      </c>
      <c r="V41" s="152">
        <f t="shared" si="87"/>
        <v>0</v>
      </c>
      <c r="W41" s="152">
        <f t="shared" si="88"/>
        <v>0</v>
      </c>
      <c r="X41" s="152">
        <f t="shared" si="89"/>
        <v>0</v>
      </c>
      <c r="Y41" s="152">
        <f t="shared" si="90"/>
        <v>0</v>
      </c>
      <c r="Z41" s="152">
        <f t="shared" si="91"/>
        <v>0</v>
      </c>
      <c r="AA41" s="152">
        <f t="shared" si="92"/>
        <v>0</v>
      </c>
      <c r="AB41" s="152">
        <f t="shared" si="93"/>
        <v>0</v>
      </c>
      <c r="AC41" s="152">
        <f t="shared" si="94"/>
        <v>0</v>
      </c>
      <c r="AD41" s="152">
        <f t="shared" si="95"/>
        <v>0</v>
      </c>
      <c r="AE41" s="152">
        <f t="shared" si="96"/>
        <v>0</v>
      </c>
      <c r="AF41" s="137" t="e">
        <f t="shared" si="97"/>
        <v>#DIV/0!</v>
      </c>
      <c r="AG41" s="31">
        <f t="shared" si="16"/>
        <v>0.05</v>
      </c>
      <c r="AH41" s="145">
        <f t="shared" si="98"/>
        <v>0</v>
      </c>
    </row>
    <row r="42" spans="1:34">
      <c r="A42" s="205"/>
      <c r="B42" s="200" t="s">
        <v>477</v>
      </c>
      <c r="C42" s="140"/>
      <c r="D42" s="140"/>
      <c r="E42" s="146"/>
      <c r="F42" s="146"/>
      <c r="G42" s="203">
        <f t="shared" ref="G42:H42" si="128">H42</f>
        <v>0</v>
      </c>
      <c r="H42" s="203">
        <f t="shared" si="128"/>
        <v>0</v>
      </c>
      <c r="I42" s="203">
        <f>J42</f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118" t="e">
        <f t="shared" si="22"/>
        <v>#DIV/0!</v>
      </c>
      <c r="U42" s="31">
        <f t="shared" si="6"/>
        <v>0.15</v>
      </c>
      <c r="V42" s="152">
        <f t="shared" si="87"/>
        <v>0</v>
      </c>
      <c r="W42" s="152">
        <f t="shared" si="88"/>
        <v>0</v>
      </c>
      <c r="X42" s="152">
        <f t="shared" si="89"/>
        <v>0</v>
      </c>
      <c r="Y42" s="152">
        <f t="shared" si="90"/>
        <v>0</v>
      </c>
      <c r="Z42" s="152">
        <f t="shared" si="91"/>
        <v>0</v>
      </c>
      <c r="AA42" s="152">
        <f t="shared" si="92"/>
        <v>0</v>
      </c>
      <c r="AB42" s="152">
        <f t="shared" si="93"/>
        <v>0</v>
      </c>
      <c r="AC42" s="152">
        <f t="shared" si="94"/>
        <v>0</v>
      </c>
      <c r="AD42" s="152">
        <f t="shared" si="95"/>
        <v>0</v>
      </c>
      <c r="AE42" s="152">
        <f t="shared" si="96"/>
        <v>0</v>
      </c>
      <c r="AF42" s="137" t="e">
        <f t="shared" si="97"/>
        <v>#DIV/0!</v>
      </c>
      <c r="AG42" s="31">
        <f t="shared" si="16"/>
        <v>0.05</v>
      </c>
      <c r="AH42" s="145">
        <f t="shared" si="98"/>
        <v>0</v>
      </c>
    </row>
    <row r="43" spans="1:34">
      <c r="A43" s="205"/>
      <c r="B43" s="200" t="s">
        <v>476</v>
      </c>
      <c r="C43" s="140"/>
      <c r="D43" s="140"/>
      <c r="E43" s="146"/>
      <c r="F43" s="146"/>
      <c r="G43" s="203">
        <f t="shared" ref="G43:H43" si="129">H43</f>
        <v>0</v>
      </c>
      <c r="H43" s="203">
        <f t="shared" si="129"/>
        <v>0</v>
      </c>
      <c r="I43" s="203">
        <f>J43</f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118" t="e">
        <f t="shared" si="22"/>
        <v>#DIV/0!</v>
      </c>
      <c r="U43" s="31">
        <f t="shared" si="6"/>
        <v>0.15</v>
      </c>
      <c r="V43" s="152">
        <f t="shared" si="87"/>
        <v>0</v>
      </c>
      <c r="W43" s="152">
        <f t="shared" si="88"/>
        <v>0</v>
      </c>
      <c r="X43" s="152">
        <f t="shared" si="89"/>
        <v>0</v>
      </c>
      <c r="Y43" s="152">
        <f t="shared" si="90"/>
        <v>0</v>
      </c>
      <c r="Z43" s="152">
        <f t="shared" si="91"/>
        <v>0</v>
      </c>
      <c r="AA43" s="152">
        <f t="shared" si="92"/>
        <v>0</v>
      </c>
      <c r="AB43" s="152">
        <f t="shared" si="93"/>
        <v>0</v>
      </c>
      <c r="AC43" s="152">
        <f t="shared" si="94"/>
        <v>0</v>
      </c>
      <c r="AD43" s="152">
        <f t="shared" si="95"/>
        <v>0</v>
      </c>
      <c r="AE43" s="152">
        <f t="shared" si="96"/>
        <v>0</v>
      </c>
      <c r="AF43" s="137" t="e">
        <f t="shared" si="97"/>
        <v>#DIV/0!</v>
      </c>
      <c r="AG43" s="31">
        <f t="shared" si="16"/>
        <v>0.05</v>
      </c>
      <c r="AH43" s="145">
        <f t="shared" si="98"/>
        <v>0</v>
      </c>
    </row>
    <row r="44" spans="1:34">
      <c r="A44" s="205"/>
      <c r="B44" s="200"/>
      <c r="C44" s="140"/>
      <c r="D44" s="140"/>
      <c r="E44" s="146"/>
      <c r="F44" s="146"/>
      <c r="G44" s="149" t="e">
        <f t="shared" ref="G44" si="130">(G43-F43)/F43</f>
        <v>#DIV/0!</v>
      </c>
      <c r="H44" s="149" t="e">
        <f t="shared" ref="H44" si="131">(H43-G43)/G43</f>
        <v>#DIV/0!</v>
      </c>
      <c r="I44" s="149" t="e">
        <f t="shared" ref="I44" si="132">(I43-H43)/H43</f>
        <v>#DIV/0!</v>
      </c>
      <c r="J44" s="149" t="e">
        <f t="shared" ref="J44" si="133">(J43-I43)/I43</f>
        <v>#DIV/0!</v>
      </c>
      <c r="K44" s="149" t="e">
        <f t="shared" ref="K44" si="134">(K43-J43)/J43</f>
        <v>#DIV/0!</v>
      </c>
      <c r="L44" s="149" t="e">
        <f t="shared" ref="L44" si="135">(L43-K43)/K43</f>
        <v>#DIV/0!</v>
      </c>
      <c r="M44" s="149" t="e">
        <f t="shared" ref="M44" si="136">(M43-L43)/L43</f>
        <v>#DIV/0!</v>
      </c>
      <c r="N44" s="149" t="e">
        <f t="shared" ref="N44" si="137">(N43-M43)/M43</f>
        <v>#DIV/0!</v>
      </c>
      <c r="O44" s="149" t="e">
        <f t="shared" ref="O44" si="138">(O43-N43)/N43</f>
        <v>#DIV/0!</v>
      </c>
      <c r="P44" s="149" t="e">
        <f t="shared" ref="P44" si="139">(P43-O43)/O43</f>
        <v>#DIV/0!</v>
      </c>
      <c r="Q44" s="149" t="e">
        <f t="shared" ref="Q44" si="140">(Q43-P43)/P43</f>
        <v>#DIV/0!</v>
      </c>
      <c r="R44" s="149" t="e">
        <f t="shared" ref="R44" si="141">(R43-Q43)/Q43</f>
        <v>#DIV/0!</v>
      </c>
      <c r="S44" s="149" t="e">
        <f t="shared" ref="S44" si="142">(S43-R43)/R43</f>
        <v>#DIV/0!</v>
      </c>
      <c r="T44" s="128"/>
      <c r="U44" s="20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45"/>
    </row>
    <row r="45" spans="1:34">
      <c r="A45" s="205"/>
      <c r="B45" s="200" t="s">
        <v>218</v>
      </c>
      <c r="C45" s="140"/>
      <c r="D45" s="140"/>
      <c r="E45" s="146"/>
      <c r="F45" s="146"/>
      <c r="G45" s="203">
        <f t="shared" ref="G45:H45" si="143">H45</f>
        <v>0</v>
      </c>
      <c r="H45" s="203">
        <f t="shared" si="143"/>
        <v>0</v>
      </c>
      <c r="I45" s="203">
        <f>J45</f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118" t="e">
        <f t="shared" si="22"/>
        <v>#DIV/0!</v>
      </c>
      <c r="U45" s="31">
        <f t="shared" si="6"/>
        <v>0.15</v>
      </c>
      <c r="V45" s="152">
        <f t="shared" si="87"/>
        <v>0</v>
      </c>
      <c r="W45" s="152">
        <f t="shared" si="88"/>
        <v>0</v>
      </c>
      <c r="X45" s="152">
        <f t="shared" si="89"/>
        <v>0</v>
      </c>
      <c r="Y45" s="152">
        <f t="shared" si="90"/>
        <v>0</v>
      </c>
      <c r="Z45" s="152">
        <f t="shared" si="91"/>
        <v>0</v>
      </c>
      <c r="AA45" s="152">
        <f t="shared" si="92"/>
        <v>0</v>
      </c>
      <c r="AB45" s="152">
        <f t="shared" si="93"/>
        <v>0</v>
      </c>
      <c r="AC45" s="152">
        <f t="shared" si="94"/>
        <v>0</v>
      </c>
      <c r="AD45" s="152">
        <f t="shared" si="95"/>
        <v>0</v>
      </c>
      <c r="AE45" s="152">
        <f t="shared" si="96"/>
        <v>0</v>
      </c>
      <c r="AF45" s="137" t="e">
        <f t="shared" si="97"/>
        <v>#DIV/0!</v>
      </c>
      <c r="AG45" s="31">
        <f t="shared" si="16"/>
        <v>0.05</v>
      </c>
      <c r="AH45" s="145">
        <f t="shared" si="98"/>
        <v>0</v>
      </c>
    </row>
    <row r="46" spans="1:34">
      <c r="A46" s="201"/>
      <c r="B46" s="200"/>
      <c r="C46" s="140"/>
      <c r="D46" s="140"/>
      <c r="E46" s="146"/>
      <c r="F46" s="146"/>
      <c r="G46" s="149" t="e">
        <f t="shared" ref="G46" si="144">(G45-F45)/F45</f>
        <v>#DIV/0!</v>
      </c>
      <c r="H46" s="149" t="e">
        <f t="shared" ref="H46" si="145">(H45-G45)/G45</f>
        <v>#DIV/0!</v>
      </c>
      <c r="I46" s="149" t="e">
        <f t="shared" ref="I46" si="146">(I45-H45)/H45</f>
        <v>#DIV/0!</v>
      </c>
      <c r="J46" s="149" t="e">
        <f t="shared" ref="J46" si="147">(J45-I45)/I45</f>
        <v>#DIV/0!</v>
      </c>
      <c r="K46" s="149" t="e">
        <f t="shared" ref="K46" si="148">(K45-J45)/J45</f>
        <v>#DIV/0!</v>
      </c>
      <c r="L46" s="149" t="e">
        <f t="shared" ref="L46" si="149">(L45-K45)/K45</f>
        <v>#DIV/0!</v>
      </c>
      <c r="M46" s="149" t="e">
        <f t="shared" ref="M46" si="150">(M45-L45)/L45</f>
        <v>#DIV/0!</v>
      </c>
      <c r="N46" s="149" t="e">
        <f t="shared" ref="N46" si="151">(N45-M45)/M45</f>
        <v>#DIV/0!</v>
      </c>
      <c r="O46" s="149" t="e">
        <f t="shared" ref="O46" si="152">(O45-N45)/N45</f>
        <v>#DIV/0!</v>
      </c>
      <c r="P46" s="149" t="e">
        <f t="shared" ref="P46" si="153">(P45-O45)/O45</f>
        <v>#DIV/0!</v>
      </c>
      <c r="Q46" s="149" t="e">
        <f t="shared" ref="Q46" si="154">(Q45-P45)/P45</f>
        <v>#DIV/0!</v>
      </c>
      <c r="R46" s="149" t="e">
        <f t="shared" ref="R46" si="155">(R45-Q45)/Q45</f>
        <v>#DIV/0!</v>
      </c>
      <c r="S46" s="149" t="e">
        <f t="shared" ref="S46" si="156">(S45-R45)/R45</f>
        <v>#DIV/0!</v>
      </c>
      <c r="T46" s="128"/>
      <c r="U46" s="20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45"/>
    </row>
    <row r="47" spans="1:34">
      <c r="A47" s="201"/>
      <c r="B47" s="200" t="s">
        <v>490</v>
      </c>
      <c r="C47" s="140"/>
      <c r="D47" s="140"/>
      <c r="E47" s="146"/>
      <c r="F47" s="146"/>
      <c r="G47" s="203">
        <f t="shared" ref="G47:H47" si="157">H47</f>
        <v>0</v>
      </c>
      <c r="H47" s="203">
        <f t="shared" si="157"/>
        <v>0</v>
      </c>
      <c r="I47" s="203">
        <f>J47</f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118" t="e">
        <f t="shared" si="22"/>
        <v>#DIV/0!</v>
      </c>
      <c r="U47" s="31">
        <f t="shared" si="6"/>
        <v>0.15</v>
      </c>
      <c r="V47" s="152">
        <f t="shared" ref="V47" si="158">S47*(1+$U47)</f>
        <v>0</v>
      </c>
      <c r="W47" s="152">
        <f t="shared" ref="W47" si="159">V47*(1+$U47)</f>
        <v>0</v>
      </c>
      <c r="X47" s="152">
        <f t="shared" ref="X47" si="160">W47*(1+$U47)</f>
        <v>0</v>
      </c>
      <c r="Y47" s="152">
        <f t="shared" ref="Y47" si="161">X47*(1+$U47)</f>
        <v>0</v>
      </c>
      <c r="Z47" s="152">
        <f t="shared" ref="Z47" si="162">Y47*(1+$U47)</f>
        <v>0</v>
      </c>
      <c r="AA47" s="152">
        <f t="shared" ref="AA47" si="163">Z47*(1+$U47)</f>
        <v>0</v>
      </c>
      <c r="AB47" s="152">
        <f t="shared" ref="AB47" si="164">AA47*(1+$U47)</f>
        <v>0</v>
      </c>
      <c r="AC47" s="152">
        <f t="shared" ref="AC47" si="165">AB47*(1+$U47)</f>
        <v>0</v>
      </c>
      <c r="AD47" s="152">
        <f t="shared" ref="AD47" si="166">AC47*(1+$U47)</f>
        <v>0</v>
      </c>
      <c r="AE47" s="152">
        <f t="shared" ref="AE47" si="167">AD47*(1+$U47)</f>
        <v>0</v>
      </c>
      <c r="AF47" s="137" t="e">
        <f t="shared" ref="AF47" si="168">((AE47/I47)^(1/($AE$3-$J$1) ))-1</f>
        <v>#DIV/0!</v>
      </c>
      <c r="AG47" s="31">
        <f t="shared" si="16"/>
        <v>0.05</v>
      </c>
      <c r="AH47" s="145">
        <f t="shared" si="98"/>
        <v>0</v>
      </c>
    </row>
    <row r="48" spans="1:34">
      <c r="A48" s="201"/>
      <c r="B48" s="200"/>
      <c r="C48" s="140"/>
      <c r="D48" s="140"/>
      <c r="E48" s="146"/>
      <c r="F48" s="146"/>
      <c r="G48" s="149" t="e">
        <f t="shared" ref="G48" si="169">(G47-F47)/F47</f>
        <v>#DIV/0!</v>
      </c>
      <c r="H48" s="149" t="e">
        <f t="shared" ref="H48" si="170">(H47-G47)/G47</f>
        <v>#DIV/0!</v>
      </c>
      <c r="I48" s="149" t="e">
        <f t="shared" ref="I48" si="171">(I47-H47)/H47</f>
        <v>#DIV/0!</v>
      </c>
      <c r="J48" s="149" t="e">
        <f t="shared" ref="J48" si="172">(J47-I47)/I47</f>
        <v>#DIV/0!</v>
      </c>
      <c r="K48" s="149" t="e">
        <f t="shared" ref="K48" si="173">(K47-J47)/J47</f>
        <v>#DIV/0!</v>
      </c>
      <c r="L48" s="149" t="e">
        <f t="shared" ref="L48" si="174">(L47-K47)/K47</f>
        <v>#DIV/0!</v>
      </c>
      <c r="M48" s="149" t="e">
        <f t="shared" ref="M48" si="175">(M47-L47)/L47</f>
        <v>#DIV/0!</v>
      </c>
      <c r="N48" s="149" t="e">
        <f t="shared" ref="N48" si="176">(N47-M47)/M47</f>
        <v>#DIV/0!</v>
      </c>
      <c r="O48" s="149" t="e">
        <f t="shared" ref="O48" si="177">(O47-N47)/N47</f>
        <v>#DIV/0!</v>
      </c>
      <c r="P48" s="149" t="e">
        <f t="shared" ref="P48" si="178">(P47-O47)/O47</f>
        <v>#DIV/0!</v>
      </c>
      <c r="Q48" s="149" t="e">
        <f t="shared" ref="Q48" si="179">(Q47-P47)/P47</f>
        <v>#DIV/0!</v>
      </c>
      <c r="R48" s="149" t="e">
        <f t="shared" ref="R48" si="180">(R47-Q47)/Q47</f>
        <v>#DIV/0!</v>
      </c>
      <c r="S48" s="149" t="e">
        <f t="shared" ref="S48" si="181">(S47-R47)/R47</f>
        <v>#DIV/0!</v>
      </c>
      <c r="T48" s="128"/>
      <c r="U48" s="20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45"/>
    </row>
    <row r="49" spans="1:34">
      <c r="A49" s="201"/>
      <c r="B49" s="200" t="s">
        <v>480</v>
      </c>
      <c r="C49" s="140"/>
      <c r="D49" s="140"/>
      <c r="E49" s="146"/>
      <c r="F49" s="146"/>
      <c r="G49" s="203">
        <f t="shared" ref="G49:H49" si="182">H49</f>
        <v>0</v>
      </c>
      <c r="H49" s="203">
        <f t="shared" si="182"/>
        <v>0</v>
      </c>
      <c r="I49" s="203">
        <f>J49</f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118" t="e">
        <f t="shared" si="22"/>
        <v>#DIV/0!</v>
      </c>
      <c r="U49" s="31">
        <f t="shared" si="6"/>
        <v>0.15</v>
      </c>
      <c r="V49" s="152">
        <f t="shared" si="87"/>
        <v>0</v>
      </c>
      <c r="W49" s="152">
        <f t="shared" si="88"/>
        <v>0</v>
      </c>
      <c r="X49" s="152">
        <f t="shared" si="89"/>
        <v>0</v>
      </c>
      <c r="Y49" s="152">
        <f t="shared" si="90"/>
        <v>0</v>
      </c>
      <c r="Z49" s="152">
        <f t="shared" si="91"/>
        <v>0</v>
      </c>
      <c r="AA49" s="152">
        <f t="shared" si="92"/>
        <v>0</v>
      </c>
      <c r="AB49" s="152">
        <f t="shared" si="93"/>
        <v>0</v>
      </c>
      <c r="AC49" s="152">
        <f t="shared" si="94"/>
        <v>0</v>
      </c>
      <c r="AD49" s="152">
        <f t="shared" si="95"/>
        <v>0</v>
      </c>
      <c r="AE49" s="152">
        <f t="shared" si="96"/>
        <v>0</v>
      </c>
      <c r="AF49" s="137" t="e">
        <f t="shared" si="97"/>
        <v>#DIV/0!</v>
      </c>
      <c r="AG49" s="31">
        <f t="shared" si="16"/>
        <v>0.05</v>
      </c>
      <c r="AH49" s="145">
        <f t="shared" si="98"/>
        <v>0</v>
      </c>
    </row>
    <row r="50" spans="1:34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28"/>
      <c r="U50" s="20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38"/>
      <c r="AG50" s="136"/>
      <c r="AH50" s="152"/>
    </row>
    <row r="51" spans="1:34">
      <c r="B51" s="20" t="s">
        <v>278</v>
      </c>
      <c r="C51" s="140"/>
      <c r="D51" s="140"/>
      <c r="E51" s="146"/>
      <c r="F51" s="146"/>
      <c r="G51" s="146">
        <v>0.32</v>
      </c>
      <c r="H51" s="146">
        <v>0.32</v>
      </c>
      <c r="I51" s="146">
        <v>-11</v>
      </c>
      <c r="J51" s="146">
        <v>23</v>
      </c>
      <c r="K51" s="146">
        <v>47</v>
      </c>
      <c r="L51" s="146">
        <v>43</v>
      </c>
      <c r="M51" s="146">
        <v>48</v>
      </c>
      <c r="N51" s="146">
        <v>187</v>
      </c>
      <c r="O51" s="146">
        <v>100</v>
      </c>
      <c r="P51" s="146">
        <v>85</v>
      </c>
      <c r="Q51" s="203">
        <v>150</v>
      </c>
      <c r="R51" s="203">
        <v>66</v>
      </c>
      <c r="S51" s="203">
        <v>123</v>
      </c>
      <c r="T51" s="118">
        <f t="shared" si="22"/>
        <v>0.64208737125586013</v>
      </c>
      <c r="U51" s="31">
        <f t="shared" si="6"/>
        <v>0.15</v>
      </c>
      <c r="V51" s="152">
        <f t="shared" si="2"/>
        <v>141.44999999999999</v>
      </c>
      <c r="W51" s="152">
        <f t="shared" ref="W51" si="183">V51*(1+$U51)</f>
        <v>162.66749999999996</v>
      </c>
      <c r="X51" s="152">
        <f t="shared" ref="X51" si="184">W51*(1+$U51)</f>
        <v>187.06762499999994</v>
      </c>
      <c r="Y51" s="152">
        <f t="shared" ref="Y51" si="185">X51*(1+$U51)</f>
        <v>215.12776874999992</v>
      </c>
      <c r="Z51" s="152">
        <f t="shared" si="40"/>
        <v>247.39693406249989</v>
      </c>
      <c r="AA51" s="152">
        <f t="shared" si="41"/>
        <v>284.50647417187486</v>
      </c>
      <c r="AB51" s="152">
        <f t="shared" si="42"/>
        <v>327.18244529765605</v>
      </c>
      <c r="AC51" s="152">
        <f t="shared" si="43"/>
        <v>376.2598120923044</v>
      </c>
      <c r="AD51" s="152">
        <f t="shared" si="44"/>
        <v>432.69878390615003</v>
      </c>
      <c r="AE51" s="152">
        <f t="shared" si="45"/>
        <v>497.60360149207247</v>
      </c>
      <c r="AF51" s="137">
        <f t="shared" si="18"/>
        <v>-2.1990378609852765</v>
      </c>
      <c r="AG51" s="31">
        <f t="shared" si="16"/>
        <v>0.05</v>
      </c>
      <c r="AH51" s="145">
        <f t="shared" si="1"/>
        <v>3073.4340092157422</v>
      </c>
    </row>
    <row r="52" spans="1:34" s="123" customFormat="1">
      <c r="B52" s="23"/>
      <c r="C52" s="147"/>
      <c r="D52" s="147"/>
      <c r="E52" s="148"/>
      <c r="F52" s="148"/>
      <c r="G52" s="226">
        <f t="shared" ref="G52:P52" si="186">(G51-F51)/G51</f>
        <v>1</v>
      </c>
      <c r="H52" s="226">
        <f t="shared" si="186"/>
        <v>0</v>
      </c>
      <c r="I52" s="226">
        <f t="shared" si="186"/>
        <v>1.0290909090909091</v>
      </c>
      <c r="J52" s="226">
        <f t="shared" si="186"/>
        <v>1.4782608695652173</v>
      </c>
      <c r="K52" s="226">
        <f t="shared" si="186"/>
        <v>0.51063829787234039</v>
      </c>
      <c r="L52" s="226">
        <f t="shared" si="186"/>
        <v>-9.3023255813953487E-2</v>
      </c>
      <c r="M52" s="226">
        <f t="shared" si="186"/>
        <v>0.10416666666666667</v>
      </c>
      <c r="N52" s="226">
        <f t="shared" si="186"/>
        <v>0.74331550802139035</v>
      </c>
      <c r="O52" s="226">
        <f t="shared" si="186"/>
        <v>-0.87</v>
      </c>
      <c r="P52" s="226">
        <f t="shared" si="186"/>
        <v>-0.17647058823529413</v>
      </c>
      <c r="Q52" s="149">
        <f t="shared" ref="I52:S52" si="187">(Q51-P51)/P51</f>
        <v>0.76470588235294112</v>
      </c>
      <c r="R52" s="149">
        <f t="shared" si="187"/>
        <v>-0.56000000000000005</v>
      </c>
      <c r="S52" s="149">
        <f t="shared" si="187"/>
        <v>0.86363636363636365</v>
      </c>
      <c r="T52" s="128"/>
      <c r="U52" s="20"/>
      <c r="V52" s="152"/>
      <c r="W52" s="153"/>
      <c r="X52" s="153"/>
      <c r="Y52" s="153"/>
      <c r="Z52" s="153"/>
      <c r="AA52" s="153"/>
      <c r="AB52" s="153"/>
      <c r="AC52" s="153"/>
      <c r="AD52" s="153"/>
      <c r="AE52" s="153"/>
      <c r="AF52" s="138"/>
      <c r="AG52" s="136"/>
      <c r="AH52" s="154"/>
    </row>
    <row r="53" spans="1:34" s="123" customFormat="1">
      <c r="B53" s="20" t="s">
        <v>396</v>
      </c>
      <c r="C53" s="147"/>
      <c r="D53" s="147"/>
      <c r="E53" s="148"/>
      <c r="F53" s="148"/>
      <c r="G53" s="146">
        <v>0.32</v>
      </c>
      <c r="H53" s="146">
        <v>0.21</v>
      </c>
      <c r="I53" s="146">
        <v>2.84</v>
      </c>
      <c r="J53" s="146">
        <v>18.53</v>
      </c>
      <c r="K53" s="146">
        <v>33</v>
      </c>
      <c r="L53" s="146">
        <v>15</v>
      </c>
      <c r="M53" s="146">
        <v>22</v>
      </c>
      <c r="N53" s="146">
        <v>172</v>
      </c>
      <c r="O53" s="146">
        <v>96</v>
      </c>
      <c r="P53" s="146">
        <v>85</v>
      </c>
      <c r="Q53" s="203">
        <v>117</v>
      </c>
      <c r="R53" s="203">
        <v>-17</v>
      </c>
      <c r="S53" s="203">
        <v>60</v>
      </c>
      <c r="T53" s="118">
        <f t="shared" si="22"/>
        <v>0.54673806174787898</v>
      </c>
      <c r="U53" s="31">
        <f t="shared" si="6"/>
        <v>0.15</v>
      </c>
      <c r="V53" s="152">
        <f t="shared" si="2"/>
        <v>69</v>
      </c>
      <c r="W53" s="152">
        <f t="shared" ref="W53" si="188">V53*(1+$U53)</f>
        <v>79.349999999999994</v>
      </c>
      <c r="X53" s="152">
        <f t="shared" ref="X53" si="189">W53*(1+$U53)</f>
        <v>91.252499999999984</v>
      </c>
      <c r="Y53" s="152">
        <f t="shared" ref="Y53" si="190">X53*(1+$U53)</f>
        <v>104.94037499999997</v>
      </c>
      <c r="Z53" s="152">
        <f t="shared" ref="Z53" si="191">Y53*(1+$U53)</f>
        <v>120.68143124999996</v>
      </c>
      <c r="AA53" s="152">
        <f t="shared" ref="AA53" si="192">Z53*(1+$U53)</f>
        <v>138.78364593749995</v>
      </c>
      <c r="AB53" s="152">
        <f t="shared" ref="AB53" si="193">AA53*(1+$U53)</f>
        <v>159.60119282812494</v>
      </c>
      <c r="AC53" s="152">
        <f t="shared" ref="AC53" si="194">AB53*(1+$U53)</f>
        <v>183.54137175234365</v>
      </c>
      <c r="AD53" s="152">
        <f t="shared" ref="AD53" si="195">AC53*(1+$U53)</f>
        <v>211.07257751519518</v>
      </c>
      <c r="AE53" s="152">
        <f t="shared" ref="AE53" si="196">AD53*(1+$U53)</f>
        <v>242.73346414247445</v>
      </c>
      <c r="AF53" s="137">
        <f t="shared" ref="AF53" si="197">((AE53/I53)^(1/($AE$3-$J$1) ))-1</f>
        <v>0.23592186337714116</v>
      </c>
      <c r="AG53" s="31">
        <f t="shared" si="16"/>
        <v>0.05</v>
      </c>
      <c r="AH53" s="145">
        <f t="shared" ref="AH53" si="198">(AE53*(1+AG53))/($C$1-AG53)</f>
        <v>1499.2361020564599</v>
      </c>
    </row>
    <row r="54" spans="1:34" s="123" customFormat="1">
      <c r="B54" s="23"/>
      <c r="C54" s="147"/>
      <c r="D54" s="147"/>
      <c r="E54" s="148"/>
      <c r="F54" s="148"/>
      <c r="G54" s="226">
        <f t="shared" ref="G54:P54" si="199">(G53-F53)/G53</f>
        <v>1</v>
      </c>
      <c r="H54" s="226">
        <f t="shared" si="199"/>
        <v>-0.52380952380952395</v>
      </c>
      <c r="I54" s="226">
        <f t="shared" si="199"/>
        <v>0.926056338028169</v>
      </c>
      <c r="J54" s="226">
        <f t="shared" si="199"/>
        <v>0.8467350242849434</v>
      </c>
      <c r="K54" s="226">
        <f t="shared" si="199"/>
        <v>0.43848484848484848</v>
      </c>
      <c r="L54" s="226">
        <f t="shared" si="199"/>
        <v>-1.2</v>
      </c>
      <c r="M54" s="226">
        <f t="shared" si="199"/>
        <v>0.31818181818181818</v>
      </c>
      <c r="N54" s="226">
        <f t="shared" si="199"/>
        <v>0.87209302325581395</v>
      </c>
      <c r="O54" s="226">
        <f t="shared" si="199"/>
        <v>-0.79166666666666663</v>
      </c>
      <c r="P54" s="226">
        <f t="shared" si="199"/>
        <v>-0.12941176470588237</v>
      </c>
      <c r="Q54" s="149">
        <f t="shared" ref="I54:S54" si="200">(Q53-P53)/P53</f>
        <v>0.37647058823529411</v>
      </c>
      <c r="R54" s="149">
        <f t="shared" si="200"/>
        <v>-1.1452991452991452</v>
      </c>
      <c r="S54" s="149">
        <f t="shared" si="200"/>
        <v>-4.5294117647058822</v>
      </c>
      <c r="T54" s="128"/>
      <c r="U54" s="20"/>
      <c r="V54" s="152"/>
      <c r="W54" s="153"/>
      <c r="X54" s="153"/>
      <c r="Y54" s="153"/>
      <c r="Z54" s="153"/>
      <c r="AA54" s="153"/>
      <c r="AB54" s="153"/>
      <c r="AC54" s="153"/>
      <c r="AD54" s="153"/>
      <c r="AE54" s="153"/>
      <c r="AF54" s="138"/>
      <c r="AG54" s="136"/>
      <c r="AH54" s="154"/>
    </row>
    <row r="55" spans="1:34">
      <c r="B55" s="20" t="s">
        <v>397</v>
      </c>
      <c r="C55" s="140"/>
      <c r="D55" s="140"/>
      <c r="E55" s="146"/>
      <c r="F55" s="146"/>
      <c r="G55" s="146">
        <v>0.28000000000000003</v>
      </c>
      <c r="H55" s="146">
        <v>0.09</v>
      </c>
      <c r="I55" s="146">
        <v>3</v>
      </c>
      <c r="J55" s="146">
        <v>20</v>
      </c>
      <c r="K55" s="146">
        <v>23</v>
      </c>
      <c r="L55" s="146">
        <v>10</v>
      </c>
      <c r="M55" s="146">
        <v>13</v>
      </c>
      <c r="N55" s="146">
        <v>165</v>
      </c>
      <c r="O55" s="146">
        <v>67</v>
      </c>
      <c r="P55" s="146">
        <v>50.96</v>
      </c>
      <c r="Q55" s="203">
        <v>65</v>
      </c>
      <c r="R55" s="203">
        <v>-28</v>
      </c>
      <c r="S55" s="203">
        <v>39</v>
      </c>
      <c r="T55" s="118">
        <f t="shared" si="22"/>
        <v>0.5088945201243551</v>
      </c>
      <c r="U55" s="31">
        <f t="shared" si="6"/>
        <v>0.15</v>
      </c>
      <c r="V55" s="152">
        <f t="shared" si="2"/>
        <v>44.849999999999994</v>
      </c>
      <c r="W55" s="152">
        <f t="shared" ref="W55:AE55" si="201">V55*(1+$U55)</f>
        <v>51.577499999999986</v>
      </c>
      <c r="X55" s="152">
        <f t="shared" si="201"/>
        <v>59.314124999999983</v>
      </c>
      <c r="Y55" s="152">
        <f t="shared" si="201"/>
        <v>68.21124374999998</v>
      </c>
      <c r="Z55" s="152">
        <f t="shared" si="201"/>
        <v>78.442930312499968</v>
      </c>
      <c r="AA55" s="152">
        <f t="shared" si="201"/>
        <v>90.209369859374959</v>
      </c>
      <c r="AB55" s="152">
        <f t="shared" si="201"/>
        <v>103.7407753382812</v>
      </c>
      <c r="AC55" s="152">
        <f t="shared" si="201"/>
        <v>119.30189163902337</v>
      </c>
      <c r="AD55" s="152">
        <f t="shared" si="201"/>
        <v>137.19717538487686</v>
      </c>
      <c r="AE55" s="152">
        <f t="shared" si="201"/>
        <v>157.77675169260837</v>
      </c>
      <c r="AF55" s="137">
        <f t="shared" si="18"/>
        <v>0.2076710483809443</v>
      </c>
      <c r="AG55" s="31">
        <f t="shared" si="16"/>
        <v>0.05</v>
      </c>
      <c r="AH55" s="145">
        <f t="shared" si="1"/>
        <v>974.50346633669892</v>
      </c>
    </row>
    <row r="56" spans="1:34" s="123" customFormat="1">
      <c r="B56" s="23"/>
      <c r="C56" s="147"/>
      <c r="D56" s="147"/>
      <c r="E56" s="148"/>
      <c r="F56" s="148"/>
      <c r="G56" s="149" t="e">
        <f t="shared" ref="G56" si="202">(G55-F55)/F55</f>
        <v>#DIV/0!</v>
      </c>
      <c r="H56" s="149">
        <f t="shared" ref="H56" si="203">(H55-G55)/G55</f>
        <v>-0.6785714285714286</v>
      </c>
      <c r="I56" s="149">
        <f t="shared" ref="I56:S56" si="204">(I55-H55)/H55</f>
        <v>32.333333333333336</v>
      </c>
      <c r="J56" s="149">
        <f t="shared" si="204"/>
        <v>5.666666666666667</v>
      </c>
      <c r="K56" s="149">
        <f t="shared" si="204"/>
        <v>0.15</v>
      </c>
      <c r="L56" s="149">
        <f t="shared" si="204"/>
        <v>-0.56521739130434778</v>
      </c>
      <c r="M56" s="149">
        <f t="shared" si="204"/>
        <v>0.3</v>
      </c>
      <c r="N56" s="149">
        <f t="shared" si="204"/>
        <v>11.692307692307692</v>
      </c>
      <c r="O56" s="149">
        <f t="shared" si="204"/>
        <v>-0.59393939393939399</v>
      </c>
      <c r="P56" s="149">
        <f t="shared" si="204"/>
        <v>-0.23940298507462685</v>
      </c>
      <c r="Q56" s="149">
        <f t="shared" si="204"/>
        <v>0.27551020408163263</v>
      </c>
      <c r="R56" s="149">
        <f t="shared" si="204"/>
        <v>-1.4307692307692308</v>
      </c>
      <c r="S56" s="149">
        <f t="shared" si="204"/>
        <v>-2.3928571428571428</v>
      </c>
      <c r="T56" s="128"/>
      <c r="U56" s="20"/>
      <c r="V56" s="152"/>
      <c r="W56" s="153"/>
      <c r="X56" s="153"/>
      <c r="Y56" s="153"/>
      <c r="Z56" s="153"/>
      <c r="AA56" s="153"/>
      <c r="AB56" s="153"/>
      <c r="AC56" s="153"/>
      <c r="AD56" s="153"/>
      <c r="AE56" s="153"/>
      <c r="AF56" s="138"/>
      <c r="AG56" s="136"/>
      <c r="AH56" s="154"/>
    </row>
    <row r="57" spans="1:34">
      <c r="B57" s="20" t="s">
        <v>239</v>
      </c>
      <c r="C57" s="141"/>
      <c r="D57" s="141"/>
      <c r="E57" s="144"/>
      <c r="F57" s="144"/>
      <c r="G57" s="146">
        <v>0.4</v>
      </c>
      <c r="H57" s="146">
        <v>0.4</v>
      </c>
      <c r="I57" s="146">
        <v>1.05</v>
      </c>
      <c r="J57" s="146">
        <v>1.05</v>
      </c>
      <c r="K57" s="146">
        <v>13.55</v>
      </c>
      <c r="L57" s="146">
        <v>13.55</v>
      </c>
      <c r="M57" s="146">
        <v>16.71</v>
      </c>
      <c r="N57" s="146">
        <v>20.18</v>
      </c>
      <c r="O57" s="146">
        <v>22.39</v>
      </c>
      <c r="P57" s="146">
        <v>22.68</v>
      </c>
      <c r="Q57" s="203">
        <v>22.75</v>
      </c>
      <c r="R57" s="203">
        <v>23.06</v>
      </c>
      <c r="S57" s="203">
        <v>23.06</v>
      </c>
      <c r="T57" s="118">
        <f t="shared" si="22"/>
        <v>0.40195242433053258</v>
      </c>
      <c r="U57" s="31">
        <v>0.05</v>
      </c>
      <c r="V57" s="152">
        <f t="shared" si="2"/>
        <v>24.213000000000001</v>
      </c>
      <c r="W57" s="152">
        <f>V57*(1+$U57)</f>
        <v>25.423650000000002</v>
      </c>
      <c r="X57" s="152">
        <f t="shared" ref="X57:AE57" si="205">W57*(1+$U57)</f>
        <v>26.694832500000004</v>
      </c>
      <c r="Y57" s="152">
        <f t="shared" si="205"/>
        <v>28.029574125000007</v>
      </c>
      <c r="Z57" s="152">
        <f t="shared" si="205"/>
        <v>29.43105283125001</v>
      </c>
      <c r="AA57" s="152">
        <f t="shared" si="205"/>
        <v>30.902605472812514</v>
      </c>
      <c r="AB57" s="152">
        <f t="shared" si="205"/>
        <v>32.447735746453141</v>
      </c>
      <c r="AC57" s="152">
        <f t="shared" si="205"/>
        <v>34.070122533775802</v>
      </c>
      <c r="AD57" s="152">
        <f t="shared" si="205"/>
        <v>35.773628660464595</v>
      </c>
      <c r="AE57" s="152">
        <f t="shared" si="205"/>
        <v>37.562310093487824</v>
      </c>
      <c r="AF57" s="137">
        <f t="shared" si="18"/>
        <v>0.18571193188595814</v>
      </c>
      <c r="AG57" s="31">
        <f t="shared" si="16"/>
        <v>0.05</v>
      </c>
      <c r="AH57" s="145">
        <f t="shared" si="1"/>
        <v>232.00250351860129</v>
      </c>
    </row>
    <row r="58" spans="1:34">
      <c r="B58" s="20"/>
      <c r="C58" s="141"/>
      <c r="D58" s="141"/>
      <c r="E58" s="142"/>
      <c r="F58" s="142"/>
      <c r="G58" s="149" t="e">
        <f t="shared" ref="G58" si="206">(G57-F57)/F57</f>
        <v>#DIV/0!</v>
      </c>
      <c r="H58" s="149">
        <f t="shared" ref="H58" si="207">(H57-G57)/G57</f>
        <v>0</v>
      </c>
      <c r="I58" s="149">
        <f t="shared" ref="I58:S58" si="208">(I57-H57)/H57</f>
        <v>1.625</v>
      </c>
      <c r="J58" s="149">
        <f t="shared" si="208"/>
        <v>0</v>
      </c>
      <c r="K58" s="149">
        <f t="shared" si="208"/>
        <v>11.904761904761905</v>
      </c>
      <c r="L58" s="149">
        <f t="shared" si="208"/>
        <v>0</v>
      </c>
      <c r="M58" s="149">
        <f t="shared" si="208"/>
        <v>0.23321033210332104</v>
      </c>
      <c r="N58" s="149">
        <f t="shared" si="208"/>
        <v>0.2076600837821663</v>
      </c>
      <c r="O58" s="149">
        <f t="shared" si="208"/>
        <v>0.10951437066402384</v>
      </c>
      <c r="P58" s="149">
        <f t="shared" si="208"/>
        <v>1.2952210808396567E-2</v>
      </c>
      <c r="Q58" s="149">
        <f t="shared" si="208"/>
        <v>3.0864197530864322E-3</v>
      </c>
      <c r="R58" s="149">
        <f t="shared" si="208"/>
        <v>1.362637362637357E-2</v>
      </c>
      <c r="S58" s="149">
        <f t="shared" si="208"/>
        <v>0</v>
      </c>
      <c r="T58" s="128"/>
      <c r="U58" s="20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38"/>
      <c r="AG58" s="136"/>
      <c r="AH58" s="145"/>
    </row>
    <row r="59" spans="1:34">
      <c r="B59" s="20" t="s">
        <v>282</v>
      </c>
      <c r="C59" s="144"/>
      <c r="D59" s="144"/>
      <c r="E59" s="144"/>
      <c r="F59" s="144"/>
      <c r="G59" s="146">
        <v>0.01</v>
      </c>
      <c r="H59" s="146">
        <v>0.01</v>
      </c>
      <c r="I59" s="146">
        <v>0.01</v>
      </c>
      <c r="J59" s="146">
        <v>5</v>
      </c>
      <c r="K59" s="229">
        <v>0.4</v>
      </c>
      <c r="L59" s="229">
        <v>0.2</v>
      </c>
      <c r="M59" s="229">
        <v>0.25</v>
      </c>
      <c r="N59" s="229">
        <v>0.3</v>
      </c>
      <c r="O59" s="229">
        <v>0.35</v>
      </c>
      <c r="P59" s="229">
        <v>0.25</v>
      </c>
      <c r="Q59" s="229">
        <v>0.25</v>
      </c>
      <c r="R59" s="229">
        <v>0.1</v>
      </c>
      <c r="S59" s="229">
        <v>0.2</v>
      </c>
      <c r="T59" s="118">
        <f t="shared" si="22"/>
        <v>0.28356884211251621</v>
      </c>
      <c r="U59" s="31">
        <f>R1</f>
        <v>0.05</v>
      </c>
      <c r="V59" s="152">
        <f t="shared" si="2"/>
        <v>0.21000000000000002</v>
      </c>
      <c r="W59" s="152">
        <f t="shared" ref="W59" si="209">V59*(1+$U59)</f>
        <v>0.22050000000000003</v>
      </c>
      <c r="X59" s="152">
        <f t="shared" ref="X59" si="210">W59*(1+$U59)</f>
        <v>0.23152500000000004</v>
      </c>
      <c r="Y59" s="152">
        <f t="shared" ref="Y59" si="211">X59*(1+$U59)</f>
        <v>0.24310125000000005</v>
      </c>
      <c r="Z59" s="152">
        <f t="shared" ref="Z59" si="212">Y59*(1+$U59)</f>
        <v>0.25525631250000008</v>
      </c>
      <c r="AA59" s="152">
        <f t="shared" ref="AA59" si="213">Z59*(1+$U59)</f>
        <v>0.26801912812500012</v>
      </c>
      <c r="AB59" s="152">
        <f t="shared" ref="AB59" si="214">AA59*(1+$U59)</f>
        <v>0.28142008453125011</v>
      </c>
      <c r="AC59" s="152">
        <f t="shared" ref="AC59" si="215">AB59*(1+$U59)</f>
        <v>0.29549108875781266</v>
      </c>
      <c r="AD59" s="152">
        <f t="shared" ref="AD59" si="216">AC59*(1+$U59)</f>
        <v>0.31026564319570332</v>
      </c>
      <c r="AE59" s="152">
        <f t="shared" ref="AE59" si="217">AD59*(1+$U59)</f>
        <v>0.32577892535548852</v>
      </c>
      <c r="AF59" s="137">
        <f t="shared" ref="AF59" si="218">((AE59/I59)^(1/($AE$3-$J$1) ))-1</f>
        <v>0.18044009321581944</v>
      </c>
      <c r="AG59" s="31">
        <f t="shared" si="16"/>
        <v>0.05</v>
      </c>
      <c r="AH59" s="145">
        <f t="shared" si="1"/>
        <v>2.0121639507250766</v>
      </c>
    </row>
    <row r="60" spans="1:34">
      <c r="B60" s="20"/>
      <c r="C60" s="144"/>
      <c r="D60" s="144"/>
      <c r="E60" s="144"/>
      <c r="F60" s="144"/>
      <c r="G60" s="149" t="e">
        <f t="shared" ref="G60" si="219">(G59-F59)/F59</f>
        <v>#DIV/0!</v>
      </c>
      <c r="H60" s="149">
        <f t="shared" ref="H60" si="220">(H59-G59)/G59</f>
        <v>0</v>
      </c>
      <c r="I60" s="149">
        <f t="shared" ref="I60:S60" si="221">(I59-H59)/H59</f>
        <v>0</v>
      </c>
      <c r="J60" s="149">
        <f t="shared" si="221"/>
        <v>499</v>
      </c>
      <c r="K60" s="149">
        <f t="shared" si="221"/>
        <v>-0.91999999999999993</v>
      </c>
      <c r="L60" s="149">
        <f t="shared" si="221"/>
        <v>-0.5</v>
      </c>
      <c r="M60" s="149">
        <f t="shared" si="221"/>
        <v>0.24999999999999994</v>
      </c>
      <c r="N60" s="149">
        <f t="shared" si="221"/>
        <v>0.19999999999999996</v>
      </c>
      <c r="O60" s="149">
        <f t="shared" si="221"/>
        <v>0.16666666666666663</v>
      </c>
      <c r="P60" s="149">
        <f t="shared" si="221"/>
        <v>-0.28571428571428564</v>
      </c>
      <c r="Q60" s="149">
        <f t="shared" si="221"/>
        <v>0</v>
      </c>
      <c r="R60" s="149">
        <f t="shared" si="221"/>
        <v>-0.6</v>
      </c>
      <c r="S60" s="149">
        <f t="shared" si="221"/>
        <v>1</v>
      </c>
      <c r="T60" s="128"/>
      <c r="U60" s="20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38"/>
      <c r="AG60" s="136"/>
      <c r="AH60" s="145"/>
    </row>
    <row r="61" spans="1:34">
      <c r="B61" s="20" t="s">
        <v>422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228" t="s">
        <v>495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28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38"/>
      <c r="AG61" s="136"/>
      <c r="AH61" s="152"/>
    </row>
    <row r="62" spans="1:34">
      <c r="B62" s="20" t="s">
        <v>420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28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38"/>
      <c r="AG62" s="136"/>
      <c r="AH62" s="152"/>
    </row>
    <row r="63" spans="1:34">
      <c r="B63" s="20" t="s">
        <v>421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46">
        <v>0</v>
      </c>
      <c r="U63" s="128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38"/>
      <c r="AG63" s="136"/>
      <c r="AH63" s="152"/>
    </row>
    <row r="64" spans="1:34">
      <c r="B64" s="20"/>
      <c r="C64" s="20"/>
      <c r="D64" s="20"/>
      <c r="E64" s="127"/>
      <c r="F64" s="127"/>
      <c r="G64" s="127"/>
      <c r="H64" s="127"/>
      <c r="I64" s="127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38"/>
      <c r="AG64" s="136"/>
      <c r="AH64" s="152"/>
    </row>
    <row r="65" spans="2:34">
      <c r="B65" s="108" t="s">
        <v>243</v>
      </c>
      <c r="C65" s="20"/>
      <c r="D65" s="20"/>
      <c r="E65" s="127"/>
      <c r="F65" s="127"/>
      <c r="G65" s="127"/>
      <c r="H65" s="127"/>
      <c r="I65" s="127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38"/>
      <c r="AG65" s="136"/>
      <c r="AH65" s="152"/>
    </row>
    <row r="66" spans="2:34">
      <c r="B66" s="20" t="s">
        <v>302</v>
      </c>
      <c r="C66" s="133"/>
      <c r="D66" s="133"/>
      <c r="E66" s="133"/>
      <c r="F66" s="133"/>
      <c r="G66" s="133">
        <f t="shared" ref="G66:H66" si="222">G25/G57</f>
        <v>0</v>
      </c>
      <c r="H66" s="133">
        <f t="shared" si="222"/>
        <v>0.65</v>
      </c>
      <c r="I66" s="133">
        <f t="shared" ref="I66:R66" si="223">I25/I57</f>
        <v>51.428571428571423</v>
      </c>
      <c r="J66" s="133">
        <f t="shared" si="223"/>
        <v>39.047619047619044</v>
      </c>
      <c r="K66" s="133">
        <f t="shared" si="223"/>
        <v>7.9704797047970475</v>
      </c>
      <c r="L66" s="133">
        <f t="shared" si="223"/>
        <v>8.1918819188191883</v>
      </c>
      <c r="M66" s="133">
        <f t="shared" si="223"/>
        <v>8.6175942549371634</v>
      </c>
      <c r="N66" s="133">
        <f t="shared" si="223"/>
        <v>18.830525272547078</v>
      </c>
      <c r="O66" s="133">
        <f t="shared" si="223"/>
        <v>16.882536846806609</v>
      </c>
      <c r="P66" s="133">
        <f t="shared" si="223"/>
        <v>16.181657848324516</v>
      </c>
      <c r="Q66" s="133">
        <f t="shared" si="223"/>
        <v>18.021978021978022</v>
      </c>
      <c r="R66" s="133">
        <f t="shared" si="223"/>
        <v>13.139635732870772</v>
      </c>
      <c r="S66" s="133">
        <f t="shared" ref="S66" si="224">S25/S57</f>
        <v>17.172593235039031</v>
      </c>
      <c r="T66" s="118" t="e">
        <f t="shared" ref="T66:T68" si="225">((S66/G66)^(1/($J$2-$J$1) ))-1</f>
        <v>#DIV/0!</v>
      </c>
      <c r="U66" s="128"/>
      <c r="V66" s="156">
        <f t="shared" ref="V66:AE66" si="226">V25/V57</f>
        <v>18.808078305042745</v>
      </c>
      <c r="W66" s="156">
        <f t="shared" si="226"/>
        <v>20.599323857903954</v>
      </c>
      <c r="X66" s="156">
        <f t="shared" si="226"/>
        <v>22.561164225323374</v>
      </c>
      <c r="Y66" s="156">
        <f t="shared" si="226"/>
        <v>24.709846532497025</v>
      </c>
      <c r="Z66" s="156">
        <f t="shared" si="226"/>
        <v>27.063165249877688</v>
      </c>
      <c r="AA66" s="156">
        <f t="shared" si="226"/>
        <v>29.640609559389841</v>
      </c>
      <c r="AB66" s="156">
        <f t="shared" si="226"/>
        <v>32.463524755522201</v>
      </c>
      <c r="AC66" s="156">
        <f t="shared" si="226"/>
        <v>35.55528901795288</v>
      </c>
      <c r="AD66" s="156">
        <f t="shared" si="226"/>
        <v>38.941507019662666</v>
      </c>
      <c r="AE66" s="156">
        <f t="shared" si="226"/>
        <v>42.65022197391626</v>
      </c>
      <c r="AF66" s="137">
        <f t="shared" ref="AF66" si="227">((AE66/I66)^(1/($AE$3-$J$1) ))-1</f>
        <v>-8.8728496690535508E-3</v>
      </c>
      <c r="AG66" s="31">
        <f t="shared" si="16"/>
        <v>0.05</v>
      </c>
      <c r="AH66" s="145">
        <f t="shared" ref="AH66:AH67" si="228">(AE66*(1+AG66))/($C$1-AG66)</f>
        <v>263.42784160360048</v>
      </c>
    </row>
    <row r="67" spans="2:34">
      <c r="B67" s="20" t="s">
        <v>303</v>
      </c>
      <c r="C67" s="133"/>
      <c r="D67" s="133"/>
      <c r="E67" s="133"/>
      <c r="F67" s="133"/>
      <c r="G67" s="133">
        <f t="shared" ref="G67:H67" si="229">G27/G57</f>
        <v>0.125</v>
      </c>
      <c r="H67" s="133">
        <f t="shared" si="229"/>
        <v>0.125</v>
      </c>
      <c r="I67" s="133">
        <f t="shared" ref="I67:R67" si="230">I27/I57</f>
        <v>44.761904761904759</v>
      </c>
      <c r="J67" s="133">
        <f t="shared" si="230"/>
        <v>15.238095238095237</v>
      </c>
      <c r="K67" s="133">
        <f t="shared" si="230"/>
        <v>4.2066420664206641</v>
      </c>
      <c r="L67" s="133">
        <f t="shared" si="230"/>
        <v>4.280442804428044</v>
      </c>
      <c r="M67" s="133">
        <f t="shared" si="230"/>
        <v>5.0867743865948531</v>
      </c>
      <c r="N67" s="133">
        <f t="shared" si="230"/>
        <v>9.3161546085232914</v>
      </c>
      <c r="O67" s="133">
        <f t="shared" si="230"/>
        <v>11.790978115230013</v>
      </c>
      <c r="P67" s="133">
        <f t="shared" si="230"/>
        <v>11.419753086419753</v>
      </c>
      <c r="Q67" s="133">
        <f t="shared" si="230"/>
        <v>10.681318681318681</v>
      </c>
      <c r="R67" s="133">
        <f t="shared" si="230"/>
        <v>10.104076322636601</v>
      </c>
      <c r="S67" s="133">
        <f t="shared" ref="S67" si="231">S27/S57</f>
        <v>11.144839549002603</v>
      </c>
      <c r="T67" s="118">
        <f t="shared" si="225"/>
        <v>0.45383008123996249</v>
      </c>
      <c r="U67" s="128"/>
      <c r="V67" s="156">
        <f t="shared" ref="V67:AE67" si="232">V27/V57</f>
        <v>12.206252839383799</v>
      </c>
      <c r="W67" s="156">
        <f t="shared" si="232"/>
        <v>13.368753109801304</v>
      </c>
      <c r="X67" s="156">
        <f t="shared" si="232"/>
        <v>14.641967691687139</v>
      </c>
      <c r="Y67" s="156">
        <f t="shared" si="232"/>
        <v>16.036440805181151</v>
      </c>
      <c r="Z67" s="156">
        <f t="shared" si="232"/>
        <v>17.563720881865066</v>
      </c>
      <c r="AA67" s="156">
        <f t="shared" si="232"/>
        <v>19.236456203947448</v>
      </c>
      <c r="AB67" s="156">
        <f t="shared" si="232"/>
        <v>21.068499651942439</v>
      </c>
      <c r="AC67" s="156">
        <f t="shared" si="232"/>
        <v>23.075023428317905</v>
      </c>
      <c r="AD67" s="156">
        <f t="shared" si="232"/>
        <v>25.27264470720532</v>
      </c>
      <c r="AE67" s="156">
        <f t="shared" si="232"/>
        <v>27.679563250748686</v>
      </c>
      <c r="AF67" s="137">
        <f t="shared" ref="AF67" si="233">((AE67/I67)^(1/($AE$3-$J$1) ))-1</f>
        <v>-2.2628758797483828E-2</v>
      </c>
      <c r="AG67" s="31">
        <f t="shared" si="16"/>
        <v>0.05</v>
      </c>
      <c r="AH67" s="145">
        <f t="shared" si="228"/>
        <v>170.9620083134478</v>
      </c>
    </row>
    <row r="68" spans="2:34">
      <c r="B68" s="20" t="s">
        <v>423</v>
      </c>
      <c r="C68" s="133"/>
      <c r="D68" s="133"/>
      <c r="E68" s="133"/>
      <c r="F68" s="133"/>
      <c r="G68" s="133">
        <f t="shared" ref="G68:H68" si="234">G53-G55</f>
        <v>3.999999999999998E-2</v>
      </c>
      <c r="H68" s="133">
        <f t="shared" si="234"/>
        <v>0.12</v>
      </c>
      <c r="I68" s="133">
        <f>I53-I55</f>
        <v>-0.16000000000000014</v>
      </c>
      <c r="J68" s="133">
        <f t="shared" ref="J68:R68" si="235">J53-J55</f>
        <v>-1.4699999999999989</v>
      </c>
      <c r="K68" s="133">
        <f t="shared" si="235"/>
        <v>10</v>
      </c>
      <c r="L68" s="133">
        <f t="shared" si="235"/>
        <v>5</v>
      </c>
      <c r="M68" s="133">
        <f t="shared" si="235"/>
        <v>9</v>
      </c>
      <c r="N68" s="133">
        <f t="shared" si="235"/>
        <v>7</v>
      </c>
      <c r="O68" s="133">
        <f t="shared" si="235"/>
        <v>29</v>
      </c>
      <c r="P68" s="133">
        <f t="shared" si="235"/>
        <v>34.04</v>
      </c>
      <c r="Q68" s="133">
        <f t="shared" si="235"/>
        <v>52</v>
      </c>
      <c r="R68" s="133">
        <f t="shared" si="235"/>
        <v>11</v>
      </c>
      <c r="S68" s="133">
        <f t="shared" ref="S68" si="236">S53-S55</f>
        <v>21</v>
      </c>
      <c r="T68" s="118">
        <f t="shared" si="225"/>
        <v>0.68531055964447818</v>
      </c>
      <c r="U68" s="128"/>
      <c r="V68" s="133">
        <f t="shared" ref="V68:AE68" si="237">V53-V55</f>
        <v>24.150000000000006</v>
      </c>
      <c r="W68" s="133">
        <f t="shared" si="237"/>
        <v>27.772500000000008</v>
      </c>
      <c r="X68" s="133">
        <f t="shared" si="237"/>
        <v>31.938375000000001</v>
      </c>
      <c r="Y68" s="133">
        <f t="shared" si="237"/>
        <v>36.729131249999995</v>
      </c>
      <c r="Z68" s="133">
        <f t="shared" si="237"/>
        <v>42.238500937499992</v>
      </c>
      <c r="AA68" s="133">
        <f t="shared" si="237"/>
        <v>48.574276078124996</v>
      </c>
      <c r="AB68" s="133">
        <f t="shared" si="237"/>
        <v>55.860417489843741</v>
      </c>
      <c r="AC68" s="133">
        <f t="shared" si="237"/>
        <v>64.239480113320283</v>
      </c>
      <c r="AD68" s="133">
        <f t="shared" si="237"/>
        <v>73.875402130318321</v>
      </c>
      <c r="AE68" s="133">
        <f t="shared" si="237"/>
        <v>84.956712449866075</v>
      </c>
      <c r="AF68" s="137">
        <f t="shared" ref="AF68" si="238">((AE68/I68)^(1/($AE$3-$J$1) ))-1</f>
        <v>-2.3482350258590752</v>
      </c>
      <c r="AG68" s="31">
        <f t="shared" si="16"/>
        <v>0.05</v>
      </c>
      <c r="AH68" s="145">
        <f t="shared" ref="AH68" si="239">(AE68*(1+AG68))/($C$1-AG68)</f>
        <v>524.73263571976111</v>
      </c>
    </row>
    <row r="69" spans="2:34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28"/>
      <c r="U69" s="128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19"/>
      <c r="AG69" s="136"/>
      <c r="AH69" s="145"/>
    </row>
    <row r="70" spans="2:34">
      <c r="B70" s="20" t="s">
        <v>457</v>
      </c>
      <c r="C70" s="133"/>
      <c r="D70" s="133"/>
      <c r="E70" s="133"/>
      <c r="F70" s="133"/>
      <c r="G70" s="25">
        <f t="shared" ref="G70:H70" si="240">G51/G57</f>
        <v>0.79999999999999993</v>
      </c>
      <c r="H70" s="25">
        <f t="shared" si="240"/>
        <v>0.79999999999999993</v>
      </c>
      <c r="I70" s="25">
        <f t="shared" ref="I70:R70" si="241">I51/I57</f>
        <v>-10.476190476190476</v>
      </c>
      <c r="J70" s="25">
        <f t="shared" si="241"/>
        <v>21.904761904761905</v>
      </c>
      <c r="K70" s="25">
        <f t="shared" si="241"/>
        <v>3.4686346863468631</v>
      </c>
      <c r="L70" s="25">
        <f t="shared" si="241"/>
        <v>3.1734317343173428</v>
      </c>
      <c r="M70" s="25">
        <f t="shared" si="241"/>
        <v>2.8725314183123878</v>
      </c>
      <c r="N70" s="25">
        <f t="shared" si="241"/>
        <v>9.2666005946481658</v>
      </c>
      <c r="O70" s="25">
        <f t="shared" si="241"/>
        <v>4.4662795891022773</v>
      </c>
      <c r="P70" s="25">
        <f t="shared" si="241"/>
        <v>3.7477954144620811</v>
      </c>
      <c r="Q70" s="25">
        <f t="shared" si="241"/>
        <v>6.5934065934065931</v>
      </c>
      <c r="R70" s="25">
        <f t="shared" si="241"/>
        <v>2.8620988725065049</v>
      </c>
      <c r="S70" s="25">
        <f>S51/S57</f>
        <v>5.3339115351257593</v>
      </c>
      <c r="T70" s="118">
        <f t="shared" ref="T70:T134" si="242">((S70/G70)^(1/($J$2-$J$1) ))-1</f>
        <v>0.17128608842771387</v>
      </c>
      <c r="U70" s="128"/>
      <c r="V70" s="112">
        <f>V51/V57</f>
        <v>5.8419031098996399</v>
      </c>
      <c r="W70" s="112">
        <f t="shared" ref="W70:AE70" si="243">W51/W57</f>
        <v>6.3982748346519855</v>
      </c>
      <c r="X70" s="112">
        <f t="shared" si="243"/>
        <v>7.0076343427140779</v>
      </c>
      <c r="Y70" s="112">
        <f t="shared" si="243"/>
        <v>7.6750280896392269</v>
      </c>
      <c r="Z70" s="112">
        <f t="shared" si="243"/>
        <v>8.4059831457953429</v>
      </c>
      <c r="AA70" s="112">
        <f t="shared" si="243"/>
        <v>9.2065529692044219</v>
      </c>
      <c r="AB70" s="112">
        <f t="shared" si="243"/>
        <v>10.083367537700079</v>
      </c>
      <c r="AC70" s="112">
        <f t="shared" si="243"/>
        <v>11.043688255576274</v>
      </c>
      <c r="AD70" s="112">
        <f t="shared" si="243"/>
        <v>12.095468089440679</v>
      </c>
      <c r="AE70" s="112">
        <f t="shared" si="243"/>
        <v>13.247417431292172</v>
      </c>
      <c r="AF70" s="137">
        <f t="shared" ref="AF70:AF71" si="244">((AE70/I70)^(1/($AE$3-$J$1) ))-1</f>
        <v>-2.0112387576956592</v>
      </c>
      <c r="AG70" s="31">
        <f t="shared" si="16"/>
        <v>0.05</v>
      </c>
      <c r="AH70" s="145">
        <f t="shared" ref="AH70:AH71" si="245">(AE70*(1+AG70))/($C$1-AG70)</f>
        <v>81.822284134451664</v>
      </c>
    </row>
    <row r="71" spans="2:34">
      <c r="B71" s="20" t="s">
        <v>458</v>
      </c>
      <c r="C71" s="133"/>
      <c r="D71" s="133"/>
      <c r="E71" s="133"/>
      <c r="F71" s="133"/>
      <c r="G71" s="25">
        <f t="shared" ref="G71:H71" si="246">G53/G57</f>
        <v>0.79999999999999993</v>
      </c>
      <c r="H71" s="25">
        <f t="shared" si="246"/>
        <v>0.52499999999999991</v>
      </c>
      <c r="I71" s="25">
        <f t="shared" ref="I71:R71" si="247">I53/I57</f>
        <v>2.7047619047619045</v>
      </c>
      <c r="J71" s="25">
        <f t="shared" si="247"/>
        <v>17.647619047619049</v>
      </c>
      <c r="K71" s="25">
        <f t="shared" si="247"/>
        <v>2.4354243542435423</v>
      </c>
      <c r="L71" s="25">
        <f t="shared" si="247"/>
        <v>1.107011070110701</v>
      </c>
      <c r="M71" s="25">
        <f t="shared" si="247"/>
        <v>1.3165769000598444</v>
      </c>
      <c r="N71" s="25">
        <f t="shared" si="247"/>
        <v>8.5232903865213085</v>
      </c>
      <c r="O71" s="25">
        <f t="shared" si="247"/>
        <v>4.2876284055381868</v>
      </c>
      <c r="P71" s="25">
        <f t="shared" si="247"/>
        <v>3.7477954144620811</v>
      </c>
      <c r="Q71" s="25">
        <f t="shared" si="247"/>
        <v>5.1428571428571432</v>
      </c>
      <c r="R71" s="25">
        <f t="shared" si="247"/>
        <v>-0.73720728534258462</v>
      </c>
      <c r="S71" s="25">
        <f>S53/S57</f>
        <v>2.6019080659150045</v>
      </c>
      <c r="T71" s="118">
        <f t="shared" si="242"/>
        <v>0.10327428727582189</v>
      </c>
      <c r="U71" s="128"/>
      <c r="V71" s="112">
        <f>V53/V57</f>
        <v>2.8497088340973855</v>
      </c>
      <c r="W71" s="112">
        <f t="shared" ref="W71:AE71" si="248">W53/W57</f>
        <v>3.1211096754399934</v>
      </c>
      <c r="X71" s="112">
        <f t="shared" si="248"/>
        <v>3.4183582159580874</v>
      </c>
      <c r="Y71" s="112">
        <f t="shared" si="248"/>
        <v>3.7439161412874284</v>
      </c>
      <c r="Z71" s="112">
        <f t="shared" si="248"/>
        <v>4.1004795833148018</v>
      </c>
      <c r="AA71" s="112">
        <f t="shared" si="248"/>
        <v>4.4910014483924012</v>
      </c>
      <c r="AB71" s="112">
        <f t="shared" si="248"/>
        <v>4.9187158720488204</v>
      </c>
      <c r="AC71" s="112">
        <f t="shared" si="248"/>
        <v>5.3871650027201348</v>
      </c>
      <c r="AD71" s="112">
        <f t="shared" si="248"/>
        <v>5.9002283363125274</v>
      </c>
      <c r="AE71" s="112">
        <f t="shared" si="248"/>
        <v>6.4621548445327681</v>
      </c>
      <c r="AF71" s="137">
        <f t="shared" si="244"/>
        <v>4.2345809417065228E-2</v>
      </c>
      <c r="AG71" s="31">
        <f t="shared" si="16"/>
        <v>0.05</v>
      </c>
      <c r="AH71" s="145">
        <f t="shared" si="245"/>
        <v>39.913309333878864</v>
      </c>
    </row>
    <row r="72" spans="2:34">
      <c r="B72" s="20" t="s">
        <v>257</v>
      </c>
      <c r="C72" s="25"/>
      <c r="D72" s="25"/>
      <c r="E72" s="25"/>
      <c r="F72" s="25"/>
      <c r="G72" s="133">
        <f t="shared" ref="G72:H72" si="249">G55/G57</f>
        <v>0.70000000000000007</v>
      </c>
      <c r="H72" s="133">
        <f t="shared" si="249"/>
        <v>0.22499999999999998</v>
      </c>
      <c r="I72" s="133">
        <f t="shared" ref="I72:R72" si="250">I55/I57</f>
        <v>2.8571428571428572</v>
      </c>
      <c r="J72" s="133">
        <f t="shared" si="250"/>
        <v>19.047619047619047</v>
      </c>
      <c r="K72" s="133">
        <f t="shared" si="250"/>
        <v>1.6974169741697416</v>
      </c>
      <c r="L72" s="133">
        <f t="shared" si="250"/>
        <v>0.73800738007380073</v>
      </c>
      <c r="M72" s="133">
        <f t="shared" si="250"/>
        <v>0.77797725912627169</v>
      </c>
      <c r="N72" s="133">
        <f t="shared" si="250"/>
        <v>8.1764122893954418</v>
      </c>
      <c r="O72" s="133">
        <f t="shared" si="250"/>
        <v>2.9924073246985259</v>
      </c>
      <c r="P72" s="133">
        <f t="shared" si="250"/>
        <v>2.2469135802469138</v>
      </c>
      <c r="Q72" s="133">
        <f t="shared" si="250"/>
        <v>2.8571428571428572</v>
      </c>
      <c r="R72" s="133">
        <f t="shared" si="250"/>
        <v>-1.2142237640936688</v>
      </c>
      <c r="S72" s="133">
        <f t="shared" ref="S72" si="251">S55/S57</f>
        <v>1.6912402428447528</v>
      </c>
      <c r="T72" s="118">
        <f t="shared" si="242"/>
        <v>7.6280830888316276E-2</v>
      </c>
      <c r="U72" s="128"/>
      <c r="V72" s="156">
        <f t="shared" ref="V72:AE72" si="252">V55/V57</f>
        <v>1.8523107421633005</v>
      </c>
      <c r="W72" s="156">
        <f t="shared" si="252"/>
        <v>2.0287212890359951</v>
      </c>
      <c r="X72" s="156">
        <f t="shared" si="252"/>
        <v>2.2219328403727565</v>
      </c>
      <c r="Y72" s="156">
        <f t="shared" si="252"/>
        <v>2.4335454918368282</v>
      </c>
      <c r="Z72" s="156">
        <f t="shared" si="252"/>
        <v>2.6653117291546211</v>
      </c>
      <c r="AA72" s="156">
        <f t="shared" si="252"/>
        <v>2.9191509414550607</v>
      </c>
      <c r="AB72" s="156">
        <f t="shared" si="252"/>
        <v>3.1971653168317329</v>
      </c>
      <c r="AC72" s="156">
        <f t="shared" si="252"/>
        <v>3.5016572517680875</v>
      </c>
      <c r="AD72" s="156">
        <f t="shared" si="252"/>
        <v>3.8351484186031426</v>
      </c>
      <c r="AE72" s="156">
        <f t="shared" si="252"/>
        <v>4.2004006489462986</v>
      </c>
      <c r="AF72" s="137">
        <f t="shared" ref="AF72:AF86" si="253">((AE72/I72)^(1/($AE$3-$J$1) ))-1</f>
        <v>1.8519773567647668E-2</v>
      </c>
      <c r="AG72" s="31">
        <f t="shared" si="16"/>
        <v>0.05</v>
      </c>
      <c r="AH72" s="145">
        <f t="shared" ref="AH72:AH100" si="254">(AE72*(1+AG72))/($C$1-AG72)</f>
        <v>25.943651067021261</v>
      </c>
    </row>
    <row r="73" spans="2:34">
      <c r="B73" s="20" t="s">
        <v>384</v>
      </c>
      <c r="C73" s="133"/>
      <c r="D73" s="133"/>
      <c r="E73" s="133"/>
      <c r="F73" s="133"/>
      <c r="G73" s="133">
        <f t="shared" ref="G73:H73" si="255">G20/G57</f>
        <v>0</v>
      </c>
      <c r="H73" s="133">
        <f t="shared" si="255"/>
        <v>0</v>
      </c>
      <c r="I73" s="133">
        <f>I20/I57</f>
        <v>0</v>
      </c>
      <c r="J73" s="133">
        <f t="shared" ref="J73:R73" si="256">J20/J57</f>
        <v>0</v>
      </c>
      <c r="K73" s="133">
        <f t="shared" si="256"/>
        <v>0</v>
      </c>
      <c r="L73" s="133">
        <f t="shared" si="256"/>
        <v>0</v>
      </c>
      <c r="M73" s="133">
        <f t="shared" si="256"/>
        <v>0</v>
      </c>
      <c r="N73" s="133">
        <f t="shared" si="256"/>
        <v>0</v>
      </c>
      <c r="O73" s="133">
        <f t="shared" si="256"/>
        <v>0</v>
      </c>
      <c r="P73" s="133">
        <f t="shared" si="256"/>
        <v>0</v>
      </c>
      <c r="Q73" s="133">
        <f t="shared" si="256"/>
        <v>0</v>
      </c>
      <c r="R73" s="133">
        <f t="shared" si="256"/>
        <v>0</v>
      </c>
      <c r="S73" s="133">
        <f t="shared" ref="S73" si="257">S20/S57</f>
        <v>0</v>
      </c>
      <c r="T73" s="118" t="e">
        <f t="shared" si="242"/>
        <v>#DIV/0!</v>
      </c>
      <c r="U73" s="128"/>
      <c r="V73" s="133">
        <f t="shared" ref="V73:AE73" si="258">V20/V57</f>
        <v>0</v>
      </c>
      <c r="W73" s="133">
        <f t="shared" si="258"/>
        <v>0</v>
      </c>
      <c r="X73" s="133">
        <f t="shared" si="258"/>
        <v>0</v>
      </c>
      <c r="Y73" s="133">
        <f t="shared" si="258"/>
        <v>0</v>
      </c>
      <c r="Z73" s="133">
        <f t="shared" si="258"/>
        <v>0</v>
      </c>
      <c r="AA73" s="133">
        <f t="shared" si="258"/>
        <v>0</v>
      </c>
      <c r="AB73" s="133">
        <f t="shared" si="258"/>
        <v>0</v>
      </c>
      <c r="AC73" s="133">
        <f t="shared" si="258"/>
        <v>0</v>
      </c>
      <c r="AD73" s="133">
        <f t="shared" si="258"/>
        <v>0</v>
      </c>
      <c r="AE73" s="133">
        <f t="shared" si="258"/>
        <v>0</v>
      </c>
      <c r="AF73" s="137" t="e">
        <f t="shared" ref="AF73" si="259">((AE73/I73)^(1/($AE$3-$J$1) ))-1</f>
        <v>#DIV/0!</v>
      </c>
      <c r="AG73" s="31">
        <f t="shared" si="16"/>
        <v>0.05</v>
      </c>
      <c r="AH73" s="145">
        <f t="shared" si="254"/>
        <v>0</v>
      </c>
    </row>
    <row r="74" spans="2:34">
      <c r="B74" s="20" t="s">
        <v>245</v>
      </c>
      <c r="C74" s="25"/>
      <c r="D74" s="25"/>
      <c r="E74" s="25"/>
      <c r="F74" s="25"/>
      <c r="G74" s="133">
        <f t="shared" ref="G74:H74" si="260">G7/G57</f>
        <v>22.5</v>
      </c>
      <c r="H74" s="133">
        <f t="shared" si="260"/>
        <v>22.5</v>
      </c>
      <c r="I74" s="133">
        <f t="shared" ref="I74:R74" si="261">I7/I57</f>
        <v>38.704761904761902</v>
      </c>
      <c r="J74" s="133">
        <f t="shared" si="261"/>
        <v>40.952380952380949</v>
      </c>
      <c r="K74" s="133">
        <f t="shared" si="261"/>
        <v>16.826568265682656</v>
      </c>
      <c r="L74" s="133">
        <f t="shared" si="261"/>
        <v>23.985239852398522</v>
      </c>
      <c r="M74" s="133">
        <f t="shared" si="261"/>
        <v>16.157989228007182</v>
      </c>
      <c r="N74" s="133">
        <f t="shared" si="261"/>
        <v>10.009910802775025</v>
      </c>
      <c r="O74" s="133">
        <f t="shared" si="261"/>
        <v>19.160339437248773</v>
      </c>
      <c r="P74" s="133">
        <f t="shared" si="261"/>
        <v>34.091710758377424</v>
      </c>
      <c r="Q74" s="133">
        <f t="shared" si="261"/>
        <v>33.978021978021978</v>
      </c>
      <c r="R74" s="133">
        <f t="shared" si="261"/>
        <v>33.174327840416311</v>
      </c>
      <c r="S74" s="133">
        <f t="shared" ref="S74" si="262">S7/S57</f>
        <v>34.778837814397228</v>
      </c>
      <c r="T74" s="118">
        <f t="shared" si="242"/>
        <v>3.6957711384105529E-2</v>
      </c>
      <c r="U74" s="128"/>
      <c r="V74" s="156">
        <f t="shared" ref="V74:AE74" si="263">V7/V57</f>
        <v>38.091108082435049</v>
      </c>
      <c r="W74" s="156">
        <f t="shared" si="263"/>
        <v>41.718832661714572</v>
      </c>
      <c r="X74" s="156">
        <f t="shared" si="263"/>
        <v>45.692054819973094</v>
      </c>
      <c r="Y74" s="156">
        <f t="shared" si="263"/>
        <v>50.04367908854195</v>
      </c>
      <c r="Z74" s="156">
        <f t="shared" si="263"/>
        <v>54.809743763641173</v>
      </c>
      <c r="AA74" s="156">
        <f t="shared" si="263"/>
        <v>60.029719360178419</v>
      </c>
      <c r="AB74" s="156">
        <f t="shared" si="263"/>
        <v>65.746835489719217</v>
      </c>
      <c r="AC74" s="156">
        <f t="shared" si="263"/>
        <v>72.008438869692455</v>
      </c>
      <c r="AD74" s="156">
        <f t="shared" si="263"/>
        <v>78.866385428710771</v>
      </c>
      <c r="AE74" s="156">
        <f t="shared" si="263"/>
        <v>86.377469755254651</v>
      </c>
      <c r="AF74" s="137">
        <f t="shared" si="253"/>
        <v>3.8966914884045245E-2</v>
      </c>
      <c r="AG74" s="31">
        <f t="shared" si="16"/>
        <v>0.05</v>
      </c>
      <c r="AH74" s="145">
        <f t="shared" si="254"/>
        <v>533.50790142951405</v>
      </c>
    </row>
    <row r="75" spans="2:34">
      <c r="B75" s="20" t="s">
        <v>246</v>
      </c>
      <c r="C75" s="127"/>
      <c r="D75" s="127"/>
      <c r="E75" s="127"/>
      <c r="F75" s="127"/>
      <c r="G75" s="143">
        <f t="shared" ref="G75:H75" si="264">G6/G57</f>
        <v>12.5</v>
      </c>
      <c r="H75" s="143">
        <f t="shared" si="264"/>
        <v>12.5</v>
      </c>
      <c r="I75" s="143">
        <f t="shared" ref="I75:R75" si="265">I6/I57</f>
        <v>16.18095238095238</v>
      </c>
      <c r="J75" s="143">
        <f t="shared" si="265"/>
        <v>20</v>
      </c>
      <c r="K75" s="143">
        <f t="shared" si="265"/>
        <v>14.464944649446494</v>
      </c>
      <c r="L75" s="143">
        <f t="shared" si="265"/>
        <v>14.612546125461254</v>
      </c>
      <c r="M75" s="143">
        <f t="shared" si="265"/>
        <v>15.858767205266307</v>
      </c>
      <c r="N75" s="143">
        <f t="shared" si="265"/>
        <v>27.601585728444004</v>
      </c>
      <c r="O75" s="143">
        <f t="shared" si="265"/>
        <v>32.023224653863331</v>
      </c>
      <c r="P75" s="143">
        <f t="shared" si="265"/>
        <v>33.100088183421519</v>
      </c>
      <c r="Q75" s="143">
        <f t="shared" si="265"/>
        <v>32.835164835164832</v>
      </c>
      <c r="R75" s="143">
        <f t="shared" si="265"/>
        <v>32.176929748482223</v>
      </c>
      <c r="S75" s="143">
        <f t="shared" ref="S75" si="266">S6/S57</f>
        <v>33.824804856895057</v>
      </c>
      <c r="T75" s="118">
        <f t="shared" si="242"/>
        <v>8.6493436832076442E-2</v>
      </c>
      <c r="U75" s="128"/>
      <c r="V75" s="155">
        <f t="shared" ref="V75:AE75" si="267">V6/V57</f>
        <v>37.046214843266007</v>
      </c>
      <c r="W75" s="155">
        <f t="shared" si="267"/>
        <v>40.574425780719906</v>
      </c>
      <c r="X75" s="155">
        <f t="shared" si="267"/>
        <v>44.438656807455125</v>
      </c>
      <c r="Y75" s="155">
        <f t="shared" si="267"/>
        <v>48.670909836736563</v>
      </c>
      <c r="Z75" s="155">
        <f t="shared" si="267"/>
        <v>53.306234583092412</v>
      </c>
      <c r="AA75" s="155">
        <f t="shared" si="267"/>
        <v>58.383018829101204</v>
      </c>
      <c r="AB75" s="155">
        <f t="shared" si="267"/>
        <v>63.943306336634642</v>
      </c>
      <c r="AC75" s="155">
        <f t="shared" si="267"/>
        <v>70.033145035361741</v>
      </c>
      <c r="AD75" s="155">
        <f t="shared" si="267"/>
        <v>76.702968372062855</v>
      </c>
      <c r="AE75" s="155">
        <f t="shared" si="267"/>
        <v>84.008012978925976</v>
      </c>
      <c r="AF75" s="137">
        <f t="shared" si="253"/>
        <v>8.15900834704264E-2</v>
      </c>
      <c r="AG75" s="31">
        <f t="shared" si="16"/>
        <v>0.05</v>
      </c>
      <c r="AH75" s="145">
        <f t="shared" si="254"/>
        <v>518.87302134042523</v>
      </c>
    </row>
    <row r="76" spans="2:34">
      <c r="B76" s="20" t="s">
        <v>247</v>
      </c>
      <c r="C76" s="127"/>
      <c r="D76" s="127"/>
      <c r="E76" s="127"/>
      <c r="F76" s="127"/>
      <c r="G76" s="143">
        <f t="shared" ref="G76:H76" si="268">G10/G57</f>
        <v>1.125</v>
      </c>
      <c r="H76" s="143">
        <f t="shared" si="268"/>
        <v>62.5</v>
      </c>
      <c r="I76" s="143">
        <f t="shared" ref="I76:R76" si="269">I10/I57</f>
        <v>68.571428571428569</v>
      </c>
      <c r="J76" s="143">
        <f t="shared" si="269"/>
        <v>75.714285714285708</v>
      </c>
      <c r="K76" s="143">
        <f t="shared" si="269"/>
        <v>24.132841328413281</v>
      </c>
      <c r="L76" s="143">
        <f t="shared" si="269"/>
        <v>23.985239852398522</v>
      </c>
      <c r="M76" s="143">
        <f t="shared" si="269"/>
        <v>16.157989228007182</v>
      </c>
      <c r="N76" s="143">
        <f t="shared" si="269"/>
        <v>10.009910802775025</v>
      </c>
      <c r="O76" s="143">
        <f t="shared" si="269"/>
        <v>19.205002233139794</v>
      </c>
      <c r="P76" s="143">
        <f t="shared" si="269"/>
        <v>18.298059964726633</v>
      </c>
      <c r="Q76" s="143">
        <f t="shared" si="269"/>
        <v>11.648351648351648</v>
      </c>
      <c r="R76" s="143">
        <f t="shared" si="269"/>
        <v>10.92801387684302</v>
      </c>
      <c r="S76" s="143">
        <f t="shared" ref="S76" si="270">S10/S57</f>
        <v>8.8031222896790986</v>
      </c>
      <c r="T76" s="118">
        <f t="shared" si="242"/>
        <v>0.18701721568182283</v>
      </c>
      <c r="U76" s="128"/>
      <c r="V76" s="155">
        <f t="shared" ref="V76:AE76" si="271">V10/V57</f>
        <v>9.6415148886961539</v>
      </c>
      <c r="W76" s="155">
        <f t="shared" si="271"/>
        <v>10.559754401905311</v>
      </c>
      <c r="X76" s="155">
        <f t="shared" si="271"/>
        <v>11.565445297324862</v>
      </c>
      <c r="Y76" s="155">
        <f t="shared" si="271"/>
        <v>12.666916278022464</v>
      </c>
      <c r="Z76" s="155">
        <f t="shared" si="271"/>
        <v>13.873289256881744</v>
      </c>
      <c r="AA76" s="155">
        <f t="shared" si="271"/>
        <v>15.194554900394289</v>
      </c>
      <c r="AB76" s="155">
        <f t="shared" si="271"/>
        <v>16.641655367098505</v>
      </c>
      <c r="AC76" s="155">
        <f t="shared" si="271"/>
        <v>18.226574925869787</v>
      </c>
      <c r="AD76" s="155">
        <f t="shared" si="271"/>
        <v>19.962439204524049</v>
      </c>
      <c r="AE76" s="155">
        <f t="shared" si="271"/>
        <v>21.863623890669196</v>
      </c>
      <c r="AF76" s="137">
        <f t="shared" si="253"/>
        <v>-5.2976180705547882E-2</v>
      </c>
      <c r="AG76" s="31">
        <f t="shared" si="16"/>
        <v>0.05</v>
      </c>
      <c r="AH76" s="145">
        <f t="shared" si="254"/>
        <v>135.04002991295681</v>
      </c>
    </row>
    <row r="77" spans="2:34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28"/>
      <c r="U77" s="12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38"/>
      <c r="AG77" s="136"/>
      <c r="AH77" s="145"/>
    </row>
    <row r="78" spans="2:34">
      <c r="B78" s="20" t="s">
        <v>270</v>
      </c>
      <c r="C78" s="127"/>
      <c r="D78" s="127"/>
      <c r="E78" s="127"/>
      <c r="F78" s="127"/>
      <c r="G78" s="143">
        <f t="shared" ref="G78:H78" si="272">(G7-G10)/G57</f>
        <v>21.375</v>
      </c>
      <c r="H78" s="143">
        <f t="shared" si="272"/>
        <v>-40</v>
      </c>
      <c r="I78" s="143">
        <f t="shared" ref="I78:R78" si="273">(I7-I10)/I57</f>
        <v>-29.866666666666664</v>
      </c>
      <c r="J78" s="143">
        <f t="shared" si="273"/>
        <v>-34.761904761904759</v>
      </c>
      <c r="K78" s="143">
        <f t="shared" si="273"/>
        <v>-7.3062730627306269</v>
      </c>
      <c r="L78" s="143">
        <f t="shared" si="273"/>
        <v>0</v>
      </c>
      <c r="M78" s="143">
        <f t="shared" si="273"/>
        <v>0</v>
      </c>
      <c r="N78" s="143">
        <f t="shared" si="273"/>
        <v>0</v>
      </c>
      <c r="O78" s="143">
        <f t="shared" si="273"/>
        <v>-4.4662795891022775E-2</v>
      </c>
      <c r="P78" s="143">
        <f t="shared" si="273"/>
        <v>15.793650793650796</v>
      </c>
      <c r="Q78" s="143">
        <f t="shared" si="273"/>
        <v>22.329670329670328</v>
      </c>
      <c r="R78" s="143">
        <f t="shared" si="273"/>
        <v>22.246313963573289</v>
      </c>
      <c r="S78" s="143">
        <f t="shared" ref="S78" si="274">(S7-S10)/S57</f>
        <v>25.97571552471813</v>
      </c>
      <c r="T78" s="118">
        <f t="shared" si="242"/>
        <v>1.6377673230804968E-2</v>
      </c>
      <c r="U78" s="128"/>
      <c r="V78" s="155">
        <f t="shared" ref="V78:AE78" si="275">(V7-V10)/V57</f>
        <v>28.449593193738895</v>
      </c>
      <c r="W78" s="155">
        <f t="shared" si="275"/>
        <v>31.159078259809259</v>
      </c>
      <c r="X78" s="155">
        <f t="shared" si="275"/>
        <v>34.126609522648231</v>
      </c>
      <c r="Y78" s="155">
        <f t="shared" si="275"/>
        <v>37.376762810519487</v>
      </c>
      <c r="Z78" s="155">
        <f t="shared" si="275"/>
        <v>40.936454506759425</v>
      </c>
      <c r="AA78" s="155">
        <f t="shared" si="275"/>
        <v>44.835164459784131</v>
      </c>
      <c r="AB78" s="155">
        <f t="shared" si="275"/>
        <v>49.105180122620709</v>
      </c>
      <c r="AC78" s="155">
        <f t="shared" si="275"/>
        <v>53.781863943822664</v>
      </c>
      <c r="AD78" s="155">
        <f t="shared" si="275"/>
        <v>58.903946224186726</v>
      </c>
      <c r="AE78" s="155">
        <f t="shared" si="275"/>
        <v>64.513845864585448</v>
      </c>
      <c r="AF78" s="137">
        <f t="shared" si="253"/>
        <v>-2.037353940086148</v>
      </c>
      <c r="AG78" s="31">
        <f t="shared" si="16"/>
        <v>0.05</v>
      </c>
      <c r="AH78" s="145">
        <f t="shared" si="254"/>
        <v>398.46787151655724</v>
      </c>
    </row>
    <row r="79" spans="2:34">
      <c r="B79" s="20" t="s">
        <v>271</v>
      </c>
      <c r="C79" s="127"/>
      <c r="D79" s="127"/>
      <c r="E79" s="127"/>
      <c r="F79" s="127"/>
      <c r="G79" s="143">
        <f t="shared" ref="G79:H79" si="276">(G7-G10-G9)/G57</f>
        <v>-38.624999999999993</v>
      </c>
      <c r="H79" s="143">
        <f t="shared" si="276"/>
        <v>-40.199999999999996</v>
      </c>
      <c r="I79" s="143">
        <f t="shared" ref="I79:R79" si="277">(I7-I10-I9)/I57</f>
        <v>-33.980952380952381</v>
      </c>
      <c r="J79" s="143">
        <f t="shared" si="277"/>
        <v>-58.571428571428569</v>
      </c>
      <c r="K79" s="143">
        <f t="shared" si="277"/>
        <v>-12.934317343173431</v>
      </c>
      <c r="L79" s="143">
        <f t="shared" si="277"/>
        <v>-3.8376383763837638</v>
      </c>
      <c r="M79" s="143">
        <f t="shared" si="277"/>
        <v>-3.8898862956313582</v>
      </c>
      <c r="N79" s="143">
        <f t="shared" si="277"/>
        <v>-2.67591674925669</v>
      </c>
      <c r="O79" s="143">
        <f t="shared" si="277"/>
        <v>-4.1536400178651185</v>
      </c>
      <c r="P79" s="143">
        <f t="shared" si="277"/>
        <v>9.3121693121693134</v>
      </c>
      <c r="Q79" s="143">
        <f t="shared" si="277"/>
        <v>15.296703296703297</v>
      </c>
      <c r="R79" s="143">
        <f t="shared" si="277"/>
        <v>15.351257588898527</v>
      </c>
      <c r="S79" s="143">
        <f t="shared" ref="S79" si="278">(S7-S10-S9)/S57</f>
        <v>20.555073720728537</v>
      </c>
      <c r="T79" s="118" t="e">
        <f t="shared" si="242"/>
        <v>#NUM!</v>
      </c>
      <c r="U79" s="128"/>
      <c r="V79" s="155">
        <f t="shared" ref="V79:AE79" si="279">(V7-V10-V9)/V57</f>
        <v>22.512699789369343</v>
      </c>
      <c r="W79" s="155">
        <f t="shared" si="279"/>
        <v>24.656766435975943</v>
      </c>
      <c r="X79" s="155">
        <f t="shared" si="279"/>
        <v>27.005029906068884</v>
      </c>
      <c r="Y79" s="155">
        <f t="shared" si="279"/>
        <v>29.57693751617068</v>
      </c>
      <c r="Z79" s="155">
        <f t="shared" si="279"/>
        <v>32.393788708186925</v>
      </c>
      <c r="AA79" s="155">
        <f t="shared" si="279"/>
        <v>35.47891144229996</v>
      </c>
      <c r="AB79" s="155">
        <f t="shared" si="279"/>
        <v>38.857855389185666</v>
      </c>
      <c r="AC79" s="155">
        <f t="shared" si="279"/>
        <v>42.558603521489054</v>
      </c>
      <c r="AD79" s="155">
        <f t="shared" si="279"/>
        <v>46.61180385686896</v>
      </c>
      <c r="AE79" s="155">
        <f t="shared" si="279"/>
        <v>51.051023271808845</v>
      </c>
      <c r="AF79" s="137">
        <f t="shared" si="253"/>
        <v>-2.0195712176543159</v>
      </c>
      <c r="AG79" s="31">
        <f t="shared" si="16"/>
        <v>0.05</v>
      </c>
      <c r="AH79" s="145">
        <f t="shared" si="254"/>
        <v>315.31514373764293</v>
      </c>
    </row>
    <row r="80" spans="2:34">
      <c r="B80" s="20" t="s">
        <v>276</v>
      </c>
      <c r="C80" s="127"/>
      <c r="D80" s="127"/>
      <c r="E80" s="127"/>
      <c r="F80" s="127"/>
      <c r="G80" s="143">
        <f t="shared" ref="G80:H80" si="280">(G7+G15-G10-G9)/G57</f>
        <v>33.874999999999993</v>
      </c>
      <c r="H80" s="143">
        <f t="shared" si="280"/>
        <v>-39.449999999999996</v>
      </c>
      <c r="I80" s="143">
        <f t="shared" ref="I80:R80" si="281">(I7+I15-I10-I9)/I57</f>
        <v>67.92380952380951</v>
      </c>
      <c r="J80" s="143">
        <f t="shared" si="281"/>
        <v>-14.761904761904761</v>
      </c>
      <c r="K80" s="143">
        <f t="shared" si="281"/>
        <v>13.560147601476015</v>
      </c>
      <c r="L80" s="143">
        <f t="shared" si="281"/>
        <v>20.369003690036898</v>
      </c>
      <c r="M80" s="143">
        <f t="shared" si="281"/>
        <v>18.491921005385997</v>
      </c>
      <c r="N80" s="143">
        <f t="shared" si="281"/>
        <v>22.547076313181368</v>
      </c>
      <c r="O80" s="143">
        <f t="shared" si="281"/>
        <v>18.713711478338542</v>
      </c>
      <c r="P80" s="143">
        <f t="shared" si="281"/>
        <v>22.451499118165788</v>
      </c>
      <c r="Q80" s="143">
        <f t="shared" si="281"/>
        <v>23.824175824175825</v>
      </c>
      <c r="R80" s="143">
        <f t="shared" si="281"/>
        <v>20.251517779705118</v>
      </c>
      <c r="S80" s="143">
        <f t="shared" ref="S80" si="282">(S7+S15-S10-S9)/S57</f>
        <v>25.238508239375545</v>
      </c>
      <c r="T80" s="118">
        <f t="shared" si="242"/>
        <v>-2.4227221765342533E-2</v>
      </c>
      <c r="U80" s="128"/>
      <c r="V80" s="155">
        <f t="shared" ref="V80:AE80" si="283">(V7+V15-V10-V9)/V57</f>
        <v>27.64217569074464</v>
      </c>
      <c r="W80" s="155">
        <f t="shared" si="283"/>
        <v>30.274763851767926</v>
      </c>
      <c r="X80" s="155">
        <f t="shared" si="283"/>
        <v>33.158074694793441</v>
      </c>
      <c r="Y80" s="155">
        <f t="shared" si="283"/>
        <v>36.315986570488057</v>
      </c>
      <c r="Z80" s="155">
        <f t="shared" si="283"/>
        <v>39.774651958153562</v>
      </c>
      <c r="AA80" s="155">
        <f t="shared" si="283"/>
        <v>43.562714049406274</v>
      </c>
      <c r="AB80" s="155">
        <f t="shared" si="283"/>
        <v>47.711543958873534</v>
      </c>
      <c r="AC80" s="155">
        <f t="shared" si="283"/>
        <v>52.255500526385291</v>
      </c>
      <c r="AD80" s="155">
        <f t="shared" si="283"/>
        <v>57.232214862231515</v>
      </c>
      <c r="AE80" s="155">
        <f t="shared" si="283"/>
        <v>62.682901991967825</v>
      </c>
      <c r="AF80" s="137">
        <f t="shared" si="253"/>
        <v>-3.8164091135561851E-3</v>
      </c>
      <c r="AG80" s="31">
        <f t="shared" si="16"/>
        <v>0.05</v>
      </c>
      <c r="AH80" s="145">
        <f t="shared" si="254"/>
        <v>387.1591005386249</v>
      </c>
    </row>
    <row r="81" spans="2:34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28"/>
      <c r="U81" s="128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38"/>
      <c r="AG81" s="136"/>
      <c r="AH81" s="152"/>
    </row>
    <row r="82" spans="2:34">
      <c r="B82" s="20" t="s">
        <v>248</v>
      </c>
      <c r="C82" s="127"/>
      <c r="D82" s="127"/>
      <c r="E82" s="127"/>
      <c r="F82" s="127"/>
      <c r="G82" s="143">
        <f t="shared" ref="G82:H82" si="284">G12/G57</f>
        <v>2.4999999999999998E-2</v>
      </c>
      <c r="H82" s="143">
        <f t="shared" si="284"/>
        <v>0</v>
      </c>
      <c r="I82" s="143">
        <f t="shared" ref="I82:R82" si="285">I12/I57</f>
        <v>2.6857142857142855</v>
      </c>
      <c r="J82" s="143">
        <f t="shared" si="285"/>
        <v>2.8571428571428572</v>
      </c>
      <c r="K82" s="143">
        <f t="shared" si="285"/>
        <v>6.4206642066420665</v>
      </c>
      <c r="L82" s="143">
        <f t="shared" si="285"/>
        <v>1.1808118081180812</v>
      </c>
      <c r="M82" s="143">
        <f t="shared" si="285"/>
        <v>2.7528426092160383</v>
      </c>
      <c r="N82" s="143">
        <f t="shared" si="285"/>
        <v>3.1714568880079286</v>
      </c>
      <c r="O82" s="143">
        <f t="shared" si="285"/>
        <v>6.0741402411790979</v>
      </c>
      <c r="P82" s="143">
        <f t="shared" si="285"/>
        <v>2.0282186948853616</v>
      </c>
      <c r="Q82" s="143">
        <f t="shared" si="285"/>
        <v>2.4175824175824174</v>
      </c>
      <c r="R82" s="143">
        <f t="shared" si="285"/>
        <v>0.91066782307025151</v>
      </c>
      <c r="S82" s="143">
        <f t="shared" ref="S82" si="286">S12/S57</f>
        <v>0.99739809193408502</v>
      </c>
      <c r="T82" s="118">
        <f t="shared" si="242"/>
        <v>0.35959860517849718</v>
      </c>
      <c r="U82" s="128"/>
      <c r="V82" s="155">
        <f t="shared" ref="V82:AE82" si="287">V12/V57</f>
        <v>1.0923883864039978</v>
      </c>
      <c r="W82" s="155">
        <f t="shared" si="287"/>
        <v>1.1964253755853307</v>
      </c>
      <c r="X82" s="155">
        <f t="shared" si="287"/>
        <v>1.3103706494506002</v>
      </c>
      <c r="Y82" s="155">
        <f t="shared" si="287"/>
        <v>1.4351678541601809</v>
      </c>
      <c r="Z82" s="155">
        <f t="shared" si="287"/>
        <v>1.5718505069373407</v>
      </c>
      <c r="AA82" s="155">
        <f t="shared" si="287"/>
        <v>1.7215505552170871</v>
      </c>
      <c r="AB82" s="155">
        <f t="shared" si="287"/>
        <v>1.8855077509520477</v>
      </c>
      <c r="AC82" s="155">
        <f t="shared" si="287"/>
        <v>2.0650799177093853</v>
      </c>
      <c r="AD82" s="155">
        <f t="shared" si="287"/>
        <v>2.2617541955864691</v>
      </c>
      <c r="AE82" s="155">
        <f t="shared" si="287"/>
        <v>2.477159357070895</v>
      </c>
      <c r="AF82" s="137">
        <f t="shared" si="253"/>
        <v>-3.8418505470820818E-3</v>
      </c>
      <c r="AG82" s="31">
        <f t="shared" si="16"/>
        <v>0.05</v>
      </c>
      <c r="AH82" s="145">
        <f t="shared" si="254"/>
        <v>15.300101911320237</v>
      </c>
    </row>
    <row r="83" spans="2:34">
      <c r="B83" s="20" t="s">
        <v>255</v>
      </c>
      <c r="C83" s="127"/>
      <c r="D83" s="127"/>
      <c r="E83" s="127"/>
      <c r="F83" s="127"/>
      <c r="G83" s="143">
        <f t="shared" ref="G83:H83" si="288">G13/G57</f>
        <v>10</v>
      </c>
      <c r="H83" s="143">
        <f t="shared" si="288"/>
        <v>10</v>
      </c>
      <c r="I83" s="143">
        <f t="shared" ref="I83:R83" si="289">I13/I57</f>
        <v>0.39999999999999997</v>
      </c>
      <c r="J83" s="143">
        <f t="shared" si="289"/>
        <v>83.80952380952381</v>
      </c>
      <c r="K83" s="143">
        <f t="shared" si="289"/>
        <v>19.55719557195572</v>
      </c>
      <c r="L83" s="143">
        <f t="shared" si="289"/>
        <v>16.531365313653136</v>
      </c>
      <c r="M83" s="143">
        <f t="shared" si="289"/>
        <v>10.293237582286055</v>
      </c>
      <c r="N83" s="143">
        <f t="shared" si="289"/>
        <v>8.0277502477700686</v>
      </c>
      <c r="O83" s="143">
        <f t="shared" si="289"/>
        <v>5.9848146493970518</v>
      </c>
      <c r="P83" s="143">
        <f t="shared" si="289"/>
        <v>5.0308641975308639</v>
      </c>
      <c r="Q83" s="143">
        <f t="shared" si="289"/>
        <v>4.615384615384615</v>
      </c>
      <c r="R83" s="143">
        <f t="shared" si="289"/>
        <v>4.6834345186470081</v>
      </c>
      <c r="S83" s="143">
        <f t="shared" ref="S83" si="290">S13/S57</f>
        <v>4.5099739809193409</v>
      </c>
      <c r="T83" s="118">
        <f t="shared" si="242"/>
        <v>-6.4204031892892699E-2</v>
      </c>
      <c r="U83" s="128"/>
      <c r="V83" s="155">
        <f t="shared" ref="V83:AE83" si="291">V13/V57</f>
        <v>4.9394953124354677</v>
      </c>
      <c r="W83" s="155">
        <f t="shared" si="291"/>
        <v>5.4099234374293221</v>
      </c>
      <c r="X83" s="155">
        <f t="shared" si="291"/>
        <v>5.9251542409940186</v>
      </c>
      <c r="Y83" s="155">
        <f t="shared" si="291"/>
        <v>6.4894546448982098</v>
      </c>
      <c r="Z83" s="155">
        <f t="shared" si="291"/>
        <v>7.1074979444123239</v>
      </c>
      <c r="AA83" s="155">
        <f t="shared" si="291"/>
        <v>7.7844025105468297</v>
      </c>
      <c r="AB83" s="155">
        <f t="shared" si="291"/>
        <v>8.5257741782179544</v>
      </c>
      <c r="AC83" s="155">
        <f t="shared" si="291"/>
        <v>9.3377526713815673</v>
      </c>
      <c r="AD83" s="155">
        <f t="shared" si="291"/>
        <v>10.227062449608381</v>
      </c>
      <c r="AE83" s="155">
        <f t="shared" si="291"/>
        <v>11.201068397190133</v>
      </c>
      <c r="AF83" s="137">
        <f t="shared" si="253"/>
        <v>0.17196396903125977</v>
      </c>
      <c r="AG83" s="31">
        <f t="shared" si="16"/>
        <v>0.05</v>
      </c>
      <c r="AH83" s="145">
        <f t="shared" si="254"/>
        <v>69.183069512056704</v>
      </c>
    </row>
    <row r="84" spans="2:34">
      <c r="B84" s="20" t="s">
        <v>256</v>
      </c>
      <c r="C84" s="127"/>
      <c r="D84" s="127"/>
      <c r="E84" s="127"/>
      <c r="F84" s="127"/>
      <c r="G84" s="143">
        <f t="shared" ref="G84:H84" si="292">(G82+G83)</f>
        <v>10.025</v>
      </c>
      <c r="H84" s="143">
        <f t="shared" si="292"/>
        <v>10</v>
      </c>
      <c r="I84" s="143">
        <f t="shared" ref="I84:R84" si="293">(I82+I83)</f>
        <v>3.0857142857142854</v>
      </c>
      <c r="J84" s="143">
        <f t="shared" si="293"/>
        <v>86.666666666666671</v>
      </c>
      <c r="K84" s="143">
        <f t="shared" si="293"/>
        <v>25.977859778597786</v>
      </c>
      <c r="L84" s="143">
        <f t="shared" si="293"/>
        <v>17.712177121771219</v>
      </c>
      <c r="M84" s="143">
        <f t="shared" si="293"/>
        <v>13.046080191502094</v>
      </c>
      <c r="N84" s="143">
        <f t="shared" si="293"/>
        <v>11.199207135777996</v>
      </c>
      <c r="O84" s="143">
        <f t="shared" si="293"/>
        <v>12.05895489057615</v>
      </c>
      <c r="P84" s="143">
        <f t="shared" si="293"/>
        <v>7.0590828924162254</v>
      </c>
      <c r="Q84" s="143">
        <f t="shared" ref="Q84" si="294">(Q82+Q83)</f>
        <v>7.0329670329670328</v>
      </c>
      <c r="R84" s="143">
        <f t="shared" si="293"/>
        <v>5.5941023417172593</v>
      </c>
      <c r="S84" s="143">
        <f t="shared" ref="S84" si="295">(S82+S83)</f>
        <v>5.5073720728534257</v>
      </c>
      <c r="T84" s="118">
        <f t="shared" si="242"/>
        <v>-4.8690859258299524E-2</v>
      </c>
      <c r="U84" s="128"/>
      <c r="V84" s="155">
        <f t="shared" ref="V84:AE84" si="296">(V82+V83)</f>
        <v>6.0318836988394651</v>
      </c>
      <c r="W84" s="155">
        <f t="shared" si="296"/>
        <v>6.6063488130146526</v>
      </c>
      <c r="X84" s="155">
        <f t="shared" si="296"/>
        <v>7.2355248904446192</v>
      </c>
      <c r="Y84" s="155">
        <f t="shared" si="296"/>
        <v>7.9246224990583904</v>
      </c>
      <c r="Z84" s="155">
        <f t="shared" si="296"/>
        <v>8.6793484513496644</v>
      </c>
      <c r="AA84" s="155">
        <f t="shared" si="296"/>
        <v>9.5059530657639169</v>
      </c>
      <c r="AB84" s="155">
        <f t="shared" si="296"/>
        <v>10.411281929170002</v>
      </c>
      <c r="AC84" s="155">
        <f t="shared" si="296"/>
        <v>11.402832589090952</v>
      </c>
      <c r="AD84" s="155">
        <f t="shared" si="296"/>
        <v>12.48881664519485</v>
      </c>
      <c r="AE84" s="155">
        <f t="shared" si="296"/>
        <v>13.678227754261027</v>
      </c>
      <c r="AF84" s="137">
        <f t="shared" si="253"/>
        <v>7.3480119115892473E-2</v>
      </c>
      <c r="AG84" s="31">
        <f t="shared" si="16"/>
        <v>0.05</v>
      </c>
      <c r="AH84" s="145">
        <f t="shared" si="254"/>
        <v>84.48317142337693</v>
      </c>
    </row>
    <row r="85" spans="2:34">
      <c r="B85" s="20" t="s">
        <v>249</v>
      </c>
      <c r="C85" s="127"/>
      <c r="D85" s="127"/>
      <c r="E85" s="127"/>
      <c r="F85" s="127"/>
      <c r="G85" s="143">
        <f t="shared" ref="G85:H85" si="297">G15/G57</f>
        <v>72.5</v>
      </c>
      <c r="H85" s="143">
        <f t="shared" si="297"/>
        <v>0.74999999999999989</v>
      </c>
      <c r="I85" s="143">
        <f t="shared" ref="I85:R85" si="298">I15/I57</f>
        <v>101.9047619047619</v>
      </c>
      <c r="J85" s="143">
        <f t="shared" si="298"/>
        <v>43.80952380952381</v>
      </c>
      <c r="K85" s="143">
        <f t="shared" si="298"/>
        <v>26.494464944649444</v>
      </c>
      <c r="L85" s="143">
        <f t="shared" si="298"/>
        <v>24.206642066420663</v>
      </c>
      <c r="M85" s="143">
        <f t="shared" si="298"/>
        <v>22.381807301017353</v>
      </c>
      <c r="N85" s="143">
        <f t="shared" si="298"/>
        <v>25.222993062438057</v>
      </c>
      <c r="O85" s="143">
        <f t="shared" si="298"/>
        <v>22.867351496203661</v>
      </c>
      <c r="P85" s="143">
        <f t="shared" si="298"/>
        <v>13.139329805996473</v>
      </c>
      <c r="Q85" s="143">
        <f t="shared" si="298"/>
        <v>8.5274725274725274</v>
      </c>
      <c r="R85" s="143">
        <f t="shared" si="298"/>
        <v>4.9002601908065921</v>
      </c>
      <c r="S85" s="143">
        <f t="shared" ref="S85" si="299">S15/S57</f>
        <v>4.6834345186470081</v>
      </c>
      <c r="T85" s="118">
        <f t="shared" si="242"/>
        <v>-0.20411154706778323</v>
      </c>
      <c r="U85" s="128"/>
      <c r="V85" s="155">
        <f t="shared" ref="V85:AE85" si="300">V15/V57</f>
        <v>5.1294759013752937</v>
      </c>
      <c r="W85" s="155">
        <f t="shared" si="300"/>
        <v>5.6179974157919883</v>
      </c>
      <c r="X85" s="155">
        <f t="shared" si="300"/>
        <v>6.1530447887245581</v>
      </c>
      <c r="Y85" s="155">
        <f t="shared" si="300"/>
        <v>6.7390490543173716</v>
      </c>
      <c r="Z85" s="155">
        <f t="shared" si="300"/>
        <v>7.3808632499666436</v>
      </c>
      <c r="AA85" s="155">
        <f t="shared" si="300"/>
        <v>8.0838026071063229</v>
      </c>
      <c r="AB85" s="155">
        <f t="shared" si="300"/>
        <v>8.8536885696878755</v>
      </c>
      <c r="AC85" s="155">
        <f t="shared" si="300"/>
        <v>9.6968970048962433</v>
      </c>
      <c r="AD85" s="155">
        <f t="shared" si="300"/>
        <v>10.62041100536255</v>
      </c>
      <c r="AE85" s="155">
        <f t="shared" si="300"/>
        <v>11.631878720158983</v>
      </c>
      <c r="AF85" s="137">
        <f t="shared" si="253"/>
        <v>-9.8186103715496187E-2</v>
      </c>
      <c r="AG85" s="31">
        <f t="shared" si="16"/>
        <v>0.05</v>
      </c>
      <c r="AH85" s="145">
        <f t="shared" si="254"/>
        <v>71.843956800981971</v>
      </c>
    </row>
    <row r="86" spans="2:34">
      <c r="B86" s="20" t="s">
        <v>250</v>
      </c>
      <c r="C86" s="127"/>
      <c r="D86" s="127"/>
      <c r="E86" s="127"/>
      <c r="F86" s="127"/>
      <c r="G86" s="143">
        <f t="shared" ref="G86:H86" si="301">G16/G57</f>
        <v>12.5</v>
      </c>
      <c r="H86" s="143">
        <f t="shared" si="301"/>
        <v>1.4249999999999998</v>
      </c>
      <c r="I86" s="143">
        <f t="shared" ref="I86:R86" si="302">I16/I57</f>
        <v>95.238095238095241</v>
      </c>
      <c r="J86" s="143">
        <f t="shared" si="302"/>
        <v>7.9619047619047612</v>
      </c>
      <c r="K86" s="143">
        <f t="shared" si="302"/>
        <v>19.114391143911437</v>
      </c>
      <c r="L86" s="143">
        <f t="shared" si="302"/>
        <v>20.073800738007378</v>
      </c>
      <c r="M86" s="143">
        <f t="shared" si="302"/>
        <v>17.893476959904248</v>
      </c>
      <c r="N86" s="143">
        <f t="shared" si="302"/>
        <v>21.902874132804758</v>
      </c>
      <c r="O86" s="143">
        <f t="shared" si="302"/>
        <v>27.15497990174185</v>
      </c>
      <c r="P86" s="143">
        <f t="shared" si="302"/>
        <v>16.137566137566139</v>
      </c>
      <c r="Q86" s="143">
        <f t="shared" si="302"/>
        <v>5.6703296703296706</v>
      </c>
      <c r="R86" s="143">
        <f t="shared" si="302"/>
        <v>3.2523850823937557</v>
      </c>
      <c r="S86" s="143">
        <f t="shared" ref="S86" si="303">S16/S57</f>
        <v>4.3365134431916745</v>
      </c>
      <c r="T86" s="118">
        <f t="shared" si="242"/>
        <v>-8.4441939800166566E-2</v>
      </c>
      <c r="U86" s="128"/>
      <c r="V86" s="155">
        <f t="shared" ref="V86:AE86" si="304">V16/V57</f>
        <v>4.7495147234956416</v>
      </c>
      <c r="W86" s="155">
        <f t="shared" si="304"/>
        <v>5.2018494590666551</v>
      </c>
      <c r="X86" s="155">
        <f t="shared" si="304"/>
        <v>5.6972636932634781</v>
      </c>
      <c r="Y86" s="155">
        <f t="shared" si="304"/>
        <v>6.2398602354790462</v>
      </c>
      <c r="Z86" s="155">
        <f t="shared" si="304"/>
        <v>6.8341326388580024</v>
      </c>
      <c r="AA86" s="155">
        <f t="shared" si="304"/>
        <v>7.4850024139873339</v>
      </c>
      <c r="AB86" s="155">
        <f t="shared" si="304"/>
        <v>8.1978597867480314</v>
      </c>
      <c r="AC86" s="155">
        <f t="shared" si="304"/>
        <v>8.9786083378668895</v>
      </c>
      <c r="AD86" s="155">
        <f t="shared" si="304"/>
        <v>9.8337138938542115</v>
      </c>
      <c r="AE86" s="155">
        <f t="shared" si="304"/>
        <v>10.770258074221278</v>
      </c>
      <c r="AF86" s="137">
        <f t="shared" si="253"/>
        <v>-9.8585492724911794E-2</v>
      </c>
      <c r="AG86" s="136"/>
      <c r="AH86" s="145">
        <f t="shared" si="254"/>
        <v>48.955718519187627</v>
      </c>
    </row>
    <row r="87" spans="2:34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28"/>
      <c r="U87" s="128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38"/>
      <c r="AG87" s="31">
        <f t="shared" si="16"/>
        <v>0.05</v>
      </c>
      <c r="AH87" s="145">
        <f t="shared" si="254"/>
        <v>0</v>
      </c>
    </row>
    <row r="88" spans="2:34">
      <c r="B88" s="20" t="s">
        <v>282</v>
      </c>
      <c r="C88" s="157"/>
      <c r="D88" s="157"/>
      <c r="E88" s="157"/>
      <c r="F88" s="157"/>
      <c r="G88" s="157">
        <f t="shared" ref="G88:H88" si="305">G59</f>
        <v>0.01</v>
      </c>
      <c r="H88" s="157">
        <f t="shared" si="305"/>
        <v>0.01</v>
      </c>
      <c r="I88" s="157">
        <f t="shared" ref="I88:R88" si="306">I59</f>
        <v>0.01</v>
      </c>
      <c r="J88" s="157">
        <f t="shared" si="306"/>
        <v>5</v>
      </c>
      <c r="K88" s="157">
        <f t="shared" si="306"/>
        <v>0.4</v>
      </c>
      <c r="L88" s="157">
        <f t="shared" si="306"/>
        <v>0.2</v>
      </c>
      <c r="M88" s="157">
        <f t="shared" si="306"/>
        <v>0.25</v>
      </c>
      <c r="N88" s="157">
        <f t="shared" si="306"/>
        <v>0.3</v>
      </c>
      <c r="O88" s="157">
        <f t="shared" si="306"/>
        <v>0.35</v>
      </c>
      <c r="P88" s="157">
        <f t="shared" si="306"/>
        <v>0.25</v>
      </c>
      <c r="Q88" s="157">
        <f t="shared" si="306"/>
        <v>0.25</v>
      </c>
      <c r="R88" s="157">
        <f t="shared" si="306"/>
        <v>0.1</v>
      </c>
      <c r="S88" s="157">
        <f t="shared" ref="S88" si="307">S59</f>
        <v>0.2</v>
      </c>
      <c r="T88" s="118">
        <f t="shared" si="242"/>
        <v>0.28356884211251621</v>
      </c>
      <c r="U88" s="128"/>
      <c r="V88" s="157">
        <f t="shared" ref="V88:AE88" si="308">V59</f>
        <v>0.21000000000000002</v>
      </c>
      <c r="W88" s="157">
        <f t="shared" si="308"/>
        <v>0.22050000000000003</v>
      </c>
      <c r="X88" s="157">
        <f t="shared" si="308"/>
        <v>0.23152500000000004</v>
      </c>
      <c r="Y88" s="157">
        <f t="shared" si="308"/>
        <v>0.24310125000000005</v>
      </c>
      <c r="Z88" s="157">
        <f t="shared" si="308"/>
        <v>0.25525631250000008</v>
      </c>
      <c r="AA88" s="157">
        <f t="shared" si="308"/>
        <v>0.26801912812500012</v>
      </c>
      <c r="AB88" s="157">
        <f t="shared" si="308"/>
        <v>0.28142008453125011</v>
      </c>
      <c r="AC88" s="157">
        <f t="shared" si="308"/>
        <v>0.29549108875781266</v>
      </c>
      <c r="AD88" s="157">
        <f t="shared" si="308"/>
        <v>0.31026564319570332</v>
      </c>
      <c r="AE88" s="157">
        <f t="shared" si="308"/>
        <v>0.32577892535548852</v>
      </c>
      <c r="AF88" s="137">
        <f t="shared" ref="AF88" si="309">((AE88/I88)^(1/($AE$3-$J$1) ))-1</f>
        <v>0.18044009321581944</v>
      </c>
      <c r="AG88" s="31">
        <f t="shared" si="16"/>
        <v>0.05</v>
      </c>
      <c r="AH88" s="145">
        <f t="shared" si="254"/>
        <v>2.0121639507250766</v>
      </c>
    </row>
    <row r="89" spans="2:34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28"/>
      <c r="U89" s="128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38"/>
      <c r="AG89" s="136"/>
      <c r="AH89" s="152"/>
    </row>
    <row r="90" spans="2:34">
      <c r="B90" s="20" t="s">
        <v>313</v>
      </c>
      <c r="C90" s="127"/>
      <c r="D90" s="127"/>
      <c r="E90" s="127"/>
      <c r="F90" s="127"/>
      <c r="G90" s="143">
        <f t="shared" ref="G90:H90" si="310">G20+G21</f>
        <v>0</v>
      </c>
      <c r="H90" s="143">
        <f t="shared" si="310"/>
        <v>0</v>
      </c>
      <c r="I90" s="143">
        <f t="shared" ref="I90:R90" si="311">I20+I21</f>
        <v>0</v>
      </c>
      <c r="J90" s="143">
        <f t="shared" si="311"/>
        <v>0</v>
      </c>
      <c r="K90" s="143">
        <f t="shared" si="311"/>
        <v>0</v>
      </c>
      <c r="L90" s="143">
        <f t="shared" si="311"/>
        <v>0</v>
      </c>
      <c r="M90" s="143">
        <f t="shared" si="311"/>
        <v>0</v>
      </c>
      <c r="N90" s="143">
        <f t="shared" si="311"/>
        <v>0</v>
      </c>
      <c r="O90" s="143">
        <f t="shared" si="311"/>
        <v>0</v>
      </c>
      <c r="P90" s="143">
        <f t="shared" si="311"/>
        <v>0</v>
      </c>
      <c r="Q90" s="143">
        <f t="shared" si="311"/>
        <v>0</v>
      </c>
      <c r="R90" s="143">
        <f t="shared" si="311"/>
        <v>0</v>
      </c>
      <c r="S90" s="143">
        <f t="shared" ref="S90" si="312">S20+S21</f>
        <v>0</v>
      </c>
      <c r="T90" s="118" t="e">
        <f t="shared" si="242"/>
        <v>#DIV/0!</v>
      </c>
      <c r="U90" s="128"/>
      <c r="V90" s="143">
        <f t="shared" ref="V90:AE90" si="313">V20+V21</f>
        <v>0</v>
      </c>
      <c r="W90" s="143">
        <f t="shared" si="313"/>
        <v>0</v>
      </c>
      <c r="X90" s="143">
        <f t="shared" si="313"/>
        <v>0</v>
      </c>
      <c r="Y90" s="143">
        <f t="shared" si="313"/>
        <v>0</v>
      </c>
      <c r="Z90" s="143">
        <f t="shared" si="313"/>
        <v>0</v>
      </c>
      <c r="AA90" s="143">
        <f t="shared" si="313"/>
        <v>0</v>
      </c>
      <c r="AB90" s="143">
        <f t="shared" si="313"/>
        <v>0</v>
      </c>
      <c r="AC90" s="143">
        <f t="shared" si="313"/>
        <v>0</v>
      </c>
      <c r="AD90" s="143">
        <f t="shared" si="313"/>
        <v>0</v>
      </c>
      <c r="AE90" s="143">
        <f t="shared" si="313"/>
        <v>0</v>
      </c>
      <c r="AF90" s="137" t="e">
        <f t="shared" ref="AF90:AF95" si="314">((AE90/I90)^(1/($AE$3-$J$1) ))-1</f>
        <v>#DIV/0!</v>
      </c>
      <c r="AG90" s="31">
        <f t="shared" si="16"/>
        <v>0.05</v>
      </c>
      <c r="AH90" s="145">
        <f t="shared" si="254"/>
        <v>0</v>
      </c>
    </row>
    <row r="91" spans="2:34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28"/>
      <c r="U91" s="128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38"/>
      <c r="AG91" s="136"/>
      <c r="AH91" s="145"/>
    </row>
    <row r="92" spans="2:34">
      <c r="B92" s="20" t="s">
        <v>314</v>
      </c>
      <c r="C92" s="127"/>
      <c r="D92" s="127"/>
      <c r="E92" s="127"/>
      <c r="F92" s="127"/>
      <c r="G92" s="143">
        <f t="shared" ref="G92:H92" si="315">G90/G57</f>
        <v>0</v>
      </c>
      <c r="H92" s="143">
        <f t="shared" si="315"/>
        <v>0</v>
      </c>
      <c r="I92" s="143">
        <f t="shared" ref="I92:R92" si="316">I90/I57</f>
        <v>0</v>
      </c>
      <c r="J92" s="143">
        <f t="shared" si="316"/>
        <v>0</v>
      </c>
      <c r="K92" s="143">
        <f t="shared" si="316"/>
        <v>0</v>
      </c>
      <c r="L92" s="143">
        <f t="shared" si="316"/>
        <v>0</v>
      </c>
      <c r="M92" s="143">
        <f t="shared" si="316"/>
        <v>0</v>
      </c>
      <c r="N92" s="143">
        <f t="shared" si="316"/>
        <v>0</v>
      </c>
      <c r="O92" s="143">
        <f t="shared" si="316"/>
        <v>0</v>
      </c>
      <c r="P92" s="143">
        <f t="shared" si="316"/>
        <v>0</v>
      </c>
      <c r="Q92" s="143">
        <f t="shared" si="316"/>
        <v>0</v>
      </c>
      <c r="R92" s="143">
        <f t="shared" si="316"/>
        <v>0</v>
      </c>
      <c r="S92" s="143">
        <f t="shared" ref="S92" si="317">S90/S57</f>
        <v>0</v>
      </c>
      <c r="T92" s="118" t="e">
        <f t="shared" si="242"/>
        <v>#DIV/0!</v>
      </c>
      <c r="U92" s="128"/>
      <c r="V92" s="145">
        <f t="shared" ref="V92:AE92" si="318">V90/V57</f>
        <v>0</v>
      </c>
      <c r="W92" s="145">
        <f t="shared" si="318"/>
        <v>0</v>
      </c>
      <c r="X92" s="145">
        <f t="shared" si="318"/>
        <v>0</v>
      </c>
      <c r="Y92" s="145">
        <f t="shared" si="318"/>
        <v>0</v>
      </c>
      <c r="Z92" s="145">
        <f t="shared" si="318"/>
        <v>0</v>
      </c>
      <c r="AA92" s="145">
        <f t="shared" si="318"/>
        <v>0</v>
      </c>
      <c r="AB92" s="145">
        <f t="shared" si="318"/>
        <v>0</v>
      </c>
      <c r="AC92" s="145">
        <f t="shared" si="318"/>
        <v>0</v>
      </c>
      <c r="AD92" s="145">
        <f t="shared" si="318"/>
        <v>0</v>
      </c>
      <c r="AE92" s="145">
        <f t="shared" si="318"/>
        <v>0</v>
      </c>
      <c r="AF92" s="137" t="e">
        <f t="shared" si="314"/>
        <v>#DIV/0!</v>
      </c>
      <c r="AG92" s="31">
        <f t="shared" si="16"/>
        <v>0.05</v>
      </c>
      <c r="AH92" s="145">
        <f t="shared" si="254"/>
        <v>0</v>
      </c>
    </row>
    <row r="93" spans="2:34">
      <c r="B93" s="20" t="s">
        <v>286</v>
      </c>
      <c r="C93" s="127"/>
      <c r="D93" s="127"/>
      <c r="E93" s="127"/>
      <c r="F93" s="127"/>
      <c r="G93" s="143">
        <f t="shared" ref="G93:H93" si="319">G20/G57</f>
        <v>0</v>
      </c>
      <c r="H93" s="143">
        <f t="shared" si="319"/>
        <v>0</v>
      </c>
      <c r="I93" s="143">
        <f t="shared" ref="I93:R93" si="320">I20/I57</f>
        <v>0</v>
      </c>
      <c r="J93" s="143">
        <f t="shared" si="320"/>
        <v>0</v>
      </c>
      <c r="K93" s="143">
        <f t="shared" si="320"/>
        <v>0</v>
      </c>
      <c r="L93" s="143">
        <f t="shared" si="320"/>
        <v>0</v>
      </c>
      <c r="M93" s="143">
        <f t="shared" si="320"/>
        <v>0</v>
      </c>
      <c r="N93" s="143">
        <f t="shared" si="320"/>
        <v>0</v>
      </c>
      <c r="O93" s="143">
        <f t="shared" si="320"/>
        <v>0</v>
      </c>
      <c r="P93" s="143">
        <f t="shared" si="320"/>
        <v>0</v>
      </c>
      <c r="Q93" s="143">
        <f t="shared" si="320"/>
        <v>0</v>
      </c>
      <c r="R93" s="143">
        <f t="shared" si="320"/>
        <v>0</v>
      </c>
      <c r="S93" s="143">
        <f t="shared" ref="S93" si="321">S20/S57</f>
        <v>0</v>
      </c>
      <c r="T93" s="118" t="e">
        <f t="shared" si="242"/>
        <v>#DIV/0!</v>
      </c>
      <c r="U93" s="128"/>
      <c r="V93" s="145">
        <f t="shared" ref="V93:AE93" si="322">V20/V57</f>
        <v>0</v>
      </c>
      <c r="W93" s="145">
        <f t="shared" si="322"/>
        <v>0</v>
      </c>
      <c r="X93" s="145">
        <f t="shared" si="322"/>
        <v>0</v>
      </c>
      <c r="Y93" s="145">
        <f t="shared" si="322"/>
        <v>0</v>
      </c>
      <c r="Z93" s="145">
        <f t="shared" si="322"/>
        <v>0</v>
      </c>
      <c r="AA93" s="145">
        <f t="shared" si="322"/>
        <v>0</v>
      </c>
      <c r="AB93" s="145">
        <f t="shared" si="322"/>
        <v>0</v>
      </c>
      <c r="AC93" s="145">
        <f t="shared" si="322"/>
        <v>0</v>
      </c>
      <c r="AD93" s="145">
        <f t="shared" si="322"/>
        <v>0</v>
      </c>
      <c r="AE93" s="145">
        <f t="shared" si="322"/>
        <v>0</v>
      </c>
      <c r="AF93" s="137" t="e">
        <f t="shared" si="314"/>
        <v>#DIV/0!</v>
      </c>
      <c r="AG93" s="31">
        <f t="shared" si="16"/>
        <v>0.05</v>
      </c>
      <c r="AH93" s="145">
        <f t="shared" si="254"/>
        <v>0</v>
      </c>
    </row>
    <row r="94" spans="2:34">
      <c r="B94" s="20" t="s">
        <v>287</v>
      </c>
      <c r="C94" s="127"/>
      <c r="D94" s="127"/>
      <c r="E94" s="127"/>
      <c r="F94" s="127"/>
      <c r="G94" s="143">
        <f t="shared" ref="G94:H94" si="323">G21/G57</f>
        <v>0</v>
      </c>
      <c r="H94" s="143">
        <f t="shared" si="323"/>
        <v>0</v>
      </c>
      <c r="I94" s="143">
        <f t="shared" ref="I94:R94" si="324">I21/I57</f>
        <v>0</v>
      </c>
      <c r="J94" s="143">
        <f t="shared" si="324"/>
        <v>0</v>
      </c>
      <c r="K94" s="143">
        <f t="shared" si="324"/>
        <v>0</v>
      </c>
      <c r="L94" s="143">
        <f t="shared" si="324"/>
        <v>0</v>
      </c>
      <c r="M94" s="143">
        <f t="shared" si="324"/>
        <v>0</v>
      </c>
      <c r="N94" s="143">
        <f t="shared" si="324"/>
        <v>0</v>
      </c>
      <c r="O94" s="143">
        <f t="shared" si="324"/>
        <v>0</v>
      </c>
      <c r="P94" s="143">
        <f t="shared" si="324"/>
        <v>0</v>
      </c>
      <c r="Q94" s="143">
        <f t="shared" si="324"/>
        <v>0</v>
      </c>
      <c r="R94" s="143">
        <f t="shared" si="324"/>
        <v>0</v>
      </c>
      <c r="S94" s="143">
        <f t="shared" ref="S94" si="325">S21/S57</f>
        <v>0</v>
      </c>
      <c r="T94" s="118" t="e">
        <f t="shared" si="242"/>
        <v>#DIV/0!</v>
      </c>
      <c r="U94" s="128"/>
      <c r="V94" s="145">
        <f t="shared" ref="V94:AE94" si="326">V21/V57</f>
        <v>0</v>
      </c>
      <c r="W94" s="145">
        <f t="shared" si="326"/>
        <v>0</v>
      </c>
      <c r="X94" s="145">
        <f t="shared" si="326"/>
        <v>0</v>
      </c>
      <c r="Y94" s="145">
        <f t="shared" si="326"/>
        <v>0</v>
      </c>
      <c r="Z94" s="145">
        <f t="shared" si="326"/>
        <v>0</v>
      </c>
      <c r="AA94" s="145">
        <f t="shared" si="326"/>
        <v>0</v>
      </c>
      <c r="AB94" s="145">
        <f t="shared" si="326"/>
        <v>0</v>
      </c>
      <c r="AC94" s="145">
        <f t="shared" si="326"/>
        <v>0</v>
      </c>
      <c r="AD94" s="145">
        <f t="shared" si="326"/>
        <v>0</v>
      </c>
      <c r="AE94" s="145">
        <f t="shared" si="326"/>
        <v>0</v>
      </c>
      <c r="AF94" s="137" t="e">
        <f t="shared" si="314"/>
        <v>#DIV/0!</v>
      </c>
      <c r="AG94" s="31">
        <f t="shared" si="16"/>
        <v>0.05</v>
      </c>
      <c r="AH94" s="145">
        <f t="shared" si="254"/>
        <v>0</v>
      </c>
    </row>
    <row r="95" spans="2:34">
      <c r="B95" s="20" t="s">
        <v>288</v>
      </c>
      <c r="C95" s="127"/>
      <c r="D95" s="127"/>
      <c r="E95" s="127"/>
      <c r="F95" s="127"/>
      <c r="G95" s="143">
        <f t="shared" ref="G95:H95" si="327">G22/G57</f>
        <v>0</v>
      </c>
      <c r="H95" s="143">
        <f t="shared" si="327"/>
        <v>0</v>
      </c>
      <c r="I95" s="143">
        <f t="shared" ref="I95:R95" si="328">I22/I57</f>
        <v>0</v>
      </c>
      <c r="J95" s="143">
        <f t="shared" si="328"/>
        <v>0</v>
      </c>
      <c r="K95" s="143">
        <f t="shared" si="328"/>
        <v>0</v>
      </c>
      <c r="L95" s="143">
        <f t="shared" si="328"/>
        <v>0</v>
      </c>
      <c r="M95" s="143">
        <f t="shared" si="328"/>
        <v>0</v>
      </c>
      <c r="N95" s="143">
        <f t="shared" si="328"/>
        <v>0</v>
      </c>
      <c r="O95" s="143">
        <f t="shared" si="328"/>
        <v>0</v>
      </c>
      <c r="P95" s="143">
        <f t="shared" si="328"/>
        <v>0</v>
      </c>
      <c r="Q95" s="143">
        <f t="shared" si="328"/>
        <v>0</v>
      </c>
      <c r="R95" s="143">
        <f t="shared" si="328"/>
        <v>0</v>
      </c>
      <c r="S95" s="143">
        <f t="shared" ref="S95" si="329">S22/S57</f>
        <v>0</v>
      </c>
      <c r="T95" s="118" t="e">
        <f t="shared" si="242"/>
        <v>#DIV/0!</v>
      </c>
      <c r="U95" s="128"/>
      <c r="V95" s="145">
        <f t="shared" ref="V95:AE95" si="330">V22/V57</f>
        <v>0</v>
      </c>
      <c r="W95" s="145">
        <f t="shared" si="330"/>
        <v>0</v>
      </c>
      <c r="X95" s="145">
        <f t="shared" si="330"/>
        <v>0</v>
      </c>
      <c r="Y95" s="145">
        <f t="shared" si="330"/>
        <v>0</v>
      </c>
      <c r="Z95" s="145">
        <f t="shared" si="330"/>
        <v>0</v>
      </c>
      <c r="AA95" s="145">
        <f t="shared" si="330"/>
        <v>0</v>
      </c>
      <c r="AB95" s="145">
        <f t="shared" si="330"/>
        <v>0</v>
      </c>
      <c r="AC95" s="145">
        <f t="shared" si="330"/>
        <v>0</v>
      </c>
      <c r="AD95" s="145">
        <f t="shared" si="330"/>
        <v>0</v>
      </c>
      <c r="AE95" s="145">
        <f t="shared" si="330"/>
        <v>0</v>
      </c>
      <c r="AF95" s="137" t="e">
        <f t="shared" si="314"/>
        <v>#DIV/0!</v>
      </c>
      <c r="AG95" s="31">
        <f t="shared" si="16"/>
        <v>0.05</v>
      </c>
      <c r="AH95" s="145">
        <f t="shared" si="254"/>
        <v>0</v>
      </c>
    </row>
    <row r="96" spans="2:34">
      <c r="B96" s="20" t="s">
        <v>295</v>
      </c>
      <c r="C96" s="127"/>
      <c r="D96" s="127"/>
      <c r="E96" s="127"/>
      <c r="F96" s="127"/>
      <c r="G96" s="143">
        <f t="shared" ref="G96:H96" si="331">G23/G57</f>
        <v>0</v>
      </c>
      <c r="H96" s="143">
        <f t="shared" si="331"/>
        <v>0</v>
      </c>
      <c r="I96" s="143">
        <f t="shared" ref="I96:R96" si="332">I23/I57</f>
        <v>0</v>
      </c>
      <c r="J96" s="143">
        <f t="shared" si="332"/>
        <v>0</v>
      </c>
      <c r="K96" s="143">
        <f t="shared" si="332"/>
        <v>0</v>
      </c>
      <c r="L96" s="143">
        <f t="shared" si="332"/>
        <v>0</v>
      </c>
      <c r="M96" s="143">
        <f t="shared" si="332"/>
        <v>0</v>
      </c>
      <c r="N96" s="143">
        <f t="shared" si="332"/>
        <v>0</v>
      </c>
      <c r="O96" s="143">
        <f t="shared" si="332"/>
        <v>0</v>
      </c>
      <c r="P96" s="143">
        <f t="shared" si="332"/>
        <v>0</v>
      </c>
      <c r="Q96" s="143">
        <f t="shared" si="332"/>
        <v>0</v>
      </c>
      <c r="R96" s="143">
        <f t="shared" si="332"/>
        <v>0</v>
      </c>
      <c r="S96" s="143">
        <f t="shared" ref="S96" si="333">S23/S57</f>
        <v>0</v>
      </c>
      <c r="T96" s="118" t="e">
        <f t="shared" si="242"/>
        <v>#DIV/0!</v>
      </c>
      <c r="U96" s="128"/>
      <c r="V96" s="145">
        <f t="shared" ref="V96:AE96" si="334">V23/V57</f>
        <v>0</v>
      </c>
      <c r="W96" s="145">
        <f t="shared" si="334"/>
        <v>0</v>
      </c>
      <c r="X96" s="145">
        <f t="shared" si="334"/>
        <v>0</v>
      </c>
      <c r="Y96" s="145">
        <f t="shared" si="334"/>
        <v>0</v>
      </c>
      <c r="Z96" s="145">
        <f t="shared" si="334"/>
        <v>0</v>
      </c>
      <c r="AA96" s="145">
        <f t="shared" si="334"/>
        <v>0</v>
      </c>
      <c r="AB96" s="145">
        <f t="shared" si="334"/>
        <v>0</v>
      </c>
      <c r="AC96" s="145">
        <f t="shared" si="334"/>
        <v>0</v>
      </c>
      <c r="AD96" s="145">
        <f t="shared" si="334"/>
        <v>0</v>
      </c>
      <c r="AE96" s="145">
        <f t="shared" si="334"/>
        <v>0</v>
      </c>
      <c r="AF96" s="137" t="e">
        <f t="shared" ref="AF96" si="335">((AE96/I96)^(1/($AE$3-$J$1) ))-1</f>
        <v>#DIV/0!</v>
      </c>
      <c r="AG96" s="31">
        <f t="shared" si="16"/>
        <v>0.05</v>
      </c>
      <c r="AH96" s="145">
        <f t="shared" si="254"/>
        <v>0</v>
      </c>
    </row>
    <row r="97" spans="2:34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8"/>
      <c r="AG97" s="136"/>
      <c r="AH97" s="152"/>
    </row>
    <row r="98" spans="2:34">
      <c r="B98" s="20" t="s">
        <v>493</v>
      </c>
      <c r="C98" s="143"/>
      <c r="D98" s="143"/>
      <c r="E98" s="143"/>
      <c r="F98" s="143"/>
      <c r="G98" s="143">
        <f t="shared" ref="G98:H98" si="336">G51/G57</f>
        <v>0.79999999999999993</v>
      </c>
      <c r="H98" s="143">
        <f t="shared" si="336"/>
        <v>0.79999999999999993</v>
      </c>
      <c r="I98" s="143">
        <f t="shared" ref="I98:R98" si="337">I51/I57</f>
        <v>-10.476190476190476</v>
      </c>
      <c r="J98" s="143">
        <f t="shared" si="337"/>
        <v>21.904761904761905</v>
      </c>
      <c r="K98" s="143">
        <f t="shared" si="337"/>
        <v>3.4686346863468631</v>
      </c>
      <c r="L98" s="143">
        <f t="shared" si="337"/>
        <v>3.1734317343173428</v>
      </c>
      <c r="M98" s="143">
        <f t="shared" si="337"/>
        <v>2.8725314183123878</v>
      </c>
      <c r="N98" s="143">
        <f t="shared" si="337"/>
        <v>9.2666005946481658</v>
      </c>
      <c r="O98" s="143">
        <f t="shared" si="337"/>
        <v>4.4662795891022773</v>
      </c>
      <c r="P98" s="143">
        <f t="shared" si="337"/>
        <v>3.7477954144620811</v>
      </c>
      <c r="Q98" s="143">
        <f t="shared" si="337"/>
        <v>6.5934065934065931</v>
      </c>
      <c r="R98" s="143">
        <f t="shared" si="337"/>
        <v>2.8620988725065049</v>
      </c>
      <c r="S98" s="143">
        <f t="shared" ref="S98" si="338">S51/S57</f>
        <v>5.3339115351257593</v>
      </c>
      <c r="T98" s="118">
        <f t="shared" si="242"/>
        <v>0.17128608842771387</v>
      </c>
      <c r="U98" s="128"/>
      <c r="V98" s="143">
        <f t="shared" ref="V98:AE98" si="339">V51/V57</f>
        <v>5.8419031098996399</v>
      </c>
      <c r="W98" s="143">
        <f t="shared" si="339"/>
        <v>6.3982748346519855</v>
      </c>
      <c r="X98" s="143">
        <f t="shared" si="339"/>
        <v>7.0076343427140779</v>
      </c>
      <c r="Y98" s="143">
        <f t="shared" si="339"/>
        <v>7.6750280896392269</v>
      </c>
      <c r="Z98" s="143">
        <f t="shared" si="339"/>
        <v>8.4059831457953429</v>
      </c>
      <c r="AA98" s="143">
        <f t="shared" si="339"/>
        <v>9.2065529692044219</v>
      </c>
      <c r="AB98" s="143">
        <f t="shared" si="339"/>
        <v>10.083367537700079</v>
      </c>
      <c r="AC98" s="143">
        <f t="shared" si="339"/>
        <v>11.043688255576274</v>
      </c>
      <c r="AD98" s="143">
        <f t="shared" si="339"/>
        <v>12.095468089440679</v>
      </c>
      <c r="AE98" s="143">
        <f t="shared" si="339"/>
        <v>13.247417431292172</v>
      </c>
      <c r="AF98" s="137">
        <f t="shared" ref="AF98:AF100" si="340">((AE98/I98)^(1/($AE$3-$J$1) ))-1</f>
        <v>-2.0112387576956592</v>
      </c>
      <c r="AG98" s="31">
        <f t="shared" si="16"/>
        <v>0.05</v>
      </c>
      <c r="AH98" s="145">
        <f t="shared" si="254"/>
        <v>81.822284134451664</v>
      </c>
    </row>
    <row r="99" spans="2:34">
      <c r="B99" s="20" t="s">
        <v>494</v>
      </c>
      <c r="C99" s="143"/>
      <c r="D99" s="143"/>
      <c r="E99" s="143"/>
      <c r="F99" s="143"/>
      <c r="G99" s="143">
        <f t="shared" ref="G99:H99" si="341">G55/G57</f>
        <v>0.70000000000000007</v>
      </c>
      <c r="H99" s="143">
        <f t="shared" si="341"/>
        <v>0.22499999999999998</v>
      </c>
      <c r="I99" s="143">
        <f t="shared" ref="I99:R99" si="342">I55/I57</f>
        <v>2.8571428571428572</v>
      </c>
      <c r="J99" s="143">
        <f t="shared" si="342"/>
        <v>19.047619047619047</v>
      </c>
      <c r="K99" s="143">
        <f t="shared" si="342"/>
        <v>1.6974169741697416</v>
      </c>
      <c r="L99" s="143">
        <f t="shared" si="342"/>
        <v>0.73800738007380073</v>
      </c>
      <c r="M99" s="143">
        <f t="shared" si="342"/>
        <v>0.77797725912627169</v>
      </c>
      <c r="N99" s="143">
        <f t="shared" si="342"/>
        <v>8.1764122893954418</v>
      </c>
      <c r="O99" s="143">
        <f t="shared" si="342"/>
        <v>2.9924073246985259</v>
      </c>
      <c r="P99" s="143">
        <f t="shared" si="342"/>
        <v>2.2469135802469138</v>
      </c>
      <c r="Q99" s="143">
        <f t="shared" si="342"/>
        <v>2.8571428571428572</v>
      </c>
      <c r="R99" s="143">
        <f t="shared" si="342"/>
        <v>-1.2142237640936688</v>
      </c>
      <c r="S99" s="143">
        <f t="shared" ref="S99" si="343">S55/S57</f>
        <v>1.6912402428447528</v>
      </c>
      <c r="T99" s="118">
        <f t="shared" si="242"/>
        <v>7.6280830888316276E-2</v>
      </c>
      <c r="U99" s="128"/>
      <c r="V99" s="143">
        <f t="shared" ref="V99:AE99" si="344">V55/V57</f>
        <v>1.8523107421633005</v>
      </c>
      <c r="W99" s="143">
        <f t="shared" si="344"/>
        <v>2.0287212890359951</v>
      </c>
      <c r="X99" s="143">
        <f t="shared" si="344"/>
        <v>2.2219328403727565</v>
      </c>
      <c r="Y99" s="143">
        <f t="shared" si="344"/>
        <v>2.4335454918368282</v>
      </c>
      <c r="Z99" s="143">
        <f t="shared" si="344"/>
        <v>2.6653117291546211</v>
      </c>
      <c r="AA99" s="143">
        <f t="shared" si="344"/>
        <v>2.9191509414550607</v>
      </c>
      <c r="AB99" s="143">
        <f t="shared" si="344"/>
        <v>3.1971653168317329</v>
      </c>
      <c r="AC99" s="143">
        <f t="shared" si="344"/>
        <v>3.5016572517680875</v>
      </c>
      <c r="AD99" s="143">
        <f t="shared" si="344"/>
        <v>3.8351484186031426</v>
      </c>
      <c r="AE99" s="143">
        <f t="shared" si="344"/>
        <v>4.2004006489462986</v>
      </c>
      <c r="AF99" s="137">
        <f t="shared" si="340"/>
        <v>1.8519773567647668E-2</v>
      </c>
      <c r="AG99" s="31">
        <f t="shared" si="16"/>
        <v>0.05</v>
      </c>
      <c r="AH99" s="145">
        <f t="shared" si="254"/>
        <v>25.943651067021261</v>
      </c>
    </row>
    <row r="100" spans="2:34">
      <c r="B100" s="20" t="s">
        <v>310</v>
      </c>
      <c r="C100" s="143"/>
      <c r="D100" s="143"/>
      <c r="E100" s="143"/>
      <c r="F100" s="143"/>
      <c r="G100" s="143">
        <f t="shared" ref="G100:H100" si="345">G6/G57</f>
        <v>12.5</v>
      </c>
      <c r="H100" s="143">
        <f t="shared" si="345"/>
        <v>12.5</v>
      </c>
      <c r="I100" s="143">
        <f t="shared" ref="I100:R100" si="346">I6/I57</f>
        <v>16.18095238095238</v>
      </c>
      <c r="J100" s="143">
        <f t="shared" si="346"/>
        <v>20</v>
      </c>
      <c r="K100" s="143">
        <f t="shared" si="346"/>
        <v>14.464944649446494</v>
      </c>
      <c r="L100" s="143">
        <f t="shared" si="346"/>
        <v>14.612546125461254</v>
      </c>
      <c r="M100" s="143">
        <f t="shared" si="346"/>
        <v>15.858767205266307</v>
      </c>
      <c r="N100" s="143">
        <f t="shared" si="346"/>
        <v>27.601585728444004</v>
      </c>
      <c r="O100" s="143">
        <f t="shared" si="346"/>
        <v>32.023224653863331</v>
      </c>
      <c r="P100" s="143">
        <f t="shared" si="346"/>
        <v>33.100088183421519</v>
      </c>
      <c r="Q100" s="143">
        <f t="shared" si="346"/>
        <v>32.835164835164832</v>
      </c>
      <c r="R100" s="143">
        <f t="shared" si="346"/>
        <v>32.176929748482223</v>
      </c>
      <c r="S100" s="143">
        <f t="shared" ref="S100" si="347">S6/S57</f>
        <v>33.824804856895057</v>
      </c>
      <c r="T100" s="118">
        <f t="shared" si="242"/>
        <v>8.6493436832076442E-2</v>
      </c>
      <c r="U100" s="128"/>
      <c r="V100" s="143">
        <f t="shared" ref="V100:AE100" si="348">V6/V57</f>
        <v>37.046214843266007</v>
      </c>
      <c r="W100" s="143">
        <f t="shared" si="348"/>
        <v>40.574425780719906</v>
      </c>
      <c r="X100" s="143">
        <f t="shared" si="348"/>
        <v>44.438656807455125</v>
      </c>
      <c r="Y100" s="143">
        <f t="shared" si="348"/>
        <v>48.670909836736563</v>
      </c>
      <c r="Z100" s="143">
        <f t="shared" si="348"/>
        <v>53.306234583092412</v>
      </c>
      <c r="AA100" s="143">
        <f t="shared" si="348"/>
        <v>58.383018829101204</v>
      </c>
      <c r="AB100" s="143">
        <f t="shared" si="348"/>
        <v>63.943306336634642</v>
      </c>
      <c r="AC100" s="143">
        <f t="shared" si="348"/>
        <v>70.033145035361741</v>
      </c>
      <c r="AD100" s="143">
        <f t="shared" si="348"/>
        <v>76.702968372062855</v>
      </c>
      <c r="AE100" s="143">
        <f t="shared" si="348"/>
        <v>84.008012978925976</v>
      </c>
      <c r="AF100" s="137">
        <f t="shared" si="340"/>
        <v>8.15900834704264E-2</v>
      </c>
      <c r="AG100" s="31">
        <f t="shared" ref="AG100" si="349">$N$1</f>
        <v>0.05</v>
      </c>
      <c r="AH100" s="145">
        <f t="shared" si="254"/>
        <v>518.87302134042523</v>
      </c>
    </row>
    <row r="101" spans="2:34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8"/>
      <c r="AG101" s="20"/>
      <c r="AH101" s="152"/>
    </row>
    <row r="102" spans="2:34">
      <c r="B102" s="20" t="s">
        <v>462</v>
      </c>
      <c r="C102" s="127"/>
      <c r="D102" s="127"/>
      <c r="E102" s="127"/>
      <c r="F102" s="127"/>
      <c r="G102" s="143">
        <f t="shared" ref="G102:H102" si="350">G55/$S$57</f>
        <v>1.2142237640936689E-2</v>
      </c>
      <c r="H102" s="143">
        <f t="shared" si="350"/>
        <v>3.9028620988725065E-3</v>
      </c>
      <c r="I102" s="143">
        <f t="shared" ref="I102:S102" si="351">I55/$S$57</f>
        <v>0.13009540329575023</v>
      </c>
      <c r="J102" s="143">
        <f t="shared" si="351"/>
        <v>0.86730268863833482</v>
      </c>
      <c r="K102" s="143">
        <f t="shared" si="351"/>
        <v>0.99739809193408502</v>
      </c>
      <c r="L102" s="143">
        <f t="shared" si="351"/>
        <v>0.43365134431916741</v>
      </c>
      <c r="M102" s="143">
        <f t="shared" si="351"/>
        <v>0.56374674761491761</v>
      </c>
      <c r="N102" s="143">
        <f t="shared" si="351"/>
        <v>7.1552471812662626</v>
      </c>
      <c r="O102" s="143">
        <f t="shared" si="351"/>
        <v>2.9054640069384217</v>
      </c>
      <c r="P102" s="143">
        <f t="shared" si="351"/>
        <v>2.209887250650477</v>
      </c>
      <c r="Q102" s="143">
        <f t="shared" si="351"/>
        <v>2.818733738074588</v>
      </c>
      <c r="R102" s="143">
        <f t="shared" si="351"/>
        <v>-1.2142237640936688</v>
      </c>
      <c r="S102" s="143">
        <f t="shared" si="351"/>
        <v>1.6912402428447528</v>
      </c>
      <c r="T102" s="118">
        <f t="shared" si="242"/>
        <v>0.5088945201243551</v>
      </c>
      <c r="U102" s="128"/>
      <c r="V102" s="143">
        <f t="shared" ref="V102:AE102" si="352">V55/V57</f>
        <v>1.8523107421633005</v>
      </c>
      <c r="W102" s="143">
        <f t="shared" si="352"/>
        <v>2.0287212890359951</v>
      </c>
      <c r="X102" s="143">
        <f t="shared" si="352"/>
        <v>2.2219328403727565</v>
      </c>
      <c r="Y102" s="143">
        <f t="shared" si="352"/>
        <v>2.4335454918368282</v>
      </c>
      <c r="Z102" s="143">
        <f t="shared" si="352"/>
        <v>2.6653117291546211</v>
      </c>
      <c r="AA102" s="143">
        <f t="shared" si="352"/>
        <v>2.9191509414550607</v>
      </c>
      <c r="AB102" s="143">
        <f t="shared" si="352"/>
        <v>3.1971653168317329</v>
      </c>
      <c r="AC102" s="143">
        <f t="shared" si="352"/>
        <v>3.5016572517680875</v>
      </c>
      <c r="AD102" s="143">
        <f t="shared" si="352"/>
        <v>3.8351484186031426</v>
      </c>
      <c r="AE102" s="143">
        <f t="shared" si="352"/>
        <v>4.2004006489462986</v>
      </c>
      <c r="AF102" s="138"/>
      <c r="AG102" s="20"/>
      <c r="AH102" s="152"/>
    </row>
    <row r="103" spans="2:34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8"/>
      <c r="AG103" s="20"/>
      <c r="AH103" s="152"/>
    </row>
    <row r="104" spans="2:34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>
      <c r="B105" s="20" t="s">
        <v>308</v>
      </c>
      <c r="C105" s="150"/>
      <c r="D105" s="150"/>
      <c r="E105" s="150"/>
      <c r="F105" s="150"/>
      <c r="G105" s="150" t="e">
        <f t="shared" ref="G105:H105" si="353">G51/G25</f>
        <v>#DIV/0!</v>
      </c>
      <c r="H105" s="150">
        <f t="shared" si="353"/>
        <v>1.2307692307692308</v>
      </c>
      <c r="I105" s="150">
        <f t="shared" ref="I105:R105" si="354">I51/I25</f>
        <v>-0.20370370370370369</v>
      </c>
      <c r="J105" s="150">
        <f t="shared" si="354"/>
        <v>0.56097560975609762</v>
      </c>
      <c r="K105" s="150">
        <f t="shared" si="354"/>
        <v>0.43518518518518517</v>
      </c>
      <c r="L105" s="150">
        <f t="shared" si="354"/>
        <v>0.38738738738738737</v>
      </c>
      <c r="M105" s="150">
        <f t="shared" si="354"/>
        <v>0.33333333333333331</v>
      </c>
      <c r="N105" s="150">
        <f t="shared" si="354"/>
        <v>0.49210526315789471</v>
      </c>
      <c r="O105" s="150">
        <f t="shared" si="354"/>
        <v>0.26455026455026454</v>
      </c>
      <c r="P105" s="150">
        <f t="shared" si="354"/>
        <v>0.23160762942779292</v>
      </c>
      <c r="Q105" s="150">
        <f t="shared" si="354"/>
        <v>0.36585365853658536</v>
      </c>
      <c r="R105" s="150">
        <f t="shared" si="354"/>
        <v>0.21782178217821782</v>
      </c>
      <c r="S105" s="150">
        <f t="shared" ref="S105" si="355">S51/S25</f>
        <v>0.31060606060606061</v>
      </c>
      <c r="T105" s="118" t="e">
        <f t="shared" si="242"/>
        <v>#DIV/0!</v>
      </c>
      <c r="U105" s="150"/>
      <c r="V105" s="150">
        <f t="shared" ref="V105:AE105" si="356">V51/V25</f>
        <v>0.31060606060606061</v>
      </c>
      <c r="W105" s="150">
        <f t="shared" si="356"/>
        <v>0.31060606060606055</v>
      </c>
      <c r="X105" s="150">
        <f t="shared" si="356"/>
        <v>0.31060606060606061</v>
      </c>
      <c r="Y105" s="150">
        <f t="shared" si="356"/>
        <v>0.31060606060606061</v>
      </c>
      <c r="Z105" s="150">
        <f t="shared" si="356"/>
        <v>0.31060606060606061</v>
      </c>
      <c r="AA105" s="150">
        <f t="shared" si="356"/>
        <v>0.31060606060606066</v>
      </c>
      <c r="AB105" s="150">
        <f t="shared" si="356"/>
        <v>0.31060606060606066</v>
      </c>
      <c r="AC105" s="150">
        <f t="shared" si="356"/>
        <v>0.31060606060606066</v>
      </c>
      <c r="AD105" s="150">
        <f t="shared" si="356"/>
        <v>0.31060606060606066</v>
      </c>
      <c r="AE105" s="150">
        <f t="shared" si="356"/>
        <v>0.31060606060606061</v>
      </c>
      <c r="AF105" s="137">
        <f t="shared" ref="AF105:AF154" si="357">((AE105/I105)^(1/($AE$3-$J$1) ))-1</f>
        <v>-2.0202916521437206</v>
      </c>
      <c r="AG105" s="145"/>
      <c r="AH105" s="145"/>
    </row>
    <row r="106" spans="2:34">
      <c r="B106" s="20" t="s">
        <v>266</v>
      </c>
      <c r="C106" s="150"/>
      <c r="D106" s="150"/>
      <c r="E106" s="150"/>
      <c r="F106" s="150"/>
      <c r="G106" s="150" t="e">
        <f t="shared" ref="G106:H106" si="358">G55/G25</f>
        <v>#DIV/0!</v>
      </c>
      <c r="H106" s="150">
        <f t="shared" si="358"/>
        <v>0.34615384615384615</v>
      </c>
      <c r="I106" s="150">
        <f t="shared" ref="I106:R106" si="359">I55/I25</f>
        <v>5.5555555555555552E-2</v>
      </c>
      <c r="J106" s="150">
        <f t="shared" si="359"/>
        <v>0.48780487804878048</v>
      </c>
      <c r="K106" s="150">
        <f t="shared" si="359"/>
        <v>0.21296296296296297</v>
      </c>
      <c r="L106" s="150">
        <f t="shared" si="359"/>
        <v>9.0090090090090086E-2</v>
      </c>
      <c r="M106" s="150">
        <f t="shared" si="359"/>
        <v>9.0277777777777776E-2</v>
      </c>
      <c r="N106" s="150">
        <f t="shared" si="359"/>
        <v>0.43421052631578949</v>
      </c>
      <c r="O106" s="150">
        <f t="shared" si="359"/>
        <v>0.17724867724867724</v>
      </c>
      <c r="P106" s="150">
        <f t="shared" si="359"/>
        <v>0.13885558583106267</v>
      </c>
      <c r="Q106" s="150">
        <f t="shared" si="359"/>
        <v>0.15853658536585366</v>
      </c>
      <c r="R106" s="150">
        <f t="shared" si="359"/>
        <v>-9.2409240924092403E-2</v>
      </c>
      <c r="S106" s="150">
        <f t="shared" ref="S106" si="360">S55/S25</f>
        <v>9.8484848484848481E-2</v>
      </c>
      <c r="T106" s="118" t="e">
        <f t="shared" si="242"/>
        <v>#DIV/0!</v>
      </c>
      <c r="U106" s="150"/>
      <c r="V106" s="150">
        <f t="shared" ref="V106:AE106" si="361">V55/V25</f>
        <v>9.8484848484848481E-2</v>
      </c>
      <c r="W106" s="150">
        <f t="shared" si="361"/>
        <v>9.8484848484848467E-2</v>
      </c>
      <c r="X106" s="150">
        <f t="shared" si="361"/>
        <v>9.8484848484848481E-2</v>
      </c>
      <c r="Y106" s="150">
        <f t="shared" si="361"/>
        <v>9.8484848484848495E-2</v>
      </c>
      <c r="Z106" s="150">
        <f t="shared" si="361"/>
        <v>9.8484848484848495E-2</v>
      </c>
      <c r="AA106" s="150">
        <f t="shared" si="361"/>
        <v>9.8484848484848508E-2</v>
      </c>
      <c r="AB106" s="150">
        <f t="shared" si="361"/>
        <v>9.8484848484848508E-2</v>
      </c>
      <c r="AC106" s="150">
        <f t="shared" si="361"/>
        <v>9.8484848484848508E-2</v>
      </c>
      <c r="AD106" s="150">
        <f t="shared" si="361"/>
        <v>9.8484848484848508E-2</v>
      </c>
      <c r="AE106" s="150">
        <f t="shared" si="361"/>
        <v>9.8484848484848508E-2</v>
      </c>
      <c r="AF106" s="137">
        <f t="shared" si="357"/>
        <v>2.7637849722464525E-2</v>
      </c>
      <c r="AG106" s="145"/>
      <c r="AH106" s="145"/>
    </row>
    <row r="107" spans="2:34">
      <c r="B107" s="20" t="s">
        <v>355</v>
      </c>
      <c r="C107" s="150"/>
      <c r="D107" s="150"/>
      <c r="E107" s="150"/>
      <c r="F107" s="150"/>
      <c r="G107" s="150">
        <f t="shared" ref="G107:H107" si="362">G55/G7</f>
        <v>3.1111111111111114E-2</v>
      </c>
      <c r="H107" s="150">
        <f t="shared" si="362"/>
        <v>0.01</v>
      </c>
      <c r="I107" s="150">
        <f>I55/I7</f>
        <v>7.3818897637795269E-2</v>
      </c>
      <c r="J107" s="150">
        <f t="shared" ref="J107:Q107" si="363">J55/J7</f>
        <v>0.46511627906976744</v>
      </c>
      <c r="K107" s="150">
        <f t="shared" si="363"/>
        <v>0.10087719298245613</v>
      </c>
      <c r="L107" s="150">
        <f t="shared" si="363"/>
        <v>3.0769230769230771E-2</v>
      </c>
      <c r="M107" s="150">
        <f t="shared" si="363"/>
        <v>4.8148148148148148E-2</v>
      </c>
      <c r="N107" s="150">
        <f t="shared" si="363"/>
        <v>0.81683168316831678</v>
      </c>
      <c r="O107" s="150">
        <f t="shared" si="363"/>
        <v>0.15617715617715619</v>
      </c>
      <c r="P107" s="150">
        <f t="shared" si="363"/>
        <v>6.5907915157785824E-2</v>
      </c>
      <c r="Q107" s="150">
        <f t="shared" si="363"/>
        <v>8.4087968952134537E-2</v>
      </c>
      <c r="R107" s="150">
        <f t="shared" ref="R107:S107" si="364">R55/R7</f>
        <v>-3.6601307189542485E-2</v>
      </c>
      <c r="S107" s="150">
        <f t="shared" si="364"/>
        <v>4.8628428927680795E-2</v>
      </c>
      <c r="T107" s="118">
        <f t="shared" si="242"/>
        <v>3.7921623102376234E-2</v>
      </c>
      <c r="U107" s="20"/>
      <c r="V107" s="150">
        <f t="shared" ref="V107" si="365">V55/V7</f>
        <v>4.8628428927680795E-2</v>
      </c>
      <c r="W107" s="150">
        <f t="shared" ref="W107:AE107" si="366">W55/W7</f>
        <v>4.8628428927680795E-2</v>
      </c>
      <c r="X107" s="150">
        <f t="shared" si="366"/>
        <v>4.8628428927680795E-2</v>
      </c>
      <c r="Y107" s="150">
        <f t="shared" si="366"/>
        <v>4.8628428927680802E-2</v>
      </c>
      <c r="Z107" s="150">
        <f t="shared" si="366"/>
        <v>4.8628428927680802E-2</v>
      </c>
      <c r="AA107" s="150">
        <f t="shared" si="366"/>
        <v>4.8628428927680802E-2</v>
      </c>
      <c r="AB107" s="150">
        <f t="shared" si="366"/>
        <v>4.8628428927680802E-2</v>
      </c>
      <c r="AC107" s="150">
        <f t="shared" si="366"/>
        <v>4.8628428927680808E-2</v>
      </c>
      <c r="AD107" s="150">
        <f t="shared" si="366"/>
        <v>4.8628428927680808E-2</v>
      </c>
      <c r="AE107" s="150">
        <f t="shared" si="366"/>
        <v>4.8628428927680808E-2</v>
      </c>
      <c r="AF107" s="137">
        <f t="shared" si="357"/>
        <v>-1.9680262213816135E-2</v>
      </c>
      <c r="AG107" s="145"/>
      <c r="AH107" s="145"/>
    </row>
    <row r="108" spans="2:34">
      <c r="B108" s="20" t="s">
        <v>356</v>
      </c>
      <c r="C108" s="150"/>
      <c r="D108" s="150"/>
      <c r="E108" s="150"/>
      <c r="F108" s="150"/>
      <c r="G108" s="150">
        <f t="shared" ref="G108:H108" si="367">(G55)/(G7+G10)</f>
        <v>2.9629629629629634E-2</v>
      </c>
      <c r="H108" s="150">
        <f t="shared" si="367"/>
        <v>2.6470588235294116E-3</v>
      </c>
      <c r="I108" s="150">
        <f>(I55)/(I7+I10)</f>
        <v>2.6633522727272728E-2</v>
      </c>
      <c r="J108" s="150">
        <f t="shared" ref="J108:Q108" si="368">(J55)/(J7+J10)</f>
        <v>0.16326530612244897</v>
      </c>
      <c r="K108" s="150">
        <f t="shared" si="368"/>
        <v>4.1441441441441441E-2</v>
      </c>
      <c r="L108" s="150">
        <f t="shared" si="368"/>
        <v>1.5384615384615385E-2</v>
      </c>
      <c r="M108" s="150">
        <f t="shared" si="368"/>
        <v>2.4074074074074074E-2</v>
      </c>
      <c r="N108" s="150">
        <f t="shared" si="368"/>
        <v>0.40841584158415839</v>
      </c>
      <c r="O108" s="150">
        <f t="shared" si="368"/>
        <v>7.7997671711292196E-2</v>
      </c>
      <c r="P108" s="150">
        <f t="shared" si="368"/>
        <v>4.2888402625820568E-2</v>
      </c>
      <c r="Q108" s="150">
        <f t="shared" si="368"/>
        <v>6.2620423892100194E-2</v>
      </c>
      <c r="R108" s="150">
        <f t="shared" ref="R108:S108" si="369">(R55)/(R7+R10)</f>
        <v>-2.7531956735496559E-2</v>
      </c>
      <c r="S108" s="150">
        <f t="shared" si="369"/>
        <v>3.880597014925373E-2</v>
      </c>
      <c r="T108" s="118">
        <f t="shared" si="242"/>
        <v>2.2737923867704568E-2</v>
      </c>
      <c r="U108" s="20"/>
      <c r="V108" s="150">
        <f t="shared" ref="V108:AE108" si="370">(V55)/(V7+V10)</f>
        <v>3.880597014925373E-2</v>
      </c>
      <c r="W108" s="150">
        <f t="shared" si="370"/>
        <v>3.880597014925373E-2</v>
      </c>
      <c r="X108" s="150">
        <f t="shared" si="370"/>
        <v>3.880597014925373E-2</v>
      </c>
      <c r="Y108" s="150">
        <f t="shared" si="370"/>
        <v>3.8805970149253737E-2</v>
      </c>
      <c r="Z108" s="150">
        <f t="shared" si="370"/>
        <v>3.8805970149253737E-2</v>
      </c>
      <c r="AA108" s="150">
        <f t="shared" si="370"/>
        <v>3.8805970149253737E-2</v>
      </c>
      <c r="AB108" s="150">
        <f t="shared" si="370"/>
        <v>3.8805970149253737E-2</v>
      </c>
      <c r="AC108" s="150">
        <f t="shared" si="370"/>
        <v>3.8805970149253737E-2</v>
      </c>
      <c r="AD108" s="150">
        <f t="shared" si="370"/>
        <v>3.8805970149253743E-2</v>
      </c>
      <c r="AE108" s="150">
        <f t="shared" si="370"/>
        <v>3.8805970149253737E-2</v>
      </c>
      <c r="AF108" s="137">
        <f t="shared" si="357"/>
        <v>1.8085571280066493E-2</v>
      </c>
      <c r="AG108" s="145"/>
      <c r="AH108" s="145"/>
    </row>
    <row r="109" spans="2:34">
      <c r="B109" s="20" t="s">
        <v>372</v>
      </c>
      <c r="C109" s="150"/>
      <c r="D109" s="150"/>
      <c r="E109" s="150"/>
      <c r="F109" s="150"/>
      <c r="G109" s="150" t="e">
        <f t="shared" ref="G109:H109" si="371">G20/G25</f>
        <v>#DIV/0!</v>
      </c>
      <c r="H109" s="150">
        <f t="shared" si="371"/>
        <v>0</v>
      </c>
      <c r="I109" s="150">
        <f>I20/I25</f>
        <v>0</v>
      </c>
      <c r="J109" s="150">
        <f t="shared" ref="J109:R109" si="372">J20/J25</f>
        <v>0</v>
      </c>
      <c r="K109" s="150">
        <f t="shared" si="372"/>
        <v>0</v>
      </c>
      <c r="L109" s="150">
        <f t="shared" si="372"/>
        <v>0</v>
      </c>
      <c r="M109" s="150">
        <f t="shared" si="372"/>
        <v>0</v>
      </c>
      <c r="N109" s="150">
        <f t="shared" si="372"/>
        <v>0</v>
      </c>
      <c r="O109" s="150">
        <f t="shared" si="372"/>
        <v>0</v>
      </c>
      <c r="P109" s="150">
        <f t="shared" si="372"/>
        <v>0</v>
      </c>
      <c r="Q109" s="150">
        <f t="shared" si="372"/>
        <v>0</v>
      </c>
      <c r="R109" s="150">
        <f t="shared" si="372"/>
        <v>0</v>
      </c>
      <c r="S109" s="150">
        <f t="shared" ref="S109" si="373">S20/S25</f>
        <v>0</v>
      </c>
      <c r="T109" s="118" t="e">
        <f t="shared" si="242"/>
        <v>#DIV/0!</v>
      </c>
      <c r="U109" s="20"/>
      <c r="V109" s="150">
        <f t="shared" ref="V109:AE109" si="374">V20/V25</f>
        <v>0</v>
      </c>
      <c r="W109" s="150">
        <f t="shared" si="374"/>
        <v>0</v>
      </c>
      <c r="X109" s="150">
        <f t="shared" si="374"/>
        <v>0</v>
      </c>
      <c r="Y109" s="150">
        <f t="shared" si="374"/>
        <v>0</v>
      </c>
      <c r="Z109" s="150">
        <f t="shared" si="374"/>
        <v>0</v>
      </c>
      <c r="AA109" s="150">
        <f t="shared" si="374"/>
        <v>0</v>
      </c>
      <c r="AB109" s="150">
        <f t="shared" si="374"/>
        <v>0</v>
      </c>
      <c r="AC109" s="150">
        <f t="shared" si="374"/>
        <v>0</v>
      </c>
      <c r="AD109" s="150">
        <f t="shared" si="374"/>
        <v>0</v>
      </c>
      <c r="AE109" s="150">
        <f t="shared" si="374"/>
        <v>0</v>
      </c>
      <c r="AF109" s="137" t="e">
        <f t="shared" si="357"/>
        <v>#DIV/0!</v>
      </c>
      <c r="AG109" s="145"/>
      <c r="AH109" s="145"/>
    </row>
    <row r="110" spans="2:34">
      <c r="B110" s="20" t="s">
        <v>424</v>
      </c>
      <c r="C110" s="150"/>
      <c r="D110" s="150"/>
      <c r="E110" s="150"/>
      <c r="F110" s="150"/>
      <c r="G110" s="150" t="e">
        <f t="shared" ref="G110:H110" si="375">G68/G25</f>
        <v>#DIV/0!</v>
      </c>
      <c r="H110" s="150">
        <f t="shared" si="375"/>
        <v>0.46153846153846151</v>
      </c>
      <c r="I110" s="150">
        <f>I68/I25</f>
        <v>-2.9629629629629654E-3</v>
      </c>
      <c r="J110" s="150">
        <f t="shared" ref="J110:R110" si="376">J68/J25</f>
        <v>-3.5853658536585335E-2</v>
      </c>
      <c r="K110" s="150">
        <f t="shared" si="376"/>
        <v>9.2592592592592587E-2</v>
      </c>
      <c r="L110" s="150">
        <f t="shared" si="376"/>
        <v>4.5045045045045043E-2</v>
      </c>
      <c r="M110" s="150">
        <f t="shared" si="376"/>
        <v>6.25E-2</v>
      </c>
      <c r="N110" s="150">
        <f t="shared" si="376"/>
        <v>1.8421052631578946E-2</v>
      </c>
      <c r="O110" s="150">
        <f t="shared" si="376"/>
        <v>7.6719576719576715E-2</v>
      </c>
      <c r="P110" s="150">
        <f t="shared" si="376"/>
        <v>9.2752043596730241E-2</v>
      </c>
      <c r="Q110" s="150">
        <f t="shared" si="376"/>
        <v>0.12682926829268293</v>
      </c>
      <c r="R110" s="150">
        <f t="shared" si="376"/>
        <v>3.6303630363036306E-2</v>
      </c>
      <c r="S110" s="150">
        <f t="shared" ref="S110" si="377">S68/S25</f>
        <v>5.3030303030303032E-2</v>
      </c>
      <c r="T110" s="118" t="e">
        <f t="shared" si="242"/>
        <v>#DIV/0!</v>
      </c>
      <c r="U110" s="20"/>
      <c r="V110" s="150">
        <f t="shared" ref="V110:AE110" si="378">V68/V25</f>
        <v>5.3030303030303046E-2</v>
      </c>
      <c r="W110" s="150">
        <f t="shared" si="378"/>
        <v>5.3030303030303053E-2</v>
      </c>
      <c r="X110" s="150">
        <f t="shared" si="378"/>
        <v>5.3030303030303046E-2</v>
      </c>
      <c r="Y110" s="150">
        <f t="shared" si="378"/>
        <v>5.3030303030303046E-2</v>
      </c>
      <c r="Z110" s="150">
        <f t="shared" si="378"/>
        <v>5.3030303030303046E-2</v>
      </c>
      <c r="AA110" s="150">
        <f t="shared" si="378"/>
        <v>5.303030303030306E-2</v>
      </c>
      <c r="AB110" s="150">
        <f t="shared" si="378"/>
        <v>5.303030303030306E-2</v>
      </c>
      <c r="AC110" s="150">
        <f t="shared" si="378"/>
        <v>5.3030303030303053E-2</v>
      </c>
      <c r="AD110" s="150">
        <f t="shared" si="378"/>
        <v>5.3030303030303053E-2</v>
      </c>
      <c r="AE110" s="150">
        <f t="shared" si="378"/>
        <v>5.303030303030306E-2</v>
      </c>
      <c r="AF110" s="137">
        <f t="shared" si="357"/>
        <v>-2.1472472944944645</v>
      </c>
      <c r="AG110" s="145"/>
      <c r="AH110" s="145"/>
    </row>
    <row r="111" spans="2:34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28"/>
      <c r="U111" s="2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3"/>
      <c r="AG111" s="145"/>
      <c r="AH111" s="145"/>
    </row>
    <row r="112" spans="2:34">
      <c r="B112" s="20" t="s">
        <v>319</v>
      </c>
      <c r="C112" s="150"/>
      <c r="D112" s="150"/>
      <c r="E112" s="150"/>
      <c r="F112" s="150"/>
      <c r="G112" s="150" t="e">
        <f t="shared" ref="G112:H112" si="379">G29/G25</f>
        <v>#DIV/0!</v>
      </c>
      <c r="H112" s="150">
        <f t="shared" si="379"/>
        <v>3.8461538461538464E-2</v>
      </c>
      <c r="I112" s="150">
        <f>I29/I25</f>
        <v>0.14351851851851852</v>
      </c>
      <c r="J112" s="150">
        <f t="shared" ref="J112:R112" si="380">J29/J25</f>
        <v>0.66634146341463418</v>
      </c>
      <c r="K112" s="150">
        <f t="shared" si="380"/>
        <v>0.37962962962962965</v>
      </c>
      <c r="L112" s="150">
        <f t="shared" si="380"/>
        <v>0</v>
      </c>
      <c r="M112" s="150">
        <f t="shared" si="380"/>
        <v>0</v>
      </c>
      <c r="N112" s="150">
        <f t="shared" si="380"/>
        <v>0</v>
      </c>
      <c r="O112" s="150">
        <f t="shared" si="380"/>
        <v>2.9100529100529099E-2</v>
      </c>
      <c r="P112" s="150">
        <f t="shared" si="380"/>
        <v>4.0871934604904632E-2</v>
      </c>
      <c r="Q112" s="150">
        <f t="shared" si="380"/>
        <v>8.0487804878048783E-2</v>
      </c>
      <c r="R112" s="150">
        <f t="shared" si="380"/>
        <v>0.16831683168316833</v>
      </c>
      <c r="S112" s="150">
        <f t="shared" ref="S112" si="381">S29/S25</f>
        <v>0.10353535353535354</v>
      </c>
      <c r="T112" s="118" t="e">
        <f t="shared" si="242"/>
        <v>#DIV/0!</v>
      </c>
      <c r="U112" s="20"/>
      <c r="V112" s="150">
        <f t="shared" ref="V112:AE112" si="382">V29/V25</f>
        <v>0.10353535353535354</v>
      </c>
      <c r="W112" s="150">
        <f t="shared" si="382"/>
        <v>0.10353535353535355</v>
      </c>
      <c r="X112" s="150">
        <f t="shared" si="382"/>
        <v>0.10353535353535355</v>
      </c>
      <c r="Y112" s="150">
        <f t="shared" si="382"/>
        <v>0.10353535353535355</v>
      </c>
      <c r="Z112" s="150">
        <f t="shared" si="382"/>
        <v>0.10353535353535355</v>
      </c>
      <c r="AA112" s="150">
        <f t="shared" si="382"/>
        <v>0.10353535353535356</v>
      </c>
      <c r="AB112" s="150">
        <f t="shared" si="382"/>
        <v>0.10353535353535356</v>
      </c>
      <c r="AC112" s="150">
        <f t="shared" si="382"/>
        <v>0.10353535353535358</v>
      </c>
      <c r="AD112" s="150">
        <f t="shared" si="382"/>
        <v>0.10353535353535359</v>
      </c>
      <c r="AE112" s="150">
        <f t="shared" si="382"/>
        <v>0.10353535353535356</v>
      </c>
      <c r="AF112" s="137">
        <f t="shared" si="357"/>
        <v>-1.5429767127438598E-2</v>
      </c>
      <c r="AG112" s="145"/>
      <c r="AH112" s="145"/>
    </row>
    <row r="113" spans="1:34">
      <c r="B113" s="20" t="s">
        <v>365</v>
      </c>
      <c r="C113" s="150"/>
      <c r="D113" s="150"/>
      <c r="E113" s="150"/>
      <c r="F113" s="150"/>
      <c r="G113" s="150">
        <f t="shared" ref="G113:H113" si="383">G29/G51</f>
        <v>3.125E-2</v>
      </c>
      <c r="H113" s="150">
        <f t="shared" si="383"/>
        <v>3.125E-2</v>
      </c>
      <c r="I113" s="150">
        <f>I29/I51</f>
        <v>-0.70454545454545459</v>
      </c>
      <c r="J113" s="150">
        <f t="shared" ref="J113:R113" si="384">J29/J51</f>
        <v>1.1878260869565218</v>
      </c>
      <c r="K113" s="150">
        <f t="shared" si="384"/>
        <v>0.87234042553191493</v>
      </c>
      <c r="L113" s="150">
        <f t="shared" si="384"/>
        <v>0</v>
      </c>
      <c r="M113" s="150">
        <f t="shared" si="384"/>
        <v>0</v>
      </c>
      <c r="N113" s="150">
        <f t="shared" si="384"/>
        <v>0</v>
      </c>
      <c r="O113" s="150">
        <f t="shared" si="384"/>
        <v>0.11</v>
      </c>
      <c r="P113" s="150">
        <f t="shared" si="384"/>
        <v>0.17647058823529413</v>
      </c>
      <c r="Q113" s="150">
        <f t="shared" si="384"/>
        <v>0.22</v>
      </c>
      <c r="R113" s="150">
        <f t="shared" si="384"/>
        <v>0.77272727272727271</v>
      </c>
      <c r="S113" s="150">
        <f t="shared" ref="S113" si="385">S29/S51</f>
        <v>0.33333333333333331</v>
      </c>
      <c r="T113" s="118">
        <f t="shared" si="242"/>
        <v>0.21806106217250232</v>
      </c>
      <c r="U113" s="20"/>
      <c r="V113" s="150">
        <f t="shared" ref="V113:AE113" si="386">V29/V51</f>
        <v>0.33333333333333337</v>
      </c>
      <c r="W113" s="150">
        <f t="shared" si="386"/>
        <v>0.33333333333333337</v>
      </c>
      <c r="X113" s="150">
        <f t="shared" si="386"/>
        <v>0.33333333333333337</v>
      </c>
      <c r="Y113" s="150">
        <f t="shared" si="386"/>
        <v>0.33333333333333337</v>
      </c>
      <c r="Z113" s="150">
        <f t="shared" si="386"/>
        <v>0.33333333333333337</v>
      </c>
      <c r="AA113" s="150">
        <f t="shared" si="386"/>
        <v>0.33333333333333337</v>
      </c>
      <c r="AB113" s="150">
        <f t="shared" si="386"/>
        <v>0.33333333333333337</v>
      </c>
      <c r="AC113" s="150">
        <f t="shared" si="386"/>
        <v>0.33333333333333343</v>
      </c>
      <c r="AD113" s="150">
        <f t="shared" si="386"/>
        <v>0.33333333333333343</v>
      </c>
      <c r="AE113" s="150">
        <f t="shared" si="386"/>
        <v>0.33333333333333343</v>
      </c>
      <c r="AF113" s="137">
        <f t="shared" ref="AF113" si="387">((AE113/I113)^(1/($AE$3-$J$1) ))-1</f>
        <v>-1.9649890115281199</v>
      </c>
      <c r="AG113" s="145"/>
      <c r="AH113" s="145"/>
    </row>
    <row r="114" spans="1:34" ht="12" customHeight="1">
      <c r="B114" s="20" t="s">
        <v>364</v>
      </c>
      <c r="C114" s="150"/>
      <c r="D114" s="150"/>
      <c r="E114" s="150"/>
      <c r="F114" s="150"/>
      <c r="G114" s="169">
        <f t="shared" ref="G114:H114" si="388">G29/G55</f>
        <v>3.5714285714285712E-2</v>
      </c>
      <c r="H114" s="169">
        <f t="shared" si="388"/>
        <v>0.11111111111111112</v>
      </c>
      <c r="I114" s="169">
        <f t="shared" ref="I114:R114" si="389">I29/I55</f>
        <v>2.5833333333333335</v>
      </c>
      <c r="J114" s="169">
        <f t="shared" si="389"/>
        <v>1.3660000000000001</v>
      </c>
      <c r="K114" s="169">
        <f t="shared" si="389"/>
        <v>1.7826086956521738</v>
      </c>
      <c r="L114" s="169">
        <f t="shared" si="389"/>
        <v>0</v>
      </c>
      <c r="M114" s="169">
        <f t="shared" si="389"/>
        <v>0</v>
      </c>
      <c r="N114" s="169">
        <f t="shared" si="389"/>
        <v>0</v>
      </c>
      <c r="O114" s="169">
        <f t="shared" si="389"/>
        <v>0.16417910447761194</v>
      </c>
      <c r="P114" s="169">
        <f t="shared" si="389"/>
        <v>0.29434850863422291</v>
      </c>
      <c r="Q114" s="169">
        <f t="shared" si="389"/>
        <v>0.50769230769230766</v>
      </c>
      <c r="R114" s="169">
        <f t="shared" si="389"/>
        <v>-1.8214285714285714</v>
      </c>
      <c r="S114" s="169">
        <f t="shared" ref="S114" si="390">S29/S55</f>
        <v>1.0512820512820513</v>
      </c>
      <c r="T114" s="118">
        <f t="shared" si="242"/>
        <v>0.32558151741920471</v>
      </c>
      <c r="U114" s="20"/>
      <c r="V114" s="169">
        <f t="shared" ref="V114:AE114" si="391">V29/V55</f>
        <v>1.0512820512820513</v>
      </c>
      <c r="W114" s="169">
        <f t="shared" si="391"/>
        <v>1.0512820512820515</v>
      </c>
      <c r="X114" s="169">
        <f t="shared" si="391"/>
        <v>1.0512820512820513</v>
      </c>
      <c r="Y114" s="169">
        <f t="shared" si="391"/>
        <v>1.0512820512820513</v>
      </c>
      <c r="Z114" s="169">
        <f t="shared" si="391"/>
        <v>1.0512820512820513</v>
      </c>
      <c r="AA114" s="169">
        <f t="shared" si="391"/>
        <v>1.0512820512820513</v>
      </c>
      <c r="AB114" s="169">
        <f t="shared" si="391"/>
        <v>1.0512820512820513</v>
      </c>
      <c r="AC114" s="169">
        <f t="shared" si="391"/>
        <v>1.0512820512820513</v>
      </c>
      <c r="AD114" s="169">
        <f t="shared" si="391"/>
        <v>1.0512820512820515</v>
      </c>
      <c r="AE114" s="169">
        <f t="shared" si="391"/>
        <v>1.0512820512820513</v>
      </c>
      <c r="AF114" s="137">
        <f t="shared" ref="AF114" si="392">((AE114/I114)^(1/($AE$3-$J$1) ))-1</f>
        <v>-4.1909333002413729E-2</v>
      </c>
      <c r="AG114" s="145"/>
      <c r="AH114" s="145"/>
    </row>
    <row r="115" spans="1:34" ht="12" customHeight="1">
      <c r="B115" s="20" t="s">
        <v>321</v>
      </c>
      <c r="C115" s="150"/>
      <c r="D115" s="150"/>
      <c r="E115" s="150"/>
      <c r="F115" s="150"/>
      <c r="G115" s="169">
        <f t="shared" ref="G115:H115" si="393">G29/G12</f>
        <v>1</v>
      </c>
      <c r="H115" s="169" t="e">
        <f t="shared" si="393"/>
        <v>#DIV/0!</v>
      </c>
      <c r="I115" s="169">
        <f t="shared" ref="I115:R115" si="394">I29/I12</f>
        <v>2.74822695035461</v>
      </c>
      <c r="J115" s="169">
        <f t="shared" si="394"/>
        <v>9.1066666666666674</v>
      </c>
      <c r="K115" s="169">
        <f t="shared" si="394"/>
        <v>0.47126436781609193</v>
      </c>
      <c r="L115" s="169">
        <f t="shared" si="394"/>
        <v>0</v>
      </c>
      <c r="M115" s="169">
        <f t="shared" si="394"/>
        <v>0</v>
      </c>
      <c r="N115" s="169">
        <f t="shared" si="394"/>
        <v>0</v>
      </c>
      <c r="O115" s="169">
        <f t="shared" si="394"/>
        <v>8.0882352941176475E-2</v>
      </c>
      <c r="P115" s="169">
        <f t="shared" si="394"/>
        <v>0.32608695652173914</v>
      </c>
      <c r="Q115" s="169">
        <f t="shared" si="394"/>
        <v>0.6</v>
      </c>
      <c r="R115" s="169">
        <f t="shared" si="394"/>
        <v>2.4285714285714284</v>
      </c>
      <c r="S115" s="169">
        <f t="shared" ref="S115" si="395">S29/S12</f>
        <v>1.7826086956521738</v>
      </c>
      <c r="T115" s="118">
        <f t="shared" si="242"/>
        <v>4.9352339391985689E-2</v>
      </c>
      <c r="U115" s="20"/>
      <c r="V115" s="150">
        <f t="shared" ref="V115:AE115" si="396">V29/V12</f>
        <v>1.7826086956521738</v>
      </c>
      <c r="W115" s="150">
        <f t="shared" si="396"/>
        <v>1.7826086956521741</v>
      </c>
      <c r="X115" s="150">
        <f t="shared" si="396"/>
        <v>1.7826086956521741</v>
      </c>
      <c r="Y115" s="150">
        <f t="shared" si="396"/>
        <v>1.7826086956521738</v>
      </c>
      <c r="Z115" s="150">
        <f t="shared" si="396"/>
        <v>1.7826086956521738</v>
      </c>
      <c r="AA115" s="150">
        <f t="shared" si="396"/>
        <v>1.7826086956521738</v>
      </c>
      <c r="AB115" s="150">
        <f t="shared" si="396"/>
        <v>1.7826086956521738</v>
      </c>
      <c r="AC115" s="150">
        <f t="shared" si="396"/>
        <v>1.7826086956521738</v>
      </c>
      <c r="AD115" s="150">
        <f t="shared" si="396"/>
        <v>1.7826086956521741</v>
      </c>
      <c r="AE115" s="150">
        <f t="shared" si="396"/>
        <v>1.7826086956521738</v>
      </c>
      <c r="AF115" s="137">
        <f t="shared" si="357"/>
        <v>-2.0402242612201249E-2</v>
      </c>
      <c r="AG115" s="145"/>
      <c r="AH115" s="145"/>
    </row>
    <row r="116" spans="1:34" ht="12" customHeight="1">
      <c r="B116" s="20" t="s">
        <v>366</v>
      </c>
      <c r="C116" s="150"/>
      <c r="D116" s="150"/>
      <c r="E116" s="150"/>
      <c r="F116" s="150"/>
      <c r="G116" s="169" t="e">
        <f t="shared" ref="G116:H116" si="397">G29/G23</f>
        <v>#DIV/0!</v>
      </c>
      <c r="H116" s="169" t="e">
        <f t="shared" si="397"/>
        <v>#DIV/0!</v>
      </c>
      <c r="I116" s="169" t="e">
        <f>I29/I23</f>
        <v>#DIV/0!</v>
      </c>
      <c r="J116" s="169" t="e">
        <f t="shared" ref="J116:R116" si="398">J29/J23</f>
        <v>#DIV/0!</v>
      </c>
      <c r="K116" s="169" t="e">
        <f t="shared" si="398"/>
        <v>#DIV/0!</v>
      </c>
      <c r="L116" s="169" t="e">
        <f t="shared" si="398"/>
        <v>#DIV/0!</v>
      </c>
      <c r="M116" s="169" t="e">
        <f t="shared" si="398"/>
        <v>#DIV/0!</v>
      </c>
      <c r="N116" s="169" t="e">
        <f t="shared" si="398"/>
        <v>#DIV/0!</v>
      </c>
      <c r="O116" s="169" t="e">
        <f t="shared" si="398"/>
        <v>#DIV/0!</v>
      </c>
      <c r="P116" s="169" t="e">
        <f t="shared" si="398"/>
        <v>#DIV/0!</v>
      </c>
      <c r="Q116" s="169" t="e">
        <f t="shared" si="398"/>
        <v>#DIV/0!</v>
      </c>
      <c r="R116" s="169" t="e">
        <f t="shared" si="398"/>
        <v>#DIV/0!</v>
      </c>
      <c r="S116" s="169" t="e">
        <f t="shared" ref="S116" si="399">S29/S23</f>
        <v>#DIV/0!</v>
      </c>
      <c r="T116" s="118" t="e">
        <f t="shared" si="242"/>
        <v>#DIV/0!</v>
      </c>
      <c r="U116" s="20"/>
      <c r="V116" s="169" t="e">
        <f t="shared" ref="V116:AE116" si="400">V29/V23</f>
        <v>#DIV/0!</v>
      </c>
      <c r="W116" s="169" t="e">
        <f t="shared" si="400"/>
        <v>#DIV/0!</v>
      </c>
      <c r="X116" s="169" t="e">
        <f t="shared" si="400"/>
        <v>#DIV/0!</v>
      </c>
      <c r="Y116" s="169" t="e">
        <f t="shared" si="400"/>
        <v>#DIV/0!</v>
      </c>
      <c r="Z116" s="169" t="e">
        <f t="shared" si="400"/>
        <v>#DIV/0!</v>
      </c>
      <c r="AA116" s="169" t="e">
        <f t="shared" si="400"/>
        <v>#DIV/0!</v>
      </c>
      <c r="AB116" s="169" t="e">
        <f t="shared" si="400"/>
        <v>#DIV/0!</v>
      </c>
      <c r="AC116" s="169" t="e">
        <f t="shared" si="400"/>
        <v>#DIV/0!</v>
      </c>
      <c r="AD116" s="169" t="e">
        <f t="shared" si="400"/>
        <v>#DIV/0!</v>
      </c>
      <c r="AE116" s="169" t="e">
        <f t="shared" si="400"/>
        <v>#DIV/0!</v>
      </c>
      <c r="AF116" s="137" t="e">
        <f t="shared" ref="AF116" si="401">((AE116/I116)^(1/($AE$3-$J$1) ))-1</f>
        <v>#DIV/0!</v>
      </c>
      <c r="AG116" s="145"/>
      <c r="AH116" s="145"/>
    </row>
    <row r="117" spans="1:34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28"/>
      <c r="U117" s="2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45"/>
      <c r="AH117" s="145"/>
    </row>
    <row r="118" spans="1:34" ht="12" customHeight="1">
      <c r="B118" s="20" t="s">
        <v>398</v>
      </c>
      <c r="C118" s="150"/>
      <c r="D118" s="150"/>
      <c r="E118" s="150"/>
      <c r="F118" s="150"/>
      <c r="G118" s="127" t="e">
        <f t="shared" ref="G118:H118" si="402">1/G112</f>
        <v>#DIV/0!</v>
      </c>
      <c r="H118" s="127">
        <f t="shared" si="402"/>
        <v>26</v>
      </c>
      <c r="I118" s="127">
        <f>1/I112</f>
        <v>6.967741935483871</v>
      </c>
      <c r="J118" s="127">
        <f t="shared" ref="J118:R118" si="403">1/J112</f>
        <v>1.5007320644216691</v>
      </c>
      <c r="K118" s="127">
        <f t="shared" si="403"/>
        <v>2.6341463414634143</v>
      </c>
      <c r="L118" s="127" t="e">
        <f t="shared" si="403"/>
        <v>#DIV/0!</v>
      </c>
      <c r="M118" s="127" t="e">
        <f t="shared" si="403"/>
        <v>#DIV/0!</v>
      </c>
      <c r="N118" s="127" t="e">
        <f t="shared" si="403"/>
        <v>#DIV/0!</v>
      </c>
      <c r="O118" s="127">
        <f t="shared" si="403"/>
        <v>34.363636363636367</v>
      </c>
      <c r="P118" s="127">
        <f t="shared" si="403"/>
        <v>24.466666666666665</v>
      </c>
      <c r="Q118" s="127">
        <f t="shared" si="403"/>
        <v>12.424242424242424</v>
      </c>
      <c r="R118" s="127">
        <f t="shared" si="403"/>
        <v>5.9411764705882346</v>
      </c>
      <c r="S118" s="127">
        <f t="shared" ref="S118" si="404">1/S112</f>
        <v>9.6585365853658534</v>
      </c>
      <c r="T118" s="118" t="e">
        <f t="shared" si="242"/>
        <v>#DIV/0!</v>
      </c>
      <c r="U118" s="20"/>
      <c r="V118" s="127">
        <f t="shared" ref="V118:AE118" si="405">1/V112</f>
        <v>9.6585365853658534</v>
      </c>
      <c r="W118" s="127">
        <f t="shared" si="405"/>
        <v>9.6585365853658516</v>
      </c>
      <c r="X118" s="127">
        <f t="shared" si="405"/>
        <v>9.6585365853658516</v>
      </c>
      <c r="Y118" s="127">
        <f t="shared" si="405"/>
        <v>9.6585365853658516</v>
      </c>
      <c r="Z118" s="127">
        <f t="shared" si="405"/>
        <v>9.6585365853658516</v>
      </c>
      <c r="AA118" s="127">
        <f t="shared" si="405"/>
        <v>9.6585365853658516</v>
      </c>
      <c r="AB118" s="127">
        <f t="shared" si="405"/>
        <v>9.6585365853658516</v>
      </c>
      <c r="AC118" s="127">
        <f t="shared" si="405"/>
        <v>9.6585365853658498</v>
      </c>
      <c r="AD118" s="127">
        <f t="shared" si="405"/>
        <v>9.658536585365848</v>
      </c>
      <c r="AE118" s="127">
        <f t="shared" si="405"/>
        <v>9.6585365853658516</v>
      </c>
      <c r="AF118" s="137">
        <f t="shared" si="357"/>
        <v>1.5671575894003142E-2</v>
      </c>
      <c r="AG118" s="145"/>
      <c r="AH118" s="145"/>
    </row>
    <row r="119" spans="1:34" ht="12" customHeight="1">
      <c r="B119" s="20" t="s">
        <v>399</v>
      </c>
      <c r="C119" s="150"/>
      <c r="D119" s="150"/>
      <c r="E119" s="150"/>
      <c r="F119" s="150"/>
      <c r="G119" s="127">
        <f t="shared" ref="G119:H119" si="406">1/G113</f>
        <v>32</v>
      </c>
      <c r="H119" s="127">
        <f t="shared" si="406"/>
        <v>32</v>
      </c>
      <c r="I119" s="127">
        <f t="shared" ref="I119:R122" si="407">1/I113</f>
        <v>-1.4193548387096773</v>
      </c>
      <c r="J119" s="127">
        <f t="shared" si="407"/>
        <v>0.84187408491947291</v>
      </c>
      <c r="K119" s="127">
        <f t="shared" si="407"/>
        <v>1.1463414634146341</v>
      </c>
      <c r="L119" s="127" t="e">
        <f t="shared" si="407"/>
        <v>#DIV/0!</v>
      </c>
      <c r="M119" s="127" t="e">
        <f t="shared" si="407"/>
        <v>#DIV/0!</v>
      </c>
      <c r="N119" s="127" t="e">
        <f t="shared" si="407"/>
        <v>#DIV/0!</v>
      </c>
      <c r="O119" s="127">
        <f t="shared" si="407"/>
        <v>9.0909090909090917</v>
      </c>
      <c r="P119" s="127">
        <f t="shared" si="407"/>
        <v>5.6666666666666661</v>
      </c>
      <c r="Q119" s="127">
        <f t="shared" si="407"/>
        <v>4.5454545454545459</v>
      </c>
      <c r="R119" s="127">
        <f t="shared" si="407"/>
        <v>1.2941176470588236</v>
      </c>
      <c r="S119" s="127">
        <f t="shared" ref="S119" si="408">1/S113</f>
        <v>3</v>
      </c>
      <c r="T119" s="118">
        <f t="shared" si="242"/>
        <v>-0.17902309575808473</v>
      </c>
      <c r="U119" s="20"/>
      <c r="V119" s="127">
        <f t="shared" ref="V119:AE119" si="409">1/V113</f>
        <v>2.9999999999999996</v>
      </c>
      <c r="W119" s="127">
        <f t="shared" si="409"/>
        <v>2.9999999999999996</v>
      </c>
      <c r="X119" s="127">
        <f t="shared" si="409"/>
        <v>2.9999999999999996</v>
      </c>
      <c r="Y119" s="127">
        <f t="shared" si="409"/>
        <v>2.9999999999999996</v>
      </c>
      <c r="Z119" s="127">
        <f t="shared" si="409"/>
        <v>2.9999999999999996</v>
      </c>
      <c r="AA119" s="127">
        <f t="shared" si="409"/>
        <v>2.9999999999999996</v>
      </c>
      <c r="AB119" s="127">
        <f t="shared" si="409"/>
        <v>2.9999999999999996</v>
      </c>
      <c r="AC119" s="127">
        <f t="shared" si="409"/>
        <v>2.9999999999999991</v>
      </c>
      <c r="AD119" s="127">
        <f t="shared" si="409"/>
        <v>2.9999999999999991</v>
      </c>
      <c r="AE119" s="127">
        <f t="shared" si="409"/>
        <v>2.9999999999999991</v>
      </c>
      <c r="AF119" s="137">
        <f t="shared" si="357"/>
        <v>-2.0362812302043087</v>
      </c>
      <c r="AG119" s="145"/>
      <c r="AH119" s="145"/>
    </row>
    <row r="120" spans="1:34" ht="12" customHeight="1">
      <c r="B120" s="20" t="s">
        <v>400</v>
      </c>
      <c r="C120" s="150"/>
      <c r="D120" s="150"/>
      <c r="E120" s="150"/>
      <c r="F120" s="150"/>
      <c r="G120" s="127">
        <f t="shared" ref="G120:H120" si="410">1/G114</f>
        <v>28</v>
      </c>
      <c r="H120" s="127">
        <f t="shared" si="410"/>
        <v>9</v>
      </c>
      <c r="I120" s="127">
        <f t="shared" si="407"/>
        <v>0.38709677419354838</v>
      </c>
      <c r="J120" s="127">
        <f t="shared" si="407"/>
        <v>0.73206442166910679</v>
      </c>
      <c r="K120" s="127">
        <f t="shared" si="407"/>
        <v>0.56097560975609762</v>
      </c>
      <c r="L120" s="127" t="e">
        <f t="shared" si="407"/>
        <v>#DIV/0!</v>
      </c>
      <c r="M120" s="127" t="e">
        <f t="shared" si="407"/>
        <v>#DIV/0!</v>
      </c>
      <c r="N120" s="127" t="e">
        <f t="shared" si="407"/>
        <v>#DIV/0!</v>
      </c>
      <c r="O120" s="127">
        <f t="shared" si="407"/>
        <v>6.0909090909090908</v>
      </c>
      <c r="P120" s="127">
        <f t="shared" si="407"/>
        <v>3.3973333333333335</v>
      </c>
      <c r="Q120" s="127">
        <f t="shared" si="407"/>
        <v>1.9696969696969697</v>
      </c>
      <c r="R120" s="127">
        <f t="shared" si="407"/>
        <v>-0.5490196078431373</v>
      </c>
      <c r="S120" s="127">
        <f t="shared" ref="S120" si="411">1/S114</f>
        <v>0.95121951219512191</v>
      </c>
      <c r="T120" s="118">
        <f t="shared" si="242"/>
        <v>-0.24561410455773736</v>
      </c>
      <c r="U120" s="20"/>
      <c r="V120" s="127">
        <f t="shared" ref="V120:AE120" si="412">1/V114</f>
        <v>0.95121951219512191</v>
      </c>
      <c r="W120" s="127">
        <f t="shared" si="412"/>
        <v>0.95121951219512169</v>
      </c>
      <c r="X120" s="127">
        <f t="shared" si="412"/>
        <v>0.95121951219512191</v>
      </c>
      <c r="Y120" s="127">
        <f t="shared" si="412"/>
        <v>0.95121951219512191</v>
      </c>
      <c r="Z120" s="127">
        <f t="shared" si="412"/>
        <v>0.95121951219512191</v>
      </c>
      <c r="AA120" s="127">
        <f t="shared" si="412"/>
        <v>0.95121951219512191</v>
      </c>
      <c r="AB120" s="127">
        <f t="shared" si="412"/>
        <v>0.95121951219512191</v>
      </c>
      <c r="AC120" s="127">
        <f t="shared" si="412"/>
        <v>0.95121951219512191</v>
      </c>
      <c r="AD120" s="127">
        <f t="shared" si="412"/>
        <v>0.95121951219512169</v>
      </c>
      <c r="AE120" s="127">
        <f t="shared" si="412"/>
        <v>0.95121951219512191</v>
      </c>
      <c r="AF120" s="137">
        <f t="shared" si="357"/>
        <v>4.3742554275940204E-2</v>
      </c>
      <c r="AG120" s="145"/>
      <c r="AH120" s="145"/>
    </row>
    <row r="121" spans="1:34" ht="12" customHeight="1">
      <c r="B121" s="20" t="s">
        <v>401</v>
      </c>
      <c r="C121" s="150"/>
      <c r="D121" s="150"/>
      <c r="E121" s="150"/>
      <c r="F121" s="150"/>
      <c r="G121" s="127">
        <f t="shared" ref="G121:H121" si="413">1/G115</f>
        <v>1</v>
      </c>
      <c r="H121" s="127" t="e">
        <f t="shared" si="413"/>
        <v>#DIV/0!</v>
      </c>
      <c r="I121" s="127">
        <f t="shared" si="407"/>
        <v>0.3638709677419355</v>
      </c>
      <c r="J121" s="127">
        <f t="shared" si="407"/>
        <v>0.10980966325036602</v>
      </c>
      <c r="K121" s="127">
        <f t="shared" si="407"/>
        <v>2.1219512195121952</v>
      </c>
      <c r="L121" s="127" t="e">
        <f t="shared" si="407"/>
        <v>#DIV/0!</v>
      </c>
      <c r="M121" s="127" t="e">
        <f t="shared" si="407"/>
        <v>#DIV/0!</v>
      </c>
      <c r="N121" s="127" t="e">
        <f t="shared" si="407"/>
        <v>#DIV/0!</v>
      </c>
      <c r="O121" s="127">
        <f t="shared" si="407"/>
        <v>12.363636363636363</v>
      </c>
      <c r="P121" s="127">
        <f t="shared" si="407"/>
        <v>3.0666666666666664</v>
      </c>
      <c r="Q121" s="127">
        <f t="shared" si="407"/>
        <v>1.6666666666666667</v>
      </c>
      <c r="R121" s="127">
        <f t="shared" si="407"/>
        <v>0.41176470588235298</v>
      </c>
      <c r="S121" s="127">
        <f t="shared" ref="S121" si="414">1/S115</f>
        <v>0.56097560975609762</v>
      </c>
      <c r="T121" s="118">
        <f t="shared" si="242"/>
        <v>-4.703123778289886E-2</v>
      </c>
      <c r="U121" s="20"/>
      <c r="V121" s="127">
        <f t="shared" ref="V121:AE121" si="415">1/V115</f>
        <v>0.56097560975609762</v>
      </c>
      <c r="W121" s="127">
        <f t="shared" si="415"/>
        <v>0.5609756097560975</v>
      </c>
      <c r="X121" s="127">
        <f t="shared" si="415"/>
        <v>0.5609756097560975</v>
      </c>
      <c r="Y121" s="127">
        <f t="shared" si="415"/>
        <v>0.56097560975609762</v>
      </c>
      <c r="Z121" s="127">
        <f t="shared" si="415"/>
        <v>0.56097560975609762</v>
      </c>
      <c r="AA121" s="127">
        <f t="shared" si="415"/>
        <v>0.56097560975609762</v>
      </c>
      <c r="AB121" s="127">
        <f t="shared" si="415"/>
        <v>0.56097560975609762</v>
      </c>
      <c r="AC121" s="127">
        <f t="shared" si="415"/>
        <v>0.56097560975609762</v>
      </c>
      <c r="AD121" s="127">
        <f t="shared" si="415"/>
        <v>0.5609756097560975</v>
      </c>
      <c r="AE121" s="127">
        <f t="shared" si="415"/>
        <v>0.56097560975609762</v>
      </c>
      <c r="AF121" s="137">
        <f t="shared" si="357"/>
        <v>2.082716345391189E-2</v>
      </c>
      <c r="AG121" s="145"/>
      <c r="AH121" s="145"/>
    </row>
    <row r="122" spans="1:34" ht="12" customHeight="1">
      <c r="B122" s="20" t="s">
        <v>402</v>
      </c>
      <c r="C122" s="150"/>
      <c r="D122" s="150"/>
      <c r="E122" s="150"/>
      <c r="F122" s="150"/>
      <c r="G122" s="127" t="e">
        <f t="shared" ref="G122:H122" si="416">1/G116</f>
        <v>#DIV/0!</v>
      </c>
      <c r="H122" s="127" t="e">
        <f t="shared" si="416"/>
        <v>#DIV/0!</v>
      </c>
      <c r="I122" s="127" t="e">
        <f t="shared" si="407"/>
        <v>#DIV/0!</v>
      </c>
      <c r="J122" s="127" t="e">
        <f t="shared" si="407"/>
        <v>#DIV/0!</v>
      </c>
      <c r="K122" s="127" t="e">
        <f t="shared" si="407"/>
        <v>#DIV/0!</v>
      </c>
      <c r="L122" s="127" t="e">
        <f t="shared" si="407"/>
        <v>#DIV/0!</v>
      </c>
      <c r="M122" s="127" t="e">
        <f t="shared" si="407"/>
        <v>#DIV/0!</v>
      </c>
      <c r="N122" s="127" t="e">
        <f t="shared" si="407"/>
        <v>#DIV/0!</v>
      </c>
      <c r="O122" s="127" t="e">
        <f t="shared" si="407"/>
        <v>#DIV/0!</v>
      </c>
      <c r="P122" s="127" t="e">
        <f t="shared" si="407"/>
        <v>#DIV/0!</v>
      </c>
      <c r="Q122" s="127" t="e">
        <f t="shared" si="407"/>
        <v>#DIV/0!</v>
      </c>
      <c r="R122" s="127" t="e">
        <f t="shared" si="407"/>
        <v>#DIV/0!</v>
      </c>
      <c r="S122" s="127" t="e">
        <f t="shared" ref="S122" si="417">1/S116</f>
        <v>#DIV/0!</v>
      </c>
      <c r="T122" s="118" t="e">
        <f t="shared" si="242"/>
        <v>#DIV/0!</v>
      </c>
      <c r="U122" s="20"/>
      <c r="V122" s="127" t="e">
        <f t="shared" ref="V122:AE122" si="418">1/V116</f>
        <v>#DIV/0!</v>
      </c>
      <c r="W122" s="127" t="e">
        <f t="shared" si="418"/>
        <v>#DIV/0!</v>
      </c>
      <c r="X122" s="127" t="e">
        <f t="shared" si="418"/>
        <v>#DIV/0!</v>
      </c>
      <c r="Y122" s="127" t="e">
        <f t="shared" si="418"/>
        <v>#DIV/0!</v>
      </c>
      <c r="Z122" s="127" t="e">
        <f t="shared" si="418"/>
        <v>#DIV/0!</v>
      </c>
      <c r="AA122" s="127" t="e">
        <f t="shared" si="418"/>
        <v>#DIV/0!</v>
      </c>
      <c r="AB122" s="127" t="e">
        <f t="shared" si="418"/>
        <v>#DIV/0!</v>
      </c>
      <c r="AC122" s="127" t="e">
        <f t="shared" si="418"/>
        <v>#DIV/0!</v>
      </c>
      <c r="AD122" s="127" t="e">
        <f t="shared" si="418"/>
        <v>#DIV/0!</v>
      </c>
      <c r="AE122" s="127" t="e">
        <f t="shared" si="418"/>
        <v>#DIV/0!</v>
      </c>
      <c r="AF122" s="137" t="e">
        <f t="shared" si="357"/>
        <v>#DIV/0!</v>
      </c>
      <c r="AG122" s="145"/>
      <c r="AH122" s="145"/>
    </row>
    <row r="123" spans="1:34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28"/>
      <c r="U123" s="2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45"/>
      <c r="AH123" s="145"/>
    </row>
    <row r="124" spans="1:34" ht="12" customHeight="1">
      <c r="A124" s="205" t="s">
        <v>479</v>
      </c>
      <c r="B124" s="200" t="s">
        <v>487</v>
      </c>
      <c r="C124" s="150"/>
      <c r="D124" s="150"/>
      <c r="E124" s="150"/>
      <c r="F124" s="150"/>
      <c r="G124" s="169" t="e">
        <f t="shared" ref="G124:H124" si="419">G25/(G36+G38)</f>
        <v>#DIV/0!</v>
      </c>
      <c r="H124" s="169" t="e">
        <f t="shared" si="419"/>
        <v>#DIV/0!</v>
      </c>
      <c r="I124" s="169" t="e">
        <f t="shared" ref="I124:S124" si="420">I25/(I36+I38)</f>
        <v>#DIV/0!</v>
      </c>
      <c r="J124" s="169" t="e">
        <f t="shared" si="420"/>
        <v>#DIV/0!</v>
      </c>
      <c r="K124" s="169" t="e">
        <f t="shared" si="420"/>
        <v>#DIV/0!</v>
      </c>
      <c r="L124" s="169" t="e">
        <f t="shared" si="420"/>
        <v>#DIV/0!</v>
      </c>
      <c r="M124" s="169" t="e">
        <f t="shared" si="420"/>
        <v>#DIV/0!</v>
      </c>
      <c r="N124" s="169" t="e">
        <f t="shared" si="420"/>
        <v>#DIV/0!</v>
      </c>
      <c r="O124" s="169" t="e">
        <f t="shared" si="420"/>
        <v>#DIV/0!</v>
      </c>
      <c r="P124" s="169" t="e">
        <f t="shared" si="420"/>
        <v>#DIV/0!</v>
      </c>
      <c r="Q124" s="169" t="e">
        <f t="shared" si="420"/>
        <v>#DIV/0!</v>
      </c>
      <c r="R124" s="169" t="e">
        <f t="shared" si="420"/>
        <v>#DIV/0!</v>
      </c>
      <c r="S124" s="169" t="e">
        <f t="shared" si="420"/>
        <v>#DIV/0!</v>
      </c>
      <c r="T124" s="118" t="e">
        <f t="shared" si="242"/>
        <v>#DIV/0!</v>
      </c>
      <c r="U124" s="20"/>
      <c r="V124" s="169" t="e">
        <f t="shared" ref="V124:AE124" si="421">V25/(V36+V38)</f>
        <v>#DIV/0!</v>
      </c>
      <c r="W124" s="169" t="e">
        <f t="shared" si="421"/>
        <v>#DIV/0!</v>
      </c>
      <c r="X124" s="169" t="e">
        <f t="shared" si="421"/>
        <v>#DIV/0!</v>
      </c>
      <c r="Y124" s="169" t="e">
        <f t="shared" si="421"/>
        <v>#DIV/0!</v>
      </c>
      <c r="Z124" s="169" t="e">
        <f t="shared" si="421"/>
        <v>#DIV/0!</v>
      </c>
      <c r="AA124" s="169" t="e">
        <f t="shared" si="421"/>
        <v>#DIV/0!</v>
      </c>
      <c r="AB124" s="169" t="e">
        <f t="shared" si="421"/>
        <v>#DIV/0!</v>
      </c>
      <c r="AC124" s="169" t="e">
        <f t="shared" si="421"/>
        <v>#DIV/0!</v>
      </c>
      <c r="AD124" s="169" t="e">
        <f t="shared" si="421"/>
        <v>#DIV/0!</v>
      </c>
      <c r="AE124" s="169" t="e">
        <f t="shared" si="421"/>
        <v>#DIV/0!</v>
      </c>
      <c r="AF124" s="137" t="e">
        <f t="shared" ref="AF124:AF132" si="422">((AE124/I124)^(1/($AE$3-$J$1) ))-1</f>
        <v>#DIV/0!</v>
      </c>
      <c r="AG124" s="145"/>
      <c r="AH124" s="145"/>
    </row>
    <row r="125" spans="1:34" ht="12" customHeight="1">
      <c r="A125" s="205"/>
      <c r="B125" s="200" t="s">
        <v>481</v>
      </c>
      <c r="C125" s="150"/>
      <c r="D125" s="150"/>
      <c r="E125" s="150"/>
      <c r="F125" s="150"/>
      <c r="G125" s="169" t="e">
        <f t="shared" ref="G125:H125" si="423">G25/G43</f>
        <v>#DIV/0!</v>
      </c>
      <c r="H125" s="169" t="e">
        <f t="shared" si="423"/>
        <v>#DIV/0!</v>
      </c>
      <c r="I125" s="169" t="e">
        <f t="shared" ref="I125:S125" si="424">I25/I43</f>
        <v>#DIV/0!</v>
      </c>
      <c r="J125" s="169" t="e">
        <f t="shared" si="424"/>
        <v>#DIV/0!</v>
      </c>
      <c r="K125" s="169" t="e">
        <f t="shared" si="424"/>
        <v>#DIV/0!</v>
      </c>
      <c r="L125" s="169" t="e">
        <f t="shared" si="424"/>
        <v>#DIV/0!</v>
      </c>
      <c r="M125" s="169" t="e">
        <f t="shared" si="424"/>
        <v>#DIV/0!</v>
      </c>
      <c r="N125" s="169" t="e">
        <f t="shared" si="424"/>
        <v>#DIV/0!</v>
      </c>
      <c r="O125" s="169" t="e">
        <f t="shared" si="424"/>
        <v>#DIV/0!</v>
      </c>
      <c r="P125" s="169" t="e">
        <f t="shared" si="424"/>
        <v>#DIV/0!</v>
      </c>
      <c r="Q125" s="169" t="e">
        <f t="shared" si="424"/>
        <v>#DIV/0!</v>
      </c>
      <c r="R125" s="169" t="e">
        <f t="shared" si="424"/>
        <v>#DIV/0!</v>
      </c>
      <c r="S125" s="169" t="e">
        <f t="shared" si="424"/>
        <v>#DIV/0!</v>
      </c>
      <c r="T125" s="118" t="e">
        <f t="shared" si="242"/>
        <v>#DIV/0!</v>
      </c>
      <c r="U125" s="20"/>
      <c r="V125" s="169" t="e">
        <f t="shared" ref="V125:AE125" si="425">V25/V43</f>
        <v>#DIV/0!</v>
      </c>
      <c r="W125" s="169" t="e">
        <f t="shared" si="425"/>
        <v>#DIV/0!</v>
      </c>
      <c r="X125" s="169" t="e">
        <f t="shared" si="425"/>
        <v>#DIV/0!</v>
      </c>
      <c r="Y125" s="169" t="e">
        <f t="shared" si="425"/>
        <v>#DIV/0!</v>
      </c>
      <c r="Z125" s="169" t="e">
        <f t="shared" si="425"/>
        <v>#DIV/0!</v>
      </c>
      <c r="AA125" s="169" t="e">
        <f t="shared" si="425"/>
        <v>#DIV/0!</v>
      </c>
      <c r="AB125" s="169" t="e">
        <f t="shared" si="425"/>
        <v>#DIV/0!</v>
      </c>
      <c r="AC125" s="169" t="e">
        <f t="shared" si="425"/>
        <v>#DIV/0!</v>
      </c>
      <c r="AD125" s="169" t="e">
        <f t="shared" si="425"/>
        <v>#DIV/0!</v>
      </c>
      <c r="AE125" s="169" t="e">
        <f t="shared" si="425"/>
        <v>#DIV/0!</v>
      </c>
      <c r="AF125" s="137" t="e">
        <f t="shared" si="422"/>
        <v>#DIV/0!</v>
      </c>
      <c r="AG125" s="145"/>
      <c r="AH125" s="145"/>
    </row>
    <row r="126" spans="1:34" ht="12" customHeight="1">
      <c r="A126" s="205"/>
      <c r="B126" s="200" t="s">
        <v>488</v>
      </c>
      <c r="C126" s="150"/>
      <c r="D126" s="150"/>
      <c r="E126" s="150"/>
      <c r="F126" s="150"/>
      <c r="G126" s="169" t="e">
        <f t="shared" ref="G126:H126" si="426">G43/(G36)</f>
        <v>#DIV/0!</v>
      </c>
      <c r="H126" s="169" t="e">
        <f t="shared" si="426"/>
        <v>#DIV/0!</v>
      </c>
      <c r="I126" s="169" t="e">
        <f t="shared" ref="I126:S126" si="427">I43/(I36)</f>
        <v>#DIV/0!</v>
      </c>
      <c r="J126" s="169" t="e">
        <f t="shared" si="427"/>
        <v>#DIV/0!</v>
      </c>
      <c r="K126" s="169" t="e">
        <f t="shared" si="427"/>
        <v>#DIV/0!</v>
      </c>
      <c r="L126" s="169" t="e">
        <f t="shared" si="427"/>
        <v>#DIV/0!</v>
      </c>
      <c r="M126" s="169" t="e">
        <f t="shared" si="427"/>
        <v>#DIV/0!</v>
      </c>
      <c r="N126" s="169" t="e">
        <f t="shared" si="427"/>
        <v>#DIV/0!</v>
      </c>
      <c r="O126" s="169" t="e">
        <f t="shared" si="427"/>
        <v>#DIV/0!</v>
      </c>
      <c r="P126" s="169" t="e">
        <f t="shared" si="427"/>
        <v>#DIV/0!</v>
      </c>
      <c r="Q126" s="169" t="e">
        <f t="shared" si="427"/>
        <v>#DIV/0!</v>
      </c>
      <c r="R126" s="169" t="e">
        <f t="shared" si="427"/>
        <v>#DIV/0!</v>
      </c>
      <c r="S126" s="169" t="e">
        <f t="shared" si="427"/>
        <v>#DIV/0!</v>
      </c>
      <c r="T126" s="118" t="e">
        <f t="shared" si="242"/>
        <v>#DIV/0!</v>
      </c>
      <c r="U126" s="20"/>
      <c r="V126" s="169" t="e">
        <f t="shared" ref="V126:AE126" si="428">V43/(V36+V38)</f>
        <v>#DIV/0!</v>
      </c>
      <c r="W126" s="169" t="e">
        <f t="shared" si="428"/>
        <v>#DIV/0!</v>
      </c>
      <c r="X126" s="169" t="e">
        <f t="shared" si="428"/>
        <v>#DIV/0!</v>
      </c>
      <c r="Y126" s="169" t="e">
        <f t="shared" si="428"/>
        <v>#DIV/0!</v>
      </c>
      <c r="Z126" s="169" t="e">
        <f t="shared" si="428"/>
        <v>#DIV/0!</v>
      </c>
      <c r="AA126" s="169" t="e">
        <f t="shared" si="428"/>
        <v>#DIV/0!</v>
      </c>
      <c r="AB126" s="169" t="e">
        <f t="shared" si="428"/>
        <v>#DIV/0!</v>
      </c>
      <c r="AC126" s="169" t="e">
        <f t="shared" si="428"/>
        <v>#DIV/0!</v>
      </c>
      <c r="AD126" s="169" t="e">
        <f t="shared" si="428"/>
        <v>#DIV/0!</v>
      </c>
      <c r="AE126" s="169" t="e">
        <f t="shared" si="428"/>
        <v>#DIV/0!</v>
      </c>
      <c r="AF126" s="137" t="e">
        <f t="shared" si="422"/>
        <v>#DIV/0!</v>
      </c>
      <c r="AG126" s="145"/>
      <c r="AH126" s="145"/>
    </row>
    <row r="127" spans="1:34" ht="12" customHeight="1">
      <c r="A127" s="205"/>
      <c r="B127" s="200" t="s">
        <v>485</v>
      </c>
      <c r="C127" s="150"/>
      <c r="D127" s="150"/>
      <c r="E127" s="150"/>
      <c r="F127" s="150"/>
      <c r="G127" s="169" t="e">
        <f t="shared" ref="G127:H127" si="429">G43/G38</f>
        <v>#DIV/0!</v>
      </c>
      <c r="H127" s="169" t="e">
        <f t="shared" si="429"/>
        <v>#DIV/0!</v>
      </c>
      <c r="I127" s="169" t="e">
        <f t="shared" ref="I127:S127" si="430">I43/I38</f>
        <v>#DIV/0!</v>
      </c>
      <c r="J127" s="169" t="e">
        <f t="shared" si="430"/>
        <v>#DIV/0!</v>
      </c>
      <c r="K127" s="169" t="e">
        <f t="shared" si="430"/>
        <v>#DIV/0!</v>
      </c>
      <c r="L127" s="169" t="e">
        <f t="shared" si="430"/>
        <v>#DIV/0!</v>
      </c>
      <c r="M127" s="169" t="e">
        <f t="shared" si="430"/>
        <v>#DIV/0!</v>
      </c>
      <c r="N127" s="169" t="e">
        <f t="shared" si="430"/>
        <v>#DIV/0!</v>
      </c>
      <c r="O127" s="169" t="e">
        <f t="shared" si="430"/>
        <v>#DIV/0!</v>
      </c>
      <c r="P127" s="169" t="e">
        <f t="shared" si="430"/>
        <v>#DIV/0!</v>
      </c>
      <c r="Q127" s="169" t="e">
        <f t="shared" si="430"/>
        <v>#DIV/0!</v>
      </c>
      <c r="R127" s="169" t="e">
        <f t="shared" si="430"/>
        <v>#DIV/0!</v>
      </c>
      <c r="S127" s="169" t="e">
        <f t="shared" si="430"/>
        <v>#DIV/0!</v>
      </c>
      <c r="T127" s="118" t="e">
        <f t="shared" si="242"/>
        <v>#DIV/0!</v>
      </c>
      <c r="U127" s="20"/>
      <c r="V127" s="169" t="e">
        <f t="shared" ref="V127:AE127" si="431">V43/V38</f>
        <v>#DIV/0!</v>
      </c>
      <c r="W127" s="169" t="e">
        <f t="shared" si="431"/>
        <v>#DIV/0!</v>
      </c>
      <c r="X127" s="169" t="e">
        <f t="shared" si="431"/>
        <v>#DIV/0!</v>
      </c>
      <c r="Y127" s="169" t="e">
        <f t="shared" si="431"/>
        <v>#DIV/0!</v>
      </c>
      <c r="Z127" s="169" t="e">
        <f t="shared" si="431"/>
        <v>#DIV/0!</v>
      </c>
      <c r="AA127" s="169" t="e">
        <f t="shared" si="431"/>
        <v>#DIV/0!</v>
      </c>
      <c r="AB127" s="169" t="e">
        <f t="shared" si="431"/>
        <v>#DIV/0!</v>
      </c>
      <c r="AC127" s="169" t="e">
        <f t="shared" si="431"/>
        <v>#DIV/0!</v>
      </c>
      <c r="AD127" s="169" t="e">
        <f t="shared" si="431"/>
        <v>#DIV/0!</v>
      </c>
      <c r="AE127" s="169" t="e">
        <f t="shared" si="431"/>
        <v>#DIV/0!</v>
      </c>
      <c r="AF127" s="137" t="e">
        <f t="shared" si="422"/>
        <v>#DIV/0!</v>
      </c>
      <c r="AG127" s="145"/>
      <c r="AH127" s="145"/>
    </row>
    <row r="128" spans="1:34" ht="12" customHeight="1">
      <c r="A128" s="205"/>
      <c r="B128" s="200" t="s">
        <v>484</v>
      </c>
      <c r="C128" s="150"/>
      <c r="D128" s="150"/>
      <c r="E128" s="150"/>
      <c r="F128" s="150"/>
      <c r="G128" s="169" t="e">
        <f t="shared" ref="G128:H128" si="432">G43/(G36+G38)</f>
        <v>#DIV/0!</v>
      </c>
      <c r="H128" s="169" t="e">
        <f t="shared" si="432"/>
        <v>#DIV/0!</v>
      </c>
      <c r="I128" s="169" t="e">
        <f t="shared" ref="I128:S128" si="433">I43/(I36+I38)</f>
        <v>#DIV/0!</v>
      </c>
      <c r="J128" s="169" t="e">
        <f t="shared" si="433"/>
        <v>#DIV/0!</v>
      </c>
      <c r="K128" s="169" t="e">
        <f t="shared" si="433"/>
        <v>#DIV/0!</v>
      </c>
      <c r="L128" s="169" t="e">
        <f t="shared" si="433"/>
        <v>#DIV/0!</v>
      </c>
      <c r="M128" s="169" t="e">
        <f t="shared" si="433"/>
        <v>#DIV/0!</v>
      </c>
      <c r="N128" s="169" t="e">
        <f t="shared" si="433"/>
        <v>#DIV/0!</v>
      </c>
      <c r="O128" s="169" t="e">
        <f t="shared" si="433"/>
        <v>#DIV/0!</v>
      </c>
      <c r="P128" s="169" t="e">
        <f t="shared" si="433"/>
        <v>#DIV/0!</v>
      </c>
      <c r="Q128" s="169" t="e">
        <f t="shared" si="433"/>
        <v>#DIV/0!</v>
      </c>
      <c r="R128" s="169" t="e">
        <f t="shared" si="433"/>
        <v>#DIV/0!</v>
      </c>
      <c r="S128" s="169" t="e">
        <f t="shared" si="433"/>
        <v>#DIV/0!</v>
      </c>
      <c r="T128" s="118" t="e">
        <f t="shared" si="242"/>
        <v>#DIV/0!</v>
      </c>
      <c r="U128" s="20"/>
      <c r="V128" s="169" t="e">
        <f t="shared" ref="V128:AE128" si="434">V43/(V36+V38)</f>
        <v>#DIV/0!</v>
      </c>
      <c r="W128" s="169" t="e">
        <f t="shared" si="434"/>
        <v>#DIV/0!</v>
      </c>
      <c r="X128" s="169" t="e">
        <f t="shared" si="434"/>
        <v>#DIV/0!</v>
      </c>
      <c r="Y128" s="169" t="e">
        <f t="shared" si="434"/>
        <v>#DIV/0!</v>
      </c>
      <c r="Z128" s="169" t="e">
        <f t="shared" si="434"/>
        <v>#DIV/0!</v>
      </c>
      <c r="AA128" s="169" t="e">
        <f t="shared" si="434"/>
        <v>#DIV/0!</v>
      </c>
      <c r="AB128" s="169" t="e">
        <f t="shared" si="434"/>
        <v>#DIV/0!</v>
      </c>
      <c r="AC128" s="169" t="e">
        <f t="shared" si="434"/>
        <v>#DIV/0!</v>
      </c>
      <c r="AD128" s="169" t="e">
        <f t="shared" si="434"/>
        <v>#DIV/0!</v>
      </c>
      <c r="AE128" s="169" t="e">
        <f t="shared" si="434"/>
        <v>#DIV/0!</v>
      </c>
      <c r="AF128" s="137" t="e">
        <f>((AE128/I128)^(1/($AE$3-$J$1) ))-1</f>
        <v>#DIV/0!</v>
      </c>
      <c r="AG128" s="145"/>
      <c r="AH128" s="145"/>
    </row>
    <row r="129" spans="1:34" ht="12" customHeight="1">
      <c r="A129" s="205"/>
      <c r="B129" s="200" t="s">
        <v>491</v>
      </c>
      <c r="C129" s="150"/>
      <c r="D129" s="150"/>
      <c r="E129" s="150"/>
      <c r="F129" s="150"/>
      <c r="G129" s="169" t="e">
        <f t="shared" ref="G129:H129" si="435">G47/G25</f>
        <v>#DIV/0!</v>
      </c>
      <c r="H129" s="169">
        <f t="shared" si="435"/>
        <v>0</v>
      </c>
      <c r="I129" s="169">
        <f t="shared" ref="I129:S129" si="436">I47/I25</f>
        <v>0</v>
      </c>
      <c r="J129" s="169">
        <f t="shared" si="436"/>
        <v>0</v>
      </c>
      <c r="K129" s="169">
        <f t="shared" si="436"/>
        <v>0</v>
      </c>
      <c r="L129" s="169">
        <f t="shared" si="436"/>
        <v>0</v>
      </c>
      <c r="M129" s="169">
        <f t="shared" si="436"/>
        <v>0</v>
      </c>
      <c r="N129" s="169">
        <f t="shared" si="436"/>
        <v>0</v>
      </c>
      <c r="O129" s="169">
        <f t="shared" si="436"/>
        <v>0</v>
      </c>
      <c r="P129" s="169">
        <f t="shared" si="436"/>
        <v>0</v>
      </c>
      <c r="Q129" s="169">
        <f t="shared" si="436"/>
        <v>0</v>
      </c>
      <c r="R129" s="169">
        <f t="shared" si="436"/>
        <v>0</v>
      </c>
      <c r="S129" s="169">
        <f t="shared" si="436"/>
        <v>0</v>
      </c>
      <c r="T129" s="118" t="e">
        <f t="shared" si="242"/>
        <v>#DIV/0!</v>
      </c>
      <c r="U129" s="20"/>
      <c r="V129" s="169">
        <f t="shared" ref="V129:AE129" si="437">V47/V25</f>
        <v>0</v>
      </c>
      <c r="W129" s="169">
        <f t="shared" si="437"/>
        <v>0</v>
      </c>
      <c r="X129" s="169">
        <f t="shared" si="437"/>
        <v>0</v>
      </c>
      <c r="Y129" s="169">
        <f t="shared" si="437"/>
        <v>0</v>
      </c>
      <c r="Z129" s="169">
        <f t="shared" si="437"/>
        <v>0</v>
      </c>
      <c r="AA129" s="169">
        <f t="shared" si="437"/>
        <v>0</v>
      </c>
      <c r="AB129" s="169">
        <f t="shared" si="437"/>
        <v>0</v>
      </c>
      <c r="AC129" s="169">
        <f t="shared" si="437"/>
        <v>0</v>
      </c>
      <c r="AD129" s="169">
        <f t="shared" si="437"/>
        <v>0</v>
      </c>
      <c r="AE129" s="169">
        <f t="shared" si="437"/>
        <v>0</v>
      </c>
      <c r="AF129" s="137" t="e">
        <f>((AE129/I129)^(1/($AE$3-$J$1) ))-1</f>
        <v>#DIV/0!</v>
      </c>
      <c r="AG129" s="145"/>
      <c r="AH129" s="145"/>
    </row>
    <row r="130" spans="1:34" ht="12" customHeight="1">
      <c r="A130" s="205"/>
      <c r="B130" s="200" t="s">
        <v>489</v>
      </c>
      <c r="C130" s="150"/>
      <c r="D130" s="150"/>
      <c r="E130" s="150"/>
      <c r="F130" s="150"/>
      <c r="G130" s="204" t="e">
        <f t="shared" ref="G130:H130" si="438">G55/G49</f>
        <v>#DIV/0!</v>
      </c>
      <c r="H130" s="204" t="e">
        <f t="shared" si="438"/>
        <v>#DIV/0!</v>
      </c>
      <c r="I130" s="204" t="e">
        <f t="shared" ref="I130:S130" si="439">I55/I49</f>
        <v>#DIV/0!</v>
      </c>
      <c r="J130" s="204" t="e">
        <f t="shared" si="439"/>
        <v>#DIV/0!</v>
      </c>
      <c r="K130" s="204" t="e">
        <f t="shared" si="439"/>
        <v>#DIV/0!</v>
      </c>
      <c r="L130" s="204" t="e">
        <f t="shared" si="439"/>
        <v>#DIV/0!</v>
      </c>
      <c r="M130" s="204" t="e">
        <f t="shared" si="439"/>
        <v>#DIV/0!</v>
      </c>
      <c r="N130" s="204" t="e">
        <f t="shared" si="439"/>
        <v>#DIV/0!</v>
      </c>
      <c r="O130" s="204" t="e">
        <f t="shared" si="439"/>
        <v>#DIV/0!</v>
      </c>
      <c r="P130" s="204" t="e">
        <f t="shared" si="439"/>
        <v>#DIV/0!</v>
      </c>
      <c r="Q130" s="204" t="e">
        <f t="shared" si="439"/>
        <v>#DIV/0!</v>
      </c>
      <c r="R130" s="204" t="e">
        <f t="shared" si="439"/>
        <v>#DIV/0!</v>
      </c>
      <c r="S130" s="204" t="e">
        <f t="shared" si="439"/>
        <v>#DIV/0!</v>
      </c>
      <c r="T130" s="118" t="e">
        <f t="shared" si="242"/>
        <v>#DIV/0!</v>
      </c>
      <c r="U130" s="20"/>
      <c r="V130" s="204" t="e">
        <f t="shared" ref="V130:AE130" si="440">V55/V49</f>
        <v>#DIV/0!</v>
      </c>
      <c r="W130" s="204" t="e">
        <f t="shared" si="440"/>
        <v>#DIV/0!</v>
      </c>
      <c r="X130" s="204" t="e">
        <f t="shared" si="440"/>
        <v>#DIV/0!</v>
      </c>
      <c r="Y130" s="204" t="e">
        <f t="shared" si="440"/>
        <v>#DIV/0!</v>
      </c>
      <c r="Z130" s="204" t="e">
        <f t="shared" si="440"/>
        <v>#DIV/0!</v>
      </c>
      <c r="AA130" s="204" t="e">
        <f t="shared" si="440"/>
        <v>#DIV/0!</v>
      </c>
      <c r="AB130" s="204" t="e">
        <f t="shared" si="440"/>
        <v>#DIV/0!</v>
      </c>
      <c r="AC130" s="204" t="e">
        <f t="shared" si="440"/>
        <v>#DIV/0!</v>
      </c>
      <c r="AD130" s="204" t="e">
        <f t="shared" si="440"/>
        <v>#DIV/0!</v>
      </c>
      <c r="AE130" s="204" t="e">
        <f t="shared" si="440"/>
        <v>#DIV/0!</v>
      </c>
      <c r="AF130" s="137" t="e">
        <f>((AE130/I130)^(1/($AE$3-$J$1) ))-1</f>
        <v>#DIV/0!</v>
      </c>
      <c r="AG130" s="145"/>
      <c r="AH130" s="145"/>
    </row>
    <row r="131" spans="1:34" ht="12" customHeight="1">
      <c r="A131" s="205"/>
      <c r="B131" s="200" t="s">
        <v>482</v>
      </c>
      <c r="C131" s="150"/>
      <c r="D131" s="150"/>
      <c r="E131" s="150"/>
      <c r="F131" s="150"/>
      <c r="G131" s="169" t="e">
        <f t="shared" ref="G131:H131" si="441">G55/G43</f>
        <v>#DIV/0!</v>
      </c>
      <c r="H131" s="169" t="e">
        <f t="shared" si="441"/>
        <v>#DIV/0!</v>
      </c>
      <c r="I131" s="169" t="e">
        <f t="shared" ref="I131:S131" si="442">I55/I43</f>
        <v>#DIV/0!</v>
      </c>
      <c r="J131" s="169" t="e">
        <f t="shared" si="442"/>
        <v>#DIV/0!</v>
      </c>
      <c r="K131" s="169" t="e">
        <f t="shared" si="442"/>
        <v>#DIV/0!</v>
      </c>
      <c r="L131" s="169" t="e">
        <f t="shared" si="442"/>
        <v>#DIV/0!</v>
      </c>
      <c r="M131" s="169" t="e">
        <f t="shared" si="442"/>
        <v>#DIV/0!</v>
      </c>
      <c r="N131" s="169" t="e">
        <f t="shared" si="442"/>
        <v>#DIV/0!</v>
      </c>
      <c r="O131" s="169" t="e">
        <f t="shared" si="442"/>
        <v>#DIV/0!</v>
      </c>
      <c r="P131" s="169" t="e">
        <f t="shared" si="442"/>
        <v>#DIV/0!</v>
      </c>
      <c r="Q131" s="169" t="e">
        <f t="shared" si="442"/>
        <v>#DIV/0!</v>
      </c>
      <c r="R131" s="169" t="e">
        <f t="shared" si="442"/>
        <v>#DIV/0!</v>
      </c>
      <c r="S131" s="169" t="e">
        <f t="shared" si="442"/>
        <v>#DIV/0!</v>
      </c>
      <c r="T131" s="118" t="e">
        <f t="shared" si="242"/>
        <v>#DIV/0!</v>
      </c>
      <c r="U131" s="20"/>
      <c r="V131" s="169" t="e">
        <f t="shared" ref="V131:AE131" si="443">V55/V43</f>
        <v>#DIV/0!</v>
      </c>
      <c r="W131" s="169" t="e">
        <f t="shared" si="443"/>
        <v>#DIV/0!</v>
      </c>
      <c r="X131" s="169" t="e">
        <f t="shared" si="443"/>
        <v>#DIV/0!</v>
      </c>
      <c r="Y131" s="169" t="e">
        <f t="shared" si="443"/>
        <v>#DIV/0!</v>
      </c>
      <c r="Z131" s="169" t="e">
        <f t="shared" si="443"/>
        <v>#DIV/0!</v>
      </c>
      <c r="AA131" s="169" t="e">
        <f t="shared" si="443"/>
        <v>#DIV/0!</v>
      </c>
      <c r="AB131" s="169" t="e">
        <f t="shared" si="443"/>
        <v>#DIV/0!</v>
      </c>
      <c r="AC131" s="169" t="e">
        <f t="shared" si="443"/>
        <v>#DIV/0!</v>
      </c>
      <c r="AD131" s="169" t="e">
        <f t="shared" si="443"/>
        <v>#DIV/0!</v>
      </c>
      <c r="AE131" s="169" t="e">
        <f t="shared" si="443"/>
        <v>#DIV/0!</v>
      </c>
      <c r="AF131" s="137" t="e">
        <f t="shared" si="422"/>
        <v>#DIV/0!</v>
      </c>
      <c r="AG131" s="145"/>
      <c r="AH131" s="145"/>
    </row>
    <row r="132" spans="1:34" ht="12" customHeight="1">
      <c r="A132" s="205"/>
      <c r="B132" s="200" t="s">
        <v>483</v>
      </c>
      <c r="C132" s="150"/>
      <c r="D132" s="150"/>
      <c r="E132" s="150"/>
      <c r="F132" s="150"/>
      <c r="G132" s="169" t="e">
        <f t="shared" ref="G132:H132" si="444">G55/(G36+G38)</f>
        <v>#DIV/0!</v>
      </c>
      <c r="H132" s="169" t="e">
        <f t="shared" si="444"/>
        <v>#DIV/0!</v>
      </c>
      <c r="I132" s="169" t="e">
        <f t="shared" ref="I132:S132" si="445">I55/(I36+I38)</f>
        <v>#DIV/0!</v>
      </c>
      <c r="J132" s="169" t="e">
        <f t="shared" si="445"/>
        <v>#DIV/0!</v>
      </c>
      <c r="K132" s="169" t="e">
        <f t="shared" si="445"/>
        <v>#DIV/0!</v>
      </c>
      <c r="L132" s="169" t="e">
        <f t="shared" si="445"/>
        <v>#DIV/0!</v>
      </c>
      <c r="M132" s="169" t="e">
        <f t="shared" si="445"/>
        <v>#DIV/0!</v>
      </c>
      <c r="N132" s="169" t="e">
        <f t="shared" si="445"/>
        <v>#DIV/0!</v>
      </c>
      <c r="O132" s="169" t="e">
        <f t="shared" si="445"/>
        <v>#DIV/0!</v>
      </c>
      <c r="P132" s="169" t="e">
        <f t="shared" si="445"/>
        <v>#DIV/0!</v>
      </c>
      <c r="Q132" s="169" t="e">
        <f t="shared" si="445"/>
        <v>#DIV/0!</v>
      </c>
      <c r="R132" s="169" t="e">
        <f t="shared" si="445"/>
        <v>#DIV/0!</v>
      </c>
      <c r="S132" s="169" t="e">
        <f t="shared" si="445"/>
        <v>#DIV/0!</v>
      </c>
      <c r="T132" s="118" t="e">
        <f t="shared" si="242"/>
        <v>#DIV/0!</v>
      </c>
      <c r="U132" s="20"/>
      <c r="V132" s="169" t="e">
        <f t="shared" ref="V132:AE132" si="446">V55/(V36+V38)</f>
        <v>#DIV/0!</v>
      </c>
      <c r="W132" s="169" t="e">
        <f t="shared" si="446"/>
        <v>#DIV/0!</v>
      </c>
      <c r="X132" s="169" t="e">
        <f t="shared" si="446"/>
        <v>#DIV/0!</v>
      </c>
      <c r="Y132" s="169" t="e">
        <f t="shared" si="446"/>
        <v>#DIV/0!</v>
      </c>
      <c r="Z132" s="169" t="e">
        <f t="shared" si="446"/>
        <v>#DIV/0!</v>
      </c>
      <c r="AA132" s="169" t="e">
        <f t="shared" si="446"/>
        <v>#DIV/0!</v>
      </c>
      <c r="AB132" s="169" t="e">
        <f t="shared" si="446"/>
        <v>#DIV/0!</v>
      </c>
      <c r="AC132" s="169" t="e">
        <f t="shared" si="446"/>
        <v>#DIV/0!</v>
      </c>
      <c r="AD132" s="169" t="e">
        <f t="shared" si="446"/>
        <v>#DIV/0!</v>
      </c>
      <c r="AE132" s="169" t="e">
        <f t="shared" si="446"/>
        <v>#DIV/0!</v>
      </c>
      <c r="AF132" s="137" t="e">
        <f t="shared" si="422"/>
        <v>#DIV/0!</v>
      </c>
      <c r="AG132" s="145"/>
      <c r="AH132" s="145"/>
    </row>
    <row r="133" spans="1:34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28"/>
      <c r="U133" s="2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202"/>
      <c r="AG133" s="145"/>
      <c r="AH133" s="145"/>
    </row>
    <row r="134" spans="1:34">
      <c r="B134" s="20" t="s">
        <v>322</v>
      </c>
      <c r="C134" s="150"/>
      <c r="D134" s="150"/>
      <c r="E134" s="150"/>
      <c r="F134" s="150"/>
      <c r="G134" s="161">
        <f t="shared" ref="G134:H134" si="447">G10-(G12+G13)</f>
        <v>-3.5599999999999996</v>
      </c>
      <c r="H134" s="161">
        <f t="shared" si="447"/>
        <v>21</v>
      </c>
      <c r="I134" s="161">
        <f t="shared" ref="I134:S134" si="448">I10-(I12+I13)</f>
        <v>68.760000000000005</v>
      </c>
      <c r="J134" s="161">
        <f t="shared" si="448"/>
        <v>-11.5</v>
      </c>
      <c r="K134" s="161">
        <f t="shared" si="448"/>
        <v>-25</v>
      </c>
      <c r="L134" s="161">
        <f t="shared" si="448"/>
        <v>85</v>
      </c>
      <c r="M134" s="161">
        <f t="shared" si="448"/>
        <v>52</v>
      </c>
      <c r="N134" s="161">
        <f t="shared" si="448"/>
        <v>-24</v>
      </c>
      <c r="O134" s="161">
        <f t="shared" si="448"/>
        <v>160</v>
      </c>
      <c r="P134" s="161">
        <f t="shared" si="448"/>
        <v>254.9</v>
      </c>
      <c r="Q134" s="161">
        <f t="shared" si="448"/>
        <v>105</v>
      </c>
      <c r="R134" s="161">
        <f t="shared" si="448"/>
        <v>123</v>
      </c>
      <c r="S134" s="161">
        <f t="shared" si="448"/>
        <v>76</v>
      </c>
      <c r="T134" s="118" t="e">
        <f t="shared" si="242"/>
        <v>#NUM!</v>
      </c>
      <c r="U134" s="20"/>
      <c r="V134" s="161">
        <f t="shared" ref="V134:AE134" si="449">V10-(V12+V13)</f>
        <v>87.4</v>
      </c>
      <c r="W134" s="161">
        <f t="shared" si="449"/>
        <v>100.50999999999999</v>
      </c>
      <c r="X134" s="161">
        <f t="shared" si="449"/>
        <v>115.58649999999994</v>
      </c>
      <c r="Y134" s="161">
        <f t="shared" si="449"/>
        <v>132.92447499999992</v>
      </c>
      <c r="Z134" s="161">
        <f t="shared" si="449"/>
        <v>152.86314624999989</v>
      </c>
      <c r="AA134" s="161">
        <f t="shared" si="449"/>
        <v>175.79261818749984</v>
      </c>
      <c r="AB134" s="161">
        <f t="shared" si="449"/>
        <v>202.16151091562477</v>
      </c>
      <c r="AC134" s="161">
        <f t="shared" si="449"/>
        <v>232.48573755296854</v>
      </c>
      <c r="AD134" s="161">
        <f t="shared" si="449"/>
        <v>267.35859818591376</v>
      </c>
      <c r="AE134" s="161">
        <f t="shared" si="449"/>
        <v>307.46238791380085</v>
      </c>
      <c r="AF134" s="137">
        <f t="shared" si="357"/>
        <v>7.3925368067726982E-2</v>
      </c>
      <c r="AG134" s="145"/>
      <c r="AH134" s="145"/>
    </row>
    <row r="135" spans="1:34" ht="12" customHeight="1">
      <c r="B135" s="20" t="s">
        <v>317</v>
      </c>
      <c r="C135" s="20"/>
      <c r="D135" s="20"/>
      <c r="E135" s="20"/>
      <c r="F135" s="20"/>
      <c r="G135" s="150">
        <f t="shared" ref="G135:H135" si="450">G55/G18</f>
        <v>0.28000000000000003</v>
      </c>
      <c r="H135" s="150">
        <f t="shared" si="450"/>
        <v>3.1034482758620688E-3</v>
      </c>
      <c r="I135" s="150">
        <f t="shared" ref="I135:S135" si="451">I55/I18</f>
        <v>0.3167898627243928</v>
      </c>
      <c r="J135" s="150">
        <f t="shared" si="451"/>
        <v>0.8</v>
      </c>
      <c r="K135" s="150">
        <f t="shared" si="451"/>
        <v>0.35384615384615387</v>
      </c>
      <c r="L135" s="150">
        <f t="shared" si="451"/>
        <v>8.6956521739130432E-2</v>
      </c>
      <c r="M135" s="150">
        <f t="shared" si="451"/>
        <v>9.6296296296296297E-2</v>
      </c>
      <c r="N135" s="150">
        <f t="shared" si="451"/>
        <v>0.859375</v>
      </c>
      <c r="O135" s="150">
        <f t="shared" si="451"/>
        <v>0.50757575757575757</v>
      </c>
      <c r="P135" s="150">
        <f t="shared" si="451"/>
        <v>0.1464367816091954</v>
      </c>
      <c r="Q135" s="150">
        <f t="shared" si="451"/>
        <v>8.6092715231788075E-2</v>
      </c>
      <c r="R135" s="150">
        <f t="shared" si="451"/>
        <v>-3.2786885245901641E-2</v>
      </c>
      <c r="S135" s="150">
        <f t="shared" si="451"/>
        <v>4.7387606318347507E-2</v>
      </c>
      <c r="T135" s="118">
        <f t="shared" ref="T135:T167" si="452">((S135/G135)^(1/($J$2-$J$1) ))-1</f>
        <v>-0.13759970770425223</v>
      </c>
      <c r="U135" s="20"/>
      <c r="V135" s="150">
        <f t="shared" ref="V135:AE135" si="453">V55/V18</f>
        <v>4.7387606318347507E-2</v>
      </c>
      <c r="W135" s="150">
        <f t="shared" si="453"/>
        <v>4.7387606318347507E-2</v>
      </c>
      <c r="X135" s="150">
        <f t="shared" si="453"/>
        <v>4.7387606318347507E-2</v>
      </c>
      <c r="Y135" s="150">
        <f t="shared" si="453"/>
        <v>4.7387606318347507E-2</v>
      </c>
      <c r="Z135" s="150">
        <f t="shared" si="453"/>
        <v>4.7387606318347507E-2</v>
      </c>
      <c r="AA135" s="150">
        <f t="shared" si="453"/>
        <v>4.7387606318347507E-2</v>
      </c>
      <c r="AB135" s="150">
        <f t="shared" si="453"/>
        <v>4.7387606318347514E-2</v>
      </c>
      <c r="AC135" s="150">
        <f t="shared" si="453"/>
        <v>4.7387606318347514E-2</v>
      </c>
      <c r="AD135" s="150">
        <f t="shared" si="453"/>
        <v>4.7387606318347514E-2</v>
      </c>
      <c r="AE135" s="150">
        <f t="shared" si="453"/>
        <v>4.7387606318347514E-2</v>
      </c>
      <c r="AF135" s="137">
        <f t="shared" si="357"/>
        <v>-8.6498606675317613E-2</v>
      </c>
      <c r="AG135" s="20"/>
      <c r="AH135" s="20"/>
    </row>
    <row r="136" spans="1:34">
      <c r="B136" s="20" t="s">
        <v>318</v>
      </c>
      <c r="C136" s="20"/>
      <c r="D136" s="20"/>
      <c r="E136" s="20"/>
      <c r="F136" s="20"/>
      <c r="G136" s="150" t="e">
        <f t="shared" ref="G136:H136" si="454">G55/G25</f>
        <v>#DIV/0!</v>
      </c>
      <c r="H136" s="150">
        <f t="shared" si="454"/>
        <v>0.34615384615384615</v>
      </c>
      <c r="I136" s="150">
        <f t="shared" ref="I136:S136" si="455">I55/I25</f>
        <v>5.5555555555555552E-2</v>
      </c>
      <c r="J136" s="150">
        <f t="shared" si="455"/>
        <v>0.48780487804878048</v>
      </c>
      <c r="K136" s="150">
        <f t="shared" si="455"/>
        <v>0.21296296296296297</v>
      </c>
      <c r="L136" s="150">
        <f t="shared" si="455"/>
        <v>9.0090090090090086E-2</v>
      </c>
      <c r="M136" s="150">
        <f t="shared" si="455"/>
        <v>9.0277777777777776E-2</v>
      </c>
      <c r="N136" s="150">
        <f t="shared" si="455"/>
        <v>0.43421052631578949</v>
      </c>
      <c r="O136" s="150">
        <f t="shared" si="455"/>
        <v>0.17724867724867724</v>
      </c>
      <c r="P136" s="150">
        <f t="shared" si="455"/>
        <v>0.13885558583106267</v>
      </c>
      <c r="Q136" s="150">
        <f t="shared" si="455"/>
        <v>0.15853658536585366</v>
      </c>
      <c r="R136" s="150">
        <f t="shared" si="455"/>
        <v>-9.2409240924092403E-2</v>
      </c>
      <c r="S136" s="150">
        <f t="shared" si="455"/>
        <v>9.8484848484848481E-2</v>
      </c>
      <c r="T136" s="118" t="e">
        <f t="shared" si="452"/>
        <v>#DIV/0!</v>
      </c>
      <c r="U136" s="20"/>
      <c r="V136" s="150">
        <f t="shared" ref="V136:AE136" si="456">V55/V25</f>
        <v>9.8484848484848481E-2</v>
      </c>
      <c r="W136" s="150">
        <f t="shared" si="456"/>
        <v>9.8484848484848467E-2</v>
      </c>
      <c r="X136" s="150">
        <f t="shared" si="456"/>
        <v>9.8484848484848481E-2</v>
      </c>
      <c r="Y136" s="150">
        <f t="shared" si="456"/>
        <v>9.8484848484848495E-2</v>
      </c>
      <c r="Z136" s="150">
        <f t="shared" si="456"/>
        <v>9.8484848484848495E-2</v>
      </c>
      <c r="AA136" s="150">
        <f t="shared" si="456"/>
        <v>9.8484848484848508E-2</v>
      </c>
      <c r="AB136" s="150">
        <f t="shared" si="456"/>
        <v>9.8484848484848508E-2</v>
      </c>
      <c r="AC136" s="150">
        <f t="shared" si="456"/>
        <v>9.8484848484848508E-2</v>
      </c>
      <c r="AD136" s="150">
        <f t="shared" si="456"/>
        <v>9.8484848484848508E-2</v>
      </c>
      <c r="AE136" s="150">
        <f t="shared" si="456"/>
        <v>9.8484848484848508E-2</v>
      </c>
      <c r="AF136" s="137">
        <f t="shared" si="357"/>
        <v>2.7637849722464525E-2</v>
      </c>
      <c r="AG136" s="20"/>
      <c r="AH136" s="20"/>
    </row>
    <row r="137" spans="1:34">
      <c r="B137" s="20" t="s">
        <v>344</v>
      </c>
      <c r="C137" s="20"/>
      <c r="D137" s="20"/>
      <c r="E137" s="150"/>
      <c r="F137" s="150"/>
      <c r="G137" s="150">
        <f t="shared" ref="G137:H137" si="457">G25/G18</f>
        <v>0</v>
      </c>
      <c r="H137" s="150">
        <f t="shared" si="457"/>
        <v>8.9655172413793099E-3</v>
      </c>
      <c r="I137" s="150">
        <f t="shared" ref="I137:S137" si="458">I25/I18</f>
        <v>5.7022175290390704</v>
      </c>
      <c r="J137" s="150">
        <f t="shared" si="458"/>
        <v>1.64</v>
      </c>
      <c r="K137" s="150">
        <f t="shared" si="458"/>
        <v>1.6615384615384616</v>
      </c>
      <c r="L137" s="150">
        <f t="shared" si="458"/>
        <v>0.9652173913043478</v>
      </c>
      <c r="M137" s="150">
        <f t="shared" si="458"/>
        <v>1.0666666666666667</v>
      </c>
      <c r="N137" s="150">
        <f t="shared" si="458"/>
        <v>1.9791666666666667</v>
      </c>
      <c r="O137" s="150">
        <f t="shared" si="458"/>
        <v>2.8636363636363638</v>
      </c>
      <c r="P137" s="150">
        <f t="shared" si="458"/>
        <v>1.0545977011494252</v>
      </c>
      <c r="Q137" s="150">
        <f t="shared" si="458"/>
        <v>0.54304635761589404</v>
      </c>
      <c r="R137" s="150">
        <f t="shared" si="458"/>
        <v>0.35480093676814989</v>
      </c>
      <c r="S137" s="150">
        <f t="shared" si="458"/>
        <v>0.48116646415552855</v>
      </c>
      <c r="T137" s="118" t="e">
        <f t="shared" si="452"/>
        <v>#DIV/0!</v>
      </c>
      <c r="U137" s="20"/>
      <c r="V137" s="150">
        <f t="shared" ref="V137:AE137" si="459">V25/V18</f>
        <v>0.48116646415552855</v>
      </c>
      <c r="W137" s="150">
        <f t="shared" si="459"/>
        <v>0.48116646415552855</v>
      </c>
      <c r="X137" s="150">
        <f t="shared" si="459"/>
        <v>0.48116646415552855</v>
      </c>
      <c r="Y137" s="150">
        <f t="shared" si="459"/>
        <v>0.48116646415552849</v>
      </c>
      <c r="Z137" s="150">
        <f t="shared" si="459"/>
        <v>0.48116646415552849</v>
      </c>
      <c r="AA137" s="150">
        <f t="shared" si="459"/>
        <v>0.48116646415552849</v>
      </c>
      <c r="AB137" s="150">
        <f t="shared" si="459"/>
        <v>0.48116646415552849</v>
      </c>
      <c r="AC137" s="150">
        <f t="shared" si="459"/>
        <v>0.48116646415552844</v>
      </c>
      <c r="AD137" s="150">
        <f t="shared" si="459"/>
        <v>0.48116646415552849</v>
      </c>
      <c r="AE137" s="150">
        <f t="shared" si="459"/>
        <v>0.48116646415552849</v>
      </c>
      <c r="AF137" s="137">
        <f t="shared" si="357"/>
        <v>-0.1110668086316664</v>
      </c>
      <c r="AG137" s="20"/>
      <c r="AH137" s="20"/>
    </row>
    <row r="138" spans="1:34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28"/>
      <c r="U138" s="2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28"/>
      <c r="AG138" s="20"/>
      <c r="AH138" s="20"/>
    </row>
    <row r="139" spans="1:34">
      <c r="B139" s="20" t="s">
        <v>330</v>
      </c>
      <c r="C139" s="20"/>
      <c r="D139" s="20"/>
      <c r="E139" s="163"/>
      <c r="F139" s="163"/>
      <c r="G139" s="163">
        <f t="shared" ref="G139:H139" si="460">G88*G57</f>
        <v>4.0000000000000001E-3</v>
      </c>
      <c r="H139" s="163">
        <f t="shared" si="460"/>
        <v>4.0000000000000001E-3</v>
      </c>
      <c r="I139" s="163">
        <f t="shared" ref="I139:S139" si="461">I88*I57</f>
        <v>1.0500000000000001E-2</v>
      </c>
      <c r="J139" s="163">
        <f t="shared" si="461"/>
        <v>5.25</v>
      </c>
      <c r="K139" s="163">
        <f t="shared" si="461"/>
        <v>5.4200000000000008</v>
      </c>
      <c r="L139" s="163">
        <f t="shared" si="461"/>
        <v>2.7100000000000004</v>
      </c>
      <c r="M139" s="163">
        <f t="shared" si="461"/>
        <v>4.1775000000000002</v>
      </c>
      <c r="N139" s="163">
        <f t="shared" si="461"/>
        <v>6.0539999999999994</v>
      </c>
      <c r="O139" s="163">
        <f t="shared" si="461"/>
        <v>7.8365</v>
      </c>
      <c r="P139" s="163">
        <f t="shared" si="461"/>
        <v>5.67</v>
      </c>
      <c r="Q139" s="163">
        <f t="shared" si="461"/>
        <v>5.6875</v>
      </c>
      <c r="R139" s="163">
        <f t="shared" si="461"/>
        <v>2.306</v>
      </c>
      <c r="S139" s="163">
        <f t="shared" si="461"/>
        <v>4.6120000000000001</v>
      </c>
      <c r="T139" s="118">
        <f t="shared" si="452"/>
        <v>0.79950244999477693</v>
      </c>
      <c r="U139" s="20"/>
      <c r="V139" s="163">
        <f t="shared" ref="V139:AE139" si="462">V88*V57</f>
        <v>5.0847300000000004</v>
      </c>
      <c r="W139" s="163">
        <f t="shared" si="462"/>
        <v>5.605914825000001</v>
      </c>
      <c r="X139" s="163">
        <f t="shared" si="462"/>
        <v>6.1805210945625015</v>
      </c>
      <c r="Y139" s="163">
        <f t="shared" si="462"/>
        <v>6.8140245067551595</v>
      </c>
      <c r="Z139" s="163">
        <f t="shared" si="462"/>
        <v>7.5124620186975646</v>
      </c>
      <c r="AA139" s="163">
        <f t="shared" si="462"/>
        <v>8.2824893756140678</v>
      </c>
      <c r="AB139" s="163">
        <f t="shared" si="462"/>
        <v>9.1314445366145094</v>
      </c>
      <c r="AC139" s="163">
        <f t="shared" si="462"/>
        <v>10.067417601617498</v>
      </c>
      <c r="AD139" s="163">
        <f t="shared" si="462"/>
        <v>11.099327905783294</v>
      </c>
      <c r="AE139" s="163">
        <f t="shared" si="462"/>
        <v>12.237009016126082</v>
      </c>
      <c r="AF139" s="137">
        <f t="shared" si="357"/>
        <v>0.39966190340256991</v>
      </c>
      <c r="AG139" s="20"/>
      <c r="AH139" s="20"/>
    </row>
    <row r="140" spans="1:34">
      <c r="B140" s="20" t="s">
        <v>331</v>
      </c>
      <c r="C140" s="20"/>
      <c r="D140" s="20"/>
      <c r="E140" s="163"/>
      <c r="F140" s="163"/>
      <c r="G140" s="163">
        <f t="shared" ref="G140:H140" si="463">(G139*0.17)+G139</f>
        <v>4.6800000000000001E-3</v>
      </c>
      <c r="H140" s="163">
        <f t="shared" si="463"/>
        <v>4.6800000000000001E-3</v>
      </c>
      <c r="I140" s="163">
        <f t="shared" ref="I140:R140" si="464">(I139*0.17)+I139</f>
        <v>1.2285000000000001E-2</v>
      </c>
      <c r="J140" s="163">
        <f t="shared" si="464"/>
        <v>6.1425000000000001</v>
      </c>
      <c r="K140" s="163">
        <f t="shared" si="464"/>
        <v>6.341400000000001</v>
      </c>
      <c r="L140" s="163">
        <f t="shared" si="464"/>
        <v>3.1707000000000005</v>
      </c>
      <c r="M140" s="163">
        <f t="shared" si="464"/>
        <v>4.8876750000000007</v>
      </c>
      <c r="N140" s="163">
        <f t="shared" si="464"/>
        <v>7.0831799999999996</v>
      </c>
      <c r="O140" s="163">
        <f t="shared" si="464"/>
        <v>9.1687049999999992</v>
      </c>
      <c r="P140" s="163">
        <f t="shared" si="464"/>
        <v>6.6338999999999997</v>
      </c>
      <c r="Q140" s="163">
        <f t="shared" si="464"/>
        <v>6.6543749999999999</v>
      </c>
      <c r="R140" s="163">
        <f t="shared" si="464"/>
        <v>2.6980200000000001</v>
      </c>
      <c r="S140" s="163">
        <f t="shared" ref="S140" si="465">(S139*0.17)+S139</f>
        <v>5.3960400000000002</v>
      </c>
      <c r="T140" s="118">
        <f t="shared" si="452"/>
        <v>0.79950244999477693</v>
      </c>
      <c r="U140" s="20"/>
      <c r="V140" s="163">
        <f t="shared" ref="V140:AE140" si="466">(V139*0.17)+V139</f>
        <v>5.9491341000000002</v>
      </c>
      <c r="W140" s="163">
        <f t="shared" si="466"/>
        <v>6.5589203452500016</v>
      </c>
      <c r="X140" s="163">
        <f t="shared" si="466"/>
        <v>7.231209680638127</v>
      </c>
      <c r="Y140" s="163">
        <f t="shared" si="466"/>
        <v>7.9724086729035371</v>
      </c>
      <c r="Z140" s="163">
        <f t="shared" si="466"/>
        <v>8.78958056187615</v>
      </c>
      <c r="AA140" s="163">
        <f t="shared" si="466"/>
        <v>9.69051256946846</v>
      </c>
      <c r="AB140" s="163">
        <f t="shared" si="466"/>
        <v>10.683790107838977</v>
      </c>
      <c r="AC140" s="163">
        <f t="shared" si="466"/>
        <v>11.778878593892472</v>
      </c>
      <c r="AD140" s="163">
        <f t="shared" si="466"/>
        <v>12.986213649766455</v>
      </c>
      <c r="AE140" s="163">
        <f t="shared" si="466"/>
        <v>14.317300548867516</v>
      </c>
      <c r="AF140" s="137">
        <f t="shared" si="357"/>
        <v>0.39966190340256991</v>
      </c>
      <c r="AG140" s="20"/>
      <c r="AH140" s="20"/>
    </row>
    <row r="141" spans="1:34">
      <c r="B141" s="20" t="s">
        <v>332</v>
      </c>
      <c r="C141" s="20"/>
      <c r="D141" s="20"/>
      <c r="E141" s="20"/>
      <c r="F141" s="20"/>
      <c r="G141" s="150">
        <f t="shared" ref="G141:H141" si="467">G140/G55</f>
        <v>1.6714285714285713E-2</v>
      </c>
      <c r="H141" s="150">
        <f t="shared" si="467"/>
        <v>5.2000000000000005E-2</v>
      </c>
      <c r="I141" s="150">
        <f t="shared" ref="I141:S141" si="468">I140/I55</f>
        <v>4.0950000000000005E-3</v>
      </c>
      <c r="J141" s="150">
        <f t="shared" si="468"/>
        <v>0.30712499999999998</v>
      </c>
      <c r="K141" s="150">
        <f t="shared" si="468"/>
        <v>0.27571304347826092</v>
      </c>
      <c r="L141" s="150">
        <f t="shared" si="468"/>
        <v>0.31707000000000007</v>
      </c>
      <c r="M141" s="150">
        <f t="shared" si="468"/>
        <v>0.37597500000000006</v>
      </c>
      <c r="N141" s="150">
        <f t="shared" si="468"/>
        <v>4.2928363636363633E-2</v>
      </c>
      <c r="O141" s="150">
        <f t="shared" si="468"/>
        <v>0.13684634328358208</v>
      </c>
      <c r="P141" s="150">
        <f t="shared" si="468"/>
        <v>0.13017857142857142</v>
      </c>
      <c r="Q141" s="150">
        <f t="shared" si="468"/>
        <v>0.10237499999999999</v>
      </c>
      <c r="R141" s="150">
        <f t="shared" si="468"/>
        <v>-9.6357857142857148E-2</v>
      </c>
      <c r="S141" s="150">
        <f t="shared" si="468"/>
        <v>0.13836000000000001</v>
      </c>
      <c r="T141" s="118">
        <f t="shared" si="452"/>
        <v>0.19259658378669942</v>
      </c>
      <c r="U141" s="20"/>
      <c r="V141" s="150">
        <f t="shared" ref="V141:AE141" si="469">V140/V55</f>
        <v>0.13264513043478263</v>
      </c>
      <c r="W141" s="150">
        <f t="shared" si="469"/>
        <v>0.12716630982986774</v>
      </c>
      <c r="X141" s="150">
        <f t="shared" si="469"/>
        <v>0.12191378833689495</v>
      </c>
      <c r="Y141" s="150">
        <f t="shared" si="469"/>
        <v>0.11687821881863193</v>
      </c>
      <c r="Z141" s="150">
        <f t="shared" si="469"/>
        <v>0.11205064021525367</v>
      </c>
      <c r="AA141" s="150">
        <f t="shared" si="469"/>
        <v>0.10742246159766716</v>
      </c>
      <c r="AB141" s="150">
        <f t="shared" si="469"/>
        <v>0.10298544687950266</v>
      </c>
      <c r="AC141" s="150">
        <f t="shared" si="469"/>
        <v>9.8731700160566677E-2</v>
      </c>
      <c r="AD141" s="150">
        <f t="shared" si="469"/>
        <v>9.4653651675673758E-2</v>
      </c>
      <c r="AE141" s="150">
        <f t="shared" si="469"/>
        <v>9.0744044323852455E-2</v>
      </c>
      <c r="AF141" s="137">
        <f t="shared" si="357"/>
        <v>0.15897611794123656</v>
      </c>
      <c r="AG141" s="20"/>
      <c r="AH141" s="20"/>
    </row>
    <row r="142" spans="1:34">
      <c r="B142" s="20" t="s">
        <v>325</v>
      </c>
      <c r="C142" s="20"/>
      <c r="D142" s="20"/>
      <c r="E142" s="20"/>
      <c r="F142" s="20"/>
      <c r="G142" s="150">
        <f t="shared" ref="G142:H142" si="470">1-G141</f>
        <v>0.98328571428571432</v>
      </c>
      <c r="H142" s="150">
        <f t="shared" si="470"/>
        <v>0.94799999999999995</v>
      </c>
      <c r="I142" s="150">
        <f>1-I141</f>
        <v>0.99590500000000004</v>
      </c>
      <c r="J142" s="150">
        <f t="shared" ref="J142:R142" si="471">1-J141</f>
        <v>0.69287500000000002</v>
      </c>
      <c r="K142" s="150">
        <f t="shared" si="471"/>
        <v>0.72428695652173913</v>
      </c>
      <c r="L142" s="150">
        <f t="shared" si="471"/>
        <v>0.68292999999999993</v>
      </c>
      <c r="M142" s="150">
        <f t="shared" si="471"/>
        <v>0.62402499999999994</v>
      </c>
      <c r="N142" s="150">
        <f t="shared" si="471"/>
        <v>0.95707163636363635</v>
      </c>
      <c r="O142" s="150">
        <f t="shared" si="471"/>
        <v>0.86315365671641797</v>
      </c>
      <c r="P142" s="150">
        <f t="shared" si="471"/>
        <v>0.86982142857142852</v>
      </c>
      <c r="Q142" s="150">
        <f t="shared" si="471"/>
        <v>0.89762500000000001</v>
      </c>
      <c r="R142" s="150">
        <f t="shared" si="471"/>
        <v>1.0963578571428572</v>
      </c>
      <c r="S142" s="150">
        <f t="shared" ref="S142" si="472">1-S141</f>
        <v>0.86163999999999996</v>
      </c>
      <c r="T142" s="118">
        <f t="shared" si="452"/>
        <v>-1.0944846465929636E-2</v>
      </c>
      <c r="U142" s="20"/>
      <c r="V142" s="150">
        <f t="shared" ref="V142:AE142" si="473">1-V141</f>
        <v>0.86735486956521735</v>
      </c>
      <c r="W142" s="150">
        <f t="shared" si="473"/>
        <v>0.87283369017013224</v>
      </c>
      <c r="X142" s="150">
        <f t="shared" si="473"/>
        <v>0.87808621166310508</v>
      </c>
      <c r="Y142" s="150">
        <f t="shared" si="473"/>
        <v>0.88312178118136808</v>
      </c>
      <c r="Z142" s="150">
        <f t="shared" si="473"/>
        <v>0.88794935978474632</v>
      </c>
      <c r="AA142" s="150">
        <f t="shared" si="473"/>
        <v>0.89257753840233289</v>
      </c>
      <c r="AB142" s="150">
        <f t="shared" si="473"/>
        <v>0.89701455312049738</v>
      </c>
      <c r="AC142" s="150">
        <f t="shared" si="473"/>
        <v>0.90126829983943335</v>
      </c>
      <c r="AD142" s="150">
        <f t="shared" si="473"/>
        <v>0.90534634832432626</v>
      </c>
      <c r="AE142" s="150">
        <f t="shared" si="473"/>
        <v>0.90925595567614759</v>
      </c>
      <c r="AF142" s="137">
        <f t="shared" si="357"/>
        <v>-4.3251545831588523E-3</v>
      </c>
      <c r="AG142" s="20"/>
      <c r="AH142" s="20"/>
    </row>
    <row r="143" spans="1:34">
      <c r="B143" s="20" t="s">
        <v>447</v>
      </c>
      <c r="C143" s="20"/>
      <c r="D143" s="20"/>
      <c r="E143" s="20"/>
      <c r="F143" s="20"/>
      <c r="G143" s="150" t="e">
        <f t="shared" ref="G143:H143" si="474">G140/G20</f>
        <v>#DIV/0!</v>
      </c>
      <c r="H143" s="150" t="e">
        <f t="shared" si="474"/>
        <v>#DIV/0!</v>
      </c>
      <c r="I143" s="150" t="e">
        <f t="shared" ref="I143:S143" si="475">I140/I20</f>
        <v>#DIV/0!</v>
      </c>
      <c r="J143" s="150" t="e">
        <f t="shared" si="475"/>
        <v>#DIV/0!</v>
      </c>
      <c r="K143" s="150" t="e">
        <f t="shared" si="475"/>
        <v>#DIV/0!</v>
      </c>
      <c r="L143" s="150" t="e">
        <f t="shared" si="475"/>
        <v>#DIV/0!</v>
      </c>
      <c r="M143" s="150" t="e">
        <f t="shared" si="475"/>
        <v>#DIV/0!</v>
      </c>
      <c r="N143" s="150" t="e">
        <f t="shared" si="475"/>
        <v>#DIV/0!</v>
      </c>
      <c r="O143" s="150" t="e">
        <f t="shared" si="475"/>
        <v>#DIV/0!</v>
      </c>
      <c r="P143" s="150" t="e">
        <f t="shared" si="475"/>
        <v>#DIV/0!</v>
      </c>
      <c r="Q143" s="150" t="e">
        <f t="shared" si="475"/>
        <v>#DIV/0!</v>
      </c>
      <c r="R143" s="150" t="e">
        <f t="shared" si="475"/>
        <v>#DIV/0!</v>
      </c>
      <c r="S143" s="150" t="e">
        <f t="shared" si="475"/>
        <v>#DIV/0!</v>
      </c>
      <c r="T143" s="118" t="e">
        <f t="shared" si="452"/>
        <v>#DIV/0!</v>
      </c>
      <c r="U143" s="20"/>
      <c r="V143" s="150" t="e">
        <f t="shared" ref="V143:AE143" si="476">V140/V20</f>
        <v>#DIV/0!</v>
      </c>
      <c r="W143" s="150" t="e">
        <f t="shared" si="476"/>
        <v>#DIV/0!</v>
      </c>
      <c r="X143" s="150" t="e">
        <f t="shared" si="476"/>
        <v>#DIV/0!</v>
      </c>
      <c r="Y143" s="150" t="e">
        <f t="shared" si="476"/>
        <v>#DIV/0!</v>
      </c>
      <c r="Z143" s="150" t="e">
        <f t="shared" si="476"/>
        <v>#DIV/0!</v>
      </c>
      <c r="AA143" s="150" t="e">
        <f t="shared" si="476"/>
        <v>#DIV/0!</v>
      </c>
      <c r="AB143" s="150" t="e">
        <f t="shared" si="476"/>
        <v>#DIV/0!</v>
      </c>
      <c r="AC143" s="150" t="e">
        <f t="shared" si="476"/>
        <v>#DIV/0!</v>
      </c>
      <c r="AD143" s="150" t="e">
        <f t="shared" si="476"/>
        <v>#DIV/0!</v>
      </c>
      <c r="AE143" s="150" t="e">
        <f t="shared" si="476"/>
        <v>#DIV/0!</v>
      </c>
      <c r="AF143" s="137" t="s">
        <v>448</v>
      </c>
      <c r="AG143" s="20"/>
      <c r="AH143" s="20"/>
    </row>
    <row r="144" spans="1:34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8"/>
      <c r="U144" s="2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28"/>
      <c r="AG144" s="20"/>
      <c r="AH144" s="20"/>
    </row>
    <row r="145" spans="2:34">
      <c r="B145" s="20" t="s">
        <v>329</v>
      </c>
      <c r="C145" s="150"/>
      <c r="D145" s="150"/>
      <c r="E145" s="150"/>
      <c r="F145" s="150"/>
      <c r="G145" s="150" t="e">
        <f t="shared" ref="G145:H145" si="477">G31/G25</f>
        <v>#DIV/0!</v>
      </c>
      <c r="H145" s="150">
        <f t="shared" si="477"/>
        <v>0</v>
      </c>
      <c r="I145" s="150">
        <f t="shared" ref="I145:S145" si="478">I31/I25</f>
        <v>0</v>
      </c>
      <c r="J145" s="150">
        <f t="shared" si="478"/>
        <v>0</v>
      </c>
      <c r="K145" s="150">
        <f t="shared" si="478"/>
        <v>0</v>
      </c>
      <c r="L145" s="150">
        <f t="shared" si="478"/>
        <v>0</v>
      </c>
      <c r="M145" s="150">
        <f t="shared" si="478"/>
        <v>0</v>
      </c>
      <c r="N145" s="150">
        <f t="shared" si="478"/>
        <v>0</v>
      </c>
      <c r="O145" s="150">
        <f t="shared" si="478"/>
        <v>0</v>
      </c>
      <c r="P145" s="150">
        <f t="shared" si="478"/>
        <v>0</v>
      </c>
      <c r="Q145" s="150">
        <f t="shared" si="478"/>
        <v>0</v>
      </c>
      <c r="R145" s="150">
        <f t="shared" si="478"/>
        <v>0</v>
      </c>
      <c r="S145" s="150">
        <f t="shared" si="478"/>
        <v>0</v>
      </c>
      <c r="T145" s="118" t="e">
        <f t="shared" si="452"/>
        <v>#DIV/0!</v>
      </c>
      <c r="U145" s="20"/>
      <c r="V145" s="150">
        <f t="shared" ref="V145:AE145" si="479">V31/V25</f>
        <v>0</v>
      </c>
      <c r="W145" s="150">
        <f t="shared" si="479"/>
        <v>0</v>
      </c>
      <c r="X145" s="150">
        <f t="shared" si="479"/>
        <v>0</v>
      </c>
      <c r="Y145" s="150">
        <f t="shared" si="479"/>
        <v>0</v>
      </c>
      <c r="Z145" s="150">
        <f t="shared" si="479"/>
        <v>0</v>
      </c>
      <c r="AA145" s="150">
        <f t="shared" si="479"/>
        <v>0</v>
      </c>
      <c r="AB145" s="150">
        <f t="shared" si="479"/>
        <v>0</v>
      </c>
      <c r="AC145" s="150">
        <f t="shared" si="479"/>
        <v>0</v>
      </c>
      <c r="AD145" s="150">
        <f t="shared" si="479"/>
        <v>0</v>
      </c>
      <c r="AE145" s="150">
        <f t="shared" si="479"/>
        <v>0</v>
      </c>
      <c r="AF145" s="137" t="e">
        <f t="shared" si="357"/>
        <v>#DIV/0!</v>
      </c>
      <c r="AG145" s="20"/>
      <c r="AH145" s="20"/>
    </row>
    <row r="146" spans="2:34">
      <c r="B146" s="20" t="s">
        <v>326</v>
      </c>
      <c r="C146" s="150"/>
      <c r="D146" s="150"/>
      <c r="E146" s="150"/>
      <c r="F146" s="150"/>
      <c r="G146" s="150" t="e">
        <f t="shared" ref="G146:H146" si="480">G32/G25</f>
        <v>#DIV/0!</v>
      </c>
      <c r="H146" s="150">
        <f t="shared" si="480"/>
        <v>0</v>
      </c>
      <c r="I146" s="150">
        <f t="shared" ref="I146:S146" si="481">I32/I25</f>
        <v>0</v>
      </c>
      <c r="J146" s="150">
        <f t="shared" si="481"/>
        <v>0</v>
      </c>
      <c r="K146" s="150">
        <f t="shared" si="481"/>
        <v>0</v>
      </c>
      <c r="L146" s="150">
        <f t="shared" si="481"/>
        <v>0</v>
      </c>
      <c r="M146" s="150">
        <f t="shared" si="481"/>
        <v>0</v>
      </c>
      <c r="N146" s="150">
        <f t="shared" si="481"/>
        <v>0</v>
      </c>
      <c r="O146" s="150">
        <f t="shared" si="481"/>
        <v>0</v>
      </c>
      <c r="P146" s="150">
        <f t="shared" si="481"/>
        <v>0</v>
      </c>
      <c r="Q146" s="150">
        <f t="shared" si="481"/>
        <v>0</v>
      </c>
      <c r="R146" s="150">
        <f t="shared" si="481"/>
        <v>0</v>
      </c>
      <c r="S146" s="150">
        <f t="shared" si="481"/>
        <v>0</v>
      </c>
      <c r="T146" s="118" t="e">
        <f t="shared" si="452"/>
        <v>#DIV/0!</v>
      </c>
      <c r="U146" s="20"/>
      <c r="V146" s="150">
        <f t="shared" ref="V146:AE146" si="482">V32/V25</f>
        <v>0</v>
      </c>
      <c r="W146" s="150">
        <f t="shared" si="482"/>
        <v>0</v>
      </c>
      <c r="X146" s="150">
        <f t="shared" si="482"/>
        <v>0</v>
      </c>
      <c r="Y146" s="150">
        <f t="shared" si="482"/>
        <v>0</v>
      </c>
      <c r="Z146" s="150">
        <f t="shared" si="482"/>
        <v>0</v>
      </c>
      <c r="AA146" s="150">
        <f t="shared" si="482"/>
        <v>0</v>
      </c>
      <c r="AB146" s="150">
        <f t="shared" si="482"/>
        <v>0</v>
      </c>
      <c r="AC146" s="150">
        <f t="shared" si="482"/>
        <v>0</v>
      </c>
      <c r="AD146" s="150">
        <f t="shared" si="482"/>
        <v>0</v>
      </c>
      <c r="AE146" s="150">
        <f t="shared" si="482"/>
        <v>0</v>
      </c>
      <c r="AF146" s="137" t="e">
        <f t="shared" si="357"/>
        <v>#DIV/0!</v>
      </c>
      <c r="AG146" s="20"/>
      <c r="AH146" s="20"/>
    </row>
    <row r="147" spans="2:34">
      <c r="B147" s="20" t="s">
        <v>455</v>
      </c>
      <c r="C147" s="150"/>
      <c r="D147" s="150"/>
      <c r="E147" s="150"/>
      <c r="F147" s="150"/>
      <c r="G147" s="150" t="e">
        <f t="shared" ref="G147:H147" si="483">(G31+G32)/G25</f>
        <v>#DIV/0!</v>
      </c>
      <c r="H147" s="150">
        <f t="shared" si="483"/>
        <v>0</v>
      </c>
      <c r="I147" s="150">
        <f t="shared" ref="I147:S147" si="484">(I31+I32)/I25</f>
        <v>0</v>
      </c>
      <c r="J147" s="150">
        <f t="shared" si="484"/>
        <v>0</v>
      </c>
      <c r="K147" s="150">
        <f t="shared" si="484"/>
        <v>0</v>
      </c>
      <c r="L147" s="150">
        <f t="shared" si="484"/>
        <v>0</v>
      </c>
      <c r="M147" s="150">
        <f t="shared" si="484"/>
        <v>0</v>
      </c>
      <c r="N147" s="150">
        <f t="shared" si="484"/>
        <v>0</v>
      </c>
      <c r="O147" s="150">
        <f t="shared" si="484"/>
        <v>0</v>
      </c>
      <c r="P147" s="150">
        <f t="shared" si="484"/>
        <v>0</v>
      </c>
      <c r="Q147" s="150">
        <f t="shared" si="484"/>
        <v>0</v>
      </c>
      <c r="R147" s="150">
        <f t="shared" si="484"/>
        <v>0</v>
      </c>
      <c r="S147" s="150">
        <f t="shared" si="484"/>
        <v>0</v>
      </c>
      <c r="T147" s="118" t="e">
        <f t="shared" si="452"/>
        <v>#DIV/0!</v>
      </c>
      <c r="U147" s="20"/>
      <c r="V147" s="150">
        <f t="shared" ref="V147:AE147" si="485">(V31+V32)/V25</f>
        <v>0</v>
      </c>
      <c r="W147" s="150">
        <f t="shared" si="485"/>
        <v>0</v>
      </c>
      <c r="X147" s="150">
        <f t="shared" si="485"/>
        <v>0</v>
      </c>
      <c r="Y147" s="150">
        <f t="shared" si="485"/>
        <v>0</v>
      </c>
      <c r="Z147" s="150">
        <f t="shared" si="485"/>
        <v>0</v>
      </c>
      <c r="AA147" s="150">
        <f t="shared" si="485"/>
        <v>0</v>
      </c>
      <c r="AB147" s="150">
        <f t="shared" si="485"/>
        <v>0</v>
      </c>
      <c r="AC147" s="150">
        <f t="shared" si="485"/>
        <v>0</v>
      </c>
      <c r="AD147" s="150">
        <f t="shared" si="485"/>
        <v>0</v>
      </c>
      <c r="AE147" s="150">
        <f t="shared" si="485"/>
        <v>0</v>
      </c>
      <c r="AF147" s="137" t="e">
        <f t="shared" si="357"/>
        <v>#DIV/0!</v>
      </c>
      <c r="AG147" s="20"/>
      <c r="AH147" s="20"/>
    </row>
    <row r="148" spans="2:34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28"/>
      <c r="U148" s="2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28"/>
      <c r="AG148" s="20"/>
      <c r="AH148" s="20"/>
    </row>
    <row r="149" spans="2:34">
      <c r="B149" s="20" t="s">
        <v>350</v>
      </c>
      <c r="C149" s="20"/>
      <c r="D149" s="20"/>
      <c r="E149" s="20"/>
      <c r="F149" s="20"/>
      <c r="G149" s="150" t="e">
        <f t="shared" ref="G149:H149" si="486">G27/G25</f>
        <v>#DIV/0!</v>
      </c>
      <c r="H149" s="150">
        <f t="shared" si="486"/>
        <v>0.19230769230769232</v>
      </c>
      <c r="I149" s="150">
        <f t="shared" ref="I149:S149" si="487">I27/I25</f>
        <v>0.87037037037037035</v>
      </c>
      <c r="J149" s="150">
        <f t="shared" si="487"/>
        <v>0.3902439024390244</v>
      </c>
      <c r="K149" s="150">
        <f t="shared" si="487"/>
        <v>0.52777777777777779</v>
      </c>
      <c r="L149" s="150">
        <f t="shared" si="487"/>
        <v>0.52252252252252251</v>
      </c>
      <c r="M149" s="150">
        <f t="shared" si="487"/>
        <v>0.59027777777777779</v>
      </c>
      <c r="N149" s="150">
        <f t="shared" si="487"/>
        <v>0.49473684210526314</v>
      </c>
      <c r="O149" s="150">
        <f t="shared" si="487"/>
        <v>0.69841269841269837</v>
      </c>
      <c r="P149" s="150">
        <f t="shared" si="487"/>
        <v>0.70572207084468663</v>
      </c>
      <c r="Q149" s="150">
        <f t="shared" si="487"/>
        <v>0.59268292682926826</v>
      </c>
      <c r="R149" s="150">
        <f t="shared" si="487"/>
        <v>0.76897689768976896</v>
      </c>
      <c r="S149" s="150">
        <f t="shared" si="487"/>
        <v>0.64898989898989901</v>
      </c>
      <c r="T149" s="118" t="e">
        <f t="shared" si="452"/>
        <v>#DIV/0!</v>
      </c>
      <c r="U149" s="20"/>
      <c r="V149" s="150">
        <f t="shared" ref="V149:AE149" si="488">V27/V25</f>
        <v>0.64898989898989889</v>
      </c>
      <c r="W149" s="150">
        <f t="shared" si="488"/>
        <v>0.64898989898989901</v>
      </c>
      <c r="X149" s="150">
        <f t="shared" si="488"/>
        <v>0.64898989898989889</v>
      </c>
      <c r="Y149" s="150">
        <f t="shared" si="488"/>
        <v>0.64898989898989901</v>
      </c>
      <c r="Z149" s="150">
        <f t="shared" si="488"/>
        <v>0.64898989898989901</v>
      </c>
      <c r="AA149" s="150">
        <f t="shared" si="488"/>
        <v>0.64898989898989901</v>
      </c>
      <c r="AB149" s="150">
        <f t="shared" si="488"/>
        <v>0.64898989898989901</v>
      </c>
      <c r="AC149" s="150">
        <f t="shared" si="488"/>
        <v>0.64898989898989901</v>
      </c>
      <c r="AD149" s="150">
        <f t="shared" si="488"/>
        <v>0.64898989898989912</v>
      </c>
      <c r="AE149" s="150">
        <f t="shared" si="488"/>
        <v>0.64898989898989912</v>
      </c>
      <c r="AF149" s="137">
        <f t="shared" si="357"/>
        <v>-1.3879055905023918E-2</v>
      </c>
      <c r="AG149" s="20"/>
      <c r="AH149" s="20"/>
    </row>
    <row r="150" spans="2:34">
      <c r="B150" s="20" t="str">
        <f>B33</f>
        <v>Top Expenses ( Interest Out gol )</v>
      </c>
      <c r="C150" s="20"/>
      <c r="D150" s="20"/>
      <c r="E150" s="20"/>
      <c r="F150" s="20"/>
      <c r="G150" s="150" t="e">
        <f t="shared" ref="G150:H150" si="489">G33/G25</f>
        <v>#DIV/0!</v>
      </c>
      <c r="H150" s="150">
        <f t="shared" si="489"/>
        <v>3.8461538461538464E-2</v>
      </c>
      <c r="I150" s="150">
        <f t="shared" ref="I150:S150" si="490">I33/I25</f>
        <v>0.1111111111111111</v>
      </c>
      <c r="J150" s="150">
        <f t="shared" si="490"/>
        <v>7.8048780487804878E-3</v>
      </c>
      <c r="K150" s="150">
        <f t="shared" si="490"/>
        <v>4.3518518518518515E-3</v>
      </c>
      <c r="L150" s="150">
        <f t="shared" si="490"/>
        <v>1.9819819819819822E-2</v>
      </c>
      <c r="M150" s="150">
        <f t="shared" si="490"/>
        <v>7.6388888888888895E-2</v>
      </c>
      <c r="N150" s="150">
        <f t="shared" si="490"/>
        <v>0.27105263157894738</v>
      </c>
      <c r="O150" s="150">
        <f t="shared" si="490"/>
        <v>0.41005291005291006</v>
      </c>
      <c r="P150" s="150">
        <f t="shared" si="490"/>
        <v>0.31880108991825612</v>
      </c>
      <c r="Q150" s="150">
        <f t="shared" si="490"/>
        <v>0.12926829268292683</v>
      </c>
      <c r="R150" s="150">
        <f t="shared" si="490"/>
        <v>8.2508250825082508E-2</v>
      </c>
      <c r="S150" s="150">
        <f t="shared" si="490"/>
        <v>7.8282828282828287E-2</v>
      </c>
      <c r="T150" s="118" t="e">
        <f t="shared" si="452"/>
        <v>#DIV/0!</v>
      </c>
      <c r="U150" s="20"/>
      <c r="V150" s="150">
        <f t="shared" ref="V150:AE150" si="491">V33/V25</f>
        <v>7.8282828282828287E-2</v>
      </c>
      <c r="W150" s="150">
        <f t="shared" si="491"/>
        <v>7.8282828282828287E-2</v>
      </c>
      <c r="X150" s="150">
        <f t="shared" si="491"/>
        <v>7.8282828282828287E-2</v>
      </c>
      <c r="Y150" s="150">
        <f t="shared" si="491"/>
        <v>7.8282828282828287E-2</v>
      </c>
      <c r="Z150" s="150">
        <f t="shared" si="491"/>
        <v>7.8282828282828287E-2</v>
      </c>
      <c r="AA150" s="150">
        <f t="shared" si="491"/>
        <v>7.8282828282828301E-2</v>
      </c>
      <c r="AB150" s="150">
        <f t="shared" si="491"/>
        <v>7.8282828282828315E-2</v>
      </c>
      <c r="AC150" s="150">
        <f t="shared" si="491"/>
        <v>7.8282828282828315E-2</v>
      </c>
      <c r="AD150" s="150">
        <f t="shared" si="491"/>
        <v>7.8282828282828315E-2</v>
      </c>
      <c r="AE150" s="150">
        <f t="shared" si="491"/>
        <v>7.8282828282828315E-2</v>
      </c>
      <c r="AF150" s="137">
        <f t="shared" si="357"/>
        <v>-1.6538026302637343E-2</v>
      </c>
      <c r="AG150" s="20"/>
      <c r="AH150" s="20"/>
    </row>
    <row r="151" spans="2:34">
      <c r="B151" s="20" t="str">
        <f>B34</f>
        <v>2nd highest Expenses Comp. ( Empl )</v>
      </c>
      <c r="C151" s="20"/>
      <c r="D151" s="20"/>
      <c r="E151" s="20"/>
      <c r="F151" s="20"/>
      <c r="G151" s="150" t="e">
        <f t="shared" ref="G151:H151" si="492">G34/G25</f>
        <v>#DIV/0!</v>
      </c>
      <c r="H151" s="150">
        <f t="shared" si="492"/>
        <v>3.8461538461538464E-2</v>
      </c>
      <c r="I151" s="150">
        <f t="shared" ref="I151:S151" si="493">I34/I25</f>
        <v>4.1481481481481487E-2</v>
      </c>
      <c r="J151" s="150">
        <f t="shared" si="493"/>
        <v>7.3170731707317069E-2</v>
      </c>
      <c r="K151" s="150">
        <f t="shared" si="493"/>
        <v>3.7037037037037035E-2</v>
      </c>
      <c r="L151" s="150">
        <f t="shared" si="493"/>
        <v>6.8468468468468463E-2</v>
      </c>
      <c r="M151" s="150">
        <f t="shared" si="493"/>
        <v>0.1388888888888889</v>
      </c>
      <c r="N151" s="150">
        <f t="shared" si="493"/>
        <v>6.3157894736842107E-2</v>
      </c>
      <c r="O151" s="150">
        <f t="shared" si="493"/>
        <v>8.4656084656084651E-2</v>
      </c>
      <c r="P151" s="150">
        <f t="shared" si="493"/>
        <v>9.8092643051771122E-2</v>
      </c>
      <c r="Q151" s="150">
        <f t="shared" si="493"/>
        <v>0.11951219512195121</v>
      </c>
      <c r="R151" s="150">
        <f t="shared" si="493"/>
        <v>0.17491749174917492</v>
      </c>
      <c r="S151" s="150">
        <f t="shared" si="493"/>
        <v>0.14646464646464646</v>
      </c>
      <c r="T151" s="118" t="e">
        <f t="shared" si="452"/>
        <v>#DIV/0!</v>
      </c>
      <c r="U151" s="20"/>
      <c r="V151" s="150">
        <f t="shared" ref="V151:AE151" si="494">V34/V25</f>
        <v>0.14646464646464644</v>
      </c>
      <c r="W151" s="150">
        <f t="shared" si="494"/>
        <v>0.14646464646464646</v>
      </c>
      <c r="X151" s="150">
        <f t="shared" si="494"/>
        <v>0.14646464646464646</v>
      </c>
      <c r="Y151" s="150">
        <f t="shared" si="494"/>
        <v>0.14646464646464646</v>
      </c>
      <c r="Z151" s="150">
        <f t="shared" si="494"/>
        <v>0.14646464646464646</v>
      </c>
      <c r="AA151" s="150">
        <f t="shared" si="494"/>
        <v>0.14646464646464649</v>
      </c>
      <c r="AB151" s="150">
        <f t="shared" si="494"/>
        <v>0.14646464646464649</v>
      </c>
      <c r="AC151" s="150">
        <f t="shared" si="494"/>
        <v>0.14646464646464649</v>
      </c>
      <c r="AD151" s="150">
        <f t="shared" si="494"/>
        <v>0.14646464646464646</v>
      </c>
      <c r="AE151" s="150">
        <f t="shared" si="494"/>
        <v>0.14646464646464646</v>
      </c>
      <c r="AF151" s="137">
        <f t="shared" si="357"/>
        <v>6.1914264700064559E-2</v>
      </c>
      <c r="AG151" s="20"/>
      <c r="AH151" s="20"/>
    </row>
    <row r="152" spans="2:34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8"/>
      <c r="AG152" s="20"/>
      <c r="AH152" s="20"/>
    </row>
    <row r="153" spans="2:34">
      <c r="B153" s="108" t="s">
        <v>358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7"/>
      <c r="AG153" s="20"/>
      <c r="AH153" s="20"/>
    </row>
    <row r="154" spans="2:34">
      <c r="B154" s="20" t="s">
        <v>361</v>
      </c>
      <c r="C154" s="20"/>
      <c r="D154" s="20"/>
      <c r="E154" s="20"/>
      <c r="F154" s="20"/>
      <c r="G154" s="25">
        <f t="shared" ref="G154:H154" si="495">G15/G9</f>
        <v>1.2083333333333333</v>
      </c>
      <c r="H154" s="25">
        <f t="shared" si="495"/>
        <v>3.75</v>
      </c>
      <c r="I154" s="25">
        <f t="shared" ref="I154:S154" si="496">I15/I9</f>
        <v>24.768518518518515</v>
      </c>
      <c r="J154" s="25">
        <f t="shared" si="496"/>
        <v>1.84</v>
      </c>
      <c r="K154" s="25">
        <f t="shared" si="496"/>
        <v>4.7075793338578542</v>
      </c>
      <c r="L154" s="25">
        <f t="shared" si="496"/>
        <v>6.3076923076923075</v>
      </c>
      <c r="M154" s="25">
        <f t="shared" si="496"/>
        <v>5.7538461538461538</v>
      </c>
      <c r="N154" s="25">
        <f t="shared" si="496"/>
        <v>9.4259259259259256</v>
      </c>
      <c r="O154" s="25">
        <f t="shared" si="496"/>
        <v>5.5652173913043477</v>
      </c>
      <c r="P154" s="25">
        <f t="shared" si="496"/>
        <v>2.0272108843537415</v>
      </c>
      <c r="Q154" s="25">
        <f t="shared" si="496"/>
        <v>1.2124999999999999</v>
      </c>
      <c r="R154" s="25">
        <f t="shared" si="496"/>
        <v>0.71069182389937102</v>
      </c>
      <c r="S154" s="25">
        <f t="shared" si="496"/>
        <v>0.86399999999999999</v>
      </c>
      <c r="T154" s="118">
        <f t="shared" si="452"/>
        <v>-2.7564998750564507E-2</v>
      </c>
      <c r="U154" s="20"/>
      <c r="V154" s="20">
        <f t="shared" ref="V154:AE154" si="497">V15/V9</f>
        <v>0.86399999999999988</v>
      </c>
      <c r="W154" s="20">
        <f t="shared" si="497"/>
        <v>0.86399999999999988</v>
      </c>
      <c r="X154" s="20">
        <f t="shared" si="497"/>
        <v>0.86399999999999999</v>
      </c>
      <c r="Y154" s="20">
        <f t="shared" si="497"/>
        <v>0.86399999999999999</v>
      </c>
      <c r="Z154" s="20">
        <f t="shared" si="497"/>
        <v>0.86399999999999999</v>
      </c>
      <c r="AA154" s="20">
        <f t="shared" si="497"/>
        <v>0.86399999999999988</v>
      </c>
      <c r="AB154" s="20">
        <f t="shared" si="497"/>
        <v>0.86399999999999977</v>
      </c>
      <c r="AC154" s="20">
        <f t="shared" si="497"/>
        <v>0.86399999999999977</v>
      </c>
      <c r="AD154" s="20">
        <f t="shared" si="497"/>
        <v>0.86399999999999988</v>
      </c>
      <c r="AE154" s="20">
        <f t="shared" si="497"/>
        <v>0.86399999999999988</v>
      </c>
      <c r="AF154" s="137">
        <f t="shared" si="357"/>
        <v>-0.14768397709042702</v>
      </c>
      <c r="AG154" s="20"/>
      <c r="AH154" s="20"/>
    </row>
    <row r="155" spans="2:34">
      <c r="B155" s="20" t="s">
        <v>351</v>
      </c>
      <c r="C155" s="20"/>
      <c r="D155" s="20"/>
      <c r="E155" s="20"/>
      <c r="F155" s="20"/>
      <c r="G155" s="25">
        <f t="shared" ref="G155:H155" si="498">G12/G9</f>
        <v>4.1666666666666669E-4</v>
      </c>
      <c r="H155" s="25">
        <f t="shared" si="498"/>
        <v>0</v>
      </c>
      <c r="I155" s="25">
        <f t="shared" ref="I155:S155" si="499">I12/I9</f>
        <v>0.65277777777777768</v>
      </c>
      <c r="J155" s="25">
        <f t="shared" si="499"/>
        <v>0.12</v>
      </c>
      <c r="K155" s="25">
        <f t="shared" si="499"/>
        <v>1.1408339889850512</v>
      </c>
      <c r="L155" s="25">
        <f t="shared" si="499"/>
        <v>0.30769230769230771</v>
      </c>
      <c r="M155" s="25">
        <f t="shared" si="499"/>
        <v>0.70769230769230773</v>
      </c>
      <c r="N155" s="25">
        <f t="shared" si="499"/>
        <v>1.1851851851851851</v>
      </c>
      <c r="O155" s="25">
        <f t="shared" si="499"/>
        <v>1.4782608695652173</v>
      </c>
      <c r="P155" s="25">
        <f t="shared" si="499"/>
        <v>0.31292517006802723</v>
      </c>
      <c r="Q155" s="25">
        <f t="shared" si="499"/>
        <v>0.34375</v>
      </c>
      <c r="R155" s="25">
        <f t="shared" si="499"/>
        <v>0.13207547169811321</v>
      </c>
      <c r="S155" s="25">
        <f t="shared" si="499"/>
        <v>0.184</v>
      </c>
      <c r="T155" s="118">
        <f t="shared" si="452"/>
        <v>0.66118916093645508</v>
      </c>
      <c r="U155" s="128"/>
      <c r="V155" s="20">
        <f t="shared" ref="V155:AE155" si="500">V12/V9</f>
        <v>0.184</v>
      </c>
      <c r="W155" s="20">
        <f t="shared" si="500"/>
        <v>0.18399999999999997</v>
      </c>
      <c r="X155" s="20">
        <f t="shared" si="500"/>
        <v>0.184</v>
      </c>
      <c r="Y155" s="20">
        <f t="shared" si="500"/>
        <v>0.184</v>
      </c>
      <c r="Z155" s="20">
        <f t="shared" si="500"/>
        <v>0.18399999999999997</v>
      </c>
      <c r="AA155" s="20">
        <f t="shared" si="500"/>
        <v>0.18399999999999997</v>
      </c>
      <c r="AB155" s="20">
        <f t="shared" si="500"/>
        <v>0.18399999999999997</v>
      </c>
      <c r="AC155" s="20">
        <f t="shared" si="500"/>
        <v>0.18399999999999997</v>
      </c>
      <c r="AD155" s="20">
        <f t="shared" si="500"/>
        <v>0.18399999999999997</v>
      </c>
      <c r="AE155" s="20">
        <f t="shared" si="500"/>
        <v>0.184</v>
      </c>
      <c r="AF155" s="118">
        <f t="shared" ref="AF155" si="501">((AE155/V155)^(1/($J$2-$J$1) ))-1</f>
        <v>0</v>
      </c>
      <c r="AG155" s="20"/>
      <c r="AH155" s="20"/>
    </row>
    <row r="156" spans="2:34">
      <c r="B156" s="20" t="s">
        <v>353</v>
      </c>
      <c r="C156" s="20"/>
      <c r="D156" s="20"/>
      <c r="E156" s="20"/>
      <c r="F156" s="20"/>
      <c r="G156" s="25">
        <f t="shared" ref="G156:H156" si="502">G25/360</f>
        <v>0</v>
      </c>
      <c r="H156" s="25">
        <f t="shared" si="502"/>
        <v>7.222222222222223E-4</v>
      </c>
      <c r="I156" s="25">
        <f t="shared" ref="I156:S156" si="503">I25/360</f>
        <v>0.15</v>
      </c>
      <c r="J156" s="25">
        <f t="shared" si="503"/>
        <v>0.11388888888888889</v>
      </c>
      <c r="K156" s="25">
        <f t="shared" si="503"/>
        <v>0.3</v>
      </c>
      <c r="L156" s="25">
        <f t="shared" si="503"/>
        <v>0.30833333333333335</v>
      </c>
      <c r="M156" s="25">
        <f t="shared" si="503"/>
        <v>0.4</v>
      </c>
      <c r="N156" s="25">
        <f t="shared" si="503"/>
        <v>1.0555555555555556</v>
      </c>
      <c r="O156" s="25">
        <f t="shared" si="503"/>
        <v>1.05</v>
      </c>
      <c r="P156" s="25">
        <f t="shared" si="503"/>
        <v>1.0194444444444444</v>
      </c>
      <c r="Q156" s="25">
        <f t="shared" si="503"/>
        <v>1.1388888888888888</v>
      </c>
      <c r="R156" s="25">
        <f t="shared" si="503"/>
        <v>0.84166666666666667</v>
      </c>
      <c r="S156" s="25">
        <f t="shared" si="503"/>
        <v>1.1000000000000001</v>
      </c>
      <c r="T156" s="118" t="e">
        <f t="shared" si="452"/>
        <v>#DIV/0!</v>
      </c>
      <c r="U156" s="128"/>
      <c r="V156" s="25">
        <f t="shared" ref="V156:AE156" si="504">V25/360</f>
        <v>1.2649999999999999</v>
      </c>
      <c r="W156" s="25">
        <f t="shared" si="504"/>
        <v>1.4547499999999998</v>
      </c>
      <c r="X156" s="25">
        <f t="shared" si="504"/>
        <v>1.6729624999999995</v>
      </c>
      <c r="Y156" s="25">
        <f t="shared" si="504"/>
        <v>1.9239068749999992</v>
      </c>
      <c r="Z156" s="25">
        <f t="shared" si="504"/>
        <v>2.2124929062499987</v>
      </c>
      <c r="AA156" s="25">
        <f t="shared" si="504"/>
        <v>2.5443668421874985</v>
      </c>
      <c r="AB156" s="25">
        <f t="shared" si="504"/>
        <v>2.926021868515623</v>
      </c>
      <c r="AC156" s="25">
        <f t="shared" si="504"/>
        <v>3.3649251487929659</v>
      </c>
      <c r="AD156" s="25">
        <f t="shared" si="504"/>
        <v>3.8696639211119104</v>
      </c>
      <c r="AE156" s="25">
        <f t="shared" si="504"/>
        <v>4.4501135092786965</v>
      </c>
      <c r="AF156" s="118">
        <f t="shared" ref="AF156:AF167" si="505">((AE156/V156)^(1/($J$2-$J$1) ))-1</f>
        <v>0.11051231821075036</v>
      </c>
      <c r="AG156" s="20"/>
      <c r="AH156" s="20"/>
    </row>
    <row r="157" spans="2:34">
      <c r="B157" s="20" t="s">
        <v>352</v>
      </c>
      <c r="C157" s="20"/>
      <c r="D157" s="20"/>
      <c r="E157" s="20"/>
      <c r="F157" s="20"/>
      <c r="G157" s="25">
        <f t="shared" ref="G157:H157" si="506">G27/360</f>
        <v>1.3888888888888889E-4</v>
      </c>
      <c r="H157" s="25">
        <f t="shared" si="506"/>
        <v>1.3888888888888889E-4</v>
      </c>
      <c r="I157" s="25">
        <f t="shared" ref="I157:S157" si="507">I27/360</f>
        <v>0.13055555555555556</v>
      </c>
      <c r="J157" s="25">
        <f t="shared" si="507"/>
        <v>4.4444444444444446E-2</v>
      </c>
      <c r="K157" s="25">
        <f t="shared" si="507"/>
        <v>0.15833333333333333</v>
      </c>
      <c r="L157" s="25">
        <f t="shared" si="507"/>
        <v>0.16111111111111112</v>
      </c>
      <c r="M157" s="25">
        <f t="shared" si="507"/>
        <v>0.2361111111111111</v>
      </c>
      <c r="N157" s="25">
        <f t="shared" si="507"/>
        <v>0.52222222222222225</v>
      </c>
      <c r="O157" s="25">
        <f t="shared" si="507"/>
        <v>0.73333333333333328</v>
      </c>
      <c r="P157" s="25">
        <f t="shared" si="507"/>
        <v>0.71944444444444444</v>
      </c>
      <c r="Q157" s="25">
        <f t="shared" si="507"/>
        <v>0.67500000000000004</v>
      </c>
      <c r="R157" s="25">
        <f t="shared" si="507"/>
        <v>0.64722222222222225</v>
      </c>
      <c r="S157" s="25">
        <f t="shared" si="507"/>
        <v>0.71388888888888891</v>
      </c>
      <c r="T157" s="118">
        <f t="shared" si="452"/>
        <v>1.0382006069590206</v>
      </c>
      <c r="U157" s="128"/>
      <c r="V157" s="25">
        <f t="shared" ref="V157:AE157" si="508">V27/360</f>
        <v>0.8209722222222221</v>
      </c>
      <c r="W157" s="25">
        <f t="shared" si="508"/>
        <v>0.94411805555555539</v>
      </c>
      <c r="X157" s="25">
        <f t="shared" si="508"/>
        <v>1.0857357638888885</v>
      </c>
      <c r="Y157" s="25">
        <f t="shared" si="508"/>
        <v>1.2485961284722218</v>
      </c>
      <c r="Z157" s="25">
        <f t="shared" si="508"/>
        <v>1.435885547743055</v>
      </c>
      <c r="AA157" s="25">
        <f t="shared" si="508"/>
        <v>1.6512683799045129</v>
      </c>
      <c r="AB157" s="25">
        <f t="shared" si="508"/>
        <v>1.8989586368901894</v>
      </c>
      <c r="AC157" s="25">
        <f t="shared" si="508"/>
        <v>2.1838024324237177</v>
      </c>
      <c r="AD157" s="25">
        <f t="shared" si="508"/>
        <v>2.5113727972872755</v>
      </c>
      <c r="AE157" s="25">
        <f t="shared" si="508"/>
        <v>2.8880787168803668</v>
      </c>
      <c r="AF157" s="118">
        <f t="shared" si="505"/>
        <v>0.11051231821075036</v>
      </c>
      <c r="AG157" s="20"/>
      <c r="AH157" s="20"/>
    </row>
    <row r="158" spans="2:34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>
      <c r="B159" s="20" t="s">
        <v>362</v>
      </c>
      <c r="C159" s="20"/>
      <c r="D159" s="20"/>
      <c r="E159" s="20"/>
      <c r="F159" s="20"/>
      <c r="G159" s="25">
        <f t="shared" ref="G159:H159" si="509">G10/G7</f>
        <v>0.05</v>
      </c>
      <c r="H159" s="25">
        <f t="shared" si="509"/>
        <v>2.7777777777777777</v>
      </c>
      <c r="I159" s="25">
        <f t="shared" ref="I159:S159" si="510">I10/I7</f>
        <v>1.7716535433070866</v>
      </c>
      <c r="J159" s="25">
        <f t="shared" si="510"/>
        <v>1.8488372093023255</v>
      </c>
      <c r="K159" s="25">
        <f t="shared" si="510"/>
        <v>1.4342105263157894</v>
      </c>
      <c r="L159" s="25">
        <f t="shared" si="510"/>
        <v>1</v>
      </c>
      <c r="M159" s="25">
        <f t="shared" si="510"/>
        <v>1</v>
      </c>
      <c r="N159" s="25">
        <f t="shared" si="510"/>
        <v>1</v>
      </c>
      <c r="O159" s="25">
        <f t="shared" si="510"/>
        <v>1.0023310023310024</v>
      </c>
      <c r="P159" s="25">
        <f t="shared" si="510"/>
        <v>0.53673047077082248</v>
      </c>
      <c r="Q159" s="25">
        <f t="shared" si="510"/>
        <v>0.34282018111254853</v>
      </c>
      <c r="R159" s="25">
        <f t="shared" si="510"/>
        <v>0.32941176470588235</v>
      </c>
      <c r="S159" s="25">
        <f t="shared" si="510"/>
        <v>0.25311720698254364</v>
      </c>
      <c r="T159" s="118">
        <f t="shared" si="452"/>
        <v>0.1447113056302185</v>
      </c>
      <c r="U159" s="128"/>
      <c r="V159" s="25">
        <f t="shared" ref="V159:AE159" si="511">V10/V7</f>
        <v>0.25311720698254364</v>
      </c>
      <c r="W159" s="25">
        <f t="shared" si="511"/>
        <v>0.2531172069825437</v>
      </c>
      <c r="X159" s="25">
        <f t="shared" si="511"/>
        <v>0.25311720698254364</v>
      </c>
      <c r="Y159" s="25">
        <f t="shared" si="511"/>
        <v>0.25311720698254364</v>
      </c>
      <c r="Z159" s="25">
        <f t="shared" si="511"/>
        <v>0.25311720698254364</v>
      </c>
      <c r="AA159" s="25">
        <f t="shared" si="511"/>
        <v>0.25311720698254364</v>
      </c>
      <c r="AB159" s="25">
        <f t="shared" si="511"/>
        <v>0.25311720698254364</v>
      </c>
      <c r="AC159" s="25">
        <f t="shared" si="511"/>
        <v>0.25311720698254364</v>
      </c>
      <c r="AD159" s="25">
        <f t="shared" si="511"/>
        <v>0.25311720698254364</v>
      </c>
      <c r="AE159" s="25">
        <f t="shared" si="511"/>
        <v>0.2531172069825437</v>
      </c>
      <c r="AF159" s="118">
        <f t="shared" si="505"/>
        <v>0</v>
      </c>
      <c r="AG159" s="20"/>
      <c r="AH159" s="20"/>
    </row>
    <row r="160" spans="2:34">
      <c r="B160" s="20" t="s">
        <v>354</v>
      </c>
      <c r="C160" s="20"/>
      <c r="D160" s="20"/>
      <c r="E160" s="20"/>
      <c r="F160" s="20"/>
      <c r="G160" s="25">
        <f t="shared" ref="G160:H160" si="512">G10/(G10+G7)</f>
        <v>4.7619047619047623E-2</v>
      </c>
      <c r="H160" s="25">
        <f t="shared" si="512"/>
        <v>0.73529411764705888</v>
      </c>
      <c r="I160" s="25">
        <f t="shared" ref="I160:S160" si="513">I10/(I10+I7)</f>
        <v>0.63920454545454541</v>
      </c>
      <c r="J160" s="25">
        <f t="shared" si="513"/>
        <v>0.6489795918367347</v>
      </c>
      <c r="K160" s="25">
        <f t="shared" si="513"/>
        <v>0.58918918918918917</v>
      </c>
      <c r="L160" s="25">
        <f t="shared" si="513"/>
        <v>0.5</v>
      </c>
      <c r="M160" s="25">
        <f t="shared" si="513"/>
        <v>0.5</v>
      </c>
      <c r="N160" s="25">
        <f t="shared" si="513"/>
        <v>0.5</v>
      </c>
      <c r="O160" s="25">
        <f t="shared" si="513"/>
        <v>0.50058207217694994</v>
      </c>
      <c r="P160" s="25">
        <f t="shared" si="513"/>
        <v>0.34926780003366437</v>
      </c>
      <c r="Q160" s="25">
        <f t="shared" si="513"/>
        <v>0.25529865125240847</v>
      </c>
      <c r="R160" s="25">
        <f t="shared" si="513"/>
        <v>0.24778761061946902</v>
      </c>
      <c r="S160" s="25">
        <f t="shared" si="513"/>
        <v>0.20199004975124379</v>
      </c>
      <c r="T160" s="118">
        <f t="shared" si="452"/>
        <v>0.1279653859110923</v>
      </c>
      <c r="U160" s="128"/>
      <c r="V160" s="25">
        <f t="shared" ref="V160:AE160" si="514">V10/(V10+V7)</f>
        <v>0.20199004975124377</v>
      </c>
      <c r="W160" s="25">
        <f t="shared" si="514"/>
        <v>0.20199004975124379</v>
      </c>
      <c r="X160" s="25">
        <f t="shared" si="514"/>
        <v>0.20199004975124377</v>
      </c>
      <c r="Y160" s="25">
        <f t="shared" si="514"/>
        <v>0.20199004975124379</v>
      </c>
      <c r="Z160" s="25">
        <f t="shared" si="514"/>
        <v>0.20199004975124379</v>
      </c>
      <c r="AA160" s="25">
        <f t="shared" si="514"/>
        <v>0.20199004975124377</v>
      </c>
      <c r="AB160" s="25">
        <f t="shared" si="514"/>
        <v>0.20199004975124377</v>
      </c>
      <c r="AC160" s="25">
        <f t="shared" si="514"/>
        <v>0.20199004975124379</v>
      </c>
      <c r="AD160" s="25">
        <f t="shared" si="514"/>
        <v>0.20199004975124382</v>
      </c>
      <c r="AE160" s="25">
        <f t="shared" si="514"/>
        <v>0.20199004975124379</v>
      </c>
      <c r="AF160" s="118">
        <f t="shared" si="505"/>
        <v>0</v>
      </c>
      <c r="AG160" s="20"/>
      <c r="AH160" s="20"/>
    </row>
    <row r="161" spans="2:34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6"/>
      <c r="AG161" s="20"/>
      <c r="AH161" s="20"/>
    </row>
    <row r="162" spans="2:34">
      <c r="B162" s="20" t="s">
        <v>359</v>
      </c>
      <c r="C162" s="20"/>
      <c r="D162" s="20"/>
      <c r="E162" s="20"/>
      <c r="F162" s="20"/>
      <c r="G162" s="25">
        <f t="shared" ref="G162:H162" si="515">G16</f>
        <v>5</v>
      </c>
      <c r="H162" s="25">
        <f t="shared" si="515"/>
        <v>0.56999999999999995</v>
      </c>
      <c r="I162" s="25">
        <f t="shared" ref="I162:S162" si="516">I16</f>
        <v>100</v>
      </c>
      <c r="J162" s="25">
        <f t="shared" si="516"/>
        <v>8.36</v>
      </c>
      <c r="K162" s="25">
        <f t="shared" si="516"/>
        <v>259</v>
      </c>
      <c r="L162" s="25">
        <f t="shared" si="516"/>
        <v>272</v>
      </c>
      <c r="M162" s="25">
        <f t="shared" si="516"/>
        <v>299</v>
      </c>
      <c r="N162" s="25">
        <f t="shared" si="516"/>
        <v>442</v>
      </c>
      <c r="O162" s="25">
        <f t="shared" si="516"/>
        <v>608</v>
      </c>
      <c r="P162" s="25">
        <f t="shared" si="516"/>
        <v>366</v>
      </c>
      <c r="Q162" s="25">
        <f t="shared" si="516"/>
        <v>129</v>
      </c>
      <c r="R162" s="25">
        <f t="shared" si="516"/>
        <v>75</v>
      </c>
      <c r="S162" s="25">
        <f t="shared" si="516"/>
        <v>100</v>
      </c>
      <c r="T162" s="118">
        <f t="shared" si="452"/>
        <v>0.28356884211251621</v>
      </c>
      <c r="U162" s="128"/>
      <c r="V162" s="25">
        <f t="shared" ref="V162:AE162" si="517">V16</f>
        <v>114.99999999999999</v>
      </c>
      <c r="W162" s="25">
        <f t="shared" si="517"/>
        <v>132.24999999999997</v>
      </c>
      <c r="X162" s="25">
        <f t="shared" si="517"/>
        <v>152.08749999999995</v>
      </c>
      <c r="Y162" s="25">
        <f t="shared" si="517"/>
        <v>174.90062499999993</v>
      </c>
      <c r="Z162" s="25">
        <f t="shared" si="517"/>
        <v>201.13571874999991</v>
      </c>
      <c r="AA162" s="25">
        <f t="shared" si="517"/>
        <v>231.30607656249987</v>
      </c>
      <c r="AB162" s="25">
        <f t="shared" si="517"/>
        <v>266.00198804687483</v>
      </c>
      <c r="AC162" s="25">
        <f t="shared" si="517"/>
        <v>305.90228625390603</v>
      </c>
      <c r="AD162" s="25">
        <f t="shared" si="517"/>
        <v>351.78762919199193</v>
      </c>
      <c r="AE162" s="25">
        <f t="shared" si="517"/>
        <v>404.55577357079068</v>
      </c>
      <c r="AF162" s="118">
        <f t="shared" si="505"/>
        <v>0.11051231821075036</v>
      </c>
      <c r="AG162" s="20"/>
      <c r="AH162" s="20"/>
    </row>
    <row r="163" spans="2:34">
      <c r="B163" s="20" t="s">
        <v>360</v>
      </c>
      <c r="C163" s="20"/>
      <c r="D163" s="20"/>
      <c r="E163" s="20"/>
      <c r="F163" s="20"/>
      <c r="G163" s="119" t="e">
        <f t="shared" ref="G163:H163" si="518">G162*365/G25</f>
        <v>#DIV/0!</v>
      </c>
      <c r="H163" s="119">
        <f t="shared" si="518"/>
        <v>800.19230769230762</v>
      </c>
      <c r="I163" s="119">
        <f t="shared" ref="I163:S163" si="519">I162*365/I25</f>
        <v>675.92592592592598</v>
      </c>
      <c r="J163" s="119">
        <f t="shared" si="519"/>
        <v>74.424390243902437</v>
      </c>
      <c r="K163" s="119">
        <f t="shared" si="519"/>
        <v>875.32407407407402</v>
      </c>
      <c r="L163" s="119">
        <f t="shared" si="519"/>
        <v>894.41441441441441</v>
      </c>
      <c r="M163" s="119">
        <f t="shared" si="519"/>
        <v>757.88194444444446</v>
      </c>
      <c r="N163" s="119">
        <f t="shared" si="519"/>
        <v>424.55263157894734</v>
      </c>
      <c r="O163" s="119">
        <f t="shared" si="519"/>
        <v>587.08994708994715</v>
      </c>
      <c r="P163" s="119">
        <f t="shared" si="519"/>
        <v>364.00544959128064</v>
      </c>
      <c r="Q163" s="119">
        <f t="shared" si="519"/>
        <v>114.84146341463415</v>
      </c>
      <c r="R163" s="119">
        <f t="shared" si="519"/>
        <v>90.346534653465341</v>
      </c>
      <c r="S163" s="119">
        <f t="shared" si="519"/>
        <v>92.171717171717177</v>
      </c>
      <c r="T163" s="118" t="e">
        <f t="shared" si="452"/>
        <v>#DIV/0!</v>
      </c>
      <c r="U163" s="128"/>
      <c r="V163" s="119">
        <f t="shared" ref="V163:AE163" si="520">V162*365/V25</f>
        <v>92.171717171717162</v>
      </c>
      <c r="W163" s="119">
        <f t="shared" si="520"/>
        <v>92.171717171717177</v>
      </c>
      <c r="X163" s="119">
        <f t="shared" si="520"/>
        <v>92.171717171717162</v>
      </c>
      <c r="Y163" s="119">
        <f t="shared" si="520"/>
        <v>92.171717171717177</v>
      </c>
      <c r="Z163" s="119">
        <f t="shared" si="520"/>
        <v>92.171717171717177</v>
      </c>
      <c r="AA163" s="119">
        <f t="shared" si="520"/>
        <v>92.171717171717177</v>
      </c>
      <c r="AB163" s="119">
        <f t="shared" si="520"/>
        <v>92.171717171717177</v>
      </c>
      <c r="AC163" s="119">
        <f t="shared" si="520"/>
        <v>92.171717171717177</v>
      </c>
      <c r="AD163" s="119">
        <f t="shared" si="520"/>
        <v>92.171717171717205</v>
      </c>
      <c r="AE163" s="119">
        <f t="shared" si="520"/>
        <v>92.171717171717191</v>
      </c>
      <c r="AF163" s="118">
        <f t="shared" si="505"/>
        <v>0</v>
      </c>
      <c r="AG163" s="20"/>
      <c r="AH163" s="20"/>
    </row>
    <row r="164" spans="2:34">
      <c r="B164" s="20" t="s">
        <v>363</v>
      </c>
      <c r="C164" s="20"/>
      <c r="D164" s="20"/>
      <c r="E164" s="20"/>
      <c r="F164" s="20"/>
      <c r="G164" s="133">
        <f t="shared" ref="G164:H164" si="521">G98/G29</f>
        <v>79.999999999999986</v>
      </c>
      <c r="H164" s="133">
        <f t="shared" si="521"/>
        <v>79.999999999999986</v>
      </c>
      <c r="I164" s="133">
        <f t="shared" ref="I164:S164" si="522">I98/I29</f>
        <v>-1.3517665130568357</v>
      </c>
      <c r="J164" s="133">
        <f t="shared" si="522"/>
        <v>0.80178484278045037</v>
      </c>
      <c r="K164" s="133">
        <f t="shared" si="522"/>
        <v>8.4600846008460073E-2</v>
      </c>
      <c r="L164" s="133" t="e">
        <f t="shared" si="522"/>
        <v>#DIV/0!</v>
      </c>
      <c r="M164" s="133" t="e">
        <f t="shared" si="522"/>
        <v>#DIV/0!</v>
      </c>
      <c r="N164" s="133" t="e">
        <f t="shared" si="522"/>
        <v>#DIV/0!</v>
      </c>
      <c r="O164" s="133">
        <f t="shared" si="522"/>
        <v>0.40602541719111612</v>
      </c>
      <c r="P164" s="133">
        <f t="shared" si="522"/>
        <v>0.24985302763080541</v>
      </c>
      <c r="Q164" s="133">
        <f t="shared" si="522"/>
        <v>0.19980019980019978</v>
      </c>
      <c r="R164" s="133">
        <f t="shared" si="522"/>
        <v>5.6119585735421661E-2</v>
      </c>
      <c r="S164" s="133">
        <f t="shared" si="522"/>
        <v>0.13009540329575023</v>
      </c>
      <c r="T164" s="118">
        <f t="shared" si="452"/>
        <v>-0.41440459034553034</v>
      </c>
      <c r="U164" s="128"/>
      <c r="V164" s="133">
        <f t="shared" ref="V164:AE164" si="523">V98/V29</f>
        <v>0.12390038409119067</v>
      </c>
      <c r="W164" s="133">
        <f t="shared" si="523"/>
        <v>0.11800036580113396</v>
      </c>
      <c r="X164" s="133">
        <f t="shared" si="523"/>
        <v>0.11238130076298471</v>
      </c>
      <c r="Y164" s="133">
        <f t="shared" si="523"/>
        <v>0.10702981025046161</v>
      </c>
      <c r="Z164" s="133">
        <f t="shared" si="523"/>
        <v>0.10193315261948725</v>
      </c>
      <c r="AA164" s="133">
        <f t="shared" si="523"/>
        <v>9.7079192970940226E-2</v>
      </c>
      <c r="AB164" s="133">
        <f t="shared" si="523"/>
        <v>9.2456374258038307E-2</v>
      </c>
      <c r="AC164" s="133">
        <f t="shared" si="523"/>
        <v>8.8053689769560267E-2</v>
      </c>
      <c r="AD164" s="133">
        <f t="shared" si="523"/>
        <v>8.3860656923390717E-2</v>
      </c>
      <c r="AE164" s="133">
        <f t="shared" si="523"/>
        <v>7.9867292307991181E-2</v>
      </c>
      <c r="AF164" s="118">
        <f t="shared" si="505"/>
        <v>-3.593120530567695E-2</v>
      </c>
      <c r="AG164" s="20"/>
      <c r="AH164" s="20"/>
    </row>
    <row r="165" spans="2:34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6"/>
      <c r="AG165" s="20"/>
      <c r="AH165" s="20"/>
    </row>
    <row r="166" spans="2:34">
      <c r="B166" s="20" t="s">
        <v>370</v>
      </c>
      <c r="C166" s="20"/>
      <c r="D166" s="20"/>
      <c r="E166" s="20"/>
      <c r="F166" s="20"/>
      <c r="G166" s="178">
        <f t="shared" ref="G166:H166" si="524">G25/G14</f>
        <v>0</v>
      </c>
      <c r="H166" s="178">
        <f t="shared" si="524"/>
        <v>0.8666666666666667</v>
      </c>
      <c r="I166" s="178" t="e">
        <f t="shared" ref="I166:S166" si="525">I25/I14</f>
        <v>#DIV/0!</v>
      </c>
      <c r="J166" s="178" t="e">
        <f t="shared" si="525"/>
        <v>#DIV/0!</v>
      </c>
      <c r="K166" s="178" t="e">
        <f t="shared" si="525"/>
        <v>#DIV/0!</v>
      </c>
      <c r="L166" s="178" t="e">
        <f t="shared" si="525"/>
        <v>#DIV/0!</v>
      </c>
      <c r="M166" s="178" t="e">
        <f t="shared" si="525"/>
        <v>#DIV/0!</v>
      </c>
      <c r="N166" s="178" t="e">
        <f t="shared" si="525"/>
        <v>#DIV/0!</v>
      </c>
      <c r="O166" s="178">
        <f t="shared" si="525"/>
        <v>1.2</v>
      </c>
      <c r="P166" s="178">
        <f t="shared" si="525"/>
        <v>1.5485232067510548</v>
      </c>
      <c r="Q166" s="178">
        <f t="shared" si="525"/>
        <v>5.6944444444444446</v>
      </c>
      <c r="R166" s="178">
        <f t="shared" si="525"/>
        <v>4.3285714285714283</v>
      </c>
      <c r="S166" s="178">
        <f t="shared" si="525"/>
        <v>5.577464788732394</v>
      </c>
      <c r="T166" s="118" t="e">
        <f t="shared" si="452"/>
        <v>#DIV/0!</v>
      </c>
      <c r="U166" s="128"/>
      <c r="V166" s="20">
        <f t="shared" ref="V166:AE166" si="526">V25/V14</f>
        <v>5.5774647887323949</v>
      </c>
      <c r="W166" s="20">
        <f t="shared" si="526"/>
        <v>5.5774647887323949</v>
      </c>
      <c r="X166" s="20">
        <f t="shared" si="526"/>
        <v>5.5774647887323949</v>
      </c>
      <c r="Y166" s="20">
        <f t="shared" si="526"/>
        <v>5.577464788732394</v>
      </c>
      <c r="Z166" s="20">
        <f t="shared" si="526"/>
        <v>5.5774647887323949</v>
      </c>
      <c r="AA166" s="20">
        <f t="shared" si="526"/>
        <v>5.577464788732394</v>
      </c>
      <c r="AB166" s="20">
        <f t="shared" si="526"/>
        <v>5.577464788732394</v>
      </c>
      <c r="AC166" s="20">
        <f t="shared" si="526"/>
        <v>5.5774647887323932</v>
      </c>
      <c r="AD166" s="20">
        <f t="shared" si="526"/>
        <v>5.5774647887323932</v>
      </c>
      <c r="AE166" s="20">
        <f t="shared" si="526"/>
        <v>5.5774647887323932</v>
      </c>
      <c r="AF166" s="118">
        <f t="shared" si="505"/>
        <v>0</v>
      </c>
      <c r="AG166" s="20"/>
      <c r="AH166" s="20"/>
    </row>
    <row r="167" spans="2:34">
      <c r="B167" s="20" t="s">
        <v>371</v>
      </c>
      <c r="C167" s="20"/>
      <c r="D167" s="20"/>
      <c r="E167" s="20"/>
      <c r="F167" s="20"/>
      <c r="G167" s="178">
        <f t="shared" ref="G167:H167" si="527">G27/G14</f>
        <v>1.724137931034483E-3</v>
      </c>
      <c r="H167" s="178">
        <f t="shared" si="527"/>
        <v>0.16666666666666669</v>
      </c>
      <c r="I167" s="178" t="e">
        <f t="shared" ref="I167:S167" si="528">I27/I14</f>
        <v>#DIV/0!</v>
      </c>
      <c r="J167" s="178" t="e">
        <f t="shared" si="528"/>
        <v>#DIV/0!</v>
      </c>
      <c r="K167" s="178" t="e">
        <f t="shared" si="528"/>
        <v>#DIV/0!</v>
      </c>
      <c r="L167" s="178" t="e">
        <f t="shared" si="528"/>
        <v>#DIV/0!</v>
      </c>
      <c r="M167" s="178" t="e">
        <f t="shared" si="528"/>
        <v>#DIV/0!</v>
      </c>
      <c r="N167" s="178" t="e">
        <f t="shared" si="528"/>
        <v>#DIV/0!</v>
      </c>
      <c r="O167" s="178">
        <f t="shared" si="528"/>
        <v>0.83809523809523812</v>
      </c>
      <c r="P167" s="178">
        <f t="shared" si="528"/>
        <v>1.0928270042194093</v>
      </c>
      <c r="Q167" s="178">
        <f t="shared" si="528"/>
        <v>3.375</v>
      </c>
      <c r="R167" s="178">
        <f t="shared" si="528"/>
        <v>3.3285714285714287</v>
      </c>
      <c r="S167" s="178">
        <f t="shared" si="528"/>
        <v>3.619718309859155</v>
      </c>
      <c r="T167" s="118">
        <f t="shared" si="452"/>
        <v>0.89165484615184432</v>
      </c>
      <c r="U167" s="128"/>
      <c r="V167" s="20">
        <f t="shared" ref="V167:AE167" si="529">V27/V14</f>
        <v>3.6197183098591545</v>
      </c>
      <c r="W167" s="20">
        <f t="shared" si="529"/>
        <v>3.619718309859155</v>
      </c>
      <c r="X167" s="20">
        <f t="shared" si="529"/>
        <v>3.619718309859155</v>
      </c>
      <c r="Y167" s="20">
        <f t="shared" si="529"/>
        <v>3.619718309859155</v>
      </c>
      <c r="Z167" s="20">
        <f t="shared" si="529"/>
        <v>3.6197183098591554</v>
      </c>
      <c r="AA167" s="20">
        <f t="shared" si="529"/>
        <v>3.619718309859155</v>
      </c>
      <c r="AB167" s="20">
        <f t="shared" si="529"/>
        <v>3.6197183098591545</v>
      </c>
      <c r="AC167" s="20">
        <f t="shared" si="529"/>
        <v>3.6197183098591545</v>
      </c>
      <c r="AD167" s="20">
        <f t="shared" si="529"/>
        <v>3.6197183098591545</v>
      </c>
      <c r="AE167" s="20">
        <f t="shared" si="529"/>
        <v>3.619718309859155</v>
      </c>
      <c r="AF167" s="118">
        <f t="shared" si="505"/>
        <v>0</v>
      </c>
      <c r="AG167" s="20"/>
      <c r="AH167" s="20"/>
    </row>
    <row r="168" spans="2:34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6"/>
      <c r="AG168" s="20"/>
      <c r="AH168" s="20"/>
    </row>
    <row r="169" spans="2:34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468</v>
      </c>
      <c r="T169" s="23"/>
      <c r="U169" s="23" t="s">
        <v>469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6"/>
      <c r="AG169" s="20"/>
      <c r="AH169" s="20"/>
    </row>
    <row r="170" spans="2:34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3">
        <f>AVERAGE(O102:S102)</f>
        <v>1.6822202948829141</v>
      </c>
      <c r="T170" s="158">
        <f>AVERAGE(I72:S72)</f>
        <v>3.8061869134878674</v>
      </c>
      <c r="U170" s="158">
        <f>AVERAGE(I102:S102)</f>
        <v>1.6871402664984623</v>
      </c>
      <c r="V170" s="192" t="s">
        <v>425</v>
      </c>
      <c r="W170" s="193" t="s">
        <v>426</v>
      </c>
      <c r="X170" s="20"/>
      <c r="Y170" s="20"/>
      <c r="Z170" s="20"/>
      <c r="AA170" s="20"/>
      <c r="AB170" s="20"/>
      <c r="AC170" s="20"/>
      <c r="AD170" s="20"/>
      <c r="AE170" s="20"/>
      <c r="AF170" s="136"/>
      <c r="AG170" s="20"/>
      <c r="AH170" s="20"/>
    </row>
    <row r="171" spans="2:34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9">
        <f>V171+W171</f>
        <v>5.0345788859116656</v>
      </c>
      <c r="V171" s="133">
        <f>PV($C$1, ($AE$3-$V$3), 0, -AE72)</f>
        <v>0.70153968082375651</v>
      </c>
      <c r="W171" s="133">
        <f>PV($C$1, ($AE$3-$V$3), 0, -AH72)</f>
        <v>4.3330392050879087</v>
      </c>
      <c r="X171" s="20"/>
      <c r="Y171" s="20"/>
      <c r="Z171" s="20"/>
      <c r="AA171" s="20"/>
      <c r="AB171" s="20"/>
      <c r="AC171" s="20"/>
      <c r="AD171" s="20"/>
      <c r="AE171" s="20"/>
      <c r="AF171" s="136"/>
      <c r="AG171" s="20"/>
      <c r="AH171" s="20"/>
    </row>
    <row r="172" spans="2:34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9">
        <f t="shared" ref="U172:U190" si="530">V172+W172</f>
        <v>103.53159657695268</v>
      </c>
      <c r="V172" s="133">
        <f>PV($C$1, ($AE$3-$V$3), 0, -AE74)</f>
        <v>14.426533949247505</v>
      </c>
      <c r="W172" s="133">
        <f>PV($C$1, ($AE$3-$V$3), 0, -AH74)</f>
        <v>89.10506262770518</v>
      </c>
      <c r="X172" s="20"/>
      <c r="Y172" s="20"/>
      <c r="Z172" s="20"/>
      <c r="AA172" s="20"/>
      <c r="AB172" s="20"/>
      <c r="AC172" s="20"/>
      <c r="AD172" s="20"/>
      <c r="AE172" s="20"/>
      <c r="AF172" s="136"/>
      <c r="AG172" s="20"/>
      <c r="AH172" s="20"/>
    </row>
    <row r="173" spans="2:34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9">
        <f t="shared" si="530"/>
        <v>100.6915777182333</v>
      </c>
      <c r="V173" s="133">
        <f>PV($C$1, ($AE$3-$V$3), 0, -AE75)</f>
        <v>14.03079361647513</v>
      </c>
      <c r="W173" s="133">
        <f>PV($C$1, ($AE$3-$V$3), 0, -AH75)</f>
        <v>86.660784101758168</v>
      </c>
      <c r="X173" s="20"/>
      <c r="Y173" s="20"/>
      <c r="Z173" s="20"/>
      <c r="AA173" s="20"/>
      <c r="AB173" s="20"/>
      <c r="AC173" s="20"/>
      <c r="AD173" s="20"/>
      <c r="AE173" s="20"/>
      <c r="AF173" s="136"/>
      <c r="AG173" s="20"/>
      <c r="AH173" s="20"/>
    </row>
    <row r="174" spans="2:34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9">
        <f t="shared" si="530"/>
        <v>26.205628560001742</v>
      </c>
      <c r="V174" s="133">
        <f>PV($C$1, ($AE$3-$V$3), 0, -AE76)</f>
        <v>3.6516039796723736</v>
      </c>
      <c r="W174" s="133">
        <f>PV($C$1, ($AE$3-$V$3), 0, -AH76)</f>
        <v>22.554024580329369</v>
      </c>
      <c r="X174" s="20"/>
      <c r="Y174" s="20"/>
      <c r="Z174" s="20"/>
      <c r="AA174" s="20"/>
      <c r="AB174" s="20"/>
      <c r="AC174" s="20"/>
      <c r="AD174" s="20"/>
      <c r="AE174" s="20"/>
      <c r="AF174" s="136"/>
      <c r="AG174" s="20"/>
      <c r="AH174" s="20"/>
    </row>
    <row r="175" spans="2:34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9">
        <f t="shared" si="530"/>
        <v>2.9691106250248294</v>
      </c>
      <c r="V175" s="133">
        <f>PV($C$1, ($AE$3-$V$3), 0, -AE82)</f>
        <v>0.41372852971657448</v>
      </c>
      <c r="W175" s="133">
        <f>PV($C$1, ($AE$3-$V$3), 0, -AH82)</f>
        <v>2.5553820953082549</v>
      </c>
      <c r="X175" s="20"/>
      <c r="Y175" s="20"/>
      <c r="Z175" s="20"/>
      <c r="AA175" s="20"/>
      <c r="AB175" s="20"/>
      <c r="AC175" s="20"/>
      <c r="AD175" s="20"/>
      <c r="AE175" s="20"/>
      <c r="AF175" s="136"/>
      <c r="AG175" s="20"/>
      <c r="AH175" s="20"/>
    </row>
    <row r="176" spans="2:34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9"/>
      <c r="V176" s="133"/>
      <c r="W176" s="20"/>
      <c r="X176" s="20"/>
      <c r="Y176" s="20"/>
      <c r="Z176" s="20"/>
      <c r="AA176" s="20"/>
      <c r="AB176" s="20"/>
      <c r="AC176" s="20"/>
      <c r="AD176" s="20"/>
      <c r="AE176" s="20"/>
      <c r="AF176" s="136"/>
      <c r="AG176" s="20"/>
      <c r="AH176" s="20"/>
    </row>
    <row r="177" spans="2:34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9">
        <f t="shared" si="530"/>
        <v>77.325968016950938</v>
      </c>
      <c r="V177" s="133">
        <f>PV($C$1, ($AE$3-$V$3), 0, -AE78)</f>
        <v>10.77492996957513</v>
      </c>
      <c r="W177" s="133">
        <f>PV($C$1, ($AE$3-$V$3), 0, -$AH$78)</f>
        <v>66.551038047375812</v>
      </c>
      <c r="X177" s="20"/>
      <c r="Y177" s="20"/>
      <c r="Z177" s="20"/>
      <c r="AA177" s="20"/>
      <c r="AB177" s="20"/>
      <c r="AC177" s="20"/>
      <c r="AD177" s="20"/>
      <c r="AE177" s="20"/>
      <c r="AF177" s="136"/>
      <c r="AG177" s="20"/>
      <c r="AH177" s="20"/>
    </row>
    <row r="178" spans="2:34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9">
        <f t="shared" si="530"/>
        <v>61.189497228772524</v>
      </c>
      <c r="V178" s="133">
        <f>PV($C$1, ($AE$3-$V$3), 0, -AE79)</f>
        <v>8.5264053515502685</v>
      </c>
      <c r="W178" s="133">
        <f>PV($C$1, ($AE$3-$V$3), 0, -$AH$79)</f>
        <v>52.663091877222257</v>
      </c>
      <c r="X178" s="20"/>
      <c r="Y178" s="20"/>
      <c r="Z178" s="20"/>
      <c r="AA178" s="20"/>
      <c r="AB178" s="20"/>
      <c r="AC178" s="20"/>
      <c r="AD178" s="20"/>
      <c r="AE178" s="20"/>
      <c r="AF178" s="136"/>
      <c r="AG178" s="20"/>
      <c r="AH178" s="20"/>
    </row>
    <row r="179" spans="2:34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9">
        <f t="shared" si="530"/>
        <v>75.131407989758671</v>
      </c>
      <c r="V179" s="133">
        <f>PV($C$1, ($AE$3-$V$3), 0, -AE80)</f>
        <v>10.469130621523748</v>
      </c>
      <c r="W179" s="133">
        <f>PV($C$1, ($AE$3-$V$3), 0, -$AH$80)</f>
        <v>64.662277368234925</v>
      </c>
      <c r="X179" s="20"/>
      <c r="Y179" s="20"/>
      <c r="Z179" s="20"/>
      <c r="AA179" s="20"/>
      <c r="AB179" s="20"/>
      <c r="AC179" s="20"/>
      <c r="AD179" s="20"/>
      <c r="AE179" s="20"/>
      <c r="AF179" s="136"/>
      <c r="AG179" s="20"/>
      <c r="AH179" s="20"/>
    </row>
    <row r="180" spans="2:34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9"/>
      <c r="V180" s="133"/>
      <c r="W180" s="20"/>
      <c r="X180" s="20"/>
      <c r="Y180" s="20"/>
      <c r="Z180" s="20"/>
      <c r="AA180" s="20"/>
      <c r="AB180" s="20"/>
      <c r="AC180" s="20"/>
      <c r="AD180" s="20"/>
      <c r="AE180" s="20"/>
      <c r="AF180" s="136"/>
      <c r="AG180" s="20"/>
      <c r="AH180" s="20"/>
    </row>
    <row r="181" spans="2:34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9">
        <f t="shared" si="530"/>
        <v>13.941910760986152</v>
      </c>
      <c r="V181" s="133">
        <f>PV($C$1, ($AE$3-$V$3), 0, -AE85)</f>
        <v>1.9427252699734801</v>
      </c>
      <c r="W181" s="133">
        <f>PV($C$1, ($AE$3-$V$3), 0, -AH85)</f>
        <v>11.999185491012673</v>
      </c>
      <c r="X181" s="20"/>
      <c r="Y181" s="20"/>
      <c r="Z181" s="20"/>
      <c r="AA181" s="20"/>
      <c r="AB181" s="20"/>
      <c r="AC181" s="20"/>
      <c r="AD181" s="20"/>
      <c r="AE181" s="20"/>
      <c r="AF181" s="136"/>
      <c r="AG181" s="20"/>
      <c r="AH181" s="20"/>
    </row>
    <row r="182" spans="2:34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9">
        <f t="shared" si="530"/>
        <v>9.9752728508739263</v>
      </c>
      <c r="V182" s="133">
        <f>PV($C$1, ($AE$3-$V$3), 0, -AE86)</f>
        <v>1.7988196944198884</v>
      </c>
      <c r="W182" s="133">
        <f>PV($C$1, ($AE$3-$V$3), 0, -AH86)</f>
        <v>8.1764531564540377</v>
      </c>
      <c r="X182" s="20"/>
      <c r="Y182" s="20"/>
      <c r="Z182" s="20"/>
      <c r="AA182" s="20"/>
      <c r="AB182" s="20"/>
      <c r="AC182" s="20"/>
      <c r="AD182" s="20"/>
      <c r="AE182" s="20"/>
      <c r="AF182" s="136"/>
      <c r="AG182" s="20"/>
      <c r="AH182" s="20"/>
    </row>
    <row r="183" spans="2:34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9"/>
      <c r="V183" s="133"/>
      <c r="W183" s="133"/>
      <c r="X183" s="20"/>
      <c r="Y183" s="20"/>
      <c r="Z183" s="20"/>
      <c r="AA183" s="20"/>
      <c r="AB183" s="20"/>
      <c r="AC183" s="20"/>
      <c r="AD183" s="20"/>
      <c r="AE183" s="20"/>
      <c r="AF183" s="136"/>
      <c r="AG183" s="20"/>
      <c r="AH183" s="20"/>
    </row>
    <row r="184" spans="2:34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9">
        <f t="shared" ref="U184" si="531">V184+W184</f>
        <v>111.52665399905207</v>
      </c>
      <c r="V184" s="133">
        <f>PV($C$1, ($AE$3-$V$3), 0, -AE12)</f>
        <v>15.540599327736762</v>
      </c>
      <c r="W184" s="133">
        <f>PV($C$1, ($AE$3-$V$3), 0, -AH12)</f>
        <v>95.986054671315316</v>
      </c>
      <c r="X184" s="20"/>
      <c r="Y184" s="20"/>
      <c r="Z184" s="20"/>
      <c r="AA184" s="20"/>
      <c r="AB184" s="20"/>
      <c r="AC184" s="20"/>
      <c r="AD184" s="20"/>
      <c r="AE184" s="20"/>
      <c r="AF184" s="136"/>
      <c r="AG184" s="20"/>
      <c r="AH184" s="20"/>
    </row>
    <row r="185" spans="2:34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9">
        <f>V185+W185</f>
        <v>4.8363683434107578</v>
      </c>
      <c r="V185" s="139">
        <f>V184/R57</f>
        <v>0.67392017899985968</v>
      </c>
      <c r="W185" s="139">
        <f>W184/R57</f>
        <v>4.1624481644108986</v>
      </c>
      <c r="X185" s="20"/>
      <c r="Y185" s="20"/>
      <c r="Z185" s="20"/>
      <c r="AA185" s="20"/>
      <c r="AB185" s="20"/>
      <c r="AC185" s="20"/>
      <c r="AD185" s="20"/>
      <c r="AE185" s="20"/>
      <c r="AF185" s="136"/>
      <c r="AG185" s="20"/>
      <c r="AH185" s="20"/>
    </row>
    <row r="186" spans="2:34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9"/>
      <c r="V186" s="139"/>
      <c r="W186" s="139"/>
      <c r="X186" s="20"/>
      <c r="Y186" s="20"/>
      <c r="Z186" s="20"/>
      <c r="AA186" s="20"/>
      <c r="AB186" s="20"/>
      <c r="AC186" s="20"/>
      <c r="AD186" s="20"/>
      <c r="AE186" s="20"/>
      <c r="AF186" s="136"/>
      <c r="AG186" s="20"/>
      <c r="AH186" s="20"/>
    </row>
    <row r="187" spans="2:34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9"/>
      <c r="V187" s="133"/>
      <c r="W187" s="133"/>
      <c r="X187" s="20"/>
      <c r="Y187" s="20"/>
      <c r="Z187" s="20"/>
      <c r="AA187" s="20"/>
      <c r="AB187" s="20"/>
      <c r="AC187" s="20"/>
      <c r="AD187" s="20"/>
      <c r="AE187" s="20"/>
      <c r="AF187" s="136"/>
      <c r="AG187" s="20"/>
      <c r="AH187" s="20"/>
    </row>
    <row r="188" spans="2:34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9">
        <f t="shared" ref="U188" si="532">V188+W188</f>
        <v>1.8953369873006194</v>
      </c>
      <c r="V188" s="133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1.5592707465455018</v>
      </c>
      <c r="W188" s="133">
        <f>PV($C$1, ($AE$3-$V$3), 0, -AH88)</f>
        <v>0.33606624075511765</v>
      </c>
      <c r="X188" s="20"/>
      <c r="Y188" s="20"/>
      <c r="Z188" s="20"/>
      <c r="AA188" s="20"/>
      <c r="AB188" s="20"/>
      <c r="AC188" s="20"/>
      <c r="AD188" s="20"/>
      <c r="AE188" s="20"/>
      <c r="AF188" s="136"/>
      <c r="AG188" s="20"/>
      <c r="AH188" s="20"/>
    </row>
    <row r="189" spans="2:34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9"/>
      <c r="V189" s="133"/>
      <c r="W189" s="133"/>
      <c r="X189" s="20"/>
      <c r="Y189" s="20"/>
      <c r="Z189" s="20"/>
      <c r="AA189" s="20"/>
      <c r="AB189" s="20"/>
      <c r="AC189" s="20"/>
      <c r="AD189" s="20"/>
      <c r="AE189" s="20"/>
      <c r="AF189" s="136"/>
      <c r="AG189" s="20"/>
      <c r="AH189" s="20"/>
    </row>
    <row r="190" spans="2:34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9">
        <f t="shared" si="530"/>
        <v>0</v>
      </c>
      <c r="V190" s="133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0</v>
      </c>
      <c r="W190" s="133">
        <f>PV($C$1, ($AE$3-$V$3), 0, -AH90)</f>
        <v>0</v>
      </c>
      <c r="X190" s="20"/>
      <c r="Y190" s="20"/>
      <c r="Z190" s="20"/>
      <c r="AA190" s="20"/>
      <c r="AB190" s="20"/>
      <c r="AC190" s="20"/>
      <c r="AD190" s="20"/>
      <c r="AE190" s="20"/>
      <c r="AF190" s="136"/>
      <c r="AG190" s="20"/>
      <c r="AH190" s="20"/>
    </row>
    <row r="191" spans="2:34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9"/>
      <c r="V191" s="133"/>
      <c r="W191" s="133"/>
      <c r="X191" s="20"/>
      <c r="Y191" s="20"/>
      <c r="Z191" s="20"/>
      <c r="AA191" s="20"/>
      <c r="AB191" s="20"/>
      <c r="AC191" s="20"/>
      <c r="AD191" s="20"/>
      <c r="AE191" s="20"/>
      <c r="AF191" s="136"/>
      <c r="AG191" s="20"/>
      <c r="AH191" s="20"/>
    </row>
    <row r="192" spans="2:34">
      <c r="B192" s="20" t="s">
        <v>456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9">
        <f t="shared" ref="U192:U195" si="533">V192+W192</f>
        <v>0</v>
      </c>
      <c r="V192" s="133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0</v>
      </c>
      <c r="W192" s="133">
        <f>PV($C$1, ($AE$3-$V$3), 0, -AH92)</f>
        <v>0</v>
      </c>
      <c r="X192" s="20"/>
      <c r="Y192" s="20"/>
      <c r="Z192" s="20"/>
      <c r="AA192" s="20"/>
      <c r="AB192" s="20"/>
      <c r="AC192" s="20"/>
      <c r="AD192" s="20"/>
      <c r="AE192" s="20"/>
      <c r="AF192" s="136"/>
      <c r="AG192" s="20"/>
      <c r="AH192" s="20"/>
    </row>
    <row r="193" spans="2:34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9">
        <f t="shared" si="533"/>
        <v>0</v>
      </c>
      <c r="V193" s="133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0</v>
      </c>
      <c r="W193" s="133">
        <f>PV($C$1, ($AE$3-$V$3), 0, -AH93)</f>
        <v>0</v>
      </c>
      <c r="X193" s="20"/>
      <c r="Y193" s="20"/>
      <c r="Z193" s="20"/>
      <c r="AA193" s="20"/>
      <c r="AB193" s="20"/>
      <c r="AC193" s="20"/>
      <c r="AD193" s="20"/>
      <c r="AE193" s="20"/>
      <c r="AF193" s="136"/>
      <c r="AG193" s="20"/>
      <c r="AH193" s="20"/>
    </row>
    <row r="194" spans="2:34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9">
        <f t="shared" si="533"/>
        <v>0</v>
      </c>
      <c r="V194" s="133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0</v>
      </c>
      <c r="W194" s="133">
        <f>PV($C$1, ($AE$3-$V$3), 0, -AH94)</f>
        <v>0</v>
      </c>
      <c r="X194" s="20"/>
      <c r="Y194" s="20"/>
      <c r="Z194" s="20"/>
      <c r="AA194" s="20"/>
      <c r="AB194" s="20"/>
      <c r="AC194" s="20"/>
      <c r="AD194" s="20"/>
      <c r="AE194" s="20"/>
      <c r="AF194" s="136"/>
      <c r="AG194" s="20"/>
      <c r="AH194" s="20"/>
    </row>
    <row r="195" spans="2:34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9">
        <f t="shared" si="533"/>
        <v>0</v>
      </c>
      <c r="V195" s="133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0</v>
      </c>
      <c r="W195" s="133">
        <f>PV($C$1, ($AE$3-$V$3), 0, -AH95)</f>
        <v>0</v>
      </c>
      <c r="X195" s="20"/>
      <c r="Y195" s="20"/>
      <c r="Z195" s="20"/>
      <c r="AA195" s="20"/>
      <c r="AB195" s="20"/>
      <c r="AC195" s="20"/>
      <c r="AD195" s="20"/>
      <c r="AE195" s="20"/>
      <c r="AF195" s="136"/>
      <c r="AG195" s="20"/>
      <c r="AH195" s="20"/>
    </row>
    <row r="196" spans="2:34">
      <c r="B196" s="20" t="s">
        <v>454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>
        <f>U193+U194+U195</f>
        <v>0</v>
      </c>
      <c r="V196" s="110">
        <f t="shared" ref="V196:W196" si="534">V193+V194+V195</f>
        <v>0</v>
      </c>
      <c r="W196" s="110">
        <f t="shared" si="534"/>
        <v>0</v>
      </c>
      <c r="X196" s="20"/>
      <c r="Y196" s="20"/>
      <c r="Z196" s="20"/>
      <c r="AA196" s="20"/>
      <c r="AB196" s="20"/>
      <c r="AC196" s="20"/>
      <c r="AD196" s="20"/>
      <c r="AE196" s="20"/>
      <c r="AF196" s="136"/>
      <c r="AG196" s="20"/>
      <c r="AH196" s="20"/>
    </row>
    <row r="197" spans="2:34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9"/>
      <c r="V197" s="133"/>
      <c r="W197" s="133"/>
      <c r="X197" s="20"/>
      <c r="Y197" s="20"/>
      <c r="Z197" s="20"/>
      <c r="AA197" s="20"/>
      <c r="AB197" s="20"/>
      <c r="AC197" s="20"/>
      <c r="AD197" s="20"/>
      <c r="AE197" s="20"/>
      <c r="AF197" s="136"/>
      <c r="AG197" s="20"/>
      <c r="AH197" s="20"/>
    </row>
    <row r="198" spans="2:34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9">
        <f>V198+W198</f>
        <v>0</v>
      </c>
      <c r="V198" s="133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0</v>
      </c>
      <c r="W198" s="133">
        <f>PV($C$1, ($AE$3-$V$3), 0, -AH96)</f>
        <v>0</v>
      </c>
      <c r="X198" s="20"/>
      <c r="Y198" s="20"/>
      <c r="Z198" s="20"/>
      <c r="AA198" s="20"/>
      <c r="AB198" s="20"/>
      <c r="AC198" s="20"/>
      <c r="AD198" s="20"/>
      <c r="AE198" s="20"/>
      <c r="AF198" s="136"/>
      <c r="AG198" s="20"/>
      <c r="AH198" s="20"/>
    </row>
    <row r="199" spans="2:34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81">
        <v>41729</v>
      </c>
      <c r="R199" s="20">
        <v>53</v>
      </c>
      <c r="S199" s="20"/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6"/>
      <c r="AG199" s="20"/>
      <c r="AH199" s="20"/>
    </row>
    <row r="200" spans="2:34">
      <c r="B200" s="108" t="s">
        <v>251</v>
      </c>
      <c r="C200" s="20"/>
      <c r="D200" s="20"/>
      <c r="E200" s="20"/>
      <c r="F200" s="199" t="s">
        <v>467</v>
      </c>
      <c r="G200" s="194">
        <v>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194">
        <v>0</v>
      </c>
      <c r="Q200" s="23" t="s">
        <v>386</v>
      </c>
      <c r="R200" s="20">
        <v>117</v>
      </c>
      <c r="S200" s="20"/>
      <c r="T200" s="20" t="s">
        <v>492</v>
      </c>
      <c r="U200" s="23" t="s">
        <v>387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6"/>
      <c r="AG200" s="20"/>
      <c r="AH200" s="20"/>
    </row>
    <row r="201" spans="2:34">
      <c r="B201" s="20" t="s">
        <v>204</v>
      </c>
      <c r="C201" s="22">
        <v>0</v>
      </c>
      <c r="D201" s="22">
        <v>0</v>
      </c>
      <c r="E201" s="22">
        <v>0</v>
      </c>
      <c r="F201" s="22">
        <v>0</v>
      </c>
      <c r="G201" s="22">
        <v>2</v>
      </c>
      <c r="H201" s="22">
        <v>10</v>
      </c>
      <c r="I201" s="22">
        <v>65</v>
      </c>
      <c r="J201" s="22">
        <v>31</v>
      </c>
      <c r="K201" s="22">
        <v>50</v>
      </c>
      <c r="L201" s="22">
        <v>35</v>
      </c>
      <c r="M201" s="22">
        <v>40</v>
      </c>
      <c r="N201" s="22">
        <v>71</v>
      </c>
      <c r="O201" s="22">
        <v>67</v>
      </c>
      <c r="P201" s="22">
        <v>45</v>
      </c>
      <c r="Q201" s="22">
        <v>95</v>
      </c>
      <c r="R201" s="22">
        <v>80</v>
      </c>
      <c r="S201" s="22">
        <v>50</v>
      </c>
      <c r="T201" s="118">
        <f t="shared" ref="T201:T227" si="535">((S201/G201)^(1/($J$2-$J$1) ))-1</f>
        <v>0.3076604860118306</v>
      </c>
      <c r="U201" s="31">
        <v>0</v>
      </c>
      <c r="V201" s="195">
        <v>50</v>
      </c>
      <c r="W201" s="119">
        <f t="shared" ref="W201:AE201" si="536">V201*(1+$U201)</f>
        <v>50</v>
      </c>
      <c r="X201" s="119">
        <f t="shared" si="536"/>
        <v>50</v>
      </c>
      <c r="Y201" s="119">
        <f t="shared" si="536"/>
        <v>50</v>
      </c>
      <c r="Z201" s="119">
        <f t="shared" si="536"/>
        <v>50</v>
      </c>
      <c r="AA201" s="119">
        <f t="shared" si="536"/>
        <v>50</v>
      </c>
      <c r="AB201" s="119">
        <f t="shared" si="536"/>
        <v>50</v>
      </c>
      <c r="AC201" s="119">
        <f t="shared" si="536"/>
        <v>50</v>
      </c>
      <c r="AD201" s="119">
        <f t="shared" si="536"/>
        <v>50</v>
      </c>
      <c r="AE201" s="119">
        <f t="shared" si="536"/>
        <v>50</v>
      </c>
      <c r="AF201" s="137">
        <f t="shared" ref="AF201:AF208" si="537">((AE201/I201)^(1/($AE$3-$J$1) ))-1</f>
        <v>-1.2415816180791683E-2</v>
      </c>
      <c r="AG201" s="31">
        <f t="shared" ref="AG201:AG208" si="538">$N$1</f>
        <v>0.05</v>
      </c>
      <c r="AH201" s="127">
        <f t="shared" ref="AH201:AH212" si="539">(AE201*(1+AF201))/($C$1-AG201)</f>
        <v>290.46593641741424</v>
      </c>
    </row>
    <row r="202" spans="2:34">
      <c r="B202" s="20" t="s">
        <v>357</v>
      </c>
      <c r="C202" s="25"/>
      <c r="D202" s="25"/>
      <c r="E202" s="25"/>
      <c r="F202" s="25"/>
      <c r="G202" s="25" t="e">
        <f t="shared" ref="G202:H202" si="540">G201/G66</f>
        <v>#DIV/0!</v>
      </c>
      <c r="H202" s="25">
        <f t="shared" si="540"/>
        <v>15.384615384615383</v>
      </c>
      <c r="I202" s="25">
        <f t="shared" ref="I202:S202" si="541">I201/I66</f>
        <v>1.2638888888888891</v>
      </c>
      <c r="J202" s="25">
        <f t="shared" si="541"/>
        <v>0.79390243902439028</v>
      </c>
      <c r="K202" s="25">
        <f t="shared" si="541"/>
        <v>6.2731481481481488</v>
      </c>
      <c r="L202" s="25">
        <f t="shared" si="541"/>
        <v>4.2725225225225225</v>
      </c>
      <c r="M202" s="25">
        <f t="shared" si="541"/>
        <v>4.6416666666666666</v>
      </c>
      <c r="N202" s="25">
        <f t="shared" si="541"/>
        <v>3.770473684210526</v>
      </c>
      <c r="O202" s="25">
        <f t="shared" si="541"/>
        <v>3.9685978835978837</v>
      </c>
      <c r="P202" s="25">
        <f t="shared" si="541"/>
        <v>2.7809264305177108</v>
      </c>
      <c r="Q202" s="25">
        <f t="shared" si="541"/>
        <v>5.2713414634146343</v>
      </c>
      <c r="R202" s="25">
        <f t="shared" si="541"/>
        <v>6.0884488448844882</v>
      </c>
      <c r="S202" s="25">
        <f t="shared" si="541"/>
        <v>2.9116161616161613</v>
      </c>
      <c r="T202" s="118" t="e">
        <f t="shared" si="535"/>
        <v>#DIV/0!</v>
      </c>
      <c r="U202" s="128"/>
      <c r="V202" s="25">
        <f t="shared" ref="V202:AE202" si="542">V201/V66</f>
        <v>2.6584321475625825</v>
      </c>
      <c r="W202" s="25">
        <f t="shared" si="542"/>
        <v>2.427264134731054</v>
      </c>
      <c r="X202" s="25">
        <f t="shared" si="542"/>
        <v>2.2161976882327021</v>
      </c>
      <c r="Y202" s="25">
        <f t="shared" si="542"/>
        <v>2.0234848457776846</v>
      </c>
      <c r="Z202" s="25">
        <f t="shared" si="542"/>
        <v>1.8475296417970168</v>
      </c>
      <c r="AA202" s="25">
        <f t="shared" si="542"/>
        <v>1.6868748903364073</v>
      </c>
      <c r="AB202" s="25">
        <f t="shared" si="542"/>
        <v>1.5401901172636765</v>
      </c>
      <c r="AC202" s="25">
        <f t="shared" si="542"/>
        <v>1.4062605418494438</v>
      </c>
      <c r="AD202" s="25">
        <f t="shared" si="542"/>
        <v>1.2839770164712319</v>
      </c>
      <c r="AE202" s="25">
        <f t="shared" si="542"/>
        <v>1.1723268411259071</v>
      </c>
      <c r="AF202" s="137">
        <f t="shared" ref="AF202" si="543">((AE202/I202)^(1/($AE$3-$J$1) ))-1</f>
        <v>-3.5746841467868551E-3</v>
      </c>
      <c r="AG202" s="31">
        <f t="shared" si="538"/>
        <v>0.05</v>
      </c>
      <c r="AH202" s="127">
        <f t="shared" ref="AH202" si="544">(AE202*(1+AF202))/($C$1-AG202)</f>
        <v>6.8713890761887155</v>
      </c>
    </row>
    <row r="203" spans="2:34">
      <c r="B203" s="20" t="s">
        <v>385</v>
      </c>
      <c r="C203" s="25"/>
      <c r="D203" s="25"/>
      <c r="E203" s="25"/>
      <c r="F203" s="25"/>
      <c r="G203" s="25">
        <f t="shared" ref="G203:H203" si="545">G201/G72</f>
        <v>2.8571428571428568</v>
      </c>
      <c r="H203" s="25">
        <f t="shared" si="545"/>
        <v>44.44444444444445</v>
      </c>
      <c r="I203" s="25">
        <f t="shared" ref="I203:S203" si="546">I201/I72</f>
        <v>22.75</v>
      </c>
      <c r="J203" s="25">
        <f t="shared" si="546"/>
        <v>1.6274999999999999</v>
      </c>
      <c r="K203" s="25">
        <f t="shared" si="546"/>
        <v>29.456521739130437</v>
      </c>
      <c r="L203" s="25">
        <f t="shared" si="546"/>
        <v>47.424999999999997</v>
      </c>
      <c r="M203" s="25">
        <f t="shared" si="546"/>
        <v>51.415384615384617</v>
      </c>
      <c r="N203" s="25">
        <f t="shared" si="546"/>
        <v>8.6835151515151505</v>
      </c>
      <c r="O203" s="25">
        <f t="shared" si="546"/>
        <v>22.39</v>
      </c>
      <c r="P203" s="25">
        <f t="shared" si="546"/>
        <v>20.027472527472526</v>
      </c>
      <c r="Q203" s="25">
        <f t="shared" si="546"/>
        <v>33.25</v>
      </c>
      <c r="R203" s="25">
        <f t="shared" si="546"/>
        <v>-65.885714285714272</v>
      </c>
      <c r="S203" s="25">
        <f t="shared" si="546"/>
        <v>29.564102564102566</v>
      </c>
      <c r="T203" s="118">
        <f t="shared" si="535"/>
        <v>0.21498074525079436</v>
      </c>
      <c r="U203" s="128"/>
      <c r="V203" s="119">
        <f t="shared" ref="V203:AE203" si="547">V201/V72</f>
        <v>26.993311036789301</v>
      </c>
      <c r="W203" s="119">
        <f t="shared" si="547"/>
        <v>24.646066598807629</v>
      </c>
      <c r="X203" s="119">
        <f t="shared" si="547"/>
        <v>22.502930372824359</v>
      </c>
      <c r="Y203" s="119">
        <f t="shared" si="547"/>
        <v>20.546153818665722</v>
      </c>
      <c r="Z203" s="119">
        <f t="shared" si="547"/>
        <v>18.7595317474774</v>
      </c>
      <c r="AA203" s="119">
        <f t="shared" si="547"/>
        <v>17.128268117261978</v>
      </c>
      <c r="AB203" s="119">
        <f t="shared" si="547"/>
        <v>15.638853498369633</v>
      </c>
      <c r="AC203" s="119">
        <f t="shared" si="547"/>
        <v>14.278953194163581</v>
      </c>
      <c r="AD203" s="119">
        <f t="shared" si="547"/>
        <v>13.037305090323272</v>
      </c>
      <c r="AE203" s="119">
        <f t="shared" si="547"/>
        <v>11.903626386816903</v>
      </c>
      <c r="AF203" s="137">
        <f t="shared" si="537"/>
        <v>-3.0373087053655268E-2</v>
      </c>
      <c r="AG203" s="31">
        <f t="shared" si="538"/>
        <v>0.05</v>
      </c>
      <c r="AH203" s="127">
        <f t="shared" si="539"/>
        <v>67.894567684211339</v>
      </c>
    </row>
    <row r="204" spans="2:34">
      <c r="B204" s="20" t="s">
        <v>459</v>
      </c>
      <c r="C204" s="25"/>
      <c r="D204" s="25"/>
      <c r="E204" s="25"/>
      <c r="F204" s="25"/>
      <c r="G204" s="25">
        <f t="shared" ref="G204:H204" si="548">G201/G70</f>
        <v>2.5</v>
      </c>
      <c r="H204" s="25">
        <f t="shared" si="548"/>
        <v>12.500000000000002</v>
      </c>
      <c r="I204" s="25">
        <f t="shared" ref="I204:S204" si="549">I201/I70</f>
        <v>-6.2045454545454541</v>
      </c>
      <c r="J204" s="25">
        <f t="shared" si="549"/>
        <v>1.4152173913043478</v>
      </c>
      <c r="K204" s="25">
        <f t="shared" si="549"/>
        <v>14.414893617021278</v>
      </c>
      <c r="L204" s="25">
        <f t="shared" si="549"/>
        <v>11.029069767441861</v>
      </c>
      <c r="M204" s="25">
        <f t="shared" si="549"/>
        <v>13.925000000000001</v>
      </c>
      <c r="N204" s="25">
        <f t="shared" si="549"/>
        <v>7.6619251336898397</v>
      </c>
      <c r="O204" s="25">
        <f t="shared" si="549"/>
        <v>15.001300000000002</v>
      </c>
      <c r="P204" s="25">
        <f t="shared" si="549"/>
        <v>12.007058823529412</v>
      </c>
      <c r="Q204" s="25">
        <f t="shared" si="549"/>
        <v>14.408333333333333</v>
      </c>
      <c r="R204" s="25">
        <f t="shared" si="549"/>
        <v>27.951515151515149</v>
      </c>
      <c r="S204" s="25">
        <f t="shared" si="549"/>
        <v>9.3739837398373975</v>
      </c>
      <c r="T204" s="118">
        <f t="shared" si="535"/>
        <v>0.11643133042515696</v>
      </c>
      <c r="U204" s="128"/>
      <c r="V204" s="25">
        <f t="shared" ref="V204:AE204" si="550">V201/V70</f>
        <v>8.5588547189819728</v>
      </c>
      <c r="W204" s="25">
        <f t="shared" si="550"/>
        <v>7.8146064825487596</v>
      </c>
      <c r="X204" s="25">
        <f t="shared" si="550"/>
        <v>7.1350754840662605</v>
      </c>
      <c r="Y204" s="25">
        <f t="shared" si="550"/>
        <v>6.5146341376257171</v>
      </c>
      <c r="Z204" s="25">
        <f t="shared" si="550"/>
        <v>5.9481442126147854</v>
      </c>
      <c r="AA204" s="25">
        <f t="shared" si="550"/>
        <v>5.4309142810830657</v>
      </c>
      <c r="AB204" s="25">
        <f t="shared" si="550"/>
        <v>4.9586608653367135</v>
      </c>
      <c r="AC204" s="25">
        <f t="shared" si="550"/>
        <v>4.5274729640030875</v>
      </c>
      <c r="AD204" s="25">
        <f t="shared" si="550"/>
        <v>4.133779662785428</v>
      </c>
      <c r="AE204" s="25">
        <f t="shared" si="550"/>
        <v>3.7743205616736519</v>
      </c>
      <c r="AF204" s="137">
        <f t="shared" ref="AF204:AF205" si="551">((AE204/I204)^(1/($AE$3-$J$1) ))-1</f>
        <v>-1.9766083195521964</v>
      </c>
      <c r="AG204" s="31">
        <f t="shared" si="538"/>
        <v>0.05</v>
      </c>
      <c r="AH204" s="127">
        <f t="shared" ref="AH204:AH205" si="552">(AE204*(1+AF204))/($C$1-AG204)</f>
        <v>-21.682546242278868</v>
      </c>
    </row>
    <row r="205" spans="2:34">
      <c r="B205" s="20" t="s">
        <v>460</v>
      </c>
      <c r="C205" s="25"/>
      <c r="D205" s="25"/>
      <c r="E205" s="25"/>
      <c r="F205" s="25"/>
      <c r="G205" s="25">
        <f t="shared" ref="G205:H205" si="553">G201/G71</f>
        <v>2.5</v>
      </c>
      <c r="H205" s="25">
        <f t="shared" si="553"/>
        <v>19.047619047619051</v>
      </c>
      <c r="I205" s="25">
        <f t="shared" ref="I205:S205" si="554">I201/I71</f>
        <v>24.031690140845072</v>
      </c>
      <c r="J205" s="25">
        <f t="shared" si="554"/>
        <v>1.7566109012412303</v>
      </c>
      <c r="K205" s="25">
        <f t="shared" si="554"/>
        <v>20.530303030303031</v>
      </c>
      <c r="L205" s="25">
        <f t="shared" si="554"/>
        <v>31.616666666666671</v>
      </c>
      <c r="M205" s="25">
        <f t="shared" si="554"/>
        <v>30.381818181818183</v>
      </c>
      <c r="N205" s="25">
        <f t="shared" si="554"/>
        <v>8.3301162790697667</v>
      </c>
      <c r="O205" s="25">
        <f t="shared" si="554"/>
        <v>15.626354166666665</v>
      </c>
      <c r="P205" s="25">
        <f t="shared" si="554"/>
        <v>12.007058823529412</v>
      </c>
      <c r="Q205" s="25">
        <f t="shared" si="554"/>
        <v>18.472222222222221</v>
      </c>
      <c r="R205" s="25">
        <f t="shared" si="554"/>
        <v>-108.51764705882353</v>
      </c>
      <c r="S205" s="25">
        <f t="shared" si="554"/>
        <v>19.216666666666665</v>
      </c>
      <c r="T205" s="118">
        <f t="shared" si="535"/>
        <v>0.18525420296042072</v>
      </c>
      <c r="U205" s="128"/>
      <c r="V205" s="25">
        <f t="shared" ref="V205:AE205" si="555">V201/V71</f>
        <v>17.545652173913044</v>
      </c>
      <c r="W205" s="25">
        <f t="shared" si="555"/>
        <v>16.019943289224955</v>
      </c>
      <c r="X205" s="25">
        <f t="shared" si="555"/>
        <v>14.626904742335832</v>
      </c>
      <c r="Y205" s="25">
        <f t="shared" si="555"/>
        <v>13.354999982132718</v>
      </c>
      <c r="Z205" s="25">
        <f t="shared" si="555"/>
        <v>12.19369563586031</v>
      </c>
      <c r="AA205" s="25">
        <f t="shared" si="555"/>
        <v>11.133374276220284</v>
      </c>
      <c r="AB205" s="25">
        <f t="shared" si="555"/>
        <v>10.16525477394026</v>
      </c>
      <c r="AC205" s="25">
        <f t="shared" si="555"/>
        <v>9.281319576206327</v>
      </c>
      <c r="AD205" s="25">
        <f t="shared" si="555"/>
        <v>8.474248308710127</v>
      </c>
      <c r="AE205" s="25">
        <f t="shared" si="555"/>
        <v>7.7373571514309853</v>
      </c>
      <c r="AF205" s="137">
        <f t="shared" si="551"/>
        <v>-5.2536907716338788E-2</v>
      </c>
      <c r="AG205" s="31">
        <f t="shared" si="538"/>
        <v>0.05</v>
      </c>
      <c r="AH205" s="127">
        <f t="shared" si="552"/>
        <v>43.122707839987662</v>
      </c>
    </row>
    <row r="206" spans="2:34">
      <c r="B206" s="20" t="s">
        <v>258</v>
      </c>
      <c r="C206" s="25"/>
      <c r="D206" s="25"/>
      <c r="E206" s="25"/>
      <c r="F206" s="25"/>
      <c r="G206" s="25">
        <f t="shared" ref="G206:H206" si="556">G201/G75</f>
        <v>0.16</v>
      </c>
      <c r="H206" s="25">
        <f t="shared" si="556"/>
        <v>0.8</v>
      </c>
      <c r="I206" s="25">
        <f t="shared" ref="I206:S206" si="557">I201/I75</f>
        <v>4.0170688640376691</v>
      </c>
      <c r="J206" s="25">
        <f t="shared" si="557"/>
        <v>1.55</v>
      </c>
      <c r="K206" s="25">
        <f t="shared" si="557"/>
        <v>3.4566326530612246</v>
      </c>
      <c r="L206" s="25">
        <f t="shared" si="557"/>
        <v>2.3952020202020203</v>
      </c>
      <c r="M206" s="25">
        <f t="shared" si="557"/>
        <v>2.5222641509433963</v>
      </c>
      <c r="N206" s="25">
        <f t="shared" si="557"/>
        <v>2.5723159784560146</v>
      </c>
      <c r="O206" s="25">
        <f t="shared" si="557"/>
        <v>2.0922315202231521</v>
      </c>
      <c r="P206" s="25">
        <f t="shared" si="557"/>
        <v>1.3595129943653341</v>
      </c>
      <c r="Q206" s="25">
        <f t="shared" si="557"/>
        <v>2.8932396251673365</v>
      </c>
      <c r="R206" s="25">
        <f t="shared" si="557"/>
        <v>2.4862533692722368</v>
      </c>
      <c r="S206" s="25">
        <f t="shared" si="557"/>
        <v>1.4782051282051283</v>
      </c>
      <c r="T206" s="118">
        <f t="shared" si="535"/>
        <v>0.20356040973852352</v>
      </c>
      <c r="U206" s="128"/>
      <c r="V206" s="119">
        <f t="shared" ref="V206:AE206" si="558">V201/V75</f>
        <v>1.3496655518394651</v>
      </c>
      <c r="W206" s="119">
        <f t="shared" si="558"/>
        <v>1.2323033299403814</v>
      </c>
      <c r="X206" s="119">
        <f t="shared" si="558"/>
        <v>1.1251465186412182</v>
      </c>
      <c r="Y206" s="119">
        <f t="shared" si="558"/>
        <v>1.0273076909332861</v>
      </c>
      <c r="Z206" s="119">
        <f t="shared" si="558"/>
        <v>0.93797658737387024</v>
      </c>
      <c r="AA206" s="119">
        <f t="shared" si="558"/>
        <v>0.856413405863099</v>
      </c>
      <c r="AB206" s="119">
        <f t="shared" si="558"/>
        <v>0.78194267491848179</v>
      </c>
      <c r="AC206" s="119">
        <f t="shared" si="558"/>
        <v>0.71394765970817919</v>
      </c>
      <c r="AD206" s="119">
        <f t="shared" si="558"/>
        <v>0.65186525451616362</v>
      </c>
      <c r="AE206" s="119">
        <f t="shared" si="558"/>
        <v>0.59518131934084506</v>
      </c>
      <c r="AF206" s="137">
        <f t="shared" si="537"/>
        <v>-8.6914535449130192E-2</v>
      </c>
      <c r="AG206" s="31">
        <f t="shared" si="538"/>
        <v>0.05</v>
      </c>
      <c r="AH206" s="127">
        <f t="shared" si="539"/>
        <v>3.1967730086019714</v>
      </c>
    </row>
    <row r="207" spans="2:34">
      <c r="B207" s="20" t="s">
        <v>259</v>
      </c>
      <c r="C207" s="25"/>
      <c r="D207" s="25"/>
      <c r="E207" s="25"/>
      <c r="F207" s="25"/>
      <c r="G207" s="25">
        <f t="shared" ref="G207:H207" si="559">G201/G84</f>
        <v>0.199501246882793</v>
      </c>
      <c r="H207" s="25">
        <f t="shared" si="559"/>
        <v>1</v>
      </c>
      <c r="I207" s="25">
        <f t="shared" ref="I207:S207" si="560">I201/I84</f>
        <v>21.064814814814817</v>
      </c>
      <c r="J207" s="25">
        <f t="shared" si="560"/>
        <v>0.3576923076923077</v>
      </c>
      <c r="K207" s="25">
        <f t="shared" si="560"/>
        <v>1.9247159090909092</v>
      </c>
      <c r="L207" s="25">
        <f t="shared" si="560"/>
        <v>1.9760416666666665</v>
      </c>
      <c r="M207" s="25">
        <f t="shared" si="560"/>
        <v>3.0660550458715599</v>
      </c>
      <c r="N207" s="25">
        <f t="shared" si="560"/>
        <v>6.3397345132743377</v>
      </c>
      <c r="O207" s="25">
        <f t="shared" si="560"/>
        <v>5.5560370370370373</v>
      </c>
      <c r="P207" s="25">
        <f t="shared" si="560"/>
        <v>6.3747657713928794</v>
      </c>
      <c r="Q207" s="25">
        <f t="shared" si="560"/>
        <v>13.5078125</v>
      </c>
      <c r="R207" s="25">
        <f t="shared" si="560"/>
        <v>14.300775193798449</v>
      </c>
      <c r="S207" s="25">
        <f t="shared" si="560"/>
        <v>9.0787401574803148</v>
      </c>
      <c r="T207" s="118">
        <f t="shared" si="535"/>
        <v>0.3745904774890485</v>
      </c>
      <c r="U207" s="128"/>
      <c r="V207" s="119">
        <f t="shared" ref="V207:AE207" si="561">V201/V84</f>
        <v>8.2892844916124631</v>
      </c>
      <c r="W207" s="119">
        <f t="shared" si="561"/>
        <v>7.5684771445157271</v>
      </c>
      <c r="X207" s="119">
        <f t="shared" si="561"/>
        <v>6.9103486971665333</v>
      </c>
      <c r="Y207" s="119">
        <f t="shared" si="561"/>
        <v>6.3094488104564022</v>
      </c>
      <c r="Z207" s="119">
        <f t="shared" si="561"/>
        <v>5.7608010878080202</v>
      </c>
      <c r="AA207" s="119">
        <f t="shared" si="561"/>
        <v>5.2598618627812366</v>
      </c>
      <c r="AB207" s="119">
        <f t="shared" si="561"/>
        <v>4.8024825703654779</v>
      </c>
      <c r="AC207" s="119">
        <f t="shared" si="561"/>
        <v>4.3848753903336979</v>
      </c>
      <c r="AD207" s="119">
        <f t="shared" si="561"/>
        <v>4.0035818781307686</v>
      </c>
      <c r="AE207" s="119">
        <f t="shared" si="561"/>
        <v>3.6554443235107015</v>
      </c>
      <c r="AF207" s="137">
        <f t="shared" si="537"/>
        <v>-8.0016326122021808E-2</v>
      </c>
      <c r="AG207" s="31">
        <f t="shared" si="538"/>
        <v>0.05</v>
      </c>
      <c r="AH207" s="127">
        <f t="shared" si="539"/>
        <v>19.782053519998684</v>
      </c>
    </row>
    <row r="208" spans="2:34">
      <c r="B208" s="20" t="s">
        <v>260</v>
      </c>
      <c r="C208" s="25"/>
      <c r="D208" s="25"/>
      <c r="E208" s="25"/>
      <c r="F208" s="25"/>
      <c r="G208" s="25">
        <f t="shared" ref="G208:H208" si="562">G201/G86</f>
        <v>0.16</v>
      </c>
      <c r="H208" s="25">
        <f t="shared" si="562"/>
        <v>7.0175438596491233</v>
      </c>
      <c r="I208" s="25">
        <f t="shared" ref="I208:S208" si="563">I201/I86</f>
        <v>0.6825</v>
      </c>
      <c r="J208" s="25">
        <f t="shared" si="563"/>
        <v>3.8935406698564599</v>
      </c>
      <c r="K208" s="25">
        <f t="shared" si="563"/>
        <v>2.615830115830116</v>
      </c>
      <c r="L208" s="25">
        <f t="shared" si="563"/>
        <v>1.7435661764705883</v>
      </c>
      <c r="M208" s="25">
        <f t="shared" si="563"/>
        <v>2.2354515050167225</v>
      </c>
      <c r="N208" s="25">
        <f t="shared" si="563"/>
        <v>3.2415837104072396</v>
      </c>
      <c r="O208" s="25">
        <f t="shared" si="563"/>
        <v>2.4673190789473685</v>
      </c>
      <c r="P208" s="25">
        <f t="shared" si="563"/>
        <v>2.7885245901639339</v>
      </c>
      <c r="Q208" s="25">
        <f t="shared" si="563"/>
        <v>16.753875968992247</v>
      </c>
      <c r="R208" s="25">
        <f t="shared" si="563"/>
        <v>24.597333333333331</v>
      </c>
      <c r="S208" s="25">
        <f t="shared" si="563"/>
        <v>11.529999999999998</v>
      </c>
      <c r="T208" s="118">
        <f t="shared" si="535"/>
        <v>0.42826604107053057</v>
      </c>
      <c r="U208" s="128"/>
      <c r="V208" s="119">
        <f t="shared" ref="V208:AE208" si="564">V201/V86</f>
        <v>10.527391304347828</v>
      </c>
      <c r="W208" s="119">
        <f t="shared" si="564"/>
        <v>9.6119659735349749</v>
      </c>
      <c r="X208" s="119">
        <f t="shared" si="564"/>
        <v>8.7761428454015</v>
      </c>
      <c r="Y208" s="119">
        <f t="shared" si="564"/>
        <v>8.0129999892796313</v>
      </c>
      <c r="Z208" s="119">
        <f t="shared" si="564"/>
        <v>7.3162173815161866</v>
      </c>
      <c r="AA208" s="119">
        <f t="shared" si="564"/>
        <v>6.6800245657321717</v>
      </c>
      <c r="AB208" s="119">
        <f t="shared" si="564"/>
        <v>6.0991528643641582</v>
      </c>
      <c r="AC208" s="119">
        <f t="shared" si="564"/>
        <v>5.5687917457237974</v>
      </c>
      <c r="AD208" s="119">
        <f t="shared" si="564"/>
        <v>5.0845489852260766</v>
      </c>
      <c r="AE208" s="119">
        <f t="shared" si="564"/>
        <v>4.6424142908585919</v>
      </c>
      <c r="AF208" s="137">
        <f t="shared" si="537"/>
        <v>9.559384262031112E-2</v>
      </c>
      <c r="AG208" s="31">
        <f t="shared" si="538"/>
        <v>0.05</v>
      </c>
      <c r="AH208" s="127">
        <f t="shared" si="539"/>
        <v>29.918826540924776</v>
      </c>
    </row>
    <row r="209" spans="2:34">
      <c r="B209" s="20" t="s">
        <v>281</v>
      </c>
      <c r="C209" s="25"/>
      <c r="D209" s="25"/>
      <c r="E209" s="25"/>
      <c r="F209" s="25"/>
      <c r="G209" s="180">
        <f t="shared" ref="G209:H209" si="565">G201/G80</f>
        <v>5.9040590405904071E-2</v>
      </c>
      <c r="H209" s="180">
        <f t="shared" si="565"/>
        <v>-0.25348542458808621</v>
      </c>
      <c r="I209" s="180">
        <f t="shared" ref="I209:S209" si="566">I201/I80</f>
        <v>0.95695457094784087</v>
      </c>
      <c r="J209" s="180">
        <f t="shared" si="566"/>
        <v>-2.1</v>
      </c>
      <c r="K209" s="180">
        <f t="shared" si="566"/>
        <v>3.6872754979862852</v>
      </c>
      <c r="L209" s="180">
        <f t="shared" si="566"/>
        <v>1.7182971014492756</v>
      </c>
      <c r="M209" s="180">
        <f t="shared" si="566"/>
        <v>2.1631067961165047</v>
      </c>
      <c r="N209" s="180">
        <f t="shared" si="566"/>
        <v>3.148967032967033</v>
      </c>
      <c r="O209" s="180">
        <f t="shared" si="566"/>
        <v>3.580262529832936</v>
      </c>
      <c r="P209" s="180">
        <f t="shared" si="566"/>
        <v>2.0043205027494104</v>
      </c>
      <c r="Q209" s="180">
        <f t="shared" si="566"/>
        <v>3.9875461254612543</v>
      </c>
      <c r="R209" s="180">
        <f t="shared" si="566"/>
        <v>3.9503211991434686</v>
      </c>
      <c r="S209" s="180">
        <f t="shared" si="566"/>
        <v>1.9810996563573882</v>
      </c>
      <c r="T209" s="118">
        <f t="shared" si="535"/>
        <v>0.34012806585731536</v>
      </c>
      <c r="U209" s="128"/>
      <c r="V209" s="134">
        <f t="shared" ref="V209:AE209" si="567">V201/V80</f>
        <v>1.8088301210219633</v>
      </c>
      <c r="W209" s="134">
        <f t="shared" si="567"/>
        <v>1.6515405452809238</v>
      </c>
      <c r="X209" s="134">
        <f t="shared" si="567"/>
        <v>1.5079283239521479</v>
      </c>
      <c r="Y209" s="134">
        <f t="shared" si="567"/>
        <v>1.3768041218693523</v>
      </c>
      <c r="Z209" s="134">
        <f t="shared" si="567"/>
        <v>1.2570820243154963</v>
      </c>
      <c r="AA209" s="134">
        <f t="shared" si="567"/>
        <v>1.1477705439402359</v>
      </c>
      <c r="AB209" s="134">
        <f t="shared" si="567"/>
        <v>1.0479644096845635</v>
      </c>
      <c r="AC209" s="134">
        <f t="shared" si="567"/>
        <v>0.95683706971199278</v>
      </c>
      <c r="AD209" s="134">
        <f t="shared" si="567"/>
        <v>0.87363384625877594</v>
      </c>
      <c r="AE209" s="134">
        <f t="shared" si="567"/>
        <v>0.79766568571453489</v>
      </c>
      <c r="AF209" s="137">
        <f t="shared" ref="AF209" si="568">((AE209/I209)^(1/($AE$3-$J$1) ))-1</f>
        <v>-8.6323516527544442E-3</v>
      </c>
      <c r="AG209" s="31">
        <f t="shared" ref="AG209:AG212" si="569">$N$1</f>
        <v>0.05</v>
      </c>
      <c r="AH209" s="127">
        <f t="shared" si="539"/>
        <v>4.6516467942006559</v>
      </c>
    </row>
    <row r="210" spans="2:34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28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7"/>
      <c r="AG210" s="31">
        <f t="shared" si="569"/>
        <v>0.05</v>
      </c>
      <c r="AH210" s="127"/>
    </row>
    <row r="211" spans="2:34">
      <c r="B211" s="20" t="s">
        <v>316</v>
      </c>
      <c r="C211" s="150"/>
      <c r="D211" s="150"/>
      <c r="E211" s="150"/>
      <c r="F211" s="150"/>
      <c r="G211" s="150">
        <f t="shared" ref="G211:H211" si="570">G59/G201</f>
        <v>5.0000000000000001E-3</v>
      </c>
      <c r="H211" s="150">
        <f t="shared" si="570"/>
        <v>1E-3</v>
      </c>
      <c r="I211" s="150">
        <f t="shared" ref="I211:S211" si="571">I59/I201</f>
        <v>1.5384615384615385E-4</v>
      </c>
      <c r="J211" s="150">
        <f t="shared" si="571"/>
        <v>0.16129032258064516</v>
      </c>
      <c r="K211" s="150">
        <f t="shared" si="571"/>
        <v>8.0000000000000002E-3</v>
      </c>
      <c r="L211" s="150">
        <f t="shared" si="571"/>
        <v>5.7142857142857143E-3</v>
      </c>
      <c r="M211" s="150">
        <f t="shared" si="571"/>
        <v>6.2500000000000003E-3</v>
      </c>
      <c r="N211" s="150">
        <f t="shared" si="571"/>
        <v>4.2253521126760559E-3</v>
      </c>
      <c r="O211" s="150">
        <f t="shared" si="571"/>
        <v>5.2238805970149247E-3</v>
      </c>
      <c r="P211" s="150">
        <f t="shared" si="571"/>
        <v>5.5555555555555558E-3</v>
      </c>
      <c r="Q211" s="150">
        <f t="shared" si="571"/>
        <v>2.631578947368421E-3</v>
      </c>
      <c r="R211" s="150">
        <f t="shared" si="571"/>
        <v>1.25E-3</v>
      </c>
      <c r="S211" s="150">
        <f t="shared" si="571"/>
        <v>4.0000000000000001E-3</v>
      </c>
      <c r="T211" s="118">
        <f t="shared" si="535"/>
        <v>-1.8423470126248342E-2</v>
      </c>
      <c r="U211" s="128"/>
      <c r="V211" s="150">
        <f t="shared" ref="V211:AE211" si="572">V59/V201</f>
        <v>4.2000000000000006E-3</v>
      </c>
      <c r="W211" s="150">
        <f t="shared" si="572"/>
        <v>4.4100000000000007E-3</v>
      </c>
      <c r="X211" s="150">
        <f t="shared" si="572"/>
        <v>4.6305000000000009E-3</v>
      </c>
      <c r="Y211" s="150">
        <f t="shared" si="572"/>
        <v>4.8620250000000007E-3</v>
      </c>
      <c r="Z211" s="150">
        <f t="shared" si="572"/>
        <v>5.1051262500000014E-3</v>
      </c>
      <c r="AA211" s="150">
        <f t="shared" si="572"/>
        <v>5.3603825625000026E-3</v>
      </c>
      <c r="AB211" s="150">
        <f t="shared" si="572"/>
        <v>5.6284016906250024E-3</v>
      </c>
      <c r="AC211" s="150">
        <f t="shared" si="572"/>
        <v>5.9098217751562534E-3</v>
      </c>
      <c r="AD211" s="150">
        <f t="shared" si="572"/>
        <v>6.2053128639140663E-3</v>
      </c>
      <c r="AE211" s="150">
        <f t="shared" si="572"/>
        <v>6.5155785071097701E-3</v>
      </c>
      <c r="AF211" s="137">
        <f t="shared" ref="AF211:AF216" si="573">((AE211/I211)^(1/($AE$3-$J$1) ))-1</f>
        <v>0.19528047588894593</v>
      </c>
      <c r="AG211" s="31">
        <f t="shared" si="569"/>
        <v>0.05</v>
      </c>
      <c r="AH211" s="127">
        <f t="shared" si="539"/>
        <v>4.5811433992176208E-2</v>
      </c>
    </row>
    <row r="212" spans="2:34">
      <c r="B212" s="20" t="s">
        <v>153</v>
      </c>
      <c r="C212" s="150"/>
      <c r="D212" s="150"/>
      <c r="E212" s="150"/>
      <c r="F212" s="150"/>
      <c r="G212" s="163">
        <f t="shared" ref="G212:H212" si="574">G201*G57</f>
        <v>0.8</v>
      </c>
      <c r="H212" s="163">
        <f t="shared" si="574"/>
        <v>4</v>
      </c>
      <c r="I212" s="163">
        <f t="shared" ref="I212:S212" si="575">I201*I57</f>
        <v>68.25</v>
      </c>
      <c r="J212" s="163">
        <f t="shared" si="575"/>
        <v>32.550000000000004</v>
      </c>
      <c r="K212" s="163">
        <f t="shared" si="575"/>
        <v>677.5</v>
      </c>
      <c r="L212" s="163">
        <f t="shared" si="575"/>
        <v>474.25</v>
      </c>
      <c r="M212" s="163">
        <f t="shared" si="575"/>
        <v>668.40000000000009</v>
      </c>
      <c r="N212" s="163">
        <f t="shared" si="575"/>
        <v>1432.78</v>
      </c>
      <c r="O212" s="163">
        <f t="shared" si="575"/>
        <v>1500.13</v>
      </c>
      <c r="P212" s="163">
        <f t="shared" si="575"/>
        <v>1020.6</v>
      </c>
      <c r="Q212" s="163">
        <f t="shared" si="575"/>
        <v>2161.25</v>
      </c>
      <c r="R212" s="163">
        <f t="shared" si="575"/>
        <v>1844.8</v>
      </c>
      <c r="S212" s="163">
        <f t="shared" si="575"/>
        <v>1153</v>
      </c>
      <c r="T212" s="118">
        <f t="shared" si="535"/>
        <v>0.83327778856552848</v>
      </c>
      <c r="U212" s="128"/>
      <c r="V212" s="163">
        <f t="shared" ref="V212:AE212" si="576">V201*V57</f>
        <v>1210.6500000000001</v>
      </c>
      <c r="W212" s="163">
        <f t="shared" si="576"/>
        <v>1271.1825000000001</v>
      </c>
      <c r="X212" s="163">
        <f t="shared" si="576"/>
        <v>1334.7416250000001</v>
      </c>
      <c r="Y212" s="163">
        <f t="shared" si="576"/>
        <v>1401.4787062500004</v>
      </c>
      <c r="Z212" s="163">
        <f t="shared" si="576"/>
        <v>1471.5526415625004</v>
      </c>
      <c r="AA212" s="163">
        <f t="shared" si="576"/>
        <v>1545.1302736406258</v>
      </c>
      <c r="AB212" s="163">
        <f t="shared" si="576"/>
        <v>1622.386787322657</v>
      </c>
      <c r="AC212" s="163">
        <f t="shared" si="576"/>
        <v>1703.5061266887901</v>
      </c>
      <c r="AD212" s="163">
        <f t="shared" si="576"/>
        <v>1788.6814330232298</v>
      </c>
      <c r="AE212" s="163">
        <f t="shared" si="576"/>
        <v>1878.1155046743911</v>
      </c>
      <c r="AF212" s="137">
        <f t="shared" si="573"/>
        <v>0.17099035049629085</v>
      </c>
      <c r="AG212" s="31">
        <f t="shared" si="569"/>
        <v>0.05</v>
      </c>
      <c r="AH212" s="127">
        <f t="shared" si="539"/>
        <v>12936.794900536373</v>
      </c>
    </row>
    <row r="213" spans="2:34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28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</row>
    <row r="214" spans="2:34">
      <c r="B214" s="20" t="s">
        <v>367</v>
      </c>
      <c r="C214" s="159"/>
      <c r="D214" s="159"/>
      <c r="E214" s="159"/>
      <c r="F214" s="159"/>
      <c r="G214" s="159">
        <f t="shared" ref="G214:H214" si="577">G72/G201</f>
        <v>0.35000000000000003</v>
      </c>
      <c r="H214" s="159">
        <f t="shared" si="577"/>
        <v>2.2499999999999999E-2</v>
      </c>
      <c r="I214" s="159">
        <f t="shared" ref="I214:S214" si="578">I72/I201</f>
        <v>4.3956043956043959E-2</v>
      </c>
      <c r="J214" s="159">
        <f t="shared" si="578"/>
        <v>0.61443932411674351</v>
      </c>
      <c r="K214" s="159">
        <f t="shared" si="578"/>
        <v>3.3948339483394832E-2</v>
      </c>
      <c r="L214" s="159">
        <f t="shared" si="578"/>
        <v>2.1085925144965736E-2</v>
      </c>
      <c r="M214" s="159">
        <f t="shared" si="578"/>
        <v>1.9449431478156792E-2</v>
      </c>
      <c r="N214" s="159">
        <f t="shared" si="578"/>
        <v>0.11516073647035834</v>
      </c>
      <c r="O214" s="159">
        <f t="shared" si="578"/>
        <v>4.4662795891022775E-2</v>
      </c>
      <c r="P214" s="159">
        <f t="shared" si="578"/>
        <v>4.993141289437586E-2</v>
      </c>
      <c r="Q214" s="159">
        <f t="shared" si="578"/>
        <v>3.0075187969924814E-2</v>
      </c>
      <c r="R214" s="159">
        <f t="shared" si="578"/>
        <v>-1.5177797051170861E-2</v>
      </c>
      <c r="S214" s="159">
        <f t="shared" si="578"/>
        <v>3.3824804856895055E-2</v>
      </c>
      <c r="T214" s="118">
        <f t="shared" si="535"/>
        <v>-0.17694168906884067</v>
      </c>
      <c r="U214" s="128"/>
      <c r="V214" s="159">
        <f t="shared" ref="V214:AE214" si="579">V72/V201</f>
        <v>3.7046214843266007E-2</v>
      </c>
      <c r="W214" s="159">
        <f t="shared" si="579"/>
        <v>4.0574425780719903E-2</v>
      </c>
      <c r="X214" s="159">
        <f t="shared" si="579"/>
        <v>4.4438656807455131E-2</v>
      </c>
      <c r="Y214" s="159">
        <f t="shared" si="579"/>
        <v>4.8670909836736567E-2</v>
      </c>
      <c r="Z214" s="159">
        <f t="shared" si="579"/>
        <v>5.3306234583092423E-2</v>
      </c>
      <c r="AA214" s="159">
        <f t="shared" si="579"/>
        <v>5.8383018829101213E-2</v>
      </c>
      <c r="AB214" s="159">
        <f t="shared" si="579"/>
        <v>6.3943306336634656E-2</v>
      </c>
      <c r="AC214" s="159">
        <f t="shared" si="579"/>
        <v>7.0033145035361746E-2</v>
      </c>
      <c r="AD214" s="159">
        <f t="shared" si="579"/>
        <v>7.6702968372062849E-2</v>
      </c>
      <c r="AE214" s="159">
        <f t="shared" si="579"/>
        <v>8.4008012978925975E-2</v>
      </c>
      <c r="AF214" s="137">
        <f t="shared" ref="AF214" si="580">((AE214/I214)^(1/($AE$3-$J$1) ))-1</f>
        <v>3.1324509095320474E-2</v>
      </c>
      <c r="AG214" s="31">
        <f t="shared" ref="AG214" si="581">$N$1</f>
        <v>0.05</v>
      </c>
      <c r="AH214" s="127">
        <f t="shared" ref="AH214" si="582">(AE214*(1+AF214))/($C$1-AG214)</f>
        <v>0.50964425144449499</v>
      </c>
    </row>
    <row r="215" spans="2:34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H215" si="583">G203</f>
        <v>2.8571428571428568</v>
      </c>
      <c r="H215" s="179">
        <f t="shared" si="583"/>
        <v>44.44444444444445</v>
      </c>
      <c r="I215" s="179">
        <f t="shared" ref="I215:S215" si="584">I203</f>
        <v>22.75</v>
      </c>
      <c r="J215" s="179">
        <f t="shared" si="584"/>
        <v>1.6274999999999999</v>
      </c>
      <c r="K215" s="179">
        <f t="shared" si="584"/>
        <v>29.456521739130437</v>
      </c>
      <c r="L215" s="179">
        <f t="shared" si="584"/>
        <v>47.424999999999997</v>
      </c>
      <c r="M215" s="179">
        <f t="shared" si="584"/>
        <v>51.415384615384617</v>
      </c>
      <c r="N215" s="179">
        <f t="shared" si="584"/>
        <v>8.6835151515151505</v>
      </c>
      <c r="O215" s="179">
        <f t="shared" si="584"/>
        <v>22.39</v>
      </c>
      <c r="P215" s="179">
        <f t="shared" si="584"/>
        <v>20.027472527472526</v>
      </c>
      <c r="Q215" s="179">
        <f t="shared" si="584"/>
        <v>33.25</v>
      </c>
      <c r="R215" s="179">
        <f t="shared" si="584"/>
        <v>-65.885714285714272</v>
      </c>
      <c r="S215" s="179">
        <f t="shared" si="584"/>
        <v>29.564102564102566</v>
      </c>
      <c r="T215" s="118">
        <f t="shared" si="535"/>
        <v>0.21498074525079436</v>
      </c>
      <c r="U215" s="128"/>
      <c r="V215" s="150">
        <f t="shared" ref="V215:AE215" si="585">V203</f>
        <v>26.993311036789301</v>
      </c>
      <c r="W215" s="150">
        <f t="shared" si="585"/>
        <v>24.646066598807629</v>
      </c>
      <c r="X215" s="150">
        <f t="shared" si="585"/>
        <v>22.502930372824359</v>
      </c>
      <c r="Y215" s="150">
        <f t="shared" si="585"/>
        <v>20.546153818665722</v>
      </c>
      <c r="Z215" s="150">
        <f t="shared" si="585"/>
        <v>18.7595317474774</v>
      </c>
      <c r="AA215" s="150">
        <f t="shared" si="585"/>
        <v>17.128268117261978</v>
      </c>
      <c r="AB215" s="150">
        <f t="shared" si="585"/>
        <v>15.638853498369633</v>
      </c>
      <c r="AC215" s="150">
        <f t="shared" si="585"/>
        <v>14.278953194163581</v>
      </c>
      <c r="AD215" s="150">
        <f t="shared" si="585"/>
        <v>13.037305090323272</v>
      </c>
      <c r="AE215" s="150">
        <f t="shared" si="585"/>
        <v>11.903626386816903</v>
      </c>
      <c r="AF215" s="137">
        <f t="shared" ref="AF215" si="586">((AE215/I215)^(1/($AE$3-$J$1) ))-1</f>
        <v>-3.0373087053655268E-2</v>
      </c>
      <c r="AG215" s="31">
        <f t="shared" ref="AG215:AG217" si="587">$N$1</f>
        <v>0.05</v>
      </c>
      <c r="AH215" s="179">
        <f>(AH202)/($N$2*100)</f>
        <v>0.45809260507924771</v>
      </c>
    </row>
    <row r="216" spans="2:34">
      <c r="B216" s="20" t="s">
        <v>496</v>
      </c>
      <c r="C216" s="179"/>
      <c r="D216" s="179"/>
      <c r="E216" s="179"/>
      <c r="F216" s="179"/>
      <c r="G216" s="179">
        <f t="shared" ref="G216:H216" si="588">(G203)/($N$2*100)</f>
        <v>0.19047619047619044</v>
      </c>
      <c r="H216" s="179">
        <f t="shared" si="588"/>
        <v>2.9629629629629632</v>
      </c>
      <c r="I216" s="179">
        <f t="shared" ref="I216:S216" si="589">(I203)/($N$2*100)</f>
        <v>1.5166666666666666</v>
      </c>
      <c r="J216" s="179">
        <f t="shared" si="589"/>
        <v>0.1085</v>
      </c>
      <c r="K216" s="179">
        <f t="shared" si="589"/>
        <v>1.963768115942029</v>
      </c>
      <c r="L216" s="179">
        <f t="shared" si="589"/>
        <v>3.1616666666666666</v>
      </c>
      <c r="M216" s="179">
        <f t="shared" si="589"/>
        <v>3.427692307692308</v>
      </c>
      <c r="N216" s="179">
        <f t="shared" si="589"/>
        <v>0.57890101010101003</v>
      </c>
      <c r="O216" s="179">
        <f t="shared" si="589"/>
        <v>1.4926666666666668</v>
      </c>
      <c r="P216" s="179">
        <f t="shared" si="589"/>
        <v>1.3351648351648351</v>
      </c>
      <c r="Q216" s="179">
        <f t="shared" si="589"/>
        <v>2.2166666666666668</v>
      </c>
      <c r="R216" s="179">
        <f t="shared" si="589"/>
        <v>-4.3923809523809512</v>
      </c>
      <c r="S216" s="179">
        <f t="shared" si="589"/>
        <v>1.970940170940171</v>
      </c>
      <c r="T216" s="118">
        <f t="shared" si="535"/>
        <v>0.21498074525079436</v>
      </c>
      <c r="U216" s="128"/>
      <c r="V216" s="179">
        <f t="shared" ref="V216:AE216" si="590">(V203)/($N$2*100)</f>
        <v>1.7995540691192866</v>
      </c>
      <c r="W216" s="179">
        <f t="shared" si="590"/>
        <v>1.6430711065871753</v>
      </c>
      <c r="X216" s="179">
        <f t="shared" si="590"/>
        <v>1.5001953581882905</v>
      </c>
      <c r="Y216" s="179">
        <f t="shared" si="590"/>
        <v>1.3697435879110482</v>
      </c>
      <c r="Z216" s="179">
        <f t="shared" si="590"/>
        <v>1.2506354498318266</v>
      </c>
      <c r="AA216" s="179">
        <f t="shared" si="590"/>
        <v>1.1418845411507985</v>
      </c>
      <c r="AB216" s="179">
        <f t="shared" si="590"/>
        <v>1.0425902332246422</v>
      </c>
      <c r="AC216" s="179">
        <f t="shared" si="590"/>
        <v>0.95193021294423874</v>
      </c>
      <c r="AD216" s="179">
        <f t="shared" si="590"/>
        <v>0.86915367268821819</v>
      </c>
      <c r="AE216" s="179">
        <f t="shared" si="590"/>
        <v>0.79357509245446023</v>
      </c>
      <c r="AF216" s="137">
        <f t="shared" si="573"/>
        <v>-3.0373087053655268E-2</v>
      </c>
      <c r="AG216" s="31">
        <f t="shared" si="587"/>
        <v>0.05</v>
      </c>
      <c r="AH216" s="179">
        <f>(AH203)/($N$2*100)</f>
        <v>4.5263045122807561</v>
      </c>
    </row>
    <row r="217" spans="2:34">
      <c r="B217" s="20" t="s">
        <v>442</v>
      </c>
      <c r="C217" s="150"/>
      <c r="D217" s="150"/>
      <c r="E217" s="150"/>
      <c r="F217" s="150"/>
      <c r="G217" s="150">
        <f t="shared" ref="G217:H217" si="591">G216-1</f>
        <v>-0.80952380952380953</v>
      </c>
      <c r="H217" s="150">
        <f t="shared" si="591"/>
        <v>1.9629629629629632</v>
      </c>
      <c r="I217" s="150">
        <f t="shared" ref="I217:R217" si="592">I216-1</f>
        <v>0.51666666666666661</v>
      </c>
      <c r="J217" s="150">
        <f t="shared" si="592"/>
        <v>-0.89149999999999996</v>
      </c>
      <c r="K217" s="150">
        <f t="shared" si="592"/>
        <v>0.96376811594202905</v>
      </c>
      <c r="L217" s="150">
        <f t="shared" si="592"/>
        <v>2.1616666666666666</v>
      </c>
      <c r="M217" s="150">
        <f t="shared" si="592"/>
        <v>2.427692307692308</v>
      </c>
      <c r="N217" s="150">
        <f t="shared" si="592"/>
        <v>-0.42109898989898997</v>
      </c>
      <c r="O217" s="150">
        <f t="shared" si="592"/>
        <v>0.49266666666666681</v>
      </c>
      <c r="P217" s="150">
        <f t="shared" si="592"/>
        <v>0.33516483516483508</v>
      </c>
      <c r="Q217" s="150">
        <f t="shared" si="592"/>
        <v>1.2166666666666668</v>
      </c>
      <c r="R217" s="150">
        <f t="shared" si="592"/>
        <v>-5.3923809523809512</v>
      </c>
      <c r="S217" s="150">
        <f>S216-1</f>
        <v>0.97094017094017104</v>
      </c>
      <c r="T217" s="118" t="e">
        <f t="shared" si="535"/>
        <v>#NUM!</v>
      </c>
      <c r="U217" s="128"/>
      <c r="V217" s="150">
        <f t="shared" ref="V217:AE217" si="593">V216-1</f>
        <v>0.79955406911928661</v>
      </c>
      <c r="W217" s="150">
        <f t="shared" si="593"/>
        <v>0.64307110658717526</v>
      </c>
      <c r="X217" s="150">
        <f t="shared" si="593"/>
        <v>0.50019535818829053</v>
      </c>
      <c r="Y217" s="150">
        <f t="shared" si="593"/>
        <v>0.36974358791104822</v>
      </c>
      <c r="Z217" s="150">
        <f t="shared" si="593"/>
        <v>0.25063544983182662</v>
      </c>
      <c r="AA217" s="150">
        <f t="shared" si="593"/>
        <v>0.14188454115079852</v>
      </c>
      <c r="AB217" s="150">
        <f t="shared" si="593"/>
        <v>4.2590233224642171E-2</v>
      </c>
      <c r="AC217" s="150">
        <f t="shared" si="593"/>
        <v>-4.8069787055761259E-2</v>
      </c>
      <c r="AD217" s="150">
        <f t="shared" si="593"/>
        <v>-0.13084632731178181</v>
      </c>
      <c r="AE217" s="150">
        <f t="shared" si="593"/>
        <v>-0.20642490754553977</v>
      </c>
      <c r="AF217" s="137">
        <f t="shared" ref="AF217" si="594">((AE217/I217)^(1/($AE$3-$J$1) ))-1</f>
        <v>-1.9572519711299119</v>
      </c>
      <c r="AG217" s="31">
        <f t="shared" si="587"/>
        <v>0.05</v>
      </c>
      <c r="AH217" s="179">
        <f>(AH204)/($N$2*100)</f>
        <v>-1.4455030828185911</v>
      </c>
    </row>
    <row r="218" spans="2:34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28"/>
      <c r="U218" s="128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34"/>
      <c r="AF218" s="136"/>
      <c r="AG218" s="20"/>
      <c r="AH218" s="127"/>
    </row>
    <row r="219" spans="2:34">
      <c r="B219" s="20" t="s">
        <v>470</v>
      </c>
      <c r="C219" s="150"/>
      <c r="D219" s="150"/>
      <c r="E219" s="150"/>
      <c r="F219" s="150"/>
      <c r="G219" s="150">
        <f t="shared" ref="G219:S219" si="595">1/G220</f>
        <v>0.84357013324923114</v>
      </c>
      <c r="H219" s="150">
        <f t="shared" si="595"/>
        <v>0.16871402664984625</v>
      </c>
      <c r="I219" s="150">
        <f t="shared" si="595"/>
        <v>2.5956004099976341E-2</v>
      </c>
      <c r="J219" s="150">
        <f t="shared" si="595"/>
        <v>5.4423879564466524E-2</v>
      </c>
      <c r="K219" s="150">
        <f t="shared" si="595"/>
        <v>3.3742805329969247E-2</v>
      </c>
      <c r="L219" s="150">
        <f t="shared" si="595"/>
        <v>4.8204007614241783E-2</v>
      </c>
      <c r="M219" s="150">
        <f t="shared" si="595"/>
        <v>4.2178506662461562E-2</v>
      </c>
      <c r="N219" s="150">
        <f t="shared" si="595"/>
        <v>2.3762538964767072E-2</v>
      </c>
      <c r="O219" s="150">
        <f t="shared" si="595"/>
        <v>2.5181198007439735E-2</v>
      </c>
      <c r="P219" s="150">
        <f t="shared" si="595"/>
        <v>3.749200592218805E-2</v>
      </c>
      <c r="Q219" s="150">
        <f t="shared" si="595"/>
        <v>1.7759371226299604E-2</v>
      </c>
      <c r="R219" s="150">
        <f t="shared" si="595"/>
        <v>2.1089253331230781E-2</v>
      </c>
      <c r="S219" s="150">
        <f t="shared" si="595"/>
        <v>3.3742805329969247E-2</v>
      </c>
      <c r="T219" s="118">
        <f t="shared" si="535"/>
        <v>-0.23527550866826996</v>
      </c>
      <c r="U219" s="128"/>
      <c r="V219" s="150">
        <f t="shared" ref="V219:AE219" si="596">1/V220</f>
        <v>3.3742805329969247E-2</v>
      </c>
      <c r="W219" s="150">
        <f t="shared" si="596"/>
        <v>3.3742805329969247E-2</v>
      </c>
      <c r="X219" s="150">
        <f t="shared" si="596"/>
        <v>3.3742805329969247E-2</v>
      </c>
      <c r="Y219" s="150">
        <f t="shared" si="596"/>
        <v>3.3742805329969247E-2</v>
      </c>
      <c r="Z219" s="150">
        <f t="shared" si="596"/>
        <v>3.3742805329969247E-2</v>
      </c>
      <c r="AA219" s="150">
        <f t="shared" si="596"/>
        <v>3.3742805329969247E-2</v>
      </c>
      <c r="AB219" s="150">
        <f t="shared" si="596"/>
        <v>3.3742805329969247E-2</v>
      </c>
      <c r="AC219" s="150">
        <f t="shared" si="596"/>
        <v>3.3742805329969247E-2</v>
      </c>
      <c r="AD219" s="150">
        <f t="shared" si="596"/>
        <v>3.3742805329969247E-2</v>
      </c>
      <c r="AE219" s="150">
        <f t="shared" si="596"/>
        <v>3.3742805329969247E-2</v>
      </c>
      <c r="AF219" s="137">
        <f t="shared" ref="AF219" si="597">((AE219/I219)^(1/($AE$3-$J$1) ))-1</f>
        <v>1.2571906662961041E-2</v>
      </c>
      <c r="AG219" s="31">
        <f t="shared" ref="AG219:AG222" si="598">$N$1</f>
        <v>0.05</v>
      </c>
      <c r="AH219" s="179">
        <f>(AH206)/($N$2*100)</f>
        <v>0.21311820057346476</v>
      </c>
    </row>
    <row r="220" spans="2:34">
      <c r="B220" s="20" t="s">
        <v>471</v>
      </c>
      <c r="C220" s="129"/>
      <c r="D220" s="129"/>
      <c r="E220" s="129"/>
      <c r="F220" s="129"/>
      <c r="G220" s="134">
        <f t="shared" ref="G220:H220" si="599">G201/$U$170</f>
        <v>1.185437891391719</v>
      </c>
      <c r="H220" s="134">
        <f t="shared" si="599"/>
        <v>5.9271894569585948</v>
      </c>
      <c r="I220" s="134">
        <f t="shared" ref="I220:S220" si="600">I201/$U$170</f>
        <v>38.526731470230871</v>
      </c>
      <c r="J220" s="134">
        <f t="shared" si="600"/>
        <v>18.374287316571646</v>
      </c>
      <c r="K220" s="134">
        <f t="shared" si="600"/>
        <v>29.635947284792977</v>
      </c>
      <c r="L220" s="134">
        <f t="shared" si="600"/>
        <v>20.745163099355082</v>
      </c>
      <c r="M220" s="134">
        <f t="shared" si="600"/>
        <v>23.708757827834379</v>
      </c>
      <c r="N220" s="134">
        <f t="shared" si="600"/>
        <v>42.083045144406029</v>
      </c>
      <c r="O220" s="134">
        <f t="shared" si="600"/>
        <v>39.712169361622585</v>
      </c>
      <c r="P220" s="134">
        <f t="shared" si="600"/>
        <v>26.67235255631368</v>
      </c>
      <c r="Q220" s="134">
        <f t="shared" si="600"/>
        <v>56.308299841106653</v>
      </c>
      <c r="R220" s="134">
        <f t="shared" si="600"/>
        <v>47.417515655668758</v>
      </c>
      <c r="S220" s="134">
        <f t="shared" si="600"/>
        <v>29.635947284792977</v>
      </c>
      <c r="T220" s="118">
        <f t="shared" si="535"/>
        <v>0.3076604860118306</v>
      </c>
      <c r="U220" s="128"/>
      <c r="V220" s="134">
        <f t="shared" ref="V220:AE220" si="601">V201/$U$170</f>
        <v>29.635947284792977</v>
      </c>
      <c r="W220" s="134">
        <f t="shared" si="601"/>
        <v>29.635947284792977</v>
      </c>
      <c r="X220" s="134">
        <f t="shared" si="601"/>
        <v>29.635947284792977</v>
      </c>
      <c r="Y220" s="134">
        <f t="shared" si="601"/>
        <v>29.635947284792977</v>
      </c>
      <c r="Z220" s="134">
        <f t="shared" si="601"/>
        <v>29.635947284792977</v>
      </c>
      <c r="AA220" s="134">
        <f t="shared" si="601"/>
        <v>29.635947284792977</v>
      </c>
      <c r="AB220" s="134">
        <f t="shared" si="601"/>
        <v>29.635947284792977</v>
      </c>
      <c r="AC220" s="134">
        <f t="shared" si="601"/>
        <v>29.635947284792977</v>
      </c>
      <c r="AD220" s="134">
        <f t="shared" si="601"/>
        <v>29.635947284792977</v>
      </c>
      <c r="AE220" s="134">
        <f t="shared" si="601"/>
        <v>29.635947284792977</v>
      </c>
      <c r="AF220" s="137">
        <f t="shared" ref="AF220:AF222" si="602">((AE220/I220)^(1/($AE$3-$J$1) ))-1</f>
        <v>-1.2415816180791683E-2</v>
      </c>
      <c r="AG220" s="31">
        <f t="shared" si="598"/>
        <v>0.05</v>
      </c>
      <c r="AH220" s="179">
        <f>(AH206)/($N$2*100)</f>
        <v>0.21311820057346476</v>
      </c>
    </row>
    <row r="221" spans="2:34">
      <c r="B221" s="20" t="s">
        <v>465</v>
      </c>
      <c r="C221" s="129"/>
      <c r="D221" s="129"/>
      <c r="E221" s="129"/>
      <c r="F221" s="129"/>
      <c r="G221" s="179">
        <f t="shared" ref="G221:H221" si="603">(G220)/($N$2*100)</f>
        <v>7.9029192759447933E-2</v>
      </c>
      <c r="H221" s="179">
        <f t="shared" si="603"/>
        <v>0.39514596379723965</v>
      </c>
      <c r="I221" s="179">
        <f t="shared" ref="I221:S221" si="604">(I220)/($N$2*100)</f>
        <v>2.5684487646820582</v>
      </c>
      <c r="J221" s="179">
        <f t="shared" si="604"/>
        <v>1.2249524877714431</v>
      </c>
      <c r="K221" s="179">
        <f t="shared" si="604"/>
        <v>1.9757298189861985</v>
      </c>
      <c r="L221" s="179">
        <f t="shared" si="604"/>
        <v>1.3830108732903388</v>
      </c>
      <c r="M221" s="179">
        <f t="shared" si="604"/>
        <v>1.5805838551889586</v>
      </c>
      <c r="N221" s="179">
        <f t="shared" si="604"/>
        <v>2.8055363429604019</v>
      </c>
      <c r="O221" s="179">
        <f t="shared" si="604"/>
        <v>2.6474779574415055</v>
      </c>
      <c r="P221" s="179">
        <f t="shared" si="604"/>
        <v>1.7781568370875787</v>
      </c>
      <c r="Q221" s="179">
        <f t="shared" si="604"/>
        <v>3.7538866560737767</v>
      </c>
      <c r="R221" s="179">
        <f t="shared" si="604"/>
        <v>3.1611677103779172</v>
      </c>
      <c r="S221" s="179">
        <f t="shared" si="604"/>
        <v>1.9757298189861985</v>
      </c>
      <c r="T221" s="118">
        <f t="shared" si="535"/>
        <v>0.3076604860118306</v>
      </c>
      <c r="U221" s="128"/>
      <c r="V221" s="179">
        <f t="shared" ref="V221:AE221" si="605">(V220)/($N$2*100)</f>
        <v>1.9757298189861985</v>
      </c>
      <c r="W221" s="179">
        <f t="shared" si="605"/>
        <v>1.9757298189861985</v>
      </c>
      <c r="X221" s="179">
        <f t="shared" si="605"/>
        <v>1.9757298189861985</v>
      </c>
      <c r="Y221" s="179">
        <f t="shared" si="605"/>
        <v>1.9757298189861985</v>
      </c>
      <c r="Z221" s="179">
        <f t="shared" si="605"/>
        <v>1.9757298189861985</v>
      </c>
      <c r="AA221" s="179">
        <f t="shared" si="605"/>
        <v>1.9757298189861985</v>
      </c>
      <c r="AB221" s="179">
        <f t="shared" si="605"/>
        <v>1.9757298189861985</v>
      </c>
      <c r="AC221" s="179">
        <f t="shared" si="605"/>
        <v>1.9757298189861985</v>
      </c>
      <c r="AD221" s="179">
        <f t="shared" si="605"/>
        <v>1.9757298189861985</v>
      </c>
      <c r="AE221" s="179">
        <f t="shared" si="605"/>
        <v>1.9757298189861985</v>
      </c>
      <c r="AF221" s="137">
        <f t="shared" si="602"/>
        <v>-1.2415816180791683E-2</v>
      </c>
      <c r="AG221" s="31">
        <f t="shared" si="598"/>
        <v>0.05</v>
      </c>
      <c r="AH221" s="179">
        <f>(AH207)/($N$2*100)</f>
        <v>1.3188035679999122</v>
      </c>
    </row>
    <row r="222" spans="2:34">
      <c r="B222" s="20" t="s">
        <v>466</v>
      </c>
      <c r="C222" s="129"/>
      <c r="D222" s="129"/>
      <c r="E222" s="129"/>
      <c r="F222" s="129"/>
      <c r="G222" s="150">
        <f t="shared" ref="G222:H222" si="606">G221-1</f>
        <v>-0.92097080724055203</v>
      </c>
      <c r="H222" s="150">
        <f t="shared" si="606"/>
        <v>-0.60485403620276035</v>
      </c>
      <c r="I222" s="150">
        <f t="shared" ref="I222:S222" si="607">I221-1</f>
        <v>1.5684487646820582</v>
      </c>
      <c r="J222" s="150">
        <f t="shared" si="607"/>
        <v>0.22495248777144305</v>
      </c>
      <c r="K222" s="150">
        <f t="shared" si="607"/>
        <v>0.97572981898619848</v>
      </c>
      <c r="L222" s="150">
        <f t="shared" si="607"/>
        <v>0.38301087329033878</v>
      </c>
      <c r="M222" s="150">
        <f t="shared" si="607"/>
        <v>0.58058385518895861</v>
      </c>
      <c r="N222" s="150">
        <f t="shared" si="607"/>
        <v>1.8055363429604019</v>
      </c>
      <c r="O222" s="150">
        <f t="shared" si="607"/>
        <v>1.6474779574415055</v>
      </c>
      <c r="P222" s="150">
        <f t="shared" si="607"/>
        <v>0.77815683708757866</v>
      </c>
      <c r="Q222" s="150">
        <f t="shared" si="607"/>
        <v>2.7538866560737767</v>
      </c>
      <c r="R222" s="150">
        <f t="shared" si="607"/>
        <v>2.1611677103779172</v>
      </c>
      <c r="S222" s="150">
        <f t="shared" si="607"/>
        <v>0.97572981898619848</v>
      </c>
      <c r="T222" s="118" t="e">
        <f t="shared" si="535"/>
        <v>#NUM!</v>
      </c>
      <c r="U222" s="128"/>
      <c r="V222" s="150">
        <f t="shared" ref="V222:AE222" si="608">V221-1</f>
        <v>0.97572981898619848</v>
      </c>
      <c r="W222" s="150">
        <f t="shared" si="608"/>
        <v>0.97572981898619848</v>
      </c>
      <c r="X222" s="150">
        <f t="shared" si="608"/>
        <v>0.97572981898619848</v>
      </c>
      <c r="Y222" s="150">
        <f t="shared" si="608"/>
        <v>0.97572981898619848</v>
      </c>
      <c r="Z222" s="150">
        <f t="shared" si="608"/>
        <v>0.97572981898619848</v>
      </c>
      <c r="AA222" s="150">
        <f t="shared" si="608"/>
        <v>0.97572981898619848</v>
      </c>
      <c r="AB222" s="150">
        <f t="shared" si="608"/>
        <v>0.97572981898619848</v>
      </c>
      <c r="AC222" s="150">
        <f t="shared" si="608"/>
        <v>0.97572981898619848</v>
      </c>
      <c r="AD222" s="150">
        <f t="shared" si="608"/>
        <v>0.97572981898619848</v>
      </c>
      <c r="AE222" s="150">
        <f t="shared" si="608"/>
        <v>0.97572981898619848</v>
      </c>
      <c r="AF222" s="137">
        <f t="shared" si="602"/>
        <v>-2.2349169846318295E-2</v>
      </c>
      <c r="AG222" s="31">
        <f t="shared" si="598"/>
        <v>0.05</v>
      </c>
      <c r="AH222" s="179">
        <f>(AH208)/($N$2*100)</f>
        <v>1.9945884360616517</v>
      </c>
    </row>
    <row r="223" spans="2:34">
      <c r="B223" s="20"/>
      <c r="C223" s="129"/>
      <c r="D223" s="129"/>
      <c r="E223" s="129"/>
      <c r="F223" s="129"/>
      <c r="G223" s="134"/>
      <c r="H223" s="134"/>
      <c r="I223" s="134"/>
      <c r="J223" s="134"/>
      <c r="K223" s="134"/>
      <c r="L223" s="134"/>
      <c r="M223" s="197"/>
      <c r="N223" s="198"/>
      <c r="O223" s="134"/>
      <c r="P223" s="134"/>
      <c r="Q223" s="134"/>
      <c r="R223" s="134"/>
      <c r="S223" s="134"/>
      <c r="T223" s="128"/>
      <c r="U223" s="128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6"/>
      <c r="AG223" s="20"/>
      <c r="AH223" s="20"/>
    </row>
    <row r="224" spans="2:34">
      <c r="B224" s="20" t="s">
        <v>470</v>
      </c>
      <c r="C224" s="129"/>
      <c r="D224" s="129"/>
      <c r="E224" s="129"/>
      <c r="F224" s="129"/>
      <c r="G224" s="150">
        <f t="shared" ref="G224:S224" si="609">1/G225</f>
        <v>0.84111014744145707</v>
      </c>
      <c r="H224" s="150">
        <f t="shared" si="609"/>
        <v>0.1682220294882914</v>
      </c>
      <c r="I224" s="150">
        <f t="shared" si="609"/>
        <v>2.5880312228967913E-2</v>
      </c>
      <c r="J224" s="150">
        <f t="shared" si="609"/>
        <v>5.4265170802674643E-2</v>
      </c>
      <c r="K224" s="150">
        <f t="shared" si="609"/>
        <v>3.3644405897658283E-2</v>
      </c>
      <c r="L224" s="150">
        <f t="shared" si="609"/>
        <v>4.806343699665469E-2</v>
      </c>
      <c r="M224" s="150">
        <f t="shared" si="609"/>
        <v>4.2055507372072851E-2</v>
      </c>
      <c r="N224" s="150">
        <f t="shared" si="609"/>
        <v>2.3693243589900201E-2</v>
      </c>
      <c r="O224" s="150">
        <f t="shared" si="609"/>
        <v>2.5107765595267374E-2</v>
      </c>
      <c r="P224" s="150">
        <f t="shared" si="609"/>
        <v>3.7382673219620313E-2</v>
      </c>
      <c r="Q224" s="150">
        <f t="shared" si="609"/>
        <v>1.7707582051399096E-2</v>
      </c>
      <c r="R224" s="150">
        <f t="shared" si="609"/>
        <v>2.1027753686036425E-2</v>
      </c>
      <c r="S224" s="150">
        <f t="shared" si="609"/>
        <v>3.3644405897658283E-2</v>
      </c>
      <c r="T224" s="118">
        <f t="shared" si="535"/>
        <v>-0.23527550866826996</v>
      </c>
      <c r="U224" s="128"/>
      <c r="V224" s="150">
        <f t="shared" ref="V224:AE224" si="610">1/V225</f>
        <v>3.3644405897658283E-2</v>
      </c>
      <c r="W224" s="150">
        <f t="shared" si="610"/>
        <v>3.3644405897658283E-2</v>
      </c>
      <c r="X224" s="150">
        <f t="shared" si="610"/>
        <v>3.3644405897658283E-2</v>
      </c>
      <c r="Y224" s="150">
        <f t="shared" si="610"/>
        <v>3.3644405897658283E-2</v>
      </c>
      <c r="Z224" s="150">
        <f t="shared" si="610"/>
        <v>3.3644405897658283E-2</v>
      </c>
      <c r="AA224" s="150">
        <f t="shared" si="610"/>
        <v>3.3644405897658283E-2</v>
      </c>
      <c r="AB224" s="150">
        <f t="shared" si="610"/>
        <v>3.3644405897658283E-2</v>
      </c>
      <c r="AC224" s="150">
        <f t="shared" si="610"/>
        <v>3.3644405897658283E-2</v>
      </c>
      <c r="AD224" s="150">
        <f t="shared" si="610"/>
        <v>3.3644405897658283E-2</v>
      </c>
      <c r="AE224" s="150">
        <f t="shared" si="610"/>
        <v>3.3644405897658283E-2</v>
      </c>
      <c r="AF224" s="137">
        <f t="shared" ref="AF224" si="611">((AE224/I224)^(1/($AE$3-$J$1) ))-1</f>
        <v>1.2571906662961041E-2</v>
      </c>
      <c r="AG224" s="31">
        <f t="shared" ref="AG224" si="612">$N$1</f>
        <v>0.05</v>
      </c>
      <c r="AH224" s="179">
        <f>(AH210)/($N$2*100)</f>
        <v>0</v>
      </c>
    </row>
    <row r="225" spans="2:48">
      <c r="B225" s="20" t="s">
        <v>472</v>
      </c>
      <c r="C225" s="129"/>
      <c r="D225" s="129"/>
      <c r="E225" s="129"/>
      <c r="F225" s="129"/>
      <c r="G225" s="134">
        <f t="shared" ref="G225:H225" si="613">G201/$S$170</f>
        <v>1.1889049288513096</v>
      </c>
      <c r="H225" s="134">
        <f t="shared" si="613"/>
        <v>5.944524644256548</v>
      </c>
      <c r="I225" s="134">
        <f t="shared" ref="I225:S225" si="614">I201/$S$170</f>
        <v>38.639410187667558</v>
      </c>
      <c r="J225" s="134">
        <f t="shared" si="614"/>
        <v>18.4280263971953</v>
      </c>
      <c r="K225" s="134">
        <f t="shared" si="614"/>
        <v>29.722623221282738</v>
      </c>
      <c r="L225" s="134">
        <f t="shared" si="614"/>
        <v>20.805836254897915</v>
      </c>
      <c r="M225" s="134">
        <f t="shared" si="614"/>
        <v>23.778098577026192</v>
      </c>
      <c r="N225" s="134">
        <f t="shared" si="614"/>
        <v>42.206124974221488</v>
      </c>
      <c r="O225" s="134">
        <f t="shared" si="614"/>
        <v>39.828315116518873</v>
      </c>
      <c r="P225" s="134">
        <f t="shared" si="614"/>
        <v>26.750360899154465</v>
      </c>
      <c r="Q225" s="134">
        <f t="shared" si="614"/>
        <v>56.472984120437204</v>
      </c>
      <c r="R225" s="134">
        <f t="shared" si="614"/>
        <v>47.556197154052384</v>
      </c>
      <c r="S225" s="134">
        <f t="shared" si="614"/>
        <v>29.722623221282738</v>
      </c>
      <c r="T225" s="118">
        <f t="shared" si="535"/>
        <v>0.3076604860118306</v>
      </c>
      <c r="U225" s="128"/>
      <c r="V225" s="134">
        <f t="shared" ref="V225:AE225" si="615">V201/$S$170</f>
        <v>29.722623221282738</v>
      </c>
      <c r="W225" s="134">
        <f t="shared" si="615"/>
        <v>29.722623221282738</v>
      </c>
      <c r="X225" s="134">
        <f t="shared" si="615"/>
        <v>29.722623221282738</v>
      </c>
      <c r="Y225" s="134">
        <f t="shared" si="615"/>
        <v>29.722623221282738</v>
      </c>
      <c r="Z225" s="134">
        <f t="shared" si="615"/>
        <v>29.722623221282738</v>
      </c>
      <c r="AA225" s="134">
        <f t="shared" si="615"/>
        <v>29.722623221282738</v>
      </c>
      <c r="AB225" s="134">
        <f t="shared" si="615"/>
        <v>29.722623221282738</v>
      </c>
      <c r="AC225" s="134">
        <f t="shared" si="615"/>
        <v>29.722623221282738</v>
      </c>
      <c r="AD225" s="134">
        <f t="shared" si="615"/>
        <v>29.722623221282738</v>
      </c>
      <c r="AE225" s="134">
        <f t="shared" si="615"/>
        <v>29.722623221282738</v>
      </c>
      <c r="AF225" s="137">
        <f t="shared" ref="AF225:AF227" si="616">((AE225/I225)^(1/($AE$3-$J$1) ))-1</f>
        <v>-1.2415816180791683E-2</v>
      </c>
      <c r="AG225" s="31">
        <f t="shared" ref="AG225:AG227" si="617">$N$1</f>
        <v>0.05</v>
      </c>
      <c r="AH225" s="179">
        <f>(AH210)/($N$2*100)</f>
        <v>0</v>
      </c>
    </row>
    <row r="226" spans="2:48">
      <c r="B226" s="20" t="s">
        <v>465</v>
      </c>
      <c r="C226" s="129"/>
      <c r="D226" s="129"/>
      <c r="E226" s="129"/>
      <c r="F226" s="129"/>
      <c r="G226" s="179">
        <f t="shared" ref="G226:H226" si="618">(G225)/($N$2*100)</f>
        <v>7.9260328590087303E-2</v>
      </c>
      <c r="H226" s="179">
        <f t="shared" si="618"/>
        <v>0.39630164295043652</v>
      </c>
      <c r="I226" s="179">
        <f t="shared" ref="I226:S226" si="619">(I225)/($N$2*100)</f>
        <v>2.5759606791778373</v>
      </c>
      <c r="J226" s="179">
        <f t="shared" si="619"/>
        <v>1.2285350931463532</v>
      </c>
      <c r="K226" s="179">
        <f t="shared" si="619"/>
        <v>1.9815082147521825</v>
      </c>
      <c r="L226" s="179">
        <f t="shared" si="619"/>
        <v>1.3870557503265277</v>
      </c>
      <c r="M226" s="179">
        <f t="shared" si="619"/>
        <v>1.5852065718017461</v>
      </c>
      <c r="N226" s="179">
        <f t="shared" si="619"/>
        <v>2.8137416649480991</v>
      </c>
      <c r="O226" s="179">
        <f t="shared" si="619"/>
        <v>2.655221007767925</v>
      </c>
      <c r="P226" s="179">
        <f t="shared" si="619"/>
        <v>1.7833573932769644</v>
      </c>
      <c r="Q226" s="179">
        <f t="shared" si="619"/>
        <v>3.7648656080291469</v>
      </c>
      <c r="R226" s="179">
        <f t="shared" si="619"/>
        <v>3.1704131436034921</v>
      </c>
      <c r="S226" s="179">
        <f t="shared" si="619"/>
        <v>1.9815082147521825</v>
      </c>
      <c r="T226" s="118">
        <f t="shared" si="535"/>
        <v>0.3076604860118306</v>
      </c>
      <c r="U226" s="128"/>
      <c r="V226" s="179">
        <f t="shared" ref="V226:AE226" si="620">(V225)/($N$2*100)</f>
        <v>1.9815082147521825</v>
      </c>
      <c r="W226" s="179">
        <f t="shared" si="620"/>
        <v>1.9815082147521825</v>
      </c>
      <c r="X226" s="179">
        <f t="shared" si="620"/>
        <v>1.9815082147521825</v>
      </c>
      <c r="Y226" s="179">
        <f t="shared" si="620"/>
        <v>1.9815082147521825</v>
      </c>
      <c r="Z226" s="179">
        <f t="shared" si="620"/>
        <v>1.9815082147521825</v>
      </c>
      <c r="AA226" s="179">
        <f t="shared" si="620"/>
        <v>1.9815082147521825</v>
      </c>
      <c r="AB226" s="179">
        <f t="shared" si="620"/>
        <v>1.9815082147521825</v>
      </c>
      <c r="AC226" s="179">
        <f t="shared" si="620"/>
        <v>1.9815082147521825</v>
      </c>
      <c r="AD226" s="179">
        <f t="shared" si="620"/>
        <v>1.9815082147521825</v>
      </c>
      <c r="AE226" s="179">
        <f t="shared" si="620"/>
        <v>1.9815082147521825</v>
      </c>
      <c r="AF226" s="137">
        <f t="shared" si="616"/>
        <v>-1.2415816180791683E-2</v>
      </c>
      <c r="AG226" s="31">
        <f t="shared" si="617"/>
        <v>0.05</v>
      </c>
      <c r="AH226" s="179" t="e">
        <f>(#REF!)/($N$2*100)</f>
        <v>#REF!</v>
      </c>
    </row>
    <row r="227" spans="2:48">
      <c r="B227" s="20" t="s">
        <v>466</v>
      </c>
      <c r="C227" s="129"/>
      <c r="D227" s="129"/>
      <c r="E227" s="129"/>
      <c r="F227" s="129"/>
      <c r="G227" s="150">
        <f t="shared" ref="G227:H227" si="621">G226-1</f>
        <v>-0.92073967140991275</v>
      </c>
      <c r="H227" s="150">
        <f t="shared" si="621"/>
        <v>-0.60369835704956354</v>
      </c>
      <c r="I227" s="150">
        <f t="shared" ref="I227:S227" si="622">I226-1</f>
        <v>1.5759606791778373</v>
      </c>
      <c r="J227" s="150">
        <f t="shared" si="622"/>
        <v>0.22853509314635323</v>
      </c>
      <c r="K227" s="150">
        <f t="shared" si="622"/>
        <v>0.98150821475218253</v>
      </c>
      <c r="L227" s="150">
        <f t="shared" si="622"/>
        <v>0.38705575032652773</v>
      </c>
      <c r="M227" s="150">
        <f t="shared" si="622"/>
        <v>0.58520657180174607</v>
      </c>
      <c r="N227" s="150">
        <f t="shared" si="622"/>
        <v>1.8137416649480991</v>
      </c>
      <c r="O227" s="150">
        <f t="shared" si="622"/>
        <v>1.655221007767925</v>
      </c>
      <c r="P227" s="150">
        <f t="shared" si="622"/>
        <v>0.78335739327696441</v>
      </c>
      <c r="Q227" s="150">
        <f t="shared" si="622"/>
        <v>2.7648656080291469</v>
      </c>
      <c r="R227" s="150">
        <f t="shared" si="622"/>
        <v>2.1704131436034921</v>
      </c>
      <c r="S227" s="150">
        <f t="shared" si="622"/>
        <v>0.98150821475218253</v>
      </c>
      <c r="T227" s="118" t="e">
        <f t="shared" si="535"/>
        <v>#NUM!</v>
      </c>
      <c r="U227" s="128"/>
      <c r="V227" s="150">
        <f t="shared" ref="V227:AE227" si="623">V226-1</f>
        <v>0.98150821475218253</v>
      </c>
      <c r="W227" s="150">
        <f t="shared" si="623"/>
        <v>0.98150821475218253</v>
      </c>
      <c r="X227" s="150">
        <f t="shared" si="623"/>
        <v>0.98150821475218253</v>
      </c>
      <c r="Y227" s="150">
        <f t="shared" si="623"/>
        <v>0.98150821475218253</v>
      </c>
      <c r="Z227" s="150">
        <f t="shared" si="623"/>
        <v>0.98150821475218253</v>
      </c>
      <c r="AA227" s="150">
        <f t="shared" si="623"/>
        <v>0.98150821475218253</v>
      </c>
      <c r="AB227" s="150">
        <f t="shared" si="623"/>
        <v>0.98150821475218253</v>
      </c>
      <c r="AC227" s="150">
        <f t="shared" si="623"/>
        <v>0.98150821475218253</v>
      </c>
      <c r="AD227" s="150">
        <f t="shared" si="623"/>
        <v>0.98150821475218253</v>
      </c>
      <c r="AE227" s="150">
        <f t="shared" si="623"/>
        <v>0.98150821475218253</v>
      </c>
      <c r="AF227" s="137">
        <f t="shared" si="616"/>
        <v>-2.2296715071208228E-2</v>
      </c>
      <c r="AG227" s="31">
        <f t="shared" si="617"/>
        <v>0.05</v>
      </c>
      <c r="AH227" s="179">
        <f>(AH211)/($N$2*100)</f>
        <v>3.0540955994784137E-3</v>
      </c>
    </row>
    <row r="228" spans="2:48">
      <c r="B228" s="20"/>
      <c r="C228" s="129"/>
      <c r="D228" s="129"/>
      <c r="E228" s="129"/>
      <c r="F228" s="129"/>
      <c r="G228" s="129"/>
      <c r="H228" s="129"/>
      <c r="I228" s="134"/>
      <c r="J228" s="134"/>
      <c r="K228" s="134"/>
      <c r="L228" s="134"/>
      <c r="M228" s="197"/>
      <c r="N228" s="198"/>
      <c r="O228" s="134"/>
      <c r="P228" s="134"/>
      <c r="Q228" s="134"/>
      <c r="R228" s="134"/>
      <c r="S228" s="134"/>
      <c r="T228" s="128"/>
      <c r="U228" s="128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6"/>
      <c r="AG228" s="20"/>
      <c r="AH228" s="20"/>
    </row>
    <row r="229" spans="2:48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6" t="s">
        <v>347</v>
      </c>
      <c r="N229" s="217"/>
      <c r="O229" s="20"/>
      <c r="P229" s="20"/>
      <c r="Q229" s="20"/>
      <c r="R229" s="108" t="s">
        <v>426</v>
      </c>
      <c r="S229" s="108" t="s">
        <v>425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6"/>
      <c r="AG229" s="20"/>
      <c r="AH229" s="20"/>
    </row>
    <row r="230" spans="2:48">
      <c r="B230" s="20" t="s">
        <v>298</v>
      </c>
      <c r="C230" s="20" t="s">
        <v>311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348</v>
      </c>
      <c r="N230" s="22">
        <v>1</v>
      </c>
      <c r="O230" s="20"/>
      <c r="P230" s="20"/>
      <c r="Q230" s="20"/>
      <c r="R230" s="128">
        <f>(S201-U188)/S201</f>
        <v>0.96209326025398767</v>
      </c>
      <c r="S230" s="128">
        <f>(S201-V188)/S201</f>
        <v>0.96881458506909002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6"/>
      <c r="AG230" s="20"/>
      <c r="AH230" s="20"/>
    </row>
    <row r="231" spans="2:48">
      <c r="B231" s="20" t="s">
        <v>345</v>
      </c>
      <c r="C231" s="20" t="s">
        <v>311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70">
        <f>$N$230</f>
        <v>1</v>
      </c>
      <c r="N231" s="20"/>
      <c r="O231" s="128">
        <f>(R201-(M231*U179))/R201</f>
        <v>6.0857400128016617E-2</v>
      </c>
      <c r="P231" s="20"/>
      <c r="Q231" s="20"/>
      <c r="R231" s="128">
        <f>(S201-U179)/S201</f>
        <v>-0.50262815979517339</v>
      </c>
      <c r="S231" s="128">
        <f>(S201-V179)/S201</f>
        <v>0.79061738756952504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6"/>
      <c r="AG231" s="20"/>
      <c r="AH231" s="20"/>
    </row>
    <row r="232" spans="2:48">
      <c r="B232" s="20" t="s">
        <v>346</v>
      </c>
      <c r="C232" s="20" t="s">
        <v>311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70">
        <f>$N$230</f>
        <v>1</v>
      </c>
      <c r="N232" s="20"/>
      <c r="O232" s="128">
        <f>(R201-(M232*U172))/R201</f>
        <v>-0.29414495721190848</v>
      </c>
      <c r="P232" s="20"/>
      <c r="Q232" s="20"/>
      <c r="R232" s="128">
        <f>(S201-U172)/S201</f>
        <v>-1.0706319315390536</v>
      </c>
      <c r="S232" s="128">
        <f>(S201-V172)/S201</f>
        <v>0.71146932101504989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6"/>
      <c r="AG232" s="20"/>
      <c r="AH232" s="20"/>
    </row>
    <row r="233" spans="2:48">
      <c r="B233" s="20" t="s">
        <v>349</v>
      </c>
      <c r="C233" s="20" t="s">
        <v>311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70">
        <f>$N$230</f>
        <v>1</v>
      </c>
      <c r="N233" s="20"/>
      <c r="O233" s="128">
        <f>(R201-(M233*U185))/R201</f>
        <v>0.93954539570736562</v>
      </c>
      <c r="P233" s="20"/>
      <c r="Q233" s="20"/>
      <c r="R233" s="128">
        <f>(S201-U185)/S201</f>
        <v>0.90327263313178496</v>
      </c>
      <c r="S233" s="128">
        <f>(S201-V185)/S201</f>
        <v>0.98652159642000281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6"/>
      <c r="AG233" s="20"/>
      <c r="AH233" s="20"/>
    </row>
    <row r="234" spans="2:48">
      <c r="B234" s="20" t="s">
        <v>395</v>
      </c>
      <c r="C234" s="20" t="s">
        <v>311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70">
        <f>$N$230</f>
        <v>1</v>
      </c>
      <c r="N234" s="20"/>
      <c r="O234" s="128">
        <f>(R201-(M234*U198))/R201</f>
        <v>1</v>
      </c>
      <c r="P234" s="20"/>
      <c r="Q234" s="20"/>
      <c r="R234" s="128">
        <f>(S201-U198)/S201</f>
        <v>1</v>
      </c>
      <c r="S234" s="128">
        <f>(S201-V198)/S201</f>
        <v>1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6"/>
      <c r="AG234" s="20"/>
      <c r="AH234" s="20"/>
    </row>
    <row r="235" spans="2:48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>
        <f>S201/U171</f>
        <v>9.931317222958949</v>
      </c>
      <c r="S235" s="25">
        <f>S201/V171</f>
        <v>71.271805952999529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403</v>
      </c>
      <c r="AG235" s="115" t="s">
        <v>404</v>
      </c>
      <c r="AH235" s="115" t="s">
        <v>405</v>
      </c>
      <c r="AI235" s="115" t="s">
        <v>406</v>
      </c>
      <c r="AJ235" s="115" t="s">
        <v>407</v>
      </c>
      <c r="AK235" s="115" t="s">
        <v>408</v>
      </c>
      <c r="AL235" s="115" t="s">
        <v>409</v>
      </c>
      <c r="AM235" s="115" t="s">
        <v>410</v>
      </c>
      <c r="AN235" s="115" t="s">
        <v>411</v>
      </c>
      <c r="AO235" s="115" t="s">
        <v>412</v>
      </c>
      <c r="AP235" s="115" t="s">
        <v>413</v>
      </c>
      <c r="AQ235" s="115" t="s">
        <v>414</v>
      </c>
      <c r="AR235" s="115" t="s">
        <v>415</v>
      </c>
      <c r="AS235" s="115" t="s">
        <v>416</v>
      </c>
      <c r="AT235" s="115" t="s">
        <v>417</v>
      </c>
      <c r="AU235" s="115" t="s">
        <v>418</v>
      </c>
      <c r="AV235" s="115" t="s">
        <v>419</v>
      </c>
    </row>
    <row r="236" spans="2:48">
      <c r="B236" s="20" t="s">
        <v>367</v>
      </c>
      <c r="C236" s="20"/>
      <c r="D236" s="20"/>
      <c r="E236" s="20"/>
      <c r="F236" s="20"/>
      <c r="G236" s="20"/>
      <c r="H236" s="20"/>
      <c r="I236" s="187" t="s">
        <v>443</v>
      </c>
      <c r="J236" s="188"/>
      <c r="K236" s="187" t="s">
        <v>444</v>
      </c>
      <c r="L236" s="188"/>
      <c r="M236" s="20"/>
      <c r="N236" s="187" t="s">
        <v>445</v>
      </c>
      <c r="O236" s="188"/>
      <c r="P236" s="187" t="s">
        <v>446</v>
      </c>
      <c r="Q236" s="188"/>
      <c r="R236" s="150">
        <f>1/R235</f>
        <v>0.10069157771823331</v>
      </c>
      <c r="S236" s="150">
        <f>1/S235</f>
        <v>1.4030793616475131E-2</v>
      </c>
      <c r="T236" s="20"/>
      <c r="U236" s="20"/>
      <c r="V236" s="129">
        <f>S201-V237</f>
        <v>46.003503740837736</v>
      </c>
      <c r="W236" s="183">
        <f>V236-W237</f>
        <v>41.80718266871736</v>
      </c>
      <c r="X236" s="183">
        <f t="shared" ref="X236:Z236" si="624">W236-X237</f>
        <v>37.401045542990964</v>
      </c>
      <c r="Y236" s="183">
        <f t="shared" si="624"/>
        <v>32.774601560978255</v>
      </c>
      <c r="Z236" s="183">
        <f t="shared" si="624"/>
        <v>27.916835379864906</v>
      </c>
      <c r="AA236" s="183">
        <f>Z236-AA237</f>
        <v>22.81618088969589</v>
      </c>
      <c r="AB236" s="183">
        <f t="shared" ref="AB236:AE236" si="625">AA236-AB237</f>
        <v>17.460493675018419</v>
      </c>
      <c r="AC236" s="183">
        <f t="shared" si="625"/>
        <v>11.837022099607077</v>
      </c>
      <c r="AD236" s="183">
        <f t="shared" si="625"/>
        <v>5.932376945425168</v>
      </c>
      <c r="AE236" s="183">
        <f t="shared" si="625"/>
        <v>-0.26750046646583669</v>
      </c>
      <c r="AF236" s="183">
        <f t="shared" ref="AF236" si="626">AE236-AF237</f>
        <v>-6.777371748951392</v>
      </c>
      <c r="AG236" s="183">
        <f t="shared" ref="AG236" si="627">AF236-AG237</f>
        <v>-13.612736595561225</v>
      </c>
      <c r="AH236" s="183">
        <f t="shared" ref="AH236" si="628">AG236-AH237</f>
        <v>-20.78986968450155</v>
      </c>
      <c r="AI236" s="183">
        <f t="shared" ref="AI236" si="629">AH236-AI237</f>
        <v>-28.325859427888894</v>
      </c>
      <c r="AJ236" s="183">
        <f t="shared" ref="AJ236" si="630">AI236-AJ237</f>
        <v>-36.238648658445605</v>
      </c>
      <c r="AK236" s="183">
        <f t="shared" ref="AK236" si="631">AJ236-AK237</f>
        <v>-44.547077350530152</v>
      </c>
      <c r="AL236" s="183">
        <f t="shared" ref="AL236" si="632">AK236-AL237</f>
        <v>-53.270927477218926</v>
      </c>
      <c r="AM236" s="183">
        <f t="shared" ref="AM236" si="633">AL236-AM237</f>
        <v>-62.430970110242143</v>
      </c>
      <c r="AN236" s="183">
        <f t="shared" ref="AN236" si="634">AM236-AN237</f>
        <v>-72.049014874916523</v>
      </c>
      <c r="AO236" s="183">
        <f t="shared" ref="AO236" si="635">AN236-AO237</f>
        <v>-82.147961877824613</v>
      </c>
      <c r="AP236" s="183">
        <f t="shared" ref="AP236" si="636">AO236-AP237</f>
        <v>-92.751856230878118</v>
      </c>
      <c r="AQ236" s="183">
        <f t="shared" ref="AQ236" si="637">AP236-AQ237</f>
        <v>-103.88594530158429</v>
      </c>
      <c r="AR236" s="183">
        <f t="shared" ref="AR236" si="638">AQ236-AR237</f>
        <v>-115.57673882582577</v>
      </c>
      <c r="AS236" s="183">
        <f t="shared" ref="AS236" si="639">AR236-AS237</f>
        <v>-127.85207202627933</v>
      </c>
      <c r="AT236" s="183">
        <f t="shared" ref="AT236" si="640">AS236-AT237</f>
        <v>-140.74117188675558</v>
      </c>
      <c r="AU236" s="183">
        <f t="shared" ref="AU236" si="641">AT236-AU237</f>
        <v>-154.27472674025563</v>
      </c>
      <c r="AV236" s="183">
        <f t="shared" ref="AV236" si="642">AU236-AV237</f>
        <v>-168.48495933643068</v>
      </c>
    </row>
    <row r="237" spans="2:48">
      <c r="B237" s="20" t="s">
        <v>392</v>
      </c>
      <c r="C237" s="20"/>
      <c r="D237" s="20"/>
      <c r="E237" s="20"/>
      <c r="F237" s="20"/>
      <c r="G237" s="20"/>
      <c r="H237" s="20"/>
      <c r="I237" s="189">
        <v>0</v>
      </c>
      <c r="J237" s="188"/>
      <c r="K237" s="189">
        <v>0.05</v>
      </c>
      <c r="L237" s="188"/>
      <c r="M237" s="182">
        <f>R1</f>
        <v>0.05</v>
      </c>
      <c r="N237" s="189">
        <v>0.12</v>
      </c>
      <c r="O237" s="188"/>
      <c r="P237" s="189">
        <v>0.2</v>
      </c>
      <c r="Q237" s="196" t="s">
        <v>280</v>
      </c>
      <c r="R237" s="179">
        <f>S201/U170</f>
        <v>29.635947284792977</v>
      </c>
      <c r="S237" s="179" t="s">
        <v>464</v>
      </c>
      <c r="T237" s="20"/>
      <c r="U237" s="20"/>
      <c r="V237" s="184">
        <f>T170*(1+$M$237)</f>
        <v>3.996496259162261</v>
      </c>
      <c r="W237" s="184">
        <f>V237*(1+$M$237)</f>
        <v>4.1963210721203739</v>
      </c>
      <c r="X237" s="184">
        <f t="shared" ref="X237:AE237" si="643">W237*(1+$M$237)</f>
        <v>4.406137125726393</v>
      </c>
      <c r="Y237" s="184">
        <f t="shared" si="643"/>
        <v>4.626443982012713</v>
      </c>
      <c r="Z237" s="184">
        <f t="shared" si="643"/>
        <v>4.857766181113349</v>
      </c>
      <c r="AA237" s="184">
        <f t="shared" si="643"/>
        <v>5.100654490169017</v>
      </c>
      <c r="AB237" s="184">
        <f t="shared" si="643"/>
        <v>5.3556872146774683</v>
      </c>
      <c r="AC237" s="184">
        <f t="shared" si="643"/>
        <v>5.623471575411342</v>
      </c>
      <c r="AD237" s="184">
        <f t="shared" si="643"/>
        <v>5.9046451541819094</v>
      </c>
      <c r="AE237" s="184">
        <f t="shared" si="643"/>
        <v>6.1998774118910047</v>
      </c>
      <c r="AF237" s="184">
        <f t="shared" ref="AF237" si="644">AE237*(1+$M$237)</f>
        <v>6.5098712824855554</v>
      </c>
      <c r="AG237" s="184">
        <f t="shared" ref="AG237" si="645">AF237*(1+$M$237)</f>
        <v>6.8353648466098331</v>
      </c>
      <c r="AH237" s="184">
        <f t="shared" ref="AH237" si="646">AG237*(1+$M$237)</f>
        <v>7.1771330889403249</v>
      </c>
      <c r="AI237" s="184">
        <f t="shared" ref="AI237" si="647">AH237*(1+$M$237)</f>
        <v>7.5359897433873417</v>
      </c>
      <c r="AJ237" s="184">
        <f t="shared" ref="AJ237" si="648">AI237*(1+$M$237)</f>
        <v>7.9127892305567089</v>
      </c>
      <c r="AK237" s="184">
        <f t="shared" ref="AK237" si="649">AJ237*(1+$M$237)</f>
        <v>8.3084286920845454</v>
      </c>
      <c r="AL237" s="184">
        <f t="shared" ref="AL237" si="650">AK237*(1+$M$237)</f>
        <v>8.7238501266887738</v>
      </c>
      <c r="AM237" s="184">
        <f t="shared" ref="AM237" si="651">AL237*(1+$M$237)</f>
        <v>9.1600426330232132</v>
      </c>
      <c r="AN237" s="184">
        <f t="shared" ref="AN237" si="652">AM237*(1+$M$237)</f>
        <v>9.6180447646743747</v>
      </c>
      <c r="AO237" s="184">
        <f t="shared" ref="AO237" si="653">AN237*(1+$M$237)</f>
        <v>10.098947002908094</v>
      </c>
      <c r="AP237" s="184">
        <f t="shared" ref="AP237" si="654">AO237*(1+$M$237)</f>
        <v>10.6038943530535</v>
      </c>
      <c r="AQ237" s="184">
        <f t="shared" ref="AQ237" si="655">AP237*(1+$M$237)</f>
        <v>11.134089070706175</v>
      </c>
      <c r="AR237" s="184">
        <f t="shared" ref="AR237" si="656">AQ237*(1+$M$237)</f>
        <v>11.690793524241483</v>
      </c>
      <c r="AS237" s="184">
        <f t="shared" ref="AS237" si="657">AR237*(1+$M$237)</f>
        <v>12.275333200453558</v>
      </c>
      <c r="AT237" s="184">
        <f t="shared" ref="AT237" si="658">AS237*(1+$M$237)</f>
        <v>12.889099860476236</v>
      </c>
      <c r="AU237" s="184">
        <f t="shared" ref="AU237" si="659">AT237*(1+$M$237)</f>
        <v>13.533554853500048</v>
      </c>
      <c r="AV237" s="184">
        <f t="shared" ref="AV237" si="660">AU237*(1+$M$237)</f>
        <v>14.21023259617505</v>
      </c>
    </row>
    <row r="238" spans="2:48">
      <c r="B238" s="20" t="s">
        <v>391</v>
      </c>
      <c r="C238" s="20"/>
      <c r="D238" s="20"/>
      <c r="E238" s="23" t="s">
        <v>387</v>
      </c>
      <c r="F238" s="23"/>
      <c r="G238" s="23"/>
      <c r="H238" s="22"/>
      <c r="I238" s="189">
        <v>0</v>
      </c>
      <c r="J238" s="190">
        <f>S203</f>
        <v>29.564102564102566</v>
      </c>
      <c r="K238" s="189">
        <v>0.05</v>
      </c>
      <c r="L238" s="188"/>
      <c r="M238" s="182">
        <f>R1</f>
        <v>0.05</v>
      </c>
      <c r="N238" s="189">
        <v>0.12</v>
      </c>
      <c r="O238" s="188"/>
      <c r="P238" s="189">
        <v>0.2</v>
      </c>
      <c r="Q238" s="196" t="s">
        <v>463</v>
      </c>
      <c r="R238" s="179">
        <f>S201/S72</f>
        <v>29.564102564102566</v>
      </c>
      <c r="S238" s="179" t="s">
        <v>464</v>
      </c>
      <c r="T238" s="20"/>
      <c r="U238" s="20"/>
      <c r="V238" s="184">
        <f>S72*(1+$M$238)</f>
        <v>1.7758022549869905</v>
      </c>
      <c r="W238" s="184">
        <f>V238*(1+$M$238)</f>
        <v>1.8645923677363401</v>
      </c>
      <c r="X238" s="184">
        <f t="shared" ref="X238:AE238" si="661">W238*(1+$M$238)</f>
        <v>1.9578219861231572</v>
      </c>
      <c r="Y238" s="184">
        <f t="shared" si="661"/>
        <v>2.0557130854293151</v>
      </c>
      <c r="Z238" s="184">
        <f t="shared" si="661"/>
        <v>2.1584987397007809</v>
      </c>
      <c r="AA238" s="184">
        <f t="shared" si="661"/>
        <v>2.2664236766858199</v>
      </c>
      <c r="AB238" s="184">
        <f t="shared" si="661"/>
        <v>2.3797448605201108</v>
      </c>
      <c r="AC238" s="184">
        <f t="shared" si="661"/>
        <v>2.4987321035461165</v>
      </c>
      <c r="AD238" s="184">
        <f t="shared" si="661"/>
        <v>2.6236687087234225</v>
      </c>
      <c r="AE238" s="184">
        <f t="shared" si="661"/>
        <v>2.7548521441595937</v>
      </c>
      <c r="AF238" s="184">
        <f t="shared" ref="AF238" si="662">AE238*(1+$M$238)</f>
        <v>2.8925947513675734</v>
      </c>
      <c r="AG238" s="184">
        <f t="shared" ref="AG238" si="663">AF238*(1+$M$238)</f>
        <v>3.0372244889359523</v>
      </c>
      <c r="AH238" s="184">
        <f t="shared" ref="AH238" si="664">AG238*(1+$M$238)</f>
        <v>3.1890857133827502</v>
      </c>
      <c r="AI238" s="184">
        <f t="shared" ref="AI238" si="665">AH238*(1+$M$238)</f>
        <v>3.3485399990518876</v>
      </c>
      <c r="AJ238" s="184">
        <f t="shared" ref="AJ238" si="666">AI238*(1+$M$238)</f>
        <v>3.515966999004482</v>
      </c>
      <c r="AK238" s="184">
        <f t="shared" ref="AK238" si="667">AJ238*(1+$M$238)</f>
        <v>3.6917653489547062</v>
      </c>
      <c r="AL238" s="184">
        <f t="shared" ref="AL238" si="668">AK238*(1+$M$238)</f>
        <v>3.8763536164024415</v>
      </c>
      <c r="AM238" s="184">
        <f t="shared" ref="AM238" si="669">AL238*(1+$M$238)</f>
        <v>4.0701712972225641</v>
      </c>
      <c r="AN238" s="184">
        <f t="shared" ref="AN238" si="670">AM238*(1+$M$238)</f>
        <v>4.2736798620836929</v>
      </c>
      <c r="AO238" s="184">
        <f t="shared" ref="AO238" si="671">AN238*(1+$M$238)</f>
        <v>4.4873638551878781</v>
      </c>
      <c r="AP238" s="184">
        <f t="shared" ref="AP238" si="672">AO238*(1+$M$238)</f>
        <v>4.7117320479472724</v>
      </c>
      <c r="AQ238" s="184">
        <f t="shared" ref="AQ238" si="673">AP238*(1+$M$238)</f>
        <v>4.947318650344636</v>
      </c>
      <c r="AR238" s="184">
        <f t="shared" ref="AR238" si="674">AQ238*(1+$M$238)</f>
        <v>5.1946845828618677</v>
      </c>
      <c r="AS238" s="184">
        <f t="shared" ref="AS238" si="675">AR238*(1+$M$238)</f>
        <v>5.4544188120049615</v>
      </c>
      <c r="AT238" s="184">
        <f t="shared" ref="AT238" si="676">AS238*(1+$M$238)</f>
        <v>5.7271397526052095</v>
      </c>
      <c r="AU238" s="184">
        <f t="shared" ref="AU238" si="677">AT238*(1+$M$238)</f>
        <v>6.0134967402354702</v>
      </c>
      <c r="AV238" s="184">
        <f t="shared" ref="AV238" si="678">AU238*(1+$M$238)</f>
        <v>6.3141715772472438</v>
      </c>
    </row>
    <row r="239" spans="2:48">
      <c r="B239" s="20"/>
      <c r="C239" s="20"/>
      <c r="D239" s="20"/>
      <c r="E239" s="23" t="s">
        <v>449</v>
      </c>
      <c r="F239" s="23"/>
      <c r="G239" s="23"/>
      <c r="H239" s="22"/>
      <c r="I239" s="189">
        <v>0</v>
      </c>
      <c r="J239" s="190"/>
      <c r="K239" s="189">
        <v>0.05</v>
      </c>
      <c r="L239" s="188"/>
      <c r="M239" s="188"/>
      <c r="N239" s="189">
        <v>0.12</v>
      </c>
      <c r="O239" s="188"/>
      <c r="P239" s="189">
        <v>0.2</v>
      </c>
      <c r="Q239" s="20"/>
      <c r="R239" s="20"/>
      <c r="S239" s="20"/>
      <c r="T239" s="20"/>
      <c r="U239" s="20"/>
      <c r="V239" s="129">
        <f>S201-V238</f>
        <v>48.224197745013008</v>
      </c>
      <c r="W239" s="183">
        <f>V239-W238</f>
        <v>46.359605377276665</v>
      </c>
      <c r="X239" s="183">
        <f t="shared" ref="X239:AC239" si="679">W239-X238</f>
        <v>44.401783391153508</v>
      </c>
      <c r="Y239" s="183">
        <f t="shared" si="679"/>
        <v>42.34607030572419</v>
      </c>
      <c r="Z239" s="183">
        <f t="shared" si="679"/>
        <v>40.187571566023408</v>
      </c>
      <c r="AA239" s="183">
        <f t="shared" si="679"/>
        <v>37.92114788933759</v>
      </c>
      <c r="AB239" s="183">
        <f t="shared" si="679"/>
        <v>35.541403028817477</v>
      </c>
      <c r="AC239" s="183">
        <f t="shared" si="679"/>
        <v>33.042670925271359</v>
      </c>
      <c r="AD239" s="183">
        <f>AC239-AD238</f>
        <v>30.419002216547938</v>
      </c>
      <c r="AE239" s="183">
        <f t="shared" ref="AE239" si="680">AD239-AE238</f>
        <v>27.664150072388345</v>
      </c>
      <c r="AF239" s="183">
        <f t="shared" ref="AF239" si="681">AE239-AF238</f>
        <v>24.77155532102077</v>
      </c>
      <c r="AG239" s="183">
        <f t="shared" ref="AG239" si="682">AF239-AG238</f>
        <v>21.734330832084819</v>
      </c>
      <c r="AH239" s="183">
        <f t="shared" ref="AH239" si="683">AG239-AH238</f>
        <v>18.54524511870207</v>
      </c>
      <c r="AI239" s="183">
        <f t="shared" ref="AI239" si="684">AH239-AI238</f>
        <v>15.196705119650183</v>
      </c>
      <c r="AJ239" s="183">
        <f t="shared" ref="AJ239" si="685">AI239-AJ238</f>
        <v>11.680738120645701</v>
      </c>
      <c r="AK239" s="183">
        <f t="shared" ref="AK239" si="686">AJ239-AK238</f>
        <v>7.9889727716909951</v>
      </c>
      <c r="AL239" s="183">
        <f t="shared" ref="AL239" si="687">AK239-AL238</f>
        <v>4.112619155288554</v>
      </c>
      <c r="AM239" s="183">
        <f t="shared" ref="AM239" si="688">AL239-AM238</f>
        <v>4.2447858065989941E-2</v>
      </c>
      <c r="AN239" s="183">
        <f t="shared" ref="AN239" si="689">AM239-AN238</f>
        <v>-4.2312320040177029</v>
      </c>
      <c r="AO239" s="183">
        <f t="shared" ref="AO239" si="690">AN239-AO238</f>
        <v>-8.7185958592055819</v>
      </c>
      <c r="AP239" s="183">
        <f t="shared" ref="AP239" si="691">AO239-AP238</f>
        <v>-13.430327907152854</v>
      </c>
      <c r="AQ239" s="183">
        <f t="shared" ref="AQ239" si="692">AP239-AQ238</f>
        <v>-18.377646557497492</v>
      </c>
      <c r="AR239" s="183">
        <f t="shared" ref="AR239" si="693">AQ239-AR238</f>
        <v>-23.57233114035936</v>
      </c>
      <c r="AS239" s="183">
        <f t="shared" ref="AS239" si="694">AR239-AS238</f>
        <v>-29.02674995236432</v>
      </c>
      <c r="AT239" s="183">
        <f t="shared" ref="AT239" si="695">AS239-AT238</f>
        <v>-34.753889704969531</v>
      </c>
      <c r="AU239" s="183">
        <f t="shared" ref="AU239" si="696">AT239-AU238</f>
        <v>-40.767386445204998</v>
      </c>
      <c r="AV239" s="183">
        <f t="shared" ref="AV239" si="697">AU239-AV238</f>
        <v>-47.081558022452242</v>
      </c>
    </row>
    <row r="240" spans="2:48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>
      <c r="B241" s="20" t="s">
        <v>304</v>
      </c>
      <c r="C241" s="25"/>
      <c r="D241" s="25"/>
      <c r="E241" s="25"/>
      <c r="F241" s="25"/>
      <c r="G241" s="25">
        <f t="shared" ref="G241:H241" si="698">G10/G7</f>
        <v>0.05</v>
      </c>
      <c r="H241" s="25">
        <f t="shared" si="698"/>
        <v>2.7777777777777777</v>
      </c>
      <c r="I241" s="25">
        <f t="shared" ref="I241:S241" si="699">I10/I7</f>
        <v>1.7716535433070866</v>
      </c>
      <c r="J241" s="25">
        <f t="shared" si="699"/>
        <v>1.8488372093023255</v>
      </c>
      <c r="K241" s="25">
        <f t="shared" si="699"/>
        <v>1.4342105263157894</v>
      </c>
      <c r="L241" s="25">
        <f t="shared" si="699"/>
        <v>1</v>
      </c>
      <c r="M241" s="25">
        <f t="shared" si="699"/>
        <v>1</v>
      </c>
      <c r="N241" s="25">
        <f t="shared" si="699"/>
        <v>1</v>
      </c>
      <c r="O241" s="25">
        <f t="shared" si="699"/>
        <v>1.0023310023310024</v>
      </c>
      <c r="P241" s="25">
        <f t="shared" si="699"/>
        <v>0.53673047077082248</v>
      </c>
      <c r="Q241" s="25">
        <f t="shared" si="699"/>
        <v>0.34282018111254853</v>
      </c>
      <c r="R241" s="25">
        <f t="shared" si="699"/>
        <v>0.32941176470588235</v>
      </c>
      <c r="S241" s="25">
        <f t="shared" si="699"/>
        <v>0.25311720698254364</v>
      </c>
      <c r="T241" s="118">
        <f t="shared" ref="T241:T243" si="700">((R241/I241)^(1/($J$2-$J$1) ))-1</f>
        <v>-0.13081272607138406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>
      <c r="B242" s="20" t="s">
        <v>305</v>
      </c>
      <c r="C242" s="112"/>
      <c r="D242" s="112"/>
      <c r="E242" s="112"/>
      <c r="F242" s="112"/>
      <c r="G242" s="112">
        <f t="shared" ref="G242:H242" si="701">G10/G12</f>
        <v>45</v>
      </c>
      <c r="H242" s="112" t="e">
        <f t="shared" si="701"/>
        <v>#DIV/0!</v>
      </c>
      <c r="I242" s="112">
        <f t="shared" ref="I242:S242" si="702">I10/I12</f>
        <v>25.531914893617024</v>
      </c>
      <c r="J242" s="112">
        <f t="shared" si="702"/>
        <v>26.5</v>
      </c>
      <c r="K242" s="112">
        <f t="shared" si="702"/>
        <v>3.7586206896551726</v>
      </c>
      <c r="L242" s="112">
        <f t="shared" si="702"/>
        <v>20.3125</v>
      </c>
      <c r="M242" s="112">
        <f t="shared" si="702"/>
        <v>5.8695652173913047</v>
      </c>
      <c r="N242" s="112">
        <f t="shared" si="702"/>
        <v>3.15625</v>
      </c>
      <c r="O242" s="112">
        <f t="shared" si="702"/>
        <v>3.1617647058823528</v>
      </c>
      <c r="P242" s="112">
        <f t="shared" si="702"/>
        <v>9.0217391304347831</v>
      </c>
      <c r="Q242" s="112">
        <f t="shared" si="702"/>
        <v>4.8181818181818183</v>
      </c>
      <c r="R242" s="112">
        <f t="shared" si="702"/>
        <v>12</v>
      </c>
      <c r="S242" s="112">
        <f t="shared" si="702"/>
        <v>8.8260869565217384</v>
      </c>
      <c r="T242" s="118">
        <f t="shared" si="700"/>
        <v>-6.0980045020056495E-2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>
      <c r="B243" s="20" t="s">
        <v>306</v>
      </c>
      <c r="C243" s="25"/>
      <c r="D243" s="25"/>
      <c r="E243" s="25"/>
      <c r="F243" s="25"/>
      <c r="G243" s="25">
        <f t="shared" ref="G243:H243" si="703">G10/(G12+G13)</f>
        <v>0.11221945137157108</v>
      </c>
      <c r="H243" s="25">
        <f t="shared" si="703"/>
        <v>6.25</v>
      </c>
      <c r="I243" s="25">
        <f t="shared" ref="I243:S243" si="704">I10/(I12+I13)</f>
        <v>22.222222222222225</v>
      </c>
      <c r="J243" s="25">
        <f t="shared" si="704"/>
        <v>0.87362637362637363</v>
      </c>
      <c r="K243" s="25">
        <f t="shared" si="704"/>
        <v>0.92897727272727271</v>
      </c>
      <c r="L243" s="25">
        <f t="shared" si="704"/>
        <v>1.3541666666666667</v>
      </c>
      <c r="M243" s="25">
        <f t="shared" si="704"/>
        <v>1.238532110091743</v>
      </c>
      <c r="N243" s="25">
        <f t="shared" si="704"/>
        <v>0.89380530973451322</v>
      </c>
      <c r="O243" s="25">
        <f t="shared" si="704"/>
        <v>1.5925925925925926</v>
      </c>
      <c r="P243" s="25">
        <f t="shared" si="704"/>
        <v>2.5921299188007496</v>
      </c>
      <c r="Q243" s="25">
        <f t="shared" si="704"/>
        <v>1.65625</v>
      </c>
      <c r="R243" s="25">
        <f t="shared" si="704"/>
        <v>1.9534883720930232</v>
      </c>
      <c r="S243" s="25">
        <f t="shared" si="704"/>
        <v>1.5984251968503937</v>
      </c>
      <c r="T243" s="118">
        <f t="shared" si="700"/>
        <v>-0.18341397087907729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>
      <c r="B246" s="20"/>
      <c r="C246" s="172" t="s">
        <v>373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20"/>
      <c r="N246" s="213" t="s">
        <v>333</v>
      </c>
      <c r="O246" s="214"/>
      <c r="P246" s="215"/>
      <c r="Q246" s="23" t="s">
        <v>336</v>
      </c>
      <c r="R246" s="20"/>
      <c r="S246" s="136"/>
      <c r="T246" s="213" t="s">
        <v>334</v>
      </c>
      <c r="U246" s="214"/>
      <c r="V246" s="215"/>
      <c r="W246" s="23" t="s">
        <v>336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>
      <c r="B247" s="20"/>
      <c r="C247" s="164" t="s">
        <v>335</v>
      </c>
      <c r="D247" s="164" t="s">
        <v>0</v>
      </c>
      <c r="E247" s="164" t="s">
        <v>374</v>
      </c>
      <c r="F247" s="164"/>
      <c r="G247" s="164"/>
      <c r="H247" s="164" t="s">
        <v>375</v>
      </c>
      <c r="I247" s="164" t="s">
        <v>376</v>
      </c>
      <c r="J247" s="164" t="s">
        <v>377</v>
      </c>
      <c r="K247" s="164" t="s">
        <v>378</v>
      </c>
      <c r="L247" s="164" t="s">
        <v>379</v>
      </c>
      <c r="M247" s="20"/>
      <c r="N247" s="164" t="s">
        <v>335</v>
      </c>
      <c r="O247" s="164"/>
      <c r="P247" s="164" t="s">
        <v>0</v>
      </c>
      <c r="Q247" s="164" t="s">
        <v>368</v>
      </c>
      <c r="R247" s="20"/>
      <c r="S247" s="20"/>
      <c r="T247" s="164" t="s">
        <v>335</v>
      </c>
      <c r="U247" s="164"/>
      <c r="V247" s="164" t="s">
        <v>0</v>
      </c>
      <c r="W247" s="164" t="s">
        <v>368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>
      <c r="B248" s="20"/>
      <c r="C248" s="165" t="s">
        <v>337</v>
      </c>
      <c r="D248" s="21">
        <v>1</v>
      </c>
      <c r="E248" s="174" t="s">
        <v>380</v>
      </c>
      <c r="F248" s="174"/>
      <c r="G248" s="174"/>
      <c r="H248" s="22">
        <v>1</v>
      </c>
      <c r="I248" s="22">
        <v>1</v>
      </c>
      <c r="J248" s="165">
        <f>H248/I248</f>
        <v>1</v>
      </c>
      <c r="K248" s="165">
        <f>J248*D249</f>
        <v>1</v>
      </c>
      <c r="L248" s="175">
        <f>K248+D249</f>
        <v>2</v>
      </c>
      <c r="M248" s="20"/>
      <c r="N248" s="165" t="s">
        <v>337</v>
      </c>
      <c r="O248" s="165"/>
      <c r="P248" s="21">
        <v>1</v>
      </c>
      <c r="Q248" s="171">
        <f>P248</f>
        <v>1</v>
      </c>
      <c r="R248" s="20"/>
      <c r="S248" s="20"/>
      <c r="T248" s="165" t="s">
        <v>337</v>
      </c>
      <c r="U248" s="165"/>
      <c r="V248" s="21">
        <v>1</v>
      </c>
      <c r="W248" s="171">
        <f>V248</f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>
      <c r="B249" s="20"/>
      <c r="C249" s="165" t="s">
        <v>338</v>
      </c>
      <c r="D249" s="21">
        <v>1</v>
      </c>
      <c r="E249" s="174" t="s">
        <v>381</v>
      </c>
      <c r="F249" s="174"/>
      <c r="G249" s="174"/>
      <c r="H249" s="22">
        <v>0</v>
      </c>
      <c r="I249" s="22">
        <v>1</v>
      </c>
      <c r="J249" s="165">
        <f>H249/I249</f>
        <v>0</v>
      </c>
      <c r="K249" s="165">
        <f>J249*L248</f>
        <v>0</v>
      </c>
      <c r="L249" s="165">
        <f>K249+L248</f>
        <v>2</v>
      </c>
      <c r="M249" s="20"/>
      <c r="N249" s="165" t="s">
        <v>338</v>
      </c>
      <c r="O249" s="165"/>
      <c r="P249" s="21">
        <v>1</v>
      </c>
      <c r="Q249" s="171">
        <f>P249</f>
        <v>1</v>
      </c>
      <c r="R249" s="20"/>
      <c r="S249" s="20"/>
      <c r="T249" s="165" t="s">
        <v>338</v>
      </c>
      <c r="U249" s="165"/>
      <c r="V249" s="21">
        <v>1</v>
      </c>
      <c r="W249" s="171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>
      <c r="B250" s="20"/>
      <c r="C250" s="165" t="s">
        <v>340</v>
      </c>
      <c r="D250" s="166">
        <f>D248*D249</f>
        <v>1</v>
      </c>
      <c r="E250" s="174" t="s">
        <v>393</v>
      </c>
      <c r="F250" s="174"/>
      <c r="G250" s="174"/>
      <c r="H250" s="22">
        <v>0</v>
      </c>
      <c r="I250" s="22">
        <v>1</v>
      </c>
      <c r="J250" s="165">
        <f>H250/I250</f>
        <v>0</v>
      </c>
      <c r="K250" s="165">
        <f>J250*L249</f>
        <v>0</v>
      </c>
      <c r="L250" s="165">
        <f>K250+L249</f>
        <v>2</v>
      </c>
      <c r="M250" s="20"/>
      <c r="N250" s="165" t="s">
        <v>339</v>
      </c>
      <c r="O250" s="165"/>
      <c r="P250" s="166">
        <f>P248*P249</f>
        <v>1</v>
      </c>
      <c r="Q250" s="171">
        <f>P250</f>
        <v>1</v>
      </c>
      <c r="R250" s="20"/>
      <c r="S250" s="20"/>
      <c r="T250" s="165" t="s">
        <v>340</v>
      </c>
      <c r="U250" s="165"/>
      <c r="V250" s="166">
        <f>V248*V249</f>
        <v>1</v>
      </c>
      <c r="W250" s="171">
        <f>V250</f>
        <v>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>
      <c r="B251" s="20"/>
      <c r="C251" s="165"/>
      <c r="D251" s="166"/>
      <c r="E251" s="174" t="s">
        <v>450</v>
      </c>
      <c r="F251" s="174"/>
      <c r="G251" s="174"/>
      <c r="H251" s="22">
        <v>0</v>
      </c>
      <c r="I251" s="22">
        <v>1</v>
      </c>
      <c r="J251" s="165">
        <f t="shared" ref="J251:J254" si="705">H251/I251</f>
        <v>0</v>
      </c>
      <c r="K251" s="165">
        <f t="shared" ref="K251:K253" si="706">J251*L250</f>
        <v>0</v>
      </c>
      <c r="L251" s="165">
        <f t="shared" ref="L251:L253" si="707">K251+L250</f>
        <v>2</v>
      </c>
      <c r="M251" s="20"/>
      <c r="N251" s="165" t="s">
        <v>341</v>
      </c>
      <c r="O251" s="165"/>
      <c r="P251" s="21">
        <v>1</v>
      </c>
      <c r="Q251" s="21">
        <v>1</v>
      </c>
      <c r="R251" s="20"/>
      <c r="S251" s="20"/>
      <c r="T251" s="165" t="s">
        <v>341</v>
      </c>
      <c r="U251" s="165"/>
      <c r="V251" s="21">
        <v>1</v>
      </c>
      <c r="W251" s="21">
        <v>1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>
      <c r="B252" s="20"/>
      <c r="C252" s="165"/>
      <c r="D252" s="166"/>
      <c r="E252" s="174" t="s">
        <v>451</v>
      </c>
      <c r="F252" s="174"/>
      <c r="G252" s="174"/>
      <c r="H252" s="22">
        <v>0</v>
      </c>
      <c r="I252" s="22">
        <v>1</v>
      </c>
      <c r="J252" s="165">
        <f t="shared" si="705"/>
        <v>0</v>
      </c>
      <c r="K252" s="165">
        <f t="shared" si="706"/>
        <v>0</v>
      </c>
      <c r="L252" s="165">
        <f t="shared" si="707"/>
        <v>2</v>
      </c>
      <c r="M252" s="20"/>
      <c r="N252" s="165" t="s">
        <v>342</v>
      </c>
      <c r="O252" s="165"/>
      <c r="P252" s="166">
        <f>P251*P249</f>
        <v>1</v>
      </c>
      <c r="Q252" s="166">
        <f>Q251*Q249</f>
        <v>1</v>
      </c>
      <c r="R252" s="20"/>
      <c r="S252" s="20"/>
      <c r="T252" s="165" t="s">
        <v>338</v>
      </c>
      <c r="U252" s="165"/>
      <c r="V252" s="21">
        <v>1</v>
      </c>
      <c r="W252" s="127">
        <f>V252</f>
        <v>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>
      <c r="B253" s="20"/>
      <c r="C253" s="165"/>
      <c r="D253" s="166"/>
      <c r="E253" s="174" t="s">
        <v>452</v>
      </c>
      <c r="F253" s="174"/>
      <c r="G253" s="174"/>
      <c r="H253" s="22">
        <v>0</v>
      </c>
      <c r="I253" s="22">
        <v>1</v>
      </c>
      <c r="J253" s="165">
        <f t="shared" si="705"/>
        <v>0</v>
      </c>
      <c r="K253" s="165">
        <f t="shared" si="706"/>
        <v>0</v>
      </c>
      <c r="L253" s="165">
        <f t="shared" si="707"/>
        <v>2</v>
      </c>
      <c r="M253" s="20"/>
      <c r="N253" s="165"/>
      <c r="O253" s="165"/>
      <c r="P253" s="166"/>
      <c r="Q253" s="166"/>
      <c r="R253" s="20"/>
      <c r="S253" s="20"/>
      <c r="T253" s="165" t="s">
        <v>340</v>
      </c>
      <c r="U253" s="165"/>
      <c r="V253" s="166">
        <f>V252*V251</f>
        <v>1</v>
      </c>
      <c r="W253" s="166">
        <f>W252*W251</f>
        <v>1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>
      <c r="B254" s="20"/>
      <c r="C254" s="165"/>
      <c r="D254" s="166"/>
      <c r="E254" s="174" t="s">
        <v>382</v>
      </c>
      <c r="F254" s="174"/>
      <c r="G254" s="174"/>
      <c r="H254" s="22">
        <v>10</v>
      </c>
      <c r="I254" s="22">
        <v>2</v>
      </c>
      <c r="J254" s="165">
        <f t="shared" si="705"/>
        <v>5</v>
      </c>
      <c r="K254" s="165">
        <f>J254*L253</f>
        <v>10</v>
      </c>
      <c r="L254" s="165">
        <f>K254</f>
        <v>10</v>
      </c>
      <c r="M254" s="20"/>
      <c r="N254" s="165"/>
      <c r="O254" s="165"/>
      <c r="P254" s="166"/>
      <c r="Q254" s="166"/>
      <c r="R254" s="20"/>
      <c r="S254" s="20"/>
      <c r="T254" s="165"/>
      <c r="U254" s="165"/>
      <c r="V254" s="166"/>
      <c r="W254" s="166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>
      <c r="B255" s="20"/>
      <c r="C255" s="165"/>
      <c r="D255" s="166"/>
      <c r="E255" s="174" t="s">
        <v>453</v>
      </c>
      <c r="F255" s="174"/>
      <c r="G255" s="174"/>
      <c r="H255" s="22">
        <v>0</v>
      </c>
      <c r="I255" s="22">
        <v>1</v>
      </c>
      <c r="J255" s="165">
        <f>H255/I255</f>
        <v>0</v>
      </c>
      <c r="K255" s="165">
        <f>J255*L254</f>
        <v>0</v>
      </c>
      <c r="L255" s="165">
        <f>K255</f>
        <v>0</v>
      </c>
      <c r="M255" s="20"/>
      <c r="N255" s="167" t="s">
        <v>343</v>
      </c>
      <c r="O255" s="167"/>
      <c r="P255" s="168">
        <f>P252/P250</f>
        <v>1</v>
      </c>
      <c r="Q255" s="168">
        <f>Q252/Q250</f>
        <v>1</v>
      </c>
      <c r="R255" s="20"/>
      <c r="S255" s="20"/>
      <c r="T255" s="167" t="s">
        <v>343</v>
      </c>
      <c r="U255" s="167"/>
      <c r="V255" s="168">
        <f>V253/V250</f>
        <v>1</v>
      </c>
      <c r="W255" s="168">
        <f>W253/W250</f>
        <v>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>
      <c r="B256" s="20"/>
      <c r="C256" s="165" t="s">
        <v>341</v>
      </c>
      <c r="D256" s="21">
        <v>1</v>
      </c>
      <c r="E256" s="174"/>
      <c r="F256" s="174"/>
      <c r="G256" s="174"/>
      <c r="H256" s="165"/>
      <c r="I256" s="165"/>
      <c r="J256" s="167" t="s">
        <v>383</v>
      </c>
      <c r="K256" s="165"/>
      <c r="L256" s="165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>
      <c r="B257" s="20"/>
      <c r="C257" s="165" t="s">
        <v>338</v>
      </c>
      <c r="D257" s="21">
        <v>1</v>
      </c>
      <c r="E257" s="174" t="s">
        <v>382</v>
      </c>
      <c r="F257" s="174"/>
      <c r="G257" s="174"/>
      <c r="H257" s="22">
        <v>10</v>
      </c>
      <c r="I257" s="22">
        <v>2</v>
      </c>
      <c r="J257" s="165">
        <f>H257/I257</f>
        <v>5</v>
      </c>
      <c r="K257" s="175">
        <f>J257*D249</f>
        <v>5</v>
      </c>
      <c r="L257" s="175">
        <f>K257</f>
        <v>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>
      <c r="B258" s="20"/>
      <c r="C258" s="165" t="s">
        <v>340</v>
      </c>
      <c r="D258" s="166">
        <f>D257*D256</f>
        <v>1</v>
      </c>
      <c r="E258" s="165"/>
      <c r="F258" s="165"/>
      <c r="G258" s="165"/>
      <c r="H258" s="165"/>
      <c r="I258" s="165"/>
      <c r="J258" s="167" t="s">
        <v>383</v>
      </c>
      <c r="K258" s="165"/>
      <c r="L258" s="165">
        <f>L257</f>
        <v>5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>
      <c r="B259" s="20"/>
      <c r="C259" s="165"/>
      <c r="D259" s="166"/>
      <c r="E259" s="174" t="s">
        <v>382</v>
      </c>
      <c r="F259" s="174"/>
      <c r="G259" s="174"/>
      <c r="H259" s="22">
        <v>10</v>
      </c>
      <c r="I259" s="22">
        <v>2</v>
      </c>
      <c r="J259" s="165">
        <f>H259/I259</f>
        <v>5</v>
      </c>
      <c r="K259" s="165">
        <f>J259*L258</f>
        <v>25</v>
      </c>
      <c r="L259" s="165">
        <f>K259</f>
        <v>25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>
      <c r="B260" s="20"/>
      <c r="C260" s="167" t="s">
        <v>343</v>
      </c>
      <c r="D260" s="168">
        <f>D258/D250</f>
        <v>1</v>
      </c>
      <c r="E260" s="174"/>
      <c r="F260" s="174"/>
      <c r="G260" s="174"/>
      <c r="H260" s="165"/>
      <c r="I260" s="165"/>
      <c r="J260" s="167" t="s">
        <v>383</v>
      </c>
      <c r="K260" s="165"/>
      <c r="L260" s="165">
        <f>L259</f>
        <v>25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>
      <c r="B262" s="20"/>
      <c r="C262" s="20"/>
      <c r="D262" s="136"/>
      <c r="E262" s="176"/>
      <c r="F262" s="176"/>
      <c r="G262" s="176"/>
      <c r="H262" s="176"/>
      <c r="I262" s="177"/>
      <c r="J262" s="20"/>
      <c r="K262" s="136"/>
      <c r="L262" s="176"/>
      <c r="M262" s="177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.25">
      <c r="B263" s="20"/>
      <c r="C263" s="20"/>
      <c r="D263" s="206" t="s">
        <v>27</v>
      </c>
      <c r="E263" s="207"/>
      <c r="F263" s="207"/>
      <c r="G263" s="207"/>
      <c r="H263" s="207"/>
      <c r="I263" s="208"/>
      <c r="J263" s="20"/>
      <c r="K263" s="206" t="s">
        <v>388</v>
      </c>
      <c r="L263" s="207"/>
      <c r="M263" s="208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>
      <c r="B264" s="20"/>
      <c r="C264" s="20"/>
      <c r="D264" s="20" t="s">
        <v>28</v>
      </c>
      <c r="E264" s="127"/>
      <c r="F264" s="127"/>
      <c r="G264" s="127"/>
      <c r="H264" s="127">
        <f>D248</f>
        <v>1</v>
      </c>
      <c r="I264" s="21">
        <f>D250</f>
        <v>1</v>
      </c>
      <c r="J264" s="20"/>
      <c r="K264" s="20" t="s">
        <v>28</v>
      </c>
      <c r="L264" s="127"/>
      <c r="M264" s="21">
        <f>I264</f>
        <v>1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>
      <c r="B265" s="20"/>
      <c r="C265" s="20"/>
      <c r="D265" s="20" t="s">
        <v>29</v>
      </c>
      <c r="E265" s="127"/>
      <c r="F265" s="127"/>
      <c r="G265" s="127"/>
      <c r="H265" s="127">
        <f>D249</f>
        <v>1</v>
      </c>
      <c r="I265" s="21">
        <f>D258</f>
        <v>1</v>
      </c>
      <c r="J265" s="20"/>
      <c r="K265" s="20" t="s">
        <v>29</v>
      </c>
      <c r="L265" s="20"/>
      <c r="M265" s="21">
        <f>I265</f>
        <v>1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>
      <c r="B266" s="20"/>
      <c r="C266" s="20"/>
      <c r="D266" s="20" t="s">
        <v>30</v>
      </c>
      <c r="E266" s="20"/>
      <c r="F266" s="20"/>
      <c r="G266" s="20"/>
      <c r="H266" s="22">
        <f>I266</f>
        <v>10</v>
      </c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>
      <c r="B267" s="20"/>
      <c r="C267" s="20"/>
      <c r="D267" s="23" t="s">
        <v>31</v>
      </c>
      <c r="E267" s="3"/>
      <c r="F267" s="3"/>
      <c r="G267" s="3"/>
      <c r="H267" s="3">
        <f>((H265/H264)^(1/H266))-1</f>
        <v>0</v>
      </c>
      <c r="I267" s="3">
        <f>((I265/I264)^(1/I266))-1</f>
        <v>0</v>
      </c>
      <c r="J267" s="20"/>
      <c r="K267" s="23" t="s">
        <v>389</v>
      </c>
      <c r="L267" s="23"/>
      <c r="M267" s="191">
        <f>(M265-M264)/M264</f>
        <v>0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>
      <c r="B268" s="20"/>
      <c r="C268" s="20"/>
      <c r="D268" s="23" t="s">
        <v>32</v>
      </c>
      <c r="E268" s="163"/>
      <c r="F268" s="163"/>
      <c r="G268" s="163"/>
      <c r="H268" s="163">
        <f>H266*12</f>
        <v>120</v>
      </c>
      <c r="I268" s="24">
        <f>I266*12</f>
        <v>120</v>
      </c>
      <c r="J268" s="20"/>
      <c r="K268" s="23" t="s">
        <v>390</v>
      </c>
      <c r="L268" s="23"/>
      <c r="M268" s="23">
        <f>M265/M264</f>
        <v>1</v>
      </c>
    </row>
    <row r="269" spans="2:34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5">
        <f>I268/12</f>
        <v>10</v>
      </c>
      <c r="J269" s="20"/>
      <c r="K269" s="20"/>
      <c r="L269" s="20"/>
      <c r="M269" s="20"/>
    </row>
    <row r="270" spans="2:34">
      <c r="B270" s="20"/>
      <c r="C270" s="20"/>
      <c r="D270" s="23" t="s">
        <v>33</v>
      </c>
      <c r="E270" s="3"/>
      <c r="F270" s="3"/>
      <c r="G270" s="3"/>
      <c r="H270" s="3">
        <f>((H265/H264)^(1/H269))-1</f>
        <v>0</v>
      </c>
      <c r="I270" s="3">
        <f>((I265/I264)^(1/I269))-1</f>
        <v>0</v>
      </c>
      <c r="J270" s="20"/>
      <c r="K270" s="20"/>
      <c r="L270" s="20"/>
      <c r="M270" s="20"/>
    </row>
    <row r="271" spans="2:34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4" t="s">
        <v>427</v>
      </c>
      <c r="C3" s="225"/>
      <c r="F3" s="224" t="s">
        <v>428</v>
      </c>
      <c r="G3" s="225"/>
    </row>
    <row r="4" spans="2:7">
      <c r="B4" s="186" t="s">
        <v>429</v>
      </c>
      <c r="C4" s="186"/>
      <c r="F4" s="186" t="s">
        <v>430</v>
      </c>
      <c r="G4" s="186"/>
    </row>
    <row r="5" spans="2:7">
      <c r="B5" s="186" t="s">
        <v>431</v>
      </c>
      <c r="C5" s="186"/>
      <c r="F5" s="186" t="s">
        <v>291</v>
      </c>
      <c r="G5" s="186"/>
    </row>
    <row r="6" spans="2:7">
      <c r="B6" s="186" t="s">
        <v>432</v>
      </c>
      <c r="C6" s="186"/>
      <c r="F6" s="186" t="s">
        <v>433</v>
      </c>
      <c r="G6" s="186"/>
    </row>
    <row r="7" spans="2:7">
      <c r="B7" s="186" t="s">
        <v>434</v>
      </c>
      <c r="C7" s="186"/>
      <c r="F7" s="186" t="s">
        <v>435</v>
      </c>
      <c r="G7" s="186"/>
    </row>
    <row r="8" spans="2:7">
      <c r="B8" s="186" t="s">
        <v>436</v>
      </c>
      <c r="C8" s="186"/>
      <c r="F8" s="186" t="s">
        <v>437</v>
      </c>
      <c r="G8" s="186"/>
    </row>
    <row r="9" spans="2:7">
      <c r="B9" s="186" t="s">
        <v>438</v>
      </c>
      <c r="C9" s="186"/>
      <c r="F9" s="186" t="s">
        <v>439</v>
      </c>
      <c r="G9" s="186"/>
    </row>
    <row r="10" spans="2:7">
      <c r="B10" s="186" t="s">
        <v>437</v>
      </c>
      <c r="C10" s="186"/>
      <c r="F10" s="186"/>
      <c r="G10" s="186"/>
    </row>
    <row r="11" spans="2:7">
      <c r="B11" s="186" t="s">
        <v>440</v>
      </c>
      <c r="C11" s="186"/>
      <c r="F11" s="186"/>
      <c r="G11" s="186"/>
    </row>
    <row r="12" spans="2:7">
      <c r="B12" s="186" t="s">
        <v>441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2016-11-20T20:18:58Z</dcterms:modified>
</cp:coreProperties>
</file>